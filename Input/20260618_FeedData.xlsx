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danyangjiang/Desktop/EU model/Input/"/>
    </mc:Choice>
  </mc:AlternateContent>
  <xr:revisionPtr revIDLastSave="0" documentId="13_ncr:1_{B71369F1-5836-BE46-BF77-076B82D0C820}" xr6:coauthVersionLast="47" xr6:coauthVersionMax="47" xr10:uidLastSave="{00000000-0000-0000-0000-000000000000}"/>
  <bookViews>
    <workbookView xWindow="0" yWindow="620" windowWidth="28800" windowHeight="16180" activeTab="1" xr2:uid="{00000000-000D-0000-FFFF-FFFF00000000}"/>
  </bookViews>
  <sheets>
    <sheet name="ReadMe" sheetId="1" r:id="rId1"/>
    <sheet name="Input" sheetId="2" r:id="rId2"/>
    <sheet name="MFA1" sheetId="3" r:id="rId3"/>
    <sheet name="MFA2" sheetId="4" r:id="rId4"/>
    <sheet name="EM1" sheetId="5" r:id="rId5"/>
    <sheet name="EM2" sheetId="6" r:id="rId6"/>
    <sheet name="EM3" sheetId="7" r:id="rId7"/>
    <sheet name="Textiles" sheetId="8" r:id="rId8"/>
    <sheet name="Flushing" sheetId="9" r:id="rId9"/>
    <sheet name="Label" sheetId="10" r:id="rId10"/>
    <sheet name="GeoCode" sheetId="11" r:id="rId11"/>
  </sheets>
  <definedNames>
    <definedName name="_xlnm._FilterDatabase" localSheetId="4" hidden="1">'EM1'!$A$1:$N$181</definedName>
    <definedName name="_xlnm._FilterDatabase" localSheetId="5" hidden="1">'EM2'!$A$1:$N$2587</definedName>
    <definedName name="_xlnm._FilterDatabase" localSheetId="6" hidden="1">'EM3'!$A$1:$N$1617</definedName>
    <definedName name="_xlnm._FilterDatabase" localSheetId="1" hidden="1">Input!$A$1:$M$2527</definedName>
    <definedName name="_xlnm._FilterDatabase" localSheetId="2" hidden="1">'MFA1'!$A$1:$N$445</definedName>
    <definedName name="_xlnm._FilterDatabase" localSheetId="3" hidden="1">'MFA2'!$A$1:$N$1594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 i="9" l="1"/>
  <c r="D32" i="11" l="1"/>
  <c r="E32" i="11" s="1"/>
  <c r="C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 r="M187" i="9"/>
  <c r="E187" i="9"/>
  <c r="M186" i="9"/>
  <c r="E186" i="9"/>
  <c r="M185" i="9"/>
  <c r="M184" i="9"/>
  <c r="M183" i="9"/>
  <c r="M182" i="9"/>
  <c r="E182" i="9"/>
  <c r="M181" i="9"/>
  <c r="E181" i="9"/>
  <c r="M180" i="9"/>
  <c r="E180" i="9"/>
  <c r="M179" i="9"/>
  <c r="E179" i="9"/>
  <c r="M178" i="9"/>
  <c r="M177" i="9"/>
  <c r="E177" i="9"/>
  <c r="M176" i="9"/>
  <c r="E176" i="9"/>
  <c r="M175" i="9"/>
  <c r="M174" i="9"/>
  <c r="M173" i="9"/>
  <c r="M172" i="9"/>
  <c r="M171" i="9"/>
  <c r="M170" i="9"/>
  <c r="M169" i="9"/>
  <c r="M168" i="9"/>
  <c r="M167" i="9"/>
  <c r="M166" i="9"/>
  <c r="M165" i="9"/>
  <c r="E165" i="9"/>
  <c r="M164" i="9"/>
  <c r="M163" i="9"/>
  <c r="M162" i="9"/>
  <c r="E162" i="9"/>
  <c r="M161" i="9"/>
  <c r="E161" i="9"/>
  <c r="M160" i="9"/>
  <c r="E160" i="9"/>
  <c r="M159" i="9"/>
  <c r="M158" i="9"/>
  <c r="M157" i="9"/>
  <c r="M156" i="9"/>
  <c r="E156" i="9"/>
  <c r="M155" i="9"/>
  <c r="E155" i="9"/>
  <c r="M154" i="9"/>
  <c r="E154" i="9"/>
  <c r="M153" i="9"/>
  <c r="E153" i="9"/>
  <c r="M152" i="9"/>
  <c r="E152" i="9"/>
  <c r="M151" i="9"/>
  <c r="E151" i="9"/>
  <c r="M150" i="9"/>
  <c r="M149" i="9"/>
  <c r="M148" i="9"/>
  <c r="M147" i="9"/>
  <c r="M146" i="9"/>
  <c r="M145" i="9"/>
  <c r="M144" i="9"/>
  <c r="E144" i="9"/>
  <c r="M143" i="9"/>
  <c r="M142" i="9"/>
  <c r="M141" i="9"/>
  <c r="E141" i="9"/>
  <c r="M140" i="9"/>
  <c r="E140" i="9"/>
  <c r="M139" i="9"/>
  <c r="M138" i="9"/>
  <c r="M137" i="9"/>
  <c r="M136" i="9"/>
  <c r="E136" i="9"/>
  <c r="M135" i="9"/>
  <c r="E135" i="9"/>
  <c r="M134" i="9"/>
  <c r="E134" i="9"/>
  <c r="M133" i="9"/>
  <c r="E133" i="9"/>
  <c r="M132" i="9"/>
  <c r="E132" i="9"/>
  <c r="M131" i="9"/>
  <c r="M130" i="9"/>
  <c r="E130" i="9"/>
  <c r="M129" i="9"/>
  <c r="E129" i="9"/>
  <c r="M128" i="9"/>
  <c r="E128" i="9"/>
  <c r="M127" i="9"/>
  <c r="E127" i="9"/>
  <c r="M126" i="9"/>
  <c r="E126" i="9"/>
  <c r="M125" i="9"/>
  <c r="E125" i="9"/>
  <c r="M124" i="9"/>
  <c r="E124" i="9"/>
  <c r="M123" i="9"/>
  <c r="E123" i="9"/>
  <c r="M122" i="9"/>
  <c r="E122" i="9"/>
  <c r="M121" i="9"/>
  <c r="E121" i="9"/>
  <c r="M120" i="9"/>
  <c r="E120" i="9"/>
  <c r="M119" i="9"/>
  <c r="E119" i="9"/>
  <c r="M118" i="9"/>
  <c r="E118" i="9"/>
  <c r="M117" i="9"/>
  <c r="E117" i="9"/>
  <c r="M116" i="9"/>
  <c r="E116" i="9"/>
  <c r="M115" i="9"/>
  <c r="E115" i="9"/>
  <c r="M114" i="9"/>
  <c r="E114" i="9"/>
  <c r="M113" i="9"/>
  <c r="E113" i="9"/>
  <c r="M112" i="9"/>
  <c r="E112" i="9"/>
  <c r="M111" i="9"/>
  <c r="E111" i="9"/>
  <c r="M110" i="9"/>
  <c r="E110" i="9"/>
  <c r="M109" i="9"/>
  <c r="E109" i="9"/>
  <c r="M108" i="9"/>
  <c r="E108" i="9"/>
  <c r="M107" i="9"/>
  <c r="E107" i="9"/>
  <c r="M106" i="9"/>
  <c r="M105" i="9"/>
  <c r="E105" i="9"/>
  <c r="M104" i="9"/>
  <c r="E104" i="9"/>
  <c r="M103" i="9"/>
  <c r="E103" i="9"/>
  <c r="M102" i="9"/>
  <c r="E102" i="9"/>
  <c r="M101" i="9"/>
  <c r="E101" i="9"/>
  <c r="M100" i="9"/>
  <c r="E100" i="9"/>
  <c r="M99" i="9"/>
  <c r="E99" i="9"/>
  <c r="M98" i="9"/>
  <c r="M97" i="9"/>
  <c r="M96" i="9"/>
  <c r="M95" i="9"/>
  <c r="E95" i="9"/>
  <c r="M94" i="9"/>
  <c r="M93" i="9"/>
  <c r="M92" i="9"/>
  <c r="M91" i="9"/>
  <c r="M90" i="9"/>
  <c r="M89" i="9"/>
  <c r="M88" i="9"/>
  <c r="M87" i="9"/>
  <c r="M86" i="9"/>
  <c r="M85" i="9"/>
  <c r="M84" i="9"/>
  <c r="M83" i="9"/>
  <c r="M82" i="9"/>
  <c r="M81" i="9"/>
  <c r="M80" i="9"/>
  <c r="M79" i="9"/>
  <c r="M78" i="9"/>
  <c r="M77" i="9"/>
  <c r="M76" i="9"/>
  <c r="M75" i="9"/>
  <c r="M74" i="9"/>
  <c r="M73" i="9"/>
  <c r="M72" i="9"/>
  <c r="M71" i="9"/>
  <c r="M70" i="9"/>
  <c r="M69" i="9"/>
  <c r="M68"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4" i="9"/>
  <c r="M13" i="9"/>
  <c r="M12" i="9"/>
  <c r="M11" i="9"/>
  <c r="M10" i="9"/>
  <c r="M9" i="9"/>
  <c r="M8" i="9"/>
  <c r="M7" i="9"/>
  <c r="M6" i="9"/>
  <c r="M5" i="9"/>
  <c r="M4" i="9"/>
  <c r="M3" i="9"/>
  <c r="M2" i="9"/>
  <c r="L24" i="8"/>
  <c r="L23" i="8"/>
  <c r="L22" i="8"/>
  <c r="L21" i="8"/>
  <c r="L20" i="8"/>
  <c r="L19" i="8"/>
  <c r="L18" i="8"/>
  <c r="L17" i="8"/>
  <c r="L16" i="8"/>
  <c r="L15" i="8"/>
  <c r="D15" i="8"/>
  <c r="L14" i="8"/>
  <c r="L13" i="8"/>
  <c r="D13" i="8"/>
  <c r="L12" i="8"/>
  <c r="L11" i="8"/>
  <c r="L10" i="8"/>
  <c r="L9" i="8"/>
  <c r="L8" i="8"/>
  <c r="L7" i="8"/>
  <c r="L6" i="8"/>
  <c r="L5" i="8"/>
  <c r="L4" i="8"/>
  <c r="L3" i="8"/>
  <c r="L2" i="8"/>
  <c r="M1617" i="7"/>
  <c r="M1616" i="7"/>
  <c r="M1615" i="7"/>
  <c r="M1614" i="7"/>
  <c r="M1613" i="7"/>
  <c r="M1612" i="7"/>
  <c r="M1611" i="7"/>
  <c r="M1610" i="7"/>
  <c r="M1609" i="7"/>
  <c r="M1608" i="7"/>
  <c r="M1607" i="7"/>
  <c r="M1606" i="7"/>
  <c r="M1605" i="7"/>
  <c r="M1604" i="7"/>
  <c r="M1603" i="7"/>
  <c r="M1602" i="7"/>
  <c r="M1601" i="7"/>
  <c r="M1600" i="7"/>
  <c r="M1599" i="7"/>
  <c r="M1598" i="7"/>
  <c r="M1597" i="7"/>
  <c r="M1596" i="7"/>
  <c r="M1595" i="7"/>
  <c r="M1594" i="7"/>
  <c r="M1593" i="7"/>
  <c r="M1592" i="7"/>
  <c r="M1591" i="7"/>
  <c r="M1590" i="7"/>
  <c r="M1589" i="7"/>
  <c r="M1588" i="7"/>
  <c r="M1587" i="7"/>
  <c r="M1586" i="7"/>
  <c r="M1585" i="7"/>
  <c r="M1584" i="7"/>
  <c r="M1583" i="7"/>
  <c r="M1582" i="7"/>
  <c r="M1581" i="7"/>
  <c r="M1580" i="7"/>
  <c r="M1579" i="7"/>
  <c r="M1578" i="7"/>
  <c r="M1577" i="7"/>
  <c r="M1576" i="7"/>
  <c r="M1575" i="7"/>
  <c r="M1574" i="7"/>
  <c r="M1573" i="7"/>
  <c r="M1572" i="7"/>
  <c r="M1571" i="7"/>
  <c r="M1570" i="7"/>
  <c r="M1569" i="7"/>
  <c r="M1568" i="7"/>
  <c r="M1567" i="7"/>
  <c r="M1566" i="7"/>
  <c r="M1565" i="7"/>
  <c r="M1564" i="7"/>
  <c r="M1563" i="7"/>
  <c r="M1562" i="7"/>
  <c r="M1561" i="7"/>
  <c r="M1560" i="7"/>
  <c r="M1559" i="7"/>
  <c r="M1558" i="7"/>
  <c r="M1557" i="7"/>
  <c r="M1556" i="7"/>
  <c r="M1555" i="7"/>
  <c r="M1554" i="7"/>
  <c r="M1553" i="7"/>
  <c r="M1552" i="7"/>
  <c r="M1551" i="7"/>
  <c r="M1550" i="7"/>
  <c r="M1549" i="7"/>
  <c r="M1548" i="7"/>
  <c r="M1547" i="7"/>
  <c r="M1546" i="7"/>
  <c r="M1545" i="7"/>
  <c r="M1544" i="7"/>
  <c r="M1543" i="7"/>
  <c r="M1542" i="7"/>
  <c r="M1541" i="7"/>
  <c r="M1540" i="7"/>
  <c r="M1539" i="7"/>
  <c r="M1538" i="7"/>
  <c r="M1537" i="7"/>
  <c r="M1536" i="7"/>
  <c r="M1535" i="7"/>
  <c r="M1534" i="7"/>
  <c r="M1533" i="7"/>
  <c r="M1532" i="7"/>
  <c r="M1531" i="7"/>
  <c r="M1530" i="7"/>
  <c r="M1529" i="7"/>
  <c r="M1528" i="7"/>
  <c r="M1527" i="7"/>
  <c r="M1526" i="7"/>
  <c r="M1525" i="7"/>
  <c r="M1524" i="7"/>
  <c r="M1523" i="7"/>
  <c r="M1522" i="7"/>
  <c r="M1521" i="7"/>
  <c r="M1520" i="7"/>
  <c r="M1519" i="7"/>
  <c r="M1518" i="7"/>
  <c r="M1517" i="7"/>
  <c r="M1516" i="7"/>
  <c r="M1515" i="7"/>
  <c r="M1514" i="7"/>
  <c r="M1513" i="7"/>
  <c r="M1512" i="7"/>
  <c r="M1511" i="7"/>
  <c r="M1510" i="7"/>
  <c r="M1509" i="7"/>
  <c r="M1508" i="7"/>
  <c r="M1507" i="7"/>
  <c r="M1506" i="7"/>
  <c r="M1505" i="7"/>
  <c r="M1504" i="7"/>
  <c r="M1503" i="7"/>
  <c r="M1502" i="7"/>
  <c r="M1501" i="7"/>
  <c r="M1500" i="7"/>
  <c r="M1499" i="7"/>
  <c r="M1498" i="7"/>
  <c r="M1497" i="7"/>
  <c r="M1496" i="7"/>
  <c r="M1495" i="7"/>
  <c r="M1494" i="7"/>
  <c r="M1493" i="7"/>
  <c r="M1492" i="7"/>
  <c r="M1491" i="7"/>
  <c r="M1490" i="7"/>
  <c r="M1489" i="7"/>
  <c r="M1488" i="7"/>
  <c r="M1487" i="7"/>
  <c r="M1486" i="7"/>
  <c r="M1485" i="7"/>
  <c r="M1484" i="7"/>
  <c r="M1483" i="7"/>
  <c r="M1482" i="7"/>
  <c r="M1481" i="7"/>
  <c r="M1480" i="7"/>
  <c r="M1479" i="7"/>
  <c r="M1478" i="7"/>
  <c r="M1477" i="7"/>
  <c r="M1476" i="7"/>
  <c r="M1475" i="7"/>
  <c r="M1474" i="7"/>
  <c r="M1473" i="7"/>
  <c r="M1472" i="7"/>
  <c r="M1471" i="7"/>
  <c r="M1470" i="7"/>
  <c r="M1469" i="7"/>
  <c r="M1468" i="7"/>
  <c r="M1467" i="7"/>
  <c r="M1466" i="7"/>
  <c r="M1465" i="7"/>
  <c r="M1464" i="7"/>
  <c r="M1463" i="7"/>
  <c r="M1462" i="7"/>
  <c r="M1461" i="7"/>
  <c r="M1460" i="7"/>
  <c r="M1457" i="7"/>
  <c r="M1452" i="7"/>
  <c r="M1451" i="7"/>
  <c r="M1450" i="7"/>
  <c r="M1449" i="7"/>
  <c r="M1448" i="7"/>
  <c r="M1447" i="7"/>
  <c r="M1445" i="7"/>
  <c r="M1444" i="7"/>
  <c r="M1443" i="7"/>
  <c r="M1442" i="7"/>
  <c r="M1440" i="7"/>
  <c r="M1439" i="7"/>
  <c r="M1438" i="7"/>
  <c r="M1436" i="7"/>
  <c r="M1435" i="7"/>
  <c r="M1434" i="7"/>
  <c r="M1433" i="7"/>
  <c r="M1431" i="7"/>
  <c r="M1429" i="7"/>
  <c r="M1428" i="7"/>
  <c r="M1427" i="7"/>
  <c r="M1426" i="7"/>
  <c r="M1425" i="7"/>
  <c r="M1424" i="7"/>
  <c r="M1423" i="7"/>
  <c r="M1422" i="7"/>
  <c r="M1421" i="7"/>
  <c r="M1420" i="7"/>
  <c r="M1419" i="7"/>
  <c r="M1412" i="7"/>
  <c r="M1410" i="7"/>
  <c r="M1409" i="7"/>
  <c r="M1408" i="7"/>
  <c r="M1407" i="7"/>
  <c r="M1406" i="7"/>
  <c r="M1405" i="7"/>
  <c r="M1403" i="7"/>
  <c r="M1402" i="7"/>
  <c r="M1401" i="7"/>
  <c r="M1400" i="7"/>
  <c r="M1399" i="7"/>
  <c r="M1397" i="7"/>
  <c r="M1395" i="7"/>
  <c r="M1394" i="7"/>
  <c r="M1393" i="7"/>
  <c r="M1392" i="7"/>
  <c r="M1391" i="7"/>
  <c r="M1390" i="7"/>
  <c r="M1389" i="7"/>
  <c r="M1388" i="7"/>
  <c r="M1387" i="7"/>
  <c r="M1385" i="7"/>
  <c r="M1384" i="7"/>
  <c r="M1382" i="7"/>
  <c r="M1381" i="7"/>
  <c r="M1380" i="7"/>
  <c r="M1379" i="7"/>
  <c r="M1378" i="7"/>
  <c r="M1377" i="7"/>
  <c r="M1376" i="7"/>
  <c r="M1375" i="7"/>
  <c r="M1374" i="7"/>
  <c r="M1373" i="7"/>
  <c r="M1371" i="7"/>
  <c r="M1370" i="7"/>
  <c r="M1369" i="7"/>
  <c r="M1368" i="7"/>
  <c r="M1365" i="7"/>
  <c r="M1364" i="7"/>
  <c r="M1363" i="7"/>
  <c r="M1362" i="7"/>
  <c r="M1361" i="7"/>
  <c r="M1360" i="7"/>
  <c r="M1358" i="7"/>
  <c r="M1357" i="7"/>
  <c r="M1356" i="7"/>
  <c r="M1355" i="7"/>
  <c r="M1354" i="7"/>
  <c r="M1353" i="7"/>
  <c r="M1351" i="7"/>
  <c r="M1350" i="7"/>
  <c r="M1349" i="7"/>
  <c r="M1348" i="7"/>
  <c r="M1345" i="7"/>
  <c r="M1344" i="7"/>
  <c r="M1343" i="7"/>
  <c r="M1342" i="7"/>
  <c r="M1341" i="7"/>
  <c r="M1340" i="7"/>
  <c r="M1337" i="7"/>
  <c r="M1332" i="7"/>
  <c r="M1331" i="7"/>
  <c r="M1330" i="7"/>
  <c r="M1329" i="7"/>
  <c r="M1328" i="7"/>
  <c r="M1327" i="7"/>
  <c r="M1325" i="7"/>
  <c r="M1324" i="7"/>
  <c r="M1323" i="7"/>
  <c r="M1322" i="7"/>
  <c r="M1320" i="7"/>
  <c r="M1319" i="7"/>
  <c r="M1318" i="7"/>
  <c r="M1316" i="7"/>
  <c r="M1315" i="7"/>
  <c r="M1314" i="7"/>
  <c r="M1313" i="7"/>
  <c r="M1311" i="7"/>
  <c r="M1309" i="7"/>
  <c r="M1308" i="7"/>
  <c r="M1307" i="7"/>
  <c r="M1306" i="7"/>
  <c r="M1305" i="7"/>
  <c r="M1304" i="7"/>
  <c r="M1303" i="7"/>
  <c r="M1302" i="7"/>
  <c r="M1301" i="7"/>
  <c r="M1300" i="7"/>
  <c r="M1299" i="7"/>
  <c r="M1295" i="7"/>
  <c r="M1294" i="7"/>
  <c r="M1293" i="7"/>
  <c r="M1292" i="7"/>
  <c r="M1291" i="7"/>
  <c r="M1290" i="7"/>
  <c r="M1289" i="7"/>
  <c r="M1288" i="7"/>
  <c r="M1287" i="7"/>
  <c r="M1286" i="7"/>
  <c r="M1285" i="7"/>
  <c r="M1284" i="7"/>
  <c r="M1283" i="7"/>
  <c r="M1282" i="7"/>
  <c r="M1281" i="7"/>
  <c r="M1280" i="7"/>
  <c r="M1279" i="7"/>
  <c r="M1278" i="7"/>
  <c r="M1277" i="7"/>
  <c r="M1276" i="7"/>
  <c r="M1275" i="7"/>
  <c r="M1274" i="7"/>
  <c r="M1273" i="7"/>
  <c r="M1272" i="7"/>
  <c r="M1271" i="7"/>
  <c r="M1270" i="7"/>
  <c r="M1269" i="7"/>
  <c r="M1268" i="7"/>
  <c r="M1267" i="7"/>
  <c r="M1266" i="7"/>
  <c r="M1265" i="7"/>
  <c r="M1264" i="7"/>
  <c r="M1263" i="7"/>
  <c r="M1262" i="7"/>
  <c r="M1261" i="7"/>
  <c r="M1260" i="7"/>
  <c r="M1259" i="7"/>
  <c r="M1258" i="7"/>
  <c r="M1257" i="7"/>
  <c r="M1256" i="7"/>
  <c r="M1255" i="7"/>
  <c r="M1254" i="7"/>
  <c r="M1253" i="7"/>
  <c r="M1252" i="7"/>
  <c r="M1251" i="7"/>
  <c r="M1250" i="7"/>
  <c r="M1249" i="7"/>
  <c r="M1248" i="7"/>
  <c r="M1247" i="7"/>
  <c r="M1246" i="7"/>
  <c r="M1245" i="7"/>
  <c r="M1244" i="7"/>
  <c r="M1243" i="7"/>
  <c r="M1242" i="7"/>
  <c r="M1241" i="7"/>
  <c r="M1240" i="7"/>
  <c r="M1239" i="7"/>
  <c r="M1238" i="7"/>
  <c r="M1237" i="7"/>
  <c r="M1236" i="7"/>
  <c r="M1235" i="7"/>
  <c r="M1234" i="7"/>
  <c r="M1233" i="7"/>
  <c r="M1232" i="7"/>
  <c r="M1231" i="7"/>
  <c r="M1230" i="7"/>
  <c r="M1229" i="7"/>
  <c r="M1228" i="7"/>
  <c r="M1227" i="7"/>
  <c r="M1226" i="7"/>
  <c r="M1225" i="7"/>
  <c r="M1224" i="7"/>
  <c r="M1223" i="7"/>
  <c r="M1222" i="7"/>
  <c r="M1221" i="7"/>
  <c r="M1220" i="7"/>
  <c r="M1219" i="7"/>
  <c r="M1217" i="7"/>
  <c r="M1216" i="7"/>
  <c r="M1215" i="7"/>
  <c r="M1213" i="7"/>
  <c r="M1212" i="7"/>
  <c r="M1210" i="7"/>
  <c r="M1204" i="7"/>
  <c r="M1203" i="7"/>
  <c r="M1201" i="7"/>
  <c r="M1200" i="7"/>
  <c r="M1199" i="7"/>
  <c r="M1197" i="7"/>
  <c r="M1192" i="7"/>
  <c r="M1189" i="7"/>
  <c r="M1188" i="7"/>
  <c r="M1186" i="7"/>
  <c r="M1185" i="7"/>
  <c r="M1184" i="7"/>
  <c r="M1182" i="7"/>
  <c r="M1181" i="7"/>
  <c r="M1179" i="7"/>
  <c r="M1177" i="7"/>
  <c r="M1176" i="7"/>
  <c r="M1175" i="7"/>
  <c r="M1174" i="7"/>
  <c r="M1173" i="7"/>
  <c r="M1172" i="7"/>
  <c r="M1171" i="7"/>
  <c r="M1170" i="7"/>
  <c r="M1169" i="7"/>
  <c r="M1168" i="7"/>
  <c r="M1167" i="7"/>
  <c r="M1166" i="7"/>
  <c r="M1165" i="7"/>
  <c r="M1164" i="7"/>
  <c r="M1163" i="7"/>
  <c r="M1162" i="7"/>
  <c r="M1161" i="7"/>
  <c r="M1160" i="7"/>
  <c r="M1159" i="7"/>
  <c r="M1158" i="7"/>
  <c r="M1157" i="7"/>
  <c r="M1156" i="7"/>
  <c r="M1155" i="7"/>
  <c r="M1154" i="7"/>
  <c r="M1153" i="7"/>
  <c r="M1152" i="7"/>
  <c r="M1151" i="7"/>
  <c r="M1150" i="7"/>
  <c r="M1149" i="7"/>
  <c r="M1148" i="7"/>
  <c r="M1147" i="7"/>
  <c r="M1146" i="7"/>
  <c r="M1145" i="7"/>
  <c r="M1144" i="7"/>
  <c r="M1143" i="7"/>
  <c r="M1142" i="7"/>
  <c r="M1141" i="7"/>
  <c r="M1140" i="7"/>
  <c r="M1139" i="7"/>
  <c r="M1138" i="7"/>
  <c r="M1137" i="7"/>
  <c r="M1136" i="7"/>
  <c r="M1135" i="7"/>
  <c r="M1134" i="7"/>
  <c r="M1133" i="7"/>
  <c r="M1132" i="7"/>
  <c r="M1131" i="7"/>
  <c r="M1130" i="7"/>
  <c r="M1129" i="7"/>
  <c r="M1128" i="7"/>
  <c r="M1127" i="7"/>
  <c r="M1126" i="7"/>
  <c r="M1125" i="7"/>
  <c r="M1124" i="7"/>
  <c r="M1123" i="7"/>
  <c r="M1122" i="7"/>
  <c r="M1121" i="7"/>
  <c r="M1120" i="7"/>
  <c r="M1119" i="7"/>
  <c r="M1118" i="7"/>
  <c r="M1117" i="7"/>
  <c r="M1116" i="7"/>
  <c r="M1115" i="7"/>
  <c r="M1114" i="7"/>
  <c r="M1113" i="7"/>
  <c r="M1112" i="7"/>
  <c r="M1111" i="7"/>
  <c r="M1110" i="7"/>
  <c r="M1109" i="7"/>
  <c r="M1108" i="7"/>
  <c r="M1107" i="7"/>
  <c r="M1106" i="7"/>
  <c r="M1105" i="7"/>
  <c r="M1104" i="7"/>
  <c r="M1103" i="7"/>
  <c r="M1102" i="7"/>
  <c r="M1101" i="7"/>
  <c r="M1100" i="7"/>
  <c r="M1099" i="7"/>
  <c r="M1098" i="7"/>
  <c r="M1097" i="7"/>
  <c r="M1096" i="7"/>
  <c r="M1095" i="7"/>
  <c r="M1094" i="7"/>
  <c r="M1093" i="7"/>
  <c r="M1092" i="7"/>
  <c r="M1091" i="7"/>
  <c r="M1090" i="7"/>
  <c r="M1089" i="7"/>
  <c r="M1088" i="7"/>
  <c r="M1087" i="7"/>
  <c r="M1086" i="7"/>
  <c r="M1085" i="7"/>
  <c r="M1084" i="7"/>
  <c r="M1083" i="7"/>
  <c r="M1082" i="7"/>
  <c r="M1081" i="7"/>
  <c r="M1080" i="7"/>
  <c r="M1079" i="7"/>
  <c r="M1078" i="7"/>
  <c r="M1077" i="7"/>
  <c r="M1076" i="7"/>
  <c r="M1075" i="7"/>
  <c r="M1074" i="7"/>
  <c r="M1073" i="7"/>
  <c r="M1072" i="7"/>
  <c r="M1071" i="7"/>
  <c r="M1070" i="7"/>
  <c r="M1069" i="7"/>
  <c r="M1068" i="7"/>
  <c r="M1067" i="7"/>
  <c r="M1066" i="7"/>
  <c r="M1065" i="7"/>
  <c r="M1064" i="7"/>
  <c r="M1063" i="7"/>
  <c r="M1062" i="7"/>
  <c r="M1061" i="7"/>
  <c r="M1060" i="7"/>
  <c r="M1059" i="7"/>
  <c r="M1058" i="7"/>
  <c r="M1057" i="7"/>
  <c r="M1056" i="7"/>
  <c r="M1055" i="7"/>
  <c r="M1054" i="7"/>
  <c r="M1053" i="7"/>
  <c r="M1052" i="7"/>
  <c r="M1051" i="7"/>
  <c r="M1050" i="7"/>
  <c r="M1049" i="7"/>
  <c r="M1048" i="7"/>
  <c r="M1047" i="7"/>
  <c r="M1046" i="7"/>
  <c r="M1045" i="7"/>
  <c r="M1044" i="7"/>
  <c r="M1043" i="7"/>
  <c r="M1042" i="7"/>
  <c r="M1041" i="7"/>
  <c r="M1040" i="7"/>
  <c r="M1039" i="7"/>
  <c r="M1038" i="7"/>
  <c r="M1037" i="7"/>
  <c r="M1036" i="7"/>
  <c r="M1035" i="7"/>
  <c r="M1034" i="7"/>
  <c r="M1033" i="7"/>
  <c r="M1032" i="7"/>
  <c r="M1031" i="7"/>
  <c r="M1030" i="7"/>
  <c r="M1029" i="7"/>
  <c r="M1028" i="7"/>
  <c r="M1027" i="7"/>
  <c r="M1026" i="7"/>
  <c r="M1025" i="7"/>
  <c r="M1024" i="7"/>
  <c r="M1023" i="7"/>
  <c r="M1022" i="7"/>
  <c r="M1021" i="7"/>
  <c r="E1021" i="7"/>
  <c r="M1020" i="7"/>
  <c r="M1019" i="7"/>
  <c r="M1018" i="7"/>
  <c r="M1017" i="7"/>
  <c r="E1017" i="7"/>
  <c r="M1016" i="7"/>
  <c r="M1015" i="7"/>
  <c r="M1014" i="7"/>
  <c r="M1013" i="7"/>
  <c r="M1012" i="7"/>
  <c r="M1010" i="7"/>
  <c r="M1008" i="7"/>
  <c r="M1007" i="7"/>
  <c r="M1006" i="7"/>
  <c r="M1005" i="7"/>
  <c r="M1004" i="7"/>
  <c r="M1003" i="7"/>
  <c r="M1002" i="7"/>
  <c r="M1001" i="7"/>
  <c r="M1000" i="7"/>
  <c r="M999" i="7"/>
  <c r="M998" i="7"/>
  <c r="M997" i="7"/>
  <c r="M996" i="7"/>
  <c r="M995" i="7"/>
  <c r="M994" i="7"/>
  <c r="M993" i="7"/>
  <c r="M992" i="7"/>
  <c r="M991" i="7"/>
  <c r="M990" i="7"/>
  <c r="M989" i="7"/>
  <c r="M988" i="7"/>
  <c r="M987" i="7"/>
  <c r="M986" i="7"/>
  <c r="M985" i="7"/>
  <c r="M984" i="7"/>
  <c r="M983" i="7"/>
  <c r="M982" i="7"/>
  <c r="M981" i="7"/>
  <c r="M979" i="7"/>
  <c r="M978" i="7"/>
  <c r="M977" i="7"/>
  <c r="E977" i="7"/>
  <c r="M976" i="7"/>
  <c r="M975" i="7"/>
  <c r="M974" i="7"/>
  <c r="E974" i="7"/>
  <c r="M973" i="7"/>
  <c r="M972" i="7"/>
  <c r="M971" i="7"/>
  <c r="M970" i="7"/>
  <c r="M969" i="7"/>
  <c r="M968" i="7"/>
  <c r="M967" i="7"/>
  <c r="M966" i="7"/>
  <c r="M965" i="7"/>
  <c r="M964" i="7"/>
  <c r="M963" i="7"/>
  <c r="M962" i="7"/>
  <c r="M960" i="7"/>
  <c r="M959" i="7"/>
  <c r="M958" i="7"/>
  <c r="M957" i="7"/>
  <c r="M956" i="7"/>
  <c r="M955" i="7"/>
  <c r="M954" i="7"/>
  <c r="M953" i="7"/>
  <c r="M952" i="7"/>
  <c r="M951" i="7"/>
  <c r="M950" i="7"/>
  <c r="M949" i="7"/>
  <c r="M948" i="7"/>
  <c r="M947" i="7"/>
  <c r="M946" i="7"/>
  <c r="M945" i="7"/>
  <c r="M944" i="7"/>
  <c r="M943" i="7"/>
  <c r="M942" i="7"/>
  <c r="M941" i="7"/>
  <c r="M940" i="7"/>
  <c r="M939" i="7"/>
  <c r="M938" i="7"/>
  <c r="M937" i="7"/>
  <c r="M936" i="7"/>
  <c r="M935" i="7"/>
  <c r="M934" i="7"/>
  <c r="M933" i="7"/>
  <c r="M932" i="7"/>
  <c r="M931" i="7"/>
  <c r="M930" i="7"/>
  <c r="M929" i="7"/>
  <c r="M928" i="7"/>
  <c r="E928" i="7"/>
  <c r="M927" i="7"/>
  <c r="M926" i="7"/>
  <c r="M925" i="7"/>
  <c r="M924" i="7"/>
  <c r="M923" i="7"/>
  <c r="E923" i="7"/>
  <c r="M922" i="7"/>
  <c r="M921" i="7"/>
  <c r="M920" i="7"/>
  <c r="M919" i="7"/>
  <c r="E919" i="7"/>
  <c r="M918" i="7"/>
  <c r="M917" i="7"/>
  <c r="M916" i="7"/>
  <c r="M915" i="7"/>
  <c r="M914" i="7"/>
  <c r="M913" i="7"/>
  <c r="M912" i="7"/>
  <c r="M911" i="7"/>
  <c r="M910" i="7"/>
  <c r="M909" i="7"/>
  <c r="M908" i="7"/>
  <c r="M907" i="7"/>
  <c r="M906" i="7"/>
  <c r="M905" i="7"/>
  <c r="M904" i="7"/>
  <c r="M903" i="7"/>
  <c r="L902" i="7"/>
  <c r="K902" i="7"/>
  <c r="J902" i="7"/>
  <c r="I902" i="7"/>
  <c r="H902" i="7"/>
  <c r="M902" i="7" s="1"/>
  <c r="F902" i="7"/>
  <c r="L901" i="7"/>
  <c r="K901" i="7"/>
  <c r="J901" i="7"/>
  <c r="M901" i="7" s="1"/>
  <c r="I901" i="7"/>
  <c r="H901" i="7"/>
  <c r="F901" i="7"/>
  <c r="M900" i="7"/>
  <c r="L900" i="7"/>
  <c r="K900" i="7"/>
  <c r="J900" i="7"/>
  <c r="I900" i="7"/>
  <c r="H900" i="7"/>
  <c r="F900" i="7"/>
  <c r="L899" i="7"/>
  <c r="K899" i="7"/>
  <c r="J899" i="7"/>
  <c r="I899" i="7"/>
  <c r="H899" i="7"/>
  <c r="M899" i="7" s="1"/>
  <c r="F899" i="7"/>
  <c r="L898" i="7"/>
  <c r="K898" i="7"/>
  <c r="M898" i="7" s="1"/>
  <c r="J898" i="7"/>
  <c r="I898" i="7"/>
  <c r="H898" i="7"/>
  <c r="F898" i="7"/>
  <c r="L897" i="7"/>
  <c r="K897" i="7"/>
  <c r="J897" i="7"/>
  <c r="I897" i="7"/>
  <c r="M897" i="7" s="1"/>
  <c r="H897" i="7"/>
  <c r="F897" i="7"/>
  <c r="M896" i="7"/>
  <c r="M895" i="7"/>
  <c r="M894" i="7"/>
  <c r="M893" i="7"/>
  <c r="M892" i="7"/>
  <c r="M891" i="7"/>
  <c r="M890" i="7"/>
  <c r="M886" i="7"/>
  <c r="M885" i="7"/>
  <c r="M884" i="7"/>
  <c r="M883" i="7"/>
  <c r="M882" i="7"/>
  <c r="M881" i="7"/>
  <c r="M877" i="7"/>
  <c r="M876" i="7"/>
  <c r="M874" i="7"/>
  <c r="M873" i="7"/>
  <c r="M872" i="7"/>
  <c r="M871" i="7"/>
  <c r="M867" i="7"/>
  <c r="M865" i="7"/>
  <c r="M864" i="7"/>
  <c r="M863" i="7"/>
  <c r="M862" i="7"/>
  <c r="M861" i="7"/>
  <c r="E859" i="7"/>
  <c r="E858" i="7"/>
  <c r="E857" i="7"/>
  <c r="M856" i="7"/>
  <c r="E856" i="7"/>
  <c r="M855" i="7"/>
  <c r="E855" i="7"/>
  <c r="M854" i="7"/>
  <c r="E854" i="7"/>
  <c r="M853" i="7"/>
  <c r="E853" i="7"/>
  <c r="M852" i="7"/>
  <c r="E852" i="7"/>
  <c r="M851" i="7"/>
  <c r="E851" i="7"/>
  <c r="E850" i="7"/>
  <c r="E849" i="7"/>
  <c r="E848" i="7"/>
  <c r="M847" i="7"/>
  <c r="E847" i="7"/>
  <c r="M846" i="7"/>
  <c r="E846" i="7"/>
  <c r="E845" i="7"/>
  <c r="M844" i="7"/>
  <c r="E844" i="7"/>
  <c r="M843" i="7"/>
  <c r="E843" i="7"/>
  <c r="M842" i="7"/>
  <c r="E842" i="7"/>
  <c r="M841" i="7"/>
  <c r="E841" i="7"/>
  <c r="E840" i="7"/>
  <c r="E839" i="7"/>
  <c r="E838" i="7"/>
  <c r="M837" i="7"/>
  <c r="E837" i="7"/>
  <c r="E836" i="7"/>
  <c r="M835" i="7"/>
  <c r="E835" i="7"/>
  <c r="M834" i="7"/>
  <c r="E834" i="7"/>
  <c r="M833" i="7"/>
  <c r="E833" i="7"/>
  <c r="M832" i="7"/>
  <c r="E832" i="7"/>
  <c r="M831" i="7"/>
  <c r="E831" i="7"/>
  <c r="E830" i="7"/>
  <c r="M826" i="7"/>
  <c r="M825" i="7"/>
  <c r="M824" i="7"/>
  <c r="M823" i="7"/>
  <c r="M822" i="7"/>
  <c r="M821" i="7"/>
  <c r="M817" i="7"/>
  <c r="M816" i="7"/>
  <c r="M814" i="7"/>
  <c r="M813" i="7"/>
  <c r="M812" i="7"/>
  <c r="M811" i="7"/>
  <c r="M807" i="7"/>
  <c r="M805" i="7"/>
  <c r="M804" i="7"/>
  <c r="M803" i="7"/>
  <c r="M802" i="7"/>
  <c r="M801" i="7"/>
  <c r="M799" i="7"/>
  <c r="E799" i="7"/>
  <c r="M798" i="7"/>
  <c r="E798" i="7"/>
  <c r="M797" i="7"/>
  <c r="E797" i="7"/>
  <c r="M796" i="7"/>
  <c r="E796" i="7"/>
  <c r="M795" i="7"/>
  <c r="E795" i="7"/>
  <c r="M794" i="7"/>
  <c r="E794" i="7"/>
  <c r="E793" i="7"/>
  <c r="M792" i="7"/>
  <c r="E792" i="7"/>
  <c r="M791" i="7"/>
  <c r="E791" i="7"/>
  <c r="M790" i="7"/>
  <c r="E790" i="7"/>
  <c r="M789" i="7"/>
  <c r="E789" i="7"/>
  <c r="E788" i="7"/>
  <c r="M787" i="7"/>
  <c r="E787" i="7"/>
  <c r="M786" i="7"/>
  <c r="E786" i="7"/>
  <c r="M785" i="7"/>
  <c r="E785" i="7"/>
  <c r="M784" i="7"/>
  <c r="E784" i="7"/>
  <c r="M783" i="7"/>
  <c r="E783" i="7"/>
  <c r="M782" i="7"/>
  <c r="E782" i="7"/>
  <c r="M781" i="7"/>
  <c r="E781" i="7"/>
  <c r="M780" i="7"/>
  <c r="E780" i="7"/>
  <c r="M779" i="7"/>
  <c r="E779" i="7"/>
  <c r="M778" i="7"/>
  <c r="E778" i="7"/>
  <c r="M777" i="7"/>
  <c r="E777" i="7"/>
  <c r="M776" i="7"/>
  <c r="E776" i="7"/>
  <c r="M775" i="7"/>
  <c r="E775" i="7"/>
  <c r="E774" i="7"/>
  <c r="M773" i="7"/>
  <c r="E773" i="7"/>
  <c r="M772" i="7"/>
  <c r="E772" i="7"/>
  <c r="M771" i="7"/>
  <c r="E771" i="7"/>
  <c r="M770" i="7"/>
  <c r="E770" i="7"/>
  <c r="M769" i="7"/>
  <c r="M768" i="7"/>
  <c r="M767" i="7"/>
  <c r="M766" i="7"/>
  <c r="M765" i="7"/>
  <c r="M764" i="7"/>
  <c r="M762" i="7"/>
  <c r="M761" i="7"/>
  <c r="M760" i="7"/>
  <c r="M759" i="7"/>
  <c r="M757" i="7"/>
  <c r="M756" i="7"/>
  <c r="M755" i="7"/>
  <c r="M754" i="7"/>
  <c r="M753" i="7"/>
  <c r="M752" i="7"/>
  <c r="M751" i="7"/>
  <c r="M750" i="7"/>
  <c r="M749" i="7"/>
  <c r="M748" i="7"/>
  <c r="M747" i="7"/>
  <c r="M746" i="7"/>
  <c r="M745" i="7"/>
  <c r="M743" i="7"/>
  <c r="M742" i="7"/>
  <c r="M741" i="7"/>
  <c r="M740" i="7"/>
  <c r="M739" i="7"/>
  <c r="E739" i="7"/>
  <c r="M738" i="7"/>
  <c r="E738" i="7"/>
  <c r="M737" i="7"/>
  <c r="E737" i="7"/>
  <c r="M736" i="7"/>
  <c r="E736" i="7"/>
  <c r="M735" i="7"/>
  <c r="E735" i="7"/>
  <c r="M734" i="7"/>
  <c r="E734" i="7"/>
  <c r="M733" i="7"/>
  <c r="E733" i="7"/>
  <c r="M732" i="7"/>
  <c r="E732" i="7"/>
  <c r="M731" i="7"/>
  <c r="E731" i="7"/>
  <c r="M730" i="7"/>
  <c r="E730" i="7"/>
  <c r="M729" i="7"/>
  <c r="E729" i="7"/>
  <c r="M728" i="7"/>
  <c r="E728" i="7"/>
  <c r="M727" i="7"/>
  <c r="E727" i="7"/>
  <c r="M726" i="7"/>
  <c r="E726" i="7"/>
  <c r="M725" i="7"/>
  <c r="E725" i="7"/>
  <c r="M724" i="7"/>
  <c r="E724" i="7"/>
  <c r="M723" i="7"/>
  <c r="E723" i="7"/>
  <c r="M722" i="7"/>
  <c r="E722" i="7"/>
  <c r="M721" i="7"/>
  <c r="E721" i="7"/>
  <c r="M720" i="7"/>
  <c r="E720" i="7"/>
  <c r="M719" i="7"/>
  <c r="E719" i="7"/>
  <c r="M718" i="7"/>
  <c r="E718" i="7"/>
  <c r="M717" i="7"/>
  <c r="E717" i="7"/>
  <c r="M716" i="7"/>
  <c r="E716" i="7"/>
  <c r="M715" i="7"/>
  <c r="E715" i="7"/>
  <c r="M714" i="7"/>
  <c r="E714" i="7"/>
  <c r="M713" i="7"/>
  <c r="E713" i="7"/>
  <c r="M712" i="7"/>
  <c r="E712" i="7"/>
  <c r="M711" i="7"/>
  <c r="E711" i="7"/>
  <c r="M710" i="7"/>
  <c r="E710" i="7"/>
  <c r="M709" i="7"/>
  <c r="M708" i="7"/>
  <c r="M707" i="7"/>
  <c r="M706" i="7"/>
  <c r="M705" i="7"/>
  <c r="M704" i="7"/>
  <c r="M703" i="7"/>
  <c r="M702" i="7"/>
  <c r="M701" i="7"/>
  <c r="M700" i="7"/>
  <c r="M699" i="7"/>
  <c r="M698" i="7"/>
  <c r="M697" i="7"/>
  <c r="M696" i="7"/>
  <c r="M695" i="7"/>
  <c r="M694" i="7"/>
  <c r="M693" i="7"/>
  <c r="M692" i="7"/>
  <c r="M691" i="7"/>
  <c r="M690" i="7"/>
  <c r="M689" i="7"/>
  <c r="M688" i="7"/>
  <c r="M687" i="7"/>
  <c r="M686" i="7"/>
  <c r="M685" i="7"/>
  <c r="M684" i="7"/>
  <c r="M683" i="7"/>
  <c r="M682" i="7"/>
  <c r="M681" i="7"/>
  <c r="M680" i="7"/>
  <c r="M679" i="7"/>
  <c r="M678" i="7"/>
  <c r="M677" i="7"/>
  <c r="M676" i="7"/>
  <c r="M675" i="7"/>
  <c r="M674" i="7"/>
  <c r="M673" i="7"/>
  <c r="M672" i="7"/>
  <c r="M671" i="7"/>
  <c r="M670" i="7"/>
  <c r="M669" i="7"/>
  <c r="M668" i="7"/>
  <c r="M667" i="7"/>
  <c r="M666" i="7"/>
  <c r="M665" i="7"/>
  <c r="M664" i="7"/>
  <c r="M663" i="7"/>
  <c r="M662" i="7"/>
  <c r="M661" i="7"/>
  <c r="M660" i="7"/>
  <c r="M659" i="7"/>
  <c r="M658" i="7"/>
  <c r="M657" i="7"/>
  <c r="M656" i="7"/>
  <c r="M655" i="7"/>
  <c r="M654" i="7"/>
  <c r="M653" i="7"/>
  <c r="M652" i="7"/>
  <c r="M651" i="7"/>
  <c r="M650" i="7"/>
  <c r="M649" i="7"/>
  <c r="M648" i="7"/>
  <c r="M647" i="7"/>
  <c r="M646" i="7"/>
  <c r="M645" i="7"/>
  <c r="M644" i="7"/>
  <c r="M643" i="7"/>
  <c r="M642" i="7"/>
  <c r="M641" i="7"/>
  <c r="M640" i="7"/>
  <c r="M639" i="7"/>
  <c r="M638" i="7"/>
  <c r="M637" i="7"/>
  <c r="M636" i="7"/>
  <c r="M635" i="7"/>
  <c r="M634" i="7"/>
  <c r="M633" i="7"/>
  <c r="M632" i="7"/>
  <c r="M631" i="7"/>
  <c r="M630" i="7"/>
  <c r="M629" i="7"/>
  <c r="M628" i="7"/>
  <c r="M627" i="7"/>
  <c r="M626" i="7"/>
  <c r="M625" i="7"/>
  <c r="M624" i="7"/>
  <c r="M623" i="7"/>
  <c r="M622" i="7"/>
  <c r="M621" i="7"/>
  <c r="M620" i="7"/>
  <c r="M619" i="7"/>
  <c r="M618" i="7"/>
  <c r="M617" i="7"/>
  <c r="M616" i="7"/>
  <c r="M615" i="7"/>
  <c r="M614" i="7"/>
  <c r="M613" i="7"/>
  <c r="M612" i="7"/>
  <c r="M611" i="7"/>
  <c r="M610" i="7"/>
  <c r="M609" i="7"/>
  <c r="M608" i="7"/>
  <c r="M607" i="7"/>
  <c r="M606" i="7"/>
  <c r="M605" i="7"/>
  <c r="M604" i="7"/>
  <c r="M603" i="7"/>
  <c r="M602" i="7"/>
  <c r="M601" i="7"/>
  <c r="M600" i="7"/>
  <c r="M599" i="7"/>
  <c r="M598" i="7"/>
  <c r="M597" i="7"/>
  <c r="M596" i="7"/>
  <c r="M595" i="7"/>
  <c r="M594" i="7"/>
  <c r="M593" i="7"/>
  <c r="M592" i="7"/>
  <c r="M591" i="7"/>
  <c r="M590" i="7"/>
  <c r="M589" i="7"/>
  <c r="M588" i="7"/>
  <c r="M587" i="7"/>
  <c r="M586" i="7"/>
  <c r="M585" i="7"/>
  <c r="M584" i="7"/>
  <c r="M583" i="7"/>
  <c r="M582" i="7"/>
  <c r="M581" i="7"/>
  <c r="M580" i="7"/>
  <c r="M579" i="7"/>
  <c r="M578" i="7"/>
  <c r="M577" i="7"/>
  <c r="M576" i="7"/>
  <c r="M575" i="7"/>
  <c r="M574" i="7"/>
  <c r="M573" i="7"/>
  <c r="M572" i="7"/>
  <c r="M571" i="7"/>
  <c r="M570" i="7"/>
  <c r="M569" i="7"/>
  <c r="M568" i="7"/>
  <c r="M567" i="7"/>
  <c r="M566" i="7"/>
  <c r="M565" i="7"/>
  <c r="M564" i="7"/>
  <c r="M563" i="7"/>
  <c r="M562" i="7"/>
  <c r="M561" i="7"/>
  <c r="M560" i="7"/>
  <c r="M559" i="7"/>
  <c r="M558" i="7"/>
  <c r="M557" i="7"/>
  <c r="M556" i="7"/>
  <c r="M555" i="7"/>
  <c r="M554" i="7"/>
  <c r="M553" i="7"/>
  <c r="M552" i="7"/>
  <c r="M551" i="7"/>
  <c r="M550" i="7"/>
  <c r="M549" i="7"/>
  <c r="M548" i="7"/>
  <c r="M547" i="7"/>
  <c r="M546" i="7"/>
  <c r="M545" i="7"/>
  <c r="M544" i="7"/>
  <c r="M543" i="7"/>
  <c r="M542" i="7"/>
  <c r="M541" i="7"/>
  <c r="M540" i="7"/>
  <c r="M539" i="7"/>
  <c r="M538" i="7"/>
  <c r="M537" i="7"/>
  <c r="M536" i="7"/>
  <c r="M535" i="7"/>
  <c r="M534" i="7"/>
  <c r="M533" i="7"/>
  <c r="M532" i="7"/>
  <c r="M531" i="7"/>
  <c r="M530" i="7"/>
  <c r="M529" i="7"/>
  <c r="M528" i="7"/>
  <c r="M527" i="7"/>
  <c r="M526" i="7"/>
  <c r="M525" i="7"/>
  <c r="M524" i="7"/>
  <c r="M523" i="7"/>
  <c r="M522" i="7"/>
  <c r="M521" i="7"/>
  <c r="M520" i="7"/>
  <c r="M519" i="7"/>
  <c r="M518" i="7"/>
  <c r="M517" i="7"/>
  <c r="M516" i="7"/>
  <c r="M515" i="7"/>
  <c r="M514" i="7"/>
  <c r="M513" i="7"/>
  <c r="M512" i="7"/>
  <c r="M511" i="7"/>
  <c r="M510" i="7"/>
  <c r="M509" i="7"/>
  <c r="M508" i="7"/>
  <c r="M507" i="7"/>
  <c r="M506" i="7"/>
  <c r="M505" i="7"/>
  <c r="M504" i="7"/>
  <c r="M503" i="7"/>
  <c r="M502" i="7"/>
  <c r="M501" i="7"/>
  <c r="M500" i="7"/>
  <c r="M499" i="7"/>
  <c r="M498" i="7"/>
  <c r="M497" i="7"/>
  <c r="M496" i="7"/>
  <c r="M495" i="7"/>
  <c r="M494" i="7"/>
  <c r="M493" i="7"/>
  <c r="M492" i="7"/>
  <c r="M491" i="7"/>
  <c r="M490" i="7"/>
  <c r="M489" i="7"/>
  <c r="M488" i="7"/>
  <c r="M487" i="7"/>
  <c r="M486" i="7"/>
  <c r="M485" i="7"/>
  <c r="M484" i="7"/>
  <c r="M483" i="7"/>
  <c r="M482" i="7"/>
  <c r="M481" i="7"/>
  <c r="M480" i="7"/>
  <c r="M479" i="7"/>
  <c r="M478" i="7"/>
  <c r="M477" i="7"/>
  <c r="M476" i="7"/>
  <c r="M475" i="7"/>
  <c r="M474" i="7"/>
  <c r="M473" i="7"/>
  <c r="M472" i="7"/>
  <c r="M471" i="7"/>
  <c r="M470" i="7"/>
  <c r="M469" i="7"/>
  <c r="M468" i="7"/>
  <c r="M467" i="7"/>
  <c r="M466" i="7"/>
  <c r="M465" i="7"/>
  <c r="M464" i="7"/>
  <c r="M463" i="7"/>
  <c r="M462" i="7"/>
  <c r="M461" i="7"/>
  <c r="M460" i="7"/>
  <c r="M459" i="7"/>
  <c r="M458" i="7"/>
  <c r="M457" i="7"/>
  <c r="M456" i="7"/>
  <c r="M455" i="7"/>
  <c r="M454" i="7"/>
  <c r="M453" i="7"/>
  <c r="M452" i="7"/>
  <c r="M451" i="7"/>
  <c r="M450" i="7"/>
  <c r="M449" i="7"/>
  <c r="M448" i="7"/>
  <c r="M447" i="7"/>
  <c r="M446" i="7"/>
  <c r="M445" i="7"/>
  <c r="M444" i="7"/>
  <c r="M443" i="7"/>
  <c r="M442" i="7"/>
  <c r="M441" i="7"/>
  <c r="M440" i="7"/>
  <c r="M439" i="7"/>
  <c r="M438" i="7"/>
  <c r="M437" i="7"/>
  <c r="M436" i="7"/>
  <c r="M435" i="7"/>
  <c r="M434" i="7"/>
  <c r="M433" i="7"/>
  <c r="M432" i="7"/>
  <c r="M431" i="7"/>
  <c r="M430" i="7"/>
  <c r="M429" i="7"/>
  <c r="M428" i="7"/>
  <c r="M427" i="7"/>
  <c r="M426" i="7"/>
  <c r="M425" i="7"/>
  <c r="M424" i="7"/>
  <c r="M423" i="7"/>
  <c r="M422" i="7"/>
  <c r="M421" i="7"/>
  <c r="M420" i="7"/>
  <c r="M419" i="7"/>
  <c r="M418" i="7"/>
  <c r="M417" i="7"/>
  <c r="M416" i="7"/>
  <c r="M415" i="7"/>
  <c r="M414" i="7"/>
  <c r="M413" i="7"/>
  <c r="M412" i="7"/>
  <c r="M411" i="7"/>
  <c r="M410" i="7"/>
  <c r="M409" i="7"/>
  <c r="M408" i="7"/>
  <c r="M407" i="7"/>
  <c r="M406" i="7"/>
  <c r="M405" i="7"/>
  <c r="M404" i="7"/>
  <c r="M403" i="7"/>
  <c r="M402" i="7"/>
  <c r="M401" i="7"/>
  <c r="M400" i="7"/>
  <c r="M399" i="7"/>
  <c r="M398" i="7"/>
  <c r="M397" i="7"/>
  <c r="M396" i="7"/>
  <c r="M395" i="7"/>
  <c r="M394" i="7"/>
  <c r="M393" i="7"/>
  <c r="M392" i="7"/>
  <c r="M391" i="7"/>
  <c r="M390" i="7"/>
  <c r="M389" i="7"/>
  <c r="M388" i="7"/>
  <c r="M387" i="7"/>
  <c r="M386" i="7"/>
  <c r="M385" i="7"/>
  <c r="M384" i="7"/>
  <c r="M383" i="7"/>
  <c r="M382" i="7"/>
  <c r="M381" i="7"/>
  <c r="M380" i="7"/>
  <c r="M379" i="7"/>
  <c r="M378" i="7"/>
  <c r="M377" i="7"/>
  <c r="M376" i="7"/>
  <c r="M375" i="7"/>
  <c r="M374" i="7"/>
  <c r="M373" i="7"/>
  <c r="M372" i="7"/>
  <c r="M371" i="7"/>
  <c r="M370" i="7"/>
  <c r="M369" i="7"/>
  <c r="M368" i="7"/>
  <c r="M367" i="7"/>
  <c r="M366" i="7"/>
  <c r="M365" i="7"/>
  <c r="M364" i="7"/>
  <c r="M363" i="7"/>
  <c r="M362" i="7"/>
  <c r="M361" i="7"/>
  <c r="M360" i="7"/>
  <c r="M359" i="7"/>
  <c r="M358" i="7"/>
  <c r="M357" i="7"/>
  <c r="M356" i="7"/>
  <c r="M355" i="7"/>
  <c r="M354" i="7"/>
  <c r="M353" i="7"/>
  <c r="M352" i="7"/>
  <c r="M351" i="7"/>
  <c r="M350" i="7"/>
  <c r="M349" i="7"/>
  <c r="M348" i="7"/>
  <c r="M347" i="7"/>
  <c r="M346" i="7"/>
  <c r="M345" i="7"/>
  <c r="M344" i="7"/>
  <c r="M343"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02" i="7"/>
  <c r="M301" i="7"/>
  <c r="M300" i="7"/>
  <c r="M299" i="7"/>
  <c r="M298" i="7"/>
  <c r="M297" i="7"/>
  <c r="M296" i="7"/>
  <c r="M295" i="7"/>
  <c r="M294" i="7"/>
  <c r="M293" i="7"/>
  <c r="M292" i="7"/>
  <c r="M291" i="7"/>
  <c r="M290" i="7"/>
  <c r="M289" i="7"/>
  <c r="M288" i="7"/>
  <c r="M287" i="7"/>
  <c r="M286" i="7"/>
  <c r="M285" i="7"/>
  <c r="M284" i="7"/>
  <c r="M283" i="7"/>
  <c r="M282" i="7"/>
  <c r="M281" i="7"/>
  <c r="M280" i="7"/>
  <c r="M279" i="7"/>
  <c r="M278" i="7"/>
  <c r="M277" i="7"/>
  <c r="M276" i="7"/>
  <c r="M275" i="7"/>
  <c r="M274" i="7"/>
  <c r="M273" i="7"/>
  <c r="M272" i="7"/>
  <c r="M271" i="7"/>
  <c r="M270" i="7"/>
  <c r="M269" i="7"/>
  <c r="M268" i="7"/>
  <c r="M267" i="7"/>
  <c r="M266" i="7"/>
  <c r="M265" i="7"/>
  <c r="M264" i="7"/>
  <c r="M263" i="7"/>
  <c r="M262" i="7"/>
  <c r="M261" i="7"/>
  <c r="M260" i="7"/>
  <c r="M259" i="7"/>
  <c r="M258" i="7"/>
  <c r="M257" i="7"/>
  <c r="M256" i="7"/>
  <c r="M255" i="7"/>
  <c r="M254" i="7"/>
  <c r="M253" i="7"/>
  <c r="M252" i="7"/>
  <c r="M251" i="7"/>
  <c r="M250" i="7"/>
  <c r="M249" i="7"/>
  <c r="M248" i="7"/>
  <c r="M247" i="7"/>
  <c r="M246" i="7"/>
  <c r="M245" i="7"/>
  <c r="M244" i="7"/>
  <c r="M243" i="7"/>
  <c r="M242" i="7"/>
  <c r="M241" i="7"/>
  <c r="M240" i="7"/>
  <c r="M239" i="7"/>
  <c r="M238" i="7"/>
  <c r="M237" i="7"/>
  <c r="M236" i="7"/>
  <c r="M235" i="7"/>
  <c r="M234" i="7"/>
  <c r="M233" i="7"/>
  <c r="M232" i="7"/>
  <c r="M231" i="7"/>
  <c r="M230" i="7"/>
  <c r="M229" i="7"/>
  <c r="M228"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M199" i="7"/>
  <c r="M198" i="7"/>
  <c r="M197" i="7"/>
  <c r="M196"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M161" i="7"/>
  <c r="M160" i="7"/>
  <c r="M159" i="7"/>
  <c r="M158" i="7"/>
  <c r="M157" i="7"/>
  <c r="M156" i="7"/>
  <c r="M155" i="7"/>
  <c r="M154" i="7"/>
  <c r="M153" i="7"/>
  <c r="M152" i="7"/>
  <c r="M151" i="7"/>
  <c r="M150" i="7"/>
  <c r="M149" i="7"/>
  <c r="M148" i="7"/>
  <c r="M147" i="7"/>
  <c r="M146" i="7"/>
  <c r="M145" i="7"/>
  <c r="M144" i="7"/>
  <c r="M143" i="7"/>
  <c r="M142" i="7"/>
  <c r="M141" i="7"/>
  <c r="M140" i="7"/>
  <c r="M139" i="7"/>
  <c r="M138" i="7"/>
  <c r="M137" i="7"/>
  <c r="M136" i="7"/>
  <c r="M135" i="7"/>
  <c r="M134" i="7"/>
  <c r="M133" i="7"/>
  <c r="M132" i="7"/>
  <c r="M131" i="7"/>
  <c r="M130" i="7"/>
  <c r="M129" i="7"/>
  <c r="M128" i="7"/>
  <c r="M127" i="7"/>
  <c r="M126" i="7"/>
  <c r="M125" i="7"/>
  <c r="M124" i="7"/>
  <c r="M123" i="7"/>
  <c r="M122" i="7"/>
  <c r="M121" i="7"/>
  <c r="M120" i="7"/>
  <c r="M119" i="7"/>
  <c r="M118" i="7"/>
  <c r="M117" i="7"/>
  <c r="M116" i="7"/>
  <c r="M115" i="7"/>
  <c r="M114" i="7"/>
  <c r="M113" i="7"/>
  <c r="M112" i="7"/>
  <c r="M111" i="7"/>
  <c r="M110" i="7"/>
  <c r="M109" i="7"/>
  <c r="M108"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 i="7"/>
  <c r="M2587" i="6"/>
  <c r="M2586" i="6"/>
  <c r="M2584" i="6"/>
  <c r="M2583" i="6"/>
  <c r="M2582" i="6"/>
  <c r="M2580" i="6"/>
  <c r="M2579" i="6"/>
  <c r="M2578" i="6"/>
  <c r="M2577" i="6"/>
  <c r="M2576" i="6"/>
  <c r="M2575" i="6"/>
  <c r="M2573" i="6"/>
  <c r="M2572" i="6"/>
  <c r="M2571" i="6"/>
  <c r="M2570" i="6"/>
  <c r="M2568" i="6"/>
  <c r="M2567" i="6"/>
  <c r="M2566" i="6"/>
  <c r="M2565" i="6"/>
  <c r="M2564" i="6"/>
  <c r="M2563" i="6"/>
  <c r="M2561" i="6"/>
  <c r="M2560" i="6"/>
  <c r="M2559" i="6"/>
  <c r="M2558" i="6"/>
  <c r="M2556" i="6"/>
  <c r="M2554" i="6"/>
  <c r="M2553" i="6"/>
  <c r="M2552" i="6"/>
  <c r="M2550" i="6"/>
  <c r="M2549" i="6"/>
  <c r="M2548" i="6"/>
  <c r="M2547" i="6"/>
  <c r="M2546" i="6"/>
  <c r="M2545" i="6"/>
  <c r="M2543" i="6"/>
  <c r="M2542" i="6"/>
  <c r="M2541" i="6"/>
  <c r="M2540" i="6"/>
  <c r="M2538" i="6"/>
  <c r="M2537" i="6"/>
  <c r="M2536" i="6"/>
  <c r="M2535" i="6"/>
  <c r="M2534" i="6"/>
  <c r="M2533" i="6"/>
  <c r="M2531" i="6"/>
  <c r="M2530" i="6"/>
  <c r="M2529" i="6"/>
  <c r="M2528" i="6"/>
  <c r="M2526" i="6"/>
  <c r="M2525" i="6"/>
  <c r="M2524" i="6"/>
  <c r="M2523" i="6"/>
  <c r="M2522" i="6"/>
  <c r="M2521" i="6"/>
  <c r="M2520" i="6"/>
  <c r="M2519" i="6"/>
  <c r="M2518" i="6"/>
  <c r="M2517" i="6"/>
  <c r="M2516" i="6"/>
  <c r="M2515" i="6"/>
  <c r="M2514" i="6"/>
  <c r="M2513" i="6"/>
  <c r="M2512" i="6"/>
  <c r="M2511" i="6"/>
  <c r="M2510" i="6"/>
  <c r="M2509" i="6"/>
  <c r="M2508" i="6"/>
  <c r="M2507" i="6"/>
  <c r="M2506" i="6"/>
  <c r="M2505" i="6"/>
  <c r="M2504" i="6"/>
  <c r="M2503" i="6"/>
  <c r="M2502" i="6"/>
  <c r="M2501" i="6"/>
  <c r="M2500" i="6"/>
  <c r="M2499" i="6"/>
  <c r="M2498" i="6"/>
  <c r="M2497" i="6"/>
  <c r="M2496" i="6"/>
  <c r="M2495" i="6"/>
  <c r="M2494" i="6"/>
  <c r="M2493" i="6"/>
  <c r="M2492" i="6"/>
  <c r="M2491" i="6"/>
  <c r="M2490" i="6"/>
  <c r="M2489" i="6"/>
  <c r="M2488" i="6"/>
  <c r="M2487" i="6"/>
  <c r="M2486" i="6"/>
  <c r="M2485" i="6"/>
  <c r="M2484" i="6"/>
  <c r="M2483" i="6"/>
  <c r="M2482" i="6"/>
  <c r="M2481" i="6"/>
  <c r="M2480" i="6"/>
  <c r="M2479" i="6"/>
  <c r="M2478" i="6"/>
  <c r="M2477" i="6"/>
  <c r="M2476" i="6"/>
  <c r="M2475" i="6"/>
  <c r="M2474" i="6"/>
  <c r="M2473" i="6"/>
  <c r="M2472" i="6"/>
  <c r="M2471" i="6"/>
  <c r="M2470" i="6"/>
  <c r="M2469" i="6"/>
  <c r="M2468" i="6"/>
  <c r="M2467" i="6"/>
  <c r="M2466" i="6"/>
  <c r="M2465" i="6"/>
  <c r="M2464" i="6"/>
  <c r="M2463" i="6"/>
  <c r="M2462" i="6"/>
  <c r="M2461" i="6"/>
  <c r="M2460" i="6"/>
  <c r="M2459" i="6"/>
  <c r="M2458" i="6"/>
  <c r="M2457" i="6"/>
  <c r="M2456" i="6"/>
  <c r="M2455" i="6"/>
  <c r="M2454" i="6"/>
  <c r="M2453" i="6"/>
  <c r="M2452" i="6"/>
  <c r="M2451" i="6"/>
  <c r="M2450" i="6"/>
  <c r="M2449" i="6"/>
  <c r="M2448" i="6"/>
  <c r="M2447" i="6"/>
  <c r="M2446" i="6"/>
  <c r="M2445" i="6"/>
  <c r="M2444" i="6"/>
  <c r="M2443" i="6"/>
  <c r="M2442" i="6"/>
  <c r="M2441" i="6"/>
  <c r="M2440" i="6"/>
  <c r="M2439" i="6"/>
  <c r="M2438" i="6"/>
  <c r="M2437" i="6"/>
  <c r="M2436" i="6"/>
  <c r="M2435" i="6"/>
  <c r="M2434" i="6"/>
  <c r="M2433" i="6"/>
  <c r="M2432" i="6"/>
  <c r="M2431" i="6"/>
  <c r="M2430" i="6"/>
  <c r="M2429" i="6"/>
  <c r="M2428" i="6"/>
  <c r="M2427" i="6"/>
  <c r="M2426" i="6"/>
  <c r="M2425" i="6"/>
  <c r="M2424" i="6"/>
  <c r="M2423" i="6"/>
  <c r="M2422" i="6"/>
  <c r="M2421" i="6"/>
  <c r="M2420" i="6"/>
  <c r="M2419" i="6"/>
  <c r="M2418" i="6"/>
  <c r="M2417" i="6"/>
  <c r="M2416" i="6"/>
  <c r="M2415" i="6"/>
  <c r="M2414" i="6"/>
  <c r="M2413" i="6"/>
  <c r="M2412" i="6"/>
  <c r="M2411" i="6"/>
  <c r="M2410" i="6"/>
  <c r="M2409" i="6"/>
  <c r="M2408" i="6"/>
  <c r="M2407" i="6"/>
  <c r="M2406" i="6"/>
  <c r="M2405" i="6"/>
  <c r="M2404" i="6"/>
  <c r="M2403" i="6"/>
  <c r="M2402" i="6"/>
  <c r="M2401" i="6"/>
  <c r="M2400" i="6"/>
  <c r="M2399" i="6"/>
  <c r="M2398" i="6"/>
  <c r="M2397" i="6"/>
  <c r="M2396" i="6"/>
  <c r="M2395" i="6"/>
  <c r="M2394" i="6"/>
  <c r="M2393" i="6"/>
  <c r="M2392" i="6"/>
  <c r="M2391" i="6"/>
  <c r="M2390" i="6"/>
  <c r="M2389" i="6"/>
  <c r="M2388" i="6"/>
  <c r="M2387" i="6"/>
  <c r="M2386" i="6"/>
  <c r="M2385" i="6"/>
  <c r="M2384" i="6"/>
  <c r="M2383" i="6"/>
  <c r="M2382" i="6"/>
  <c r="M2381" i="6"/>
  <c r="M2380" i="6"/>
  <c r="M2379" i="6"/>
  <c r="M2378" i="6"/>
  <c r="M2377" i="6"/>
  <c r="M2376" i="6"/>
  <c r="M2375" i="6"/>
  <c r="M2374" i="6"/>
  <c r="M2373" i="6"/>
  <c r="M2372" i="6"/>
  <c r="M2371" i="6"/>
  <c r="M2370" i="6"/>
  <c r="M2369" i="6"/>
  <c r="M2368" i="6"/>
  <c r="M2367" i="6"/>
  <c r="M2366" i="6"/>
  <c r="M2365" i="6"/>
  <c r="M2364" i="6"/>
  <c r="M2363" i="6"/>
  <c r="M2362" i="6"/>
  <c r="M2361" i="6"/>
  <c r="M2360" i="6"/>
  <c r="M2359" i="6"/>
  <c r="M2358" i="6"/>
  <c r="M2357" i="6"/>
  <c r="M2356" i="6"/>
  <c r="M2355" i="6"/>
  <c r="M2354" i="6"/>
  <c r="M2353" i="6"/>
  <c r="M2352" i="6"/>
  <c r="M2351" i="6"/>
  <c r="M2350" i="6"/>
  <c r="M2349" i="6"/>
  <c r="M2348" i="6"/>
  <c r="M2347" i="6"/>
  <c r="M2346" i="6"/>
  <c r="M2345" i="6"/>
  <c r="M2344" i="6"/>
  <c r="M2343" i="6"/>
  <c r="M2342" i="6"/>
  <c r="M2341" i="6"/>
  <c r="M2340" i="6"/>
  <c r="M2339" i="6"/>
  <c r="M2338" i="6"/>
  <c r="M2337" i="6"/>
  <c r="M2336" i="6"/>
  <c r="M2335" i="6"/>
  <c r="M2334" i="6"/>
  <c r="M2333" i="6"/>
  <c r="M2332" i="6"/>
  <c r="M2331" i="6"/>
  <c r="M2330" i="6"/>
  <c r="M2329" i="6"/>
  <c r="M2328" i="6"/>
  <c r="M2327" i="6"/>
  <c r="M2326" i="6"/>
  <c r="M2325" i="6"/>
  <c r="M2324" i="6"/>
  <c r="M2323" i="6"/>
  <c r="M2322" i="6"/>
  <c r="M2321" i="6"/>
  <c r="M2320" i="6"/>
  <c r="M2319" i="6"/>
  <c r="M2318" i="6"/>
  <c r="M2317" i="6"/>
  <c r="M2316" i="6"/>
  <c r="M2315" i="6"/>
  <c r="M2314" i="6"/>
  <c r="M2313" i="6"/>
  <c r="M2312" i="6"/>
  <c r="M2311" i="6"/>
  <c r="M2310" i="6"/>
  <c r="M2309" i="6"/>
  <c r="M2308" i="6"/>
  <c r="M2307" i="6"/>
  <c r="M2306" i="6"/>
  <c r="M2305" i="6"/>
  <c r="M2304" i="6"/>
  <c r="M2303" i="6"/>
  <c r="M2302" i="6"/>
  <c r="M2301" i="6"/>
  <c r="M2300" i="6"/>
  <c r="M2299" i="6"/>
  <c r="M2298" i="6"/>
  <c r="M2297" i="6"/>
  <c r="M2296" i="6"/>
  <c r="M2295" i="6"/>
  <c r="M2294" i="6"/>
  <c r="M2293" i="6"/>
  <c r="M2292" i="6"/>
  <c r="M2291" i="6"/>
  <c r="M2290" i="6"/>
  <c r="M2289" i="6"/>
  <c r="M2288" i="6"/>
  <c r="M2287" i="6"/>
  <c r="M2286" i="6"/>
  <c r="M2285" i="6"/>
  <c r="M2284" i="6"/>
  <c r="M2283" i="6"/>
  <c r="M2282" i="6"/>
  <c r="M2280" i="6"/>
  <c r="M2279" i="6"/>
  <c r="M2278" i="6"/>
  <c r="M2276" i="6"/>
  <c r="M2275" i="6"/>
  <c r="M2274" i="6"/>
  <c r="M2273" i="6"/>
  <c r="M2272" i="6"/>
  <c r="M2271" i="6"/>
  <c r="M2269" i="6"/>
  <c r="M2268" i="6"/>
  <c r="M2267" i="6"/>
  <c r="M2266" i="6"/>
  <c r="M2264" i="6"/>
  <c r="M2263" i="6"/>
  <c r="M2262" i="6"/>
  <c r="M2261" i="6"/>
  <c r="M2260" i="6"/>
  <c r="M2259" i="6"/>
  <c r="M2257" i="6"/>
  <c r="M2256" i="6"/>
  <c r="M2255" i="6"/>
  <c r="M2254" i="6"/>
  <c r="M2252" i="6"/>
  <c r="M2251" i="6"/>
  <c r="M2250" i="6"/>
  <c r="M2249" i="6"/>
  <c r="M2248" i="6"/>
  <c r="M2247" i="6"/>
  <c r="M2246" i="6"/>
  <c r="M2245" i="6"/>
  <c r="M2244" i="6"/>
  <c r="M2243" i="6"/>
  <c r="M2242" i="6"/>
  <c r="M2241" i="6"/>
  <c r="M2240" i="6"/>
  <c r="M2239" i="6"/>
  <c r="M2238" i="6"/>
  <c r="M2237" i="6"/>
  <c r="M2236" i="6"/>
  <c r="M2235" i="6"/>
  <c r="M2234" i="6"/>
  <c r="M2233" i="6"/>
  <c r="M2232" i="6"/>
  <c r="M2231" i="6"/>
  <c r="M2230" i="6"/>
  <c r="M2229" i="6"/>
  <c r="M2228" i="6"/>
  <c r="M2227" i="6"/>
  <c r="M2226" i="6"/>
  <c r="M2225" i="6"/>
  <c r="M2224" i="6"/>
  <c r="M2223" i="6"/>
  <c r="M2222" i="6"/>
  <c r="M2221" i="6"/>
  <c r="M2220" i="6"/>
  <c r="M2219" i="6"/>
  <c r="M2218" i="6"/>
  <c r="M2217" i="6"/>
  <c r="M2216" i="6"/>
  <c r="M2215" i="6"/>
  <c r="M2214" i="6"/>
  <c r="M2213" i="6"/>
  <c r="M2212" i="6"/>
  <c r="M2211" i="6"/>
  <c r="M2210" i="6"/>
  <c r="M2209" i="6"/>
  <c r="M2208" i="6"/>
  <c r="M2207" i="6"/>
  <c r="M2206" i="6"/>
  <c r="M2205" i="6"/>
  <c r="M2204" i="6"/>
  <c r="M2203" i="6"/>
  <c r="M2202" i="6"/>
  <c r="M2201" i="6"/>
  <c r="M2200" i="6"/>
  <c r="M2199" i="6"/>
  <c r="M2198" i="6"/>
  <c r="M2197" i="6"/>
  <c r="M2196" i="6"/>
  <c r="M2195" i="6"/>
  <c r="M2194" i="6"/>
  <c r="M2193" i="6"/>
  <c r="M2192" i="6"/>
  <c r="M2191" i="6"/>
  <c r="M2190" i="6"/>
  <c r="M2189" i="6"/>
  <c r="M2188" i="6"/>
  <c r="M2187" i="6"/>
  <c r="M2186" i="6"/>
  <c r="M2185" i="6"/>
  <c r="M2184" i="6"/>
  <c r="M2183" i="6"/>
  <c r="M2182" i="6"/>
  <c r="M2181" i="6"/>
  <c r="M2180" i="6"/>
  <c r="M2179" i="6"/>
  <c r="M2178" i="6"/>
  <c r="M2177" i="6"/>
  <c r="M2176" i="6"/>
  <c r="M2175" i="6"/>
  <c r="M2174" i="6"/>
  <c r="M2173" i="6"/>
  <c r="M2172" i="6"/>
  <c r="M2171" i="6"/>
  <c r="M2170" i="6"/>
  <c r="M2169" i="6"/>
  <c r="M2168" i="6"/>
  <c r="M2167" i="6"/>
  <c r="M2166" i="6"/>
  <c r="M2165" i="6"/>
  <c r="M2164" i="6"/>
  <c r="M2163" i="6"/>
  <c r="M2162" i="6"/>
  <c r="M2161" i="6"/>
  <c r="M2160" i="6"/>
  <c r="M2159" i="6"/>
  <c r="M2157" i="6"/>
  <c r="M2156" i="6"/>
  <c r="M2155" i="6"/>
  <c r="M2153" i="6"/>
  <c r="M2152" i="6"/>
  <c r="M2151" i="6"/>
  <c r="M2150" i="6"/>
  <c r="M2149" i="6"/>
  <c r="M2148" i="6"/>
  <c r="M2146" i="6"/>
  <c r="M2145" i="6"/>
  <c r="M2144" i="6"/>
  <c r="M2143" i="6"/>
  <c r="M2141" i="6"/>
  <c r="M2140" i="6"/>
  <c r="M2139" i="6"/>
  <c r="M2138" i="6"/>
  <c r="M2137" i="6"/>
  <c r="M2136" i="6"/>
  <c r="M2134" i="6"/>
  <c r="M2133" i="6"/>
  <c r="M2132" i="6"/>
  <c r="M2131" i="6"/>
  <c r="M2129" i="6"/>
  <c r="M2128" i="6"/>
  <c r="M2127" i="6"/>
  <c r="M2126" i="6"/>
  <c r="M2125" i="6"/>
  <c r="M2124" i="6"/>
  <c r="M2123" i="6"/>
  <c r="M2122" i="6"/>
  <c r="M2121" i="6"/>
  <c r="M2120" i="6"/>
  <c r="M2119" i="6"/>
  <c r="M2118" i="6"/>
  <c r="M2117" i="6"/>
  <c r="M2116" i="6"/>
  <c r="M2115" i="6"/>
  <c r="M2114" i="6"/>
  <c r="M2113" i="6"/>
  <c r="M2112" i="6"/>
  <c r="M2111" i="6"/>
  <c r="M2110" i="6"/>
  <c r="M2109" i="6"/>
  <c r="M2108" i="6"/>
  <c r="M2107" i="6"/>
  <c r="M2106" i="6"/>
  <c r="M2105" i="6"/>
  <c r="M2104" i="6"/>
  <c r="M2103" i="6"/>
  <c r="M2102" i="6"/>
  <c r="M2101" i="6"/>
  <c r="M2100" i="6"/>
  <c r="M2099" i="6"/>
  <c r="M2098" i="6"/>
  <c r="M2097" i="6"/>
  <c r="M2096" i="6"/>
  <c r="M2095" i="6"/>
  <c r="M2094" i="6"/>
  <c r="M2093" i="6"/>
  <c r="M2092" i="6"/>
  <c r="M2091" i="6"/>
  <c r="M2090" i="6"/>
  <c r="M2089" i="6"/>
  <c r="M2088" i="6"/>
  <c r="M2087" i="6"/>
  <c r="M2086" i="6"/>
  <c r="M2085" i="6"/>
  <c r="M2084" i="6"/>
  <c r="M2083" i="6"/>
  <c r="M2082" i="6"/>
  <c r="M2081" i="6"/>
  <c r="M2080" i="6"/>
  <c r="M2079" i="6"/>
  <c r="M2078" i="6"/>
  <c r="M2077" i="6"/>
  <c r="M2076" i="6"/>
  <c r="M2075" i="6"/>
  <c r="M2074" i="6"/>
  <c r="M2073" i="6"/>
  <c r="M2072" i="6"/>
  <c r="M2071" i="6"/>
  <c r="M2070" i="6"/>
  <c r="M2069" i="6"/>
  <c r="M2068" i="6"/>
  <c r="M2067" i="6"/>
  <c r="M2066" i="6"/>
  <c r="M2065" i="6"/>
  <c r="M2064" i="6"/>
  <c r="M2063" i="6"/>
  <c r="M2062" i="6"/>
  <c r="M2061" i="6"/>
  <c r="M2060" i="6"/>
  <c r="M2059" i="6"/>
  <c r="M2058" i="6"/>
  <c r="M2057" i="6"/>
  <c r="M2056" i="6"/>
  <c r="M2055" i="6"/>
  <c r="M2054" i="6"/>
  <c r="M2053" i="6"/>
  <c r="M2052" i="6"/>
  <c r="M2051" i="6"/>
  <c r="M2050" i="6"/>
  <c r="M2049" i="6"/>
  <c r="M2048" i="6"/>
  <c r="M2047" i="6"/>
  <c r="M2046" i="6"/>
  <c r="M2045" i="6"/>
  <c r="M2044" i="6"/>
  <c r="M2043" i="6"/>
  <c r="M2042" i="6"/>
  <c r="M2041" i="6"/>
  <c r="M2040" i="6"/>
  <c r="M2039" i="6"/>
  <c r="E2039" i="6"/>
  <c r="M2038" i="6"/>
  <c r="M2037" i="6"/>
  <c r="E2037" i="6"/>
  <c r="M2036" i="6"/>
  <c r="E2036" i="6"/>
  <c r="M2035" i="6"/>
  <c r="E2035" i="6"/>
  <c r="M2034" i="6"/>
  <c r="M2033" i="6"/>
  <c r="E2033" i="6"/>
  <c r="M2032" i="6"/>
  <c r="E2032" i="6"/>
  <c r="M2031" i="6"/>
  <c r="E2031" i="6"/>
  <c r="M2030" i="6"/>
  <c r="E2030" i="6"/>
  <c r="M2029" i="6"/>
  <c r="E2029" i="6"/>
  <c r="M2028" i="6"/>
  <c r="E2028" i="6"/>
  <c r="M2027" i="6"/>
  <c r="M2026" i="6"/>
  <c r="E2026" i="6"/>
  <c r="M2025" i="6"/>
  <c r="E2025" i="6"/>
  <c r="M2024" i="6"/>
  <c r="E2024" i="6"/>
  <c r="M2023" i="6"/>
  <c r="E2023" i="6"/>
  <c r="M2022" i="6"/>
  <c r="M2021" i="6"/>
  <c r="E2021" i="6"/>
  <c r="M2020" i="6"/>
  <c r="E2020" i="6"/>
  <c r="M2019" i="6"/>
  <c r="E2019" i="6"/>
  <c r="M2018" i="6"/>
  <c r="E2018" i="6"/>
  <c r="M2017" i="6"/>
  <c r="E2017" i="6"/>
  <c r="M2016" i="6"/>
  <c r="E2016" i="6"/>
  <c r="M2015" i="6"/>
  <c r="M2014" i="6"/>
  <c r="E2014" i="6"/>
  <c r="M2013" i="6"/>
  <c r="E2013" i="6"/>
  <c r="M2012" i="6"/>
  <c r="E2012" i="6"/>
  <c r="M2011" i="6"/>
  <c r="E2011" i="6"/>
  <c r="M2010" i="6"/>
  <c r="M2009" i="6"/>
  <c r="M2008" i="6"/>
  <c r="M2007" i="6"/>
  <c r="M2006" i="6"/>
  <c r="M2005" i="6"/>
  <c r="M2004" i="6"/>
  <c r="M2003" i="6"/>
  <c r="M2002" i="6"/>
  <c r="M2001" i="6"/>
  <c r="M2000" i="6"/>
  <c r="M1999" i="6"/>
  <c r="M1998" i="6"/>
  <c r="M1997" i="6"/>
  <c r="M1996" i="6"/>
  <c r="M1995" i="6"/>
  <c r="M1994" i="6"/>
  <c r="M1993" i="6"/>
  <c r="M1992" i="6"/>
  <c r="M1991" i="6"/>
  <c r="M1990" i="6"/>
  <c r="M1989" i="6"/>
  <c r="M1988" i="6"/>
  <c r="M1987" i="6"/>
  <c r="M1986" i="6"/>
  <c r="M1985" i="6"/>
  <c r="M1984" i="6"/>
  <c r="M1983" i="6"/>
  <c r="M1982" i="6"/>
  <c r="M1981" i="6"/>
  <c r="M1980" i="6"/>
  <c r="M1979" i="6"/>
  <c r="M1978" i="6"/>
  <c r="M1977" i="6"/>
  <c r="M1976" i="6"/>
  <c r="M1975" i="6"/>
  <c r="M1974" i="6"/>
  <c r="M1973" i="6"/>
  <c r="M1972" i="6"/>
  <c r="M1971" i="6"/>
  <c r="M1970" i="6"/>
  <c r="M1969" i="6"/>
  <c r="M1968" i="6"/>
  <c r="M1967" i="6"/>
  <c r="M1966" i="6"/>
  <c r="M1965" i="6"/>
  <c r="M1964" i="6"/>
  <c r="M1963" i="6"/>
  <c r="M1962" i="6"/>
  <c r="M1961" i="6"/>
  <c r="M1960" i="6"/>
  <c r="M1959" i="6"/>
  <c r="M1958" i="6"/>
  <c r="M1957" i="6"/>
  <c r="M1956" i="6"/>
  <c r="M1955" i="6"/>
  <c r="M1954" i="6"/>
  <c r="M1953" i="6"/>
  <c r="M1952" i="6"/>
  <c r="M1951" i="6"/>
  <c r="M1950" i="6"/>
  <c r="M1949" i="6"/>
  <c r="M1948" i="6"/>
  <c r="M1947" i="6"/>
  <c r="M1946" i="6"/>
  <c r="M1945" i="6"/>
  <c r="M1944" i="6"/>
  <c r="M1943" i="6"/>
  <c r="M1942" i="6"/>
  <c r="M1941" i="6"/>
  <c r="M1940" i="6"/>
  <c r="M1939" i="6"/>
  <c r="M1938" i="6"/>
  <c r="M1937" i="6"/>
  <c r="M1936" i="6"/>
  <c r="M1935" i="6"/>
  <c r="M1934" i="6"/>
  <c r="M1933" i="6"/>
  <c r="M1932" i="6"/>
  <c r="M1931" i="6"/>
  <c r="M1930" i="6"/>
  <c r="M1929" i="6"/>
  <c r="M1928" i="6"/>
  <c r="M1927" i="6"/>
  <c r="M1926" i="6"/>
  <c r="M1925" i="6"/>
  <c r="M1924" i="6"/>
  <c r="M1923" i="6"/>
  <c r="M1922" i="6"/>
  <c r="M1921" i="6"/>
  <c r="M1920" i="6"/>
  <c r="M1919" i="6"/>
  <c r="M1918" i="6"/>
  <c r="M1917" i="6"/>
  <c r="M1916" i="6"/>
  <c r="M1915" i="6"/>
  <c r="M1914" i="6"/>
  <c r="M1913" i="6"/>
  <c r="M1912" i="6"/>
  <c r="M1911" i="6"/>
  <c r="M1910" i="6"/>
  <c r="M1909" i="6"/>
  <c r="M1908" i="6"/>
  <c r="M1907" i="6"/>
  <c r="M1906" i="6"/>
  <c r="M1905" i="6"/>
  <c r="M1904" i="6"/>
  <c r="M1903" i="6"/>
  <c r="M1902" i="6"/>
  <c r="M1901" i="6"/>
  <c r="M1900" i="6"/>
  <c r="M1899" i="6"/>
  <c r="M1898" i="6"/>
  <c r="M1897" i="6"/>
  <c r="M1896" i="6"/>
  <c r="M1895" i="6"/>
  <c r="M1894" i="6"/>
  <c r="M1893" i="6"/>
  <c r="M1892" i="6"/>
  <c r="M1891" i="6"/>
  <c r="M1890" i="6"/>
  <c r="M1889" i="6"/>
  <c r="M1888" i="6"/>
  <c r="M1887" i="6"/>
  <c r="E1887" i="6"/>
  <c r="M1886" i="6"/>
  <c r="E1886" i="6"/>
  <c r="M1885" i="6"/>
  <c r="M1884" i="6"/>
  <c r="M1883" i="6"/>
  <c r="M1882" i="6"/>
  <c r="M1881" i="6"/>
  <c r="M1880" i="6"/>
  <c r="M1879" i="6"/>
  <c r="M1878" i="6"/>
  <c r="M1877" i="6"/>
  <c r="M1876" i="6"/>
  <c r="M1875" i="6"/>
  <c r="M1874" i="6"/>
  <c r="M1873" i="6"/>
  <c r="M1872" i="6"/>
  <c r="M1871" i="6"/>
  <c r="M1870" i="6"/>
  <c r="M1869" i="6"/>
  <c r="M1868" i="6"/>
  <c r="M1867" i="6"/>
  <c r="M1866" i="6"/>
  <c r="M1865" i="6"/>
  <c r="M1864" i="6"/>
  <c r="M1863" i="6"/>
  <c r="M1862" i="6"/>
  <c r="M1861" i="6"/>
  <c r="M1860" i="6"/>
  <c r="M1859" i="6"/>
  <c r="M1858" i="6"/>
  <c r="M1857" i="6"/>
  <c r="M1856" i="6"/>
  <c r="M1855" i="6"/>
  <c r="E1855" i="6"/>
  <c r="M1854" i="6"/>
  <c r="E1854" i="6"/>
  <c r="M1853" i="6"/>
  <c r="E1853" i="6"/>
  <c r="M1852" i="6"/>
  <c r="E1852" i="6"/>
  <c r="M1851" i="6"/>
  <c r="E1851" i="6"/>
  <c r="M1850" i="6"/>
  <c r="E1850" i="6"/>
  <c r="M1849" i="6"/>
  <c r="M1848" i="6"/>
  <c r="M1847" i="6"/>
  <c r="M1846" i="6"/>
  <c r="M1845" i="6"/>
  <c r="M1844" i="6"/>
  <c r="M1843" i="6"/>
  <c r="M1842" i="6"/>
  <c r="M1841" i="6"/>
  <c r="M1840" i="6"/>
  <c r="M1839" i="6"/>
  <c r="M1838" i="6"/>
  <c r="M1837" i="6"/>
  <c r="M1836" i="6"/>
  <c r="M1835" i="6"/>
  <c r="M1834" i="6"/>
  <c r="M1833" i="6"/>
  <c r="M1832" i="6"/>
  <c r="M1831" i="6"/>
  <c r="M1830" i="6"/>
  <c r="M1829" i="6"/>
  <c r="M1828" i="6"/>
  <c r="M1827" i="6"/>
  <c r="M1826" i="6"/>
  <c r="M1825" i="6"/>
  <c r="M1824" i="6"/>
  <c r="M1823" i="6"/>
  <c r="M1822" i="6"/>
  <c r="M1821" i="6"/>
  <c r="M1820" i="6"/>
  <c r="M1819" i="6"/>
  <c r="M1818" i="6"/>
  <c r="M1817" i="6"/>
  <c r="M1816" i="6"/>
  <c r="M1815" i="6"/>
  <c r="M1814" i="6"/>
  <c r="M1813" i="6"/>
  <c r="M1812" i="6"/>
  <c r="M1811" i="6"/>
  <c r="M1810" i="6"/>
  <c r="M1809" i="6"/>
  <c r="M1808" i="6"/>
  <c r="M1807" i="6"/>
  <c r="M1806" i="6"/>
  <c r="M1805" i="6"/>
  <c r="M1804" i="6"/>
  <c r="M1803" i="6"/>
  <c r="M1802" i="6"/>
  <c r="M1801" i="6"/>
  <c r="M1800" i="6"/>
  <c r="M1799" i="6"/>
  <c r="M1798" i="6"/>
  <c r="M1797" i="6"/>
  <c r="M1796" i="6"/>
  <c r="M1795" i="6"/>
  <c r="M1794" i="6"/>
  <c r="M1793" i="6"/>
  <c r="M1792" i="6"/>
  <c r="M1791" i="6"/>
  <c r="M1790" i="6"/>
  <c r="M1789" i="6"/>
  <c r="M1788" i="6"/>
  <c r="M1787" i="6"/>
  <c r="M1786" i="6"/>
  <c r="M1785" i="6"/>
  <c r="M1784" i="6"/>
  <c r="M1783" i="6"/>
  <c r="M1782" i="6"/>
  <c r="M1781" i="6"/>
  <c r="M1780" i="6"/>
  <c r="M1779" i="6"/>
  <c r="M1778" i="6"/>
  <c r="M1777" i="6"/>
  <c r="M1776" i="6"/>
  <c r="M1775" i="6"/>
  <c r="M1774" i="6"/>
  <c r="M1773" i="6"/>
  <c r="M1772" i="6"/>
  <c r="M1771" i="6"/>
  <c r="M1770" i="6"/>
  <c r="M1769" i="6"/>
  <c r="M1768" i="6"/>
  <c r="M1767" i="6"/>
  <c r="M1766" i="6"/>
  <c r="M1765" i="6"/>
  <c r="M1764" i="6"/>
  <c r="M1763" i="6"/>
  <c r="M1762" i="6"/>
  <c r="M1761" i="6"/>
  <c r="M1760" i="6"/>
  <c r="M1759" i="6"/>
  <c r="M1758" i="6"/>
  <c r="E1758" i="6"/>
  <c r="M1757" i="6"/>
  <c r="M1756" i="6"/>
  <c r="M1755" i="6"/>
  <c r="M1754" i="6"/>
  <c r="M1753" i="6"/>
  <c r="M1752" i="6"/>
  <c r="M1751" i="6"/>
  <c r="M1750" i="6"/>
  <c r="M1749" i="6"/>
  <c r="M1748" i="6"/>
  <c r="M1747" i="6"/>
  <c r="M1746" i="6"/>
  <c r="M1745" i="6"/>
  <c r="M1744" i="6"/>
  <c r="M1743" i="6"/>
  <c r="M1742" i="6"/>
  <c r="M1741" i="6"/>
  <c r="M1740" i="6"/>
  <c r="M1739" i="6"/>
  <c r="M1738" i="6"/>
  <c r="M1737" i="6"/>
  <c r="M1736" i="6"/>
  <c r="M1735" i="6"/>
  <c r="M1734" i="6"/>
  <c r="M1733" i="6"/>
  <c r="M1732" i="6"/>
  <c r="M1731" i="6"/>
  <c r="M1730" i="6"/>
  <c r="M1729" i="6"/>
  <c r="M1728" i="6"/>
  <c r="M1727" i="6"/>
  <c r="M1726" i="6"/>
  <c r="M1725" i="6"/>
  <c r="M1724" i="6"/>
  <c r="M1723" i="6"/>
  <c r="M1722" i="6"/>
  <c r="M1721" i="6"/>
  <c r="M1720" i="6"/>
  <c r="M1719" i="6"/>
  <c r="M1718" i="6"/>
  <c r="M1717" i="6"/>
  <c r="M1716" i="6"/>
  <c r="M1715" i="6"/>
  <c r="M1714" i="6"/>
  <c r="M1713" i="6"/>
  <c r="M1712" i="6"/>
  <c r="M1711" i="6"/>
  <c r="M1710" i="6"/>
  <c r="M1709" i="6"/>
  <c r="M1708" i="6"/>
  <c r="M1707" i="6"/>
  <c r="M1706" i="6"/>
  <c r="M1705" i="6"/>
  <c r="M1704" i="6"/>
  <c r="M1703" i="6"/>
  <c r="M1702" i="6"/>
  <c r="M1701" i="6"/>
  <c r="M1700" i="6"/>
  <c r="M1699" i="6"/>
  <c r="M1698" i="6"/>
  <c r="M1697" i="6"/>
  <c r="M1696" i="6"/>
  <c r="M1695" i="6"/>
  <c r="M1694" i="6"/>
  <c r="M1693" i="6"/>
  <c r="M1692" i="6"/>
  <c r="M1691" i="6"/>
  <c r="M1690" i="6"/>
  <c r="M1689" i="6"/>
  <c r="M1688" i="6"/>
  <c r="M1687" i="6"/>
  <c r="M1686" i="6"/>
  <c r="M1685" i="6"/>
  <c r="M1684" i="6"/>
  <c r="M1683" i="6"/>
  <c r="M1682" i="6"/>
  <c r="M1681" i="6"/>
  <c r="M1680" i="6"/>
  <c r="M1679" i="6"/>
  <c r="M1678" i="6"/>
  <c r="M1677" i="6"/>
  <c r="M1676" i="6"/>
  <c r="M1675" i="6"/>
  <c r="M1674" i="6"/>
  <c r="M1673" i="6"/>
  <c r="M1672" i="6"/>
  <c r="M1671" i="6"/>
  <c r="M1670" i="6"/>
  <c r="M1669" i="6"/>
  <c r="M1668" i="6"/>
  <c r="M1667" i="6"/>
  <c r="M1666" i="6"/>
  <c r="M1665" i="6"/>
  <c r="M1664" i="6"/>
  <c r="M1663" i="6"/>
  <c r="M1662" i="6"/>
  <c r="M1661" i="6"/>
  <c r="M1660" i="6"/>
  <c r="M1659" i="6"/>
  <c r="M1658" i="6"/>
  <c r="M1657" i="6"/>
  <c r="M1656" i="6"/>
  <c r="M1655" i="6"/>
  <c r="M1654" i="6"/>
  <c r="M1653" i="6"/>
  <c r="M1652" i="6"/>
  <c r="M1651" i="6"/>
  <c r="M1650" i="6"/>
  <c r="M1649" i="6"/>
  <c r="M1648" i="6"/>
  <c r="M1647" i="6"/>
  <c r="M1646" i="6"/>
  <c r="M1645" i="6"/>
  <c r="M1644" i="6"/>
  <c r="M1643" i="6"/>
  <c r="M1642" i="6"/>
  <c r="M1641" i="6"/>
  <c r="M1640" i="6"/>
  <c r="M1639" i="6"/>
  <c r="M1638" i="6"/>
  <c r="M1637" i="6"/>
  <c r="M1636" i="6"/>
  <c r="M1635" i="6"/>
  <c r="M1634" i="6"/>
  <c r="M1633" i="6"/>
  <c r="M1632" i="6"/>
  <c r="M1631" i="6"/>
  <c r="M1630" i="6"/>
  <c r="M1629" i="6"/>
  <c r="M1628" i="6"/>
  <c r="M1627" i="6"/>
  <c r="M1626" i="6"/>
  <c r="M1625" i="6"/>
  <c r="M1624" i="6"/>
  <c r="M1623" i="6"/>
  <c r="M1622" i="6"/>
  <c r="M1621" i="6"/>
  <c r="M1620" i="6"/>
  <c r="M1619" i="6"/>
  <c r="M1618" i="6"/>
  <c r="M1617" i="6"/>
  <c r="M1616" i="6"/>
  <c r="M1615" i="6"/>
  <c r="M1614" i="6"/>
  <c r="M1613" i="6"/>
  <c r="M1612" i="6"/>
  <c r="M1611" i="6"/>
  <c r="M1610" i="6"/>
  <c r="M1609" i="6"/>
  <c r="M1608" i="6"/>
  <c r="M1607" i="6"/>
  <c r="M1606" i="6"/>
  <c r="M1605" i="6"/>
  <c r="M1604" i="6"/>
  <c r="M1603" i="6"/>
  <c r="M1602" i="6"/>
  <c r="M1601" i="6"/>
  <c r="M1600" i="6"/>
  <c r="M1599" i="6"/>
  <c r="M1598" i="6"/>
  <c r="M1597" i="6"/>
  <c r="M1596" i="6"/>
  <c r="M1595" i="6"/>
  <c r="M1594" i="6"/>
  <c r="M1593" i="6"/>
  <c r="M1592" i="6"/>
  <c r="M1591" i="6"/>
  <c r="M1590" i="6"/>
  <c r="M1589" i="6"/>
  <c r="M1588" i="6"/>
  <c r="M1587" i="6"/>
  <c r="M1586" i="6"/>
  <c r="M1585" i="6"/>
  <c r="M1584" i="6"/>
  <c r="M1583" i="6"/>
  <c r="M1582" i="6"/>
  <c r="M1581" i="6"/>
  <c r="M1580" i="6"/>
  <c r="M1579" i="6"/>
  <c r="M1578" i="6"/>
  <c r="M1577" i="6"/>
  <c r="M1576" i="6"/>
  <c r="M1575" i="6"/>
  <c r="M1574" i="6"/>
  <c r="M1573" i="6"/>
  <c r="M1572" i="6"/>
  <c r="M1571" i="6"/>
  <c r="M1570" i="6"/>
  <c r="M1569" i="6"/>
  <c r="M1568" i="6"/>
  <c r="M1567" i="6"/>
  <c r="M1566" i="6"/>
  <c r="M1565" i="6"/>
  <c r="M1564" i="6"/>
  <c r="M1563" i="6"/>
  <c r="M1562" i="6"/>
  <c r="M1561" i="6"/>
  <c r="M1560" i="6"/>
  <c r="M1559" i="6"/>
  <c r="M1558" i="6"/>
  <c r="M1557" i="6"/>
  <c r="M1556" i="6"/>
  <c r="M1555" i="6"/>
  <c r="M1554" i="6"/>
  <c r="M1553" i="6"/>
  <c r="M1552" i="6"/>
  <c r="M1551" i="6"/>
  <c r="M1550" i="6"/>
  <c r="M1549" i="6"/>
  <c r="M1548" i="6"/>
  <c r="M1547" i="6"/>
  <c r="M1546" i="6"/>
  <c r="M1545" i="6"/>
  <c r="M1544" i="6"/>
  <c r="M1543" i="6"/>
  <c r="M1542" i="6"/>
  <c r="M1541" i="6"/>
  <c r="M1540" i="6"/>
  <c r="M1539" i="6"/>
  <c r="M1538" i="6"/>
  <c r="M1537" i="6"/>
  <c r="M1536" i="6"/>
  <c r="M1535" i="6"/>
  <c r="M1534" i="6"/>
  <c r="M1533" i="6"/>
  <c r="M1532" i="6"/>
  <c r="M1531" i="6"/>
  <c r="M1530" i="6"/>
  <c r="M1529" i="6"/>
  <c r="M1528" i="6"/>
  <c r="M1527" i="6"/>
  <c r="M1526" i="6"/>
  <c r="M1525" i="6"/>
  <c r="M1524" i="6"/>
  <c r="M1523" i="6"/>
  <c r="M1522" i="6"/>
  <c r="M1521" i="6"/>
  <c r="M1520" i="6"/>
  <c r="M1519" i="6"/>
  <c r="M1518" i="6"/>
  <c r="M1517" i="6"/>
  <c r="M1516" i="6"/>
  <c r="M1515" i="6"/>
  <c r="M1514" i="6"/>
  <c r="M1513" i="6"/>
  <c r="M1512" i="6"/>
  <c r="M1511" i="6"/>
  <c r="M1510" i="6"/>
  <c r="M1509" i="6"/>
  <c r="M1508" i="6"/>
  <c r="M1507" i="6"/>
  <c r="M1506" i="6"/>
  <c r="M1505" i="6"/>
  <c r="M1504" i="6"/>
  <c r="M1503" i="6"/>
  <c r="M1502" i="6"/>
  <c r="M1501" i="6"/>
  <c r="M1500" i="6"/>
  <c r="M1499" i="6"/>
  <c r="M1498" i="6"/>
  <c r="M1497" i="6"/>
  <c r="M1496" i="6"/>
  <c r="M1495" i="6"/>
  <c r="M1494" i="6"/>
  <c r="M1493" i="6"/>
  <c r="M1492" i="6"/>
  <c r="M1491" i="6"/>
  <c r="M1490" i="6"/>
  <c r="M1489" i="6"/>
  <c r="M1488" i="6"/>
  <c r="M1487" i="6"/>
  <c r="M1486" i="6"/>
  <c r="M1485" i="6"/>
  <c r="M1484" i="6"/>
  <c r="M1483" i="6"/>
  <c r="M1482" i="6"/>
  <c r="M1481" i="6"/>
  <c r="M1480" i="6"/>
  <c r="M1479" i="6"/>
  <c r="M1478" i="6"/>
  <c r="M1477" i="6"/>
  <c r="M1476" i="6"/>
  <c r="M1475" i="6"/>
  <c r="M1474" i="6"/>
  <c r="M1473" i="6"/>
  <c r="M1472" i="6"/>
  <c r="M1471" i="6"/>
  <c r="M1470" i="6"/>
  <c r="M1469" i="6"/>
  <c r="M1468" i="6"/>
  <c r="M1467" i="6"/>
  <c r="M1466" i="6"/>
  <c r="M1465" i="6"/>
  <c r="M1464" i="6"/>
  <c r="M1463" i="6"/>
  <c r="M1462" i="6"/>
  <c r="M1461" i="6"/>
  <c r="M1460" i="6"/>
  <c r="M1459" i="6"/>
  <c r="M1458" i="6"/>
  <c r="M1457" i="6"/>
  <c r="M1456" i="6"/>
  <c r="M1455" i="6"/>
  <c r="M1454" i="6"/>
  <c r="M1453" i="6"/>
  <c r="M1452" i="6"/>
  <c r="M1451" i="6"/>
  <c r="M1450" i="6"/>
  <c r="M1449" i="6"/>
  <c r="M1448" i="6"/>
  <c r="M1447" i="6"/>
  <c r="M1446" i="6"/>
  <c r="M1445" i="6"/>
  <c r="M1444" i="6"/>
  <c r="M1443" i="6"/>
  <c r="M1442" i="6"/>
  <c r="M1441" i="6"/>
  <c r="M1440" i="6"/>
  <c r="M1439" i="6"/>
  <c r="M1438" i="6"/>
  <c r="M1437" i="6"/>
  <c r="M1436" i="6"/>
  <c r="M1435" i="6"/>
  <c r="M1434" i="6"/>
  <c r="M1433" i="6"/>
  <c r="M1432" i="6"/>
  <c r="M1431" i="6"/>
  <c r="M1430" i="6"/>
  <c r="M1429" i="6"/>
  <c r="M1428" i="6"/>
  <c r="M1427" i="6"/>
  <c r="M1426" i="6"/>
  <c r="M1425" i="6"/>
  <c r="M1424" i="6"/>
  <c r="M1423" i="6"/>
  <c r="M1422" i="6"/>
  <c r="M1421" i="6"/>
  <c r="M1420" i="6"/>
  <c r="M1419" i="6"/>
  <c r="M1418" i="6"/>
  <c r="M1417" i="6"/>
  <c r="M1416" i="6"/>
  <c r="M1415" i="6"/>
  <c r="M1414" i="6"/>
  <c r="M1413" i="6"/>
  <c r="M1412" i="6"/>
  <c r="M1411" i="6"/>
  <c r="M1410" i="6"/>
  <c r="M1409" i="6"/>
  <c r="M1408" i="6"/>
  <c r="M1407" i="6"/>
  <c r="M1406" i="6"/>
  <c r="M1405" i="6"/>
  <c r="M1404" i="6"/>
  <c r="M1403" i="6"/>
  <c r="M1402" i="6"/>
  <c r="M1401" i="6"/>
  <c r="M1400" i="6"/>
  <c r="M1399" i="6"/>
  <c r="M1398" i="6"/>
  <c r="M1397" i="6"/>
  <c r="M1396" i="6"/>
  <c r="M1395" i="6"/>
  <c r="M1394" i="6"/>
  <c r="M1393" i="6"/>
  <c r="M1392" i="6"/>
  <c r="M1391" i="6"/>
  <c r="M1390" i="6"/>
  <c r="M1389" i="6"/>
  <c r="M1388" i="6"/>
  <c r="M1387" i="6"/>
  <c r="M1386" i="6"/>
  <c r="M1385" i="6"/>
  <c r="M1384" i="6"/>
  <c r="M1383" i="6"/>
  <c r="M1382" i="6"/>
  <c r="M1381" i="6"/>
  <c r="M1380" i="6"/>
  <c r="M1379" i="6"/>
  <c r="M1378" i="6"/>
  <c r="M1377" i="6"/>
  <c r="M1376" i="6"/>
  <c r="M1375" i="6"/>
  <c r="M1374" i="6"/>
  <c r="M1373" i="6"/>
  <c r="M1372" i="6"/>
  <c r="M1371" i="6"/>
  <c r="M1370" i="6"/>
  <c r="M1369" i="6"/>
  <c r="M1368" i="6"/>
  <c r="M1367" i="6"/>
  <c r="M1366" i="6"/>
  <c r="M1365" i="6"/>
  <c r="M1364" i="6"/>
  <c r="M1363" i="6"/>
  <c r="M1362" i="6"/>
  <c r="M1361" i="6"/>
  <c r="M1360" i="6"/>
  <c r="M1359" i="6"/>
  <c r="M1358" i="6"/>
  <c r="M1357" i="6"/>
  <c r="M1356" i="6"/>
  <c r="M1355" i="6"/>
  <c r="M1354" i="6"/>
  <c r="M1353" i="6"/>
  <c r="M1352" i="6"/>
  <c r="M1351" i="6"/>
  <c r="M1350" i="6"/>
  <c r="M1349" i="6"/>
  <c r="M1348" i="6"/>
  <c r="M1347" i="6"/>
  <c r="M1346" i="6"/>
  <c r="M1345" i="6"/>
  <c r="M1344" i="6"/>
  <c r="M1343" i="6"/>
  <c r="M1342" i="6"/>
  <c r="M1341" i="6"/>
  <c r="M1340" i="6"/>
  <c r="M1339" i="6"/>
  <c r="M1338" i="6"/>
  <c r="M1337" i="6"/>
  <c r="M1336" i="6"/>
  <c r="M1335" i="6"/>
  <c r="M1334" i="6"/>
  <c r="M1333" i="6"/>
  <c r="M1332" i="6"/>
  <c r="M1331" i="6"/>
  <c r="M1330" i="6"/>
  <c r="M1329" i="6"/>
  <c r="M1328" i="6"/>
  <c r="M1327" i="6"/>
  <c r="M1326" i="6"/>
  <c r="M1325" i="6"/>
  <c r="M1324" i="6"/>
  <c r="M1323" i="6"/>
  <c r="M1322" i="6"/>
  <c r="M1321" i="6"/>
  <c r="M1320" i="6"/>
  <c r="M1319" i="6"/>
  <c r="M1318" i="6"/>
  <c r="M1317" i="6"/>
  <c r="M1316" i="6"/>
  <c r="M1315" i="6"/>
  <c r="M1314" i="6"/>
  <c r="M1313" i="6"/>
  <c r="M1312" i="6"/>
  <c r="M1311" i="6"/>
  <c r="M1310" i="6"/>
  <c r="M1309" i="6"/>
  <c r="M1308" i="6"/>
  <c r="M1307" i="6"/>
  <c r="M1306" i="6"/>
  <c r="M1305" i="6"/>
  <c r="M1304" i="6"/>
  <c r="M1303" i="6"/>
  <c r="M1302" i="6"/>
  <c r="M1301" i="6"/>
  <c r="M1300" i="6"/>
  <c r="M1299" i="6"/>
  <c r="M1298" i="6"/>
  <c r="M1297" i="6"/>
  <c r="M1296" i="6"/>
  <c r="M1295" i="6"/>
  <c r="M1294" i="6"/>
  <c r="M1293" i="6"/>
  <c r="M1292" i="6"/>
  <c r="M1291" i="6"/>
  <c r="M1290" i="6"/>
  <c r="M1289" i="6"/>
  <c r="M1288" i="6"/>
  <c r="M1287" i="6"/>
  <c r="M1286" i="6"/>
  <c r="M1285" i="6"/>
  <c r="M1284" i="6"/>
  <c r="M1283" i="6"/>
  <c r="M1282" i="6"/>
  <c r="M1281" i="6"/>
  <c r="M1280" i="6"/>
  <c r="M1279" i="6"/>
  <c r="M1278" i="6"/>
  <c r="M1277" i="6"/>
  <c r="M1276" i="6"/>
  <c r="M1275" i="6"/>
  <c r="M1274" i="6"/>
  <c r="M1273" i="6"/>
  <c r="M1272" i="6"/>
  <c r="M1271" i="6"/>
  <c r="M1270" i="6"/>
  <c r="M1269" i="6"/>
  <c r="M1268" i="6"/>
  <c r="M1267" i="6"/>
  <c r="M1266" i="6"/>
  <c r="M1265" i="6"/>
  <c r="M1264" i="6"/>
  <c r="M1263" i="6"/>
  <c r="M1262" i="6"/>
  <c r="M1261" i="6"/>
  <c r="M1260" i="6"/>
  <c r="M1259" i="6"/>
  <c r="M1258" i="6"/>
  <c r="M1257" i="6"/>
  <c r="M1256" i="6"/>
  <c r="M1255" i="6"/>
  <c r="M1254" i="6"/>
  <c r="M1253" i="6"/>
  <c r="M1252" i="6"/>
  <c r="M1251" i="6"/>
  <c r="M1250" i="6"/>
  <c r="M1249" i="6"/>
  <c r="M1248" i="6"/>
  <c r="M1247" i="6"/>
  <c r="M1246" i="6"/>
  <c r="M1245" i="6"/>
  <c r="M1244" i="6"/>
  <c r="M1243" i="6"/>
  <c r="M1242" i="6"/>
  <c r="M1241" i="6"/>
  <c r="M1240" i="6"/>
  <c r="M1239" i="6"/>
  <c r="M1238" i="6"/>
  <c r="M1237" i="6"/>
  <c r="M1236" i="6"/>
  <c r="M1235" i="6"/>
  <c r="M1234" i="6"/>
  <c r="M1233" i="6"/>
  <c r="M1232" i="6"/>
  <c r="M1231" i="6"/>
  <c r="M1230" i="6"/>
  <c r="M1229" i="6"/>
  <c r="M1228" i="6"/>
  <c r="M1227" i="6"/>
  <c r="M1226" i="6"/>
  <c r="M1225" i="6"/>
  <c r="M1224" i="6"/>
  <c r="M1223" i="6"/>
  <c r="M1222" i="6"/>
  <c r="M1221" i="6"/>
  <c r="M1220" i="6"/>
  <c r="M1219" i="6"/>
  <c r="M1218" i="6"/>
  <c r="M1217" i="6"/>
  <c r="M1216" i="6"/>
  <c r="M1215" i="6"/>
  <c r="M1214" i="6"/>
  <c r="M1213" i="6"/>
  <c r="M1212" i="6"/>
  <c r="M1211" i="6"/>
  <c r="M1210" i="6"/>
  <c r="M1209" i="6"/>
  <c r="M1208" i="6"/>
  <c r="M1207" i="6"/>
  <c r="M1206" i="6"/>
  <c r="M1205" i="6"/>
  <c r="M1204" i="6"/>
  <c r="M1203" i="6"/>
  <c r="M1202" i="6"/>
  <c r="M1201" i="6"/>
  <c r="M1200" i="6"/>
  <c r="M1199" i="6"/>
  <c r="M1198" i="6"/>
  <c r="M1197" i="6"/>
  <c r="M1196" i="6"/>
  <c r="M1195" i="6"/>
  <c r="M1194" i="6"/>
  <c r="M1193" i="6"/>
  <c r="M1192" i="6"/>
  <c r="M1191" i="6"/>
  <c r="M1190" i="6"/>
  <c r="M1189" i="6"/>
  <c r="M1188" i="6"/>
  <c r="M1187" i="6"/>
  <c r="M1186" i="6"/>
  <c r="M1185" i="6"/>
  <c r="M1184" i="6"/>
  <c r="M1183" i="6"/>
  <c r="M1182" i="6"/>
  <c r="M1181" i="6"/>
  <c r="M1180" i="6"/>
  <c r="M1179" i="6"/>
  <c r="M1178" i="6"/>
  <c r="M1177" i="6"/>
  <c r="M1176" i="6"/>
  <c r="M1175" i="6"/>
  <c r="M1174" i="6"/>
  <c r="M1173" i="6"/>
  <c r="M1172" i="6"/>
  <c r="M1171" i="6"/>
  <c r="M1170" i="6"/>
  <c r="M1169" i="6"/>
  <c r="M1168" i="6"/>
  <c r="M1167" i="6"/>
  <c r="M1166" i="6"/>
  <c r="M1165" i="6"/>
  <c r="M1164" i="6"/>
  <c r="M1163" i="6"/>
  <c r="M1162" i="6"/>
  <c r="M1161" i="6"/>
  <c r="M1160" i="6"/>
  <c r="M1158" i="6"/>
  <c r="M1157" i="6"/>
  <c r="M1156" i="6"/>
  <c r="M1155" i="6"/>
  <c r="M1154" i="6"/>
  <c r="M1153" i="6"/>
  <c r="M1148" i="6"/>
  <c r="M1147" i="6"/>
  <c r="M1146" i="6"/>
  <c r="M1145" i="6"/>
  <c r="M1144" i="6"/>
  <c r="M1143" i="6"/>
  <c r="M1142" i="6"/>
  <c r="M1141" i="6"/>
  <c r="M1140" i="6"/>
  <c r="M1139" i="6"/>
  <c r="M1138" i="6"/>
  <c r="M1137" i="6"/>
  <c r="M1136" i="6"/>
  <c r="M1135" i="6"/>
  <c r="M1134" i="6"/>
  <c r="M1133" i="6"/>
  <c r="M1132" i="6"/>
  <c r="M1131" i="6"/>
  <c r="M1130" i="6"/>
  <c r="M1129" i="6"/>
  <c r="M1128" i="6"/>
  <c r="M1127" i="6"/>
  <c r="M1126" i="6"/>
  <c r="M1125" i="6"/>
  <c r="M1124" i="6"/>
  <c r="M1123" i="6"/>
  <c r="M1122" i="6"/>
  <c r="M1121" i="6"/>
  <c r="M1120" i="6"/>
  <c r="M1119" i="6"/>
  <c r="M1118" i="6"/>
  <c r="M1113" i="6"/>
  <c r="M1112" i="6"/>
  <c r="M1111" i="6"/>
  <c r="M1110" i="6"/>
  <c r="M1109" i="6"/>
  <c r="M1108" i="6"/>
  <c r="M1107" i="6"/>
  <c r="M1106" i="6"/>
  <c r="M1105" i="6"/>
  <c r="M1104" i="6"/>
  <c r="M1103" i="6"/>
  <c r="M1102" i="6"/>
  <c r="M1101" i="6"/>
  <c r="M1100" i="6"/>
  <c r="M1099" i="6"/>
  <c r="M1098" i="6"/>
  <c r="M1097" i="6"/>
  <c r="M1096" i="6"/>
  <c r="M1095" i="6"/>
  <c r="M1094" i="6"/>
  <c r="M1093" i="6"/>
  <c r="M1092" i="6"/>
  <c r="M1091" i="6"/>
  <c r="M1090" i="6"/>
  <c r="M1089" i="6"/>
  <c r="M1088" i="6"/>
  <c r="M1087" i="6"/>
  <c r="M1086" i="6"/>
  <c r="M1085" i="6"/>
  <c r="M1084" i="6"/>
  <c r="M1083" i="6"/>
  <c r="M1082" i="6"/>
  <c r="M1081" i="6"/>
  <c r="M1080" i="6"/>
  <c r="M1079" i="6"/>
  <c r="M1078" i="6"/>
  <c r="M1077" i="6"/>
  <c r="M1076" i="6"/>
  <c r="M1075" i="6"/>
  <c r="M1074" i="6"/>
  <c r="M1073" i="6"/>
  <c r="M1072" i="6"/>
  <c r="M1071" i="6"/>
  <c r="M1070" i="6"/>
  <c r="M1069" i="6"/>
  <c r="M1068" i="6"/>
  <c r="M1067" i="6"/>
  <c r="M1066" i="6"/>
  <c r="M1065" i="6"/>
  <c r="M1064" i="6"/>
  <c r="M1063" i="6"/>
  <c r="M1062" i="6"/>
  <c r="M1061" i="6"/>
  <c r="M1060" i="6"/>
  <c r="M1059" i="6"/>
  <c r="M1058" i="6"/>
  <c r="M1057" i="6"/>
  <c r="M1056" i="6"/>
  <c r="M1055" i="6"/>
  <c r="M1054" i="6"/>
  <c r="M1053" i="6"/>
  <c r="M1052" i="6"/>
  <c r="M1051" i="6"/>
  <c r="M1050" i="6"/>
  <c r="M1049" i="6"/>
  <c r="M1048" i="6"/>
  <c r="M1047" i="6"/>
  <c r="M1046" i="6"/>
  <c r="M1045" i="6"/>
  <c r="M1044" i="6"/>
  <c r="M1043" i="6"/>
  <c r="M1042" i="6"/>
  <c r="M1041" i="6"/>
  <c r="M1040" i="6"/>
  <c r="M1039" i="6"/>
  <c r="M1038" i="6"/>
  <c r="M1037" i="6"/>
  <c r="M1036" i="6"/>
  <c r="M1035" i="6"/>
  <c r="M1034" i="6"/>
  <c r="M1033" i="6"/>
  <c r="M1032" i="6"/>
  <c r="M1031" i="6"/>
  <c r="M1030" i="6"/>
  <c r="M1029" i="6"/>
  <c r="M1028" i="6"/>
  <c r="M1027" i="6"/>
  <c r="M1026" i="6"/>
  <c r="M1025" i="6"/>
  <c r="M1024" i="6"/>
  <c r="M1023" i="6"/>
  <c r="M1022" i="6"/>
  <c r="M1021" i="6"/>
  <c r="M1020" i="6"/>
  <c r="M1019" i="6"/>
  <c r="M1018" i="6"/>
  <c r="M1017" i="6"/>
  <c r="M1016" i="6"/>
  <c r="M1015" i="6"/>
  <c r="M1014" i="6"/>
  <c r="M1013" i="6"/>
  <c r="M1012" i="6"/>
  <c r="M1011" i="6"/>
  <c r="M1010" i="6"/>
  <c r="M1009" i="6"/>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E49" i="5"/>
  <c r="M48" i="5"/>
  <c r="E48" i="5"/>
  <c r="M47" i="5"/>
  <c r="E47" i="5"/>
  <c r="M46" i="5"/>
  <c r="E46" i="5"/>
  <c r="M45" i="5"/>
  <c r="E45" i="5"/>
  <c r="M44" i="5"/>
  <c r="E44" i="5"/>
  <c r="M39" i="5"/>
  <c r="E39" i="5"/>
  <c r="M38" i="5"/>
  <c r="E38" i="5"/>
  <c r="M37" i="5"/>
  <c r="E37" i="5"/>
  <c r="M36" i="5"/>
  <c r="M35" i="5"/>
  <c r="M34" i="5"/>
  <c r="M33" i="5"/>
  <c r="M32" i="5"/>
  <c r="M31" i="5"/>
  <c r="L30" i="5"/>
  <c r="K30" i="5"/>
  <c r="J30" i="5"/>
  <c r="I30" i="5"/>
  <c r="M30" i="5" s="1"/>
  <c r="H30" i="5"/>
  <c r="L29" i="5"/>
  <c r="K29" i="5"/>
  <c r="J29" i="5"/>
  <c r="I29" i="5"/>
  <c r="M28" i="5"/>
  <c r="M27" i="5"/>
  <c r="M26" i="5"/>
  <c r="M25" i="5"/>
  <c r="M24" i="5"/>
  <c r="L23" i="5"/>
  <c r="K23" i="5"/>
  <c r="J23" i="5"/>
  <c r="I23" i="5"/>
  <c r="M23" i="5" s="1"/>
  <c r="H23" i="5"/>
  <c r="M22" i="5"/>
  <c r="M21" i="5"/>
  <c r="M20" i="5"/>
  <c r="M19" i="5"/>
  <c r="F19" i="5"/>
  <c r="M18" i="5"/>
  <c r="M17" i="5"/>
  <c r="L16" i="5"/>
  <c r="J16" i="5"/>
  <c r="I16" i="5"/>
  <c r="H16" i="5"/>
  <c r="M16" i="5" s="1"/>
  <c r="F16" i="5"/>
  <c r="F23" i="5" s="1"/>
  <c r="F29" i="5" s="1"/>
  <c r="M15" i="5"/>
  <c r="F15" i="5"/>
  <c r="M14" i="5"/>
  <c r="M13" i="5"/>
  <c r="K12" i="5"/>
  <c r="J12" i="5"/>
  <c r="I12" i="5"/>
  <c r="H12" i="5"/>
  <c r="M11" i="5"/>
  <c r="M10" i="5"/>
  <c r="L9" i="5"/>
  <c r="K9" i="5"/>
  <c r="J9" i="5"/>
  <c r="H9" i="5"/>
  <c r="M9" i="5" s="1"/>
  <c r="F9" i="5"/>
  <c r="L8" i="5"/>
  <c r="L12" i="5" s="1"/>
  <c r="J8" i="5"/>
  <c r="H8" i="5"/>
  <c r="H29" i="5" s="1"/>
  <c r="M29" i="5" s="1"/>
  <c r="F8" i="5"/>
  <c r="F12" i="5" s="1"/>
  <c r="M5" i="5"/>
  <c r="M4" i="5"/>
  <c r="M3" i="5"/>
  <c r="E3" i="5"/>
  <c r="M2" i="5"/>
  <c r="E2" i="5"/>
  <c r="M1594" i="4"/>
  <c r="M1593" i="4"/>
  <c r="M1592" i="4"/>
  <c r="M1590" i="4"/>
  <c r="M1589" i="4"/>
  <c r="M1588" i="4"/>
  <c r="M1587" i="4"/>
  <c r="M1586" i="4"/>
  <c r="M1585" i="4"/>
  <c r="M1584" i="4"/>
  <c r="M1583" i="4"/>
  <c r="M1581" i="4"/>
  <c r="M1579" i="4"/>
  <c r="M1578" i="4"/>
  <c r="M1577" i="4"/>
  <c r="M1576" i="4"/>
  <c r="M1575" i="4"/>
  <c r="M1574" i="4"/>
  <c r="M1573" i="4"/>
  <c r="M1572" i="4"/>
  <c r="M1571" i="4"/>
  <c r="M1570" i="4"/>
  <c r="M1569" i="4"/>
  <c r="M1568" i="4"/>
  <c r="M1567" i="4"/>
  <c r="M1566" i="4"/>
  <c r="M1565" i="4"/>
  <c r="M1564" i="4"/>
  <c r="M1562" i="4"/>
  <c r="M1561" i="4"/>
  <c r="M1560" i="4"/>
  <c r="J1559" i="4"/>
  <c r="M1559" i="4" s="1"/>
  <c r="M1558" i="4"/>
  <c r="M1557" i="4"/>
  <c r="M1556" i="4"/>
  <c r="M1555" i="4"/>
  <c r="M1554" i="4"/>
  <c r="M1553" i="4"/>
  <c r="M1552" i="4"/>
  <c r="M1551" i="4"/>
  <c r="M1550" i="4"/>
  <c r="J1550" i="4"/>
  <c r="M1549" i="4"/>
  <c r="J1548" i="4"/>
  <c r="M1548" i="4" s="1"/>
  <c r="M1547" i="4"/>
  <c r="M1546" i="4"/>
  <c r="M1545" i="4"/>
  <c r="M1544" i="4"/>
  <c r="M1543" i="4"/>
  <c r="M1542" i="4"/>
  <c r="M1541" i="4"/>
  <c r="M1540" i="4"/>
  <c r="M1539" i="4"/>
  <c r="M1538" i="4"/>
  <c r="M1537" i="4"/>
  <c r="M1536" i="4"/>
  <c r="M1535" i="4"/>
  <c r="M1534" i="4"/>
  <c r="M1533" i="4"/>
  <c r="M1532" i="4"/>
  <c r="M1531" i="4"/>
  <c r="J1531" i="4"/>
  <c r="M1530" i="4"/>
  <c r="M1529" i="4"/>
  <c r="M1528" i="4"/>
  <c r="M1526" i="4"/>
  <c r="M1525" i="4"/>
  <c r="M1524" i="4"/>
  <c r="M1523" i="4"/>
  <c r="M1522" i="4"/>
  <c r="M1520" i="4"/>
  <c r="M1519" i="4"/>
  <c r="M1518" i="4"/>
  <c r="M1513" i="4"/>
  <c r="M1512" i="4"/>
  <c r="M1511" i="4"/>
  <c r="M1509" i="4"/>
  <c r="M1508" i="4"/>
  <c r="M1507" i="4"/>
  <c r="M1506" i="4"/>
  <c r="M1505" i="4"/>
  <c r="M1504" i="4"/>
  <c r="M1502" i="4"/>
  <c r="M1500" i="4"/>
  <c r="M1498" i="4"/>
  <c r="M1497" i="4"/>
  <c r="M1496" i="4"/>
  <c r="M1495" i="4"/>
  <c r="M1494" i="4"/>
  <c r="M1493" i="4"/>
  <c r="M1492" i="4"/>
  <c r="M1490" i="4"/>
  <c r="M1489" i="4"/>
  <c r="M1488" i="4"/>
  <c r="M1487" i="4"/>
  <c r="M1486" i="4"/>
  <c r="M1484" i="4"/>
  <c r="M1483" i="4"/>
  <c r="M1482" i="4"/>
  <c r="M1481" i="4"/>
  <c r="M1480" i="4"/>
  <c r="M1479" i="4"/>
  <c r="M1478" i="4"/>
  <c r="M1477" i="4"/>
  <c r="M1476" i="4"/>
  <c r="M1475" i="4"/>
  <c r="M1474" i="4"/>
  <c r="M1473" i="4"/>
  <c r="M1472" i="4"/>
  <c r="M1471" i="4"/>
  <c r="M1470" i="4"/>
  <c r="M1469" i="4"/>
  <c r="M1468" i="4"/>
  <c r="M1467" i="4"/>
  <c r="M1466" i="4"/>
  <c r="M1465" i="4"/>
  <c r="M1464" i="4"/>
  <c r="M1463" i="4"/>
  <c r="M1462" i="4"/>
  <c r="M1461" i="4"/>
  <c r="M1460" i="4"/>
  <c r="M1459" i="4"/>
  <c r="M1458" i="4"/>
  <c r="M1457" i="4"/>
  <c r="M1456" i="4"/>
  <c r="M1455" i="4"/>
  <c r="M1454" i="4"/>
  <c r="M1453" i="4"/>
  <c r="M1452" i="4"/>
  <c r="M1451" i="4"/>
  <c r="M1450" i="4"/>
  <c r="M1449" i="4"/>
  <c r="M1448" i="4"/>
  <c r="M1447" i="4"/>
  <c r="M1446" i="4"/>
  <c r="M1445" i="4"/>
  <c r="M1444" i="4"/>
  <c r="M1443" i="4"/>
  <c r="M1442" i="4"/>
  <c r="M1441" i="4"/>
  <c r="M1440" i="4"/>
  <c r="M1439" i="4"/>
  <c r="M1438" i="4"/>
  <c r="M1437" i="4"/>
  <c r="M1435" i="4"/>
  <c r="M1434" i="4"/>
  <c r="M1433" i="4"/>
  <c r="M1432" i="4"/>
  <c r="M1431" i="4"/>
  <c r="M1430" i="4"/>
  <c r="M1429" i="4"/>
  <c r="M1428" i="4"/>
  <c r="M1427" i="4"/>
  <c r="M1426" i="4"/>
  <c r="M1425" i="4"/>
  <c r="M1424" i="4"/>
  <c r="M1423" i="4"/>
  <c r="M1422" i="4"/>
  <c r="M1421" i="4"/>
  <c r="M1420" i="4"/>
  <c r="M1419" i="4"/>
  <c r="M1418" i="4"/>
  <c r="M1417" i="4"/>
  <c r="M1416" i="4"/>
  <c r="M1415" i="4"/>
  <c r="M1414" i="4"/>
  <c r="M1413" i="4"/>
  <c r="M1412" i="4"/>
  <c r="M1411" i="4"/>
  <c r="M1410" i="4"/>
  <c r="M1409" i="4"/>
  <c r="M1408" i="4"/>
  <c r="M1407" i="4"/>
  <c r="M1406" i="4"/>
  <c r="M1405" i="4"/>
  <c r="M1404" i="4"/>
  <c r="M1403" i="4"/>
  <c r="M1402" i="4"/>
  <c r="M1401" i="4"/>
  <c r="M1400" i="4"/>
  <c r="M1399" i="4"/>
  <c r="M1398" i="4"/>
  <c r="M1397" i="4"/>
  <c r="M1396" i="4"/>
  <c r="M1395" i="4"/>
  <c r="M1394" i="4"/>
  <c r="M1393" i="4"/>
  <c r="M1392" i="4"/>
  <c r="M1391" i="4"/>
  <c r="M1390" i="4"/>
  <c r="M1389" i="4"/>
  <c r="M1388" i="4"/>
  <c r="M1387" i="4"/>
  <c r="M1386" i="4"/>
  <c r="M1385" i="4"/>
  <c r="M1384" i="4"/>
  <c r="M1383" i="4"/>
  <c r="M1382" i="4"/>
  <c r="M1381" i="4"/>
  <c r="M1380" i="4"/>
  <c r="M1379" i="4"/>
  <c r="M1378" i="4"/>
  <c r="M1377" i="4"/>
  <c r="M1376" i="4"/>
  <c r="M1375" i="4"/>
  <c r="J1375" i="4"/>
  <c r="M1374" i="4"/>
  <c r="M1373" i="4"/>
  <c r="M1372" i="4"/>
  <c r="M1371" i="4"/>
  <c r="M1370" i="4"/>
  <c r="M1369" i="4"/>
  <c r="M1368" i="4"/>
  <c r="M1367" i="4"/>
  <c r="J1366" i="4"/>
  <c r="M1366" i="4" s="1"/>
  <c r="M1365" i="4"/>
  <c r="M1364" i="4"/>
  <c r="J1364" i="4"/>
  <c r="M1363" i="4"/>
  <c r="M1362" i="4"/>
  <c r="M1361" i="4"/>
  <c r="M1360" i="4"/>
  <c r="M1359" i="4"/>
  <c r="M1358" i="4"/>
  <c r="M1357" i="4"/>
  <c r="M1356" i="4"/>
  <c r="M1355" i="4"/>
  <c r="M1354" i="4"/>
  <c r="M1353" i="4"/>
  <c r="M1352" i="4"/>
  <c r="M1351" i="4"/>
  <c r="M1350" i="4"/>
  <c r="M1349" i="4"/>
  <c r="M1348" i="4"/>
  <c r="M1347" i="4"/>
  <c r="J1347" i="4"/>
  <c r="M1346" i="4"/>
  <c r="M1345" i="4"/>
  <c r="M1344" i="4"/>
  <c r="J1343" i="4"/>
  <c r="M1343" i="4" s="1"/>
  <c r="M1342" i="4"/>
  <c r="M1341" i="4"/>
  <c r="M1340" i="4"/>
  <c r="M1339" i="4"/>
  <c r="M1338" i="4"/>
  <c r="M1337" i="4"/>
  <c r="M1336" i="4"/>
  <c r="M1335" i="4"/>
  <c r="J1334" i="4"/>
  <c r="M1334" i="4" s="1"/>
  <c r="M1333" i="4"/>
  <c r="J1332" i="4"/>
  <c r="M1332" i="4" s="1"/>
  <c r="M1331" i="4"/>
  <c r="M1330" i="4"/>
  <c r="M1329" i="4"/>
  <c r="M1328" i="4"/>
  <c r="M1327" i="4"/>
  <c r="M1326" i="4"/>
  <c r="M1325" i="4"/>
  <c r="M1324" i="4"/>
  <c r="M1323" i="4"/>
  <c r="M1322" i="4"/>
  <c r="M1321" i="4"/>
  <c r="M1320" i="4"/>
  <c r="M1319" i="4"/>
  <c r="M1318" i="4"/>
  <c r="M1317" i="4"/>
  <c r="M1316" i="4"/>
  <c r="M1315" i="4"/>
  <c r="J1315" i="4"/>
  <c r="M1314" i="4"/>
  <c r="M1313" i="4"/>
  <c r="M1312" i="4"/>
  <c r="M1311" i="4"/>
  <c r="J1311" i="4"/>
  <c r="M1310" i="4"/>
  <c r="M1309" i="4"/>
  <c r="M1308" i="4"/>
  <c r="M1307" i="4"/>
  <c r="M1306" i="4"/>
  <c r="M1305" i="4"/>
  <c r="M1304" i="4"/>
  <c r="M1303" i="4"/>
  <c r="J1302" i="4"/>
  <c r="M1302" i="4" s="1"/>
  <c r="M1301" i="4"/>
  <c r="M1300" i="4"/>
  <c r="J1300" i="4"/>
  <c r="M1299" i="4"/>
  <c r="M1298" i="4"/>
  <c r="M1297" i="4"/>
  <c r="M1296" i="4"/>
  <c r="M1295" i="4"/>
  <c r="M1294" i="4"/>
  <c r="M1293" i="4"/>
  <c r="M1292" i="4"/>
  <c r="M1291" i="4"/>
  <c r="M1290" i="4"/>
  <c r="M1289" i="4"/>
  <c r="M1288" i="4"/>
  <c r="M1287" i="4"/>
  <c r="M1286" i="4"/>
  <c r="M1285" i="4"/>
  <c r="M1284" i="4"/>
  <c r="M1283" i="4"/>
  <c r="J1283" i="4"/>
  <c r="M1282" i="4"/>
  <c r="M1281" i="4"/>
  <c r="M1280" i="4"/>
  <c r="J1279" i="4"/>
  <c r="M1279" i="4" s="1"/>
  <c r="M1278" i="4"/>
  <c r="M1277" i="4"/>
  <c r="M1276" i="4"/>
  <c r="M1275" i="4"/>
  <c r="M1274" i="4"/>
  <c r="M1273" i="4"/>
  <c r="M1272" i="4"/>
  <c r="M1271" i="4"/>
  <c r="J1270" i="4"/>
  <c r="M1270" i="4" s="1"/>
  <c r="M1269" i="4"/>
  <c r="J1268" i="4"/>
  <c r="M1268" i="4" s="1"/>
  <c r="M1267" i="4"/>
  <c r="M1266" i="4"/>
  <c r="M1265" i="4"/>
  <c r="M1264" i="4"/>
  <c r="M1263" i="4"/>
  <c r="M1262" i="4"/>
  <c r="M1261" i="4"/>
  <c r="M1260" i="4"/>
  <c r="M1259" i="4"/>
  <c r="M1258" i="4"/>
  <c r="M1257" i="4"/>
  <c r="M1256" i="4"/>
  <c r="M1255" i="4"/>
  <c r="M1254" i="4"/>
  <c r="M1253" i="4"/>
  <c r="M1252" i="4"/>
  <c r="M1251" i="4"/>
  <c r="J1251" i="4"/>
  <c r="M1250" i="4"/>
  <c r="M1249" i="4"/>
  <c r="M1248" i="4"/>
  <c r="M1247" i="4"/>
  <c r="J1247" i="4"/>
  <c r="M1246" i="4"/>
  <c r="M1245" i="4"/>
  <c r="M1244" i="4"/>
  <c r="M1243" i="4"/>
  <c r="M1242" i="4"/>
  <c r="M1241" i="4"/>
  <c r="M1240" i="4"/>
  <c r="M1239" i="4"/>
  <c r="J1238" i="4"/>
  <c r="M1238" i="4" s="1"/>
  <c r="M1237" i="4"/>
  <c r="M1236" i="4"/>
  <c r="J1236" i="4"/>
  <c r="M1235" i="4"/>
  <c r="M1234" i="4"/>
  <c r="M1233" i="4"/>
  <c r="M1232" i="4"/>
  <c r="M1231" i="4"/>
  <c r="M1230" i="4"/>
  <c r="M1229" i="4"/>
  <c r="M1228" i="4"/>
  <c r="M1227" i="4"/>
  <c r="M1226" i="4"/>
  <c r="M1225" i="4"/>
  <c r="M1224" i="4"/>
  <c r="M1223" i="4"/>
  <c r="M1222" i="4"/>
  <c r="M1221" i="4"/>
  <c r="M1220" i="4"/>
  <c r="M1219" i="4"/>
  <c r="J1219" i="4"/>
  <c r="M1218" i="4"/>
  <c r="M1217" i="4"/>
  <c r="M1216" i="4"/>
  <c r="J1215" i="4"/>
  <c r="M1215" i="4" s="1"/>
  <c r="M1214" i="4"/>
  <c r="M1213" i="4"/>
  <c r="M1212" i="4"/>
  <c r="M1211" i="4"/>
  <c r="M1210" i="4"/>
  <c r="M1209" i="4"/>
  <c r="M1208" i="4"/>
  <c r="M1207" i="4"/>
  <c r="J1206" i="4"/>
  <c r="M1206" i="4" s="1"/>
  <c r="M1205" i="4"/>
  <c r="J1204" i="4"/>
  <c r="M1204" i="4" s="1"/>
  <c r="M1203" i="4"/>
  <c r="M1202" i="4"/>
  <c r="M1201" i="4"/>
  <c r="M1200" i="4"/>
  <c r="M1199" i="4"/>
  <c r="M1198" i="4"/>
  <c r="M1197" i="4"/>
  <c r="M1196" i="4"/>
  <c r="M1195" i="4"/>
  <c r="M1194" i="4"/>
  <c r="M1193" i="4"/>
  <c r="M1192" i="4"/>
  <c r="M1191" i="4"/>
  <c r="M1190" i="4"/>
  <c r="M1189" i="4"/>
  <c r="M1188" i="4"/>
  <c r="M1187" i="4"/>
  <c r="J1187" i="4"/>
  <c r="M1186" i="4"/>
  <c r="J1185" i="4"/>
  <c r="M1185" i="4" s="1"/>
  <c r="M1184" i="4"/>
  <c r="J1183" i="4"/>
  <c r="M1183" i="4" s="1"/>
  <c r="M1182" i="4"/>
  <c r="M1181" i="4"/>
  <c r="M1180" i="4"/>
  <c r="M1179" i="4"/>
  <c r="M1178" i="4"/>
  <c r="M1177" i="4"/>
  <c r="M1176" i="4"/>
  <c r="M1175" i="4"/>
  <c r="M1174" i="4"/>
  <c r="J1174" i="4"/>
  <c r="M1173" i="4"/>
  <c r="J1172" i="4"/>
  <c r="M1172" i="4" s="1"/>
  <c r="M1171" i="4"/>
  <c r="M1170" i="4"/>
  <c r="M1169" i="4"/>
  <c r="M1168" i="4"/>
  <c r="M1167" i="4"/>
  <c r="M1166" i="4"/>
  <c r="M1165" i="4"/>
  <c r="M1164" i="4"/>
  <c r="M1163" i="4"/>
  <c r="M1162" i="4"/>
  <c r="M1161" i="4"/>
  <c r="M1160" i="4"/>
  <c r="M1159" i="4"/>
  <c r="M1158" i="4"/>
  <c r="M1157" i="4"/>
  <c r="M1156" i="4"/>
  <c r="M1155" i="4"/>
  <c r="J1155" i="4"/>
  <c r="M1154" i="4"/>
  <c r="M1153" i="4"/>
  <c r="M1152" i="4"/>
  <c r="M1151" i="4"/>
  <c r="J1151" i="4"/>
  <c r="M1150" i="4"/>
  <c r="M1149" i="4"/>
  <c r="M1148" i="4"/>
  <c r="M1147" i="4"/>
  <c r="M1146" i="4"/>
  <c r="M1145" i="4"/>
  <c r="M1144" i="4"/>
  <c r="M1143" i="4"/>
  <c r="M1142" i="4"/>
  <c r="J1142" i="4"/>
  <c r="M1141" i="4"/>
  <c r="J1140" i="4"/>
  <c r="M1140" i="4" s="1"/>
  <c r="M1139" i="4"/>
  <c r="M1138" i="4"/>
  <c r="M1137" i="4"/>
  <c r="M1136" i="4"/>
  <c r="M1135" i="4"/>
  <c r="M1134" i="4"/>
  <c r="M1133" i="4"/>
  <c r="M1132" i="4"/>
  <c r="M1131" i="4"/>
  <c r="M1130" i="4"/>
  <c r="M1129" i="4"/>
  <c r="M1128" i="4"/>
  <c r="M1127" i="4"/>
  <c r="M1126" i="4"/>
  <c r="M1125" i="4"/>
  <c r="M1124" i="4"/>
  <c r="J1123" i="4"/>
  <c r="M1123" i="4" s="1"/>
  <c r="M1122" i="4"/>
  <c r="M1121" i="4"/>
  <c r="J1121" i="4"/>
  <c r="M1120" i="4"/>
  <c r="J1119" i="4"/>
  <c r="M1119" i="4" s="1"/>
  <c r="M1118" i="4"/>
  <c r="M1117" i="4"/>
  <c r="M1116" i="4"/>
  <c r="M1115" i="4"/>
  <c r="M1114" i="4"/>
  <c r="M1113" i="4"/>
  <c r="M1112" i="4"/>
  <c r="M1111" i="4"/>
  <c r="J1110" i="4"/>
  <c r="M1110" i="4" s="1"/>
  <c r="M1109" i="4"/>
  <c r="M1108" i="4"/>
  <c r="J1108" i="4"/>
  <c r="M1107" i="4"/>
  <c r="M1106" i="4"/>
  <c r="M1105" i="4"/>
  <c r="M1104" i="4"/>
  <c r="M1103" i="4"/>
  <c r="M1102" i="4"/>
  <c r="M1101" i="4"/>
  <c r="M1100" i="4"/>
  <c r="M1099" i="4"/>
  <c r="M1098" i="4"/>
  <c r="M1097" i="4"/>
  <c r="M1096" i="4"/>
  <c r="M1095" i="4"/>
  <c r="M1094" i="4"/>
  <c r="M1093" i="4"/>
  <c r="M1092" i="4"/>
  <c r="J1091" i="4"/>
  <c r="M1091" i="4" s="1"/>
  <c r="M1090" i="4"/>
  <c r="M1089" i="4"/>
  <c r="M1088" i="4"/>
  <c r="M1087" i="4"/>
  <c r="M1086" i="4"/>
  <c r="M1085" i="4"/>
  <c r="M1084" i="4"/>
  <c r="M1083" i="4"/>
  <c r="M1082" i="4"/>
  <c r="M1081" i="4"/>
  <c r="M1080" i="4"/>
  <c r="M1079" i="4"/>
  <c r="M1078" i="4"/>
  <c r="M1077" i="4"/>
  <c r="M1076" i="4"/>
  <c r="M1075" i="4"/>
  <c r="M1074" i="4"/>
  <c r="M1073" i="4"/>
  <c r="M1072" i="4"/>
  <c r="M1071" i="4"/>
  <c r="M1070" i="4"/>
  <c r="M1069" i="4"/>
  <c r="M1068" i="4"/>
  <c r="M1067" i="4"/>
  <c r="M1066" i="4"/>
  <c r="M1065" i="4"/>
  <c r="M1064" i="4"/>
  <c r="M1063" i="4"/>
  <c r="M1062" i="4"/>
  <c r="M1061" i="4"/>
  <c r="M1060" i="4"/>
  <c r="J1059" i="4"/>
  <c r="M1059" i="4" s="1"/>
  <c r="M1058" i="4"/>
  <c r="M1057" i="4"/>
  <c r="J1057" i="4"/>
  <c r="M1056" i="4"/>
  <c r="M1055" i="4"/>
  <c r="M1054" i="4"/>
  <c r="M1053" i="4"/>
  <c r="M1052" i="4"/>
  <c r="M1051" i="4"/>
  <c r="M1050" i="4"/>
  <c r="M1049" i="4"/>
  <c r="M1048" i="4"/>
  <c r="J1048" i="4"/>
  <c r="M1047" i="4"/>
  <c r="J1046" i="4"/>
  <c r="M1046" i="4" s="1"/>
  <c r="M1045" i="4"/>
  <c r="M1044" i="4"/>
  <c r="M1043" i="4"/>
  <c r="M1042" i="4"/>
  <c r="M1041" i="4"/>
  <c r="M1040" i="4"/>
  <c r="M1039" i="4"/>
  <c r="M1038" i="4"/>
  <c r="M1037" i="4"/>
  <c r="M1036" i="4"/>
  <c r="M1035" i="4"/>
  <c r="M1034" i="4"/>
  <c r="M1033" i="4"/>
  <c r="M1032" i="4"/>
  <c r="M1031" i="4"/>
  <c r="M1030" i="4"/>
  <c r="J1029" i="4"/>
  <c r="M1029" i="4" s="1"/>
  <c r="M1027" i="4"/>
  <c r="M1026" i="4"/>
  <c r="M1025" i="4"/>
  <c r="M1024" i="4"/>
  <c r="M1023" i="4"/>
  <c r="M1022" i="4"/>
  <c r="M1021" i="4"/>
  <c r="M1020" i="4"/>
  <c r="M1019" i="4"/>
  <c r="M1018" i="4"/>
  <c r="M1017" i="4"/>
  <c r="M1016" i="4"/>
  <c r="M1015" i="4"/>
  <c r="M1014" i="4"/>
  <c r="M1013" i="4"/>
  <c r="M1012" i="4"/>
  <c r="M1011" i="4"/>
  <c r="M1010" i="4"/>
  <c r="M1009" i="4"/>
  <c r="M1008" i="4"/>
  <c r="M1007" i="4"/>
  <c r="M1006" i="4"/>
  <c r="M1005" i="4"/>
  <c r="M1004" i="4"/>
  <c r="M1003" i="4"/>
  <c r="M1002" i="4"/>
  <c r="M1001" i="4"/>
  <c r="M1000" i="4"/>
  <c r="M999" i="4"/>
  <c r="M998"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3" i="4"/>
  <c r="M929" i="4"/>
  <c r="M928" i="4"/>
  <c r="M926" i="4"/>
  <c r="J926" i="4"/>
  <c r="M925" i="4"/>
  <c r="J924" i="4"/>
  <c r="M924" i="4" s="1"/>
  <c r="M923" i="4"/>
  <c r="M922" i="4"/>
  <c r="M921" i="4"/>
  <c r="M920" i="4"/>
  <c r="M919" i="4"/>
  <c r="M918" i="4"/>
  <c r="M917" i="4"/>
  <c r="M916" i="4"/>
  <c r="M915" i="4"/>
  <c r="J915" i="4"/>
  <c r="M914" i="4"/>
  <c r="M913" i="4"/>
  <c r="J913" i="4"/>
  <c r="M912" i="4"/>
  <c r="M911" i="4"/>
  <c r="M910" i="4"/>
  <c r="M909" i="4"/>
  <c r="M908" i="4"/>
  <c r="M907" i="4"/>
  <c r="M906" i="4"/>
  <c r="M905" i="4"/>
  <c r="M904" i="4"/>
  <c r="M903" i="4"/>
  <c r="M902" i="4"/>
  <c r="M901" i="4"/>
  <c r="M900" i="4"/>
  <c r="M899" i="4"/>
  <c r="M898" i="4"/>
  <c r="M897" i="4"/>
  <c r="M896" i="4"/>
  <c r="J896" i="4"/>
  <c r="M895" i="4"/>
  <c r="E895" i="4"/>
  <c r="M894" i="4"/>
  <c r="E894" i="4"/>
  <c r="M893" i="4"/>
  <c r="E893" i="4"/>
  <c r="M892" i="4"/>
  <c r="E892" i="4"/>
  <c r="M891" i="4"/>
  <c r="E891" i="4"/>
  <c r="M890" i="4"/>
  <c r="E890" i="4"/>
  <c r="M889" i="4"/>
  <c r="E889" i="4"/>
  <c r="M888" i="4"/>
  <c r="E888" i="4"/>
  <c r="M887" i="4"/>
  <c r="E887" i="4"/>
  <c r="M886" i="4"/>
  <c r="E886" i="4"/>
  <c r="M885" i="4"/>
  <c r="E885" i="4"/>
  <c r="M884" i="4"/>
  <c r="E884" i="4"/>
  <c r="M883" i="4"/>
  <c r="E883" i="4"/>
  <c r="M882" i="4"/>
  <c r="E882" i="4"/>
  <c r="M881" i="4"/>
  <c r="E881" i="4"/>
  <c r="M880" i="4"/>
  <c r="E880" i="4"/>
  <c r="M879" i="4"/>
  <c r="E879" i="4"/>
  <c r="M878" i="4"/>
  <c r="E878" i="4"/>
  <c r="M877" i="4"/>
  <c r="E877" i="4"/>
  <c r="M876" i="4"/>
  <c r="E876" i="4"/>
  <c r="M875" i="4"/>
  <c r="E875" i="4"/>
  <c r="M874" i="4"/>
  <c r="E874" i="4"/>
  <c r="M873" i="4"/>
  <c r="E873" i="4"/>
  <c r="M872" i="4"/>
  <c r="E872" i="4"/>
  <c r="M871" i="4"/>
  <c r="E871" i="4"/>
  <c r="M870" i="4"/>
  <c r="E870" i="4"/>
  <c r="M869" i="4"/>
  <c r="E869" i="4"/>
  <c r="M868" i="4"/>
  <c r="E868" i="4"/>
  <c r="M867" i="4"/>
  <c r="E867" i="4"/>
  <c r="M866" i="4"/>
  <c r="E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E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M445" i="3"/>
  <c r="D445" i="3"/>
  <c r="M444" i="3"/>
  <c r="M443" i="3"/>
  <c r="M442" i="3"/>
  <c r="M441" i="3"/>
  <c r="M440" i="3"/>
  <c r="M439" i="3"/>
  <c r="D439" i="3"/>
  <c r="C439" i="3"/>
  <c r="M437" i="3"/>
  <c r="M436" i="3"/>
  <c r="D436" i="3"/>
  <c r="C436" i="3"/>
  <c r="M435" i="3"/>
  <c r="M434" i="3"/>
  <c r="M433" i="3"/>
  <c r="D433" i="3"/>
  <c r="C433" i="3"/>
  <c r="M432" i="3"/>
  <c r="M431" i="3"/>
  <c r="M430" i="3"/>
  <c r="D430" i="3"/>
  <c r="C430" i="3"/>
  <c r="M429" i="3"/>
  <c r="M428" i="3"/>
  <c r="M427" i="3"/>
  <c r="D427" i="3"/>
  <c r="C427" i="3"/>
  <c r="M425" i="3"/>
  <c r="M424" i="3"/>
  <c r="D424" i="3"/>
  <c r="C424" i="3"/>
  <c r="M423" i="3"/>
  <c r="M422" i="3"/>
  <c r="M421" i="3"/>
  <c r="D421" i="3"/>
  <c r="C421" i="3"/>
  <c r="M420" i="3"/>
  <c r="M419" i="3"/>
  <c r="M418" i="3"/>
  <c r="D418" i="3"/>
  <c r="C418" i="3"/>
  <c r="M417" i="3"/>
  <c r="M416" i="3"/>
  <c r="M415" i="3"/>
  <c r="D415" i="3"/>
  <c r="C415" i="3"/>
  <c r="M414" i="3"/>
  <c r="M413" i="3"/>
  <c r="M412" i="3"/>
  <c r="D412" i="3"/>
  <c r="C412" i="3"/>
  <c r="M411" i="3"/>
  <c r="M410" i="3"/>
  <c r="M409" i="3"/>
  <c r="D409" i="3"/>
  <c r="C409" i="3"/>
  <c r="M408" i="3"/>
  <c r="M407" i="3"/>
  <c r="M406" i="3"/>
  <c r="F406" i="3"/>
  <c r="D406" i="3"/>
  <c r="C406" i="3"/>
  <c r="M405" i="3"/>
  <c r="M404" i="3"/>
  <c r="M403" i="3"/>
  <c r="D403" i="3"/>
  <c r="C403" i="3"/>
  <c r="M402" i="3"/>
  <c r="M401" i="3"/>
  <c r="M400" i="3"/>
  <c r="D400" i="3"/>
  <c r="C400" i="3"/>
  <c r="M399" i="3"/>
  <c r="M398" i="3"/>
  <c r="M397" i="3"/>
  <c r="D397" i="3"/>
  <c r="C397" i="3"/>
  <c r="M396" i="3"/>
  <c r="M395" i="3"/>
  <c r="M394" i="3"/>
  <c r="D394" i="3"/>
  <c r="C394" i="3"/>
  <c r="M393" i="3"/>
  <c r="M392" i="3"/>
  <c r="M391" i="3"/>
  <c r="D391" i="3"/>
  <c r="C391" i="3"/>
  <c r="M390" i="3"/>
  <c r="M389" i="3"/>
  <c r="M388" i="3"/>
  <c r="D388" i="3"/>
  <c r="C388" i="3"/>
  <c r="M387" i="3"/>
  <c r="M386" i="3"/>
  <c r="M385" i="3"/>
  <c r="D385" i="3"/>
  <c r="C385" i="3"/>
  <c r="M384" i="3"/>
  <c r="M383" i="3"/>
  <c r="M382" i="3"/>
  <c r="D382" i="3"/>
  <c r="C382" i="3"/>
  <c r="M381" i="3"/>
  <c r="M380" i="3"/>
  <c r="M379" i="3"/>
  <c r="D379" i="3"/>
  <c r="C379" i="3"/>
  <c r="M378" i="3"/>
  <c r="M377" i="3"/>
  <c r="M376" i="3"/>
  <c r="D376" i="3"/>
  <c r="C376" i="3"/>
  <c r="M375" i="3"/>
  <c r="M374" i="3"/>
  <c r="M373" i="3"/>
  <c r="D373" i="3"/>
  <c r="C373" i="3"/>
  <c r="M372" i="3"/>
  <c r="M371" i="3"/>
  <c r="M370" i="3"/>
  <c r="D370" i="3"/>
  <c r="C370" i="3"/>
  <c r="M369" i="3"/>
  <c r="M368" i="3"/>
  <c r="M367" i="3"/>
  <c r="D367" i="3"/>
  <c r="C367" i="3"/>
  <c r="M366" i="3"/>
  <c r="M365" i="3"/>
  <c r="M364" i="3"/>
  <c r="D364" i="3"/>
  <c r="C364" i="3"/>
  <c r="M363" i="3"/>
  <c r="M362" i="3"/>
  <c r="M361" i="3"/>
  <c r="D361" i="3"/>
  <c r="C361" i="3"/>
  <c r="M360" i="3"/>
  <c r="M359" i="3"/>
  <c r="M358" i="3"/>
  <c r="D358" i="3"/>
  <c r="C358" i="3"/>
  <c r="M357" i="3"/>
  <c r="M356" i="3"/>
  <c r="M355" i="3"/>
  <c r="D355" i="3"/>
  <c r="C355" i="3"/>
  <c r="M354" i="3"/>
  <c r="M353" i="3"/>
  <c r="M352" i="3"/>
  <c r="M351" i="3"/>
  <c r="M350" i="3"/>
  <c r="M349" i="3"/>
  <c r="M348" i="3"/>
  <c r="M347" i="3"/>
  <c r="M346" i="3"/>
  <c r="M345" i="3"/>
  <c r="M344" i="3"/>
  <c r="M340" i="3"/>
  <c r="M339" i="3"/>
  <c r="M337" i="3"/>
  <c r="M333" i="3"/>
  <c r="M332" i="3"/>
  <c r="M330" i="3"/>
  <c r="M326" i="3"/>
  <c r="M325" i="3"/>
  <c r="M323" i="3"/>
  <c r="M319" i="3"/>
  <c r="M318" i="3"/>
  <c r="M316" i="3"/>
  <c r="M312" i="3"/>
  <c r="M311" i="3"/>
  <c r="M309" i="3"/>
  <c r="M305" i="3"/>
  <c r="M304" i="3"/>
  <c r="M297" i="3"/>
  <c r="M296" i="3"/>
  <c r="M292" i="3"/>
  <c r="M291"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D244" i="3"/>
  <c r="M243" i="3"/>
  <c r="M242" i="3"/>
  <c r="M241" i="3"/>
  <c r="M240" i="3"/>
  <c r="M239" i="3"/>
  <c r="M238" i="3"/>
  <c r="D238" i="3"/>
  <c r="C238" i="3"/>
  <c r="M236" i="3"/>
  <c r="M235" i="3"/>
  <c r="D235" i="3"/>
  <c r="C235" i="3"/>
  <c r="M234" i="3"/>
  <c r="M233" i="3"/>
  <c r="M232" i="3"/>
  <c r="D232" i="3"/>
  <c r="C232" i="3"/>
  <c r="M231" i="3"/>
  <c r="M230" i="3"/>
  <c r="M229" i="3"/>
  <c r="D229" i="3"/>
  <c r="C229" i="3"/>
  <c r="M228" i="3"/>
  <c r="M227" i="3"/>
  <c r="M226" i="3"/>
  <c r="D226" i="3"/>
  <c r="C226" i="3"/>
  <c r="M224" i="3"/>
  <c r="M223" i="3"/>
  <c r="D223" i="3"/>
  <c r="C223" i="3"/>
  <c r="M222" i="3"/>
  <c r="M221" i="3"/>
  <c r="M220" i="3"/>
  <c r="D220" i="3"/>
  <c r="C220" i="3"/>
  <c r="M219" i="3"/>
  <c r="M218" i="3"/>
  <c r="M217" i="3"/>
  <c r="D217" i="3"/>
  <c r="C217" i="3"/>
  <c r="M216" i="3"/>
  <c r="M215" i="3"/>
  <c r="M214" i="3"/>
  <c r="D214" i="3"/>
  <c r="C214" i="3"/>
  <c r="M213" i="3"/>
  <c r="M212" i="3"/>
  <c r="M211" i="3"/>
  <c r="D211" i="3"/>
  <c r="C211" i="3"/>
  <c r="M210" i="3"/>
  <c r="M209" i="3"/>
  <c r="M208" i="3"/>
  <c r="D208" i="3"/>
  <c r="C208" i="3"/>
  <c r="M207" i="3"/>
  <c r="M206" i="3"/>
  <c r="M205" i="3"/>
  <c r="F205" i="3"/>
  <c r="D205" i="3"/>
  <c r="C205" i="3"/>
  <c r="M204" i="3"/>
  <c r="M203" i="3"/>
  <c r="M202" i="3"/>
  <c r="D202" i="3"/>
  <c r="C202" i="3"/>
  <c r="M201" i="3"/>
  <c r="M200" i="3"/>
  <c r="M199" i="3"/>
  <c r="D199" i="3"/>
  <c r="C199" i="3"/>
  <c r="M198" i="3"/>
  <c r="M197" i="3"/>
  <c r="M196" i="3"/>
  <c r="D196" i="3"/>
  <c r="C196" i="3"/>
  <c r="M195" i="3"/>
  <c r="M194" i="3"/>
  <c r="M193" i="3"/>
  <c r="D193" i="3"/>
  <c r="C193" i="3"/>
  <c r="M192" i="3"/>
  <c r="M191" i="3"/>
  <c r="M190" i="3"/>
  <c r="D190" i="3"/>
  <c r="C190" i="3"/>
  <c r="M189" i="3"/>
  <c r="M188" i="3"/>
  <c r="M187" i="3"/>
  <c r="D187" i="3"/>
  <c r="C187" i="3"/>
  <c r="M186" i="3"/>
  <c r="M185" i="3"/>
  <c r="M184" i="3"/>
  <c r="D184" i="3"/>
  <c r="C184" i="3"/>
  <c r="M183" i="3"/>
  <c r="M182" i="3"/>
  <c r="M181" i="3"/>
  <c r="D181" i="3"/>
  <c r="C181" i="3"/>
  <c r="M180" i="3"/>
  <c r="M179" i="3"/>
  <c r="M178" i="3"/>
  <c r="D178" i="3"/>
  <c r="C178" i="3"/>
  <c r="M177" i="3"/>
  <c r="M176" i="3"/>
  <c r="M175" i="3"/>
  <c r="D175" i="3"/>
  <c r="C175" i="3"/>
  <c r="M174" i="3"/>
  <c r="M173" i="3"/>
  <c r="M172" i="3"/>
  <c r="D172" i="3"/>
  <c r="C172" i="3"/>
  <c r="M171" i="3"/>
  <c r="M170" i="3"/>
  <c r="M169" i="3"/>
  <c r="D169" i="3"/>
  <c r="C169" i="3"/>
  <c r="M168" i="3"/>
  <c r="M167" i="3"/>
  <c r="M166" i="3"/>
  <c r="D166" i="3"/>
  <c r="C166" i="3"/>
  <c r="M165" i="3"/>
  <c r="M164" i="3"/>
  <c r="M163" i="3"/>
  <c r="D163" i="3"/>
  <c r="C163" i="3"/>
  <c r="M162" i="3"/>
  <c r="M161" i="3"/>
  <c r="M160" i="3"/>
  <c r="D160" i="3"/>
  <c r="C160" i="3"/>
  <c r="M159" i="3"/>
  <c r="M158" i="3"/>
  <c r="M157" i="3"/>
  <c r="D157" i="3"/>
  <c r="C157" i="3"/>
  <c r="M156" i="3"/>
  <c r="M155" i="3"/>
  <c r="M154" i="3"/>
  <c r="D154" i="3"/>
  <c r="C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E3" i="3"/>
  <c r="M2" i="3"/>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753" i="2"/>
  <c r="L1752" i="2"/>
  <c r="L1751" i="2"/>
  <c r="L175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M12" i="5" l="1"/>
  <c r="M8" i="5"/>
  <c r="F22" i="5"/>
  <c r="F26" i="5" s="1"/>
</calcChain>
</file>

<file path=xl/sharedStrings.xml><?xml version="1.0" encoding="utf-8"?>
<sst xmlns="http://schemas.openxmlformats.org/spreadsheetml/2006/main" count="54053" uniqueCount="1302">
  <si>
    <t>Compartment</t>
  </si>
  <si>
    <t>Country</t>
  </si>
  <si>
    <t>Material</t>
  </si>
  <si>
    <t>Data</t>
  </si>
  <si>
    <t>Source</t>
  </si>
  <si>
    <t>Geo</t>
  </si>
  <si>
    <t>Temp</t>
  </si>
  <si>
    <t>Mat</t>
  </si>
  <si>
    <t>Tech</t>
  </si>
  <si>
    <t>Rel</t>
  </si>
  <si>
    <t>Spread</t>
  </si>
  <si>
    <t>Codes and comments</t>
  </si>
  <si>
    <t>PrimaryProduction</t>
  </si>
  <si>
    <t>AT</t>
  </si>
  <si>
    <t>LDPE</t>
  </si>
  <si>
    <t>Eurostat. (2025). Total production [Dataset]. https://ec.europa.eu/eurostat/databrowser/view/ds-056121__custom_17553019/default/table?page=time:2027</t>
  </si>
  <si>
    <t xml:space="preserve"> </t>
  </si>
  <si>
    <t>20161035, 20161039</t>
  </si>
  <si>
    <t>BE</t>
  </si>
  <si>
    <t>Eurostat. (2025). Total production [Dataset]. https://ec.europa.eu/eurostat/databrowser/view/ds-056121__custom_17553019/default/table?page=time:2020</t>
  </si>
  <si>
    <t>BG</t>
  </si>
  <si>
    <t>Eurostat. (2025). Total production [Dataset]. https://ec.europa.eu/eurostat/databrowser/view/ds-056121__custom_17553019/default/table?page=time:2021</t>
  </si>
  <si>
    <t>HR</t>
  </si>
  <si>
    <t>CY</t>
  </si>
  <si>
    <t>CZ</t>
  </si>
  <si>
    <t>DK</t>
  </si>
  <si>
    <t>EE</t>
  </si>
  <si>
    <t>FI</t>
  </si>
  <si>
    <t>FR</t>
  </si>
  <si>
    <t>Eurostat. (2025). Total production [Dataset]. https://ec.europa.eu/eurostat/databrowser/view/ds-056121__custom_17553019/default/table?page=time:2028</t>
  </si>
  <si>
    <t>DE</t>
  </si>
  <si>
    <t>Eurostat. (2025). Total production [Dataset]. https://ec.europa.eu/eurostat/databrowser/view/ds-056121__custom_17553019/default/table?page=time:2029</t>
  </si>
  <si>
    <t>EL</t>
  </si>
  <si>
    <t>Eurostat. (2025). Total production [Dataset]. https://ec.europa.eu/eurostat/databrowser/view/ds-056121__custom_17553019/default/table?page=time:2030</t>
  </si>
  <si>
    <t>HU</t>
  </si>
  <si>
    <t>Eurostat. (2025). Total production [Dataset]. https://ec.europa.eu/eurostat/databrowser/view/ds-056121__custom_17553019/default/table?page=time:2031</t>
  </si>
  <si>
    <t>IE</t>
  </si>
  <si>
    <t>IT</t>
  </si>
  <si>
    <t>Eurostat. (2025). Total production [Dataset]. https://ec.europa.eu/eurostat/databrowser/view/ds-056121__custom_17553019/default/table?page=time:2033</t>
  </si>
  <si>
    <t>LV</t>
  </si>
  <si>
    <t>LT</t>
  </si>
  <si>
    <t>LU</t>
  </si>
  <si>
    <t>MT</t>
  </si>
  <si>
    <t>NL</t>
  </si>
  <si>
    <t>Eurostat. (2025). Total production [Dataset]. https://ec.europa.eu/eurostat/databrowser/view/ds-056121__custom_17553019/default/table?page=time:2038</t>
  </si>
  <si>
    <t>NO</t>
  </si>
  <si>
    <t>PL</t>
  </si>
  <si>
    <t>Eurostat. (2025). Total production [Dataset]. https://ec.europa.eu/eurostat/databrowser/view/ds-056121__custom_17553019/default/table?page=time:2040</t>
  </si>
  <si>
    <t>PT</t>
  </si>
  <si>
    <t>Eurostat. (2025). Total production [Dataset]. https://ec.europa.eu/eurostat/databrowser/view/ds-056121__custom_17553019/default/table?page=time:2041</t>
  </si>
  <si>
    <t>RO</t>
  </si>
  <si>
    <t>Eurostat. (2025). Total production [Dataset]. https://ec.europa.eu/eurostat/databrowser/view/ds-056121__custom_17553019/default/table?page=time:2042</t>
  </si>
  <si>
    <t>SK</t>
  </si>
  <si>
    <t>Eurostat. (2025). Total production [Dataset]. https://ec.europa.eu/eurostat/databrowser/view/ds-056121__custom_17553019/default/table?page=time:2043</t>
  </si>
  <si>
    <t>SI</t>
  </si>
  <si>
    <t>ES</t>
  </si>
  <si>
    <t>Eurostat. (2025). Total production [Dataset]. https://ec.europa.eu/eurostat/databrowser/view/ds-056121__custom_17553019/default/table?page=time:2045</t>
  </si>
  <si>
    <t>SE</t>
  </si>
  <si>
    <t>Eurostat. (2025). Total production [Dataset]. https://ec.europa.eu/eurostat/databrowser/view/ds-056121__custom_17553019/default/table?page=time:2046</t>
  </si>
  <si>
    <t>CH</t>
  </si>
  <si>
    <t>UK</t>
  </si>
  <si>
    <t>Eurostat. (2025). Total production [Dataset]. https://ec.europa.eu/eurostat/databrowser/view/ds-056121__custom_17553019/default/table?page=time:2048</t>
  </si>
  <si>
    <t>HDPE</t>
  </si>
  <si>
    <t>20161050</t>
  </si>
  <si>
    <t>PP</t>
  </si>
  <si>
    <t>20165130</t>
  </si>
  <si>
    <t>PS</t>
  </si>
  <si>
    <t>Eurostat. (2025). Total production [Dataset]. https://ec.europa.eu/eurostat/databrowser/view/ds-056121__custom_17553019/default/table?page=time:2050</t>
  </si>
  <si>
    <t>20162039</t>
  </si>
  <si>
    <t>Eurostat. (2025). Total production [Dataset]. https://ec.europa.eu/eurostat/databrowser/view/ds-056121__custom_17553019/default/table?page=time:2051</t>
  </si>
  <si>
    <t>Eurostat. (2025). Total production [Dataset]. https://ec.europa.eu/eurostat/databrowser/view/ds-056121__custom_17553019/default/table?page=time:2075</t>
  </si>
  <si>
    <t>Eurostat. (2025). Total production [Dataset]. https://ec.europa.eu/eurostat/databrowser/view/ds-056121__custom_17553019/default/table?page=time:2053</t>
  </si>
  <si>
    <t>Eurostat. (2025). Total production [Dataset]. https://ec.europa.eu/eurostat/databrowser/view/ds-056121__custom_17553019/default/table?page=time:2054</t>
  </si>
  <si>
    <t>Eurostat. (2025). Total production [Dataset]. https://ec.europa.eu/eurostat/databrowser/view/ds-056121__custom_17553019/default/table?page=time:2055</t>
  </si>
  <si>
    <t>Eurostat. (2025). Total production [Dataset]. https://ec.europa.eu/eurostat/databrowser/view/ds-056121__custom_17553019/default/table?page=time:2056</t>
  </si>
  <si>
    <t>Eurostat. (2025). Total production [Dataset]. https://ec.europa.eu/eurostat/databrowser/view/ds-056121__custom_17553019/default/table?page=time:2057</t>
  </si>
  <si>
    <t>Eurostat. (2025). Total production [Dataset]. https://ec.europa.eu/eurostat/databrowser/view/ds-056121__custom_17553019/default/table?page=time:2058</t>
  </si>
  <si>
    <t>Eurostat. (2025). Total production [Dataset]. https://ec.europa.eu/eurostat/databrowser/view/ds-056121__custom_17553019/default/table?page=time:2059</t>
  </si>
  <si>
    <t>Eurostat. (2025). Total production [Dataset]. https://ec.europa.eu/eurostat/databrowser/view/ds-056121__custom_17553019/default/table?page=time:2060</t>
  </si>
  <si>
    <t>Eurostat. (2025). Total production [Dataset]. https://ec.europa.eu/eurostat/databrowser/view/ds-056121__custom_17553019/default/table?page=time:2061</t>
  </si>
  <si>
    <t>Eurostat. (2025). Total production [Dataset]. https://ec.europa.eu/eurostat/databrowser/view/ds-056121__custom_17553019/default/table?page=time:2062</t>
  </si>
  <si>
    <t>Eurostat. (2025). Total production [Dataset]. https://ec.europa.eu/eurostat/databrowser/view/ds-056121__custom_17553019/default/table?page=time:2063</t>
  </si>
  <si>
    <t>Eurostat. (2025). Total production [Dataset]. https://ec.europa.eu/eurostat/databrowser/view/ds-056121__custom_17553019/default/table?page=time:2064</t>
  </si>
  <si>
    <t>Eurostat. (2025). Total production [Dataset]. https://ec.europa.eu/eurostat/databrowser/view/ds-056121__custom_17553019/default/table?page=time:2066</t>
  </si>
  <si>
    <t>Eurostat. (2025). Total production [Dataset]. https://ec.europa.eu/eurostat/databrowser/view/ds-056121__custom_17553019/default/table?page=time:2067</t>
  </si>
  <si>
    <t>Eurostat. (2025). Total production [Dataset]. https://ec.europa.eu/eurostat/databrowser/view/ds-056121__custom_17553019/default/table?page=time:2068</t>
  </si>
  <si>
    <t>Eurostat. (2025). Total production [Dataset]. https://ec.europa.eu/eurostat/databrowser/view/ds-056121__custom_17553019/default/table?page=time:2069</t>
  </si>
  <si>
    <t>Eurostat. (2025). Total production [Dataset]. https://ec.europa.eu/eurostat/databrowser/view/ds-056121__custom_17553019/default/table?page=time:2070</t>
  </si>
  <si>
    <t>Eurostat. (2025). Total production [Dataset]. https://ec.europa.eu/eurostat/databrowser/view/ds-056121__custom_17553019/default/table?page=time:2071</t>
  </si>
  <si>
    <t>Eurostat. (2025). Total production [Dataset]. https://ec.europa.eu/eurostat/databrowser/view/ds-056121__custom_17553019/default/table?page=time:2072</t>
  </si>
  <si>
    <t>Eurostat. (2025). Total production [Dataset]. https://ec.europa.eu/eurostat/databrowser/view/ds-056121__custom_17553019/default/table?page=time:2073</t>
  </si>
  <si>
    <t>Eurostat. (2025). Total production [Dataset]. https://ec.europa.eu/eurostat/databrowser/view/ds-056121__custom_17553019/default/table?page=time:2074</t>
  </si>
  <si>
    <t>Eurostat. (2025). Total production [Dataset]. https://ec.europa.eu/eurostat/databrowser/view/ds-056121__custom_17553019/default/table?page=time:2076</t>
  </si>
  <si>
    <t>Eurostat. (2025). Total production [Dataset]. https://ec.europa.eu/eurostat/databrowser/view/ds-056121__custom_17553019/default/table?page=time:2077</t>
  </si>
  <si>
    <t>EPS</t>
  </si>
  <si>
    <t>20162035</t>
  </si>
  <si>
    <t>PVC</t>
  </si>
  <si>
    <t>20163010, 20163023, 20163025 (assuming 30% of additive mass for the latter two)</t>
  </si>
  <si>
    <t>PET</t>
  </si>
  <si>
    <t>20164062, 20164064</t>
  </si>
  <si>
    <t>RecyclateRepelletizing</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</si>
  <si>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https://ec.europa.eu/eurostat/databrowser/view/ds-056121__custom_17553019/default/table?page=time:2027</t>
  </si>
  <si>
    <t>Unit: kt; Secondary production = 0.18 × Primary production</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</si>
  <si>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https://ec.europa.eu/eurostat/databrowser/view/ds-056121__custom_17553019/default/table?page=time:2028</t>
  </si>
  <si>
    <t>Secondary production = 0.18 × Primary production</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</si>
  <si>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https://ec.europa.eu/eurostat/databrowser/view/ds-056121__custom_17553019/default/table?page=time:2029</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</si>
  <si>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https://ec.europa.eu/eurostat/databrowser/view/ds-056121__custom_17553019/default/table?page=time:2030</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</si>
  <si>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https://ec.europa.eu/eurostat/databrowser/view/ds-056121__custom_17553019/default/table?page=time:2031</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</si>
  <si>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https://ec.europa.eu/eurostat/databrowser/view/ds-056121__custom_17553019/default/table?page=time:2032</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</si>
  <si>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https://ec.europa.eu/eurostat/databrowser/view/ds-056121__custom_17553019/default/table?page=time:2033</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</si>
  <si>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https://ec.europa.eu/eurostat/databrowser/view/ds-056121__custom_17553019/default/table?page=time:2034</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</si>
  <si>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https://ec.europa.eu/eurostat/databrowser/view/ds-056121__custom_17553019/default/table?page=time:2035</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</si>
  <si>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https://ec.europa.eu/eurostat/databrowser/view/ds-056121__custom_17553019/default/table?page=time:2036</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</si>
  <si>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https://ec.europa.eu/eurostat/databrowser/view/ds-056121__custom_17553019/default/table?page=time:2037</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</si>
  <si>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https://ec.europa.eu/eurostat/databrowser/view/ds-056121__custom_17553019/default/table?page=time:2038</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</si>
  <si>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https://ec.europa.eu/eurostat/databrowser/view/ds-056121__custom_17553019/default/table?page=time:2039</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</si>
  <si>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https://ec.europa.eu/eurostat/databrowser/view/ds-056121__custom_17553019/default/table?page=time:2040</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</si>
  <si>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https://ec.europa.eu/eurostat/databrowser/view/ds-056121__custom_17553019/default/table?page=time:2041</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</si>
  <si>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https://ec.europa.eu/eurostat/databrowser/view/ds-056121__custom_17553019/default/table?page=time:2042</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</si>
  <si>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https://ec.europa.eu/eurostat/databrowser/view/ds-056121__custom_17553019/default/table?page=time:2043</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</si>
  <si>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https://ec.europa.eu/eurostat/databrowser/view/ds-056121__custom_17553019/default/table?page=time:2044</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</si>
  <si>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https://ec.europa.eu/eurostat/databrowser/view/ds-056121__custom_17553019/default/table?page=time:2045</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</si>
  <si>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https://ec.europa.eu/eurostat/databrowser/view/ds-056121__custom_17553019/default/table?page=time:2046</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</si>
  <si>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https://ec.europa.eu/eurostat/databrowser/view/ds-056121__custom_17553019/default/table?page=time:2047</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</si>
  <si>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https://ec.europa.eu/eurostat/databrowser/view/ds-056121__custom_17553019/default/table?page=time:2048</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</si>
  <si>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https://ec.europa.eu/eurostat/databrowser/view/ds-056121__custom_17553019/default/table?page=time:2049</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</si>
  <si>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https://ec.europa.eu/eurostat/databrowser/view/ds-056121__custom_17553019/default/table?page=time:2050</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</si>
  <si>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https://ec.europa.eu/eurostat/databrowser/view/ds-056121__custom_17553019/default/table?page=time:2051</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</si>
  <si>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https://ec.europa.eu/eurostat/databrowser/view/ds-056121__custom_17553019/default/table?page=time:2052</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</si>
  <si>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https://ec.europa.eu/eurostat/databrowser/view/ds-056121__custom_17553019/default/table?page=time:2053</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</si>
  <si>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https://ec.europa.eu/eurostat/databrowser/view/ds-056121__custom_17553019/default/table?page=time:2054</t>
  </si>
  <si>
    <t>Plastics Europe. (2022). The circular economy for plastics: A european overview. https://plasticseurope.org/wp-content/uploads/2022/06/PlasticsEurope-CircularityReport-2022_2804-Light.pdf; Eurostat. (2025). Total production [Dataset]. https://ec.europa.eu/eurostat/databrowser/view/ds-056121__custom_17553019/default/table?page=time:2055</t>
  </si>
  <si>
    <t>TextileManufacturing</t>
  </si>
  <si>
    <t>See description in SI</t>
  </si>
  <si>
    <t>Demand minus primary &amp; secondary production, kt</t>
  </si>
  <si>
    <t>any</t>
  </si>
  <si>
    <t>NonTextileManufacturing</t>
  </si>
  <si>
    <t>Packaging</t>
  </si>
  <si>
    <t>Eurostat. (2025). Generation of plastic packaging waste per capita [Dataset]. https://ec.europa.eu/eurostat/databrowser/view/cei_pc050__custom_18025336/default/table; Plastics Europe. (2024). National infographics: Circular Economy for Plastics. https://plasticseurope.org/knowledge-hub/national-infographics-circular-economy-for-plastics-2024/; Klotz, M., &amp; Haupt, M. (2022). A high-resolution dataset on the plastic material flows in Switzerland. Data in Brief, 41, 108001. https://doi.org/10.1016/j.dib.2022.108001</t>
  </si>
  <si>
    <t>Demand, kt</t>
  </si>
  <si>
    <t>BuildingConstruction</t>
  </si>
  <si>
    <t>Automotive</t>
  </si>
  <si>
    <t>EEE</t>
  </si>
  <si>
    <t>Agriculture</t>
  </si>
  <si>
    <t>Fishery</t>
  </si>
  <si>
    <t>Aquaculture</t>
  </si>
  <si>
    <t>unit: kt</t>
  </si>
  <si>
    <t>Other</t>
  </si>
  <si>
    <t>Kawecki, D., Scheeder, P. R. W., &amp; Nowack, B. (2018). Probabilistic Material Flow Analysis of Seven Commodity Plastics in Europe. Environmental Science &amp; Technology, 52(17), 9874–9888. https://doi.org/10.1021/acs.est.8b01513; Gross domestic product (GDP) and main components (output, expenditure and income) [nama_10_gdp__custom_17615286]</t>
  </si>
  <si>
    <t>Apparel</t>
  </si>
  <si>
    <t>HouseholdTextiles</t>
  </si>
  <si>
    <t>TechnicalTextiles</t>
  </si>
  <si>
    <t>FisheryTextiles</t>
  </si>
  <si>
    <t>AquacultureTextiles</t>
  </si>
  <si>
    <t>Document description</t>
  </si>
  <si>
    <t>This document combines all input parameters in one place, including (i) input values and transfer coefficients, and (ii) special parameters for individual flows.</t>
  </si>
  <si>
    <t>Sheet name</t>
  </si>
  <si>
    <t>Content</t>
  </si>
  <si>
    <t>Comment</t>
  </si>
  <si>
    <t>Input</t>
  </si>
  <si>
    <t>Mass entering the system</t>
  </si>
  <si>
    <t>Mass of production, manufacturing, and demand. The input mass for each product sector represents the demand for that product.</t>
  </si>
  <si>
    <t>MFA1</t>
  </si>
  <si>
    <t>Transfer coefficients for anthropogenic flows</t>
  </si>
  <si>
    <t>Related to pre-consumer production and allocation from product sectors to product subcategories.</t>
  </si>
  <si>
    <t>MFA2</t>
  </si>
  <si>
    <t>Related to post-consumer collection and recycling.</t>
  </si>
  <si>
    <t>EM1</t>
  </si>
  <si>
    <t>Transfer coefficients for emission flows</t>
  </si>
  <si>
    <t>For pre- and post-consumer processes.</t>
  </si>
  <si>
    <t>EM2</t>
  </si>
  <si>
    <t>For the use stage, including littering and dumping.</t>
  </si>
  <si>
    <t>EM3</t>
  </si>
  <si>
    <t>For the end-of-life stage, including composting, wastewater treatment, sludge application, and air deposition.</t>
  </si>
  <si>
    <t>Textiles</t>
  </si>
  <si>
    <t>Special parameters</t>
  </si>
  <si>
    <t>Parameters defining textile emissions.</t>
  </si>
  <si>
    <t>Flushing</t>
  </si>
  <si>
    <t>Parameters defining emissions through flushing.</t>
  </si>
  <si>
    <t>Label</t>
  </si>
  <si>
    <t>Labels for compartments</t>
  </si>
  <si>
    <t>Translation of compartment names used in the model for graphing purposes. Process names may differ from those in the code.</t>
  </si>
  <si>
    <t>GeoCode</t>
  </si>
  <si>
    <t>Abbreviations for geographical regions</t>
  </si>
  <si>
    <t>Country or region names and their abbreviations.</t>
  </si>
  <si>
    <t>From</t>
  </si>
  <si>
    <t>To</t>
  </si>
  <si>
    <t>Transport</t>
  </si>
  <si>
    <t>rest</t>
  </si>
  <si>
    <t>PCPlasticCollection</t>
  </si>
  <si>
    <t>Consultic Marketing &amp; Industrieberatung GmbH, Produktion, Verarbeitung Und Verwertung von Kunststoffen in Deutschland 2015 - Kurzfassung, 2016</t>
  </si>
  <si>
    <t>BKV GmbH. (2022). Sonderbetrachtung Pelletverluste.</t>
  </si>
  <si>
    <t>FibreProduction</t>
  </si>
  <si>
    <t>Applied Market Information Ltd., AMI’s 2015 EUROPEAN PLASTICS INDUSTRY REPORT, 2015</t>
  </si>
  <si>
    <t>Assume valid also for recycled fraction</t>
  </si>
  <si>
    <t>Kawecki, D.; Scheeder, P.; Nowack, B. Probabilistic Material Flow Analysis of Seven Commodity Plastics in Europe. Environ. Sci. Technol. 2018, 52, 9874–9888.</t>
  </si>
  <si>
    <t>PCFibreCollection</t>
  </si>
  <si>
    <t>Burkhardt, Michael, Alexander Englert, Rico Iten, and SandROSchärer, Entsorgung Nanosilberhaltiger Abfälle in Der Textilindustrie - Massenflüsse Und Behandlungsverfahren, 2011</t>
  </si>
  <si>
    <t>ExcludedFlow</t>
  </si>
  <si>
    <t>The demand mass of product sectors is already included as input mass, so subsequent flows are removed to avoid duplication.</t>
  </si>
  <si>
    <t>ConsumerFilms</t>
  </si>
  <si>
    <t>Klotz, M., &amp; Haupt, M. (2022). A high-resolution dataset on the plastic material flows in Switzerland. Data in Brief, 41, 108001. https://doi.org/10.1016/j.dib.2022.108053</t>
  </si>
  <si>
    <t>Klotz, M., &amp; Haupt, M. (2022). A high-resolution dataset on the plastic material flows in Switzerland. Data in Brief, 41, 108001. https://doi.org/10.1016/j.dib.2022.108054</t>
  </si>
  <si>
    <t>Klotz, M., &amp; Haupt, M. (2022). A high-resolution dataset on the plastic material flows in Switzerland. Data in Brief, 41, 108001. https://doi.org/10.1016/j.dib.2022.108055</t>
  </si>
  <si>
    <t>Klotz, M., &amp; Haupt, M. (2022). A high-resolution dataset on the plastic material flows in Switzerland. Data in Brief, 41, 108001. https://doi.org/10.1016/j.dib.2022.108056</t>
  </si>
  <si>
    <t>Klotz, M., &amp; Haupt, M. (2022). A high-resolution dataset on the plastic material flows in Switzerland. Data in Brief, 41, 108001. https://doi.org/10.1016/j.dib.2022.108057</t>
  </si>
  <si>
    <t>Klotz, M., &amp; Haupt, M. (2022). A high-resolution dataset on the plastic material flows in Switzerland. Data in Brief, 41, 108001. https://doi.org/10.1016/j.dib.2022.108058</t>
  </si>
  <si>
    <t>ConsumerBags</t>
  </si>
  <si>
    <t>Klotz, M., &amp; Haupt, M. (2022). A high-resolution dataset on the plastic material flows in Switzerland. Data in Brief, 41, 108001. https://doi.org/10.1016/j.dib.2022.108059</t>
  </si>
  <si>
    <t>Klotz, M., &amp; Haupt, M. (2022). A high-resolution dataset on the plastic material flows in Switzerland. Data in Brief, 41, 108001. https://doi.org/10.1016/j.dib.2022.108060</t>
  </si>
  <si>
    <t>Klotz, M., &amp; Haupt, M. (2022). A high-resolution dataset on the plastic material flows in Switzerland. Data in Brief, 41, 108001. https://doi.org/10.1016/j.dib.2022.108061</t>
  </si>
  <si>
    <t>Klotz, M., &amp; Haupt, M. (2022). A high-resolution dataset on the plastic material flows in Switzerland. Data in Brief, 41, 108001. https://doi.org/10.1016/j.dib.2022.108062</t>
  </si>
  <si>
    <t>Klotz, M., &amp; Haupt, M. (2022). A high-resolution dataset on the plastic material flows in Switzerland. Data in Brief, 41, 108001. https://doi.org/10.1016/j.dib.2022.108063</t>
  </si>
  <si>
    <t>Klotz, M., &amp; Haupt, M. (2022). A high-resolution dataset on the plastic material flows in Switzerland. Data in Brief, 41, 108001. https://doi.org/10.1016/j.dib.2022.108064</t>
  </si>
  <si>
    <t>Klotz, M., &amp; Haupt, M. (2022). A high-resolution dataset on the plastic material flows in Switzerland. Data in Brief, 41, 108001. https://doi.org/10.1016/j.dib.2022.108065</t>
  </si>
  <si>
    <t>ConsumerBottles</t>
  </si>
  <si>
    <t>Klotz, M., &amp; Haupt, M. (2022). A high-resolution dataset on the plastic material flows in Switzerland. Data in Brief, 41, 108001. https://doi.org/10.1016/j.dib.2022.108066</t>
  </si>
  <si>
    <t>Klotz, M., &amp; Haupt, M. (2022). A high-resolution dataset on the plastic material flows in Switzerland. Data in Brief, 41, 108001. https://doi.org/10.1016/j.dib.2022.108067</t>
  </si>
  <si>
    <t>Klotz, M., &amp; Haupt, M. (2022). A high-resolution dataset on the plastic material flows in Switzerland. Data in Brief, 41, 108001. https://doi.org/10.1016/j.dib.2022.108068</t>
  </si>
  <si>
    <t>Klotz, M., &amp; Haupt, M. (2022). A high-resolution dataset on the plastic material flows in Switzerland. Data in Brief, 41, 108001. https://doi.org/10.1016/j.dib.2022.108069</t>
  </si>
  <si>
    <t>Klotz, M., &amp; Haupt, M. (2022). A high-resolution dataset on the plastic material flows in Switzerland. Data in Brief, 41, 108001. https://doi.org/10.1016/j.dib.2022.108070</t>
  </si>
  <si>
    <t>Klotz, M., &amp; Haupt, M. (2022). A high-resolution dataset on the plastic material flows in Switzerland. Data in Brief, 41, 108001. https://doi.org/10.1016/j.dib.2022.108071</t>
  </si>
  <si>
    <t>Klotz, M., &amp; Haupt, M. (2022). A high-resolution dataset on the plastic material flows in Switzerland. Data in Brief, 41, 108001. https://doi.org/10.1016/j.dib.2022.108072</t>
  </si>
  <si>
    <t>ConsumerOther</t>
  </si>
  <si>
    <t>Klotz, M., &amp; Haupt, M. (2022). A high-resolution dataset on the plastic material flows in Switzerland. Data in Brief, 41, 108001. https://doi.org/10.1016/j.dib.2022.108073</t>
  </si>
  <si>
    <t>Klotz, M., &amp; Haupt, M. (2022). A high-resolution dataset on the plastic material flows in Switzerland. Data in Brief, 41, 108001. https://doi.org/10.1016/j.dib.2022.108074</t>
  </si>
  <si>
    <t>Klotz, M., &amp; Haupt, M. (2022). A high-resolution dataset on the plastic material flows in Switzerland. Data in Brief, 41, 108001. https://doi.org/10.1016/j.dib.2022.108075</t>
  </si>
  <si>
    <t>Klotz, M., &amp; Haupt, M. (2022). A high-resolution dataset on the plastic material flows in Switzerland. Data in Brief, 41, 108001. https://doi.org/10.1016/j.dib.2022.108076</t>
  </si>
  <si>
    <t>Klotz, M., &amp; Haupt, M. (2022). A high-resolution dataset on the plastic material flows in Switzerland. Data in Brief, 41, 108001. https://doi.org/10.1016/j.dib.2022.108077</t>
  </si>
  <si>
    <t>Klotz, M., &amp; Haupt, M. (2022). A high-resolution dataset on the plastic material flows in Switzerland. Data in Brief, 41, 108001. https://doi.org/10.1016/j.dib.2022.108078</t>
  </si>
  <si>
    <t>Klotz, M., &amp; Haupt, M. (2022). A high-resolution dataset on the plastic material flows in Switzerland. Data in Brief, 41, 108001. https://doi.org/10.1016/j.dib.2022.108079</t>
  </si>
  <si>
    <t>AgriculturalPackagingFilms</t>
  </si>
  <si>
    <t>Klotz, M., &amp; Haupt, M. (2022). A high-resolution dataset on the plastic material flows in Switzerland. Data in Brief, 41, 108001. https://doi.org/10.1016/j.dib.2022.108080</t>
  </si>
  <si>
    <t>Klotz, M., &amp; Haupt, M. (2022). A high-resolution dataset on the plastic material flows in Switzerland. Data in Brief, 41, 108001. https://doi.org/10.1016/j.dib.2022.108081</t>
  </si>
  <si>
    <t>Klotz, M., &amp; Haupt, M. (2022). A high-resolution dataset on the plastic material flows in Switzerland. Data in Brief, 41, 108001. https://doi.org/10.1016/j.dib.2022.108082</t>
  </si>
  <si>
    <t>Klotz, M., &amp; Haupt, M. (2022). A high-resolution dataset on the plastic material flows in Switzerland. Data in Brief, 41, 108001. https://doi.org/10.1016/j.dib.2022.108083</t>
  </si>
  <si>
    <t>Klotz, M., &amp; Haupt, M. (2022). A high-resolution dataset on the plastic material flows in Switzerland. Data in Brief, 41, 108001. https://doi.org/10.1016/j.dib.2022.108084</t>
  </si>
  <si>
    <t>Klotz, M., &amp; Haupt, M. (2022). A high-resolution dataset on the plastic material flows in Switzerland. Data in Brief, 41, 108001. https://doi.org/10.1016/j.dib.2022.108085</t>
  </si>
  <si>
    <t xml:space="preserve">  </t>
  </si>
  <si>
    <t>Klotz, M., &amp; Haupt, M. (2022). A high-resolution dataset on the plastic material flows in Switzerland. Data in Brief, 41, 108001. https://doi.org/10.1016/j.dib.2022.108086</t>
  </si>
  <si>
    <t>AgriculturalPackagingBottles</t>
  </si>
  <si>
    <t>Klotz, M., &amp; Haupt, M. (2022). A high-resolution dataset on the plastic material flows in Switzerland. Data in Brief, 41, 108001. https://doi.org/10.1016/j.dib.2022.108087</t>
  </si>
  <si>
    <t>Klotz, M., &amp; Haupt, M. (2022). A high-resolution dataset on the plastic material flows in Switzerland. Data in Brief, 41, 108001. https://doi.org/10.1016/j.dib.2022.108088</t>
  </si>
  <si>
    <t>Klotz, M., &amp; Haupt, M. (2022). A high-resolution dataset on the plastic material flows in Switzerland. Data in Brief, 41, 108001. https://doi.org/10.1016/j.dib.2022.108089</t>
  </si>
  <si>
    <t>Klotz, M., &amp; Haupt, M. (2022). A high-resolution dataset on the plastic material flows in Switzerland. Data in Brief, 41, 108001. https://doi.org/10.1016/j.dib.2022.108090</t>
  </si>
  <si>
    <t>Klotz, M., &amp; Haupt, M. (2022). A high-resolution dataset on the plastic material flows in Switzerland. Data in Brief, 41, 108001. https://doi.org/10.1016/j.dib.2022.108091</t>
  </si>
  <si>
    <t>Klotz, M., &amp; Haupt, M. (2022). A high-resolution dataset on the plastic material flows in Switzerland. Data in Brief, 41, 108001. https://doi.org/10.1016/j.dib.2022.108092</t>
  </si>
  <si>
    <t>Klotz, M., &amp; Haupt, M. (2022). A high-resolution dataset on the plastic material flows in Switzerland. Data in Brief, 41, 108001. https://doi.org/10.1016/j.dib.2022.108093</t>
  </si>
  <si>
    <t>BuildingPackagingFilms</t>
  </si>
  <si>
    <t>Klotz, M., &amp; Haupt, M. (2022). A high-resolution dataset on the plastic material flows in Switzerland. Data in Brief, 41, 108001. https://doi.org/10.1016/j.dib.2022.108094</t>
  </si>
  <si>
    <t>Klotz, M., &amp; Haupt, M. (2022). A high-resolution dataset on the plastic material flows in Switzerland. Data in Brief, 41, 108001. https://doi.org/10.1016/j.dib.2022.108095</t>
  </si>
  <si>
    <t>Klotz, M., &amp; Haupt, M. (2022). A high-resolution dataset on the plastic material flows in Switzerland. Data in Brief, 41, 108001. https://doi.org/10.1016/j.dib.2022.108096</t>
  </si>
  <si>
    <t>Klotz, M., &amp; Haupt, M. (2022). A high-resolution dataset on the plastic material flows in Switzerland. Data in Brief, 41, 108001. https://doi.org/10.1016/j.dib.2022.108097</t>
  </si>
  <si>
    <t>Klotz, M., &amp; Haupt, M. (2022). A high-resolution dataset on the plastic material flows in Switzerland. Data in Brief, 41, 108001. https://doi.org/10.1016/j.dib.2022.108098</t>
  </si>
  <si>
    <t>Klotz, M., &amp; Haupt, M. (2022). A high-resolution dataset on the plastic material flows in Switzerland. Data in Brief, 41, 108001. https://doi.org/10.1016/j.dib.2022.108099</t>
  </si>
  <si>
    <t>Klotz, M., &amp; Haupt, M. (2022). A high-resolution dataset on the plastic material flows in Switzerland. Data in Brief, 41, 108001. https://doi.org/10.1016/j.dib.2022.108100</t>
  </si>
  <si>
    <t>OtherNonConsumerFilms</t>
  </si>
  <si>
    <t>Klotz, M., &amp; Haupt, M. (2022). A high-resolution dataset on the plastic material flows in Switzerland. Data in Brief, 41, 108001. https://doi.org/10.1016/j.dib.2022.108101</t>
  </si>
  <si>
    <t>Klotz, M., &amp; Haupt, M. (2022). A high-resolution dataset on the plastic material flows in Switzerland. Data in Brief, 41, 108001. https://doi.org/10.1016/j.dib.2022.108102</t>
  </si>
  <si>
    <t>Klotz, M., &amp; Haupt, M. (2022). A high-resolution dataset on the plastic material flows in Switzerland. Data in Brief, 41, 108001. https://doi.org/10.1016/j.dib.2022.108103</t>
  </si>
  <si>
    <t>Klotz, M., &amp; Haupt, M. (2022). A high-resolution dataset on the plastic material flows in Switzerland. Data in Brief, 41, 108001. https://doi.org/10.1016/j.dib.2022.108104</t>
  </si>
  <si>
    <t>Klotz, M., &amp; Haupt, M. (2022). A high-resolution dataset on the plastic material flows in Switzerland. Data in Brief, 41, 108001. https://doi.org/10.1016/j.dib.2022.108105</t>
  </si>
  <si>
    <t>Klotz, M., &amp; Haupt, M. (2022). A high-resolution dataset on the plastic material flows in Switzerland. Data in Brief, 41, 108001. https://doi.org/10.1016/j.dib.2022.108106</t>
  </si>
  <si>
    <t>Klotz, M., &amp; Haupt, M. (2022). A high-resolution dataset on the plastic material flows in Switzerland. Data in Brief, 41, 108001. https://doi.org/10.1016/j.dib.2022.108107</t>
  </si>
  <si>
    <t>NonConsumerBags</t>
  </si>
  <si>
    <t>Klotz, M., &amp; Haupt, M. (2022). A high-resolution dataset on the plastic material flows in Switzerland. Data in Brief, 41, 108001. https://doi.org/10.1016/j.dib.2022.108108</t>
  </si>
  <si>
    <t>Klotz, M., &amp; Haupt, M. (2022). A high-resolution dataset on the plastic material flows in Switzerland. Data in Brief, 41, 108001. https://doi.org/10.1016/j.dib.2022.108109</t>
  </si>
  <si>
    <t>Klotz, M., &amp; Haupt, M. (2022). A high-resolution dataset on the plastic material flows in Switzerland. Data in Brief, 41, 108001. https://doi.org/10.1016/j.dib.2022.108110</t>
  </si>
  <si>
    <t>Klotz, M., &amp; Haupt, M. (2022). A high-resolution dataset on the plastic material flows in Switzerland. Data in Brief, 41, 108001. https://doi.org/10.1016/j.dib.2022.108111</t>
  </si>
  <si>
    <t>Klotz, M., &amp; Haupt, M. (2022). A high-resolution dataset on the plastic material flows in Switzerland. Data in Brief, 41, 108001. https://doi.org/10.1016/j.dib.2022.108112</t>
  </si>
  <si>
    <t>Klotz, M., &amp; Haupt, M. (2022). A high-resolution dataset on the plastic material flows in Switzerland. Data in Brief, 41, 108001. https://doi.org/10.1016/j.dib.2022.108113</t>
  </si>
  <si>
    <t>Klotz, M., &amp; Haupt, M. (2022). A high-resolution dataset on the plastic material flows in Switzerland. Data in Brief, 41, 108001. https://doi.org/10.1016/j.dib.2022.108114</t>
  </si>
  <si>
    <t>NonConsumerOther</t>
  </si>
  <si>
    <t>Klotz, M., &amp; Haupt, M. (2022). A high-resolution dataset on the plastic material flows in Switzerland. Data in Brief, 41, 108001. https://doi.org/10.1016/j.dib.2022.108115</t>
  </si>
  <si>
    <t>Klotz, M., &amp; Haupt, M. (2022). A high-resolution dataset on the plastic material flows in Switzerland. Data in Brief, 41, 108001. https://doi.org/10.1016/j.dib.2022.108116</t>
  </si>
  <si>
    <t>Klotz, M., &amp; Haupt, M. (2022). A high-resolution dataset on the plastic material flows in Switzerland. Data in Brief, 41, 108001. https://doi.org/10.1016/j.dib.2022.108117</t>
  </si>
  <si>
    <t>Klotz, M., &amp; Haupt, M. (2022). A high-resolution dataset on the plastic material flows in Switzerland. Data in Brief, 41, 108001. https://doi.org/10.1016/j.dib.2022.108118</t>
  </si>
  <si>
    <t>Klotz, M., &amp; Haupt, M. (2022). A high-resolution dataset on the plastic material flows in Switzerland. Data in Brief, 41, 108001. https://doi.org/10.1016/j.dib.2022.108119</t>
  </si>
  <si>
    <t>Klotz, M., &amp; Haupt, M. (2022). A high-resolution dataset on the plastic material flows in Switzerland. Data in Brief, 41, 108001. https://doi.org/10.1016/j.dib.2022.108120</t>
  </si>
  <si>
    <t>PipesDucts</t>
  </si>
  <si>
    <t>Klotz, M., &amp; Haupt, M. (2022). A high-resolution dataset on the plastic material flows in Switzerland. Data in Brief, 41, 108001. https://doi.org/10.1016/j.dib.2022.108122</t>
  </si>
  <si>
    <t>Klotz, M., &amp; Haupt, M. (2022). A high-resolution dataset on the plastic material flows in Switzerland. Data in Brief, 41, 108001. https://doi.org/10.1016/j.dib.2022.108123</t>
  </si>
  <si>
    <t>Klotz, M., &amp; Haupt, M. (2022). A high-resolution dataset on the plastic material flows in Switzerland. Data in Brief, 41, 108001. https://doi.org/10.1016/j.dib.2022.108124</t>
  </si>
  <si>
    <t>Klotz, M., &amp; Haupt, M. (2022). A high-resolution dataset on the plastic material flows in Switzerland. Data in Brief, 41, 108001. https://doi.org/10.1016/j.dib.2022.108125</t>
  </si>
  <si>
    <t>Klotz, M., &amp; Haupt, M. (2022). A high-resolution dataset on the plastic material flows in Switzerland. Data in Brief, 41, 108001. https://doi.org/10.1016/j.dib.2022.108126</t>
  </si>
  <si>
    <t>Klotz, M., &amp; Haupt, M. (2022). A high-resolution dataset on the plastic material flows in Switzerland. Data in Brief, 41, 108001. https://doi.org/10.1016/j.dib.2022.108127</t>
  </si>
  <si>
    <t>Klotz, M., &amp; Haupt, M. (2022). A high-resolution dataset on the plastic material flows in Switzerland. Data in Brief, 41, 108001. https://doi.org/10.1016/j.dib.2022.108128</t>
  </si>
  <si>
    <t>Insulation</t>
  </si>
  <si>
    <t>Klotz, M., &amp; Haupt, M. (2022). A high-resolution dataset on the plastic material flows in Switzerland. Data in Brief, 41, 108001. https://doi.org/10.1016/j.dib.2022.108129</t>
  </si>
  <si>
    <t>Klotz, M., &amp; Haupt, M. (2022). A high-resolution dataset on the plastic material flows in Switzerland. Data in Brief, 41, 108001. https://doi.org/10.1016/j.dib.2022.108130</t>
  </si>
  <si>
    <t>Klotz, M., &amp; Haupt, M. (2022). A high-resolution dataset on the plastic material flows in Switzerland. Data in Brief, 41, 108001. https://doi.org/10.1016/j.dib.2022.108131</t>
  </si>
  <si>
    <t>Klotz, M., &amp; Haupt, M. (2022). A high-resolution dataset on the plastic material flows in Switzerland. Data in Brief, 41, 108001. https://doi.org/10.1016/j.dib.2022.108132</t>
  </si>
  <si>
    <t>Klotz, M., &amp; Haupt, M. (2022). A high-resolution dataset on the plastic material flows in Switzerland. Data in Brief, 41, 108001. https://doi.org/10.1016/j.dib.2022.108133</t>
  </si>
  <si>
    <t>Klotz, M., &amp; Haupt, M. (2022). A high-resolution dataset on the plastic material flows in Switzerland. Data in Brief, 41, 108001. https://doi.org/10.1016/j.dib.2022.108134</t>
  </si>
  <si>
    <t>Klotz, M., &amp; Haupt, M. (2022). A high-resolution dataset on the plastic material flows in Switzerland. Data in Brief, 41, 108001. https://doi.org/10.1016/j.dib.2022.108135</t>
  </si>
  <si>
    <t>WallFloorCoverings</t>
  </si>
  <si>
    <t>Klotz, M., &amp; Haupt, M. (2022). A high-resolution dataset on the plastic material flows in Switzerland. Data in Brief, 41, 108001. https://doi.org/10.1016/j.dib.2022.108136</t>
  </si>
  <si>
    <t>Klotz, M., &amp; Haupt, M. (2022). A high-resolution dataset on the plastic material flows in Switzerland. Data in Brief, 41, 108001. https://doi.org/10.1016/j.dib.2022.108137</t>
  </si>
  <si>
    <t>Klotz, M., &amp; Haupt, M. (2022). A high-resolution dataset on the plastic material flows in Switzerland. Data in Brief, 41, 108001. https://doi.org/10.1016/j.dib.2022.108138</t>
  </si>
  <si>
    <t>Klotz, M., &amp; Haupt, M. (2022). A high-resolution dataset on the plastic material flows in Switzerland. Data in Brief, 41, 108001. https://doi.org/10.1016/j.dib.2022.108139</t>
  </si>
  <si>
    <t>Klotz, M., &amp; Haupt, M. (2022). A high-resolution dataset on the plastic material flows in Switzerland. Data in Brief, 41, 108001. https://doi.org/10.1016/j.dib.2022.108140</t>
  </si>
  <si>
    <t>Klotz, M., &amp; Haupt, M. (2022). A high-resolution dataset on the plastic material flows in Switzerland. Data in Brief, 41, 108001. https://doi.org/10.1016/j.dib.2022.108141</t>
  </si>
  <si>
    <t>Klotz, M., &amp; Haupt, M. (2022). A high-resolution dataset on the plastic material flows in Switzerland. Data in Brief, 41, 108001. https://doi.org/10.1016/j.dib.2022.108142</t>
  </si>
  <si>
    <t>WindowsProfilesFittedFurniture</t>
  </si>
  <si>
    <t>Klotz, M., &amp; Haupt, M. (2022). A high-resolution dataset on the plastic material flows in Switzerland. Data in Brief, 41, 108001. https://doi.org/10.1016/j.dib.2022.108143</t>
  </si>
  <si>
    <t>Klotz, M., &amp; Haupt, M. (2022). A high-resolution dataset on the plastic material flows in Switzerland. Data in Brief, 41, 108001. https://doi.org/10.1016/j.dib.2022.108144</t>
  </si>
  <si>
    <t>Klotz, M., &amp; Haupt, M. (2022). A high-resolution dataset on the plastic material flows in Switzerland. Data in Brief, 41, 108001. https://doi.org/10.1016/j.dib.2022.108145</t>
  </si>
  <si>
    <t>Klotz, M., &amp; Haupt, M. (2022). A high-resolution dataset on the plastic material flows in Switzerland. Data in Brief, 41, 108001. https://doi.org/10.1016/j.dib.2022.108146</t>
  </si>
  <si>
    <t>Klotz, M., &amp; Haupt, M. (2022). A high-resolution dataset on the plastic material flows in Switzerland. Data in Brief, 41, 108001. https://doi.org/10.1016/j.dib.2022.108147</t>
  </si>
  <si>
    <t>Klotz, M., &amp; Haupt, M. (2022). A high-resolution dataset on the plastic material flows in Switzerland. Data in Brief, 41, 108001. https://doi.org/10.1016/j.dib.2022.108148</t>
  </si>
  <si>
    <t>Klotz, M., &amp; Haupt, M. (2022). A high-resolution dataset on the plastic material flows in Switzerland. Data in Brief, 41, 108001. https://doi.org/10.1016/j.dib.2022.108149</t>
  </si>
  <si>
    <t>Lining</t>
  </si>
  <si>
    <t>Klotz, M., &amp; Haupt, M. (2022). A high-resolution dataset on the plastic material flows in Switzerland. Data in Brief, 41, 108001. https://doi.org/10.1016/j.dib.2022.108150</t>
  </si>
  <si>
    <t>Klotz, M., &amp; Haupt, M. (2022). A high-resolution dataset on the plastic material flows in Switzerland. Data in Brief, 41, 108001. https://doi.org/10.1016/j.dib.2022.108151</t>
  </si>
  <si>
    <t>Klotz, M., &amp; Haupt, M. (2022). A high-resolution dataset on the plastic material flows in Switzerland. Data in Brief, 41, 108001. https://doi.org/10.1016/j.dib.2022.108152</t>
  </si>
  <si>
    <t>Klotz, M., &amp; Haupt, M. (2022). A high-resolution dataset on the plastic material flows in Switzerland. Data in Brief, 41, 108001. https://doi.org/10.1016/j.dib.2022.108153</t>
  </si>
  <si>
    <t>Klotz, M., &amp; Haupt, M. (2022). A high-resolution dataset on the plastic material flows in Switzerland. Data in Brief, 41, 108001. https://doi.org/10.1016/j.dib.2022.108154</t>
  </si>
  <si>
    <t>Klotz, M., &amp; Haupt, M. (2022). A high-resolution dataset on the plastic material flows in Switzerland. Data in Brief, 41, 108001. https://doi.org/10.1016/j.dib.2022.108155</t>
  </si>
  <si>
    <t>Klotz, M., &amp; Haupt, M. (2022). A high-resolution dataset on the plastic material flows in Switzerland. Data in Brief, 41, 108001. https://doi.org/10.1016/j.dib.2022.108156</t>
  </si>
  <si>
    <t>AutomotivePC</t>
  </si>
  <si>
    <t>EEEPC</t>
  </si>
  <si>
    <t>AgriculturalFilms</t>
  </si>
  <si>
    <t>Klotz, M., &amp; Haupt, M. (2022). A high-resolution dataset on the plastic material flows in Switzerland. Data in Brief, 41, 108001. https://doi.org/10.1016/j.dib.2022.108159</t>
  </si>
  <si>
    <t>Klotz, M., &amp; Haupt, M. (2022). A high-resolution dataset on the plastic material flows in Switzerland. Data in Brief, 41, 108001. https://doi.org/10.1016/j.dib.2022.108160</t>
  </si>
  <si>
    <t>Klotz, M., &amp; Haupt, M. (2022). A high-resolution dataset on the plastic material flows in Switzerland. Data in Brief, 41, 108001. https://doi.org/10.1016/j.dib.2022.108161</t>
  </si>
  <si>
    <t>Klotz, M., &amp; Haupt, M. (2022). A high-resolution dataset on the plastic material flows in Switzerland. Data in Brief, 41, 108001. https://doi.org/10.1016/j.dib.2022.108162</t>
  </si>
  <si>
    <t>Klotz, M., &amp; Haupt, M. (2022). A high-resolution dataset on the plastic material flows in Switzerland. Data in Brief, 41, 108001. https://doi.org/10.1016/j.dib.2022.108163</t>
  </si>
  <si>
    <t>Klotz, M., &amp; Haupt, M. (2022). A high-resolution dataset on the plastic material flows in Switzerland. Data in Brief, 41, 108001. https://doi.org/10.1016/j.dib.2022.108165</t>
  </si>
  <si>
    <t>Klotz, M., &amp; Haupt, M. (2022). A high-resolution dataset on the plastic material flows in Switzerland. Data in Brief, 41, 108001. https://doi.org/10.1016/j.dib.2022.108166</t>
  </si>
  <si>
    <t>AgriculturalPipes</t>
  </si>
  <si>
    <t>Klotz, M., &amp; Haupt, M. (2022). A high-resolution dataset on the plastic material flows in Switzerland. Data in Brief, 41, 108001. https://doi.org/10.1016/j.dib.2022.108167</t>
  </si>
  <si>
    <t>Klotz, M., &amp; Haupt, M. (2022). A high-resolution dataset on the plastic material flows in Switzerland. Data in Brief, 41, 108001. https://doi.org/10.1016/j.dib.2022.108168</t>
  </si>
  <si>
    <t>Klotz, M., &amp; Haupt, M. (2022). A high-resolution dataset on the plastic material flows in Switzerland. Data in Brief, 41, 108001. https://doi.org/10.1016/j.dib.2022.108169</t>
  </si>
  <si>
    <t>Klotz, M., &amp; Haupt, M. (2022). A high-resolution dataset on the plastic material flows in Switzerland. Data in Brief, 41, 108001. https://doi.org/10.1016/j.dib.2022.108170</t>
  </si>
  <si>
    <t>Klotz, M., &amp; Haupt, M. (2022). A high-resolution dataset on the plastic material flows in Switzerland. Data in Brief, 41, 108001. https://doi.org/10.1016/j.dib.2022.108171</t>
  </si>
  <si>
    <t>Klotz, M., &amp; Haupt, M. (2022). A high-resolution dataset on the plastic material flows in Switzerland. Data in Brief, 41, 108001. https://doi.org/10.1016/j.dib.2022.108173</t>
  </si>
  <si>
    <t>Klotz, M., &amp; Haupt, M. (2022). A high-resolution dataset on the plastic material flows in Switzerland. Data in Brief, 41, 108001. https://doi.org/10.1016/j.dib.2022.108174</t>
  </si>
  <si>
    <t>AgriculturalOther</t>
  </si>
  <si>
    <t>Klotz, M., &amp; Haupt, M. (2022). A high-resolution dataset on the plastic material flows in Switzerland. Data in Brief, 41, 108001. https://doi.org/10.1016/j.dib.2022.108175</t>
  </si>
  <si>
    <t>Klotz, M., &amp; Haupt, M. (2022). A high-resolution dataset on the plastic material flows in Switzerland. Data in Brief, 41, 108001. https://doi.org/10.1016/j.dib.2022.108176</t>
  </si>
  <si>
    <t>Klotz, M., &amp; Haupt, M. (2022). A high-resolution dataset on the plastic material flows in Switzerland. Data in Brief, 41, 108001. https://doi.org/10.1016/j.dib.2022.108177</t>
  </si>
  <si>
    <t>Klotz, M., &amp; Haupt, M. (2022). A high-resolution dataset on the plastic material flows in Switzerland. Data in Brief, 41, 108001. https://doi.org/10.1016/j.dib.2022.108178</t>
  </si>
  <si>
    <t>Klotz, M., &amp; Haupt, M. (2022). A high-resolution dataset on the plastic material flows in Switzerland. Data in Brief, 41, 108001. https://doi.org/10.1016/j.dib.2022.108179</t>
  </si>
  <si>
    <t>Klotz, M., &amp; Haupt, M. (2022). A high-resolution dataset on the plastic material flows in Switzerland. Data in Brief, 41, 108001. https://doi.org/10.1016/j.dib.2022.108181</t>
  </si>
  <si>
    <t>Klotz, M., &amp; Haupt, M. (2022). A high-resolution dataset on the plastic material flows in Switzerland. Data in Brief, 41, 108001. https://doi.org/10.1016/j.dib.2022.108182</t>
  </si>
  <si>
    <t>FishingGearOcean</t>
  </si>
  <si>
    <t>FAO. (2025). Global Capture Production. FAO. https://www.fao.org/fishery/en/collection/capture?lang=en; FAO. (2025). Global Aquaculture Production. FAO. https://www.fao.org/fishery/en/collection/aquaculture?lang=en</t>
  </si>
  <si>
    <t>FishingGearInland</t>
  </si>
  <si>
    <t>FishingGearAqua</t>
  </si>
  <si>
    <t>Household</t>
  </si>
  <si>
    <t>TamponApplicators</t>
  </si>
  <si>
    <t>Defined in the code</t>
  </si>
  <si>
    <t>Furniture</t>
  </si>
  <si>
    <t>Klotz, M., &amp; Haupt, M. (2022). A high-resolution dataset on the plastic material flows in Switzerland. Data in Brief, 41, 108001. https://doi.org/10.1016/j.dib.2022.108183</t>
  </si>
  <si>
    <t>Klotz, M., &amp; Haupt, M. (2022). A high-resolution dataset on the plastic material flows in Switzerland. Data in Brief, 41, 108001. https://doi.org/10.1016/j.dib.2022.108184</t>
  </si>
  <si>
    <t>Klotz, M., &amp; Haupt, M. (2022). A high-resolution dataset on the plastic material flows in Switzerland. Data in Brief, 41, 108001. https://doi.org/10.1016/j.dib.2022.108185</t>
  </si>
  <si>
    <t>Klotz, M., &amp; Haupt, M. (2022). A high-resolution dataset on the plastic material flows in Switzerland. Data in Brief, 41, 108001. https://doi.org/10.1016/j.dib.2022.108186</t>
  </si>
  <si>
    <t>Klotz, M., &amp; Haupt, M. (2022). A high-resolution dataset on the plastic material flows in Switzerland. Data in Brief, 41, 108001. https://doi.org/10.1016/j.dib.2022.108187</t>
  </si>
  <si>
    <t>FabricCoatings</t>
  </si>
  <si>
    <t>Cosmetics</t>
  </si>
  <si>
    <t>Extracted from the base model</t>
  </si>
  <si>
    <t>ShotgunCartridges</t>
  </si>
  <si>
    <t>OtherOther</t>
  </si>
  <si>
    <t>ApparelPC</t>
  </si>
  <si>
    <t>HouseholdTextilesPC</t>
  </si>
  <si>
    <t>HygieneMedicalTextiles</t>
  </si>
  <si>
    <t>European Association for Textile Polyolefins (EATP), ‘INDUSTRY DATA European Union (EU28) and Turkey - 2013’, EATP, 2017, pp. 1–2 &lt;http://www.eatp.org/industry-data/&gt; [accessed 25 July 2017]</t>
  </si>
  <si>
    <t>Transparency Market Research, ‘Technical Textiles Market to Reach US$160.38 Billion Owing to Innovative Product Development’, 2015 &lt;http://www.transparencymarketresearch.com/pressrelease/technical-textiles-market.htm&gt; [accessed 22 February 2017]</t>
  </si>
  <si>
    <t>Grebe, Jürgen, Technical Textiles - Prospects and Challenges, 2015</t>
  </si>
  <si>
    <t>DisposableCleaningCloths</t>
  </si>
  <si>
    <t>WetWipes</t>
  </si>
  <si>
    <t>Tampons</t>
  </si>
  <si>
    <t>PantyLiners</t>
  </si>
  <si>
    <t>SanitaryNapkins</t>
  </si>
  <si>
    <t>Agrotextiles</t>
  </si>
  <si>
    <t>MobilityTextiles</t>
  </si>
  <si>
    <t>Geotextiles</t>
  </si>
  <si>
    <t>Category available is agrotex/geotex. Separation according to global PC</t>
  </si>
  <si>
    <t>BuildingTextiles</t>
  </si>
  <si>
    <t>TechnicalHouseholdTextiles</t>
  </si>
  <si>
    <t>TechnicalClothing</t>
  </si>
  <si>
    <t>Category not available, renormalization of global PC for all fibres</t>
  </si>
  <si>
    <t>OtherTechnicalTextiles</t>
  </si>
  <si>
    <t>AgricultureCollection</t>
  </si>
  <si>
    <t>CDIncinerableCollection</t>
  </si>
  <si>
    <t>PackagingCollection</t>
  </si>
  <si>
    <t>Hestin, M., Mitsios, A., Said, S. A., Fouret, F., Berwald, A., &amp; Senlis, V. (2019). Deloitte Sustainability-Plastics Recyclers Europe, Blueprint for plastics packaging waste: Quality sorting &amp; recycling, Final Report. https://www2.deloitte.com/content/dam/Deloitte/my/Documents/risk/my-risk-blueprint-plastics-packaging-waste-2017.pdf; Plastics Europe. (2022). The circular economy for plastics: A european overview. https://plasticseurope.org/wp-content/uploads/2022/06/PlasticsEurope-CircularityReport-2022_2804-Light.pdf; base model</t>
  </si>
  <si>
    <t>MixedCollection</t>
  </si>
  <si>
    <t>CDCollection</t>
  </si>
  <si>
    <t>Export</t>
  </si>
  <si>
    <t>Eurostat. (2023). End-of-life vehicles by waste management operations—Detailed data [Data set]. https://ec.europa.eu/eurostat/databrowser/view/ENV_WASELV__custom_6655649/default/table?lang=en; Eurostat. (2023). End-of-life vehicles—Reuse, recycling and recovery, totals [Data set]. https://ec.europa.eu/eurostat/databrowser/view/ENV_WASELVT__custom_6655621/default/table?lang=en</t>
  </si>
  <si>
    <t>ELVCollection</t>
  </si>
  <si>
    <t>WEEECollection</t>
  </si>
  <si>
    <t>TextileCollection</t>
  </si>
  <si>
    <t>ELVTextilesCollection</t>
  </si>
  <si>
    <t>FishingGearCollection</t>
  </si>
  <si>
    <t>PackagingRecycling</t>
  </si>
  <si>
    <t>Plastics Europe. (2022). The circular economy for plastics: A european overview. https://plasticseurope.org/wp-content/uploads/2022/06/PlasticsEurope-CircularityReport-2022_2804-Light.pd; Eurostat. (2023). Packaging waste by waste management operations [Data set]. https://ec.europa.eu/eurostat/databrowser/view/ENV_WASPAC__custom_6699796/default/table?lang=en</t>
  </si>
  <si>
    <t>Landfill</t>
  </si>
  <si>
    <t>Incineration</t>
  </si>
  <si>
    <t>Plastics Europe. (2022). The circular economy for plastics: A european overview. https://plasticseurope.org/wp-content/uploads/2022/06/PlasticsEurope-CircularityReport-2022_2804-Light.pd</t>
  </si>
  <si>
    <t>CDRecycling</t>
  </si>
  <si>
    <t>Conversio Market &amp;, Strategy GmbH, &amp; Conversio. (2019). Plastic waste from B&amp;C in EU 2018. https://plasticseurope.org/wp-content/uploads/2021/10/BC_Table.pdf</t>
  </si>
  <si>
    <t>Plastics Europe. (2022). The circular economy for plastics: A european overview. https://plasticseurope.org/wp-content/uploads/2022/06/PlasticsEurope-CircularityReport-2022_2804-Light.pd; Conversio Market &amp;, Strategy GmbH, &amp; Conversio. (2019). Plastic waste from B&amp;C in EU 2018. https://plasticseurope.org/wp-content/uploads/2021/10/BC_Table.pdf</t>
  </si>
  <si>
    <t>LargePartRecycling</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</si>
  <si>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https://doi.org/10.1016/j.jhazmat.2011.02.088</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</si>
  <si>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https://doi.org/10.1016/j.jhazmat.2011.02.089</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</si>
  <si>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https://doi.org/10.1016/j.jhazmat.2011.02.090</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</si>
  <si>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https://doi.org/10.1016/j.jhazmat.2011.02.091</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</si>
  <si>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https://doi.org/10.1016/j.jhazmat.2011.02.092</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</si>
  <si>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https://doi.org/10.1016/j.jhazmat.2011.02.093</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</si>
  <si>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https://doi.org/10.1016/j.jhazmat.2011.02.094</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</si>
  <si>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https://doi.org/10.1016/j.jhazmat.2011.02.095</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</si>
  <si>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https://doi.org/10.1016/j.jhazmat.2011.02.096</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</si>
  <si>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https://doi.org/10.1016/j.jhazmat.2011.02.097</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</si>
  <si>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https://doi.org/10.1016/j.jhazmat.2011.02.098</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</si>
  <si>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https://doi.org/10.1016/j.jhazmat.2011.02.099</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</si>
  <si>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https://doi.org/10.1016/j.jhazmat.2011.02.100</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</si>
  <si>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https://doi.org/10.1016/j.jhazmat.2011.02.101</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</si>
  <si>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https://doi.org/10.1016/j.jhazmat.2011.02.102</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</si>
  <si>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https://doi.org/10.1016/j.jhazmat.2011.02.103</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</si>
  <si>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https://doi.org/10.1016/j.jhazmat.2011.02.104</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</si>
  <si>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https://doi.org/10.1016/j.jhazmat.2011.02.105</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</si>
  <si>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https://doi.org/10.1016/j.jhazmat.2011.02.106</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</si>
  <si>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https://doi.org/10.1016/j.jhazmat.2011.02.107</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</si>
  <si>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https://doi.org/10.1016/j.jhazmat.2011.02.108</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</si>
  <si>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https://doi.org/10.1016/j.jhazmat.2011.02.109</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</si>
  <si>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https://doi.org/10.1016/j.jhazmat.2011.02.110</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</si>
  <si>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https://doi.org/10.1016/j.jhazmat.2011.02.111</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</si>
  <si>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https://doi.org/10.1016/j.jhazmat.2011.02.112</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</si>
  <si>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https://doi.org/10.1016/j.jhazmat.2011.02.113</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</si>
  <si>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https://doi.org/10.1016/j.jhazmat.2011.02.114</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</si>
  <si>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https://doi.org/10.1016/j.jhazmat.2011.02.115</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</si>
  <si>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https://doi.org/10.1016/j.jhazmat.2011.02.116</t>
  </si>
  <si>
    <t>Eurostat. (2023). End-of-life vehicles by waste management operations—Detailed data [Data set]. https://ec.europa.eu/eurostat/databrowser/view/ENV_WASELV__custom_6841155/default/table?lang=en; Vermeulen, I., Van Caneghem, J., Block, C., Baeyens, J., &amp; Vandecasteele, C. (2011). Automotive shredder residue (ASR): Reviewing its production from end-of-life vehicles (ELVs) and its recycling, energy or chemicals’ valorisation. Journal of Hazardous Materials, 190(1), 8–27. https://doi.org/10.1016/j.jhazmat.2011.02.117</t>
  </si>
  <si>
    <t>ASRRecycling</t>
  </si>
  <si>
    <t>WEEPRecycling</t>
  </si>
  <si>
    <t>Klotz, M., &amp; Haupt, M. (2022). A high-resolution dataset on the plastic material flows in Switzerland. Data in Brief, 41, 108001. https://doi.org/10.1016/j.dib.2022.108188</t>
  </si>
  <si>
    <t>AgricultureRecycling</t>
  </si>
  <si>
    <t>Kawecki, D., Scheeder, P. R. W., &amp; Nowack, B. (2018). Probabilistic Material Flow Analysis of Seven Commodity Plastics in Europe. Environmental Science &amp; Technology, 52(17), 9874–9888. https://doi.org/10.1021/acs.est.8b01513</t>
  </si>
  <si>
    <t>MaterialReuse</t>
  </si>
  <si>
    <t>Syversen, T., Lilleng, G., Vollstad, J., Hanssen, B. J., &amp; Sønvisen, S. A. (2022). Oceanic plastic pollution caused by Danish seine fishing in Norway. Marine Pollution Bulletin, 179, 113711. https://doi.org/10.1016/j.marpolbul.2022.113711</t>
  </si>
  <si>
    <t>Klotz, M., &amp; Haupt, M. (2022). A high-resolution dataset on the plastic material flows in Switzerland. Data in Brief, 41, 108001. https://doi.org/10.1016/j.dib.2022.108191</t>
  </si>
  <si>
    <t>Eurostat. (2023). End-of-life vehicles by waste management operations—Detailed data [Data set]. https://ec.europa.eu/eurostat/databrowser/view/ENV_WASELV__custom_6841155/default/table?lang=en</t>
  </si>
  <si>
    <t>PartReuse</t>
  </si>
  <si>
    <t>Restrepo, Eliette, Amund N. Løvik, Patrick Wäger, Rolf Widmer, Radek Lonka, and Daniel B. Müller, ‘Stocks, Flows, and Distribution of Critical Metals in Embedded Electronics in Passenger Vehicles’, Environmental Science &amp; Technology, 51 (2017), 1129–39 &lt;http://dx.doi.org/10.1021/acs.est.6b05743&gt;</t>
  </si>
  <si>
    <t>Elimination</t>
  </si>
  <si>
    <t>IndustryWaterMicro</t>
  </si>
  <si>
    <t>Cole, G. &amp; Sherrington, C. Study to Quantify Pellet Emissions in the UK. (2016).</t>
  </si>
  <si>
    <t>BKV GmbH. ‘Sonderbetrachtung Pelletverluste’, 2022.</t>
  </si>
  <si>
    <t>SurfaceWaterMicro</t>
  </si>
  <si>
    <t>UrbanSoilMicro</t>
  </si>
  <si>
    <t>WasteWaterMicro</t>
  </si>
  <si>
    <t>Hernandez, E., Nowack, B. &amp; Mitrano, D. M. Synthetic Textiles as a Source of Microplastics from Households: A Mechanistic Study to Understand Microfiber Release During Washing. Environ. Sci. Technol. acs.est.7b01750 (2017)</t>
  </si>
  <si>
    <t>Pirc, U., Vidmar, M., Mozer, A. &amp; Kržan, A. Emissions of microplastic fibers from microfiber fleece during domestic washing. Environ. Sci. Pollut. Res. (2016)</t>
  </si>
  <si>
    <t>Assumption</t>
  </si>
  <si>
    <t>UrbanSoilMacro</t>
  </si>
  <si>
    <t>RoadSideLitter</t>
  </si>
  <si>
    <t>Suzuki, Go, Natsuyo Uchida, Le Huu Tuyen, Kosuke Tanaka, Hidenori Matsukami, Tatsuya Kunisue, Shin Takahashi, Pham Hung Viet, Hidetoshi Kuramochi, and MasahiROOsako. ‘Mechanical Recycling of Plastic Waste as a Point Source of Microplastic Pollution’. Environmental Pollution 303 (15 June 2022): 119114. https://doi.org/10.1016/j.envpol.2022.119114.</t>
  </si>
  <si>
    <t>For recycler, Soil:Wastewater=0.6:4.7</t>
  </si>
  <si>
    <t>OutdoorAirMicro</t>
  </si>
  <si>
    <t>OnTheGo</t>
  </si>
  <si>
    <t>WRAP. Report: Plastic packaging Composition 2011. (2013).</t>
  </si>
  <si>
    <t>Dumping</t>
  </si>
  <si>
    <t>European Commission. (2019). Turning the tide on single-use plastics. Publications Office. https://data.europa.eu/doi/10.2779/294711</t>
  </si>
  <si>
    <t>UrbanLitter</t>
  </si>
  <si>
    <t>UnintendedCDWaste</t>
  </si>
  <si>
    <t>Based on private communication with VKR on 31/08/23</t>
  </si>
  <si>
    <t>DeepUrbanSoilMicro</t>
  </si>
  <si>
    <t>European Communities. European Union Risk Assessment Report: Hexabromocyclododecane CAS-No.: 25637-99-4, EINECS- No.: 247-148-4. Final Report; 2008; https://echa.europa.eu/documents/10162/661bff17-dc0a-4475-9758-40bdd6198f82. p85</t>
  </si>
  <si>
    <t>Release through sawing during construction + release during deconstruction (0.1% for deconstruction not aimed at recycling)</t>
  </si>
  <si>
    <t>European Communities. European Union Risk Assessment Report: Hexabromocyclododecane CAS-No.: 25637-99-4, EINECS- No.: 247-148-4. Final Report; 2008; https://echa.europa.eu/documents/10162/661bff17-dc0a-4475-9758-40bdd6198f82. p86</t>
  </si>
  <si>
    <t>Release through sawing during construction + release during deconstruction (90g/t for deconstruction aimed at recycling)</t>
  </si>
  <si>
    <t>European Communities. European Union Risk Assessment Report: Hexabromocyclododecane CAS-No.: 25637-99-4, EINECS- No.: 247-148-4. Final Report; 2008; https://echa.europa.eu/documents/10162/661bff17-dc0a-4475-9758-40bdd6198f82. p87</t>
  </si>
  <si>
    <t>Release through cutting/sawing during construction (worst case scenario)</t>
  </si>
  <si>
    <t>IndoorAirMicro</t>
  </si>
  <si>
    <t>Best case scenario</t>
  </si>
  <si>
    <t>Based on Vigo, T. L.; Lamb, G. E. R.; Kepka, S.; Miller, B. Abrasion and Lint Loss Properties of Fabrics Containing Crosslinked Polyethylene Glycol. Text. Res. J. 1991, 61 (3), 169–176.</t>
  </si>
  <si>
    <t>European Commission &amp; TNS Political &amp; Social. (2014). Attitudes of Europeans towards waste management and resource efficiency. https://data.europa.eu/doi/10.2779/14825, Schultz, W., Large, B., Tabanico, J., Bruni, C., &amp; Bator, R. (2009). Littering Behavior in America: Results of a National Study.</t>
  </si>
  <si>
    <t>RuralSoilMacro</t>
  </si>
  <si>
    <t>AgriculturalSoilMacro</t>
  </si>
  <si>
    <t>SurfaceWaterMacro</t>
  </si>
  <si>
    <t>CoastalWaterMacro</t>
  </si>
  <si>
    <t>European Commission &amp; TNS Political &amp; Social. (2014). Attitudes of Europeans towards waste management and resource efficiency. https://data.europa.eu/doi/10.2779/14825; Schultz, W., Large, B., Tabanico, J., Bruni, C., &amp; Bator, R. (2009). Littering Behavior in America: Results of a National Study; Eurostat. ‘Land Cover Overview by NUTS 2 Regions’, 18 July 2022. https://ec.europa.eu/eurostat/databrowser/view/LAN_LCV_OVW__custom_7177573/default/table?lang=en.</t>
  </si>
  <si>
    <t>Light EPS distributed by wind</t>
  </si>
  <si>
    <t>RoadSideMacro</t>
  </si>
  <si>
    <t>Data quality alligns with that of the data sources used in the base model.</t>
  </si>
  <si>
    <t>Kalberer, von Andreas, Delphine Kawecki, and Thomas Bucheli. ‘Plastik in Der Landwirtschaft: Stand Des Wissens Und Handlungsempfehlungen Für Die Landwirtschaftliche Forschung, Praxis, Industrie Und Behörden’, 20 March 2019.</t>
  </si>
  <si>
    <t>AgriculturalSoilMicro</t>
  </si>
  <si>
    <t>Ren, S.-Y., &amp; Ni, H.-G. (2022). A method for measuring the emissions of in situ agricultural plastic film microplastics by ultraviolet and mechanical abrasion. Science of The Total Environment, 819, 152041. https://doi.org/10.1016/j.scitotenv.2021.152041</t>
  </si>
  <si>
    <t>Based on Agreste. Chiffres-Clés : 61 Hectares En Moyenne Par Exploitation; 2017</t>
  </si>
  <si>
    <t>Defined in tab Textiles</t>
  </si>
  <si>
    <t>Defined in tab sp-Textiles</t>
  </si>
  <si>
    <t>WasteWaterMacro</t>
  </si>
  <si>
    <t>Based on Friedler, E.; Brown, D. M.; Butler, D. A Study of WC Derived Sewer Solids. Water Sci. Technol. 1996, 33 (9), 17–24.</t>
  </si>
  <si>
    <t>Based on Spence, K. J.; Digman, C.; Balmforth, D.; Houldsworth, J.; Saul, A.; Meadowcroft, J. Gross Solids from Combined Sewers in Dry Weather and Storms, Elucidating Production, Storage and Social Factors. Urban Water J. 2016, 13 (8), 773–789.</t>
  </si>
  <si>
    <t>Based on London Assembly. (2018). Single‐use plastics: Unflushables. https://www.london.gov.uk/sites/default/files/plastics_unflushables_-_submited_evidence.pdf</t>
  </si>
  <si>
    <t>Water UK. (2023, February 15). Public urged to bin ‘harmful’ wet wipes as over a fifth admit to flushing down the toilet | Water UK. https://www.water.org.uk/news-views-publications/news/public-urged-bin-harmful-wet-wipes-over-fifth-admit-flushing-down#:%7E:text=%E2%80%9CBin%20the%20Wipe%E2%80%9D%20is%20a,wet%20wipes%20down%20the%20toilet.</t>
  </si>
  <si>
    <t>OceanMacro</t>
  </si>
  <si>
    <t>Deshpande, Paritosh C., Gaspard Philis, Helge Brattebø, and Annik M. Fet. ‘Using Material Flow Analysis (MFA) to Generate the Evidence on Plastic Waste Management from Commercial Fishing Gears in Norway’. Resources, Conservation &amp; Recycling: X 5 (1 January 2020): 100024. https://doi.org/10.1016/j.rcrx.2019.100024.</t>
  </si>
  <si>
    <t>Richardson, Kelsey, Britta Denise Hardesty, Joanna Vince, and Chris Wilcox. ‘Global Estimates of Fishing Gear Lost to the Ocean Each Year’. Science Advances 8, no. 41 (14 October 2022): eabq0135. https://doi.org/10.1126/sciadv.abq0135.</t>
  </si>
  <si>
    <t>Schwarz, A.E., S.M.C. Lensen, E. Langeveld, L.A. Parker, and J.H. Urbanus. ‘Plastics in the Global Environment Assessed through Material Flow Analysis, Degradation and Environmental Transportation’. Science of The Total Environment 875 (June 2023): 162644. https://doi.org/10.1016/j.scitotenv.2023.162644.</t>
  </si>
  <si>
    <t>OceanMicro</t>
  </si>
  <si>
    <t>Napper, Imogen Ellen, Luka Seamus Wright, Aaron C. Barrett, Florence N. F. Parker-Jurd, and Richard C. Thompson. ‘Potential Microplastic Release from the Maritime Industry: Abrasion of Rope’. Science of The Total Environment 804 (15 January 2022): 150155. https://doi.org/10.1016/j.scitotenv.2021.150155.</t>
  </si>
  <si>
    <t>Rope abrasion</t>
  </si>
  <si>
    <t>50% of that to the ocean</t>
  </si>
  <si>
    <t>RuralSoilMicro</t>
  </si>
  <si>
    <t>StormWaterMicro</t>
  </si>
  <si>
    <t>Department for Environment Food &amp; Rural Affairs. (2023). Fly-tipping statistics for England, 2020 to 2021. https://www.gov.uk/government/statistics/fly-tipping-in-england/fly-tipping-statistics-for-england-2020-to-2021</t>
  </si>
  <si>
    <t>Department for Environment Food &amp; Rural Affairs. (2023). Fly-tipping statistics for England, 2020 to 2021. https://www.gov.uk/government/statistics/fly-tipping-in-england/fly-tipping-statistics-for-england-2020-to-2022</t>
  </si>
  <si>
    <t>Department for Environment Food &amp; Rural Affairs. (2023). Fly-tipping statistics for England, 2020 to 2021. https://www.gov.uk/government/statistics/fly-tipping-in-england/fly-tipping-statistics-for-england-2020-to-2023</t>
  </si>
  <si>
    <t>Department for Environment Food &amp; Rural Affairs. (2023). Fly-tipping statistics for England, 2020 to 2021. https://www.gov.uk/government/statistics/fly-tipping-in-england/fly-tipping-statistics-for-england-2020-to-2024</t>
  </si>
  <si>
    <t>Department for Environment Food &amp; Rural Affairs. (2023). Fly-tipping statistics for England, 2020 to 2021. https://www.gov.uk/government/statistics/fly-tipping-in-england/fly-tipping-statistics-for-england-2020-to-2025</t>
  </si>
  <si>
    <t>Department for Environment Food &amp; Rural Affairs. (2023). Fly-tipping statistics for England, 2020 to 2021. https://www.gov.uk/government/statistics/fly-tipping-in-england/fly-tipping-statistics-for-england-2020-to-2026</t>
  </si>
  <si>
    <t>Department for Environment Food &amp; Rural Affairs. (2023). Fly-tipping statistics for England, 2020 to 2021. https://www.gov.uk/government/statistics/fly-tipping-in-england/fly-tipping-statistics-for-england-2020-to-2027</t>
  </si>
  <si>
    <t>Department for Environment Food &amp; Rural Affairs. (2023). Fly-tipping statistics for England, 2020 to 2021. https://www.gov.uk/government/statistics/fly-tipping-in-england/fly-tipping-statistics-for-england-2020-to-2028</t>
  </si>
  <si>
    <t>Department for Environment Food &amp; Rural Affairs. (2023). Fly-tipping statistics for England, 2020 to 2021. https://www.gov.uk/government/statistics/fly-tipping-in-england/fly-tipping-statistics-for-england-2020-to-2029</t>
  </si>
  <si>
    <t>Department for Environment Food &amp; Rural Affairs. (2023). Fly-tipping statistics for England, 2020 to 2021. https://www.gov.uk/government/statistics/fly-tipping-in-england/fly-tipping-statistics-for-england-2020-to-2030</t>
  </si>
  <si>
    <t>Department for Environment Food &amp; Rural Affairs. (2023). Fly-tipping statistics for England, 2020 to 2021. https://www.gov.uk/government/statistics/fly-tipping-in-england/fly-tipping-statistics-for-england-2020-to-2031</t>
  </si>
  <si>
    <t>Department for Environment Food &amp; Rural Affairs. (2023). Fly-tipping statistics for England, 2020 to 2021. https://www.gov.uk/government/statistics/fly-tipping-in-england/fly-tipping-statistics-for-england-2020-to-2032</t>
  </si>
  <si>
    <t>Department for Environment Food &amp; Rural Affairs. (2023). Fly-tipping statistics for England, 2020 to 2021. https://www.gov.uk/government/statistics/fly-tipping-in-england/fly-tipping-statistics-for-england-2020-to-2033</t>
  </si>
  <si>
    <t>Department for Environment Food &amp; Rural Affairs. (2023). Fly-tipping statistics for England, 2020 to 2021. https://www.gov.uk/government/statistics/fly-tipping-in-england/fly-tipping-statistics-for-england-2020-to-2034</t>
  </si>
  <si>
    <t>Department for Environment Food &amp; Rural Affairs. (2023). Fly-tipping statistics for England, 2020 to 2021. https://www.gov.uk/government/statistics/fly-tipping-in-england/fly-tipping-statistics-for-england-2020-to-2035</t>
  </si>
  <si>
    <t>Department for Environment Food &amp; Rural Affairs. (2023). Fly-tipping statistics for England, 2020 to 2021. https://www.gov.uk/government/statistics/fly-tipping-in-england/fly-tipping-statistics-for-england-2020-to-2036</t>
  </si>
  <si>
    <t>Department for Environment Food &amp; Rural Affairs. (2023). Fly-tipping statistics for England, 2020 to 2021. https://www.gov.uk/government/statistics/fly-tipping-in-england/fly-tipping-statistics-for-england-2020-to-2037</t>
  </si>
  <si>
    <t>Department for Environment Food &amp; Rural Affairs. (2023). Fly-tipping statistics for England, 2020 to 2021. https://www.gov.uk/government/statistics/fly-tipping-in-england/fly-tipping-statistics-for-england-2020-to-2038</t>
  </si>
  <si>
    <t>Department for Environment Food &amp; Rural Affairs. (2023). Fly-tipping statistics for England, 2020 to 2021. https://www.gov.uk/government/statistics/fly-tipping-in-england/fly-tipping-statistics-for-england-2020-to-2039</t>
  </si>
  <si>
    <t>Department for Environment Food &amp; Rural Affairs. (2023). Fly-tipping statistics for England, 2020 to 2021. https://www.gov.uk/government/statistics/fly-tipping-in-england/fly-tipping-statistics-for-england-2020-to-2040</t>
  </si>
  <si>
    <t>Department for Environment Food &amp; Rural Affairs. (2023). Fly-tipping statistics for England, 2020 to 2021. https://www.gov.uk/government/statistics/fly-tipping-in-england/fly-tipping-statistics-for-england-2020-to-2041</t>
  </si>
  <si>
    <t>Department for Environment Food &amp; Rural Affairs. (2023). Fly-tipping statistics for England, 2020 to 2021. https://www.gov.uk/government/statistics/fly-tipping-in-england/fly-tipping-statistics-for-england-2020-to-2042</t>
  </si>
  <si>
    <t>Department for Environment Food &amp; Rural Affairs. (2023). Fly-tipping statistics for England, 2020 to 2021. https://www.gov.uk/government/statistics/fly-tipping-in-england/fly-tipping-statistics-for-england-2020-to-2043</t>
  </si>
  <si>
    <t>Department for Environment Food &amp; Rural Affairs. (2023). Fly-tipping statistics for England, 2020 to 2021. https://www.gov.uk/government/statistics/fly-tipping-in-england/fly-tipping-statistics-for-england-2020-to-2044</t>
  </si>
  <si>
    <t>Department for Environment Food &amp; Rural Affairs. (2023). Fly-tipping statistics for England, 2020 to 2021. https://www.gov.uk/government/statistics/fly-tipping-in-england/fly-tipping-statistics-for-england-2020-to-2045</t>
  </si>
  <si>
    <t>Department for Environment Food &amp; Rural Affairs. (2023). Fly-tipping statistics for England, 2020 to 2021. https://www.gov.uk/government/statistics/fly-tipping-in-england/fly-tipping-statistics-for-england-2020-to-2046</t>
  </si>
  <si>
    <t>Department for Environment Food &amp; Rural Affairs. (2023). Fly-tipping statistics for England, 2020 to 2021. https://www.gov.uk/government/statistics/fly-tipping-in-england/fly-tipping-statistics-for-england-2020-to-2047</t>
  </si>
  <si>
    <t>Department for Environment Food &amp; Rural Affairs. (2023). Fly-tipping statistics for England, 2020 to 2021. https://www.gov.uk/government/statistics/fly-tipping-in-england/fly-tipping-statistics-for-england-2020-to-2048</t>
  </si>
  <si>
    <t>Department for Environment Food &amp; Rural Affairs. (2023). Fly-tipping statistics for England, 2020 to 2021. https://www.gov.uk/government/statistics/fly-tipping-in-england/fly-tipping-statistics-for-england-2020-to-2049</t>
  </si>
  <si>
    <t>Department for Environment Food &amp; Rural Affairs. (2023). Fly-tipping statistics for England, 2020 to 2021. https://www.gov.uk/government/statistics/fly-tipping-in-england/fly-tipping-statistics-for-england-2020-to-2050</t>
  </si>
  <si>
    <t>RuralLitter</t>
  </si>
  <si>
    <t>BeachLitter</t>
  </si>
  <si>
    <t>OnTheGoUrban</t>
  </si>
  <si>
    <t>Eurostat. (2018). Time spent, participation time and participation rate in the main activity by sex and age group. https://ec.europa.eu/eurostat/databrowser/view/tus_00age/default/table?lang=en</t>
  </si>
  <si>
    <t>Eurostat. (2018). Time spent, participation time and participation rate in the main activity by sex and age group. https://ec.europa.eu/eurostat/databrowser/view/tus_00age/default/table?lang=en; Eurostat. (2025). Nights spent at tourist accommodation establishments by degree of urbanisation and coastal/non-coastal area [Dataset]. https://ec.europa.eu/eurostat/databrowser/view/tour_occ_ninatdc/default/table?lang=en&amp;category=reg_typ.coast.mare; Eurostat. (2025). Population on 1 January [Dataset]. https://ec.europa.eu/eurostat/databrowser/view/tps00001/default/table?lang=en&amp;category=t_demo.t_demo_pop</t>
  </si>
  <si>
    <t>OnTheGoTransport</t>
  </si>
  <si>
    <t>OnTheGoRural</t>
  </si>
  <si>
    <t>OnTheGoBeach</t>
  </si>
  <si>
    <t>Eurostat. (2025). Nights spent at tourist accommodation establishments by degree of urbanisation and coastal/non-coastal area [Dataset]. https://ec.europa.eu/eurostat/databrowser/view/tour_occ_ninatdc/default/table?lang=en&amp;category=reg_typ.coast.mare; Eurostat. (2025). Population on 1 January [Dataset]. https://ec.europa.eu/eurostat/databrowser/view/tps00001/default/table?lang=en&amp;category=t_demo.t_demo_pop</t>
  </si>
  <si>
    <t>European Environment Agency. (2023). From source to sea—The untold story of marine litter. https://www.eea.europa.eu/ds_resolveuid/996efb7b3c02486ea0d74b1b26fee7bc; Eurostat. (2023). Municipal waste by waste management operations. https://ec.europa.eu/eurostat/databrowser/view/ENV_WASMUN__custom_6175716/default/table?lang=en; assumptions</t>
  </si>
  <si>
    <t>European Commission. (2014). Attitudes of Europeans towards waste management and resource efficiency. https://data.europa.eu/doi/10.2779/14825; assumptions</t>
  </si>
  <si>
    <t>StormWaterMacro</t>
  </si>
  <si>
    <t>BeachSoilMacro</t>
  </si>
  <si>
    <t>Assumptions; European Commission. (2011). Eurostat regional yearbook 2011. Publications Office. https://data.europa.eu/doi/10.2785/1392; European Commission. (2016). European Maritime and Fisheries Fund (EMFF): Croatia. https://oceans-and-fisheries.ec.europa.eu/system/files/2016-09/op-croatia-fact-sheet_en.pdf; Eurostat. (2013). Archive:Coastal regions—Population statistics. https://ec.europa.eu/eurostat/statistics-explained/index.php?title=Archive:Coastal_regions_-_population_statistics; Eurostat. (2025). Population on 1 January [Dataset]. https://ec.europa.eu/eurostat/databrowser/view/tps00001/default/table?lang=en&amp;category=t_demo.t_demo_pop</t>
  </si>
  <si>
    <t>CompostCollectionLarge</t>
  </si>
  <si>
    <t>Scale based on Favoino, E., &amp; Giavini, M. (2024). Bio-waste generation in the EU: Current capture levels and future potential. Bio-based Industries Consortium (BIC). https://biconsortium.eu/media/europe-missing-out-potential-bio-waste-almost-75-ending-landfills-or-incinerated</t>
  </si>
  <si>
    <t>CompostCollectionSmall</t>
  </si>
  <si>
    <t>99% efficiency in sorting</t>
  </si>
  <si>
    <t>CompostingSizeSep</t>
  </si>
  <si>
    <t>Goldberg, L. Plastic in Organic Waste in Switzerland : Material Flows and Consequences, University of Zurich, 2018.</t>
  </si>
  <si>
    <t>CompostMicro</t>
  </si>
  <si>
    <t>No sorting of microplastics</t>
  </si>
  <si>
    <t>CompostMacro</t>
  </si>
  <si>
    <t>Faure, F.; De Alencastro, L. F. Recherche de fragments de plastique dans les composts et digestats industriels; 2016.</t>
  </si>
  <si>
    <t>Of all the plastic larger than 1 mm, fraction larger than 5 mm</t>
  </si>
  <si>
    <t>97% is used in horticulture and agriculture</t>
  </si>
  <si>
    <t>3% is used by hobby gardeners</t>
  </si>
  <si>
    <t>UnconnectEffluentMicro</t>
  </si>
  <si>
    <t>WWTPMicro</t>
  </si>
  <si>
    <t>UnconnectEffluentMacro</t>
  </si>
  <si>
    <t>Cools, J., Banfi, P., McNeill, A., Zamparutti, T., &amp; Vaes, G. (2016). Assessment of impact of storm water overflows from combined waste water collecting systems on water bodies (including the marine environment) in the 28 EU Member States, Final Report for Task 1.3. https://circabc.europa.eu/sd/a/f3c0cbde-3f4a-4b6f-8953-0eaec6a6ffd0/Task%203%20Occurrence%20of%20storm%20water%20over%20flows%20in%20the%20EU.pdf</t>
  </si>
  <si>
    <t>Statistisk Sentrabyrå. (2022). Wastewater pipelines and inhabitants connected. Municipal wastewater (M) 2015—2022 [Data set]. https://www.ssb.no/en/statbank/table/13144/</t>
  </si>
  <si>
    <t>Maurer, M., Chawla, F., Horn, J. von, &amp; Staufer, P. (2012). Abwasserentsorgung 2025 in der Schweiz. https://d1wqtxts1xzle7.cloudfront.net/30871664/schriftenreihe_21.pdf?1362606215=&amp;response-content-disposition=inline%3B+filename%3DAbwasserentsorgung_2025_in_der_Schweiz.pdf&amp;Expires=1689757742&amp;Signature=XkIJW5t3SvzMxDZ4fm6gvKLG4vS7-6XrOiFzuyh2KU0JmbHfmtoupTFGxflyW1oJ5nHx~SLUW6dmRmd1jyHoeVNL9sp780-3x8AvQ7ymfuWxSChiWgClhSIZGQxZvmAZt8dgTe2-plyCkDoe2dT7yCQby-~OvpSM49hRBc8su5HE6Iu-xN5BTmC44z-uW~871ifVlHq8zRWb48-hzwE24yo72LBfnkFw6hgwBC6FKEKNDwpZzj-vMSPyLTBaym0AF6MoOzfFzS43bCOyT2NrBl2TNPX2oIWJPXj6dGxlbjSHPnxIPeFiL2UItcRaUOdF6uKMOsl~ARo-9CabsaL5zw__&amp;Key-Pair-Id=APKAJLOHF5GGSLRBV4ZA</t>
  </si>
  <si>
    <t>WWTPMacro</t>
  </si>
  <si>
    <t>OSSFMacro</t>
  </si>
  <si>
    <t>Eurostat. (2023). Population connected to wastewater treatment plants [Dataset]. https://ec.europa.eu/eurostat/databrowser/view/ENV_WW_CON__custom_6245460/default/table?lang=en</t>
  </si>
  <si>
    <t>OECD. (2023). Connection rates to wastewater treatment [Dataset]. https://stats.oecd.org/index.aspx?DataSetCode=water_treat</t>
  </si>
  <si>
    <t>OSSFMicro</t>
  </si>
  <si>
    <t>Rutsch, Mandy, J. Rieckermann, and P. Krebs, ‘Quantification of Sewer Leakage: A Review’, Water Science and Technology, 54 (2006), 135–44 &lt;http://dx.doi.org/10.2166/wst.2006.616&gt;</t>
  </si>
  <si>
    <t>Fraction of the waste water leaking from pipes during dry weather flow</t>
  </si>
  <si>
    <t>SludgeMacro</t>
  </si>
  <si>
    <t>SludgeMicro</t>
  </si>
  <si>
    <t>Fraction collected on screens</t>
  </si>
  <si>
    <t>CSOMacro</t>
  </si>
  <si>
    <t>Sun, T. Y.; Gottschalk, F.; Hungerbühler, K.; Nowack, B. Comprehensive Probabilistic Modelling of Environmental Emissions of Engineered Nanomaterials. Environ. Pollut. 2014, 185, 69–76.</t>
  </si>
  <si>
    <t>Combined Sewer Overflow</t>
  </si>
  <si>
    <t>Mutzner, L.; Staufer, P.; Ort, C. Model-Based Screening for Critical Wet-Weather Discharges Related to Micropollutants from Urban Areas. Water Res. 2016, 104, 547–557.</t>
  </si>
  <si>
    <t>WWTPrimaryMacro</t>
  </si>
  <si>
    <t>Fraction collected on screens with remaining waste (set to zero, because included in later stage)</t>
  </si>
  <si>
    <t>CSOMicro</t>
  </si>
  <si>
    <t>Calculated based on the duration the CSOs are active per municipality, and the waste water treated annually per year (data obtained from L. Mutzner by private communication on 09.05.2018)</t>
  </si>
  <si>
    <t>WWTPrimaryMicro</t>
  </si>
  <si>
    <t>To Primary Treatment</t>
  </si>
  <si>
    <t>CSOEffluentMacro</t>
  </si>
  <si>
    <t>Chèvre, N., Guignard, C., Rossi, L., Pfeifer, H.-R., Bader, H.-P., &amp; Scheidegger, R. (2011). Substance flow analysis as a tool for urban water management. Water Science and Technology, 63(7), 1341–1348. https://doi.org/10.2166/wst.2011.132</t>
  </si>
  <si>
    <t>Honda, R., Tachi, C., Yasuda, K., Hirata, T., Noguchi, M., Hara-Yamamura, H., Yamamoto-Ikemoto, R., &amp; Watanabe, T. (2020). Estimated discharge of antibiotic-resistant bacteria from combined sewer overflows of urban sewage system. Npj Clean Water, 3(1), Article 1. https://doi.org/10.1038/s41545-020-0059-5</t>
  </si>
  <si>
    <t>EPA. (2004). Report to Congress on Impacts and Control of Combined Sewer Overflows and Sanitary Sewer Overflows.</t>
  </si>
  <si>
    <t>CSOEffluentMicro</t>
  </si>
  <si>
    <t>Based on private communication with ARA St Gallen</t>
  </si>
  <si>
    <t>Primary treatment retention rate (90% retained after primary and screens)</t>
  </si>
  <si>
    <t>WWTSecondaryMacro</t>
  </si>
  <si>
    <t>Fraction going to secondary treatment (0% only treated in primary)</t>
  </si>
  <si>
    <t>Talvitie, J.; Heinonen, M.; Pääkkönen, J.-P.; Vahtera, E.; Mikola, A.; Setälä, O.; Vahala, R. Do Wastewater Treatment Plants Act as a Potential Point Source of Microplastics? Preliminary Study in the Coastal Gulf of Finland , Baltic Sea. Water Sci. Techno</t>
  </si>
  <si>
    <t>Primary treatment retention rate, particle and fibre numbers combined (includes fraction retained by the screens)</t>
  </si>
  <si>
    <t>Hidayaturrahman, Haerul, and Tae-Gwan Lee. ‘A Study on Characteristics of Microplastic in Wastewater of South Korea: Identification, Quantification, and Fate of Microplastics during Treatment Process’. Marine Pollution Bulletin 146 (September 2019): 696–702. https://doi.org/10.1016/j.marpolbul.2019.06.071.</t>
  </si>
  <si>
    <t>Talvitie, J.; Mikola, A.; Setälä, O.; Heinonen, M.; Koistinen, A. How Well Is Microlitter Purified from Wastewater? A Detailed Study on the Stepwise Removal of Microlitter in a Tertiary Level Wastewater Treatment Plant. Water Res. 2017, 109, 164–172.</t>
  </si>
  <si>
    <t>Talvitie, J.; Heinonen, M. Preliminary Study on Synthetic Microfibers and Particles at a Municipal Waste Water Treatment Plant; 2014.</t>
  </si>
  <si>
    <t>Based on number concentration before and after "mechanical purification"</t>
  </si>
  <si>
    <t>Blair, Reina M., Susan Waldron, and Caroline Gauchotte-Lindsay. ‘Average Daily Flow of Microplastics through a Tertiary Wastewater Treatment Plant over a Ten-Month Period’. Water Research 163 (October 2019): 114909. https://doi.org/10.1016/j.watres.2019.114909.</t>
  </si>
  <si>
    <t>Alavian Petroody, Somayye Sadat, Seyed Hossein Hashemi, and Cornelis A.M. van Gestel. ‘Factors Affecting Microplastic Retention and Emission by a Wastewater Treatment Plant on the Southern Coast of Caspian Sea’. Chemosphere 261 (December 2020): 128179. https://doi.org/10.1016/j.chemosphere.2020.128179.</t>
  </si>
  <si>
    <t>Michielssen, Marlies R., Elien R. Michielssen, Jonathan Ni, and Melissa B. Duhaime. ‘Fate of Microplastics and Other Small Anthropogenic Litter (SAL) in Wastewater Treatment Plants Depends on Unit Processes Employed’. Environmental Science: Water Research &amp; Technology 2, no. 6 (2016): 1064–73. https://doi.org/10.1039/C6EW00207B.</t>
  </si>
  <si>
    <t>Yang, Libiao, Kuixiao Li, Song Cui, Yu Kang, Lihui An, and Kun Lei. ‘Removal of Microplastics in Municipal Sewage from China’s Largest Water Reclamation Plant’. Water Research 155 (15 May 2019): 175–81. https://doi.org/10.1016/j.watres.2019.02.046.</t>
  </si>
  <si>
    <t>Ziajahromi, S.; Neale, P. A.; Rintoul, L.; Leusch, F. D. L. Wastewater Treatment Plants as a Pathway for Microplastics: Development of a New Approach to Sample Wastewater-Based Microplastics. Water Res. 2017, 112, 93–99.</t>
  </si>
  <si>
    <t>Based on the number concentration in primary treatment and secondary treatment</t>
  </si>
  <si>
    <t>Murphy, Fionn, Ciaran Ewins, Frederic Carbonnier, and Brian Quinn. ‘Wastewater Treatment Works (WwTW) as a Source of Microplastics in the Aquatic Environment’. Environmental Science &amp; Technology 50, no. 11 (7 June 2016): 5800–5808. https://doi.org/10.1021/acs.est.5b05416.</t>
  </si>
  <si>
    <t>WWTPrimaryMicroRest</t>
  </si>
  <si>
    <t>WWTSecondaryMicro</t>
  </si>
  <si>
    <t>EPA. (2020). Urban waste water treatment in Europe. https://www.eea.europa.eu/data-and-maps/indicators/urban-waste-water-treatment/urban-waste-water-treatment-assessment-5</t>
  </si>
  <si>
    <t>EPA. (2020). Urban waste water treatment in Europe. https://www.eea.europa.eu/data-and-maps/indicators/urban-waste-water-treatment/urban-waste-water-treatment-assessment-7</t>
  </si>
  <si>
    <t>EPA. (2020). Urban waste water treatment in Europe. https://www.eea.europa.eu/data-and-maps/indicators/urban-waste-water-treatment/urban-waste-water-treatment-assessment-8</t>
  </si>
  <si>
    <t>EPA. (2020). Urban waste water treatment in Europe. https://www.eea.europa.eu/data-and-maps/indicators/urban-waste-water-treatment/urban-waste-water-treatment-assessment-10</t>
  </si>
  <si>
    <t>EPA. (2020). Urban waste water treatment in Europe. https://www.eea.europa.eu/data-and-maps/indicators/urban-waste-water-treatment/urban-waste-water-treatment-assessment-11</t>
  </si>
  <si>
    <t>EPA. (2020). Urban waste water treatment in Europe. https://www.eea.europa.eu/data-and-maps/indicators/urban-waste-water-treatment/urban-waste-water-treatment-assessment-12</t>
  </si>
  <si>
    <t>EPA. (2020). Urban waste water treatment in Europe. https://www.eea.europa.eu/data-and-maps/indicators/urban-waste-water-treatment/urban-waste-water-treatment-assessment-15</t>
  </si>
  <si>
    <t>EPA. (2020). Urban waste water treatment in Europe. https://www.eea.europa.eu/data-and-maps/indicators/urban-waste-water-treatment/urban-waste-water-treatment-assessment-17</t>
  </si>
  <si>
    <t>EPA. (2020). Urban waste water treatment in Europe. https://www.eea.europa.eu/data-and-maps/indicators/urban-waste-water-treatment/urban-waste-water-treatment-assessment-18</t>
  </si>
  <si>
    <t>EPA. (2020). Urban waste water treatment in Europe. https://www.eea.europa.eu/data-and-maps/indicators/urban-waste-water-treatment/urban-waste-water-treatment-assessment-19</t>
  </si>
  <si>
    <t>EPA. (2020). Urban waste water treatment in Europe. https://www.eea.europa.eu/data-and-maps/indicators/urban-waste-water-treatment/urban-waste-water-treatment-assessment-20</t>
  </si>
  <si>
    <t>EPA. (2020). Urban waste water treatment in Europe. https://www.eea.europa.eu/data-and-maps/indicators/urban-waste-water-treatment/urban-waste-water-treatment-assessment-21</t>
  </si>
  <si>
    <t>EPA. (2020). Urban waste water treatment in Europe. https://www.eea.europa.eu/data-and-maps/indicators/urban-waste-water-treatment/urban-waste-water-treatment-assessment-22</t>
  </si>
  <si>
    <t>EPA. (2020). Urban waste water treatment in Europe. https://www.eea.europa.eu/data-and-maps/indicators/urban-waste-water-treatment/urban-waste-water-treatment-assessment-23</t>
  </si>
  <si>
    <t>EPA. (2020). Urban waste water treatment in Europe. https://www.eea.europa.eu/data-and-maps/indicators/urban-waste-water-treatment/urban-waste-water-treatment-assessment-25</t>
  </si>
  <si>
    <t>EPA. (2020). Urban waste water treatment in Europe. https://www.eea.europa.eu/data-and-maps/indicators/urban-waste-water-treatment/urban-waste-water-treatment-assessment-27</t>
  </si>
  <si>
    <t>EPA. (2020). Urban waste water treatment in Europe. https://www.eea.europa.eu/data-and-maps/indicators/urban-waste-water-treatment/urban-waste-water-treatment-assessment-28</t>
  </si>
  <si>
    <t>EPA. (2020). Urban waste water treatment in Europe. https://www.eea.europa.eu/data-and-maps/indicators/urban-waste-water-treatment/urban-waste-water-treatment-assessment-29</t>
  </si>
  <si>
    <t>EPA. (2020). Urban waste water treatment in Europe. https://www.eea.europa.eu/data-and-maps/indicators/urban-waste-water-treatment/urban-waste-water-treatment-assessment-31</t>
  </si>
  <si>
    <t>WWEffluentMicro</t>
  </si>
  <si>
    <t>Assume all the large macroplastic is retained in the sludge</t>
  </si>
  <si>
    <t>WWTTertiaryMacro</t>
  </si>
  <si>
    <t>Bayo, Javier, Joaquín López-Castellanos, and Sonia Olmos. ‘Membrane Bioreactor and Rapid Sand Filtration for the Removal of Microplastics in an Urban Wastewater Treatment Plant’. Marine Pollution Bulletin 156 (1 July 2020): 111211. https://doi.org/10.1016/j.marpolbul.2020.111211.</t>
  </si>
  <si>
    <t>Magni, Stefano, Andrea Binelli, Lucia Pittura, Carlo Giacomo Avio, Camilla Della Torre, Camilla Carla Parenti, Stefania Gorbi, and Francesco Regoli. ‘The Fate of Microplastics in an Italian Wastewater Treatment Plant’. Science of The Total Environment 652 (20 February 2019): 602–10. https://doi.org/10.1016/j.scitotenv.2018.10.269.</t>
  </si>
  <si>
    <t>Lv, Xuemin, Qian Dong, Zhiqiang Zuo, Yanchen Liu, Xia Huang, and Wei-Min Wu. ‘Microplastics in a Municipal Wastewater Treatment Plant: Fate, Dynamic Distribution, Removal Efficiencies, and Control Strategies’. Journal of Cleaner Production 225 (10 July 2019): 579–86. https://doi.org/10.1016/j.jclepro.2019.03.321.</t>
  </si>
  <si>
    <t>Secondary treatment retention rate, particle and fibre numbers combined</t>
  </si>
  <si>
    <t>Based on number concentration in secondary treatment and tertiary treatment</t>
  </si>
  <si>
    <t>Cabernard, L.; Durisch-Kaiser, E.; Vogel, J.-C.; Rensch, D.; Niederhauser, P.; AWEL Gewässerschutz. Mikroplastik in Abwasser Und Gewässern. Aqua Gas 2016, 7 (8), 78–85.</t>
  </si>
  <si>
    <t>WWTSecondaryMicroRest</t>
  </si>
  <si>
    <t>WWTTertiaryMicro</t>
  </si>
  <si>
    <t>EPA. (2020). Urban waste water treatment in Europe. https://www.eea.europa.eu/data-and-maps/indicators/urban-waste-water-treatment/urban-waste-water-treatment-assessment-6</t>
  </si>
  <si>
    <t>EPA. (2017). Changes in urban waste water treatment in southern Europe. https://www.eea.europa.eu/data-and-maps/daviz/changes-in-wastewater-treatment-in-10#tab-dashboard-01</t>
  </si>
  <si>
    <t>EPA. (2020). Urban waste water treatment in Europe. https://www.eea.europa.eu/data-and-maps/indicators/urban-waste-water-treatment/urban-waste-water-treatment-assessment-14</t>
  </si>
  <si>
    <t>EPA. (2020). Urban waste water treatment in Europe. https://www.eea.europa.eu/data-and-maps/indicators/urban-waste-water-treatment/urban-waste-water-treatment-assessment-16</t>
  </si>
  <si>
    <t>EPA. (2020). Urban waste water treatment in Europe. https://www.eea.europa.eu/data-and-maps/indicators/urban-waste-water-treatment/urban-waste-water-treatment-assessment-24</t>
  </si>
  <si>
    <t>EPA. (2020). Urban waste water treatment in Europe. https://www.eea.europa.eu/data-and-maps/indicators/urban-waste-water-treatment/urban-waste-water-treatment-assessment-26</t>
  </si>
  <si>
    <t>EPA. (2020). Urban waste water treatment in Europe. https://www.eea.europa.eu/data-and-maps/indicators/urban-waste-water-treatment/urban-waste-water-treatment-assessment-30</t>
  </si>
  <si>
    <t>EPA. (2020). Urban waste water treatment in Europe. https://www.eea.europa.eu/data-and-maps/indicators/urban-waste-water-treatment/urban-waste-water-treatment-assessment-32</t>
  </si>
  <si>
    <t>Tertiary treatment retention rate</t>
  </si>
  <si>
    <t>Tertiary treatment retention rate, particle and fibre numbers combined</t>
  </si>
  <si>
    <t>Mintenig, S. M.; Int-Veen, I.; Löder, M. G. J.; Primpke, S.; Gerdts, G. Identification of Microplastic in Effluents of Waste Water Treatment Plants Using Focal Plane Array-Based Micro-Fourier-Transform Infrared Imaging. Water Res. 2017, 108, 365–372.</t>
  </si>
  <si>
    <t>Measured at WWTP of Oldenburg before and after post-filtration</t>
  </si>
  <si>
    <t>Based on number concentration in tertiary treatment and reverse osmosis</t>
  </si>
  <si>
    <t>Carr, S. A.; Liu, J.; Tesoro, A. G. Transport and Fate of Microplastic Particles in Wastewater Treatment Plants. Water Res. 2016, 91, 174–182.</t>
  </si>
  <si>
    <t>Talvitie, Julia, Anna Mikola, Arto Koistinen, and Outi Setälä. ‘Solutions to Microplastic Pollution – Removal of Microplastics from Wastewater Effluent with Advanced Wastewater Treatment Technologies’. Water Research 123 (15 October 2017): 401–7. https://doi.org/10.1016/j.watres.2017.07.005.</t>
  </si>
  <si>
    <t>Percentage of different water body types having less than good water quality, and being affected significantly by discharges of urban waste water, discharges from unconnected dwellings and storm water overflows in the latest RBMPs; European Environment Agency &amp; European Commission. (2024, February 28). Country profiles on urban waste water treatment. https://water.europa.eu/freshwater/countries/uwwt</t>
  </si>
  <si>
    <t>CoastalWaterMicro</t>
  </si>
  <si>
    <t>WWEffluentMacro</t>
  </si>
  <si>
    <t>SludgeAmendedSoilMacro</t>
  </si>
  <si>
    <t>Eurostat. (2022). Sewage sludge production and disposal. https://ec.europa.eu/eurostat/databrowser/view/ENV_WW_SPD__custom_6230178/default/table?lang=en</t>
  </si>
  <si>
    <t>Statistics Denmark. (2023). Waste generation by industry, kind of treatment and waste category. https://www.statbank.dk/statbank5a/SelectVarVal/Define.asp?Maintable=AFFALD&amp;PLanguage=1</t>
  </si>
  <si>
    <t>EurEau. (2016). Answers to the Sewage Sludge Questionnaire. https://www.eureau.org/resources/publications/studies/3249-sewage-sludge-situation-and-trends-2016/file</t>
  </si>
  <si>
    <t>Department for Environment, Food and Rural Affairs. (2022). Wastewater treatment in England: Data for 2020. https://www.gov.uk/government/publications/wastewater-treatment-in-england/wastewater-treatment-in-england-data-for-2020</t>
  </si>
  <si>
    <t>SludgeAmendedSoilMicro</t>
  </si>
  <si>
    <t>Department for Environment, Food and Rural Affairs. (2022). Wastewater treatment in England: Data for 2020. https://www.gov.uk/government/publications/wastewater-treatment-in-england/wastewater-treatment-in-england-data-for-2021</t>
  </si>
  <si>
    <t>Department for Environment, Food and Rural Affairs. (2022). Wastewater treatment in England: Data for 2020. https://www.gov.uk/government/publications/wastewater-treatment-in-england/wastewater-treatment-in-england-data-for-2022</t>
  </si>
  <si>
    <t>Schneider, T. Dust and fibers as a cause of indoor environment problems. Scand. J. Work. Environ. Health 10–17 (2008)</t>
  </si>
  <si>
    <t>Including resuspension by activities, home, not standard size, PM10</t>
  </si>
  <si>
    <t>No resuspension, office building, salts &gt;2.5um</t>
  </si>
  <si>
    <t>No resuspension, occupied house, house dust</t>
  </si>
  <si>
    <t>No resuspension, furnished experimental house, 4um aerosol</t>
  </si>
  <si>
    <t>FloorCleaning</t>
  </si>
  <si>
    <t>Based on Moran, R. E.; Bennett, D. H.; Tancredi, D. J.; Wu, X. M.; Ritz, B.; Hertz-Picciotto, I. Frequency and longitudinal trends of household care product use. Atmos. Environ. 2012, 55, 417–424.</t>
  </si>
  <si>
    <t>Comparing frequency of [dry-mop+sweep+vacuum] and [wet-mop] all populations combined (parents with young children, older adults, women and men)</t>
  </si>
  <si>
    <t>Eurostat. ‘Land Cover Overview by NUTS 2 Regions’, 18 July 2022. https://ec.europa.eu/eurostat/databrowser/view/LAN_LCV_OVW__custom_7177573/default/table?lang=en.; CIA. (2025). Coastline—The World Factbook [Dataset]. https://www.cia.gov/the-world-factbook/field/coastline/; Eurostat. (2025). Area by NUTS 3 region [Dataset]. https://ec.europa.eu/eurostat/databrowser/view/REG_AREA3__custom_17709276/default/table</t>
  </si>
  <si>
    <t>ParameterName</t>
  </si>
  <si>
    <t>Description</t>
  </si>
  <si>
    <t>Value</t>
  </si>
  <si>
    <t>N_washing_cl</t>
  </si>
  <si>
    <t>Number of washing cycles performed per year for a single item (clothing)</t>
  </si>
  <si>
    <t>Fan, Q. (2022). Micro- and nanoplastic release from polyester textiles during washing: An experimental study to explore release and material flow analysis to predict overall emissions.</t>
  </si>
  <si>
    <t>Weighted average value of all categories (by owned quantity)</t>
  </si>
  <si>
    <t>N_washing_hh</t>
  </si>
  <si>
    <t>Number of washing cycles performed per year for a single item (household textiles)</t>
  </si>
  <si>
    <t>F_onecycle_washing</t>
  </si>
  <si>
    <t>Fraction of textiles released during one cycle of washing</t>
  </si>
  <si>
    <t>Weighted average value of all categories (clothing&amp;househole, by owned quantity)</t>
  </si>
  <si>
    <t>F_onecycle_TD</t>
  </si>
  <si>
    <t>Fraction of textiles released during one cycle of tumble-drying</t>
  </si>
  <si>
    <t>Choi, Sola, Miyeon Kwon, Myung-Ja Park, and Juhea Kim. ‘Analysis of Microplastics Released from Plain Woven Classified by Yarn Types during Washing and Drying’. Polymers 13, no. 17 (January 2021): 2988. https://doi.org/10.3390/polym13172988.</t>
  </si>
  <si>
    <t>Averaged value of three types of yarn</t>
  </si>
  <si>
    <t>Tao, Danyang, Kai Zhang, Shaopeng Xu, Huiju Lin, Yuan Liu, Jingliang Kang, Tszewai Yim, John P. Giesy, and Kenneth M. Y. Leung. ‘Microfibers Released into the Air from a Household Tumble Dryer’. Environmental Science &amp; Technology Letters 9, no. 2 (8 February 2022): 120–26. https://doi.org/10.1021/acs.estlett.1c00911.</t>
  </si>
  <si>
    <t xml:space="preserve">Averaged value of two materials (cotton and polyester) </t>
  </si>
  <si>
    <t>O’Brien, Stacey, Elvis D. Okoffo, Jake W. O’Brien, Francisca Ribeiro, Xianyu Wang, Stephanie L. Wright, Saer Samanipour, et al. ‘Airborne Emissions of Microplastic Fibres from Domestic Laundry Dryers’. Science of The Total Environment 747 (10 December 2020): 141175. https://doi.org/10.1016/j.scitotenv.2020.141175.</t>
  </si>
  <si>
    <t>Blanket</t>
  </si>
  <si>
    <t>F_onecycle_CLD_vs_washing</t>
  </si>
  <si>
    <t>Ratio of release from cloth-line drying versus washing</t>
  </si>
  <si>
    <t>F_wear_cl</t>
  </si>
  <si>
    <t>Fraction of clothing released by wear during the lifetime of the product</t>
  </si>
  <si>
    <t>Different assumptions, see description for details</t>
  </si>
  <si>
    <t>European Communities. European Union Risk Assessment Report: Hexabromocyclododecane CAS-No.: 25637-99-4, EINECS- No.: 247-148-4. Final Report; 2008; https://echa.europa.eu/documents/10162/661bff17-dc0a-4475-9758-40bdd6198f82.</t>
  </si>
  <si>
    <t>F_wear_other</t>
  </si>
  <si>
    <t>Fraction of other textiles released by wear during the lifetime of the product</t>
  </si>
  <si>
    <t>Vigo, T. L.; Lamb, G. E. R.; Kepka, S.; Miller, B. Abrasion and Lint Loss Properties of Fabrics Containing Crosslinked Polyethylene Glycol. Text. Res. J. 1991, 61 (3), 169–176.</t>
  </si>
  <si>
    <t>f_surface_worn</t>
  </si>
  <si>
    <t>Fraction of the surface worn for household textiles</t>
  </si>
  <si>
    <t>f_TD</t>
  </si>
  <si>
    <t>Factor describing frequency of tumble-drying out of all washes</t>
  </si>
  <si>
    <t>Alborzi, Farnaz, Angelika Schmitz, and Rainer Stamminger. ‘Effects of Socio-Demographic Factors on Laundry Behaviours in Europe and Their Implications on Sustainability’. International Journal of Consumer Studies 41, no. 6 (2017): 671–84. https://doi.org/10.1111/ijcs.12380.</t>
  </si>
  <si>
    <t>f_ICLD</t>
  </si>
  <si>
    <t>Factor describing frequency of indoor cloth-line drying out of all washes</t>
  </si>
  <si>
    <t>f_OCLD</t>
  </si>
  <si>
    <t>Factor describing frequency of outdoor cloth-line drying out of all washes</t>
  </si>
  <si>
    <t>t_outdoor</t>
  </si>
  <si>
    <t>Fraction of time spent outdoors</t>
  </si>
  <si>
    <t>Klepeis, N. E. et al. The National Human Activity Pattern Survey ( NHAPS ): a resource for assessing exposure to environmental pollutants. J. Expo. Anal. Environ. Epidemiol. 11, 231–252 (2001).</t>
  </si>
  <si>
    <t>f_TD_filter_indoorair</t>
  </si>
  <si>
    <t>Fraction of dust on filter that escapes to air</t>
  </si>
  <si>
    <t>f_TD_filter_ww</t>
  </si>
  <si>
    <t>Fraction of dust on filter that escapes to WW</t>
  </si>
  <si>
    <t>Population</t>
  </si>
  <si>
    <t>Total population</t>
  </si>
  <si>
    <t>Eurostat. (2025). Population on 1 January [Dataset]. https://ec.europa.eu/eurostat/databrowser/view/tps00001/default/table?lang=en&amp;category=t_demo.t_demo_pop</t>
  </si>
  <si>
    <t>Households</t>
  </si>
  <si>
    <t>Number of households</t>
  </si>
  <si>
    <t>Total population divided by household size</t>
  </si>
  <si>
    <t>Fraction_Female12_54</t>
  </si>
  <si>
    <t xml:space="preserve">Fraction of women ages 12-54 </t>
  </si>
  <si>
    <t>Total population; Eurostat. (2024). Population on 1 January by age and sex [dataset]. https://ec.europa.eu/eurostat/databrowser/view/demo_pjan__custom_11147356/default/table?lang=en</t>
  </si>
  <si>
    <t>Fraction of women ages 12-54 over the total population</t>
  </si>
  <si>
    <t>Fraction of women ages 12-54</t>
  </si>
  <si>
    <t>Fraction_UsingTampons</t>
  </si>
  <si>
    <t>Fraction of women using tampons out of women using feminine hygiene products</t>
  </si>
  <si>
    <t>Branch, F.; Woodruff, T. J.; Mitro, S. D.; Zota, A. R. Vaginal Douching and Racial/ethnic Disparities in Phthalates Exposures among Reproductive-Aged Women: National Health and Nutrition Examination Survey 2001-2004. Environ. Heal. A Glob. Access Sci. Source 2015, 14 (1), 1–8.</t>
  </si>
  <si>
    <t>Fraction_UsingSanitaryNapkins</t>
  </si>
  <si>
    <t>Fraction of women using sanitary napkins out of women using feminine hygiene products</t>
  </si>
  <si>
    <t>Fraction_UsingPantyLiners</t>
  </si>
  <si>
    <t>Fraction of women using panty liners out of women using feminine hygiene products</t>
  </si>
  <si>
    <t>Based on Branch, F.; Woodruff, T. J.; Mitro, S. D.; Zota, A. R. Vaginal Douching and Racial/ethnic Disparities in Phthalates Exposures among Reproductive-Aged Women: National Health and Nutrition Examination Survey 2001-2004. Environ. Heal. A Glob. Access Sci. Source 2015, 14 (1), 1–8.</t>
  </si>
  <si>
    <t>Fraction_Tampons_w_App</t>
  </si>
  <si>
    <t>Fraction of tampons sold with applicator</t>
  </si>
  <si>
    <t>Own measurements</t>
  </si>
  <si>
    <t>Use_Tampons_Year</t>
  </si>
  <si>
    <t>Number of tampons used per user per year</t>
  </si>
  <si>
    <t>Cristina Vilabrille Paz, Andreas Ciroth, Ankita Mitra, Maik Birnbach, &amp; Nadine Wunsch. (2020). Comparative Life cycle assessment of menstrual products. GreenDelta GmbH. https://einhorn.my/wp-content/uploads/2022/03/Comparative-Life-Cycle-Assessment-of-Menstrual-Products.pdf</t>
  </si>
  <si>
    <t>Use_SanitaryNapkins_Year</t>
  </si>
  <si>
    <t>Number of sanitary pads used per user per year</t>
  </si>
  <si>
    <t>Use_PantyLiners_Year</t>
  </si>
  <si>
    <t>Number of panty liners used per woman per year</t>
  </si>
  <si>
    <t>Chalabi, M. How Many Women Don’t Use Tampons? https://fivethirtyeight.com/features/how-many-women-dont-use-tampons/ (accessed Apr 2, 2018)</t>
  </si>
  <si>
    <t>Use_DisposableCleaningCloths_Year</t>
  </si>
  <si>
    <t>Number of disposable cleaning cloths per household per year</t>
  </si>
  <si>
    <t>Use_WetWipes_Year</t>
  </si>
  <si>
    <t>Number of wet wipes used per year</t>
  </si>
  <si>
    <t>Total population; RezeRO&amp; Insta. (2020). Single-use menstrual products, nappies &amp; wet wipes—Assessing existing measures and providing policy recommendations to minimise the impact of these single-use items across Europe. https://zerowasteeurope.eu/wp-content/uploads/2020/02/zwe_existing_measures_policy_recommendations_to_minimise_the_impact_of_menstrual_products_nappies_wet_wipes.pdf</t>
  </si>
  <si>
    <t>Scaled to each country by population</t>
  </si>
  <si>
    <t>Share_Flushable_WetWipes</t>
  </si>
  <si>
    <t>Fraction of flushable wet wipes in the market</t>
  </si>
  <si>
    <t>From the base model</t>
  </si>
  <si>
    <t>Based on market size values</t>
  </si>
  <si>
    <t>Mass_Tampon</t>
  </si>
  <si>
    <t>Composition (g)</t>
  </si>
  <si>
    <t>Mass_TamponApplicator</t>
  </si>
  <si>
    <t>Mass_SanitaryNapkin</t>
  </si>
  <si>
    <t>Mass_PantyLiner</t>
  </si>
  <si>
    <t>Mass_DisposableCleaningCloths</t>
  </si>
  <si>
    <t>Mass_Wipes</t>
  </si>
  <si>
    <t>Name</t>
  </si>
  <si>
    <t>LongLabel</t>
  </si>
  <si>
    <t>ShortLabel</t>
  </si>
  <si>
    <t>MediumLabel</t>
  </si>
  <si>
    <t>ShortNiceLabel</t>
  </si>
  <si>
    <t>Primary Production</t>
  </si>
  <si>
    <t>Pprod</t>
  </si>
  <si>
    <t>Primary production</t>
  </si>
  <si>
    <t>Prim. prod.</t>
  </si>
  <si>
    <t>Recycled Material Production</t>
  </si>
  <si>
    <t>Rmat</t>
  </si>
  <si>
    <t>Second. mat. production</t>
  </si>
  <si>
    <t>Sec. mat. prod.</t>
  </si>
  <si>
    <t>Trans</t>
  </si>
  <si>
    <t>Fibre Production</t>
  </si>
  <si>
    <t>Fprod</t>
  </si>
  <si>
    <t>Fibre production</t>
  </si>
  <si>
    <t>Fibre prod.</t>
  </si>
  <si>
    <t>Model Input</t>
  </si>
  <si>
    <t>Excluded Flow</t>
  </si>
  <si>
    <t>ExclFlow</t>
  </si>
  <si>
    <t>Excluded flow</t>
  </si>
  <si>
    <t>Non-Textile Manufacturing</t>
  </si>
  <si>
    <t>NTMan</t>
  </si>
  <si>
    <t>Non-text. manufacturing</t>
  </si>
  <si>
    <t>Non-text. man.</t>
  </si>
  <si>
    <t>Textile Manufacturing</t>
  </si>
  <si>
    <t>Tman</t>
  </si>
  <si>
    <t>Text. manufacturing</t>
  </si>
  <si>
    <t>Text. man.</t>
  </si>
  <si>
    <t>Pack</t>
  </si>
  <si>
    <t>Building and Construction</t>
  </si>
  <si>
    <t>BnC</t>
  </si>
  <si>
    <t>Construction</t>
  </si>
  <si>
    <t>Auto</t>
  </si>
  <si>
    <t>Electrical and Electronic Equipment</t>
  </si>
  <si>
    <t>Agri</t>
  </si>
  <si>
    <t>Other Plastic Products</t>
  </si>
  <si>
    <t>Other plastic products</t>
  </si>
  <si>
    <t>Other plast. prod.</t>
  </si>
  <si>
    <t>Household Textiles</t>
  </si>
  <si>
    <t>HHText</t>
  </si>
  <si>
    <t>Household textiles</t>
  </si>
  <si>
    <t>Household text.</t>
  </si>
  <si>
    <t>Technical Textiles</t>
  </si>
  <si>
    <t>TText</t>
  </si>
  <si>
    <t>Technical textiles</t>
  </si>
  <si>
    <t>Technical text.</t>
  </si>
  <si>
    <t>Fishery Textiles</t>
  </si>
  <si>
    <t>FText</t>
  </si>
  <si>
    <t>Fishery textiles</t>
  </si>
  <si>
    <t>Fishery text.</t>
  </si>
  <si>
    <t>Aquaculture Textiles</t>
  </si>
  <si>
    <t>AquaText</t>
  </si>
  <si>
    <t>Aquaculture textiles</t>
  </si>
  <si>
    <t>Aqua. text.</t>
  </si>
  <si>
    <t>Consumer Films</t>
  </si>
  <si>
    <t>CFilms</t>
  </si>
  <si>
    <t>Consumer films</t>
  </si>
  <si>
    <t>Cons. films</t>
  </si>
  <si>
    <t>Consumer Bags</t>
  </si>
  <si>
    <t>CBags</t>
  </si>
  <si>
    <t>Consumer bags</t>
  </si>
  <si>
    <t>Cons. bags</t>
  </si>
  <si>
    <t>Consumer Bottles</t>
  </si>
  <si>
    <t>CBottles</t>
  </si>
  <si>
    <t>Consumer bottles</t>
  </si>
  <si>
    <t>Cons. bottles</t>
  </si>
  <si>
    <t>Consumer Other</t>
  </si>
  <si>
    <t>COther</t>
  </si>
  <si>
    <t>Other consumer pack.</t>
  </si>
  <si>
    <t>Other cons. pack.</t>
  </si>
  <si>
    <t>Agricultural Packaging Films</t>
  </si>
  <si>
    <t>AgriPackFilms</t>
  </si>
  <si>
    <t>Agricultural pack. films</t>
  </si>
  <si>
    <t>Agri. pack. films</t>
  </si>
  <si>
    <t>Agricultural Packaging Bottles</t>
  </si>
  <si>
    <t>AgriPackBottles</t>
  </si>
  <si>
    <t>Agricultural pack. bottles</t>
  </si>
  <si>
    <t>Agri. pack. bottles</t>
  </si>
  <si>
    <t>Building Packaging Films</t>
  </si>
  <si>
    <t>BPackFilms</t>
  </si>
  <si>
    <t>Construction pack. films</t>
  </si>
  <si>
    <t>Constr. pack. films</t>
  </si>
  <si>
    <t>Other Non Consumer Films</t>
  </si>
  <si>
    <t>NCFilms</t>
  </si>
  <si>
    <t>Non-consumer films</t>
  </si>
  <si>
    <t>Non-cons. films</t>
  </si>
  <si>
    <t>Non Consumer Bags</t>
  </si>
  <si>
    <t>NCBags</t>
  </si>
  <si>
    <t>Non-consumer bags</t>
  </si>
  <si>
    <t>Non-cons. bags</t>
  </si>
  <si>
    <t>Non Consumer Other</t>
  </si>
  <si>
    <t>NCOther</t>
  </si>
  <si>
    <t>Other non-consumer pack.</t>
  </si>
  <si>
    <t>Other non-cons. pack.</t>
  </si>
  <si>
    <t>Pipes and Ducts</t>
  </si>
  <si>
    <t>Pipes</t>
  </si>
  <si>
    <t>Construction pipes</t>
  </si>
  <si>
    <t>Constr. pipes</t>
  </si>
  <si>
    <t>Insulation (construction)</t>
  </si>
  <si>
    <t>Insulation (constr.)</t>
  </si>
  <si>
    <t>Wall and Floor coverings</t>
  </si>
  <si>
    <t>Coverings</t>
  </si>
  <si>
    <t>Coverings (construction)</t>
  </si>
  <si>
    <t>Coverings (constr.)</t>
  </si>
  <si>
    <t>Windows, Profiles and Fitted Furniture</t>
  </si>
  <si>
    <t>Profiles</t>
  </si>
  <si>
    <t>Windows, prof. and furn.</t>
  </si>
  <si>
    <t>Windows etc</t>
  </si>
  <si>
    <t>Lining (construction)</t>
  </si>
  <si>
    <t>Lining (constr.)</t>
  </si>
  <si>
    <t>Automotive (category)</t>
  </si>
  <si>
    <t>AutoPC</t>
  </si>
  <si>
    <t>Electrical and Electronic Equipment (category)</t>
  </si>
  <si>
    <t>Agricultural Films</t>
  </si>
  <si>
    <t>AgriFilms</t>
  </si>
  <si>
    <t>Agricultural films</t>
  </si>
  <si>
    <t>Agri. films</t>
  </si>
  <si>
    <t>Agricultural Pipes</t>
  </si>
  <si>
    <t>AgriPipes</t>
  </si>
  <si>
    <t>Agricultural pipes</t>
  </si>
  <si>
    <t>Agri. pipes</t>
  </si>
  <si>
    <t>Agricultural Other</t>
  </si>
  <si>
    <t>AgriOther</t>
  </si>
  <si>
    <t>Agricultural other</t>
  </si>
  <si>
    <t>Agri. other</t>
  </si>
  <si>
    <t>Household plastics</t>
  </si>
  <si>
    <t>HHPlast</t>
  </si>
  <si>
    <t>Fabric Coatings</t>
  </si>
  <si>
    <t>Fabric coatings</t>
  </si>
  <si>
    <t>PCCP</t>
  </si>
  <si>
    <t>Shotgun Cartridges</t>
  </si>
  <si>
    <t>Cartridges</t>
  </si>
  <si>
    <t>Shotgun cartridges</t>
  </si>
  <si>
    <t>Other Plastic Products (category)</t>
  </si>
  <si>
    <t>OtherPC</t>
  </si>
  <si>
    <t>Other non-text. products</t>
  </si>
  <si>
    <t>Other non-text. prod.</t>
  </si>
  <si>
    <t>Clothing (category)</t>
  </si>
  <si>
    <t>Clothing</t>
  </si>
  <si>
    <t>Technical Clothing</t>
  </si>
  <si>
    <t>TechClothing</t>
  </si>
  <si>
    <t>Technical clothing</t>
  </si>
  <si>
    <t>Household Textiles (category)</t>
  </si>
  <si>
    <t>HHTextPC</t>
  </si>
  <si>
    <t>Technical Household Textiles</t>
  </si>
  <si>
    <t>THHText</t>
  </si>
  <si>
    <t>Technical household text.</t>
  </si>
  <si>
    <t>Tech. household text.</t>
  </si>
  <si>
    <t>Hygiene and Medical Textiles</t>
  </si>
  <si>
    <t>MedText</t>
  </si>
  <si>
    <t>Hygiene and medical text.</t>
  </si>
  <si>
    <t>Hyg. and med. text.</t>
  </si>
  <si>
    <t>Disposable Cleaning Cloths</t>
  </si>
  <si>
    <t>ClCloths</t>
  </si>
  <si>
    <t>Cleaning cloths</t>
  </si>
  <si>
    <t>Wet Wipes</t>
  </si>
  <si>
    <t>WetWip</t>
  </si>
  <si>
    <t>Wet wipes</t>
  </si>
  <si>
    <t>Tampon Applicators</t>
  </si>
  <si>
    <t>Applicators</t>
  </si>
  <si>
    <t>Tampon applicators</t>
  </si>
  <si>
    <t>Panty Liners</t>
  </si>
  <si>
    <t>PantyLin</t>
  </si>
  <si>
    <t>Panty liners</t>
  </si>
  <si>
    <t>Sanitary Napkins</t>
  </si>
  <si>
    <t>SanPads</t>
  </si>
  <si>
    <t>Sanitary pads</t>
  </si>
  <si>
    <t>AgroText</t>
  </si>
  <si>
    <t>Mobility Textiles</t>
  </si>
  <si>
    <t>AutoText</t>
  </si>
  <si>
    <t>Mobility textiles</t>
  </si>
  <si>
    <t>GeoText</t>
  </si>
  <si>
    <t>Building Textiles</t>
  </si>
  <si>
    <t>BCText</t>
  </si>
  <si>
    <t>Building textiles</t>
  </si>
  <si>
    <t>Other Technical Textiles</t>
  </si>
  <si>
    <t>OtherTText</t>
  </si>
  <si>
    <t>Other technical textiles</t>
  </si>
  <si>
    <t>Other tech. text.</t>
  </si>
  <si>
    <t>FishingGear</t>
  </si>
  <si>
    <t>Fishing Gear</t>
  </si>
  <si>
    <t>Fishing gear</t>
  </si>
  <si>
    <t>Fishing Gear for marine capture</t>
  </si>
  <si>
    <t>MarineGear</t>
  </si>
  <si>
    <t>Marine fishing gear</t>
  </si>
  <si>
    <t>Fishing Gear for inland capture</t>
  </si>
  <si>
    <t>InlandGear</t>
  </si>
  <si>
    <t>Inland fishing gear</t>
  </si>
  <si>
    <t>Fishing Gear for aquaculture</t>
  </si>
  <si>
    <t>AquaGear</t>
  </si>
  <si>
    <t>Aquaculture fishing gear</t>
  </si>
  <si>
    <t>Pre-consumer Plastic Waste Collection</t>
  </si>
  <si>
    <t>PCColl</t>
  </si>
  <si>
    <t>Pre-cons. plastic collection</t>
  </si>
  <si>
    <t>Pre-cons. plastic coll.</t>
  </si>
  <si>
    <t>Pre-consumer Textile and Fibre Waste Collection</t>
  </si>
  <si>
    <t>PCFibColl</t>
  </si>
  <si>
    <t>Pre-cons. fibre collection</t>
  </si>
  <si>
    <t>Pre-cons. fibre coll.</t>
  </si>
  <si>
    <t>Packaging Collection</t>
  </si>
  <si>
    <t>PackColl</t>
  </si>
  <si>
    <t>Packaging collection</t>
  </si>
  <si>
    <t>Packaging coll.</t>
  </si>
  <si>
    <t>Mixed Waste Collection</t>
  </si>
  <si>
    <t>MSW</t>
  </si>
  <si>
    <t>Mixed waste collection</t>
  </si>
  <si>
    <t>Mixed waste coll.</t>
  </si>
  <si>
    <t>Construction and Demolition Waste Collection</t>
  </si>
  <si>
    <t>C&amp;D</t>
  </si>
  <si>
    <t>C&amp;D waste collection</t>
  </si>
  <si>
    <t>C&amp;D waste coll.</t>
  </si>
  <si>
    <t>Construction and Demolition Incinerable Waste Collection</t>
  </si>
  <si>
    <t>CDIColl</t>
  </si>
  <si>
    <t>Inc. C&amp;D waste collection</t>
  </si>
  <si>
    <t>Inc. C&amp;D waste coll.</t>
  </si>
  <si>
    <t>End-Of-Life Vehicle Collection</t>
  </si>
  <si>
    <t>ELVColl</t>
  </si>
  <si>
    <t>ELV collection</t>
  </si>
  <si>
    <t>ELV coll.</t>
  </si>
  <si>
    <t>End-Of-Life Vehicle Textiles Collection</t>
  </si>
  <si>
    <t>ELVTColl</t>
  </si>
  <si>
    <t>ELV textiles collection</t>
  </si>
  <si>
    <t>ELV textiles coll.</t>
  </si>
  <si>
    <t>Electrical and Electronic Equipment Waste Collection</t>
  </si>
  <si>
    <t>WEEEColl</t>
  </si>
  <si>
    <t>EEE collection</t>
  </si>
  <si>
    <t>EEE coll.</t>
  </si>
  <si>
    <t>Agriculture Waste Collection</t>
  </si>
  <si>
    <t>AgriColl</t>
  </si>
  <si>
    <t>Agri. waste collection</t>
  </si>
  <si>
    <t>Agri. waste coll.</t>
  </si>
  <si>
    <t>Textile Waste Collection</t>
  </si>
  <si>
    <t>TextColl</t>
  </si>
  <si>
    <t>Text. waste collection</t>
  </si>
  <si>
    <t>Text. waste coll.</t>
  </si>
  <si>
    <t>Fishing Gear Collection</t>
  </si>
  <si>
    <t>GearColl</t>
  </si>
  <si>
    <t>Fishing gear collection</t>
  </si>
  <si>
    <t>Fishing gear coll.</t>
  </si>
  <si>
    <t>Packaging Recycling</t>
  </si>
  <si>
    <t>PackRec</t>
  </si>
  <si>
    <t>Packaging recycling</t>
  </si>
  <si>
    <t>Packaging rec.</t>
  </si>
  <si>
    <t>Construction and Demolition Recycling</t>
  </si>
  <si>
    <t>CDRec</t>
  </si>
  <si>
    <t>C&amp;D recycling</t>
  </si>
  <si>
    <t>C&amp;D rec.</t>
  </si>
  <si>
    <t>Automotive Large Parts Recycling</t>
  </si>
  <si>
    <t>ALPRec</t>
  </si>
  <si>
    <t>Auto. large parts recycling</t>
  </si>
  <si>
    <t>Auto. parts rec.</t>
  </si>
  <si>
    <t>Automotive Shredder Residue Recycling</t>
  </si>
  <si>
    <t>ASRRec</t>
  </si>
  <si>
    <t>ASR recycling</t>
  </si>
  <si>
    <t>ASR rec.</t>
  </si>
  <si>
    <t>Waste of Electrical and Electronic Plastic Recycling</t>
  </si>
  <si>
    <t>WEEPRec</t>
  </si>
  <si>
    <t>WEEP recycling</t>
  </si>
  <si>
    <t>WEEP rec.</t>
  </si>
  <si>
    <t>Agriculture Plastic Recycling</t>
  </si>
  <si>
    <t>AgriRec</t>
  </si>
  <si>
    <t>Agri. plastic recycling</t>
  </si>
  <si>
    <t>Agri. plastic rec.</t>
  </si>
  <si>
    <t>Inc</t>
  </si>
  <si>
    <t>Elim</t>
  </si>
  <si>
    <t>Exp</t>
  </si>
  <si>
    <t>LF</t>
  </si>
  <si>
    <t>Material Reuse</t>
  </si>
  <si>
    <t>Mreu</t>
  </si>
  <si>
    <t>Second. material</t>
  </si>
  <si>
    <t>Second. Material</t>
  </si>
  <si>
    <t>TextileReuse</t>
  </si>
  <si>
    <t>Textile Reuse</t>
  </si>
  <si>
    <t>Treu</t>
  </si>
  <si>
    <t>Textile reuse</t>
  </si>
  <si>
    <t>Part Reuse</t>
  </si>
  <si>
    <t>Preu</t>
  </si>
  <si>
    <t>Part reuse</t>
  </si>
  <si>
    <t>On-the-go consumption</t>
  </si>
  <si>
    <t>On-the-go</t>
  </si>
  <si>
    <t>On-the-go consumption (nature)</t>
  </si>
  <si>
    <t>OTGNature</t>
  </si>
  <si>
    <t>On-the-go (nature)</t>
  </si>
  <si>
    <t>On-the-go consumption (transport)</t>
  </si>
  <si>
    <t>OTGTrans</t>
  </si>
  <si>
    <t>On-the-go (transport)</t>
  </si>
  <si>
    <t>On-the-go (transp.)</t>
  </si>
  <si>
    <t>On-the-go consumption (residential)</t>
  </si>
  <si>
    <t>OTGResidential</t>
  </si>
  <si>
    <t>On-the-go (residential)</t>
  </si>
  <si>
    <t>On-the-go (resid.)</t>
  </si>
  <si>
    <t>On-the-go consumption (beach)</t>
  </si>
  <si>
    <t>OTGBeach</t>
  </si>
  <si>
    <t>On-the-go (beach)</t>
  </si>
  <si>
    <t>Unintended Construction and Demolition Waste</t>
  </si>
  <si>
    <t>UnintendedCD</t>
  </si>
  <si>
    <t>Unintended CD waste</t>
  </si>
  <si>
    <t>Unintended CD Waste</t>
  </si>
  <si>
    <t>Indoor floors</t>
  </si>
  <si>
    <t>Floorsµ</t>
  </si>
  <si>
    <t>Floors (MP)</t>
  </si>
  <si>
    <t>Litter in residential environments</t>
  </si>
  <si>
    <t>ResidentialLitter</t>
  </si>
  <si>
    <t>Litter (residential)</t>
  </si>
  <si>
    <t>Litter on road sides</t>
  </si>
  <si>
    <t>RoadLitter</t>
  </si>
  <si>
    <t>Litter (roads)</t>
  </si>
  <si>
    <t>Litter in natural environments</t>
  </si>
  <si>
    <t>NatureLitter</t>
  </si>
  <si>
    <t>Litter (nature)</t>
  </si>
  <si>
    <t>Litter at beaches</t>
  </si>
  <si>
    <t>Litter (beach)</t>
  </si>
  <si>
    <t>Compost collection (&gt; 1mm)</t>
  </si>
  <si>
    <t>CompstCollLarge</t>
  </si>
  <si>
    <t>Compost collection (large)</t>
  </si>
  <si>
    <t>Compost coll. (large)</t>
  </si>
  <si>
    <t>Compost collection (&lt; 1mm)</t>
  </si>
  <si>
    <t>CompstCollSmall</t>
  </si>
  <si>
    <t>Compost collection (small)</t>
  </si>
  <si>
    <t>Compost coll. (small)</t>
  </si>
  <si>
    <t>Compost size separation (fictional process)</t>
  </si>
  <si>
    <t>CompstSizeSep</t>
  </si>
  <si>
    <t>Compost size sep. (fic.)</t>
  </si>
  <si>
    <t>Compost (macro)</t>
  </si>
  <si>
    <t>CompostM</t>
  </si>
  <si>
    <t>Compost</t>
  </si>
  <si>
    <t>Compost (micro)</t>
  </si>
  <si>
    <t>Compostµ</t>
  </si>
  <si>
    <t>Compost (MP)</t>
  </si>
  <si>
    <t>Industrial Waste Water (micro)</t>
  </si>
  <si>
    <t>IndWaterµ</t>
  </si>
  <si>
    <t>Industry water (MP)</t>
  </si>
  <si>
    <t>Industry Water (MP)</t>
  </si>
  <si>
    <t>Storm Water (macro)</t>
  </si>
  <si>
    <t>SWaterM</t>
  </si>
  <si>
    <t>Storm water</t>
  </si>
  <si>
    <t>Storm Water</t>
  </si>
  <si>
    <t>Storm Water (micro)</t>
  </si>
  <si>
    <t>SWaterµ</t>
  </si>
  <si>
    <t>Storm water (MP)</t>
  </si>
  <si>
    <t>Storm Water (MP)</t>
  </si>
  <si>
    <t>Waste Water (macro)</t>
  </si>
  <si>
    <t>WWM</t>
  </si>
  <si>
    <t>Waste water</t>
  </si>
  <si>
    <t>Waste Water</t>
  </si>
  <si>
    <t>Waste Water (micro)</t>
  </si>
  <si>
    <t>WWµ</t>
  </si>
  <si>
    <t>Waste water (MP)</t>
  </si>
  <si>
    <t>Waste Water (MP)</t>
  </si>
  <si>
    <t>On-Site Sewage Facility (macro)</t>
  </si>
  <si>
    <t>OSSFM</t>
  </si>
  <si>
    <t>OSSF</t>
  </si>
  <si>
    <t>On-Site Sewage Facility (micro)</t>
  </si>
  <si>
    <t>OSSFµ</t>
  </si>
  <si>
    <t>OSSF (MP)</t>
  </si>
  <si>
    <t>Waste Water Treatment Plant (macro)</t>
  </si>
  <si>
    <t>WWTPM</t>
  </si>
  <si>
    <t>WWTP</t>
  </si>
  <si>
    <t>Waste Water Treatment Plant (micro)</t>
  </si>
  <si>
    <t>WWTPµ</t>
  </si>
  <si>
    <t>WWTP (MP)</t>
  </si>
  <si>
    <t>Combined Sewer Overflow (macro)</t>
  </si>
  <si>
    <t>CSOM</t>
  </si>
  <si>
    <t>CSO</t>
  </si>
  <si>
    <t>Combined Sewer Overflow (micro)</t>
  </si>
  <si>
    <t>CSOµ</t>
  </si>
  <si>
    <t>CSO (MP)</t>
  </si>
  <si>
    <t>Primary Water Treatment (macro)</t>
  </si>
  <si>
    <t>WWT1M</t>
  </si>
  <si>
    <t>Primary WWT</t>
  </si>
  <si>
    <t>Primary Water Treatment (micro)</t>
  </si>
  <si>
    <t>WWT1µ</t>
  </si>
  <si>
    <t>Primary WWT (MP)</t>
  </si>
  <si>
    <t>Remaining particles after primary water treatment (micro)</t>
  </si>
  <si>
    <t>WWT1restµ</t>
  </si>
  <si>
    <t>Primary WWT rest (MP)</t>
  </si>
  <si>
    <t>Secondary Water Treatment (macro)</t>
  </si>
  <si>
    <t>WWT2M</t>
  </si>
  <si>
    <t>Secondary WWT</t>
  </si>
  <si>
    <t>Secondary Water Treatment (micro)</t>
  </si>
  <si>
    <t>WWT2µ</t>
  </si>
  <si>
    <t>Secondary WWT (MP)</t>
  </si>
  <si>
    <t>Remaining particles after secondary water treatment (micro)</t>
  </si>
  <si>
    <t>WWT2restµ</t>
  </si>
  <si>
    <t>Secondary WWT rest (MP)</t>
  </si>
  <si>
    <t>Tertiary Water Treatment (macro)</t>
  </si>
  <si>
    <t>WWT3M</t>
  </si>
  <si>
    <t>Tertiary WWT</t>
  </si>
  <si>
    <t>Tertiary Water Treatment (micro)</t>
  </si>
  <si>
    <t>WWT3µ</t>
  </si>
  <si>
    <t>Tertiary WWT (MP)</t>
  </si>
  <si>
    <t>Sludge (macro)</t>
  </si>
  <si>
    <t>SludgeM</t>
  </si>
  <si>
    <t>Sludge</t>
  </si>
  <si>
    <t>Sludge (micro)</t>
  </si>
  <si>
    <t>Sludgeµ</t>
  </si>
  <si>
    <t>Sludge (MP)</t>
  </si>
  <si>
    <t>Unconnected Effluent (macro)</t>
  </si>
  <si>
    <t>UncEffluentM</t>
  </si>
  <si>
    <t>Unconnected effluent</t>
  </si>
  <si>
    <t>Unconnected Effluent (micro)</t>
  </si>
  <si>
    <t>UncEffluentµ</t>
  </si>
  <si>
    <t>Unconnected effluent (MP)</t>
  </si>
  <si>
    <t>Combined Sewer Overflow Effluent (macro)</t>
  </si>
  <si>
    <t>CSOEffluentM</t>
  </si>
  <si>
    <t>CSO effluent</t>
  </si>
  <si>
    <t>Combined Sewer Overflow Effluent (micro)</t>
  </si>
  <si>
    <t>CSOEffluentµ</t>
  </si>
  <si>
    <t>CSO effluent (MP)</t>
  </si>
  <si>
    <t>Wastewater Effluent (macro)</t>
  </si>
  <si>
    <t>WWEffluentM</t>
  </si>
  <si>
    <t>WW effluent</t>
  </si>
  <si>
    <t>Wastewater Effluent (micro)</t>
  </si>
  <si>
    <t>WWEffluentµ</t>
  </si>
  <si>
    <t>WW effluent (MP)</t>
  </si>
  <si>
    <t>Indoor air (micro)</t>
  </si>
  <si>
    <t>IndoorAir</t>
  </si>
  <si>
    <t>Indoor air (MP)</t>
  </si>
  <si>
    <t>Outdoor air (micro)</t>
  </si>
  <si>
    <t>OutdoorAir</t>
  </si>
  <si>
    <t>Outdoor air (MP)</t>
  </si>
  <si>
    <t>Residential Soil (macro)</t>
  </si>
  <si>
    <t>RSoilM</t>
  </si>
  <si>
    <t>Residential soil</t>
  </si>
  <si>
    <t>Residential Soil</t>
  </si>
  <si>
    <t>Residential Soil (micro)</t>
  </si>
  <si>
    <t>RSoilµ</t>
  </si>
  <si>
    <t>Residential soil (MP)</t>
  </si>
  <si>
    <t>Residential Soil (MP)</t>
  </si>
  <si>
    <t>Agricultural Soil (macro)</t>
  </si>
  <si>
    <t>ASoilM</t>
  </si>
  <si>
    <t>Agricultural soil</t>
  </si>
  <si>
    <t>Agricultural Soil</t>
  </si>
  <si>
    <t>Agricultural Soil (micro)</t>
  </si>
  <si>
    <t>ASoilµ</t>
  </si>
  <si>
    <t>Agricultural soil (MP)</t>
  </si>
  <si>
    <t>Agricultural Soil (MP)</t>
  </si>
  <si>
    <t>Sub-surface (micro)</t>
  </si>
  <si>
    <t>SubSurfµ</t>
  </si>
  <si>
    <t>Subsurface (MP)</t>
  </si>
  <si>
    <t>Natural Soil (macro)</t>
  </si>
  <si>
    <t>NSoilM</t>
  </si>
  <si>
    <t>Natural soil</t>
  </si>
  <si>
    <t>Natural Soil</t>
  </si>
  <si>
    <t>Natural Soil (micro)</t>
  </si>
  <si>
    <t>NSoilµ</t>
  </si>
  <si>
    <t>Natural soil (MP)</t>
  </si>
  <si>
    <t>Natural Soil (MP)</t>
  </si>
  <si>
    <t>Road Side (macro)</t>
  </si>
  <si>
    <t>RoadM</t>
  </si>
  <si>
    <t>Road side</t>
  </si>
  <si>
    <t>RoadSideMicro</t>
  </si>
  <si>
    <t>Road Side (micro)</t>
  </si>
  <si>
    <t>Roadµ</t>
  </si>
  <si>
    <t>Road side (MP)</t>
  </si>
  <si>
    <t>Beach Soil (macro)</t>
  </si>
  <si>
    <t>BeachM</t>
  </si>
  <si>
    <t>Beach soil</t>
  </si>
  <si>
    <t>BeachSoilMicro</t>
  </si>
  <si>
    <t>Beach Soil (micro)</t>
  </si>
  <si>
    <t>Beachµ</t>
  </si>
  <si>
    <t>Beach soil (MP)</t>
  </si>
  <si>
    <t>Surface Water (macro)</t>
  </si>
  <si>
    <t>Surface water</t>
  </si>
  <si>
    <t>Surface Water</t>
  </si>
  <si>
    <t>Surface Water (micro)</t>
  </si>
  <si>
    <t>Surface water (MP)</t>
  </si>
  <si>
    <t>Surface Water (MP)</t>
  </si>
  <si>
    <t>Coastal Water (macro)</t>
  </si>
  <si>
    <t>CWaterM</t>
  </si>
  <si>
    <t>Coastal water</t>
  </si>
  <si>
    <t>Coastal Water</t>
  </si>
  <si>
    <t>Coastal Water (micro)</t>
  </si>
  <si>
    <t>Cwaterµ</t>
  </si>
  <si>
    <t>Coastal water (MP)</t>
  </si>
  <si>
    <t>Coastal Water (MP)</t>
  </si>
  <si>
    <t>Ocean (macro)</t>
  </si>
  <si>
    <t>OceanM</t>
  </si>
  <si>
    <t>Ocean</t>
  </si>
  <si>
    <t>Ocean (micro)</t>
  </si>
  <si>
    <t>Oceanµ</t>
  </si>
  <si>
    <t>Ocean (MP)</t>
  </si>
  <si>
    <t>Sludge-Amended Agricultural Soil (macro)</t>
  </si>
  <si>
    <t>SludgeSoilM</t>
  </si>
  <si>
    <t>Sludge amended soil</t>
  </si>
  <si>
    <t>Sludge soil</t>
  </si>
  <si>
    <t>Sludge-Amended Agricultural Soil (micro)</t>
  </si>
  <si>
    <t>SludgeSoilµ</t>
  </si>
  <si>
    <t>Sludge amended soil (MP)</t>
  </si>
  <si>
    <t>Sludge soil (MP)</t>
  </si>
  <si>
    <t>Country or region</t>
  </si>
  <si>
    <t>Abbreviation</t>
  </si>
  <si>
    <t>Population 2020</t>
  </si>
  <si>
    <t>GDP 2020, million euro</t>
  </si>
  <si>
    <t>GDP per cap</t>
  </si>
  <si>
    <t>Austria </t>
  </si>
  <si>
    <t>Belgium </t>
  </si>
  <si>
    <t>Bulgaria </t>
  </si>
  <si>
    <t>Croatia </t>
  </si>
  <si>
    <t>Cyprus </t>
  </si>
  <si>
    <t>Czechia </t>
  </si>
  <si>
    <t>Denmark </t>
  </si>
  <si>
    <t>Estonia </t>
  </si>
  <si>
    <t>Finland </t>
  </si>
  <si>
    <t>France </t>
  </si>
  <si>
    <t>Germany </t>
  </si>
  <si>
    <t>Greece </t>
  </si>
  <si>
    <t>Hungary </t>
  </si>
  <si>
    <t>Ireland </t>
  </si>
  <si>
    <t>Italy </t>
  </si>
  <si>
    <t>Latvia </t>
  </si>
  <si>
    <t>Lithuania </t>
  </si>
  <si>
    <t>Luxembourg </t>
  </si>
  <si>
    <t>Malta </t>
  </si>
  <si>
    <t>Netherlands </t>
  </si>
  <si>
    <t>Norway</t>
  </si>
  <si>
    <t>Poland </t>
  </si>
  <si>
    <t>Portugal </t>
  </si>
  <si>
    <t>Romania </t>
  </si>
  <si>
    <t>Slovakia </t>
  </si>
  <si>
    <t>Slovenia </t>
  </si>
  <si>
    <t>Spain </t>
  </si>
  <si>
    <t>Sweden </t>
  </si>
  <si>
    <t>Switzerland</t>
  </si>
  <si>
    <t>United Kingdom</t>
  </si>
  <si>
    <t>Europe</t>
  </si>
  <si>
    <t>EU</t>
  </si>
  <si>
    <t>Total population; Eurostat. (2026). Average household size [Dataset]. https://ec.europa.eu/eurostat/databrowser/view/ilc_lvph01__custom_21884703/default/table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</si>
</sst>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00%"/>
    <numFmt numFmtId="167" formatCode="0.0000000"/>
    <numFmt numFmtId="168" formatCode="0.0"/>
  </numFmts>
  <fonts count="83" x14ac:knownFonts="1">
    <font>
      <sz val="12"/>
      <color theme="1"/>
      <name val="Calibri"/>
      <family val="2"/>
    </font>
    <font>
      <sz val="12"/>
      <color theme="1"/>
      <name val="Calibri"/>
      <family val="2"/>
    </font>
    <font>
      <b/>
      <sz val="12"/>
      <color theme="1"/>
      <name val="Calibri"/>
      <family val="2"/>
    </font>
    <font>
      <b/>
      <sz val="11"/>
      <color theme="1"/>
      <name val="Calibri"/>
      <family val="2"/>
    </font>
    <font>
      <sz val="11"/>
      <color theme="1"/>
      <name val="Aptos Narrow"/>
      <family val="2"/>
      <scheme val="minor"/>
    </font>
    <font>
      <b/>
      <sz val="11"/>
      <name val="Calibri"/>
      <family val="2"/>
    </font>
    <font>
      <b/>
      <i/>
      <sz val="11"/>
      <color theme="1" tint="0.499984740745262"/>
      <name val="Calibri"/>
      <family val="2"/>
    </font>
    <font>
      <b/>
      <sz val="11"/>
      <color rgb="FF0070C0"/>
      <name val="Calibri"/>
      <family val="2"/>
    </font>
    <font>
      <b/>
      <sz val="11"/>
      <color rgb="FFC00000"/>
      <name val="Calibri"/>
      <family val="2"/>
    </font>
    <font>
      <sz val="11"/>
      <color theme="1"/>
      <name val="Calibri"/>
      <family val="2"/>
    </font>
    <font>
      <i/>
      <sz val="11"/>
      <color theme="1" tint="0.499984740745262"/>
      <name val="Calibri"/>
      <family val="2"/>
    </font>
    <font>
      <sz val="11"/>
      <name val="Calibri"/>
      <family val="2"/>
    </font>
    <font>
      <sz val="12"/>
      <color theme="1"/>
      <name val="Aptos Narrow"/>
      <family val="2"/>
      <scheme val="minor"/>
    </font>
    <font>
      <b/>
      <sz val="11"/>
      <color rgb="FFFF0000"/>
      <name val="Calibri"/>
      <family val="2"/>
    </font>
    <font>
      <b/>
      <sz val="11"/>
      <color rgb="FFFFC000"/>
      <name val="Calibri"/>
      <family val="2"/>
    </font>
    <font>
      <b/>
      <sz val="11"/>
      <color rgb="FF92D050"/>
      <name val="Calibri"/>
      <family val="2"/>
    </font>
    <font>
      <b/>
      <sz val="11"/>
      <color rgb="FF00B050"/>
      <name val="Calibri"/>
      <family val="2"/>
    </font>
    <font>
      <b/>
      <sz val="11"/>
      <color rgb="FF00B0F0"/>
      <name val="Calibri"/>
      <family val="2"/>
    </font>
    <font>
      <b/>
      <sz val="11"/>
      <color rgb="FF7030A0"/>
      <name val="Calibri"/>
      <family val="2"/>
    </font>
    <font>
      <b/>
      <sz val="12"/>
      <color rgb="FFC00000"/>
      <name val="Calibri"/>
      <family val="2"/>
    </font>
    <font>
      <b/>
      <sz val="11"/>
      <color rgb="FFC00000"/>
      <name val="Aptos Narrow"/>
      <family val="2"/>
      <scheme val="minor"/>
    </font>
    <font>
      <i/>
      <sz val="12"/>
      <color theme="1" tint="0.499984740745262"/>
      <name val="Calibri"/>
      <family val="2"/>
    </font>
    <font>
      <sz val="11"/>
      <name val="Aptos Narrow"/>
      <family val="2"/>
      <scheme val="minor"/>
    </font>
    <font>
      <b/>
      <sz val="11"/>
      <color rgb="FFFF0000"/>
      <name val="Aptos Narrow"/>
      <family val="2"/>
      <scheme val="minor"/>
    </font>
    <font>
      <b/>
      <sz val="11"/>
      <color rgb="FFFFC000"/>
      <name val="Aptos Narrow"/>
      <family val="2"/>
      <scheme val="minor"/>
    </font>
    <font>
      <b/>
      <i/>
      <sz val="11"/>
      <color theme="1" tint="0.14999847407452621"/>
      <name val="Calibri"/>
      <family val="2"/>
    </font>
    <font>
      <b/>
      <i/>
      <sz val="11"/>
      <color theme="0" tint="-0.499984740745262"/>
      <name val="Calibri"/>
      <family val="2"/>
    </font>
    <font>
      <i/>
      <sz val="11"/>
      <color theme="0" tint="-0.499984740745262"/>
      <name val="Calibri"/>
      <family val="2"/>
    </font>
    <font>
      <b/>
      <sz val="11"/>
      <color rgb="FFFF6600"/>
      <name val="Calibri"/>
      <family val="2"/>
    </font>
    <font>
      <sz val="11"/>
      <color rgb="FF000000"/>
      <name val="Calibri"/>
      <family val="2"/>
    </font>
    <font>
      <b/>
      <sz val="11"/>
      <color theme="1"/>
      <name val="Aptos Narrow"/>
      <family val="2"/>
      <scheme val="minor"/>
    </font>
    <font>
      <b/>
      <sz val="11"/>
      <name val="Aptos Narrow"/>
      <scheme val="minor"/>
    </font>
    <font>
      <b/>
      <sz val="11"/>
      <name val="Aptos Narrow"/>
      <family val="2"/>
      <scheme val="minor"/>
    </font>
    <font>
      <b/>
      <i/>
      <sz val="11"/>
      <color theme="1" tint="0.14999847407452621"/>
      <name val="Aptos Narrow"/>
      <family val="2"/>
      <scheme val="minor"/>
    </font>
    <font>
      <b/>
      <i/>
      <sz val="11"/>
      <color theme="0" tint="-0.499984740745262"/>
      <name val="Aptos Narrow"/>
      <family val="2"/>
      <scheme val="minor"/>
    </font>
    <font>
      <b/>
      <sz val="11"/>
      <color rgb="FFFF6600"/>
      <name val="Aptos Narrow"/>
      <family val="2"/>
      <scheme val="minor"/>
    </font>
    <font>
      <b/>
      <sz val="11"/>
      <color rgb="FF7030A0"/>
      <name val="Aptos Narrow"/>
      <family val="2"/>
      <scheme val="minor"/>
    </font>
    <font>
      <i/>
      <sz val="11"/>
      <color theme="0" tint="-0.499984740745262"/>
      <name val="Aptos Narrow"/>
      <family val="2"/>
      <scheme val="minor"/>
    </font>
    <font>
      <b/>
      <sz val="11"/>
      <color rgb="FFFF6600"/>
      <name val="Aptos Narrow"/>
      <scheme val="minor"/>
    </font>
    <font>
      <b/>
      <sz val="11"/>
      <color rgb="FFC00000"/>
      <name val="Aptos Narrow"/>
      <scheme val="minor"/>
    </font>
    <font>
      <sz val="11"/>
      <name val="Aptos Narrow"/>
      <scheme val="minor"/>
    </font>
    <font>
      <i/>
      <sz val="11"/>
      <color theme="0" tint="-0.499984740745262"/>
      <name val="Aptos Narrow"/>
      <scheme val="minor"/>
    </font>
    <font>
      <sz val="11"/>
      <color theme="1"/>
      <name val="Aptos Narrow"/>
      <scheme val="minor"/>
    </font>
    <font>
      <b/>
      <sz val="11"/>
      <color rgb="FF92D050"/>
      <name val="Aptos Narrow"/>
      <family val="2"/>
      <scheme val="minor"/>
    </font>
    <font>
      <b/>
      <sz val="11"/>
      <color rgb="FF00B050"/>
      <name val="Aptos Narrow"/>
      <family val="2"/>
      <scheme val="minor"/>
    </font>
    <font>
      <b/>
      <sz val="11"/>
      <color rgb="FF00B0F0"/>
      <name val="Aptos Narrow"/>
      <family val="2"/>
      <scheme val="minor"/>
    </font>
    <font>
      <b/>
      <sz val="11"/>
      <color rgb="FF00FF99"/>
      <name val="Aptos Narrow"/>
      <family val="2"/>
      <scheme val="minor"/>
    </font>
    <font>
      <sz val="11"/>
      <name val="Aptos Narrow"/>
      <family val="2"/>
    </font>
    <font>
      <i/>
      <sz val="11"/>
      <color rgb="FF808080"/>
      <name val="Aptos Narrow"/>
      <family val="2"/>
    </font>
    <font>
      <sz val="12"/>
      <color rgb="FF000000"/>
      <name val="Aptos Narrow"/>
      <family val="2"/>
    </font>
    <font>
      <b/>
      <sz val="11"/>
      <color theme="1"/>
      <name val="Aptos Narrow"/>
      <scheme val="minor"/>
    </font>
    <font>
      <b/>
      <i/>
      <sz val="11"/>
      <color theme="1" tint="0.14999847407452621"/>
      <name val="Aptos Narrow"/>
      <scheme val="minor"/>
    </font>
    <font>
      <b/>
      <i/>
      <sz val="11"/>
      <color theme="0" tint="-0.499984740745262"/>
      <name val="Aptos Narrow"/>
      <scheme val="minor"/>
    </font>
    <font>
      <b/>
      <sz val="11"/>
      <color rgb="FF0070C0"/>
      <name val="Aptos Narrow"/>
      <scheme val="minor"/>
    </font>
    <font>
      <b/>
      <sz val="11"/>
      <color rgb="FF002060"/>
      <name val="Aptos Narrow"/>
      <scheme val="minor"/>
    </font>
    <font>
      <b/>
      <sz val="11"/>
      <color theme="9" tint="-0.499984740745262"/>
      <name val="Aptos Narrow"/>
      <scheme val="minor"/>
    </font>
    <font>
      <b/>
      <sz val="11"/>
      <color rgb="FF00B0F0"/>
      <name val="Aptos Narrow"/>
      <scheme val="minor"/>
    </font>
    <font>
      <b/>
      <sz val="11"/>
      <color rgb="FF7030A0"/>
      <name val="Aptos Narrow"/>
      <scheme val="minor"/>
    </font>
    <font>
      <i/>
      <sz val="11"/>
      <color rgb="FF808080"/>
      <name val="Aptos Narrow"/>
      <scheme val="minor"/>
    </font>
    <font>
      <b/>
      <sz val="11"/>
      <color rgb="FF974706"/>
      <name val="Aptos Narrow"/>
      <scheme val="minor"/>
    </font>
    <font>
      <b/>
      <sz val="11"/>
      <color theme="0" tint="-0.499984740745262"/>
      <name val="Aptos Narrow"/>
      <scheme val="minor"/>
    </font>
    <font>
      <b/>
      <sz val="11"/>
      <color rgb="FF00FF99"/>
      <name val="Aptos Narrow"/>
      <scheme val="minor"/>
    </font>
    <font>
      <b/>
      <sz val="11"/>
      <color rgb="FFFF0000"/>
      <name val="Aptos Narrow"/>
      <scheme val="minor"/>
    </font>
    <font>
      <b/>
      <sz val="11"/>
      <color rgb="FFFFC000"/>
      <name val="Aptos Narrow"/>
      <scheme val="minor"/>
    </font>
    <font>
      <b/>
      <sz val="11"/>
      <color rgb="FF92D050"/>
      <name val="Aptos Narrow"/>
      <scheme val="minor"/>
    </font>
    <font>
      <b/>
      <sz val="11"/>
      <color rgb="FF00B050"/>
      <name val="Aptos Narrow"/>
      <scheme val="minor"/>
    </font>
    <font>
      <b/>
      <sz val="11"/>
      <color rgb="FF31A828"/>
      <name val="Aptos Narrow"/>
      <scheme val="minor"/>
    </font>
    <font>
      <b/>
      <sz val="11"/>
      <color theme="1" tint="0.499984740745262"/>
      <name val="Aptos Narrow"/>
      <scheme val="minor"/>
    </font>
    <font>
      <sz val="12"/>
      <color theme="1"/>
      <name val="Aptos Narrow"/>
      <scheme val="minor"/>
    </font>
    <font>
      <b/>
      <sz val="11"/>
      <color rgb="FF31A828"/>
      <name val="Aptos Narrow"/>
      <family val="2"/>
      <scheme val="minor"/>
    </font>
    <font>
      <b/>
      <sz val="11"/>
      <color theme="9" tint="-0.499984740745262"/>
      <name val="Aptos Narrow"/>
      <family val="2"/>
      <scheme val="minor"/>
    </font>
    <font>
      <b/>
      <sz val="11"/>
      <color rgb="FF002060"/>
      <name val="Aptos Narrow"/>
      <family val="2"/>
      <scheme val="minor"/>
    </font>
    <font>
      <sz val="12"/>
      <name val="Calibri"/>
      <family val="2"/>
    </font>
    <font>
      <b/>
      <sz val="11"/>
      <color theme="9" tint="-0.499984740745262"/>
      <name val="Calibri"/>
      <family val="2"/>
    </font>
    <font>
      <b/>
      <sz val="11"/>
      <color theme="0" tint="-0.499984740745262"/>
      <name val="Aptos Narrow"/>
      <family val="2"/>
      <scheme val="minor"/>
    </font>
    <font>
      <sz val="12"/>
      <color rgb="FF000000"/>
      <name val="Calibri"/>
      <family val="2"/>
    </font>
    <font>
      <b/>
      <sz val="11"/>
      <color rgb="FF00FF99"/>
      <name val="Calibri"/>
      <family val="2"/>
    </font>
    <font>
      <b/>
      <sz val="11"/>
      <color theme="0" tint="-0.499984740745262"/>
      <name val="Calibri"/>
      <family val="2"/>
    </font>
    <font>
      <b/>
      <sz val="11"/>
      <color theme="1" tint="0.499984740745262"/>
      <name val="Calibri"/>
      <family val="2"/>
    </font>
    <font>
      <b/>
      <sz val="11"/>
      <color rgb="FF31A828"/>
      <name val="Calibri"/>
      <family val="2"/>
    </font>
    <font>
      <b/>
      <sz val="11"/>
      <color rgb="FF002060"/>
      <name val="Calibri"/>
      <family val="2"/>
    </font>
    <font>
      <sz val="11"/>
      <color rgb="FF000000"/>
      <name val="Aptos Narrow"/>
      <scheme val="minor"/>
    </font>
    <font>
      <i/>
      <sz val="11"/>
      <color rgb="FF808080"/>
      <name val="Calibri"/>
      <family val="2"/>
    </font>
  </fonts>
  <fills count="15">
    <fill>
      <patternFill patternType="none"/>
    </fill>
    <fill>
      <patternFill patternType="gray125"/>
    </fill>
    <fill>
      <patternFill patternType="solid">
        <fgColor rgb="FF92D05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3FCDFF"/>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00B0F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3" tint="0.89999084444715716"/>
        <bgColor indexed="64"/>
      </patternFill>
    </fill>
  </fills>
  <borders count="33">
    <border>
      <left/>
      <right/>
      <top/>
      <bottom/>
      <diagonal/>
    </border>
    <border>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4">
    <xf numFmtId="0" fontId="0" fillId="0" borderId="0"/>
    <xf numFmtId="9" fontId="1" fillId="0" borderId="0"/>
    <xf numFmtId="0" fontId="4" fillId="0" borderId="0"/>
    <xf numFmtId="0" fontId="12" fillId="0" borderId="0"/>
  </cellStyleXfs>
  <cellXfs count="857">
    <xf numFmtId="0" fontId="0" fillId="0" borderId="0" xfId="0"/>
    <xf numFmtId="0" fontId="3" fillId="2" borderId="1" xfId="0" applyFont="1" applyFill="1" applyBorder="1" applyAlignment="1">
      <alignment horizontal="center" vertical="center"/>
    </xf>
    <xf numFmtId="0" fontId="5" fillId="3" borderId="2" xfId="2" applyFont="1" applyFill="1" applyBorder="1" applyAlignment="1">
      <alignment horizontal="center" vertical="center" wrapText="1"/>
    </xf>
    <xf numFmtId="0" fontId="3" fillId="4" borderId="3" xfId="0" applyFont="1" applyFill="1" applyBorder="1" applyAlignment="1">
      <alignment horizontal="center" vertical="center"/>
    </xf>
    <xf numFmtId="2" fontId="3" fillId="4" borderId="3"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0" borderId="3" xfId="0" applyFont="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6" borderId="4" xfId="0" applyFont="1" applyFill="1" applyBorder="1" applyAlignment="1">
      <alignment horizontal="center" vertical="center" wrapText="1"/>
    </xf>
    <xf numFmtId="49" fontId="6" fillId="0" borderId="3" xfId="0" applyNumberFormat="1" applyFont="1" applyBorder="1" applyAlignment="1">
      <alignment horizontal="left" vertical="center"/>
    </xf>
    <xf numFmtId="0" fontId="7" fillId="0" borderId="5" xfId="0" applyFont="1" applyBorder="1" applyAlignment="1">
      <alignment vertical="center"/>
    </xf>
    <xf numFmtId="0" fontId="8" fillId="0" borderId="6" xfId="2" applyFont="1" applyBorder="1" applyAlignment="1">
      <alignment vertical="center"/>
    </xf>
    <xf numFmtId="0" fontId="8" fillId="0" borderId="0" xfId="0" applyFont="1" applyAlignment="1">
      <alignment horizontal="left" vertical="center"/>
    </xf>
    <xf numFmtId="0" fontId="9" fillId="7" borderId="0" xfId="0" applyFont="1" applyFill="1" applyAlignment="1">
      <alignment vertical="center"/>
    </xf>
    <xf numFmtId="0" fontId="10" fillId="0" borderId="5" xfId="0" applyFont="1" applyBorder="1" applyAlignment="1">
      <alignment vertical="center"/>
    </xf>
    <xf numFmtId="0" fontId="10" fillId="0" borderId="0" xfId="0" applyFont="1" applyAlignment="1">
      <alignment vertical="center"/>
    </xf>
    <xf numFmtId="0" fontId="11" fillId="7" borderId="6" xfId="0" applyFont="1" applyFill="1" applyBorder="1" applyAlignment="1">
      <alignment vertical="center"/>
    </xf>
    <xf numFmtId="0" fontId="11" fillId="7" borderId="0" xfId="0" applyFont="1" applyFill="1" applyAlignment="1">
      <alignment vertical="center"/>
    </xf>
    <xf numFmtId="2" fontId="11" fillId="7" borderId="7" xfId="0" applyNumberFormat="1" applyFont="1" applyFill="1" applyBorder="1" applyAlignment="1">
      <alignment vertical="center"/>
    </xf>
    <xf numFmtId="49" fontId="10" fillId="0" borderId="0" xfId="0" applyNumberFormat="1" applyFont="1" applyAlignment="1">
      <alignment vertical="center"/>
    </xf>
    <xf numFmtId="2" fontId="9" fillId="0" borderId="0" xfId="0" applyNumberFormat="1" applyFont="1" applyAlignment="1">
      <alignment vertical="center"/>
    </xf>
    <xf numFmtId="0" fontId="11" fillId="0" borderId="6" xfId="0" applyFont="1" applyBorder="1" applyAlignment="1">
      <alignment vertical="center"/>
    </xf>
    <xf numFmtId="0" fontId="11" fillId="0" borderId="0" xfId="0" applyFont="1" applyAlignment="1">
      <alignment vertical="center"/>
    </xf>
    <xf numFmtId="2" fontId="11" fillId="0" borderId="7" xfId="3" applyNumberFormat="1" applyFont="1" applyBorder="1" applyAlignment="1">
      <alignment vertical="center"/>
    </xf>
    <xf numFmtId="2" fontId="11" fillId="0" borderId="7" xfId="0" applyNumberFormat="1" applyFont="1" applyBorder="1" applyAlignment="1">
      <alignment vertical="center"/>
    </xf>
    <xf numFmtId="2" fontId="11" fillId="0" borderId="0" xfId="0" applyNumberFormat="1" applyFont="1" applyAlignment="1">
      <alignment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7" fillId="0" borderId="1" xfId="0" applyFont="1" applyBorder="1" applyAlignment="1">
      <alignment vertical="center"/>
    </xf>
    <xf numFmtId="0" fontId="8" fillId="0" borderId="2" xfId="2" applyFont="1" applyBorder="1" applyAlignment="1">
      <alignment vertical="center"/>
    </xf>
    <xf numFmtId="0" fontId="18" fillId="0" borderId="3" xfId="0" applyFont="1" applyBorder="1" applyAlignment="1">
      <alignment horizontal="left" vertical="center"/>
    </xf>
    <xf numFmtId="2" fontId="9" fillId="0" borderId="3" xfId="0" applyNumberFormat="1" applyFont="1" applyBorder="1" applyAlignment="1">
      <alignment vertical="center"/>
    </xf>
    <xf numFmtId="0" fontId="10" fillId="0" borderId="1" xfId="0" applyFont="1" applyBorder="1" applyAlignment="1">
      <alignment vertical="center"/>
    </xf>
    <xf numFmtId="0" fontId="10" fillId="0" borderId="3"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2" fontId="11" fillId="0" borderId="4" xfId="3" applyNumberFormat="1" applyFont="1" applyBorder="1" applyAlignment="1">
      <alignment vertical="center"/>
    </xf>
    <xf numFmtId="49" fontId="10" fillId="0" borderId="3" xfId="0" applyNumberFormat="1" applyFont="1" applyBorder="1" applyAlignment="1">
      <alignment vertical="center"/>
    </xf>
    <xf numFmtId="0" fontId="17" fillId="0" borderId="5" xfId="0" applyFont="1" applyBorder="1" applyAlignment="1">
      <alignment vertical="center"/>
    </xf>
    <xf numFmtId="2" fontId="9" fillId="0" borderId="0" xfId="0" applyNumberFormat="1" applyFont="1"/>
    <xf numFmtId="0" fontId="17" fillId="0" borderId="1" xfId="0" applyFont="1" applyBorder="1" applyAlignment="1">
      <alignment vertical="center"/>
    </xf>
    <xf numFmtId="2" fontId="9" fillId="0" borderId="3" xfId="0" applyNumberFormat="1" applyFont="1" applyBorder="1"/>
    <xf numFmtId="49" fontId="10" fillId="0" borderId="2" xfId="0" applyNumberFormat="1" applyFont="1" applyBorder="1" applyAlignment="1">
      <alignment vertical="center"/>
    </xf>
    <xf numFmtId="0" fontId="8" fillId="0" borderId="5" xfId="0" applyFont="1" applyBorder="1" applyAlignment="1">
      <alignment vertical="center"/>
    </xf>
    <xf numFmtId="0" fontId="8" fillId="0" borderId="1" xfId="0" applyFont="1" applyBorder="1" applyAlignment="1">
      <alignment vertical="center"/>
    </xf>
    <xf numFmtId="0" fontId="11" fillId="7" borderId="2" xfId="0" applyFont="1" applyFill="1" applyBorder="1" applyAlignment="1">
      <alignment vertical="center"/>
    </xf>
    <xf numFmtId="0" fontId="11" fillId="7" borderId="3" xfId="0" applyFont="1" applyFill="1" applyBorder="1" applyAlignment="1">
      <alignment vertical="center"/>
    </xf>
    <xf numFmtId="2" fontId="11" fillId="7" borderId="4" xfId="0" applyNumberFormat="1" applyFont="1" applyFill="1" applyBorder="1" applyAlignment="1">
      <alignment vertical="center"/>
    </xf>
    <xf numFmtId="0" fontId="8" fillId="0" borderId="0" xfId="3" applyFont="1" applyAlignment="1">
      <alignment vertical="center"/>
    </xf>
    <xf numFmtId="0" fontId="19" fillId="0" borderId="6" xfId="0" applyFont="1" applyBorder="1"/>
    <xf numFmtId="0" fontId="20" fillId="0" borderId="0" xfId="0" applyFont="1"/>
    <xf numFmtId="0" fontId="21" fillId="0" borderId="0" xfId="0" applyFont="1"/>
    <xf numFmtId="0" fontId="4" fillId="0" borderId="7" xfId="2" applyBorder="1"/>
    <xf numFmtId="0" fontId="4" fillId="0" borderId="0" xfId="0" applyFont="1"/>
    <xf numFmtId="0" fontId="4" fillId="0" borderId="5" xfId="0" applyFont="1" applyBorder="1"/>
    <xf numFmtId="2" fontId="22" fillId="0" borderId="5" xfId="0" applyNumberFormat="1" applyFont="1" applyBorder="1" applyAlignment="1">
      <alignment vertical="center"/>
    </xf>
    <xf numFmtId="0" fontId="22" fillId="7" borderId="0" xfId="3" applyFont="1" applyFill="1" applyAlignment="1">
      <alignment vertical="center"/>
    </xf>
    <xf numFmtId="0" fontId="22" fillId="7" borderId="5" xfId="3" applyFont="1" applyFill="1" applyBorder="1" applyAlignment="1">
      <alignment vertical="center"/>
    </xf>
    <xf numFmtId="2" fontId="22" fillId="7" borderId="5" xfId="3" applyNumberFormat="1" applyFont="1" applyFill="1" applyBorder="1" applyAlignment="1">
      <alignment vertical="center"/>
    </xf>
    <xf numFmtId="0" fontId="23" fillId="0" borderId="0" xfId="0" applyFont="1"/>
    <xf numFmtId="0" fontId="24" fillId="0" borderId="0" xfId="0" applyFont="1"/>
    <xf numFmtId="0" fontId="8" fillId="0" borderId="3" xfId="3" applyFont="1" applyBorder="1" applyAlignment="1">
      <alignment vertical="center"/>
    </xf>
    <xf numFmtId="0" fontId="20" fillId="0" borderId="0" xfId="3" applyFont="1" applyAlignment="1">
      <alignment vertical="center"/>
    </xf>
    <xf numFmtId="0" fontId="20" fillId="0" borderId="3" xfId="3" applyFont="1" applyBorder="1" applyAlignment="1">
      <alignment vertical="center"/>
    </xf>
    <xf numFmtId="0" fontId="3" fillId="2" borderId="0" xfId="2" applyFont="1" applyFill="1" applyAlignment="1">
      <alignment horizontal="center" vertical="center" wrapText="1"/>
    </xf>
    <xf numFmtId="0" fontId="5" fillId="3" borderId="6" xfId="2" applyFont="1" applyFill="1" applyBorder="1" applyAlignment="1">
      <alignment horizontal="center" vertical="center" wrapText="1"/>
    </xf>
    <xf numFmtId="0" fontId="5" fillId="4" borderId="8" xfId="2" applyFont="1" applyFill="1" applyBorder="1" applyAlignment="1">
      <alignment horizontal="center" vertical="center" wrapText="1"/>
    </xf>
    <xf numFmtId="0" fontId="5" fillId="4" borderId="8" xfId="2" applyFont="1" applyFill="1" applyBorder="1" applyAlignment="1">
      <alignment vertical="center" wrapText="1"/>
    </xf>
    <xf numFmtId="0" fontId="25" fillId="4" borderId="9" xfId="2" applyFont="1" applyFill="1" applyBorder="1" applyAlignment="1">
      <alignment horizontal="center" vertical="center" wrapText="1"/>
    </xf>
    <xf numFmtId="0" fontId="9" fillId="0" borderId="10" xfId="2" applyFont="1" applyBorder="1"/>
    <xf numFmtId="0" fontId="5" fillId="5" borderId="8" xfId="2" applyFont="1" applyFill="1" applyBorder="1" applyAlignment="1">
      <alignment horizontal="center" vertical="center" wrapText="1"/>
    </xf>
    <xf numFmtId="0" fontId="5" fillId="5" borderId="9" xfId="2" applyFont="1" applyFill="1" applyBorder="1" applyAlignment="1">
      <alignment horizontal="center" vertical="center" wrapText="1"/>
    </xf>
    <xf numFmtId="0" fontId="5" fillId="6" borderId="9" xfId="2" applyFont="1" applyFill="1" applyBorder="1" applyAlignment="1">
      <alignment horizontal="center" vertical="center" wrapText="1"/>
    </xf>
    <xf numFmtId="0" fontId="26" fillId="0" borderId="2" xfId="2" applyFont="1" applyBorder="1" applyAlignment="1">
      <alignment horizontal="center" vertical="center" wrapText="1"/>
    </xf>
    <xf numFmtId="0" fontId="7" fillId="0" borderId="11" xfId="3" applyFont="1" applyBorder="1" applyAlignment="1">
      <alignment vertical="center"/>
    </xf>
    <xf numFmtId="0" fontId="7" fillId="0" borderId="12" xfId="3" applyFont="1" applyBorder="1" applyAlignment="1">
      <alignment vertical="center"/>
    </xf>
    <xf numFmtId="0" fontId="9" fillId="0" borderId="13" xfId="3" applyFont="1" applyBorder="1" applyAlignment="1">
      <alignment vertical="center"/>
    </xf>
    <xf numFmtId="0" fontId="11" fillId="0" borderId="12" xfId="3" applyFont="1" applyBorder="1" applyAlignment="1">
      <alignment horizontal="left" vertical="center"/>
    </xf>
    <xf numFmtId="0" fontId="11" fillId="7" borderId="12" xfId="3" applyFont="1" applyFill="1" applyBorder="1" applyAlignment="1">
      <alignment vertical="center"/>
    </xf>
    <xf numFmtId="0" fontId="27" fillId="0" borderId="14" xfId="3" applyFont="1" applyBorder="1" applyAlignment="1">
      <alignment vertical="center"/>
    </xf>
    <xf numFmtId="0" fontId="9" fillId="0" borderId="15" xfId="3" applyFont="1" applyBorder="1"/>
    <xf numFmtId="0" fontId="11" fillId="7" borderId="14" xfId="3" applyFont="1" applyFill="1" applyBorder="1" applyAlignment="1">
      <alignment vertical="center"/>
    </xf>
    <xf numFmtId="2" fontId="11" fillId="7" borderId="14" xfId="3" applyNumberFormat="1" applyFont="1" applyFill="1" applyBorder="1" applyAlignment="1">
      <alignment vertical="center"/>
    </xf>
    <xf numFmtId="0" fontId="27" fillId="0" borderId="12" xfId="3" applyFont="1" applyBorder="1" applyAlignment="1">
      <alignment vertical="center"/>
    </xf>
    <xf numFmtId="0" fontId="7" fillId="0" borderId="0" xfId="0" applyFont="1" applyAlignment="1">
      <alignment vertical="center"/>
    </xf>
    <xf numFmtId="0" fontId="18" fillId="0" borderId="0" xfId="0" applyFont="1" applyAlignment="1">
      <alignment vertical="center"/>
    </xf>
    <xf numFmtId="0" fontId="1" fillId="0" borderId="6" xfId="0" applyFont="1" applyBorder="1" applyAlignment="1">
      <alignment vertical="center"/>
    </xf>
    <xf numFmtId="0" fontId="11" fillId="0" borderId="0" xfId="3" applyFont="1" applyAlignment="1">
      <alignment horizontal="left" vertical="center"/>
    </xf>
    <xf numFmtId="164" fontId="11" fillId="0" borderId="0" xfId="0" applyNumberFormat="1" applyFont="1" applyAlignment="1">
      <alignment vertical="center"/>
    </xf>
    <xf numFmtId="0" fontId="27" fillId="0" borderId="0" xfId="0" applyFont="1" applyAlignment="1">
      <alignment vertical="center"/>
    </xf>
    <xf numFmtId="0" fontId="9" fillId="0" borderId="7" xfId="3" applyFont="1" applyBorder="1"/>
    <xf numFmtId="0" fontId="11" fillId="0" borderId="5" xfId="3" applyFont="1" applyBorder="1" applyAlignment="1">
      <alignment vertical="center"/>
    </xf>
    <xf numFmtId="2" fontId="11" fillId="0" borderId="1" xfId="3" applyNumberFormat="1" applyFont="1" applyBorder="1" applyAlignment="1">
      <alignment vertical="center"/>
    </xf>
    <xf numFmtId="0" fontId="7" fillId="0" borderId="16" xfId="3" applyFont="1" applyBorder="1" applyAlignment="1">
      <alignment vertical="center"/>
    </xf>
    <xf numFmtId="0" fontId="18" fillId="0" borderId="3" xfId="3" applyFont="1" applyBorder="1" applyAlignment="1">
      <alignment vertical="center"/>
    </xf>
    <xf numFmtId="0" fontId="9" fillId="0" borderId="2" xfId="3" applyFont="1" applyBorder="1" applyAlignment="1">
      <alignment vertical="center"/>
    </xf>
    <xf numFmtId="0" fontId="11" fillId="0" borderId="3" xfId="3" applyFont="1" applyBorder="1" applyAlignment="1">
      <alignment horizontal="left" vertical="center"/>
    </xf>
    <xf numFmtId="164" fontId="11" fillId="0" borderId="3" xfId="3" applyNumberFormat="1" applyFont="1" applyBorder="1" applyAlignment="1">
      <alignment vertical="center"/>
    </xf>
    <xf numFmtId="0" fontId="27" fillId="0" borderId="1" xfId="3" applyFont="1" applyBorder="1" applyAlignment="1">
      <alignment vertical="center"/>
    </xf>
    <xf numFmtId="0" fontId="9" fillId="0" borderId="4" xfId="3" applyFont="1" applyBorder="1"/>
    <xf numFmtId="0" fontId="11" fillId="0" borderId="3" xfId="3" applyFont="1" applyBorder="1" applyAlignment="1">
      <alignment vertical="center"/>
    </xf>
    <xf numFmtId="0" fontId="11" fillId="0" borderId="1" xfId="3" applyFont="1" applyBorder="1" applyAlignment="1">
      <alignment vertical="center"/>
    </xf>
    <xf numFmtId="0" fontId="27" fillId="0" borderId="3" xfId="3" applyFont="1" applyBorder="1" applyAlignment="1">
      <alignment vertical="center"/>
    </xf>
    <xf numFmtId="0" fontId="7" fillId="0" borderId="17" xfId="0" applyFont="1" applyBorder="1" applyAlignment="1">
      <alignment vertical="center"/>
    </xf>
    <xf numFmtId="0" fontId="11" fillId="0" borderId="0" xfId="0" applyFont="1" applyAlignment="1">
      <alignment horizontal="left" vertical="center"/>
    </xf>
    <xf numFmtId="0" fontId="27" fillId="0" borderId="5" xfId="0" applyFont="1" applyBorder="1" applyAlignment="1">
      <alignment vertical="center"/>
    </xf>
    <xf numFmtId="0" fontId="1" fillId="0" borderId="7" xfId="0" applyFont="1" applyBorder="1"/>
    <xf numFmtId="0" fontId="11" fillId="0" borderId="0" xfId="3" applyFont="1" applyAlignment="1">
      <alignment vertical="center"/>
    </xf>
    <xf numFmtId="0" fontId="7" fillId="0" borderId="0" xfId="3" applyFont="1" applyAlignment="1">
      <alignment vertical="center"/>
    </xf>
    <xf numFmtId="0" fontId="9" fillId="0" borderId="6" xfId="3" applyFont="1" applyBorder="1" applyAlignment="1">
      <alignment vertical="center"/>
    </xf>
    <xf numFmtId="0" fontId="8" fillId="0" borderId="0" xfId="3" applyFont="1" applyAlignment="1">
      <alignment horizontal="left" vertical="center"/>
    </xf>
    <xf numFmtId="0" fontId="11" fillId="7" borderId="0" xfId="3" applyFont="1" applyFill="1" applyAlignment="1">
      <alignment vertical="center"/>
    </xf>
    <xf numFmtId="0" fontId="27" fillId="0" borderId="5" xfId="3" applyFont="1" applyBorder="1" applyAlignment="1">
      <alignment vertical="center"/>
    </xf>
    <xf numFmtId="0" fontId="11" fillId="7" borderId="5" xfId="3" applyFont="1" applyFill="1" applyBorder="1" applyAlignment="1">
      <alignment vertical="center"/>
    </xf>
    <xf numFmtId="2" fontId="11" fillId="7" borderId="5" xfId="3" applyNumberFormat="1" applyFont="1" applyFill="1" applyBorder="1" applyAlignment="1">
      <alignment vertical="center"/>
    </xf>
    <xf numFmtId="0" fontId="27" fillId="0" borderId="0" xfId="3" applyFont="1" applyAlignment="1">
      <alignment vertical="center"/>
    </xf>
    <xf numFmtId="0" fontId="13" fillId="0" borderId="0" xfId="3" applyFont="1" applyAlignment="1">
      <alignment horizontal="left" vertical="center"/>
    </xf>
    <xf numFmtId="164" fontId="11" fillId="0" borderId="0" xfId="3" applyNumberFormat="1" applyFont="1" applyAlignment="1">
      <alignment vertical="center"/>
    </xf>
    <xf numFmtId="2" fontId="11" fillId="0" borderId="5" xfId="3" applyNumberFormat="1" applyFont="1" applyBorder="1" applyAlignment="1">
      <alignment vertical="center"/>
    </xf>
    <xf numFmtId="0" fontId="14" fillId="0" borderId="0" xfId="3" applyFont="1" applyAlignment="1">
      <alignment horizontal="left" vertical="center"/>
    </xf>
    <xf numFmtId="0" fontId="15" fillId="0" borderId="0" xfId="3" applyFont="1" applyAlignment="1">
      <alignment horizontal="left" vertical="center"/>
    </xf>
    <xf numFmtId="0" fontId="16" fillId="0" borderId="0" xfId="3" applyFont="1" applyAlignment="1">
      <alignment horizontal="left" vertical="center"/>
    </xf>
    <xf numFmtId="0" fontId="17" fillId="0" borderId="0" xfId="3" applyFont="1" applyAlignment="1">
      <alignment horizontal="left" vertical="center"/>
    </xf>
    <xf numFmtId="0" fontId="18" fillId="0" borderId="0" xfId="3" applyFont="1" applyAlignment="1">
      <alignment horizontal="left" vertical="center"/>
    </xf>
    <xf numFmtId="0" fontId="17" fillId="0" borderId="3" xfId="3" applyFont="1" applyBorder="1" applyAlignment="1">
      <alignment vertical="center"/>
    </xf>
    <xf numFmtId="0" fontId="11" fillId="7" borderId="3" xfId="3" applyFont="1" applyFill="1" applyBorder="1" applyAlignment="1">
      <alignment vertical="center"/>
    </xf>
    <xf numFmtId="0" fontId="11" fillId="7" borderId="1" xfId="3" applyFont="1" applyFill="1" applyBorder="1" applyAlignment="1">
      <alignment vertical="center"/>
    </xf>
    <xf numFmtId="2" fontId="11" fillId="7" borderId="1" xfId="3" applyNumberFormat="1" applyFont="1" applyFill="1" applyBorder="1" applyAlignment="1">
      <alignment vertical="center"/>
    </xf>
    <xf numFmtId="0" fontId="7" fillId="0" borderId="17" xfId="3" applyFont="1" applyBorder="1" applyAlignment="1">
      <alignment vertical="center"/>
    </xf>
    <xf numFmtId="0" fontId="17" fillId="0" borderId="0" xfId="3" applyFont="1" applyAlignment="1">
      <alignment vertical="center"/>
    </xf>
    <xf numFmtId="0" fontId="17" fillId="0" borderId="12" xfId="0" applyFont="1" applyBorder="1" applyAlignment="1">
      <alignment vertical="center"/>
    </xf>
    <xf numFmtId="0" fontId="18" fillId="0" borderId="12" xfId="0" applyFont="1" applyBorder="1" applyAlignment="1">
      <alignment vertical="center"/>
    </xf>
    <xf numFmtId="0" fontId="9" fillId="0" borderId="6" xfId="3" applyFont="1" applyBorder="1"/>
    <xf numFmtId="164" fontId="11" fillId="0" borderId="12" xfId="0" applyNumberFormat="1" applyFont="1" applyBorder="1" applyAlignment="1">
      <alignment vertical="center"/>
    </xf>
    <xf numFmtId="0" fontId="27" fillId="0" borderId="12" xfId="0" applyFont="1" applyBorder="1" applyAlignment="1">
      <alignment vertical="center"/>
    </xf>
    <xf numFmtId="0" fontId="11" fillId="0" borderId="12" xfId="0" applyFont="1" applyBorder="1" applyAlignment="1">
      <alignment vertical="center"/>
    </xf>
    <xf numFmtId="2" fontId="11" fillId="0" borderId="14" xfId="3" applyNumberFormat="1" applyFont="1" applyBorder="1" applyAlignment="1">
      <alignment vertical="center"/>
    </xf>
    <xf numFmtId="0" fontId="17" fillId="0" borderId="17" xfId="3" applyFont="1" applyBorder="1" applyAlignment="1">
      <alignment vertical="center"/>
    </xf>
    <xf numFmtId="0" fontId="18" fillId="0" borderId="0" xfId="3" applyFont="1" applyAlignment="1">
      <alignment vertical="center"/>
    </xf>
    <xf numFmtId="0" fontId="17" fillId="0" borderId="16" xfId="3" applyFont="1" applyBorder="1" applyAlignment="1">
      <alignment vertical="center"/>
    </xf>
    <xf numFmtId="0" fontId="5" fillId="0" borderId="3" xfId="3" applyFont="1" applyBorder="1" applyAlignment="1">
      <alignment vertical="center"/>
    </xf>
    <xf numFmtId="0" fontId="9" fillId="0" borderId="13" xfId="3" applyFont="1" applyBorder="1"/>
    <xf numFmtId="0" fontId="11" fillId="0" borderId="14" xfId="3" applyFont="1" applyBorder="1" applyAlignment="1">
      <alignment vertical="center"/>
    </xf>
    <xf numFmtId="0" fontId="8" fillId="0" borderId="17" xfId="3" applyFont="1" applyBorder="1" applyAlignment="1">
      <alignment vertical="center"/>
    </xf>
    <xf numFmtId="0" fontId="28" fillId="0" borderId="0" xfId="3" applyFont="1" applyAlignment="1">
      <alignment horizontal="left" vertical="center"/>
    </xf>
    <xf numFmtId="0" fontId="9" fillId="0" borderId="0" xfId="3" applyFont="1"/>
    <xf numFmtId="0" fontId="9" fillId="7" borderId="0" xfId="3" applyFont="1" applyFill="1"/>
    <xf numFmtId="0" fontId="9" fillId="0" borderId="0" xfId="3" applyFont="1" applyAlignment="1">
      <alignment vertical="center"/>
    </xf>
    <xf numFmtId="0" fontId="9" fillId="7" borderId="0" xfId="3" applyFont="1" applyFill="1" applyAlignment="1">
      <alignment vertical="center"/>
    </xf>
    <xf numFmtId="0" fontId="28" fillId="0" borderId="3" xfId="3" applyFont="1" applyBorder="1" applyAlignment="1">
      <alignment horizontal="left" vertical="center"/>
    </xf>
    <xf numFmtId="0" fontId="9" fillId="0" borderId="2" xfId="3" applyFont="1" applyBorder="1"/>
    <xf numFmtId="0" fontId="18" fillId="0" borderId="3" xfId="3" applyFont="1" applyBorder="1" applyAlignment="1">
      <alignment horizontal="left" vertical="center"/>
    </xf>
    <xf numFmtId="0" fontId="9" fillId="0" borderId="3" xfId="3" applyFont="1" applyBorder="1" applyAlignment="1">
      <alignment vertical="center"/>
    </xf>
    <xf numFmtId="0" fontId="29" fillId="0" borderId="0" xfId="3" applyFont="1"/>
    <xf numFmtId="0" fontId="29" fillId="0" borderId="0" xfId="3" applyFont="1" applyAlignment="1">
      <alignment vertical="center"/>
    </xf>
    <xf numFmtId="0" fontId="29" fillId="7" borderId="0" xfId="3" applyFont="1" applyFill="1" applyAlignment="1">
      <alignment vertical="center"/>
    </xf>
    <xf numFmtId="0" fontId="8" fillId="0" borderId="6" xfId="3" applyFont="1" applyBorder="1" applyAlignment="1">
      <alignment vertical="center"/>
    </xf>
    <xf numFmtId="0" fontId="29" fillId="7" borderId="0" xfId="3" applyFont="1" applyFill="1"/>
    <xf numFmtId="0" fontId="8" fillId="0" borderId="16" xfId="3" applyFont="1" applyBorder="1" applyAlignment="1">
      <alignment vertical="center"/>
    </xf>
    <xf numFmtId="0" fontId="8" fillId="0" borderId="18" xfId="3" applyFont="1" applyBorder="1" applyAlignment="1">
      <alignment vertical="center"/>
    </xf>
    <xf numFmtId="0" fontId="28" fillId="0" borderId="18" xfId="3" applyFont="1" applyBorder="1" applyAlignment="1">
      <alignment horizontal="left" vertical="center"/>
    </xf>
    <xf numFmtId="0" fontId="11" fillId="0" borderId="18" xfId="3" applyFont="1" applyBorder="1" applyAlignment="1">
      <alignment horizontal="left" vertical="center"/>
    </xf>
    <xf numFmtId="0" fontId="9" fillId="7" borderId="18" xfId="3" applyFont="1" applyFill="1" applyBorder="1"/>
    <xf numFmtId="0" fontId="27" fillId="0" borderId="19" xfId="3" applyFont="1" applyBorder="1" applyAlignment="1">
      <alignment vertical="center"/>
    </xf>
    <xf numFmtId="0" fontId="9" fillId="0" borderId="20" xfId="3" applyFont="1" applyBorder="1"/>
    <xf numFmtId="0" fontId="11" fillId="7" borderId="18" xfId="3" applyFont="1" applyFill="1" applyBorder="1" applyAlignment="1">
      <alignment vertical="center"/>
    </xf>
    <xf numFmtId="0" fontId="11" fillId="7" borderId="19" xfId="3" applyFont="1" applyFill="1" applyBorder="1" applyAlignment="1">
      <alignment vertical="center"/>
    </xf>
    <xf numFmtId="2" fontId="11" fillId="7" borderId="19" xfId="3" applyNumberFormat="1" applyFont="1" applyFill="1" applyBorder="1" applyAlignment="1">
      <alignment vertical="center"/>
    </xf>
    <xf numFmtId="0" fontId="27" fillId="0" borderId="18" xfId="3" applyFont="1" applyBorder="1" applyAlignment="1">
      <alignment vertical="center"/>
    </xf>
    <xf numFmtId="0" fontId="28" fillId="0" borderId="0" xfId="3" applyFont="1" applyAlignment="1">
      <alignment vertical="center"/>
    </xf>
    <xf numFmtId="0" fontId="28" fillId="0" borderId="3" xfId="3" applyFont="1" applyBorder="1" applyAlignment="1">
      <alignment vertical="center"/>
    </xf>
    <xf numFmtId="0" fontId="27" fillId="0" borderId="2" xfId="3" applyFont="1" applyBorder="1" applyAlignment="1">
      <alignment vertical="center"/>
    </xf>
    <xf numFmtId="164" fontId="9" fillId="0" borderId="0" xfId="3" applyNumberFormat="1" applyFont="1"/>
    <xf numFmtId="1" fontId="9" fillId="5" borderId="0" xfId="3" applyNumberFormat="1" applyFont="1" applyFill="1"/>
    <xf numFmtId="0" fontId="28" fillId="0" borderId="5" xfId="0" applyFont="1" applyBorder="1" applyAlignment="1">
      <alignment vertical="center"/>
    </xf>
    <xf numFmtId="0" fontId="11" fillId="0" borderId="6" xfId="2" applyFont="1" applyBorder="1" applyAlignment="1">
      <alignment vertical="center"/>
    </xf>
    <xf numFmtId="0" fontId="8" fillId="0" borderId="0" xfId="2" applyFont="1" applyAlignment="1">
      <alignment horizontal="left" vertical="center"/>
    </xf>
    <xf numFmtId="0" fontId="9" fillId="0" borderId="7" xfId="0" applyFont="1" applyBorder="1"/>
    <xf numFmtId="0" fontId="11" fillId="7" borderId="5" xfId="0" applyFont="1" applyFill="1" applyBorder="1" applyAlignment="1">
      <alignment vertical="center"/>
    </xf>
    <xf numFmtId="2" fontId="11" fillId="7" borderId="5" xfId="2" applyNumberFormat="1" applyFont="1" applyFill="1" applyBorder="1" applyAlignment="1">
      <alignment vertical="center"/>
    </xf>
    <xf numFmtId="0" fontId="27" fillId="0" borderId="0" xfId="2" applyFont="1" applyAlignment="1">
      <alignment vertical="center"/>
    </xf>
    <xf numFmtId="0" fontId="13" fillId="0" borderId="0" xfId="2" applyFont="1" applyAlignment="1">
      <alignment horizontal="left" vertical="center"/>
    </xf>
    <xf numFmtId="11" fontId="11" fillId="0" borderId="0" xfId="1" applyNumberFormat="1" applyFont="1" applyAlignment="1">
      <alignment vertical="center"/>
    </xf>
    <xf numFmtId="0" fontId="27" fillId="0" borderId="5" xfId="2" applyFont="1" applyBorder="1" applyAlignment="1">
      <alignment vertical="center"/>
    </xf>
    <xf numFmtId="0" fontId="9" fillId="0" borderId="7" xfId="2" applyFont="1" applyBorder="1"/>
    <xf numFmtId="0" fontId="11" fillId="0" borderId="0" xfId="2" applyFont="1" applyAlignment="1">
      <alignment vertical="center"/>
    </xf>
    <xf numFmtId="0" fontId="11" fillId="0" borderId="5" xfId="2" applyFont="1" applyBorder="1" applyAlignment="1">
      <alignment vertical="center"/>
    </xf>
    <xf numFmtId="2" fontId="11" fillId="0" borderId="5" xfId="0" applyNumberFormat="1" applyFont="1" applyBorder="1" applyAlignment="1">
      <alignment vertical="center"/>
    </xf>
    <xf numFmtId="0" fontId="14" fillId="0" borderId="0" xfId="2" applyFont="1" applyAlignment="1">
      <alignment horizontal="left" vertical="center"/>
    </xf>
    <xf numFmtId="0" fontId="15" fillId="0" borderId="0" xfId="2" applyFont="1" applyAlignment="1">
      <alignment horizontal="left" vertical="center"/>
    </xf>
    <xf numFmtId="0" fontId="16" fillId="0" borderId="0" xfId="2" applyFont="1" applyAlignment="1">
      <alignment horizontal="left" vertical="center"/>
    </xf>
    <xf numFmtId="0" fontId="17" fillId="0" borderId="0" xfId="2" applyFont="1" applyAlignment="1">
      <alignment horizontal="left" vertical="center"/>
    </xf>
    <xf numFmtId="0" fontId="18" fillId="0" borderId="0" xfId="2" applyFont="1" applyAlignment="1">
      <alignment horizontal="left" vertical="center"/>
    </xf>
    <xf numFmtId="11" fontId="9" fillId="0" borderId="0" xfId="3" applyNumberFormat="1" applyFont="1"/>
    <xf numFmtId="1" fontId="9" fillId="7" borderId="0" xfId="3" applyNumberFormat="1" applyFont="1" applyFill="1"/>
    <xf numFmtId="0" fontId="8" fillId="0" borderId="11" xfId="3" applyFont="1" applyBorder="1" applyAlignment="1">
      <alignment vertical="center"/>
    </xf>
    <xf numFmtId="0" fontId="28" fillId="0" borderId="12" xfId="3" applyFont="1" applyBorder="1" applyAlignment="1">
      <alignment vertical="center"/>
    </xf>
    <xf numFmtId="0" fontId="8" fillId="0" borderId="12" xfId="3" applyFont="1" applyBorder="1" applyAlignment="1">
      <alignment horizontal="left" vertical="center"/>
    </xf>
    <xf numFmtId="0" fontId="9" fillId="7" borderId="12" xfId="3" applyFont="1" applyFill="1" applyBorder="1"/>
    <xf numFmtId="0" fontId="9" fillId="5" borderId="0" xfId="3" applyFont="1" applyFill="1"/>
    <xf numFmtId="164" fontId="11" fillId="7" borderId="0" xfId="3" applyNumberFormat="1" applyFont="1" applyFill="1" applyAlignment="1">
      <alignment vertical="center"/>
    </xf>
    <xf numFmtId="0" fontId="28" fillId="0" borderId="5" xfId="3" applyFont="1" applyBorder="1" applyAlignment="1">
      <alignment vertical="center"/>
    </xf>
    <xf numFmtId="0" fontId="28" fillId="0" borderId="1" xfId="3" applyFont="1" applyBorder="1" applyAlignment="1">
      <alignment vertical="center"/>
    </xf>
    <xf numFmtId="164" fontId="11" fillId="7" borderId="3" xfId="3" applyNumberFormat="1" applyFont="1" applyFill="1" applyBorder="1" applyAlignment="1">
      <alignment vertical="center"/>
    </xf>
    <xf numFmtId="0" fontId="30" fillId="2" borderId="0" xfId="2" applyFont="1" applyFill="1" applyAlignment="1">
      <alignment horizontal="center" vertical="center" wrapText="1"/>
    </xf>
    <xf numFmtId="0" fontId="30" fillId="2" borderId="5" xfId="2" applyFont="1" applyFill="1" applyBorder="1" applyAlignment="1">
      <alignment horizontal="center" vertical="center" wrapText="1"/>
    </xf>
    <xf numFmtId="0" fontId="31" fillId="3" borderId="0" xfId="2" applyFont="1" applyFill="1" applyAlignment="1">
      <alignment horizontal="center" vertical="center" wrapText="1"/>
    </xf>
    <xf numFmtId="0" fontId="32" fillId="4" borderId="8" xfId="2" applyFont="1" applyFill="1" applyBorder="1" applyAlignment="1">
      <alignment horizontal="center" vertical="center" wrapText="1"/>
    </xf>
    <xf numFmtId="0" fontId="32" fillId="4" borderId="8" xfId="2" applyFont="1" applyFill="1" applyBorder="1" applyAlignment="1">
      <alignment vertical="center" wrapText="1"/>
    </xf>
    <xf numFmtId="0" fontId="33" fillId="4" borderId="9" xfId="2" applyFont="1" applyFill="1" applyBorder="1" applyAlignment="1">
      <alignment horizontal="center" vertical="center" wrapText="1"/>
    </xf>
    <xf numFmtId="0" fontId="4" fillId="0" borderId="10" xfId="2" applyBorder="1"/>
    <xf numFmtId="0" fontId="32" fillId="5" borderId="8" xfId="2" applyFont="1" applyFill="1" applyBorder="1" applyAlignment="1">
      <alignment horizontal="center" vertical="center" wrapText="1"/>
    </xf>
    <xf numFmtId="0" fontId="32" fillId="5" borderId="9" xfId="2" applyFont="1" applyFill="1" applyBorder="1" applyAlignment="1">
      <alignment horizontal="center" vertical="center" wrapText="1"/>
    </xf>
    <xf numFmtId="0" fontId="32" fillId="6" borderId="9" xfId="2" applyFont="1" applyFill="1" applyBorder="1" applyAlignment="1">
      <alignment horizontal="center" vertical="center" wrapText="1"/>
    </xf>
    <xf numFmtId="0" fontId="34" fillId="0" borderId="6" xfId="2" applyFont="1" applyBorder="1" applyAlignment="1">
      <alignment horizontal="center" vertical="center" wrapText="1"/>
    </xf>
    <xf numFmtId="0" fontId="35" fillId="0" borderId="11" xfId="3" applyFont="1" applyBorder="1" applyAlignment="1">
      <alignment vertical="center"/>
    </xf>
    <xf numFmtId="0" fontId="36" fillId="0" borderId="12" xfId="3" applyFont="1" applyBorder="1" applyAlignment="1">
      <alignment vertical="center"/>
    </xf>
    <xf numFmtId="0" fontId="4" fillId="0" borderId="6" xfId="3" applyFont="1" applyBorder="1"/>
    <xf numFmtId="0" fontId="22" fillId="0" borderId="12" xfId="3" applyFont="1" applyBorder="1" applyAlignment="1">
      <alignment vertical="center"/>
    </xf>
    <xf numFmtId="0" fontId="22" fillId="7" borderId="12" xfId="3" applyFont="1" applyFill="1" applyBorder="1" applyAlignment="1">
      <alignment vertical="center"/>
    </xf>
    <xf numFmtId="0" fontId="37" fillId="0" borderId="14" xfId="3" applyFont="1" applyBorder="1" applyAlignment="1">
      <alignment vertical="center"/>
    </xf>
    <xf numFmtId="0" fontId="4" fillId="0" borderId="15" xfId="3" applyFont="1" applyBorder="1"/>
    <xf numFmtId="0" fontId="22" fillId="7" borderId="14" xfId="3" applyFont="1" applyFill="1" applyBorder="1" applyAlignment="1">
      <alignment vertical="center"/>
    </xf>
    <xf numFmtId="2" fontId="22" fillId="7" borderId="14" xfId="3" applyNumberFormat="1" applyFont="1" applyFill="1" applyBorder="1" applyAlignment="1">
      <alignment vertical="center"/>
    </xf>
    <xf numFmtId="0" fontId="37" fillId="0" borderId="12" xfId="3" applyFont="1" applyBorder="1" applyAlignment="1">
      <alignment vertical="center"/>
    </xf>
    <xf numFmtId="0" fontId="35" fillId="0" borderId="17" xfId="3" applyFont="1" applyBorder="1" applyAlignment="1">
      <alignment vertical="center"/>
    </xf>
    <xf numFmtId="0" fontId="36" fillId="0" borderId="0" xfId="3" applyFont="1" applyAlignment="1">
      <alignment vertical="center"/>
    </xf>
    <xf numFmtId="0" fontId="22" fillId="0" borderId="0" xfId="3" applyFont="1" applyAlignment="1">
      <alignment vertical="center"/>
    </xf>
    <xf numFmtId="0" fontId="37" fillId="0" borderId="5" xfId="3" applyFont="1" applyBorder="1" applyAlignment="1">
      <alignment vertical="center"/>
    </xf>
    <xf numFmtId="0" fontId="4" fillId="0" borderId="7" xfId="3" applyFont="1" applyBorder="1"/>
    <xf numFmtId="0" fontId="37" fillId="0" borderId="0" xfId="3" applyFont="1" applyAlignment="1">
      <alignment vertical="center"/>
    </xf>
    <xf numFmtId="0" fontId="35" fillId="0" borderId="16" xfId="3" applyFont="1" applyBorder="1" applyAlignment="1">
      <alignment vertical="center"/>
    </xf>
    <xf numFmtId="0" fontId="36" fillId="0" borderId="3" xfId="3" applyFont="1" applyBorder="1" applyAlignment="1">
      <alignment vertical="center"/>
    </xf>
    <xf numFmtId="0" fontId="4" fillId="0" borderId="2" xfId="3" applyFont="1" applyBorder="1"/>
    <xf numFmtId="0" fontId="22" fillId="0" borderId="3" xfId="3" applyFont="1" applyBorder="1" applyAlignment="1">
      <alignment vertical="center"/>
    </xf>
    <xf numFmtId="0" fontId="22" fillId="7" borderId="3" xfId="3" applyFont="1" applyFill="1" applyBorder="1" applyAlignment="1">
      <alignment vertical="center"/>
    </xf>
    <xf numFmtId="0" fontId="37" fillId="0" borderId="1" xfId="3" applyFont="1" applyBorder="1" applyAlignment="1">
      <alignment vertical="center"/>
    </xf>
    <xf numFmtId="0" fontId="4" fillId="0" borderId="4" xfId="3" applyFont="1" applyBorder="1"/>
    <xf numFmtId="0" fontId="22" fillId="7" borderId="1" xfId="3" applyFont="1" applyFill="1" applyBorder="1" applyAlignment="1">
      <alignment vertical="center"/>
    </xf>
    <xf numFmtId="2" fontId="22" fillId="7" borderId="1" xfId="3" applyNumberFormat="1" applyFont="1" applyFill="1" applyBorder="1" applyAlignment="1">
      <alignment vertical="center"/>
    </xf>
    <xf numFmtId="0" fontId="37" fillId="0" borderId="3" xfId="3" applyFont="1" applyBorder="1" applyAlignment="1">
      <alignment vertical="center"/>
    </xf>
    <xf numFmtId="0" fontId="38" fillId="0" borderId="17" xfId="2" applyFont="1" applyBorder="1" applyAlignment="1">
      <alignment vertical="center"/>
    </xf>
    <xf numFmtId="0" fontId="39" fillId="0" borderId="6" xfId="2" applyFont="1" applyBorder="1" applyAlignment="1">
      <alignment vertical="center"/>
    </xf>
    <xf numFmtId="0" fontId="40" fillId="0" borderId="0" xfId="2" applyFont="1" applyAlignment="1">
      <alignment horizontal="left" vertical="center"/>
    </xf>
    <xf numFmtId="11" fontId="40" fillId="0" borderId="0" xfId="1" applyNumberFormat="1" applyFont="1" applyAlignment="1">
      <alignment vertical="center"/>
    </xf>
    <xf numFmtId="0" fontId="41" fillId="0" borderId="5" xfId="2" applyFont="1" applyBorder="1" applyAlignment="1">
      <alignment vertical="center"/>
    </xf>
    <xf numFmtId="0" fontId="42" fillId="0" borderId="7" xfId="2" applyFont="1" applyBorder="1"/>
    <xf numFmtId="0" fontId="40" fillId="0" borderId="0" xfId="2" applyFont="1" applyAlignment="1">
      <alignment vertical="center"/>
    </xf>
    <xf numFmtId="0" fontId="40" fillId="0" borderId="5" xfId="2" applyFont="1" applyBorder="1" applyAlignment="1">
      <alignment vertical="center"/>
    </xf>
    <xf numFmtId="2" fontId="40" fillId="0" borderId="5" xfId="2" applyNumberFormat="1" applyFont="1" applyBorder="1" applyAlignment="1">
      <alignment vertical="center"/>
    </xf>
    <xf numFmtId="0" fontId="41" fillId="0" borderId="0" xfId="2" applyFont="1" applyAlignment="1">
      <alignment vertical="center"/>
    </xf>
    <xf numFmtId="164" fontId="22" fillId="7" borderId="0" xfId="3" applyNumberFormat="1" applyFont="1" applyFill="1" applyAlignment="1">
      <alignment vertical="center"/>
    </xf>
    <xf numFmtId="0" fontId="20" fillId="0" borderId="0" xfId="3" applyFont="1" applyAlignment="1">
      <alignment horizontal="left" vertical="center"/>
    </xf>
    <xf numFmtId="0" fontId="23" fillId="0" borderId="0" xfId="3" applyFont="1" applyAlignment="1">
      <alignment horizontal="left" vertical="center"/>
    </xf>
    <xf numFmtId="0" fontId="24" fillId="0" borderId="0" xfId="3" applyFont="1" applyAlignment="1">
      <alignment horizontal="left" vertical="center"/>
    </xf>
    <xf numFmtId="0" fontId="43" fillId="0" borderId="0" xfId="3" applyFont="1" applyAlignment="1">
      <alignment horizontal="left" vertical="center"/>
    </xf>
    <xf numFmtId="0" fontId="44" fillId="0" borderId="0" xfId="3" applyFont="1" applyAlignment="1">
      <alignment horizontal="left" vertical="center"/>
    </xf>
    <xf numFmtId="0" fontId="45" fillId="0" borderId="0" xfId="3" applyFont="1" applyAlignment="1">
      <alignment horizontal="left" vertical="center"/>
    </xf>
    <xf numFmtId="0" fontId="36" fillId="0" borderId="0" xfId="3" applyFont="1" applyAlignment="1">
      <alignment horizontal="left" vertical="center"/>
    </xf>
    <xf numFmtId="0" fontId="35" fillId="0" borderId="12" xfId="3" applyFont="1" applyBorder="1" applyAlignment="1">
      <alignment vertical="center"/>
    </xf>
    <xf numFmtId="0" fontId="39" fillId="0" borderId="13" xfId="2" applyFont="1" applyBorder="1" applyAlignment="1">
      <alignment vertical="center"/>
    </xf>
    <xf numFmtId="11" fontId="40" fillId="0" borderId="12" xfId="1" applyNumberFormat="1" applyFont="1" applyBorder="1" applyAlignment="1">
      <alignment vertical="center"/>
    </xf>
    <xf numFmtId="0" fontId="41" fillId="0" borderId="14" xfId="2" applyFont="1" applyBorder="1" applyAlignment="1">
      <alignment vertical="center"/>
    </xf>
    <xf numFmtId="0" fontId="42" fillId="0" borderId="15" xfId="2" applyFont="1" applyBorder="1"/>
    <xf numFmtId="0" fontId="40" fillId="0" borderId="12" xfId="2" applyFont="1" applyBorder="1" applyAlignment="1">
      <alignment vertical="center"/>
    </xf>
    <xf numFmtId="0" fontId="40" fillId="0" borderId="14" xfId="2" applyFont="1" applyBorder="1" applyAlignment="1">
      <alignment vertical="center"/>
    </xf>
    <xf numFmtId="2" fontId="40" fillId="0" borderId="14" xfId="2" applyNumberFormat="1" applyFont="1" applyBorder="1" applyAlignment="1">
      <alignment vertical="center"/>
    </xf>
    <xf numFmtId="0" fontId="41" fillId="0" borderId="12" xfId="2" applyFont="1" applyBorder="1" applyAlignment="1">
      <alignment vertical="center"/>
    </xf>
    <xf numFmtId="0" fontId="35" fillId="0" borderId="0" xfId="3" applyFont="1" applyAlignment="1">
      <alignment vertical="center"/>
    </xf>
    <xf numFmtId="164" fontId="22" fillId="7" borderId="3" xfId="3" applyNumberFormat="1" applyFont="1" applyFill="1" applyBorder="1" applyAlignment="1">
      <alignment vertical="center"/>
    </xf>
    <xf numFmtId="0" fontId="32" fillId="0" borderId="0" xfId="3" applyFont="1" applyAlignment="1">
      <alignment horizontal="left" vertical="center"/>
    </xf>
    <xf numFmtId="0" fontId="22" fillId="0" borderId="0" xfId="3" applyFont="1" applyAlignment="1">
      <alignment horizontal="left" vertical="center"/>
    </xf>
    <xf numFmtId="0" fontId="32" fillId="0" borderId="5" xfId="3" applyFont="1" applyBorder="1" applyAlignment="1">
      <alignment horizontal="left" vertical="center"/>
    </xf>
    <xf numFmtId="0" fontId="36" fillId="0" borderId="3" xfId="3" applyFont="1" applyBorder="1" applyAlignment="1">
      <alignment horizontal="left" vertical="center"/>
    </xf>
    <xf numFmtId="0" fontId="22" fillId="0" borderId="3" xfId="3" applyFont="1" applyBorder="1" applyAlignment="1">
      <alignment horizontal="left" vertical="center"/>
    </xf>
    <xf numFmtId="0" fontId="4" fillId="7" borderId="3" xfId="3" applyFont="1" applyFill="1" applyBorder="1"/>
    <xf numFmtId="0" fontId="30" fillId="0" borderId="3" xfId="3" applyFont="1" applyBorder="1" applyAlignment="1">
      <alignment vertical="center"/>
    </xf>
    <xf numFmtId="0" fontId="22" fillId="7" borderId="2" xfId="3" applyFont="1" applyFill="1" applyBorder="1" applyAlignment="1">
      <alignment vertical="center"/>
    </xf>
    <xf numFmtId="0" fontId="22" fillId="0" borderId="5" xfId="3" applyFont="1" applyBorder="1" applyAlignment="1">
      <alignment vertical="center"/>
    </xf>
    <xf numFmtId="2" fontId="22" fillId="0" borderId="5" xfId="3" applyNumberFormat="1" applyFont="1" applyBorder="1" applyAlignment="1">
      <alignment vertical="center"/>
    </xf>
    <xf numFmtId="0" fontId="32" fillId="0" borderId="0" xfId="3" applyFont="1" applyAlignment="1">
      <alignment vertical="center"/>
    </xf>
    <xf numFmtId="164" fontId="22" fillId="7" borderId="12" xfId="3" applyNumberFormat="1" applyFont="1" applyFill="1" applyBorder="1" applyAlignment="1">
      <alignment vertical="center"/>
    </xf>
    <xf numFmtId="0" fontId="39" fillId="0" borderId="2" xfId="2" applyFont="1" applyBorder="1" applyAlignment="1">
      <alignment vertical="center"/>
    </xf>
    <xf numFmtId="11" fontId="40" fillId="0" borderId="3" xfId="1" applyNumberFormat="1" applyFont="1" applyBorder="1" applyAlignment="1">
      <alignment vertical="center"/>
    </xf>
    <xf numFmtId="0" fontId="41" fillId="0" borderId="1" xfId="2" applyFont="1" applyBorder="1" applyAlignment="1">
      <alignment vertical="center"/>
    </xf>
    <xf numFmtId="0" fontId="42" fillId="0" borderId="4" xfId="2" applyFont="1" applyBorder="1"/>
    <xf numFmtId="0" fontId="40" fillId="0" borderId="3" xfId="2" applyFont="1" applyBorder="1" applyAlignment="1">
      <alignment vertical="center"/>
    </xf>
    <xf numFmtId="0" fontId="40" fillId="0" borderId="1" xfId="2" applyFont="1" applyBorder="1" applyAlignment="1">
      <alignment vertical="center"/>
    </xf>
    <xf numFmtId="2" fontId="40" fillId="0" borderId="1" xfId="2" applyNumberFormat="1" applyFont="1" applyBorder="1" applyAlignment="1">
      <alignment vertical="center"/>
    </xf>
    <xf numFmtId="0" fontId="41" fillId="0" borderId="3" xfId="2" applyFont="1" applyBorder="1" applyAlignment="1">
      <alignment vertical="center"/>
    </xf>
    <xf numFmtId="0" fontId="35" fillId="0" borderId="18" xfId="0" applyFont="1" applyBorder="1" applyAlignment="1">
      <alignment vertical="center"/>
    </xf>
    <xf numFmtId="0" fontId="36" fillId="0" borderId="19" xfId="3" applyFont="1" applyBorder="1" applyAlignment="1">
      <alignment vertical="center"/>
    </xf>
    <xf numFmtId="0" fontId="4" fillId="0" borderId="21" xfId="3" applyFont="1" applyBorder="1"/>
    <xf numFmtId="0" fontId="22" fillId="0" borderId="18" xfId="3" applyFont="1" applyBorder="1" applyAlignment="1">
      <alignment vertical="center"/>
    </xf>
    <xf numFmtId="0" fontId="22" fillId="7" borderId="18" xfId="3" applyFont="1" applyFill="1" applyBorder="1" applyAlignment="1">
      <alignment vertical="center"/>
    </xf>
    <xf numFmtId="0" fontId="37" fillId="0" borderId="19" xfId="3" applyFont="1" applyBorder="1" applyAlignment="1">
      <alignment vertical="center"/>
    </xf>
    <xf numFmtId="0" fontId="4" fillId="0" borderId="20" xfId="3" applyFont="1" applyBorder="1"/>
    <xf numFmtId="0" fontId="22" fillId="7" borderId="19" xfId="3" applyFont="1" applyFill="1" applyBorder="1" applyAlignment="1">
      <alignment vertical="center"/>
    </xf>
    <xf numFmtId="2" fontId="22" fillId="7" borderId="19" xfId="3" applyNumberFormat="1" applyFont="1" applyFill="1" applyBorder="1" applyAlignment="1">
      <alignment vertical="center"/>
    </xf>
    <xf numFmtId="0" fontId="37" fillId="0" borderId="18" xfId="3" applyFont="1" applyBorder="1" applyAlignment="1">
      <alignment vertical="center"/>
    </xf>
    <xf numFmtId="0" fontId="36" fillId="0" borderId="17" xfId="3" applyFont="1" applyBorder="1" applyAlignment="1">
      <alignment vertical="center"/>
    </xf>
    <xf numFmtId="0" fontId="46" fillId="0" borderId="0" xfId="3" applyFont="1" applyAlignment="1">
      <alignment vertical="center"/>
    </xf>
    <xf numFmtId="165" fontId="22" fillId="0" borderId="0" xfId="3" applyNumberFormat="1" applyFont="1" applyAlignment="1">
      <alignment vertical="center"/>
    </xf>
    <xf numFmtId="0" fontId="30" fillId="0" borderId="0" xfId="3" applyFont="1" applyAlignment="1">
      <alignment vertical="center"/>
    </xf>
    <xf numFmtId="0" fontId="36" fillId="0" borderId="11" xfId="3" applyFont="1" applyBorder="1" applyAlignment="1">
      <alignment vertical="center"/>
    </xf>
    <xf numFmtId="0" fontId="30" fillId="0" borderId="12" xfId="3" applyFont="1" applyBorder="1" applyAlignment="1">
      <alignment vertical="center"/>
    </xf>
    <xf numFmtId="164" fontId="22" fillId="0" borderId="0" xfId="3" applyNumberFormat="1" applyFont="1" applyAlignment="1">
      <alignment vertical="center"/>
    </xf>
    <xf numFmtId="0" fontId="36" fillId="0" borderId="16" xfId="3" applyFont="1" applyBorder="1" applyAlignment="1">
      <alignment vertical="center"/>
    </xf>
    <xf numFmtId="0" fontId="32" fillId="0" borderId="3" xfId="3" applyFont="1" applyBorder="1" applyAlignment="1">
      <alignment vertical="center"/>
    </xf>
    <xf numFmtId="0" fontId="46" fillId="0" borderId="3" xfId="3" applyFont="1" applyBorder="1" applyAlignment="1">
      <alignment vertical="center"/>
    </xf>
    <xf numFmtId="0" fontId="46" fillId="0" borderId="12" xfId="3" applyFont="1" applyBorder="1" applyAlignment="1">
      <alignment vertical="center"/>
    </xf>
    <xf numFmtId="164" fontId="22" fillId="0" borderId="12" xfId="3" applyNumberFormat="1" applyFont="1" applyBorder="1" applyAlignment="1">
      <alignment vertical="center"/>
    </xf>
    <xf numFmtId="0" fontId="37" fillId="0" borderId="2" xfId="3" applyFont="1" applyBorder="1" applyAlignment="1">
      <alignment vertical="center"/>
    </xf>
    <xf numFmtId="0" fontId="36" fillId="0" borderId="11" xfId="0" applyFont="1" applyBorder="1" applyAlignment="1">
      <alignment vertical="center"/>
    </xf>
    <xf numFmtId="0" fontId="46" fillId="0" borderId="12" xfId="0" applyFont="1" applyBorder="1" applyAlignment="1">
      <alignment vertical="center"/>
    </xf>
    <xf numFmtId="0" fontId="22" fillId="0" borderId="13" xfId="0" applyFont="1" applyBorder="1" applyAlignment="1">
      <alignment vertical="center"/>
    </xf>
    <xf numFmtId="0" fontId="22" fillId="0" borderId="12" xfId="0" applyFont="1" applyBorder="1" applyAlignment="1">
      <alignment vertical="center"/>
    </xf>
    <xf numFmtId="164" fontId="22" fillId="0" borderId="12" xfId="0" applyNumberFormat="1" applyFont="1" applyBorder="1" applyAlignment="1">
      <alignment vertical="center"/>
    </xf>
    <xf numFmtId="0" fontId="37" fillId="0" borderId="14" xfId="0" applyFont="1" applyBorder="1" applyAlignment="1">
      <alignment vertical="center"/>
    </xf>
    <xf numFmtId="0" fontId="0" fillId="0" borderId="15" xfId="0" applyBorder="1"/>
    <xf numFmtId="0" fontId="22" fillId="0" borderId="14" xfId="0" applyFont="1" applyBorder="1" applyAlignment="1">
      <alignment vertical="center"/>
    </xf>
    <xf numFmtId="2" fontId="22" fillId="0" borderId="6" xfId="3" applyNumberFormat="1" applyFont="1" applyBorder="1" applyAlignment="1">
      <alignment vertical="center"/>
    </xf>
    <xf numFmtId="0" fontId="36" fillId="0" borderId="17" xfId="0" applyFont="1" applyBorder="1" applyAlignment="1">
      <alignment vertical="center"/>
    </xf>
    <xf numFmtId="0" fontId="30" fillId="0" borderId="0" xfId="0" applyFont="1" applyAlignment="1">
      <alignment vertical="center"/>
    </xf>
    <xf numFmtId="0" fontId="22" fillId="0" borderId="2" xfId="0" applyFont="1" applyBorder="1" applyAlignment="1">
      <alignment vertical="center"/>
    </xf>
    <xf numFmtId="0" fontId="22" fillId="0" borderId="3" xfId="0" applyFont="1" applyBorder="1" applyAlignment="1">
      <alignment vertical="center"/>
    </xf>
    <xf numFmtId="2" fontId="22" fillId="0" borderId="2" xfId="3" applyNumberFormat="1" applyFont="1" applyBorder="1" applyAlignment="1">
      <alignment vertical="center"/>
    </xf>
    <xf numFmtId="0" fontId="32" fillId="0" borderId="12" xfId="3" applyFont="1" applyBorder="1" applyAlignment="1">
      <alignment vertical="center"/>
    </xf>
    <xf numFmtId="0" fontId="37" fillId="0" borderId="5" xfId="0" applyFont="1" applyBorder="1" applyAlignment="1">
      <alignment vertical="center"/>
    </xf>
    <xf numFmtId="0" fontId="12" fillId="0" borderId="15" xfId="3" applyBorder="1"/>
    <xf numFmtId="0" fontId="22" fillId="0" borderId="14" xfId="3" applyFont="1" applyBorder="1" applyAlignment="1">
      <alignment vertical="center"/>
    </xf>
    <xf numFmtId="2" fontId="22" fillId="0" borderId="14" xfId="3" applyNumberFormat="1" applyFont="1" applyBorder="1" applyAlignment="1">
      <alignment vertical="center"/>
    </xf>
    <xf numFmtId="0" fontId="4" fillId="0" borderId="13" xfId="3" applyFont="1" applyBorder="1"/>
    <xf numFmtId="0" fontId="46" fillId="0" borderId="11" xfId="3" applyFont="1" applyBorder="1" applyAlignment="1">
      <alignment vertical="center"/>
    </xf>
    <xf numFmtId="164" fontId="4" fillId="0" borderId="0" xfId="3" applyNumberFormat="1" applyFont="1"/>
    <xf numFmtId="0" fontId="46" fillId="0" borderId="17" xfId="3" applyFont="1" applyBorder="1" applyAlignment="1">
      <alignment vertical="center"/>
    </xf>
    <xf numFmtId="0" fontId="46" fillId="0" borderId="16" xfId="3" applyFont="1" applyBorder="1" applyAlignment="1">
      <alignment vertical="center"/>
    </xf>
    <xf numFmtId="0" fontId="12" fillId="0" borderId="7" xfId="3" applyBorder="1"/>
    <xf numFmtId="0" fontId="12" fillId="0" borderId="4" xfId="3" applyBorder="1"/>
    <xf numFmtId="0" fontId="47" fillId="8" borderId="0" xfId="0" applyFont="1" applyFill="1" applyAlignment="1">
      <alignment vertical="center"/>
    </xf>
    <xf numFmtId="0" fontId="48" fillId="0" borderId="5" xfId="0" applyFont="1" applyBorder="1" applyAlignment="1">
      <alignment vertical="center"/>
    </xf>
    <xf numFmtId="0" fontId="49" fillId="0" borderId="5" xfId="0" applyFont="1" applyBorder="1"/>
    <xf numFmtId="0" fontId="47" fillId="8" borderId="5" xfId="0" applyFont="1" applyFill="1" applyBorder="1" applyAlignment="1">
      <alignment vertical="center"/>
    </xf>
    <xf numFmtId="0" fontId="46" fillId="0" borderId="11" xfId="0" applyFont="1" applyBorder="1" applyAlignment="1">
      <alignment vertical="center"/>
    </xf>
    <xf numFmtId="0" fontId="46" fillId="0" borderId="17" xfId="0" applyFont="1" applyBorder="1" applyAlignment="1">
      <alignment vertical="center"/>
    </xf>
    <xf numFmtId="164" fontId="47" fillId="0" borderId="0" xfId="0" applyNumberFormat="1" applyFont="1" applyAlignment="1">
      <alignment vertical="center"/>
    </xf>
    <xf numFmtId="0" fontId="46" fillId="0" borderId="16" xfId="0" applyFont="1" applyBorder="1" applyAlignment="1">
      <alignment vertical="center"/>
    </xf>
    <xf numFmtId="0" fontId="30" fillId="0" borderId="22" xfId="3" applyFont="1" applyBorder="1" applyAlignment="1">
      <alignment vertical="center"/>
    </xf>
    <xf numFmtId="0" fontId="30" fillId="0" borderId="18" xfId="3" applyFont="1" applyBorder="1" applyAlignment="1">
      <alignment vertical="center"/>
    </xf>
    <xf numFmtId="0" fontId="12" fillId="0" borderId="20" xfId="3" applyBorder="1"/>
    <xf numFmtId="0" fontId="35" fillId="0" borderId="22" xfId="3" applyFont="1" applyBorder="1" applyAlignment="1">
      <alignment vertical="center"/>
    </xf>
    <xf numFmtId="0" fontId="36" fillId="0" borderId="18" xfId="3" applyFont="1" applyBorder="1" applyAlignment="1">
      <alignment vertical="center"/>
    </xf>
    <xf numFmtId="0" fontId="22" fillId="7" borderId="21" xfId="3" applyFont="1" applyFill="1" applyBorder="1" applyAlignment="1">
      <alignment vertical="center"/>
    </xf>
    <xf numFmtId="0" fontId="35" fillId="0" borderId="3" xfId="3" applyFont="1" applyBorder="1" applyAlignment="1">
      <alignment vertical="center"/>
    </xf>
    <xf numFmtId="0" fontId="50" fillId="2" borderId="0" xfId="2" applyFont="1" applyFill="1" applyAlignment="1">
      <alignment horizontal="center" vertical="center" wrapText="1"/>
    </xf>
    <xf numFmtId="0" fontId="50" fillId="2" borderId="5" xfId="2" applyFont="1" applyFill="1" applyBorder="1" applyAlignment="1">
      <alignment horizontal="center" vertical="center" wrapText="1"/>
    </xf>
    <xf numFmtId="0" fontId="31" fillId="4" borderId="8" xfId="2" applyFont="1" applyFill="1" applyBorder="1" applyAlignment="1">
      <alignment horizontal="center" vertical="center" wrapText="1"/>
    </xf>
    <xf numFmtId="0" fontId="31" fillId="4" borderId="8" xfId="2" applyFont="1" applyFill="1" applyBorder="1" applyAlignment="1">
      <alignment vertical="center" wrapText="1"/>
    </xf>
    <xf numFmtId="0" fontId="51" fillId="4" borderId="9" xfId="2" applyFont="1" applyFill="1" applyBorder="1" applyAlignment="1">
      <alignment horizontal="center" vertical="center" wrapText="1"/>
    </xf>
    <xf numFmtId="0" fontId="42" fillId="0" borderId="10" xfId="2" applyFont="1" applyBorder="1"/>
    <xf numFmtId="0" fontId="31" fillId="5" borderId="8" xfId="2" applyFont="1" applyFill="1" applyBorder="1" applyAlignment="1">
      <alignment horizontal="center" vertical="center" wrapText="1"/>
    </xf>
    <xf numFmtId="0" fontId="31" fillId="5" borderId="9" xfId="2" applyFont="1" applyFill="1" applyBorder="1" applyAlignment="1">
      <alignment horizontal="center" vertical="center" wrapText="1"/>
    </xf>
    <xf numFmtId="0" fontId="31" fillId="6" borderId="9" xfId="2" applyFont="1" applyFill="1" applyBorder="1" applyAlignment="1">
      <alignment horizontal="center" vertical="center" wrapText="1"/>
    </xf>
    <xf numFmtId="0" fontId="52" fillId="0" borderId="0" xfId="2" applyFont="1" applyAlignment="1">
      <alignment horizontal="center" vertical="center" wrapText="1"/>
    </xf>
    <xf numFmtId="0" fontId="53" fillId="0" borderId="0" xfId="0" applyFont="1" applyAlignment="1">
      <alignment vertical="center"/>
    </xf>
    <xf numFmtId="0" fontId="54" fillId="0" borderId="5" xfId="0" applyFont="1" applyBorder="1" applyAlignment="1">
      <alignment vertical="center"/>
    </xf>
    <xf numFmtId="0" fontId="42" fillId="0" borderId="6" xfId="0" applyFont="1" applyBorder="1" applyAlignment="1">
      <alignment vertical="center"/>
    </xf>
    <xf numFmtId="0" fontId="40" fillId="0" borderId="0" xfId="0" applyFont="1" applyAlignment="1">
      <alignment horizontal="left" vertical="center"/>
    </xf>
    <xf numFmtId="11" fontId="40" fillId="0" borderId="0" xfId="0" applyNumberFormat="1" applyFont="1" applyAlignment="1">
      <alignment vertical="center"/>
    </xf>
    <xf numFmtId="0" fontId="41" fillId="0" borderId="5" xfId="0" applyFont="1" applyBorder="1" applyAlignment="1">
      <alignment vertical="center"/>
    </xf>
    <xf numFmtId="0" fontId="42" fillId="0" borderId="7" xfId="0" applyFont="1" applyBorder="1"/>
    <xf numFmtId="0" fontId="40" fillId="0" borderId="0" xfId="0" applyFont="1" applyAlignment="1">
      <alignment vertical="center"/>
    </xf>
    <xf numFmtId="0" fontId="40" fillId="0" borderId="5" xfId="0" applyFont="1" applyBorder="1" applyAlignment="1">
      <alignment vertical="center"/>
    </xf>
    <xf numFmtId="2" fontId="40" fillId="0" borderId="5" xfId="0" applyNumberFormat="1" applyFont="1" applyBorder="1" applyAlignment="1">
      <alignment vertical="center"/>
    </xf>
    <xf numFmtId="0" fontId="42" fillId="0" borderId="0" xfId="0" applyFont="1" applyAlignment="1">
      <alignment vertical="center"/>
    </xf>
    <xf numFmtId="0" fontId="40" fillId="0" borderId="6" xfId="0" applyFont="1" applyBorder="1"/>
    <xf numFmtId="0" fontId="42" fillId="0" borderId="0" xfId="0" applyFont="1"/>
    <xf numFmtId="0" fontId="55" fillId="0" borderId="5" xfId="0" applyFont="1" applyBorder="1" applyAlignment="1">
      <alignment vertical="center"/>
    </xf>
    <xf numFmtId="0" fontId="40" fillId="0" borderId="2" xfId="0" applyFont="1" applyBorder="1"/>
    <xf numFmtId="0" fontId="40" fillId="0" borderId="3" xfId="0" applyFont="1" applyBorder="1" applyAlignment="1">
      <alignment horizontal="left" vertical="center"/>
    </xf>
    <xf numFmtId="0" fontId="53" fillId="0" borderId="11" xfId="0" applyFont="1" applyBorder="1" applyAlignment="1">
      <alignment vertical="center"/>
    </xf>
    <xf numFmtId="0" fontId="54" fillId="0" borderId="14" xfId="0" applyFont="1" applyBorder="1" applyAlignment="1">
      <alignment vertical="center"/>
    </xf>
    <xf numFmtId="0" fontId="40" fillId="0" borderId="12" xfId="0" applyFont="1" applyBorder="1" applyAlignment="1">
      <alignment horizontal="left" vertical="center"/>
    </xf>
    <xf numFmtId="11" fontId="40" fillId="0" borderId="12" xfId="0" applyNumberFormat="1" applyFont="1" applyBorder="1" applyAlignment="1">
      <alignment vertical="center"/>
    </xf>
    <xf numFmtId="0" fontId="41" fillId="0" borderId="14" xfId="0" applyFont="1" applyBorder="1" applyAlignment="1">
      <alignment vertical="center"/>
    </xf>
    <xf numFmtId="0" fontId="42" fillId="0" borderId="15" xfId="0" applyFont="1" applyBorder="1"/>
    <xf numFmtId="0" fontId="40" fillId="0" borderId="12" xfId="0" applyFont="1" applyBorder="1" applyAlignment="1">
      <alignment vertical="center"/>
    </xf>
    <xf numFmtId="0" fontId="40" fillId="0" borderId="14" xfId="0" applyFont="1" applyBorder="1" applyAlignment="1">
      <alignment vertical="center"/>
    </xf>
    <xf numFmtId="2" fontId="40" fillId="0" borderId="14" xfId="0" applyNumberFormat="1" applyFont="1" applyBorder="1" applyAlignment="1">
      <alignment vertical="center"/>
    </xf>
    <xf numFmtId="0" fontId="53" fillId="0" borderId="17" xfId="0" applyFont="1" applyBorder="1" applyAlignment="1">
      <alignment vertical="center"/>
    </xf>
    <xf numFmtId="2" fontId="40" fillId="0" borderId="15" xfId="0" applyNumberFormat="1" applyFont="1" applyBorder="1" applyAlignment="1">
      <alignment vertical="center"/>
    </xf>
    <xf numFmtId="2" fontId="40" fillId="0" borderId="7" xfId="0" applyNumberFormat="1" applyFont="1" applyBorder="1" applyAlignment="1">
      <alignment vertical="center"/>
    </xf>
    <xf numFmtId="0" fontId="55" fillId="0" borderId="1" xfId="0" applyFont="1" applyBorder="1" applyAlignment="1">
      <alignment vertical="center"/>
    </xf>
    <xf numFmtId="0" fontId="40" fillId="0" borderId="3" xfId="0" applyFont="1" applyBorder="1" applyAlignment="1">
      <alignment vertical="center"/>
    </xf>
    <xf numFmtId="0" fontId="41" fillId="0" borderId="1" xfId="0" applyFont="1" applyBorder="1" applyAlignment="1">
      <alignment vertical="center"/>
    </xf>
    <xf numFmtId="0" fontId="56" fillId="0" borderId="11" xfId="0" applyFont="1" applyBorder="1" applyAlignment="1">
      <alignment vertical="center"/>
    </xf>
    <xf numFmtId="11" fontId="40" fillId="0" borderId="0" xfId="0" applyNumberFormat="1" applyFont="1" applyAlignment="1">
      <alignment horizontal="right" vertical="center"/>
    </xf>
    <xf numFmtId="0" fontId="56" fillId="0" borderId="17" xfId="0" applyFont="1" applyBorder="1" applyAlignment="1">
      <alignment vertical="center"/>
    </xf>
    <xf numFmtId="0" fontId="56" fillId="0" borderId="16" xfId="0" applyFont="1" applyBorder="1" applyAlignment="1">
      <alignment vertical="center"/>
    </xf>
    <xf numFmtId="0" fontId="42" fillId="0" borderId="2" xfId="0" applyFont="1" applyBorder="1"/>
    <xf numFmtId="11" fontId="40" fillId="0" borderId="3" xfId="0" applyNumberFormat="1" applyFont="1" applyBorder="1" applyAlignment="1">
      <alignment vertical="center"/>
    </xf>
    <xf numFmtId="0" fontId="42" fillId="0" borderId="4" xfId="0" applyFont="1" applyBorder="1"/>
    <xf numFmtId="0" fontId="40" fillId="0" borderId="1" xfId="0" applyFont="1" applyBorder="1" applyAlignment="1">
      <alignment vertical="center"/>
    </xf>
    <xf numFmtId="2" fontId="40" fillId="0" borderId="1" xfId="0" applyNumberFormat="1" applyFont="1" applyBorder="1" applyAlignment="1">
      <alignment vertical="center"/>
    </xf>
    <xf numFmtId="0" fontId="42" fillId="0" borderId="3" xfId="0" applyFont="1" applyBorder="1"/>
    <xf numFmtId="0" fontId="57" fillId="0" borderId="11" xfId="0" applyFont="1" applyBorder="1" applyAlignment="1">
      <alignment vertical="center"/>
    </xf>
    <xf numFmtId="0" fontId="42" fillId="0" borderId="13" xfId="0" applyFont="1" applyBorder="1" applyAlignment="1">
      <alignment vertical="center"/>
    </xf>
    <xf numFmtId="0" fontId="58" fillId="0" borderId="14" xfId="0" applyFont="1" applyBorder="1" applyAlignment="1">
      <alignment vertical="center"/>
    </xf>
    <xf numFmtId="0" fontId="57" fillId="0" borderId="17" xfId="0" applyFont="1" applyBorder="1" applyAlignment="1">
      <alignment vertical="center"/>
    </xf>
    <xf numFmtId="0" fontId="58" fillId="0" borderId="5" xfId="0" applyFont="1" applyBorder="1" applyAlignment="1">
      <alignment vertical="center"/>
    </xf>
    <xf numFmtId="0" fontId="59" fillId="0" borderId="5" xfId="0" applyFont="1" applyBorder="1" applyAlignment="1">
      <alignment vertical="center"/>
    </xf>
    <xf numFmtId="166" fontId="42" fillId="0" borderId="0" xfId="1" applyNumberFormat="1" applyFont="1" applyAlignment="1">
      <alignment vertical="center"/>
    </xf>
    <xf numFmtId="0" fontId="42" fillId="0" borderId="2" xfId="0" applyFont="1" applyBorder="1" applyAlignment="1">
      <alignment vertical="center"/>
    </xf>
    <xf numFmtId="0" fontId="57" fillId="0" borderId="16" xfId="0" applyFont="1" applyBorder="1" applyAlignment="1">
      <alignment vertical="center"/>
    </xf>
    <xf numFmtId="0" fontId="55" fillId="0" borderId="14" xfId="0" applyFont="1" applyBorder="1" applyAlignment="1">
      <alignment vertical="center"/>
    </xf>
    <xf numFmtId="0" fontId="57" fillId="0" borderId="0" xfId="2" applyFont="1" applyAlignment="1">
      <alignment vertical="center"/>
    </xf>
    <xf numFmtId="0" fontId="60" fillId="0" borderId="5" xfId="2" applyFont="1" applyBorder="1" applyAlignment="1">
      <alignment vertical="center"/>
    </xf>
    <xf numFmtId="0" fontId="39" fillId="0" borderId="6" xfId="0" applyFont="1" applyBorder="1"/>
    <xf numFmtId="165" fontId="40" fillId="0" borderId="0" xfId="2" applyNumberFormat="1" applyFont="1" applyAlignment="1">
      <alignment vertical="center"/>
    </xf>
    <xf numFmtId="0" fontId="42" fillId="0" borderId="7" xfId="2" applyFont="1" applyBorder="1" applyAlignment="1">
      <alignment vertical="center"/>
    </xf>
    <xf numFmtId="0" fontId="57" fillId="0" borderId="3" xfId="2" applyFont="1" applyBorder="1" applyAlignment="1">
      <alignment vertical="center"/>
    </xf>
    <xf numFmtId="0" fontId="60" fillId="0" borderId="1" xfId="2" applyFont="1" applyBorder="1" applyAlignment="1">
      <alignment vertical="center"/>
    </xf>
    <xf numFmtId="0" fontId="39" fillId="0" borderId="2" xfId="0" applyFont="1" applyBorder="1"/>
    <xf numFmtId="165" fontId="40" fillId="0" borderId="3" xfId="2" applyNumberFormat="1" applyFont="1" applyBorder="1" applyAlignment="1">
      <alignment vertical="center"/>
    </xf>
    <xf numFmtId="0" fontId="42" fillId="0" borderId="4" xfId="2" applyFont="1" applyBorder="1" applyAlignment="1">
      <alignment vertical="center"/>
    </xf>
    <xf numFmtId="0" fontId="61" fillId="0" borderId="12" xfId="2" applyFont="1" applyBorder="1" applyAlignment="1">
      <alignment vertical="center"/>
    </xf>
    <xf numFmtId="0" fontId="54" fillId="0" borderId="14" xfId="2" applyFont="1" applyBorder="1" applyAlignment="1">
      <alignment vertical="center"/>
    </xf>
    <xf numFmtId="0" fontId="40" fillId="0" borderId="0" xfId="0" applyFont="1"/>
    <xf numFmtId="0" fontId="40" fillId="0" borderId="12" xfId="2" applyFont="1" applyBorder="1" applyAlignment="1">
      <alignment horizontal="left" vertical="center"/>
    </xf>
    <xf numFmtId="11" fontId="40" fillId="0" borderId="12" xfId="2" applyNumberFormat="1" applyFont="1" applyBorder="1" applyAlignment="1">
      <alignment vertical="center"/>
    </xf>
    <xf numFmtId="0" fontId="61" fillId="0" borderId="0" xfId="2" applyFont="1" applyAlignment="1">
      <alignment vertical="center"/>
    </xf>
    <xf numFmtId="0" fontId="55" fillId="0" borderId="5" xfId="2" applyFont="1" applyBorder="1" applyAlignment="1">
      <alignment vertical="center"/>
    </xf>
    <xf numFmtId="0" fontId="40" fillId="0" borderId="3" xfId="0" applyFont="1" applyBorder="1"/>
    <xf numFmtId="11" fontId="40" fillId="0" borderId="0" xfId="2" applyNumberFormat="1" applyFont="1" applyAlignment="1">
      <alignment vertical="center"/>
    </xf>
    <xf numFmtId="0" fontId="61" fillId="0" borderId="3" xfId="2" applyFont="1" applyBorder="1" applyAlignment="1">
      <alignment vertical="center"/>
    </xf>
    <xf numFmtId="0" fontId="55" fillId="0" borderId="1" xfId="2" applyFont="1" applyBorder="1" applyAlignment="1">
      <alignment vertical="center"/>
    </xf>
    <xf numFmtId="0" fontId="40" fillId="0" borderId="3" xfId="2" applyFont="1" applyBorder="1" applyAlignment="1">
      <alignment horizontal="left" vertical="center"/>
    </xf>
    <xf numFmtId="11" fontId="40" fillId="0" borderId="3" xfId="2" applyNumberFormat="1" applyFont="1" applyBorder="1" applyAlignment="1">
      <alignment vertical="center"/>
    </xf>
    <xf numFmtId="0" fontId="54" fillId="0" borderId="5" xfId="2" applyFont="1" applyBorder="1" applyAlignment="1">
      <alignment vertical="center"/>
    </xf>
    <xf numFmtId="0" fontId="38" fillId="0" borderId="11" xfId="2" applyFont="1" applyBorder="1" applyAlignment="1">
      <alignment vertical="center"/>
    </xf>
    <xf numFmtId="0" fontId="60" fillId="0" borderId="12" xfId="2" applyFont="1" applyBorder="1" applyAlignment="1">
      <alignment vertical="center"/>
    </xf>
    <xf numFmtId="0" fontId="42" fillId="0" borderId="13" xfId="2" applyFont="1" applyBorder="1" applyAlignment="1">
      <alignment vertical="center"/>
    </xf>
    <xf numFmtId="0" fontId="39" fillId="0" borderId="12" xfId="2" applyFont="1" applyBorder="1" applyAlignment="1">
      <alignment horizontal="left" vertical="center"/>
    </xf>
    <xf numFmtId="0" fontId="60" fillId="0" borderId="0" xfId="2" applyFont="1" applyAlignment="1">
      <alignment vertical="center"/>
    </xf>
    <xf numFmtId="0" fontId="42" fillId="0" borderId="6" xfId="2" applyFont="1" applyBorder="1" applyAlignment="1">
      <alignment vertical="center"/>
    </xf>
    <xf numFmtId="0" fontId="62" fillId="0" borderId="0" xfId="2" applyFont="1" applyAlignment="1">
      <alignment horizontal="left" vertical="center"/>
    </xf>
    <xf numFmtId="0" fontId="63" fillId="0" borderId="0" xfId="2" applyFont="1" applyAlignment="1">
      <alignment horizontal="left" vertical="center"/>
    </xf>
    <xf numFmtId="0" fontId="64" fillId="0" borderId="0" xfId="2" applyFont="1" applyAlignment="1">
      <alignment horizontal="left" vertical="center"/>
    </xf>
    <xf numFmtId="0" fontId="65" fillId="0" borderId="0" xfId="2" applyFont="1" applyAlignment="1">
      <alignment horizontal="left" vertical="center"/>
    </xf>
    <xf numFmtId="0" fontId="40" fillId="7" borderId="0" xfId="0" applyFont="1" applyFill="1" applyAlignment="1">
      <alignment vertical="center"/>
    </xf>
    <xf numFmtId="0" fontId="40" fillId="7" borderId="5" xfId="0" applyFont="1" applyFill="1" applyBorder="1" applyAlignment="1">
      <alignment vertical="center"/>
    </xf>
    <xf numFmtId="2" fontId="40" fillId="7" borderId="5" xfId="2" applyNumberFormat="1" applyFont="1" applyFill="1" applyBorder="1" applyAlignment="1">
      <alignment vertical="center"/>
    </xf>
    <xf numFmtId="0" fontId="56" fillId="0" borderId="0" xfId="2" applyFont="1" applyAlignment="1">
      <alignment horizontal="left" vertical="center"/>
    </xf>
    <xf numFmtId="0" fontId="57" fillId="0" borderId="0" xfId="2" applyFont="1" applyAlignment="1">
      <alignment horizontal="left" vertical="center"/>
    </xf>
    <xf numFmtId="0" fontId="66" fillId="0" borderId="0" xfId="2" applyFont="1" applyAlignment="1">
      <alignment vertical="center"/>
    </xf>
    <xf numFmtId="0" fontId="40" fillId="7" borderId="12" xfId="0" applyFont="1" applyFill="1" applyBorder="1" applyAlignment="1">
      <alignment vertical="center"/>
    </xf>
    <xf numFmtId="0" fontId="40" fillId="7" borderId="14" xfId="0" applyFont="1" applyFill="1" applyBorder="1" applyAlignment="1">
      <alignment vertical="center"/>
    </xf>
    <xf numFmtId="2" fontId="40" fillId="7" borderId="14" xfId="2" applyNumberFormat="1" applyFont="1" applyFill="1" applyBorder="1" applyAlignment="1">
      <alignment vertical="center"/>
    </xf>
    <xf numFmtId="0" fontId="66" fillId="0" borderId="12" xfId="2" applyFont="1" applyBorder="1" applyAlignment="1">
      <alignment vertical="center"/>
    </xf>
    <xf numFmtId="0" fontId="38" fillId="0" borderId="16" xfId="2" applyFont="1" applyBorder="1" applyAlignment="1">
      <alignment vertical="center"/>
    </xf>
    <xf numFmtId="0" fontId="60" fillId="0" borderId="3" xfId="2" applyFont="1" applyBorder="1" applyAlignment="1">
      <alignment vertical="center"/>
    </xf>
    <xf numFmtId="0" fontId="55" fillId="0" borderId="0" xfId="2" applyFont="1" applyAlignment="1">
      <alignment vertical="center"/>
    </xf>
    <xf numFmtId="0" fontId="42" fillId="0" borderId="6" xfId="0" applyFont="1" applyBorder="1"/>
    <xf numFmtId="0" fontId="55" fillId="0" borderId="3" xfId="2" applyFont="1" applyBorder="1" applyAlignment="1">
      <alignment vertical="center"/>
    </xf>
    <xf numFmtId="0" fontId="39" fillId="0" borderId="0" xfId="2" applyFont="1" applyAlignment="1">
      <alignment horizontal="left" vertical="center"/>
    </xf>
    <xf numFmtId="0" fontId="40" fillId="7" borderId="0" xfId="2" applyFont="1" applyFill="1" applyAlignment="1">
      <alignment vertical="center"/>
    </xf>
    <xf numFmtId="0" fontId="40" fillId="7" borderId="5" xfId="2" applyFont="1" applyFill="1" applyBorder="1" applyAlignment="1">
      <alignment vertical="center"/>
    </xf>
    <xf numFmtId="0" fontId="57" fillId="0" borderId="3" xfId="2" applyFont="1" applyBorder="1" applyAlignment="1">
      <alignment horizontal="left" vertical="center"/>
    </xf>
    <xf numFmtId="0" fontId="40" fillId="7" borderId="3" xfId="2" applyFont="1" applyFill="1" applyBorder="1" applyAlignment="1">
      <alignment vertical="center"/>
    </xf>
    <xf numFmtId="0" fontId="40" fillId="7" borderId="1" xfId="2" applyFont="1" applyFill="1" applyBorder="1" applyAlignment="1">
      <alignment vertical="center"/>
    </xf>
    <xf numFmtId="2" fontId="40" fillId="7" borderId="1" xfId="2" applyNumberFormat="1" applyFont="1" applyFill="1" applyBorder="1" applyAlignment="1">
      <alignment vertical="center"/>
    </xf>
    <xf numFmtId="165" fontId="40" fillId="0" borderId="12" xfId="1" applyNumberFormat="1" applyFont="1" applyBorder="1" applyAlignment="1">
      <alignment vertical="center"/>
    </xf>
    <xf numFmtId="165" fontId="40" fillId="0" borderId="0" xfId="1" applyNumberFormat="1" applyFont="1" applyAlignment="1">
      <alignment vertical="center"/>
    </xf>
    <xf numFmtId="0" fontId="42" fillId="7" borderId="0" xfId="0" applyFont="1" applyFill="1"/>
    <xf numFmtId="0" fontId="41" fillId="0" borderId="0" xfId="0" applyFont="1" applyAlignment="1">
      <alignment vertical="center"/>
    </xf>
    <xf numFmtId="0" fontId="57" fillId="0" borderId="1" xfId="0" applyFont="1" applyBorder="1" applyAlignment="1">
      <alignment vertical="center"/>
    </xf>
    <xf numFmtId="0" fontId="39" fillId="0" borderId="3" xfId="2" applyFont="1" applyBorder="1" applyAlignment="1">
      <alignment horizontal="left" vertical="center"/>
    </xf>
    <xf numFmtId="0" fontId="62" fillId="0" borderId="12" xfId="2" applyFont="1" applyBorder="1" applyAlignment="1">
      <alignment horizontal="left" vertical="center"/>
    </xf>
    <xf numFmtId="0" fontId="41" fillId="0" borderId="12" xfId="0" applyFont="1" applyBorder="1" applyAlignment="1">
      <alignment vertical="center"/>
    </xf>
    <xf numFmtId="0" fontId="62" fillId="0" borderId="3" xfId="2" applyFont="1" applyBorder="1" applyAlignment="1">
      <alignment horizontal="left" vertical="center"/>
    </xf>
    <xf numFmtId="0" fontId="67" fillId="0" borderId="1" xfId="2" applyFont="1" applyBorder="1" applyAlignment="1">
      <alignment vertical="center"/>
    </xf>
    <xf numFmtId="0" fontId="63" fillId="0" borderId="12" xfId="2" applyFont="1" applyBorder="1" applyAlignment="1">
      <alignment horizontal="left" vertical="center"/>
    </xf>
    <xf numFmtId="0" fontId="63" fillId="0" borderId="3" xfId="2" applyFont="1" applyBorder="1" applyAlignment="1">
      <alignment horizontal="left" vertical="center"/>
    </xf>
    <xf numFmtId="0" fontId="64" fillId="0" borderId="12" xfId="2" applyFont="1" applyBorder="1" applyAlignment="1">
      <alignment horizontal="left" vertical="center"/>
    </xf>
    <xf numFmtId="0" fontId="64" fillId="0" borderId="3" xfId="2" applyFont="1" applyBorder="1" applyAlignment="1">
      <alignment horizontal="left" vertical="center"/>
    </xf>
    <xf numFmtId="0" fontId="55" fillId="0" borderId="14" xfId="2" applyFont="1" applyBorder="1" applyAlignment="1">
      <alignment vertical="center"/>
    </xf>
    <xf numFmtId="0" fontId="65" fillId="0" borderId="12" xfId="2" applyFont="1" applyBorder="1" applyAlignment="1">
      <alignment horizontal="left" vertical="center"/>
    </xf>
    <xf numFmtId="165" fontId="40" fillId="0" borderId="12" xfId="0" applyNumberFormat="1" applyFont="1" applyBorder="1" applyAlignment="1">
      <alignment vertical="center"/>
    </xf>
    <xf numFmtId="0" fontId="39" fillId="0" borderId="0" xfId="0" applyFont="1"/>
    <xf numFmtId="165" fontId="42" fillId="0" borderId="0" xfId="0" applyNumberFormat="1" applyFont="1"/>
    <xf numFmtId="165" fontId="40" fillId="0" borderId="0" xfId="0" applyNumberFormat="1" applyFont="1" applyAlignment="1">
      <alignment vertical="center"/>
    </xf>
    <xf numFmtId="0" fontId="57" fillId="0" borderId="1" xfId="2" applyFont="1" applyBorder="1" applyAlignment="1">
      <alignment vertical="center"/>
    </xf>
    <xf numFmtId="0" fontId="56" fillId="0" borderId="12" xfId="2" applyFont="1" applyBorder="1" applyAlignment="1">
      <alignment horizontal="left" vertical="center"/>
    </xf>
    <xf numFmtId="0" fontId="56" fillId="0" borderId="3" xfId="2" applyFont="1" applyBorder="1" applyAlignment="1">
      <alignment horizontal="left" vertical="center"/>
    </xf>
    <xf numFmtId="0" fontId="42" fillId="7" borderId="3" xfId="0" applyFont="1" applyFill="1" applyBorder="1"/>
    <xf numFmtId="0" fontId="38" fillId="0" borderId="11" xfId="0" applyFont="1" applyBorder="1" applyAlignment="1">
      <alignment vertical="center"/>
    </xf>
    <xf numFmtId="0" fontId="66" fillId="0" borderId="12" xfId="0" applyFont="1" applyBorder="1" applyAlignment="1">
      <alignment vertical="center"/>
    </xf>
    <xf numFmtId="0" fontId="68" fillId="0" borderId="6" xfId="0" applyFont="1" applyBorder="1"/>
    <xf numFmtId="0" fontId="68" fillId="0" borderId="15" xfId="0" applyFont="1" applyBorder="1"/>
    <xf numFmtId="2" fontId="40" fillId="7" borderId="14" xfId="0" applyNumberFormat="1" applyFont="1" applyFill="1" applyBorder="1" applyAlignment="1">
      <alignment vertical="center"/>
    </xf>
    <xf numFmtId="0" fontId="38" fillId="0" borderId="17" xfId="0" applyFont="1" applyBorder="1" applyAlignment="1">
      <alignment vertical="center"/>
    </xf>
    <xf numFmtId="0" fontId="68" fillId="0" borderId="7" xfId="0" applyFont="1" applyBorder="1"/>
    <xf numFmtId="2" fontId="40" fillId="7" borderId="5" xfId="0" applyNumberFormat="1" applyFont="1" applyFill="1" applyBorder="1" applyAlignment="1">
      <alignment vertical="center"/>
    </xf>
    <xf numFmtId="0" fontId="38" fillId="0" borderId="16" xfId="0" applyFont="1" applyBorder="1" applyAlignment="1">
      <alignment vertical="center"/>
    </xf>
    <xf numFmtId="0" fontId="55" fillId="0" borderId="3" xfId="0" applyFont="1" applyBorder="1" applyAlignment="1">
      <alignment vertical="center"/>
    </xf>
    <xf numFmtId="0" fontId="68" fillId="0" borderId="2" xfId="0" applyFont="1" applyBorder="1"/>
    <xf numFmtId="0" fontId="68" fillId="0" borderId="4" xfId="0" applyFont="1" applyBorder="1"/>
    <xf numFmtId="0" fontId="41" fillId="0" borderId="2" xfId="2" applyFont="1" applyBorder="1" applyAlignment="1">
      <alignment vertical="center"/>
    </xf>
    <xf numFmtId="0" fontId="66" fillId="0" borderId="3" xfId="2" applyFont="1" applyBorder="1" applyAlignment="1">
      <alignment vertical="center"/>
    </xf>
    <xf numFmtId="0" fontId="35" fillId="0" borderId="17" xfId="2" applyFont="1" applyBorder="1" applyAlignment="1">
      <alignment vertical="center"/>
    </xf>
    <xf numFmtId="0" fontId="69" fillId="0" borderId="0" xfId="2" applyFont="1" applyAlignment="1">
      <alignment vertical="center"/>
    </xf>
    <xf numFmtId="0" fontId="22" fillId="0" borderId="0" xfId="2" applyFont="1" applyAlignment="1">
      <alignment horizontal="left" vertical="center"/>
    </xf>
    <xf numFmtId="11" fontId="22" fillId="0" borderId="0" xfId="1" applyNumberFormat="1" applyFont="1" applyAlignment="1">
      <alignment vertical="center"/>
    </xf>
    <xf numFmtId="0" fontId="37" fillId="0" borderId="5" xfId="2" applyFont="1" applyBorder="1" applyAlignment="1">
      <alignment vertical="center"/>
    </xf>
    <xf numFmtId="0" fontId="22" fillId="0" borderId="0" xfId="2" applyFont="1" applyAlignment="1">
      <alignment vertical="center"/>
    </xf>
    <xf numFmtId="0" fontId="22" fillId="0" borderId="5" xfId="2" applyFont="1" applyBorder="1" applyAlignment="1">
      <alignment vertical="center"/>
    </xf>
    <xf numFmtId="2" fontId="22" fillId="0" borderId="5" xfId="2" applyNumberFormat="1" applyFont="1" applyBorder="1" applyAlignment="1">
      <alignment vertical="center"/>
    </xf>
    <xf numFmtId="0" fontId="37" fillId="0" borderId="0" xfId="2" applyFont="1" applyAlignment="1">
      <alignment vertical="center"/>
    </xf>
    <xf numFmtId="0" fontId="35" fillId="0" borderId="17" xfId="0" applyFont="1" applyBorder="1" applyAlignment="1">
      <alignment vertical="center"/>
    </xf>
    <xf numFmtId="0" fontId="70" fillId="0" borderId="0" xfId="0" applyFont="1" applyAlignment="1">
      <alignment vertical="center"/>
    </xf>
    <xf numFmtId="0" fontId="0" fillId="0" borderId="6" xfId="0" applyBorder="1"/>
    <xf numFmtId="0" fontId="22" fillId="0" borderId="0" xfId="0" applyFont="1" applyAlignment="1">
      <alignment horizontal="left" vertical="center"/>
    </xf>
    <xf numFmtId="0" fontId="22" fillId="0" borderId="0" xfId="0" applyFont="1" applyAlignment="1">
      <alignment vertical="center"/>
    </xf>
    <xf numFmtId="0" fontId="0" fillId="0" borderId="7" xfId="0" applyBorder="1"/>
    <xf numFmtId="0" fontId="22" fillId="0" borderId="5" xfId="0" applyFont="1" applyBorder="1" applyAlignment="1">
      <alignment vertical="center"/>
    </xf>
    <xf numFmtId="0" fontId="37" fillId="0" borderId="0" xfId="0" applyFont="1" applyAlignment="1">
      <alignment vertical="center"/>
    </xf>
    <xf numFmtId="0" fontId="35" fillId="0" borderId="16" xfId="0" applyFont="1" applyBorder="1" applyAlignment="1">
      <alignment vertical="center"/>
    </xf>
    <xf numFmtId="0" fontId="70" fillId="0" borderId="3" xfId="0" applyFont="1" applyBorder="1" applyAlignment="1">
      <alignment vertical="center"/>
    </xf>
    <xf numFmtId="0" fontId="0" fillId="0" borderId="2" xfId="0" applyBorder="1"/>
    <xf numFmtId="0" fontId="37" fillId="0" borderId="1" xfId="0" applyFont="1" applyBorder="1" applyAlignment="1">
      <alignment vertical="center"/>
    </xf>
    <xf numFmtId="0" fontId="0" fillId="0" borderId="4" xfId="0" applyBorder="1"/>
    <xf numFmtId="0" fontId="22" fillId="0" borderId="1" xfId="0" applyFont="1" applyBorder="1" applyAlignment="1">
      <alignment vertical="center"/>
    </xf>
    <xf numFmtId="2" fontId="22" fillId="0" borderId="1" xfId="0" applyNumberFormat="1" applyFont="1" applyBorder="1" applyAlignment="1">
      <alignment vertical="center"/>
    </xf>
    <xf numFmtId="0" fontId="37" fillId="0" borderId="3" xfId="0" applyFont="1" applyBorder="1" applyAlignment="1">
      <alignment vertical="center"/>
    </xf>
    <xf numFmtId="0" fontId="22" fillId="7" borderId="0" xfId="0" applyFont="1" applyFill="1" applyAlignment="1">
      <alignment vertical="center"/>
    </xf>
    <xf numFmtId="0" fontId="22" fillId="7" borderId="5" xfId="0" applyFont="1" applyFill="1" applyBorder="1" applyAlignment="1">
      <alignment vertical="center"/>
    </xf>
    <xf numFmtId="2" fontId="22" fillId="7" borderId="5" xfId="0" applyNumberFormat="1" applyFont="1" applyFill="1" applyBorder="1" applyAlignment="1">
      <alignment vertical="center"/>
    </xf>
    <xf numFmtId="0" fontId="35" fillId="0" borderId="11" xfId="2" applyFont="1" applyBorder="1" applyAlignment="1">
      <alignment vertical="center"/>
    </xf>
    <xf numFmtId="0" fontId="69" fillId="0" borderId="12" xfId="2" applyFont="1" applyBorder="1" applyAlignment="1">
      <alignment vertical="center"/>
    </xf>
    <xf numFmtId="0" fontId="22" fillId="0" borderId="12" xfId="2" applyFont="1" applyBorder="1" applyAlignment="1">
      <alignment horizontal="left" vertical="center"/>
    </xf>
    <xf numFmtId="11" fontId="22" fillId="0" borderId="12" xfId="1" applyNumberFormat="1" applyFont="1" applyBorder="1" applyAlignment="1">
      <alignment vertical="center"/>
    </xf>
    <xf numFmtId="0" fontId="37" fillId="0" borderId="14" xfId="2" applyFont="1" applyBorder="1" applyAlignment="1">
      <alignment vertical="center"/>
    </xf>
    <xf numFmtId="0" fontId="4" fillId="0" borderId="15" xfId="2" applyBorder="1"/>
    <xf numFmtId="0" fontId="22" fillId="0" borderId="12" xfId="2" applyFont="1" applyBorder="1" applyAlignment="1">
      <alignment vertical="center"/>
    </xf>
    <xf numFmtId="0" fontId="22" fillId="0" borderId="14" xfId="2" applyFont="1" applyBorder="1" applyAlignment="1">
      <alignment vertical="center"/>
    </xf>
    <xf numFmtId="2" fontId="22" fillId="0" borderId="14" xfId="2" applyNumberFormat="1" applyFont="1" applyBorder="1" applyAlignment="1">
      <alignment vertical="center"/>
    </xf>
    <xf numFmtId="0" fontId="37" fillId="0" borderId="12" xfId="2" applyFont="1" applyBorder="1" applyAlignment="1">
      <alignment vertical="center"/>
    </xf>
    <xf numFmtId="0" fontId="68" fillId="0" borderId="0" xfId="0" applyFont="1"/>
    <xf numFmtId="0" fontId="40" fillId="5" borderId="0" xfId="0" applyFont="1" applyFill="1" applyAlignment="1">
      <alignment vertical="center"/>
    </xf>
    <xf numFmtId="0" fontId="68" fillId="0" borderId="3" xfId="0" applyFont="1" applyBorder="1"/>
    <xf numFmtId="0" fontId="40" fillId="5" borderId="3" xfId="0" applyFont="1" applyFill="1" applyBorder="1" applyAlignment="1">
      <alignment vertical="center"/>
    </xf>
    <xf numFmtId="0" fontId="40" fillId="7" borderId="3" xfId="0" applyFont="1" applyFill="1" applyBorder="1" applyAlignment="1">
      <alignment vertical="center"/>
    </xf>
    <xf numFmtId="0" fontId="40" fillId="7" borderId="1" xfId="0" applyFont="1" applyFill="1" applyBorder="1" applyAlignment="1">
      <alignment vertical="center"/>
    </xf>
    <xf numFmtId="2" fontId="40" fillId="7" borderId="1" xfId="0" applyNumberFormat="1" applyFont="1" applyFill="1" applyBorder="1" applyAlignment="1">
      <alignment vertical="center"/>
    </xf>
    <xf numFmtId="0" fontId="41" fillId="0" borderId="2" xfId="0" applyFont="1" applyBorder="1" applyAlignment="1">
      <alignment vertical="center"/>
    </xf>
    <xf numFmtId="0" fontId="30" fillId="2" borderId="22"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5" borderId="18" xfId="0" applyFont="1" applyFill="1" applyBorder="1" applyAlignment="1">
      <alignment horizontal="center" vertical="center" wrapText="1"/>
    </xf>
    <xf numFmtId="0" fontId="37" fillId="0" borderId="3" xfId="0" applyFont="1" applyBorder="1" applyAlignment="1">
      <alignment horizontal="center" vertical="center" wrapText="1"/>
    </xf>
    <xf numFmtId="0" fontId="0" fillId="0" borderId="17" xfId="0" applyBorder="1"/>
    <xf numFmtId="0" fontId="37" fillId="0" borderId="0" xfId="0" applyFont="1"/>
    <xf numFmtId="0" fontId="0" fillId="0" borderId="24" xfId="0" applyBorder="1"/>
    <xf numFmtId="164" fontId="0" fillId="0" borderId="17" xfId="0" applyNumberFormat="1" applyBorder="1"/>
    <xf numFmtId="167" fontId="0" fillId="0" borderId="17" xfId="0" applyNumberFormat="1" applyBorder="1"/>
    <xf numFmtId="1" fontId="0" fillId="0" borderId="17" xfId="0" applyNumberFormat="1" applyBorder="1"/>
    <xf numFmtId="168" fontId="0" fillId="0" borderId="17" xfId="0" applyNumberFormat="1" applyBorder="1"/>
    <xf numFmtId="0" fontId="0" fillId="0" borderId="16" xfId="0" applyBorder="1"/>
    <xf numFmtId="0" fontId="37" fillId="0" borderId="3" xfId="0" applyFont="1" applyBorder="1"/>
    <xf numFmtId="0" fontId="0" fillId="0" borderId="3" xfId="0" applyBorder="1"/>
    <xf numFmtId="0" fontId="71" fillId="0" borderId="1" xfId="0" applyFont="1" applyBorder="1" applyAlignment="1">
      <alignment vertical="center"/>
    </xf>
    <xf numFmtId="0" fontId="71" fillId="0" borderId="5" xfId="0" applyFont="1" applyBorder="1" applyAlignment="1">
      <alignment vertical="center"/>
    </xf>
    <xf numFmtId="165" fontId="22" fillId="0" borderId="3" xfId="0" applyNumberFormat="1" applyFont="1" applyBorder="1" applyAlignment="1">
      <alignment vertical="center"/>
    </xf>
    <xf numFmtId="2" fontId="22" fillId="0" borderId="4" xfId="0" applyNumberFormat="1" applyFont="1" applyBorder="1" applyAlignment="1">
      <alignment vertical="center"/>
    </xf>
    <xf numFmtId="0" fontId="0" fillId="0" borderId="25" xfId="0" applyBorder="1"/>
    <xf numFmtId="0" fontId="0" fillId="0" borderId="12" xfId="0" applyBorder="1"/>
    <xf numFmtId="0" fontId="72" fillId="0" borderId="3" xfId="0" applyFont="1" applyBorder="1"/>
    <xf numFmtId="0" fontId="0" fillId="0" borderId="22" xfId="0" applyBorder="1"/>
    <xf numFmtId="0" fontId="0" fillId="0" borderId="18" xfId="0" applyBorder="1"/>
    <xf numFmtId="0" fontId="0" fillId="0" borderId="26" xfId="0" applyBorder="1"/>
    <xf numFmtId="0" fontId="28" fillId="0" borderId="0" xfId="0" applyFont="1" applyAlignment="1">
      <alignment vertical="center"/>
    </xf>
    <xf numFmtId="0" fontId="8" fillId="0" borderId="6" xfId="0" applyFont="1" applyBorder="1"/>
    <xf numFmtId="0" fontId="9" fillId="0" borderId="0" xfId="0" applyFont="1"/>
    <xf numFmtId="164" fontId="11" fillId="0" borderId="0" xfId="2" applyNumberFormat="1" applyFont="1" applyAlignment="1">
      <alignment vertical="center"/>
    </xf>
    <xf numFmtId="0" fontId="9" fillId="0" borderId="5" xfId="0" applyFont="1" applyBorder="1"/>
    <xf numFmtId="164" fontId="1" fillId="0" borderId="0" xfId="0" applyNumberFormat="1" applyFont="1"/>
    <xf numFmtId="0" fontId="28" fillId="0" borderId="3" xfId="0" applyFont="1" applyBorder="1" applyAlignment="1">
      <alignment vertical="center"/>
    </xf>
    <xf numFmtId="0" fontId="11" fillId="0" borderId="3" xfId="2" applyFont="1" applyBorder="1" applyAlignment="1">
      <alignment vertical="center"/>
    </xf>
    <xf numFmtId="0" fontId="9" fillId="0" borderId="3" xfId="0" applyFont="1" applyBorder="1"/>
    <xf numFmtId="0" fontId="73" fillId="0" borderId="5" xfId="0" applyFont="1" applyBorder="1"/>
    <xf numFmtId="0" fontId="13" fillId="0" borderId="0" xfId="2" applyFont="1" applyAlignment="1">
      <alignment vertical="center"/>
    </xf>
    <xf numFmtId="0" fontId="27" fillId="0" borderId="5" xfId="0" applyFont="1" applyBorder="1"/>
    <xf numFmtId="0" fontId="73" fillId="0" borderId="0" xfId="0" applyFont="1"/>
    <xf numFmtId="0" fontId="13" fillId="0" borderId="0" xfId="0" applyFont="1"/>
    <xf numFmtId="0" fontId="8" fillId="0" borderId="0" xfId="0" applyFont="1"/>
    <xf numFmtId="0" fontId="14" fillId="0" borderId="0" xfId="0" applyFont="1"/>
    <xf numFmtId="0" fontId="29" fillId="0" borderId="7" xfId="0" applyFont="1" applyBorder="1"/>
    <xf numFmtId="0" fontId="29" fillId="0" borderId="0" xfId="0" applyFont="1"/>
    <xf numFmtId="0" fontId="29" fillId="0" borderId="5" xfId="0" applyFont="1" applyBorder="1"/>
    <xf numFmtId="0" fontId="27" fillId="0" borderId="0" xfId="0" applyFont="1"/>
    <xf numFmtId="0" fontId="18" fillId="0" borderId="1" xfId="3" applyFont="1" applyBorder="1" applyAlignment="1">
      <alignment vertical="center"/>
    </xf>
    <xf numFmtId="0" fontId="29" fillId="0" borderId="3" xfId="0" applyFont="1" applyBorder="1"/>
    <xf numFmtId="0" fontId="73" fillId="0" borderId="0" xfId="0" applyFont="1" applyAlignment="1">
      <alignment vertical="center"/>
    </xf>
    <xf numFmtId="0" fontId="28" fillId="0" borderId="18" xfId="0" applyFont="1" applyBorder="1" applyAlignment="1">
      <alignment vertical="center"/>
    </xf>
    <xf numFmtId="0" fontId="29" fillId="7" borderId="5" xfId="0" applyFont="1" applyFill="1" applyBorder="1"/>
    <xf numFmtId="0" fontId="74" fillId="0" borderId="1" xfId="0" applyFont="1" applyBorder="1" applyAlignment="1">
      <alignment vertical="center"/>
    </xf>
    <xf numFmtId="0" fontId="40" fillId="0" borderId="2" xfId="2" applyFont="1" applyBorder="1" applyAlignment="1">
      <alignment vertical="center"/>
    </xf>
    <xf numFmtId="0" fontId="70" fillId="0" borderId="5" xfId="0" applyFont="1" applyBorder="1" applyAlignment="1">
      <alignment vertical="center"/>
    </xf>
    <xf numFmtId="0" fontId="40" fillId="0" borderId="6" xfId="2" applyFont="1" applyBorder="1" applyAlignment="1">
      <alignment vertical="center"/>
    </xf>
    <xf numFmtId="165" fontId="22" fillId="0" borderId="0" xfId="0" applyNumberFormat="1" applyFont="1" applyAlignment="1">
      <alignment vertical="center"/>
    </xf>
    <xf numFmtId="0" fontId="70" fillId="0" borderId="1" xfId="0" applyFont="1" applyBorder="1" applyAlignment="1">
      <alignment vertical="center"/>
    </xf>
    <xf numFmtId="2" fontId="40" fillId="0" borderId="0" xfId="1" applyNumberFormat="1" applyFont="1" applyAlignment="1">
      <alignment vertical="center"/>
    </xf>
    <xf numFmtId="0" fontId="36" fillId="0" borderId="14" xfId="0" applyFont="1" applyBorder="1" applyAlignment="1">
      <alignment vertical="center"/>
    </xf>
    <xf numFmtId="0" fontId="71" fillId="0" borderId="3" xfId="0" applyFont="1" applyBorder="1" applyAlignment="1">
      <alignment vertical="center"/>
    </xf>
    <xf numFmtId="0" fontId="0" fillId="0" borderId="5" xfId="0" applyBorder="1"/>
    <xf numFmtId="0" fontId="0" fillId="0" borderId="1" xfId="0" applyBorder="1"/>
    <xf numFmtId="0" fontId="75" fillId="0" borderId="0" xfId="0" applyFont="1"/>
    <xf numFmtId="0" fontId="69" fillId="0" borderId="17" xfId="0" applyFont="1" applyBorder="1" applyAlignment="1">
      <alignment vertical="center"/>
    </xf>
    <xf numFmtId="0" fontId="69" fillId="0" borderId="0" xfId="0" applyFont="1" applyAlignment="1">
      <alignment vertical="center"/>
    </xf>
    <xf numFmtId="164" fontId="22" fillId="0" borderId="0" xfId="0" applyNumberFormat="1" applyFont="1" applyAlignment="1">
      <alignment vertical="center"/>
    </xf>
    <xf numFmtId="2" fontId="22" fillId="0" borderId="15" xfId="0" applyNumberFormat="1" applyFont="1" applyBorder="1" applyAlignment="1">
      <alignment vertical="center"/>
    </xf>
    <xf numFmtId="0" fontId="37" fillId="0" borderId="12" xfId="0" applyFont="1" applyBorder="1" applyAlignment="1">
      <alignment vertical="center"/>
    </xf>
    <xf numFmtId="2" fontId="22" fillId="0" borderId="7" xfId="0" applyNumberFormat="1" applyFont="1" applyBorder="1" applyAlignment="1">
      <alignment vertical="center"/>
    </xf>
    <xf numFmtId="164" fontId="22" fillId="0" borderId="0" xfId="2" applyNumberFormat="1" applyFont="1" applyAlignment="1">
      <alignment vertical="center"/>
    </xf>
    <xf numFmtId="2" fontId="22" fillId="0" borderId="7" xfId="2" applyNumberFormat="1" applyFont="1" applyBorder="1" applyAlignment="1">
      <alignment vertical="center"/>
    </xf>
    <xf numFmtId="0" fontId="69" fillId="0" borderId="16" xfId="0" applyFont="1" applyBorder="1" applyAlignment="1">
      <alignment vertical="center"/>
    </xf>
    <xf numFmtId="0" fontId="69" fillId="0" borderId="3" xfId="0" applyFont="1" applyBorder="1" applyAlignment="1">
      <alignment vertical="center"/>
    </xf>
    <xf numFmtId="0" fontId="41" fillId="0" borderId="3" xfId="0" applyFont="1" applyBorder="1" applyAlignment="1">
      <alignment vertical="center"/>
    </xf>
    <xf numFmtId="0" fontId="60" fillId="0" borderId="0" xfId="0" applyFont="1" applyAlignment="1">
      <alignment vertical="center"/>
    </xf>
    <xf numFmtId="0" fontId="60" fillId="0" borderId="5" xfId="0" applyFont="1" applyBorder="1" applyAlignment="1">
      <alignment vertical="center"/>
    </xf>
    <xf numFmtId="1" fontId="42" fillId="7" borderId="0" xfId="0" applyNumberFormat="1" applyFont="1" applyFill="1"/>
    <xf numFmtId="0" fontId="60" fillId="0" borderId="12" xfId="0" applyFont="1" applyBorder="1" applyAlignment="1">
      <alignment vertical="center"/>
    </xf>
    <xf numFmtId="0" fontId="66" fillId="0" borderId="14" xfId="0" applyFont="1" applyBorder="1" applyAlignment="1">
      <alignment vertical="center"/>
    </xf>
    <xf numFmtId="0" fontId="66" fillId="0" borderId="5" xfId="0" applyFont="1" applyBorder="1" applyAlignment="1">
      <alignment vertical="center"/>
    </xf>
    <xf numFmtId="0" fontId="60" fillId="0" borderId="16" xfId="0" applyFont="1" applyBorder="1" applyAlignment="1">
      <alignment vertical="center"/>
    </xf>
    <xf numFmtId="0" fontId="36" fillId="0" borderId="1" xfId="0" applyFont="1" applyBorder="1" applyAlignment="1">
      <alignment vertical="center"/>
    </xf>
    <xf numFmtId="0" fontId="22" fillId="0" borderId="6" xfId="0" applyFont="1" applyBorder="1" applyAlignment="1">
      <alignment horizontal="left" vertical="center"/>
    </xf>
    <xf numFmtId="0" fontId="69" fillId="0" borderId="11" xfId="0" applyFont="1" applyBorder="1" applyAlignment="1">
      <alignment vertical="center"/>
    </xf>
    <xf numFmtId="0" fontId="70" fillId="0" borderId="14" xfId="0" applyFont="1" applyBorder="1" applyAlignment="1">
      <alignment vertical="center"/>
    </xf>
    <xf numFmtId="0" fontId="36" fillId="0" borderId="5" xfId="0" applyFont="1" applyBorder="1" applyAlignment="1">
      <alignment vertical="center"/>
    </xf>
    <xf numFmtId="0" fontId="22" fillId="0" borderId="2" xfId="0" applyFont="1" applyBorder="1" applyAlignment="1">
      <alignment horizontal="left" vertical="center"/>
    </xf>
    <xf numFmtId="0" fontId="22" fillId="7" borderId="3" xfId="0" applyFont="1" applyFill="1" applyBorder="1" applyAlignment="1">
      <alignment vertical="center"/>
    </xf>
    <xf numFmtId="0" fontId="70" fillId="0" borderId="12" xfId="0" applyFont="1" applyBorder="1" applyAlignment="1">
      <alignment vertical="center"/>
    </xf>
    <xf numFmtId="0" fontId="36" fillId="0" borderId="3" xfId="0" applyFont="1" applyBorder="1" applyAlignment="1">
      <alignment vertical="center"/>
    </xf>
    <xf numFmtId="0" fontId="22" fillId="7" borderId="1" xfId="0" applyFont="1" applyFill="1" applyBorder="1" applyAlignment="1">
      <alignment vertical="center"/>
    </xf>
    <xf numFmtId="2" fontId="22" fillId="7" borderId="1" xfId="0" applyNumberFormat="1" applyFont="1" applyFill="1" applyBorder="1" applyAlignment="1">
      <alignment vertical="center"/>
    </xf>
    <xf numFmtId="0" fontId="37" fillId="0" borderId="2" xfId="0" applyFont="1" applyBorder="1" applyAlignment="1">
      <alignment vertical="center"/>
    </xf>
    <xf numFmtId="0" fontId="66" fillId="0" borderId="3" xfId="0" applyFont="1" applyBorder="1" applyAlignment="1">
      <alignment vertical="center"/>
    </xf>
    <xf numFmtId="0" fontId="66" fillId="0" borderId="14" xfId="2" applyFont="1" applyBorder="1" applyAlignment="1">
      <alignment vertical="center"/>
    </xf>
    <xf numFmtId="0" fontId="66" fillId="0" borderId="5" xfId="2" applyFont="1" applyBorder="1" applyAlignment="1">
      <alignment vertical="center"/>
    </xf>
    <xf numFmtId="164" fontId="0" fillId="0" borderId="0" xfId="0" applyNumberFormat="1"/>
    <xf numFmtId="0" fontId="37" fillId="0" borderId="1" xfId="2" applyFont="1" applyBorder="1" applyAlignment="1">
      <alignment vertical="center"/>
    </xf>
    <xf numFmtId="0" fontId="22" fillId="7" borderId="0" xfId="2" applyFont="1" applyFill="1" applyAlignment="1">
      <alignment vertical="center"/>
    </xf>
    <xf numFmtId="2" fontId="0" fillId="0" borderId="0" xfId="0" applyNumberFormat="1"/>
    <xf numFmtId="165" fontId="42" fillId="0" borderId="3" xfId="0" applyNumberFormat="1" applyFont="1" applyBorder="1"/>
    <xf numFmtId="0" fontId="39" fillId="0" borderId="3" xfId="0" applyFont="1" applyBorder="1"/>
    <xf numFmtId="0" fontId="3" fillId="7" borderId="27" xfId="0" applyFont="1" applyFill="1" applyBorder="1"/>
    <xf numFmtId="0" fontId="3" fillId="7" borderId="28" xfId="0" applyFont="1" applyFill="1" applyBorder="1"/>
    <xf numFmtId="0" fontId="5" fillId="0" borderId="0" xfId="0" applyFont="1" applyAlignment="1">
      <alignment vertical="center"/>
    </xf>
    <xf numFmtId="0" fontId="17" fillId="0" borderId="0" xfId="0" applyFont="1" applyAlignment="1">
      <alignment vertical="center"/>
    </xf>
    <xf numFmtId="0" fontId="8" fillId="0" borderId="0" xfId="0" applyFont="1" applyAlignment="1">
      <alignment vertical="center"/>
    </xf>
    <xf numFmtId="0" fontId="76" fillId="0" borderId="0" xfId="0" applyFont="1" applyAlignment="1">
      <alignment vertical="center"/>
    </xf>
    <xf numFmtId="0" fontId="3" fillId="0" borderId="0" xfId="0" applyFont="1" applyAlignment="1">
      <alignment vertical="center"/>
    </xf>
    <xf numFmtId="0" fontId="77" fillId="0" borderId="0" xfId="0" applyFont="1" applyAlignment="1">
      <alignment vertical="center"/>
    </xf>
    <xf numFmtId="0" fontId="78" fillId="0" borderId="0" xfId="0" applyFont="1"/>
    <xf numFmtId="0" fontId="77" fillId="0" borderId="0" xfId="0" applyFont="1"/>
    <xf numFmtId="0" fontId="79" fillId="0" borderId="0" xfId="0" applyFont="1" applyAlignment="1">
      <alignment vertical="center"/>
    </xf>
    <xf numFmtId="0" fontId="79" fillId="0" borderId="0" xfId="0" applyFont="1"/>
    <xf numFmtId="0" fontId="80" fillId="0" borderId="0" xfId="0" applyFont="1" applyAlignment="1">
      <alignment vertical="center"/>
    </xf>
    <xf numFmtId="0" fontId="80" fillId="0" borderId="0" xfId="0" applyFont="1"/>
    <xf numFmtId="0" fontId="27" fillId="0" borderId="3" xfId="0" applyFont="1" applyBorder="1"/>
    <xf numFmtId="0" fontId="0" fillId="0" borderId="11" xfId="0" applyBorder="1"/>
    <xf numFmtId="0" fontId="27" fillId="0" borderId="12" xfId="0" applyFont="1" applyBorder="1"/>
    <xf numFmtId="0" fontId="27" fillId="0" borderId="18" xfId="0" applyFont="1" applyBorder="1"/>
    <xf numFmtId="0" fontId="11" fillId="0" borderId="3" xfId="0" applyFont="1" applyBorder="1"/>
    <xf numFmtId="0" fontId="8" fillId="0" borderId="12" xfId="0" applyFont="1" applyBorder="1" applyAlignment="1">
      <alignment horizontal="left" vertical="center"/>
    </xf>
    <xf numFmtId="0" fontId="31" fillId="3" borderId="3" xfId="2" applyFont="1" applyFill="1" applyBorder="1" applyAlignment="1">
      <alignment horizontal="center" vertical="center" wrapText="1"/>
    </xf>
    <xf numFmtId="167" fontId="0" fillId="0" borderId="0" xfId="0" applyNumberFormat="1"/>
    <xf numFmtId="1" fontId="0" fillId="0" borderId="0" xfId="0" applyNumberFormat="1"/>
    <xf numFmtId="168" fontId="0" fillId="0" borderId="0" xfId="0" applyNumberFormat="1"/>
    <xf numFmtId="0" fontId="34" fillId="2" borderId="19" xfId="0" applyFont="1" applyFill="1" applyBorder="1" applyAlignment="1">
      <alignment horizontal="center" vertical="center" wrapText="1"/>
    </xf>
    <xf numFmtId="0" fontId="37" fillId="0" borderId="5" xfId="0" applyFont="1" applyBorder="1"/>
    <xf numFmtId="0" fontId="37" fillId="0" borderId="1" xfId="0" applyFont="1" applyBorder="1"/>
    <xf numFmtId="0" fontId="34" fillId="4" borderId="19" xfId="0" applyFont="1" applyFill="1" applyBorder="1" applyAlignment="1">
      <alignment horizontal="center" vertical="center" wrapText="1"/>
    </xf>
    <xf numFmtId="0" fontId="34" fillId="4" borderId="20" xfId="0" applyFont="1" applyFill="1" applyBorder="1" applyAlignment="1">
      <alignment horizontal="center" vertical="center" wrapText="1"/>
    </xf>
    <xf numFmtId="0" fontId="37" fillId="0" borderId="7" xfId="0" applyFont="1" applyBorder="1"/>
    <xf numFmtId="0" fontId="37" fillId="0" borderId="4" xfId="0" applyFont="1" applyBorder="1"/>
    <xf numFmtId="0" fontId="30" fillId="5" borderId="19" xfId="0" applyFont="1" applyFill="1" applyBorder="1" applyAlignment="1">
      <alignment horizontal="center" vertical="center" wrapText="1"/>
    </xf>
    <xf numFmtId="0" fontId="30" fillId="9" borderId="20" xfId="0" applyFont="1" applyFill="1" applyBorder="1" applyAlignment="1">
      <alignment horizontal="center" vertical="center" wrapText="1"/>
    </xf>
    <xf numFmtId="2" fontId="0" fillId="0" borderId="7" xfId="0" applyNumberFormat="1" applyBorder="1"/>
    <xf numFmtId="2" fontId="0" fillId="0" borderId="4" xfId="0" applyNumberFormat="1" applyBorder="1"/>
    <xf numFmtId="0" fontId="27" fillId="0" borderId="1" xfId="0" applyFont="1" applyBorder="1"/>
    <xf numFmtId="165" fontId="0" fillId="0" borderId="0" xfId="0" applyNumberFormat="1"/>
    <xf numFmtId="0" fontId="27" fillId="0" borderId="14" xfId="0" applyFont="1" applyBorder="1"/>
    <xf numFmtId="0" fontId="72" fillId="0" borderId="2" xfId="0" applyFont="1" applyBorder="1"/>
    <xf numFmtId="0" fontId="27" fillId="0" borderId="19" xfId="0" applyFont="1" applyBorder="1"/>
    <xf numFmtId="0" fontId="11" fillId="0" borderId="0" xfId="0" applyFont="1"/>
    <xf numFmtId="0" fontId="0" fillId="0" borderId="13" xfId="0" applyBorder="1"/>
    <xf numFmtId="0" fontId="0" fillId="0" borderId="21" xfId="0" applyBorder="1"/>
    <xf numFmtId="2" fontId="0" fillId="0" borderId="15" xfId="0" applyNumberFormat="1" applyBorder="1"/>
    <xf numFmtId="2" fontId="0" fillId="0" borderId="20" xfId="0" applyNumberFormat="1" applyBorder="1"/>
    <xf numFmtId="0" fontId="3" fillId="2" borderId="22"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5" fillId="3" borderId="32" xfId="2" applyFont="1" applyFill="1" applyBorder="1" applyAlignment="1">
      <alignment horizontal="center" vertical="center" wrapText="1"/>
    </xf>
    <xf numFmtId="0" fontId="3"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3" fillId="5" borderId="29" xfId="0" applyFont="1" applyFill="1" applyBorder="1" applyAlignment="1">
      <alignment horizontal="center" vertical="center" wrapText="1"/>
    </xf>
    <xf numFmtId="2" fontId="3" fillId="9" borderId="31" xfId="0" applyNumberFormat="1" applyFont="1" applyFill="1" applyBorder="1" applyAlignment="1">
      <alignment horizontal="center" vertical="center" wrapText="1"/>
    </xf>
    <xf numFmtId="0" fontId="26" fillId="0" borderId="3" xfId="0" applyFont="1" applyBorder="1" applyAlignment="1">
      <alignment horizontal="center" vertical="center" wrapText="1"/>
    </xf>
    <xf numFmtId="0" fontId="9" fillId="7" borderId="3" xfId="0" applyFont="1" applyFill="1" applyBorder="1" applyAlignment="1">
      <alignment vertical="center"/>
    </xf>
    <xf numFmtId="0" fontId="40" fillId="7" borderId="0" xfId="1" applyNumberFormat="1" applyFont="1" applyFill="1" applyAlignment="1">
      <alignment vertical="center"/>
    </xf>
    <xf numFmtId="11" fontId="1" fillId="0" borderId="0" xfId="0" applyNumberFormat="1" applyFont="1"/>
    <xf numFmtId="2" fontId="11" fillId="7" borderId="5" xfId="0" applyNumberFormat="1" applyFont="1" applyFill="1" applyBorder="1" applyAlignment="1">
      <alignment vertical="center"/>
    </xf>
    <xf numFmtId="164" fontId="40" fillId="0" borderId="12" xfId="0" applyNumberFormat="1" applyFont="1" applyBorder="1" applyAlignment="1">
      <alignment vertical="center"/>
    </xf>
    <xf numFmtId="164" fontId="42" fillId="0" borderId="0" xfId="0" applyNumberFormat="1" applyFont="1"/>
    <xf numFmtId="164" fontId="40" fillId="0" borderId="0" xfId="0" applyNumberFormat="1" applyFont="1" applyAlignment="1">
      <alignment vertical="center"/>
    </xf>
    <xf numFmtId="2" fontId="22" fillId="7" borderId="7" xfId="0" applyNumberFormat="1" applyFont="1" applyFill="1" applyBorder="1" applyAlignment="1">
      <alignment vertical="center"/>
    </xf>
    <xf numFmtId="0" fontId="2" fillId="0" borderId="0" xfId="0" applyFont="1"/>
    <xf numFmtId="0" fontId="2" fillId="7" borderId="22" xfId="0" applyFont="1" applyFill="1" applyBorder="1"/>
    <xf numFmtId="0" fontId="2" fillId="7" borderId="18" xfId="0" applyFont="1" applyFill="1" applyBorder="1"/>
    <xf numFmtId="0" fontId="2" fillId="7" borderId="23" xfId="0" applyFont="1" applyFill="1" applyBorder="1"/>
    <xf numFmtId="0" fontId="0" fillId="0" borderId="23" xfId="0" applyBorder="1"/>
    <xf numFmtId="0" fontId="72" fillId="11" borderId="11" xfId="0" applyFont="1" applyFill="1" applyBorder="1"/>
    <xf numFmtId="0" fontId="72" fillId="11" borderId="16" xfId="0" applyFont="1" applyFill="1" applyBorder="1"/>
    <xf numFmtId="0" fontId="72" fillId="12" borderId="22" xfId="0" applyFont="1" applyFill="1" applyBorder="1"/>
    <xf numFmtId="0" fontId="72" fillId="13" borderId="11" xfId="0" applyFont="1" applyFill="1" applyBorder="1"/>
    <xf numFmtId="0" fontId="72" fillId="13" borderId="17" xfId="0" applyFont="1" applyFill="1" applyBorder="1"/>
    <xf numFmtId="0" fontId="72" fillId="13" borderId="16" xfId="0" applyFont="1" applyFill="1" applyBorder="1"/>
    <xf numFmtId="0" fontId="72" fillId="10" borderId="22" xfId="0" applyFont="1" applyFill="1" applyBorder="1"/>
    <xf numFmtId="0" fontId="0" fillId="14" borderId="22" xfId="0" applyFill="1" applyBorder="1"/>
    <xf numFmtId="0" fontId="2" fillId="7" borderId="0" xfId="0" applyFont="1" applyFill="1"/>
    <xf numFmtId="0" fontId="8" fillId="0" borderId="2" xfId="0" applyFont="1" applyBorder="1"/>
    <xf numFmtId="2" fontId="11" fillId="0" borderId="1" xfId="0" applyNumberFormat="1" applyFont="1" applyBorder="1" applyAlignment="1">
      <alignment vertical="center"/>
    </xf>
    <xf numFmtId="0" fontId="46" fillId="0" borderId="0" xfId="0" applyFont="1" applyAlignment="1">
      <alignment vertical="center"/>
    </xf>
    <xf numFmtId="0" fontId="29" fillId="7" borderId="0" xfId="0" applyFont="1" applyFill="1"/>
    <xf numFmtId="0" fontId="73" fillId="0" borderId="1" xfId="0" applyFont="1" applyBorder="1"/>
    <xf numFmtId="0" fontId="11" fillId="0" borderId="2" xfId="2" applyFont="1" applyBorder="1" applyAlignment="1">
      <alignment vertical="center"/>
    </xf>
    <xf numFmtId="0" fontId="29" fillId="0" borderId="4" xfId="0" applyFont="1" applyBorder="1"/>
    <xf numFmtId="0" fontId="29" fillId="0" borderId="1" xfId="0" applyFont="1" applyBorder="1"/>
    <xf numFmtId="0" fontId="73" fillId="0" borderId="18" xfId="0" applyFont="1" applyBorder="1" applyAlignment="1">
      <alignment vertical="center"/>
    </xf>
    <xf numFmtId="0" fontId="11" fillId="0" borderId="21" xfId="2" applyFont="1" applyBorder="1" applyAlignment="1">
      <alignment vertical="center"/>
    </xf>
    <xf numFmtId="0" fontId="29" fillId="0" borderId="18" xfId="0" applyFont="1" applyBorder="1"/>
    <xf numFmtId="0" fontId="29" fillId="0" borderId="20" xfId="0" applyFont="1" applyBorder="1"/>
    <xf numFmtId="0" fontId="29" fillId="0" borderId="19" xfId="0" applyFont="1" applyBorder="1"/>
    <xf numFmtId="2" fontId="11" fillId="0" borderId="19" xfId="0" applyNumberFormat="1" applyFont="1" applyBorder="1" applyAlignment="1">
      <alignment vertical="center"/>
    </xf>
    <xf numFmtId="2" fontId="22" fillId="0" borderId="1" xfId="2" applyNumberFormat="1" applyFont="1" applyBorder="1" applyAlignment="1">
      <alignment vertical="center"/>
    </xf>
    <xf numFmtId="0" fontId="22" fillId="0" borderId="1" xfId="3" applyFont="1" applyBorder="1" applyAlignment="1">
      <alignment vertical="center"/>
    </xf>
    <xf numFmtId="2" fontId="22" fillId="0" borderId="1" xfId="3" applyNumberFormat="1" applyFont="1" applyBorder="1" applyAlignment="1">
      <alignment vertical="center"/>
    </xf>
    <xf numFmtId="165" fontId="22" fillId="0" borderId="3" xfId="3" applyNumberFormat="1" applyFont="1" applyBorder="1" applyAlignment="1">
      <alignment vertical="center"/>
    </xf>
    <xf numFmtId="0" fontId="50" fillId="2" borderId="3" xfId="2" applyFont="1" applyFill="1" applyBorder="1" applyAlignment="1">
      <alignment horizontal="center" vertical="center" wrapText="1"/>
    </xf>
    <xf numFmtId="0" fontId="50" fillId="2" borderId="1" xfId="2" applyFont="1" applyFill="1" applyBorder="1" applyAlignment="1">
      <alignment horizontal="center" vertical="center" wrapText="1"/>
    </xf>
    <xf numFmtId="0" fontId="31" fillId="4" borderId="29" xfId="2" applyFont="1" applyFill="1" applyBorder="1" applyAlignment="1">
      <alignment horizontal="center" vertical="center" wrapText="1"/>
    </xf>
    <xf numFmtId="0" fontId="31" fillId="4" borderId="29" xfId="2" applyFont="1" applyFill="1" applyBorder="1" applyAlignment="1">
      <alignment vertical="center" wrapText="1"/>
    </xf>
    <xf numFmtId="0" fontId="51" fillId="4" borderId="30" xfId="2" applyFont="1" applyFill="1" applyBorder="1" applyAlignment="1">
      <alignment horizontal="center" vertical="center" wrapText="1"/>
    </xf>
    <xf numFmtId="0" fontId="42" fillId="0" borderId="31" xfId="2" applyFont="1" applyBorder="1"/>
    <xf numFmtId="0" fontId="31" fillId="5" borderId="29" xfId="2" applyFont="1" applyFill="1" applyBorder="1" applyAlignment="1">
      <alignment horizontal="center" vertical="center" wrapText="1"/>
    </xf>
    <xf numFmtId="0" fontId="31" fillId="5" borderId="30" xfId="2" applyFont="1" applyFill="1" applyBorder="1" applyAlignment="1">
      <alignment horizontal="center" vertical="center" wrapText="1"/>
    </xf>
    <xf numFmtId="0" fontId="52" fillId="0" borderId="6" xfId="2" applyFont="1" applyBorder="1" applyAlignment="1">
      <alignment horizontal="center" vertical="center" wrapText="1"/>
    </xf>
    <xf numFmtId="0" fontId="66" fillId="0" borderId="11" xfId="0" applyFont="1" applyBorder="1" applyAlignment="1">
      <alignment vertical="center"/>
    </xf>
    <xf numFmtId="0" fontId="31" fillId="0" borderId="12" xfId="0" applyFont="1" applyBorder="1" applyAlignment="1">
      <alignment vertical="center"/>
    </xf>
    <xf numFmtId="0" fontId="40" fillId="0" borderId="13" xfId="0" applyFont="1" applyBorder="1" applyAlignment="1">
      <alignment vertical="center"/>
    </xf>
    <xf numFmtId="0" fontId="66" fillId="0" borderId="16" xfId="0" applyFont="1" applyBorder="1" applyAlignment="1">
      <alignment vertical="center"/>
    </xf>
    <xf numFmtId="0" fontId="40" fillId="0" borderId="2" xfId="0" applyFont="1" applyBorder="1" applyAlignment="1">
      <alignment vertical="center"/>
    </xf>
    <xf numFmtId="0" fontId="66" fillId="0" borderId="17" xfId="0" applyFont="1" applyBorder="1" applyAlignment="1">
      <alignment vertical="center"/>
    </xf>
    <xf numFmtId="0" fontId="66" fillId="0" borderId="0" xfId="0" applyFont="1" applyAlignment="1">
      <alignment vertical="center"/>
    </xf>
    <xf numFmtId="0" fontId="40" fillId="0" borderId="6" xfId="0" applyFont="1" applyBorder="1" applyAlignment="1">
      <alignment vertical="center"/>
    </xf>
    <xf numFmtId="0" fontId="55" fillId="0" borderId="12" xfId="0" applyFont="1" applyBorder="1" applyAlignment="1">
      <alignment vertical="center"/>
    </xf>
    <xf numFmtId="0" fontId="55" fillId="0" borderId="0" xfId="0" applyFont="1" applyAlignment="1">
      <alignment vertical="center"/>
    </xf>
    <xf numFmtId="0" fontId="54" fillId="0" borderId="11" xfId="0" applyFont="1" applyBorder="1" applyAlignment="1">
      <alignment vertical="center"/>
    </xf>
    <xf numFmtId="0" fontId="54" fillId="0" borderId="12" xfId="0" applyFont="1" applyBorder="1" applyAlignment="1">
      <alignment vertical="center"/>
    </xf>
    <xf numFmtId="0" fontId="54" fillId="0" borderId="17" xfId="0" applyFont="1" applyBorder="1" applyAlignment="1">
      <alignment vertical="center"/>
    </xf>
    <xf numFmtId="0" fontId="54" fillId="0" borderId="16" xfId="0" applyFont="1" applyBorder="1" applyAlignment="1">
      <alignment vertical="center"/>
    </xf>
    <xf numFmtId="0" fontId="54" fillId="0" borderId="3" xfId="0" applyFont="1" applyBorder="1" applyAlignment="1">
      <alignment vertical="center"/>
    </xf>
    <xf numFmtId="0" fontId="54" fillId="0" borderId="0" xfId="0" applyFont="1" applyAlignment="1">
      <alignment vertical="center"/>
    </xf>
    <xf numFmtId="2" fontId="40" fillId="0" borderId="12" xfId="0" applyNumberFormat="1" applyFont="1" applyBorder="1" applyAlignment="1">
      <alignment vertical="center"/>
    </xf>
    <xf numFmtId="2" fontId="40" fillId="0" borderId="0" xfId="0" applyNumberFormat="1" applyFont="1" applyAlignment="1">
      <alignment vertical="center"/>
    </xf>
    <xf numFmtId="0" fontId="40" fillId="7" borderId="0" xfId="3" applyFont="1" applyFill="1" applyAlignment="1">
      <alignment vertical="center"/>
    </xf>
    <xf numFmtId="0" fontId="42" fillId="0" borderId="7" xfId="3" applyFont="1" applyBorder="1"/>
    <xf numFmtId="0" fontId="40" fillId="7" borderId="5" xfId="3" applyFont="1" applyFill="1" applyBorder="1" applyAlignment="1">
      <alignment vertical="center"/>
    </xf>
    <xf numFmtId="2" fontId="40" fillId="7" borderId="5" xfId="3" applyNumberFormat="1" applyFont="1" applyFill="1" applyBorder="1" applyAlignment="1">
      <alignment vertical="center"/>
    </xf>
    <xf numFmtId="2" fontId="40" fillId="0" borderId="0" xfId="2" applyNumberFormat="1" applyFont="1" applyAlignment="1">
      <alignment vertical="center"/>
    </xf>
    <xf numFmtId="0" fontId="54" fillId="0" borderId="1" xfId="0" applyFont="1" applyBorder="1" applyAlignment="1">
      <alignment vertical="center"/>
    </xf>
    <xf numFmtId="2" fontId="40" fillId="0" borderId="3" xfId="0" applyNumberFormat="1" applyFont="1" applyBorder="1" applyAlignment="1">
      <alignment vertical="center"/>
    </xf>
    <xf numFmtId="0" fontId="40" fillId="8" borderId="0" xfId="0" applyFont="1" applyFill="1" applyAlignment="1">
      <alignment vertical="center"/>
    </xf>
    <xf numFmtId="0" fontId="81" fillId="0" borderId="5" xfId="0" applyFont="1" applyBorder="1"/>
    <xf numFmtId="0" fontId="40" fillId="8" borderId="5" xfId="0" applyFont="1" applyFill="1" applyBorder="1" applyAlignment="1">
      <alignment vertical="center"/>
    </xf>
    <xf numFmtId="2" fontId="40" fillId="8" borderId="5" xfId="0" applyNumberFormat="1" applyFont="1" applyFill="1" applyBorder="1" applyAlignment="1">
      <alignment vertical="center"/>
    </xf>
    <xf numFmtId="0" fontId="41" fillId="0" borderId="6" xfId="2" applyFont="1" applyBorder="1" applyAlignment="1">
      <alignment vertical="center"/>
    </xf>
    <xf numFmtId="0" fontId="40" fillId="8" borderId="3" xfId="0" applyFont="1" applyFill="1" applyBorder="1" applyAlignment="1">
      <alignment vertical="center"/>
    </xf>
    <xf numFmtId="0" fontId="81" fillId="0" borderId="1" xfId="0" applyFont="1" applyBorder="1"/>
    <xf numFmtId="0" fontId="40" fillId="8" borderId="1" xfId="0" applyFont="1" applyFill="1" applyBorder="1" applyAlignment="1">
      <alignment vertical="center"/>
    </xf>
    <xf numFmtId="2" fontId="40" fillId="8" borderId="1" xfId="0" applyNumberFormat="1" applyFont="1" applyFill="1" applyBorder="1" applyAlignment="1">
      <alignment vertical="center"/>
    </xf>
    <xf numFmtId="0" fontId="57" fillId="0" borderId="12" xfId="0" applyFont="1" applyBorder="1" applyAlignment="1">
      <alignment vertical="center"/>
    </xf>
    <xf numFmtId="1" fontId="40" fillId="7" borderId="12" xfId="0" applyNumberFormat="1" applyFont="1" applyFill="1" applyBorder="1" applyAlignment="1">
      <alignment vertical="center"/>
    </xf>
    <xf numFmtId="0" fontId="57" fillId="0" borderId="0" xfId="0" applyFont="1" applyAlignment="1">
      <alignment vertical="center"/>
    </xf>
    <xf numFmtId="164" fontId="40" fillId="7" borderId="3" xfId="0" applyNumberFormat="1" applyFont="1" applyFill="1" applyBorder="1" applyAlignment="1">
      <alignment vertical="center"/>
    </xf>
    <xf numFmtId="0" fontId="57" fillId="0" borderId="14" xfId="0" applyFont="1" applyBorder="1" applyAlignment="1">
      <alignment vertical="center"/>
    </xf>
    <xf numFmtId="0" fontId="57" fillId="0" borderId="5" xfId="0" applyFont="1" applyBorder="1" applyAlignment="1">
      <alignment vertical="center"/>
    </xf>
    <xf numFmtId="0" fontId="54" fillId="0" borderId="22" xfId="0" applyFont="1" applyBorder="1" applyAlignment="1">
      <alignment vertical="center"/>
    </xf>
    <xf numFmtId="0" fontId="54" fillId="0" borderId="18" xfId="0" applyFont="1" applyBorder="1" applyAlignment="1">
      <alignment vertical="center"/>
    </xf>
    <xf numFmtId="0" fontId="40" fillId="0" borderId="21" xfId="0" applyFont="1" applyBorder="1" applyAlignment="1">
      <alignment vertical="center"/>
    </xf>
    <xf numFmtId="0" fontId="40" fillId="0" borderId="18" xfId="0" applyFont="1" applyBorder="1" applyAlignment="1">
      <alignment vertical="center"/>
    </xf>
    <xf numFmtId="0" fontId="40" fillId="7" borderId="18" xfId="0" applyFont="1" applyFill="1" applyBorder="1" applyAlignment="1">
      <alignment vertical="center"/>
    </xf>
    <xf numFmtId="0" fontId="41" fillId="0" borderId="19" xfId="0" applyFont="1" applyBorder="1" applyAlignment="1">
      <alignment vertical="center"/>
    </xf>
    <xf numFmtId="0" fontId="40" fillId="7" borderId="21" xfId="2" applyFont="1" applyFill="1" applyBorder="1" applyAlignment="1">
      <alignment vertical="center"/>
    </xf>
    <xf numFmtId="0" fontId="40" fillId="7" borderId="18" xfId="2" applyFont="1" applyFill="1" applyBorder="1" applyAlignment="1">
      <alignment vertical="center"/>
    </xf>
    <xf numFmtId="0" fontId="40" fillId="7" borderId="19" xfId="2" applyFont="1" applyFill="1" applyBorder="1" applyAlignment="1">
      <alignment vertical="center"/>
    </xf>
    <xf numFmtId="2" fontId="40" fillId="7" borderId="19" xfId="2" applyNumberFormat="1" applyFont="1" applyFill="1" applyBorder="1" applyAlignment="1">
      <alignment vertical="center"/>
    </xf>
    <xf numFmtId="0" fontId="41" fillId="0" borderId="18" xfId="0" applyFont="1" applyBorder="1" applyAlignment="1">
      <alignment vertical="center"/>
    </xf>
    <xf numFmtId="0" fontId="54" fillId="0" borderId="17" xfId="2" applyFont="1" applyBorder="1" applyAlignment="1">
      <alignment vertical="center"/>
    </xf>
    <xf numFmtId="0" fontId="54" fillId="0" borderId="0" xfId="2" applyFont="1" applyAlignment="1">
      <alignment vertical="center"/>
    </xf>
    <xf numFmtId="164" fontId="40" fillId="0" borderId="0" xfId="2" applyNumberFormat="1" applyFont="1" applyAlignment="1">
      <alignment vertical="center"/>
    </xf>
    <xf numFmtId="0" fontId="41" fillId="0" borderId="6" xfId="0" applyFont="1" applyBorder="1" applyAlignment="1">
      <alignment vertical="center"/>
    </xf>
    <xf numFmtId="0" fontId="54" fillId="0" borderId="11" xfId="2" applyFont="1" applyBorder="1" applyAlignment="1">
      <alignment vertical="center"/>
    </xf>
    <xf numFmtId="0" fontId="54" fillId="0" borderId="12" xfId="2" applyFont="1" applyBorder="1" applyAlignment="1">
      <alignment vertical="center"/>
    </xf>
    <xf numFmtId="0" fontId="40" fillId="0" borderId="13" xfId="2" applyFont="1" applyBorder="1" applyAlignment="1">
      <alignment vertical="center"/>
    </xf>
    <xf numFmtId="0" fontId="40" fillId="7" borderId="12" xfId="2" applyFont="1" applyFill="1" applyBorder="1" applyAlignment="1">
      <alignment vertical="center"/>
    </xf>
    <xf numFmtId="0" fontId="40" fillId="7" borderId="14" xfId="2" applyFont="1" applyFill="1" applyBorder="1" applyAlignment="1">
      <alignment vertical="center"/>
    </xf>
    <xf numFmtId="0" fontId="54" fillId="0" borderId="16" xfId="2" applyFont="1" applyBorder="1" applyAlignment="1">
      <alignment vertical="center"/>
    </xf>
    <xf numFmtId="0" fontId="54" fillId="0" borderId="3" xfId="2" applyFont="1" applyBorder="1" applyAlignment="1">
      <alignment vertical="center"/>
    </xf>
    <xf numFmtId="164" fontId="40" fillId="7" borderId="3" xfId="2" applyNumberFormat="1" applyFont="1" applyFill="1" applyBorder="1" applyAlignment="1">
      <alignment vertical="center"/>
    </xf>
    <xf numFmtId="1" fontId="40" fillId="7" borderId="0" xfId="2" applyNumberFormat="1" applyFont="1" applyFill="1" applyAlignment="1">
      <alignment vertical="center"/>
    </xf>
    <xf numFmtId="0" fontId="54" fillId="0" borderId="22" xfId="2" applyFont="1" applyBorder="1" applyAlignment="1">
      <alignment vertical="center"/>
    </xf>
    <xf numFmtId="0" fontId="54" fillId="0" borderId="19" xfId="0" applyFont="1" applyBorder="1" applyAlignment="1">
      <alignment vertical="center"/>
    </xf>
    <xf numFmtId="0" fontId="40" fillId="0" borderId="21" xfId="2" applyFont="1" applyBorder="1" applyAlignment="1">
      <alignment vertical="center"/>
    </xf>
    <xf numFmtId="0" fontId="40" fillId="0" borderId="18" xfId="2" applyFont="1" applyBorder="1" applyAlignment="1">
      <alignment vertical="center"/>
    </xf>
    <xf numFmtId="0" fontId="41" fillId="0" borderId="19" xfId="2" applyFont="1" applyBorder="1" applyAlignment="1">
      <alignment vertical="center"/>
    </xf>
    <xf numFmtId="0" fontId="42" fillId="0" borderId="20" xfId="2" applyFont="1" applyBorder="1"/>
    <xf numFmtId="0" fontId="41" fillId="0" borderId="18" xfId="2" applyFont="1" applyBorder="1" applyAlignment="1">
      <alignment vertical="center"/>
    </xf>
    <xf numFmtId="0" fontId="58" fillId="0" borderId="5" xfId="2" applyFont="1" applyBorder="1" applyAlignment="1">
      <alignment vertical="center"/>
    </xf>
    <xf numFmtId="0" fontId="54" fillId="0" borderId="1" xfId="2" applyFont="1" applyBorder="1" applyAlignment="1">
      <alignment vertical="center"/>
    </xf>
    <xf numFmtId="0" fontId="31" fillId="0" borderId="0" xfId="2" applyFont="1" applyAlignment="1">
      <alignment vertical="center"/>
    </xf>
    <xf numFmtId="0" fontId="66" fillId="0" borderId="24" xfId="2" applyFont="1" applyBorder="1" applyAlignment="1">
      <alignment vertical="center"/>
    </xf>
    <xf numFmtId="0" fontId="55" fillId="0" borderId="12" xfId="2" applyFont="1" applyBorder="1" applyAlignment="1">
      <alignment vertical="center"/>
    </xf>
    <xf numFmtId="0" fontId="55" fillId="0" borderId="17" xfId="2" applyFont="1" applyBorder="1" applyAlignment="1">
      <alignment vertical="center"/>
    </xf>
    <xf numFmtId="164" fontId="42" fillId="0" borderId="0" xfId="2" applyNumberFormat="1" applyFont="1" applyAlignment="1">
      <alignment vertical="center"/>
    </xf>
    <xf numFmtId="0" fontId="55" fillId="0" borderId="16" xfId="2" applyFont="1" applyBorder="1" applyAlignment="1">
      <alignment vertical="center"/>
    </xf>
    <xf numFmtId="0" fontId="60" fillId="0" borderId="17" xfId="2" applyFont="1" applyBorder="1" applyAlignment="1">
      <alignment vertical="center"/>
    </xf>
    <xf numFmtId="0" fontId="55" fillId="0" borderId="11" xfId="2" applyFont="1" applyBorder="1" applyAlignment="1">
      <alignment vertical="center"/>
    </xf>
    <xf numFmtId="165" fontId="42" fillId="7" borderId="12" xfId="0" applyNumberFormat="1" applyFont="1" applyFill="1" applyBorder="1"/>
    <xf numFmtId="164" fontId="42" fillId="0" borderId="3" xfId="0" applyNumberFormat="1" applyFont="1" applyBorder="1"/>
    <xf numFmtId="164" fontId="42" fillId="0" borderId="12" xfId="0" applyNumberFormat="1" applyFont="1" applyBorder="1"/>
    <xf numFmtId="164" fontId="42" fillId="7" borderId="3" xfId="0" applyNumberFormat="1" applyFont="1" applyFill="1" applyBorder="1"/>
    <xf numFmtId="0" fontId="42" fillId="0" borderId="20" xfId="0" applyFont="1" applyBorder="1"/>
    <xf numFmtId="2" fontId="42" fillId="0" borderId="0" xfId="0" applyNumberFormat="1" applyFont="1"/>
    <xf numFmtId="0" fontId="81" fillId="8" borderId="0" xfId="0" applyFont="1" applyFill="1"/>
    <xf numFmtId="0" fontId="31" fillId="0" borderId="1" xfId="2" applyFont="1" applyBorder="1" applyAlignment="1">
      <alignment vertical="center"/>
    </xf>
    <xf numFmtId="0" fontId="22" fillId="10" borderId="0" xfId="0" applyFont="1" applyFill="1" applyAlignment="1">
      <alignment vertical="center"/>
    </xf>
    <xf numFmtId="0" fontId="11" fillId="8" borderId="0" xfId="0" applyFont="1" applyFill="1" applyAlignment="1">
      <alignment vertical="center"/>
    </xf>
    <xf numFmtId="0" fontId="82" fillId="0" borderId="5" xfId="0" applyFont="1" applyBorder="1" applyAlignment="1">
      <alignment vertical="center"/>
    </xf>
    <xf numFmtId="0" fontId="11" fillId="8" borderId="5" xfId="0" applyFont="1" applyFill="1" applyBorder="1" applyAlignment="1">
      <alignment vertical="center"/>
    </xf>
    <xf numFmtId="2" fontId="11" fillId="8" borderId="5" xfId="0" applyNumberFormat="1" applyFont="1" applyFill="1" applyBorder="1" applyAlignment="1">
      <alignment vertical="center"/>
    </xf>
  </cellXfs>
  <cellStyles count="4">
    <cellStyle name="Normal" xfId="0" builtinId="0"/>
    <cellStyle name="Normal 2" xfId="2" xr:uid="{00000000-0005-0000-0000-000002000000}"/>
    <cellStyle name="Normal 9" xfId="3" xr:uid="{00000000-0005-0000-0000-00000300000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zoomScale="135" workbookViewId="0">
      <selection activeCell="A8" sqref="A8"/>
    </sheetView>
  </sheetViews>
  <sheetFormatPr baseColWidth="10" defaultRowHeight="16" x14ac:dyDescent="0.2"/>
  <cols>
    <col min="1" max="1" width="21" customWidth="1"/>
    <col min="2" max="2" width="39.83203125" customWidth="1"/>
    <col min="3" max="3" width="110.33203125" bestFit="1" customWidth="1"/>
  </cols>
  <sheetData>
    <row r="1" spans="1:3" x14ac:dyDescent="0.2">
      <c r="A1" s="722" t="s">
        <v>154</v>
      </c>
    </row>
    <row r="2" spans="1:3" x14ac:dyDescent="0.2">
      <c r="A2" t="s">
        <v>155</v>
      </c>
    </row>
    <row r="4" spans="1:3" x14ac:dyDescent="0.2">
      <c r="A4" s="723" t="s">
        <v>156</v>
      </c>
      <c r="B4" s="724" t="s">
        <v>157</v>
      </c>
      <c r="C4" s="725" t="s">
        <v>158</v>
      </c>
    </row>
    <row r="5" spans="1:3" x14ac:dyDescent="0.2">
      <c r="A5" s="729" t="s">
        <v>159</v>
      </c>
      <c r="B5" s="582" t="s">
        <v>160</v>
      </c>
      <c r="C5" s="726" t="s">
        <v>161</v>
      </c>
    </row>
    <row r="6" spans="1:3" x14ac:dyDescent="0.2">
      <c r="A6" s="727" t="s">
        <v>162</v>
      </c>
      <c r="B6" s="579" t="s">
        <v>163</v>
      </c>
      <c r="C6" s="583" t="s">
        <v>164</v>
      </c>
    </row>
    <row r="7" spans="1:3" x14ac:dyDescent="0.2">
      <c r="A7" s="728" t="s">
        <v>165</v>
      </c>
      <c r="B7" s="573" t="s">
        <v>163</v>
      </c>
      <c r="C7" s="578" t="s">
        <v>166</v>
      </c>
    </row>
    <row r="8" spans="1:3" x14ac:dyDescent="0.2">
      <c r="A8" s="730" t="s">
        <v>167</v>
      </c>
      <c r="B8" s="579" t="s">
        <v>168</v>
      </c>
      <c r="C8" s="583" t="s">
        <v>169</v>
      </c>
    </row>
    <row r="9" spans="1:3" x14ac:dyDescent="0.2">
      <c r="A9" s="731" t="s">
        <v>170</v>
      </c>
      <c r="B9" t="s">
        <v>168</v>
      </c>
      <c r="C9" s="566" t="s">
        <v>171</v>
      </c>
    </row>
    <row r="10" spans="1:3" x14ac:dyDescent="0.2">
      <c r="A10" s="732" t="s">
        <v>172</v>
      </c>
      <c r="B10" s="573" t="s">
        <v>168</v>
      </c>
      <c r="C10" s="578" t="s">
        <v>173</v>
      </c>
    </row>
    <row r="11" spans="1:3" x14ac:dyDescent="0.2">
      <c r="A11" s="733" t="s">
        <v>174</v>
      </c>
      <c r="B11" s="582" t="s">
        <v>175</v>
      </c>
      <c r="C11" s="726" t="s">
        <v>176</v>
      </c>
    </row>
    <row r="12" spans="1:3" x14ac:dyDescent="0.2">
      <c r="A12" s="734" t="s">
        <v>177</v>
      </c>
      <c r="B12" s="582" t="s">
        <v>175</v>
      </c>
      <c r="C12" s="726" t="s">
        <v>178</v>
      </c>
    </row>
    <row r="13" spans="1:3" x14ac:dyDescent="0.2">
      <c r="A13" s="581" t="s">
        <v>179</v>
      </c>
      <c r="B13" s="582" t="s">
        <v>180</v>
      </c>
      <c r="C13" s="726" t="s">
        <v>181</v>
      </c>
    </row>
    <row r="14" spans="1:3" x14ac:dyDescent="0.2">
      <c r="A14" s="581" t="s">
        <v>182</v>
      </c>
      <c r="B14" s="582" t="s">
        <v>183</v>
      </c>
      <c r="C14" s="726" t="s">
        <v>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M2531"/>
  <sheetViews>
    <sheetView tabSelected="1" zoomScale="150" zoomScaleNormal="100" workbookViewId="0">
      <pane ySplit="1" topLeftCell="A623" activePane="bottomLeft" state="frozen"/>
      <selection pane="bottomLeft" activeCell="D633" sqref="D633"/>
    </sheetView>
  </sheetViews>
  <sheetFormatPr baseColWidth="10" defaultRowHeight="16" x14ac:dyDescent="0.2"/>
  <cols>
    <col min="1" max="1" width="21.1640625" bestFit="1" customWidth="1"/>
    <col min="5" max="5" width="60.5" customWidth="1"/>
    <col min="6" max="6" width="4" customWidth="1"/>
    <col min="13" max="13" width="67.5" bestFit="1" customWidth="1"/>
  </cols>
  <sheetData>
    <row r="1" spans="1:13" x14ac:dyDescent="0.2">
      <c r="A1" s="1" t="s">
        <v>0</v>
      </c>
      <c r="B1" s="2" t="s">
        <v>1</v>
      </c>
      <c r="C1" s="3" t="s">
        <v>2</v>
      </c>
      <c r="D1" s="4" t="s">
        <v>3</v>
      </c>
      <c r="E1" s="5" t="s">
        <v>4</v>
      </c>
      <c r="F1" s="6"/>
      <c r="G1" s="7" t="s">
        <v>5</v>
      </c>
      <c r="H1" s="8" t="s">
        <v>6</v>
      </c>
      <c r="I1" s="8" t="s">
        <v>7</v>
      </c>
      <c r="J1" s="8" t="s">
        <v>8</v>
      </c>
      <c r="K1" s="8" t="s">
        <v>9</v>
      </c>
      <c r="L1" s="9" t="s">
        <v>10</v>
      </c>
      <c r="M1" s="10" t="s">
        <v>11</v>
      </c>
    </row>
    <row r="2" spans="1:13" x14ac:dyDescent="0.2">
      <c r="A2" s="11" t="s">
        <v>12</v>
      </c>
      <c r="B2" s="12" t="s">
        <v>13</v>
      </c>
      <c r="C2" s="13" t="s">
        <v>14</v>
      </c>
      <c r="D2" s="14">
        <v>0</v>
      </c>
      <c r="E2" s="15" t="s">
        <v>15</v>
      </c>
      <c r="F2" s="16" t="s">
        <v>16</v>
      </c>
      <c r="G2" s="17"/>
      <c r="H2" s="18"/>
      <c r="I2" s="18"/>
      <c r="J2" s="18"/>
      <c r="K2" s="18"/>
      <c r="L2" s="19" t="str">
        <f>IF( OR( ISBLANK(G2),ISBLANK(H2), ISBLANK(I2), ISBLANK(J2), ISBLANK(K2) ), "", 1.5*SQRT(   EXP(2.21*(G2-1)) + EXP(2.21*(H2-1)) + EXP(2.21*(I2-1)) + EXP(2.21*(J2-1)) + EXP(2.21*K2)   )/100*2.45 )</f>
        <v/>
      </c>
      <c r="M2" s="20" t="s">
        <v>17</v>
      </c>
    </row>
    <row r="3" spans="1:13" x14ac:dyDescent="0.2">
      <c r="A3" s="11" t="s">
        <v>12</v>
      </c>
      <c r="B3" s="12" t="s">
        <v>18</v>
      </c>
      <c r="C3" s="13" t="s">
        <v>14</v>
      </c>
      <c r="D3" s="21">
        <v>637.97412400000007</v>
      </c>
      <c r="E3" s="15" t="s">
        <v>19</v>
      </c>
      <c r="F3" s="16" t="s">
        <v>16</v>
      </c>
      <c r="G3" s="22">
        <v>1</v>
      </c>
      <c r="H3" s="23">
        <v>2</v>
      </c>
      <c r="I3" s="23">
        <v>1</v>
      </c>
      <c r="J3" s="23">
        <v>1</v>
      </c>
      <c r="K3" s="23">
        <v>2</v>
      </c>
      <c r="L3" s="24">
        <f t="shared" ref="L3:L34" si="0">IF( OR( ISBLANK(G3),ISBLANK(H3), ISBLANK(I3), ISBLANK(J3), ISBLANK(K3) ), "", 1.5*SQRT( EXP(2.21*(G3-1)) + EXP(2.21*(H3-1)) + EXP(2.21*(I3-1)) + EXP(2.21*(J3-1)) + EXP(2.21*K3) )/100*2.45 )</f>
        <v>0.35859414261160716</v>
      </c>
      <c r="M3" s="20" t="s">
        <v>17</v>
      </c>
    </row>
    <row r="4" spans="1:13" x14ac:dyDescent="0.2">
      <c r="A4" s="11" t="s">
        <v>12</v>
      </c>
      <c r="B4" s="12" t="s">
        <v>20</v>
      </c>
      <c r="C4" s="13" t="s">
        <v>14</v>
      </c>
      <c r="D4" s="21">
        <v>24.949254</v>
      </c>
      <c r="E4" s="15" t="s">
        <v>21</v>
      </c>
      <c r="F4" s="16" t="s">
        <v>16</v>
      </c>
      <c r="G4" s="22">
        <v>1</v>
      </c>
      <c r="H4" s="23">
        <v>1</v>
      </c>
      <c r="I4" s="23">
        <v>1</v>
      </c>
      <c r="J4" s="23">
        <v>1</v>
      </c>
      <c r="K4" s="23">
        <v>2</v>
      </c>
      <c r="L4" s="24">
        <f t="shared" si="0"/>
        <v>0.34297081055722239</v>
      </c>
      <c r="M4" s="20" t="s">
        <v>17</v>
      </c>
    </row>
    <row r="5" spans="1:13" x14ac:dyDescent="0.2">
      <c r="A5" s="11" t="s">
        <v>12</v>
      </c>
      <c r="B5" s="12" t="s">
        <v>22</v>
      </c>
      <c r="C5" s="13" t="s">
        <v>14</v>
      </c>
      <c r="D5" s="14">
        <v>0</v>
      </c>
      <c r="E5" s="15" t="s">
        <v>15</v>
      </c>
      <c r="F5" s="16" t="s">
        <v>16</v>
      </c>
      <c r="G5" s="17"/>
      <c r="H5" s="18"/>
      <c r="I5" s="18"/>
      <c r="J5" s="18"/>
      <c r="K5" s="18"/>
      <c r="L5" s="19" t="str">
        <f t="shared" si="0"/>
        <v/>
      </c>
      <c r="M5" s="20" t="s">
        <v>17</v>
      </c>
    </row>
    <row r="6" spans="1:13" x14ac:dyDescent="0.2">
      <c r="A6" s="11" t="s">
        <v>12</v>
      </c>
      <c r="B6" s="12" t="s">
        <v>23</v>
      </c>
      <c r="C6" s="13" t="s">
        <v>14</v>
      </c>
      <c r="D6" s="14">
        <v>0</v>
      </c>
      <c r="E6" s="15" t="s">
        <v>15</v>
      </c>
      <c r="F6" s="16" t="s">
        <v>16</v>
      </c>
      <c r="G6" s="17"/>
      <c r="H6" s="18"/>
      <c r="I6" s="18"/>
      <c r="J6" s="18"/>
      <c r="K6" s="18"/>
      <c r="L6" s="19" t="str">
        <f t="shared" si="0"/>
        <v/>
      </c>
      <c r="M6" s="20" t="s">
        <v>17</v>
      </c>
    </row>
    <row r="7" spans="1:13" x14ac:dyDescent="0.2">
      <c r="A7" s="11" t="s">
        <v>12</v>
      </c>
      <c r="B7" s="12" t="s">
        <v>24</v>
      </c>
      <c r="C7" s="13" t="s">
        <v>14</v>
      </c>
      <c r="D7" s="21">
        <v>19.29</v>
      </c>
      <c r="E7" s="15" t="s">
        <v>15</v>
      </c>
      <c r="F7" s="16" t="s">
        <v>16</v>
      </c>
      <c r="G7" s="22">
        <v>1</v>
      </c>
      <c r="H7" s="23">
        <v>2</v>
      </c>
      <c r="I7" s="23">
        <v>1</v>
      </c>
      <c r="J7" s="23">
        <v>1</v>
      </c>
      <c r="K7" s="23">
        <v>3</v>
      </c>
      <c r="L7" s="25">
        <f t="shared" si="0"/>
        <v>1.0195048044558224</v>
      </c>
      <c r="M7" s="20" t="s">
        <v>17</v>
      </c>
    </row>
    <row r="8" spans="1:13" x14ac:dyDescent="0.2">
      <c r="A8" s="11" t="s">
        <v>12</v>
      </c>
      <c r="B8" s="12" t="s">
        <v>25</v>
      </c>
      <c r="C8" s="13" t="s">
        <v>14</v>
      </c>
      <c r="D8" s="21">
        <v>5.4267999999999997E-2</v>
      </c>
      <c r="E8" s="15" t="s">
        <v>15</v>
      </c>
      <c r="F8" s="16" t="s">
        <v>16</v>
      </c>
      <c r="G8" s="22">
        <v>1</v>
      </c>
      <c r="H8" s="23">
        <v>2</v>
      </c>
      <c r="I8" s="23">
        <v>1</v>
      </c>
      <c r="J8" s="23">
        <v>1</v>
      </c>
      <c r="K8" s="23">
        <v>2</v>
      </c>
      <c r="L8" s="25">
        <f t="shared" si="0"/>
        <v>0.35859414261160716</v>
      </c>
      <c r="M8" s="20" t="s">
        <v>17</v>
      </c>
    </row>
    <row r="9" spans="1:13" x14ac:dyDescent="0.2">
      <c r="A9" s="11" t="s">
        <v>12</v>
      </c>
      <c r="B9" s="12" t="s">
        <v>26</v>
      </c>
      <c r="C9" s="13" t="s">
        <v>14</v>
      </c>
      <c r="D9" s="14">
        <v>0</v>
      </c>
      <c r="E9" s="15" t="s">
        <v>15</v>
      </c>
      <c r="F9" s="16" t="s">
        <v>16</v>
      </c>
      <c r="G9" s="17"/>
      <c r="H9" s="18"/>
      <c r="I9" s="18"/>
      <c r="J9" s="18"/>
      <c r="K9" s="18"/>
      <c r="L9" s="19" t="str">
        <f t="shared" si="0"/>
        <v/>
      </c>
      <c r="M9" s="20" t="s">
        <v>17</v>
      </c>
    </row>
    <row r="10" spans="1:13" x14ac:dyDescent="0.2">
      <c r="A10" s="11" t="s">
        <v>12</v>
      </c>
      <c r="B10" s="12" t="s">
        <v>27</v>
      </c>
      <c r="C10" s="13" t="s">
        <v>14</v>
      </c>
      <c r="D10" s="21">
        <v>363.563626</v>
      </c>
      <c r="E10" s="15" t="s">
        <v>15</v>
      </c>
      <c r="F10" s="16" t="s">
        <v>16</v>
      </c>
      <c r="G10" s="22">
        <v>1</v>
      </c>
      <c r="H10" s="23">
        <v>2</v>
      </c>
      <c r="I10" s="23">
        <v>1</v>
      </c>
      <c r="J10" s="23">
        <v>1</v>
      </c>
      <c r="K10" s="23">
        <v>3</v>
      </c>
      <c r="L10" s="24">
        <f t="shared" si="0"/>
        <v>1.0195048044558224</v>
      </c>
      <c r="M10" s="20" t="s">
        <v>17</v>
      </c>
    </row>
    <row r="11" spans="1:13" x14ac:dyDescent="0.2">
      <c r="A11" s="11" t="s">
        <v>12</v>
      </c>
      <c r="B11" s="12" t="s">
        <v>28</v>
      </c>
      <c r="C11" s="13" t="s">
        <v>14</v>
      </c>
      <c r="D11" s="21">
        <v>1129.5791819999999</v>
      </c>
      <c r="E11" s="15" t="s">
        <v>29</v>
      </c>
      <c r="F11" s="16" t="s">
        <v>16</v>
      </c>
      <c r="G11" s="22">
        <v>1</v>
      </c>
      <c r="H11" s="23">
        <v>1</v>
      </c>
      <c r="I11" s="23">
        <v>1</v>
      </c>
      <c r="J11" s="23">
        <v>1</v>
      </c>
      <c r="K11" s="23">
        <v>2</v>
      </c>
      <c r="L11" s="24">
        <f t="shared" si="0"/>
        <v>0.34297081055722239</v>
      </c>
      <c r="M11" s="20" t="s">
        <v>17</v>
      </c>
    </row>
    <row r="12" spans="1:13" x14ac:dyDescent="0.2">
      <c r="A12" s="11" t="s">
        <v>12</v>
      </c>
      <c r="B12" s="12" t="s">
        <v>30</v>
      </c>
      <c r="C12" s="13" t="s">
        <v>14</v>
      </c>
      <c r="D12" s="21">
        <v>233.18908400000001</v>
      </c>
      <c r="E12" s="15" t="s">
        <v>31</v>
      </c>
      <c r="F12" s="16" t="s">
        <v>16</v>
      </c>
      <c r="G12" s="22">
        <v>1</v>
      </c>
      <c r="H12" s="23">
        <v>2</v>
      </c>
      <c r="I12" s="23">
        <v>1</v>
      </c>
      <c r="J12" s="23">
        <v>1</v>
      </c>
      <c r="K12" s="23">
        <v>2</v>
      </c>
      <c r="L12" s="24">
        <f t="shared" si="0"/>
        <v>0.35859414261160716</v>
      </c>
      <c r="M12" s="20" t="s">
        <v>17</v>
      </c>
    </row>
    <row r="13" spans="1:13" x14ac:dyDescent="0.2">
      <c r="A13" s="11" t="s">
        <v>12</v>
      </c>
      <c r="B13" s="12" t="s">
        <v>32</v>
      </c>
      <c r="C13" s="13" t="s">
        <v>14</v>
      </c>
      <c r="D13" s="21">
        <v>3.1485690000000002</v>
      </c>
      <c r="E13" s="15" t="s">
        <v>33</v>
      </c>
      <c r="F13" s="16" t="s">
        <v>16</v>
      </c>
      <c r="G13" s="22">
        <v>1</v>
      </c>
      <c r="H13" s="23">
        <v>2</v>
      </c>
      <c r="I13" s="23">
        <v>1</v>
      </c>
      <c r="J13" s="23">
        <v>1</v>
      </c>
      <c r="K13" s="23">
        <v>2</v>
      </c>
      <c r="L13" s="24">
        <f t="shared" si="0"/>
        <v>0.35859414261160716</v>
      </c>
      <c r="M13" s="20" t="s">
        <v>17</v>
      </c>
    </row>
    <row r="14" spans="1:13" x14ac:dyDescent="0.2">
      <c r="A14" s="11" t="s">
        <v>12</v>
      </c>
      <c r="B14" s="12" t="s">
        <v>34</v>
      </c>
      <c r="C14" s="13" t="s">
        <v>14</v>
      </c>
      <c r="D14" s="21">
        <v>128.46700000000001</v>
      </c>
      <c r="E14" s="15" t="s">
        <v>35</v>
      </c>
      <c r="F14" s="16" t="s">
        <v>16</v>
      </c>
      <c r="G14" s="22">
        <v>1</v>
      </c>
      <c r="H14" s="23">
        <v>1</v>
      </c>
      <c r="I14" s="23">
        <v>1</v>
      </c>
      <c r="J14" s="23">
        <v>1</v>
      </c>
      <c r="K14" s="23">
        <v>2</v>
      </c>
      <c r="L14" s="24">
        <f t="shared" si="0"/>
        <v>0.34297081055722239</v>
      </c>
      <c r="M14" s="20" t="s">
        <v>17</v>
      </c>
    </row>
    <row r="15" spans="1:13" x14ac:dyDescent="0.2">
      <c r="A15" s="11" t="s">
        <v>12</v>
      </c>
      <c r="B15" s="12" t="s">
        <v>36</v>
      </c>
      <c r="C15" s="13" t="s">
        <v>14</v>
      </c>
      <c r="D15" s="14">
        <v>0</v>
      </c>
      <c r="E15" s="15" t="s">
        <v>15</v>
      </c>
      <c r="F15" s="16" t="s">
        <v>16</v>
      </c>
      <c r="G15" s="17"/>
      <c r="H15" s="18"/>
      <c r="I15" s="18"/>
      <c r="J15" s="18"/>
      <c r="K15" s="18"/>
      <c r="L15" s="19" t="str">
        <f t="shared" si="0"/>
        <v/>
      </c>
      <c r="M15" s="20" t="s">
        <v>17</v>
      </c>
    </row>
    <row r="16" spans="1:13" x14ac:dyDescent="0.2">
      <c r="A16" s="11" t="s">
        <v>12</v>
      </c>
      <c r="B16" s="12" t="s">
        <v>37</v>
      </c>
      <c r="C16" s="13" t="s">
        <v>14</v>
      </c>
      <c r="D16" s="21">
        <v>540.822</v>
      </c>
      <c r="E16" s="15" t="s">
        <v>38</v>
      </c>
      <c r="F16" s="16" t="s">
        <v>16</v>
      </c>
      <c r="G16" s="22">
        <v>1</v>
      </c>
      <c r="H16" s="23">
        <v>1</v>
      </c>
      <c r="I16" s="23">
        <v>1</v>
      </c>
      <c r="J16" s="23">
        <v>1</v>
      </c>
      <c r="K16" s="23">
        <v>2</v>
      </c>
      <c r="L16" s="24">
        <f t="shared" si="0"/>
        <v>0.34297081055722239</v>
      </c>
      <c r="M16" s="20" t="s">
        <v>17</v>
      </c>
    </row>
    <row r="17" spans="1:13" x14ac:dyDescent="0.2">
      <c r="A17" s="11" t="s">
        <v>12</v>
      </c>
      <c r="B17" s="12" t="s">
        <v>39</v>
      </c>
      <c r="C17" s="13" t="s">
        <v>14</v>
      </c>
      <c r="D17" s="14">
        <v>0</v>
      </c>
      <c r="E17" s="15" t="s">
        <v>15</v>
      </c>
      <c r="F17" s="16" t="s">
        <v>16</v>
      </c>
      <c r="G17" s="17"/>
      <c r="H17" s="18"/>
      <c r="I17" s="18"/>
      <c r="J17" s="18"/>
      <c r="K17" s="18"/>
      <c r="L17" s="19" t="str">
        <f t="shared" si="0"/>
        <v/>
      </c>
      <c r="M17" s="20" t="s">
        <v>17</v>
      </c>
    </row>
    <row r="18" spans="1:13" x14ac:dyDescent="0.2">
      <c r="A18" s="11" t="s">
        <v>12</v>
      </c>
      <c r="B18" s="12" t="s">
        <v>40</v>
      </c>
      <c r="C18" s="13" t="s">
        <v>14</v>
      </c>
      <c r="D18" s="14">
        <v>0</v>
      </c>
      <c r="E18" s="15" t="s">
        <v>15</v>
      </c>
      <c r="F18" s="16" t="s">
        <v>16</v>
      </c>
      <c r="G18" s="17"/>
      <c r="H18" s="18"/>
      <c r="I18" s="18"/>
      <c r="J18" s="18"/>
      <c r="K18" s="18"/>
      <c r="L18" s="19" t="str">
        <f t="shared" si="0"/>
        <v/>
      </c>
      <c r="M18" s="20" t="s">
        <v>17</v>
      </c>
    </row>
    <row r="19" spans="1:13" x14ac:dyDescent="0.2">
      <c r="A19" s="11" t="s">
        <v>12</v>
      </c>
      <c r="B19" s="12" t="s">
        <v>41</v>
      </c>
      <c r="C19" s="13" t="s">
        <v>14</v>
      </c>
      <c r="D19" s="14">
        <v>0</v>
      </c>
      <c r="E19" s="15" t="s">
        <v>15</v>
      </c>
      <c r="F19" s="16" t="s">
        <v>16</v>
      </c>
      <c r="G19" s="17"/>
      <c r="H19" s="18"/>
      <c r="I19" s="18"/>
      <c r="J19" s="18"/>
      <c r="K19" s="18"/>
      <c r="L19" s="19" t="str">
        <f t="shared" si="0"/>
        <v/>
      </c>
      <c r="M19" s="20" t="s">
        <v>17</v>
      </c>
    </row>
    <row r="20" spans="1:13" x14ac:dyDescent="0.2">
      <c r="A20" s="11" t="s">
        <v>12</v>
      </c>
      <c r="B20" s="12" t="s">
        <v>42</v>
      </c>
      <c r="C20" s="13" t="s">
        <v>14</v>
      </c>
      <c r="D20" s="14">
        <v>0</v>
      </c>
      <c r="E20" s="15" t="s">
        <v>15</v>
      </c>
      <c r="F20" s="16" t="s">
        <v>16</v>
      </c>
      <c r="G20" s="17"/>
      <c r="H20" s="18"/>
      <c r="I20" s="18"/>
      <c r="J20" s="18"/>
      <c r="K20" s="18"/>
      <c r="L20" s="19" t="str">
        <f t="shared" si="0"/>
        <v/>
      </c>
      <c r="M20" s="20" t="s">
        <v>17</v>
      </c>
    </row>
    <row r="21" spans="1:13" x14ac:dyDescent="0.2">
      <c r="A21" s="11" t="s">
        <v>12</v>
      </c>
      <c r="B21" s="12" t="s">
        <v>43</v>
      </c>
      <c r="C21" s="13" t="s">
        <v>14</v>
      </c>
      <c r="D21" s="21">
        <v>812.43999999999994</v>
      </c>
      <c r="E21" s="15" t="s">
        <v>44</v>
      </c>
      <c r="F21" s="16" t="s">
        <v>16</v>
      </c>
      <c r="G21" s="22">
        <v>1</v>
      </c>
      <c r="H21" s="23">
        <v>1</v>
      </c>
      <c r="I21" s="23">
        <v>1</v>
      </c>
      <c r="J21" s="23">
        <v>1</v>
      </c>
      <c r="K21" s="23">
        <v>2</v>
      </c>
      <c r="L21" s="24">
        <f t="shared" si="0"/>
        <v>0.34297081055722239</v>
      </c>
      <c r="M21" s="20" t="s">
        <v>17</v>
      </c>
    </row>
    <row r="22" spans="1:13" x14ac:dyDescent="0.2">
      <c r="A22" s="11" t="s">
        <v>12</v>
      </c>
      <c r="B22" s="12" t="s">
        <v>45</v>
      </c>
      <c r="C22" s="13" t="s">
        <v>14</v>
      </c>
      <c r="D22" s="14">
        <v>0</v>
      </c>
      <c r="E22" s="15" t="s">
        <v>15</v>
      </c>
      <c r="F22" s="16" t="s">
        <v>16</v>
      </c>
      <c r="G22" s="17"/>
      <c r="H22" s="18"/>
      <c r="I22" s="18"/>
      <c r="J22" s="18"/>
      <c r="K22" s="18"/>
      <c r="L22" s="19" t="str">
        <f t="shared" si="0"/>
        <v/>
      </c>
      <c r="M22" s="20" t="s">
        <v>17</v>
      </c>
    </row>
    <row r="23" spans="1:13" x14ac:dyDescent="0.2">
      <c r="A23" s="11" t="s">
        <v>12</v>
      </c>
      <c r="B23" s="12" t="s">
        <v>46</v>
      </c>
      <c r="C23" s="13" t="s">
        <v>14</v>
      </c>
      <c r="D23" s="21">
        <v>119.990323</v>
      </c>
      <c r="E23" s="15" t="s">
        <v>47</v>
      </c>
      <c r="F23" s="16" t="s">
        <v>16</v>
      </c>
      <c r="G23" s="22">
        <v>1</v>
      </c>
      <c r="H23" s="23">
        <v>2</v>
      </c>
      <c r="I23" s="23">
        <v>1</v>
      </c>
      <c r="J23" s="23">
        <v>1</v>
      </c>
      <c r="K23" s="23">
        <v>2</v>
      </c>
      <c r="L23" s="24">
        <f t="shared" si="0"/>
        <v>0.35859414261160716</v>
      </c>
      <c r="M23" s="20" t="s">
        <v>17</v>
      </c>
    </row>
    <row r="24" spans="1:13" x14ac:dyDescent="0.2">
      <c r="A24" s="11" t="s">
        <v>12</v>
      </c>
      <c r="B24" s="12" t="s">
        <v>48</v>
      </c>
      <c r="C24" s="13" t="s">
        <v>14</v>
      </c>
      <c r="D24" s="21">
        <v>152.680621</v>
      </c>
      <c r="E24" s="15" t="s">
        <v>49</v>
      </c>
      <c r="F24" s="16" t="s">
        <v>16</v>
      </c>
      <c r="G24" s="22">
        <v>1</v>
      </c>
      <c r="H24" s="23">
        <v>1</v>
      </c>
      <c r="I24" s="23">
        <v>1</v>
      </c>
      <c r="J24" s="23">
        <v>1</v>
      </c>
      <c r="K24" s="23">
        <v>2</v>
      </c>
      <c r="L24" s="24">
        <f t="shared" si="0"/>
        <v>0.34297081055722239</v>
      </c>
      <c r="M24" s="20" t="s">
        <v>17</v>
      </c>
    </row>
    <row r="25" spans="1:13" x14ac:dyDescent="0.2">
      <c r="A25" s="11" t="s">
        <v>12</v>
      </c>
      <c r="B25" s="12" t="s">
        <v>50</v>
      </c>
      <c r="C25" s="13" t="s">
        <v>14</v>
      </c>
      <c r="D25" s="21">
        <v>133.363731</v>
      </c>
      <c r="E25" s="15" t="s">
        <v>51</v>
      </c>
      <c r="F25" s="16" t="s">
        <v>16</v>
      </c>
      <c r="G25" s="22">
        <v>1</v>
      </c>
      <c r="H25" s="23">
        <v>1</v>
      </c>
      <c r="I25" s="23">
        <v>1</v>
      </c>
      <c r="J25" s="23">
        <v>1</v>
      </c>
      <c r="K25" s="23">
        <v>3</v>
      </c>
      <c r="L25" s="24">
        <f t="shared" si="0"/>
        <v>1.0141150152164344</v>
      </c>
      <c r="M25" s="20" t="s">
        <v>17</v>
      </c>
    </row>
    <row r="26" spans="1:13" x14ac:dyDescent="0.2">
      <c r="A26" s="11" t="s">
        <v>12</v>
      </c>
      <c r="B26" s="12" t="s">
        <v>52</v>
      </c>
      <c r="C26" s="13" t="s">
        <v>14</v>
      </c>
      <c r="D26" s="21">
        <v>189.00807900000001</v>
      </c>
      <c r="E26" s="15" t="s">
        <v>53</v>
      </c>
      <c r="F26" s="16" t="s">
        <v>16</v>
      </c>
      <c r="G26" s="22">
        <v>1</v>
      </c>
      <c r="H26" s="23">
        <v>2</v>
      </c>
      <c r="I26" s="23">
        <v>1</v>
      </c>
      <c r="J26" s="23">
        <v>1</v>
      </c>
      <c r="K26" s="23">
        <v>2</v>
      </c>
      <c r="L26" s="24">
        <f t="shared" si="0"/>
        <v>0.35859414261160716</v>
      </c>
      <c r="M26" s="20" t="s">
        <v>17</v>
      </c>
    </row>
    <row r="27" spans="1:13" x14ac:dyDescent="0.2">
      <c r="A27" s="11" t="s">
        <v>12</v>
      </c>
      <c r="B27" s="12" t="s">
        <v>54</v>
      </c>
      <c r="C27" s="13" t="s">
        <v>14</v>
      </c>
      <c r="D27" s="21">
        <v>0.22067700000000001</v>
      </c>
      <c r="E27" s="15" t="s">
        <v>15</v>
      </c>
      <c r="F27" s="16" t="s">
        <v>16</v>
      </c>
      <c r="G27" s="22">
        <v>1</v>
      </c>
      <c r="H27" s="23">
        <v>2</v>
      </c>
      <c r="I27" s="23">
        <v>1</v>
      </c>
      <c r="J27" s="23">
        <v>1</v>
      </c>
      <c r="K27" s="23">
        <v>2</v>
      </c>
      <c r="L27" s="25">
        <f t="shared" si="0"/>
        <v>0.35859414261160716</v>
      </c>
      <c r="M27" s="20" t="s">
        <v>17</v>
      </c>
    </row>
    <row r="28" spans="1:13" x14ac:dyDescent="0.2">
      <c r="A28" s="11" t="s">
        <v>12</v>
      </c>
      <c r="B28" s="12" t="s">
        <v>55</v>
      </c>
      <c r="C28" s="13" t="s">
        <v>14</v>
      </c>
      <c r="D28" s="21">
        <v>854.05100000000004</v>
      </c>
      <c r="E28" s="15" t="s">
        <v>56</v>
      </c>
      <c r="F28" s="16" t="s">
        <v>16</v>
      </c>
      <c r="G28" s="22">
        <v>1</v>
      </c>
      <c r="H28" s="23">
        <v>1</v>
      </c>
      <c r="I28" s="23">
        <v>1</v>
      </c>
      <c r="J28" s="23">
        <v>1</v>
      </c>
      <c r="K28" s="23">
        <v>2</v>
      </c>
      <c r="L28" s="24">
        <f t="shared" si="0"/>
        <v>0.34297081055722239</v>
      </c>
      <c r="M28" s="20" t="s">
        <v>17</v>
      </c>
    </row>
    <row r="29" spans="1:13" x14ac:dyDescent="0.2">
      <c r="A29" s="11" t="s">
        <v>12</v>
      </c>
      <c r="B29" s="12" t="s">
        <v>57</v>
      </c>
      <c r="C29" s="13" t="s">
        <v>14</v>
      </c>
      <c r="D29" s="21">
        <v>168.57990000000001</v>
      </c>
      <c r="E29" s="15" t="s">
        <v>58</v>
      </c>
      <c r="F29" s="16" t="s">
        <v>16</v>
      </c>
      <c r="G29" s="22">
        <v>1</v>
      </c>
      <c r="H29" s="23">
        <v>1</v>
      </c>
      <c r="I29" s="23">
        <v>1</v>
      </c>
      <c r="J29" s="23">
        <v>1</v>
      </c>
      <c r="K29" s="23">
        <v>2</v>
      </c>
      <c r="L29" s="24">
        <f t="shared" si="0"/>
        <v>0.34297081055722239</v>
      </c>
      <c r="M29" s="20" t="s">
        <v>17</v>
      </c>
    </row>
    <row r="30" spans="1:13" x14ac:dyDescent="0.2">
      <c r="A30" s="11" t="s">
        <v>12</v>
      </c>
      <c r="B30" s="12" t="s">
        <v>59</v>
      </c>
      <c r="C30" s="13" t="s">
        <v>14</v>
      </c>
      <c r="D30" s="14">
        <v>0</v>
      </c>
      <c r="E30" s="15"/>
      <c r="F30" s="16" t="s">
        <v>16</v>
      </c>
      <c r="G30" s="17"/>
      <c r="H30" s="18"/>
      <c r="I30" s="18"/>
      <c r="J30" s="18"/>
      <c r="K30" s="18"/>
      <c r="L30" s="19" t="str">
        <f t="shared" si="0"/>
        <v/>
      </c>
      <c r="M30" s="20"/>
    </row>
    <row r="31" spans="1:13" x14ac:dyDescent="0.2">
      <c r="A31" s="11" t="s">
        <v>12</v>
      </c>
      <c r="B31" s="12" t="s">
        <v>60</v>
      </c>
      <c r="C31" s="13" t="s">
        <v>14</v>
      </c>
      <c r="D31" s="26">
        <v>42.403086999999999</v>
      </c>
      <c r="E31" s="15" t="s">
        <v>61</v>
      </c>
      <c r="F31" s="16" t="s">
        <v>16</v>
      </c>
      <c r="G31" s="22">
        <v>1</v>
      </c>
      <c r="H31" s="23">
        <v>2</v>
      </c>
      <c r="I31" s="23">
        <v>1</v>
      </c>
      <c r="J31" s="23">
        <v>1</v>
      </c>
      <c r="K31" s="23">
        <v>2</v>
      </c>
      <c r="L31" s="24">
        <f t="shared" si="0"/>
        <v>0.35859414261160716</v>
      </c>
      <c r="M31" s="20" t="s">
        <v>17</v>
      </c>
    </row>
    <row r="32" spans="1:13" x14ac:dyDescent="0.2">
      <c r="A32" s="11" t="s">
        <v>12</v>
      </c>
      <c r="B32" s="12" t="s">
        <v>13</v>
      </c>
      <c r="C32" s="27" t="s">
        <v>62</v>
      </c>
      <c r="D32" s="14">
        <v>0</v>
      </c>
      <c r="E32" s="15" t="s">
        <v>15</v>
      </c>
      <c r="F32" s="16" t="s">
        <v>16</v>
      </c>
      <c r="G32" s="17"/>
      <c r="H32" s="18"/>
      <c r="I32" s="18"/>
      <c r="J32" s="18"/>
      <c r="K32" s="18"/>
      <c r="L32" s="19" t="str">
        <f t="shared" si="0"/>
        <v/>
      </c>
      <c r="M32" s="20" t="s">
        <v>63</v>
      </c>
    </row>
    <row r="33" spans="1:13" x14ac:dyDescent="0.2">
      <c r="A33" s="11" t="s">
        <v>12</v>
      </c>
      <c r="B33" s="12" t="s">
        <v>18</v>
      </c>
      <c r="C33" s="27" t="s">
        <v>62</v>
      </c>
      <c r="D33" s="21">
        <v>962.271839</v>
      </c>
      <c r="E33" s="15" t="s">
        <v>19</v>
      </c>
      <c r="F33" s="16" t="s">
        <v>16</v>
      </c>
      <c r="G33" s="22">
        <v>1</v>
      </c>
      <c r="H33" s="23">
        <v>2</v>
      </c>
      <c r="I33" s="23">
        <v>1</v>
      </c>
      <c r="J33" s="23">
        <v>1</v>
      </c>
      <c r="K33" s="23">
        <v>2</v>
      </c>
      <c r="L33" s="24">
        <f t="shared" si="0"/>
        <v>0.35859414261160716</v>
      </c>
      <c r="M33" s="20" t="s">
        <v>63</v>
      </c>
    </row>
    <row r="34" spans="1:13" x14ac:dyDescent="0.2">
      <c r="A34" s="11" t="s">
        <v>12</v>
      </c>
      <c r="B34" s="12" t="s">
        <v>20</v>
      </c>
      <c r="C34" s="27" t="s">
        <v>62</v>
      </c>
      <c r="D34" s="21">
        <v>56.968302000000001</v>
      </c>
      <c r="E34" s="15" t="s">
        <v>21</v>
      </c>
      <c r="F34" s="16" t="s">
        <v>16</v>
      </c>
      <c r="G34" s="22">
        <v>1</v>
      </c>
      <c r="H34" s="23">
        <v>1</v>
      </c>
      <c r="I34" s="23">
        <v>1</v>
      </c>
      <c r="J34" s="23">
        <v>1</v>
      </c>
      <c r="K34" s="23">
        <v>2</v>
      </c>
      <c r="L34" s="24">
        <f t="shared" si="0"/>
        <v>0.34297081055722239</v>
      </c>
      <c r="M34" s="20" t="s">
        <v>63</v>
      </c>
    </row>
    <row r="35" spans="1:13" x14ac:dyDescent="0.2">
      <c r="A35" s="11" t="s">
        <v>12</v>
      </c>
      <c r="B35" s="12" t="s">
        <v>22</v>
      </c>
      <c r="C35" s="27" t="s">
        <v>62</v>
      </c>
      <c r="D35" s="14">
        <v>0</v>
      </c>
      <c r="E35" s="15" t="s">
        <v>15</v>
      </c>
      <c r="F35" s="16" t="s">
        <v>16</v>
      </c>
      <c r="G35" s="17"/>
      <c r="H35" s="18"/>
      <c r="I35" s="18"/>
      <c r="J35" s="18"/>
      <c r="K35" s="18"/>
      <c r="L35" s="19" t="str">
        <f t="shared" ref="L35:L65" si="1">IF( OR( ISBLANK(G35),ISBLANK(H35), ISBLANK(I35), ISBLANK(J35), ISBLANK(K35) ), "", 1.5*SQRT( EXP(2.21*(G35-1)) + EXP(2.21*(H35-1)) + EXP(2.21*(I35-1)) + EXP(2.21*(J35-1)) + EXP(2.21*K35) )/100*2.45 )</f>
        <v/>
      </c>
      <c r="M35" s="20" t="s">
        <v>63</v>
      </c>
    </row>
    <row r="36" spans="1:13" x14ac:dyDescent="0.2">
      <c r="A36" s="11" t="s">
        <v>12</v>
      </c>
      <c r="B36" s="12" t="s">
        <v>23</v>
      </c>
      <c r="C36" s="27" t="s">
        <v>62</v>
      </c>
      <c r="D36" s="14">
        <v>0</v>
      </c>
      <c r="E36" s="15" t="s">
        <v>15</v>
      </c>
      <c r="F36" s="16" t="s">
        <v>16</v>
      </c>
      <c r="G36" s="17"/>
      <c r="H36" s="18"/>
      <c r="I36" s="18"/>
      <c r="J36" s="18"/>
      <c r="K36" s="18"/>
      <c r="L36" s="19" t="str">
        <f t="shared" si="1"/>
        <v/>
      </c>
      <c r="M36" s="20" t="s">
        <v>63</v>
      </c>
    </row>
    <row r="37" spans="1:13" x14ac:dyDescent="0.2">
      <c r="A37" s="11" t="s">
        <v>12</v>
      </c>
      <c r="B37" s="12" t="s">
        <v>24</v>
      </c>
      <c r="C37" s="27" t="s">
        <v>62</v>
      </c>
      <c r="D37" s="21">
        <v>405.02</v>
      </c>
      <c r="E37" s="15" t="s">
        <v>15</v>
      </c>
      <c r="F37" s="16" t="s">
        <v>16</v>
      </c>
      <c r="G37" s="22">
        <v>1</v>
      </c>
      <c r="H37" s="23">
        <v>2</v>
      </c>
      <c r="I37" s="23">
        <v>1</v>
      </c>
      <c r="J37" s="23">
        <v>1</v>
      </c>
      <c r="K37" s="23">
        <v>2</v>
      </c>
      <c r="L37" s="24">
        <f t="shared" si="1"/>
        <v>0.35859414261160716</v>
      </c>
      <c r="M37" s="20" t="s">
        <v>63</v>
      </c>
    </row>
    <row r="38" spans="1:13" x14ac:dyDescent="0.2">
      <c r="A38" s="11" t="s">
        <v>12</v>
      </c>
      <c r="B38" s="12" t="s">
        <v>25</v>
      </c>
      <c r="C38" s="27" t="s">
        <v>62</v>
      </c>
      <c r="D38" s="14">
        <v>0</v>
      </c>
      <c r="E38" s="15" t="s">
        <v>15</v>
      </c>
      <c r="F38" s="16" t="s">
        <v>16</v>
      </c>
      <c r="G38" s="17"/>
      <c r="H38" s="18"/>
      <c r="I38" s="18"/>
      <c r="J38" s="18"/>
      <c r="K38" s="18"/>
      <c r="L38" s="19" t="str">
        <f t="shared" si="1"/>
        <v/>
      </c>
      <c r="M38" s="20" t="s">
        <v>63</v>
      </c>
    </row>
    <row r="39" spans="1:13" x14ac:dyDescent="0.2">
      <c r="A39" s="11" t="s">
        <v>12</v>
      </c>
      <c r="B39" s="12" t="s">
        <v>26</v>
      </c>
      <c r="C39" s="27" t="s">
        <v>62</v>
      </c>
      <c r="D39" s="21">
        <v>160.53251499999999</v>
      </c>
      <c r="E39" s="15" t="s">
        <v>15</v>
      </c>
      <c r="F39" s="16" t="s">
        <v>16</v>
      </c>
      <c r="G39" s="22">
        <v>1</v>
      </c>
      <c r="H39" s="23">
        <v>2</v>
      </c>
      <c r="I39" s="23">
        <v>1</v>
      </c>
      <c r="J39" s="23">
        <v>1</v>
      </c>
      <c r="K39" s="23">
        <v>2</v>
      </c>
      <c r="L39" s="24">
        <f t="shared" si="1"/>
        <v>0.35859414261160716</v>
      </c>
      <c r="M39" s="20" t="s">
        <v>63</v>
      </c>
    </row>
    <row r="40" spans="1:13" x14ac:dyDescent="0.2">
      <c r="A40" s="11" t="s">
        <v>12</v>
      </c>
      <c r="B40" s="12" t="s">
        <v>27</v>
      </c>
      <c r="C40" s="27" t="s">
        <v>62</v>
      </c>
      <c r="D40" s="21">
        <v>79.867672999999996</v>
      </c>
      <c r="E40" s="15" t="s">
        <v>15</v>
      </c>
      <c r="F40" s="16" t="s">
        <v>16</v>
      </c>
      <c r="G40" s="22">
        <v>1</v>
      </c>
      <c r="H40" s="23">
        <v>1</v>
      </c>
      <c r="I40" s="23">
        <v>1</v>
      </c>
      <c r="J40" s="23">
        <v>1</v>
      </c>
      <c r="K40" s="23">
        <v>2</v>
      </c>
      <c r="L40" s="24">
        <f t="shared" si="1"/>
        <v>0.34297081055722239</v>
      </c>
      <c r="M40" s="20" t="s">
        <v>63</v>
      </c>
    </row>
    <row r="41" spans="1:13" x14ac:dyDescent="0.2">
      <c r="A41" s="11" t="s">
        <v>12</v>
      </c>
      <c r="B41" s="12" t="s">
        <v>28</v>
      </c>
      <c r="C41" s="27" t="s">
        <v>62</v>
      </c>
      <c r="D41" s="21">
        <v>94.147165999999999</v>
      </c>
      <c r="E41" s="15" t="s">
        <v>29</v>
      </c>
      <c r="F41" s="16" t="s">
        <v>16</v>
      </c>
      <c r="G41" s="22">
        <v>1</v>
      </c>
      <c r="H41" s="23">
        <v>3</v>
      </c>
      <c r="I41" s="23">
        <v>1</v>
      </c>
      <c r="J41" s="23">
        <v>1</v>
      </c>
      <c r="K41" s="23">
        <v>2</v>
      </c>
      <c r="L41" s="24">
        <f t="shared" si="1"/>
        <v>0.47802211380704585</v>
      </c>
      <c r="M41" s="20" t="s">
        <v>63</v>
      </c>
    </row>
    <row r="42" spans="1:13" x14ac:dyDescent="0.2">
      <c r="A42" s="11" t="s">
        <v>12</v>
      </c>
      <c r="B42" s="12" t="s">
        <v>30</v>
      </c>
      <c r="C42" s="27" t="s">
        <v>62</v>
      </c>
      <c r="D42" s="21">
        <v>1774.672</v>
      </c>
      <c r="E42" s="15" t="s">
        <v>31</v>
      </c>
      <c r="F42" s="16" t="s">
        <v>16</v>
      </c>
      <c r="G42" s="22">
        <v>1</v>
      </c>
      <c r="H42" s="23">
        <v>1</v>
      </c>
      <c r="I42" s="23">
        <v>1</v>
      </c>
      <c r="J42" s="23">
        <v>1</v>
      </c>
      <c r="K42" s="23">
        <v>2</v>
      </c>
      <c r="L42" s="24">
        <f t="shared" si="1"/>
        <v>0.34297081055722239</v>
      </c>
      <c r="M42" s="20" t="s">
        <v>63</v>
      </c>
    </row>
    <row r="43" spans="1:13" x14ac:dyDescent="0.2">
      <c r="A43" s="11" t="s">
        <v>12</v>
      </c>
      <c r="B43" s="12" t="s">
        <v>32</v>
      </c>
      <c r="C43" s="27" t="s">
        <v>62</v>
      </c>
      <c r="D43" s="14">
        <v>0</v>
      </c>
      <c r="E43" s="15" t="s">
        <v>15</v>
      </c>
      <c r="F43" s="16" t="s">
        <v>16</v>
      </c>
      <c r="G43" s="17"/>
      <c r="H43" s="18"/>
      <c r="I43" s="18"/>
      <c r="J43" s="18"/>
      <c r="K43" s="18"/>
      <c r="L43" s="19" t="str">
        <f t="shared" si="1"/>
        <v/>
      </c>
      <c r="M43" s="20" t="s">
        <v>63</v>
      </c>
    </row>
    <row r="44" spans="1:13" x14ac:dyDescent="0.2">
      <c r="A44" s="11" t="s">
        <v>12</v>
      </c>
      <c r="B44" s="12" t="s">
        <v>34</v>
      </c>
      <c r="C44" s="27" t="s">
        <v>62</v>
      </c>
      <c r="D44" s="21">
        <v>327.00299999999999</v>
      </c>
      <c r="E44" s="15" t="s">
        <v>35</v>
      </c>
      <c r="F44" s="16" t="s">
        <v>16</v>
      </c>
      <c r="G44" s="22">
        <v>1</v>
      </c>
      <c r="H44" s="23">
        <v>1</v>
      </c>
      <c r="I44" s="23">
        <v>1</v>
      </c>
      <c r="J44" s="23">
        <v>1</v>
      </c>
      <c r="K44" s="23">
        <v>2</v>
      </c>
      <c r="L44" s="24">
        <f t="shared" si="1"/>
        <v>0.34297081055722239</v>
      </c>
      <c r="M44" s="20" t="s">
        <v>63</v>
      </c>
    </row>
    <row r="45" spans="1:13" x14ac:dyDescent="0.2">
      <c r="A45" s="11" t="s">
        <v>12</v>
      </c>
      <c r="B45" s="12" t="s">
        <v>36</v>
      </c>
      <c r="C45" s="27" t="s">
        <v>62</v>
      </c>
      <c r="D45" s="21">
        <v>299.31400000000002</v>
      </c>
      <c r="E45" s="15" t="s">
        <v>15</v>
      </c>
      <c r="F45" s="16" t="s">
        <v>16</v>
      </c>
      <c r="G45" s="22">
        <v>1</v>
      </c>
      <c r="H45" s="23">
        <v>2</v>
      </c>
      <c r="I45" s="23">
        <v>1</v>
      </c>
      <c r="J45" s="23">
        <v>1</v>
      </c>
      <c r="K45" s="23">
        <v>2</v>
      </c>
      <c r="L45" s="25">
        <f t="shared" si="1"/>
        <v>0.35859414261160716</v>
      </c>
      <c r="M45" s="20" t="s">
        <v>63</v>
      </c>
    </row>
    <row r="46" spans="1:13" x14ac:dyDescent="0.2">
      <c r="A46" s="11" t="s">
        <v>12</v>
      </c>
      <c r="B46" s="12" t="s">
        <v>37</v>
      </c>
      <c r="C46" s="27" t="s">
        <v>62</v>
      </c>
      <c r="D46" s="21">
        <v>533.70299999999997</v>
      </c>
      <c r="E46" s="15" t="s">
        <v>38</v>
      </c>
      <c r="F46" s="16" t="s">
        <v>16</v>
      </c>
      <c r="G46" s="22">
        <v>1</v>
      </c>
      <c r="H46" s="23">
        <v>1</v>
      </c>
      <c r="I46" s="23">
        <v>1</v>
      </c>
      <c r="J46" s="23">
        <v>1</v>
      </c>
      <c r="K46" s="23">
        <v>2</v>
      </c>
      <c r="L46" s="24">
        <f t="shared" si="1"/>
        <v>0.34297081055722239</v>
      </c>
      <c r="M46" s="20" t="s">
        <v>63</v>
      </c>
    </row>
    <row r="47" spans="1:13" x14ac:dyDescent="0.2">
      <c r="A47" s="11" t="s">
        <v>12</v>
      </c>
      <c r="B47" s="12" t="s">
        <v>39</v>
      </c>
      <c r="C47" s="27" t="s">
        <v>62</v>
      </c>
      <c r="D47" s="14">
        <v>0</v>
      </c>
      <c r="E47" s="15" t="s">
        <v>15</v>
      </c>
      <c r="F47" s="16" t="s">
        <v>16</v>
      </c>
      <c r="G47" s="17"/>
      <c r="H47" s="18"/>
      <c r="I47" s="18"/>
      <c r="J47" s="18"/>
      <c r="K47" s="18"/>
      <c r="L47" s="19" t="str">
        <f t="shared" si="1"/>
        <v/>
      </c>
      <c r="M47" s="20" t="s">
        <v>63</v>
      </c>
    </row>
    <row r="48" spans="1:13" x14ac:dyDescent="0.2">
      <c r="A48" s="11" t="s">
        <v>12</v>
      </c>
      <c r="B48" s="12" t="s">
        <v>40</v>
      </c>
      <c r="C48" s="27" t="s">
        <v>62</v>
      </c>
      <c r="D48" s="14">
        <v>0</v>
      </c>
      <c r="E48" s="15" t="s">
        <v>15</v>
      </c>
      <c r="F48" s="16" t="s">
        <v>16</v>
      </c>
      <c r="G48" s="17"/>
      <c r="H48" s="18"/>
      <c r="I48" s="18"/>
      <c r="J48" s="18"/>
      <c r="K48" s="18"/>
      <c r="L48" s="19" t="str">
        <f t="shared" si="1"/>
        <v/>
      </c>
      <c r="M48" s="20" t="s">
        <v>63</v>
      </c>
    </row>
    <row r="49" spans="1:13" x14ac:dyDescent="0.2">
      <c r="A49" s="11" t="s">
        <v>12</v>
      </c>
      <c r="B49" s="12" t="s">
        <v>41</v>
      </c>
      <c r="C49" s="27" t="s">
        <v>62</v>
      </c>
      <c r="D49" s="14">
        <v>0</v>
      </c>
      <c r="E49" s="15" t="s">
        <v>15</v>
      </c>
      <c r="F49" s="16" t="s">
        <v>16</v>
      </c>
      <c r="G49" s="17"/>
      <c r="H49" s="18"/>
      <c r="I49" s="18"/>
      <c r="J49" s="18"/>
      <c r="K49" s="18"/>
      <c r="L49" s="19" t="str">
        <f t="shared" si="1"/>
        <v/>
      </c>
      <c r="M49" s="20" t="s">
        <v>63</v>
      </c>
    </row>
    <row r="50" spans="1:13" x14ac:dyDescent="0.2">
      <c r="A50" s="11" t="s">
        <v>12</v>
      </c>
      <c r="B50" s="12" t="s">
        <v>42</v>
      </c>
      <c r="C50" s="27" t="s">
        <v>62</v>
      </c>
      <c r="D50" s="14">
        <v>0</v>
      </c>
      <c r="E50" s="15" t="s">
        <v>15</v>
      </c>
      <c r="F50" s="16" t="s">
        <v>16</v>
      </c>
      <c r="G50" s="17"/>
      <c r="H50" s="18"/>
      <c r="I50" s="18"/>
      <c r="J50" s="18"/>
      <c r="K50" s="18"/>
      <c r="L50" s="19" t="str">
        <f t="shared" si="1"/>
        <v/>
      </c>
      <c r="M50" s="20" t="s">
        <v>63</v>
      </c>
    </row>
    <row r="51" spans="1:13" x14ac:dyDescent="0.2">
      <c r="A51" s="11" t="s">
        <v>12</v>
      </c>
      <c r="B51" s="12" t="s">
        <v>43</v>
      </c>
      <c r="C51" s="27" t="s">
        <v>62</v>
      </c>
      <c r="D51" s="21">
        <v>318.04300000000001</v>
      </c>
      <c r="E51" s="15" t="s">
        <v>44</v>
      </c>
      <c r="F51" s="16" t="s">
        <v>16</v>
      </c>
      <c r="G51" s="22">
        <v>1</v>
      </c>
      <c r="H51" s="23">
        <v>1</v>
      </c>
      <c r="I51" s="23">
        <v>1</v>
      </c>
      <c r="J51" s="23">
        <v>1</v>
      </c>
      <c r="K51" s="23">
        <v>2</v>
      </c>
      <c r="L51" s="24">
        <f t="shared" si="1"/>
        <v>0.34297081055722239</v>
      </c>
      <c r="M51" s="20" t="s">
        <v>63</v>
      </c>
    </row>
    <row r="52" spans="1:13" x14ac:dyDescent="0.2">
      <c r="A52" s="11" t="s">
        <v>12</v>
      </c>
      <c r="B52" s="12" t="s">
        <v>45</v>
      </c>
      <c r="C52" s="27" t="s">
        <v>62</v>
      </c>
      <c r="D52" s="14">
        <v>0</v>
      </c>
      <c r="E52" s="15" t="s">
        <v>15</v>
      </c>
      <c r="F52" s="16" t="s">
        <v>16</v>
      </c>
      <c r="G52" s="17"/>
      <c r="H52" s="18"/>
      <c r="I52" s="18"/>
      <c r="J52" s="18"/>
      <c r="K52" s="18"/>
      <c r="L52" s="19" t="str">
        <f t="shared" si="1"/>
        <v/>
      </c>
      <c r="M52" s="20" t="s">
        <v>63</v>
      </c>
    </row>
    <row r="53" spans="1:13" x14ac:dyDescent="0.2">
      <c r="A53" s="11" t="s">
        <v>12</v>
      </c>
      <c r="B53" s="12" t="s">
        <v>46</v>
      </c>
      <c r="C53" s="27" t="s">
        <v>62</v>
      </c>
      <c r="D53" s="21">
        <v>99.79066499999999</v>
      </c>
      <c r="E53" s="15" t="s">
        <v>47</v>
      </c>
      <c r="F53" s="16" t="s">
        <v>16</v>
      </c>
      <c r="G53" s="22">
        <v>1</v>
      </c>
      <c r="H53" s="23">
        <v>2</v>
      </c>
      <c r="I53" s="23">
        <v>1</v>
      </c>
      <c r="J53" s="23">
        <v>1</v>
      </c>
      <c r="K53" s="23">
        <v>2</v>
      </c>
      <c r="L53" s="24">
        <f t="shared" si="1"/>
        <v>0.35859414261160716</v>
      </c>
      <c r="M53" s="20" t="s">
        <v>63</v>
      </c>
    </row>
    <row r="54" spans="1:13" x14ac:dyDescent="0.2">
      <c r="A54" s="11" t="s">
        <v>12</v>
      </c>
      <c r="B54" s="12" t="s">
        <v>48</v>
      </c>
      <c r="C54" s="27" t="s">
        <v>62</v>
      </c>
      <c r="D54" s="21">
        <v>132.099672</v>
      </c>
      <c r="E54" s="15" t="s">
        <v>49</v>
      </c>
      <c r="F54" s="16" t="s">
        <v>16</v>
      </c>
      <c r="G54" s="22">
        <v>1</v>
      </c>
      <c r="H54" s="23">
        <v>1</v>
      </c>
      <c r="I54" s="23">
        <v>1</v>
      </c>
      <c r="J54" s="23">
        <v>1</v>
      </c>
      <c r="K54" s="23">
        <v>2</v>
      </c>
      <c r="L54" s="24">
        <f t="shared" si="1"/>
        <v>0.34297081055722239</v>
      </c>
      <c r="M54" s="20" t="s">
        <v>63</v>
      </c>
    </row>
    <row r="55" spans="1:13" x14ac:dyDescent="0.2">
      <c r="A55" s="11" t="s">
        <v>12</v>
      </c>
      <c r="B55" s="12" t="s">
        <v>50</v>
      </c>
      <c r="C55" s="27" t="s">
        <v>62</v>
      </c>
      <c r="D55" s="21">
        <v>9.300000000000001E-3</v>
      </c>
      <c r="E55" s="15" t="s">
        <v>51</v>
      </c>
      <c r="F55" s="16" t="s">
        <v>16</v>
      </c>
      <c r="G55" s="22">
        <v>1</v>
      </c>
      <c r="H55" s="23">
        <v>2</v>
      </c>
      <c r="I55" s="23">
        <v>1</v>
      </c>
      <c r="J55" s="23">
        <v>1</v>
      </c>
      <c r="K55" s="23">
        <v>2</v>
      </c>
      <c r="L55" s="24">
        <f t="shared" si="1"/>
        <v>0.35859414261160716</v>
      </c>
      <c r="M55" s="20" t="s">
        <v>63</v>
      </c>
    </row>
    <row r="56" spans="1:13" x14ac:dyDescent="0.2">
      <c r="A56" s="11" t="s">
        <v>12</v>
      </c>
      <c r="B56" s="12" t="s">
        <v>52</v>
      </c>
      <c r="C56" s="27" t="s">
        <v>62</v>
      </c>
      <c r="D56" s="21">
        <v>4.0820000000000002E-2</v>
      </c>
      <c r="E56" s="15" t="s">
        <v>53</v>
      </c>
      <c r="F56" s="16" t="s">
        <v>16</v>
      </c>
      <c r="G56" s="22">
        <v>1</v>
      </c>
      <c r="H56" s="23">
        <v>1</v>
      </c>
      <c r="I56" s="23">
        <v>1</v>
      </c>
      <c r="J56" s="23">
        <v>1</v>
      </c>
      <c r="K56" s="23">
        <v>2</v>
      </c>
      <c r="L56" s="24">
        <f t="shared" si="1"/>
        <v>0.34297081055722239</v>
      </c>
      <c r="M56" s="20" t="s">
        <v>63</v>
      </c>
    </row>
    <row r="57" spans="1:13" x14ac:dyDescent="0.2">
      <c r="A57" s="11" t="s">
        <v>12</v>
      </c>
      <c r="B57" s="12" t="s">
        <v>54</v>
      </c>
      <c r="C57" s="27" t="s">
        <v>62</v>
      </c>
      <c r="D57" s="14">
        <v>0</v>
      </c>
      <c r="E57" s="15" t="s">
        <v>15</v>
      </c>
      <c r="F57" s="16" t="s">
        <v>16</v>
      </c>
      <c r="G57" s="17"/>
      <c r="H57" s="18"/>
      <c r="I57" s="18"/>
      <c r="J57" s="18"/>
      <c r="K57" s="18"/>
      <c r="L57" s="19" t="str">
        <f t="shared" si="1"/>
        <v/>
      </c>
      <c r="M57" s="20" t="s">
        <v>63</v>
      </c>
    </row>
    <row r="58" spans="1:13" x14ac:dyDescent="0.2">
      <c r="A58" s="11" t="s">
        <v>12</v>
      </c>
      <c r="B58" s="12" t="s">
        <v>55</v>
      </c>
      <c r="C58" s="27" t="s">
        <v>62</v>
      </c>
      <c r="D58" s="21">
        <v>471.83300000000003</v>
      </c>
      <c r="E58" s="15" t="s">
        <v>56</v>
      </c>
      <c r="F58" s="16" t="s">
        <v>16</v>
      </c>
      <c r="G58" s="22">
        <v>1</v>
      </c>
      <c r="H58" s="23">
        <v>1</v>
      </c>
      <c r="I58" s="23">
        <v>1</v>
      </c>
      <c r="J58" s="23">
        <v>1</v>
      </c>
      <c r="K58" s="23">
        <v>2</v>
      </c>
      <c r="L58" s="24">
        <f t="shared" si="1"/>
        <v>0.34297081055722239</v>
      </c>
      <c r="M58" s="20" t="s">
        <v>63</v>
      </c>
    </row>
    <row r="59" spans="1:13" x14ac:dyDescent="0.2">
      <c r="A59" s="11" t="s">
        <v>12</v>
      </c>
      <c r="B59" s="12" t="s">
        <v>57</v>
      </c>
      <c r="C59" s="27" t="s">
        <v>62</v>
      </c>
      <c r="D59" s="21">
        <v>284.73020000000002</v>
      </c>
      <c r="E59" s="15" t="s">
        <v>58</v>
      </c>
      <c r="F59" s="16" t="s">
        <v>16</v>
      </c>
      <c r="G59" s="22">
        <v>1</v>
      </c>
      <c r="H59" s="23">
        <v>1</v>
      </c>
      <c r="I59" s="23">
        <v>1</v>
      </c>
      <c r="J59" s="23">
        <v>1</v>
      </c>
      <c r="K59" s="23">
        <v>2</v>
      </c>
      <c r="L59" s="24">
        <f t="shared" si="1"/>
        <v>0.34297081055722239</v>
      </c>
      <c r="M59" s="20" t="s">
        <v>63</v>
      </c>
    </row>
    <row r="60" spans="1:13" x14ac:dyDescent="0.2">
      <c r="A60" s="11" t="s">
        <v>12</v>
      </c>
      <c r="B60" s="12" t="s">
        <v>59</v>
      </c>
      <c r="C60" s="27" t="s">
        <v>62</v>
      </c>
      <c r="D60" s="14">
        <v>0</v>
      </c>
      <c r="E60" s="15"/>
      <c r="F60" s="16" t="s">
        <v>16</v>
      </c>
      <c r="G60" s="17"/>
      <c r="H60" s="18"/>
      <c r="I60" s="18"/>
      <c r="J60" s="18"/>
      <c r="K60" s="18"/>
      <c r="L60" s="19" t="str">
        <f t="shared" si="1"/>
        <v/>
      </c>
      <c r="M60" s="20"/>
    </row>
    <row r="61" spans="1:13" x14ac:dyDescent="0.2">
      <c r="A61" s="11" t="s">
        <v>12</v>
      </c>
      <c r="B61" s="12" t="s">
        <v>60</v>
      </c>
      <c r="C61" s="27" t="s">
        <v>62</v>
      </c>
      <c r="D61" s="21">
        <v>15.806106</v>
      </c>
      <c r="E61" s="15" t="s">
        <v>61</v>
      </c>
      <c r="F61" s="16" t="s">
        <v>16</v>
      </c>
      <c r="G61" s="22">
        <v>1</v>
      </c>
      <c r="H61" s="23">
        <v>2</v>
      </c>
      <c r="I61" s="23">
        <v>1</v>
      </c>
      <c r="J61" s="23">
        <v>1</v>
      </c>
      <c r="K61" s="23">
        <v>2</v>
      </c>
      <c r="L61" s="24">
        <f t="shared" si="1"/>
        <v>0.35859414261160716</v>
      </c>
      <c r="M61" s="20" t="s">
        <v>63</v>
      </c>
    </row>
    <row r="62" spans="1:13" x14ac:dyDescent="0.2">
      <c r="A62" s="11" t="s">
        <v>12</v>
      </c>
      <c r="B62" s="12" t="s">
        <v>13</v>
      </c>
      <c r="C62" s="28" t="s">
        <v>64</v>
      </c>
      <c r="D62" s="14">
        <v>0</v>
      </c>
      <c r="E62" s="15" t="s">
        <v>15</v>
      </c>
      <c r="F62" s="16" t="s">
        <v>16</v>
      </c>
      <c r="G62" s="17"/>
      <c r="H62" s="18"/>
      <c r="I62" s="18"/>
      <c r="J62" s="18"/>
      <c r="K62" s="18"/>
      <c r="L62" s="19" t="str">
        <f t="shared" si="1"/>
        <v/>
      </c>
      <c r="M62" s="20" t="s">
        <v>65</v>
      </c>
    </row>
    <row r="63" spans="1:13" x14ac:dyDescent="0.2">
      <c r="A63" s="11" t="s">
        <v>12</v>
      </c>
      <c r="B63" s="12" t="s">
        <v>18</v>
      </c>
      <c r="C63" s="28" t="s">
        <v>64</v>
      </c>
      <c r="D63" s="21">
        <v>2043.149864</v>
      </c>
      <c r="E63" s="15" t="s">
        <v>19</v>
      </c>
      <c r="F63" s="16" t="s">
        <v>16</v>
      </c>
      <c r="G63" s="22">
        <v>1</v>
      </c>
      <c r="H63" s="23">
        <v>2</v>
      </c>
      <c r="I63" s="23">
        <v>1</v>
      </c>
      <c r="J63" s="23">
        <v>1</v>
      </c>
      <c r="K63" s="23">
        <v>2</v>
      </c>
      <c r="L63" s="24">
        <f t="shared" si="1"/>
        <v>0.35859414261160716</v>
      </c>
      <c r="M63" s="20" t="s">
        <v>65</v>
      </c>
    </row>
    <row r="64" spans="1:13" x14ac:dyDescent="0.2">
      <c r="A64" s="11" t="s">
        <v>12</v>
      </c>
      <c r="B64" s="12" t="s">
        <v>20</v>
      </c>
      <c r="C64" s="28" t="s">
        <v>64</v>
      </c>
      <c r="D64" s="21">
        <v>103.995507</v>
      </c>
      <c r="E64" s="15" t="s">
        <v>21</v>
      </c>
      <c r="F64" s="16" t="s">
        <v>16</v>
      </c>
      <c r="G64" s="22">
        <v>1</v>
      </c>
      <c r="H64" s="23">
        <v>1</v>
      </c>
      <c r="I64" s="23">
        <v>1</v>
      </c>
      <c r="J64" s="23">
        <v>1</v>
      </c>
      <c r="K64" s="23">
        <v>2</v>
      </c>
      <c r="L64" s="24">
        <f t="shared" si="1"/>
        <v>0.34297081055722239</v>
      </c>
      <c r="M64" s="20" t="s">
        <v>65</v>
      </c>
    </row>
    <row r="65" spans="1:13" x14ac:dyDescent="0.2">
      <c r="A65" s="11" t="s">
        <v>12</v>
      </c>
      <c r="B65" s="12" t="s">
        <v>22</v>
      </c>
      <c r="C65" s="28" t="s">
        <v>64</v>
      </c>
      <c r="D65" s="14">
        <v>0</v>
      </c>
      <c r="E65" s="15" t="s">
        <v>15</v>
      </c>
      <c r="F65" s="16" t="s">
        <v>16</v>
      </c>
      <c r="G65" s="17"/>
      <c r="H65" s="18"/>
      <c r="I65" s="18"/>
      <c r="J65" s="18"/>
      <c r="K65" s="18"/>
      <c r="L65" s="19" t="str">
        <f t="shared" si="1"/>
        <v/>
      </c>
      <c r="M65" s="20" t="s">
        <v>65</v>
      </c>
    </row>
    <row r="66" spans="1:13" x14ac:dyDescent="0.2">
      <c r="A66" s="11" t="s">
        <v>12</v>
      </c>
      <c r="B66" s="12" t="s">
        <v>23</v>
      </c>
      <c r="C66" s="28" t="s">
        <v>64</v>
      </c>
      <c r="D66" s="14">
        <v>0</v>
      </c>
      <c r="E66" s="15" t="s">
        <v>15</v>
      </c>
      <c r="F66" s="16" t="s">
        <v>16</v>
      </c>
      <c r="G66" s="17"/>
      <c r="H66" s="18"/>
      <c r="I66" s="18"/>
      <c r="J66" s="18"/>
      <c r="K66" s="18"/>
      <c r="L66" s="19" t="str">
        <f>IF( OR( ISBLANK(G66),ISBLANK(H66), ISBLANK(I66), ISBLANK(J66), ISBLANK(K66) ), "", 1.5*SQRT(   EXP(2.21*(G66-1)) + EXP(2.21*(H66-1)) + EXP(2.21*(I66-1)) + EXP(2.21*(J66-1)) + EXP(2.21*K66)   )/100*2.45 )</f>
        <v/>
      </c>
      <c r="M66" s="20" t="s">
        <v>65</v>
      </c>
    </row>
    <row r="67" spans="1:13" x14ac:dyDescent="0.2">
      <c r="A67" s="11" t="s">
        <v>12</v>
      </c>
      <c r="B67" s="12" t="s">
        <v>24</v>
      </c>
      <c r="C67" s="28" t="s">
        <v>64</v>
      </c>
      <c r="D67" s="21">
        <v>281.33699999999999</v>
      </c>
      <c r="E67" s="15" t="s">
        <v>15</v>
      </c>
      <c r="F67" s="16" t="s">
        <v>16</v>
      </c>
      <c r="G67" s="22">
        <v>1</v>
      </c>
      <c r="H67" s="23">
        <v>1</v>
      </c>
      <c r="I67" s="23">
        <v>1</v>
      </c>
      <c r="J67" s="23">
        <v>1</v>
      </c>
      <c r="K67" s="23">
        <v>2</v>
      </c>
      <c r="L67" s="24">
        <f t="shared" ref="L67:L98" si="2">IF( OR( ISBLANK(G67),ISBLANK(H67), ISBLANK(I67), ISBLANK(J67), ISBLANK(K67) ), "", 1.5*SQRT( EXP(2.21*(G67-1)) + EXP(2.21*(H67-1)) + EXP(2.21*(I67-1)) + EXP(2.21*(J67-1)) + EXP(2.21*K67) )/100*2.45 )</f>
        <v>0.34297081055722239</v>
      </c>
      <c r="M67" s="20" t="s">
        <v>65</v>
      </c>
    </row>
    <row r="68" spans="1:13" x14ac:dyDescent="0.2">
      <c r="A68" s="11" t="s">
        <v>12</v>
      </c>
      <c r="B68" s="12" t="s">
        <v>25</v>
      </c>
      <c r="C68" s="28" t="s">
        <v>64</v>
      </c>
      <c r="D68" s="14">
        <v>0</v>
      </c>
      <c r="E68" s="15" t="s">
        <v>15</v>
      </c>
      <c r="F68" s="16" t="s">
        <v>16</v>
      </c>
      <c r="G68" s="17"/>
      <c r="H68" s="18"/>
      <c r="I68" s="18"/>
      <c r="J68" s="18"/>
      <c r="K68" s="18"/>
      <c r="L68" s="19" t="str">
        <f t="shared" si="2"/>
        <v/>
      </c>
      <c r="M68" s="20" t="s">
        <v>65</v>
      </c>
    </row>
    <row r="69" spans="1:13" x14ac:dyDescent="0.2">
      <c r="A69" s="11" t="s">
        <v>12</v>
      </c>
      <c r="B69" s="12" t="s">
        <v>26</v>
      </c>
      <c r="C69" s="28" t="s">
        <v>64</v>
      </c>
      <c r="D69" s="21">
        <v>1.02227</v>
      </c>
      <c r="E69" s="15" t="s">
        <v>15</v>
      </c>
      <c r="F69" s="16" t="s">
        <v>16</v>
      </c>
      <c r="G69" s="22">
        <v>1</v>
      </c>
      <c r="H69" s="23">
        <v>1</v>
      </c>
      <c r="I69" s="23">
        <v>1</v>
      </c>
      <c r="J69" s="23">
        <v>1</v>
      </c>
      <c r="K69" s="23">
        <v>2</v>
      </c>
      <c r="L69" s="24">
        <f t="shared" si="2"/>
        <v>0.34297081055722239</v>
      </c>
      <c r="M69" s="20" t="s">
        <v>65</v>
      </c>
    </row>
    <row r="70" spans="1:13" x14ac:dyDescent="0.2">
      <c r="A70" s="11" t="s">
        <v>12</v>
      </c>
      <c r="B70" s="12" t="s">
        <v>27</v>
      </c>
      <c r="C70" s="28" t="s">
        <v>64</v>
      </c>
      <c r="D70" s="21">
        <v>140.84398400000001</v>
      </c>
      <c r="E70" s="15" t="s">
        <v>15</v>
      </c>
      <c r="F70" s="16" t="s">
        <v>16</v>
      </c>
      <c r="G70" s="22">
        <v>1</v>
      </c>
      <c r="H70" s="23">
        <v>1</v>
      </c>
      <c r="I70" s="23">
        <v>1</v>
      </c>
      <c r="J70" s="23">
        <v>1</v>
      </c>
      <c r="K70" s="23">
        <v>2</v>
      </c>
      <c r="L70" s="24">
        <f t="shared" si="2"/>
        <v>0.34297081055722239</v>
      </c>
      <c r="M70" s="20" t="s">
        <v>65</v>
      </c>
    </row>
    <row r="71" spans="1:13" x14ac:dyDescent="0.2">
      <c r="A71" s="11" t="s">
        <v>12</v>
      </c>
      <c r="B71" s="12" t="s">
        <v>28</v>
      </c>
      <c r="C71" s="28" t="s">
        <v>64</v>
      </c>
      <c r="D71" s="21">
        <v>1242.2131159999999</v>
      </c>
      <c r="E71" s="15" t="s">
        <v>29</v>
      </c>
      <c r="F71" s="16" t="s">
        <v>16</v>
      </c>
      <c r="G71" s="22">
        <v>1</v>
      </c>
      <c r="H71" s="23">
        <v>1</v>
      </c>
      <c r="I71" s="23">
        <v>1</v>
      </c>
      <c r="J71" s="23">
        <v>1</v>
      </c>
      <c r="K71" s="23">
        <v>2</v>
      </c>
      <c r="L71" s="24">
        <f t="shared" si="2"/>
        <v>0.34297081055722239</v>
      </c>
      <c r="M71" s="20" t="s">
        <v>65</v>
      </c>
    </row>
    <row r="72" spans="1:13" x14ac:dyDescent="0.2">
      <c r="A72" s="11" t="s">
        <v>12</v>
      </c>
      <c r="B72" s="12" t="s">
        <v>30</v>
      </c>
      <c r="C72" s="28" t="s">
        <v>64</v>
      </c>
      <c r="D72" s="21">
        <v>1935.8420000000001</v>
      </c>
      <c r="E72" s="15" t="s">
        <v>31</v>
      </c>
      <c r="F72" s="16" t="s">
        <v>16</v>
      </c>
      <c r="G72" s="22">
        <v>1</v>
      </c>
      <c r="H72" s="23">
        <v>1</v>
      </c>
      <c r="I72" s="23">
        <v>1</v>
      </c>
      <c r="J72" s="23">
        <v>1</v>
      </c>
      <c r="K72" s="23">
        <v>2</v>
      </c>
      <c r="L72" s="24">
        <f t="shared" si="2"/>
        <v>0.34297081055722239</v>
      </c>
      <c r="M72" s="20" t="s">
        <v>65</v>
      </c>
    </row>
    <row r="73" spans="1:13" x14ac:dyDescent="0.2">
      <c r="A73" s="11" t="s">
        <v>12</v>
      </c>
      <c r="B73" s="12" t="s">
        <v>32</v>
      </c>
      <c r="C73" s="28" t="s">
        <v>64</v>
      </c>
      <c r="D73" s="14">
        <v>0</v>
      </c>
      <c r="E73" s="15" t="s">
        <v>15</v>
      </c>
      <c r="F73" s="16" t="s">
        <v>16</v>
      </c>
      <c r="G73" s="17"/>
      <c r="H73" s="18"/>
      <c r="I73" s="18"/>
      <c r="J73" s="18"/>
      <c r="K73" s="18"/>
      <c r="L73" s="19" t="str">
        <f t="shared" si="2"/>
        <v/>
      </c>
      <c r="M73" s="20" t="s">
        <v>65</v>
      </c>
    </row>
    <row r="74" spans="1:13" x14ac:dyDescent="0.2">
      <c r="A74" s="11" t="s">
        <v>12</v>
      </c>
      <c r="B74" s="12" t="s">
        <v>34</v>
      </c>
      <c r="C74" s="28" t="s">
        <v>64</v>
      </c>
      <c r="D74" s="21">
        <v>306.18099999999998</v>
      </c>
      <c r="E74" s="15" t="s">
        <v>35</v>
      </c>
      <c r="F74" s="16" t="s">
        <v>16</v>
      </c>
      <c r="G74" s="22">
        <v>1</v>
      </c>
      <c r="H74" s="23">
        <v>1</v>
      </c>
      <c r="I74" s="23">
        <v>1</v>
      </c>
      <c r="J74" s="23">
        <v>1</v>
      </c>
      <c r="K74" s="23">
        <v>2</v>
      </c>
      <c r="L74" s="24">
        <f t="shared" si="2"/>
        <v>0.34297081055722239</v>
      </c>
      <c r="M74" s="20" t="s">
        <v>65</v>
      </c>
    </row>
    <row r="75" spans="1:13" x14ac:dyDescent="0.2">
      <c r="A75" s="11" t="s">
        <v>12</v>
      </c>
      <c r="B75" s="12" t="s">
        <v>36</v>
      </c>
      <c r="C75" s="28" t="s">
        <v>64</v>
      </c>
      <c r="D75" s="21">
        <v>821.57399999999996</v>
      </c>
      <c r="E75" s="15" t="s">
        <v>15</v>
      </c>
      <c r="F75" s="16" t="s">
        <v>16</v>
      </c>
      <c r="G75" s="22">
        <v>1</v>
      </c>
      <c r="H75" s="23">
        <v>2</v>
      </c>
      <c r="I75" s="23">
        <v>1</v>
      </c>
      <c r="J75" s="23">
        <v>1</v>
      </c>
      <c r="K75" s="23">
        <v>2</v>
      </c>
      <c r="L75" s="25">
        <f t="shared" si="2"/>
        <v>0.35859414261160716</v>
      </c>
      <c r="M75" s="20" t="s">
        <v>65</v>
      </c>
    </row>
    <row r="76" spans="1:13" x14ac:dyDescent="0.2">
      <c r="A76" s="11" t="s">
        <v>12</v>
      </c>
      <c r="B76" s="12" t="s">
        <v>37</v>
      </c>
      <c r="C76" s="28" t="s">
        <v>64</v>
      </c>
      <c r="D76" s="21">
        <v>962.62099999999998</v>
      </c>
      <c r="E76" s="15" t="s">
        <v>38</v>
      </c>
      <c r="F76" s="16" t="s">
        <v>16</v>
      </c>
      <c r="G76" s="22">
        <v>1</v>
      </c>
      <c r="H76" s="23">
        <v>1</v>
      </c>
      <c r="I76" s="23">
        <v>1</v>
      </c>
      <c r="J76" s="23">
        <v>1</v>
      </c>
      <c r="K76" s="23">
        <v>2</v>
      </c>
      <c r="L76" s="24">
        <f t="shared" si="2"/>
        <v>0.34297081055722239</v>
      </c>
      <c r="M76" s="20" t="s">
        <v>65</v>
      </c>
    </row>
    <row r="77" spans="1:13" x14ac:dyDescent="0.2">
      <c r="A77" s="11" t="s">
        <v>12</v>
      </c>
      <c r="B77" s="12" t="s">
        <v>39</v>
      </c>
      <c r="C77" s="28" t="s">
        <v>64</v>
      </c>
      <c r="D77" s="21">
        <v>0.87434699999999999</v>
      </c>
      <c r="E77" s="15" t="s">
        <v>15</v>
      </c>
      <c r="F77" s="16" t="s">
        <v>16</v>
      </c>
      <c r="G77" s="22">
        <v>1</v>
      </c>
      <c r="H77" s="23">
        <v>2</v>
      </c>
      <c r="I77" s="23">
        <v>1</v>
      </c>
      <c r="J77" s="23">
        <v>1</v>
      </c>
      <c r="K77" s="23">
        <v>2</v>
      </c>
      <c r="L77" s="25">
        <f t="shared" si="2"/>
        <v>0.35859414261160716</v>
      </c>
      <c r="M77" s="20" t="s">
        <v>65</v>
      </c>
    </row>
    <row r="78" spans="1:13" x14ac:dyDescent="0.2">
      <c r="A78" s="11" t="s">
        <v>12</v>
      </c>
      <c r="B78" s="12" t="s">
        <v>40</v>
      </c>
      <c r="C78" s="28" t="s">
        <v>64</v>
      </c>
      <c r="D78" s="14">
        <v>0</v>
      </c>
      <c r="E78" s="15" t="s">
        <v>15</v>
      </c>
      <c r="F78" s="16" t="s">
        <v>16</v>
      </c>
      <c r="G78" s="17"/>
      <c r="H78" s="18"/>
      <c r="I78" s="18"/>
      <c r="J78" s="18"/>
      <c r="K78" s="18"/>
      <c r="L78" s="19" t="str">
        <f t="shared" si="2"/>
        <v/>
      </c>
      <c r="M78" s="20" t="s">
        <v>65</v>
      </c>
    </row>
    <row r="79" spans="1:13" x14ac:dyDescent="0.2">
      <c r="A79" s="11" t="s">
        <v>12</v>
      </c>
      <c r="B79" s="12" t="s">
        <v>41</v>
      </c>
      <c r="C79" s="28" t="s">
        <v>64</v>
      </c>
      <c r="D79" s="14">
        <v>0</v>
      </c>
      <c r="E79" s="15" t="s">
        <v>15</v>
      </c>
      <c r="F79" s="16" t="s">
        <v>16</v>
      </c>
      <c r="G79" s="17"/>
      <c r="H79" s="18"/>
      <c r="I79" s="18"/>
      <c r="J79" s="18"/>
      <c r="K79" s="18"/>
      <c r="L79" s="19" t="str">
        <f t="shared" si="2"/>
        <v/>
      </c>
      <c r="M79" s="20" t="s">
        <v>65</v>
      </c>
    </row>
    <row r="80" spans="1:13" x14ac:dyDescent="0.2">
      <c r="A80" s="11" t="s">
        <v>12</v>
      </c>
      <c r="B80" s="12" t="s">
        <v>42</v>
      </c>
      <c r="C80" s="28" t="s">
        <v>64</v>
      </c>
      <c r="D80" s="14">
        <v>0</v>
      </c>
      <c r="E80" s="15" t="s">
        <v>15</v>
      </c>
      <c r="F80" s="16" t="s">
        <v>16</v>
      </c>
      <c r="G80" s="17"/>
      <c r="H80" s="18"/>
      <c r="I80" s="18"/>
      <c r="J80" s="18"/>
      <c r="K80" s="18"/>
      <c r="L80" s="19" t="str">
        <f t="shared" si="2"/>
        <v/>
      </c>
      <c r="M80" s="20" t="s">
        <v>65</v>
      </c>
    </row>
    <row r="81" spans="1:13" x14ac:dyDescent="0.2">
      <c r="A81" s="11" t="s">
        <v>12</v>
      </c>
      <c r="B81" s="12" t="s">
        <v>43</v>
      </c>
      <c r="C81" s="28" t="s">
        <v>64</v>
      </c>
      <c r="D81" s="21">
        <v>739.51900000000001</v>
      </c>
      <c r="E81" s="15" t="s">
        <v>44</v>
      </c>
      <c r="F81" s="16" t="s">
        <v>16</v>
      </c>
      <c r="G81" s="22">
        <v>1</v>
      </c>
      <c r="H81" s="23">
        <v>1</v>
      </c>
      <c r="I81" s="23">
        <v>1</v>
      </c>
      <c r="J81" s="23">
        <v>1</v>
      </c>
      <c r="K81" s="23">
        <v>2</v>
      </c>
      <c r="L81" s="24">
        <f t="shared" si="2"/>
        <v>0.34297081055722239</v>
      </c>
      <c r="M81" s="20" t="s">
        <v>65</v>
      </c>
    </row>
    <row r="82" spans="1:13" x14ac:dyDescent="0.2">
      <c r="A82" s="11" t="s">
        <v>12</v>
      </c>
      <c r="B82" s="12" t="s">
        <v>45</v>
      </c>
      <c r="C82" s="28" t="s">
        <v>64</v>
      </c>
      <c r="D82" s="14">
        <v>0</v>
      </c>
      <c r="E82" s="15" t="s">
        <v>15</v>
      </c>
      <c r="F82" s="16" t="s">
        <v>16</v>
      </c>
      <c r="G82" s="17"/>
      <c r="H82" s="18"/>
      <c r="I82" s="18"/>
      <c r="J82" s="18"/>
      <c r="K82" s="18"/>
      <c r="L82" s="19" t="str">
        <f t="shared" si="2"/>
        <v/>
      </c>
      <c r="M82" s="20" t="s">
        <v>65</v>
      </c>
    </row>
    <row r="83" spans="1:13" x14ac:dyDescent="0.2">
      <c r="A83" s="11" t="s">
        <v>12</v>
      </c>
      <c r="B83" s="12" t="s">
        <v>46</v>
      </c>
      <c r="C83" s="28" t="s">
        <v>64</v>
      </c>
      <c r="D83" s="21">
        <v>350.66699999999997</v>
      </c>
      <c r="E83" s="15" t="s">
        <v>47</v>
      </c>
      <c r="F83" s="16" t="s">
        <v>16</v>
      </c>
      <c r="G83" s="22">
        <v>1</v>
      </c>
      <c r="H83" s="23">
        <v>1</v>
      </c>
      <c r="I83" s="23">
        <v>1</v>
      </c>
      <c r="J83" s="23">
        <v>1</v>
      </c>
      <c r="K83" s="23">
        <v>2</v>
      </c>
      <c r="L83" s="24">
        <f t="shared" si="2"/>
        <v>0.34297081055722239</v>
      </c>
      <c r="M83" s="20" t="s">
        <v>65</v>
      </c>
    </row>
    <row r="84" spans="1:13" x14ac:dyDescent="0.2">
      <c r="A84" s="11" t="s">
        <v>12</v>
      </c>
      <c r="B84" s="12" t="s">
        <v>48</v>
      </c>
      <c r="C84" s="28" t="s">
        <v>64</v>
      </c>
      <c r="D84" s="21">
        <v>0.148449</v>
      </c>
      <c r="E84" s="15" t="s">
        <v>49</v>
      </c>
      <c r="F84" s="16" t="s">
        <v>16</v>
      </c>
      <c r="G84" s="22">
        <v>1</v>
      </c>
      <c r="H84" s="23">
        <v>1</v>
      </c>
      <c r="I84" s="23">
        <v>1</v>
      </c>
      <c r="J84" s="23">
        <v>1</v>
      </c>
      <c r="K84" s="23">
        <v>2</v>
      </c>
      <c r="L84" s="24">
        <f t="shared" si="2"/>
        <v>0.34297081055722239</v>
      </c>
      <c r="M84" s="20" t="s">
        <v>65</v>
      </c>
    </row>
    <row r="85" spans="1:13" x14ac:dyDescent="0.2">
      <c r="A85" s="11" t="s">
        <v>12</v>
      </c>
      <c r="B85" s="12" t="s">
        <v>50</v>
      </c>
      <c r="C85" s="28" t="s">
        <v>64</v>
      </c>
      <c r="D85" s="21">
        <v>86.378326999999999</v>
      </c>
      <c r="E85" s="15" t="s">
        <v>51</v>
      </c>
      <c r="F85" s="16" t="s">
        <v>16</v>
      </c>
      <c r="G85" s="22">
        <v>1</v>
      </c>
      <c r="H85" s="23">
        <v>2</v>
      </c>
      <c r="I85" s="23">
        <v>1</v>
      </c>
      <c r="J85" s="23">
        <v>1</v>
      </c>
      <c r="K85" s="23">
        <v>2</v>
      </c>
      <c r="L85" s="24">
        <f t="shared" si="2"/>
        <v>0.35859414261160716</v>
      </c>
      <c r="M85" s="20" t="s">
        <v>65</v>
      </c>
    </row>
    <row r="86" spans="1:13" x14ac:dyDescent="0.2">
      <c r="A86" s="11" t="s">
        <v>12</v>
      </c>
      <c r="B86" s="12" t="s">
        <v>52</v>
      </c>
      <c r="C86" s="28" t="s">
        <v>64</v>
      </c>
      <c r="D86" s="21">
        <v>288.917484</v>
      </c>
      <c r="E86" s="15" t="s">
        <v>53</v>
      </c>
      <c r="F86" s="16" t="s">
        <v>16</v>
      </c>
      <c r="G86" s="22">
        <v>1</v>
      </c>
      <c r="H86" s="23">
        <v>1</v>
      </c>
      <c r="I86" s="23">
        <v>1</v>
      </c>
      <c r="J86" s="23">
        <v>1</v>
      </c>
      <c r="K86" s="23">
        <v>2</v>
      </c>
      <c r="L86" s="24">
        <f t="shared" si="2"/>
        <v>0.34297081055722239</v>
      </c>
      <c r="M86" s="20" t="s">
        <v>65</v>
      </c>
    </row>
    <row r="87" spans="1:13" x14ac:dyDescent="0.2">
      <c r="A87" s="11" t="s">
        <v>12</v>
      </c>
      <c r="B87" s="12" t="s">
        <v>54</v>
      </c>
      <c r="C87" s="28" t="s">
        <v>64</v>
      </c>
      <c r="D87" s="14">
        <v>0</v>
      </c>
      <c r="E87" s="15" t="s">
        <v>15</v>
      </c>
      <c r="F87" s="16" t="s">
        <v>16</v>
      </c>
      <c r="G87" s="17"/>
      <c r="H87" s="18"/>
      <c r="I87" s="18"/>
      <c r="J87" s="18"/>
      <c r="K87" s="18"/>
      <c r="L87" s="19" t="str">
        <f t="shared" si="2"/>
        <v/>
      </c>
      <c r="M87" s="20" t="s">
        <v>65</v>
      </c>
    </row>
    <row r="88" spans="1:13" x14ac:dyDescent="0.2">
      <c r="A88" s="11" t="s">
        <v>12</v>
      </c>
      <c r="B88" s="12" t="s">
        <v>55</v>
      </c>
      <c r="C88" s="28" t="s">
        <v>64</v>
      </c>
      <c r="D88" s="21">
        <v>1052.075</v>
      </c>
      <c r="E88" s="15" t="s">
        <v>56</v>
      </c>
      <c r="F88" s="16" t="s">
        <v>16</v>
      </c>
      <c r="G88" s="22">
        <v>1</v>
      </c>
      <c r="H88" s="23">
        <v>1</v>
      </c>
      <c r="I88" s="23">
        <v>1</v>
      </c>
      <c r="J88" s="23">
        <v>1</v>
      </c>
      <c r="K88" s="23">
        <v>2</v>
      </c>
      <c r="L88" s="24">
        <f t="shared" si="2"/>
        <v>0.34297081055722239</v>
      </c>
      <c r="M88" s="20" t="s">
        <v>65</v>
      </c>
    </row>
    <row r="89" spans="1:13" x14ac:dyDescent="0.2">
      <c r="A89" s="11" t="s">
        <v>12</v>
      </c>
      <c r="B89" s="12" t="s">
        <v>57</v>
      </c>
      <c r="C89" s="28" t="s">
        <v>64</v>
      </c>
      <c r="D89" s="21">
        <v>27.232199999999999</v>
      </c>
      <c r="E89" s="15" t="s">
        <v>58</v>
      </c>
      <c r="F89" s="16" t="s">
        <v>16</v>
      </c>
      <c r="G89" s="22">
        <v>1</v>
      </c>
      <c r="H89" s="23">
        <v>1</v>
      </c>
      <c r="I89" s="23">
        <v>1</v>
      </c>
      <c r="J89" s="23">
        <v>1</v>
      </c>
      <c r="K89" s="23">
        <v>2</v>
      </c>
      <c r="L89" s="24">
        <f t="shared" si="2"/>
        <v>0.34297081055722239</v>
      </c>
      <c r="M89" s="20" t="s">
        <v>65</v>
      </c>
    </row>
    <row r="90" spans="1:13" x14ac:dyDescent="0.2">
      <c r="A90" s="11" t="s">
        <v>12</v>
      </c>
      <c r="B90" s="12" t="s">
        <v>59</v>
      </c>
      <c r="C90" s="28" t="s">
        <v>64</v>
      </c>
      <c r="D90" s="14">
        <v>0</v>
      </c>
      <c r="E90" s="15"/>
      <c r="F90" s="16" t="s">
        <v>16</v>
      </c>
      <c r="G90" s="17"/>
      <c r="H90" s="18"/>
      <c r="I90" s="18"/>
      <c r="J90" s="18"/>
      <c r="K90" s="18"/>
      <c r="L90" s="19" t="str">
        <f t="shared" si="2"/>
        <v/>
      </c>
      <c r="M90" s="20"/>
    </row>
    <row r="91" spans="1:13" x14ac:dyDescent="0.2">
      <c r="A91" s="11" t="s">
        <v>12</v>
      </c>
      <c r="B91" s="12" t="s">
        <v>60</v>
      </c>
      <c r="C91" s="28" t="s">
        <v>64</v>
      </c>
      <c r="D91" s="21">
        <v>235.124303</v>
      </c>
      <c r="E91" s="15" t="s">
        <v>61</v>
      </c>
      <c r="F91" s="16" t="s">
        <v>16</v>
      </c>
      <c r="G91" s="22">
        <v>1</v>
      </c>
      <c r="H91" s="23">
        <v>2</v>
      </c>
      <c r="I91" s="23">
        <v>1</v>
      </c>
      <c r="J91" s="23">
        <v>1</v>
      </c>
      <c r="K91" s="23">
        <v>2</v>
      </c>
      <c r="L91" s="24">
        <f t="shared" si="2"/>
        <v>0.35859414261160716</v>
      </c>
      <c r="M91" s="20" t="s">
        <v>65</v>
      </c>
    </row>
    <row r="92" spans="1:13" x14ac:dyDescent="0.2">
      <c r="A92" s="11" t="s">
        <v>12</v>
      </c>
      <c r="B92" s="12" t="s">
        <v>13</v>
      </c>
      <c r="C92" s="29" t="s">
        <v>66</v>
      </c>
      <c r="D92" s="14">
        <v>0</v>
      </c>
      <c r="E92" s="15" t="s">
        <v>67</v>
      </c>
      <c r="F92" s="16" t="s">
        <v>16</v>
      </c>
      <c r="G92" s="17"/>
      <c r="H92" s="18"/>
      <c r="I92" s="18"/>
      <c r="J92" s="18"/>
      <c r="K92" s="18"/>
      <c r="L92" s="19" t="str">
        <f t="shared" si="2"/>
        <v/>
      </c>
      <c r="M92" s="20" t="s">
        <v>68</v>
      </c>
    </row>
    <row r="93" spans="1:13" x14ac:dyDescent="0.2">
      <c r="A93" s="11" t="s">
        <v>12</v>
      </c>
      <c r="B93" s="12" t="s">
        <v>18</v>
      </c>
      <c r="C93" s="29" t="s">
        <v>66</v>
      </c>
      <c r="D93" s="21">
        <v>446.85357099999999</v>
      </c>
      <c r="E93" s="15" t="s">
        <v>69</v>
      </c>
      <c r="F93" s="16" t="s">
        <v>16</v>
      </c>
      <c r="G93" s="22">
        <v>1</v>
      </c>
      <c r="H93" s="23">
        <v>2</v>
      </c>
      <c r="I93" s="23">
        <v>1</v>
      </c>
      <c r="J93" s="23">
        <v>1</v>
      </c>
      <c r="K93" s="23">
        <v>2</v>
      </c>
      <c r="L93" s="24">
        <f t="shared" si="2"/>
        <v>0.35859414261160716</v>
      </c>
      <c r="M93" s="20" t="s">
        <v>68</v>
      </c>
    </row>
    <row r="94" spans="1:13" x14ac:dyDescent="0.2">
      <c r="A94" s="11" t="s">
        <v>12</v>
      </c>
      <c r="B94" s="12" t="s">
        <v>20</v>
      </c>
      <c r="C94" s="29" t="s">
        <v>66</v>
      </c>
      <c r="D94" s="14">
        <v>0</v>
      </c>
      <c r="E94" s="15" t="s">
        <v>70</v>
      </c>
      <c r="F94" s="16" t="s">
        <v>16</v>
      </c>
      <c r="G94" s="17"/>
      <c r="H94" s="18"/>
      <c r="I94" s="18"/>
      <c r="J94" s="18"/>
      <c r="K94" s="18"/>
      <c r="L94" s="19" t="str">
        <f t="shared" si="2"/>
        <v/>
      </c>
      <c r="M94" s="20" t="s">
        <v>68</v>
      </c>
    </row>
    <row r="95" spans="1:13" x14ac:dyDescent="0.2">
      <c r="A95" s="11" t="s">
        <v>12</v>
      </c>
      <c r="B95" s="12" t="s">
        <v>22</v>
      </c>
      <c r="C95" s="29" t="s">
        <v>66</v>
      </c>
      <c r="D95" s="14">
        <v>0</v>
      </c>
      <c r="E95" s="15" t="s">
        <v>71</v>
      </c>
      <c r="F95" s="16" t="s">
        <v>16</v>
      </c>
      <c r="G95" s="17"/>
      <c r="H95" s="18"/>
      <c r="I95" s="18"/>
      <c r="J95" s="18"/>
      <c r="K95" s="18"/>
      <c r="L95" s="19" t="str">
        <f t="shared" si="2"/>
        <v/>
      </c>
      <c r="M95" s="20" t="s">
        <v>68</v>
      </c>
    </row>
    <row r="96" spans="1:13" x14ac:dyDescent="0.2">
      <c r="A96" s="11" t="s">
        <v>12</v>
      </c>
      <c r="B96" s="12" t="s">
        <v>23</v>
      </c>
      <c r="C96" s="29" t="s">
        <v>66</v>
      </c>
      <c r="D96" s="14">
        <v>0</v>
      </c>
      <c r="E96" s="15" t="s">
        <v>72</v>
      </c>
      <c r="F96" s="16" t="s">
        <v>16</v>
      </c>
      <c r="G96" s="17"/>
      <c r="H96" s="18"/>
      <c r="I96" s="18"/>
      <c r="J96" s="18"/>
      <c r="K96" s="18"/>
      <c r="L96" s="19" t="str">
        <f t="shared" si="2"/>
        <v/>
      </c>
      <c r="M96" s="20" t="s">
        <v>68</v>
      </c>
    </row>
    <row r="97" spans="1:13" x14ac:dyDescent="0.2">
      <c r="A97" s="11" t="s">
        <v>12</v>
      </c>
      <c r="B97" s="12" t="s">
        <v>24</v>
      </c>
      <c r="C97" s="29" t="s">
        <v>66</v>
      </c>
      <c r="D97" s="21">
        <v>0</v>
      </c>
      <c r="E97" s="15" t="s">
        <v>73</v>
      </c>
      <c r="F97" s="16" t="s">
        <v>16</v>
      </c>
      <c r="G97" s="22">
        <v>1</v>
      </c>
      <c r="H97" s="23">
        <v>1</v>
      </c>
      <c r="I97" s="23">
        <v>1</v>
      </c>
      <c r="J97" s="23">
        <v>1</v>
      </c>
      <c r="K97" s="23">
        <v>2</v>
      </c>
      <c r="L97" s="24">
        <f t="shared" si="2"/>
        <v>0.34297081055722239</v>
      </c>
      <c r="M97" s="20" t="s">
        <v>68</v>
      </c>
    </row>
    <row r="98" spans="1:13" x14ac:dyDescent="0.2">
      <c r="A98" s="11" t="s">
        <v>12</v>
      </c>
      <c r="B98" s="12" t="s">
        <v>25</v>
      </c>
      <c r="C98" s="29" t="s">
        <v>66</v>
      </c>
      <c r="D98" s="14">
        <v>0</v>
      </c>
      <c r="E98" s="15" t="s">
        <v>74</v>
      </c>
      <c r="F98" s="16" t="s">
        <v>16</v>
      </c>
      <c r="G98" s="17"/>
      <c r="H98" s="18"/>
      <c r="I98" s="18"/>
      <c r="J98" s="18"/>
      <c r="K98" s="18"/>
      <c r="L98" s="19" t="str">
        <f t="shared" si="2"/>
        <v/>
      </c>
      <c r="M98" s="20" t="s">
        <v>68</v>
      </c>
    </row>
    <row r="99" spans="1:13" x14ac:dyDescent="0.2">
      <c r="A99" s="11" t="s">
        <v>12</v>
      </c>
      <c r="B99" s="12" t="s">
        <v>26</v>
      </c>
      <c r="C99" s="29" t="s">
        <v>66</v>
      </c>
      <c r="D99" s="21">
        <v>1.887346</v>
      </c>
      <c r="E99" s="15" t="s">
        <v>75</v>
      </c>
      <c r="F99" s="16" t="s">
        <v>16</v>
      </c>
      <c r="G99" s="22">
        <v>1</v>
      </c>
      <c r="H99" s="23">
        <v>2</v>
      </c>
      <c r="I99" s="23">
        <v>1</v>
      </c>
      <c r="J99" s="23">
        <v>1</v>
      </c>
      <c r="K99" s="23">
        <v>2</v>
      </c>
      <c r="L99" s="24">
        <f t="shared" ref="L99:L130" si="3">IF( OR( ISBLANK(G99),ISBLANK(H99), ISBLANK(I99), ISBLANK(J99), ISBLANK(K99) ), "", 1.5*SQRT( EXP(2.21*(G99-1)) + EXP(2.21*(H99-1)) + EXP(2.21*(I99-1)) + EXP(2.21*(J99-1)) + EXP(2.21*K99) )/100*2.45 )</f>
        <v>0.35859414261160716</v>
      </c>
      <c r="M99" s="20" t="s">
        <v>68</v>
      </c>
    </row>
    <row r="100" spans="1:13" x14ac:dyDescent="0.2">
      <c r="A100" s="11" t="s">
        <v>12</v>
      </c>
      <c r="B100" s="12" t="s">
        <v>27</v>
      </c>
      <c r="C100" s="29" t="s">
        <v>66</v>
      </c>
      <c r="D100" s="21">
        <v>2.438822</v>
      </c>
      <c r="E100" s="15" t="s">
        <v>76</v>
      </c>
      <c r="F100" s="16" t="s">
        <v>16</v>
      </c>
      <c r="G100" s="22">
        <v>1</v>
      </c>
      <c r="H100" s="23">
        <v>2</v>
      </c>
      <c r="I100" s="23">
        <v>1</v>
      </c>
      <c r="J100" s="23">
        <v>1</v>
      </c>
      <c r="K100" s="23">
        <v>2</v>
      </c>
      <c r="L100" s="24">
        <f t="shared" si="3"/>
        <v>0.35859414261160716</v>
      </c>
      <c r="M100" s="20" t="s">
        <v>68</v>
      </c>
    </row>
    <row r="101" spans="1:13" x14ac:dyDescent="0.2">
      <c r="A101" s="11" t="s">
        <v>12</v>
      </c>
      <c r="B101" s="12" t="s">
        <v>28</v>
      </c>
      <c r="C101" s="29" t="s">
        <v>66</v>
      </c>
      <c r="D101" s="21">
        <v>362.02297700000003</v>
      </c>
      <c r="E101" s="15" t="s">
        <v>77</v>
      </c>
      <c r="F101" s="16" t="s">
        <v>16</v>
      </c>
      <c r="G101" s="22">
        <v>1</v>
      </c>
      <c r="H101" s="23">
        <v>1</v>
      </c>
      <c r="I101" s="23">
        <v>1</v>
      </c>
      <c r="J101" s="23">
        <v>1</v>
      </c>
      <c r="K101" s="23">
        <v>2</v>
      </c>
      <c r="L101" s="24">
        <f t="shared" si="3"/>
        <v>0.34297081055722239</v>
      </c>
      <c r="M101" s="20" t="s">
        <v>68</v>
      </c>
    </row>
    <row r="102" spans="1:13" x14ac:dyDescent="0.2">
      <c r="A102" s="11" t="s">
        <v>12</v>
      </c>
      <c r="B102" s="12" t="s">
        <v>30</v>
      </c>
      <c r="C102" s="29" t="s">
        <v>66</v>
      </c>
      <c r="D102" s="21">
        <v>487.54519800000003</v>
      </c>
      <c r="E102" s="15" t="s">
        <v>78</v>
      </c>
      <c r="F102" s="16" t="s">
        <v>16</v>
      </c>
      <c r="G102" s="22">
        <v>1</v>
      </c>
      <c r="H102" s="23">
        <v>3</v>
      </c>
      <c r="I102" s="23">
        <v>1</v>
      </c>
      <c r="J102" s="23">
        <v>1</v>
      </c>
      <c r="K102" s="23">
        <v>2</v>
      </c>
      <c r="L102" s="24">
        <f t="shared" si="3"/>
        <v>0.47802211380704585</v>
      </c>
      <c r="M102" s="20" t="s">
        <v>68</v>
      </c>
    </row>
    <row r="103" spans="1:13" x14ac:dyDescent="0.2">
      <c r="A103" s="11" t="s">
        <v>12</v>
      </c>
      <c r="B103" s="12" t="s">
        <v>32</v>
      </c>
      <c r="C103" s="29" t="s">
        <v>66</v>
      </c>
      <c r="D103" s="14">
        <v>0</v>
      </c>
      <c r="E103" s="15" t="s">
        <v>79</v>
      </c>
      <c r="F103" s="16" t="s">
        <v>16</v>
      </c>
      <c r="G103" s="17"/>
      <c r="H103" s="18"/>
      <c r="I103" s="18"/>
      <c r="J103" s="18"/>
      <c r="K103" s="18"/>
      <c r="L103" s="19" t="str">
        <f t="shared" si="3"/>
        <v/>
      </c>
      <c r="M103" s="20" t="s">
        <v>68</v>
      </c>
    </row>
    <row r="104" spans="1:13" x14ac:dyDescent="0.2">
      <c r="A104" s="11" t="s">
        <v>12</v>
      </c>
      <c r="B104" s="12" t="s">
        <v>34</v>
      </c>
      <c r="C104" s="29" t="s">
        <v>66</v>
      </c>
      <c r="D104" s="21">
        <v>63.012</v>
      </c>
      <c r="E104" s="15" t="s">
        <v>80</v>
      </c>
      <c r="F104" s="16" t="s">
        <v>16</v>
      </c>
      <c r="G104" s="22">
        <v>1</v>
      </c>
      <c r="H104" s="23">
        <v>2</v>
      </c>
      <c r="I104" s="23">
        <v>1</v>
      </c>
      <c r="J104" s="23">
        <v>1</v>
      </c>
      <c r="K104" s="23">
        <v>2</v>
      </c>
      <c r="L104" s="24">
        <f t="shared" si="3"/>
        <v>0.35859414261160716</v>
      </c>
      <c r="M104" s="20" t="s">
        <v>68</v>
      </c>
    </row>
    <row r="105" spans="1:13" x14ac:dyDescent="0.2">
      <c r="A105" s="11" t="s">
        <v>12</v>
      </c>
      <c r="B105" s="12" t="s">
        <v>36</v>
      </c>
      <c r="C105" s="29" t="s">
        <v>66</v>
      </c>
      <c r="D105" s="21">
        <v>164.05699999999999</v>
      </c>
      <c r="E105" s="15" t="s">
        <v>81</v>
      </c>
      <c r="F105" s="16" t="s">
        <v>16</v>
      </c>
      <c r="G105" s="22">
        <v>1</v>
      </c>
      <c r="H105" s="23">
        <v>2</v>
      </c>
      <c r="I105" s="23">
        <v>1</v>
      </c>
      <c r="J105" s="23">
        <v>1</v>
      </c>
      <c r="K105" s="23">
        <v>2</v>
      </c>
      <c r="L105" s="25">
        <f t="shared" si="3"/>
        <v>0.35859414261160716</v>
      </c>
      <c r="M105" s="20" t="s">
        <v>68</v>
      </c>
    </row>
    <row r="106" spans="1:13" x14ac:dyDescent="0.2">
      <c r="A106" s="11" t="s">
        <v>12</v>
      </c>
      <c r="B106" s="12" t="s">
        <v>37</v>
      </c>
      <c r="C106" s="29" t="s">
        <v>66</v>
      </c>
      <c r="D106" s="21">
        <v>231.792</v>
      </c>
      <c r="E106" s="15" t="s">
        <v>82</v>
      </c>
      <c r="F106" s="16" t="s">
        <v>16</v>
      </c>
      <c r="G106" s="22">
        <v>1</v>
      </c>
      <c r="H106" s="23">
        <v>1</v>
      </c>
      <c r="I106" s="23">
        <v>1</v>
      </c>
      <c r="J106" s="23">
        <v>1</v>
      </c>
      <c r="K106" s="23">
        <v>2</v>
      </c>
      <c r="L106" s="24">
        <f t="shared" si="3"/>
        <v>0.34297081055722239</v>
      </c>
      <c r="M106" s="20" t="s">
        <v>68</v>
      </c>
    </row>
    <row r="107" spans="1:13" x14ac:dyDescent="0.2">
      <c r="A107" s="11" t="s">
        <v>12</v>
      </c>
      <c r="B107" s="12" t="s">
        <v>39</v>
      </c>
      <c r="C107" s="29" t="s">
        <v>66</v>
      </c>
      <c r="D107" s="14">
        <v>0</v>
      </c>
      <c r="E107" s="15" t="s">
        <v>70</v>
      </c>
      <c r="F107" s="16" t="s">
        <v>16</v>
      </c>
      <c r="G107" s="17"/>
      <c r="H107" s="18"/>
      <c r="I107" s="18"/>
      <c r="J107" s="18"/>
      <c r="K107" s="18"/>
      <c r="L107" s="19" t="str">
        <f t="shared" si="3"/>
        <v/>
      </c>
      <c r="M107" s="20" t="s">
        <v>68</v>
      </c>
    </row>
    <row r="108" spans="1:13" x14ac:dyDescent="0.2">
      <c r="A108" s="11" t="s">
        <v>12</v>
      </c>
      <c r="B108" s="12" t="s">
        <v>40</v>
      </c>
      <c r="C108" s="29" t="s">
        <v>66</v>
      </c>
      <c r="D108" s="14">
        <v>0</v>
      </c>
      <c r="E108" s="15" t="s">
        <v>83</v>
      </c>
      <c r="F108" s="16" t="s">
        <v>16</v>
      </c>
      <c r="G108" s="17"/>
      <c r="H108" s="18"/>
      <c r="I108" s="18"/>
      <c r="J108" s="18"/>
      <c r="K108" s="18"/>
      <c r="L108" s="19" t="str">
        <f t="shared" si="3"/>
        <v/>
      </c>
      <c r="M108" s="20" t="s">
        <v>68</v>
      </c>
    </row>
    <row r="109" spans="1:13" x14ac:dyDescent="0.2">
      <c r="A109" s="11" t="s">
        <v>12</v>
      </c>
      <c r="B109" s="12" t="s">
        <v>41</v>
      </c>
      <c r="C109" s="29" t="s">
        <v>66</v>
      </c>
      <c r="D109" s="14">
        <v>0</v>
      </c>
      <c r="E109" s="15" t="s">
        <v>84</v>
      </c>
      <c r="F109" s="16" t="s">
        <v>16</v>
      </c>
      <c r="G109" s="17"/>
      <c r="H109" s="18"/>
      <c r="I109" s="18"/>
      <c r="J109" s="18"/>
      <c r="K109" s="18"/>
      <c r="L109" s="19" t="str">
        <f t="shared" si="3"/>
        <v/>
      </c>
      <c r="M109" s="20" t="s">
        <v>68</v>
      </c>
    </row>
    <row r="110" spans="1:13" x14ac:dyDescent="0.2">
      <c r="A110" s="11" t="s">
        <v>12</v>
      </c>
      <c r="B110" s="12" t="s">
        <v>42</v>
      </c>
      <c r="C110" s="29" t="s">
        <v>66</v>
      </c>
      <c r="D110" s="14">
        <v>0</v>
      </c>
      <c r="E110" s="15" t="s">
        <v>85</v>
      </c>
      <c r="F110" s="16" t="s">
        <v>16</v>
      </c>
      <c r="G110" s="17"/>
      <c r="H110" s="18"/>
      <c r="I110" s="18"/>
      <c r="J110" s="18"/>
      <c r="K110" s="18"/>
      <c r="L110" s="19" t="str">
        <f t="shared" si="3"/>
        <v/>
      </c>
      <c r="M110" s="20" t="s">
        <v>68</v>
      </c>
    </row>
    <row r="111" spans="1:13" x14ac:dyDescent="0.2">
      <c r="A111" s="11" t="s">
        <v>12</v>
      </c>
      <c r="B111" s="12" t="s">
        <v>43</v>
      </c>
      <c r="C111" s="29" t="s">
        <v>66</v>
      </c>
      <c r="D111" s="21">
        <v>8.9320000000000004</v>
      </c>
      <c r="E111" s="15" t="s">
        <v>86</v>
      </c>
      <c r="F111" s="16" t="s">
        <v>16</v>
      </c>
      <c r="G111" s="22">
        <v>1</v>
      </c>
      <c r="H111" s="23">
        <v>2</v>
      </c>
      <c r="I111" s="23">
        <v>1</v>
      </c>
      <c r="J111" s="23">
        <v>1</v>
      </c>
      <c r="K111" s="23">
        <v>2</v>
      </c>
      <c r="L111" s="24">
        <f t="shared" si="3"/>
        <v>0.35859414261160716</v>
      </c>
      <c r="M111" s="20" t="s">
        <v>68</v>
      </c>
    </row>
    <row r="112" spans="1:13" x14ac:dyDescent="0.2">
      <c r="A112" s="11" t="s">
        <v>12</v>
      </c>
      <c r="B112" s="12" t="s">
        <v>45</v>
      </c>
      <c r="C112" s="29" t="s">
        <v>66</v>
      </c>
      <c r="D112" s="14">
        <v>0</v>
      </c>
      <c r="E112" s="15" t="s">
        <v>87</v>
      </c>
      <c r="F112" s="16" t="s">
        <v>16</v>
      </c>
      <c r="G112" s="17"/>
      <c r="H112" s="18"/>
      <c r="I112" s="18"/>
      <c r="J112" s="18"/>
      <c r="K112" s="18"/>
      <c r="L112" s="19" t="str">
        <f t="shared" si="3"/>
        <v/>
      </c>
      <c r="M112" s="20" t="s">
        <v>68</v>
      </c>
    </row>
    <row r="113" spans="1:13" x14ac:dyDescent="0.2">
      <c r="A113" s="11" t="s">
        <v>12</v>
      </c>
      <c r="B113" s="12" t="s">
        <v>46</v>
      </c>
      <c r="C113" s="29" t="s">
        <v>66</v>
      </c>
      <c r="D113" s="21">
        <v>53.228000000000002</v>
      </c>
      <c r="E113" s="15" t="s">
        <v>88</v>
      </c>
      <c r="F113" s="16" t="s">
        <v>16</v>
      </c>
      <c r="G113" s="22">
        <v>1</v>
      </c>
      <c r="H113" s="23">
        <v>1</v>
      </c>
      <c r="I113" s="23">
        <v>1</v>
      </c>
      <c r="J113" s="23">
        <v>1</v>
      </c>
      <c r="K113" s="23">
        <v>2</v>
      </c>
      <c r="L113" s="24">
        <f t="shared" si="3"/>
        <v>0.34297081055722239</v>
      </c>
      <c r="M113" s="20" t="s">
        <v>68</v>
      </c>
    </row>
    <row r="114" spans="1:13" x14ac:dyDescent="0.2">
      <c r="A114" s="11" t="s">
        <v>12</v>
      </c>
      <c r="B114" s="12" t="s">
        <v>48</v>
      </c>
      <c r="C114" s="29" t="s">
        <v>66</v>
      </c>
      <c r="D114" s="21">
        <v>9.6569710000000004</v>
      </c>
      <c r="E114" s="15" t="s">
        <v>89</v>
      </c>
      <c r="F114" s="16" t="s">
        <v>16</v>
      </c>
      <c r="G114" s="22">
        <v>1</v>
      </c>
      <c r="H114" s="23">
        <v>1</v>
      </c>
      <c r="I114" s="23">
        <v>1</v>
      </c>
      <c r="J114" s="23">
        <v>1</v>
      </c>
      <c r="K114" s="23">
        <v>2</v>
      </c>
      <c r="L114" s="24">
        <f t="shared" si="3"/>
        <v>0.34297081055722239</v>
      </c>
      <c r="M114" s="20" t="s">
        <v>68</v>
      </c>
    </row>
    <row r="115" spans="1:13" x14ac:dyDescent="0.2">
      <c r="A115" s="11" t="s">
        <v>12</v>
      </c>
      <c r="B115" s="12" t="s">
        <v>50</v>
      </c>
      <c r="C115" s="29" t="s">
        <v>66</v>
      </c>
      <c r="D115" s="21">
        <v>32.838620000000013</v>
      </c>
      <c r="E115" s="15" t="s">
        <v>90</v>
      </c>
      <c r="F115" s="16" t="s">
        <v>16</v>
      </c>
      <c r="G115" s="22">
        <v>1</v>
      </c>
      <c r="H115" s="23">
        <v>1</v>
      </c>
      <c r="I115" s="23">
        <v>1</v>
      </c>
      <c r="J115" s="23">
        <v>1</v>
      </c>
      <c r="K115" s="23">
        <v>2</v>
      </c>
      <c r="L115" s="24">
        <f t="shared" si="3"/>
        <v>0.34297081055722239</v>
      </c>
      <c r="M115" s="20" t="s">
        <v>68</v>
      </c>
    </row>
    <row r="116" spans="1:13" x14ac:dyDescent="0.2">
      <c r="A116" s="11" t="s">
        <v>12</v>
      </c>
      <c r="B116" s="12" t="s">
        <v>52</v>
      </c>
      <c r="C116" s="29" t="s">
        <v>66</v>
      </c>
      <c r="D116" s="21">
        <v>4.3760000000000014E-3</v>
      </c>
      <c r="E116" s="15" t="s">
        <v>91</v>
      </c>
      <c r="F116" s="16" t="s">
        <v>16</v>
      </c>
      <c r="G116" s="22">
        <v>1</v>
      </c>
      <c r="H116" s="23">
        <v>1</v>
      </c>
      <c r="I116" s="23">
        <v>1</v>
      </c>
      <c r="J116" s="23">
        <v>1</v>
      </c>
      <c r="K116" s="23">
        <v>2</v>
      </c>
      <c r="L116" s="24">
        <f t="shared" si="3"/>
        <v>0.34297081055722239</v>
      </c>
      <c r="M116" s="20" t="s">
        <v>68</v>
      </c>
    </row>
    <row r="117" spans="1:13" x14ac:dyDescent="0.2">
      <c r="A117" s="11" t="s">
        <v>12</v>
      </c>
      <c r="B117" s="12" t="s">
        <v>54</v>
      </c>
      <c r="C117" s="29" t="s">
        <v>66</v>
      </c>
      <c r="D117" s="14">
        <v>0</v>
      </c>
      <c r="E117" s="15" t="s">
        <v>70</v>
      </c>
      <c r="F117" s="16" t="s">
        <v>16</v>
      </c>
      <c r="G117" s="17"/>
      <c r="H117" s="18"/>
      <c r="I117" s="18"/>
      <c r="J117" s="18"/>
      <c r="K117" s="18"/>
      <c r="L117" s="19" t="str">
        <f t="shared" si="3"/>
        <v/>
      </c>
      <c r="M117" s="20" t="s">
        <v>68</v>
      </c>
    </row>
    <row r="118" spans="1:13" x14ac:dyDescent="0.2">
      <c r="A118" s="11" t="s">
        <v>12</v>
      </c>
      <c r="B118" s="12" t="s">
        <v>55</v>
      </c>
      <c r="C118" s="29" t="s">
        <v>66</v>
      </c>
      <c r="D118" s="21">
        <v>142.18600000000001</v>
      </c>
      <c r="E118" s="15" t="s">
        <v>92</v>
      </c>
      <c r="F118" s="16" t="s">
        <v>16</v>
      </c>
      <c r="G118" s="22">
        <v>1</v>
      </c>
      <c r="H118" s="23">
        <v>2</v>
      </c>
      <c r="I118" s="23">
        <v>1</v>
      </c>
      <c r="J118" s="23">
        <v>1</v>
      </c>
      <c r="K118" s="23">
        <v>2</v>
      </c>
      <c r="L118" s="24">
        <f t="shared" si="3"/>
        <v>0.35859414261160716</v>
      </c>
      <c r="M118" s="20" t="s">
        <v>68</v>
      </c>
    </row>
    <row r="119" spans="1:13" x14ac:dyDescent="0.2">
      <c r="A119" s="11" t="s">
        <v>12</v>
      </c>
      <c r="B119" s="12" t="s">
        <v>57</v>
      </c>
      <c r="C119" s="29" t="s">
        <v>66</v>
      </c>
      <c r="D119" s="21">
        <v>2.1499999999999998E-2</v>
      </c>
      <c r="E119" s="15" t="s">
        <v>93</v>
      </c>
      <c r="F119" s="16" t="s">
        <v>16</v>
      </c>
      <c r="G119" s="22">
        <v>1</v>
      </c>
      <c r="H119" s="23">
        <v>1</v>
      </c>
      <c r="I119" s="23">
        <v>1</v>
      </c>
      <c r="J119" s="23">
        <v>1</v>
      </c>
      <c r="K119" s="23">
        <v>2</v>
      </c>
      <c r="L119" s="24">
        <f t="shared" si="3"/>
        <v>0.34297081055722239</v>
      </c>
      <c r="M119" s="20" t="s">
        <v>68</v>
      </c>
    </row>
    <row r="120" spans="1:13" x14ac:dyDescent="0.2">
      <c r="A120" s="11" t="s">
        <v>12</v>
      </c>
      <c r="B120" s="12" t="s">
        <v>59</v>
      </c>
      <c r="C120" s="29" t="s">
        <v>66</v>
      </c>
      <c r="D120" s="14">
        <v>0</v>
      </c>
      <c r="E120" s="15"/>
      <c r="F120" s="16" t="s">
        <v>16</v>
      </c>
      <c r="G120" s="17"/>
      <c r="H120" s="18"/>
      <c r="I120" s="18"/>
      <c r="J120" s="18"/>
      <c r="K120" s="18"/>
      <c r="L120" s="19" t="str">
        <f t="shared" si="3"/>
        <v/>
      </c>
      <c r="M120" s="20"/>
    </row>
    <row r="121" spans="1:13" x14ac:dyDescent="0.2">
      <c r="A121" s="11" t="s">
        <v>12</v>
      </c>
      <c r="B121" s="12" t="s">
        <v>60</v>
      </c>
      <c r="C121" s="29" t="s">
        <v>66</v>
      </c>
      <c r="D121" s="21">
        <v>2.573016</v>
      </c>
      <c r="E121" s="15" t="s">
        <v>61</v>
      </c>
      <c r="F121" s="16" t="s">
        <v>16</v>
      </c>
      <c r="G121" s="22">
        <v>1</v>
      </c>
      <c r="H121" s="23">
        <v>2</v>
      </c>
      <c r="I121" s="23">
        <v>1</v>
      </c>
      <c r="J121" s="23">
        <v>1</v>
      </c>
      <c r="K121" s="23">
        <v>2</v>
      </c>
      <c r="L121" s="24">
        <f t="shared" si="3"/>
        <v>0.35859414261160716</v>
      </c>
      <c r="M121" s="20" t="s">
        <v>68</v>
      </c>
    </row>
    <row r="122" spans="1:13" x14ac:dyDescent="0.2">
      <c r="A122" s="11" t="s">
        <v>12</v>
      </c>
      <c r="B122" s="12" t="s">
        <v>13</v>
      </c>
      <c r="C122" s="30" t="s">
        <v>94</v>
      </c>
      <c r="D122" s="14">
        <v>0</v>
      </c>
      <c r="E122" s="15" t="s">
        <v>70</v>
      </c>
      <c r="F122" s="16" t="s">
        <v>16</v>
      </c>
      <c r="G122" s="17"/>
      <c r="H122" s="18"/>
      <c r="I122" s="18"/>
      <c r="J122" s="18"/>
      <c r="K122" s="18"/>
      <c r="L122" s="19" t="str">
        <f t="shared" si="3"/>
        <v/>
      </c>
      <c r="M122" s="20" t="s">
        <v>95</v>
      </c>
    </row>
    <row r="123" spans="1:13" x14ac:dyDescent="0.2">
      <c r="A123" s="11" t="s">
        <v>12</v>
      </c>
      <c r="B123" s="12" t="s">
        <v>18</v>
      </c>
      <c r="C123" s="30" t="s">
        <v>94</v>
      </c>
      <c r="D123" s="21">
        <v>100.665432</v>
      </c>
      <c r="E123" s="15" t="s">
        <v>69</v>
      </c>
      <c r="F123" s="16" t="s">
        <v>16</v>
      </c>
      <c r="G123" s="22">
        <v>1</v>
      </c>
      <c r="H123" s="23">
        <v>2</v>
      </c>
      <c r="I123" s="23">
        <v>1</v>
      </c>
      <c r="J123" s="23">
        <v>1</v>
      </c>
      <c r="K123" s="23">
        <v>2</v>
      </c>
      <c r="L123" s="24">
        <f t="shared" si="3"/>
        <v>0.35859414261160716</v>
      </c>
      <c r="M123" s="20" t="s">
        <v>95</v>
      </c>
    </row>
    <row r="124" spans="1:13" x14ac:dyDescent="0.2">
      <c r="A124" s="11" t="s">
        <v>12</v>
      </c>
      <c r="B124" s="12" t="s">
        <v>20</v>
      </c>
      <c r="C124" s="30" t="s">
        <v>94</v>
      </c>
      <c r="D124" s="14">
        <v>0</v>
      </c>
      <c r="E124" s="15" t="s">
        <v>70</v>
      </c>
      <c r="F124" s="16" t="s">
        <v>16</v>
      </c>
      <c r="G124" s="17"/>
      <c r="H124" s="18"/>
      <c r="I124" s="18"/>
      <c r="J124" s="18"/>
      <c r="K124" s="18"/>
      <c r="L124" s="19" t="str">
        <f t="shared" si="3"/>
        <v/>
      </c>
      <c r="M124" s="20" t="s">
        <v>95</v>
      </c>
    </row>
    <row r="125" spans="1:13" x14ac:dyDescent="0.2">
      <c r="A125" s="11" t="s">
        <v>12</v>
      </c>
      <c r="B125" s="12" t="s">
        <v>22</v>
      </c>
      <c r="C125" s="30" t="s">
        <v>94</v>
      </c>
      <c r="D125" s="14">
        <v>0</v>
      </c>
      <c r="E125" s="15" t="s">
        <v>70</v>
      </c>
      <c r="F125" s="16" t="s">
        <v>16</v>
      </c>
      <c r="G125" s="17"/>
      <c r="H125" s="18"/>
      <c r="I125" s="18"/>
      <c r="J125" s="18"/>
      <c r="K125" s="18"/>
      <c r="L125" s="19" t="str">
        <f t="shared" si="3"/>
        <v/>
      </c>
      <c r="M125" s="20" t="s">
        <v>95</v>
      </c>
    </row>
    <row r="126" spans="1:13" x14ac:dyDescent="0.2">
      <c r="A126" s="11" t="s">
        <v>12</v>
      </c>
      <c r="B126" s="12" t="s">
        <v>23</v>
      </c>
      <c r="C126" s="30" t="s">
        <v>94</v>
      </c>
      <c r="D126" s="14">
        <v>0</v>
      </c>
      <c r="E126" s="15" t="s">
        <v>70</v>
      </c>
      <c r="F126" s="16" t="s">
        <v>16</v>
      </c>
      <c r="G126" s="17"/>
      <c r="H126" s="18"/>
      <c r="I126" s="18"/>
      <c r="J126" s="18"/>
      <c r="K126" s="18"/>
      <c r="L126" s="19" t="str">
        <f t="shared" si="3"/>
        <v/>
      </c>
      <c r="M126" s="20" t="s">
        <v>95</v>
      </c>
    </row>
    <row r="127" spans="1:13" x14ac:dyDescent="0.2">
      <c r="A127" s="11" t="s">
        <v>12</v>
      </c>
      <c r="B127" s="12" t="s">
        <v>24</v>
      </c>
      <c r="C127" s="30" t="s">
        <v>94</v>
      </c>
      <c r="D127" s="14">
        <v>0</v>
      </c>
      <c r="E127" s="15" t="s">
        <v>70</v>
      </c>
      <c r="F127" s="16" t="s">
        <v>16</v>
      </c>
      <c r="G127" s="17"/>
      <c r="H127" s="18"/>
      <c r="I127" s="18"/>
      <c r="J127" s="18"/>
      <c r="K127" s="18"/>
      <c r="L127" s="19" t="str">
        <f t="shared" si="3"/>
        <v/>
      </c>
      <c r="M127" s="20" t="s">
        <v>95</v>
      </c>
    </row>
    <row r="128" spans="1:13" x14ac:dyDescent="0.2">
      <c r="A128" s="11" t="s">
        <v>12</v>
      </c>
      <c r="B128" s="12" t="s">
        <v>25</v>
      </c>
      <c r="C128" s="30" t="s">
        <v>94</v>
      </c>
      <c r="D128" s="14">
        <v>0</v>
      </c>
      <c r="E128" s="15" t="s">
        <v>70</v>
      </c>
      <c r="F128" s="16" t="s">
        <v>16</v>
      </c>
      <c r="G128" s="17"/>
      <c r="H128" s="18"/>
      <c r="I128" s="18"/>
      <c r="J128" s="18"/>
      <c r="K128" s="18"/>
      <c r="L128" s="19" t="str">
        <f t="shared" si="3"/>
        <v/>
      </c>
      <c r="M128" s="20" t="s">
        <v>95</v>
      </c>
    </row>
    <row r="129" spans="1:13" x14ac:dyDescent="0.2">
      <c r="A129" s="11" t="s">
        <v>12</v>
      </c>
      <c r="B129" s="12" t="s">
        <v>26</v>
      </c>
      <c r="C129" s="30" t="s">
        <v>94</v>
      </c>
      <c r="D129" s="21">
        <v>70.784486999999999</v>
      </c>
      <c r="E129" s="15" t="s">
        <v>75</v>
      </c>
      <c r="F129" s="16" t="s">
        <v>16</v>
      </c>
      <c r="G129" s="22">
        <v>1</v>
      </c>
      <c r="H129" s="23">
        <v>2</v>
      </c>
      <c r="I129" s="23">
        <v>1</v>
      </c>
      <c r="J129" s="23">
        <v>1</v>
      </c>
      <c r="K129" s="23">
        <v>2</v>
      </c>
      <c r="L129" s="24">
        <f t="shared" si="3"/>
        <v>0.35859414261160716</v>
      </c>
      <c r="M129" s="20" t="s">
        <v>95</v>
      </c>
    </row>
    <row r="130" spans="1:13" x14ac:dyDescent="0.2">
      <c r="A130" s="11" t="s">
        <v>12</v>
      </c>
      <c r="B130" s="12" t="s">
        <v>27</v>
      </c>
      <c r="C130" s="30" t="s">
        <v>94</v>
      </c>
      <c r="D130" s="21">
        <v>101.511281</v>
      </c>
      <c r="E130" s="15" t="s">
        <v>76</v>
      </c>
      <c r="F130" s="16" t="s">
        <v>16</v>
      </c>
      <c r="G130" s="22">
        <v>1</v>
      </c>
      <c r="H130" s="23">
        <v>2</v>
      </c>
      <c r="I130" s="23">
        <v>1</v>
      </c>
      <c r="J130" s="23">
        <v>1</v>
      </c>
      <c r="K130" s="23">
        <v>2</v>
      </c>
      <c r="L130" s="24">
        <f t="shared" si="3"/>
        <v>0.35859414261160716</v>
      </c>
      <c r="M130" s="20" t="s">
        <v>95</v>
      </c>
    </row>
    <row r="131" spans="1:13" x14ac:dyDescent="0.2">
      <c r="A131" s="11" t="s">
        <v>12</v>
      </c>
      <c r="B131" s="12" t="s">
        <v>28</v>
      </c>
      <c r="C131" s="30" t="s">
        <v>94</v>
      </c>
      <c r="D131" s="21">
        <v>145.759872</v>
      </c>
      <c r="E131" s="15" t="s">
        <v>77</v>
      </c>
      <c r="F131" s="16" t="s">
        <v>16</v>
      </c>
      <c r="G131" s="22">
        <v>1</v>
      </c>
      <c r="H131" s="23">
        <v>1</v>
      </c>
      <c r="I131" s="23">
        <v>1</v>
      </c>
      <c r="J131" s="23">
        <v>1</v>
      </c>
      <c r="K131" s="23">
        <v>2</v>
      </c>
      <c r="L131" s="24">
        <f t="shared" ref="L131:L148" si="4">IF( OR( ISBLANK(G131),ISBLANK(H131), ISBLANK(I131), ISBLANK(J131), ISBLANK(K131) ), "", 1.5*SQRT( EXP(2.21*(G131-1)) + EXP(2.21*(H131-1)) + EXP(2.21*(I131-1)) + EXP(2.21*(J131-1)) + EXP(2.21*K131) )/100*2.45 )</f>
        <v>0.34297081055722239</v>
      </c>
      <c r="M131" s="20" t="s">
        <v>95</v>
      </c>
    </row>
    <row r="132" spans="1:13" x14ac:dyDescent="0.2">
      <c r="A132" s="11" t="s">
        <v>12</v>
      </c>
      <c r="B132" s="12" t="s">
        <v>30</v>
      </c>
      <c r="C132" s="30" t="s">
        <v>94</v>
      </c>
      <c r="D132" s="21">
        <v>467.709</v>
      </c>
      <c r="E132" s="15" t="s">
        <v>78</v>
      </c>
      <c r="F132" s="16" t="s">
        <v>16</v>
      </c>
      <c r="G132" s="22">
        <v>1</v>
      </c>
      <c r="H132" s="23">
        <v>1</v>
      </c>
      <c r="I132" s="23">
        <v>1</v>
      </c>
      <c r="J132" s="23">
        <v>1</v>
      </c>
      <c r="K132" s="23">
        <v>2</v>
      </c>
      <c r="L132" s="24">
        <f t="shared" si="4"/>
        <v>0.34297081055722239</v>
      </c>
      <c r="M132" s="20" t="s">
        <v>95</v>
      </c>
    </row>
    <row r="133" spans="1:13" x14ac:dyDescent="0.2">
      <c r="A133" s="11" t="s">
        <v>12</v>
      </c>
      <c r="B133" s="12" t="s">
        <v>32</v>
      </c>
      <c r="C133" s="30" t="s">
        <v>94</v>
      </c>
      <c r="D133" s="14">
        <v>0</v>
      </c>
      <c r="E133" s="15" t="s">
        <v>70</v>
      </c>
      <c r="F133" s="16" t="s">
        <v>16</v>
      </c>
      <c r="G133" s="17"/>
      <c r="H133" s="18"/>
      <c r="I133" s="18"/>
      <c r="J133" s="18"/>
      <c r="K133" s="18"/>
      <c r="L133" s="19" t="str">
        <f t="shared" si="4"/>
        <v/>
      </c>
      <c r="M133" s="20" t="s">
        <v>95</v>
      </c>
    </row>
    <row r="134" spans="1:13" x14ac:dyDescent="0.2">
      <c r="A134" s="11" t="s">
        <v>12</v>
      </c>
      <c r="B134" s="12" t="s">
        <v>34</v>
      </c>
      <c r="C134" s="30" t="s">
        <v>94</v>
      </c>
      <c r="D134" s="21">
        <v>47.127000000000002</v>
      </c>
      <c r="E134" s="15" t="s">
        <v>80</v>
      </c>
      <c r="F134" s="16" t="s">
        <v>16</v>
      </c>
      <c r="G134" s="22">
        <v>1</v>
      </c>
      <c r="H134" s="23">
        <v>2</v>
      </c>
      <c r="I134" s="23">
        <v>1</v>
      </c>
      <c r="J134" s="23">
        <v>1</v>
      </c>
      <c r="K134" s="23">
        <v>2</v>
      </c>
      <c r="L134" s="24">
        <f t="shared" si="4"/>
        <v>0.35859414261160716</v>
      </c>
      <c r="M134" s="20" t="s">
        <v>95</v>
      </c>
    </row>
    <row r="135" spans="1:13" x14ac:dyDescent="0.2">
      <c r="A135" s="11" t="s">
        <v>12</v>
      </c>
      <c r="B135" s="12" t="s">
        <v>36</v>
      </c>
      <c r="C135" s="30" t="s">
        <v>94</v>
      </c>
      <c r="D135" s="21">
        <v>5.8678340000000002</v>
      </c>
      <c r="E135" s="15" t="s">
        <v>81</v>
      </c>
      <c r="F135" s="16" t="s">
        <v>16</v>
      </c>
      <c r="G135" s="22">
        <v>1</v>
      </c>
      <c r="H135" s="23">
        <v>2</v>
      </c>
      <c r="I135" s="23">
        <v>1</v>
      </c>
      <c r="J135" s="23">
        <v>1</v>
      </c>
      <c r="K135" s="23">
        <v>2</v>
      </c>
      <c r="L135" s="25">
        <f t="shared" si="4"/>
        <v>0.35859414261160716</v>
      </c>
      <c r="M135" s="20" t="s">
        <v>95</v>
      </c>
    </row>
    <row r="136" spans="1:13" x14ac:dyDescent="0.2">
      <c r="A136" s="11" t="s">
        <v>12</v>
      </c>
      <c r="B136" s="12" t="s">
        <v>37</v>
      </c>
      <c r="C136" s="30" t="s">
        <v>94</v>
      </c>
      <c r="D136" s="21">
        <v>61.933999999999997</v>
      </c>
      <c r="E136" s="15" t="s">
        <v>82</v>
      </c>
      <c r="F136" s="16" t="s">
        <v>16</v>
      </c>
      <c r="G136" s="22">
        <v>1</v>
      </c>
      <c r="H136" s="23">
        <v>1</v>
      </c>
      <c r="I136" s="23">
        <v>1</v>
      </c>
      <c r="J136" s="23">
        <v>1</v>
      </c>
      <c r="K136" s="23">
        <v>2</v>
      </c>
      <c r="L136" s="24">
        <f t="shared" si="4"/>
        <v>0.34297081055722239</v>
      </c>
      <c r="M136" s="20" t="s">
        <v>95</v>
      </c>
    </row>
    <row r="137" spans="1:13" x14ac:dyDescent="0.2">
      <c r="A137" s="11" t="s">
        <v>12</v>
      </c>
      <c r="B137" s="12" t="s">
        <v>39</v>
      </c>
      <c r="C137" s="30" t="s">
        <v>94</v>
      </c>
      <c r="D137" s="14">
        <v>0</v>
      </c>
      <c r="E137" s="15" t="s">
        <v>70</v>
      </c>
      <c r="F137" s="16" t="s">
        <v>16</v>
      </c>
      <c r="G137" s="17"/>
      <c r="H137" s="18"/>
      <c r="I137" s="18"/>
      <c r="J137" s="18"/>
      <c r="K137" s="18"/>
      <c r="L137" s="19" t="str">
        <f t="shared" si="4"/>
        <v/>
      </c>
      <c r="M137" s="20" t="s">
        <v>95</v>
      </c>
    </row>
    <row r="138" spans="1:13" x14ac:dyDescent="0.2">
      <c r="A138" s="11" t="s">
        <v>12</v>
      </c>
      <c r="B138" s="12" t="s">
        <v>40</v>
      </c>
      <c r="C138" s="30" t="s">
        <v>94</v>
      </c>
      <c r="D138" s="14">
        <v>0</v>
      </c>
      <c r="E138" s="15" t="s">
        <v>70</v>
      </c>
      <c r="F138" s="16" t="s">
        <v>16</v>
      </c>
      <c r="G138" s="17"/>
      <c r="H138" s="18"/>
      <c r="I138" s="18"/>
      <c r="J138" s="18"/>
      <c r="K138" s="18"/>
      <c r="L138" s="19" t="str">
        <f t="shared" si="4"/>
        <v/>
      </c>
      <c r="M138" s="20" t="s">
        <v>95</v>
      </c>
    </row>
    <row r="139" spans="1:13" x14ac:dyDescent="0.2">
      <c r="A139" s="11" t="s">
        <v>12</v>
      </c>
      <c r="B139" s="12" t="s">
        <v>41</v>
      </c>
      <c r="C139" s="30" t="s">
        <v>94</v>
      </c>
      <c r="D139" s="14">
        <v>0</v>
      </c>
      <c r="E139" s="15" t="s">
        <v>70</v>
      </c>
      <c r="F139" s="16" t="s">
        <v>16</v>
      </c>
      <c r="G139" s="17"/>
      <c r="H139" s="18"/>
      <c r="I139" s="18"/>
      <c r="J139" s="18"/>
      <c r="K139" s="18"/>
      <c r="L139" s="19" t="str">
        <f t="shared" si="4"/>
        <v/>
      </c>
      <c r="M139" s="20" t="s">
        <v>95</v>
      </c>
    </row>
    <row r="140" spans="1:13" x14ac:dyDescent="0.2">
      <c r="A140" s="11" t="s">
        <v>12</v>
      </c>
      <c r="B140" s="12" t="s">
        <v>42</v>
      </c>
      <c r="C140" s="30" t="s">
        <v>94</v>
      </c>
      <c r="D140" s="14">
        <v>0</v>
      </c>
      <c r="E140" s="15" t="s">
        <v>70</v>
      </c>
      <c r="F140" s="16" t="s">
        <v>16</v>
      </c>
      <c r="G140" s="17"/>
      <c r="H140" s="18"/>
      <c r="I140" s="18"/>
      <c r="J140" s="18"/>
      <c r="K140" s="18"/>
      <c r="L140" s="19" t="str">
        <f t="shared" si="4"/>
        <v/>
      </c>
      <c r="M140" s="20" t="s">
        <v>95</v>
      </c>
    </row>
    <row r="141" spans="1:13" x14ac:dyDescent="0.2">
      <c r="A141" s="11" t="s">
        <v>12</v>
      </c>
      <c r="B141" s="12" t="s">
        <v>43</v>
      </c>
      <c r="C141" s="30" t="s">
        <v>94</v>
      </c>
      <c r="D141" s="21">
        <v>316.39699999999999</v>
      </c>
      <c r="E141" s="15" t="s">
        <v>86</v>
      </c>
      <c r="F141" s="16" t="s">
        <v>16</v>
      </c>
      <c r="G141" s="22">
        <v>1</v>
      </c>
      <c r="H141" s="23">
        <v>1</v>
      </c>
      <c r="I141" s="23">
        <v>1</v>
      </c>
      <c r="J141" s="23">
        <v>1</v>
      </c>
      <c r="K141" s="23">
        <v>2</v>
      </c>
      <c r="L141" s="24">
        <f t="shared" si="4"/>
        <v>0.34297081055722239</v>
      </c>
      <c r="M141" s="20" t="s">
        <v>95</v>
      </c>
    </row>
    <row r="142" spans="1:13" x14ac:dyDescent="0.2">
      <c r="A142" s="11" t="s">
        <v>12</v>
      </c>
      <c r="B142" s="12" t="s">
        <v>45</v>
      </c>
      <c r="C142" s="30" t="s">
        <v>94</v>
      </c>
      <c r="D142" s="14">
        <v>0</v>
      </c>
      <c r="E142" s="15" t="s">
        <v>70</v>
      </c>
      <c r="F142" s="16" t="s">
        <v>16</v>
      </c>
      <c r="G142" s="17"/>
      <c r="H142" s="18"/>
      <c r="I142" s="18"/>
      <c r="J142" s="18"/>
      <c r="K142" s="18"/>
      <c r="L142" s="19" t="str">
        <f t="shared" si="4"/>
        <v/>
      </c>
      <c r="M142" s="20" t="s">
        <v>95</v>
      </c>
    </row>
    <row r="143" spans="1:13" x14ac:dyDescent="0.2">
      <c r="A143" s="11" t="s">
        <v>12</v>
      </c>
      <c r="B143" s="12" t="s">
        <v>46</v>
      </c>
      <c r="C143" s="30" t="s">
        <v>94</v>
      </c>
      <c r="D143" s="21">
        <v>103.044</v>
      </c>
      <c r="E143" s="15" t="s">
        <v>88</v>
      </c>
      <c r="F143" s="16" t="s">
        <v>16</v>
      </c>
      <c r="G143" s="22">
        <v>1</v>
      </c>
      <c r="H143" s="23">
        <v>1</v>
      </c>
      <c r="I143" s="23">
        <v>1</v>
      </c>
      <c r="J143" s="23">
        <v>1</v>
      </c>
      <c r="K143" s="23">
        <v>2</v>
      </c>
      <c r="L143" s="24">
        <f t="shared" si="4"/>
        <v>0.34297081055722239</v>
      </c>
      <c r="M143" s="20" t="s">
        <v>95</v>
      </c>
    </row>
    <row r="144" spans="1:13" x14ac:dyDescent="0.2">
      <c r="A144" s="11" t="s">
        <v>12</v>
      </c>
      <c r="B144" s="12" t="s">
        <v>48</v>
      </c>
      <c r="C144" s="30" t="s">
        <v>94</v>
      </c>
      <c r="D144" s="14">
        <v>0</v>
      </c>
      <c r="E144" s="15" t="s">
        <v>70</v>
      </c>
      <c r="F144" s="16" t="s">
        <v>16</v>
      </c>
      <c r="G144" s="17"/>
      <c r="H144" s="18"/>
      <c r="I144" s="18"/>
      <c r="J144" s="18"/>
      <c r="K144" s="18"/>
      <c r="L144" s="19" t="str">
        <f t="shared" si="4"/>
        <v/>
      </c>
      <c r="M144" s="20" t="s">
        <v>95</v>
      </c>
    </row>
    <row r="145" spans="1:13" x14ac:dyDescent="0.2">
      <c r="A145" s="11" t="s">
        <v>12</v>
      </c>
      <c r="B145" s="12" t="s">
        <v>50</v>
      </c>
      <c r="C145" s="30" t="s">
        <v>94</v>
      </c>
      <c r="D145" s="21">
        <v>18.122876000000002</v>
      </c>
      <c r="E145" s="15" t="s">
        <v>90</v>
      </c>
      <c r="F145" s="16" t="s">
        <v>16</v>
      </c>
      <c r="G145" s="22">
        <v>1</v>
      </c>
      <c r="H145" s="23">
        <v>1</v>
      </c>
      <c r="I145" s="23">
        <v>1</v>
      </c>
      <c r="J145" s="23">
        <v>1</v>
      </c>
      <c r="K145" s="23">
        <v>2</v>
      </c>
      <c r="L145" s="24">
        <f t="shared" si="4"/>
        <v>0.34297081055722239</v>
      </c>
      <c r="M145" s="20" t="s">
        <v>95</v>
      </c>
    </row>
    <row r="146" spans="1:13" x14ac:dyDescent="0.2">
      <c r="A146" s="11" t="s">
        <v>12</v>
      </c>
      <c r="B146" s="12" t="s">
        <v>52</v>
      </c>
      <c r="C146" s="30" t="s">
        <v>94</v>
      </c>
      <c r="D146" s="21">
        <v>9.1946049999999993</v>
      </c>
      <c r="E146" s="15" t="s">
        <v>91</v>
      </c>
      <c r="F146" s="16" t="s">
        <v>16</v>
      </c>
      <c r="G146" s="22">
        <v>1</v>
      </c>
      <c r="H146" s="23">
        <v>1</v>
      </c>
      <c r="I146" s="23">
        <v>1</v>
      </c>
      <c r="J146" s="23">
        <v>1</v>
      </c>
      <c r="K146" s="23">
        <v>2</v>
      </c>
      <c r="L146" s="24">
        <f t="shared" si="4"/>
        <v>0.34297081055722239</v>
      </c>
      <c r="M146" s="20" t="s">
        <v>95</v>
      </c>
    </row>
    <row r="147" spans="1:13" x14ac:dyDescent="0.2">
      <c r="A147" s="11" t="s">
        <v>12</v>
      </c>
      <c r="B147" s="12" t="s">
        <v>54</v>
      </c>
      <c r="C147" s="30" t="s">
        <v>94</v>
      </c>
      <c r="D147" s="14">
        <v>0</v>
      </c>
      <c r="E147" s="15" t="s">
        <v>70</v>
      </c>
      <c r="F147" s="16" t="s">
        <v>16</v>
      </c>
      <c r="G147" s="17"/>
      <c r="H147" s="18"/>
      <c r="I147" s="18"/>
      <c r="J147" s="18"/>
      <c r="K147" s="18"/>
      <c r="L147" s="19" t="str">
        <f t="shared" si="4"/>
        <v/>
      </c>
      <c r="M147" s="20" t="s">
        <v>95</v>
      </c>
    </row>
    <row r="148" spans="1:13" x14ac:dyDescent="0.2">
      <c r="A148" s="11" t="s">
        <v>12</v>
      </c>
      <c r="B148" s="12" t="s">
        <v>55</v>
      </c>
      <c r="C148" s="30" t="s">
        <v>94</v>
      </c>
      <c r="D148" s="21">
        <v>2.3919999999999999</v>
      </c>
      <c r="E148" s="15" t="s">
        <v>92</v>
      </c>
      <c r="F148" s="16" t="s">
        <v>16</v>
      </c>
      <c r="G148" s="22">
        <v>1</v>
      </c>
      <c r="H148" s="23">
        <v>1</v>
      </c>
      <c r="I148" s="23">
        <v>1</v>
      </c>
      <c r="J148" s="23">
        <v>1</v>
      </c>
      <c r="K148" s="23">
        <v>2</v>
      </c>
      <c r="L148" s="24">
        <f t="shared" si="4"/>
        <v>0.34297081055722239</v>
      </c>
      <c r="M148" s="20" t="s">
        <v>95</v>
      </c>
    </row>
    <row r="149" spans="1:13" x14ac:dyDescent="0.2">
      <c r="A149" s="11" t="s">
        <v>12</v>
      </c>
      <c r="B149" s="12" t="s">
        <v>57</v>
      </c>
      <c r="C149" s="30" t="s">
        <v>94</v>
      </c>
      <c r="D149" s="14">
        <v>0</v>
      </c>
      <c r="E149" s="15" t="s">
        <v>70</v>
      </c>
      <c r="F149" s="16" t="s">
        <v>16</v>
      </c>
      <c r="G149" s="17"/>
      <c r="H149" s="18"/>
      <c r="I149" s="18"/>
      <c r="J149" s="18"/>
      <c r="K149" s="18"/>
      <c r="L149" s="19" t="str">
        <f>IF( OR( ISBLANK(G149),ISBLANK(H149), ISBLANK(I149), ISBLANK(J149), ISBLANK(K149) ), "", 1.5*SQRT(   EXP(2.21*(G149-1)) + EXP(2.21*(H149-1)) + EXP(2.21*(I149-1)) + EXP(2.21*(J149-1)) + EXP(2.21*K149)   )/100*2.45 )</f>
        <v/>
      </c>
      <c r="M149" s="20" t="s">
        <v>95</v>
      </c>
    </row>
    <row r="150" spans="1:13" x14ac:dyDescent="0.2">
      <c r="A150" s="11" t="s">
        <v>12</v>
      </c>
      <c r="B150" s="12" t="s">
        <v>59</v>
      </c>
      <c r="C150" s="30" t="s">
        <v>94</v>
      </c>
      <c r="D150" s="14">
        <v>0</v>
      </c>
      <c r="E150" s="15"/>
      <c r="F150" s="16" t="s">
        <v>16</v>
      </c>
      <c r="G150" s="17"/>
      <c r="H150" s="18"/>
      <c r="I150" s="18"/>
      <c r="J150" s="18"/>
      <c r="K150" s="18"/>
      <c r="L150" s="19" t="str">
        <f t="shared" ref="L150:L181" si="5">IF( OR( ISBLANK(G150),ISBLANK(H150), ISBLANK(I150), ISBLANK(J150), ISBLANK(K150) ), "", 1.5*SQRT( EXP(2.21*(G150-1)) + EXP(2.21*(H150-1)) + EXP(2.21*(I150-1)) + EXP(2.21*(J150-1)) + EXP(2.21*K150) )/100*2.45 )</f>
        <v/>
      </c>
      <c r="M150" s="20"/>
    </row>
    <row r="151" spans="1:13" x14ac:dyDescent="0.2">
      <c r="A151" s="11" t="s">
        <v>12</v>
      </c>
      <c r="B151" s="12" t="s">
        <v>60</v>
      </c>
      <c r="C151" s="30" t="s">
        <v>94</v>
      </c>
      <c r="D151" s="21">
        <v>16.622668000000001</v>
      </c>
      <c r="E151" s="15" t="s">
        <v>61</v>
      </c>
      <c r="F151" s="16" t="s">
        <v>16</v>
      </c>
      <c r="G151" s="22">
        <v>1</v>
      </c>
      <c r="H151" s="23">
        <v>2</v>
      </c>
      <c r="I151" s="23">
        <v>1</v>
      </c>
      <c r="J151" s="23">
        <v>1</v>
      </c>
      <c r="K151" s="23">
        <v>2</v>
      </c>
      <c r="L151" s="24">
        <f t="shared" si="5"/>
        <v>0.35859414261160716</v>
      </c>
      <c r="M151" s="20" t="s">
        <v>95</v>
      </c>
    </row>
    <row r="152" spans="1:13" x14ac:dyDescent="0.2">
      <c r="A152" s="11" t="s">
        <v>12</v>
      </c>
      <c r="B152" s="12" t="s">
        <v>13</v>
      </c>
      <c r="C152" s="31" t="s">
        <v>96</v>
      </c>
      <c r="D152" s="14">
        <v>0</v>
      </c>
      <c r="E152" s="15" t="s">
        <v>70</v>
      </c>
      <c r="F152" s="16" t="s">
        <v>16</v>
      </c>
      <c r="G152" s="17"/>
      <c r="H152" s="18"/>
      <c r="I152" s="18"/>
      <c r="J152" s="18"/>
      <c r="K152" s="18"/>
      <c r="L152" s="19" t="str">
        <f t="shared" si="5"/>
        <v/>
      </c>
      <c r="M152" s="20" t="s">
        <v>97</v>
      </c>
    </row>
    <row r="153" spans="1:13" x14ac:dyDescent="0.2">
      <c r="A153" s="11" t="s">
        <v>12</v>
      </c>
      <c r="B153" s="12" t="s">
        <v>18</v>
      </c>
      <c r="C153" s="31" t="s">
        <v>96</v>
      </c>
      <c r="D153" s="14">
        <v>0</v>
      </c>
      <c r="E153" s="15" t="s">
        <v>70</v>
      </c>
      <c r="F153" s="16" t="s">
        <v>16</v>
      </c>
      <c r="G153" s="17"/>
      <c r="H153" s="18"/>
      <c r="I153" s="18"/>
      <c r="J153" s="18"/>
      <c r="K153" s="18"/>
      <c r="L153" s="19" t="str">
        <f t="shared" si="5"/>
        <v/>
      </c>
      <c r="M153" s="20" t="s">
        <v>97</v>
      </c>
    </row>
    <row r="154" spans="1:13" x14ac:dyDescent="0.2">
      <c r="A154" s="11" t="s">
        <v>12</v>
      </c>
      <c r="B154" s="12" t="s">
        <v>20</v>
      </c>
      <c r="C154" s="31" t="s">
        <v>96</v>
      </c>
      <c r="D154" s="21">
        <v>8.0458349999999985</v>
      </c>
      <c r="E154" s="15" t="s">
        <v>70</v>
      </c>
      <c r="F154" s="16" t="s">
        <v>16</v>
      </c>
      <c r="G154" s="22">
        <v>1</v>
      </c>
      <c r="H154" s="23">
        <v>1</v>
      </c>
      <c r="I154" s="23">
        <v>1</v>
      </c>
      <c r="J154" s="23">
        <v>1</v>
      </c>
      <c r="K154" s="23">
        <v>2</v>
      </c>
      <c r="L154" s="25">
        <f t="shared" si="5"/>
        <v>0.34297081055722239</v>
      </c>
      <c r="M154" s="20" t="s">
        <v>97</v>
      </c>
    </row>
    <row r="155" spans="1:13" x14ac:dyDescent="0.2">
      <c r="A155" s="11" t="s">
        <v>12</v>
      </c>
      <c r="B155" s="12" t="s">
        <v>22</v>
      </c>
      <c r="C155" s="31" t="s">
        <v>96</v>
      </c>
      <c r="D155" s="21">
        <v>0.95269999999999988</v>
      </c>
      <c r="E155" s="15" t="s">
        <v>70</v>
      </c>
      <c r="F155" s="16" t="s">
        <v>16</v>
      </c>
      <c r="G155" s="22">
        <v>1</v>
      </c>
      <c r="H155" s="23">
        <v>1</v>
      </c>
      <c r="I155" s="23">
        <v>1</v>
      </c>
      <c r="J155" s="23">
        <v>1</v>
      </c>
      <c r="K155" s="23">
        <v>2</v>
      </c>
      <c r="L155" s="25">
        <f t="shared" si="5"/>
        <v>0.34297081055722239</v>
      </c>
      <c r="M155" s="20" t="s">
        <v>97</v>
      </c>
    </row>
    <row r="156" spans="1:13" x14ac:dyDescent="0.2">
      <c r="A156" s="11" t="s">
        <v>12</v>
      </c>
      <c r="B156" s="12" t="s">
        <v>23</v>
      </c>
      <c r="C156" s="31" t="s">
        <v>96</v>
      </c>
      <c r="D156" s="14">
        <v>0</v>
      </c>
      <c r="E156" s="15" t="s">
        <v>70</v>
      </c>
      <c r="F156" s="16" t="s">
        <v>16</v>
      </c>
      <c r="G156" s="17"/>
      <c r="H156" s="18"/>
      <c r="I156" s="18"/>
      <c r="J156" s="18"/>
      <c r="K156" s="18"/>
      <c r="L156" s="19" t="str">
        <f t="shared" si="5"/>
        <v/>
      </c>
      <c r="M156" s="20" t="s">
        <v>97</v>
      </c>
    </row>
    <row r="157" spans="1:13" x14ac:dyDescent="0.2">
      <c r="A157" s="11" t="s">
        <v>12</v>
      </c>
      <c r="B157" s="12" t="s">
        <v>24</v>
      </c>
      <c r="C157" s="31" t="s">
        <v>96</v>
      </c>
      <c r="D157" s="14">
        <v>0</v>
      </c>
      <c r="E157" s="15" t="s">
        <v>70</v>
      </c>
      <c r="F157" s="16" t="s">
        <v>16</v>
      </c>
      <c r="G157" s="17"/>
      <c r="H157" s="18"/>
      <c r="I157" s="18"/>
      <c r="J157" s="18"/>
      <c r="K157" s="18"/>
      <c r="L157" s="19" t="str">
        <f t="shared" si="5"/>
        <v/>
      </c>
      <c r="M157" s="20" t="s">
        <v>97</v>
      </c>
    </row>
    <row r="158" spans="1:13" x14ac:dyDescent="0.2">
      <c r="A158" s="11" t="s">
        <v>12</v>
      </c>
      <c r="B158" s="12" t="s">
        <v>25</v>
      </c>
      <c r="C158" s="31" t="s">
        <v>96</v>
      </c>
      <c r="D158" s="21">
        <v>4.3679999999999997E-2</v>
      </c>
      <c r="E158" s="15" t="s">
        <v>70</v>
      </c>
      <c r="F158" s="16" t="s">
        <v>16</v>
      </c>
      <c r="G158" s="22">
        <v>1</v>
      </c>
      <c r="H158" s="23">
        <v>2</v>
      </c>
      <c r="I158" s="23">
        <v>1</v>
      </c>
      <c r="J158" s="23">
        <v>1</v>
      </c>
      <c r="K158" s="23">
        <v>2</v>
      </c>
      <c r="L158" s="25">
        <f t="shared" si="5"/>
        <v>0.35859414261160716</v>
      </c>
      <c r="M158" s="20" t="s">
        <v>97</v>
      </c>
    </row>
    <row r="159" spans="1:13" x14ac:dyDescent="0.2">
      <c r="A159" s="11" t="s">
        <v>12</v>
      </c>
      <c r="B159" s="12" t="s">
        <v>26</v>
      </c>
      <c r="C159" s="31" t="s">
        <v>96</v>
      </c>
      <c r="D159" s="21">
        <v>5.6279999999999976E-3</v>
      </c>
      <c r="E159" s="15" t="s">
        <v>75</v>
      </c>
      <c r="F159" s="16" t="s">
        <v>16</v>
      </c>
      <c r="G159" s="22">
        <v>1</v>
      </c>
      <c r="H159" s="23">
        <v>2</v>
      </c>
      <c r="I159" s="23">
        <v>1</v>
      </c>
      <c r="J159" s="23">
        <v>1</v>
      </c>
      <c r="K159" s="23">
        <v>2</v>
      </c>
      <c r="L159" s="24">
        <f t="shared" si="5"/>
        <v>0.35859414261160716</v>
      </c>
      <c r="M159" s="20" t="s">
        <v>97</v>
      </c>
    </row>
    <row r="160" spans="1:13" x14ac:dyDescent="0.2">
      <c r="A160" s="11" t="s">
        <v>12</v>
      </c>
      <c r="B160" s="12" t="s">
        <v>27</v>
      </c>
      <c r="C160" s="31" t="s">
        <v>96</v>
      </c>
      <c r="D160" s="21">
        <v>8.4609699999999996E-2</v>
      </c>
      <c r="E160" s="15" t="s">
        <v>76</v>
      </c>
      <c r="F160" s="16" t="s">
        <v>16</v>
      </c>
      <c r="G160" s="22">
        <v>1</v>
      </c>
      <c r="H160" s="23">
        <v>2</v>
      </c>
      <c r="I160" s="23">
        <v>1</v>
      </c>
      <c r="J160" s="23">
        <v>1</v>
      </c>
      <c r="K160" s="23">
        <v>2</v>
      </c>
      <c r="L160" s="24">
        <f t="shared" si="5"/>
        <v>0.35859414261160716</v>
      </c>
      <c r="M160" s="20" t="s">
        <v>97</v>
      </c>
    </row>
    <row r="161" spans="1:13" x14ac:dyDescent="0.2">
      <c r="A161" s="11" t="s">
        <v>12</v>
      </c>
      <c r="B161" s="12" t="s">
        <v>28</v>
      </c>
      <c r="C161" s="31" t="s">
        <v>96</v>
      </c>
      <c r="D161" s="21">
        <v>1194.4340884000001</v>
      </c>
      <c r="E161" s="15" t="s">
        <v>77</v>
      </c>
      <c r="F161" s="16" t="s">
        <v>16</v>
      </c>
      <c r="G161" s="22">
        <v>1</v>
      </c>
      <c r="H161" s="23">
        <v>1</v>
      </c>
      <c r="I161" s="23">
        <v>1</v>
      </c>
      <c r="J161" s="23">
        <v>1</v>
      </c>
      <c r="K161" s="23">
        <v>3</v>
      </c>
      <c r="L161" s="24">
        <f t="shared" si="5"/>
        <v>1.0141150152164344</v>
      </c>
      <c r="M161" s="20" t="s">
        <v>97</v>
      </c>
    </row>
    <row r="162" spans="1:13" x14ac:dyDescent="0.2">
      <c r="A162" s="11" t="s">
        <v>12</v>
      </c>
      <c r="B162" s="12" t="s">
        <v>30</v>
      </c>
      <c r="C162" s="31" t="s">
        <v>96</v>
      </c>
      <c r="D162" s="21">
        <v>1556.8520000000001</v>
      </c>
      <c r="E162" s="15" t="s">
        <v>78</v>
      </c>
      <c r="F162" s="16" t="s">
        <v>16</v>
      </c>
      <c r="G162" s="22">
        <v>1</v>
      </c>
      <c r="H162" s="23">
        <v>1</v>
      </c>
      <c r="I162" s="23">
        <v>1</v>
      </c>
      <c r="J162" s="23">
        <v>1</v>
      </c>
      <c r="K162" s="23">
        <v>2</v>
      </c>
      <c r="L162" s="24">
        <f t="shared" si="5"/>
        <v>0.34297081055722239</v>
      </c>
      <c r="M162" s="20" t="s">
        <v>97</v>
      </c>
    </row>
    <row r="163" spans="1:13" x14ac:dyDescent="0.2">
      <c r="A163" s="11" t="s">
        <v>12</v>
      </c>
      <c r="B163" s="12" t="s">
        <v>32</v>
      </c>
      <c r="C163" s="31" t="s">
        <v>96</v>
      </c>
      <c r="D163" s="21">
        <v>4.7772717999999994</v>
      </c>
      <c r="E163" s="15" t="s">
        <v>70</v>
      </c>
      <c r="F163" s="16" t="s">
        <v>16</v>
      </c>
      <c r="G163" s="22">
        <v>1</v>
      </c>
      <c r="H163" s="23">
        <v>2</v>
      </c>
      <c r="I163" s="23">
        <v>1</v>
      </c>
      <c r="J163" s="23">
        <v>1</v>
      </c>
      <c r="K163" s="23">
        <v>2</v>
      </c>
      <c r="L163" s="25">
        <f t="shared" si="5"/>
        <v>0.35859414261160716</v>
      </c>
      <c r="M163" s="20" t="s">
        <v>97</v>
      </c>
    </row>
    <row r="164" spans="1:13" x14ac:dyDescent="0.2">
      <c r="A164" s="11" t="s">
        <v>12</v>
      </c>
      <c r="B164" s="12" t="s">
        <v>34</v>
      </c>
      <c r="C164" s="31" t="s">
        <v>96</v>
      </c>
      <c r="D164" s="21">
        <v>316.9966</v>
      </c>
      <c r="E164" s="15" t="s">
        <v>80</v>
      </c>
      <c r="F164" s="16" t="s">
        <v>16</v>
      </c>
      <c r="G164" s="22">
        <v>1</v>
      </c>
      <c r="H164" s="23">
        <v>2</v>
      </c>
      <c r="I164" s="23">
        <v>1</v>
      </c>
      <c r="J164" s="23">
        <v>1</v>
      </c>
      <c r="K164" s="23">
        <v>2</v>
      </c>
      <c r="L164" s="24">
        <f t="shared" si="5"/>
        <v>0.35859414261160716</v>
      </c>
      <c r="M164" s="20" t="s">
        <v>97</v>
      </c>
    </row>
    <row r="165" spans="1:13" x14ac:dyDescent="0.2">
      <c r="A165" s="11" t="s">
        <v>12</v>
      </c>
      <c r="B165" s="12" t="s">
        <v>36</v>
      </c>
      <c r="C165" s="31" t="s">
        <v>96</v>
      </c>
      <c r="D165" s="21">
        <v>115.89319999999999</v>
      </c>
      <c r="E165" s="15" t="s">
        <v>81</v>
      </c>
      <c r="F165" s="16" t="s">
        <v>16</v>
      </c>
      <c r="G165" s="22">
        <v>1</v>
      </c>
      <c r="H165" s="23">
        <v>2</v>
      </c>
      <c r="I165" s="23">
        <v>1</v>
      </c>
      <c r="J165" s="23">
        <v>1</v>
      </c>
      <c r="K165" s="23">
        <v>2</v>
      </c>
      <c r="L165" s="25">
        <f t="shared" si="5"/>
        <v>0.35859414261160716</v>
      </c>
      <c r="M165" s="20" t="s">
        <v>97</v>
      </c>
    </row>
    <row r="166" spans="1:13" x14ac:dyDescent="0.2">
      <c r="A166" s="11" t="s">
        <v>12</v>
      </c>
      <c r="B166" s="12" t="s">
        <v>37</v>
      </c>
      <c r="C166" s="31" t="s">
        <v>96</v>
      </c>
      <c r="D166" s="21">
        <v>182.4333</v>
      </c>
      <c r="E166" s="15" t="s">
        <v>82</v>
      </c>
      <c r="F166" s="16" t="s">
        <v>16</v>
      </c>
      <c r="G166" s="22">
        <v>1</v>
      </c>
      <c r="H166" s="23">
        <v>2</v>
      </c>
      <c r="I166" s="23">
        <v>1</v>
      </c>
      <c r="J166" s="23">
        <v>1</v>
      </c>
      <c r="K166" s="23">
        <v>2</v>
      </c>
      <c r="L166" s="24">
        <f t="shared" si="5"/>
        <v>0.35859414261160716</v>
      </c>
      <c r="M166" s="20" t="s">
        <v>97</v>
      </c>
    </row>
    <row r="167" spans="1:13" x14ac:dyDescent="0.2">
      <c r="A167" s="11" t="s">
        <v>12</v>
      </c>
      <c r="B167" s="12" t="s">
        <v>39</v>
      </c>
      <c r="C167" s="31" t="s">
        <v>96</v>
      </c>
      <c r="D167" s="14">
        <v>0</v>
      </c>
      <c r="E167" s="15" t="s">
        <v>70</v>
      </c>
      <c r="F167" s="16" t="s">
        <v>16</v>
      </c>
      <c r="G167" s="17"/>
      <c r="H167" s="18"/>
      <c r="I167" s="18"/>
      <c r="J167" s="18"/>
      <c r="K167" s="18"/>
      <c r="L167" s="19" t="str">
        <f t="shared" si="5"/>
        <v/>
      </c>
      <c r="M167" s="20" t="s">
        <v>97</v>
      </c>
    </row>
    <row r="168" spans="1:13" x14ac:dyDescent="0.2">
      <c r="A168" s="11" t="s">
        <v>12</v>
      </c>
      <c r="B168" s="12" t="s">
        <v>40</v>
      </c>
      <c r="C168" s="31" t="s">
        <v>96</v>
      </c>
      <c r="D168" s="21">
        <v>5.8668014999999993</v>
      </c>
      <c r="E168" s="15" t="s">
        <v>70</v>
      </c>
      <c r="F168" s="16" t="s">
        <v>16</v>
      </c>
      <c r="G168" s="22">
        <v>1</v>
      </c>
      <c r="H168" s="23">
        <v>1</v>
      </c>
      <c r="I168" s="23">
        <v>1</v>
      </c>
      <c r="J168" s="23">
        <v>1</v>
      </c>
      <c r="K168" s="23">
        <v>2</v>
      </c>
      <c r="L168" s="25">
        <f t="shared" si="5"/>
        <v>0.34297081055722239</v>
      </c>
      <c r="M168" s="20" t="s">
        <v>97</v>
      </c>
    </row>
    <row r="169" spans="1:13" x14ac:dyDescent="0.2">
      <c r="A169" s="11" t="s">
        <v>12</v>
      </c>
      <c r="B169" s="12" t="s">
        <v>41</v>
      </c>
      <c r="C169" s="31" t="s">
        <v>96</v>
      </c>
      <c r="D169" s="14">
        <v>0</v>
      </c>
      <c r="E169" s="15" t="s">
        <v>70</v>
      </c>
      <c r="F169" s="16" t="s">
        <v>16</v>
      </c>
      <c r="G169" s="17"/>
      <c r="H169" s="18"/>
      <c r="I169" s="18"/>
      <c r="J169" s="18"/>
      <c r="K169" s="18"/>
      <c r="L169" s="19" t="str">
        <f t="shared" si="5"/>
        <v/>
      </c>
      <c r="M169" s="20" t="s">
        <v>97</v>
      </c>
    </row>
    <row r="170" spans="1:13" x14ac:dyDescent="0.2">
      <c r="A170" s="11" t="s">
        <v>12</v>
      </c>
      <c r="B170" s="12" t="s">
        <v>42</v>
      </c>
      <c r="C170" s="31" t="s">
        <v>96</v>
      </c>
      <c r="D170" s="14">
        <v>0</v>
      </c>
      <c r="E170" s="15" t="s">
        <v>70</v>
      </c>
      <c r="F170" s="16" t="s">
        <v>16</v>
      </c>
      <c r="G170" s="17"/>
      <c r="H170" s="18"/>
      <c r="I170" s="18"/>
      <c r="J170" s="18"/>
      <c r="K170" s="18"/>
      <c r="L170" s="19" t="str">
        <f t="shared" si="5"/>
        <v/>
      </c>
      <c r="M170" s="20" t="s">
        <v>97</v>
      </c>
    </row>
    <row r="171" spans="1:13" x14ac:dyDescent="0.2">
      <c r="A171" s="11" t="s">
        <v>12</v>
      </c>
      <c r="B171" s="12" t="s">
        <v>43</v>
      </c>
      <c r="C171" s="31" t="s">
        <v>96</v>
      </c>
      <c r="D171" s="14">
        <v>0</v>
      </c>
      <c r="E171" s="15" t="s">
        <v>70</v>
      </c>
      <c r="F171" s="16" t="s">
        <v>16</v>
      </c>
      <c r="G171" s="17"/>
      <c r="H171" s="18"/>
      <c r="I171" s="18"/>
      <c r="J171" s="18"/>
      <c r="K171" s="18"/>
      <c r="L171" s="19" t="str">
        <f t="shared" si="5"/>
        <v/>
      </c>
      <c r="M171" s="20" t="s">
        <v>97</v>
      </c>
    </row>
    <row r="172" spans="1:13" x14ac:dyDescent="0.2">
      <c r="A172" s="11" t="s">
        <v>12</v>
      </c>
      <c r="B172" s="12" t="s">
        <v>45</v>
      </c>
      <c r="C172" s="31" t="s">
        <v>96</v>
      </c>
      <c r="D172" s="14">
        <v>0</v>
      </c>
      <c r="E172" s="15" t="s">
        <v>70</v>
      </c>
      <c r="F172" s="16" t="s">
        <v>16</v>
      </c>
      <c r="G172" s="17"/>
      <c r="H172" s="18"/>
      <c r="I172" s="18"/>
      <c r="J172" s="18"/>
      <c r="K172" s="18"/>
      <c r="L172" s="19" t="str">
        <f t="shared" si="5"/>
        <v/>
      </c>
      <c r="M172" s="20" t="s">
        <v>97</v>
      </c>
    </row>
    <row r="173" spans="1:13" x14ac:dyDescent="0.2">
      <c r="A173" s="11" t="s">
        <v>12</v>
      </c>
      <c r="B173" s="12" t="s">
        <v>46</v>
      </c>
      <c r="C173" s="31" t="s">
        <v>96</v>
      </c>
      <c r="D173" s="21">
        <v>226.688378</v>
      </c>
      <c r="E173" s="15" t="s">
        <v>88</v>
      </c>
      <c r="F173" s="16" t="s">
        <v>16</v>
      </c>
      <c r="G173" s="22">
        <v>1</v>
      </c>
      <c r="H173" s="23">
        <v>2</v>
      </c>
      <c r="I173" s="23">
        <v>1</v>
      </c>
      <c r="J173" s="23">
        <v>1</v>
      </c>
      <c r="K173" s="23">
        <v>2</v>
      </c>
      <c r="L173" s="24">
        <f t="shared" si="5"/>
        <v>0.35859414261160716</v>
      </c>
      <c r="M173" s="20" t="s">
        <v>97</v>
      </c>
    </row>
    <row r="174" spans="1:13" x14ac:dyDescent="0.2">
      <c r="A174" s="11" t="s">
        <v>12</v>
      </c>
      <c r="B174" s="12" t="s">
        <v>48</v>
      </c>
      <c r="C174" s="31" t="s">
        <v>96</v>
      </c>
      <c r="D174" s="21">
        <v>242.67872610000001</v>
      </c>
      <c r="E174" s="15" t="s">
        <v>70</v>
      </c>
      <c r="F174" s="16" t="s">
        <v>16</v>
      </c>
      <c r="G174" s="22">
        <v>1</v>
      </c>
      <c r="H174" s="23">
        <v>1</v>
      </c>
      <c r="I174" s="23">
        <v>1</v>
      </c>
      <c r="J174" s="23">
        <v>1</v>
      </c>
      <c r="K174" s="23">
        <v>2</v>
      </c>
      <c r="L174" s="25">
        <f t="shared" si="5"/>
        <v>0.34297081055722239</v>
      </c>
      <c r="M174" s="20" t="s">
        <v>97</v>
      </c>
    </row>
    <row r="175" spans="1:13" x14ac:dyDescent="0.2">
      <c r="A175" s="11" t="s">
        <v>12</v>
      </c>
      <c r="B175" s="12" t="s">
        <v>50</v>
      </c>
      <c r="C175" s="31" t="s">
        <v>96</v>
      </c>
      <c r="D175" s="21">
        <v>23.559483499999999</v>
      </c>
      <c r="E175" s="15" t="s">
        <v>90</v>
      </c>
      <c r="F175" s="16" t="s">
        <v>16</v>
      </c>
      <c r="G175" s="22">
        <v>1</v>
      </c>
      <c r="H175" s="23">
        <v>1</v>
      </c>
      <c r="I175" s="23">
        <v>1</v>
      </c>
      <c r="J175" s="23">
        <v>1</v>
      </c>
      <c r="K175" s="23">
        <v>2</v>
      </c>
      <c r="L175" s="24">
        <f t="shared" si="5"/>
        <v>0.34297081055722239</v>
      </c>
      <c r="M175" s="20" t="s">
        <v>97</v>
      </c>
    </row>
    <row r="176" spans="1:13" x14ac:dyDescent="0.2">
      <c r="A176" s="11" t="s">
        <v>12</v>
      </c>
      <c r="B176" s="12" t="s">
        <v>52</v>
      </c>
      <c r="C176" s="31" t="s">
        <v>96</v>
      </c>
      <c r="D176" s="21">
        <v>25.264958199999999</v>
      </c>
      <c r="E176" s="15" t="s">
        <v>91</v>
      </c>
      <c r="F176" s="16" t="s">
        <v>16</v>
      </c>
      <c r="G176" s="22">
        <v>1</v>
      </c>
      <c r="H176" s="23">
        <v>2</v>
      </c>
      <c r="I176" s="23">
        <v>1</v>
      </c>
      <c r="J176" s="23">
        <v>1</v>
      </c>
      <c r="K176" s="23">
        <v>2</v>
      </c>
      <c r="L176" s="24">
        <f t="shared" si="5"/>
        <v>0.35859414261160716</v>
      </c>
      <c r="M176" s="20" t="s">
        <v>97</v>
      </c>
    </row>
    <row r="177" spans="1:13" x14ac:dyDescent="0.2">
      <c r="A177" s="11" t="s">
        <v>12</v>
      </c>
      <c r="B177" s="12" t="s">
        <v>54</v>
      </c>
      <c r="C177" s="31" t="s">
        <v>96</v>
      </c>
      <c r="D177" s="14">
        <v>0</v>
      </c>
      <c r="E177" s="15" t="s">
        <v>70</v>
      </c>
      <c r="F177" s="16" t="s">
        <v>16</v>
      </c>
      <c r="G177" s="17"/>
      <c r="H177" s="18"/>
      <c r="I177" s="18"/>
      <c r="J177" s="18"/>
      <c r="K177" s="18"/>
      <c r="L177" s="19" t="str">
        <f t="shared" si="5"/>
        <v/>
      </c>
      <c r="M177" s="20" t="s">
        <v>97</v>
      </c>
    </row>
    <row r="178" spans="1:13" x14ac:dyDescent="0.2">
      <c r="A178" s="11" t="s">
        <v>12</v>
      </c>
      <c r="B178" s="12" t="s">
        <v>55</v>
      </c>
      <c r="C178" s="31" t="s">
        <v>96</v>
      </c>
      <c r="D178" s="21">
        <v>557.36399999999992</v>
      </c>
      <c r="E178" s="15" t="s">
        <v>92</v>
      </c>
      <c r="F178" s="16" t="s">
        <v>16</v>
      </c>
      <c r="G178" s="22">
        <v>1</v>
      </c>
      <c r="H178" s="23">
        <v>1</v>
      </c>
      <c r="I178" s="23">
        <v>1</v>
      </c>
      <c r="J178" s="23">
        <v>1</v>
      </c>
      <c r="K178" s="23">
        <v>2</v>
      </c>
      <c r="L178" s="24">
        <f t="shared" si="5"/>
        <v>0.34297081055722239</v>
      </c>
      <c r="M178" s="20" t="s">
        <v>97</v>
      </c>
    </row>
    <row r="179" spans="1:13" x14ac:dyDescent="0.2">
      <c r="A179" s="11" t="s">
        <v>12</v>
      </c>
      <c r="B179" s="12" t="s">
        <v>57</v>
      </c>
      <c r="C179" s="31" t="s">
        <v>96</v>
      </c>
      <c r="D179" s="21">
        <v>229.5898</v>
      </c>
      <c r="E179" s="15" t="s">
        <v>93</v>
      </c>
      <c r="F179" s="16" t="s">
        <v>16</v>
      </c>
      <c r="G179" s="22">
        <v>1</v>
      </c>
      <c r="H179" s="23">
        <v>1</v>
      </c>
      <c r="I179" s="23">
        <v>1</v>
      </c>
      <c r="J179" s="23">
        <v>1</v>
      </c>
      <c r="K179" s="23">
        <v>2</v>
      </c>
      <c r="L179" s="24">
        <f t="shared" si="5"/>
        <v>0.34297081055722239</v>
      </c>
      <c r="M179" s="20" t="s">
        <v>97</v>
      </c>
    </row>
    <row r="180" spans="1:13" x14ac:dyDescent="0.2">
      <c r="A180" s="11" t="s">
        <v>12</v>
      </c>
      <c r="B180" s="12" t="s">
        <v>59</v>
      </c>
      <c r="C180" s="31" t="s">
        <v>96</v>
      </c>
      <c r="D180" s="14">
        <v>0</v>
      </c>
      <c r="E180" s="15"/>
      <c r="F180" s="16" t="s">
        <v>16</v>
      </c>
      <c r="G180" s="17"/>
      <c r="H180" s="18"/>
      <c r="I180" s="18"/>
      <c r="J180" s="18"/>
      <c r="K180" s="18"/>
      <c r="L180" s="19" t="str">
        <f t="shared" si="5"/>
        <v/>
      </c>
      <c r="M180" s="20"/>
    </row>
    <row r="181" spans="1:13" x14ac:dyDescent="0.2">
      <c r="A181" s="11" t="s">
        <v>12</v>
      </c>
      <c r="B181" s="12" t="s">
        <v>60</v>
      </c>
      <c r="C181" s="31" t="s">
        <v>96</v>
      </c>
      <c r="D181" s="21">
        <v>139.1427032</v>
      </c>
      <c r="E181" s="15" t="s">
        <v>61</v>
      </c>
      <c r="F181" s="16" t="s">
        <v>16</v>
      </c>
      <c r="G181" s="22">
        <v>1</v>
      </c>
      <c r="H181" s="23">
        <v>2</v>
      </c>
      <c r="I181" s="23">
        <v>1</v>
      </c>
      <c r="J181" s="23">
        <v>1</v>
      </c>
      <c r="K181" s="23">
        <v>2</v>
      </c>
      <c r="L181" s="24">
        <f t="shared" si="5"/>
        <v>0.35859414261160716</v>
      </c>
      <c r="M181" s="20" t="s">
        <v>97</v>
      </c>
    </row>
    <row r="182" spans="1:13" x14ac:dyDescent="0.2">
      <c r="A182" s="11" t="s">
        <v>12</v>
      </c>
      <c r="B182" s="12" t="s">
        <v>13</v>
      </c>
      <c r="C182" s="32" t="s">
        <v>98</v>
      </c>
      <c r="D182" s="14">
        <v>0</v>
      </c>
      <c r="E182" s="15" t="s">
        <v>70</v>
      </c>
      <c r="F182" s="16" t="s">
        <v>16</v>
      </c>
      <c r="G182" s="17"/>
      <c r="H182" s="18"/>
      <c r="I182" s="18"/>
      <c r="J182" s="18"/>
      <c r="K182" s="18"/>
      <c r="L182" s="19" t="str">
        <f t="shared" ref="L182:L213" si="6">IF( OR( ISBLANK(G182),ISBLANK(H182), ISBLANK(I182), ISBLANK(J182), ISBLANK(K182) ), "", 1.5*SQRT( EXP(2.21*(G182-1)) + EXP(2.21*(H182-1)) + EXP(2.21*(I182-1)) + EXP(2.21*(J182-1)) + EXP(2.21*K182) )/100*2.45 )</f>
        <v/>
      </c>
      <c r="M182" s="20" t="s">
        <v>99</v>
      </c>
    </row>
    <row r="183" spans="1:13" x14ac:dyDescent="0.2">
      <c r="A183" s="11" t="s">
        <v>12</v>
      </c>
      <c r="B183" s="12" t="s">
        <v>18</v>
      </c>
      <c r="C183" s="32" t="s">
        <v>98</v>
      </c>
      <c r="D183" s="14">
        <v>0</v>
      </c>
      <c r="E183" s="15" t="s">
        <v>70</v>
      </c>
      <c r="F183" s="16" t="s">
        <v>16</v>
      </c>
      <c r="G183" s="17"/>
      <c r="H183" s="18"/>
      <c r="I183" s="18"/>
      <c r="J183" s="18"/>
      <c r="K183" s="18"/>
      <c r="L183" s="19" t="str">
        <f t="shared" si="6"/>
        <v/>
      </c>
      <c r="M183" s="20" t="s">
        <v>99</v>
      </c>
    </row>
    <row r="184" spans="1:13" x14ac:dyDescent="0.2">
      <c r="A184" s="11" t="s">
        <v>12</v>
      </c>
      <c r="B184" s="12" t="s">
        <v>20</v>
      </c>
      <c r="C184" s="32" t="s">
        <v>98</v>
      </c>
      <c r="D184" s="14">
        <v>0</v>
      </c>
      <c r="E184" s="15" t="s">
        <v>70</v>
      </c>
      <c r="F184" s="16" t="s">
        <v>16</v>
      </c>
      <c r="G184" s="17"/>
      <c r="H184" s="18"/>
      <c r="I184" s="18"/>
      <c r="J184" s="18"/>
      <c r="K184" s="18"/>
      <c r="L184" s="19" t="str">
        <f t="shared" si="6"/>
        <v/>
      </c>
      <c r="M184" s="20" t="s">
        <v>99</v>
      </c>
    </row>
    <row r="185" spans="1:13" x14ac:dyDescent="0.2">
      <c r="A185" s="11" t="s">
        <v>12</v>
      </c>
      <c r="B185" s="12" t="s">
        <v>22</v>
      </c>
      <c r="C185" s="32" t="s">
        <v>98</v>
      </c>
      <c r="D185" s="21">
        <v>14.151999999999999</v>
      </c>
      <c r="E185" s="15" t="s">
        <v>70</v>
      </c>
      <c r="F185" s="16" t="s">
        <v>16</v>
      </c>
      <c r="G185" s="22">
        <v>1</v>
      </c>
      <c r="H185" s="23">
        <v>1</v>
      </c>
      <c r="I185" s="23">
        <v>1</v>
      </c>
      <c r="J185" s="23">
        <v>1</v>
      </c>
      <c r="K185" s="23">
        <v>2</v>
      </c>
      <c r="L185" s="25">
        <f t="shared" si="6"/>
        <v>0.34297081055722239</v>
      </c>
      <c r="M185" s="20" t="s">
        <v>99</v>
      </c>
    </row>
    <row r="186" spans="1:13" x14ac:dyDescent="0.2">
      <c r="A186" s="11" t="s">
        <v>12</v>
      </c>
      <c r="B186" s="12" t="s">
        <v>23</v>
      </c>
      <c r="C186" s="32" t="s">
        <v>98</v>
      </c>
      <c r="D186" s="14">
        <v>0</v>
      </c>
      <c r="E186" s="15" t="s">
        <v>70</v>
      </c>
      <c r="F186" s="16" t="s">
        <v>16</v>
      </c>
      <c r="G186" s="17"/>
      <c r="H186" s="18"/>
      <c r="I186" s="18"/>
      <c r="J186" s="18"/>
      <c r="K186" s="18"/>
      <c r="L186" s="19" t="str">
        <f t="shared" si="6"/>
        <v/>
      </c>
      <c r="M186" s="20" t="s">
        <v>99</v>
      </c>
    </row>
    <row r="187" spans="1:13" x14ac:dyDescent="0.2">
      <c r="A187" s="11" t="s">
        <v>12</v>
      </c>
      <c r="B187" s="12" t="s">
        <v>24</v>
      </c>
      <c r="C187" s="32" t="s">
        <v>98</v>
      </c>
      <c r="D187" s="21">
        <v>0.61499999999999999</v>
      </c>
      <c r="E187" s="15" t="s">
        <v>70</v>
      </c>
      <c r="F187" s="16" t="s">
        <v>16</v>
      </c>
      <c r="G187" s="22">
        <v>1</v>
      </c>
      <c r="H187" s="23">
        <v>1</v>
      </c>
      <c r="I187" s="23">
        <v>1</v>
      </c>
      <c r="J187" s="23">
        <v>1</v>
      </c>
      <c r="K187" s="23">
        <v>2</v>
      </c>
      <c r="L187" s="25">
        <f t="shared" si="6"/>
        <v>0.34297081055722239</v>
      </c>
      <c r="M187" s="20" t="s">
        <v>99</v>
      </c>
    </row>
    <row r="188" spans="1:13" x14ac:dyDescent="0.2">
      <c r="A188" s="11" t="s">
        <v>12</v>
      </c>
      <c r="B188" s="12" t="s">
        <v>25</v>
      </c>
      <c r="C188" s="32" t="s">
        <v>98</v>
      </c>
      <c r="D188" s="14">
        <v>0</v>
      </c>
      <c r="E188" s="15" t="s">
        <v>70</v>
      </c>
      <c r="F188" s="16" t="s">
        <v>16</v>
      </c>
      <c r="G188" s="17"/>
      <c r="H188" s="18"/>
      <c r="I188" s="18"/>
      <c r="J188" s="18"/>
      <c r="K188" s="18"/>
      <c r="L188" s="19" t="str">
        <f t="shared" si="6"/>
        <v/>
      </c>
      <c r="M188" s="20" t="s">
        <v>99</v>
      </c>
    </row>
    <row r="189" spans="1:13" x14ac:dyDescent="0.2">
      <c r="A189" s="11" t="s">
        <v>12</v>
      </c>
      <c r="B189" s="12" t="s">
        <v>26</v>
      </c>
      <c r="C189" s="32" t="s">
        <v>98</v>
      </c>
      <c r="D189" s="14">
        <v>0</v>
      </c>
      <c r="E189" s="15" t="s">
        <v>70</v>
      </c>
      <c r="F189" s="16" t="s">
        <v>16</v>
      </c>
      <c r="G189" s="17"/>
      <c r="H189" s="18"/>
      <c r="I189" s="18"/>
      <c r="J189" s="18"/>
      <c r="K189" s="18"/>
      <c r="L189" s="19" t="str">
        <f t="shared" si="6"/>
        <v/>
      </c>
      <c r="M189" s="20" t="s">
        <v>99</v>
      </c>
    </row>
    <row r="190" spans="1:13" x14ac:dyDescent="0.2">
      <c r="A190" s="11" t="s">
        <v>12</v>
      </c>
      <c r="B190" s="12" t="s">
        <v>27</v>
      </c>
      <c r="C190" s="32" t="s">
        <v>98</v>
      </c>
      <c r="D190" s="14">
        <v>0</v>
      </c>
      <c r="E190" s="15" t="s">
        <v>70</v>
      </c>
      <c r="F190" s="16" t="s">
        <v>16</v>
      </c>
      <c r="G190" s="17"/>
      <c r="H190" s="18"/>
      <c r="I190" s="18"/>
      <c r="J190" s="18"/>
      <c r="K190" s="18"/>
      <c r="L190" s="19" t="str">
        <f t="shared" si="6"/>
        <v/>
      </c>
      <c r="M190" s="20" t="s">
        <v>99</v>
      </c>
    </row>
    <row r="191" spans="1:13" x14ac:dyDescent="0.2">
      <c r="A191" s="11" t="s">
        <v>12</v>
      </c>
      <c r="B191" s="12" t="s">
        <v>28</v>
      </c>
      <c r="C191" s="32" t="s">
        <v>98</v>
      </c>
      <c r="D191" s="14">
        <v>0</v>
      </c>
      <c r="E191" s="15" t="s">
        <v>70</v>
      </c>
      <c r="F191" s="16" t="s">
        <v>16</v>
      </c>
      <c r="G191" s="17"/>
      <c r="H191" s="18"/>
      <c r="I191" s="18"/>
      <c r="J191" s="18"/>
      <c r="K191" s="18"/>
      <c r="L191" s="19" t="str">
        <f t="shared" si="6"/>
        <v/>
      </c>
      <c r="M191" s="20" t="s">
        <v>99</v>
      </c>
    </row>
    <row r="192" spans="1:13" x14ac:dyDescent="0.2">
      <c r="A192" s="11" t="s">
        <v>12</v>
      </c>
      <c r="B192" s="12" t="s">
        <v>30</v>
      </c>
      <c r="C192" s="32" t="s">
        <v>98</v>
      </c>
      <c r="D192" s="21">
        <v>531.928</v>
      </c>
      <c r="E192" s="15" t="s">
        <v>78</v>
      </c>
      <c r="F192" s="16" t="s">
        <v>16</v>
      </c>
      <c r="G192" s="22">
        <v>1</v>
      </c>
      <c r="H192" s="23">
        <v>2</v>
      </c>
      <c r="I192" s="23">
        <v>1</v>
      </c>
      <c r="J192" s="23">
        <v>1</v>
      </c>
      <c r="K192" s="23">
        <v>2</v>
      </c>
      <c r="L192" s="24">
        <f t="shared" si="6"/>
        <v>0.35859414261160716</v>
      </c>
      <c r="M192" s="20" t="s">
        <v>99</v>
      </c>
    </row>
    <row r="193" spans="1:13" x14ac:dyDescent="0.2">
      <c r="A193" s="11" t="s">
        <v>12</v>
      </c>
      <c r="B193" s="12" t="s">
        <v>32</v>
      </c>
      <c r="C193" s="32" t="s">
        <v>98</v>
      </c>
      <c r="D193" s="14">
        <v>0</v>
      </c>
      <c r="E193" s="15" t="s">
        <v>70</v>
      </c>
      <c r="F193" s="16" t="s">
        <v>16</v>
      </c>
      <c r="G193" s="17"/>
      <c r="H193" s="18"/>
      <c r="I193" s="18"/>
      <c r="J193" s="18"/>
      <c r="K193" s="18"/>
      <c r="L193" s="19" t="str">
        <f t="shared" si="6"/>
        <v/>
      </c>
      <c r="M193" s="20" t="s">
        <v>99</v>
      </c>
    </row>
    <row r="194" spans="1:13" x14ac:dyDescent="0.2">
      <c r="A194" s="11" t="s">
        <v>12</v>
      </c>
      <c r="B194" s="12" t="s">
        <v>34</v>
      </c>
      <c r="C194" s="32" t="s">
        <v>98</v>
      </c>
      <c r="D194" s="14">
        <v>0</v>
      </c>
      <c r="E194" s="15" t="s">
        <v>70</v>
      </c>
      <c r="F194" s="16" t="s">
        <v>16</v>
      </c>
      <c r="G194" s="17"/>
      <c r="H194" s="18"/>
      <c r="I194" s="18"/>
      <c r="J194" s="18"/>
      <c r="K194" s="18"/>
      <c r="L194" s="19" t="str">
        <f t="shared" si="6"/>
        <v/>
      </c>
      <c r="M194" s="20" t="s">
        <v>99</v>
      </c>
    </row>
    <row r="195" spans="1:13" x14ac:dyDescent="0.2">
      <c r="A195" s="11" t="s">
        <v>12</v>
      </c>
      <c r="B195" s="12" t="s">
        <v>36</v>
      </c>
      <c r="C195" s="32" t="s">
        <v>98</v>
      </c>
      <c r="D195" s="21">
        <v>251.667</v>
      </c>
      <c r="E195" s="15" t="s">
        <v>81</v>
      </c>
      <c r="F195" s="16" t="s">
        <v>16</v>
      </c>
      <c r="G195" s="22">
        <v>1</v>
      </c>
      <c r="H195" s="23">
        <v>2</v>
      </c>
      <c r="I195" s="23">
        <v>1</v>
      </c>
      <c r="J195" s="23">
        <v>1</v>
      </c>
      <c r="K195" s="23">
        <v>2</v>
      </c>
      <c r="L195" s="25">
        <f t="shared" si="6"/>
        <v>0.35859414261160716</v>
      </c>
      <c r="M195" s="20" t="s">
        <v>99</v>
      </c>
    </row>
    <row r="196" spans="1:13" x14ac:dyDescent="0.2">
      <c r="A196" s="11" t="s">
        <v>12</v>
      </c>
      <c r="B196" s="12" t="s">
        <v>37</v>
      </c>
      <c r="C196" s="32" t="s">
        <v>98</v>
      </c>
      <c r="D196" s="21">
        <v>206.23699999999999</v>
      </c>
      <c r="E196" s="15" t="s">
        <v>82</v>
      </c>
      <c r="F196" s="16" t="s">
        <v>16</v>
      </c>
      <c r="G196" s="22">
        <v>1</v>
      </c>
      <c r="H196" s="23">
        <v>2</v>
      </c>
      <c r="I196" s="23">
        <v>1</v>
      </c>
      <c r="J196" s="23">
        <v>1</v>
      </c>
      <c r="K196" s="23">
        <v>2</v>
      </c>
      <c r="L196" s="24">
        <f t="shared" si="6"/>
        <v>0.35859414261160716</v>
      </c>
      <c r="M196" s="20" t="s">
        <v>99</v>
      </c>
    </row>
    <row r="197" spans="1:13" x14ac:dyDescent="0.2">
      <c r="A197" s="11" t="s">
        <v>12</v>
      </c>
      <c r="B197" s="12" t="s">
        <v>39</v>
      </c>
      <c r="C197" s="32" t="s">
        <v>98</v>
      </c>
      <c r="D197" s="14">
        <v>0</v>
      </c>
      <c r="E197" s="15" t="s">
        <v>70</v>
      </c>
      <c r="F197" s="16" t="s">
        <v>16</v>
      </c>
      <c r="G197" s="17"/>
      <c r="H197" s="18"/>
      <c r="I197" s="18"/>
      <c r="J197" s="18"/>
      <c r="K197" s="18"/>
      <c r="L197" s="19" t="str">
        <f t="shared" si="6"/>
        <v/>
      </c>
      <c r="M197" s="20" t="s">
        <v>99</v>
      </c>
    </row>
    <row r="198" spans="1:13" x14ac:dyDescent="0.2">
      <c r="A198" s="11" t="s">
        <v>12</v>
      </c>
      <c r="B198" s="12" t="s">
        <v>40</v>
      </c>
      <c r="C198" s="32" t="s">
        <v>98</v>
      </c>
      <c r="D198" s="21">
        <v>674.07013699999993</v>
      </c>
      <c r="E198" s="15" t="s">
        <v>70</v>
      </c>
      <c r="F198" s="16" t="s">
        <v>16</v>
      </c>
      <c r="G198" s="22">
        <v>1</v>
      </c>
      <c r="H198" s="23">
        <v>2</v>
      </c>
      <c r="I198" s="23">
        <v>1</v>
      </c>
      <c r="J198" s="23">
        <v>1</v>
      </c>
      <c r="K198" s="23">
        <v>2</v>
      </c>
      <c r="L198" s="25">
        <f t="shared" si="6"/>
        <v>0.35859414261160716</v>
      </c>
      <c r="M198" s="20" t="s">
        <v>99</v>
      </c>
    </row>
    <row r="199" spans="1:13" x14ac:dyDescent="0.2">
      <c r="A199" s="11" t="s">
        <v>12</v>
      </c>
      <c r="B199" s="12" t="s">
        <v>41</v>
      </c>
      <c r="C199" s="32" t="s">
        <v>98</v>
      </c>
      <c r="D199" s="14">
        <v>0</v>
      </c>
      <c r="E199" s="15" t="s">
        <v>70</v>
      </c>
      <c r="F199" s="16" t="s">
        <v>16</v>
      </c>
      <c r="G199" s="17"/>
      <c r="H199" s="18"/>
      <c r="I199" s="18"/>
      <c r="J199" s="18"/>
      <c r="K199" s="18"/>
      <c r="L199" s="19" t="str">
        <f t="shared" si="6"/>
        <v/>
      </c>
      <c r="M199" s="20" t="s">
        <v>99</v>
      </c>
    </row>
    <row r="200" spans="1:13" x14ac:dyDescent="0.2">
      <c r="A200" s="11" t="s">
        <v>12</v>
      </c>
      <c r="B200" s="12" t="s">
        <v>42</v>
      </c>
      <c r="C200" s="32" t="s">
        <v>98</v>
      </c>
      <c r="D200" s="14">
        <v>0</v>
      </c>
      <c r="E200" s="15" t="s">
        <v>70</v>
      </c>
      <c r="F200" s="16" t="s">
        <v>16</v>
      </c>
      <c r="G200" s="17"/>
      <c r="H200" s="18"/>
      <c r="I200" s="18"/>
      <c r="J200" s="18"/>
      <c r="K200" s="18"/>
      <c r="L200" s="19" t="str">
        <f t="shared" si="6"/>
        <v/>
      </c>
      <c r="M200" s="20" t="s">
        <v>99</v>
      </c>
    </row>
    <row r="201" spans="1:13" x14ac:dyDescent="0.2">
      <c r="A201" s="11" t="s">
        <v>12</v>
      </c>
      <c r="B201" s="12" t="s">
        <v>43</v>
      </c>
      <c r="C201" s="32" t="s">
        <v>98</v>
      </c>
      <c r="D201" s="14">
        <v>0</v>
      </c>
      <c r="E201" s="15" t="s">
        <v>70</v>
      </c>
      <c r="F201" s="16" t="s">
        <v>16</v>
      </c>
      <c r="G201" s="17"/>
      <c r="H201" s="18"/>
      <c r="I201" s="18"/>
      <c r="J201" s="18"/>
      <c r="K201" s="18"/>
      <c r="L201" s="19" t="str">
        <f t="shared" si="6"/>
        <v/>
      </c>
      <c r="M201" s="20" t="s">
        <v>99</v>
      </c>
    </row>
    <row r="202" spans="1:13" x14ac:dyDescent="0.2">
      <c r="A202" s="11" t="s">
        <v>12</v>
      </c>
      <c r="B202" s="12" t="s">
        <v>45</v>
      </c>
      <c r="C202" s="32" t="s">
        <v>98</v>
      </c>
      <c r="D202" s="14">
        <v>0</v>
      </c>
      <c r="E202" s="15" t="s">
        <v>70</v>
      </c>
      <c r="F202" s="16" t="s">
        <v>16</v>
      </c>
      <c r="G202" s="17"/>
      <c r="H202" s="18"/>
      <c r="I202" s="18"/>
      <c r="J202" s="18"/>
      <c r="K202" s="18"/>
      <c r="L202" s="19" t="str">
        <f t="shared" si="6"/>
        <v/>
      </c>
      <c r="M202" s="20" t="s">
        <v>99</v>
      </c>
    </row>
    <row r="203" spans="1:13" x14ac:dyDescent="0.2">
      <c r="A203" s="11" t="s">
        <v>12</v>
      </c>
      <c r="B203" s="12" t="s">
        <v>46</v>
      </c>
      <c r="C203" s="32" t="s">
        <v>98</v>
      </c>
      <c r="D203" s="21">
        <v>218.93126699999999</v>
      </c>
      <c r="E203" s="15" t="s">
        <v>88</v>
      </c>
      <c r="F203" s="16" t="s">
        <v>16</v>
      </c>
      <c r="G203" s="22">
        <v>1</v>
      </c>
      <c r="H203" s="23">
        <v>2</v>
      </c>
      <c r="I203" s="23">
        <v>1</v>
      </c>
      <c r="J203" s="23">
        <v>1</v>
      </c>
      <c r="K203" s="23">
        <v>2</v>
      </c>
      <c r="L203" s="24">
        <f t="shared" si="6"/>
        <v>0.35859414261160716</v>
      </c>
      <c r="M203" s="20" t="s">
        <v>99</v>
      </c>
    </row>
    <row r="204" spans="1:13" x14ac:dyDescent="0.2">
      <c r="A204" s="11" t="s">
        <v>12</v>
      </c>
      <c r="B204" s="12" t="s">
        <v>48</v>
      </c>
      <c r="C204" s="32" t="s">
        <v>98</v>
      </c>
      <c r="D204" s="21">
        <v>1.1221999999999999E-2</v>
      </c>
      <c r="E204" s="15" t="s">
        <v>70</v>
      </c>
      <c r="F204" s="16" t="s">
        <v>16</v>
      </c>
      <c r="G204" s="22">
        <v>1</v>
      </c>
      <c r="H204" s="23">
        <v>2</v>
      </c>
      <c r="I204" s="23">
        <v>1</v>
      </c>
      <c r="J204" s="23">
        <v>1</v>
      </c>
      <c r="K204" s="23">
        <v>2</v>
      </c>
      <c r="L204" s="25">
        <f t="shared" si="6"/>
        <v>0.35859414261160716</v>
      </c>
      <c r="M204" s="20" t="s">
        <v>99</v>
      </c>
    </row>
    <row r="205" spans="1:13" x14ac:dyDescent="0.2">
      <c r="A205" s="11" t="s">
        <v>12</v>
      </c>
      <c r="B205" s="12" t="s">
        <v>50</v>
      </c>
      <c r="C205" s="32" t="s">
        <v>98</v>
      </c>
      <c r="D205" s="14">
        <v>0</v>
      </c>
      <c r="E205" s="15" t="s">
        <v>70</v>
      </c>
      <c r="F205" s="16" t="s">
        <v>16</v>
      </c>
      <c r="G205" s="17"/>
      <c r="H205" s="18"/>
      <c r="I205" s="18"/>
      <c r="J205" s="18"/>
      <c r="K205" s="18"/>
      <c r="L205" s="19" t="str">
        <f t="shared" si="6"/>
        <v/>
      </c>
      <c r="M205" s="20" t="s">
        <v>99</v>
      </c>
    </row>
    <row r="206" spans="1:13" x14ac:dyDescent="0.2">
      <c r="A206" s="11" t="s">
        <v>12</v>
      </c>
      <c r="B206" s="12" t="s">
        <v>52</v>
      </c>
      <c r="C206" s="32" t="s">
        <v>98</v>
      </c>
      <c r="D206" s="14">
        <v>0</v>
      </c>
      <c r="E206" s="15" t="s">
        <v>70</v>
      </c>
      <c r="F206" s="16" t="s">
        <v>16</v>
      </c>
      <c r="G206" s="17"/>
      <c r="H206" s="18"/>
      <c r="I206" s="18"/>
      <c r="J206" s="18"/>
      <c r="K206" s="18"/>
      <c r="L206" s="19" t="str">
        <f t="shared" si="6"/>
        <v/>
      </c>
      <c r="M206" s="20" t="s">
        <v>99</v>
      </c>
    </row>
    <row r="207" spans="1:13" x14ac:dyDescent="0.2">
      <c r="A207" s="11" t="s">
        <v>12</v>
      </c>
      <c r="B207" s="12" t="s">
        <v>54</v>
      </c>
      <c r="C207" s="32" t="s">
        <v>98</v>
      </c>
      <c r="D207" s="14">
        <v>0</v>
      </c>
      <c r="E207" s="15" t="s">
        <v>70</v>
      </c>
      <c r="F207" s="16" t="s">
        <v>16</v>
      </c>
      <c r="G207" s="17"/>
      <c r="H207" s="18"/>
      <c r="I207" s="18"/>
      <c r="J207" s="18"/>
      <c r="K207" s="18"/>
      <c r="L207" s="19" t="str">
        <f t="shared" si="6"/>
        <v/>
      </c>
      <c r="M207" s="20" t="s">
        <v>99</v>
      </c>
    </row>
    <row r="208" spans="1:13" x14ac:dyDescent="0.2">
      <c r="A208" s="11" t="s">
        <v>12</v>
      </c>
      <c r="B208" s="12" t="s">
        <v>55</v>
      </c>
      <c r="C208" s="32" t="s">
        <v>98</v>
      </c>
      <c r="D208" s="21">
        <v>600.72899999999993</v>
      </c>
      <c r="E208" s="15" t="s">
        <v>92</v>
      </c>
      <c r="F208" s="16" t="s">
        <v>16</v>
      </c>
      <c r="G208" s="22">
        <v>1</v>
      </c>
      <c r="H208" s="23">
        <v>2</v>
      </c>
      <c r="I208" s="23">
        <v>1</v>
      </c>
      <c r="J208" s="23">
        <v>1</v>
      </c>
      <c r="K208" s="23">
        <v>2</v>
      </c>
      <c r="L208" s="24">
        <f t="shared" si="6"/>
        <v>0.35859414261160716</v>
      </c>
      <c r="M208" s="20" t="s">
        <v>99</v>
      </c>
    </row>
    <row r="209" spans="1:13" x14ac:dyDescent="0.2">
      <c r="A209" s="11" t="s">
        <v>12</v>
      </c>
      <c r="B209" s="12" t="s">
        <v>57</v>
      </c>
      <c r="C209" s="32" t="s">
        <v>98</v>
      </c>
      <c r="D209" s="14">
        <v>0</v>
      </c>
      <c r="E209" s="15" t="s">
        <v>70</v>
      </c>
      <c r="F209" s="16" t="s">
        <v>16</v>
      </c>
      <c r="G209" s="17"/>
      <c r="H209" s="18"/>
      <c r="I209" s="18"/>
      <c r="J209" s="18"/>
      <c r="K209" s="18"/>
      <c r="L209" s="19" t="str">
        <f t="shared" si="6"/>
        <v/>
      </c>
      <c r="M209" s="20" t="s">
        <v>99</v>
      </c>
    </row>
    <row r="210" spans="1:13" x14ac:dyDescent="0.2">
      <c r="A210" s="11" t="s">
        <v>12</v>
      </c>
      <c r="B210" s="12" t="s">
        <v>59</v>
      </c>
      <c r="C210" s="32" t="s">
        <v>98</v>
      </c>
      <c r="D210" s="14">
        <v>0</v>
      </c>
      <c r="E210" s="15"/>
      <c r="F210" s="16" t="s">
        <v>16</v>
      </c>
      <c r="G210" s="17"/>
      <c r="H210" s="18"/>
      <c r="I210" s="18"/>
      <c r="J210" s="18"/>
      <c r="K210" s="18"/>
      <c r="L210" s="19" t="str">
        <f t="shared" si="6"/>
        <v/>
      </c>
      <c r="M210" s="20"/>
    </row>
    <row r="211" spans="1:13" x14ac:dyDescent="0.2">
      <c r="A211" s="33" t="s">
        <v>12</v>
      </c>
      <c r="B211" s="34" t="s">
        <v>60</v>
      </c>
      <c r="C211" s="35" t="s">
        <v>98</v>
      </c>
      <c r="D211" s="36">
        <v>64.419310999999993</v>
      </c>
      <c r="E211" s="37" t="s">
        <v>61</v>
      </c>
      <c r="F211" s="38" t="s">
        <v>16</v>
      </c>
      <c r="G211" s="39">
        <v>1</v>
      </c>
      <c r="H211" s="40">
        <v>2</v>
      </c>
      <c r="I211" s="40">
        <v>1</v>
      </c>
      <c r="J211" s="40">
        <v>1</v>
      </c>
      <c r="K211" s="40">
        <v>2</v>
      </c>
      <c r="L211" s="41">
        <f t="shared" si="6"/>
        <v>0.35859414261160716</v>
      </c>
      <c r="M211" s="42" t="s">
        <v>99</v>
      </c>
    </row>
    <row r="212" spans="1:13" x14ac:dyDescent="0.2">
      <c r="A212" s="11" t="s">
        <v>100</v>
      </c>
      <c r="B212" s="12" t="s">
        <v>13</v>
      </c>
      <c r="C212" s="13" t="s">
        <v>14</v>
      </c>
      <c r="D212" s="14">
        <v>0</v>
      </c>
      <c r="E212" s="15" t="s">
        <v>101</v>
      </c>
      <c r="F212" s="16" t="s">
        <v>16</v>
      </c>
      <c r="G212" s="17"/>
      <c r="H212" s="18"/>
      <c r="I212" s="18"/>
      <c r="J212" s="18"/>
      <c r="K212" s="18"/>
      <c r="L212" s="19" t="str">
        <f t="shared" si="6"/>
        <v/>
      </c>
      <c r="M212" s="20" t="s">
        <v>102</v>
      </c>
    </row>
    <row r="213" spans="1:13" x14ac:dyDescent="0.2">
      <c r="A213" s="11" t="s">
        <v>100</v>
      </c>
      <c r="B213" s="12" t="s">
        <v>18</v>
      </c>
      <c r="C213" s="13" t="s">
        <v>14</v>
      </c>
      <c r="D213" s="21">
        <v>114.4723811115974</v>
      </c>
      <c r="E213" s="15" t="s">
        <v>103</v>
      </c>
      <c r="F213" s="16" t="s">
        <v>16</v>
      </c>
      <c r="G213" s="22">
        <v>1</v>
      </c>
      <c r="H213" s="23">
        <v>2</v>
      </c>
      <c r="I213" s="23">
        <v>3</v>
      </c>
      <c r="J213" s="23">
        <v>1</v>
      </c>
      <c r="K213" s="23">
        <v>2</v>
      </c>
      <c r="L213" s="24">
        <f t="shared" si="6"/>
        <v>0.48935255543384243</v>
      </c>
      <c r="M213" s="20" t="s">
        <v>104</v>
      </c>
    </row>
    <row r="214" spans="1:13" x14ac:dyDescent="0.2">
      <c r="A214" s="11" t="s">
        <v>100</v>
      </c>
      <c r="B214" s="12" t="s">
        <v>20</v>
      </c>
      <c r="C214" s="13" t="s">
        <v>14</v>
      </c>
      <c r="D214" s="21">
        <v>4.4766713960612687</v>
      </c>
      <c r="E214" s="15" t="s">
        <v>105</v>
      </c>
      <c r="F214" s="16" t="s">
        <v>16</v>
      </c>
      <c r="G214" s="22">
        <v>1</v>
      </c>
      <c r="H214" s="23">
        <v>1</v>
      </c>
      <c r="I214" s="23">
        <v>3</v>
      </c>
      <c r="J214" s="23">
        <v>1</v>
      </c>
      <c r="K214" s="23">
        <v>2</v>
      </c>
      <c r="L214" s="24">
        <f t="shared" ref="L214:L245" si="7">IF( OR( ISBLANK(G214),ISBLANK(H214), ISBLANK(I214), ISBLANK(J214), ISBLANK(K214) ), "", 1.5*SQRT( EXP(2.21*(G214-1)) + EXP(2.21*(H214-1)) + EXP(2.21*(I214-1)) + EXP(2.21*(J214-1)) + EXP(2.21*K214) )/100*2.45 )</f>
        <v>0.47802211380704585</v>
      </c>
      <c r="M214" s="20" t="s">
        <v>104</v>
      </c>
    </row>
    <row r="215" spans="1:13" x14ac:dyDescent="0.2">
      <c r="A215" s="11" t="s">
        <v>100</v>
      </c>
      <c r="B215" s="12" t="s">
        <v>22</v>
      </c>
      <c r="C215" s="13" t="s">
        <v>14</v>
      </c>
      <c r="D215" s="14">
        <v>0</v>
      </c>
      <c r="E215" s="15" t="s">
        <v>106</v>
      </c>
      <c r="F215" s="16" t="s">
        <v>16</v>
      </c>
      <c r="G215" s="17"/>
      <c r="H215" s="18"/>
      <c r="I215" s="18"/>
      <c r="J215" s="18"/>
      <c r="K215" s="18"/>
      <c r="L215" s="19" t="str">
        <f t="shared" si="7"/>
        <v/>
      </c>
      <c r="M215" s="20" t="s">
        <v>104</v>
      </c>
    </row>
    <row r="216" spans="1:13" x14ac:dyDescent="0.2">
      <c r="A216" s="11" t="s">
        <v>100</v>
      </c>
      <c r="B216" s="12" t="s">
        <v>23</v>
      </c>
      <c r="C216" s="13" t="s">
        <v>14</v>
      </c>
      <c r="D216" s="14">
        <v>0</v>
      </c>
      <c r="E216" s="15" t="s">
        <v>107</v>
      </c>
      <c r="F216" s="16" t="s">
        <v>16</v>
      </c>
      <c r="G216" s="17"/>
      <c r="H216" s="18"/>
      <c r="I216" s="18"/>
      <c r="J216" s="18"/>
      <c r="K216" s="18"/>
      <c r="L216" s="19" t="str">
        <f t="shared" si="7"/>
        <v/>
      </c>
      <c r="M216" s="20" t="s">
        <v>104</v>
      </c>
    </row>
    <row r="217" spans="1:13" x14ac:dyDescent="0.2">
      <c r="A217" s="11" t="s">
        <v>100</v>
      </c>
      <c r="B217" s="12" t="s">
        <v>24</v>
      </c>
      <c r="C217" s="13" t="s">
        <v>14</v>
      </c>
      <c r="D217" s="21">
        <v>3.4612253829321662</v>
      </c>
      <c r="E217" s="15" t="s">
        <v>108</v>
      </c>
      <c r="F217" s="16" t="s">
        <v>16</v>
      </c>
      <c r="G217" s="22">
        <v>1</v>
      </c>
      <c r="H217" s="23">
        <v>2</v>
      </c>
      <c r="I217" s="23">
        <v>3</v>
      </c>
      <c r="J217" s="23">
        <v>1</v>
      </c>
      <c r="K217" s="23">
        <v>3</v>
      </c>
      <c r="L217" s="25">
        <f t="shared" si="7"/>
        <v>1.0725046436742278</v>
      </c>
      <c r="M217" s="20" t="s">
        <v>104</v>
      </c>
    </row>
    <row r="218" spans="1:13" x14ac:dyDescent="0.2">
      <c r="A218" s="11" t="s">
        <v>100</v>
      </c>
      <c r="B218" s="12" t="s">
        <v>25</v>
      </c>
      <c r="C218" s="13" t="s">
        <v>14</v>
      </c>
      <c r="D218" s="21">
        <v>9.7373654266958432E-3</v>
      </c>
      <c r="E218" s="15" t="s">
        <v>109</v>
      </c>
      <c r="F218" s="16" t="s">
        <v>16</v>
      </c>
      <c r="G218" s="22">
        <v>1</v>
      </c>
      <c r="H218" s="23">
        <v>2</v>
      </c>
      <c r="I218" s="23">
        <v>3</v>
      </c>
      <c r="J218" s="23">
        <v>1</v>
      </c>
      <c r="K218" s="23">
        <v>2</v>
      </c>
      <c r="L218" s="25">
        <f t="shared" si="7"/>
        <v>0.48935255543384243</v>
      </c>
      <c r="M218" s="20" t="s">
        <v>104</v>
      </c>
    </row>
    <row r="219" spans="1:13" x14ac:dyDescent="0.2">
      <c r="A219" s="11" t="s">
        <v>100</v>
      </c>
      <c r="B219" s="12" t="s">
        <v>26</v>
      </c>
      <c r="C219" s="13" t="s">
        <v>14</v>
      </c>
      <c r="D219" s="14">
        <v>0</v>
      </c>
      <c r="E219" s="15" t="s">
        <v>110</v>
      </c>
      <c r="F219" s="16" t="s">
        <v>16</v>
      </c>
      <c r="G219" s="17"/>
      <c r="H219" s="18"/>
      <c r="I219" s="18"/>
      <c r="J219" s="18"/>
      <c r="K219" s="18"/>
      <c r="L219" s="19" t="str">
        <f t="shared" si="7"/>
        <v/>
      </c>
      <c r="M219" s="20" t="s">
        <v>104</v>
      </c>
    </row>
    <row r="220" spans="1:13" x14ac:dyDescent="0.2">
      <c r="A220" s="11" t="s">
        <v>100</v>
      </c>
      <c r="B220" s="12" t="s">
        <v>27</v>
      </c>
      <c r="C220" s="13" t="s">
        <v>14</v>
      </c>
      <c r="D220" s="21">
        <v>65.234611229759309</v>
      </c>
      <c r="E220" s="15" t="s">
        <v>111</v>
      </c>
      <c r="F220" s="16" t="s">
        <v>16</v>
      </c>
      <c r="G220" s="22">
        <v>1</v>
      </c>
      <c r="H220" s="23">
        <v>2</v>
      </c>
      <c r="I220" s="23">
        <v>3</v>
      </c>
      <c r="J220" s="23">
        <v>1</v>
      </c>
      <c r="K220" s="23">
        <v>3</v>
      </c>
      <c r="L220" s="24">
        <f t="shared" si="7"/>
        <v>1.0725046436742278</v>
      </c>
      <c r="M220" s="20" t="s">
        <v>104</v>
      </c>
    </row>
    <row r="221" spans="1:13" x14ac:dyDescent="0.2">
      <c r="A221" s="11" t="s">
        <v>100</v>
      </c>
      <c r="B221" s="12" t="s">
        <v>28</v>
      </c>
      <c r="C221" s="13" t="s">
        <v>14</v>
      </c>
      <c r="D221" s="21">
        <v>202.68160377242879</v>
      </c>
      <c r="E221" s="15" t="s">
        <v>112</v>
      </c>
      <c r="F221" s="16" t="s">
        <v>16</v>
      </c>
      <c r="G221" s="22">
        <v>1</v>
      </c>
      <c r="H221" s="23">
        <v>1</v>
      </c>
      <c r="I221" s="23">
        <v>3</v>
      </c>
      <c r="J221" s="23">
        <v>1</v>
      </c>
      <c r="K221" s="23">
        <v>2</v>
      </c>
      <c r="L221" s="24">
        <f t="shared" si="7"/>
        <v>0.47802211380704585</v>
      </c>
      <c r="M221" s="20" t="s">
        <v>104</v>
      </c>
    </row>
    <row r="222" spans="1:13" x14ac:dyDescent="0.2">
      <c r="A222" s="11" t="s">
        <v>100</v>
      </c>
      <c r="B222" s="12" t="s">
        <v>30</v>
      </c>
      <c r="C222" s="13" t="s">
        <v>14</v>
      </c>
      <c r="D222" s="21">
        <v>41.841367369803059</v>
      </c>
      <c r="E222" s="15" t="s">
        <v>113</v>
      </c>
      <c r="F222" s="16" t="s">
        <v>16</v>
      </c>
      <c r="G222" s="22">
        <v>1</v>
      </c>
      <c r="H222" s="23">
        <v>2</v>
      </c>
      <c r="I222" s="23">
        <v>3</v>
      </c>
      <c r="J222" s="23">
        <v>1</v>
      </c>
      <c r="K222" s="23">
        <v>2</v>
      </c>
      <c r="L222" s="24">
        <f t="shared" si="7"/>
        <v>0.48935255543384243</v>
      </c>
      <c r="M222" s="20" t="s">
        <v>104</v>
      </c>
    </row>
    <row r="223" spans="1:13" x14ac:dyDescent="0.2">
      <c r="A223" s="11" t="s">
        <v>100</v>
      </c>
      <c r="B223" s="12" t="s">
        <v>32</v>
      </c>
      <c r="C223" s="13" t="s">
        <v>14</v>
      </c>
      <c r="D223" s="21">
        <v>0.56495111159737421</v>
      </c>
      <c r="E223" s="15" t="s">
        <v>114</v>
      </c>
      <c r="F223" s="16" t="s">
        <v>16</v>
      </c>
      <c r="G223" s="22">
        <v>1</v>
      </c>
      <c r="H223" s="23">
        <v>2</v>
      </c>
      <c r="I223" s="23">
        <v>3</v>
      </c>
      <c r="J223" s="23">
        <v>1</v>
      </c>
      <c r="K223" s="23">
        <v>2</v>
      </c>
      <c r="L223" s="24">
        <f t="shared" si="7"/>
        <v>0.48935255543384243</v>
      </c>
      <c r="M223" s="20" t="s">
        <v>104</v>
      </c>
    </row>
    <row r="224" spans="1:13" x14ac:dyDescent="0.2">
      <c r="A224" s="11" t="s">
        <v>100</v>
      </c>
      <c r="B224" s="12" t="s">
        <v>34</v>
      </c>
      <c r="C224" s="13" t="s">
        <v>14</v>
      </c>
      <c r="D224" s="21">
        <v>23.050971553610509</v>
      </c>
      <c r="E224" s="15" t="s">
        <v>115</v>
      </c>
      <c r="F224" s="16" t="s">
        <v>16</v>
      </c>
      <c r="G224" s="22">
        <v>1</v>
      </c>
      <c r="H224" s="23">
        <v>1</v>
      </c>
      <c r="I224" s="23">
        <v>3</v>
      </c>
      <c r="J224" s="23">
        <v>1</v>
      </c>
      <c r="K224" s="23">
        <v>2</v>
      </c>
      <c r="L224" s="24">
        <f t="shared" si="7"/>
        <v>0.47802211380704585</v>
      </c>
      <c r="M224" s="20" t="s">
        <v>104</v>
      </c>
    </row>
    <row r="225" spans="1:13" x14ac:dyDescent="0.2">
      <c r="A225" s="11" t="s">
        <v>100</v>
      </c>
      <c r="B225" s="12" t="s">
        <v>36</v>
      </c>
      <c r="C225" s="13" t="s">
        <v>14</v>
      </c>
      <c r="D225" s="14">
        <v>0</v>
      </c>
      <c r="E225" s="15" t="s">
        <v>116</v>
      </c>
      <c r="F225" s="16" t="s">
        <v>16</v>
      </c>
      <c r="G225" s="17"/>
      <c r="H225" s="18"/>
      <c r="I225" s="18"/>
      <c r="J225" s="18"/>
      <c r="K225" s="18"/>
      <c r="L225" s="19" t="str">
        <f t="shared" si="7"/>
        <v/>
      </c>
      <c r="M225" s="20" t="s">
        <v>104</v>
      </c>
    </row>
    <row r="226" spans="1:13" x14ac:dyDescent="0.2">
      <c r="A226" s="11" t="s">
        <v>100</v>
      </c>
      <c r="B226" s="12" t="s">
        <v>37</v>
      </c>
      <c r="C226" s="13" t="s">
        <v>14</v>
      </c>
      <c r="D226" s="21">
        <v>97.040271334792138</v>
      </c>
      <c r="E226" s="15" t="s">
        <v>117</v>
      </c>
      <c r="F226" s="16" t="s">
        <v>16</v>
      </c>
      <c r="G226" s="22">
        <v>1</v>
      </c>
      <c r="H226" s="23">
        <v>1</v>
      </c>
      <c r="I226" s="23">
        <v>3</v>
      </c>
      <c r="J226" s="23">
        <v>1</v>
      </c>
      <c r="K226" s="23">
        <v>2</v>
      </c>
      <c r="L226" s="24">
        <f t="shared" si="7"/>
        <v>0.47802211380704585</v>
      </c>
      <c r="M226" s="20" t="s">
        <v>104</v>
      </c>
    </row>
    <row r="227" spans="1:13" x14ac:dyDescent="0.2">
      <c r="A227" s="11" t="s">
        <v>100</v>
      </c>
      <c r="B227" s="12" t="s">
        <v>39</v>
      </c>
      <c r="C227" s="13" t="s">
        <v>14</v>
      </c>
      <c r="D227" s="14">
        <v>0</v>
      </c>
      <c r="E227" s="15" t="s">
        <v>118</v>
      </c>
      <c r="F227" s="16" t="s">
        <v>16</v>
      </c>
      <c r="G227" s="17"/>
      <c r="H227" s="18"/>
      <c r="I227" s="18"/>
      <c r="J227" s="18"/>
      <c r="K227" s="18"/>
      <c r="L227" s="19" t="str">
        <f t="shared" si="7"/>
        <v/>
      </c>
      <c r="M227" s="20" t="s">
        <v>104</v>
      </c>
    </row>
    <row r="228" spans="1:13" x14ac:dyDescent="0.2">
      <c r="A228" s="11" t="s">
        <v>100</v>
      </c>
      <c r="B228" s="12" t="s">
        <v>40</v>
      </c>
      <c r="C228" s="13" t="s">
        <v>14</v>
      </c>
      <c r="D228" s="14">
        <v>0</v>
      </c>
      <c r="E228" s="15" t="s">
        <v>119</v>
      </c>
      <c r="F228" s="16" t="s">
        <v>16</v>
      </c>
      <c r="G228" s="17"/>
      <c r="H228" s="18"/>
      <c r="I228" s="18"/>
      <c r="J228" s="18"/>
      <c r="K228" s="18"/>
      <c r="L228" s="19" t="str">
        <f t="shared" si="7"/>
        <v/>
      </c>
      <c r="M228" s="20" t="s">
        <v>104</v>
      </c>
    </row>
    <row r="229" spans="1:13" x14ac:dyDescent="0.2">
      <c r="A229" s="11" t="s">
        <v>100</v>
      </c>
      <c r="B229" s="12" t="s">
        <v>41</v>
      </c>
      <c r="C229" s="13" t="s">
        <v>14</v>
      </c>
      <c r="D229" s="14">
        <v>0</v>
      </c>
      <c r="E229" s="15" t="s">
        <v>120</v>
      </c>
      <c r="F229" s="16" t="s">
        <v>16</v>
      </c>
      <c r="G229" s="17"/>
      <c r="H229" s="18"/>
      <c r="I229" s="18"/>
      <c r="J229" s="18"/>
      <c r="K229" s="18"/>
      <c r="L229" s="19" t="str">
        <f t="shared" si="7"/>
        <v/>
      </c>
      <c r="M229" s="20" t="s">
        <v>104</v>
      </c>
    </row>
    <row r="230" spans="1:13" x14ac:dyDescent="0.2">
      <c r="A230" s="11" t="s">
        <v>100</v>
      </c>
      <c r="B230" s="12" t="s">
        <v>42</v>
      </c>
      <c r="C230" s="13" t="s">
        <v>14</v>
      </c>
      <c r="D230" s="14">
        <v>0</v>
      </c>
      <c r="E230" s="15" t="s">
        <v>121</v>
      </c>
      <c r="F230" s="16" t="s">
        <v>16</v>
      </c>
      <c r="G230" s="17"/>
      <c r="H230" s="18"/>
      <c r="I230" s="18"/>
      <c r="J230" s="18"/>
      <c r="K230" s="18"/>
      <c r="L230" s="19" t="str">
        <f t="shared" si="7"/>
        <v/>
      </c>
      <c r="M230" s="20" t="s">
        <v>104</v>
      </c>
    </row>
    <row r="231" spans="1:13" x14ac:dyDescent="0.2">
      <c r="A231" s="11" t="s">
        <v>100</v>
      </c>
      <c r="B231" s="12" t="s">
        <v>43</v>
      </c>
      <c r="C231" s="13" t="s">
        <v>14</v>
      </c>
      <c r="D231" s="21">
        <v>145.77698030634571</v>
      </c>
      <c r="E231" s="15" t="s">
        <v>122</v>
      </c>
      <c r="F231" s="16" t="s">
        <v>16</v>
      </c>
      <c r="G231" s="22">
        <v>1</v>
      </c>
      <c r="H231" s="23">
        <v>1</v>
      </c>
      <c r="I231" s="23">
        <v>3</v>
      </c>
      <c r="J231" s="23">
        <v>1</v>
      </c>
      <c r="K231" s="23">
        <v>2</v>
      </c>
      <c r="L231" s="24">
        <f t="shared" si="7"/>
        <v>0.47802211380704585</v>
      </c>
      <c r="M231" s="20" t="s">
        <v>104</v>
      </c>
    </row>
    <row r="232" spans="1:13" x14ac:dyDescent="0.2">
      <c r="A232" s="11" t="s">
        <v>100</v>
      </c>
      <c r="B232" s="12" t="s">
        <v>45</v>
      </c>
      <c r="C232" s="13" t="s">
        <v>14</v>
      </c>
      <c r="D232" s="14">
        <v>0</v>
      </c>
      <c r="E232" s="15" t="s">
        <v>123</v>
      </c>
      <c r="F232" s="16" t="s">
        <v>16</v>
      </c>
      <c r="G232" s="17"/>
      <c r="H232" s="18"/>
      <c r="I232" s="18"/>
      <c r="J232" s="18"/>
      <c r="K232" s="18"/>
      <c r="L232" s="19" t="str">
        <f t="shared" si="7"/>
        <v/>
      </c>
      <c r="M232" s="20" t="s">
        <v>104</v>
      </c>
    </row>
    <row r="233" spans="1:13" x14ac:dyDescent="0.2">
      <c r="A233" s="11" t="s">
        <v>100</v>
      </c>
      <c r="B233" s="12" t="s">
        <v>46</v>
      </c>
      <c r="C233" s="13" t="s">
        <v>14</v>
      </c>
      <c r="D233" s="21">
        <v>21.529992310722101</v>
      </c>
      <c r="E233" s="15" t="s">
        <v>124</v>
      </c>
      <c r="F233" s="16" t="s">
        <v>16</v>
      </c>
      <c r="G233" s="22">
        <v>1</v>
      </c>
      <c r="H233" s="23">
        <v>2</v>
      </c>
      <c r="I233" s="23">
        <v>3</v>
      </c>
      <c r="J233" s="23">
        <v>1</v>
      </c>
      <c r="K233" s="23">
        <v>2</v>
      </c>
      <c r="L233" s="24">
        <f t="shared" si="7"/>
        <v>0.48935255543384243</v>
      </c>
      <c r="M233" s="20" t="s">
        <v>104</v>
      </c>
    </row>
    <row r="234" spans="1:13" x14ac:dyDescent="0.2">
      <c r="A234" s="11" t="s">
        <v>100</v>
      </c>
      <c r="B234" s="12" t="s">
        <v>48</v>
      </c>
      <c r="C234" s="13" t="s">
        <v>14</v>
      </c>
      <c r="D234" s="21">
        <v>27.39564753172867</v>
      </c>
      <c r="E234" s="15" t="s">
        <v>125</v>
      </c>
      <c r="F234" s="16" t="s">
        <v>16</v>
      </c>
      <c r="G234" s="22">
        <v>1</v>
      </c>
      <c r="H234" s="23">
        <v>1</v>
      </c>
      <c r="I234" s="23">
        <v>3</v>
      </c>
      <c r="J234" s="23">
        <v>1</v>
      </c>
      <c r="K234" s="23">
        <v>2</v>
      </c>
      <c r="L234" s="24">
        <f t="shared" si="7"/>
        <v>0.47802211380704585</v>
      </c>
      <c r="M234" s="20" t="s">
        <v>104</v>
      </c>
    </row>
    <row r="235" spans="1:13" x14ac:dyDescent="0.2">
      <c r="A235" s="11" t="s">
        <v>100</v>
      </c>
      <c r="B235" s="12" t="s">
        <v>50</v>
      </c>
      <c r="C235" s="13" t="s">
        <v>14</v>
      </c>
      <c r="D235" s="21">
        <v>23.92959724726477</v>
      </c>
      <c r="E235" s="15" t="s">
        <v>126</v>
      </c>
      <c r="F235" s="16" t="s">
        <v>16</v>
      </c>
      <c r="G235" s="22">
        <v>1</v>
      </c>
      <c r="H235" s="23">
        <v>1</v>
      </c>
      <c r="I235" s="23">
        <v>3</v>
      </c>
      <c r="J235" s="23">
        <v>1</v>
      </c>
      <c r="K235" s="23">
        <v>3</v>
      </c>
      <c r="L235" s="24">
        <f t="shared" si="7"/>
        <v>1.0673825127299523</v>
      </c>
      <c r="M235" s="20" t="s">
        <v>104</v>
      </c>
    </row>
    <row r="236" spans="1:13" x14ac:dyDescent="0.2">
      <c r="A236" s="11" t="s">
        <v>100</v>
      </c>
      <c r="B236" s="12" t="s">
        <v>52</v>
      </c>
      <c r="C236" s="13" t="s">
        <v>14</v>
      </c>
      <c r="D236" s="21">
        <v>33.913922271334791</v>
      </c>
      <c r="E236" s="15" t="s">
        <v>127</v>
      </c>
      <c r="F236" s="16" t="s">
        <v>16</v>
      </c>
      <c r="G236" s="22">
        <v>1</v>
      </c>
      <c r="H236" s="23">
        <v>2</v>
      </c>
      <c r="I236" s="23">
        <v>3</v>
      </c>
      <c r="J236" s="23">
        <v>1</v>
      </c>
      <c r="K236" s="23">
        <v>2</v>
      </c>
      <c r="L236" s="24">
        <f t="shared" si="7"/>
        <v>0.48935255543384243</v>
      </c>
      <c r="M236" s="20" t="s">
        <v>104</v>
      </c>
    </row>
    <row r="237" spans="1:13" x14ac:dyDescent="0.2">
      <c r="A237" s="11" t="s">
        <v>100</v>
      </c>
      <c r="B237" s="12" t="s">
        <v>54</v>
      </c>
      <c r="C237" s="13" t="s">
        <v>14</v>
      </c>
      <c r="D237" s="21">
        <v>3.9596310722100653E-2</v>
      </c>
      <c r="E237" s="15" t="s">
        <v>128</v>
      </c>
      <c r="F237" s="16" t="s">
        <v>16</v>
      </c>
      <c r="G237" s="22">
        <v>1</v>
      </c>
      <c r="H237" s="23">
        <v>2</v>
      </c>
      <c r="I237" s="23">
        <v>3</v>
      </c>
      <c r="J237" s="23">
        <v>1</v>
      </c>
      <c r="K237" s="23">
        <v>2</v>
      </c>
      <c r="L237" s="25">
        <f t="shared" si="7"/>
        <v>0.48935255543384243</v>
      </c>
      <c r="M237" s="20" t="s">
        <v>104</v>
      </c>
    </row>
    <row r="238" spans="1:13" x14ac:dyDescent="0.2">
      <c r="A238" s="11" t="s">
        <v>100</v>
      </c>
      <c r="B238" s="12" t="s">
        <v>55</v>
      </c>
      <c r="C238" s="13" t="s">
        <v>14</v>
      </c>
      <c r="D238" s="21">
        <v>153.24328665207881</v>
      </c>
      <c r="E238" s="15" t="s">
        <v>129</v>
      </c>
      <c r="F238" s="16" t="s">
        <v>16</v>
      </c>
      <c r="G238" s="22">
        <v>1</v>
      </c>
      <c r="H238" s="23">
        <v>1</v>
      </c>
      <c r="I238" s="23">
        <v>3</v>
      </c>
      <c r="J238" s="23">
        <v>1</v>
      </c>
      <c r="K238" s="23">
        <v>2</v>
      </c>
      <c r="L238" s="24">
        <f t="shared" si="7"/>
        <v>0.47802211380704585</v>
      </c>
      <c r="M238" s="20" t="s">
        <v>104</v>
      </c>
    </row>
    <row r="239" spans="1:13" x14ac:dyDescent="0.2">
      <c r="A239" s="11" t="s">
        <v>100</v>
      </c>
      <c r="B239" s="12" t="s">
        <v>57</v>
      </c>
      <c r="C239" s="13" t="s">
        <v>14</v>
      </c>
      <c r="D239" s="21">
        <v>30.24847221006565</v>
      </c>
      <c r="E239" s="15" t="s">
        <v>130</v>
      </c>
      <c r="F239" s="16" t="s">
        <v>16</v>
      </c>
      <c r="G239" s="22">
        <v>1</v>
      </c>
      <c r="H239" s="23">
        <v>1</v>
      </c>
      <c r="I239" s="23">
        <v>3</v>
      </c>
      <c r="J239" s="23">
        <v>1</v>
      </c>
      <c r="K239" s="23">
        <v>2</v>
      </c>
      <c r="L239" s="24">
        <f t="shared" si="7"/>
        <v>0.47802211380704585</v>
      </c>
      <c r="M239" s="20" t="s">
        <v>104</v>
      </c>
    </row>
    <row r="240" spans="1:13" x14ac:dyDescent="0.2">
      <c r="A240" s="11" t="s">
        <v>100</v>
      </c>
      <c r="B240" s="12" t="s">
        <v>59</v>
      </c>
      <c r="C240" s="13" t="s">
        <v>14</v>
      </c>
      <c r="D240" s="14">
        <v>0</v>
      </c>
      <c r="E240" s="15"/>
      <c r="F240" s="16" t="s">
        <v>16</v>
      </c>
      <c r="G240" s="17"/>
      <c r="H240" s="18"/>
      <c r="I240" s="18"/>
      <c r="J240" s="18"/>
      <c r="K240" s="18"/>
      <c r="L240" s="19" t="str">
        <f t="shared" si="7"/>
        <v/>
      </c>
      <c r="M240" s="20" t="s">
        <v>104</v>
      </c>
    </row>
    <row r="241" spans="1:13" x14ac:dyDescent="0.2">
      <c r="A241" s="11" t="s">
        <v>100</v>
      </c>
      <c r="B241" s="12" t="s">
        <v>60</v>
      </c>
      <c r="C241" s="13" t="s">
        <v>14</v>
      </c>
      <c r="D241" s="26">
        <v>7.6084313654266964</v>
      </c>
      <c r="E241" s="15" t="s">
        <v>101</v>
      </c>
      <c r="F241" s="16" t="s">
        <v>16</v>
      </c>
      <c r="G241" s="22">
        <v>1</v>
      </c>
      <c r="H241" s="23">
        <v>2</v>
      </c>
      <c r="I241" s="23">
        <v>3</v>
      </c>
      <c r="J241" s="23">
        <v>1</v>
      </c>
      <c r="K241" s="23">
        <v>2</v>
      </c>
      <c r="L241" s="24">
        <f t="shared" si="7"/>
        <v>0.48935255543384243</v>
      </c>
      <c r="M241" s="20" t="s">
        <v>104</v>
      </c>
    </row>
    <row r="242" spans="1:13" x14ac:dyDescent="0.2">
      <c r="A242" s="11" t="s">
        <v>100</v>
      </c>
      <c r="B242" s="12" t="s">
        <v>13</v>
      </c>
      <c r="C242" s="27" t="s">
        <v>62</v>
      </c>
      <c r="D242" s="14">
        <v>0</v>
      </c>
      <c r="E242" s="15" t="s">
        <v>103</v>
      </c>
      <c r="F242" s="16" t="s">
        <v>16</v>
      </c>
      <c r="G242" s="17"/>
      <c r="H242" s="18"/>
      <c r="I242" s="18"/>
      <c r="J242" s="18"/>
      <c r="K242" s="18"/>
      <c r="L242" s="19" t="str">
        <f t="shared" si="7"/>
        <v/>
      </c>
      <c r="M242" s="20" t="s">
        <v>104</v>
      </c>
    </row>
    <row r="243" spans="1:13" x14ac:dyDescent="0.2">
      <c r="A243" s="11" t="s">
        <v>100</v>
      </c>
      <c r="B243" s="12" t="s">
        <v>18</v>
      </c>
      <c r="C243" s="27" t="s">
        <v>62</v>
      </c>
      <c r="D243" s="21">
        <v>172.66146782932171</v>
      </c>
      <c r="E243" s="15" t="s">
        <v>105</v>
      </c>
      <c r="F243" s="16" t="s">
        <v>16</v>
      </c>
      <c r="G243" s="22">
        <v>1</v>
      </c>
      <c r="H243" s="23">
        <v>2</v>
      </c>
      <c r="I243" s="23">
        <v>3</v>
      </c>
      <c r="J243" s="23">
        <v>1</v>
      </c>
      <c r="K243" s="23">
        <v>2</v>
      </c>
      <c r="L243" s="24">
        <f t="shared" si="7"/>
        <v>0.48935255543384243</v>
      </c>
      <c r="M243" s="20" t="s">
        <v>104</v>
      </c>
    </row>
    <row r="244" spans="1:13" x14ac:dyDescent="0.2">
      <c r="A244" s="11" t="s">
        <v>100</v>
      </c>
      <c r="B244" s="12" t="s">
        <v>20</v>
      </c>
      <c r="C244" s="27" t="s">
        <v>62</v>
      </c>
      <c r="D244" s="21">
        <v>10.22188350984683</v>
      </c>
      <c r="E244" s="15" t="s">
        <v>106</v>
      </c>
      <c r="F244" s="16" t="s">
        <v>16</v>
      </c>
      <c r="G244" s="22">
        <v>1</v>
      </c>
      <c r="H244" s="23">
        <v>1</v>
      </c>
      <c r="I244" s="23">
        <v>3</v>
      </c>
      <c r="J244" s="23">
        <v>1</v>
      </c>
      <c r="K244" s="23">
        <v>2</v>
      </c>
      <c r="L244" s="24">
        <f t="shared" si="7"/>
        <v>0.47802211380704585</v>
      </c>
      <c r="M244" s="20" t="s">
        <v>104</v>
      </c>
    </row>
    <row r="245" spans="1:13" x14ac:dyDescent="0.2">
      <c r="A245" s="11" t="s">
        <v>100</v>
      </c>
      <c r="B245" s="12" t="s">
        <v>22</v>
      </c>
      <c r="C245" s="27" t="s">
        <v>62</v>
      </c>
      <c r="D245" s="14">
        <v>0</v>
      </c>
      <c r="E245" s="15" t="s">
        <v>107</v>
      </c>
      <c r="F245" s="16" t="s">
        <v>16</v>
      </c>
      <c r="G245" s="17"/>
      <c r="H245" s="18"/>
      <c r="I245" s="18"/>
      <c r="J245" s="18"/>
      <c r="K245" s="18"/>
      <c r="L245" s="19" t="str">
        <f t="shared" si="7"/>
        <v/>
      </c>
      <c r="M245" s="20" t="s">
        <v>104</v>
      </c>
    </row>
    <row r="246" spans="1:13" x14ac:dyDescent="0.2">
      <c r="A246" s="11" t="s">
        <v>100</v>
      </c>
      <c r="B246" s="12" t="s">
        <v>23</v>
      </c>
      <c r="C246" s="27" t="s">
        <v>62</v>
      </c>
      <c r="D246" s="14">
        <v>0</v>
      </c>
      <c r="E246" s="15" t="s">
        <v>108</v>
      </c>
      <c r="F246" s="16" t="s">
        <v>16</v>
      </c>
      <c r="G246" s="17"/>
      <c r="H246" s="18"/>
      <c r="I246" s="18"/>
      <c r="J246" s="18"/>
      <c r="K246" s="18"/>
      <c r="L246" s="19" t="str">
        <f t="shared" ref="L246:L277" si="8">IF( OR( ISBLANK(G246),ISBLANK(H246), ISBLANK(I246), ISBLANK(J246), ISBLANK(K246) ), "", 1.5*SQRT( EXP(2.21*(G246-1)) + EXP(2.21*(H246-1)) + EXP(2.21*(I246-1)) + EXP(2.21*(J246-1)) + EXP(2.21*K246) )/100*2.45 )</f>
        <v/>
      </c>
      <c r="M246" s="20" t="s">
        <v>104</v>
      </c>
    </row>
    <row r="247" spans="1:13" x14ac:dyDescent="0.2">
      <c r="A247" s="11" t="s">
        <v>100</v>
      </c>
      <c r="B247" s="12" t="s">
        <v>24</v>
      </c>
      <c r="C247" s="27" t="s">
        <v>62</v>
      </c>
      <c r="D247" s="21">
        <v>72.673172866520787</v>
      </c>
      <c r="E247" s="15" t="s">
        <v>109</v>
      </c>
      <c r="F247" s="16" t="s">
        <v>16</v>
      </c>
      <c r="G247" s="22">
        <v>1</v>
      </c>
      <c r="H247" s="23">
        <v>2</v>
      </c>
      <c r="I247" s="23">
        <v>3</v>
      </c>
      <c r="J247" s="23">
        <v>1</v>
      </c>
      <c r="K247" s="23">
        <v>2</v>
      </c>
      <c r="L247" s="24">
        <f t="shared" si="8"/>
        <v>0.48935255543384243</v>
      </c>
      <c r="M247" s="20" t="s">
        <v>104</v>
      </c>
    </row>
    <row r="248" spans="1:13" x14ac:dyDescent="0.2">
      <c r="A248" s="11" t="s">
        <v>100</v>
      </c>
      <c r="B248" s="12" t="s">
        <v>25</v>
      </c>
      <c r="C248" s="27" t="s">
        <v>62</v>
      </c>
      <c r="D248" s="14">
        <v>0</v>
      </c>
      <c r="E248" s="15" t="s">
        <v>110</v>
      </c>
      <c r="F248" s="16" t="s">
        <v>16</v>
      </c>
      <c r="G248" s="17"/>
      <c r="H248" s="18"/>
      <c r="I248" s="18"/>
      <c r="J248" s="18"/>
      <c r="K248" s="18"/>
      <c r="L248" s="19" t="str">
        <f t="shared" si="8"/>
        <v/>
      </c>
      <c r="M248" s="20" t="s">
        <v>104</v>
      </c>
    </row>
    <row r="249" spans="1:13" x14ac:dyDescent="0.2">
      <c r="A249" s="11" t="s">
        <v>100</v>
      </c>
      <c r="B249" s="12" t="s">
        <v>26</v>
      </c>
      <c r="C249" s="27" t="s">
        <v>62</v>
      </c>
      <c r="D249" s="21">
        <v>28.80452129102845</v>
      </c>
      <c r="E249" s="15" t="s">
        <v>111</v>
      </c>
      <c r="F249" s="16" t="s">
        <v>16</v>
      </c>
      <c r="G249" s="22">
        <v>1</v>
      </c>
      <c r="H249" s="23">
        <v>2</v>
      </c>
      <c r="I249" s="23">
        <v>3</v>
      </c>
      <c r="J249" s="23">
        <v>1</v>
      </c>
      <c r="K249" s="23">
        <v>2</v>
      </c>
      <c r="L249" s="24">
        <f t="shared" si="8"/>
        <v>0.48935255543384243</v>
      </c>
      <c r="M249" s="20" t="s">
        <v>104</v>
      </c>
    </row>
    <row r="250" spans="1:13" x14ac:dyDescent="0.2">
      <c r="A250" s="11" t="s">
        <v>100</v>
      </c>
      <c r="B250" s="12" t="s">
        <v>27</v>
      </c>
      <c r="C250" s="27" t="s">
        <v>62</v>
      </c>
      <c r="D250" s="21">
        <v>14.33074220131291</v>
      </c>
      <c r="E250" s="15" t="s">
        <v>112</v>
      </c>
      <c r="F250" s="16" t="s">
        <v>16</v>
      </c>
      <c r="G250" s="22">
        <v>1</v>
      </c>
      <c r="H250" s="23">
        <v>1</v>
      </c>
      <c r="I250" s="23">
        <v>3</v>
      </c>
      <c r="J250" s="23">
        <v>1</v>
      </c>
      <c r="K250" s="23">
        <v>2</v>
      </c>
      <c r="L250" s="24">
        <f t="shared" si="8"/>
        <v>0.47802211380704585</v>
      </c>
      <c r="M250" s="20" t="s">
        <v>104</v>
      </c>
    </row>
    <row r="251" spans="1:13" x14ac:dyDescent="0.2">
      <c r="A251" s="11" t="s">
        <v>100</v>
      </c>
      <c r="B251" s="12" t="s">
        <v>28</v>
      </c>
      <c r="C251" s="27" t="s">
        <v>62</v>
      </c>
      <c r="D251" s="21">
        <v>16.89292694091904</v>
      </c>
      <c r="E251" s="15" t="s">
        <v>113</v>
      </c>
      <c r="F251" s="16" t="s">
        <v>16</v>
      </c>
      <c r="G251" s="22">
        <v>1</v>
      </c>
      <c r="H251" s="23">
        <v>3</v>
      </c>
      <c r="I251" s="23">
        <v>3</v>
      </c>
      <c r="J251" s="23">
        <v>1</v>
      </c>
      <c r="K251" s="23">
        <v>2</v>
      </c>
      <c r="L251" s="24">
        <f t="shared" si="8"/>
        <v>0.58256442191643876</v>
      </c>
      <c r="M251" s="20" t="s">
        <v>104</v>
      </c>
    </row>
    <row r="252" spans="1:13" x14ac:dyDescent="0.2">
      <c r="A252" s="11" t="s">
        <v>100</v>
      </c>
      <c r="B252" s="12" t="s">
        <v>30</v>
      </c>
      <c r="C252" s="27" t="s">
        <v>62</v>
      </c>
      <c r="D252" s="21">
        <v>318.43129978118162</v>
      </c>
      <c r="E252" s="15" t="s">
        <v>114</v>
      </c>
      <c r="F252" s="16" t="s">
        <v>16</v>
      </c>
      <c r="G252" s="22">
        <v>1</v>
      </c>
      <c r="H252" s="23">
        <v>1</v>
      </c>
      <c r="I252" s="23">
        <v>3</v>
      </c>
      <c r="J252" s="23">
        <v>1</v>
      </c>
      <c r="K252" s="23">
        <v>2</v>
      </c>
      <c r="L252" s="24">
        <f t="shared" si="8"/>
        <v>0.47802211380704585</v>
      </c>
      <c r="M252" s="20" t="s">
        <v>104</v>
      </c>
    </row>
    <row r="253" spans="1:13" x14ac:dyDescent="0.2">
      <c r="A253" s="11" t="s">
        <v>100</v>
      </c>
      <c r="B253" s="12" t="s">
        <v>32</v>
      </c>
      <c r="C253" s="27" t="s">
        <v>62</v>
      </c>
      <c r="D253" s="14">
        <v>0</v>
      </c>
      <c r="E253" s="15" t="s">
        <v>115</v>
      </c>
      <c r="F253" s="16" t="s">
        <v>16</v>
      </c>
      <c r="G253" s="17"/>
      <c r="H253" s="18"/>
      <c r="I253" s="18"/>
      <c r="J253" s="18"/>
      <c r="K253" s="18"/>
      <c r="L253" s="19" t="str">
        <f t="shared" si="8"/>
        <v/>
      </c>
      <c r="M253" s="20" t="s">
        <v>104</v>
      </c>
    </row>
    <row r="254" spans="1:13" x14ac:dyDescent="0.2">
      <c r="A254" s="11" t="s">
        <v>100</v>
      </c>
      <c r="B254" s="12" t="s">
        <v>34</v>
      </c>
      <c r="C254" s="27" t="s">
        <v>62</v>
      </c>
      <c r="D254" s="21">
        <v>58.674498905908102</v>
      </c>
      <c r="E254" s="15" t="s">
        <v>116</v>
      </c>
      <c r="F254" s="16" t="s">
        <v>16</v>
      </c>
      <c r="G254" s="22">
        <v>1</v>
      </c>
      <c r="H254" s="23">
        <v>1</v>
      </c>
      <c r="I254" s="23">
        <v>3</v>
      </c>
      <c r="J254" s="23">
        <v>1</v>
      </c>
      <c r="K254" s="23">
        <v>2</v>
      </c>
      <c r="L254" s="24">
        <f t="shared" si="8"/>
        <v>0.47802211380704585</v>
      </c>
      <c r="M254" s="20" t="s">
        <v>104</v>
      </c>
    </row>
    <row r="255" spans="1:13" x14ac:dyDescent="0.2">
      <c r="A255" s="11" t="s">
        <v>100</v>
      </c>
      <c r="B255" s="12" t="s">
        <v>36</v>
      </c>
      <c r="C255" s="27" t="s">
        <v>62</v>
      </c>
      <c r="D255" s="21">
        <v>53.706231947483587</v>
      </c>
      <c r="E255" s="15" t="s">
        <v>117</v>
      </c>
      <c r="F255" s="16" t="s">
        <v>16</v>
      </c>
      <c r="G255" s="22">
        <v>1</v>
      </c>
      <c r="H255" s="23">
        <v>2</v>
      </c>
      <c r="I255" s="23">
        <v>3</v>
      </c>
      <c r="J255" s="23">
        <v>1</v>
      </c>
      <c r="K255" s="23">
        <v>2</v>
      </c>
      <c r="L255" s="25">
        <f t="shared" si="8"/>
        <v>0.48935255543384243</v>
      </c>
      <c r="M255" s="20" t="s">
        <v>104</v>
      </c>
    </row>
    <row r="256" spans="1:13" x14ac:dyDescent="0.2">
      <c r="A256" s="11" t="s">
        <v>100</v>
      </c>
      <c r="B256" s="12" t="s">
        <v>37</v>
      </c>
      <c r="C256" s="27" t="s">
        <v>62</v>
      </c>
      <c r="D256" s="21">
        <v>95.762901531728659</v>
      </c>
      <c r="E256" s="15" t="s">
        <v>118</v>
      </c>
      <c r="F256" s="16" t="s">
        <v>16</v>
      </c>
      <c r="G256" s="22">
        <v>1</v>
      </c>
      <c r="H256" s="23">
        <v>1</v>
      </c>
      <c r="I256" s="23">
        <v>3</v>
      </c>
      <c r="J256" s="23">
        <v>1</v>
      </c>
      <c r="K256" s="23">
        <v>2</v>
      </c>
      <c r="L256" s="24">
        <f t="shared" si="8"/>
        <v>0.47802211380704585</v>
      </c>
      <c r="M256" s="20" t="s">
        <v>104</v>
      </c>
    </row>
    <row r="257" spans="1:13" x14ac:dyDescent="0.2">
      <c r="A257" s="11" t="s">
        <v>100</v>
      </c>
      <c r="B257" s="12" t="s">
        <v>39</v>
      </c>
      <c r="C257" s="27" t="s">
        <v>62</v>
      </c>
      <c r="D257" s="14">
        <v>0</v>
      </c>
      <c r="E257" s="15" t="s">
        <v>119</v>
      </c>
      <c r="F257" s="16" t="s">
        <v>16</v>
      </c>
      <c r="G257" s="17"/>
      <c r="H257" s="18"/>
      <c r="I257" s="18"/>
      <c r="J257" s="18"/>
      <c r="K257" s="18"/>
      <c r="L257" s="19" t="str">
        <f t="shared" si="8"/>
        <v/>
      </c>
      <c r="M257" s="20" t="s">
        <v>104</v>
      </c>
    </row>
    <row r="258" spans="1:13" x14ac:dyDescent="0.2">
      <c r="A258" s="11" t="s">
        <v>100</v>
      </c>
      <c r="B258" s="12" t="s">
        <v>40</v>
      </c>
      <c r="C258" s="27" t="s">
        <v>62</v>
      </c>
      <c r="D258" s="14">
        <v>0</v>
      </c>
      <c r="E258" s="15" t="s">
        <v>120</v>
      </c>
      <c r="F258" s="16" t="s">
        <v>16</v>
      </c>
      <c r="G258" s="17"/>
      <c r="H258" s="18"/>
      <c r="I258" s="18"/>
      <c r="J258" s="18"/>
      <c r="K258" s="18"/>
      <c r="L258" s="19" t="str">
        <f t="shared" si="8"/>
        <v/>
      </c>
      <c r="M258" s="20" t="s">
        <v>104</v>
      </c>
    </row>
    <row r="259" spans="1:13" x14ac:dyDescent="0.2">
      <c r="A259" s="11" t="s">
        <v>100</v>
      </c>
      <c r="B259" s="12" t="s">
        <v>41</v>
      </c>
      <c r="C259" s="27" t="s">
        <v>62</v>
      </c>
      <c r="D259" s="14">
        <v>0</v>
      </c>
      <c r="E259" s="15" t="s">
        <v>121</v>
      </c>
      <c r="F259" s="16" t="s">
        <v>16</v>
      </c>
      <c r="G259" s="17"/>
      <c r="H259" s="18"/>
      <c r="I259" s="18"/>
      <c r="J259" s="18"/>
      <c r="K259" s="18"/>
      <c r="L259" s="19" t="str">
        <f t="shared" si="8"/>
        <v/>
      </c>
      <c r="M259" s="20" t="s">
        <v>104</v>
      </c>
    </row>
    <row r="260" spans="1:13" x14ac:dyDescent="0.2">
      <c r="A260" s="11" t="s">
        <v>100</v>
      </c>
      <c r="B260" s="12" t="s">
        <v>42</v>
      </c>
      <c r="C260" s="27" t="s">
        <v>62</v>
      </c>
      <c r="D260" s="14">
        <v>0</v>
      </c>
      <c r="E260" s="15" t="s">
        <v>122</v>
      </c>
      <c r="F260" s="16" t="s">
        <v>16</v>
      </c>
      <c r="G260" s="17"/>
      <c r="H260" s="18"/>
      <c r="I260" s="18"/>
      <c r="J260" s="18"/>
      <c r="K260" s="18"/>
      <c r="L260" s="19" t="str">
        <f t="shared" si="8"/>
        <v/>
      </c>
      <c r="M260" s="20" t="s">
        <v>104</v>
      </c>
    </row>
    <row r="261" spans="1:13" x14ac:dyDescent="0.2">
      <c r="A261" s="11" t="s">
        <v>100</v>
      </c>
      <c r="B261" s="12" t="s">
        <v>43</v>
      </c>
      <c r="C261" s="27" t="s">
        <v>62</v>
      </c>
      <c r="D261" s="21">
        <v>57.066796498905909</v>
      </c>
      <c r="E261" s="15" t="s">
        <v>123</v>
      </c>
      <c r="F261" s="16" t="s">
        <v>16</v>
      </c>
      <c r="G261" s="22">
        <v>1</v>
      </c>
      <c r="H261" s="23">
        <v>1</v>
      </c>
      <c r="I261" s="23">
        <v>3</v>
      </c>
      <c r="J261" s="23">
        <v>1</v>
      </c>
      <c r="K261" s="23">
        <v>2</v>
      </c>
      <c r="L261" s="24">
        <f t="shared" si="8"/>
        <v>0.47802211380704585</v>
      </c>
      <c r="M261" s="20" t="s">
        <v>104</v>
      </c>
    </row>
    <row r="262" spans="1:13" x14ac:dyDescent="0.2">
      <c r="A262" s="11" t="s">
        <v>100</v>
      </c>
      <c r="B262" s="12" t="s">
        <v>45</v>
      </c>
      <c r="C262" s="27" t="s">
        <v>62</v>
      </c>
      <c r="D262" s="14">
        <v>0</v>
      </c>
      <c r="E262" s="15" t="s">
        <v>124</v>
      </c>
      <c r="F262" s="16" t="s">
        <v>16</v>
      </c>
      <c r="G262" s="17"/>
      <c r="H262" s="18"/>
      <c r="I262" s="18"/>
      <c r="J262" s="18"/>
      <c r="K262" s="18"/>
      <c r="L262" s="19" t="str">
        <f t="shared" si="8"/>
        <v/>
      </c>
      <c r="M262" s="20" t="s">
        <v>104</v>
      </c>
    </row>
    <row r="263" spans="1:13" x14ac:dyDescent="0.2">
      <c r="A263" s="11" t="s">
        <v>100</v>
      </c>
      <c r="B263" s="12" t="s">
        <v>46</v>
      </c>
      <c r="C263" s="27" t="s">
        <v>62</v>
      </c>
      <c r="D263" s="21">
        <v>17.905546017505468</v>
      </c>
      <c r="E263" s="15" t="s">
        <v>125</v>
      </c>
      <c r="F263" s="16" t="s">
        <v>16</v>
      </c>
      <c r="G263" s="22">
        <v>1</v>
      </c>
      <c r="H263" s="23">
        <v>2</v>
      </c>
      <c r="I263" s="23">
        <v>3</v>
      </c>
      <c r="J263" s="23">
        <v>1</v>
      </c>
      <c r="K263" s="23">
        <v>2</v>
      </c>
      <c r="L263" s="24">
        <f t="shared" si="8"/>
        <v>0.48935255543384243</v>
      </c>
      <c r="M263" s="20" t="s">
        <v>104</v>
      </c>
    </row>
    <row r="264" spans="1:13" x14ac:dyDescent="0.2">
      <c r="A264" s="11" t="s">
        <v>100</v>
      </c>
      <c r="B264" s="12" t="s">
        <v>48</v>
      </c>
      <c r="C264" s="27" t="s">
        <v>62</v>
      </c>
      <c r="D264" s="21">
        <v>23.702785785557989</v>
      </c>
      <c r="E264" s="15" t="s">
        <v>126</v>
      </c>
      <c r="F264" s="16" t="s">
        <v>16</v>
      </c>
      <c r="G264" s="22">
        <v>1</v>
      </c>
      <c r="H264" s="23">
        <v>1</v>
      </c>
      <c r="I264" s="23">
        <v>3</v>
      </c>
      <c r="J264" s="23">
        <v>1</v>
      </c>
      <c r="K264" s="23">
        <v>2</v>
      </c>
      <c r="L264" s="24">
        <f t="shared" si="8"/>
        <v>0.47802211380704585</v>
      </c>
      <c r="M264" s="20" t="s">
        <v>104</v>
      </c>
    </row>
    <row r="265" spans="1:13" x14ac:dyDescent="0.2">
      <c r="A265" s="11" t="s">
        <v>100</v>
      </c>
      <c r="B265" s="12" t="s">
        <v>50</v>
      </c>
      <c r="C265" s="27" t="s">
        <v>62</v>
      </c>
      <c r="D265" s="21">
        <v>1.6687089715536111E-3</v>
      </c>
      <c r="E265" s="15" t="s">
        <v>127</v>
      </c>
      <c r="F265" s="16" t="s">
        <v>16</v>
      </c>
      <c r="G265" s="22">
        <v>1</v>
      </c>
      <c r="H265" s="23">
        <v>2</v>
      </c>
      <c r="I265" s="23">
        <v>3</v>
      </c>
      <c r="J265" s="23">
        <v>1</v>
      </c>
      <c r="K265" s="23">
        <v>2</v>
      </c>
      <c r="L265" s="24">
        <f t="shared" si="8"/>
        <v>0.48935255543384243</v>
      </c>
      <c r="M265" s="20" t="s">
        <v>104</v>
      </c>
    </row>
    <row r="266" spans="1:13" x14ac:dyDescent="0.2">
      <c r="A266" s="11" t="s">
        <v>100</v>
      </c>
      <c r="B266" s="12" t="s">
        <v>52</v>
      </c>
      <c r="C266" s="27" t="s">
        <v>62</v>
      </c>
      <c r="D266" s="21">
        <v>7.3243763676148791E-3</v>
      </c>
      <c r="E266" s="15" t="s">
        <v>128</v>
      </c>
      <c r="F266" s="16" t="s">
        <v>16</v>
      </c>
      <c r="G266" s="22">
        <v>1</v>
      </c>
      <c r="H266" s="23">
        <v>1</v>
      </c>
      <c r="I266" s="23">
        <v>3</v>
      </c>
      <c r="J266" s="23">
        <v>1</v>
      </c>
      <c r="K266" s="23">
        <v>2</v>
      </c>
      <c r="L266" s="24">
        <f t="shared" si="8"/>
        <v>0.47802211380704585</v>
      </c>
      <c r="M266" s="20" t="s">
        <v>104</v>
      </c>
    </row>
    <row r="267" spans="1:13" x14ac:dyDescent="0.2">
      <c r="A267" s="11" t="s">
        <v>100</v>
      </c>
      <c r="B267" s="12" t="s">
        <v>54</v>
      </c>
      <c r="C267" s="27" t="s">
        <v>62</v>
      </c>
      <c r="D267" s="14">
        <v>0</v>
      </c>
      <c r="E267" s="15" t="s">
        <v>129</v>
      </c>
      <c r="F267" s="16" t="s">
        <v>16</v>
      </c>
      <c r="G267" s="17"/>
      <c r="H267" s="18"/>
      <c r="I267" s="18"/>
      <c r="J267" s="18"/>
      <c r="K267" s="18"/>
      <c r="L267" s="19" t="str">
        <f t="shared" si="8"/>
        <v/>
      </c>
      <c r="M267" s="20" t="s">
        <v>104</v>
      </c>
    </row>
    <row r="268" spans="1:13" x14ac:dyDescent="0.2">
      <c r="A268" s="11" t="s">
        <v>100</v>
      </c>
      <c r="B268" s="12" t="s">
        <v>55</v>
      </c>
      <c r="C268" s="27" t="s">
        <v>62</v>
      </c>
      <c r="D268" s="21">
        <v>84.661501094091903</v>
      </c>
      <c r="E268" s="15" t="s">
        <v>130</v>
      </c>
      <c r="F268" s="16" t="s">
        <v>16</v>
      </c>
      <c r="G268" s="22">
        <v>1</v>
      </c>
      <c r="H268" s="23">
        <v>1</v>
      </c>
      <c r="I268" s="23">
        <v>3</v>
      </c>
      <c r="J268" s="23">
        <v>1</v>
      </c>
      <c r="K268" s="23">
        <v>2</v>
      </c>
      <c r="L268" s="24">
        <f t="shared" si="8"/>
        <v>0.47802211380704585</v>
      </c>
      <c r="M268" s="20" t="s">
        <v>104</v>
      </c>
    </row>
    <row r="269" spans="1:13" x14ac:dyDescent="0.2">
      <c r="A269" s="11" t="s">
        <v>100</v>
      </c>
      <c r="B269" s="12" t="s">
        <v>57</v>
      </c>
      <c r="C269" s="27" t="s">
        <v>62</v>
      </c>
      <c r="D269" s="21">
        <v>51.089445076586443</v>
      </c>
      <c r="E269" s="15" t="s">
        <v>131</v>
      </c>
      <c r="F269" s="16" t="s">
        <v>16</v>
      </c>
      <c r="G269" s="22">
        <v>1</v>
      </c>
      <c r="H269" s="23">
        <v>1</v>
      </c>
      <c r="I269" s="23">
        <v>3</v>
      </c>
      <c r="J269" s="23">
        <v>1</v>
      </c>
      <c r="K269" s="23">
        <v>2</v>
      </c>
      <c r="L269" s="24">
        <f t="shared" si="8"/>
        <v>0.47802211380704585</v>
      </c>
      <c r="M269" s="20" t="s">
        <v>104</v>
      </c>
    </row>
    <row r="270" spans="1:13" x14ac:dyDescent="0.2">
      <c r="A270" s="11" t="s">
        <v>100</v>
      </c>
      <c r="B270" s="12" t="s">
        <v>59</v>
      </c>
      <c r="C270" s="27" t="s">
        <v>62</v>
      </c>
      <c r="D270" s="14">
        <v>0</v>
      </c>
      <c r="E270" s="15"/>
      <c r="F270" s="16" t="s">
        <v>16</v>
      </c>
      <c r="G270" s="17"/>
      <c r="H270" s="18"/>
      <c r="I270" s="18"/>
      <c r="J270" s="18"/>
      <c r="K270" s="18"/>
      <c r="L270" s="19" t="str">
        <f t="shared" si="8"/>
        <v/>
      </c>
      <c r="M270" s="20" t="s">
        <v>104</v>
      </c>
    </row>
    <row r="271" spans="1:13" x14ac:dyDescent="0.2">
      <c r="A271" s="11" t="s">
        <v>100</v>
      </c>
      <c r="B271" s="12" t="s">
        <v>60</v>
      </c>
      <c r="C271" s="27" t="s">
        <v>62</v>
      </c>
      <c r="D271" s="21">
        <v>2.8361065470459521</v>
      </c>
      <c r="E271" s="15" t="s">
        <v>101</v>
      </c>
      <c r="F271" s="16" t="s">
        <v>16</v>
      </c>
      <c r="G271" s="22">
        <v>1</v>
      </c>
      <c r="H271" s="23">
        <v>2</v>
      </c>
      <c r="I271" s="23">
        <v>3</v>
      </c>
      <c r="J271" s="23">
        <v>1</v>
      </c>
      <c r="K271" s="23">
        <v>2</v>
      </c>
      <c r="L271" s="24">
        <f t="shared" si="8"/>
        <v>0.48935255543384243</v>
      </c>
      <c r="M271" s="20" t="s">
        <v>104</v>
      </c>
    </row>
    <row r="272" spans="1:13" x14ac:dyDescent="0.2">
      <c r="A272" s="11" t="s">
        <v>100</v>
      </c>
      <c r="B272" s="12" t="s">
        <v>13</v>
      </c>
      <c r="C272" s="28" t="s">
        <v>64</v>
      </c>
      <c r="D272" s="14">
        <v>0</v>
      </c>
      <c r="E272" s="15" t="s">
        <v>103</v>
      </c>
      <c r="F272" s="16" t="s">
        <v>16</v>
      </c>
      <c r="G272" s="17"/>
      <c r="H272" s="18"/>
      <c r="I272" s="18"/>
      <c r="J272" s="18"/>
      <c r="K272" s="18"/>
      <c r="L272" s="19" t="str">
        <f t="shared" si="8"/>
        <v/>
      </c>
      <c r="M272" s="20" t="s">
        <v>104</v>
      </c>
    </row>
    <row r="273" spans="1:13" x14ac:dyDescent="0.2">
      <c r="A273" s="11" t="s">
        <v>100</v>
      </c>
      <c r="B273" s="12" t="s">
        <v>18</v>
      </c>
      <c r="C273" s="28" t="s">
        <v>64</v>
      </c>
      <c r="D273" s="21">
        <v>366.60457078336981</v>
      </c>
      <c r="E273" s="15" t="s">
        <v>105</v>
      </c>
      <c r="F273" s="16" t="s">
        <v>16</v>
      </c>
      <c r="G273" s="22">
        <v>1</v>
      </c>
      <c r="H273" s="23">
        <v>2</v>
      </c>
      <c r="I273" s="23">
        <v>3</v>
      </c>
      <c r="J273" s="23">
        <v>1</v>
      </c>
      <c r="K273" s="23">
        <v>2</v>
      </c>
      <c r="L273" s="24">
        <f t="shared" si="8"/>
        <v>0.48935255543384243</v>
      </c>
      <c r="M273" s="20" t="s">
        <v>104</v>
      </c>
    </row>
    <row r="274" spans="1:13" x14ac:dyDescent="0.2">
      <c r="A274" s="11" t="s">
        <v>100</v>
      </c>
      <c r="B274" s="12" t="s">
        <v>20</v>
      </c>
      <c r="C274" s="28" t="s">
        <v>64</v>
      </c>
      <c r="D274" s="21">
        <v>18.660025326039388</v>
      </c>
      <c r="E274" s="15" t="s">
        <v>106</v>
      </c>
      <c r="F274" s="16" t="s">
        <v>16</v>
      </c>
      <c r="G274" s="22">
        <v>1</v>
      </c>
      <c r="H274" s="23">
        <v>1</v>
      </c>
      <c r="I274" s="23">
        <v>3</v>
      </c>
      <c r="J274" s="23">
        <v>1</v>
      </c>
      <c r="K274" s="23">
        <v>2</v>
      </c>
      <c r="L274" s="24">
        <f t="shared" si="8"/>
        <v>0.47802211380704585</v>
      </c>
      <c r="M274" s="20" t="s">
        <v>104</v>
      </c>
    </row>
    <row r="275" spans="1:13" x14ac:dyDescent="0.2">
      <c r="A275" s="11" t="s">
        <v>100</v>
      </c>
      <c r="B275" s="12" t="s">
        <v>22</v>
      </c>
      <c r="C275" s="28" t="s">
        <v>64</v>
      </c>
      <c r="D275" s="14">
        <v>0</v>
      </c>
      <c r="E275" s="15" t="s">
        <v>107</v>
      </c>
      <c r="F275" s="16" t="s">
        <v>16</v>
      </c>
      <c r="G275" s="17"/>
      <c r="H275" s="18"/>
      <c r="I275" s="18"/>
      <c r="J275" s="18"/>
      <c r="K275" s="18"/>
      <c r="L275" s="19" t="str">
        <f t="shared" si="8"/>
        <v/>
      </c>
      <c r="M275" s="20" t="s">
        <v>104</v>
      </c>
    </row>
    <row r="276" spans="1:13" x14ac:dyDescent="0.2">
      <c r="A276" s="11" t="s">
        <v>100</v>
      </c>
      <c r="B276" s="12" t="s">
        <v>23</v>
      </c>
      <c r="C276" s="28" t="s">
        <v>64</v>
      </c>
      <c r="D276" s="14">
        <v>0</v>
      </c>
      <c r="E276" s="15" t="s">
        <v>108</v>
      </c>
      <c r="F276" s="16" t="s">
        <v>16</v>
      </c>
      <c r="G276" s="17"/>
      <c r="H276" s="18"/>
      <c r="I276" s="18"/>
      <c r="J276" s="18"/>
      <c r="K276" s="18"/>
      <c r="L276" s="19" t="str">
        <f t="shared" si="8"/>
        <v/>
      </c>
      <c r="M276" s="20" t="s">
        <v>104</v>
      </c>
    </row>
    <row r="277" spans="1:13" x14ac:dyDescent="0.2">
      <c r="A277" s="11" t="s">
        <v>100</v>
      </c>
      <c r="B277" s="12" t="s">
        <v>24</v>
      </c>
      <c r="C277" s="28" t="s">
        <v>64</v>
      </c>
      <c r="D277" s="21">
        <v>50.480599562363238</v>
      </c>
      <c r="E277" s="15" t="s">
        <v>109</v>
      </c>
      <c r="F277" s="16" t="s">
        <v>16</v>
      </c>
      <c r="G277" s="22">
        <v>1</v>
      </c>
      <c r="H277" s="23">
        <v>1</v>
      </c>
      <c r="I277" s="23">
        <v>3</v>
      </c>
      <c r="J277" s="23">
        <v>1</v>
      </c>
      <c r="K277" s="23">
        <v>2</v>
      </c>
      <c r="L277" s="24">
        <f t="shared" si="8"/>
        <v>0.47802211380704585</v>
      </c>
      <c r="M277" s="20" t="s">
        <v>104</v>
      </c>
    </row>
    <row r="278" spans="1:13" x14ac:dyDescent="0.2">
      <c r="A278" s="11" t="s">
        <v>100</v>
      </c>
      <c r="B278" s="12" t="s">
        <v>25</v>
      </c>
      <c r="C278" s="28" t="s">
        <v>64</v>
      </c>
      <c r="D278" s="14">
        <v>0</v>
      </c>
      <c r="E278" s="15" t="s">
        <v>110</v>
      </c>
      <c r="F278" s="16" t="s">
        <v>16</v>
      </c>
      <c r="G278" s="17"/>
      <c r="H278" s="18"/>
      <c r="I278" s="18"/>
      <c r="J278" s="18"/>
      <c r="K278" s="18"/>
      <c r="L278" s="19" t="str">
        <f t="shared" ref="L278:L306" si="9">IF( OR( ISBLANK(G278),ISBLANK(H278), ISBLANK(I278), ISBLANK(J278), ISBLANK(K278) ), "", 1.5*SQRT( EXP(2.21*(G278-1)) + EXP(2.21*(H278-1)) + EXP(2.21*(I278-1)) + EXP(2.21*(J278-1)) + EXP(2.21*K278) )/100*2.45 )</f>
        <v/>
      </c>
      <c r="M278" s="20" t="s">
        <v>104</v>
      </c>
    </row>
    <row r="279" spans="1:13" x14ac:dyDescent="0.2">
      <c r="A279" s="11" t="s">
        <v>100</v>
      </c>
      <c r="B279" s="12" t="s">
        <v>26</v>
      </c>
      <c r="C279" s="28" t="s">
        <v>64</v>
      </c>
      <c r="D279" s="21">
        <v>0.18342700218818381</v>
      </c>
      <c r="E279" s="15" t="s">
        <v>111</v>
      </c>
      <c r="F279" s="16" t="s">
        <v>16</v>
      </c>
      <c r="G279" s="22">
        <v>1</v>
      </c>
      <c r="H279" s="23">
        <v>1</v>
      </c>
      <c r="I279" s="23">
        <v>3</v>
      </c>
      <c r="J279" s="23">
        <v>1</v>
      </c>
      <c r="K279" s="23">
        <v>2</v>
      </c>
      <c r="L279" s="24">
        <f t="shared" si="9"/>
        <v>0.47802211380704585</v>
      </c>
      <c r="M279" s="20" t="s">
        <v>104</v>
      </c>
    </row>
    <row r="280" spans="1:13" x14ac:dyDescent="0.2">
      <c r="A280" s="11" t="s">
        <v>100</v>
      </c>
      <c r="B280" s="12" t="s">
        <v>27</v>
      </c>
      <c r="C280" s="28" t="s">
        <v>64</v>
      </c>
      <c r="D280" s="21">
        <v>25.271787063457332</v>
      </c>
      <c r="E280" s="15" t="s">
        <v>112</v>
      </c>
      <c r="F280" s="16" t="s">
        <v>16</v>
      </c>
      <c r="G280" s="22">
        <v>1</v>
      </c>
      <c r="H280" s="23">
        <v>1</v>
      </c>
      <c r="I280" s="23">
        <v>3</v>
      </c>
      <c r="J280" s="23">
        <v>1</v>
      </c>
      <c r="K280" s="23">
        <v>2</v>
      </c>
      <c r="L280" s="24">
        <f t="shared" si="9"/>
        <v>0.47802211380704585</v>
      </c>
      <c r="M280" s="20" t="s">
        <v>104</v>
      </c>
    </row>
    <row r="281" spans="1:13" x14ac:dyDescent="0.2">
      <c r="A281" s="11" t="s">
        <v>100</v>
      </c>
      <c r="B281" s="12" t="s">
        <v>28</v>
      </c>
      <c r="C281" s="28" t="s">
        <v>64</v>
      </c>
      <c r="D281" s="21">
        <v>222.8916313172866</v>
      </c>
      <c r="E281" s="15" t="s">
        <v>113</v>
      </c>
      <c r="F281" s="16" t="s">
        <v>16</v>
      </c>
      <c r="G281" s="22">
        <v>1</v>
      </c>
      <c r="H281" s="23">
        <v>1</v>
      </c>
      <c r="I281" s="23">
        <v>3</v>
      </c>
      <c r="J281" s="23">
        <v>1</v>
      </c>
      <c r="K281" s="23">
        <v>2</v>
      </c>
      <c r="L281" s="24">
        <f t="shared" si="9"/>
        <v>0.47802211380704585</v>
      </c>
      <c r="M281" s="20" t="s">
        <v>104</v>
      </c>
    </row>
    <row r="282" spans="1:13" x14ac:dyDescent="0.2">
      <c r="A282" s="11" t="s">
        <v>100</v>
      </c>
      <c r="B282" s="12" t="s">
        <v>30</v>
      </c>
      <c r="C282" s="28" t="s">
        <v>64</v>
      </c>
      <c r="D282" s="21">
        <v>347.35020568927791</v>
      </c>
      <c r="E282" s="15" t="s">
        <v>114</v>
      </c>
      <c r="F282" s="16" t="s">
        <v>16</v>
      </c>
      <c r="G282" s="22">
        <v>1</v>
      </c>
      <c r="H282" s="23">
        <v>1</v>
      </c>
      <c r="I282" s="23">
        <v>3</v>
      </c>
      <c r="J282" s="23">
        <v>1</v>
      </c>
      <c r="K282" s="23">
        <v>2</v>
      </c>
      <c r="L282" s="24">
        <f t="shared" si="9"/>
        <v>0.47802211380704585</v>
      </c>
      <c r="M282" s="20" t="s">
        <v>104</v>
      </c>
    </row>
    <row r="283" spans="1:13" x14ac:dyDescent="0.2">
      <c r="A283" s="11" t="s">
        <v>100</v>
      </c>
      <c r="B283" s="12" t="s">
        <v>32</v>
      </c>
      <c r="C283" s="28" t="s">
        <v>64</v>
      </c>
      <c r="D283" s="14">
        <v>0</v>
      </c>
      <c r="E283" s="15" t="s">
        <v>115</v>
      </c>
      <c r="F283" s="16" t="s">
        <v>16</v>
      </c>
      <c r="G283" s="17"/>
      <c r="H283" s="18"/>
      <c r="I283" s="18"/>
      <c r="J283" s="18"/>
      <c r="K283" s="18"/>
      <c r="L283" s="19" t="str">
        <f t="shared" si="9"/>
        <v/>
      </c>
      <c r="M283" s="20" t="s">
        <v>104</v>
      </c>
    </row>
    <row r="284" spans="1:13" x14ac:dyDescent="0.2">
      <c r="A284" s="11" t="s">
        <v>100</v>
      </c>
      <c r="B284" s="12" t="s">
        <v>34</v>
      </c>
      <c r="C284" s="28" t="s">
        <v>64</v>
      </c>
      <c r="D284" s="21">
        <v>54.938385120350112</v>
      </c>
      <c r="E284" s="15" t="s">
        <v>116</v>
      </c>
      <c r="F284" s="16" t="s">
        <v>16</v>
      </c>
      <c r="G284" s="22">
        <v>1</v>
      </c>
      <c r="H284" s="23">
        <v>1</v>
      </c>
      <c r="I284" s="23">
        <v>3</v>
      </c>
      <c r="J284" s="23">
        <v>1</v>
      </c>
      <c r="K284" s="23">
        <v>2</v>
      </c>
      <c r="L284" s="24">
        <f t="shared" si="9"/>
        <v>0.47802211380704585</v>
      </c>
      <c r="M284" s="20" t="s">
        <v>104</v>
      </c>
    </row>
    <row r="285" spans="1:13" x14ac:dyDescent="0.2">
      <c r="A285" s="11" t="s">
        <v>100</v>
      </c>
      <c r="B285" s="12" t="s">
        <v>36</v>
      </c>
      <c r="C285" s="28" t="s">
        <v>64</v>
      </c>
      <c r="D285" s="21">
        <v>147.41590371991251</v>
      </c>
      <c r="E285" s="15" t="s">
        <v>117</v>
      </c>
      <c r="F285" s="16" t="s">
        <v>16</v>
      </c>
      <c r="G285" s="22">
        <v>1</v>
      </c>
      <c r="H285" s="23">
        <v>2</v>
      </c>
      <c r="I285" s="23">
        <v>3</v>
      </c>
      <c r="J285" s="23">
        <v>1</v>
      </c>
      <c r="K285" s="23">
        <v>2</v>
      </c>
      <c r="L285" s="25">
        <f t="shared" si="9"/>
        <v>0.48935255543384243</v>
      </c>
      <c r="M285" s="20" t="s">
        <v>104</v>
      </c>
    </row>
    <row r="286" spans="1:13" x14ac:dyDescent="0.2">
      <c r="A286" s="11" t="s">
        <v>100</v>
      </c>
      <c r="B286" s="12" t="s">
        <v>37</v>
      </c>
      <c r="C286" s="28" t="s">
        <v>64</v>
      </c>
      <c r="D286" s="21">
        <v>172.72411816192559</v>
      </c>
      <c r="E286" s="15" t="s">
        <v>118</v>
      </c>
      <c r="F286" s="16" t="s">
        <v>16</v>
      </c>
      <c r="G286" s="22">
        <v>1</v>
      </c>
      <c r="H286" s="23">
        <v>1</v>
      </c>
      <c r="I286" s="23">
        <v>3</v>
      </c>
      <c r="J286" s="23">
        <v>1</v>
      </c>
      <c r="K286" s="23">
        <v>2</v>
      </c>
      <c r="L286" s="24">
        <f t="shared" si="9"/>
        <v>0.47802211380704585</v>
      </c>
      <c r="M286" s="20" t="s">
        <v>104</v>
      </c>
    </row>
    <row r="287" spans="1:13" x14ac:dyDescent="0.2">
      <c r="A287" s="11" t="s">
        <v>100</v>
      </c>
      <c r="B287" s="12" t="s">
        <v>39</v>
      </c>
      <c r="C287" s="28" t="s">
        <v>64</v>
      </c>
      <c r="D287" s="21">
        <v>0.15688501969365429</v>
      </c>
      <c r="E287" s="15" t="s">
        <v>119</v>
      </c>
      <c r="F287" s="16" t="s">
        <v>16</v>
      </c>
      <c r="G287" s="22">
        <v>1</v>
      </c>
      <c r="H287" s="23">
        <v>2</v>
      </c>
      <c r="I287" s="23">
        <v>3</v>
      </c>
      <c r="J287" s="23">
        <v>1</v>
      </c>
      <c r="K287" s="23">
        <v>2</v>
      </c>
      <c r="L287" s="25">
        <f t="shared" si="9"/>
        <v>0.48935255543384243</v>
      </c>
      <c r="M287" s="20" t="s">
        <v>104</v>
      </c>
    </row>
    <row r="288" spans="1:13" x14ac:dyDescent="0.2">
      <c r="A288" s="11" t="s">
        <v>100</v>
      </c>
      <c r="B288" s="12" t="s">
        <v>40</v>
      </c>
      <c r="C288" s="28" t="s">
        <v>64</v>
      </c>
      <c r="D288" s="14">
        <v>0</v>
      </c>
      <c r="E288" s="15" t="s">
        <v>120</v>
      </c>
      <c r="F288" s="16" t="s">
        <v>16</v>
      </c>
      <c r="G288" s="17"/>
      <c r="H288" s="18"/>
      <c r="I288" s="18"/>
      <c r="J288" s="18"/>
      <c r="K288" s="18"/>
      <c r="L288" s="19" t="str">
        <f t="shared" si="9"/>
        <v/>
      </c>
      <c r="M288" s="20" t="s">
        <v>104</v>
      </c>
    </row>
    <row r="289" spans="1:13" x14ac:dyDescent="0.2">
      <c r="A289" s="11" t="s">
        <v>100</v>
      </c>
      <c r="B289" s="12" t="s">
        <v>41</v>
      </c>
      <c r="C289" s="28" t="s">
        <v>64</v>
      </c>
      <c r="D289" s="14">
        <v>0</v>
      </c>
      <c r="E289" s="15" t="s">
        <v>121</v>
      </c>
      <c r="F289" s="16" t="s">
        <v>16</v>
      </c>
      <c r="G289" s="17"/>
      <c r="H289" s="18"/>
      <c r="I289" s="18"/>
      <c r="J289" s="18"/>
      <c r="K289" s="18"/>
      <c r="L289" s="19" t="str">
        <f t="shared" si="9"/>
        <v/>
      </c>
      <c r="M289" s="20" t="s">
        <v>104</v>
      </c>
    </row>
    <row r="290" spans="1:13" x14ac:dyDescent="0.2">
      <c r="A290" s="11" t="s">
        <v>100</v>
      </c>
      <c r="B290" s="12" t="s">
        <v>42</v>
      </c>
      <c r="C290" s="28" t="s">
        <v>64</v>
      </c>
      <c r="D290" s="14">
        <v>0</v>
      </c>
      <c r="E290" s="15" t="s">
        <v>122</v>
      </c>
      <c r="F290" s="16" t="s">
        <v>16</v>
      </c>
      <c r="G290" s="17"/>
      <c r="H290" s="18"/>
      <c r="I290" s="18"/>
      <c r="J290" s="18"/>
      <c r="K290" s="18"/>
      <c r="L290" s="19" t="str">
        <f t="shared" si="9"/>
        <v/>
      </c>
      <c r="M290" s="20" t="s">
        <v>104</v>
      </c>
    </row>
    <row r="291" spans="1:13" x14ac:dyDescent="0.2">
      <c r="A291" s="11" t="s">
        <v>100</v>
      </c>
      <c r="B291" s="12" t="s">
        <v>43</v>
      </c>
      <c r="C291" s="28" t="s">
        <v>64</v>
      </c>
      <c r="D291" s="21">
        <v>132.69268708971549</v>
      </c>
      <c r="E291" s="15" t="s">
        <v>123</v>
      </c>
      <c r="F291" s="16" t="s">
        <v>16</v>
      </c>
      <c r="G291" s="22">
        <v>1</v>
      </c>
      <c r="H291" s="23">
        <v>1</v>
      </c>
      <c r="I291" s="23">
        <v>3</v>
      </c>
      <c r="J291" s="23">
        <v>1</v>
      </c>
      <c r="K291" s="23">
        <v>2</v>
      </c>
      <c r="L291" s="24">
        <f t="shared" si="9"/>
        <v>0.47802211380704585</v>
      </c>
      <c r="M291" s="20" t="s">
        <v>104</v>
      </c>
    </row>
    <row r="292" spans="1:13" x14ac:dyDescent="0.2">
      <c r="A292" s="11" t="s">
        <v>100</v>
      </c>
      <c r="B292" s="12" t="s">
        <v>45</v>
      </c>
      <c r="C292" s="28" t="s">
        <v>64</v>
      </c>
      <c r="D292" s="14">
        <v>0</v>
      </c>
      <c r="E292" s="15" t="s">
        <v>124</v>
      </c>
      <c r="F292" s="16" t="s">
        <v>16</v>
      </c>
      <c r="G292" s="17"/>
      <c r="H292" s="18"/>
      <c r="I292" s="18"/>
      <c r="J292" s="18"/>
      <c r="K292" s="18"/>
      <c r="L292" s="19" t="str">
        <f t="shared" si="9"/>
        <v/>
      </c>
      <c r="M292" s="20" t="s">
        <v>104</v>
      </c>
    </row>
    <row r="293" spans="1:13" x14ac:dyDescent="0.2">
      <c r="A293" s="11" t="s">
        <v>100</v>
      </c>
      <c r="B293" s="12" t="s">
        <v>46</v>
      </c>
      <c r="C293" s="28" t="s">
        <v>64</v>
      </c>
      <c r="D293" s="21">
        <v>62.92055579868709</v>
      </c>
      <c r="E293" s="15" t="s">
        <v>125</v>
      </c>
      <c r="F293" s="16" t="s">
        <v>16</v>
      </c>
      <c r="G293" s="22">
        <v>1</v>
      </c>
      <c r="H293" s="23">
        <v>1</v>
      </c>
      <c r="I293" s="23">
        <v>3</v>
      </c>
      <c r="J293" s="23">
        <v>1</v>
      </c>
      <c r="K293" s="23">
        <v>2</v>
      </c>
      <c r="L293" s="24">
        <f t="shared" si="9"/>
        <v>0.47802211380704585</v>
      </c>
      <c r="M293" s="20" t="s">
        <v>104</v>
      </c>
    </row>
    <row r="294" spans="1:13" x14ac:dyDescent="0.2">
      <c r="A294" s="11" t="s">
        <v>100</v>
      </c>
      <c r="B294" s="12" t="s">
        <v>48</v>
      </c>
      <c r="C294" s="28" t="s">
        <v>64</v>
      </c>
      <c r="D294" s="21">
        <v>2.663636323851204E-2</v>
      </c>
      <c r="E294" s="15" t="s">
        <v>126</v>
      </c>
      <c r="F294" s="16" t="s">
        <v>16</v>
      </c>
      <c r="G294" s="22">
        <v>1</v>
      </c>
      <c r="H294" s="23">
        <v>1</v>
      </c>
      <c r="I294" s="23">
        <v>3</v>
      </c>
      <c r="J294" s="23">
        <v>1</v>
      </c>
      <c r="K294" s="23">
        <v>2</v>
      </c>
      <c r="L294" s="24">
        <f t="shared" si="9"/>
        <v>0.47802211380704585</v>
      </c>
      <c r="M294" s="20" t="s">
        <v>104</v>
      </c>
    </row>
    <row r="295" spans="1:13" x14ac:dyDescent="0.2">
      <c r="A295" s="11" t="s">
        <v>100</v>
      </c>
      <c r="B295" s="12" t="s">
        <v>50</v>
      </c>
      <c r="C295" s="28" t="s">
        <v>64</v>
      </c>
      <c r="D295" s="21">
        <v>15.498955829321661</v>
      </c>
      <c r="E295" s="15" t="s">
        <v>127</v>
      </c>
      <c r="F295" s="16" t="s">
        <v>16</v>
      </c>
      <c r="G295" s="22">
        <v>1</v>
      </c>
      <c r="H295" s="23">
        <v>2</v>
      </c>
      <c r="I295" s="23">
        <v>3</v>
      </c>
      <c r="J295" s="23">
        <v>1</v>
      </c>
      <c r="K295" s="23">
        <v>2</v>
      </c>
      <c r="L295" s="24">
        <f t="shared" si="9"/>
        <v>0.48935255543384243</v>
      </c>
      <c r="M295" s="20" t="s">
        <v>104</v>
      </c>
    </row>
    <row r="296" spans="1:13" x14ac:dyDescent="0.2">
      <c r="A296" s="11" t="s">
        <v>100</v>
      </c>
      <c r="B296" s="12" t="s">
        <v>52</v>
      </c>
      <c r="C296" s="28" t="s">
        <v>64</v>
      </c>
      <c r="D296" s="21">
        <v>51.84077393435448</v>
      </c>
      <c r="E296" s="15" t="s">
        <v>128</v>
      </c>
      <c r="F296" s="16" t="s">
        <v>16</v>
      </c>
      <c r="G296" s="22">
        <v>1</v>
      </c>
      <c r="H296" s="23">
        <v>1</v>
      </c>
      <c r="I296" s="23">
        <v>3</v>
      </c>
      <c r="J296" s="23">
        <v>1</v>
      </c>
      <c r="K296" s="23">
        <v>2</v>
      </c>
      <c r="L296" s="24">
        <f t="shared" si="9"/>
        <v>0.47802211380704585</v>
      </c>
      <c r="M296" s="20" t="s">
        <v>104</v>
      </c>
    </row>
    <row r="297" spans="1:13" x14ac:dyDescent="0.2">
      <c r="A297" s="11" t="s">
        <v>100</v>
      </c>
      <c r="B297" s="12" t="s">
        <v>54</v>
      </c>
      <c r="C297" s="28" t="s">
        <v>64</v>
      </c>
      <c r="D297" s="14">
        <v>0</v>
      </c>
      <c r="E297" s="15" t="s">
        <v>129</v>
      </c>
      <c r="F297" s="16" t="s">
        <v>16</v>
      </c>
      <c r="G297" s="17"/>
      <c r="H297" s="18"/>
      <c r="I297" s="18"/>
      <c r="J297" s="18"/>
      <c r="K297" s="18"/>
      <c r="L297" s="19" t="str">
        <f t="shared" si="9"/>
        <v/>
      </c>
      <c r="M297" s="20" t="s">
        <v>104</v>
      </c>
    </row>
    <row r="298" spans="1:13" x14ac:dyDescent="0.2">
      <c r="A298" s="11" t="s">
        <v>100</v>
      </c>
      <c r="B298" s="12" t="s">
        <v>55</v>
      </c>
      <c r="C298" s="28" t="s">
        <v>64</v>
      </c>
      <c r="D298" s="21">
        <v>188.77494529540479</v>
      </c>
      <c r="E298" s="15" t="s">
        <v>130</v>
      </c>
      <c r="F298" s="16" t="s">
        <v>16</v>
      </c>
      <c r="G298" s="22">
        <v>1</v>
      </c>
      <c r="H298" s="23">
        <v>1</v>
      </c>
      <c r="I298" s="23">
        <v>3</v>
      </c>
      <c r="J298" s="23">
        <v>1</v>
      </c>
      <c r="K298" s="23">
        <v>2</v>
      </c>
      <c r="L298" s="24">
        <f t="shared" si="9"/>
        <v>0.47802211380704585</v>
      </c>
      <c r="M298" s="20" t="s">
        <v>104</v>
      </c>
    </row>
    <row r="299" spans="1:13" x14ac:dyDescent="0.2">
      <c r="A299" s="11" t="s">
        <v>100</v>
      </c>
      <c r="B299" s="12" t="s">
        <v>57</v>
      </c>
      <c r="C299" s="28" t="s">
        <v>64</v>
      </c>
      <c r="D299" s="21">
        <v>4.8863028446389496</v>
      </c>
      <c r="E299" s="15" t="s">
        <v>131</v>
      </c>
      <c r="F299" s="16" t="s">
        <v>16</v>
      </c>
      <c r="G299" s="22">
        <v>1</v>
      </c>
      <c r="H299" s="23">
        <v>1</v>
      </c>
      <c r="I299" s="23">
        <v>3</v>
      </c>
      <c r="J299" s="23">
        <v>1</v>
      </c>
      <c r="K299" s="23">
        <v>2</v>
      </c>
      <c r="L299" s="24">
        <f t="shared" si="9"/>
        <v>0.47802211380704585</v>
      </c>
      <c r="M299" s="20" t="s">
        <v>104</v>
      </c>
    </row>
    <row r="300" spans="1:13" x14ac:dyDescent="0.2">
      <c r="A300" s="11" t="s">
        <v>100</v>
      </c>
      <c r="B300" s="12" t="s">
        <v>59</v>
      </c>
      <c r="C300" s="28" t="s">
        <v>64</v>
      </c>
      <c r="D300" s="14">
        <v>0</v>
      </c>
      <c r="E300" s="15"/>
      <c r="F300" s="16" t="s">
        <v>16</v>
      </c>
      <c r="G300" s="17"/>
      <c r="H300" s="18"/>
      <c r="I300" s="18"/>
      <c r="J300" s="18"/>
      <c r="K300" s="18"/>
      <c r="L300" s="19" t="str">
        <f t="shared" si="9"/>
        <v/>
      </c>
      <c r="M300" s="20" t="s">
        <v>104</v>
      </c>
    </row>
    <row r="301" spans="1:13" x14ac:dyDescent="0.2">
      <c r="A301" s="11" t="s">
        <v>100</v>
      </c>
      <c r="B301" s="12" t="s">
        <v>60</v>
      </c>
      <c r="C301" s="28" t="s">
        <v>64</v>
      </c>
      <c r="D301" s="21">
        <v>42.188605789934357</v>
      </c>
      <c r="E301" s="15" t="s">
        <v>101</v>
      </c>
      <c r="F301" s="16" t="s">
        <v>16</v>
      </c>
      <c r="G301" s="22">
        <v>1</v>
      </c>
      <c r="H301" s="23">
        <v>2</v>
      </c>
      <c r="I301" s="23">
        <v>3</v>
      </c>
      <c r="J301" s="23">
        <v>1</v>
      </c>
      <c r="K301" s="23">
        <v>2</v>
      </c>
      <c r="L301" s="24">
        <f t="shared" si="9"/>
        <v>0.48935255543384243</v>
      </c>
      <c r="M301" s="20" t="s">
        <v>104</v>
      </c>
    </row>
    <row r="302" spans="1:13" x14ac:dyDescent="0.2">
      <c r="A302" s="11" t="s">
        <v>100</v>
      </c>
      <c r="B302" s="12" t="s">
        <v>13</v>
      </c>
      <c r="C302" s="29" t="s">
        <v>66</v>
      </c>
      <c r="D302" s="14">
        <v>0</v>
      </c>
      <c r="E302" s="15" t="s">
        <v>103</v>
      </c>
      <c r="F302" s="16" t="s">
        <v>16</v>
      </c>
      <c r="G302" s="17"/>
      <c r="H302" s="18"/>
      <c r="I302" s="18"/>
      <c r="J302" s="18"/>
      <c r="K302" s="18"/>
      <c r="L302" s="19" t="str">
        <f t="shared" si="9"/>
        <v/>
      </c>
      <c r="M302" s="20" t="s">
        <v>104</v>
      </c>
    </row>
    <row r="303" spans="1:13" x14ac:dyDescent="0.2">
      <c r="A303" s="11" t="s">
        <v>100</v>
      </c>
      <c r="B303" s="12" t="s">
        <v>18</v>
      </c>
      <c r="C303" s="29" t="s">
        <v>66</v>
      </c>
      <c r="D303" s="21">
        <v>80.179415365426692</v>
      </c>
      <c r="E303" s="15" t="s">
        <v>105</v>
      </c>
      <c r="F303" s="16" t="s">
        <v>16</v>
      </c>
      <c r="G303" s="22">
        <v>1</v>
      </c>
      <c r="H303" s="23">
        <v>2</v>
      </c>
      <c r="I303" s="23">
        <v>3</v>
      </c>
      <c r="J303" s="23">
        <v>1</v>
      </c>
      <c r="K303" s="23">
        <v>2</v>
      </c>
      <c r="L303" s="24">
        <f t="shared" si="9"/>
        <v>0.48935255543384243</v>
      </c>
      <c r="M303" s="20" t="s">
        <v>104</v>
      </c>
    </row>
    <row r="304" spans="1:13" x14ac:dyDescent="0.2">
      <c r="A304" s="11" t="s">
        <v>100</v>
      </c>
      <c r="B304" s="12" t="s">
        <v>20</v>
      </c>
      <c r="C304" s="29" t="s">
        <v>66</v>
      </c>
      <c r="D304" s="14">
        <v>0</v>
      </c>
      <c r="E304" s="15" t="s">
        <v>106</v>
      </c>
      <c r="F304" s="16" t="s">
        <v>16</v>
      </c>
      <c r="G304" s="17"/>
      <c r="H304" s="18"/>
      <c r="I304" s="18"/>
      <c r="J304" s="18"/>
      <c r="K304" s="18"/>
      <c r="L304" s="19" t="str">
        <f t="shared" si="9"/>
        <v/>
      </c>
      <c r="M304" s="20" t="s">
        <v>104</v>
      </c>
    </row>
    <row r="305" spans="1:13" x14ac:dyDescent="0.2">
      <c r="A305" s="11" t="s">
        <v>100</v>
      </c>
      <c r="B305" s="12" t="s">
        <v>22</v>
      </c>
      <c r="C305" s="29" t="s">
        <v>66</v>
      </c>
      <c r="D305" s="14">
        <v>0</v>
      </c>
      <c r="E305" s="15" t="s">
        <v>107</v>
      </c>
      <c r="F305" s="16" t="s">
        <v>16</v>
      </c>
      <c r="G305" s="17"/>
      <c r="H305" s="18"/>
      <c r="I305" s="18"/>
      <c r="J305" s="18"/>
      <c r="K305" s="18"/>
      <c r="L305" s="19" t="str">
        <f t="shared" si="9"/>
        <v/>
      </c>
      <c r="M305" s="20" t="s">
        <v>104</v>
      </c>
    </row>
    <row r="306" spans="1:13" x14ac:dyDescent="0.2">
      <c r="A306" s="11" t="s">
        <v>100</v>
      </c>
      <c r="B306" s="12" t="s">
        <v>23</v>
      </c>
      <c r="C306" s="29" t="s">
        <v>66</v>
      </c>
      <c r="D306" s="14">
        <v>0</v>
      </c>
      <c r="E306" s="15" t="s">
        <v>108</v>
      </c>
      <c r="F306" s="16" t="s">
        <v>16</v>
      </c>
      <c r="G306" s="17"/>
      <c r="H306" s="18"/>
      <c r="I306" s="18"/>
      <c r="J306" s="18"/>
      <c r="K306" s="18"/>
      <c r="L306" s="19" t="str">
        <f t="shared" si="9"/>
        <v/>
      </c>
      <c r="M306" s="20" t="s">
        <v>104</v>
      </c>
    </row>
    <row r="307" spans="1:13" x14ac:dyDescent="0.2">
      <c r="A307" s="11" t="s">
        <v>100</v>
      </c>
      <c r="B307" s="12" t="s">
        <v>24</v>
      </c>
      <c r="C307" s="29" t="s">
        <v>66</v>
      </c>
      <c r="D307" s="14">
        <v>0</v>
      </c>
      <c r="E307" s="15" t="s">
        <v>108</v>
      </c>
      <c r="F307" s="16" t="s">
        <v>16</v>
      </c>
      <c r="G307" s="17"/>
      <c r="H307" s="18"/>
      <c r="I307" s="18"/>
      <c r="J307" s="18"/>
      <c r="K307" s="18"/>
      <c r="L307" s="19" t="str">
        <f>IF( OR( ISBLANK(G307),ISBLANK(H307), ISBLANK(I307), ISBLANK(J307), ISBLANK(K307) ), "", 1.5*SQRT(   EXP(2.21*(G307-1)) + EXP(2.21*(H307-1)) + EXP(2.21*(I307-1)) + EXP(2.21*(J307-1)) + EXP(2.21*K307)   )/100*2.45 )</f>
        <v/>
      </c>
      <c r="M307" s="20" t="s">
        <v>104</v>
      </c>
    </row>
    <row r="308" spans="1:13" x14ac:dyDescent="0.2">
      <c r="A308" s="11" t="s">
        <v>100</v>
      </c>
      <c r="B308" s="12" t="s">
        <v>25</v>
      </c>
      <c r="C308" s="29" t="s">
        <v>66</v>
      </c>
      <c r="D308" s="14">
        <v>0</v>
      </c>
      <c r="E308" s="15" t="s">
        <v>110</v>
      </c>
      <c r="F308" s="16" t="s">
        <v>16</v>
      </c>
      <c r="G308" s="17"/>
      <c r="H308" s="18"/>
      <c r="I308" s="18"/>
      <c r="J308" s="18"/>
      <c r="K308" s="18"/>
      <c r="L308" s="19" t="str">
        <f t="shared" ref="L308:L320" si="10">IF( OR( ISBLANK(G308),ISBLANK(H308), ISBLANK(I308), ISBLANK(J308), ISBLANK(K308) ), "", 1.5*SQRT( EXP(2.21*(G308-1)) + EXP(2.21*(H308-1)) + EXP(2.21*(I308-1)) + EXP(2.21*(J308-1)) + EXP(2.21*K308) )/100*2.45 )</f>
        <v/>
      </c>
      <c r="M308" s="20" t="s">
        <v>104</v>
      </c>
    </row>
    <row r="309" spans="1:13" x14ac:dyDescent="0.2">
      <c r="A309" s="11" t="s">
        <v>100</v>
      </c>
      <c r="B309" s="12" t="s">
        <v>26</v>
      </c>
      <c r="C309" s="29" t="s">
        <v>66</v>
      </c>
      <c r="D309" s="21">
        <v>0.33864851641137861</v>
      </c>
      <c r="E309" s="15" t="s">
        <v>111</v>
      </c>
      <c r="F309" s="16" t="s">
        <v>16</v>
      </c>
      <c r="G309" s="22">
        <v>1</v>
      </c>
      <c r="H309" s="23">
        <v>2</v>
      </c>
      <c r="I309" s="23">
        <v>3</v>
      </c>
      <c r="J309" s="23">
        <v>1</v>
      </c>
      <c r="K309" s="23">
        <v>2</v>
      </c>
      <c r="L309" s="24">
        <f t="shared" si="10"/>
        <v>0.48935255543384243</v>
      </c>
      <c r="M309" s="20" t="s">
        <v>104</v>
      </c>
    </row>
    <row r="310" spans="1:13" x14ac:dyDescent="0.2">
      <c r="A310" s="11" t="s">
        <v>100</v>
      </c>
      <c r="B310" s="12" t="s">
        <v>27</v>
      </c>
      <c r="C310" s="29" t="s">
        <v>66</v>
      </c>
      <c r="D310" s="21">
        <v>0.43760044638949669</v>
      </c>
      <c r="E310" s="15" t="s">
        <v>112</v>
      </c>
      <c r="F310" s="16" t="s">
        <v>16</v>
      </c>
      <c r="G310" s="22">
        <v>1</v>
      </c>
      <c r="H310" s="23">
        <v>2</v>
      </c>
      <c r="I310" s="23">
        <v>3</v>
      </c>
      <c r="J310" s="23">
        <v>1</v>
      </c>
      <c r="K310" s="23">
        <v>2</v>
      </c>
      <c r="L310" s="24">
        <f t="shared" si="10"/>
        <v>0.48935255543384243</v>
      </c>
      <c r="M310" s="20" t="s">
        <v>104</v>
      </c>
    </row>
    <row r="311" spans="1:13" x14ac:dyDescent="0.2">
      <c r="A311" s="11" t="s">
        <v>100</v>
      </c>
      <c r="B311" s="12" t="s">
        <v>28</v>
      </c>
      <c r="C311" s="29" t="s">
        <v>66</v>
      </c>
      <c r="D311" s="21">
        <v>64.958170927789936</v>
      </c>
      <c r="E311" s="15" t="s">
        <v>113</v>
      </c>
      <c r="F311" s="16" t="s">
        <v>16</v>
      </c>
      <c r="G311" s="22">
        <v>1</v>
      </c>
      <c r="H311" s="23">
        <v>1</v>
      </c>
      <c r="I311" s="23">
        <v>3</v>
      </c>
      <c r="J311" s="23">
        <v>1</v>
      </c>
      <c r="K311" s="23">
        <v>2</v>
      </c>
      <c r="L311" s="24">
        <f t="shared" si="10"/>
        <v>0.47802211380704585</v>
      </c>
      <c r="M311" s="20" t="s">
        <v>104</v>
      </c>
    </row>
    <row r="312" spans="1:13" x14ac:dyDescent="0.2">
      <c r="A312" s="11" t="s">
        <v>100</v>
      </c>
      <c r="B312" s="12" t="s">
        <v>30</v>
      </c>
      <c r="C312" s="29" t="s">
        <v>66</v>
      </c>
      <c r="D312" s="21">
        <v>87.480757628008746</v>
      </c>
      <c r="E312" s="15" t="s">
        <v>114</v>
      </c>
      <c r="F312" s="16" t="s">
        <v>16</v>
      </c>
      <c r="G312" s="22">
        <v>1</v>
      </c>
      <c r="H312" s="23">
        <v>3</v>
      </c>
      <c r="I312" s="23">
        <v>3</v>
      </c>
      <c r="J312" s="23">
        <v>1</v>
      </c>
      <c r="K312" s="23">
        <v>2</v>
      </c>
      <c r="L312" s="24">
        <f t="shared" si="10"/>
        <v>0.58256442191643876</v>
      </c>
      <c r="M312" s="20" t="s">
        <v>104</v>
      </c>
    </row>
    <row r="313" spans="1:13" x14ac:dyDescent="0.2">
      <c r="A313" s="11" t="s">
        <v>100</v>
      </c>
      <c r="B313" s="12" t="s">
        <v>32</v>
      </c>
      <c r="C313" s="29" t="s">
        <v>66</v>
      </c>
      <c r="D313" s="14">
        <v>0</v>
      </c>
      <c r="E313" s="15" t="s">
        <v>115</v>
      </c>
      <c r="F313" s="16" t="s">
        <v>16</v>
      </c>
      <c r="G313" s="17"/>
      <c r="H313" s="18"/>
      <c r="I313" s="18"/>
      <c r="J313" s="18"/>
      <c r="K313" s="18"/>
      <c r="L313" s="19" t="str">
        <f t="shared" si="10"/>
        <v/>
      </c>
      <c r="M313" s="20" t="s">
        <v>104</v>
      </c>
    </row>
    <row r="314" spans="1:13" x14ac:dyDescent="0.2">
      <c r="A314" s="11" t="s">
        <v>100</v>
      </c>
      <c r="B314" s="12" t="s">
        <v>34</v>
      </c>
      <c r="C314" s="29" t="s">
        <v>66</v>
      </c>
      <c r="D314" s="21">
        <v>11.30631072210066</v>
      </c>
      <c r="E314" s="15" t="s">
        <v>116</v>
      </c>
      <c r="F314" s="16" t="s">
        <v>16</v>
      </c>
      <c r="G314" s="22">
        <v>1</v>
      </c>
      <c r="H314" s="23">
        <v>2</v>
      </c>
      <c r="I314" s="23">
        <v>3</v>
      </c>
      <c r="J314" s="23">
        <v>1</v>
      </c>
      <c r="K314" s="23">
        <v>2</v>
      </c>
      <c r="L314" s="24">
        <f t="shared" si="10"/>
        <v>0.48935255543384243</v>
      </c>
      <c r="M314" s="20" t="s">
        <v>104</v>
      </c>
    </row>
    <row r="315" spans="1:13" x14ac:dyDescent="0.2">
      <c r="A315" s="11" t="s">
        <v>100</v>
      </c>
      <c r="B315" s="12" t="s">
        <v>36</v>
      </c>
      <c r="C315" s="29" t="s">
        <v>66</v>
      </c>
      <c r="D315" s="21">
        <v>29.436923413566738</v>
      </c>
      <c r="E315" s="15" t="s">
        <v>117</v>
      </c>
      <c r="F315" s="16" t="s">
        <v>16</v>
      </c>
      <c r="G315" s="22">
        <v>1</v>
      </c>
      <c r="H315" s="23">
        <v>2</v>
      </c>
      <c r="I315" s="23">
        <v>3</v>
      </c>
      <c r="J315" s="23">
        <v>1</v>
      </c>
      <c r="K315" s="23">
        <v>2</v>
      </c>
      <c r="L315" s="25">
        <f t="shared" si="10"/>
        <v>0.48935255543384243</v>
      </c>
      <c r="M315" s="20" t="s">
        <v>104</v>
      </c>
    </row>
    <row r="316" spans="1:13" x14ac:dyDescent="0.2">
      <c r="A316" s="11" t="s">
        <v>100</v>
      </c>
      <c r="B316" s="12" t="s">
        <v>37</v>
      </c>
      <c r="C316" s="29" t="s">
        <v>66</v>
      </c>
      <c r="D316" s="21">
        <v>41.590687089715537</v>
      </c>
      <c r="E316" s="15" t="s">
        <v>118</v>
      </c>
      <c r="F316" s="16" t="s">
        <v>16</v>
      </c>
      <c r="G316" s="22">
        <v>1</v>
      </c>
      <c r="H316" s="23">
        <v>1</v>
      </c>
      <c r="I316" s="23">
        <v>3</v>
      </c>
      <c r="J316" s="23">
        <v>1</v>
      </c>
      <c r="K316" s="23">
        <v>2</v>
      </c>
      <c r="L316" s="24">
        <f t="shared" si="10"/>
        <v>0.47802211380704585</v>
      </c>
      <c r="M316" s="20" t="s">
        <v>104</v>
      </c>
    </row>
    <row r="317" spans="1:13" x14ac:dyDescent="0.2">
      <c r="A317" s="11" t="s">
        <v>100</v>
      </c>
      <c r="B317" s="12" t="s">
        <v>39</v>
      </c>
      <c r="C317" s="29" t="s">
        <v>66</v>
      </c>
      <c r="D317" s="14">
        <v>0</v>
      </c>
      <c r="E317" s="15" t="s">
        <v>119</v>
      </c>
      <c r="F317" s="16" t="s">
        <v>16</v>
      </c>
      <c r="G317" s="17"/>
      <c r="H317" s="18"/>
      <c r="I317" s="18"/>
      <c r="J317" s="18"/>
      <c r="K317" s="18"/>
      <c r="L317" s="19" t="str">
        <f t="shared" si="10"/>
        <v/>
      </c>
      <c r="M317" s="20" t="s">
        <v>104</v>
      </c>
    </row>
    <row r="318" spans="1:13" x14ac:dyDescent="0.2">
      <c r="A318" s="11" t="s">
        <v>100</v>
      </c>
      <c r="B318" s="12" t="s">
        <v>40</v>
      </c>
      <c r="C318" s="29" t="s">
        <v>66</v>
      </c>
      <c r="D318" s="14">
        <v>0</v>
      </c>
      <c r="E318" s="15" t="s">
        <v>120</v>
      </c>
      <c r="F318" s="16" t="s">
        <v>16</v>
      </c>
      <c r="G318" s="17"/>
      <c r="H318" s="18"/>
      <c r="I318" s="18"/>
      <c r="J318" s="18"/>
      <c r="K318" s="18"/>
      <c r="L318" s="19" t="str">
        <f t="shared" si="10"/>
        <v/>
      </c>
      <c r="M318" s="20" t="s">
        <v>104</v>
      </c>
    </row>
    <row r="319" spans="1:13" x14ac:dyDescent="0.2">
      <c r="A319" s="11" t="s">
        <v>100</v>
      </c>
      <c r="B319" s="12" t="s">
        <v>41</v>
      </c>
      <c r="C319" s="29" t="s">
        <v>66</v>
      </c>
      <c r="D319" s="14">
        <v>0</v>
      </c>
      <c r="E319" s="15" t="s">
        <v>121</v>
      </c>
      <c r="F319" s="16" t="s">
        <v>16</v>
      </c>
      <c r="G319" s="17"/>
      <c r="H319" s="18"/>
      <c r="I319" s="18"/>
      <c r="J319" s="18"/>
      <c r="K319" s="18"/>
      <c r="L319" s="19" t="str">
        <f t="shared" si="10"/>
        <v/>
      </c>
      <c r="M319" s="20" t="s">
        <v>104</v>
      </c>
    </row>
    <row r="320" spans="1:13" x14ac:dyDescent="0.2">
      <c r="A320" s="11" t="s">
        <v>100</v>
      </c>
      <c r="B320" s="12" t="s">
        <v>42</v>
      </c>
      <c r="C320" s="29" t="s">
        <v>66</v>
      </c>
      <c r="D320" s="14">
        <v>0</v>
      </c>
      <c r="E320" s="15" t="s">
        <v>122</v>
      </c>
      <c r="F320" s="16" t="s">
        <v>16</v>
      </c>
      <c r="G320" s="17"/>
      <c r="H320" s="18"/>
      <c r="I320" s="18"/>
      <c r="J320" s="18"/>
      <c r="K320" s="18"/>
      <c r="L320" s="19" t="str">
        <f t="shared" si="10"/>
        <v/>
      </c>
      <c r="M320" s="20" t="s">
        <v>104</v>
      </c>
    </row>
    <row r="321" spans="1:13" x14ac:dyDescent="0.2">
      <c r="A321" s="11" t="s">
        <v>100</v>
      </c>
      <c r="B321" s="12" t="s">
        <v>43</v>
      </c>
      <c r="C321" s="29" t="s">
        <v>66</v>
      </c>
      <c r="D321" s="21">
        <v>1.602678336980307</v>
      </c>
      <c r="E321" s="15" t="s">
        <v>123</v>
      </c>
      <c r="F321" s="16" t="s">
        <v>16</v>
      </c>
      <c r="G321" s="22">
        <v>1</v>
      </c>
      <c r="H321" s="23">
        <v>2</v>
      </c>
      <c r="I321" s="23">
        <v>3</v>
      </c>
      <c r="J321" s="23">
        <v>1</v>
      </c>
      <c r="K321" s="23">
        <v>2</v>
      </c>
      <c r="L321" s="24">
        <f>IF( OR( ISBLANK(G321),ISBLANK(H321), ISBLANK(I321), ISBLANK(J321), ISBLANK(K321) ), "", 1.5*SQRT(   EXP(2.21*(G321-1)) + EXP(2.21*(H321-1)) + EXP(2.21*(I321-1)) + EXP(2.21*(J321-1)) + EXP(2.21*K321)   )/100*2.45 )</f>
        <v>0.48935255543384243</v>
      </c>
      <c r="M321" s="20" t="s">
        <v>104</v>
      </c>
    </row>
    <row r="322" spans="1:13" x14ac:dyDescent="0.2">
      <c r="A322" s="11" t="s">
        <v>100</v>
      </c>
      <c r="B322" s="12" t="s">
        <v>45</v>
      </c>
      <c r="C322" s="29" t="s">
        <v>66</v>
      </c>
      <c r="D322" s="14">
        <v>0</v>
      </c>
      <c r="E322" s="15" t="s">
        <v>124</v>
      </c>
      <c r="F322" s="16" t="s">
        <v>16</v>
      </c>
      <c r="G322" s="17"/>
      <c r="H322" s="18"/>
      <c r="I322" s="18"/>
      <c r="J322" s="18"/>
      <c r="K322" s="18"/>
      <c r="L322" s="19" t="str">
        <f t="shared" ref="L322:L358" si="11">IF( OR( ISBLANK(G322),ISBLANK(H322), ISBLANK(I322), ISBLANK(J322), ISBLANK(K322) ), "", 1.5*SQRT( EXP(2.21*(G322-1)) + EXP(2.21*(H322-1)) + EXP(2.21*(I322-1)) + EXP(2.21*(J322-1)) + EXP(2.21*K322) )/100*2.45 )</f>
        <v/>
      </c>
      <c r="M322" s="20" t="s">
        <v>104</v>
      </c>
    </row>
    <row r="323" spans="1:13" x14ac:dyDescent="0.2">
      <c r="A323" s="11" t="s">
        <v>100</v>
      </c>
      <c r="B323" s="12" t="s">
        <v>46</v>
      </c>
      <c r="C323" s="29" t="s">
        <v>66</v>
      </c>
      <c r="D323" s="21">
        <v>9.5507571115973757</v>
      </c>
      <c r="E323" s="15" t="s">
        <v>125</v>
      </c>
      <c r="F323" s="16" t="s">
        <v>16</v>
      </c>
      <c r="G323" s="22">
        <v>1</v>
      </c>
      <c r="H323" s="23">
        <v>1</v>
      </c>
      <c r="I323" s="23">
        <v>3</v>
      </c>
      <c r="J323" s="23">
        <v>1</v>
      </c>
      <c r="K323" s="23">
        <v>2</v>
      </c>
      <c r="L323" s="24">
        <f t="shared" si="11"/>
        <v>0.47802211380704585</v>
      </c>
      <c r="M323" s="20" t="s">
        <v>104</v>
      </c>
    </row>
    <row r="324" spans="1:13" x14ac:dyDescent="0.2">
      <c r="A324" s="11" t="s">
        <v>100</v>
      </c>
      <c r="B324" s="12" t="s">
        <v>48</v>
      </c>
      <c r="C324" s="29" t="s">
        <v>66</v>
      </c>
      <c r="D324" s="21">
        <v>1.73276066083151</v>
      </c>
      <c r="E324" s="15" t="s">
        <v>126</v>
      </c>
      <c r="F324" s="16" t="s">
        <v>16</v>
      </c>
      <c r="G324" s="22">
        <v>1</v>
      </c>
      <c r="H324" s="23">
        <v>1</v>
      </c>
      <c r="I324" s="23">
        <v>3</v>
      </c>
      <c r="J324" s="23">
        <v>1</v>
      </c>
      <c r="K324" s="23">
        <v>2</v>
      </c>
      <c r="L324" s="24">
        <f t="shared" si="11"/>
        <v>0.47802211380704585</v>
      </c>
      <c r="M324" s="20" t="s">
        <v>104</v>
      </c>
    </row>
    <row r="325" spans="1:13" x14ac:dyDescent="0.2">
      <c r="A325" s="11" t="s">
        <v>100</v>
      </c>
      <c r="B325" s="12" t="s">
        <v>50</v>
      </c>
      <c r="C325" s="29" t="s">
        <v>66</v>
      </c>
      <c r="D325" s="21">
        <v>5.8922687964989073</v>
      </c>
      <c r="E325" s="15" t="s">
        <v>127</v>
      </c>
      <c r="F325" s="16" t="s">
        <v>16</v>
      </c>
      <c r="G325" s="22">
        <v>1</v>
      </c>
      <c r="H325" s="23">
        <v>1</v>
      </c>
      <c r="I325" s="23">
        <v>3</v>
      </c>
      <c r="J325" s="23">
        <v>1</v>
      </c>
      <c r="K325" s="23">
        <v>2</v>
      </c>
      <c r="L325" s="24">
        <f t="shared" si="11"/>
        <v>0.47802211380704585</v>
      </c>
      <c r="M325" s="20" t="s">
        <v>104</v>
      </c>
    </row>
    <row r="326" spans="1:13" x14ac:dyDescent="0.2">
      <c r="A326" s="11" t="s">
        <v>100</v>
      </c>
      <c r="B326" s="12" t="s">
        <v>52</v>
      </c>
      <c r="C326" s="29" t="s">
        <v>66</v>
      </c>
      <c r="D326" s="21">
        <v>7.8519037199124733E-4</v>
      </c>
      <c r="E326" s="15" t="s">
        <v>128</v>
      </c>
      <c r="F326" s="16" t="s">
        <v>16</v>
      </c>
      <c r="G326" s="22">
        <v>1</v>
      </c>
      <c r="H326" s="23">
        <v>1</v>
      </c>
      <c r="I326" s="23">
        <v>3</v>
      </c>
      <c r="J326" s="23">
        <v>1</v>
      </c>
      <c r="K326" s="23">
        <v>2</v>
      </c>
      <c r="L326" s="24">
        <f t="shared" si="11"/>
        <v>0.47802211380704585</v>
      </c>
      <c r="M326" s="20" t="s">
        <v>104</v>
      </c>
    </row>
    <row r="327" spans="1:13" x14ac:dyDescent="0.2">
      <c r="A327" s="11" t="s">
        <v>100</v>
      </c>
      <c r="B327" s="12" t="s">
        <v>54</v>
      </c>
      <c r="C327" s="29" t="s">
        <v>66</v>
      </c>
      <c r="D327" s="14">
        <v>0</v>
      </c>
      <c r="E327" s="15" t="s">
        <v>129</v>
      </c>
      <c r="F327" s="16" t="s">
        <v>16</v>
      </c>
      <c r="G327" s="17"/>
      <c r="H327" s="18"/>
      <c r="I327" s="18"/>
      <c r="J327" s="18"/>
      <c r="K327" s="18"/>
      <c r="L327" s="19" t="str">
        <f t="shared" si="11"/>
        <v/>
      </c>
      <c r="M327" s="20" t="s">
        <v>104</v>
      </c>
    </row>
    <row r="328" spans="1:13" x14ac:dyDescent="0.2">
      <c r="A328" s="11" t="s">
        <v>100</v>
      </c>
      <c r="B328" s="12" t="s">
        <v>55</v>
      </c>
      <c r="C328" s="29" t="s">
        <v>66</v>
      </c>
      <c r="D328" s="21">
        <v>25.512586433260392</v>
      </c>
      <c r="E328" s="15" t="s">
        <v>130</v>
      </c>
      <c r="F328" s="16" t="s">
        <v>16</v>
      </c>
      <c r="G328" s="22">
        <v>1</v>
      </c>
      <c r="H328" s="23">
        <v>2</v>
      </c>
      <c r="I328" s="23">
        <v>3</v>
      </c>
      <c r="J328" s="23">
        <v>1</v>
      </c>
      <c r="K328" s="23">
        <v>2</v>
      </c>
      <c r="L328" s="24">
        <f t="shared" si="11"/>
        <v>0.48935255543384243</v>
      </c>
      <c r="M328" s="20" t="s">
        <v>104</v>
      </c>
    </row>
    <row r="329" spans="1:13" x14ac:dyDescent="0.2">
      <c r="A329" s="11" t="s">
        <v>100</v>
      </c>
      <c r="B329" s="12" t="s">
        <v>57</v>
      </c>
      <c r="C329" s="29" t="s">
        <v>66</v>
      </c>
      <c r="D329" s="21">
        <v>3.8577680525164111E-3</v>
      </c>
      <c r="E329" s="15" t="s">
        <v>131</v>
      </c>
      <c r="F329" s="16" t="s">
        <v>16</v>
      </c>
      <c r="G329" s="22">
        <v>1</v>
      </c>
      <c r="H329" s="23">
        <v>1</v>
      </c>
      <c r="I329" s="23">
        <v>3</v>
      </c>
      <c r="J329" s="23">
        <v>1</v>
      </c>
      <c r="K329" s="23">
        <v>2</v>
      </c>
      <c r="L329" s="24">
        <f t="shared" si="11"/>
        <v>0.47802211380704585</v>
      </c>
      <c r="M329" s="20" t="s">
        <v>104</v>
      </c>
    </row>
    <row r="330" spans="1:13" x14ac:dyDescent="0.2">
      <c r="A330" s="11" t="s">
        <v>100</v>
      </c>
      <c r="B330" s="12" t="s">
        <v>59</v>
      </c>
      <c r="C330" s="29" t="s">
        <v>66</v>
      </c>
      <c r="D330" s="14">
        <v>0</v>
      </c>
      <c r="E330" s="15"/>
      <c r="F330" s="16" t="s">
        <v>16</v>
      </c>
      <c r="G330" s="17"/>
      <c r="H330" s="18"/>
      <c r="I330" s="18"/>
      <c r="J330" s="18"/>
      <c r="K330" s="18"/>
      <c r="L330" s="19" t="str">
        <f t="shared" si="11"/>
        <v/>
      </c>
      <c r="M330" s="20" t="s">
        <v>104</v>
      </c>
    </row>
    <row r="331" spans="1:13" x14ac:dyDescent="0.2">
      <c r="A331" s="11" t="s">
        <v>100</v>
      </c>
      <c r="B331" s="12" t="s">
        <v>60</v>
      </c>
      <c r="C331" s="29" t="s">
        <v>66</v>
      </c>
      <c r="D331" s="21">
        <v>0.46167901969365421</v>
      </c>
      <c r="E331" s="15" t="s">
        <v>101</v>
      </c>
      <c r="F331" s="16" t="s">
        <v>16</v>
      </c>
      <c r="G331" s="22">
        <v>1</v>
      </c>
      <c r="H331" s="23">
        <v>2</v>
      </c>
      <c r="I331" s="23">
        <v>3</v>
      </c>
      <c r="J331" s="23">
        <v>1</v>
      </c>
      <c r="K331" s="23">
        <v>2</v>
      </c>
      <c r="L331" s="24">
        <f t="shared" si="11"/>
        <v>0.48935255543384243</v>
      </c>
      <c r="M331" s="20" t="s">
        <v>104</v>
      </c>
    </row>
    <row r="332" spans="1:13" x14ac:dyDescent="0.2">
      <c r="A332" s="11" t="s">
        <v>100</v>
      </c>
      <c r="B332" s="12" t="s">
        <v>13</v>
      </c>
      <c r="C332" s="30" t="s">
        <v>94</v>
      </c>
      <c r="D332" s="14">
        <v>0</v>
      </c>
      <c r="E332" s="15" t="s">
        <v>103</v>
      </c>
      <c r="F332" s="16" t="s">
        <v>16</v>
      </c>
      <c r="G332" s="17"/>
      <c r="H332" s="18"/>
      <c r="I332" s="18"/>
      <c r="J332" s="18"/>
      <c r="K332" s="18"/>
      <c r="L332" s="19" t="str">
        <f t="shared" si="11"/>
        <v/>
      </c>
      <c r="M332" s="20" t="s">
        <v>104</v>
      </c>
    </row>
    <row r="333" spans="1:13" x14ac:dyDescent="0.2">
      <c r="A333" s="11" t="s">
        <v>100</v>
      </c>
      <c r="B333" s="12" t="s">
        <v>18</v>
      </c>
      <c r="C333" s="30" t="s">
        <v>94</v>
      </c>
      <c r="D333" s="21">
        <v>18.06250639824945</v>
      </c>
      <c r="E333" s="15" t="s">
        <v>105</v>
      </c>
      <c r="F333" s="16" t="s">
        <v>16</v>
      </c>
      <c r="G333" s="22">
        <v>1</v>
      </c>
      <c r="H333" s="23">
        <v>2</v>
      </c>
      <c r="I333" s="23">
        <v>3</v>
      </c>
      <c r="J333" s="23">
        <v>1</v>
      </c>
      <c r="K333" s="23">
        <v>2</v>
      </c>
      <c r="L333" s="24">
        <f t="shared" si="11"/>
        <v>0.48935255543384243</v>
      </c>
      <c r="M333" s="20" t="s">
        <v>104</v>
      </c>
    </row>
    <row r="334" spans="1:13" x14ac:dyDescent="0.2">
      <c r="A334" s="11" t="s">
        <v>100</v>
      </c>
      <c r="B334" s="12" t="s">
        <v>20</v>
      </c>
      <c r="C334" s="30" t="s">
        <v>94</v>
      </c>
      <c r="D334" s="14">
        <v>0</v>
      </c>
      <c r="E334" s="15" t="s">
        <v>106</v>
      </c>
      <c r="F334" s="16" t="s">
        <v>16</v>
      </c>
      <c r="G334" s="17"/>
      <c r="H334" s="18"/>
      <c r="I334" s="18"/>
      <c r="J334" s="18"/>
      <c r="K334" s="18"/>
      <c r="L334" s="19" t="str">
        <f t="shared" si="11"/>
        <v/>
      </c>
      <c r="M334" s="20" t="s">
        <v>104</v>
      </c>
    </row>
    <row r="335" spans="1:13" x14ac:dyDescent="0.2">
      <c r="A335" s="11" t="s">
        <v>100</v>
      </c>
      <c r="B335" s="12" t="s">
        <v>22</v>
      </c>
      <c r="C335" s="30" t="s">
        <v>94</v>
      </c>
      <c r="D335" s="14">
        <v>0</v>
      </c>
      <c r="E335" s="15" t="s">
        <v>107</v>
      </c>
      <c r="F335" s="16" t="s">
        <v>16</v>
      </c>
      <c r="G335" s="17"/>
      <c r="H335" s="18"/>
      <c r="I335" s="18"/>
      <c r="J335" s="18"/>
      <c r="K335" s="18"/>
      <c r="L335" s="19" t="str">
        <f t="shared" si="11"/>
        <v/>
      </c>
      <c r="M335" s="20" t="s">
        <v>104</v>
      </c>
    </row>
    <row r="336" spans="1:13" x14ac:dyDescent="0.2">
      <c r="A336" s="11" t="s">
        <v>100</v>
      </c>
      <c r="B336" s="12" t="s">
        <v>23</v>
      </c>
      <c r="C336" s="30" t="s">
        <v>94</v>
      </c>
      <c r="D336" s="14">
        <v>0</v>
      </c>
      <c r="E336" s="15" t="s">
        <v>108</v>
      </c>
      <c r="F336" s="16" t="s">
        <v>16</v>
      </c>
      <c r="G336" s="17"/>
      <c r="H336" s="18"/>
      <c r="I336" s="18"/>
      <c r="J336" s="18"/>
      <c r="K336" s="18"/>
      <c r="L336" s="19" t="str">
        <f t="shared" si="11"/>
        <v/>
      </c>
      <c r="M336" s="20" t="s">
        <v>104</v>
      </c>
    </row>
    <row r="337" spans="1:13" x14ac:dyDescent="0.2">
      <c r="A337" s="11" t="s">
        <v>100</v>
      </c>
      <c r="B337" s="12" t="s">
        <v>24</v>
      </c>
      <c r="C337" s="30" t="s">
        <v>94</v>
      </c>
      <c r="D337" s="14">
        <v>0</v>
      </c>
      <c r="E337" s="15" t="s">
        <v>109</v>
      </c>
      <c r="F337" s="16" t="s">
        <v>16</v>
      </c>
      <c r="G337" s="17"/>
      <c r="H337" s="18"/>
      <c r="I337" s="18"/>
      <c r="J337" s="18"/>
      <c r="K337" s="18"/>
      <c r="L337" s="19" t="str">
        <f t="shared" si="11"/>
        <v/>
      </c>
      <c r="M337" s="20" t="s">
        <v>104</v>
      </c>
    </row>
    <row r="338" spans="1:13" x14ac:dyDescent="0.2">
      <c r="A338" s="11" t="s">
        <v>100</v>
      </c>
      <c r="B338" s="12" t="s">
        <v>25</v>
      </c>
      <c r="C338" s="30" t="s">
        <v>94</v>
      </c>
      <c r="D338" s="14">
        <v>0</v>
      </c>
      <c r="E338" s="15" t="s">
        <v>110</v>
      </c>
      <c r="F338" s="16" t="s">
        <v>16</v>
      </c>
      <c r="G338" s="17"/>
      <c r="H338" s="18"/>
      <c r="I338" s="18"/>
      <c r="J338" s="18"/>
      <c r="K338" s="18"/>
      <c r="L338" s="19" t="str">
        <f t="shared" si="11"/>
        <v/>
      </c>
      <c r="M338" s="20" t="s">
        <v>104</v>
      </c>
    </row>
    <row r="339" spans="1:13" x14ac:dyDescent="0.2">
      <c r="A339" s="11" t="s">
        <v>100</v>
      </c>
      <c r="B339" s="12" t="s">
        <v>26</v>
      </c>
      <c r="C339" s="30" t="s">
        <v>94</v>
      </c>
      <c r="D339" s="21">
        <v>12.70093639824945</v>
      </c>
      <c r="E339" s="15" t="s">
        <v>111</v>
      </c>
      <c r="F339" s="16" t="s">
        <v>16</v>
      </c>
      <c r="G339" s="22">
        <v>1</v>
      </c>
      <c r="H339" s="23">
        <v>2</v>
      </c>
      <c r="I339" s="23">
        <v>3</v>
      </c>
      <c r="J339" s="23">
        <v>1</v>
      </c>
      <c r="K339" s="23">
        <v>2</v>
      </c>
      <c r="L339" s="24">
        <f t="shared" si="11"/>
        <v>0.48935255543384243</v>
      </c>
      <c r="M339" s="20" t="s">
        <v>104</v>
      </c>
    </row>
    <row r="340" spans="1:13" x14ac:dyDescent="0.2">
      <c r="A340" s="11" t="s">
        <v>100</v>
      </c>
      <c r="B340" s="12" t="s">
        <v>27</v>
      </c>
      <c r="C340" s="30" t="s">
        <v>94</v>
      </c>
      <c r="D340" s="21">
        <v>18.214277991247261</v>
      </c>
      <c r="E340" s="15" t="s">
        <v>112</v>
      </c>
      <c r="F340" s="16" t="s">
        <v>16</v>
      </c>
      <c r="G340" s="22">
        <v>1</v>
      </c>
      <c r="H340" s="23">
        <v>2</v>
      </c>
      <c r="I340" s="23">
        <v>3</v>
      </c>
      <c r="J340" s="23">
        <v>1</v>
      </c>
      <c r="K340" s="23">
        <v>2</v>
      </c>
      <c r="L340" s="24">
        <f t="shared" si="11"/>
        <v>0.48935255543384243</v>
      </c>
      <c r="M340" s="20" t="s">
        <v>104</v>
      </c>
    </row>
    <row r="341" spans="1:13" x14ac:dyDescent="0.2">
      <c r="A341" s="11" t="s">
        <v>100</v>
      </c>
      <c r="B341" s="12" t="s">
        <v>28</v>
      </c>
      <c r="C341" s="30" t="s">
        <v>94</v>
      </c>
      <c r="D341" s="21">
        <v>26.15385011816193</v>
      </c>
      <c r="E341" s="15" t="s">
        <v>113</v>
      </c>
      <c r="F341" s="16" t="s">
        <v>16</v>
      </c>
      <c r="G341" s="22">
        <v>1</v>
      </c>
      <c r="H341" s="23">
        <v>1</v>
      </c>
      <c r="I341" s="23">
        <v>3</v>
      </c>
      <c r="J341" s="23">
        <v>1</v>
      </c>
      <c r="K341" s="23">
        <v>2</v>
      </c>
      <c r="L341" s="24">
        <f t="shared" si="11"/>
        <v>0.47802211380704585</v>
      </c>
      <c r="M341" s="20" t="s">
        <v>104</v>
      </c>
    </row>
    <row r="342" spans="1:13" x14ac:dyDescent="0.2">
      <c r="A342" s="11" t="s">
        <v>100</v>
      </c>
      <c r="B342" s="12" t="s">
        <v>30</v>
      </c>
      <c r="C342" s="30" t="s">
        <v>94</v>
      </c>
      <c r="D342" s="21">
        <v>83.921527352297588</v>
      </c>
      <c r="E342" s="15" t="s">
        <v>114</v>
      </c>
      <c r="F342" s="16" t="s">
        <v>16</v>
      </c>
      <c r="G342" s="22">
        <v>1</v>
      </c>
      <c r="H342" s="23">
        <v>1</v>
      </c>
      <c r="I342" s="23">
        <v>3</v>
      </c>
      <c r="J342" s="23">
        <v>1</v>
      </c>
      <c r="K342" s="23">
        <v>2</v>
      </c>
      <c r="L342" s="24">
        <f t="shared" si="11"/>
        <v>0.47802211380704585</v>
      </c>
      <c r="M342" s="20" t="s">
        <v>104</v>
      </c>
    </row>
    <row r="343" spans="1:13" x14ac:dyDescent="0.2">
      <c r="A343" s="11" t="s">
        <v>100</v>
      </c>
      <c r="B343" s="12" t="s">
        <v>32</v>
      </c>
      <c r="C343" s="30" t="s">
        <v>94</v>
      </c>
      <c r="D343" s="14">
        <v>0</v>
      </c>
      <c r="E343" s="15" t="s">
        <v>115</v>
      </c>
      <c r="F343" s="16" t="s">
        <v>16</v>
      </c>
      <c r="G343" s="17"/>
      <c r="H343" s="18"/>
      <c r="I343" s="18"/>
      <c r="J343" s="18"/>
      <c r="K343" s="18"/>
      <c r="L343" s="19" t="str">
        <f t="shared" si="11"/>
        <v/>
      </c>
      <c r="M343" s="20" t="s">
        <v>104</v>
      </c>
    </row>
    <row r="344" spans="1:13" x14ac:dyDescent="0.2">
      <c r="A344" s="11" t="s">
        <v>100</v>
      </c>
      <c r="B344" s="12" t="s">
        <v>34</v>
      </c>
      <c r="C344" s="30" t="s">
        <v>94</v>
      </c>
      <c r="D344" s="21">
        <v>8.4560481400437641</v>
      </c>
      <c r="E344" s="15" t="s">
        <v>116</v>
      </c>
      <c r="F344" s="16" t="s">
        <v>16</v>
      </c>
      <c r="G344" s="22">
        <v>1</v>
      </c>
      <c r="H344" s="23">
        <v>2</v>
      </c>
      <c r="I344" s="23">
        <v>3</v>
      </c>
      <c r="J344" s="23">
        <v>1</v>
      </c>
      <c r="K344" s="23">
        <v>2</v>
      </c>
      <c r="L344" s="24">
        <f t="shared" si="11"/>
        <v>0.48935255543384243</v>
      </c>
      <c r="M344" s="20" t="s">
        <v>104</v>
      </c>
    </row>
    <row r="345" spans="1:13" x14ac:dyDescent="0.2">
      <c r="A345" s="11" t="s">
        <v>100</v>
      </c>
      <c r="B345" s="12" t="s">
        <v>36</v>
      </c>
      <c r="C345" s="30" t="s">
        <v>94</v>
      </c>
      <c r="D345" s="21">
        <v>1.052871746170678</v>
      </c>
      <c r="E345" s="15" t="s">
        <v>117</v>
      </c>
      <c r="F345" s="16" t="s">
        <v>16</v>
      </c>
      <c r="G345" s="22">
        <v>1</v>
      </c>
      <c r="H345" s="23">
        <v>2</v>
      </c>
      <c r="I345" s="23">
        <v>3</v>
      </c>
      <c r="J345" s="23">
        <v>1</v>
      </c>
      <c r="K345" s="23">
        <v>2</v>
      </c>
      <c r="L345" s="25">
        <f t="shared" si="11"/>
        <v>0.48935255543384243</v>
      </c>
      <c r="M345" s="20" t="s">
        <v>104</v>
      </c>
    </row>
    <row r="346" spans="1:13" x14ac:dyDescent="0.2">
      <c r="A346" s="11" t="s">
        <v>100</v>
      </c>
      <c r="B346" s="12" t="s">
        <v>37</v>
      </c>
      <c r="C346" s="30" t="s">
        <v>94</v>
      </c>
      <c r="D346" s="21">
        <v>11.112884026258209</v>
      </c>
      <c r="E346" s="15" t="s">
        <v>118</v>
      </c>
      <c r="F346" s="16" t="s">
        <v>16</v>
      </c>
      <c r="G346" s="22">
        <v>1</v>
      </c>
      <c r="H346" s="23">
        <v>1</v>
      </c>
      <c r="I346" s="23">
        <v>3</v>
      </c>
      <c r="J346" s="23">
        <v>1</v>
      </c>
      <c r="K346" s="23">
        <v>2</v>
      </c>
      <c r="L346" s="24">
        <f t="shared" si="11"/>
        <v>0.47802211380704585</v>
      </c>
      <c r="M346" s="20" t="s">
        <v>104</v>
      </c>
    </row>
    <row r="347" spans="1:13" x14ac:dyDescent="0.2">
      <c r="A347" s="11" t="s">
        <v>100</v>
      </c>
      <c r="B347" s="12" t="s">
        <v>39</v>
      </c>
      <c r="C347" s="30" t="s">
        <v>94</v>
      </c>
      <c r="D347" s="14">
        <v>0</v>
      </c>
      <c r="E347" s="15" t="s">
        <v>119</v>
      </c>
      <c r="F347" s="16" t="s">
        <v>16</v>
      </c>
      <c r="G347" s="17"/>
      <c r="H347" s="18"/>
      <c r="I347" s="18"/>
      <c r="J347" s="18"/>
      <c r="K347" s="18"/>
      <c r="L347" s="19" t="str">
        <f t="shared" si="11"/>
        <v/>
      </c>
      <c r="M347" s="20" t="s">
        <v>104</v>
      </c>
    </row>
    <row r="348" spans="1:13" x14ac:dyDescent="0.2">
      <c r="A348" s="11" t="s">
        <v>100</v>
      </c>
      <c r="B348" s="12" t="s">
        <v>40</v>
      </c>
      <c r="C348" s="30" t="s">
        <v>94</v>
      </c>
      <c r="D348" s="14">
        <v>0</v>
      </c>
      <c r="E348" s="15" t="s">
        <v>120</v>
      </c>
      <c r="F348" s="16" t="s">
        <v>16</v>
      </c>
      <c r="G348" s="17"/>
      <c r="H348" s="18"/>
      <c r="I348" s="18"/>
      <c r="J348" s="18"/>
      <c r="K348" s="18"/>
      <c r="L348" s="19" t="str">
        <f t="shared" si="11"/>
        <v/>
      </c>
      <c r="M348" s="20" t="s">
        <v>104</v>
      </c>
    </row>
    <row r="349" spans="1:13" x14ac:dyDescent="0.2">
      <c r="A349" s="11" t="s">
        <v>100</v>
      </c>
      <c r="B349" s="12" t="s">
        <v>41</v>
      </c>
      <c r="C349" s="30" t="s">
        <v>94</v>
      </c>
      <c r="D349" s="14">
        <v>0</v>
      </c>
      <c r="E349" s="15" t="s">
        <v>121</v>
      </c>
      <c r="F349" s="16" t="s">
        <v>16</v>
      </c>
      <c r="G349" s="17"/>
      <c r="H349" s="18"/>
      <c r="I349" s="18"/>
      <c r="J349" s="18"/>
      <c r="K349" s="18"/>
      <c r="L349" s="19" t="str">
        <f t="shared" si="11"/>
        <v/>
      </c>
      <c r="M349" s="20" t="s">
        <v>104</v>
      </c>
    </row>
    <row r="350" spans="1:13" x14ac:dyDescent="0.2">
      <c r="A350" s="11" t="s">
        <v>100</v>
      </c>
      <c r="B350" s="12" t="s">
        <v>42</v>
      </c>
      <c r="C350" s="30" t="s">
        <v>94</v>
      </c>
      <c r="D350" s="14">
        <v>0</v>
      </c>
      <c r="E350" s="15" t="s">
        <v>122</v>
      </c>
      <c r="F350" s="16" t="s">
        <v>16</v>
      </c>
      <c r="G350" s="17"/>
      <c r="H350" s="18"/>
      <c r="I350" s="18"/>
      <c r="J350" s="18"/>
      <c r="K350" s="18"/>
      <c r="L350" s="19" t="str">
        <f t="shared" si="11"/>
        <v/>
      </c>
      <c r="M350" s="20" t="s">
        <v>104</v>
      </c>
    </row>
    <row r="351" spans="1:13" x14ac:dyDescent="0.2">
      <c r="A351" s="11" t="s">
        <v>100</v>
      </c>
      <c r="B351" s="12" t="s">
        <v>43</v>
      </c>
      <c r="C351" s="30" t="s">
        <v>94</v>
      </c>
      <c r="D351" s="21">
        <v>56.771452954048137</v>
      </c>
      <c r="E351" s="15" t="s">
        <v>123</v>
      </c>
      <c r="F351" s="16" t="s">
        <v>16</v>
      </c>
      <c r="G351" s="22">
        <v>1</v>
      </c>
      <c r="H351" s="23">
        <v>1</v>
      </c>
      <c r="I351" s="23">
        <v>3</v>
      </c>
      <c r="J351" s="23">
        <v>1</v>
      </c>
      <c r="K351" s="23">
        <v>2</v>
      </c>
      <c r="L351" s="24">
        <f t="shared" si="11"/>
        <v>0.47802211380704585</v>
      </c>
      <c r="M351" s="20" t="s">
        <v>104</v>
      </c>
    </row>
    <row r="352" spans="1:13" x14ac:dyDescent="0.2">
      <c r="A352" s="11" t="s">
        <v>100</v>
      </c>
      <c r="B352" s="12" t="s">
        <v>45</v>
      </c>
      <c r="C352" s="30" t="s">
        <v>94</v>
      </c>
      <c r="D352" s="14">
        <v>0</v>
      </c>
      <c r="E352" s="15" t="s">
        <v>124</v>
      </c>
      <c r="F352" s="16" t="s">
        <v>16</v>
      </c>
      <c r="G352" s="17"/>
      <c r="H352" s="18"/>
      <c r="I352" s="18"/>
      <c r="J352" s="18"/>
      <c r="K352" s="18"/>
      <c r="L352" s="19" t="str">
        <f t="shared" si="11"/>
        <v/>
      </c>
      <c r="M352" s="20" t="s">
        <v>104</v>
      </c>
    </row>
    <row r="353" spans="1:13" x14ac:dyDescent="0.2">
      <c r="A353" s="11" t="s">
        <v>100</v>
      </c>
      <c r="B353" s="12" t="s">
        <v>46</v>
      </c>
      <c r="C353" s="30" t="s">
        <v>94</v>
      </c>
      <c r="D353" s="21">
        <v>18.489295404814001</v>
      </c>
      <c r="E353" s="15" t="s">
        <v>125</v>
      </c>
      <c r="F353" s="16" t="s">
        <v>16</v>
      </c>
      <c r="G353" s="22">
        <v>1</v>
      </c>
      <c r="H353" s="23">
        <v>1</v>
      </c>
      <c r="I353" s="23">
        <v>3</v>
      </c>
      <c r="J353" s="23">
        <v>1</v>
      </c>
      <c r="K353" s="23">
        <v>2</v>
      </c>
      <c r="L353" s="24">
        <f t="shared" si="11"/>
        <v>0.47802211380704585</v>
      </c>
      <c r="M353" s="20" t="s">
        <v>104</v>
      </c>
    </row>
    <row r="354" spans="1:13" x14ac:dyDescent="0.2">
      <c r="A354" s="11" t="s">
        <v>100</v>
      </c>
      <c r="B354" s="12" t="s">
        <v>48</v>
      </c>
      <c r="C354" s="30" t="s">
        <v>94</v>
      </c>
      <c r="D354" s="14">
        <v>0</v>
      </c>
      <c r="E354" s="15" t="s">
        <v>126</v>
      </c>
      <c r="F354" s="16" t="s">
        <v>16</v>
      </c>
      <c r="G354" s="17"/>
      <c r="H354" s="18"/>
      <c r="I354" s="18"/>
      <c r="J354" s="18"/>
      <c r="K354" s="18"/>
      <c r="L354" s="19" t="str">
        <f t="shared" si="11"/>
        <v/>
      </c>
      <c r="M354" s="20" t="s">
        <v>104</v>
      </c>
    </row>
    <row r="355" spans="1:13" x14ac:dyDescent="0.2">
      <c r="A355" s="11" t="s">
        <v>100</v>
      </c>
      <c r="B355" s="12" t="s">
        <v>50</v>
      </c>
      <c r="C355" s="30" t="s">
        <v>94</v>
      </c>
      <c r="D355" s="21">
        <v>3.2518070722100658</v>
      </c>
      <c r="E355" s="15" t="s">
        <v>127</v>
      </c>
      <c r="F355" s="16" t="s">
        <v>16</v>
      </c>
      <c r="G355" s="22">
        <v>1</v>
      </c>
      <c r="H355" s="23">
        <v>1</v>
      </c>
      <c r="I355" s="23">
        <v>3</v>
      </c>
      <c r="J355" s="23">
        <v>1</v>
      </c>
      <c r="K355" s="23">
        <v>2</v>
      </c>
      <c r="L355" s="24">
        <f t="shared" si="11"/>
        <v>0.47802211380704585</v>
      </c>
      <c r="M355" s="20" t="s">
        <v>104</v>
      </c>
    </row>
    <row r="356" spans="1:13" x14ac:dyDescent="0.2">
      <c r="A356" s="11" t="s">
        <v>100</v>
      </c>
      <c r="B356" s="12" t="s">
        <v>52</v>
      </c>
      <c r="C356" s="30" t="s">
        <v>94</v>
      </c>
      <c r="D356" s="21">
        <v>1.649797833698031</v>
      </c>
      <c r="E356" s="15" t="s">
        <v>128</v>
      </c>
      <c r="F356" s="16" t="s">
        <v>16</v>
      </c>
      <c r="G356" s="22">
        <v>1</v>
      </c>
      <c r="H356" s="23">
        <v>1</v>
      </c>
      <c r="I356" s="23">
        <v>3</v>
      </c>
      <c r="J356" s="23">
        <v>1</v>
      </c>
      <c r="K356" s="23">
        <v>2</v>
      </c>
      <c r="L356" s="24">
        <f t="shared" si="11"/>
        <v>0.47802211380704585</v>
      </c>
      <c r="M356" s="20" t="s">
        <v>104</v>
      </c>
    </row>
    <row r="357" spans="1:13" x14ac:dyDescent="0.2">
      <c r="A357" s="11" t="s">
        <v>100</v>
      </c>
      <c r="B357" s="12" t="s">
        <v>54</v>
      </c>
      <c r="C357" s="30" t="s">
        <v>94</v>
      </c>
      <c r="D357" s="14">
        <v>0</v>
      </c>
      <c r="E357" s="15" t="s">
        <v>129</v>
      </c>
      <c r="F357" s="16" t="s">
        <v>16</v>
      </c>
      <c r="G357" s="17"/>
      <c r="H357" s="18"/>
      <c r="I357" s="18"/>
      <c r="J357" s="18"/>
      <c r="K357" s="18"/>
      <c r="L357" s="19" t="str">
        <f t="shared" si="11"/>
        <v/>
      </c>
      <c r="M357" s="20" t="s">
        <v>104</v>
      </c>
    </row>
    <row r="358" spans="1:13" x14ac:dyDescent="0.2">
      <c r="A358" s="11" t="s">
        <v>100</v>
      </c>
      <c r="B358" s="12" t="s">
        <v>55</v>
      </c>
      <c r="C358" s="30" t="s">
        <v>94</v>
      </c>
      <c r="D358" s="21">
        <v>0.42919912472647698</v>
      </c>
      <c r="E358" s="15" t="s">
        <v>130</v>
      </c>
      <c r="F358" s="16" t="s">
        <v>16</v>
      </c>
      <c r="G358" s="22">
        <v>1</v>
      </c>
      <c r="H358" s="23">
        <v>1</v>
      </c>
      <c r="I358" s="23">
        <v>3</v>
      </c>
      <c r="J358" s="23">
        <v>1</v>
      </c>
      <c r="K358" s="23">
        <v>2</v>
      </c>
      <c r="L358" s="24">
        <f t="shared" si="11"/>
        <v>0.47802211380704585</v>
      </c>
      <c r="M358" s="20" t="s">
        <v>104</v>
      </c>
    </row>
    <row r="359" spans="1:13" x14ac:dyDescent="0.2">
      <c r="A359" s="11" t="s">
        <v>100</v>
      </c>
      <c r="B359" s="12" t="s">
        <v>57</v>
      </c>
      <c r="C359" s="30" t="s">
        <v>94</v>
      </c>
      <c r="D359" s="14">
        <v>0</v>
      </c>
      <c r="E359" s="15" t="s">
        <v>129</v>
      </c>
      <c r="F359" s="16" t="s">
        <v>16</v>
      </c>
      <c r="G359" s="17"/>
      <c r="H359" s="18"/>
      <c r="I359" s="18"/>
      <c r="J359" s="18"/>
      <c r="K359" s="18"/>
      <c r="L359" s="19" t="str">
        <f>IF( OR( ISBLANK(G359),ISBLANK(H359), ISBLANK(I359), ISBLANK(J359), ISBLANK(K359) ), "", 1.5*SQRT(   EXP(2.21*(G359-1)) + EXP(2.21*(H359-1)) + EXP(2.21*(I359-1)) + EXP(2.21*(J359-1)) + EXP(2.21*K359)   )/100*2.45 )</f>
        <v/>
      </c>
      <c r="M359" s="20" t="s">
        <v>104</v>
      </c>
    </row>
    <row r="360" spans="1:13" x14ac:dyDescent="0.2">
      <c r="A360" s="11" t="s">
        <v>100</v>
      </c>
      <c r="B360" s="12" t="s">
        <v>59</v>
      </c>
      <c r="C360" s="30" t="s">
        <v>94</v>
      </c>
      <c r="D360" s="14">
        <v>0</v>
      </c>
      <c r="E360" s="15"/>
      <c r="F360" s="16" t="s">
        <v>16</v>
      </c>
      <c r="G360" s="17"/>
      <c r="H360" s="18"/>
      <c r="I360" s="18"/>
      <c r="J360" s="18"/>
      <c r="K360" s="18"/>
      <c r="L360" s="19" t="str">
        <f t="shared" ref="L360:L391" si="12">IF( OR( ISBLANK(G360),ISBLANK(H360), ISBLANK(I360), ISBLANK(J360), ISBLANK(K360) ), "", 1.5*SQRT( EXP(2.21*(G360-1)) + EXP(2.21*(H360-1)) + EXP(2.21*(I360-1)) + EXP(2.21*(J360-1)) + EXP(2.21*K360) )/100*2.45 )</f>
        <v/>
      </c>
      <c r="M360" s="20" t="s">
        <v>104</v>
      </c>
    </row>
    <row r="361" spans="1:13" x14ac:dyDescent="0.2">
      <c r="A361" s="11" t="s">
        <v>100</v>
      </c>
      <c r="B361" s="12" t="s">
        <v>60</v>
      </c>
      <c r="C361" s="30" t="s">
        <v>94</v>
      </c>
      <c r="D361" s="21">
        <v>2.9826231422319478</v>
      </c>
      <c r="E361" s="15" t="s">
        <v>101</v>
      </c>
      <c r="F361" s="16" t="s">
        <v>16</v>
      </c>
      <c r="G361" s="22">
        <v>1</v>
      </c>
      <c r="H361" s="23">
        <v>2</v>
      </c>
      <c r="I361" s="23">
        <v>3</v>
      </c>
      <c r="J361" s="23">
        <v>1</v>
      </c>
      <c r="K361" s="23">
        <v>2</v>
      </c>
      <c r="L361" s="24">
        <f t="shared" si="12"/>
        <v>0.48935255543384243</v>
      </c>
      <c r="M361" s="20" t="s">
        <v>104</v>
      </c>
    </row>
    <row r="362" spans="1:13" x14ac:dyDescent="0.2">
      <c r="A362" s="11" t="s">
        <v>100</v>
      </c>
      <c r="B362" s="12" t="s">
        <v>13</v>
      </c>
      <c r="C362" s="31" t="s">
        <v>96</v>
      </c>
      <c r="D362" s="14">
        <v>0</v>
      </c>
      <c r="E362" s="15" t="s">
        <v>103</v>
      </c>
      <c r="F362" s="16" t="s">
        <v>16</v>
      </c>
      <c r="G362" s="17"/>
      <c r="H362" s="18"/>
      <c r="I362" s="18"/>
      <c r="J362" s="18"/>
      <c r="K362" s="18"/>
      <c r="L362" s="19" t="str">
        <f t="shared" si="12"/>
        <v/>
      </c>
      <c r="M362" s="20" t="s">
        <v>104</v>
      </c>
    </row>
    <row r="363" spans="1:13" x14ac:dyDescent="0.2">
      <c r="A363" s="11" t="s">
        <v>100</v>
      </c>
      <c r="B363" s="12" t="s">
        <v>18</v>
      </c>
      <c r="C363" s="31" t="s">
        <v>96</v>
      </c>
      <c r="D363" s="14">
        <v>0</v>
      </c>
      <c r="E363" s="15" t="s">
        <v>105</v>
      </c>
      <c r="F363" s="16" t="s">
        <v>16</v>
      </c>
      <c r="G363" s="17"/>
      <c r="H363" s="18"/>
      <c r="I363" s="18"/>
      <c r="J363" s="18"/>
      <c r="K363" s="18"/>
      <c r="L363" s="19" t="str">
        <f t="shared" si="12"/>
        <v/>
      </c>
      <c r="M363" s="20" t="s">
        <v>104</v>
      </c>
    </row>
    <row r="364" spans="1:13" x14ac:dyDescent="0.2">
      <c r="A364" s="11" t="s">
        <v>100</v>
      </c>
      <c r="B364" s="12" t="s">
        <v>20</v>
      </c>
      <c r="C364" s="31" t="s">
        <v>96</v>
      </c>
      <c r="D364" s="21">
        <v>1.4436728008752731</v>
      </c>
      <c r="E364" s="15" t="s">
        <v>106</v>
      </c>
      <c r="F364" s="16" t="s">
        <v>16</v>
      </c>
      <c r="G364" s="22">
        <v>1</v>
      </c>
      <c r="H364" s="23">
        <v>1</v>
      </c>
      <c r="I364" s="23">
        <v>3</v>
      </c>
      <c r="J364" s="23">
        <v>1</v>
      </c>
      <c r="K364" s="23">
        <v>2</v>
      </c>
      <c r="L364" s="25">
        <f t="shared" si="12"/>
        <v>0.47802211380704585</v>
      </c>
      <c r="M364" s="20" t="s">
        <v>104</v>
      </c>
    </row>
    <row r="365" spans="1:13" x14ac:dyDescent="0.2">
      <c r="A365" s="11" t="s">
        <v>100</v>
      </c>
      <c r="B365" s="12" t="s">
        <v>22</v>
      </c>
      <c r="C365" s="31" t="s">
        <v>96</v>
      </c>
      <c r="D365" s="21">
        <v>0.1709439824945295</v>
      </c>
      <c r="E365" s="15" t="s">
        <v>107</v>
      </c>
      <c r="F365" s="16" t="s">
        <v>16</v>
      </c>
      <c r="G365" s="22">
        <v>1</v>
      </c>
      <c r="H365" s="23">
        <v>1</v>
      </c>
      <c r="I365" s="23">
        <v>3</v>
      </c>
      <c r="J365" s="23">
        <v>1</v>
      </c>
      <c r="K365" s="23">
        <v>2</v>
      </c>
      <c r="L365" s="25">
        <f t="shared" si="12"/>
        <v>0.47802211380704585</v>
      </c>
      <c r="M365" s="20" t="s">
        <v>104</v>
      </c>
    </row>
    <row r="366" spans="1:13" x14ac:dyDescent="0.2">
      <c r="A366" s="11" t="s">
        <v>100</v>
      </c>
      <c r="B366" s="12" t="s">
        <v>23</v>
      </c>
      <c r="C366" s="31" t="s">
        <v>96</v>
      </c>
      <c r="D366" s="14">
        <v>0</v>
      </c>
      <c r="E366" s="15" t="s">
        <v>108</v>
      </c>
      <c r="F366" s="16" t="s">
        <v>16</v>
      </c>
      <c r="G366" s="17"/>
      <c r="H366" s="18"/>
      <c r="I366" s="18"/>
      <c r="J366" s="18"/>
      <c r="K366" s="18"/>
      <c r="L366" s="19" t="str">
        <f t="shared" si="12"/>
        <v/>
      </c>
      <c r="M366" s="20" t="s">
        <v>104</v>
      </c>
    </row>
    <row r="367" spans="1:13" x14ac:dyDescent="0.2">
      <c r="A367" s="11" t="s">
        <v>100</v>
      </c>
      <c r="B367" s="12" t="s">
        <v>24</v>
      </c>
      <c r="C367" s="31" t="s">
        <v>96</v>
      </c>
      <c r="D367" s="14">
        <v>0</v>
      </c>
      <c r="E367" s="15" t="s">
        <v>109</v>
      </c>
      <c r="F367" s="16" t="s">
        <v>16</v>
      </c>
      <c r="G367" s="17"/>
      <c r="H367" s="18"/>
      <c r="I367" s="18"/>
      <c r="J367" s="18"/>
      <c r="K367" s="18"/>
      <c r="L367" s="19" t="str">
        <f t="shared" si="12"/>
        <v/>
      </c>
      <c r="M367" s="20" t="s">
        <v>104</v>
      </c>
    </row>
    <row r="368" spans="1:13" x14ac:dyDescent="0.2">
      <c r="A368" s="11" t="s">
        <v>100</v>
      </c>
      <c r="B368" s="12" t="s">
        <v>25</v>
      </c>
      <c r="C368" s="31" t="s">
        <v>96</v>
      </c>
      <c r="D368" s="21">
        <v>7.8375492341356667E-3</v>
      </c>
      <c r="E368" s="15" t="s">
        <v>110</v>
      </c>
      <c r="F368" s="16" t="s">
        <v>16</v>
      </c>
      <c r="G368" s="22">
        <v>1</v>
      </c>
      <c r="H368" s="23">
        <v>2</v>
      </c>
      <c r="I368" s="23">
        <v>3</v>
      </c>
      <c r="J368" s="23">
        <v>1</v>
      </c>
      <c r="K368" s="23">
        <v>2</v>
      </c>
      <c r="L368" s="25">
        <f t="shared" si="12"/>
        <v>0.48935255543384243</v>
      </c>
      <c r="M368" s="20" t="s">
        <v>104</v>
      </c>
    </row>
    <row r="369" spans="1:13" x14ac:dyDescent="0.2">
      <c r="A369" s="11" t="s">
        <v>100</v>
      </c>
      <c r="B369" s="12" t="s">
        <v>26</v>
      </c>
      <c r="C369" s="31" t="s">
        <v>96</v>
      </c>
      <c r="D369" s="21">
        <v>1.0098380743982489E-3</v>
      </c>
      <c r="E369" s="15" t="s">
        <v>111</v>
      </c>
      <c r="F369" s="16" t="s">
        <v>16</v>
      </c>
      <c r="G369" s="22">
        <v>1</v>
      </c>
      <c r="H369" s="23">
        <v>2</v>
      </c>
      <c r="I369" s="23">
        <v>3</v>
      </c>
      <c r="J369" s="23">
        <v>1</v>
      </c>
      <c r="K369" s="23">
        <v>2</v>
      </c>
      <c r="L369" s="24">
        <f t="shared" si="12"/>
        <v>0.48935255543384243</v>
      </c>
      <c r="M369" s="20" t="s">
        <v>104</v>
      </c>
    </row>
    <row r="370" spans="1:13" x14ac:dyDescent="0.2">
      <c r="A370" s="11" t="s">
        <v>100</v>
      </c>
      <c r="B370" s="12" t="s">
        <v>27</v>
      </c>
      <c r="C370" s="31" t="s">
        <v>96</v>
      </c>
      <c r="D370" s="21">
        <v>1.5181609190371989E-2</v>
      </c>
      <c r="E370" s="15" t="s">
        <v>112</v>
      </c>
      <c r="F370" s="16" t="s">
        <v>16</v>
      </c>
      <c r="G370" s="22">
        <v>1</v>
      </c>
      <c r="H370" s="23">
        <v>2</v>
      </c>
      <c r="I370" s="23">
        <v>3</v>
      </c>
      <c r="J370" s="23">
        <v>1</v>
      </c>
      <c r="K370" s="23">
        <v>2</v>
      </c>
      <c r="L370" s="24">
        <f t="shared" si="12"/>
        <v>0.48935255543384243</v>
      </c>
      <c r="M370" s="20" t="s">
        <v>104</v>
      </c>
    </row>
    <row r="371" spans="1:13" x14ac:dyDescent="0.2">
      <c r="A371" s="11" t="s">
        <v>100</v>
      </c>
      <c r="B371" s="12" t="s">
        <v>28</v>
      </c>
      <c r="C371" s="31" t="s">
        <v>96</v>
      </c>
      <c r="D371" s="21">
        <v>214.31858916586441</v>
      </c>
      <c r="E371" s="15" t="s">
        <v>113</v>
      </c>
      <c r="F371" s="16" t="s">
        <v>16</v>
      </c>
      <c r="G371" s="22">
        <v>1</v>
      </c>
      <c r="H371" s="23">
        <v>1</v>
      </c>
      <c r="I371" s="23">
        <v>3</v>
      </c>
      <c r="J371" s="23">
        <v>1</v>
      </c>
      <c r="K371" s="23">
        <v>3</v>
      </c>
      <c r="L371" s="24">
        <f t="shared" si="12"/>
        <v>1.0673825127299523</v>
      </c>
      <c r="M371" s="20" t="s">
        <v>104</v>
      </c>
    </row>
    <row r="372" spans="1:13" x14ac:dyDescent="0.2">
      <c r="A372" s="11" t="s">
        <v>100</v>
      </c>
      <c r="B372" s="12" t="s">
        <v>30</v>
      </c>
      <c r="C372" s="31" t="s">
        <v>96</v>
      </c>
      <c r="D372" s="21">
        <v>279.34762363238508</v>
      </c>
      <c r="E372" s="15" t="s">
        <v>114</v>
      </c>
      <c r="F372" s="16" t="s">
        <v>16</v>
      </c>
      <c r="G372" s="22">
        <v>1</v>
      </c>
      <c r="H372" s="23">
        <v>1</v>
      </c>
      <c r="I372" s="23">
        <v>3</v>
      </c>
      <c r="J372" s="23">
        <v>1</v>
      </c>
      <c r="K372" s="23">
        <v>2</v>
      </c>
      <c r="L372" s="24">
        <f t="shared" si="12"/>
        <v>0.47802211380704585</v>
      </c>
      <c r="M372" s="20" t="s">
        <v>104</v>
      </c>
    </row>
    <row r="373" spans="1:13" x14ac:dyDescent="0.2">
      <c r="A373" s="11" t="s">
        <v>100</v>
      </c>
      <c r="B373" s="12" t="s">
        <v>32</v>
      </c>
      <c r="C373" s="31" t="s">
        <v>96</v>
      </c>
      <c r="D373" s="21">
        <v>0.85719100131291015</v>
      </c>
      <c r="E373" s="15" t="s">
        <v>115</v>
      </c>
      <c r="F373" s="16" t="s">
        <v>16</v>
      </c>
      <c r="G373" s="22">
        <v>1</v>
      </c>
      <c r="H373" s="23">
        <v>2</v>
      </c>
      <c r="I373" s="23">
        <v>3</v>
      </c>
      <c r="J373" s="23">
        <v>1</v>
      </c>
      <c r="K373" s="23">
        <v>2</v>
      </c>
      <c r="L373" s="25">
        <f t="shared" si="12"/>
        <v>0.48935255543384243</v>
      </c>
      <c r="M373" s="20" t="s">
        <v>104</v>
      </c>
    </row>
    <row r="374" spans="1:13" x14ac:dyDescent="0.2">
      <c r="A374" s="11" t="s">
        <v>100</v>
      </c>
      <c r="B374" s="12" t="s">
        <v>34</v>
      </c>
      <c r="C374" s="31" t="s">
        <v>96</v>
      </c>
      <c r="D374" s="21">
        <v>56.879039824945288</v>
      </c>
      <c r="E374" s="15" t="s">
        <v>116</v>
      </c>
      <c r="F374" s="16" t="s">
        <v>16</v>
      </c>
      <c r="G374" s="22">
        <v>1</v>
      </c>
      <c r="H374" s="23">
        <v>2</v>
      </c>
      <c r="I374" s="23">
        <v>3</v>
      </c>
      <c r="J374" s="23">
        <v>1</v>
      </c>
      <c r="K374" s="23">
        <v>2</v>
      </c>
      <c r="L374" s="24">
        <f t="shared" si="12"/>
        <v>0.48935255543384243</v>
      </c>
      <c r="M374" s="20" t="s">
        <v>104</v>
      </c>
    </row>
    <row r="375" spans="1:13" x14ac:dyDescent="0.2">
      <c r="A375" s="11" t="s">
        <v>100</v>
      </c>
      <c r="B375" s="12" t="s">
        <v>36</v>
      </c>
      <c r="C375" s="31" t="s">
        <v>96</v>
      </c>
      <c r="D375" s="21">
        <v>20.794841137855581</v>
      </c>
      <c r="E375" s="15" t="s">
        <v>117</v>
      </c>
      <c r="F375" s="16" t="s">
        <v>16</v>
      </c>
      <c r="G375" s="22">
        <v>1</v>
      </c>
      <c r="H375" s="23">
        <v>2</v>
      </c>
      <c r="I375" s="23">
        <v>3</v>
      </c>
      <c r="J375" s="23">
        <v>1</v>
      </c>
      <c r="K375" s="23">
        <v>2</v>
      </c>
      <c r="L375" s="25">
        <f t="shared" si="12"/>
        <v>0.48935255543384243</v>
      </c>
      <c r="M375" s="20" t="s">
        <v>104</v>
      </c>
    </row>
    <row r="376" spans="1:13" x14ac:dyDescent="0.2">
      <c r="A376" s="11" t="s">
        <v>100</v>
      </c>
      <c r="B376" s="12" t="s">
        <v>37</v>
      </c>
      <c r="C376" s="31" t="s">
        <v>96</v>
      </c>
      <c r="D376" s="21">
        <v>32.734202625820572</v>
      </c>
      <c r="E376" s="15" t="s">
        <v>118</v>
      </c>
      <c r="F376" s="16" t="s">
        <v>16</v>
      </c>
      <c r="G376" s="22">
        <v>1</v>
      </c>
      <c r="H376" s="23">
        <v>2</v>
      </c>
      <c r="I376" s="23">
        <v>3</v>
      </c>
      <c r="J376" s="23">
        <v>1</v>
      </c>
      <c r="K376" s="23">
        <v>2</v>
      </c>
      <c r="L376" s="24">
        <f t="shared" si="12"/>
        <v>0.48935255543384243</v>
      </c>
      <c r="M376" s="20" t="s">
        <v>104</v>
      </c>
    </row>
    <row r="377" spans="1:13" x14ac:dyDescent="0.2">
      <c r="A377" s="11" t="s">
        <v>100</v>
      </c>
      <c r="B377" s="12" t="s">
        <v>39</v>
      </c>
      <c r="C377" s="31" t="s">
        <v>96</v>
      </c>
      <c r="D377" s="14">
        <v>0</v>
      </c>
      <c r="E377" s="15" t="s">
        <v>119</v>
      </c>
      <c r="F377" s="16" t="s">
        <v>16</v>
      </c>
      <c r="G377" s="17"/>
      <c r="H377" s="18"/>
      <c r="I377" s="18"/>
      <c r="J377" s="18"/>
      <c r="K377" s="18"/>
      <c r="L377" s="19" t="str">
        <f t="shared" si="12"/>
        <v/>
      </c>
      <c r="M377" s="20" t="s">
        <v>104</v>
      </c>
    </row>
    <row r="378" spans="1:13" x14ac:dyDescent="0.2">
      <c r="A378" s="11" t="s">
        <v>100</v>
      </c>
      <c r="B378" s="12" t="s">
        <v>40</v>
      </c>
      <c r="C378" s="31" t="s">
        <v>96</v>
      </c>
      <c r="D378" s="21">
        <v>1.0526864835886209</v>
      </c>
      <c r="E378" s="15" t="s">
        <v>120</v>
      </c>
      <c r="F378" s="16" t="s">
        <v>16</v>
      </c>
      <c r="G378" s="22">
        <v>1</v>
      </c>
      <c r="H378" s="23">
        <v>1</v>
      </c>
      <c r="I378" s="23">
        <v>3</v>
      </c>
      <c r="J378" s="23">
        <v>1</v>
      </c>
      <c r="K378" s="23">
        <v>2</v>
      </c>
      <c r="L378" s="25">
        <f t="shared" si="12"/>
        <v>0.47802211380704585</v>
      </c>
      <c r="M378" s="20" t="s">
        <v>104</v>
      </c>
    </row>
    <row r="379" spans="1:13" x14ac:dyDescent="0.2">
      <c r="A379" s="11" t="s">
        <v>100</v>
      </c>
      <c r="B379" s="12" t="s">
        <v>41</v>
      </c>
      <c r="C379" s="31" t="s">
        <v>96</v>
      </c>
      <c r="D379" s="14">
        <v>0</v>
      </c>
      <c r="E379" s="15" t="s">
        <v>121</v>
      </c>
      <c r="F379" s="16" t="s">
        <v>16</v>
      </c>
      <c r="G379" s="17"/>
      <c r="H379" s="18"/>
      <c r="I379" s="18"/>
      <c r="J379" s="18"/>
      <c r="K379" s="18"/>
      <c r="L379" s="19" t="str">
        <f t="shared" si="12"/>
        <v/>
      </c>
      <c r="M379" s="20" t="s">
        <v>104</v>
      </c>
    </row>
    <row r="380" spans="1:13" x14ac:dyDescent="0.2">
      <c r="A380" s="11" t="s">
        <v>100</v>
      </c>
      <c r="B380" s="12" t="s">
        <v>42</v>
      </c>
      <c r="C380" s="31" t="s">
        <v>96</v>
      </c>
      <c r="D380" s="14">
        <v>0</v>
      </c>
      <c r="E380" s="15" t="s">
        <v>122</v>
      </c>
      <c r="F380" s="16" t="s">
        <v>16</v>
      </c>
      <c r="G380" s="17"/>
      <c r="H380" s="18"/>
      <c r="I380" s="18"/>
      <c r="J380" s="18"/>
      <c r="K380" s="18"/>
      <c r="L380" s="19" t="str">
        <f t="shared" si="12"/>
        <v/>
      </c>
      <c r="M380" s="20" t="s">
        <v>104</v>
      </c>
    </row>
    <row r="381" spans="1:13" x14ac:dyDescent="0.2">
      <c r="A381" s="11" t="s">
        <v>100</v>
      </c>
      <c r="B381" s="12" t="s">
        <v>43</v>
      </c>
      <c r="C381" s="31" t="s">
        <v>96</v>
      </c>
      <c r="D381" s="14">
        <v>0</v>
      </c>
      <c r="E381" s="15" t="s">
        <v>123</v>
      </c>
      <c r="F381" s="16" t="s">
        <v>16</v>
      </c>
      <c r="G381" s="17"/>
      <c r="H381" s="18"/>
      <c r="I381" s="18"/>
      <c r="J381" s="18"/>
      <c r="K381" s="18"/>
      <c r="L381" s="19" t="str">
        <f t="shared" si="12"/>
        <v/>
      </c>
      <c r="M381" s="20" t="s">
        <v>104</v>
      </c>
    </row>
    <row r="382" spans="1:13" x14ac:dyDescent="0.2">
      <c r="A382" s="11" t="s">
        <v>100</v>
      </c>
      <c r="B382" s="12" t="s">
        <v>45</v>
      </c>
      <c r="C382" s="31" t="s">
        <v>96</v>
      </c>
      <c r="D382" s="14">
        <v>0</v>
      </c>
      <c r="E382" s="15" t="s">
        <v>124</v>
      </c>
      <c r="F382" s="16" t="s">
        <v>16</v>
      </c>
      <c r="G382" s="17"/>
      <c r="H382" s="18"/>
      <c r="I382" s="18"/>
      <c r="J382" s="18"/>
      <c r="K382" s="18"/>
      <c r="L382" s="19" t="str">
        <f t="shared" si="12"/>
        <v/>
      </c>
      <c r="M382" s="20" t="s">
        <v>104</v>
      </c>
    </row>
    <row r="383" spans="1:13" x14ac:dyDescent="0.2">
      <c r="A383" s="11" t="s">
        <v>100</v>
      </c>
      <c r="B383" s="12" t="s">
        <v>46</v>
      </c>
      <c r="C383" s="31" t="s">
        <v>96</v>
      </c>
      <c r="D383" s="21">
        <v>40.674938722100663</v>
      </c>
      <c r="E383" s="15" t="s">
        <v>125</v>
      </c>
      <c r="F383" s="16" t="s">
        <v>16</v>
      </c>
      <c r="G383" s="22">
        <v>1</v>
      </c>
      <c r="H383" s="23">
        <v>2</v>
      </c>
      <c r="I383" s="23">
        <v>3</v>
      </c>
      <c r="J383" s="23">
        <v>1</v>
      </c>
      <c r="K383" s="23">
        <v>2</v>
      </c>
      <c r="L383" s="24">
        <f t="shared" si="12"/>
        <v>0.48935255543384243</v>
      </c>
      <c r="M383" s="20" t="s">
        <v>104</v>
      </c>
    </row>
    <row r="384" spans="1:13" x14ac:dyDescent="0.2">
      <c r="A384" s="11" t="s">
        <v>100</v>
      </c>
      <c r="B384" s="12" t="s">
        <v>48</v>
      </c>
      <c r="C384" s="31" t="s">
        <v>96</v>
      </c>
      <c r="D384" s="21">
        <v>43.544104026695848</v>
      </c>
      <c r="E384" s="15" t="s">
        <v>126</v>
      </c>
      <c r="F384" s="16" t="s">
        <v>16</v>
      </c>
      <c r="G384" s="22">
        <v>1</v>
      </c>
      <c r="H384" s="23">
        <v>1</v>
      </c>
      <c r="I384" s="23">
        <v>3</v>
      </c>
      <c r="J384" s="23">
        <v>1</v>
      </c>
      <c r="K384" s="23">
        <v>2</v>
      </c>
      <c r="L384" s="25">
        <f t="shared" si="12"/>
        <v>0.47802211380704585</v>
      </c>
      <c r="M384" s="20" t="s">
        <v>104</v>
      </c>
    </row>
    <row r="385" spans="1:13" x14ac:dyDescent="0.2">
      <c r="A385" s="11" t="s">
        <v>100</v>
      </c>
      <c r="B385" s="12" t="s">
        <v>50</v>
      </c>
      <c r="C385" s="31" t="s">
        <v>96</v>
      </c>
      <c r="D385" s="21">
        <v>4.2273033851203499</v>
      </c>
      <c r="E385" s="15" t="s">
        <v>127</v>
      </c>
      <c r="F385" s="16" t="s">
        <v>16</v>
      </c>
      <c r="G385" s="22">
        <v>1</v>
      </c>
      <c r="H385" s="23">
        <v>1</v>
      </c>
      <c r="I385" s="23">
        <v>3</v>
      </c>
      <c r="J385" s="23">
        <v>1</v>
      </c>
      <c r="K385" s="23">
        <v>2</v>
      </c>
      <c r="L385" s="24">
        <f t="shared" si="12"/>
        <v>0.47802211380704585</v>
      </c>
      <c r="M385" s="20" t="s">
        <v>104</v>
      </c>
    </row>
    <row r="386" spans="1:13" x14ac:dyDescent="0.2">
      <c r="A386" s="11" t="s">
        <v>100</v>
      </c>
      <c r="B386" s="12" t="s">
        <v>52</v>
      </c>
      <c r="C386" s="31" t="s">
        <v>96</v>
      </c>
      <c r="D386" s="21">
        <v>4.5333185391684898</v>
      </c>
      <c r="E386" s="15" t="s">
        <v>128</v>
      </c>
      <c r="F386" s="16" t="s">
        <v>16</v>
      </c>
      <c r="G386" s="22">
        <v>1</v>
      </c>
      <c r="H386" s="23">
        <v>2</v>
      </c>
      <c r="I386" s="23">
        <v>3</v>
      </c>
      <c r="J386" s="23">
        <v>1</v>
      </c>
      <c r="K386" s="23">
        <v>2</v>
      </c>
      <c r="L386" s="24">
        <f t="shared" si="12"/>
        <v>0.48935255543384243</v>
      </c>
      <c r="M386" s="20" t="s">
        <v>104</v>
      </c>
    </row>
    <row r="387" spans="1:13" x14ac:dyDescent="0.2">
      <c r="A387" s="11" t="s">
        <v>100</v>
      </c>
      <c r="B387" s="12" t="s">
        <v>54</v>
      </c>
      <c r="C387" s="31" t="s">
        <v>96</v>
      </c>
      <c r="D387" s="14">
        <v>0</v>
      </c>
      <c r="E387" s="15" t="s">
        <v>129</v>
      </c>
      <c r="F387" s="16" t="s">
        <v>16</v>
      </c>
      <c r="G387" s="17"/>
      <c r="H387" s="18"/>
      <c r="I387" s="18"/>
      <c r="J387" s="18"/>
      <c r="K387" s="18"/>
      <c r="L387" s="19" t="str">
        <f t="shared" si="12"/>
        <v/>
      </c>
      <c r="M387" s="20" t="s">
        <v>104</v>
      </c>
    </row>
    <row r="388" spans="1:13" x14ac:dyDescent="0.2">
      <c r="A388" s="11" t="s">
        <v>100</v>
      </c>
      <c r="B388" s="12" t="s">
        <v>55</v>
      </c>
      <c r="C388" s="31" t="s">
        <v>96</v>
      </c>
      <c r="D388" s="21">
        <v>100.008420131291</v>
      </c>
      <c r="E388" s="15" t="s">
        <v>130</v>
      </c>
      <c r="F388" s="16" t="s">
        <v>16</v>
      </c>
      <c r="G388" s="22">
        <v>1</v>
      </c>
      <c r="H388" s="23">
        <v>1</v>
      </c>
      <c r="I388" s="23">
        <v>3</v>
      </c>
      <c r="J388" s="23">
        <v>1</v>
      </c>
      <c r="K388" s="23">
        <v>2</v>
      </c>
      <c r="L388" s="24">
        <f t="shared" si="12"/>
        <v>0.47802211380704585</v>
      </c>
      <c r="M388" s="20" t="s">
        <v>104</v>
      </c>
    </row>
    <row r="389" spans="1:13" x14ac:dyDescent="0.2">
      <c r="A389" s="11" t="s">
        <v>100</v>
      </c>
      <c r="B389" s="12" t="s">
        <v>57</v>
      </c>
      <c r="C389" s="31" t="s">
        <v>96</v>
      </c>
      <c r="D389" s="21">
        <v>41.195543982494527</v>
      </c>
      <c r="E389" s="15" t="s">
        <v>131</v>
      </c>
      <c r="F389" s="16" t="s">
        <v>16</v>
      </c>
      <c r="G389" s="22">
        <v>1</v>
      </c>
      <c r="H389" s="23">
        <v>1</v>
      </c>
      <c r="I389" s="23">
        <v>3</v>
      </c>
      <c r="J389" s="23">
        <v>1</v>
      </c>
      <c r="K389" s="23">
        <v>2</v>
      </c>
      <c r="L389" s="24">
        <f t="shared" si="12"/>
        <v>0.47802211380704585</v>
      </c>
      <c r="M389" s="20" t="s">
        <v>104</v>
      </c>
    </row>
    <row r="390" spans="1:13" x14ac:dyDescent="0.2">
      <c r="A390" s="11" t="s">
        <v>100</v>
      </c>
      <c r="B390" s="12" t="s">
        <v>59</v>
      </c>
      <c r="C390" s="31" t="s">
        <v>96</v>
      </c>
      <c r="D390" s="14">
        <v>0</v>
      </c>
      <c r="E390" s="15"/>
      <c r="F390" s="16" t="s">
        <v>16</v>
      </c>
      <c r="G390" s="17"/>
      <c r="H390" s="18"/>
      <c r="I390" s="18"/>
      <c r="J390" s="18"/>
      <c r="K390" s="18"/>
      <c r="L390" s="19" t="str">
        <f t="shared" si="12"/>
        <v/>
      </c>
      <c r="M390" s="20" t="s">
        <v>104</v>
      </c>
    </row>
    <row r="391" spans="1:13" x14ac:dyDescent="0.2">
      <c r="A391" s="11" t="s">
        <v>100</v>
      </c>
      <c r="B391" s="12" t="s">
        <v>60</v>
      </c>
      <c r="C391" s="31" t="s">
        <v>96</v>
      </c>
      <c r="D391" s="21">
        <v>24.966524425382929</v>
      </c>
      <c r="E391" s="15" t="s">
        <v>101</v>
      </c>
      <c r="F391" s="16" t="s">
        <v>16</v>
      </c>
      <c r="G391" s="22">
        <v>1</v>
      </c>
      <c r="H391" s="23">
        <v>2</v>
      </c>
      <c r="I391" s="23">
        <v>3</v>
      </c>
      <c r="J391" s="23">
        <v>1</v>
      </c>
      <c r="K391" s="23">
        <v>2</v>
      </c>
      <c r="L391" s="24">
        <f t="shared" si="12"/>
        <v>0.48935255543384243</v>
      </c>
      <c r="M391" s="20" t="s">
        <v>104</v>
      </c>
    </row>
    <row r="392" spans="1:13" x14ac:dyDescent="0.2">
      <c r="A392" s="11" t="s">
        <v>100</v>
      </c>
      <c r="B392" s="12" t="s">
        <v>13</v>
      </c>
      <c r="C392" s="32" t="s">
        <v>98</v>
      </c>
      <c r="D392" s="14">
        <v>0</v>
      </c>
      <c r="E392" s="15" t="s">
        <v>103</v>
      </c>
      <c r="F392" s="16" t="s">
        <v>16</v>
      </c>
      <c r="G392" s="17"/>
      <c r="H392" s="18"/>
      <c r="I392" s="18"/>
      <c r="J392" s="18"/>
      <c r="K392" s="18"/>
      <c r="L392" s="19" t="str">
        <f t="shared" ref="L392:L421" si="13">IF( OR( ISBLANK(G392),ISBLANK(H392), ISBLANK(I392), ISBLANK(J392), ISBLANK(K392) ), "", 1.5*SQRT( EXP(2.21*(G392-1)) + EXP(2.21*(H392-1)) + EXP(2.21*(I392-1)) + EXP(2.21*(J392-1)) + EXP(2.21*K392) )/100*2.45 )</f>
        <v/>
      </c>
      <c r="M392" s="20" t="s">
        <v>104</v>
      </c>
    </row>
    <row r="393" spans="1:13" x14ac:dyDescent="0.2">
      <c r="A393" s="11" t="s">
        <v>100</v>
      </c>
      <c r="B393" s="12" t="s">
        <v>18</v>
      </c>
      <c r="C393" s="32" t="s">
        <v>98</v>
      </c>
      <c r="D393" s="14">
        <v>0</v>
      </c>
      <c r="E393" s="15" t="s">
        <v>105</v>
      </c>
      <c r="F393" s="16" t="s">
        <v>16</v>
      </c>
      <c r="G393" s="17"/>
      <c r="H393" s="18"/>
      <c r="I393" s="18"/>
      <c r="J393" s="18"/>
      <c r="K393" s="18"/>
      <c r="L393" s="19" t="str">
        <f t="shared" si="13"/>
        <v/>
      </c>
      <c r="M393" s="20" t="s">
        <v>104</v>
      </c>
    </row>
    <row r="394" spans="1:13" x14ac:dyDescent="0.2">
      <c r="A394" s="11" t="s">
        <v>100</v>
      </c>
      <c r="B394" s="12" t="s">
        <v>20</v>
      </c>
      <c r="C394" s="32" t="s">
        <v>98</v>
      </c>
      <c r="D394" s="14">
        <v>0</v>
      </c>
      <c r="E394" s="15" t="s">
        <v>106</v>
      </c>
      <c r="F394" s="16" t="s">
        <v>16</v>
      </c>
      <c r="G394" s="17"/>
      <c r="H394" s="18"/>
      <c r="I394" s="18"/>
      <c r="J394" s="18"/>
      <c r="K394" s="18"/>
      <c r="L394" s="19" t="str">
        <f t="shared" si="13"/>
        <v/>
      </c>
      <c r="M394" s="20" t="s">
        <v>104</v>
      </c>
    </row>
    <row r="395" spans="1:13" x14ac:dyDescent="0.2">
      <c r="A395" s="11" t="s">
        <v>100</v>
      </c>
      <c r="B395" s="12" t="s">
        <v>22</v>
      </c>
      <c r="C395" s="32" t="s">
        <v>98</v>
      </c>
      <c r="D395" s="21">
        <v>2.5393085339168491</v>
      </c>
      <c r="E395" s="15" t="s">
        <v>107</v>
      </c>
      <c r="F395" s="16" t="s">
        <v>16</v>
      </c>
      <c r="G395" s="22">
        <v>1</v>
      </c>
      <c r="H395" s="23">
        <v>1</v>
      </c>
      <c r="I395" s="23">
        <v>3</v>
      </c>
      <c r="J395" s="23">
        <v>1</v>
      </c>
      <c r="K395" s="23">
        <v>2</v>
      </c>
      <c r="L395" s="25">
        <f t="shared" si="13"/>
        <v>0.47802211380704585</v>
      </c>
      <c r="M395" s="20" t="s">
        <v>104</v>
      </c>
    </row>
    <row r="396" spans="1:13" x14ac:dyDescent="0.2">
      <c r="A396" s="11" t="s">
        <v>100</v>
      </c>
      <c r="B396" s="12" t="s">
        <v>23</v>
      </c>
      <c r="C396" s="32" t="s">
        <v>98</v>
      </c>
      <c r="D396" s="14">
        <v>0</v>
      </c>
      <c r="E396" s="15" t="s">
        <v>108</v>
      </c>
      <c r="F396" s="16" t="s">
        <v>16</v>
      </c>
      <c r="G396" s="17"/>
      <c r="H396" s="18"/>
      <c r="I396" s="18"/>
      <c r="J396" s="18"/>
      <c r="K396" s="18"/>
      <c r="L396" s="19" t="str">
        <f t="shared" si="13"/>
        <v/>
      </c>
      <c r="M396" s="20" t="s">
        <v>104</v>
      </c>
    </row>
    <row r="397" spans="1:13" x14ac:dyDescent="0.2">
      <c r="A397" s="11" t="s">
        <v>100</v>
      </c>
      <c r="B397" s="12" t="s">
        <v>24</v>
      </c>
      <c r="C397" s="32" t="s">
        <v>98</v>
      </c>
      <c r="D397" s="21">
        <v>0.11035010940919041</v>
      </c>
      <c r="E397" s="15" t="s">
        <v>109</v>
      </c>
      <c r="F397" s="16" t="s">
        <v>16</v>
      </c>
      <c r="G397" s="22">
        <v>1</v>
      </c>
      <c r="H397" s="23">
        <v>1</v>
      </c>
      <c r="I397" s="23">
        <v>3</v>
      </c>
      <c r="J397" s="23">
        <v>1</v>
      </c>
      <c r="K397" s="23">
        <v>2</v>
      </c>
      <c r="L397" s="25">
        <f t="shared" si="13"/>
        <v>0.47802211380704585</v>
      </c>
      <c r="M397" s="20" t="s">
        <v>104</v>
      </c>
    </row>
    <row r="398" spans="1:13" x14ac:dyDescent="0.2">
      <c r="A398" s="11" t="s">
        <v>100</v>
      </c>
      <c r="B398" s="12" t="s">
        <v>25</v>
      </c>
      <c r="C398" s="32" t="s">
        <v>98</v>
      </c>
      <c r="D398" s="14">
        <v>0</v>
      </c>
      <c r="E398" s="15" t="s">
        <v>110</v>
      </c>
      <c r="F398" s="16" t="s">
        <v>16</v>
      </c>
      <c r="G398" s="17"/>
      <c r="H398" s="18"/>
      <c r="I398" s="18"/>
      <c r="J398" s="18"/>
      <c r="K398" s="18"/>
      <c r="L398" s="19" t="str">
        <f t="shared" si="13"/>
        <v/>
      </c>
      <c r="M398" s="20" t="s">
        <v>104</v>
      </c>
    </row>
    <row r="399" spans="1:13" x14ac:dyDescent="0.2">
      <c r="A399" s="11" t="s">
        <v>100</v>
      </c>
      <c r="B399" s="12" t="s">
        <v>26</v>
      </c>
      <c r="C399" s="32" t="s">
        <v>98</v>
      </c>
      <c r="D399" s="14">
        <v>0</v>
      </c>
      <c r="E399" s="15" t="s">
        <v>111</v>
      </c>
      <c r="F399" s="16" t="s">
        <v>16</v>
      </c>
      <c r="G399" s="17"/>
      <c r="H399" s="18"/>
      <c r="I399" s="18"/>
      <c r="J399" s="18"/>
      <c r="K399" s="18"/>
      <c r="L399" s="19" t="str">
        <f t="shared" si="13"/>
        <v/>
      </c>
      <c r="M399" s="20" t="s">
        <v>104</v>
      </c>
    </row>
    <row r="400" spans="1:13" x14ac:dyDescent="0.2">
      <c r="A400" s="11" t="s">
        <v>100</v>
      </c>
      <c r="B400" s="12" t="s">
        <v>27</v>
      </c>
      <c r="C400" s="32" t="s">
        <v>98</v>
      </c>
      <c r="D400" s="14">
        <v>0</v>
      </c>
      <c r="E400" s="15" t="s">
        <v>112</v>
      </c>
      <c r="F400" s="16" t="s">
        <v>16</v>
      </c>
      <c r="G400" s="17"/>
      <c r="H400" s="18"/>
      <c r="I400" s="18"/>
      <c r="J400" s="18"/>
      <c r="K400" s="18"/>
      <c r="L400" s="19" t="str">
        <f t="shared" si="13"/>
        <v/>
      </c>
      <c r="M400" s="20" t="s">
        <v>104</v>
      </c>
    </row>
    <row r="401" spans="1:13" x14ac:dyDescent="0.2">
      <c r="A401" s="11" t="s">
        <v>100</v>
      </c>
      <c r="B401" s="12" t="s">
        <v>28</v>
      </c>
      <c r="C401" s="32" t="s">
        <v>98</v>
      </c>
      <c r="D401" s="14">
        <v>0</v>
      </c>
      <c r="E401" s="15" t="s">
        <v>113</v>
      </c>
      <c r="F401" s="16" t="s">
        <v>16</v>
      </c>
      <c r="G401" s="17"/>
      <c r="H401" s="18"/>
      <c r="I401" s="18"/>
      <c r="J401" s="18"/>
      <c r="K401" s="18"/>
      <c r="L401" s="19" t="str">
        <f t="shared" si="13"/>
        <v/>
      </c>
      <c r="M401" s="20" t="s">
        <v>104</v>
      </c>
    </row>
    <row r="402" spans="1:13" x14ac:dyDescent="0.2">
      <c r="A402" s="11" t="s">
        <v>100</v>
      </c>
      <c r="B402" s="12" t="s">
        <v>30</v>
      </c>
      <c r="C402" s="32" t="s">
        <v>98</v>
      </c>
      <c r="D402" s="21">
        <v>95.444411378555785</v>
      </c>
      <c r="E402" s="15" t="s">
        <v>114</v>
      </c>
      <c r="F402" s="16" t="s">
        <v>16</v>
      </c>
      <c r="G402" s="22">
        <v>1</v>
      </c>
      <c r="H402" s="23">
        <v>2</v>
      </c>
      <c r="I402" s="23">
        <v>3</v>
      </c>
      <c r="J402" s="23">
        <v>1</v>
      </c>
      <c r="K402" s="23">
        <v>2</v>
      </c>
      <c r="L402" s="24">
        <f t="shared" si="13"/>
        <v>0.48935255543384243</v>
      </c>
      <c r="M402" s="20" t="s">
        <v>104</v>
      </c>
    </row>
    <row r="403" spans="1:13" x14ac:dyDescent="0.2">
      <c r="A403" s="11" t="s">
        <v>100</v>
      </c>
      <c r="B403" s="12" t="s">
        <v>32</v>
      </c>
      <c r="C403" s="32" t="s">
        <v>98</v>
      </c>
      <c r="D403" s="14">
        <v>0</v>
      </c>
      <c r="E403" s="15" t="s">
        <v>115</v>
      </c>
      <c r="F403" s="16" t="s">
        <v>16</v>
      </c>
      <c r="G403" s="17"/>
      <c r="H403" s="18"/>
      <c r="I403" s="18"/>
      <c r="J403" s="18"/>
      <c r="K403" s="18"/>
      <c r="L403" s="19" t="str">
        <f t="shared" si="13"/>
        <v/>
      </c>
      <c r="M403" s="20" t="s">
        <v>104</v>
      </c>
    </row>
    <row r="404" spans="1:13" x14ac:dyDescent="0.2">
      <c r="A404" s="11" t="s">
        <v>100</v>
      </c>
      <c r="B404" s="12" t="s">
        <v>34</v>
      </c>
      <c r="C404" s="32" t="s">
        <v>98</v>
      </c>
      <c r="D404" s="14">
        <v>0</v>
      </c>
      <c r="E404" s="15" t="s">
        <v>116</v>
      </c>
      <c r="F404" s="16" t="s">
        <v>16</v>
      </c>
      <c r="G404" s="17"/>
      <c r="H404" s="18"/>
      <c r="I404" s="18"/>
      <c r="J404" s="18"/>
      <c r="K404" s="18"/>
      <c r="L404" s="19" t="str">
        <f t="shared" si="13"/>
        <v/>
      </c>
      <c r="M404" s="20" t="s">
        <v>104</v>
      </c>
    </row>
    <row r="405" spans="1:13" x14ac:dyDescent="0.2">
      <c r="A405" s="11" t="s">
        <v>100</v>
      </c>
      <c r="B405" s="12" t="s">
        <v>36</v>
      </c>
      <c r="C405" s="32" t="s">
        <v>98</v>
      </c>
      <c r="D405" s="21">
        <v>45.156879649890591</v>
      </c>
      <c r="E405" s="15" t="s">
        <v>117</v>
      </c>
      <c r="F405" s="16" t="s">
        <v>16</v>
      </c>
      <c r="G405" s="22">
        <v>1</v>
      </c>
      <c r="H405" s="23">
        <v>2</v>
      </c>
      <c r="I405" s="23">
        <v>3</v>
      </c>
      <c r="J405" s="23">
        <v>1</v>
      </c>
      <c r="K405" s="23">
        <v>2</v>
      </c>
      <c r="L405" s="25">
        <f t="shared" si="13"/>
        <v>0.48935255543384243</v>
      </c>
      <c r="M405" s="20" t="s">
        <v>104</v>
      </c>
    </row>
    <row r="406" spans="1:13" x14ac:dyDescent="0.2">
      <c r="A406" s="11" t="s">
        <v>100</v>
      </c>
      <c r="B406" s="12" t="s">
        <v>37</v>
      </c>
      <c r="C406" s="32" t="s">
        <v>98</v>
      </c>
      <c r="D406" s="21">
        <v>37.005326039387313</v>
      </c>
      <c r="E406" s="15" t="s">
        <v>118</v>
      </c>
      <c r="F406" s="16" t="s">
        <v>16</v>
      </c>
      <c r="G406" s="22">
        <v>1</v>
      </c>
      <c r="H406" s="23">
        <v>2</v>
      </c>
      <c r="I406" s="23">
        <v>3</v>
      </c>
      <c r="J406" s="23">
        <v>1</v>
      </c>
      <c r="K406" s="23">
        <v>2</v>
      </c>
      <c r="L406" s="24">
        <f t="shared" si="13"/>
        <v>0.48935255543384243</v>
      </c>
      <c r="M406" s="20" t="s">
        <v>104</v>
      </c>
    </row>
    <row r="407" spans="1:13" x14ac:dyDescent="0.2">
      <c r="A407" s="11" t="s">
        <v>100</v>
      </c>
      <c r="B407" s="12" t="s">
        <v>39</v>
      </c>
      <c r="C407" s="32" t="s">
        <v>98</v>
      </c>
      <c r="D407" s="14">
        <v>0</v>
      </c>
      <c r="E407" s="15" t="s">
        <v>119</v>
      </c>
      <c r="F407" s="16" t="s">
        <v>16</v>
      </c>
      <c r="G407" s="17"/>
      <c r="H407" s="18"/>
      <c r="I407" s="18"/>
      <c r="J407" s="18"/>
      <c r="K407" s="18"/>
      <c r="L407" s="19" t="str">
        <f t="shared" si="13"/>
        <v/>
      </c>
      <c r="M407" s="20" t="s">
        <v>104</v>
      </c>
    </row>
    <row r="408" spans="1:13" x14ac:dyDescent="0.2">
      <c r="A408" s="11" t="s">
        <v>100</v>
      </c>
      <c r="B408" s="12" t="s">
        <v>40</v>
      </c>
      <c r="C408" s="32" t="s">
        <v>98</v>
      </c>
      <c r="D408" s="21">
        <v>120.9491274266958</v>
      </c>
      <c r="E408" s="15" t="s">
        <v>120</v>
      </c>
      <c r="F408" s="16" t="s">
        <v>16</v>
      </c>
      <c r="G408" s="22">
        <v>1</v>
      </c>
      <c r="H408" s="23">
        <v>2</v>
      </c>
      <c r="I408" s="23">
        <v>3</v>
      </c>
      <c r="J408" s="23">
        <v>1</v>
      </c>
      <c r="K408" s="23">
        <v>2</v>
      </c>
      <c r="L408" s="25">
        <f t="shared" si="13"/>
        <v>0.48935255543384243</v>
      </c>
      <c r="M408" s="20" t="s">
        <v>104</v>
      </c>
    </row>
    <row r="409" spans="1:13" x14ac:dyDescent="0.2">
      <c r="A409" s="11" t="s">
        <v>100</v>
      </c>
      <c r="B409" s="12" t="s">
        <v>41</v>
      </c>
      <c r="C409" s="32" t="s">
        <v>98</v>
      </c>
      <c r="D409" s="14">
        <v>0</v>
      </c>
      <c r="E409" s="15" t="s">
        <v>121</v>
      </c>
      <c r="F409" s="16" t="s">
        <v>16</v>
      </c>
      <c r="G409" s="17"/>
      <c r="H409" s="18"/>
      <c r="I409" s="18"/>
      <c r="J409" s="18"/>
      <c r="K409" s="18"/>
      <c r="L409" s="19" t="str">
        <f t="shared" si="13"/>
        <v/>
      </c>
      <c r="M409" s="20" t="s">
        <v>104</v>
      </c>
    </row>
    <row r="410" spans="1:13" x14ac:dyDescent="0.2">
      <c r="A410" s="11" t="s">
        <v>100</v>
      </c>
      <c r="B410" s="12" t="s">
        <v>42</v>
      </c>
      <c r="C410" s="32" t="s">
        <v>98</v>
      </c>
      <c r="D410" s="14">
        <v>0</v>
      </c>
      <c r="E410" s="15" t="s">
        <v>122</v>
      </c>
      <c r="F410" s="16" t="s">
        <v>16</v>
      </c>
      <c r="G410" s="17"/>
      <c r="H410" s="18"/>
      <c r="I410" s="18"/>
      <c r="J410" s="18"/>
      <c r="K410" s="18"/>
      <c r="L410" s="19" t="str">
        <f t="shared" si="13"/>
        <v/>
      </c>
      <c r="M410" s="20" t="s">
        <v>104</v>
      </c>
    </row>
    <row r="411" spans="1:13" x14ac:dyDescent="0.2">
      <c r="A411" s="11" t="s">
        <v>100</v>
      </c>
      <c r="B411" s="12" t="s">
        <v>43</v>
      </c>
      <c r="C411" s="32" t="s">
        <v>98</v>
      </c>
      <c r="D411" s="14">
        <v>0</v>
      </c>
      <c r="E411" s="15" t="s">
        <v>123</v>
      </c>
      <c r="F411" s="16" t="s">
        <v>16</v>
      </c>
      <c r="G411" s="17"/>
      <c r="H411" s="18"/>
      <c r="I411" s="18"/>
      <c r="J411" s="18"/>
      <c r="K411" s="18"/>
      <c r="L411" s="19" t="str">
        <f t="shared" si="13"/>
        <v/>
      </c>
      <c r="M411" s="20" t="s">
        <v>104</v>
      </c>
    </row>
    <row r="412" spans="1:13" x14ac:dyDescent="0.2">
      <c r="A412" s="11" t="s">
        <v>100</v>
      </c>
      <c r="B412" s="12" t="s">
        <v>45</v>
      </c>
      <c r="C412" s="32" t="s">
        <v>98</v>
      </c>
      <c r="D412" s="14">
        <v>0</v>
      </c>
      <c r="E412" s="15" t="s">
        <v>124</v>
      </c>
      <c r="F412" s="16" t="s">
        <v>16</v>
      </c>
      <c r="G412" s="17"/>
      <c r="H412" s="18"/>
      <c r="I412" s="18"/>
      <c r="J412" s="18"/>
      <c r="K412" s="18"/>
      <c r="L412" s="19" t="str">
        <f t="shared" si="13"/>
        <v/>
      </c>
      <c r="M412" s="20" t="s">
        <v>104</v>
      </c>
    </row>
    <row r="413" spans="1:13" x14ac:dyDescent="0.2">
      <c r="A413" s="11" t="s">
        <v>100</v>
      </c>
      <c r="B413" s="12" t="s">
        <v>46</v>
      </c>
      <c r="C413" s="32" t="s">
        <v>98</v>
      </c>
      <c r="D413" s="21">
        <v>39.283071978118159</v>
      </c>
      <c r="E413" s="15" t="s">
        <v>125</v>
      </c>
      <c r="F413" s="16" t="s">
        <v>16</v>
      </c>
      <c r="G413" s="22">
        <v>1</v>
      </c>
      <c r="H413" s="23">
        <v>2</v>
      </c>
      <c r="I413" s="23">
        <v>3</v>
      </c>
      <c r="J413" s="23">
        <v>1</v>
      </c>
      <c r="K413" s="23">
        <v>2</v>
      </c>
      <c r="L413" s="24">
        <f t="shared" si="13"/>
        <v>0.48935255543384243</v>
      </c>
      <c r="M413" s="20" t="s">
        <v>104</v>
      </c>
    </row>
    <row r="414" spans="1:13" x14ac:dyDescent="0.2">
      <c r="A414" s="11" t="s">
        <v>100</v>
      </c>
      <c r="B414" s="12" t="s">
        <v>48</v>
      </c>
      <c r="C414" s="32" t="s">
        <v>98</v>
      </c>
      <c r="D414" s="21">
        <v>2.013575492341357E-3</v>
      </c>
      <c r="E414" s="15" t="s">
        <v>126</v>
      </c>
      <c r="F414" s="16" t="s">
        <v>16</v>
      </c>
      <c r="G414" s="22">
        <v>1</v>
      </c>
      <c r="H414" s="23">
        <v>2</v>
      </c>
      <c r="I414" s="23">
        <v>3</v>
      </c>
      <c r="J414" s="23">
        <v>1</v>
      </c>
      <c r="K414" s="23">
        <v>2</v>
      </c>
      <c r="L414" s="25">
        <f t="shared" si="13"/>
        <v>0.48935255543384243</v>
      </c>
      <c r="M414" s="20" t="s">
        <v>104</v>
      </c>
    </row>
    <row r="415" spans="1:13" x14ac:dyDescent="0.2">
      <c r="A415" s="11" t="s">
        <v>100</v>
      </c>
      <c r="B415" s="12" t="s">
        <v>50</v>
      </c>
      <c r="C415" s="32" t="s">
        <v>98</v>
      </c>
      <c r="D415" s="14">
        <v>0</v>
      </c>
      <c r="E415" s="15" t="s">
        <v>127</v>
      </c>
      <c r="F415" s="16" t="s">
        <v>16</v>
      </c>
      <c r="G415" s="17"/>
      <c r="H415" s="18"/>
      <c r="I415" s="18"/>
      <c r="J415" s="18"/>
      <c r="K415" s="18"/>
      <c r="L415" s="19" t="str">
        <f t="shared" si="13"/>
        <v/>
      </c>
      <c r="M415" s="20" t="s">
        <v>104</v>
      </c>
    </row>
    <row r="416" spans="1:13" x14ac:dyDescent="0.2">
      <c r="A416" s="11" t="s">
        <v>100</v>
      </c>
      <c r="B416" s="12" t="s">
        <v>52</v>
      </c>
      <c r="C416" s="32" t="s">
        <v>98</v>
      </c>
      <c r="D416" s="14">
        <v>0</v>
      </c>
      <c r="E416" s="15" t="s">
        <v>128</v>
      </c>
      <c r="F416" s="16" t="s">
        <v>16</v>
      </c>
      <c r="G416" s="17"/>
      <c r="H416" s="18"/>
      <c r="I416" s="18"/>
      <c r="J416" s="18"/>
      <c r="K416" s="18"/>
      <c r="L416" s="19" t="str">
        <f t="shared" si="13"/>
        <v/>
      </c>
      <c r="M416" s="20" t="s">
        <v>104</v>
      </c>
    </row>
    <row r="417" spans="1:13" x14ac:dyDescent="0.2">
      <c r="A417" s="11" t="s">
        <v>100</v>
      </c>
      <c r="B417" s="12" t="s">
        <v>54</v>
      </c>
      <c r="C417" s="32" t="s">
        <v>98</v>
      </c>
      <c r="D417" s="14">
        <v>0</v>
      </c>
      <c r="E417" s="15" t="s">
        <v>129</v>
      </c>
      <c r="F417" s="16" t="s">
        <v>16</v>
      </c>
      <c r="G417" s="17"/>
      <c r="H417" s="18"/>
      <c r="I417" s="18"/>
      <c r="J417" s="18"/>
      <c r="K417" s="18"/>
      <c r="L417" s="19" t="str">
        <f t="shared" si="13"/>
        <v/>
      </c>
      <c r="M417" s="20" t="s">
        <v>104</v>
      </c>
    </row>
    <row r="418" spans="1:13" x14ac:dyDescent="0.2">
      <c r="A418" s="11" t="s">
        <v>100</v>
      </c>
      <c r="B418" s="12" t="s">
        <v>55</v>
      </c>
      <c r="C418" s="32" t="s">
        <v>98</v>
      </c>
      <c r="D418" s="21">
        <v>107.7894485776805</v>
      </c>
      <c r="E418" s="15" t="s">
        <v>130</v>
      </c>
      <c r="F418" s="16" t="s">
        <v>16</v>
      </c>
      <c r="G418" s="22">
        <v>1</v>
      </c>
      <c r="H418" s="23">
        <v>2</v>
      </c>
      <c r="I418" s="23">
        <v>3</v>
      </c>
      <c r="J418" s="23">
        <v>1</v>
      </c>
      <c r="K418" s="23">
        <v>2</v>
      </c>
      <c r="L418" s="24">
        <f t="shared" si="13"/>
        <v>0.48935255543384243</v>
      </c>
      <c r="M418" s="20" t="s">
        <v>104</v>
      </c>
    </row>
    <row r="419" spans="1:13" x14ac:dyDescent="0.2">
      <c r="A419" s="11" t="s">
        <v>100</v>
      </c>
      <c r="B419" s="12" t="s">
        <v>57</v>
      </c>
      <c r="C419" s="32" t="s">
        <v>98</v>
      </c>
      <c r="D419" s="14">
        <v>0</v>
      </c>
      <c r="E419" s="15" t="s">
        <v>131</v>
      </c>
      <c r="F419" s="16" t="s">
        <v>16</v>
      </c>
      <c r="G419" s="17"/>
      <c r="H419" s="18"/>
      <c r="I419" s="18"/>
      <c r="J419" s="18"/>
      <c r="K419" s="18"/>
      <c r="L419" s="19" t="str">
        <f t="shared" si="13"/>
        <v/>
      </c>
      <c r="M419" s="20" t="s">
        <v>104</v>
      </c>
    </row>
    <row r="420" spans="1:13" x14ac:dyDescent="0.2">
      <c r="A420" s="11" t="s">
        <v>100</v>
      </c>
      <c r="B420" s="12" t="s">
        <v>59</v>
      </c>
      <c r="C420" s="32" t="s">
        <v>98</v>
      </c>
      <c r="D420" s="14">
        <v>0</v>
      </c>
      <c r="E420" s="15"/>
      <c r="F420" s="16" t="s">
        <v>16</v>
      </c>
      <c r="G420" s="17"/>
      <c r="H420" s="18"/>
      <c r="I420" s="18"/>
      <c r="J420" s="18"/>
      <c r="K420" s="18"/>
      <c r="L420" s="19" t="str">
        <f t="shared" si="13"/>
        <v/>
      </c>
      <c r="M420" s="20" t="s">
        <v>104</v>
      </c>
    </row>
    <row r="421" spans="1:13" x14ac:dyDescent="0.2">
      <c r="A421" s="33" t="s">
        <v>100</v>
      </c>
      <c r="B421" s="34" t="s">
        <v>60</v>
      </c>
      <c r="C421" s="35" t="s">
        <v>98</v>
      </c>
      <c r="D421" s="36">
        <v>11.558826043763681</v>
      </c>
      <c r="E421" s="37" t="s">
        <v>130</v>
      </c>
      <c r="F421" s="38" t="s">
        <v>16</v>
      </c>
      <c r="G421" s="39">
        <v>1</v>
      </c>
      <c r="H421" s="40">
        <v>2</v>
      </c>
      <c r="I421" s="40">
        <v>3</v>
      </c>
      <c r="J421" s="40">
        <v>1</v>
      </c>
      <c r="K421" s="40">
        <v>2</v>
      </c>
      <c r="L421" s="41">
        <f t="shared" si="13"/>
        <v>0.48935255543384243</v>
      </c>
      <c r="M421" s="42" t="s">
        <v>104</v>
      </c>
    </row>
    <row r="422" spans="1:13" x14ac:dyDescent="0.2">
      <c r="A422" s="43" t="s">
        <v>132</v>
      </c>
      <c r="B422" s="12" t="s">
        <v>13</v>
      </c>
      <c r="C422" s="13" t="s">
        <v>14</v>
      </c>
      <c r="D422" s="44">
        <v>4.2146152466600324E-3</v>
      </c>
      <c r="E422" s="15" t="s">
        <v>133</v>
      </c>
      <c r="F422" s="16" t="s">
        <v>16</v>
      </c>
      <c r="G422" s="22">
        <v>1</v>
      </c>
      <c r="H422" s="23">
        <v>1</v>
      </c>
      <c r="I422" s="23">
        <v>1</v>
      </c>
      <c r="J422" s="23">
        <v>2</v>
      </c>
      <c r="K422" s="23">
        <v>3</v>
      </c>
      <c r="L422" s="25">
        <f>IF( OR( ISBLANK(G422),ISBLANK(H422), ISBLANK(I422), ISBLANK(J422), ISBLANK(K422) ), "", 1.5*SQRT(   EXP(2.21*(G422-1)) + EXP(2.21*(H422-1)) + EXP(2.21*(I422-1)) + EXP(2.21*(J422-1)) + EXP(2.21*K422)   )/100*2.45 )</f>
        <v>1.0195048044558224</v>
      </c>
      <c r="M422" s="20" t="s">
        <v>134</v>
      </c>
    </row>
    <row r="423" spans="1:13" x14ac:dyDescent="0.2">
      <c r="A423" s="43" t="s">
        <v>132</v>
      </c>
      <c r="B423" s="12" t="s">
        <v>18</v>
      </c>
      <c r="C423" s="13" t="s">
        <v>14</v>
      </c>
      <c r="D423" s="18">
        <v>0</v>
      </c>
      <c r="E423" s="15" t="s">
        <v>133</v>
      </c>
      <c r="F423" s="16"/>
      <c r="G423" s="17"/>
      <c r="H423" s="18"/>
      <c r="I423" s="18"/>
      <c r="J423" s="18"/>
      <c r="K423" s="18"/>
      <c r="L423" s="19" t="str">
        <f>IF( OR( ISBLANK(G423),ISBLANK(H423), ISBLANK(I423), ISBLANK(J423), ISBLANK(K423) ), "", 1.5*SQRT( EXP(2.21*(G423-1)) + EXP(2.21*(H423-1)) + EXP(2.21*(I423-1)) + EXP(2.21*(J423-1)) + EXP(2.21*K423) )/100*2.45 )</f>
        <v/>
      </c>
      <c r="M423" s="20" t="s">
        <v>134</v>
      </c>
    </row>
    <row r="424" spans="1:13" x14ac:dyDescent="0.2">
      <c r="A424" s="43" t="s">
        <v>132</v>
      </c>
      <c r="B424" s="12" t="s">
        <v>20</v>
      </c>
      <c r="C424" s="13" t="s">
        <v>14</v>
      </c>
      <c r="D424" s="26">
        <v>7.2880849308361167E-3</v>
      </c>
      <c r="E424" s="15" t="s">
        <v>133</v>
      </c>
      <c r="F424" s="16"/>
      <c r="G424" s="22">
        <v>1</v>
      </c>
      <c r="H424" s="23">
        <v>1</v>
      </c>
      <c r="I424" s="23">
        <v>1</v>
      </c>
      <c r="J424" s="23">
        <v>2</v>
      </c>
      <c r="K424" s="23">
        <v>3</v>
      </c>
      <c r="L424" s="25">
        <f>IF( OR( ISBLANK(G424),ISBLANK(H424), ISBLANK(I424), ISBLANK(J424), ISBLANK(K424) ), "", 1.5*SQRT(   EXP(2.21*(G424-1)) + EXP(2.21*(H424-1)) + EXP(2.21*(I424-1)) + EXP(2.21*(J424-1)) + EXP(2.21*K424)   )/100*2.45 )</f>
        <v>1.0195048044558224</v>
      </c>
      <c r="M424" s="20" t="s">
        <v>134</v>
      </c>
    </row>
    <row r="425" spans="1:13" x14ac:dyDescent="0.2">
      <c r="A425" s="43" t="s">
        <v>132</v>
      </c>
      <c r="B425" s="12" t="s">
        <v>22</v>
      </c>
      <c r="C425" s="13" t="s">
        <v>14</v>
      </c>
      <c r="D425" s="44">
        <v>0.187189499454532</v>
      </c>
      <c r="E425" s="15" t="s">
        <v>133</v>
      </c>
      <c r="F425" s="16" t="s">
        <v>16</v>
      </c>
      <c r="G425" s="22">
        <v>1</v>
      </c>
      <c r="H425" s="23">
        <v>1</v>
      </c>
      <c r="I425" s="23">
        <v>1</v>
      </c>
      <c r="J425" s="23">
        <v>2</v>
      </c>
      <c r="K425" s="23">
        <v>3</v>
      </c>
      <c r="L425" s="25">
        <f t="shared" ref="L425:L430" si="14">IF( OR( ISBLANK(G425),ISBLANK(H425), ISBLANK(I425), ISBLANK(J425), ISBLANK(K425) ), "", 1.5*SQRT( EXP(2.21*(G425-1)) + EXP(2.21*(H425-1)) + EXP(2.21*(I425-1)) + EXP(2.21*(J425-1)) + EXP(2.21*K425) )/100*2.45 )</f>
        <v>1.0195048044558224</v>
      </c>
      <c r="M425" s="20" t="s">
        <v>134</v>
      </c>
    </row>
    <row r="426" spans="1:13" x14ac:dyDescent="0.2">
      <c r="A426" s="43" t="s">
        <v>132</v>
      </c>
      <c r="B426" s="12" t="s">
        <v>23</v>
      </c>
      <c r="C426" s="13" t="s">
        <v>14</v>
      </c>
      <c r="D426" s="44">
        <v>8.6813840725338612E-3</v>
      </c>
      <c r="E426" s="15" t="s">
        <v>133</v>
      </c>
      <c r="F426" s="16" t="s">
        <v>16</v>
      </c>
      <c r="G426" s="22">
        <v>1</v>
      </c>
      <c r="H426" s="23">
        <v>1</v>
      </c>
      <c r="I426" s="23">
        <v>1</v>
      </c>
      <c r="J426" s="23">
        <v>2</v>
      </c>
      <c r="K426" s="23">
        <v>3</v>
      </c>
      <c r="L426" s="25">
        <f t="shared" si="14"/>
        <v>1.0195048044558224</v>
      </c>
      <c r="M426" s="20" t="s">
        <v>134</v>
      </c>
    </row>
    <row r="427" spans="1:13" x14ac:dyDescent="0.2">
      <c r="A427" s="43" t="s">
        <v>132</v>
      </c>
      <c r="B427" s="12" t="s">
        <v>24</v>
      </c>
      <c r="C427" s="13" t="s">
        <v>14</v>
      </c>
      <c r="D427" s="26">
        <v>1.6493151608150531E-2</v>
      </c>
      <c r="E427" s="15" t="s">
        <v>133</v>
      </c>
      <c r="F427" s="16"/>
      <c r="G427" s="22">
        <v>1</v>
      </c>
      <c r="H427" s="23">
        <v>1</v>
      </c>
      <c r="I427" s="23">
        <v>1</v>
      </c>
      <c r="J427" s="23">
        <v>2</v>
      </c>
      <c r="K427" s="23">
        <v>3</v>
      </c>
      <c r="L427" s="19">
        <f t="shared" si="14"/>
        <v>1.0195048044558224</v>
      </c>
      <c r="M427" s="20" t="s">
        <v>134</v>
      </c>
    </row>
    <row r="428" spans="1:13" x14ac:dyDescent="0.2">
      <c r="A428" s="43" t="s">
        <v>132</v>
      </c>
      <c r="B428" s="12" t="s">
        <v>25</v>
      </c>
      <c r="C428" s="13" t="s">
        <v>14</v>
      </c>
      <c r="D428" s="44">
        <v>1.778546344413223</v>
      </c>
      <c r="E428" s="15" t="s">
        <v>133</v>
      </c>
      <c r="F428" s="16" t="s">
        <v>16</v>
      </c>
      <c r="G428" s="22">
        <v>1</v>
      </c>
      <c r="H428" s="23">
        <v>1</v>
      </c>
      <c r="I428" s="23">
        <v>1</v>
      </c>
      <c r="J428" s="23">
        <v>2</v>
      </c>
      <c r="K428" s="23">
        <v>3</v>
      </c>
      <c r="L428" s="25">
        <f t="shared" si="14"/>
        <v>1.0195048044558224</v>
      </c>
      <c r="M428" s="20" t="s">
        <v>134</v>
      </c>
    </row>
    <row r="429" spans="1:13" x14ac:dyDescent="0.2">
      <c r="A429" s="43" t="s">
        <v>132</v>
      </c>
      <c r="B429" s="12" t="s">
        <v>26</v>
      </c>
      <c r="C429" s="13" t="s">
        <v>14</v>
      </c>
      <c r="D429" s="26">
        <v>0.17772499278408921</v>
      </c>
      <c r="E429" s="15" t="s">
        <v>133</v>
      </c>
      <c r="F429" s="16"/>
      <c r="G429" s="22">
        <v>1</v>
      </c>
      <c r="H429" s="23">
        <v>1</v>
      </c>
      <c r="I429" s="23">
        <v>1</v>
      </c>
      <c r="J429" s="23">
        <v>2</v>
      </c>
      <c r="K429" s="23">
        <v>3</v>
      </c>
      <c r="L429" s="19">
        <f t="shared" si="14"/>
        <v>1.0195048044558224</v>
      </c>
      <c r="M429" s="20" t="s">
        <v>134</v>
      </c>
    </row>
    <row r="430" spans="1:13" x14ac:dyDescent="0.2">
      <c r="A430" s="43" t="s">
        <v>132</v>
      </c>
      <c r="B430" s="12" t="s">
        <v>27</v>
      </c>
      <c r="C430" s="13" t="s">
        <v>14</v>
      </c>
      <c r="D430" s="18">
        <v>0</v>
      </c>
      <c r="E430" s="15" t="s">
        <v>133</v>
      </c>
      <c r="F430" s="16"/>
      <c r="G430" s="17"/>
      <c r="H430" s="18"/>
      <c r="I430" s="18"/>
      <c r="J430" s="18"/>
      <c r="K430" s="18"/>
      <c r="L430" s="19" t="str">
        <f t="shared" si="14"/>
        <v/>
      </c>
      <c r="M430" s="20" t="s">
        <v>134</v>
      </c>
    </row>
    <row r="431" spans="1:13" x14ac:dyDescent="0.2">
      <c r="A431" s="43" t="s">
        <v>132</v>
      </c>
      <c r="B431" s="12" t="s">
        <v>28</v>
      </c>
      <c r="C431" s="13" t="s">
        <v>14</v>
      </c>
      <c r="D431" s="18">
        <v>0</v>
      </c>
      <c r="E431" s="15" t="s">
        <v>133</v>
      </c>
      <c r="F431" s="16" t="s">
        <v>16</v>
      </c>
      <c r="G431" s="17"/>
      <c r="H431" s="18"/>
      <c r="I431" s="18"/>
      <c r="J431" s="18"/>
      <c r="K431" s="18"/>
      <c r="L431" s="19" t="str">
        <f>IF( OR( ISBLANK(G431),ISBLANK(H431), ISBLANK(I431), ISBLANK(J431), ISBLANK(K431) ), "", 1.5*SQRT(   EXP(2.21*(G431-1)) + EXP(2.21*(H431-1)) + EXP(2.21*(I431-1)) + EXP(2.21*(J431-1)) + EXP(2.21*K431)   )/100*2.45 )</f>
        <v/>
      </c>
      <c r="M431" s="20" t="s">
        <v>134</v>
      </c>
    </row>
    <row r="432" spans="1:13" x14ac:dyDescent="0.2">
      <c r="A432" s="43" t="s">
        <v>132</v>
      </c>
      <c r="B432" s="12" t="s">
        <v>30</v>
      </c>
      <c r="C432" s="13" t="s">
        <v>14</v>
      </c>
      <c r="D432" s="44">
        <v>0.3890390991572108</v>
      </c>
      <c r="E432" s="15" t="s">
        <v>133</v>
      </c>
      <c r="F432" s="16"/>
      <c r="G432" s="22">
        <v>1</v>
      </c>
      <c r="H432" s="23">
        <v>1</v>
      </c>
      <c r="I432" s="23">
        <v>1</v>
      </c>
      <c r="J432" s="23">
        <v>2</v>
      </c>
      <c r="K432" s="23">
        <v>3</v>
      </c>
      <c r="L432" s="25">
        <f t="shared" ref="L432:L453" si="15">IF( OR( ISBLANK(G432),ISBLANK(H432), ISBLANK(I432), ISBLANK(J432), ISBLANK(K432) ), "", 1.5*SQRT( EXP(2.21*(G432-1)) + EXP(2.21*(H432-1)) + EXP(2.21*(I432-1)) + EXP(2.21*(J432-1)) + EXP(2.21*K432) )/100*2.45 )</f>
        <v>1.0195048044558224</v>
      </c>
      <c r="M432" s="20" t="s">
        <v>134</v>
      </c>
    </row>
    <row r="433" spans="1:13" x14ac:dyDescent="0.2">
      <c r="A433" s="43" t="s">
        <v>132</v>
      </c>
      <c r="B433" s="12" t="s">
        <v>32</v>
      </c>
      <c r="C433" s="13" t="s">
        <v>14</v>
      </c>
      <c r="D433" s="44">
        <v>0.25546734458517778</v>
      </c>
      <c r="E433" s="15" t="s">
        <v>133</v>
      </c>
      <c r="F433" s="16" t="s">
        <v>16</v>
      </c>
      <c r="G433" s="22">
        <v>1</v>
      </c>
      <c r="H433" s="23">
        <v>1</v>
      </c>
      <c r="I433" s="23">
        <v>1</v>
      </c>
      <c r="J433" s="23">
        <v>2</v>
      </c>
      <c r="K433" s="23">
        <v>3</v>
      </c>
      <c r="L433" s="25">
        <f t="shared" si="15"/>
        <v>1.0195048044558224</v>
      </c>
      <c r="M433" s="20" t="s">
        <v>134</v>
      </c>
    </row>
    <row r="434" spans="1:13" x14ac:dyDescent="0.2">
      <c r="A434" s="43" t="s">
        <v>132</v>
      </c>
      <c r="B434" s="12" t="s">
        <v>34</v>
      </c>
      <c r="C434" s="13" t="s">
        <v>14</v>
      </c>
      <c r="D434" s="44">
        <v>0</v>
      </c>
      <c r="E434" s="15" t="s">
        <v>133</v>
      </c>
      <c r="F434" s="16"/>
      <c r="G434" s="22">
        <v>1</v>
      </c>
      <c r="H434" s="23">
        <v>1</v>
      </c>
      <c r="I434" s="23">
        <v>1</v>
      </c>
      <c r="J434" s="23">
        <v>2</v>
      </c>
      <c r="K434" s="23">
        <v>3</v>
      </c>
      <c r="L434" s="19">
        <f t="shared" si="15"/>
        <v>1.0195048044558224</v>
      </c>
      <c r="M434" s="20" t="s">
        <v>134</v>
      </c>
    </row>
    <row r="435" spans="1:13" x14ac:dyDescent="0.2">
      <c r="A435" s="43" t="s">
        <v>132</v>
      </c>
      <c r="B435" s="12" t="s">
        <v>36</v>
      </c>
      <c r="C435" s="13" t="s">
        <v>14</v>
      </c>
      <c r="D435" s="44">
        <v>0.52560266225088914</v>
      </c>
      <c r="E435" s="15" t="s">
        <v>133</v>
      </c>
      <c r="F435" s="16"/>
      <c r="G435" s="22">
        <v>1</v>
      </c>
      <c r="H435" s="23">
        <v>1</v>
      </c>
      <c r="I435" s="23">
        <v>1</v>
      </c>
      <c r="J435" s="23">
        <v>2</v>
      </c>
      <c r="K435" s="23">
        <v>3</v>
      </c>
      <c r="L435" s="19">
        <f t="shared" si="15"/>
        <v>1.0195048044558224</v>
      </c>
      <c r="M435" s="20" t="s">
        <v>134</v>
      </c>
    </row>
    <row r="436" spans="1:13" x14ac:dyDescent="0.2">
      <c r="A436" s="43" t="s">
        <v>132</v>
      </c>
      <c r="B436" s="12" t="s">
        <v>37</v>
      </c>
      <c r="C436" s="13" t="s">
        <v>14</v>
      </c>
      <c r="D436" s="44">
        <v>0</v>
      </c>
      <c r="E436" s="15" t="s">
        <v>133</v>
      </c>
      <c r="F436" s="16" t="s">
        <v>16</v>
      </c>
      <c r="G436" s="22">
        <v>1</v>
      </c>
      <c r="H436" s="23">
        <v>1</v>
      </c>
      <c r="I436" s="23">
        <v>1</v>
      </c>
      <c r="J436" s="23">
        <v>2</v>
      </c>
      <c r="K436" s="23">
        <v>3</v>
      </c>
      <c r="L436" s="24">
        <f t="shared" si="15"/>
        <v>1.0195048044558224</v>
      </c>
      <c r="M436" s="20" t="s">
        <v>134</v>
      </c>
    </row>
    <row r="437" spans="1:13" x14ac:dyDescent="0.2">
      <c r="A437" s="43" t="s">
        <v>132</v>
      </c>
      <c r="B437" s="12" t="s">
        <v>39</v>
      </c>
      <c r="C437" s="13" t="s">
        <v>14</v>
      </c>
      <c r="D437" s="44">
        <v>0.15560625763974911</v>
      </c>
      <c r="E437" s="15" t="s">
        <v>133</v>
      </c>
      <c r="F437" s="16" t="s">
        <v>16</v>
      </c>
      <c r="G437" s="22">
        <v>1</v>
      </c>
      <c r="H437" s="23">
        <v>1</v>
      </c>
      <c r="I437" s="23">
        <v>1</v>
      </c>
      <c r="J437" s="23">
        <v>2</v>
      </c>
      <c r="K437" s="23">
        <v>3</v>
      </c>
      <c r="L437" s="25">
        <f t="shared" si="15"/>
        <v>1.0195048044558224</v>
      </c>
      <c r="M437" s="20" t="s">
        <v>134</v>
      </c>
    </row>
    <row r="438" spans="1:13" x14ac:dyDescent="0.2">
      <c r="A438" s="43" t="s">
        <v>132</v>
      </c>
      <c r="B438" s="12" t="s">
        <v>40</v>
      </c>
      <c r="C438" s="13" t="s">
        <v>14</v>
      </c>
      <c r="D438" s="44">
        <v>0.22044902516635809</v>
      </c>
      <c r="E438" s="15" t="s">
        <v>133</v>
      </c>
      <c r="F438" s="16" t="s">
        <v>16</v>
      </c>
      <c r="G438" s="22">
        <v>1</v>
      </c>
      <c r="H438" s="23">
        <v>1</v>
      </c>
      <c r="I438" s="23">
        <v>1</v>
      </c>
      <c r="J438" s="23">
        <v>2</v>
      </c>
      <c r="K438" s="23">
        <v>3</v>
      </c>
      <c r="L438" s="25">
        <f t="shared" si="15"/>
        <v>1.0195048044558224</v>
      </c>
      <c r="M438" s="20" t="s">
        <v>134</v>
      </c>
    </row>
    <row r="439" spans="1:13" x14ac:dyDescent="0.2">
      <c r="A439" s="43" t="s">
        <v>132</v>
      </c>
      <c r="B439" s="12" t="s">
        <v>41</v>
      </c>
      <c r="C439" s="13" t="s">
        <v>14</v>
      </c>
      <c r="D439" s="18">
        <v>0</v>
      </c>
      <c r="E439" s="15" t="s">
        <v>133</v>
      </c>
      <c r="F439" s="16" t="s">
        <v>16</v>
      </c>
      <c r="G439" s="17"/>
      <c r="H439" s="18"/>
      <c r="I439" s="18"/>
      <c r="J439" s="18"/>
      <c r="K439" s="18"/>
      <c r="L439" s="19" t="str">
        <f t="shared" si="15"/>
        <v/>
      </c>
      <c r="M439" s="20" t="s">
        <v>134</v>
      </c>
    </row>
    <row r="440" spans="1:13" x14ac:dyDescent="0.2">
      <c r="A440" s="43" t="s">
        <v>132</v>
      </c>
      <c r="B440" s="12" t="s">
        <v>42</v>
      </c>
      <c r="C440" s="13" t="s">
        <v>14</v>
      </c>
      <c r="D440" s="44">
        <v>1.9773041226470979E-2</v>
      </c>
      <c r="E440" s="15" t="s">
        <v>133</v>
      </c>
      <c r="F440" s="16" t="s">
        <v>16</v>
      </c>
      <c r="G440" s="22">
        <v>1</v>
      </c>
      <c r="H440" s="23">
        <v>1</v>
      </c>
      <c r="I440" s="23">
        <v>1</v>
      </c>
      <c r="J440" s="23">
        <v>2</v>
      </c>
      <c r="K440" s="23">
        <v>3</v>
      </c>
      <c r="L440" s="25">
        <f t="shared" si="15"/>
        <v>1.0195048044558224</v>
      </c>
      <c r="M440" s="20" t="s">
        <v>134</v>
      </c>
    </row>
    <row r="441" spans="1:13" x14ac:dyDescent="0.2">
      <c r="A441" s="43" t="s">
        <v>132</v>
      </c>
      <c r="B441" s="12" t="s">
        <v>43</v>
      </c>
      <c r="C441" s="13" t="s">
        <v>14</v>
      </c>
      <c r="D441" s="18">
        <v>0</v>
      </c>
      <c r="E441" s="15" t="s">
        <v>133</v>
      </c>
      <c r="F441" s="16"/>
      <c r="G441" s="17"/>
      <c r="H441" s="18"/>
      <c r="I441" s="18"/>
      <c r="J441" s="18"/>
      <c r="K441" s="18"/>
      <c r="L441" s="19" t="str">
        <f t="shared" si="15"/>
        <v/>
      </c>
      <c r="M441" s="20" t="s">
        <v>134</v>
      </c>
    </row>
    <row r="442" spans="1:13" x14ac:dyDescent="0.2">
      <c r="A442" s="43" t="s">
        <v>132</v>
      </c>
      <c r="B442" s="12" t="s">
        <v>45</v>
      </c>
      <c r="C442" s="13" t="s">
        <v>14</v>
      </c>
      <c r="D442" s="44">
        <v>7.3734385560528937</v>
      </c>
      <c r="E442" s="15" t="s">
        <v>133</v>
      </c>
      <c r="F442" s="16" t="s">
        <v>16</v>
      </c>
      <c r="G442" s="22">
        <v>1</v>
      </c>
      <c r="H442" s="23">
        <v>1</v>
      </c>
      <c r="I442" s="23">
        <v>1</v>
      </c>
      <c r="J442" s="23">
        <v>2</v>
      </c>
      <c r="K442" s="23">
        <v>3</v>
      </c>
      <c r="L442" s="25">
        <f t="shared" si="15"/>
        <v>1.0195048044558224</v>
      </c>
      <c r="M442" s="20" t="s">
        <v>134</v>
      </c>
    </row>
    <row r="443" spans="1:13" x14ac:dyDescent="0.2">
      <c r="A443" s="43" t="s">
        <v>132</v>
      </c>
      <c r="B443" s="12" t="s">
        <v>46</v>
      </c>
      <c r="C443" s="13" t="s">
        <v>14</v>
      </c>
      <c r="D443" s="44">
        <v>0.27683644264161311</v>
      </c>
      <c r="E443" s="15" t="s">
        <v>133</v>
      </c>
      <c r="F443" s="16" t="s">
        <v>16</v>
      </c>
      <c r="G443" s="22">
        <v>1</v>
      </c>
      <c r="H443" s="23">
        <v>1</v>
      </c>
      <c r="I443" s="23">
        <v>1</v>
      </c>
      <c r="J443" s="23">
        <v>2</v>
      </c>
      <c r="K443" s="23">
        <v>3</v>
      </c>
      <c r="L443" s="24">
        <f t="shared" si="15"/>
        <v>1.0195048044558224</v>
      </c>
      <c r="M443" s="20" t="s">
        <v>134</v>
      </c>
    </row>
    <row r="444" spans="1:13" x14ac:dyDescent="0.2">
      <c r="A444" s="43" t="s">
        <v>132</v>
      </c>
      <c r="B444" s="12" t="s">
        <v>48</v>
      </c>
      <c r="C444" s="13" t="s">
        <v>14</v>
      </c>
      <c r="D444" s="18">
        <v>0</v>
      </c>
      <c r="E444" s="15" t="s">
        <v>133</v>
      </c>
      <c r="F444" s="16"/>
      <c r="G444" s="17"/>
      <c r="H444" s="18"/>
      <c r="I444" s="18"/>
      <c r="J444" s="18"/>
      <c r="K444" s="18"/>
      <c r="L444" s="19" t="str">
        <f t="shared" si="15"/>
        <v/>
      </c>
      <c r="M444" s="20" t="s">
        <v>134</v>
      </c>
    </row>
    <row r="445" spans="1:13" x14ac:dyDescent="0.2">
      <c r="A445" s="43" t="s">
        <v>132</v>
      </c>
      <c r="B445" s="12" t="s">
        <v>50</v>
      </c>
      <c r="C445" s="13" t="s">
        <v>14</v>
      </c>
      <c r="D445" s="44">
        <v>0</v>
      </c>
      <c r="E445" s="15" t="s">
        <v>133</v>
      </c>
      <c r="F445" s="16" t="s">
        <v>16</v>
      </c>
      <c r="G445" s="22">
        <v>1</v>
      </c>
      <c r="H445" s="23">
        <v>1</v>
      </c>
      <c r="I445" s="23">
        <v>1</v>
      </c>
      <c r="J445" s="23">
        <v>2</v>
      </c>
      <c r="K445" s="23">
        <v>3</v>
      </c>
      <c r="L445" s="25">
        <f t="shared" si="15"/>
        <v>1.0195048044558224</v>
      </c>
      <c r="M445" s="20" t="s">
        <v>134</v>
      </c>
    </row>
    <row r="446" spans="1:13" x14ac:dyDescent="0.2">
      <c r="A446" s="43" t="s">
        <v>132</v>
      </c>
      <c r="B446" s="12" t="s">
        <v>52</v>
      </c>
      <c r="C446" s="13" t="s">
        <v>14</v>
      </c>
      <c r="D446" s="18">
        <v>0</v>
      </c>
      <c r="E446" s="15" t="s">
        <v>133</v>
      </c>
      <c r="F446" s="16" t="s">
        <v>16</v>
      </c>
      <c r="G446" s="17"/>
      <c r="H446" s="18"/>
      <c r="I446" s="18"/>
      <c r="J446" s="18"/>
      <c r="K446" s="18"/>
      <c r="L446" s="19" t="str">
        <f t="shared" si="15"/>
        <v/>
      </c>
      <c r="M446" s="20" t="s">
        <v>134</v>
      </c>
    </row>
    <row r="447" spans="1:13" x14ac:dyDescent="0.2">
      <c r="A447" s="43" t="s">
        <v>132</v>
      </c>
      <c r="B447" s="12" t="s">
        <v>54</v>
      </c>
      <c r="C447" s="13" t="s">
        <v>14</v>
      </c>
      <c r="D447" s="44">
        <v>1.9508679069302429E-3</v>
      </c>
      <c r="E447" s="15" t="s">
        <v>133</v>
      </c>
      <c r="F447" s="16" t="s">
        <v>16</v>
      </c>
      <c r="G447" s="22">
        <v>1</v>
      </c>
      <c r="H447" s="23">
        <v>1</v>
      </c>
      <c r="I447" s="23">
        <v>1</v>
      </c>
      <c r="J447" s="23">
        <v>2</v>
      </c>
      <c r="K447" s="23">
        <v>3</v>
      </c>
      <c r="L447" s="25">
        <f t="shared" si="15"/>
        <v>1.0195048044558224</v>
      </c>
      <c r="M447" s="20" t="s">
        <v>134</v>
      </c>
    </row>
    <row r="448" spans="1:13" x14ac:dyDescent="0.2">
      <c r="A448" s="43" t="s">
        <v>132</v>
      </c>
      <c r="B448" s="12" t="s">
        <v>55</v>
      </c>
      <c r="C448" s="13" t="s">
        <v>14</v>
      </c>
      <c r="D448" s="18">
        <v>0</v>
      </c>
      <c r="E448" s="15" t="s">
        <v>133</v>
      </c>
      <c r="F448" s="16"/>
      <c r="G448" s="17"/>
      <c r="H448" s="18"/>
      <c r="I448" s="18"/>
      <c r="J448" s="18"/>
      <c r="K448" s="18"/>
      <c r="L448" s="19" t="str">
        <f t="shared" si="15"/>
        <v/>
      </c>
      <c r="M448" s="20" t="s">
        <v>134</v>
      </c>
    </row>
    <row r="449" spans="1:13" x14ac:dyDescent="0.2">
      <c r="A449" s="43" t="s">
        <v>132</v>
      </c>
      <c r="B449" s="12" t="s">
        <v>57</v>
      </c>
      <c r="C449" s="13" t="s">
        <v>14</v>
      </c>
      <c r="D449" s="18">
        <v>0</v>
      </c>
      <c r="E449" s="15" t="s">
        <v>133</v>
      </c>
      <c r="F449" s="16"/>
      <c r="G449" s="17"/>
      <c r="H449" s="18"/>
      <c r="I449" s="18"/>
      <c r="J449" s="18"/>
      <c r="K449" s="18"/>
      <c r="L449" s="19" t="str">
        <f t="shared" si="15"/>
        <v/>
      </c>
      <c r="M449" s="20" t="s">
        <v>134</v>
      </c>
    </row>
    <row r="450" spans="1:13" x14ac:dyDescent="0.2">
      <c r="A450" s="43" t="s">
        <v>132</v>
      </c>
      <c r="B450" s="12" t="s">
        <v>59</v>
      </c>
      <c r="C450" s="13" t="s">
        <v>14</v>
      </c>
      <c r="D450" s="44">
        <v>5.3001787509628544E-3</v>
      </c>
      <c r="E450" s="15" t="s">
        <v>133</v>
      </c>
      <c r="F450" s="16" t="s">
        <v>16</v>
      </c>
      <c r="G450" s="22">
        <v>1</v>
      </c>
      <c r="H450" s="23">
        <v>1</v>
      </c>
      <c r="I450" s="23">
        <v>1</v>
      </c>
      <c r="J450" s="23">
        <v>2</v>
      </c>
      <c r="K450" s="23">
        <v>3</v>
      </c>
      <c r="L450" s="25">
        <f t="shared" si="15"/>
        <v>1.0195048044558224</v>
      </c>
      <c r="M450" s="20" t="s">
        <v>134</v>
      </c>
    </row>
    <row r="451" spans="1:13" x14ac:dyDescent="0.2">
      <c r="A451" s="43" t="s">
        <v>132</v>
      </c>
      <c r="B451" s="12" t="s">
        <v>60</v>
      </c>
      <c r="C451" s="13" t="s">
        <v>14</v>
      </c>
      <c r="D451" s="44">
        <v>1.507459510917649</v>
      </c>
      <c r="E451" s="15" t="s">
        <v>133</v>
      </c>
      <c r="F451" s="16" t="s">
        <v>16</v>
      </c>
      <c r="G451" s="22">
        <v>1</v>
      </c>
      <c r="H451" s="23">
        <v>2</v>
      </c>
      <c r="I451" s="23">
        <v>1</v>
      </c>
      <c r="J451" s="23">
        <v>2</v>
      </c>
      <c r="K451" s="23">
        <v>3</v>
      </c>
      <c r="L451" s="24">
        <f t="shared" si="15"/>
        <v>1.0248662490928169</v>
      </c>
      <c r="M451" s="20" t="s">
        <v>134</v>
      </c>
    </row>
    <row r="452" spans="1:13" x14ac:dyDescent="0.2">
      <c r="A452" s="43" t="s">
        <v>132</v>
      </c>
      <c r="B452" s="12" t="s">
        <v>13</v>
      </c>
      <c r="C452" s="27" t="s">
        <v>62</v>
      </c>
      <c r="D452" s="44">
        <v>1.277533373790398</v>
      </c>
      <c r="E452" s="15" t="s">
        <v>133</v>
      </c>
      <c r="F452" s="16" t="s">
        <v>16</v>
      </c>
      <c r="G452" s="22">
        <v>1</v>
      </c>
      <c r="H452" s="23">
        <v>1</v>
      </c>
      <c r="I452" s="23">
        <v>1</v>
      </c>
      <c r="J452" s="23">
        <v>2</v>
      </c>
      <c r="K452" s="23">
        <v>3</v>
      </c>
      <c r="L452" s="25">
        <f t="shared" si="15"/>
        <v>1.0195048044558224</v>
      </c>
      <c r="M452" s="20" t="s">
        <v>134</v>
      </c>
    </row>
    <row r="453" spans="1:13" x14ac:dyDescent="0.2">
      <c r="A453" s="43" t="s">
        <v>132</v>
      </c>
      <c r="B453" s="12" t="s">
        <v>18</v>
      </c>
      <c r="C453" s="27" t="s">
        <v>62</v>
      </c>
      <c r="D453" s="18">
        <v>0</v>
      </c>
      <c r="E453" s="15" t="s">
        <v>133</v>
      </c>
      <c r="F453" s="16"/>
      <c r="G453" s="17"/>
      <c r="H453" s="18"/>
      <c r="I453" s="18"/>
      <c r="J453" s="18"/>
      <c r="K453" s="18"/>
      <c r="L453" s="19" t="str">
        <f t="shared" si="15"/>
        <v/>
      </c>
      <c r="M453" s="20" t="s">
        <v>134</v>
      </c>
    </row>
    <row r="454" spans="1:13" x14ac:dyDescent="0.2">
      <c r="A454" s="43" t="s">
        <v>132</v>
      </c>
      <c r="B454" s="12" t="s">
        <v>20</v>
      </c>
      <c r="C454" s="27" t="s">
        <v>62</v>
      </c>
      <c r="D454" s="44">
        <v>0</v>
      </c>
      <c r="E454" s="15" t="s">
        <v>133</v>
      </c>
      <c r="F454" s="16"/>
      <c r="G454" s="22">
        <v>1</v>
      </c>
      <c r="H454" s="23">
        <v>1</v>
      </c>
      <c r="I454" s="23">
        <v>1</v>
      </c>
      <c r="J454" s="23">
        <v>2</v>
      </c>
      <c r="K454" s="23">
        <v>3</v>
      </c>
      <c r="L454" s="25">
        <f>IF( OR( ISBLANK(G454),ISBLANK(H454), ISBLANK(I454), ISBLANK(J454), ISBLANK(K454) ), "", 1.5*SQRT(   EXP(2.21*(G454-1)) + EXP(2.21*(H454-1)) + EXP(2.21*(I454-1)) + EXP(2.21*(J454-1)) + EXP(2.21*K454)   )/100*2.45 )</f>
        <v>1.0195048044558224</v>
      </c>
      <c r="M454" s="20" t="s">
        <v>134</v>
      </c>
    </row>
    <row r="455" spans="1:13" x14ac:dyDescent="0.2">
      <c r="A455" s="43" t="s">
        <v>132</v>
      </c>
      <c r="B455" s="12" t="s">
        <v>22</v>
      </c>
      <c r="C455" s="27" t="s">
        <v>62</v>
      </c>
      <c r="D455" s="44">
        <v>0.46946109228493532</v>
      </c>
      <c r="E455" s="15" t="s">
        <v>133</v>
      </c>
      <c r="F455" s="16" t="s">
        <v>16</v>
      </c>
      <c r="G455" s="22">
        <v>1</v>
      </c>
      <c r="H455" s="23">
        <v>1</v>
      </c>
      <c r="I455" s="23">
        <v>1</v>
      </c>
      <c r="J455" s="23">
        <v>2</v>
      </c>
      <c r="K455" s="23">
        <v>3</v>
      </c>
      <c r="L455" s="25">
        <f t="shared" ref="L455:L473" si="16">IF( OR( ISBLANK(G455),ISBLANK(H455), ISBLANK(I455), ISBLANK(J455), ISBLANK(K455) ), "", 1.5*SQRT( EXP(2.21*(G455-1)) + EXP(2.21*(H455-1)) + EXP(2.21*(I455-1)) + EXP(2.21*(J455-1)) + EXP(2.21*K455) )/100*2.45 )</f>
        <v>1.0195048044558224</v>
      </c>
      <c r="M455" s="20" t="s">
        <v>134</v>
      </c>
    </row>
    <row r="456" spans="1:13" x14ac:dyDescent="0.2">
      <c r="A456" s="43" t="s">
        <v>132</v>
      </c>
      <c r="B456" s="12" t="s">
        <v>23</v>
      </c>
      <c r="C456" s="27" t="s">
        <v>62</v>
      </c>
      <c r="D456" s="44">
        <v>8.6715350554478071E-2</v>
      </c>
      <c r="E456" s="15" t="s">
        <v>133</v>
      </c>
      <c r="F456" s="16" t="s">
        <v>16</v>
      </c>
      <c r="G456" s="22">
        <v>1</v>
      </c>
      <c r="H456" s="23">
        <v>1</v>
      </c>
      <c r="I456" s="23">
        <v>1</v>
      </c>
      <c r="J456" s="23">
        <v>2</v>
      </c>
      <c r="K456" s="23">
        <v>3</v>
      </c>
      <c r="L456" s="25">
        <f t="shared" si="16"/>
        <v>1.0195048044558224</v>
      </c>
      <c r="M456" s="20" t="s">
        <v>134</v>
      </c>
    </row>
    <row r="457" spans="1:13" x14ac:dyDescent="0.2">
      <c r="A457" s="43" t="s">
        <v>132</v>
      </c>
      <c r="B457" s="12" t="s">
        <v>24</v>
      </c>
      <c r="C457" s="27" t="s">
        <v>62</v>
      </c>
      <c r="D457" s="18">
        <v>0</v>
      </c>
      <c r="E457" s="15" t="s">
        <v>133</v>
      </c>
      <c r="F457" s="16"/>
      <c r="G457" s="17"/>
      <c r="H457" s="18"/>
      <c r="I457" s="18"/>
      <c r="J457" s="18"/>
      <c r="K457" s="18"/>
      <c r="L457" s="19" t="str">
        <f t="shared" si="16"/>
        <v/>
      </c>
      <c r="M457" s="20" t="s">
        <v>134</v>
      </c>
    </row>
    <row r="458" spans="1:13" x14ac:dyDescent="0.2">
      <c r="A458" s="43" t="s">
        <v>132</v>
      </c>
      <c r="B458" s="12" t="s">
        <v>25</v>
      </c>
      <c r="C458" s="27" t="s">
        <v>62</v>
      </c>
      <c r="D458" s="44">
        <v>2.7552887268538369</v>
      </c>
      <c r="E458" s="15" t="s">
        <v>133</v>
      </c>
      <c r="F458" s="16" t="s">
        <v>16</v>
      </c>
      <c r="G458" s="22">
        <v>1</v>
      </c>
      <c r="H458" s="23">
        <v>1</v>
      </c>
      <c r="I458" s="23">
        <v>1</v>
      </c>
      <c r="J458" s="23">
        <v>2</v>
      </c>
      <c r="K458" s="23">
        <v>3</v>
      </c>
      <c r="L458" s="25">
        <f t="shared" si="16"/>
        <v>1.0195048044558224</v>
      </c>
      <c r="M458" s="20" t="s">
        <v>134</v>
      </c>
    </row>
    <row r="459" spans="1:13" x14ac:dyDescent="0.2">
      <c r="A459" s="43" t="s">
        <v>132</v>
      </c>
      <c r="B459" s="12" t="s">
        <v>26</v>
      </c>
      <c r="C459" s="27" t="s">
        <v>62</v>
      </c>
      <c r="D459" s="18">
        <v>0</v>
      </c>
      <c r="E459" s="15" t="s">
        <v>133</v>
      </c>
      <c r="F459" s="16"/>
      <c r="G459" s="17"/>
      <c r="H459" s="18"/>
      <c r="I459" s="18"/>
      <c r="J459" s="18"/>
      <c r="K459" s="18"/>
      <c r="L459" s="19" t="str">
        <f t="shared" si="16"/>
        <v/>
      </c>
      <c r="M459" s="20" t="s">
        <v>134</v>
      </c>
    </row>
    <row r="460" spans="1:13" x14ac:dyDescent="0.2">
      <c r="A460" s="43" t="s">
        <v>132</v>
      </c>
      <c r="B460" s="12" t="s">
        <v>27</v>
      </c>
      <c r="C460" s="27" t="s">
        <v>62</v>
      </c>
      <c r="D460" s="18">
        <v>0</v>
      </c>
      <c r="E460" s="15" t="s">
        <v>133</v>
      </c>
      <c r="F460" s="16"/>
      <c r="G460" s="17"/>
      <c r="H460" s="18"/>
      <c r="I460" s="18"/>
      <c r="J460" s="18"/>
      <c r="K460" s="18"/>
      <c r="L460" s="19" t="str">
        <f t="shared" si="16"/>
        <v/>
      </c>
      <c r="M460" s="20" t="s">
        <v>134</v>
      </c>
    </row>
    <row r="461" spans="1:13" x14ac:dyDescent="0.2">
      <c r="A461" s="43" t="s">
        <v>132</v>
      </c>
      <c r="B461" s="12" t="s">
        <v>28</v>
      </c>
      <c r="C461" s="27" t="s">
        <v>62</v>
      </c>
      <c r="D461" s="44">
        <v>9.026367344788186</v>
      </c>
      <c r="E461" s="15" t="s">
        <v>133</v>
      </c>
      <c r="F461" s="16" t="s">
        <v>16</v>
      </c>
      <c r="G461" s="22">
        <v>1</v>
      </c>
      <c r="H461" s="23">
        <v>1</v>
      </c>
      <c r="I461" s="23">
        <v>1</v>
      </c>
      <c r="J461" s="23">
        <v>2</v>
      </c>
      <c r="K461" s="23">
        <v>3</v>
      </c>
      <c r="L461" s="25">
        <f t="shared" si="16"/>
        <v>1.0195048044558224</v>
      </c>
      <c r="M461" s="20" t="s">
        <v>134</v>
      </c>
    </row>
    <row r="462" spans="1:13" x14ac:dyDescent="0.2">
      <c r="A462" s="43" t="s">
        <v>132</v>
      </c>
      <c r="B462" s="12" t="s">
        <v>30</v>
      </c>
      <c r="C462" s="27" t="s">
        <v>62</v>
      </c>
      <c r="D462" s="18">
        <v>0</v>
      </c>
      <c r="E462" s="15" t="s">
        <v>133</v>
      </c>
      <c r="F462" s="16"/>
      <c r="G462" s="17"/>
      <c r="H462" s="18"/>
      <c r="I462" s="18"/>
      <c r="J462" s="18"/>
      <c r="K462" s="18"/>
      <c r="L462" s="19" t="str">
        <f t="shared" si="16"/>
        <v/>
      </c>
      <c r="M462" s="20" t="s">
        <v>134</v>
      </c>
    </row>
    <row r="463" spans="1:13" x14ac:dyDescent="0.2">
      <c r="A463" s="43" t="s">
        <v>132</v>
      </c>
      <c r="B463" s="12" t="s">
        <v>32</v>
      </c>
      <c r="C463" s="27" t="s">
        <v>62</v>
      </c>
      <c r="D463" s="44">
        <v>1.449159587348871</v>
      </c>
      <c r="E463" s="15" t="s">
        <v>133</v>
      </c>
      <c r="F463" s="16" t="s">
        <v>16</v>
      </c>
      <c r="G463" s="22">
        <v>1</v>
      </c>
      <c r="H463" s="23">
        <v>1</v>
      </c>
      <c r="I463" s="23">
        <v>1</v>
      </c>
      <c r="J463" s="23">
        <v>2</v>
      </c>
      <c r="K463" s="23">
        <v>3</v>
      </c>
      <c r="L463" s="25">
        <f t="shared" si="16"/>
        <v>1.0195048044558224</v>
      </c>
      <c r="M463" s="20" t="s">
        <v>134</v>
      </c>
    </row>
    <row r="464" spans="1:13" x14ac:dyDescent="0.2">
      <c r="A464" s="43" t="s">
        <v>132</v>
      </c>
      <c r="B464" s="12" t="s">
        <v>34</v>
      </c>
      <c r="C464" s="27" t="s">
        <v>62</v>
      </c>
      <c r="D464" s="18">
        <v>0</v>
      </c>
      <c r="E464" s="15" t="s">
        <v>133</v>
      </c>
      <c r="F464" s="16"/>
      <c r="G464" s="17"/>
      <c r="H464" s="18"/>
      <c r="I464" s="18"/>
      <c r="J464" s="18"/>
      <c r="K464" s="18"/>
      <c r="L464" s="19" t="str">
        <f t="shared" si="16"/>
        <v/>
      </c>
      <c r="M464" s="20" t="s">
        <v>134</v>
      </c>
    </row>
    <row r="465" spans="1:13" x14ac:dyDescent="0.2">
      <c r="A465" s="43" t="s">
        <v>132</v>
      </c>
      <c r="B465" s="12" t="s">
        <v>36</v>
      </c>
      <c r="C465" s="27" t="s">
        <v>62</v>
      </c>
      <c r="D465" s="18">
        <v>0</v>
      </c>
      <c r="E465" s="15" t="s">
        <v>133</v>
      </c>
      <c r="F465" s="16"/>
      <c r="G465" s="17"/>
      <c r="H465" s="18"/>
      <c r="I465" s="18"/>
      <c r="J465" s="18"/>
      <c r="K465" s="18"/>
      <c r="L465" s="19" t="str">
        <f t="shared" si="16"/>
        <v/>
      </c>
      <c r="M465" s="20" t="s">
        <v>134</v>
      </c>
    </row>
    <row r="466" spans="1:13" x14ac:dyDescent="0.2">
      <c r="A466" s="43" t="s">
        <v>132</v>
      </c>
      <c r="B466" s="12" t="s">
        <v>37</v>
      </c>
      <c r="C466" s="27" t="s">
        <v>62</v>
      </c>
      <c r="D466" s="44">
        <v>1.494729862934717</v>
      </c>
      <c r="E466" s="15" t="s">
        <v>133</v>
      </c>
      <c r="F466" s="16" t="s">
        <v>16</v>
      </c>
      <c r="G466" s="22">
        <v>1</v>
      </c>
      <c r="H466" s="23">
        <v>1</v>
      </c>
      <c r="I466" s="23">
        <v>1</v>
      </c>
      <c r="J466" s="23">
        <v>2</v>
      </c>
      <c r="K466" s="23">
        <v>3</v>
      </c>
      <c r="L466" s="24">
        <f t="shared" si="16"/>
        <v>1.0195048044558224</v>
      </c>
      <c r="M466" s="20" t="s">
        <v>134</v>
      </c>
    </row>
    <row r="467" spans="1:13" x14ac:dyDescent="0.2">
      <c r="A467" s="43" t="s">
        <v>132</v>
      </c>
      <c r="B467" s="12" t="s">
        <v>39</v>
      </c>
      <c r="C467" s="27" t="s">
        <v>62</v>
      </c>
      <c r="D467" s="44">
        <v>0.35554131694579238</v>
      </c>
      <c r="E467" s="15" t="s">
        <v>133</v>
      </c>
      <c r="F467" s="16" t="s">
        <v>16</v>
      </c>
      <c r="G467" s="22">
        <v>1</v>
      </c>
      <c r="H467" s="23">
        <v>1</v>
      </c>
      <c r="I467" s="23">
        <v>1</v>
      </c>
      <c r="J467" s="23">
        <v>2</v>
      </c>
      <c r="K467" s="23">
        <v>3</v>
      </c>
      <c r="L467" s="25">
        <f t="shared" si="16"/>
        <v>1.0195048044558224</v>
      </c>
      <c r="M467" s="20" t="s">
        <v>134</v>
      </c>
    </row>
    <row r="468" spans="1:13" x14ac:dyDescent="0.2">
      <c r="A468" s="43" t="s">
        <v>132</v>
      </c>
      <c r="B468" s="12" t="s">
        <v>40</v>
      </c>
      <c r="C468" s="27" t="s">
        <v>62</v>
      </c>
      <c r="D468" s="44">
        <v>0.58755733484553685</v>
      </c>
      <c r="E468" s="15" t="s">
        <v>133</v>
      </c>
      <c r="F468" s="16" t="s">
        <v>16</v>
      </c>
      <c r="G468" s="22">
        <v>1</v>
      </c>
      <c r="H468" s="23">
        <v>1</v>
      </c>
      <c r="I468" s="23">
        <v>1</v>
      </c>
      <c r="J468" s="23">
        <v>2</v>
      </c>
      <c r="K468" s="23">
        <v>3</v>
      </c>
      <c r="L468" s="25">
        <f t="shared" si="16"/>
        <v>1.0195048044558224</v>
      </c>
      <c r="M468" s="20" t="s">
        <v>134</v>
      </c>
    </row>
    <row r="469" spans="1:13" x14ac:dyDescent="0.2">
      <c r="A469" s="43" t="s">
        <v>132</v>
      </c>
      <c r="B469" s="12" t="s">
        <v>41</v>
      </c>
      <c r="C469" s="27" t="s">
        <v>62</v>
      </c>
      <c r="D469" s="44">
        <v>0.1043293488804799</v>
      </c>
      <c r="E469" s="15" t="s">
        <v>133</v>
      </c>
      <c r="F469" s="16" t="s">
        <v>16</v>
      </c>
      <c r="G469" s="22">
        <v>1</v>
      </c>
      <c r="H469" s="23">
        <v>1</v>
      </c>
      <c r="I469" s="23">
        <v>1</v>
      </c>
      <c r="J469" s="23">
        <v>2</v>
      </c>
      <c r="K469" s="23">
        <v>3</v>
      </c>
      <c r="L469" s="25">
        <f t="shared" si="16"/>
        <v>1.0195048044558224</v>
      </c>
      <c r="M469" s="20" t="s">
        <v>134</v>
      </c>
    </row>
    <row r="470" spans="1:13" x14ac:dyDescent="0.2">
      <c r="A470" s="43" t="s">
        <v>132</v>
      </c>
      <c r="B470" s="12" t="s">
        <v>42</v>
      </c>
      <c r="C470" s="27" t="s">
        <v>62</v>
      </c>
      <c r="D470" s="44">
        <v>7.9967300442002148E-2</v>
      </c>
      <c r="E470" s="15" t="s">
        <v>133</v>
      </c>
      <c r="F470" s="16" t="s">
        <v>16</v>
      </c>
      <c r="G470" s="22">
        <v>1</v>
      </c>
      <c r="H470" s="23">
        <v>1</v>
      </c>
      <c r="I470" s="23">
        <v>1</v>
      </c>
      <c r="J470" s="23">
        <v>2</v>
      </c>
      <c r="K470" s="23">
        <v>3</v>
      </c>
      <c r="L470" s="25">
        <f t="shared" si="16"/>
        <v>1.0195048044558224</v>
      </c>
      <c r="M470" s="20" t="s">
        <v>134</v>
      </c>
    </row>
    <row r="471" spans="1:13" x14ac:dyDescent="0.2">
      <c r="A471" s="43" t="s">
        <v>132</v>
      </c>
      <c r="B471" s="12" t="s">
        <v>43</v>
      </c>
      <c r="C471" s="27" t="s">
        <v>62</v>
      </c>
      <c r="D471" s="18">
        <v>0</v>
      </c>
      <c r="E471" s="15" t="s">
        <v>133</v>
      </c>
      <c r="F471" s="16"/>
      <c r="G471" s="17"/>
      <c r="H471" s="18"/>
      <c r="I471" s="18"/>
      <c r="J471" s="18"/>
      <c r="K471" s="18"/>
      <c r="L471" s="19" t="str">
        <f t="shared" si="16"/>
        <v/>
      </c>
      <c r="M471" s="20" t="s">
        <v>134</v>
      </c>
    </row>
    <row r="472" spans="1:13" x14ac:dyDescent="0.2">
      <c r="A472" s="43" t="s">
        <v>132</v>
      </c>
      <c r="B472" s="12" t="s">
        <v>45</v>
      </c>
      <c r="C472" s="27" t="s">
        <v>62</v>
      </c>
      <c r="D472" s="44">
        <v>8.428968391675939</v>
      </c>
      <c r="E472" s="15" t="s">
        <v>133</v>
      </c>
      <c r="F472" s="16" t="s">
        <v>16</v>
      </c>
      <c r="G472" s="22">
        <v>1</v>
      </c>
      <c r="H472" s="23">
        <v>1</v>
      </c>
      <c r="I472" s="23">
        <v>1</v>
      </c>
      <c r="J472" s="23">
        <v>2</v>
      </c>
      <c r="K472" s="23">
        <v>3</v>
      </c>
      <c r="L472" s="25">
        <f t="shared" si="16"/>
        <v>1.0195048044558224</v>
      </c>
      <c r="M472" s="20" t="s">
        <v>134</v>
      </c>
    </row>
    <row r="473" spans="1:13" x14ac:dyDescent="0.2">
      <c r="A473" s="43" t="s">
        <v>132</v>
      </c>
      <c r="B473" s="12" t="s">
        <v>46</v>
      </c>
      <c r="C473" s="27" t="s">
        <v>62</v>
      </c>
      <c r="D473" s="44">
        <v>3.851215755141427</v>
      </c>
      <c r="E473" s="15" t="s">
        <v>133</v>
      </c>
      <c r="F473" s="16" t="s">
        <v>16</v>
      </c>
      <c r="G473" s="22">
        <v>1</v>
      </c>
      <c r="H473" s="23">
        <v>1</v>
      </c>
      <c r="I473" s="23">
        <v>1</v>
      </c>
      <c r="J473" s="23">
        <v>2</v>
      </c>
      <c r="K473" s="23">
        <v>3</v>
      </c>
      <c r="L473" s="24">
        <f t="shared" si="16"/>
        <v>1.0195048044558224</v>
      </c>
      <c r="M473" s="20" t="s">
        <v>134</v>
      </c>
    </row>
    <row r="474" spans="1:13" x14ac:dyDescent="0.2">
      <c r="A474" s="43" t="s">
        <v>132</v>
      </c>
      <c r="B474" s="12" t="s">
        <v>48</v>
      </c>
      <c r="C474" s="27" t="s">
        <v>62</v>
      </c>
      <c r="D474" s="44">
        <v>2.5384521282632019E-2</v>
      </c>
      <c r="E474" s="15" t="s">
        <v>133</v>
      </c>
      <c r="F474" s="16"/>
      <c r="G474" s="22">
        <v>1</v>
      </c>
      <c r="H474" s="23">
        <v>1</v>
      </c>
      <c r="I474" s="23">
        <v>1</v>
      </c>
      <c r="J474" s="23">
        <v>2</v>
      </c>
      <c r="K474" s="23">
        <v>3</v>
      </c>
      <c r="L474" s="24">
        <f>IF( OR( ISBLANK(G474),ISBLANK(H474), ISBLANK(I474), ISBLANK(J474), ISBLANK(K474) ), "", 1.5*SQRT(   EXP(2.21*(G474-1)) + EXP(2.21*(H474-1)) + EXP(2.21*(I474-1)) + EXP(2.21*(J474-1)) + EXP(2.21*K474)   )/100*2.45 )</f>
        <v>1.0195048044558224</v>
      </c>
      <c r="M474" s="20" t="s">
        <v>134</v>
      </c>
    </row>
    <row r="475" spans="1:13" x14ac:dyDescent="0.2">
      <c r="A475" s="43" t="s">
        <v>132</v>
      </c>
      <c r="B475" s="12" t="s">
        <v>50</v>
      </c>
      <c r="C475" s="27" t="s">
        <v>62</v>
      </c>
      <c r="D475" s="44">
        <v>2.0843685527396119</v>
      </c>
      <c r="E475" s="15" t="s">
        <v>133</v>
      </c>
      <c r="F475" s="16" t="s">
        <v>16</v>
      </c>
      <c r="G475" s="22">
        <v>1</v>
      </c>
      <c r="H475" s="23">
        <v>1</v>
      </c>
      <c r="I475" s="23">
        <v>1</v>
      </c>
      <c r="J475" s="23">
        <v>2</v>
      </c>
      <c r="K475" s="23">
        <v>3</v>
      </c>
      <c r="L475" s="25">
        <f>IF( OR( ISBLANK(G475),ISBLANK(H475), ISBLANK(I475), ISBLANK(J475), ISBLANK(K475) ), "", 1.5*SQRT( EXP(2.21*(G475-1)) + EXP(2.21*(H475-1)) + EXP(2.21*(I475-1)) + EXP(2.21*(J475-1)) + EXP(2.21*K475) )/100*2.45 )</f>
        <v>1.0195048044558224</v>
      </c>
      <c r="M475" s="20" t="s">
        <v>134</v>
      </c>
    </row>
    <row r="476" spans="1:13" x14ac:dyDescent="0.2">
      <c r="A476" s="43" t="s">
        <v>132</v>
      </c>
      <c r="B476" s="12" t="s">
        <v>52</v>
      </c>
      <c r="C476" s="27" t="s">
        <v>62</v>
      </c>
      <c r="D476" s="44">
        <v>0.5519527357692563</v>
      </c>
      <c r="E476" s="15" t="s">
        <v>133</v>
      </c>
      <c r="F476" s="16" t="s">
        <v>16</v>
      </c>
      <c r="G476" s="22">
        <v>1</v>
      </c>
      <c r="H476" s="23">
        <v>1</v>
      </c>
      <c r="I476" s="23">
        <v>1</v>
      </c>
      <c r="J476" s="23">
        <v>2</v>
      </c>
      <c r="K476" s="23">
        <v>3</v>
      </c>
      <c r="L476" s="25">
        <f>IF( OR( ISBLANK(G476),ISBLANK(H476), ISBLANK(I476), ISBLANK(J476), ISBLANK(K476) ), "", 1.5*SQRT( EXP(2.21*(G476-1)) + EXP(2.21*(H476-1)) + EXP(2.21*(I476-1)) + EXP(2.21*(J476-1)) + EXP(2.21*K476) )/100*2.45 )</f>
        <v>1.0195048044558224</v>
      </c>
      <c r="M476" s="20" t="s">
        <v>134</v>
      </c>
    </row>
    <row r="477" spans="1:13" x14ac:dyDescent="0.2">
      <c r="A477" s="43" t="s">
        <v>132</v>
      </c>
      <c r="B477" s="12" t="s">
        <v>54</v>
      </c>
      <c r="C477" s="27" t="s">
        <v>62</v>
      </c>
      <c r="D477" s="44">
        <v>0.2136042672502004</v>
      </c>
      <c r="E477" s="15" t="s">
        <v>133</v>
      </c>
      <c r="F477" s="16" t="s">
        <v>16</v>
      </c>
      <c r="G477" s="22">
        <v>1</v>
      </c>
      <c r="H477" s="23">
        <v>1</v>
      </c>
      <c r="I477" s="23">
        <v>1</v>
      </c>
      <c r="J477" s="23">
        <v>2</v>
      </c>
      <c r="K477" s="23">
        <v>3</v>
      </c>
      <c r="L477" s="25">
        <f>IF( OR( ISBLANK(G477),ISBLANK(H477), ISBLANK(I477), ISBLANK(J477), ISBLANK(K477) ), "", 1.5*SQRT( EXP(2.21*(G477-1)) + EXP(2.21*(H477-1)) + EXP(2.21*(I477-1)) + EXP(2.21*(J477-1)) + EXP(2.21*K477) )/100*2.45 )</f>
        <v>1.0195048044558224</v>
      </c>
      <c r="M477" s="20" t="s">
        <v>134</v>
      </c>
    </row>
    <row r="478" spans="1:13" x14ac:dyDescent="0.2">
      <c r="A478" s="43" t="s">
        <v>132</v>
      </c>
      <c r="B478" s="12" t="s">
        <v>55</v>
      </c>
      <c r="C478" s="27" t="s">
        <v>62</v>
      </c>
      <c r="D478" s="44">
        <v>0.33533889800334471</v>
      </c>
      <c r="E478" s="15" t="s">
        <v>133</v>
      </c>
      <c r="F478" s="16"/>
      <c r="G478" s="22">
        <v>1</v>
      </c>
      <c r="H478" s="23">
        <v>1</v>
      </c>
      <c r="I478" s="23">
        <v>1</v>
      </c>
      <c r="J478" s="23">
        <v>2</v>
      </c>
      <c r="K478" s="23">
        <v>3</v>
      </c>
      <c r="L478" s="24">
        <f>IF( OR( ISBLANK(G478),ISBLANK(H478), ISBLANK(I478), ISBLANK(J478), ISBLANK(K478) ), "", 1.5*SQRT(   EXP(2.21*(G478-1)) + EXP(2.21*(H478-1)) + EXP(2.21*(I478-1)) + EXP(2.21*(J478-1)) + EXP(2.21*K478)   )/100*2.45 )</f>
        <v>1.0195048044558224</v>
      </c>
      <c r="M478" s="20" t="s">
        <v>134</v>
      </c>
    </row>
    <row r="479" spans="1:13" x14ac:dyDescent="0.2">
      <c r="A479" s="43" t="s">
        <v>132</v>
      </c>
      <c r="B479" s="12" t="s">
        <v>57</v>
      </c>
      <c r="C479" s="27" t="s">
        <v>62</v>
      </c>
      <c r="D479" s="18">
        <v>0</v>
      </c>
      <c r="E479" s="15" t="s">
        <v>133</v>
      </c>
      <c r="F479" s="16"/>
      <c r="G479" s="17"/>
      <c r="H479" s="18"/>
      <c r="I479" s="18"/>
      <c r="J479" s="18"/>
      <c r="K479" s="18"/>
      <c r="L479" s="19" t="str">
        <f t="shared" ref="L479:L490" si="17">IF( OR( ISBLANK(G479),ISBLANK(H479), ISBLANK(I479), ISBLANK(J479), ISBLANK(K479) ), "", 1.5*SQRT( EXP(2.21*(G479-1)) + EXP(2.21*(H479-1)) + EXP(2.21*(I479-1)) + EXP(2.21*(J479-1)) + EXP(2.21*K479) )/100*2.45 )</f>
        <v/>
      </c>
      <c r="M479" s="20" t="s">
        <v>134</v>
      </c>
    </row>
    <row r="480" spans="1:13" x14ac:dyDescent="0.2">
      <c r="A480" s="43" t="s">
        <v>132</v>
      </c>
      <c r="B480" s="12" t="s">
        <v>59</v>
      </c>
      <c r="C480" s="27" t="s">
        <v>62</v>
      </c>
      <c r="D480" s="44">
        <v>1.5975401340047211</v>
      </c>
      <c r="E480" s="15" t="s">
        <v>133</v>
      </c>
      <c r="F480" s="16" t="s">
        <v>16</v>
      </c>
      <c r="G480" s="22">
        <v>1</v>
      </c>
      <c r="H480" s="23">
        <v>1</v>
      </c>
      <c r="I480" s="23">
        <v>1</v>
      </c>
      <c r="J480" s="23">
        <v>2</v>
      </c>
      <c r="K480" s="23">
        <v>3</v>
      </c>
      <c r="L480" s="25">
        <f t="shared" si="17"/>
        <v>1.0195048044558224</v>
      </c>
      <c r="M480" s="20" t="s">
        <v>134</v>
      </c>
    </row>
    <row r="481" spans="1:13" x14ac:dyDescent="0.2">
      <c r="A481" s="43" t="s">
        <v>132</v>
      </c>
      <c r="B481" s="12" t="s">
        <v>60</v>
      </c>
      <c r="C481" s="27" t="s">
        <v>62</v>
      </c>
      <c r="D481" s="44">
        <v>9.8186822911213483</v>
      </c>
      <c r="E481" s="15" t="s">
        <v>133</v>
      </c>
      <c r="F481" s="16" t="s">
        <v>16</v>
      </c>
      <c r="G481" s="22">
        <v>1</v>
      </c>
      <c r="H481" s="23">
        <v>2</v>
      </c>
      <c r="I481" s="23">
        <v>1</v>
      </c>
      <c r="J481" s="23">
        <v>2</v>
      </c>
      <c r="K481" s="23">
        <v>3</v>
      </c>
      <c r="L481" s="24">
        <f t="shared" si="17"/>
        <v>1.0248662490928169</v>
      </c>
      <c r="M481" s="20" t="s">
        <v>134</v>
      </c>
    </row>
    <row r="482" spans="1:13" x14ac:dyDescent="0.2">
      <c r="A482" s="43" t="s">
        <v>132</v>
      </c>
      <c r="B482" s="12" t="s">
        <v>13</v>
      </c>
      <c r="C482" s="28" t="s">
        <v>64</v>
      </c>
      <c r="D482" s="21">
        <v>18.299765747433401</v>
      </c>
      <c r="E482" s="15" t="s">
        <v>133</v>
      </c>
      <c r="F482" s="16" t="s">
        <v>16</v>
      </c>
      <c r="G482" s="22">
        <v>1</v>
      </c>
      <c r="H482" s="23">
        <v>1</v>
      </c>
      <c r="I482" s="23">
        <v>1</v>
      </c>
      <c r="J482" s="23">
        <v>2</v>
      </c>
      <c r="K482" s="23">
        <v>3</v>
      </c>
      <c r="L482" s="25">
        <f t="shared" si="17"/>
        <v>1.0195048044558224</v>
      </c>
      <c r="M482" s="20" t="s">
        <v>134</v>
      </c>
    </row>
    <row r="483" spans="1:13" x14ac:dyDescent="0.2">
      <c r="A483" s="43" t="s">
        <v>132</v>
      </c>
      <c r="B483" s="12" t="s">
        <v>18</v>
      </c>
      <c r="C483" s="28" t="s">
        <v>64</v>
      </c>
      <c r="D483" s="18">
        <v>0</v>
      </c>
      <c r="E483" s="15" t="s">
        <v>133</v>
      </c>
      <c r="F483" s="16"/>
      <c r="G483" s="17"/>
      <c r="H483" s="18"/>
      <c r="I483" s="18"/>
      <c r="J483" s="18"/>
      <c r="K483" s="18"/>
      <c r="L483" s="19" t="str">
        <f t="shared" si="17"/>
        <v/>
      </c>
      <c r="M483" s="20" t="s">
        <v>134</v>
      </c>
    </row>
    <row r="484" spans="1:13" x14ac:dyDescent="0.2">
      <c r="A484" s="43" t="s">
        <v>132</v>
      </c>
      <c r="B484" s="12" t="s">
        <v>20</v>
      </c>
      <c r="C484" s="28" t="s">
        <v>64</v>
      </c>
      <c r="D484" s="18">
        <v>0</v>
      </c>
      <c r="E484" s="15" t="s">
        <v>133</v>
      </c>
      <c r="F484" s="16"/>
      <c r="G484" s="17"/>
      <c r="H484" s="18"/>
      <c r="I484" s="18"/>
      <c r="J484" s="18"/>
      <c r="K484" s="18"/>
      <c r="L484" s="19" t="str">
        <f t="shared" si="17"/>
        <v/>
      </c>
      <c r="M484" s="20" t="s">
        <v>134</v>
      </c>
    </row>
    <row r="485" spans="1:13" x14ac:dyDescent="0.2">
      <c r="A485" s="43" t="s">
        <v>132</v>
      </c>
      <c r="B485" s="12" t="s">
        <v>22</v>
      </c>
      <c r="C485" s="28" t="s">
        <v>64</v>
      </c>
      <c r="D485" s="21">
        <v>4.1382116366100874</v>
      </c>
      <c r="E485" s="15" t="s">
        <v>133</v>
      </c>
      <c r="F485" s="16" t="s">
        <v>16</v>
      </c>
      <c r="G485" s="22">
        <v>1</v>
      </c>
      <c r="H485" s="23">
        <v>1</v>
      </c>
      <c r="I485" s="23">
        <v>1</v>
      </c>
      <c r="J485" s="23">
        <v>2</v>
      </c>
      <c r="K485" s="23">
        <v>3</v>
      </c>
      <c r="L485" s="25">
        <f t="shared" si="17"/>
        <v>1.0195048044558224</v>
      </c>
      <c r="M485" s="20" t="s">
        <v>134</v>
      </c>
    </row>
    <row r="486" spans="1:13" x14ac:dyDescent="0.2">
      <c r="A486" s="43" t="s">
        <v>132</v>
      </c>
      <c r="B486" s="12" t="s">
        <v>23</v>
      </c>
      <c r="C486" s="28" t="s">
        <v>64</v>
      </c>
      <c r="D486" s="21">
        <v>1.1251665068107379</v>
      </c>
      <c r="E486" s="15" t="s">
        <v>133</v>
      </c>
      <c r="F486" s="16" t="s">
        <v>16</v>
      </c>
      <c r="G486" s="22">
        <v>1</v>
      </c>
      <c r="H486" s="23">
        <v>1</v>
      </c>
      <c r="I486" s="23">
        <v>1</v>
      </c>
      <c r="J486" s="23">
        <v>2</v>
      </c>
      <c r="K486" s="23">
        <v>3</v>
      </c>
      <c r="L486" s="25">
        <f t="shared" si="17"/>
        <v>1.0195048044558224</v>
      </c>
      <c r="M486" s="20" t="s">
        <v>134</v>
      </c>
    </row>
    <row r="487" spans="1:13" x14ac:dyDescent="0.2">
      <c r="A487" s="43" t="s">
        <v>132</v>
      </c>
      <c r="B487" s="12" t="s">
        <v>24</v>
      </c>
      <c r="C487" s="28" t="s">
        <v>64</v>
      </c>
      <c r="D487" s="18">
        <v>0</v>
      </c>
      <c r="E487" s="15" t="s">
        <v>133</v>
      </c>
      <c r="F487" s="16"/>
      <c r="G487" s="17"/>
      <c r="H487" s="18"/>
      <c r="I487" s="18"/>
      <c r="J487" s="18"/>
      <c r="K487" s="18"/>
      <c r="L487" s="19" t="str">
        <f t="shared" si="17"/>
        <v/>
      </c>
      <c r="M487" s="20" t="s">
        <v>134</v>
      </c>
    </row>
    <row r="488" spans="1:13" x14ac:dyDescent="0.2">
      <c r="A488" s="43" t="s">
        <v>132</v>
      </c>
      <c r="B488" s="12" t="s">
        <v>25</v>
      </c>
      <c r="C488" s="28" t="s">
        <v>64</v>
      </c>
      <c r="D488" s="21">
        <v>14.789507406263899</v>
      </c>
      <c r="E488" s="15" t="s">
        <v>133</v>
      </c>
      <c r="F488" s="16" t="s">
        <v>16</v>
      </c>
      <c r="G488" s="22">
        <v>1</v>
      </c>
      <c r="H488" s="23">
        <v>1</v>
      </c>
      <c r="I488" s="23">
        <v>1</v>
      </c>
      <c r="J488" s="23">
        <v>2</v>
      </c>
      <c r="K488" s="23">
        <v>3</v>
      </c>
      <c r="L488" s="25">
        <f t="shared" si="17"/>
        <v>1.0195048044558224</v>
      </c>
      <c r="M488" s="20" t="s">
        <v>134</v>
      </c>
    </row>
    <row r="489" spans="1:13" x14ac:dyDescent="0.2">
      <c r="A489" s="43" t="s">
        <v>132</v>
      </c>
      <c r="B489" s="12" t="s">
        <v>26</v>
      </c>
      <c r="C489" s="28" t="s">
        <v>64</v>
      </c>
      <c r="D489" s="21">
        <v>3.2295303795179078</v>
      </c>
      <c r="E489" s="15" t="s">
        <v>133</v>
      </c>
      <c r="F489" s="16" t="s">
        <v>16</v>
      </c>
      <c r="G489" s="22">
        <v>1</v>
      </c>
      <c r="H489" s="23">
        <v>1</v>
      </c>
      <c r="I489" s="23">
        <v>1</v>
      </c>
      <c r="J489" s="23">
        <v>2</v>
      </c>
      <c r="K489" s="23">
        <v>3</v>
      </c>
      <c r="L489" s="25">
        <f t="shared" si="17"/>
        <v>1.0195048044558224</v>
      </c>
      <c r="M489" s="20" t="s">
        <v>134</v>
      </c>
    </row>
    <row r="490" spans="1:13" x14ac:dyDescent="0.2">
      <c r="A490" s="43" t="s">
        <v>132</v>
      </c>
      <c r="B490" s="12" t="s">
        <v>27</v>
      </c>
      <c r="C490" s="28" t="s">
        <v>64</v>
      </c>
      <c r="D490" s="18">
        <v>0</v>
      </c>
      <c r="E490" s="15" t="s">
        <v>133</v>
      </c>
      <c r="F490" s="16"/>
      <c r="G490" s="17"/>
      <c r="H490" s="18"/>
      <c r="I490" s="18"/>
      <c r="J490" s="18"/>
      <c r="K490" s="18"/>
      <c r="L490" s="19" t="str">
        <f t="shared" si="17"/>
        <v/>
      </c>
      <c r="M490" s="20" t="s">
        <v>134</v>
      </c>
    </row>
    <row r="491" spans="1:13" x14ac:dyDescent="0.2">
      <c r="A491" s="43" t="s">
        <v>132</v>
      </c>
      <c r="B491" s="12" t="s">
        <v>28</v>
      </c>
      <c r="C491" s="28" t="s">
        <v>64</v>
      </c>
      <c r="D491" s="21">
        <v>0</v>
      </c>
      <c r="E491" s="15" t="s">
        <v>133</v>
      </c>
      <c r="F491" s="16"/>
      <c r="G491" s="22">
        <v>1</v>
      </c>
      <c r="H491" s="23">
        <v>1</v>
      </c>
      <c r="I491" s="23">
        <v>1</v>
      </c>
      <c r="J491" s="23">
        <v>2</v>
      </c>
      <c r="K491" s="23">
        <v>3</v>
      </c>
      <c r="L491" s="25">
        <f>IF( OR( ISBLANK(G491),ISBLANK(H491), ISBLANK(I491), ISBLANK(J491), ISBLANK(K491) ), "", 1.5*SQRT(   EXP(2.21*(G491-1)) + EXP(2.21*(H491-1)) + EXP(2.21*(I491-1)) + EXP(2.21*(J491-1)) + EXP(2.21*K491)   )/100*2.45 )</f>
        <v>1.0195048044558224</v>
      </c>
      <c r="M491" s="20" t="s">
        <v>134</v>
      </c>
    </row>
    <row r="492" spans="1:13" x14ac:dyDescent="0.2">
      <c r="A492" s="43" t="s">
        <v>132</v>
      </c>
      <c r="B492" s="12" t="s">
        <v>30</v>
      </c>
      <c r="C492" s="28" t="s">
        <v>64</v>
      </c>
      <c r="D492" s="21">
        <v>0</v>
      </c>
      <c r="E492" s="15" t="s">
        <v>133</v>
      </c>
      <c r="F492" s="16"/>
      <c r="G492" s="22">
        <v>1</v>
      </c>
      <c r="H492" s="23">
        <v>1</v>
      </c>
      <c r="I492" s="23">
        <v>1</v>
      </c>
      <c r="J492" s="23">
        <v>2</v>
      </c>
      <c r="K492" s="23">
        <v>3</v>
      </c>
      <c r="L492" s="25">
        <f>IF( OR( ISBLANK(G492),ISBLANK(H492), ISBLANK(I492), ISBLANK(J492), ISBLANK(K492) ), "", 1.5*SQRT( EXP(2.21*(G492-1)) + EXP(2.21*(H492-1)) + EXP(2.21*(I492-1)) + EXP(2.21*(J492-1)) + EXP(2.21*K492) )/100*2.45 )</f>
        <v>1.0195048044558224</v>
      </c>
      <c r="M492" s="20" t="s">
        <v>134</v>
      </c>
    </row>
    <row r="493" spans="1:13" x14ac:dyDescent="0.2">
      <c r="A493" s="43" t="s">
        <v>132</v>
      </c>
      <c r="B493" s="12" t="s">
        <v>32</v>
      </c>
      <c r="C493" s="28" t="s">
        <v>64</v>
      </c>
      <c r="D493" s="21">
        <v>17.082850384542429</v>
      </c>
      <c r="E493" s="15" t="s">
        <v>133</v>
      </c>
      <c r="F493" s="16" t="s">
        <v>16</v>
      </c>
      <c r="G493" s="22">
        <v>1</v>
      </c>
      <c r="H493" s="23">
        <v>1</v>
      </c>
      <c r="I493" s="23">
        <v>1</v>
      </c>
      <c r="J493" s="23">
        <v>2</v>
      </c>
      <c r="K493" s="23">
        <v>3</v>
      </c>
      <c r="L493" s="25">
        <f>IF( OR( ISBLANK(G493),ISBLANK(H493), ISBLANK(I493), ISBLANK(J493), ISBLANK(K493) ), "", 1.5*SQRT( EXP(2.21*(G493-1)) + EXP(2.21*(H493-1)) + EXP(2.21*(I493-1)) + EXP(2.21*(J493-1)) + EXP(2.21*K493) )/100*2.45 )</f>
        <v>1.0195048044558224</v>
      </c>
      <c r="M493" s="20" t="s">
        <v>134</v>
      </c>
    </row>
    <row r="494" spans="1:13" x14ac:dyDescent="0.2">
      <c r="A494" s="43" t="s">
        <v>132</v>
      </c>
      <c r="B494" s="12" t="s">
        <v>34</v>
      </c>
      <c r="C494" s="28" t="s">
        <v>64</v>
      </c>
      <c r="D494" s="18">
        <v>0</v>
      </c>
      <c r="E494" s="15" t="s">
        <v>133</v>
      </c>
      <c r="F494" s="16"/>
      <c r="G494" s="17"/>
      <c r="H494" s="18"/>
      <c r="I494" s="18"/>
      <c r="J494" s="18"/>
      <c r="K494" s="18"/>
      <c r="L494" s="19" t="str">
        <f>IF( OR( ISBLANK(G494),ISBLANK(H494), ISBLANK(I494), ISBLANK(J494), ISBLANK(K494) ), "", 1.5*SQRT( EXP(2.21*(G494-1)) + EXP(2.21*(H494-1)) + EXP(2.21*(I494-1)) + EXP(2.21*(J494-1)) + EXP(2.21*K494) )/100*2.45 )</f>
        <v/>
      </c>
      <c r="M494" s="20" t="s">
        <v>134</v>
      </c>
    </row>
    <row r="495" spans="1:13" x14ac:dyDescent="0.2">
      <c r="A495" s="43" t="s">
        <v>132</v>
      </c>
      <c r="B495" s="12" t="s">
        <v>36</v>
      </c>
      <c r="C495" s="28" t="s">
        <v>64</v>
      </c>
      <c r="D495" s="18">
        <v>0</v>
      </c>
      <c r="E495" s="15" t="s">
        <v>133</v>
      </c>
      <c r="F495" s="16"/>
      <c r="G495" s="17"/>
      <c r="H495" s="18"/>
      <c r="I495" s="18"/>
      <c r="J495" s="18"/>
      <c r="K495" s="18"/>
      <c r="L495" s="19" t="str">
        <f>IF( OR( ISBLANK(G495),ISBLANK(H495), ISBLANK(I495), ISBLANK(J495), ISBLANK(K495) ), "", 1.5*SQRT( EXP(2.21*(G495-1)) + EXP(2.21*(H495-1)) + EXP(2.21*(I495-1)) + EXP(2.21*(J495-1)) + EXP(2.21*K495) )/100*2.45 )</f>
        <v/>
      </c>
      <c r="M495" s="20" t="s">
        <v>134</v>
      </c>
    </row>
    <row r="496" spans="1:13" x14ac:dyDescent="0.2">
      <c r="A496" s="43" t="s">
        <v>132</v>
      </c>
      <c r="B496" s="12" t="s">
        <v>37</v>
      </c>
      <c r="C496" s="28" t="s">
        <v>64</v>
      </c>
      <c r="D496" s="21">
        <v>1.137372162160091</v>
      </c>
      <c r="E496" s="15" t="s">
        <v>133</v>
      </c>
      <c r="F496" s="16"/>
      <c r="G496" s="22">
        <v>1</v>
      </c>
      <c r="H496" s="23">
        <v>1</v>
      </c>
      <c r="I496" s="23">
        <v>1</v>
      </c>
      <c r="J496" s="23">
        <v>2</v>
      </c>
      <c r="K496" s="23">
        <v>3</v>
      </c>
      <c r="L496" s="25">
        <f>IF( OR( ISBLANK(G496),ISBLANK(H496), ISBLANK(I496), ISBLANK(J496), ISBLANK(K496) ), "", 1.5*SQRT(   EXP(2.21*(G496-1)) + EXP(2.21*(H496-1)) + EXP(2.21*(I496-1)) + EXP(2.21*(J496-1)) + EXP(2.21*K496)   )/100*2.45 )</f>
        <v>1.0195048044558224</v>
      </c>
      <c r="M496" s="20" t="s">
        <v>134</v>
      </c>
    </row>
    <row r="497" spans="1:13" x14ac:dyDescent="0.2">
      <c r="A497" s="43" t="s">
        <v>132</v>
      </c>
      <c r="B497" s="12" t="s">
        <v>39</v>
      </c>
      <c r="C497" s="28" t="s">
        <v>64</v>
      </c>
      <c r="D497" s="21">
        <v>2.8289220116960658</v>
      </c>
      <c r="E497" s="15" t="s">
        <v>133</v>
      </c>
      <c r="F497" s="16" t="s">
        <v>16</v>
      </c>
      <c r="G497" s="22">
        <v>1</v>
      </c>
      <c r="H497" s="23">
        <v>1</v>
      </c>
      <c r="I497" s="23">
        <v>1</v>
      </c>
      <c r="J497" s="23">
        <v>2</v>
      </c>
      <c r="K497" s="23">
        <v>3</v>
      </c>
      <c r="L497" s="25">
        <f>IF( OR( ISBLANK(G497),ISBLANK(H497), ISBLANK(I497), ISBLANK(J497), ISBLANK(K497) ), "", 1.5*SQRT(   EXP(2.21*(G497-1)) + EXP(2.21*(H497-1)) + EXP(2.21*(I497-1)) + EXP(2.21*(J497-1)) + EXP(2.21*K497)   )/100*2.45 )</f>
        <v>1.0195048044558224</v>
      </c>
      <c r="M497" s="20" t="s">
        <v>134</v>
      </c>
    </row>
    <row r="498" spans="1:13" x14ac:dyDescent="0.2">
      <c r="A498" s="43" t="s">
        <v>132</v>
      </c>
      <c r="B498" s="12" t="s">
        <v>40</v>
      </c>
      <c r="C498" s="28" t="s">
        <v>64</v>
      </c>
      <c r="D498" s="21">
        <v>5.3718883731038582</v>
      </c>
      <c r="E498" s="15" t="s">
        <v>133</v>
      </c>
      <c r="F498" s="16" t="s">
        <v>16</v>
      </c>
      <c r="G498" s="22">
        <v>1</v>
      </c>
      <c r="H498" s="23">
        <v>1</v>
      </c>
      <c r="I498" s="23">
        <v>1</v>
      </c>
      <c r="J498" s="23">
        <v>2</v>
      </c>
      <c r="K498" s="23">
        <v>3</v>
      </c>
      <c r="L498" s="25">
        <f>IF( OR( ISBLANK(G498),ISBLANK(H498), ISBLANK(I498), ISBLANK(J498), ISBLANK(K498) ), "", 1.5*SQRT( EXP(2.21*(G498-1)) + EXP(2.21*(H498-1)) + EXP(2.21*(I498-1)) + EXP(2.21*(J498-1)) + EXP(2.21*K498) )/100*2.45 )</f>
        <v>1.0195048044558224</v>
      </c>
      <c r="M498" s="20" t="s">
        <v>134</v>
      </c>
    </row>
    <row r="499" spans="1:13" x14ac:dyDescent="0.2">
      <c r="A499" s="43" t="s">
        <v>132</v>
      </c>
      <c r="B499" s="12" t="s">
        <v>41</v>
      </c>
      <c r="C499" s="28" t="s">
        <v>64</v>
      </c>
      <c r="D499" s="21">
        <v>1.499239887897448</v>
      </c>
      <c r="E499" s="15" t="s">
        <v>133</v>
      </c>
      <c r="F499" s="16" t="s">
        <v>16</v>
      </c>
      <c r="G499" s="22">
        <v>1</v>
      </c>
      <c r="H499" s="23">
        <v>1</v>
      </c>
      <c r="I499" s="23">
        <v>1</v>
      </c>
      <c r="J499" s="23">
        <v>2</v>
      </c>
      <c r="K499" s="23">
        <v>3</v>
      </c>
      <c r="L499" s="25">
        <f>IF( OR( ISBLANK(G499),ISBLANK(H499), ISBLANK(I499), ISBLANK(J499), ISBLANK(K499) ), "", 1.5*SQRT( EXP(2.21*(G499-1)) + EXP(2.21*(H499-1)) + EXP(2.21*(I499-1)) + EXP(2.21*(J499-1)) + EXP(2.21*K499) )/100*2.45 )</f>
        <v>1.0195048044558224</v>
      </c>
      <c r="M499" s="20" t="s">
        <v>134</v>
      </c>
    </row>
    <row r="500" spans="1:13" x14ac:dyDescent="0.2">
      <c r="A500" s="43" t="s">
        <v>132</v>
      </c>
      <c r="B500" s="12" t="s">
        <v>42</v>
      </c>
      <c r="C500" s="28" t="s">
        <v>64</v>
      </c>
      <c r="D500" s="21">
        <v>0.87365787184937582</v>
      </c>
      <c r="E500" s="15" t="s">
        <v>133</v>
      </c>
      <c r="F500" s="16" t="s">
        <v>16</v>
      </c>
      <c r="G500" s="22">
        <v>1</v>
      </c>
      <c r="H500" s="23">
        <v>1</v>
      </c>
      <c r="I500" s="23">
        <v>1</v>
      </c>
      <c r="J500" s="23">
        <v>2</v>
      </c>
      <c r="K500" s="23">
        <v>3</v>
      </c>
      <c r="L500" s="25">
        <f>IF( OR( ISBLANK(G500),ISBLANK(H500), ISBLANK(I500), ISBLANK(J500), ISBLANK(K500) ), "", 1.5*SQRT( EXP(2.21*(G500-1)) + EXP(2.21*(H500-1)) + EXP(2.21*(I500-1)) + EXP(2.21*(J500-1)) + EXP(2.21*K500) )/100*2.45 )</f>
        <v>1.0195048044558224</v>
      </c>
      <c r="M500" s="20" t="s">
        <v>134</v>
      </c>
    </row>
    <row r="501" spans="1:13" x14ac:dyDescent="0.2">
      <c r="A501" s="43" t="s">
        <v>132</v>
      </c>
      <c r="B501" s="12" t="s">
        <v>43</v>
      </c>
      <c r="C501" s="28" t="s">
        <v>64</v>
      </c>
      <c r="D501" s="18">
        <v>0</v>
      </c>
      <c r="E501" s="15" t="s">
        <v>133</v>
      </c>
      <c r="F501" s="16"/>
      <c r="G501" s="17"/>
      <c r="H501" s="18"/>
      <c r="I501" s="18"/>
      <c r="J501" s="18"/>
      <c r="K501" s="18"/>
      <c r="L501" s="19" t="str">
        <f>IF( OR( ISBLANK(G501),ISBLANK(H501), ISBLANK(I501), ISBLANK(J501), ISBLANK(K501) ), "", 1.5*SQRT( EXP(2.21*(G501-1)) + EXP(2.21*(H501-1)) + EXP(2.21*(I501-1)) + EXP(2.21*(J501-1)) + EXP(2.21*K501) )/100*2.45 )</f>
        <v/>
      </c>
      <c r="M501" s="20" t="s">
        <v>134</v>
      </c>
    </row>
    <row r="502" spans="1:13" x14ac:dyDescent="0.2">
      <c r="A502" s="43" t="s">
        <v>132</v>
      </c>
      <c r="B502" s="12" t="s">
        <v>45</v>
      </c>
      <c r="C502" s="28" t="s">
        <v>64</v>
      </c>
      <c r="D502" s="21">
        <v>18.39411773468732</v>
      </c>
      <c r="E502" s="15" t="s">
        <v>133</v>
      </c>
      <c r="F502" s="16" t="s">
        <v>16</v>
      </c>
      <c r="G502" s="22">
        <v>1</v>
      </c>
      <c r="H502" s="23">
        <v>1</v>
      </c>
      <c r="I502" s="23">
        <v>1</v>
      </c>
      <c r="J502" s="23">
        <v>2</v>
      </c>
      <c r="K502" s="23">
        <v>3</v>
      </c>
      <c r="L502" s="25">
        <f>IF( OR( ISBLANK(G502),ISBLANK(H502), ISBLANK(I502), ISBLANK(J502), ISBLANK(K502) ), "", 1.5*SQRT( EXP(2.21*(G502-1)) + EXP(2.21*(H502-1)) + EXP(2.21*(I502-1)) + EXP(2.21*(J502-1)) + EXP(2.21*K502) )/100*2.45 )</f>
        <v>1.0195048044558224</v>
      </c>
      <c r="M502" s="20" t="s">
        <v>134</v>
      </c>
    </row>
    <row r="503" spans="1:13" x14ac:dyDescent="0.2">
      <c r="A503" s="43" t="s">
        <v>132</v>
      </c>
      <c r="B503" s="12" t="s">
        <v>46</v>
      </c>
      <c r="C503" s="28" t="s">
        <v>64</v>
      </c>
      <c r="D503" s="21">
        <v>25.01748727479028</v>
      </c>
      <c r="E503" s="15" t="s">
        <v>133</v>
      </c>
      <c r="F503" s="16"/>
      <c r="G503" s="22">
        <v>1</v>
      </c>
      <c r="H503" s="23">
        <v>1</v>
      </c>
      <c r="I503" s="23">
        <v>1</v>
      </c>
      <c r="J503" s="23">
        <v>2</v>
      </c>
      <c r="K503" s="23">
        <v>3</v>
      </c>
      <c r="L503" s="25">
        <f>IF( OR( ISBLANK(G503),ISBLANK(H503), ISBLANK(I503), ISBLANK(J503), ISBLANK(K503) ), "", 1.5*SQRT(   EXP(2.21*(G503-1)) + EXP(2.21*(H503-1)) + EXP(2.21*(I503-1)) + EXP(2.21*(J503-1)) + EXP(2.21*K503)   )/100*2.45 )</f>
        <v>1.0195048044558224</v>
      </c>
      <c r="M503" s="20" t="s">
        <v>134</v>
      </c>
    </row>
    <row r="504" spans="1:13" x14ac:dyDescent="0.2">
      <c r="A504" s="43" t="s">
        <v>132</v>
      </c>
      <c r="B504" s="12" t="s">
        <v>48</v>
      </c>
      <c r="C504" s="28" t="s">
        <v>64</v>
      </c>
      <c r="D504" s="21">
        <v>25.584056196875508</v>
      </c>
      <c r="E504" s="15" t="s">
        <v>133</v>
      </c>
      <c r="F504" s="16" t="s">
        <v>16</v>
      </c>
      <c r="G504" s="22">
        <v>1</v>
      </c>
      <c r="H504" s="23">
        <v>1</v>
      </c>
      <c r="I504" s="23">
        <v>1</v>
      </c>
      <c r="J504" s="23">
        <v>2</v>
      </c>
      <c r="K504" s="23">
        <v>3</v>
      </c>
      <c r="L504" s="25">
        <f t="shared" ref="L504:L535" si="18">IF( OR( ISBLANK(G504),ISBLANK(H504), ISBLANK(I504), ISBLANK(J504), ISBLANK(K504) ), "", 1.5*SQRT( EXP(2.21*(G504-1)) + EXP(2.21*(H504-1)) + EXP(2.21*(I504-1)) + EXP(2.21*(J504-1)) + EXP(2.21*K504) )/100*2.45 )</f>
        <v>1.0195048044558224</v>
      </c>
      <c r="M504" s="20" t="s">
        <v>134</v>
      </c>
    </row>
    <row r="505" spans="1:13" x14ac:dyDescent="0.2">
      <c r="A505" s="43" t="s">
        <v>132</v>
      </c>
      <c r="B505" s="12" t="s">
        <v>50</v>
      </c>
      <c r="C505" s="28" t="s">
        <v>64</v>
      </c>
      <c r="D505" s="21">
        <v>18.69302583314229</v>
      </c>
      <c r="E505" s="15" t="s">
        <v>133</v>
      </c>
      <c r="F505" s="16" t="s">
        <v>16</v>
      </c>
      <c r="G505" s="22">
        <v>1</v>
      </c>
      <c r="H505" s="23">
        <v>1</v>
      </c>
      <c r="I505" s="23">
        <v>1</v>
      </c>
      <c r="J505" s="23">
        <v>2</v>
      </c>
      <c r="K505" s="23">
        <v>3</v>
      </c>
      <c r="L505" s="25">
        <f t="shared" si="18"/>
        <v>1.0195048044558224</v>
      </c>
      <c r="M505" s="20" t="s">
        <v>134</v>
      </c>
    </row>
    <row r="506" spans="1:13" x14ac:dyDescent="0.2">
      <c r="A506" s="43" t="s">
        <v>132</v>
      </c>
      <c r="B506" s="12" t="s">
        <v>52</v>
      </c>
      <c r="C506" s="28" t="s">
        <v>64</v>
      </c>
      <c r="D506" s="18">
        <v>0</v>
      </c>
      <c r="E506" s="15" t="s">
        <v>133</v>
      </c>
      <c r="F506" s="16"/>
      <c r="G506" s="17"/>
      <c r="H506" s="18"/>
      <c r="I506" s="18"/>
      <c r="J506" s="18"/>
      <c r="K506" s="18"/>
      <c r="L506" s="19" t="str">
        <f t="shared" si="18"/>
        <v/>
      </c>
      <c r="M506" s="20" t="s">
        <v>134</v>
      </c>
    </row>
    <row r="507" spans="1:13" x14ac:dyDescent="0.2">
      <c r="A507" s="43" t="s">
        <v>132</v>
      </c>
      <c r="B507" s="12" t="s">
        <v>54</v>
      </c>
      <c r="C507" s="28" t="s">
        <v>64</v>
      </c>
      <c r="D507" s="21">
        <v>3.0418357272862151</v>
      </c>
      <c r="E507" s="15" t="s">
        <v>133</v>
      </c>
      <c r="F507" s="16" t="s">
        <v>16</v>
      </c>
      <c r="G507" s="22">
        <v>1</v>
      </c>
      <c r="H507" s="23">
        <v>1</v>
      </c>
      <c r="I507" s="23">
        <v>1</v>
      </c>
      <c r="J507" s="23">
        <v>2</v>
      </c>
      <c r="K507" s="23">
        <v>3</v>
      </c>
      <c r="L507" s="25">
        <f t="shared" si="18"/>
        <v>1.0195048044558224</v>
      </c>
      <c r="M507" s="20" t="s">
        <v>134</v>
      </c>
    </row>
    <row r="508" spans="1:13" x14ac:dyDescent="0.2">
      <c r="A508" s="43" t="s">
        <v>132</v>
      </c>
      <c r="B508" s="12" t="s">
        <v>55</v>
      </c>
      <c r="C508" s="28" t="s">
        <v>64</v>
      </c>
      <c r="D508" s="18">
        <v>0</v>
      </c>
      <c r="E508" s="15" t="s">
        <v>133</v>
      </c>
      <c r="F508" s="16"/>
      <c r="G508" s="17"/>
      <c r="H508" s="18"/>
      <c r="I508" s="18"/>
      <c r="J508" s="18"/>
      <c r="K508" s="18"/>
      <c r="L508" s="19" t="str">
        <f t="shared" si="18"/>
        <v/>
      </c>
      <c r="M508" s="20" t="s">
        <v>134</v>
      </c>
    </row>
    <row r="509" spans="1:13" x14ac:dyDescent="0.2">
      <c r="A509" s="43" t="s">
        <v>132</v>
      </c>
      <c r="B509" s="12" t="s">
        <v>57</v>
      </c>
      <c r="C509" s="28" t="s">
        <v>64</v>
      </c>
      <c r="D509" s="21">
        <v>11.93448502889899</v>
      </c>
      <c r="E509" s="15" t="s">
        <v>133</v>
      </c>
      <c r="F509" s="16" t="s">
        <v>16</v>
      </c>
      <c r="G509" s="22">
        <v>1</v>
      </c>
      <c r="H509" s="23">
        <v>1</v>
      </c>
      <c r="I509" s="23">
        <v>1</v>
      </c>
      <c r="J509" s="23">
        <v>2</v>
      </c>
      <c r="K509" s="23">
        <v>3</v>
      </c>
      <c r="L509" s="25">
        <f t="shared" si="18"/>
        <v>1.0195048044558224</v>
      </c>
      <c r="M509" s="20" t="s">
        <v>134</v>
      </c>
    </row>
    <row r="510" spans="1:13" x14ac:dyDescent="0.2">
      <c r="A510" s="43" t="s">
        <v>132</v>
      </c>
      <c r="B510" s="12" t="s">
        <v>59</v>
      </c>
      <c r="C510" s="28" t="s">
        <v>64</v>
      </c>
      <c r="D510" s="21">
        <v>22.883221255335631</v>
      </c>
      <c r="E510" s="15" t="s">
        <v>133</v>
      </c>
      <c r="F510" s="16" t="s">
        <v>16</v>
      </c>
      <c r="G510" s="22">
        <v>1</v>
      </c>
      <c r="H510" s="23">
        <v>1</v>
      </c>
      <c r="I510" s="23">
        <v>1</v>
      </c>
      <c r="J510" s="23">
        <v>2</v>
      </c>
      <c r="K510" s="23">
        <v>3</v>
      </c>
      <c r="L510" s="25">
        <f t="shared" si="18"/>
        <v>1.0195048044558224</v>
      </c>
      <c r="M510" s="20" t="s">
        <v>134</v>
      </c>
    </row>
    <row r="511" spans="1:13" x14ac:dyDescent="0.2">
      <c r="A511" s="43" t="s">
        <v>132</v>
      </c>
      <c r="B511" s="12" t="s">
        <v>60</v>
      </c>
      <c r="C511" s="28" t="s">
        <v>64</v>
      </c>
      <c r="D511" s="21">
        <v>91.8265603771016</v>
      </c>
      <c r="E511" s="15" t="s">
        <v>133</v>
      </c>
      <c r="F511" s="16" t="s">
        <v>16</v>
      </c>
      <c r="G511" s="22">
        <v>1</v>
      </c>
      <c r="H511" s="23">
        <v>2</v>
      </c>
      <c r="I511" s="23">
        <v>1</v>
      </c>
      <c r="J511" s="23">
        <v>2</v>
      </c>
      <c r="K511" s="23">
        <v>3</v>
      </c>
      <c r="L511" s="24">
        <f t="shared" si="18"/>
        <v>1.0248662490928169</v>
      </c>
      <c r="M511" s="20" t="s">
        <v>134</v>
      </c>
    </row>
    <row r="512" spans="1:13" x14ac:dyDescent="0.2">
      <c r="A512" s="43" t="s">
        <v>132</v>
      </c>
      <c r="B512" s="22" t="s">
        <v>135</v>
      </c>
      <c r="C512" s="29" t="s">
        <v>66</v>
      </c>
      <c r="D512" s="18">
        <v>0</v>
      </c>
      <c r="E512" s="15" t="s">
        <v>133</v>
      </c>
      <c r="F512" s="16"/>
      <c r="G512" s="17"/>
      <c r="H512" s="18"/>
      <c r="I512" s="18"/>
      <c r="J512" s="18"/>
      <c r="K512" s="18"/>
      <c r="L512" s="19" t="str">
        <f t="shared" si="18"/>
        <v/>
      </c>
      <c r="M512" s="20" t="s">
        <v>134</v>
      </c>
    </row>
    <row r="513" spans="1:13" x14ac:dyDescent="0.2">
      <c r="A513" s="43" t="s">
        <v>132</v>
      </c>
      <c r="B513" s="22" t="s">
        <v>135</v>
      </c>
      <c r="C513" s="30" t="s">
        <v>94</v>
      </c>
      <c r="D513" s="18">
        <v>0</v>
      </c>
      <c r="E513" s="15" t="s">
        <v>133</v>
      </c>
      <c r="F513" s="16"/>
      <c r="G513" s="17"/>
      <c r="H513" s="18"/>
      <c r="I513" s="18"/>
      <c r="J513" s="18"/>
      <c r="K513" s="18"/>
      <c r="L513" s="19" t="str">
        <f t="shared" si="18"/>
        <v/>
      </c>
      <c r="M513" s="20" t="s">
        <v>134</v>
      </c>
    </row>
    <row r="514" spans="1:13" x14ac:dyDescent="0.2">
      <c r="A514" s="43" t="s">
        <v>132</v>
      </c>
      <c r="B514" s="22" t="s">
        <v>135</v>
      </c>
      <c r="C514" s="31" t="s">
        <v>96</v>
      </c>
      <c r="D514" s="18">
        <v>0</v>
      </c>
      <c r="E514" s="15" t="s">
        <v>133</v>
      </c>
      <c r="F514" s="16"/>
      <c r="G514" s="17"/>
      <c r="H514" s="18"/>
      <c r="I514" s="18"/>
      <c r="J514" s="18"/>
      <c r="K514" s="18"/>
      <c r="L514" s="19" t="str">
        <f t="shared" si="18"/>
        <v/>
      </c>
      <c r="M514" s="20" t="s">
        <v>134</v>
      </c>
    </row>
    <row r="515" spans="1:13" x14ac:dyDescent="0.2">
      <c r="A515" s="43" t="s">
        <v>132</v>
      </c>
      <c r="B515" s="12" t="s">
        <v>13</v>
      </c>
      <c r="C515" s="32" t="s">
        <v>98</v>
      </c>
      <c r="D515" s="21">
        <v>37.185866929682859</v>
      </c>
      <c r="E515" s="15" t="s">
        <v>133</v>
      </c>
      <c r="F515" s="16" t="s">
        <v>16</v>
      </c>
      <c r="G515" s="22">
        <v>1</v>
      </c>
      <c r="H515" s="23">
        <v>1</v>
      </c>
      <c r="I515" s="23">
        <v>1</v>
      </c>
      <c r="J515" s="23">
        <v>2</v>
      </c>
      <c r="K515" s="23">
        <v>3</v>
      </c>
      <c r="L515" s="25">
        <f t="shared" si="18"/>
        <v>1.0195048044558224</v>
      </c>
      <c r="M515" s="20" t="s">
        <v>134</v>
      </c>
    </row>
    <row r="516" spans="1:13" x14ac:dyDescent="0.2">
      <c r="A516" s="43" t="s">
        <v>132</v>
      </c>
      <c r="B516" s="12" t="s">
        <v>18</v>
      </c>
      <c r="C516" s="32" t="s">
        <v>98</v>
      </c>
      <c r="D516" s="21">
        <v>50.122895260381512</v>
      </c>
      <c r="E516" s="15" t="s">
        <v>133</v>
      </c>
      <c r="F516" s="16" t="s">
        <v>16</v>
      </c>
      <c r="G516" s="22">
        <v>1</v>
      </c>
      <c r="H516" s="23">
        <v>1</v>
      </c>
      <c r="I516" s="23">
        <v>1</v>
      </c>
      <c r="J516" s="23">
        <v>2</v>
      </c>
      <c r="K516" s="23">
        <v>3</v>
      </c>
      <c r="L516" s="25">
        <f t="shared" si="18"/>
        <v>1.0195048044558224</v>
      </c>
      <c r="M516" s="20" t="s">
        <v>134</v>
      </c>
    </row>
    <row r="517" spans="1:13" x14ac:dyDescent="0.2">
      <c r="A517" s="43" t="s">
        <v>132</v>
      </c>
      <c r="B517" s="12" t="s">
        <v>20</v>
      </c>
      <c r="C517" s="32" t="s">
        <v>98</v>
      </c>
      <c r="D517" s="21">
        <v>19.018832883423169</v>
      </c>
      <c r="E517" s="15" t="s">
        <v>133</v>
      </c>
      <c r="F517" s="16" t="s">
        <v>16</v>
      </c>
      <c r="G517" s="22">
        <v>1</v>
      </c>
      <c r="H517" s="23">
        <v>1</v>
      </c>
      <c r="I517" s="23">
        <v>1</v>
      </c>
      <c r="J517" s="23">
        <v>2</v>
      </c>
      <c r="K517" s="23">
        <v>3</v>
      </c>
      <c r="L517" s="25">
        <f t="shared" si="18"/>
        <v>1.0195048044558224</v>
      </c>
      <c r="M517" s="20" t="s">
        <v>134</v>
      </c>
    </row>
    <row r="518" spans="1:13" x14ac:dyDescent="0.2">
      <c r="A518" s="43" t="s">
        <v>132</v>
      </c>
      <c r="B518" s="12" t="s">
        <v>22</v>
      </c>
      <c r="C518" s="32" t="s">
        <v>98</v>
      </c>
      <c r="D518" s="21">
        <v>2.5169799148986929</v>
      </c>
      <c r="E518" s="15" t="s">
        <v>133</v>
      </c>
      <c r="F518" s="16" t="s">
        <v>16</v>
      </c>
      <c r="G518" s="22">
        <v>1</v>
      </c>
      <c r="H518" s="23">
        <v>1</v>
      </c>
      <c r="I518" s="23">
        <v>1</v>
      </c>
      <c r="J518" s="23">
        <v>2</v>
      </c>
      <c r="K518" s="23">
        <v>3</v>
      </c>
      <c r="L518" s="25">
        <f t="shared" si="18"/>
        <v>1.0195048044558224</v>
      </c>
      <c r="M518" s="20" t="s">
        <v>134</v>
      </c>
    </row>
    <row r="519" spans="1:13" x14ac:dyDescent="0.2">
      <c r="A519" s="43" t="s">
        <v>132</v>
      </c>
      <c r="B519" s="12" t="s">
        <v>23</v>
      </c>
      <c r="C519" s="32" t="s">
        <v>98</v>
      </c>
      <c r="D519" s="21">
        <v>2.2788957392817939</v>
      </c>
      <c r="E519" s="15" t="s">
        <v>133</v>
      </c>
      <c r="F519" s="16" t="s">
        <v>16</v>
      </c>
      <c r="G519" s="22">
        <v>1</v>
      </c>
      <c r="H519" s="23">
        <v>1</v>
      </c>
      <c r="I519" s="23">
        <v>1</v>
      </c>
      <c r="J519" s="23">
        <v>2</v>
      </c>
      <c r="K519" s="23">
        <v>3</v>
      </c>
      <c r="L519" s="25">
        <f t="shared" si="18"/>
        <v>1.0195048044558224</v>
      </c>
      <c r="M519" s="20" t="s">
        <v>134</v>
      </c>
    </row>
    <row r="520" spans="1:13" x14ac:dyDescent="0.2">
      <c r="A520" s="43" t="s">
        <v>132</v>
      </c>
      <c r="B520" s="12" t="s">
        <v>24</v>
      </c>
      <c r="C520" s="32" t="s">
        <v>98</v>
      </c>
      <c r="D520" s="21">
        <v>32.66885833086944</v>
      </c>
      <c r="E520" s="15" t="s">
        <v>133</v>
      </c>
      <c r="F520" s="16" t="s">
        <v>16</v>
      </c>
      <c r="G520" s="22">
        <v>1</v>
      </c>
      <c r="H520" s="23">
        <v>1</v>
      </c>
      <c r="I520" s="23">
        <v>1</v>
      </c>
      <c r="J520" s="23">
        <v>2</v>
      </c>
      <c r="K520" s="23">
        <v>3</v>
      </c>
      <c r="L520" s="25">
        <f t="shared" si="18"/>
        <v>1.0195048044558224</v>
      </c>
      <c r="M520" s="20" t="s">
        <v>134</v>
      </c>
    </row>
    <row r="521" spans="1:13" x14ac:dyDescent="0.2">
      <c r="A521" s="43" t="s">
        <v>132</v>
      </c>
      <c r="B521" s="12" t="s">
        <v>25</v>
      </c>
      <c r="C521" s="32" t="s">
        <v>98</v>
      </c>
      <c r="D521" s="21">
        <v>28.473016355011371</v>
      </c>
      <c r="E521" s="15" t="s">
        <v>133</v>
      </c>
      <c r="F521" s="16" t="s">
        <v>16</v>
      </c>
      <c r="G521" s="22">
        <v>1</v>
      </c>
      <c r="H521" s="23">
        <v>1</v>
      </c>
      <c r="I521" s="23">
        <v>1</v>
      </c>
      <c r="J521" s="23">
        <v>2</v>
      </c>
      <c r="K521" s="23">
        <v>3</v>
      </c>
      <c r="L521" s="25">
        <f t="shared" si="18"/>
        <v>1.0195048044558224</v>
      </c>
      <c r="M521" s="20" t="s">
        <v>134</v>
      </c>
    </row>
    <row r="522" spans="1:13" x14ac:dyDescent="0.2">
      <c r="A522" s="43" t="s">
        <v>132</v>
      </c>
      <c r="B522" s="12" t="s">
        <v>26</v>
      </c>
      <c r="C522" s="32" t="s">
        <v>98</v>
      </c>
      <c r="D522" s="21">
        <v>6.6719486109770063</v>
      </c>
      <c r="E522" s="15" t="s">
        <v>133</v>
      </c>
      <c r="F522" s="16" t="s">
        <v>16</v>
      </c>
      <c r="G522" s="22">
        <v>1</v>
      </c>
      <c r="H522" s="23">
        <v>1</v>
      </c>
      <c r="I522" s="23">
        <v>1</v>
      </c>
      <c r="J522" s="23">
        <v>2</v>
      </c>
      <c r="K522" s="23">
        <v>3</v>
      </c>
      <c r="L522" s="25">
        <f t="shared" si="18"/>
        <v>1.0195048044558224</v>
      </c>
      <c r="M522" s="20" t="s">
        <v>134</v>
      </c>
    </row>
    <row r="523" spans="1:13" x14ac:dyDescent="0.2">
      <c r="A523" s="43" t="s">
        <v>132</v>
      </c>
      <c r="B523" s="12" t="s">
        <v>27</v>
      </c>
      <c r="C523" s="32" t="s">
        <v>98</v>
      </c>
      <c r="D523" s="21">
        <v>19.54654172312064</v>
      </c>
      <c r="E523" s="15" t="s">
        <v>133</v>
      </c>
      <c r="F523" s="16" t="s">
        <v>16</v>
      </c>
      <c r="G523" s="22">
        <v>1</v>
      </c>
      <c r="H523" s="23">
        <v>1</v>
      </c>
      <c r="I523" s="23">
        <v>1</v>
      </c>
      <c r="J523" s="23">
        <v>2</v>
      </c>
      <c r="K523" s="23">
        <v>3</v>
      </c>
      <c r="L523" s="25">
        <f t="shared" si="18"/>
        <v>1.0195048044558224</v>
      </c>
      <c r="M523" s="20" t="s">
        <v>134</v>
      </c>
    </row>
    <row r="524" spans="1:13" x14ac:dyDescent="0.2">
      <c r="A524" s="43" t="s">
        <v>132</v>
      </c>
      <c r="B524" s="12" t="s">
        <v>28</v>
      </c>
      <c r="C524" s="32" t="s">
        <v>98</v>
      </c>
      <c r="D524" s="21">
        <v>267.08411069000317</v>
      </c>
      <c r="E524" s="15" t="s">
        <v>133</v>
      </c>
      <c r="F524" s="16" t="s">
        <v>16</v>
      </c>
      <c r="G524" s="22">
        <v>1</v>
      </c>
      <c r="H524" s="23">
        <v>1</v>
      </c>
      <c r="I524" s="23">
        <v>1</v>
      </c>
      <c r="J524" s="23">
        <v>2</v>
      </c>
      <c r="K524" s="23">
        <v>3</v>
      </c>
      <c r="L524" s="25">
        <f t="shared" si="18"/>
        <v>1.0195048044558224</v>
      </c>
      <c r="M524" s="20" t="s">
        <v>134</v>
      </c>
    </row>
    <row r="525" spans="1:13" x14ac:dyDescent="0.2">
      <c r="A525" s="43" t="s">
        <v>132</v>
      </c>
      <c r="B525" s="12" t="s">
        <v>30</v>
      </c>
      <c r="C525" s="32" t="s">
        <v>98</v>
      </c>
      <c r="D525" s="21">
        <v>255.95635983693771</v>
      </c>
      <c r="E525" s="15" t="s">
        <v>133</v>
      </c>
      <c r="F525" s="16" t="s">
        <v>16</v>
      </c>
      <c r="G525" s="22">
        <v>1</v>
      </c>
      <c r="H525" s="23">
        <v>1</v>
      </c>
      <c r="I525" s="23">
        <v>1</v>
      </c>
      <c r="J525" s="23">
        <v>2</v>
      </c>
      <c r="K525" s="23">
        <v>3</v>
      </c>
      <c r="L525" s="24">
        <f t="shared" si="18"/>
        <v>1.0195048044558224</v>
      </c>
      <c r="M525" s="20" t="s">
        <v>134</v>
      </c>
    </row>
    <row r="526" spans="1:13" x14ac:dyDescent="0.2">
      <c r="A526" s="43" t="s">
        <v>132</v>
      </c>
      <c r="B526" s="12" t="s">
        <v>32</v>
      </c>
      <c r="C526" s="32" t="s">
        <v>98</v>
      </c>
      <c r="D526" s="21">
        <v>34.477754184600158</v>
      </c>
      <c r="E526" s="15" t="s">
        <v>133</v>
      </c>
      <c r="F526" s="16" t="s">
        <v>16</v>
      </c>
      <c r="G526" s="22">
        <v>1</v>
      </c>
      <c r="H526" s="23">
        <v>1</v>
      </c>
      <c r="I526" s="23">
        <v>1</v>
      </c>
      <c r="J526" s="23">
        <v>2</v>
      </c>
      <c r="K526" s="23">
        <v>3</v>
      </c>
      <c r="L526" s="25">
        <f t="shared" si="18"/>
        <v>1.0195048044558224</v>
      </c>
      <c r="M526" s="20" t="s">
        <v>134</v>
      </c>
    </row>
    <row r="527" spans="1:13" x14ac:dyDescent="0.2">
      <c r="A527" s="43" t="s">
        <v>132</v>
      </c>
      <c r="B527" s="12" t="s">
        <v>34</v>
      </c>
      <c r="C527" s="32" t="s">
        <v>98</v>
      </c>
      <c r="D527" s="21">
        <v>57.720547624254714</v>
      </c>
      <c r="E527" s="15" t="s">
        <v>133</v>
      </c>
      <c r="F527" s="16" t="s">
        <v>16</v>
      </c>
      <c r="G527" s="22">
        <v>1</v>
      </c>
      <c r="H527" s="23">
        <v>1</v>
      </c>
      <c r="I527" s="23">
        <v>1</v>
      </c>
      <c r="J527" s="23">
        <v>2</v>
      </c>
      <c r="K527" s="23">
        <v>3</v>
      </c>
      <c r="L527" s="25">
        <f t="shared" si="18"/>
        <v>1.0195048044558224</v>
      </c>
      <c r="M527" s="20" t="s">
        <v>134</v>
      </c>
    </row>
    <row r="528" spans="1:13" x14ac:dyDescent="0.2">
      <c r="A528" s="43" t="s">
        <v>132</v>
      </c>
      <c r="B528" s="12" t="s">
        <v>36</v>
      </c>
      <c r="C528" s="32" t="s">
        <v>98</v>
      </c>
      <c r="D528" s="18">
        <v>0</v>
      </c>
      <c r="E528" s="15" t="s">
        <v>133</v>
      </c>
      <c r="F528" s="16"/>
      <c r="G528" s="17"/>
      <c r="H528" s="18"/>
      <c r="I528" s="18"/>
      <c r="J528" s="18"/>
      <c r="K528" s="18"/>
      <c r="L528" s="19" t="str">
        <f t="shared" si="18"/>
        <v/>
      </c>
      <c r="M528" s="20" t="s">
        <v>134</v>
      </c>
    </row>
    <row r="529" spans="1:13" x14ac:dyDescent="0.2">
      <c r="A529" s="43" t="s">
        <v>132</v>
      </c>
      <c r="B529" s="12" t="s">
        <v>37</v>
      </c>
      <c r="C529" s="32" t="s">
        <v>98</v>
      </c>
      <c r="D529" s="21">
        <v>164.85462833558171</v>
      </c>
      <c r="E529" s="15" t="s">
        <v>133</v>
      </c>
      <c r="F529" s="16" t="s">
        <v>16</v>
      </c>
      <c r="G529" s="22">
        <v>1</v>
      </c>
      <c r="H529" s="23">
        <v>1</v>
      </c>
      <c r="I529" s="23">
        <v>1</v>
      </c>
      <c r="J529" s="23">
        <v>2</v>
      </c>
      <c r="K529" s="23">
        <v>3</v>
      </c>
      <c r="L529" s="24">
        <f t="shared" si="18"/>
        <v>1.0195048044558224</v>
      </c>
      <c r="M529" s="20" t="s">
        <v>134</v>
      </c>
    </row>
    <row r="530" spans="1:13" x14ac:dyDescent="0.2">
      <c r="A530" s="43" t="s">
        <v>132</v>
      </c>
      <c r="B530" s="12" t="s">
        <v>39</v>
      </c>
      <c r="C530" s="32" t="s">
        <v>98</v>
      </c>
      <c r="D530" s="21">
        <v>5.8388824165566504</v>
      </c>
      <c r="E530" s="15" t="s">
        <v>133</v>
      </c>
      <c r="F530" s="16" t="s">
        <v>16</v>
      </c>
      <c r="G530" s="22">
        <v>1</v>
      </c>
      <c r="H530" s="23">
        <v>1</v>
      </c>
      <c r="I530" s="23">
        <v>1</v>
      </c>
      <c r="J530" s="23">
        <v>2</v>
      </c>
      <c r="K530" s="23">
        <v>3</v>
      </c>
      <c r="L530" s="25">
        <f t="shared" si="18"/>
        <v>1.0195048044558224</v>
      </c>
      <c r="M530" s="20" t="s">
        <v>134</v>
      </c>
    </row>
    <row r="531" spans="1:13" x14ac:dyDescent="0.2">
      <c r="A531" s="43" t="s">
        <v>132</v>
      </c>
      <c r="B531" s="12" t="s">
        <v>40</v>
      </c>
      <c r="C531" s="32" t="s">
        <v>98</v>
      </c>
      <c r="D531" s="18">
        <v>0</v>
      </c>
      <c r="E531" s="15" t="s">
        <v>133</v>
      </c>
      <c r="F531" s="16"/>
      <c r="G531" s="17"/>
      <c r="H531" s="18"/>
      <c r="I531" s="18"/>
      <c r="J531" s="18"/>
      <c r="K531" s="18"/>
      <c r="L531" s="19" t="str">
        <f t="shared" si="18"/>
        <v/>
      </c>
      <c r="M531" s="20" t="s">
        <v>134</v>
      </c>
    </row>
    <row r="532" spans="1:13" x14ac:dyDescent="0.2">
      <c r="A532" s="43" t="s">
        <v>132</v>
      </c>
      <c r="B532" s="12" t="s">
        <v>41</v>
      </c>
      <c r="C532" s="32" t="s">
        <v>98</v>
      </c>
      <c r="D532" s="21">
        <v>3.0468233176482502</v>
      </c>
      <c r="E532" s="15" t="s">
        <v>133</v>
      </c>
      <c r="F532" s="16" t="s">
        <v>16</v>
      </c>
      <c r="G532" s="22">
        <v>1</v>
      </c>
      <c r="H532" s="23">
        <v>1</v>
      </c>
      <c r="I532" s="23">
        <v>1</v>
      </c>
      <c r="J532" s="23">
        <v>2</v>
      </c>
      <c r="K532" s="23">
        <v>3</v>
      </c>
      <c r="L532" s="25">
        <f t="shared" si="18"/>
        <v>1.0195048044558224</v>
      </c>
      <c r="M532" s="20" t="s">
        <v>134</v>
      </c>
    </row>
    <row r="533" spans="1:13" x14ac:dyDescent="0.2">
      <c r="A533" s="43" t="s">
        <v>132</v>
      </c>
      <c r="B533" s="12" t="s">
        <v>42</v>
      </c>
      <c r="C533" s="32" t="s">
        <v>98</v>
      </c>
      <c r="D533" s="21">
        <v>1.7579068069958781</v>
      </c>
      <c r="E533" s="15" t="s">
        <v>133</v>
      </c>
      <c r="F533" s="16" t="s">
        <v>16</v>
      </c>
      <c r="G533" s="22">
        <v>1</v>
      </c>
      <c r="H533" s="23">
        <v>1</v>
      </c>
      <c r="I533" s="23">
        <v>1</v>
      </c>
      <c r="J533" s="23">
        <v>2</v>
      </c>
      <c r="K533" s="23">
        <v>3</v>
      </c>
      <c r="L533" s="25">
        <f t="shared" si="18"/>
        <v>1.0195048044558224</v>
      </c>
      <c r="M533" s="20" t="s">
        <v>134</v>
      </c>
    </row>
    <row r="534" spans="1:13" x14ac:dyDescent="0.2">
      <c r="A534" s="43" t="s">
        <v>132</v>
      </c>
      <c r="B534" s="12" t="s">
        <v>43</v>
      </c>
      <c r="C534" s="32" t="s">
        <v>98</v>
      </c>
      <c r="D534" s="21">
        <v>81.387967973422377</v>
      </c>
      <c r="E534" s="15" t="s">
        <v>133</v>
      </c>
      <c r="F534" s="16" t="s">
        <v>16</v>
      </c>
      <c r="G534" s="22">
        <v>1</v>
      </c>
      <c r="H534" s="23">
        <v>1</v>
      </c>
      <c r="I534" s="23">
        <v>1</v>
      </c>
      <c r="J534" s="23">
        <v>2</v>
      </c>
      <c r="K534" s="23">
        <v>3</v>
      </c>
      <c r="L534" s="25">
        <f t="shared" si="18"/>
        <v>1.0195048044558224</v>
      </c>
      <c r="M534" s="20" t="s">
        <v>134</v>
      </c>
    </row>
    <row r="535" spans="1:13" x14ac:dyDescent="0.2">
      <c r="A535" s="43" t="s">
        <v>132</v>
      </c>
      <c r="B535" s="12" t="s">
        <v>45</v>
      </c>
      <c r="C535" s="32" t="s">
        <v>98</v>
      </c>
      <c r="D535" s="21">
        <v>30.825582160337191</v>
      </c>
      <c r="E535" s="15" t="s">
        <v>133</v>
      </c>
      <c r="F535" s="16" t="s">
        <v>16</v>
      </c>
      <c r="G535" s="22">
        <v>1</v>
      </c>
      <c r="H535" s="23">
        <v>1</v>
      </c>
      <c r="I535" s="23">
        <v>1</v>
      </c>
      <c r="J535" s="23">
        <v>2</v>
      </c>
      <c r="K535" s="23">
        <v>3</v>
      </c>
      <c r="L535" s="25">
        <f t="shared" si="18"/>
        <v>1.0195048044558224</v>
      </c>
      <c r="M535" s="20" t="s">
        <v>134</v>
      </c>
    </row>
    <row r="536" spans="1:13" x14ac:dyDescent="0.2">
      <c r="A536" s="43" t="s">
        <v>132</v>
      </c>
      <c r="B536" s="12" t="s">
        <v>46</v>
      </c>
      <c r="C536" s="32" t="s">
        <v>98</v>
      </c>
      <c r="D536" s="21">
        <v>51.687530556165783</v>
      </c>
      <c r="E536" s="15" t="s">
        <v>133</v>
      </c>
      <c r="F536" s="16"/>
      <c r="G536" s="22">
        <v>1</v>
      </c>
      <c r="H536" s="23">
        <v>1</v>
      </c>
      <c r="I536" s="23">
        <v>1</v>
      </c>
      <c r="J536" s="23">
        <v>2</v>
      </c>
      <c r="K536" s="23">
        <v>3</v>
      </c>
      <c r="L536" s="25">
        <f>IF( OR( ISBLANK(G536),ISBLANK(H536), ISBLANK(I536), ISBLANK(J536), ISBLANK(K536) ), "", 1.5*SQRT(   EXP(2.21*(G536-1)) + EXP(2.21*(H536-1)) + EXP(2.21*(I536-1)) + EXP(2.21*(J536-1)) + EXP(2.21*K536)   )/100*2.45 )</f>
        <v>1.0195048044558224</v>
      </c>
      <c r="M536" s="20" t="s">
        <v>134</v>
      </c>
    </row>
    <row r="537" spans="1:13" x14ac:dyDescent="0.2">
      <c r="A537" s="43" t="s">
        <v>132</v>
      </c>
      <c r="B537" s="12" t="s">
        <v>48</v>
      </c>
      <c r="C537" s="32" t="s">
        <v>98</v>
      </c>
      <c r="D537" s="21">
        <v>51.673744252125793</v>
      </c>
      <c r="E537" s="15" t="s">
        <v>133</v>
      </c>
      <c r="F537" s="16" t="s">
        <v>16</v>
      </c>
      <c r="G537" s="22">
        <v>1</v>
      </c>
      <c r="H537" s="23">
        <v>1</v>
      </c>
      <c r="I537" s="23">
        <v>1</v>
      </c>
      <c r="J537" s="23">
        <v>2</v>
      </c>
      <c r="K537" s="23">
        <v>3</v>
      </c>
      <c r="L537" s="25">
        <f>IF( OR( ISBLANK(G537),ISBLANK(H537), ISBLANK(I537), ISBLANK(J537), ISBLANK(K537) ), "", 1.5*SQRT( EXP(2.21*(G537-1)) + EXP(2.21*(H537-1)) + EXP(2.21*(I537-1)) + EXP(2.21*(J537-1)) + EXP(2.21*K537) )/100*2.45 )</f>
        <v>1.0195048044558224</v>
      </c>
      <c r="M537" s="20" t="s">
        <v>134</v>
      </c>
    </row>
    <row r="538" spans="1:13" x14ac:dyDescent="0.2">
      <c r="A538" s="43" t="s">
        <v>132</v>
      </c>
      <c r="B538" s="12" t="s">
        <v>50</v>
      </c>
      <c r="C538" s="32" t="s">
        <v>98</v>
      </c>
      <c r="D538" s="21">
        <v>60.050932916772723</v>
      </c>
      <c r="E538" s="15" t="s">
        <v>133</v>
      </c>
      <c r="F538" s="16" t="s">
        <v>16</v>
      </c>
      <c r="G538" s="22">
        <v>1</v>
      </c>
      <c r="H538" s="23">
        <v>1</v>
      </c>
      <c r="I538" s="23">
        <v>1</v>
      </c>
      <c r="J538" s="23">
        <v>2</v>
      </c>
      <c r="K538" s="23">
        <v>3</v>
      </c>
      <c r="L538" s="25">
        <f>IF( OR( ISBLANK(G538),ISBLANK(H538), ISBLANK(I538), ISBLANK(J538), ISBLANK(K538) ), "", 1.5*SQRT( EXP(2.21*(G538-1)) + EXP(2.21*(H538-1)) + EXP(2.21*(I538-1)) + EXP(2.21*(J538-1)) + EXP(2.21*K538) )/100*2.45 )</f>
        <v>1.0195048044558224</v>
      </c>
      <c r="M538" s="20" t="s">
        <v>134</v>
      </c>
    </row>
    <row r="539" spans="1:13" x14ac:dyDescent="0.2">
      <c r="A539" s="43" t="s">
        <v>132</v>
      </c>
      <c r="B539" s="12" t="s">
        <v>52</v>
      </c>
      <c r="C539" s="32" t="s">
        <v>98</v>
      </c>
      <c r="D539" s="21">
        <v>15.96430091109565</v>
      </c>
      <c r="E539" s="15" t="s">
        <v>133</v>
      </c>
      <c r="F539" s="16" t="s">
        <v>16</v>
      </c>
      <c r="G539" s="22">
        <v>1</v>
      </c>
      <c r="H539" s="23">
        <v>1</v>
      </c>
      <c r="I539" s="23">
        <v>1</v>
      </c>
      <c r="J539" s="23">
        <v>2</v>
      </c>
      <c r="K539" s="23">
        <v>3</v>
      </c>
      <c r="L539" s="25">
        <f>IF( OR( ISBLANK(G539),ISBLANK(H539), ISBLANK(I539), ISBLANK(J539), ISBLANK(K539) ), "", 1.5*SQRT( EXP(2.21*(G539-1)) + EXP(2.21*(H539-1)) + EXP(2.21*(I539-1)) + EXP(2.21*(J539-1)) + EXP(2.21*K539) )/100*2.45 )</f>
        <v>1.0195048044558224</v>
      </c>
      <c r="M539" s="20" t="s">
        <v>134</v>
      </c>
    </row>
    <row r="540" spans="1:13" x14ac:dyDescent="0.2">
      <c r="A540" s="43" t="s">
        <v>132</v>
      </c>
      <c r="B540" s="12" t="s">
        <v>54</v>
      </c>
      <c r="C540" s="32" t="s">
        <v>98</v>
      </c>
      <c r="D540" s="21">
        <v>6.179988074377281</v>
      </c>
      <c r="E540" s="15" t="s">
        <v>133</v>
      </c>
      <c r="F540" s="16" t="s">
        <v>16</v>
      </c>
      <c r="G540" s="22">
        <v>1</v>
      </c>
      <c r="H540" s="23">
        <v>1</v>
      </c>
      <c r="I540" s="23">
        <v>1</v>
      </c>
      <c r="J540" s="23">
        <v>2</v>
      </c>
      <c r="K540" s="23">
        <v>3</v>
      </c>
      <c r="L540" s="25">
        <f>IF( OR( ISBLANK(G540),ISBLANK(H540), ISBLANK(I540), ISBLANK(J540), ISBLANK(K540) ), "", 1.5*SQRT( EXP(2.21*(G540-1)) + EXP(2.21*(H540-1)) + EXP(2.21*(I540-1)) + EXP(2.21*(J540-1)) + EXP(2.21*K540) )/100*2.45 )</f>
        <v>1.0195048044558224</v>
      </c>
      <c r="M540" s="20" t="s">
        <v>134</v>
      </c>
    </row>
    <row r="541" spans="1:13" x14ac:dyDescent="0.2">
      <c r="A541" s="43" t="s">
        <v>132</v>
      </c>
      <c r="B541" s="12" t="s">
        <v>55</v>
      </c>
      <c r="C541" s="32" t="s">
        <v>98</v>
      </c>
      <c r="D541" s="21">
        <v>0</v>
      </c>
      <c r="E541" s="15" t="s">
        <v>133</v>
      </c>
      <c r="F541" s="16"/>
      <c r="G541" s="22">
        <v>1</v>
      </c>
      <c r="H541" s="23">
        <v>1</v>
      </c>
      <c r="I541" s="23">
        <v>1</v>
      </c>
      <c r="J541" s="23">
        <v>2</v>
      </c>
      <c r="K541" s="23">
        <v>3</v>
      </c>
      <c r="L541" s="25">
        <f>IF( OR( ISBLANK(G541),ISBLANK(H541), ISBLANK(I541), ISBLANK(J541), ISBLANK(K541) ), "", 1.5*SQRT(   EXP(2.21*(G541-1)) + EXP(2.21*(H541-1)) + EXP(2.21*(I541-1)) + EXP(2.21*(J541-1)) + EXP(2.21*K541)   )/100*2.45 )</f>
        <v>1.0195048044558224</v>
      </c>
      <c r="M541" s="20" t="s">
        <v>134</v>
      </c>
    </row>
    <row r="542" spans="1:13" x14ac:dyDescent="0.2">
      <c r="A542" s="43" t="s">
        <v>132</v>
      </c>
      <c r="B542" s="12" t="s">
        <v>57</v>
      </c>
      <c r="C542" s="32" t="s">
        <v>98</v>
      </c>
      <c r="D542" s="21">
        <v>30.90268248789631</v>
      </c>
      <c r="E542" s="15" t="s">
        <v>133</v>
      </c>
      <c r="F542" s="16" t="s">
        <v>16</v>
      </c>
      <c r="G542" s="22">
        <v>1</v>
      </c>
      <c r="H542" s="23">
        <v>1</v>
      </c>
      <c r="I542" s="23">
        <v>1</v>
      </c>
      <c r="J542" s="23">
        <v>2</v>
      </c>
      <c r="K542" s="23">
        <v>3</v>
      </c>
      <c r="L542" s="25">
        <f t="shared" ref="L542:L556" si="19">IF( OR( ISBLANK(G542),ISBLANK(H542), ISBLANK(I542), ISBLANK(J542), ISBLANK(K542) ), "", 1.5*SQRT( EXP(2.21*(G542-1)) + EXP(2.21*(H542-1)) + EXP(2.21*(I542-1)) + EXP(2.21*(J542-1)) + EXP(2.21*K542) )/100*2.45 )</f>
        <v>1.0195048044558224</v>
      </c>
      <c r="M542" s="20" t="s">
        <v>134</v>
      </c>
    </row>
    <row r="543" spans="1:13" x14ac:dyDescent="0.2">
      <c r="A543" s="43" t="s">
        <v>132</v>
      </c>
      <c r="B543" s="12" t="s">
        <v>59</v>
      </c>
      <c r="C543" s="32" t="s">
        <v>98</v>
      </c>
      <c r="D543" s="21">
        <v>46.499607972402799</v>
      </c>
      <c r="E543" s="15" t="s">
        <v>133</v>
      </c>
      <c r="F543" s="16" t="s">
        <v>16</v>
      </c>
      <c r="G543" s="22">
        <v>1</v>
      </c>
      <c r="H543" s="23">
        <v>1</v>
      </c>
      <c r="I543" s="23">
        <v>1</v>
      </c>
      <c r="J543" s="23">
        <v>2</v>
      </c>
      <c r="K543" s="23">
        <v>3</v>
      </c>
      <c r="L543" s="25">
        <f t="shared" si="19"/>
        <v>1.0195048044558224</v>
      </c>
      <c r="M543" s="20" t="s">
        <v>134</v>
      </c>
    </row>
    <row r="544" spans="1:13" x14ac:dyDescent="0.2">
      <c r="A544" s="45" t="s">
        <v>132</v>
      </c>
      <c r="B544" s="34" t="s">
        <v>60</v>
      </c>
      <c r="C544" s="35" t="s">
        <v>98</v>
      </c>
      <c r="D544" s="36">
        <v>219.48322410635839</v>
      </c>
      <c r="E544" s="37" t="s">
        <v>133</v>
      </c>
      <c r="F544" s="38" t="s">
        <v>16</v>
      </c>
      <c r="G544" s="39">
        <v>1</v>
      </c>
      <c r="H544" s="40">
        <v>2</v>
      </c>
      <c r="I544" s="40">
        <v>1</v>
      </c>
      <c r="J544" s="40">
        <v>2</v>
      </c>
      <c r="K544" s="40">
        <v>3</v>
      </c>
      <c r="L544" s="41">
        <f t="shared" si="19"/>
        <v>1.0248662490928169</v>
      </c>
      <c r="M544" s="42" t="s">
        <v>134</v>
      </c>
    </row>
    <row r="545" spans="1:13" x14ac:dyDescent="0.2">
      <c r="A545" s="43" t="s">
        <v>136</v>
      </c>
      <c r="B545" s="12" t="s">
        <v>13</v>
      </c>
      <c r="C545" s="13" t="s">
        <v>14</v>
      </c>
      <c r="D545" s="44">
        <v>81.529961970992034</v>
      </c>
      <c r="E545" s="15" t="s">
        <v>133</v>
      </c>
      <c r="F545" s="16" t="s">
        <v>16</v>
      </c>
      <c r="G545" s="22">
        <v>1</v>
      </c>
      <c r="H545" s="23">
        <v>1</v>
      </c>
      <c r="I545" s="23">
        <v>1</v>
      </c>
      <c r="J545" s="23">
        <v>2</v>
      </c>
      <c r="K545" s="23">
        <v>3</v>
      </c>
      <c r="L545" s="25">
        <f t="shared" si="19"/>
        <v>1.0195048044558224</v>
      </c>
      <c r="M545" s="20" t="s">
        <v>134</v>
      </c>
    </row>
    <row r="546" spans="1:13" x14ac:dyDescent="0.2">
      <c r="A546" s="43" t="s">
        <v>136</v>
      </c>
      <c r="B546" s="12" t="s">
        <v>18</v>
      </c>
      <c r="C546" s="13" t="s">
        <v>14</v>
      </c>
      <c r="D546" s="18">
        <v>0</v>
      </c>
      <c r="E546" s="15" t="s">
        <v>133</v>
      </c>
      <c r="F546" s="16"/>
      <c r="G546" s="17"/>
      <c r="H546" s="18"/>
      <c r="I546" s="18"/>
      <c r="J546" s="18"/>
      <c r="K546" s="18"/>
      <c r="L546" s="19" t="str">
        <f t="shared" si="19"/>
        <v/>
      </c>
      <c r="M546" s="20" t="s">
        <v>134</v>
      </c>
    </row>
    <row r="547" spans="1:13" x14ac:dyDescent="0.2">
      <c r="A547" s="43" t="s">
        <v>136</v>
      </c>
      <c r="B547" s="12" t="s">
        <v>20</v>
      </c>
      <c r="C547" s="13" t="s">
        <v>14</v>
      </c>
      <c r="D547" s="44">
        <v>12.310804714412649</v>
      </c>
      <c r="E547" s="15" t="s">
        <v>133</v>
      </c>
      <c r="F547" s="16" t="s">
        <v>16</v>
      </c>
      <c r="G547" s="22">
        <v>1</v>
      </c>
      <c r="H547" s="23">
        <v>1</v>
      </c>
      <c r="I547" s="23">
        <v>1</v>
      </c>
      <c r="J547" s="23">
        <v>2</v>
      </c>
      <c r="K547" s="23">
        <v>3</v>
      </c>
      <c r="L547" s="25">
        <f t="shared" si="19"/>
        <v>1.0195048044558224</v>
      </c>
      <c r="M547" s="20" t="s">
        <v>134</v>
      </c>
    </row>
    <row r="548" spans="1:13" x14ac:dyDescent="0.2">
      <c r="A548" s="43" t="s">
        <v>136</v>
      </c>
      <c r="B548" s="12" t="s">
        <v>22</v>
      </c>
      <c r="C548" s="13" t="s">
        <v>14</v>
      </c>
      <c r="D548" s="44">
        <v>18.124297289573381</v>
      </c>
      <c r="E548" s="15" t="s">
        <v>133</v>
      </c>
      <c r="F548" s="16" t="s">
        <v>16</v>
      </c>
      <c r="G548" s="22">
        <v>1</v>
      </c>
      <c r="H548" s="23">
        <v>1</v>
      </c>
      <c r="I548" s="23">
        <v>1</v>
      </c>
      <c r="J548" s="23">
        <v>2</v>
      </c>
      <c r="K548" s="23">
        <v>3</v>
      </c>
      <c r="L548" s="25">
        <f t="shared" si="19"/>
        <v>1.0195048044558224</v>
      </c>
      <c r="M548" s="20" t="s">
        <v>134</v>
      </c>
    </row>
    <row r="549" spans="1:13" x14ac:dyDescent="0.2">
      <c r="A549" s="43" t="s">
        <v>136</v>
      </c>
      <c r="B549" s="12" t="s">
        <v>23</v>
      </c>
      <c r="C549" s="13" t="s">
        <v>14</v>
      </c>
      <c r="D549" s="44">
        <v>5.0096111336916627</v>
      </c>
      <c r="E549" s="15" t="s">
        <v>133</v>
      </c>
      <c r="F549" s="16" t="s">
        <v>16</v>
      </c>
      <c r="G549" s="22">
        <v>1</v>
      </c>
      <c r="H549" s="23">
        <v>1</v>
      </c>
      <c r="I549" s="23">
        <v>1</v>
      </c>
      <c r="J549" s="23">
        <v>2</v>
      </c>
      <c r="K549" s="23">
        <v>3</v>
      </c>
      <c r="L549" s="25">
        <f t="shared" si="19"/>
        <v>1.0195048044558224</v>
      </c>
      <c r="M549" s="20" t="s">
        <v>134</v>
      </c>
    </row>
    <row r="550" spans="1:13" x14ac:dyDescent="0.2">
      <c r="A550" s="43" t="s">
        <v>136</v>
      </c>
      <c r="B550" s="12" t="s">
        <v>24</v>
      </c>
      <c r="C550" s="13" t="s">
        <v>14</v>
      </c>
      <c r="D550" s="44">
        <v>49.458849360314296</v>
      </c>
      <c r="E550" s="15" t="s">
        <v>133</v>
      </c>
      <c r="F550" s="16" t="s">
        <v>16</v>
      </c>
      <c r="G550" s="22">
        <v>1</v>
      </c>
      <c r="H550" s="23">
        <v>1</v>
      </c>
      <c r="I550" s="23">
        <v>1</v>
      </c>
      <c r="J550" s="23">
        <v>2</v>
      </c>
      <c r="K550" s="23">
        <v>3</v>
      </c>
      <c r="L550" s="25">
        <f t="shared" si="19"/>
        <v>1.0195048044558224</v>
      </c>
      <c r="M550" s="20" t="s">
        <v>134</v>
      </c>
    </row>
    <row r="551" spans="1:13" x14ac:dyDescent="0.2">
      <c r="A551" s="43" t="s">
        <v>136</v>
      </c>
      <c r="B551" s="12" t="s">
        <v>25</v>
      </c>
      <c r="C551" s="13" t="s">
        <v>14</v>
      </c>
      <c r="D551" s="44">
        <v>62.567700328520431</v>
      </c>
      <c r="E551" s="15" t="s">
        <v>133</v>
      </c>
      <c r="F551" s="16" t="s">
        <v>16</v>
      </c>
      <c r="G551" s="22">
        <v>1</v>
      </c>
      <c r="H551" s="23">
        <v>1</v>
      </c>
      <c r="I551" s="23">
        <v>1</v>
      </c>
      <c r="J551" s="23">
        <v>2</v>
      </c>
      <c r="K551" s="23">
        <v>3</v>
      </c>
      <c r="L551" s="25">
        <f t="shared" si="19"/>
        <v>1.0195048044558224</v>
      </c>
      <c r="M551" s="20" t="s">
        <v>134</v>
      </c>
    </row>
    <row r="552" spans="1:13" x14ac:dyDescent="0.2">
      <c r="A552" s="43" t="s">
        <v>136</v>
      </c>
      <c r="B552" s="12" t="s">
        <v>26</v>
      </c>
      <c r="C552" s="13" t="s">
        <v>14</v>
      </c>
      <c r="D552" s="44">
        <v>14.6420443321958</v>
      </c>
      <c r="E552" s="15" t="s">
        <v>133</v>
      </c>
      <c r="F552" s="16" t="s">
        <v>16</v>
      </c>
      <c r="G552" s="22">
        <v>1</v>
      </c>
      <c r="H552" s="23">
        <v>1</v>
      </c>
      <c r="I552" s="23">
        <v>1</v>
      </c>
      <c r="J552" s="23">
        <v>2</v>
      </c>
      <c r="K552" s="23">
        <v>3</v>
      </c>
      <c r="L552" s="25">
        <f t="shared" si="19"/>
        <v>1.0195048044558224</v>
      </c>
      <c r="M552" s="20" t="s">
        <v>134</v>
      </c>
    </row>
    <row r="553" spans="1:13" x14ac:dyDescent="0.2">
      <c r="A553" s="43" t="s">
        <v>136</v>
      </c>
      <c r="B553" s="12" t="s">
        <v>27</v>
      </c>
      <c r="C553" s="13" t="s">
        <v>14</v>
      </c>
      <c r="D553" s="18">
        <v>0</v>
      </c>
      <c r="E553" s="15" t="s">
        <v>133</v>
      </c>
      <c r="F553" s="16"/>
      <c r="G553" s="17"/>
      <c r="H553" s="18"/>
      <c r="I553" s="18"/>
      <c r="J553" s="18"/>
      <c r="K553" s="18"/>
      <c r="L553" s="19" t="str">
        <f t="shared" si="19"/>
        <v/>
      </c>
      <c r="M553" s="20" t="s">
        <v>134</v>
      </c>
    </row>
    <row r="554" spans="1:13" x14ac:dyDescent="0.2">
      <c r="A554" s="43" t="s">
        <v>136</v>
      </c>
      <c r="B554" s="12" t="s">
        <v>28</v>
      </c>
      <c r="C554" s="13" t="s">
        <v>14</v>
      </c>
      <c r="D554" s="18">
        <v>0</v>
      </c>
      <c r="E554" s="15" t="s">
        <v>133</v>
      </c>
      <c r="F554" s="16"/>
      <c r="G554" s="17"/>
      <c r="H554" s="18"/>
      <c r="I554" s="18"/>
      <c r="J554" s="18"/>
      <c r="K554" s="18"/>
      <c r="L554" s="19" t="str">
        <f t="shared" si="19"/>
        <v/>
      </c>
      <c r="M554" s="20" t="s">
        <v>134</v>
      </c>
    </row>
    <row r="555" spans="1:13" x14ac:dyDescent="0.2">
      <c r="A555" s="43" t="s">
        <v>136</v>
      </c>
      <c r="B555" s="12" t="s">
        <v>30</v>
      </c>
      <c r="C555" s="13" t="s">
        <v>14</v>
      </c>
      <c r="D555" s="44">
        <v>758.19648811751802</v>
      </c>
      <c r="E555" s="15" t="s">
        <v>133</v>
      </c>
      <c r="F555" s="16" t="s">
        <v>16</v>
      </c>
      <c r="G555" s="22">
        <v>1</v>
      </c>
      <c r="H555" s="23">
        <v>1</v>
      </c>
      <c r="I555" s="23">
        <v>1</v>
      </c>
      <c r="J555" s="23">
        <v>2</v>
      </c>
      <c r="K555" s="23">
        <v>3</v>
      </c>
      <c r="L555" s="24">
        <f t="shared" si="19"/>
        <v>1.0195048044558224</v>
      </c>
      <c r="M555" s="20" t="s">
        <v>134</v>
      </c>
    </row>
    <row r="556" spans="1:13" x14ac:dyDescent="0.2">
      <c r="A556" s="43" t="s">
        <v>136</v>
      </c>
      <c r="B556" s="12" t="s">
        <v>32</v>
      </c>
      <c r="C556" s="13" t="s">
        <v>14</v>
      </c>
      <c r="D556" s="44">
        <v>72.137102577525056</v>
      </c>
      <c r="E556" s="15" t="s">
        <v>133</v>
      </c>
      <c r="F556" s="16" t="s">
        <v>16</v>
      </c>
      <c r="G556" s="22">
        <v>1</v>
      </c>
      <c r="H556" s="23">
        <v>1</v>
      </c>
      <c r="I556" s="23">
        <v>1</v>
      </c>
      <c r="J556" s="23">
        <v>2</v>
      </c>
      <c r="K556" s="23">
        <v>3</v>
      </c>
      <c r="L556" s="25">
        <f t="shared" si="19"/>
        <v>1.0195048044558224</v>
      </c>
      <c r="M556" s="20" t="s">
        <v>134</v>
      </c>
    </row>
    <row r="557" spans="1:13" x14ac:dyDescent="0.2">
      <c r="A557" s="43" t="s">
        <v>136</v>
      </c>
      <c r="B557" s="12" t="s">
        <v>34</v>
      </c>
      <c r="C557" s="13" t="s">
        <v>14</v>
      </c>
      <c r="D557" s="44">
        <v>0</v>
      </c>
      <c r="E557" s="15" t="s">
        <v>133</v>
      </c>
      <c r="F557" s="16"/>
      <c r="G557" s="22">
        <v>1</v>
      </c>
      <c r="H557" s="23">
        <v>1</v>
      </c>
      <c r="I557" s="23">
        <v>1</v>
      </c>
      <c r="J557" s="23">
        <v>2</v>
      </c>
      <c r="K557" s="23">
        <v>3</v>
      </c>
      <c r="L557" s="25">
        <f>IF( OR( ISBLANK(G557),ISBLANK(H557), ISBLANK(I557), ISBLANK(J557), ISBLANK(K557) ), "", 1.5*SQRT(   EXP(2.21*(G557-1)) + EXP(2.21*(H557-1)) + EXP(2.21*(I557-1)) + EXP(2.21*(J557-1)) + EXP(2.21*K557)   )/100*2.45 )</f>
        <v>1.0195048044558224</v>
      </c>
      <c r="M557" s="20" t="s">
        <v>134</v>
      </c>
    </row>
    <row r="558" spans="1:13" x14ac:dyDescent="0.2">
      <c r="A558" s="43" t="s">
        <v>136</v>
      </c>
      <c r="B558" s="12" t="s">
        <v>36</v>
      </c>
      <c r="C558" s="13" t="s">
        <v>14</v>
      </c>
      <c r="D558" s="44">
        <v>83.384809617444191</v>
      </c>
      <c r="E558" s="15" t="s">
        <v>133</v>
      </c>
      <c r="F558" s="16" t="s">
        <v>16</v>
      </c>
      <c r="G558" s="22">
        <v>1</v>
      </c>
      <c r="H558" s="23">
        <v>1</v>
      </c>
      <c r="I558" s="23">
        <v>1</v>
      </c>
      <c r="J558" s="23">
        <v>2</v>
      </c>
      <c r="K558" s="23">
        <v>3</v>
      </c>
      <c r="L558" s="25">
        <f>IF( OR( ISBLANK(G558),ISBLANK(H558), ISBLANK(I558), ISBLANK(J558), ISBLANK(K558) ), "", 1.5*SQRT( EXP(2.21*(G558-1)) + EXP(2.21*(H558-1)) + EXP(2.21*(I558-1)) + EXP(2.21*(J558-1)) + EXP(2.21*K558) )/100*2.45 )</f>
        <v>1.0195048044558224</v>
      </c>
      <c r="M558" s="20" t="s">
        <v>134</v>
      </c>
    </row>
    <row r="559" spans="1:13" x14ac:dyDescent="0.2">
      <c r="A559" s="43" t="s">
        <v>136</v>
      </c>
      <c r="B559" s="12" t="s">
        <v>37</v>
      </c>
      <c r="C559" s="13" t="s">
        <v>14</v>
      </c>
      <c r="D559" s="44">
        <v>0</v>
      </c>
      <c r="E559" s="15" t="s">
        <v>133</v>
      </c>
      <c r="F559" s="16" t="s">
        <v>16</v>
      </c>
      <c r="G559" s="22">
        <v>1</v>
      </c>
      <c r="H559" s="23">
        <v>1</v>
      </c>
      <c r="I559" s="23">
        <v>1</v>
      </c>
      <c r="J559" s="23">
        <v>2</v>
      </c>
      <c r="K559" s="23">
        <v>3</v>
      </c>
      <c r="L559" s="24">
        <f>IF( OR( ISBLANK(G559),ISBLANK(H559), ISBLANK(I559), ISBLANK(J559), ISBLANK(K559) ), "", 1.5*SQRT( EXP(2.21*(G559-1)) + EXP(2.21*(H559-1)) + EXP(2.21*(I559-1)) + EXP(2.21*(J559-1)) + EXP(2.21*K559) )/100*2.45 )</f>
        <v>1.0195048044558224</v>
      </c>
      <c r="M559" s="20" t="s">
        <v>134</v>
      </c>
    </row>
    <row r="560" spans="1:13" x14ac:dyDescent="0.2">
      <c r="A560" s="43" t="s">
        <v>136</v>
      </c>
      <c r="B560" s="12" t="s">
        <v>39</v>
      </c>
      <c r="C560" s="13" t="s">
        <v>14</v>
      </c>
      <c r="D560" s="44">
        <v>12.813411700259561</v>
      </c>
      <c r="E560" s="15" t="s">
        <v>133</v>
      </c>
      <c r="F560" s="16" t="s">
        <v>16</v>
      </c>
      <c r="G560" s="22">
        <v>1</v>
      </c>
      <c r="H560" s="23">
        <v>1</v>
      </c>
      <c r="I560" s="23">
        <v>1</v>
      </c>
      <c r="J560" s="23">
        <v>2</v>
      </c>
      <c r="K560" s="23">
        <v>3</v>
      </c>
      <c r="L560" s="25">
        <f>IF( OR( ISBLANK(G560),ISBLANK(H560), ISBLANK(I560), ISBLANK(J560), ISBLANK(K560) ), "", 1.5*SQRT(   EXP(2.21*(G560-1)) + EXP(2.21*(H560-1)) + EXP(2.21*(I560-1)) + EXP(2.21*(J560-1)) + EXP(2.21*K560)   )/100*2.45 )</f>
        <v>1.0195048044558224</v>
      </c>
      <c r="M560" s="20" t="s">
        <v>134</v>
      </c>
    </row>
    <row r="561" spans="1:13" x14ac:dyDescent="0.2">
      <c r="A561" s="43" t="s">
        <v>136</v>
      </c>
      <c r="B561" s="12" t="s">
        <v>40</v>
      </c>
      <c r="C561" s="13" t="s">
        <v>14</v>
      </c>
      <c r="D561" s="44">
        <v>23.527856162895059</v>
      </c>
      <c r="E561" s="15" t="s">
        <v>133</v>
      </c>
      <c r="F561" s="16" t="s">
        <v>16</v>
      </c>
      <c r="G561" s="22">
        <v>1</v>
      </c>
      <c r="H561" s="23">
        <v>1</v>
      </c>
      <c r="I561" s="23">
        <v>1</v>
      </c>
      <c r="J561" s="23">
        <v>2</v>
      </c>
      <c r="K561" s="23">
        <v>3</v>
      </c>
      <c r="L561" s="25">
        <f t="shared" ref="L561:L567" si="20">IF( OR( ISBLANK(G561),ISBLANK(H561), ISBLANK(I561), ISBLANK(J561), ISBLANK(K561) ), "", 1.5*SQRT( EXP(2.21*(G561-1)) + EXP(2.21*(H561-1)) + EXP(2.21*(I561-1)) + EXP(2.21*(J561-1)) + EXP(2.21*K561) )/100*2.45 )</f>
        <v>1.0195048044558224</v>
      </c>
      <c r="M561" s="20" t="s">
        <v>134</v>
      </c>
    </row>
    <row r="562" spans="1:13" x14ac:dyDescent="0.2">
      <c r="A562" s="43" t="s">
        <v>136</v>
      </c>
      <c r="B562" s="12" t="s">
        <v>41</v>
      </c>
      <c r="C562" s="13" t="s">
        <v>14</v>
      </c>
      <c r="D562" s="44">
        <v>6.6794728529867484</v>
      </c>
      <c r="E562" s="15" t="s">
        <v>133</v>
      </c>
      <c r="F562" s="16" t="s">
        <v>16</v>
      </c>
      <c r="G562" s="22">
        <v>1</v>
      </c>
      <c r="H562" s="23">
        <v>1</v>
      </c>
      <c r="I562" s="23">
        <v>1</v>
      </c>
      <c r="J562" s="23">
        <v>2</v>
      </c>
      <c r="K562" s="23">
        <v>3</v>
      </c>
      <c r="L562" s="25">
        <f t="shared" si="20"/>
        <v>1.0195048044558224</v>
      </c>
      <c r="M562" s="20" t="s">
        <v>134</v>
      </c>
    </row>
    <row r="563" spans="1:13" x14ac:dyDescent="0.2">
      <c r="A563" s="43" t="s">
        <v>136</v>
      </c>
      <c r="B563" s="12" t="s">
        <v>42</v>
      </c>
      <c r="C563" s="13" t="s">
        <v>14</v>
      </c>
      <c r="D563" s="44">
        <v>3.8903147692214768</v>
      </c>
      <c r="E563" s="15" t="s">
        <v>133</v>
      </c>
      <c r="F563" s="16" t="s">
        <v>16</v>
      </c>
      <c r="G563" s="22">
        <v>1</v>
      </c>
      <c r="H563" s="23">
        <v>1</v>
      </c>
      <c r="I563" s="23">
        <v>1</v>
      </c>
      <c r="J563" s="23">
        <v>2</v>
      </c>
      <c r="K563" s="23">
        <v>3</v>
      </c>
      <c r="L563" s="25">
        <f t="shared" si="20"/>
        <v>1.0195048044558224</v>
      </c>
      <c r="M563" s="20" t="s">
        <v>134</v>
      </c>
    </row>
    <row r="564" spans="1:13" x14ac:dyDescent="0.2">
      <c r="A564" s="43" t="s">
        <v>136</v>
      </c>
      <c r="B564" s="12" t="s">
        <v>43</v>
      </c>
      <c r="C564" s="13" t="s">
        <v>14</v>
      </c>
      <c r="D564" s="18">
        <v>0</v>
      </c>
      <c r="E564" s="15" t="s">
        <v>133</v>
      </c>
      <c r="F564" s="16"/>
      <c r="G564" s="17"/>
      <c r="H564" s="18"/>
      <c r="I564" s="18"/>
      <c r="J564" s="18"/>
      <c r="K564" s="18"/>
      <c r="L564" s="19" t="str">
        <f t="shared" si="20"/>
        <v/>
      </c>
      <c r="M564" s="20" t="s">
        <v>134</v>
      </c>
    </row>
    <row r="565" spans="1:13" x14ac:dyDescent="0.2">
      <c r="A565" s="43" t="s">
        <v>136</v>
      </c>
      <c r="B565" s="12" t="s">
        <v>45</v>
      </c>
      <c r="C565" s="13" t="s">
        <v>14</v>
      </c>
      <c r="D565" s="44">
        <v>70.764697013820509</v>
      </c>
      <c r="E565" s="15" t="s">
        <v>133</v>
      </c>
      <c r="F565" s="16" t="s">
        <v>16</v>
      </c>
      <c r="G565" s="22">
        <v>1</v>
      </c>
      <c r="H565" s="23">
        <v>1</v>
      </c>
      <c r="I565" s="23">
        <v>1</v>
      </c>
      <c r="J565" s="23">
        <v>2</v>
      </c>
      <c r="K565" s="23">
        <v>3</v>
      </c>
      <c r="L565" s="25">
        <f t="shared" si="20"/>
        <v>1.0195048044558224</v>
      </c>
      <c r="M565" s="20" t="s">
        <v>134</v>
      </c>
    </row>
    <row r="566" spans="1:13" x14ac:dyDescent="0.2">
      <c r="A566" s="43" t="s">
        <v>136</v>
      </c>
      <c r="B566" s="12" t="s">
        <v>46</v>
      </c>
      <c r="C566" s="13" t="s">
        <v>14</v>
      </c>
      <c r="D566" s="44">
        <v>166.35622850841301</v>
      </c>
      <c r="E566" s="15" t="s">
        <v>133</v>
      </c>
      <c r="F566" s="16" t="s">
        <v>16</v>
      </c>
      <c r="G566" s="22">
        <v>1</v>
      </c>
      <c r="H566" s="23">
        <v>1</v>
      </c>
      <c r="I566" s="23">
        <v>1</v>
      </c>
      <c r="J566" s="23">
        <v>2</v>
      </c>
      <c r="K566" s="23">
        <v>3</v>
      </c>
      <c r="L566" s="24">
        <f t="shared" si="20"/>
        <v>1.0195048044558224</v>
      </c>
      <c r="M566" s="20" t="s">
        <v>134</v>
      </c>
    </row>
    <row r="567" spans="1:13" x14ac:dyDescent="0.2">
      <c r="A567" s="43" t="s">
        <v>136</v>
      </c>
      <c r="B567" s="12" t="s">
        <v>48</v>
      </c>
      <c r="C567" s="13" t="s">
        <v>14</v>
      </c>
      <c r="D567" s="18">
        <v>0</v>
      </c>
      <c r="E567" s="15" t="s">
        <v>133</v>
      </c>
      <c r="F567" s="16"/>
      <c r="G567" s="17"/>
      <c r="H567" s="18"/>
      <c r="I567" s="18"/>
      <c r="J567" s="18"/>
      <c r="K567" s="18"/>
      <c r="L567" s="19" t="str">
        <f t="shared" si="20"/>
        <v/>
      </c>
      <c r="M567" s="20" t="s">
        <v>134</v>
      </c>
    </row>
    <row r="568" spans="1:13" x14ac:dyDescent="0.2">
      <c r="A568" s="43" t="s">
        <v>136</v>
      </c>
      <c r="B568" s="12" t="s">
        <v>50</v>
      </c>
      <c r="C568" s="13" t="s">
        <v>14</v>
      </c>
      <c r="D568" s="44">
        <v>0</v>
      </c>
      <c r="E568" s="15" t="s">
        <v>133</v>
      </c>
      <c r="F568" s="16"/>
      <c r="G568" s="22">
        <v>1</v>
      </c>
      <c r="H568" s="23">
        <v>1</v>
      </c>
      <c r="I568" s="23">
        <v>1</v>
      </c>
      <c r="J568" s="23">
        <v>2</v>
      </c>
      <c r="K568" s="23">
        <v>3</v>
      </c>
      <c r="L568" s="25">
        <f>IF( OR( ISBLANK(G568),ISBLANK(H568), ISBLANK(I568), ISBLANK(J568), ISBLANK(K568) ), "", 1.5*SQRT(   EXP(2.21*(G568-1)) + EXP(2.21*(H568-1)) + EXP(2.21*(I568-1)) + EXP(2.21*(J568-1)) + EXP(2.21*K568)   )/100*2.45 )</f>
        <v>1.0195048044558224</v>
      </c>
      <c r="M568" s="20" t="s">
        <v>134</v>
      </c>
    </row>
    <row r="569" spans="1:13" x14ac:dyDescent="0.2">
      <c r="A569" s="43" t="s">
        <v>136</v>
      </c>
      <c r="B569" s="12" t="s">
        <v>52</v>
      </c>
      <c r="C569" s="13" t="s">
        <v>14</v>
      </c>
      <c r="D569" s="18">
        <v>0</v>
      </c>
      <c r="E569" s="15" t="s">
        <v>133</v>
      </c>
      <c r="F569" s="16"/>
      <c r="G569" s="17"/>
      <c r="H569" s="18"/>
      <c r="I569" s="18"/>
      <c r="J569" s="18"/>
      <c r="K569" s="18"/>
      <c r="L569" s="19" t="str">
        <f>IF( OR( ISBLANK(G569),ISBLANK(H569), ISBLANK(I569), ISBLANK(J569), ISBLANK(K569) ), "", 1.5*SQRT( EXP(2.21*(G569-1)) + EXP(2.21*(H569-1)) + EXP(2.21*(I569-1)) + EXP(2.21*(J569-1)) + EXP(2.21*K569) )/100*2.45 )</f>
        <v/>
      </c>
      <c r="M569" s="20" t="s">
        <v>134</v>
      </c>
    </row>
    <row r="570" spans="1:13" x14ac:dyDescent="0.2">
      <c r="A570" s="43" t="s">
        <v>136</v>
      </c>
      <c r="B570" s="12" t="s">
        <v>54</v>
      </c>
      <c r="C570" s="13" t="s">
        <v>14</v>
      </c>
      <c r="D570" s="44">
        <v>13.291097691048799</v>
      </c>
      <c r="E570" s="15" t="s">
        <v>133</v>
      </c>
      <c r="F570" s="16" t="s">
        <v>16</v>
      </c>
      <c r="G570" s="22">
        <v>1</v>
      </c>
      <c r="H570" s="23">
        <v>1</v>
      </c>
      <c r="I570" s="23">
        <v>1</v>
      </c>
      <c r="J570" s="23">
        <v>2</v>
      </c>
      <c r="K570" s="23">
        <v>3</v>
      </c>
      <c r="L570" s="25">
        <f>IF( OR( ISBLANK(G570),ISBLANK(H570), ISBLANK(I570), ISBLANK(J570), ISBLANK(K570) ), "", 1.5*SQRT( EXP(2.21*(G570-1)) + EXP(2.21*(H570-1)) + EXP(2.21*(I570-1)) + EXP(2.21*(J570-1)) + EXP(2.21*K570) )/100*2.45 )</f>
        <v>1.0195048044558224</v>
      </c>
      <c r="M570" s="20" t="s">
        <v>134</v>
      </c>
    </row>
    <row r="571" spans="1:13" x14ac:dyDescent="0.2">
      <c r="A571" s="43" t="s">
        <v>136</v>
      </c>
      <c r="B571" s="12" t="s">
        <v>55</v>
      </c>
      <c r="C571" s="13" t="s">
        <v>14</v>
      </c>
      <c r="D571" s="18">
        <v>0</v>
      </c>
      <c r="E571" s="15" t="s">
        <v>133</v>
      </c>
      <c r="F571" s="16"/>
      <c r="G571" s="17"/>
      <c r="H571" s="18"/>
      <c r="I571" s="18"/>
      <c r="J571" s="18"/>
      <c r="K571" s="18"/>
      <c r="L571" s="19" t="str">
        <f>IF( OR( ISBLANK(G571),ISBLANK(H571), ISBLANK(I571), ISBLANK(J571), ISBLANK(K571) ), "", 1.5*SQRT( EXP(2.21*(G571-1)) + EXP(2.21*(H571-1)) + EXP(2.21*(I571-1)) + EXP(2.21*(J571-1)) + EXP(2.21*K571) )/100*2.45 )</f>
        <v/>
      </c>
      <c r="M571" s="20" t="s">
        <v>134</v>
      </c>
    </row>
    <row r="572" spans="1:13" x14ac:dyDescent="0.2">
      <c r="A572" s="43" t="s">
        <v>136</v>
      </c>
      <c r="B572" s="12" t="s">
        <v>57</v>
      </c>
      <c r="C572" s="13" t="s">
        <v>14</v>
      </c>
      <c r="D572" s="18">
        <v>0</v>
      </c>
      <c r="E572" s="15" t="s">
        <v>133</v>
      </c>
      <c r="F572" s="16"/>
      <c r="G572" s="17"/>
      <c r="H572" s="18"/>
      <c r="I572" s="18"/>
      <c r="J572" s="18"/>
      <c r="K572" s="18"/>
      <c r="L572" s="19" t="str">
        <f>IF( OR( ISBLANK(G572),ISBLANK(H572), ISBLANK(I572), ISBLANK(J572), ISBLANK(K572) ), "", 1.5*SQRT(   EXP(2.21*(G572-1)) + EXP(2.21*(H572-1)) + EXP(2.21*(I572-1)) + EXP(2.21*(J572-1)) + EXP(2.21*K572)   )/100*2.45 )</f>
        <v/>
      </c>
      <c r="M572" s="20" t="s">
        <v>134</v>
      </c>
    </row>
    <row r="573" spans="1:13" x14ac:dyDescent="0.2">
      <c r="A573" s="43" t="s">
        <v>136</v>
      </c>
      <c r="B573" s="12" t="s">
        <v>59</v>
      </c>
      <c r="C573" s="13" t="s">
        <v>14</v>
      </c>
      <c r="D573" s="44">
        <v>101.94446413552591</v>
      </c>
      <c r="E573" s="15" t="s">
        <v>133</v>
      </c>
      <c r="F573" s="16" t="s">
        <v>16</v>
      </c>
      <c r="G573" s="22">
        <v>1</v>
      </c>
      <c r="H573" s="23">
        <v>1</v>
      </c>
      <c r="I573" s="23">
        <v>1</v>
      </c>
      <c r="J573" s="23">
        <v>2</v>
      </c>
      <c r="K573" s="23">
        <v>3</v>
      </c>
      <c r="L573" s="25">
        <f>IF( OR( ISBLANK(G573),ISBLANK(H573), ISBLANK(I573), ISBLANK(J573), ISBLANK(K573) ), "", 1.5*SQRT( EXP(2.21*(G573-1)) + EXP(2.21*(H573-1)) + EXP(2.21*(I573-1)) + EXP(2.21*(J573-1)) + EXP(2.21*K573) )/100*2.45 )</f>
        <v>1.0195048044558224</v>
      </c>
      <c r="M573" s="20" t="s">
        <v>134</v>
      </c>
    </row>
    <row r="574" spans="1:13" x14ac:dyDescent="0.2">
      <c r="A574" s="43" t="s">
        <v>136</v>
      </c>
      <c r="B574" s="12" t="s">
        <v>60</v>
      </c>
      <c r="C574" s="13" t="s">
        <v>14</v>
      </c>
      <c r="D574" s="44">
        <v>488.96876232758751</v>
      </c>
      <c r="E574" s="15" t="s">
        <v>133</v>
      </c>
      <c r="F574" s="16" t="s">
        <v>16</v>
      </c>
      <c r="G574" s="22">
        <v>1</v>
      </c>
      <c r="H574" s="23">
        <v>2</v>
      </c>
      <c r="I574" s="23">
        <v>1</v>
      </c>
      <c r="J574" s="23">
        <v>2</v>
      </c>
      <c r="K574" s="23">
        <v>3</v>
      </c>
      <c r="L574" s="24">
        <f>IF( OR( ISBLANK(G574),ISBLANK(H574), ISBLANK(I574), ISBLANK(J574), ISBLANK(K574) ), "", 1.5*SQRT( EXP(2.21*(G574-1)) + EXP(2.21*(H574-1)) + EXP(2.21*(I574-1)) + EXP(2.21*(J574-1)) + EXP(2.21*K574) )/100*2.45 )</f>
        <v>1.0248662490928169</v>
      </c>
      <c r="M574" s="20" t="s">
        <v>134</v>
      </c>
    </row>
    <row r="575" spans="1:13" x14ac:dyDescent="0.2">
      <c r="A575" s="43" t="s">
        <v>136</v>
      </c>
      <c r="B575" s="12" t="s">
        <v>13</v>
      </c>
      <c r="C575" s="27" t="s">
        <v>62</v>
      </c>
      <c r="D575" s="44">
        <v>111.8407240166178</v>
      </c>
      <c r="E575" s="15" t="s">
        <v>133</v>
      </c>
      <c r="F575" s="16" t="s">
        <v>16</v>
      </c>
      <c r="G575" s="22">
        <v>1</v>
      </c>
      <c r="H575" s="23">
        <v>1</v>
      </c>
      <c r="I575" s="23">
        <v>1</v>
      </c>
      <c r="J575" s="23">
        <v>2</v>
      </c>
      <c r="K575" s="23">
        <v>3</v>
      </c>
      <c r="L575" s="25">
        <f>IF( OR( ISBLANK(G575),ISBLANK(H575), ISBLANK(I575), ISBLANK(J575), ISBLANK(K575) ), "", 1.5*SQRT( EXP(2.21*(G575-1)) + EXP(2.21*(H575-1)) + EXP(2.21*(I575-1)) + EXP(2.21*(J575-1)) + EXP(2.21*K575) )/100*2.45 )</f>
        <v>1.0195048044558224</v>
      </c>
      <c r="M575" s="20" t="s">
        <v>134</v>
      </c>
    </row>
    <row r="576" spans="1:13" x14ac:dyDescent="0.2">
      <c r="A576" s="43" t="s">
        <v>136</v>
      </c>
      <c r="B576" s="12" t="s">
        <v>18</v>
      </c>
      <c r="C576" s="27" t="s">
        <v>62</v>
      </c>
      <c r="D576" s="18">
        <v>0</v>
      </c>
      <c r="E576" s="15" t="s">
        <v>133</v>
      </c>
      <c r="F576" s="16"/>
      <c r="G576" s="17"/>
      <c r="H576" s="18"/>
      <c r="I576" s="18"/>
      <c r="J576" s="18"/>
      <c r="K576" s="18"/>
      <c r="L576" s="19" t="str">
        <f>IF( OR( ISBLANK(G576),ISBLANK(H576), ISBLANK(I576), ISBLANK(J576), ISBLANK(K576) ), "", 1.5*SQRT( EXP(2.21*(G576-1)) + EXP(2.21*(H576-1)) + EXP(2.21*(I576-1)) + EXP(2.21*(J576-1)) + EXP(2.21*K576) )/100*2.45 )</f>
        <v/>
      </c>
      <c r="M576" s="20" t="s">
        <v>134</v>
      </c>
    </row>
    <row r="577" spans="1:13" x14ac:dyDescent="0.2">
      <c r="A577" s="43" t="s">
        <v>136</v>
      </c>
      <c r="B577" s="12" t="s">
        <v>20</v>
      </c>
      <c r="C577" s="27" t="s">
        <v>62</v>
      </c>
      <c r="D577" s="44">
        <v>0</v>
      </c>
      <c r="E577" s="15" t="s">
        <v>133</v>
      </c>
      <c r="F577" s="16"/>
      <c r="G577" s="22">
        <v>1</v>
      </c>
      <c r="H577" s="23">
        <v>1</v>
      </c>
      <c r="I577" s="23">
        <v>1</v>
      </c>
      <c r="J577" s="23">
        <v>2</v>
      </c>
      <c r="K577" s="23">
        <v>3</v>
      </c>
      <c r="L577" s="25">
        <f>IF( OR( ISBLANK(G577),ISBLANK(H577), ISBLANK(I577), ISBLANK(J577), ISBLANK(K577) ), "", 1.5*SQRT(   EXP(2.21*(G577-1)) + EXP(2.21*(H577-1)) + EXP(2.21*(I577-1)) + EXP(2.21*(J577-1)) + EXP(2.21*K577)   )/100*2.45 )</f>
        <v>1.0195048044558224</v>
      </c>
      <c r="M577" s="20" t="s">
        <v>134</v>
      </c>
    </row>
    <row r="578" spans="1:13" x14ac:dyDescent="0.2">
      <c r="A578" s="43" t="s">
        <v>136</v>
      </c>
      <c r="B578" s="12" t="s">
        <v>22</v>
      </c>
      <c r="C578" s="27" t="s">
        <v>62</v>
      </c>
      <c r="D578" s="44">
        <v>24.843641542623779</v>
      </c>
      <c r="E578" s="15" t="s">
        <v>133</v>
      </c>
      <c r="F578" s="16" t="s">
        <v>16</v>
      </c>
      <c r="G578" s="22">
        <v>1</v>
      </c>
      <c r="H578" s="23">
        <v>1</v>
      </c>
      <c r="I578" s="23">
        <v>1</v>
      </c>
      <c r="J578" s="23">
        <v>2</v>
      </c>
      <c r="K578" s="23">
        <v>3</v>
      </c>
      <c r="L578" s="25">
        <f t="shared" ref="L578:L596" si="21">IF( OR( ISBLANK(G578),ISBLANK(H578), ISBLANK(I578), ISBLANK(J578), ISBLANK(K578) ), "", 1.5*SQRT( EXP(2.21*(G578-1)) + EXP(2.21*(H578-1)) + EXP(2.21*(I578-1)) + EXP(2.21*(J578-1)) + EXP(2.21*K578) )/100*2.45 )</f>
        <v>1.0195048044558224</v>
      </c>
      <c r="M578" s="20" t="s">
        <v>134</v>
      </c>
    </row>
    <row r="579" spans="1:13" x14ac:dyDescent="0.2">
      <c r="A579" s="43" t="s">
        <v>136</v>
      </c>
      <c r="B579" s="12" t="s">
        <v>23</v>
      </c>
      <c r="C579" s="27" t="s">
        <v>62</v>
      </c>
      <c r="D579" s="44">
        <v>6.8671734869044938</v>
      </c>
      <c r="E579" s="15" t="s">
        <v>133</v>
      </c>
      <c r="F579" s="16" t="s">
        <v>16</v>
      </c>
      <c r="G579" s="22">
        <v>1</v>
      </c>
      <c r="H579" s="23">
        <v>1</v>
      </c>
      <c r="I579" s="23">
        <v>1</v>
      </c>
      <c r="J579" s="23">
        <v>2</v>
      </c>
      <c r="K579" s="23">
        <v>3</v>
      </c>
      <c r="L579" s="25">
        <f t="shared" si="21"/>
        <v>1.0195048044558224</v>
      </c>
      <c r="M579" s="20" t="s">
        <v>134</v>
      </c>
    </row>
    <row r="580" spans="1:13" x14ac:dyDescent="0.2">
      <c r="A580" s="43" t="s">
        <v>136</v>
      </c>
      <c r="B580" s="12" t="s">
        <v>24</v>
      </c>
      <c r="C580" s="27" t="s">
        <v>62</v>
      </c>
      <c r="D580" s="18">
        <v>0</v>
      </c>
      <c r="E580" s="15" t="s">
        <v>133</v>
      </c>
      <c r="F580" s="16"/>
      <c r="G580" s="17"/>
      <c r="H580" s="18"/>
      <c r="I580" s="18"/>
      <c r="J580" s="18"/>
      <c r="K580" s="18"/>
      <c r="L580" s="19" t="str">
        <f t="shared" si="21"/>
        <v/>
      </c>
      <c r="M580" s="20" t="s">
        <v>134</v>
      </c>
    </row>
    <row r="581" spans="1:13" x14ac:dyDescent="0.2">
      <c r="A581" s="43" t="s">
        <v>136</v>
      </c>
      <c r="B581" s="12" t="s">
        <v>25</v>
      </c>
      <c r="C581" s="27" t="s">
        <v>62</v>
      </c>
      <c r="D581" s="44">
        <v>85.838722453001111</v>
      </c>
      <c r="E581" s="15" t="s">
        <v>133</v>
      </c>
      <c r="F581" s="16" t="s">
        <v>16</v>
      </c>
      <c r="G581" s="22">
        <v>1</v>
      </c>
      <c r="H581" s="23">
        <v>1</v>
      </c>
      <c r="I581" s="23">
        <v>1</v>
      </c>
      <c r="J581" s="23">
        <v>2</v>
      </c>
      <c r="K581" s="23">
        <v>3</v>
      </c>
      <c r="L581" s="25">
        <f t="shared" si="21"/>
        <v>1.0195048044558224</v>
      </c>
      <c r="M581" s="20" t="s">
        <v>134</v>
      </c>
    </row>
    <row r="582" spans="1:13" x14ac:dyDescent="0.2">
      <c r="A582" s="43" t="s">
        <v>136</v>
      </c>
      <c r="B582" s="12" t="s">
        <v>26</v>
      </c>
      <c r="C582" s="27" t="s">
        <v>62</v>
      </c>
      <c r="D582" s="18">
        <v>0</v>
      </c>
      <c r="E582" s="15" t="s">
        <v>133</v>
      </c>
      <c r="F582" s="16"/>
      <c r="G582" s="17"/>
      <c r="H582" s="18"/>
      <c r="I582" s="18"/>
      <c r="J582" s="18"/>
      <c r="K582" s="18"/>
      <c r="L582" s="19" t="str">
        <f t="shared" si="21"/>
        <v/>
      </c>
      <c r="M582" s="20" t="s">
        <v>134</v>
      </c>
    </row>
    <row r="583" spans="1:13" x14ac:dyDescent="0.2">
      <c r="A583" s="43" t="s">
        <v>136</v>
      </c>
      <c r="B583" s="12" t="s">
        <v>27</v>
      </c>
      <c r="C583" s="27" t="s">
        <v>62</v>
      </c>
      <c r="D583" s="18">
        <v>0</v>
      </c>
      <c r="E583" s="15" t="s">
        <v>133</v>
      </c>
      <c r="F583" s="16"/>
      <c r="G583" s="17"/>
      <c r="H583" s="18"/>
      <c r="I583" s="18"/>
      <c r="J583" s="18"/>
      <c r="K583" s="18"/>
      <c r="L583" s="19" t="str">
        <f t="shared" si="21"/>
        <v/>
      </c>
      <c r="M583" s="20" t="s">
        <v>134</v>
      </c>
    </row>
    <row r="584" spans="1:13" x14ac:dyDescent="0.2">
      <c r="A584" s="43" t="s">
        <v>136</v>
      </c>
      <c r="B584" s="12" t="s">
        <v>28</v>
      </c>
      <c r="C584" s="27" t="s">
        <v>62</v>
      </c>
      <c r="D584" s="44">
        <v>694.04715164369395</v>
      </c>
      <c r="E584" s="15" t="s">
        <v>133</v>
      </c>
      <c r="F584" s="16" t="s">
        <v>16</v>
      </c>
      <c r="G584" s="22">
        <v>1</v>
      </c>
      <c r="H584" s="23">
        <v>1</v>
      </c>
      <c r="I584" s="23">
        <v>1</v>
      </c>
      <c r="J584" s="23">
        <v>2</v>
      </c>
      <c r="K584" s="23">
        <v>3</v>
      </c>
      <c r="L584" s="25">
        <f t="shared" si="21"/>
        <v>1.0195048044558224</v>
      </c>
      <c r="M584" s="20" t="s">
        <v>134</v>
      </c>
    </row>
    <row r="585" spans="1:13" x14ac:dyDescent="0.2">
      <c r="A585" s="43" t="s">
        <v>136</v>
      </c>
      <c r="B585" s="12" t="s">
        <v>30</v>
      </c>
      <c r="C585" s="27" t="s">
        <v>62</v>
      </c>
      <c r="D585" s="18">
        <v>0</v>
      </c>
      <c r="E585" s="15" t="s">
        <v>133</v>
      </c>
      <c r="F585" s="16"/>
      <c r="G585" s="17"/>
      <c r="H585" s="18"/>
      <c r="I585" s="18"/>
      <c r="J585" s="18"/>
      <c r="K585" s="18"/>
      <c r="L585" s="19" t="str">
        <f t="shared" si="21"/>
        <v/>
      </c>
      <c r="M585" s="20" t="s">
        <v>134</v>
      </c>
    </row>
    <row r="586" spans="1:13" x14ac:dyDescent="0.2">
      <c r="A586" s="43" t="s">
        <v>136</v>
      </c>
      <c r="B586" s="12" t="s">
        <v>32</v>
      </c>
      <c r="C586" s="27" t="s">
        <v>62</v>
      </c>
      <c r="D586" s="44">
        <v>103.9408564113461</v>
      </c>
      <c r="E586" s="15" t="s">
        <v>133</v>
      </c>
      <c r="F586" s="16" t="s">
        <v>16</v>
      </c>
      <c r="G586" s="22">
        <v>1</v>
      </c>
      <c r="H586" s="23">
        <v>1</v>
      </c>
      <c r="I586" s="23">
        <v>1</v>
      </c>
      <c r="J586" s="23">
        <v>2</v>
      </c>
      <c r="K586" s="23">
        <v>3</v>
      </c>
      <c r="L586" s="25">
        <f t="shared" si="21"/>
        <v>1.0195048044558224</v>
      </c>
      <c r="M586" s="20" t="s">
        <v>134</v>
      </c>
    </row>
    <row r="587" spans="1:13" x14ac:dyDescent="0.2">
      <c r="A587" s="43" t="s">
        <v>136</v>
      </c>
      <c r="B587" s="12" t="s">
        <v>34</v>
      </c>
      <c r="C587" s="27" t="s">
        <v>62</v>
      </c>
      <c r="D587" s="18">
        <v>0</v>
      </c>
      <c r="E587" s="15" t="s">
        <v>133</v>
      </c>
      <c r="F587" s="16"/>
      <c r="G587" s="17"/>
      <c r="H587" s="18"/>
      <c r="I587" s="18"/>
      <c r="J587" s="18"/>
      <c r="K587" s="18"/>
      <c r="L587" s="19" t="str">
        <f t="shared" si="21"/>
        <v/>
      </c>
      <c r="M587" s="20" t="s">
        <v>134</v>
      </c>
    </row>
    <row r="588" spans="1:13" x14ac:dyDescent="0.2">
      <c r="A588" s="43" t="s">
        <v>136</v>
      </c>
      <c r="B588" s="12" t="s">
        <v>36</v>
      </c>
      <c r="C588" s="27" t="s">
        <v>62</v>
      </c>
      <c r="D588" s="18">
        <v>0</v>
      </c>
      <c r="E588" s="15" t="s">
        <v>133</v>
      </c>
      <c r="F588" s="16"/>
      <c r="G588" s="17"/>
      <c r="H588" s="18"/>
      <c r="I588" s="18"/>
      <c r="J588" s="18"/>
      <c r="K588" s="18"/>
      <c r="L588" s="19" t="str">
        <f t="shared" si="21"/>
        <v/>
      </c>
      <c r="M588" s="20" t="s">
        <v>134</v>
      </c>
    </row>
    <row r="589" spans="1:13" x14ac:dyDescent="0.2">
      <c r="A589" s="43" t="s">
        <v>136</v>
      </c>
      <c r="B589" s="12" t="s">
        <v>37</v>
      </c>
      <c r="C589" s="27" t="s">
        <v>62</v>
      </c>
      <c r="D589" s="44">
        <v>124.98119314932219</v>
      </c>
      <c r="E589" s="15" t="s">
        <v>133</v>
      </c>
      <c r="F589" s="16" t="s">
        <v>16</v>
      </c>
      <c r="G589" s="22">
        <v>1</v>
      </c>
      <c r="H589" s="23">
        <v>1</v>
      </c>
      <c r="I589" s="23">
        <v>1</v>
      </c>
      <c r="J589" s="23">
        <v>2</v>
      </c>
      <c r="K589" s="23">
        <v>3</v>
      </c>
      <c r="L589" s="24">
        <f t="shared" si="21"/>
        <v>1.0195048044558224</v>
      </c>
      <c r="M589" s="20" t="s">
        <v>134</v>
      </c>
    </row>
    <row r="590" spans="1:13" x14ac:dyDescent="0.2">
      <c r="A590" s="43" t="s">
        <v>136</v>
      </c>
      <c r="B590" s="12" t="s">
        <v>39</v>
      </c>
      <c r="C590" s="27" t="s">
        <v>62</v>
      </c>
      <c r="D590" s="44">
        <v>17.57277298865716</v>
      </c>
      <c r="E590" s="15" t="s">
        <v>133</v>
      </c>
      <c r="F590" s="16" t="s">
        <v>16</v>
      </c>
      <c r="G590" s="22">
        <v>1</v>
      </c>
      <c r="H590" s="23">
        <v>1</v>
      </c>
      <c r="I590" s="23">
        <v>1</v>
      </c>
      <c r="J590" s="23">
        <v>2</v>
      </c>
      <c r="K590" s="23">
        <v>3</v>
      </c>
      <c r="L590" s="25">
        <f t="shared" si="21"/>
        <v>1.0195048044558224</v>
      </c>
      <c r="M590" s="20" t="s">
        <v>134</v>
      </c>
    </row>
    <row r="591" spans="1:13" x14ac:dyDescent="0.2">
      <c r="A591" s="43" t="s">
        <v>136</v>
      </c>
      <c r="B591" s="12" t="s">
        <v>40</v>
      </c>
      <c r="C591" s="27" t="s">
        <v>62</v>
      </c>
      <c r="D591" s="44">
        <v>32.266699084194308</v>
      </c>
      <c r="E591" s="15" t="s">
        <v>133</v>
      </c>
      <c r="F591" s="16" t="s">
        <v>16</v>
      </c>
      <c r="G591" s="22">
        <v>1</v>
      </c>
      <c r="H591" s="23">
        <v>1</v>
      </c>
      <c r="I591" s="23">
        <v>1</v>
      </c>
      <c r="J591" s="23">
        <v>2</v>
      </c>
      <c r="K591" s="23">
        <v>3</v>
      </c>
      <c r="L591" s="25">
        <f t="shared" si="21"/>
        <v>1.0195048044558224</v>
      </c>
      <c r="M591" s="20" t="s">
        <v>134</v>
      </c>
    </row>
    <row r="592" spans="1:13" x14ac:dyDescent="0.2">
      <c r="A592" s="43" t="s">
        <v>136</v>
      </c>
      <c r="B592" s="12" t="s">
        <v>41</v>
      </c>
      <c r="C592" s="27" t="s">
        <v>62</v>
      </c>
      <c r="D592" s="44">
        <v>9.1629845793889757</v>
      </c>
      <c r="E592" s="15" t="s">
        <v>133</v>
      </c>
      <c r="F592" s="16" t="s">
        <v>16</v>
      </c>
      <c r="G592" s="22">
        <v>1</v>
      </c>
      <c r="H592" s="23">
        <v>1</v>
      </c>
      <c r="I592" s="23">
        <v>1</v>
      </c>
      <c r="J592" s="23">
        <v>2</v>
      </c>
      <c r="K592" s="23">
        <v>3</v>
      </c>
      <c r="L592" s="25">
        <f t="shared" si="21"/>
        <v>1.0195048044558224</v>
      </c>
      <c r="M592" s="20" t="s">
        <v>134</v>
      </c>
    </row>
    <row r="593" spans="1:13" x14ac:dyDescent="0.2">
      <c r="A593" s="43" t="s">
        <v>136</v>
      </c>
      <c r="B593" s="12" t="s">
        <v>42</v>
      </c>
      <c r="C593" s="27" t="s">
        <v>62</v>
      </c>
      <c r="D593" s="44">
        <v>5.3232111711258634</v>
      </c>
      <c r="E593" s="15" t="s">
        <v>133</v>
      </c>
      <c r="F593" s="16" t="s">
        <v>16</v>
      </c>
      <c r="G593" s="22">
        <v>1</v>
      </c>
      <c r="H593" s="23">
        <v>1</v>
      </c>
      <c r="I593" s="23">
        <v>1</v>
      </c>
      <c r="J593" s="23">
        <v>2</v>
      </c>
      <c r="K593" s="23">
        <v>3</v>
      </c>
      <c r="L593" s="25">
        <f t="shared" si="21"/>
        <v>1.0195048044558224</v>
      </c>
      <c r="M593" s="20" t="s">
        <v>134</v>
      </c>
    </row>
    <row r="594" spans="1:13" x14ac:dyDescent="0.2">
      <c r="A594" s="43" t="s">
        <v>136</v>
      </c>
      <c r="B594" s="12" t="s">
        <v>43</v>
      </c>
      <c r="C594" s="27" t="s">
        <v>62</v>
      </c>
      <c r="D594" s="18">
        <v>0</v>
      </c>
      <c r="E594" s="15" t="s">
        <v>133</v>
      </c>
      <c r="F594" s="16"/>
      <c r="G594" s="17"/>
      <c r="H594" s="18"/>
      <c r="I594" s="18"/>
      <c r="J594" s="18"/>
      <c r="K594" s="18"/>
      <c r="L594" s="19" t="str">
        <f t="shared" si="21"/>
        <v/>
      </c>
      <c r="M594" s="20" t="s">
        <v>134</v>
      </c>
    </row>
    <row r="595" spans="1:13" x14ac:dyDescent="0.2">
      <c r="A595" s="43" t="s">
        <v>136</v>
      </c>
      <c r="B595" s="12" t="s">
        <v>45</v>
      </c>
      <c r="C595" s="27" t="s">
        <v>62</v>
      </c>
      <c r="D595" s="44">
        <v>95.89109483444102</v>
      </c>
      <c r="E595" s="15" t="s">
        <v>133</v>
      </c>
      <c r="F595" s="16" t="s">
        <v>16</v>
      </c>
      <c r="G595" s="22">
        <v>1</v>
      </c>
      <c r="H595" s="23">
        <v>1</v>
      </c>
      <c r="I595" s="23">
        <v>1</v>
      </c>
      <c r="J595" s="23">
        <v>2</v>
      </c>
      <c r="K595" s="23">
        <v>3</v>
      </c>
      <c r="L595" s="25">
        <f t="shared" si="21"/>
        <v>1.0195048044558224</v>
      </c>
      <c r="M595" s="20" t="s">
        <v>134</v>
      </c>
    </row>
    <row r="596" spans="1:13" x14ac:dyDescent="0.2">
      <c r="A596" s="43" t="s">
        <v>136</v>
      </c>
      <c r="B596" s="12" t="s">
        <v>46</v>
      </c>
      <c r="C596" s="27" t="s">
        <v>62</v>
      </c>
      <c r="D596" s="44">
        <v>305.75006811283163</v>
      </c>
      <c r="E596" s="15" t="s">
        <v>133</v>
      </c>
      <c r="F596" s="16" t="s">
        <v>16</v>
      </c>
      <c r="G596" s="22">
        <v>1</v>
      </c>
      <c r="H596" s="23">
        <v>1</v>
      </c>
      <c r="I596" s="23">
        <v>1</v>
      </c>
      <c r="J596" s="23">
        <v>2</v>
      </c>
      <c r="K596" s="23">
        <v>3</v>
      </c>
      <c r="L596" s="24">
        <f t="shared" si="21"/>
        <v>1.0195048044558224</v>
      </c>
      <c r="M596" s="20" t="s">
        <v>134</v>
      </c>
    </row>
    <row r="597" spans="1:13" x14ac:dyDescent="0.2">
      <c r="A597" s="43" t="s">
        <v>136</v>
      </c>
      <c r="B597" s="12" t="s">
        <v>48</v>
      </c>
      <c r="C597" s="27" t="s">
        <v>62</v>
      </c>
      <c r="D597" s="44">
        <v>1.8217188584277439</v>
      </c>
      <c r="E597" s="15" t="s">
        <v>133</v>
      </c>
      <c r="F597" s="16"/>
      <c r="G597" s="22">
        <v>1</v>
      </c>
      <c r="H597" s="23">
        <v>1</v>
      </c>
      <c r="I597" s="23">
        <v>1</v>
      </c>
      <c r="J597" s="23">
        <v>2</v>
      </c>
      <c r="K597" s="23">
        <v>3</v>
      </c>
      <c r="L597" s="25">
        <f>IF( OR( ISBLANK(G597),ISBLANK(H597), ISBLANK(I597), ISBLANK(J597), ISBLANK(K597) ), "", 1.5*SQRT(   EXP(2.21*(G597-1)) + EXP(2.21*(H597-1)) + EXP(2.21*(I597-1)) + EXP(2.21*(J597-1)) + EXP(2.21*K597)   )/100*2.45 )</f>
        <v>1.0195048044558224</v>
      </c>
      <c r="M597" s="20" t="s">
        <v>134</v>
      </c>
    </row>
    <row r="598" spans="1:13" x14ac:dyDescent="0.2">
      <c r="A598" s="43" t="s">
        <v>136</v>
      </c>
      <c r="B598" s="12" t="s">
        <v>50</v>
      </c>
      <c r="C598" s="27" t="s">
        <v>62</v>
      </c>
      <c r="D598" s="44">
        <v>180.60967186984129</v>
      </c>
      <c r="E598" s="15" t="s">
        <v>133</v>
      </c>
      <c r="F598" s="16" t="s">
        <v>16</v>
      </c>
      <c r="G598" s="22">
        <v>1</v>
      </c>
      <c r="H598" s="23">
        <v>1</v>
      </c>
      <c r="I598" s="23">
        <v>1</v>
      </c>
      <c r="J598" s="23">
        <v>2</v>
      </c>
      <c r="K598" s="23">
        <v>3</v>
      </c>
      <c r="L598" s="25">
        <f>IF( OR( ISBLANK(G598),ISBLANK(H598), ISBLANK(I598), ISBLANK(J598), ISBLANK(K598) ), "", 1.5*SQRT( EXP(2.21*(G598-1)) + EXP(2.21*(H598-1)) + EXP(2.21*(I598-1)) + EXP(2.21*(J598-1)) + EXP(2.21*K598) )/100*2.45 )</f>
        <v>1.0195048044558224</v>
      </c>
      <c r="M598" s="20" t="s">
        <v>134</v>
      </c>
    </row>
    <row r="599" spans="1:13" x14ac:dyDescent="0.2">
      <c r="A599" s="43" t="s">
        <v>136</v>
      </c>
      <c r="B599" s="12" t="s">
        <v>52</v>
      </c>
      <c r="C599" s="27" t="s">
        <v>62</v>
      </c>
      <c r="D599" s="44">
        <v>47.967769245719609</v>
      </c>
      <c r="E599" s="15" t="s">
        <v>133</v>
      </c>
      <c r="F599" s="16" t="s">
        <v>16</v>
      </c>
      <c r="G599" s="22">
        <v>1</v>
      </c>
      <c r="H599" s="23">
        <v>1</v>
      </c>
      <c r="I599" s="23">
        <v>1</v>
      </c>
      <c r="J599" s="23">
        <v>2</v>
      </c>
      <c r="K599" s="23">
        <v>3</v>
      </c>
      <c r="L599" s="25">
        <f>IF( OR( ISBLANK(G599),ISBLANK(H599), ISBLANK(I599), ISBLANK(J599), ISBLANK(K599) ), "", 1.5*SQRT( EXP(2.21*(G599-1)) + EXP(2.21*(H599-1)) + EXP(2.21*(I599-1)) + EXP(2.21*(J599-1)) + EXP(2.21*K599) )/100*2.45 )</f>
        <v>1.0195048044558224</v>
      </c>
      <c r="M599" s="20" t="s">
        <v>134</v>
      </c>
    </row>
    <row r="600" spans="1:13" x14ac:dyDescent="0.2">
      <c r="A600" s="43" t="s">
        <v>136</v>
      </c>
      <c r="B600" s="12" t="s">
        <v>54</v>
      </c>
      <c r="C600" s="27" t="s">
        <v>62</v>
      </c>
      <c r="D600" s="44">
        <v>18.58873446894393</v>
      </c>
      <c r="E600" s="15" t="s">
        <v>133</v>
      </c>
      <c r="F600" s="16" t="s">
        <v>16</v>
      </c>
      <c r="G600" s="22">
        <v>1</v>
      </c>
      <c r="H600" s="23">
        <v>1</v>
      </c>
      <c r="I600" s="23">
        <v>1</v>
      </c>
      <c r="J600" s="23">
        <v>2</v>
      </c>
      <c r="K600" s="23">
        <v>3</v>
      </c>
      <c r="L600" s="25">
        <f>IF( OR( ISBLANK(G600),ISBLANK(H600), ISBLANK(I600), ISBLANK(J600), ISBLANK(K600) ), "", 1.5*SQRT( EXP(2.21*(G600-1)) + EXP(2.21*(H600-1)) + EXP(2.21*(I600-1)) + EXP(2.21*(J600-1)) + EXP(2.21*K600) )/100*2.45 )</f>
        <v>1.0195048044558224</v>
      </c>
      <c r="M600" s="20" t="s">
        <v>134</v>
      </c>
    </row>
    <row r="601" spans="1:13" x14ac:dyDescent="0.2">
      <c r="A601" s="43" t="s">
        <v>136</v>
      </c>
      <c r="B601" s="12" t="s">
        <v>55</v>
      </c>
      <c r="C601" s="27" t="s">
        <v>62</v>
      </c>
      <c r="D601" s="44">
        <v>22.253653801097471</v>
      </c>
      <c r="E601" s="15" t="s">
        <v>133</v>
      </c>
      <c r="F601" s="16"/>
      <c r="G601" s="22">
        <v>1</v>
      </c>
      <c r="H601" s="23">
        <v>1</v>
      </c>
      <c r="I601" s="23">
        <v>1</v>
      </c>
      <c r="J601" s="23">
        <v>2</v>
      </c>
      <c r="K601" s="23">
        <v>3</v>
      </c>
      <c r="L601" s="25">
        <f>IF( OR( ISBLANK(G601),ISBLANK(H601), ISBLANK(I601), ISBLANK(J601), ISBLANK(K601) ), "", 1.5*SQRT(   EXP(2.21*(G601-1)) + EXP(2.21*(H601-1)) + EXP(2.21*(I601-1)) + EXP(2.21*(J601-1)) + EXP(2.21*K601)   )/100*2.45 )</f>
        <v>1.0195048044558224</v>
      </c>
      <c r="M601" s="20" t="s">
        <v>134</v>
      </c>
    </row>
    <row r="602" spans="1:13" x14ac:dyDescent="0.2">
      <c r="A602" s="43" t="s">
        <v>136</v>
      </c>
      <c r="B602" s="12" t="s">
        <v>57</v>
      </c>
      <c r="C602" s="27" t="s">
        <v>62</v>
      </c>
      <c r="D602" s="23">
        <v>0</v>
      </c>
      <c r="E602" s="15" t="s">
        <v>133</v>
      </c>
      <c r="F602" s="16"/>
      <c r="G602" s="17"/>
      <c r="H602" s="18"/>
      <c r="I602" s="18"/>
      <c r="J602" s="18"/>
      <c r="K602" s="18"/>
      <c r="L602" s="19" t="str">
        <f>IF( OR( ISBLANK(G602),ISBLANK(H602), ISBLANK(I602), ISBLANK(J602), ISBLANK(K602) ), "", 1.5*SQRT(   EXP(2.21*(G602-1)) + EXP(2.21*(H602-1)) + EXP(2.21*(I602-1)) + EXP(2.21*(J602-1)) + EXP(2.21*K602)   )/100*2.45 )</f>
        <v/>
      </c>
      <c r="M602" s="20" t="s">
        <v>134</v>
      </c>
    </row>
    <row r="603" spans="1:13" x14ac:dyDescent="0.2">
      <c r="A603" s="43" t="s">
        <v>136</v>
      </c>
      <c r="B603" s="12" t="s">
        <v>59</v>
      </c>
      <c r="C603" s="27" t="s">
        <v>62</v>
      </c>
      <c r="D603" s="44">
        <v>139.84699724391311</v>
      </c>
      <c r="E603" s="15" t="s">
        <v>133</v>
      </c>
      <c r="F603" s="16" t="s">
        <v>16</v>
      </c>
      <c r="G603" s="22">
        <v>1</v>
      </c>
      <c r="H603" s="23">
        <v>1</v>
      </c>
      <c r="I603" s="23">
        <v>1</v>
      </c>
      <c r="J603" s="23">
        <v>2</v>
      </c>
      <c r="K603" s="23">
        <v>3</v>
      </c>
      <c r="L603" s="25">
        <f t="shared" ref="L603:L618" si="22">IF( OR( ISBLANK(G603),ISBLANK(H603), ISBLANK(I603), ISBLANK(J603), ISBLANK(K603) ), "", 1.5*SQRT( EXP(2.21*(G603-1)) + EXP(2.21*(H603-1)) + EXP(2.21*(I603-1)) + EXP(2.21*(J603-1)) + EXP(2.21*K603) )/100*2.45 )</f>
        <v>1.0195048044558224</v>
      </c>
      <c r="M603" s="20" t="s">
        <v>134</v>
      </c>
    </row>
    <row r="604" spans="1:13" x14ac:dyDescent="0.2">
      <c r="A604" s="43" t="s">
        <v>136</v>
      </c>
      <c r="B604" s="12" t="s">
        <v>60</v>
      </c>
      <c r="C604" s="27" t="s">
        <v>62</v>
      </c>
      <c r="D604" s="44">
        <v>720.58630278404598</v>
      </c>
      <c r="E604" s="15" t="s">
        <v>133</v>
      </c>
      <c r="F604" s="16" t="s">
        <v>16</v>
      </c>
      <c r="G604" s="22">
        <v>1</v>
      </c>
      <c r="H604" s="23">
        <v>2</v>
      </c>
      <c r="I604" s="23">
        <v>1</v>
      </c>
      <c r="J604" s="23">
        <v>2</v>
      </c>
      <c r="K604" s="23">
        <v>3</v>
      </c>
      <c r="L604" s="24">
        <f t="shared" si="22"/>
        <v>1.0248662490928169</v>
      </c>
      <c r="M604" s="20" t="s">
        <v>134</v>
      </c>
    </row>
    <row r="605" spans="1:13" x14ac:dyDescent="0.2">
      <c r="A605" s="43" t="s">
        <v>136</v>
      </c>
      <c r="B605" s="12" t="s">
        <v>13</v>
      </c>
      <c r="C605" s="28" t="s">
        <v>64</v>
      </c>
      <c r="D605" s="44">
        <v>153.2830780789476</v>
      </c>
      <c r="E605" s="15" t="s">
        <v>133</v>
      </c>
      <c r="F605" s="16" t="s">
        <v>16</v>
      </c>
      <c r="G605" s="22">
        <v>1</v>
      </c>
      <c r="H605" s="23">
        <v>1</v>
      </c>
      <c r="I605" s="23">
        <v>1</v>
      </c>
      <c r="J605" s="23">
        <v>2</v>
      </c>
      <c r="K605" s="23">
        <v>3</v>
      </c>
      <c r="L605" s="25">
        <f t="shared" si="22"/>
        <v>1.0195048044558224</v>
      </c>
      <c r="M605" s="20" t="s">
        <v>134</v>
      </c>
    </row>
    <row r="606" spans="1:13" x14ac:dyDescent="0.2">
      <c r="A606" s="43" t="s">
        <v>136</v>
      </c>
      <c r="B606" s="12" t="s">
        <v>18</v>
      </c>
      <c r="C606" s="28" t="s">
        <v>64</v>
      </c>
      <c r="D606" s="18">
        <v>0</v>
      </c>
      <c r="E606" s="15" t="s">
        <v>133</v>
      </c>
      <c r="F606" s="16"/>
      <c r="G606" s="17"/>
      <c r="H606" s="18"/>
      <c r="I606" s="18"/>
      <c r="J606" s="18"/>
      <c r="K606" s="18"/>
      <c r="L606" s="19" t="str">
        <f t="shared" si="22"/>
        <v/>
      </c>
      <c r="M606" s="20" t="s">
        <v>134</v>
      </c>
    </row>
    <row r="607" spans="1:13" x14ac:dyDescent="0.2">
      <c r="A607" s="43" t="s">
        <v>136</v>
      </c>
      <c r="B607" s="12" t="s">
        <v>20</v>
      </c>
      <c r="C607" s="28" t="s">
        <v>64</v>
      </c>
      <c r="D607" s="18">
        <v>0</v>
      </c>
      <c r="E607" s="15" t="s">
        <v>133</v>
      </c>
      <c r="F607" s="16"/>
      <c r="G607" s="17"/>
      <c r="H607" s="18"/>
      <c r="I607" s="18"/>
      <c r="J607" s="18"/>
      <c r="K607" s="18"/>
      <c r="L607" s="19" t="str">
        <f t="shared" si="22"/>
        <v/>
      </c>
      <c r="M607" s="20" t="s">
        <v>134</v>
      </c>
    </row>
    <row r="608" spans="1:13" x14ac:dyDescent="0.2">
      <c r="A608" s="43" t="s">
        <v>136</v>
      </c>
      <c r="B608" s="12" t="s">
        <v>22</v>
      </c>
      <c r="C608" s="28" t="s">
        <v>64</v>
      </c>
      <c r="D608" s="44">
        <v>34.00220101366768</v>
      </c>
      <c r="E608" s="15" t="s">
        <v>133</v>
      </c>
      <c r="F608" s="16" t="s">
        <v>16</v>
      </c>
      <c r="G608" s="22">
        <v>1</v>
      </c>
      <c r="H608" s="23">
        <v>1</v>
      </c>
      <c r="I608" s="23">
        <v>1</v>
      </c>
      <c r="J608" s="23">
        <v>2</v>
      </c>
      <c r="K608" s="23">
        <v>3</v>
      </c>
      <c r="L608" s="25">
        <f t="shared" si="22"/>
        <v>1.0195048044558224</v>
      </c>
      <c r="M608" s="20" t="s">
        <v>134</v>
      </c>
    </row>
    <row r="609" spans="1:13" x14ac:dyDescent="0.2">
      <c r="A609" s="43" t="s">
        <v>136</v>
      </c>
      <c r="B609" s="12" t="s">
        <v>23</v>
      </c>
      <c r="C609" s="28" t="s">
        <v>64</v>
      </c>
      <c r="D609" s="44">
        <v>9.3995348040709938</v>
      </c>
      <c r="E609" s="15" t="s">
        <v>133</v>
      </c>
      <c r="F609" s="16" t="s">
        <v>16</v>
      </c>
      <c r="G609" s="22">
        <v>1</v>
      </c>
      <c r="H609" s="23">
        <v>1</v>
      </c>
      <c r="I609" s="23">
        <v>1</v>
      </c>
      <c r="J609" s="23">
        <v>2</v>
      </c>
      <c r="K609" s="23">
        <v>3</v>
      </c>
      <c r="L609" s="25">
        <f t="shared" si="22"/>
        <v>1.0195048044558224</v>
      </c>
      <c r="M609" s="20" t="s">
        <v>134</v>
      </c>
    </row>
    <row r="610" spans="1:13" x14ac:dyDescent="0.2">
      <c r="A610" s="43" t="s">
        <v>136</v>
      </c>
      <c r="B610" s="12" t="s">
        <v>24</v>
      </c>
      <c r="C610" s="28" t="s">
        <v>64</v>
      </c>
      <c r="D610" s="18">
        <v>0</v>
      </c>
      <c r="E610" s="15" t="s">
        <v>133</v>
      </c>
      <c r="F610" s="16"/>
      <c r="G610" s="17"/>
      <c r="H610" s="18"/>
      <c r="I610" s="18"/>
      <c r="J610" s="18"/>
      <c r="K610" s="18"/>
      <c r="L610" s="19" t="str">
        <f t="shared" si="22"/>
        <v/>
      </c>
      <c r="M610" s="20" t="s">
        <v>134</v>
      </c>
    </row>
    <row r="611" spans="1:13" x14ac:dyDescent="0.2">
      <c r="A611" s="43" t="s">
        <v>136</v>
      </c>
      <c r="B611" s="12" t="s">
        <v>25</v>
      </c>
      <c r="C611" s="28" t="s">
        <v>64</v>
      </c>
      <c r="D611" s="44">
        <v>117.456783686881</v>
      </c>
      <c r="E611" s="15" t="s">
        <v>133</v>
      </c>
      <c r="F611" s="16" t="s">
        <v>16</v>
      </c>
      <c r="G611" s="22">
        <v>1</v>
      </c>
      <c r="H611" s="23">
        <v>1</v>
      </c>
      <c r="I611" s="23">
        <v>1</v>
      </c>
      <c r="J611" s="23">
        <v>2</v>
      </c>
      <c r="K611" s="23">
        <v>3</v>
      </c>
      <c r="L611" s="25">
        <f t="shared" si="22"/>
        <v>1.0195048044558224</v>
      </c>
      <c r="M611" s="20" t="s">
        <v>134</v>
      </c>
    </row>
    <row r="612" spans="1:13" x14ac:dyDescent="0.2">
      <c r="A612" s="43" t="s">
        <v>136</v>
      </c>
      <c r="B612" s="12" t="s">
        <v>26</v>
      </c>
      <c r="C612" s="28" t="s">
        <v>64</v>
      </c>
      <c r="D612" s="44">
        <v>26.433909063444759</v>
      </c>
      <c r="E612" s="15" t="s">
        <v>133</v>
      </c>
      <c r="F612" s="16" t="s">
        <v>16</v>
      </c>
      <c r="G612" s="22">
        <v>1</v>
      </c>
      <c r="H612" s="23">
        <v>1</v>
      </c>
      <c r="I612" s="23">
        <v>1</v>
      </c>
      <c r="J612" s="23">
        <v>2</v>
      </c>
      <c r="K612" s="23">
        <v>3</v>
      </c>
      <c r="L612" s="25">
        <f t="shared" si="22"/>
        <v>1.0195048044558224</v>
      </c>
      <c r="M612" s="20" t="s">
        <v>134</v>
      </c>
    </row>
    <row r="613" spans="1:13" x14ac:dyDescent="0.2">
      <c r="A613" s="43" t="s">
        <v>136</v>
      </c>
      <c r="B613" s="12" t="s">
        <v>27</v>
      </c>
      <c r="C613" s="28" t="s">
        <v>64</v>
      </c>
      <c r="D613" s="18">
        <v>0</v>
      </c>
      <c r="E613" s="15" t="s">
        <v>133</v>
      </c>
      <c r="F613" s="16"/>
      <c r="G613" s="17"/>
      <c r="H613" s="18"/>
      <c r="I613" s="18"/>
      <c r="J613" s="18"/>
      <c r="K613" s="18"/>
      <c r="L613" s="19" t="str">
        <f t="shared" si="22"/>
        <v/>
      </c>
      <c r="M613" s="20" t="s">
        <v>134</v>
      </c>
    </row>
    <row r="614" spans="1:13" x14ac:dyDescent="0.2">
      <c r="A614" s="43" t="s">
        <v>136</v>
      </c>
      <c r="B614" s="12" t="s">
        <v>28</v>
      </c>
      <c r="C614" s="28" t="s">
        <v>64</v>
      </c>
      <c r="D614" s="44">
        <v>0</v>
      </c>
      <c r="E614" s="15" t="s">
        <v>133</v>
      </c>
      <c r="F614" s="16"/>
      <c r="G614" s="22">
        <v>1</v>
      </c>
      <c r="H614" s="23">
        <v>1</v>
      </c>
      <c r="I614" s="23">
        <v>1</v>
      </c>
      <c r="J614" s="23">
        <v>2</v>
      </c>
      <c r="K614" s="23">
        <v>3</v>
      </c>
      <c r="L614" s="19">
        <f t="shared" si="22"/>
        <v>1.0195048044558224</v>
      </c>
      <c r="M614" s="20" t="s">
        <v>134</v>
      </c>
    </row>
    <row r="615" spans="1:13" x14ac:dyDescent="0.2">
      <c r="A615" s="43" t="s">
        <v>136</v>
      </c>
      <c r="B615" s="12" t="s">
        <v>30</v>
      </c>
      <c r="C615" s="28" t="s">
        <v>64</v>
      </c>
      <c r="D615" s="44">
        <v>0</v>
      </c>
      <c r="E615" s="15" t="s">
        <v>133</v>
      </c>
      <c r="F615" s="16"/>
      <c r="G615" s="22">
        <v>1</v>
      </c>
      <c r="H615" s="23">
        <v>1</v>
      </c>
      <c r="I615" s="23">
        <v>1</v>
      </c>
      <c r="J615" s="23">
        <v>2</v>
      </c>
      <c r="K615" s="23">
        <v>3</v>
      </c>
      <c r="L615" s="19">
        <f t="shared" si="22"/>
        <v>1.0195048044558224</v>
      </c>
      <c r="M615" s="20" t="s">
        <v>134</v>
      </c>
    </row>
    <row r="616" spans="1:13" x14ac:dyDescent="0.2">
      <c r="A616" s="43" t="s">
        <v>136</v>
      </c>
      <c r="B616" s="12" t="s">
        <v>32</v>
      </c>
      <c r="C616" s="28" t="s">
        <v>64</v>
      </c>
      <c r="D616" s="44">
        <v>142.22725027298679</v>
      </c>
      <c r="E616" s="15" t="s">
        <v>133</v>
      </c>
      <c r="F616" s="16" t="s">
        <v>16</v>
      </c>
      <c r="G616" s="22">
        <v>1</v>
      </c>
      <c r="H616" s="23">
        <v>1</v>
      </c>
      <c r="I616" s="23">
        <v>1</v>
      </c>
      <c r="J616" s="23">
        <v>2</v>
      </c>
      <c r="K616" s="23">
        <v>3</v>
      </c>
      <c r="L616" s="25">
        <f t="shared" si="22"/>
        <v>1.0195048044558224</v>
      </c>
      <c r="M616" s="20" t="s">
        <v>134</v>
      </c>
    </row>
    <row r="617" spans="1:13" x14ac:dyDescent="0.2">
      <c r="A617" s="43" t="s">
        <v>136</v>
      </c>
      <c r="B617" s="12" t="s">
        <v>34</v>
      </c>
      <c r="C617" s="28" t="s">
        <v>64</v>
      </c>
      <c r="D617" s="18">
        <v>0</v>
      </c>
      <c r="E617" s="15" t="s">
        <v>133</v>
      </c>
      <c r="F617" s="16"/>
      <c r="G617" s="17"/>
      <c r="H617" s="18"/>
      <c r="I617" s="18"/>
      <c r="J617" s="18"/>
      <c r="K617" s="18"/>
      <c r="L617" s="19" t="str">
        <f t="shared" si="22"/>
        <v/>
      </c>
      <c r="M617" s="20" t="s">
        <v>134</v>
      </c>
    </row>
    <row r="618" spans="1:13" x14ac:dyDescent="0.2">
      <c r="A618" s="43" t="s">
        <v>136</v>
      </c>
      <c r="B618" s="12" t="s">
        <v>36</v>
      </c>
      <c r="C618" s="28" t="s">
        <v>64</v>
      </c>
      <c r="D618" s="18">
        <v>0</v>
      </c>
      <c r="E618" s="15" t="s">
        <v>133</v>
      </c>
      <c r="F618" s="16"/>
      <c r="G618" s="17"/>
      <c r="H618" s="18"/>
      <c r="I618" s="18"/>
      <c r="J618" s="18"/>
      <c r="K618" s="18"/>
      <c r="L618" s="19" t="str">
        <f t="shared" si="22"/>
        <v/>
      </c>
      <c r="M618" s="20" t="s">
        <v>134</v>
      </c>
    </row>
    <row r="619" spans="1:13" x14ac:dyDescent="0.2">
      <c r="A619" s="43" t="s">
        <v>136</v>
      </c>
      <c r="B619" s="12" t="s">
        <v>37</v>
      </c>
      <c r="C619" s="28" t="s">
        <v>64</v>
      </c>
      <c r="D619" s="44">
        <v>9.5139650950292207</v>
      </c>
      <c r="E619" s="15" t="s">
        <v>133</v>
      </c>
      <c r="F619" s="16"/>
      <c r="G619" s="22">
        <v>1</v>
      </c>
      <c r="H619" s="23">
        <v>1</v>
      </c>
      <c r="I619" s="23">
        <v>1</v>
      </c>
      <c r="J619" s="23">
        <v>2</v>
      </c>
      <c r="K619" s="23">
        <v>3</v>
      </c>
      <c r="L619" s="25">
        <f>IF( OR( ISBLANK(G619),ISBLANK(H619), ISBLANK(I619), ISBLANK(J619), ISBLANK(K619) ), "", 1.5*SQRT(   EXP(2.21*(G619-1)) + EXP(2.21*(H619-1)) + EXP(2.21*(I619-1)) + EXP(2.21*(J619-1)) + EXP(2.21*K619)   )/100*2.45 )</f>
        <v>1.0195048044558224</v>
      </c>
      <c r="M619" s="20" t="s">
        <v>134</v>
      </c>
    </row>
    <row r="620" spans="1:13" x14ac:dyDescent="0.2">
      <c r="A620" s="43" t="s">
        <v>136</v>
      </c>
      <c r="B620" s="12" t="s">
        <v>39</v>
      </c>
      <c r="C620" s="28" t="s">
        <v>64</v>
      </c>
      <c r="D620" s="44">
        <v>23.15448228362618</v>
      </c>
      <c r="E620" s="15" t="s">
        <v>133</v>
      </c>
      <c r="F620" s="16" t="s">
        <v>16</v>
      </c>
      <c r="G620" s="22">
        <v>1</v>
      </c>
      <c r="H620" s="23">
        <v>1</v>
      </c>
      <c r="I620" s="23">
        <v>1</v>
      </c>
      <c r="J620" s="23">
        <v>2</v>
      </c>
      <c r="K620" s="23">
        <v>3</v>
      </c>
      <c r="L620" s="25">
        <f t="shared" ref="L620:L625" si="23">IF( OR( ISBLANK(G620),ISBLANK(H620), ISBLANK(I620), ISBLANK(J620), ISBLANK(K620) ), "", 1.5*SQRT( EXP(2.21*(G620-1)) + EXP(2.21*(H620-1)) + EXP(2.21*(I620-1)) + EXP(2.21*(J620-1)) + EXP(2.21*K620) )/100*2.45 )</f>
        <v>1.0195048044558224</v>
      </c>
      <c r="M620" s="20" t="s">
        <v>134</v>
      </c>
    </row>
    <row r="621" spans="1:13" x14ac:dyDescent="0.2">
      <c r="A621" s="43" t="s">
        <v>136</v>
      </c>
      <c r="B621" s="12" t="s">
        <v>40</v>
      </c>
      <c r="C621" s="28" t="s">
        <v>64</v>
      </c>
      <c r="D621" s="44">
        <v>44.20244339866592</v>
      </c>
      <c r="E621" s="15" t="s">
        <v>133</v>
      </c>
      <c r="F621" s="16" t="s">
        <v>16</v>
      </c>
      <c r="G621" s="22">
        <v>1</v>
      </c>
      <c r="H621" s="23">
        <v>1</v>
      </c>
      <c r="I621" s="23">
        <v>1</v>
      </c>
      <c r="J621" s="23">
        <v>2</v>
      </c>
      <c r="K621" s="23">
        <v>3</v>
      </c>
      <c r="L621" s="25">
        <f t="shared" si="23"/>
        <v>1.0195048044558224</v>
      </c>
      <c r="M621" s="20" t="s">
        <v>134</v>
      </c>
    </row>
    <row r="622" spans="1:13" x14ac:dyDescent="0.2">
      <c r="A622" s="43" t="s">
        <v>136</v>
      </c>
      <c r="B622" s="12" t="s">
        <v>41</v>
      </c>
      <c r="C622" s="28" t="s">
        <v>64</v>
      </c>
      <c r="D622" s="44">
        <v>12.55894731820915</v>
      </c>
      <c r="E622" s="15" t="s">
        <v>133</v>
      </c>
      <c r="F622" s="16" t="s">
        <v>16</v>
      </c>
      <c r="G622" s="22">
        <v>1</v>
      </c>
      <c r="H622" s="23">
        <v>1</v>
      </c>
      <c r="I622" s="23">
        <v>1</v>
      </c>
      <c r="J622" s="23">
        <v>2</v>
      </c>
      <c r="K622" s="23">
        <v>3</v>
      </c>
      <c r="L622" s="25">
        <f t="shared" si="23"/>
        <v>1.0195048044558224</v>
      </c>
      <c r="M622" s="20" t="s">
        <v>134</v>
      </c>
    </row>
    <row r="623" spans="1:13" x14ac:dyDescent="0.2">
      <c r="A623" s="43" t="s">
        <v>136</v>
      </c>
      <c r="B623" s="12" t="s">
        <v>42</v>
      </c>
      <c r="C623" s="28" t="s">
        <v>64</v>
      </c>
      <c r="D623" s="44">
        <v>7.2620271889956483</v>
      </c>
      <c r="E623" s="15" t="s">
        <v>133</v>
      </c>
      <c r="F623" s="16" t="s">
        <v>16</v>
      </c>
      <c r="G623" s="22">
        <v>1</v>
      </c>
      <c r="H623" s="23">
        <v>1</v>
      </c>
      <c r="I623" s="23">
        <v>1</v>
      </c>
      <c r="J623" s="23">
        <v>2</v>
      </c>
      <c r="K623" s="23">
        <v>3</v>
      </c>
      <c r="L623" s="25">
        <f t="shared" si="23"/>
        <v>1.0195048044558224</v>
      </c>
      <c r="M623" s="20" t="s">
        <v>134</v>
      </c>
    </row>
    <row r="624" spans="1:13" x14ac:dyDescent="0.2">
      <c r="A624" s="43" t="s">
        <v>136</v>
      </c>
      <c r="B624" s="12" t="s">
        <v>43</v>
      </c>
      <c r="C624" s="28" t="s">
        <v>64</v>
      </c>
      <c r="D624" s="18">
        <v>0</v>
      </c>
      <c r="E624" s="15" t="s">
        <v>133</v>
      </c>
      <c r="F624" s="16"/>
      <c r="G624" s="17"/>
      <c r="H624" s="18"/>
      <c r="I624" s="18"/>
      <c r="J624" s="18"/>
      <c r="K624" s="18"/>
      <c r="L624" s="19" t="str">
        <f t="shared" si="23"/>
        <v/>
      </c>
      <c r="M624" s="20" t="s">
        <v>134</v>
      </c>
    </row>
    <row r="625" spans="1:13" x14ac:dyDescent="0.2">
      <c r="A625" s="43" t="s">
        <v>136</v>
      </c>
      <c r="B625" s="12" t="s">
        <v>45</v>
      </c>
      <c r="C625" s="28" t="s">
        <v>64</v>
      </c>
      <c r="D625" s="44">
        <v>128.45657947611491</v>
      </c>
      <c r="E625" s="15" t="s">
        <v>133</v>
      </c>
      <c r="F625" s="16" t="s">
        <v>16</v>
      </c>
      <c r="G625" s="22">
        <v>1</v>
      </c>
      <c r="H625" s="23">
        <v>1</v>
      </c>
      <c r="I625" s="23">
        <v>1</v>
      </c>
      <c r="J625" s="23">
        <v>2</v>
      </c>
      <c r="K625" s="23">
        <v>3</v>
      </c>
      <c r="L625" s="25">
        <f t="shared" si="23"/>
        <v>1.0195048044558224</v>
      </c>
      <c r="M625" s="20" t="s">
        <v>134</v>
      </c>
    </row>
    <row r="626" spans="1:13" x14ac:dyDescent="0.2">
      <c r="A626" s="43" t="s">
        <v>136</v>
      </c>
      <c r="B626" s="12" t="s">
        <v>46</v>
      </c>
      <c r="C626" s="28" t="s">
        <v>64</v>
      </c>
      <c r="D626" s="44">
        <v>208.90933706454931</v>
      </c>
      <c r="E626" s="15" t="s">
        <v>133</v>
      </c>
      <c r="F626" s="16"/>
      <c r="G626" s="22">
        <v>1</v>
      </c>
      <c r="H626" s="23">
        <v>1</v>
      </c>
      <c r="I626" s="23">
        <v>1</v>
      </c>
      <c r="J626" s="23">
        <v>2</v>
      </c>
      <c r="K626" s="23">
        <v>3</v>
      </c>
      <c r="L626" s="25">
        <f>IF( OR( ISBLANK(G626),ISBLANK(H626), ISBLANK(I626), ISBLANK(J626), ISBLANK(K626) ), "", 1.5*SQRT(   EXP(2.21*(G626-1)) + EXP(2.21*(H626-1)) + EXP(2.21*(I626-1)) + EXP(2.21*(J626-1)) + EXP(2.21*K626)   )/100*2.45 )</f>
        <v>1.0195048044558224</v>
      </c>
      <c r="M626" s="20" t="s">
        <v>134</v>
      </c>
    </row>
    <row r="627" spans="1:13" x14ac:dyDescent="0.2">
      <c r="A627" s="43" t="s">
        <v>136</v>
      </c>
      <c r="B627" s="12" t="s">
        <v>48</v>
      </c>
      <c r="C627" s="28" t="s">
        <v>64</v>
      </c>
      <c r="D627" s="44">
        <v>212.8895911789254</v>
      </c>
      <c r="E627" s="15" t="s">
        <v>133</v>
      </c>
      <c r="F627" s="16" t="s">
        <v>16</v>
      </c>
      <c r="G627" s="22">
        <v>1</v>
      </c>
      <c r="H627" s="23">
        <v>1</v>
      </c>
      <c r="I627" s="23">
        <v>1</v>
      </c>
      <c r="J627" s="23">
        <v>2</v>
      </c>
      <c r="K627" s="23">
        <v>3</v>
      </c>
      <c r="L627" s="25">
        <f t="shared" ref="L627:L644" si="24">IF( OR( ISBLANK(G627),ISBLANK(H627), ISBLANK(I627), ISBLANK(J627), ISBLANK(K627) ), "", 1.5*SQRT( EXP(2.21*(G627-1)) + EXP(2.21*(H627-1)) + EXP(2.21*(I627-1)) + EXP(2.21*(J627-1)) + EXP(2.21*K627) )/100*2.45 )</f>
        <v>1.0195048044558224</v>
      </c>
      <c r="M627" s="20" t="s">
        <v>134</v>
      </c>
    </row>
    <row r="628" spans="1:13" x14ac:dyDescent="0.2">
      <c r="A628" s="43" t="s">
        <v>136</v>
      </c>
      <c r="B628" s="12" t="s">
        <v>50</v>
      </c>
      <c r="C628" s="28" t="s">
        <v>64</v>
      </c>
      <c r="D628" s="44">
        <v>156.53037840018371</v>
      </c>
      <c r="E628" s="15" t="s">
        <v>133</v>
      </c>
      <c r="F628" s="16" t="s">
        <v>16</v>
      </c>
      <c r="G628" s="22">
        <v>1</v>
      </c>
      <c r="H628" s="23">
        <v>1</v>
      </c>
      <c r="I628" s="23">
        <v>1</v>
      </c>
      <c r="J628" s="23">
        <v>2</v>
      </c>
      <c r="K628" s="23">
        <v>3</v>
      </c>
      <c r="L628" s="25">
        <f t="shared" si="24"/>
        <v>1.0195048044558224</v>
      </c>
      <c r="M628" s="20" t="s">
        <v>134</v>
      </c>
    </row>
    <row r="629" spans="1:13" x14ac:dyDescent="0.2">
      <c r="A629" s="43" t="s">
        <v>136</v>
      </c>
      <c r="B629" s="12" t="s">
        <v>52</v>
      </c>
      <c r="C629" s="28" t="s">
        <v>64</v>
      </c>
      <c r="D629" s="18">
        <v>0</v>
      </c>
      <c r="E629" s="15" t="s">
        <v>133</v>
      </c>
      <c r="F629" s="16"/>
      <c r="G629" s="17"/>
      <c r="H629" s="18"/>
      <c r="I629" s="18"/>
      <c r="J629" s="18"/>
      <c r="K629" s="18"/>
      <c r="L629" s="19" t="str">
        <f t="shared" si="24"/>
        <v/>
      </c>
      <c r="M629" s="20" t="s">
        <v>134</v>
      </c>
    </row>
    <row r="630" spans="1:13" x14ac:dyDescent="0.2">
      <c r="A630" s="43" t="s">
        <v>136</v>
      </c>
      <c r="B630" s="12" t="s">
        <v>54</v>
      </c>
      <c r="C630" s="28" t="s">
        <v>64</v>
      </c>
      <c r="D630" s="44">
        <v>25.475149942510111</v>
      </c>
      <c r="E630" s="15" t="s">
        <v>133</v>
      </c>
      <c r="F630" s="16" t="s">
        <v>16</v>
      </c>
      <c r="G630" s="22">
        <v>1</v>
      </c>
      <c r="H630" s="23">
        <v>1</v>
      </c>
      <c r="I630" s="23">
        <v>1</v>
      </c>
      <c r="J630" s="23">
        <v>2</v>
      </c>
      <c r="K630" s="23">
        <v>3</v>
      </c>
      <c r="L630" s="25">
        <f t="shared" si="24"/>
        <v>1.0195048044558224</v>
      </c>
      <c r="M630" s="20" t="s">
        <v>134</v>
      </c>
    </row>
    <row r="631" spans="1:13" x14ac:dyDescent="0.2">
      <c r="A631" s="43" t="s">
        <v>136</v>
      </c>
      <c r="B631" s="12" t="s">
        <v>55</v>
      </c>
      <c r="C631" s="28" t="s">
        <v>64</v>
      </c>
      <c r="D631" s="18">
        <v>0</v>
      </c>
      <c r="E631" s="15" t="s">
        <v>133</v>
      </c>
      <c r="F631" s="16"/>
      <c r="G631" s="17"/>
      <c r="H631" s="18"/>
      <c r="I631" s="18"/>
      <c r="J631" s="18"/>
      <c r="K631" s="18"/>
      <c r="L631" s="19" t="str">
        <f t="shared" si="24"/>
        <v/>
      </c>
      <c r="M631" s="20" t="s">
        <v>134</v>
      </c>
    </row>
    <row r="632" spans="1:13" x14ac:dyDescent="0.2">
      <c r="A632" s="43" t="s">
        <v>136</v>
      </c>
      <c r="B632" s="12" t="s">
        <v>57</v>
      </c>
      <c r="C632" s="28" t="s">
        <v>64</v>
      </c>
      <c r="D632" s="44">
        <v>98.748788358554719</v>
      </c>
      <c r="E632" s="15" t="s">
        <v>133</v>
      </c>
      <c r="F632" s="16" t="s">
        <v>16</v>
      </c>
      <c r="G632" s="22">
        <v>1</v>
      </c>
      <c r="H632" s="23">
        <v>1</v>
      </c>
      <c r="I632" s="23">
        <v>1</v>
      </c>
      <c r="J632" s="23">
        <v>2</v>
      </c>
      <c r="K632" s="23">
        <v>3</v>
      </c>
      <c r="L632" s="25">
        <f t="shared" si="24"/>
        <v>1.0195048044558224</v>
      </c>
      <c r="M632" s="20" t="s">
        <v>134</v>
      </c>
    </row>
    <row r="633" spans="1:13" x14ac:dyDescent="0.2">
      <c r="A633" s="43" t="s">
        <v>136</v>
      </c>
      <c r="B633" s="12" t="s">
        <v>59</v>
      </c>
      <c r="C633" s="28" t="s">
        <v>64</v>
      </c>
      <c r="D633" s="44">
        <v>191.67248894346801</v>
      </c>
      <c r="E633" s="15" t="s">
        <v>133</v>
      </c>
      <c r="F633" s="16" t="s">
        <v>16</v>
      </c>
      <c r="G633" s="22">
        <v>1</v>
      </c>
      <c r="H633" s="23">
        <v>1</v>
      </c>
      <c r="I633" s="23">
        <v>1</v>
      </c>
      <c r="J633" s="23">
        <v>2</v>
      </c>
      <c r="K633" s="23">
        <v>3</v>
      </c>
      <c r="L633" s="25">
        <f t="shared" si="24"/>
        <v>1.0195048044558224</v>
      </c>
      <c r="M633" s="20" t="s">
        <v>134</v>
      </c>
    </row>
    <row r="634" spans="1:13" x14ac:dyDescent="0.2">
      <c r="A634" s="43" t="s">
        <v>136</v>
      </c>
      <c r="B634" s="12" t="s">
        <v>60</v>
      </c>
      <c r="C634" s="28" t="s">
        <v>64</v>
      </c>
      <c r="D634" s="44">
        <v>764.79053646048828</v>
      </c>
      <c r="E634" s="15" t="s">
        <v>133</v>
      </c>
      <c r="F634" s="16" t="s">
        <v>16</v>
      </c>
      <c r="G634" s="22">
        <v>1</v>
      </c>
      <c r="H634" s="23">
        <v>2</v>
      </c>
      <c r="I634" s="23">
        <v>1</v>
      </c>
      <c r="J634" s="23">
        <v>2</v>
      </c>
      <c r="K634" s="23">
        <v>3</v>
      </c>
      <c r="L634" s="24">
        <f t="shared" si="24"/>
        <v>1.0248662490928169</v>
      </c>
      <c r="M634" s="20" t="s">
        <v>134</v>
      </c>
    </row>
    <row r="635" spans="1:13" x14ac:dyDescent="0.2">
      <c r="A635" s="43" t="s">
        <v>136</v>
      </c>
      <c r="B635" s="12" t="s">
        <v>13</v>
      </c>
      <c r="C635" s="29" t="s">
        <v>66</v>
      </c>
      <c r="D635" s="44">
        <v>40.736070730228747</v>
      </c>
      <c r="E635" s="15" t="s">
        <v>133</v>
      </c>
      <c r="F635" s="16" t="s">
        <v>16</v>
      </c>
      <c r="G635" s="22">
        <v>1</v>
      </c>
      <c r="H635" s="23">
        <v>1</v>
      </c>
      <c r="I635" s="23">
        <v>1</v>
      </c>
      <c r="J635" s="23">
        <v>2</v>
      </c>
      <c r="K635" s="23">
        <v>3</v>
      </c>
      <c r="L635" s="25">
        <f t="shared" si="24"/>
        <v>1.0195048044558224</v>
      </c>
      <c r="M635" s="20" t="s">
        <v>134</v>
      </c>
    </row>
    <row r="636" spans="1:13" x14ac:dyDescent="0.2">
      <c r="A636" s="43" t="s">
        <v>136</v>
      </c>
      <c r="B636" s="12" t="s">
        <v>18</v>
      </c>
      <c r="C636" s="29" t="s">
        <v>66</v>
      </c>
      <c r="D636" s="18">
        <v>0</v>
      </c>
      <c r="E636" s="15" t="s">
        <v>133</v>
      </c>
      <c r="F636" s="16"/>
      <c r="G636" s="17"/>
      <c r="H636" s="18"/>
      <c r="I636" s="18"/>
      <c r="J636" s="18"/>
      <c r="K636" s="18"/>
      <c r="L636" s="19" t="str">
        <f t="shared" si="24"/>
        <v/>
      </c>
      <c r="M636" s="20" t="s">
        <v>134</v>
      </c>
    </row>
    <row r="637" spans="1:13" x14ac:dyDescent="0.2">
      <c r="A637" s="43" t="s">
        <v>136</v>
      </c>
      <c r="B637" s="12" t="s">
        <v>20</v>
      </c>
      <c r="C637" s="29" t="s">
        <v>66</v>
      </c>
      <c r="D637" s="44">
        <v>20.83459619243397</v>
      </c>
      <c r="E637" s="15" t="s">
        <v>133</v>
      </c>
      <c r="F637" s="16" t="s">
        <v>16</v>
      </c>
      <c r="G637" s="22">
        <v>1</v>
      </c>
      <c r="H637" s="23">
        <v>1</v>
      </c>
      <c r="I637" s="23">
        <v>1</v>
      </c>
      <c r="J637" s="23">
        <v>2</v>
      </c>
      <c r="K637" s="23">
        <v>3</v>
      </c>
      <c r="L637" s="25">
        <f t="shared" si="24"/>
        <v>1.0195048044558224</v>
      </c>
      <c r="M637" s="20" t="s">
        <v>134</v>
      </c>
    </row>
    <row r="638" spans="1:13" x14ac:dyDescent="0.2">
      <c r="A638" s="43" t="s">
        <v>136</v>
      </c>
      <c r="B638" s="12" t="s">
        <v>22</v>
      </c>
      <c r="C638" s="29" t="s">
        <v>66</v>
      </c>
      <c r="D638" s="44">
        <v>9.0304454352218375</v>
      </c>
      <c r="E638" s="15" t="s">
        <v>133</v>
      </c>
      <c r="F638" s="16" t="s">
        <v>16</v>
      </c>
      <c r="G638" s="22">
        <v>1</v>
      </c>
      <c r="H638" s="23">
        <v>1</v>
      </c>
      <c r="I638" s="23">
        <v>1</v>
      </c>
      <c r="J638" s="23">
        <v>2</v>
      </c>
      <c r="K638" s="23">
        <v>3</v>
      </c>
      <c r="L638" s="25">
        <f t="shared" si="24"/>
        <v>1.0195048044558224</v>
      </c>
      <c r="M638" s="20" t="s">
        <v>134</v>
      </c>
    </row>
    <row r="639" spans="1:13" x14ac:dyDescent="0.2">
      <c r="A639" s="43" t="s">
        <v>136</v>
      </c>
      <c r="B639" s="12" t="s">
        <v>23</v>
      </c>
      <c r="C639" s="29" t="s">
        <v>66</v>
      </c>
      <c r="D639" s="44">
        <v>2.4964661492965732</v>
      </c>
      <c r="E639" s="15" t="s">
        <v>133</v>
      </c>
      <c r="F639" s="16" t="s">
        <v>16</v>
      </c>
      <c r="G639" s="22">
        <v>1</v>
      </c>
      <c r="H639" s="23">
        <v>1</v>
      </c>
      <c r="I639" s="23">
        <v>1</v>
      </c>
      <c r="J639" s="23">
        <v>2</v>
      </c>
      <c r="K639" s="23">
        <v>3</v>
      </c>
      <c r="L639" s="25">
        <f t="shared" si="24"/>
        <v>1.0195048044558224</v>
      </c>
      <c r="M639" s="20" t="s">
        <v>134</v>
      </c>
    </row>
    <row r="640" spans="1:13" x14ac:dyDescent="0.2">
      <c r="A640" s="43" t="s">
        <v>136</v>
      </c>
      <c r="B640" s="12" t="s">
        <v>24</v>
      </c>
      <c r="C640" s="29" t="s">
        <v>66</v>
      </c>
      <c r="D640" s="44">
        <v>36.060426314679418</v>
      </c>
      <c r="E640" s="15" t="s">
        <v>133</v>
      </c>
      <c r="F640" s="16" t="s">
        <v>16</v>
      </c>
      <c r="G640" s="22">
        <v>1</v>
      </c>
      <c r="H640" s="23">
        <v>1</v>
      </c>
      <c r="I640" s="23">
        <v>1</v>
      </c>
      <c r="J640" s="23">
        <v>2</v>
      </c>
      <c r="K640" s="23">
        <v>3</v>
      </c>
      <c r="L640" s="25">
        <f t="shared" si="24"/>
        <v>1.0195048044558224</v>
      </c>
      <c r="M640" s="20" t="s">
        <v>134</v>
      </c>
    </row>
    <row r="641" spans="1:13" x14ac:dyDescent="0.2">
      <c r="A641" s="43" t="s">
        <v>136</v>
      </c>
      <c r="B641" s="12" t="s">
        <v>25</v>
      </c>
      <c r="C641" s="29" t="s">
        <v>66</v>
      </c>
      <c r="D641" s="44">
        <v>31.1913881242568</v>
      </c>
      <c r="E641" s="15" t="s">
        <v>133</v>
      </c>
      <c r="F641" s="16" t="s">
        <v>16</v>
      </c>
      <c r="G641" s="22">
        <v>1</v>
      </c>
      <c r="H641" s="23">
        <v>1</v>
      </c>
      <c r="I641" s="23">
        <v>1</v>
      </c>
      <c r="J641" s="23">
        <v>2</v>
      </c>
      <c r="K641" s="23">
        <v>3</v>
      </c>
      <c r="L641" s="25">
        <f t="shared" si="24"/>
        <v>1.0195048044558224</v>
      </c>
      <c r="M641" s="20" t="s">
        <v>134</v>
      </c>
    </row>
    <row r="642" spans="1:13" x14ac:dyDescent="0.2">
      <c r="A642" s="43" t="s">
        <v>136</v>
      </c>
      <c r="B642" s="12" t="s">
        <v>26</v>
      </c>
      <c r="C642" s="29" t="s">
        <v>66</v>
      </c>
      <c r="D642" s="44">
        <v>5.0829374237570191</v>
      </c>
      <c r="E642" s="15" t="s">
        <v>133</v>
      </c>
      <c r="F642" s="16" t="s">
        <v>16</v>
      </c>
      <c r="G642" s="22">
        <v>1</v>
      </c>
      <c r="H642" s="23">
        <v>1</v>
      </c>
      <c r="I642" s="23">
        <v>1</v>
      </c>
      <c r="J642" s="23">
        <v>2</v>
      </c>
      <c r="K642" s="23">
        <v>3</v>
      </c>
      <c r="L642" s="25">
        <f t="shared" si="24"/>
        <v>1.0195048044558224</v>
      </c>
      <c r="M642" s="20" t="s">
        <v>134</v>
      </c>
    </row>
    <row r="643" spans="1:13" x14ac:dyDescent="0.2">
      <c r="A643" s="43" t="s">
        <v>136</v>
      </c>
      <c r="B643" s="12" t="s">
        <v>27</v>
      </c>
      <c r="C643" s="29" t="s">
        <v>66</v>
      </c>
      <c r="D643" s="44">
        <v>18.536263929057629</v>
      </c>
      <c r="E643" s="15" t="s">
        <v>133</v>
      </c>
      <c r="F643" s="16" t="s">
        <v>16</v>
      </c>
      <c r="G643" s="22">
        <v>1</v>
      </c>
      <c r="H643" s="23">
        <v>1</v>
      </c>
      <c r="I643" s="23">
        <v>1</v>
      </c>
      <c r="J643" s="23">
        <v>2</v>
      </c>
      <c r="K643" s="23">
        <v>3</v>
      </c>
      <c r="L643" s="25">
        <f t="shared" si="24"/>
        <v>1.0195048044558224</v>
      </c>
      <c r="M643" s="20" t="s">
        <v>134</v>
      </c>
    </row>
    <row r="644" spans="1:13" x14ac:dyDescent="0.2">
      <c r="A644" s="43" t="s">
        <v>136</v>
      </c>
      <c r="B644" s="12" t="s">
        <v>28</v>
      </c>
      <c r="C644" s="29" t="s">
        <v>66</v>
      </c>
      <c r="D644" s="18">
        <v>0</v>
      </c>
      <c r="E644" s="15" t="s">
        <v>133</v>
      </c>
      <c r="F644" s="16"/>
      <c r="G644" s="17"/>
      <c r="H644" s="18"/>
      <c r="I644" s="18"/>
      <c r="J644" s="18"/>
      <c r="K644" s="18"/>
      <c r="L644" s="19" t="str">
        <f t="shared" si="24"/>
        <v/>
      </c>
      <c r="M644" s="20" t="s">
        <v>134</v>
      </c>
    </row>
    <row r="645" spans="1:13" x14ac:dyDescent="0.2">
      <c r="A645" s="43" t="s">
        <v>136</v>
      </c>
      <c r="B645" s="12" t="s">
        <v>30</v>
      </c>
      <c r="C645" s="29" t="s">
        <v>66</v>
      </c>
      <c r="D645" s="44">
        <v>0</v>
      </c>
      <c r="E645" s="15" t="s">
        <v>133</v>
      </c>
      <c r="F645" s="16"/>
      <c r="G645" s="22">
        <v>1</v>
      </c>
      <c r="H645" s="23">
        <v>1</v>
      </c>
      <c r="I645" s="23">
        <v>1</v>
      </c>
      <c r="J645" s="23">
        <v>2</v>
      </c>
      <c r="K645" s="23">
        <v>3</v>
      </c>
      <c r="L645" s="25">
        <f>IF( OR( ISBLANK(G645),ISBLANK(H645), ISBLANK(I645), ISBLANK(J645), ISBLANK(K645) ), "", 1.5*SQRT(   EXP(2.21*(G645-1)) + EXP(2.21*(H645-1)) + EXP(2.21*(I645-1)) + EXP(2.21*(J645-1)) + EXP(2.21*K645)   )/100*2.45 )</f>
        <v>1.0195048044558224</v>
      </c>
      <c r="M645" s="20" t="s">
        <v>134</v>
      </c>
    </row>
    <row r="646" spans="1:13" x14ac:dyDescent="0.2">
      <c r="A646" s="43" t="s">
        <v>136</v>
      </c>
      <c r="B646" s="12" t="s">
        <v>32</v>
      </c>
      <c r="C646" s="29" t="s">
        <v>66</v>
      </c>
      <c r="D646" s="44">
        <v>37.769409430178108</v>
      </c>
      <c r="E646" s="15" t="s">
        <v>133</v>
      </c>
      <c r="F646" s="16" t="s">
        <v>16</v>
      </c>
      <c r="G646" s="22">
        <v>1</v>
      </c>
      <c r="H646" s="23">
        <v>1</v>
      </c>
      <c r="I646" s="23">
        <v>1</v>
      </c>
      <c r="J646" s="23">
        <v>2</v>
      </c>
      <c r="K646" s="23">
        <v>3</v>
      </c>
      <c r="L646" s="25">
        <f>IF( OR( ISBLANK(G646),ISBLANK(H646), ISBLANK(I646), ISBLANK(J646), ISBLANK(K646) ), "", 1.5*SQRT( EXP(2.21*(G646-1)) + EXP(2.21*(H646-1)) + EXP(2.21*(I646-1)) + EXP(2.21*(J646-1)) + EXP(2.21*K646) )/100*2.45 )</f>
        <v>1.0195048044558224</v>
      </c>
      <c r="M646" s="20" t="s">
        <v>134</v>
      </c>
    </row>
    <row r="647" spans="1:13" x14ac:dyDescent="0.2">
      <c r="A647" s="43" t="s">
        <v>136</v>
      </c>
      <c r="B647" s="12" t="s">
        <v>34</v>
      </c>
      <c r="C647" s="29" t="s">
        <v>66</v>
      </c>
      <c r="D647" s="44">
        <v>0</v>
      </c>
      <c r="E647" s="15" t="s">
        <v>133</v>
      </c>
      <c r="F647" s="16"/>
      <c r="G647" s="22">
        <v>1</v>
      </c>
      <c r="H647" s="23">
        <v>1</v>
      </c>
      <c r="I647" s="23">
        <v>1</v>
      </c>
      <c r="J647" s="23">
        <v>2</v>
      </c>
      <c r="K647" s="23">
        <v>3</v>
      </c>
      <c r="L647" s="25">
        <f>IF( OR( ISBLANK(G647),ISBLANK(H647), ISBLANK(I647), ISBLANK(J647), ISBLANK(K647) ), "", 1.5*SQRT(   EXP(2.21*(G647-1)) + EXP(2.21*(H647-1)) + EXP(2.21*(I647-1)) + EXP(2.21*(J647-1)) + EXP(2.21*K647)   )/100*2.45 )</f>
        <v>1.0195048044558224</v>
      </c>
      <c r="M647" s="20" t="s">
        <v>134</v>
      </c>
    </row>
    <row r="648" spans="1:13" x14ac:dyDescent="0.2">
      <c r="A648" s="43" t="s">
        <v>136</v>
      </c>
      <c r="B648" s="12" t="s">
        <v>36</v>
      </c>
      <c r="C648" s="29" t="s">
        <v>66</v>
      </c>
      <c r="D648" s="18">
        <v>0</v>
      </c>
      <c r="E648" s="15" t="s">
        <v>133</v>
      </c>
      <c r="F648" s="16"/>
      <c r="G648" s="17"/>
      <c r="H648" s="18"/>
      <c r="I648" s="18"/>
      <c r="J648" s="18"/>
      <c r="K648" s="18"/>
      <c r="L648" s="19" t="str">
        <f>IF( OR( ISBLANK(G648),ISBLANK(H648), ISBLANK(I648), ISBLANK(J648), ISBLANK(K648) ), "", 1.5*SQRT( EXP(2.21*(G648-1)) + EXP(2.21*(H648-1)) + EXP(2.21*(I648-1)) + EXP(2.21*(J648-1)) + EXP(2.21*K648) )/100*2.45 )</f>
        <v/>
      </c>
      <c r="M648" s="20" t="s">
        <v>134</v>
      </c>
    </row>
    <row r="649" spans="1:13" x14ac:dyDescent="0.2">
      <c r="A649" s="43" t="s">
        <v>136</v>
      </c>
      <c r="B649" s="12" t="s">
        <v>37</v>
      </c>
      <c r="C649" s="29" t="s">
        <v>66</v>
      </c>
      <c r="D649" s="44">
        <v>0</v>
      </c>
      <c r="E649" s="15" t="s">
        <v>133</v>
      </c>
      <c r="F649" s="16"/>
      <c r="G649" s="22">
        <v>1</v>
      </c>
      <c r="H649" s="23">
        <v>1</v>
      </c>
      <c r="I649" s="23">
        <v>1</v>
      </c>
      <c r="J649" s="23">
        <v>2</v>
      </c>
      <c r="K649" s="23">
        <v>3</v>
      </c>
      <c r="L649" s="25">
        <f>IF( OR( ISBLANK(G649),ISBLANK(H649), ISBLANK(I649), ISBLANK(J649), ISBLANK(K649) ), "", 1.5*SQRT(   EXP(2.21*(G649-1)) + EXP(2.21*(H649-1)) + EXP(2.21*(I649-1)) + EXP(2.21*(J649-1)) + EXP(2.21*K649)   )/100*2.45 )</f>
        <v>1.0195048044558224</v>
      </c>
      <c r="M649" s="20" t="s">
        <v>134</v>
      </c>
    </row>
    <row r="650" spans="1:13" x14ac:dyDescent="0.2">
      <c r="A650" s="43" t="s">
        <v>136</v>
      </c>
      <c r="B650" s="12" t="s">
        <v>39</v>
      </c>
      <c r="C650" s="29" t="s">
        <v>66</v>
      </c>
      <c r="D650" s="44">
        <v>6.3963313684769663</v>
      </c>
      <c r="E650" s="15" t="s">
        <v>133</v>
      </c>
      <c r="F650" s="16" t="s">
        <v>16</v>
      </c>
      <c r="G650" s="22">
        <v>1</v>
      </c>
      <c r="H650" s="23">
        <v>1</v>
      </c>
      <c r="I650" s="23">
        <v>1</v>
      </c>
      <c r="J650" s="23">
        <v>2</v>
      </c>
      <c r="K650" s="23">
        <v>3</v>
      </c>
      <c r="L650" s="25">
        <f t="shared" ref="L650:L655" si="25">IF( OR( ISBLANK(G650),ISBLANK(H650), ISBLANK(I650), ISBLANK(J650), ISBLANK(K650) ), "", 1.5*SQRT( EXP(2.21*(G650-1)) + EXP(2.21*(H650-1)) + EXP(2.21*(I650-1)) + EXP(2.21*(J650-1)) + EXP(2.21*K650) )/100*2.45 )</f>
        <v>1.0195048044558224</v>
      </c>
      <c r="M650" s="20" t="s">
        <v>134</v>
      </c>
    </row>
    <row r="651" spans="1:13" x14ac:dyDescent="0.2">
      <c r="A651" s="43" t="s">
        <v>136</v>
      </c>
      <c r="B651" s="12" t="s">
        <v>40</v>
      </c>
      <c r="C651" s="29" t="s">
        <v>66</v>
      </c>
      <c r="D651" s="44">
        <v>11.744545478815439</v>
      </c>
      <c r="E651" s="15" t="s">
        <v>133</v>
      </c>
      <c r="F651" s="16" t="s">
        <v>16</v>
      </c>
      <c r="G651" s="22">
        <v>1</v>
      </c>
      <c r="H651" s="23">
        <v>1</v>
      </c>
      <c r="I651" s="23">
        <v>1</v>
      </c>
      <c r="J651" s="23">
        <v>2</v>
      </c>
      <c r="K651" s="23">
        <v>3</v>
      </c>
      <c r="L651" s="25">
        <f t="shared" si="25"/>
        <v>1.0195048044558224</v>
      </c>
      <c r="M651" s="20" t="s">
        <v>134</v>
      </c>
    </row>
    <row r="652" spans="1:13" x14ac:dyDescent="0.2">
      <c r="A652" s="43" t="s">
        <v>136</v>
      </c>
      <c r="B652" s="12" t="s">
        <v>41</v>
      </c>
      <c r="C652" s="29" t="s">
        <v>66</v>
      </c>
      <c r="D652" s="44">
        <v>3.3377092002434021</v>
      </c>
      <c r="E652" s="15" t="s">
        <v>133</v>
      </c>
      <c r="F652" s="16" t="s">
        <v>16</v>
      </c>
      <c r="G652" s="22">
        <v>1</v>
      </c>
      <c r="H652" s="23">
        <v>1</v>
      </c>
      <c r="I652" s="23">
        <v>1</v>
      </c>
      <c r="J652" s="23">
        <v>2</v>
      </c>
      <c r="K652" s="23">
        <v>3</v>
      </c>
      <c r="L652" s="25">
        <f t="shared" si="25"/>
        <v>1.0195048044558224</v>
      </c>
      <c r="M652" s="20" t="s">
        <v>134</v>
      </c>
    </row>
    <row r="653" spans="1:13" x14ac:dyDescent="0.2">
      <c r="A653" s="43" t="s">
        <v>136</v>
      </c>
      <c r="B653" s="12" t="s">
        <v>42</v>
      </c>
      <c r="C653" s="29" t="s">
        <v>66</v>
      </c>
      <c r="D653" s="44">
        <v>1.925737435739955</v>
      </c>
      <c r="E653" s="15" t="s">
        <v>133</v>
      </c>
      <c r="F653" s="16" t="s">
        <v>16</v>
      </c>
      <c r="G653" s="22">
        <v>1</v>
      </c>
      <c r="H653" s="23">
        <v>1</v>
      </c>
      <c r="I653" s="23">
        <v>1</v>
      </c>
      <c r="J653" s="23">
        <v>2</v>
      </c>
      <c r="K653" s="23">
        <v>3</v>
      </c>
      <c r="L653" s="25">
        <f t="shared" si="25"/>
        <v>1.0195048044558224</v>
      </c>
      <c r="M653" s="20" t="s">
        <v>134</v>
      </c>
    </row>
    <row r="654" spans="1:13" x14ac:dyDescent="0.2">
      <c r="A654" s="43" t="s">
        <v>136</v>
      </c>
      <c r="B654" s="12" t="s">
        <v>43</v>
      </c>
      <c r="C654" s="29" t="s">
        <v>66</v>
      </c>
      <c r="D654" s="44">
        <v>78.623550143325872</v>
      </c>
      <c r="E654" s="15" t="s">
        <v>133</v>
      </c>
      <c r="F654" s="16" t="s">
        <v>16</v>
      </c>
      <c r="G654" s="22">
        <v>1</v>
      </c>
      <c r="H654" s="23">
        <v>1</v>
      </c>
      <c r="I654" s="23">
        <v>1</v>
      </c>
      <c r="J654" s="23">
        <v>2</v>
      </c>
      <c r="K654" s="23">
        <v>3</v>
      </c>
      <c r="L654" s="25">
        <f t="shared" si="25"/>
        <v>1.0195048044558224</v>
      </c>
      <c r="M654" s="20" t="s">
        <v>134</v>
      </c>
    </row>
    <row r="655" spans="1:13" x14ac:dyDescent="0.2">
      <c r="A655" s="43" t="s">
        <v>136</v>
      </c>
      <c r="B655" s="12" t="s">
        <v>45</v>
      </c>
      <c r="C655" s="29" t="s">
        <v>66</v>
      </c>
      <c r="D655" s="44">
        <v>33.768557757668567</v>
      </c>
      <c r="E655" s="15" t="s">
        <v>133</v>
      </c>
      <c r="F655" s="16" t="s">
        <v>16</v>
      </c>
      <c r="G655" s="22">
        <v>1</v>
      </c>
      <c r="H655" s="23">
        <v>1</v>
      </c>
      <c r="I655" s="23">
        <v>1</v>
      </c>
      <c r="J655" s="23">
        <v>2</v>
      </c>
      <c r="K655" s="23">
        <v>3</v>
      </c>
      <c r="L655" s="25">
        <f t="shared" si="25"/>
        <v>1.0195048044558224</v>
      </c>
      <c r="M655" s="20" t="s">
        <v>134</v>
      </c>
    </row>
    <row r="656" spans="1:13" x14ac:dyDescent="0.2">
      <c r="A656" s="43" t="s">
        <v>136</v>
      </c>
      <c r="B656" s="12" t="s">
        <v>46</v>
      </c>
      <c r="C656" s="29" t="s">
        <v>66</v>
      </c>
      <c r="D656" s="44">
        <v>90.889260346136439</v>
      </c>
      <c r="E656" s="15" t="s">
        <v>133</v>
      </c>
      <c r="F656" s="16"/>
      <c r="G656" s="22">
        <v>1</v>
      </c>
      <c r="H656" s="23">
        <v>1</v>
      </c>
      <c r="I656" s="23">
        <v>1</v>
      </c>
      <c r="J656" s="23">
        <v>2</v>
      </c>
      <c r="K656" s="23">
        <v>3</v>
      </c>
      <c r="L656" s="25">
        <f>IF( OR( ISBLANK(G656),ISBLANK(H656), ISBLANK(I656), ISBLANK(J656), ISBLANK(K656) ), "", 1.5*SQRT(   EXP(2.21*(G656-1)) + EXP(2.21*(H656-1)) + EXP(2.21*(I656-1)) + EXP(2.21*(J656-1)) + EXP(2.21*K656)   )/100*2.45 )</f>
        <v>1.0195048044558224</v>
      </c>
      <c r="M656" s="20" t="s">
        <v>134</v>
      </c>
    </row>
    <row r="657" spans="1:13" x14ac:dyDescent="0.2">
      <c r="A657" s="43" t="s">
        <v>136</v>
      </c>
      <c r="B657" s="12" t="s">
        <v>48</v>
      </c>
      <c r="C657" s="29" t="s">
        <v>66</v>
      </c>
      <c r="D657" s="44">
        <v>45.222375337800479</v>
      </c>
      <c r="E657" s="15" t="s">
        <v>133</v>
      </c>
      <c r="F657" s="16" t="s">
        <v>16</v>
      </c>
      <c r="G657" s="22">
        <v>1</v>
      </c>
      <c r="H657" s="23">
        <v>1</v>
      </c>
      <c r="I657" s="23">
        <v>1</v>
      </c>
      <c r="J657" s="23">
        <v>2</v>
      </c>
      <c r="K657" s="23">
        <v>3</v>
      </c>
      <c r="L657" s="25">
        <f t="shared" ref="L657:L688" si="26">IF( OR( ISBLANK(G657),ISBLANK(H657), ISBLANK(I657), ISBLANK(J657), ISBLANK(K657) ), "", 1.5*SQRT( EXP(2.21*(G657-1)) + EXP(2.21*(H657-1)) + EXP(2.21*(I657-1)) + EXP(2.21*(J657-1)) + EXP(2.21*K657) )/100*2.45 )</f>
        <v>1.0195048044558224</v>
      </c>
      <c r="M657" s="20" t="s">
        <v>134</v>
      </c>
    </row>
    <row r="658" spans="1:13" x14ac:dyDescent="0.2">
      <c r="A658" s="43" t="s">
        <v>136</v>
      </c>
      <c r="B658" s="12" t="s">
        <v>50</v>
      </c>
      <c r="C658" s="29" t="s">
        <v>66</v>
      </c>
      <c r="D658" s="44">
        <v>27.053218249858929</v>
      </c>
      <c r="E658" s="15" t="s">
        <v>133</v>
      </c>
      <c r="F658" s="16"/>
      <c r="G658" s="22">
        <v>1</v>
      </c>
      <c r="H658" s="23">
        <v>1</v>
      </c>
      <c r="I658" s="23">
        <v>1</v>
      </c>
      <c r="J658" s="23">
        <v>2</v>
      </c>
      <c r="K658" s="23">
        <v>3</v>
      </c>
      <c r="L658" s="25">
        <f t="shared" si="26"/>
        <v>1.0195048044558224</v>
      </c>
      <c r="M658" s="20" t="s">
        <v>134</v>
      </c>
    </row>
    <row r="659" spans="1:13" x14ac:dyDescent="0.2">
      <c r="A659" s="43" t="s">
        <v>136</v>
      </c>
      <c r="B659" s="12" t="s">
        <v>52</v>
      </c>
      <c r="C659" s="29" t="s">
        <v>66</v>
      </c>
      <c r="D659" s="44">
        <v>17.483281187555761</v>
      </c>
      <c r="E659" s="15" t="s">
        <v>133</v>
      </c>
      <c r="F659" s="16" t="s">
        <v>16</v>
      </c>
      <c r="G659" s="22">
        <v>1</v>
      </c>
      <c r="H659" s="23">
        <v>1</v>
      </c>
      <c r="I659" s="23">
        <v>1</v>
      </c>
      <c r="J659" s="23">
        <v>2</v>
      </c>
      <c r="K659" s="23">
        <v>3</v>
      </c>
      <c r="L659" s="25">
        <f t="shared" si="26"/>
        <v>1.0195048044558224</v>
      </c>
      <c r="M659" s="20" t="s">
        <v>134</v>
      </c>
    </row>
    <row r="660" spans="1:13" x14ac:dyDescent="0.2">
      <c r="A660" s="43" t="s">
        <v>136</v>
      </c>
      <c r="B660" s="12" t="s">
        <v>54</v>
      </c>
      <c r="C660" s="29" t="s">
        <v>66</v>
      </c>
      <c r="D660" s="44">
        <v>6.7700030171637628</v>
      </c>
      <c r="E660" s="15" t="s">
        <v>133</v>
      </c>
      <c r="F660" s="16" t="s">
        <v>16</v>
      </c>
      <c r="G660" s="22">
        <v>1</v>
      </c>
      <c r="H660" s="23">
        <v>1</v>
      </c>
      <c r="I660" s="23">
        <v>1</v>
      </c>
      <c r="J660" s="23">
        <v>2</v>
      </c>
      <c r="K660" s="23">
        <v>3</v>
      </c>
      <c r="L660" s="25">
        <f t="shared" si="26"/>
        <v>1.0195048044558224</v>
      </c>
      <c r="M660" s="20" t="s">
        <v>134</v>
      </c>
    </row>
    <row r="661" spans="1:13" x14ac:dyDescent="0.2">
      <c r="A661" s="43" t="s">
        <v>136</v>
      </c>
      <c r="B661" s="12" t="s">
        <v>55</v>
      </c>
      <c r="C661" s="29" t="s">
        <v>66</v>
      </c>
      <c r="D661" s="44">
        <v>39.873192408385712</v>
      </c>
      <c r="E661" s="15" t="s">
        <v>133</v>
      </c>
      <c r="F661" s="16"/>
      <c r="G661" s="22">
        <v>1</v>
      </c>
      <c r="H661" s="23">
        <v>1</v>
      </c>
      <c r="I661" s="23">
        <v>1</v>
      </c>
      <c r="J661" s="23">
        <v>2</v>
      </c>
      <c r="K661" s="23">
        <v>3</v>
      </c>
      <c r="L661" s="25">
        <f t="shared" si="26"/>
        <v>1.0195048044558224</v>
      </c>
      <c r="M661" s="20" t="s">
        <v>134</v>
      </c>
    </row>
    <row r="662" spans="1:13" x14ac:dyDescent="0.2">
      <c r="A662" s="43" t="s">
        <v>136</v>
      </c>
      <c r="B662" s="12" t="s">
        <v>57</v>
      </c>
      <c r="C662" s="29" t="s">
        <v>66</v>
      </c>
      <c r="D662" s="44">
        <v>33.82766122868604</v>
      </c>
      <c r="E662" s="15" t="s">
        <v>133</v>
      </c>
      <c r="F662" s="16" t="s">
        <v>16</v>
      </c>
      <c r="G662" s="22">
        <v>1</v>
      </c>
      <c r="H662" s="23">
        <v>1</v>
      </c>
      <c r="I662" s="23">
        <v>1</v>
      </c>
      <c r="J662" s="23">
        <v>2</v>
      </c>
      <c r="K662" s="23">
        <v>3</v>
      </c>
      <c r="L662" s="25">
        <f t="shared" si="26"/>
        <v>1.0195048044558224</v>
      </c>
      <c r="M662" s="20" t="s">
        <v>134</v>
      </c>
    </row>
    <row r="663" spans="1:13" x14ac:dyDescent="0.2">
      <c r="A663" s="43" t="s">
        <v>136</v>
      </c>
      <c r="B663" s="12" t="s">
        <v>59</v>
      </c>
      <c r="C663" s="29" t="s">
        <v>66</v>
      </c>
      <c r="D663" s="44">
        <v>50.939011933582051</v>
      </c>
      <c r="E663" s="15" t="s">
        <v>133</v>
      </c>
      <c r="F663" s="16" t="s">
        <v>16</v>
      </c>
      <c r="G663" s="22">
        <v>1</v>
      </c>
      <c r="H663" s="23">
        <v>1</v>
      </c>
      <c r="I663" s="23">
        <v>1</v>
      </c>
      <c r="J663" s="23">
        <v>2</v>
      </c>
      <c r="K663" s="23">
        <v>3</v>
      </c>
      <c r="L663" s="25">
        <f t="shared" si="26"/>
        <v>1.0195048044558224</v>
      </c>
      <c r="M663" s="20" t="s">
        <v>134</v>
      </c>
    </row>
    <row r="664" spans="1:13" x14ac:dyDescent="0.2">
      <c r="A664" s="43" t="s">
        <v>136</v>
      </c>
      <c r="B664" s="12" t="s">
        <v>60</v>
      </c>
      <c r="C664" s="29" t="s">
        <v>66</v>
      </c>
      <c r="D664" s="44">
        <v>265.95818343468511</v>
      </c>
      <c r="E664" s="15" t="s">
        <v>133</v>
      </c>
      <c r="F664" s="16" t="s">
        <v>16</v>
      </c>
      <c r="G664" s="22">
        <v>1</v>
      </c>
      <c r="H664" s="23">
        <v>2</v>
      </c>
      <c r="I664" s="23">
        <v>1</v>
      </c>
      <c r="J664" s="23">
        <v>2</v>
      </c>
      <c r="K664" s="23">
        <v>3</v>
      </c>
      <c r="L664" s="24">
        <f t="shared" si="26"/>
        <v>1.0248662490928169</v>
      </c>
      <c r="M664" s="20" t="s">
        <v>134</v>
      </c>
    </row>
    <row r="665" spans="1:13" x14ac:dyDescent="0.2">
      <c r="A665" s="43" t="s">
        <v>136</v>
      </c>
      <c r="B665" s="12" t="s">
        <v>13</v>
      </c>
      <c r="C665" s="30" t="s">
        <v>94</v>
      </c>
      <c r="D665" s="44">
        <v>40.373246061704478</v>
      </c>
      <c r="E665" s="15" t="s">
        <v>133</v>
      </c>
      <c r="F665" s="16" t="s">
        <v>16</v>
      </c>
      <c r="G665" s="22">
        <v>1</v>
      </c>
      <c r="H665" s="23">
        <v>1</v>
      </c>
      <c r="I665" s="23">
        <v>1</v>
      </c>
      <c r="J665" s="23">
        <v>2</v>
      </c>
      <c r="K665" s="23">
        <v>3</v>
      </c>
      <c r="L665" s="25">
        <f t="shared" si="26"/>
        <v>1.0195048044558224</v>
      </c>
      <c r="M665" s="20" t="s">
        <v>134</v>
      </c>
    </row>
    <row r="666" spans="1:13" x14ac:dyDescent="0.2">
      <c r="A666" s="43" t="s">
        <v>136</v>
      </c>
      <c r="B666" s="12" t="s">
        <v>18</v>
      </c>
      <c r="C666" s="30" t="s">
        <v>94</v>
      </c>
      <c r="D666" s="18">
        <v>0</v>
      </c>
      <c r="E666" s="15" t="s">
        <v>133</v>
      </c>
      <c r="F666" s="16"/>
      <c r="G666" s="17"/>
      <c r="H666" s="18"/>
      <c r="I666" s="18"/>
      <c r="J666" s="18"/>
      <c r="K666" s="18"/>
      <c r="L666" s="19" t="str">
        <f t="shared" si="26"/>
        <v/>
      </c>
      <c r="M666" s="20" t="s">
        <v>134</v>
      </c>
    </row>
    <row r="667" spans="1:13" x14ac:dyDescent="0.2">
      <c r="A667" s="43" t="s">
        <v>136</v>
      </c>
      <c r="B667" s="12" t="s">
        <v>20</v>
      </c>
      <c r="C667" s="30" t="s">
        <v>94</v>
      </c>
      <c r="D667" s="44">
        <v>20.649028332749669</v>
      </c>
      <c r="E667" s="15" t="s">
        <v>133</v>
      </c>
      <c r="F667" s="16" t="s">
        <v>16</v>
      </c>
      <c r="G667" s="22">
        <v>1</v>
      </c>
      <c r="H667" s="23">
        <v>1</v>
      </c>
      <c r="I667" s="23">
        <v>1</v>
      </c>
      <c r="J667" s="23">
        <v>2</v>
      </c>
      <c r="K667" s="23">
        <v>3</v>
      </c>
      <c r="L667" s="25">
        <f t="shared" si="26"/>
        <v>1.0195048044558224</v>
      </c>
      <c r="M667" s="20" t="s">
        <v>134</v>
      </c>
    </row>
    <row r="668" spans="1:13" x14ac:dyDescent="0.2">
      <c r="A668" s="43" t="s">
        <v>136</v>
      </c>
      <c r="B668" s="12" t="s">
        <v>22</v>
      </c>
      <c r="C668" s="30" t="s">
        <v>94</v>
      </c>
      <c r="D668" s="44">
        <v>8.9500138100570314</v>
      </c>
      <c r="E668" s="15" t="s">
        <v>133</v>
      </c>
      <c r="F668" s="16" t="s">
        <v>16</v>
      </c>
      <c r="G668" s="22">
        <v>1</v>
      </c>
      <c r="H668" s="23">
        <v>1</v>
      </c>
      <c r="I668" s="23">
        <v>1</v>
      </c>
      <c r="J668" s="23">
        <v>2</v>
      </c>
      <c r="K668" s="23">
        <v>3</v>
      </c>
      <c r="L668" s="25">
        <f t="shared" si="26"/>
        <v>1.0195048044558224</v>
      </c>
      <c r="M668" s="20" t="s">
        <v>134</v>
      </c>
    </row>
    <row r="669" spans="1:13" x14ac:dyDescent="0.2">
      <c r="A669" s="43" t="s">
        <v>136</v>
      </c>
      <c r="B669" s="12" t="s">
        <v>23</v>
      </c>
      <c r="C669" s="30" t="s">
        <v>94</v>
      </c>
      <c r="D669" s="44">
        <v>2.4742308308953689</v>
      </c>
      <c r="E669" s="15" t="s">
        <v>133</v>
      </c>
      <c r="F669" s="16" t="s">
        <v>16</v>
      </c>
      <c r="G669" s="22">
        <v>1</v>
      </c>
      <c r="H669" s="23">
        <v>1</v>
      </c>
      <c r="I669" s="23">
        <v>1</v>
      </c>
      <c r="J669" s="23">
        <v>2</v>
      </c>
      <c r="K669" s="23">
        <v>3</v>
      </c>
      <c r="L669" s="25">
        <f t="shared" si="26"/>
        <v>1.0195048044558224</v>
      </c>
      <c r="M669" s="20" t="s">
        <v>134</v>
      </c>
    </row>
    <row r="670" spans="1:13" x14ac:dyDescent="0.2">
      <c r="A670" s="43" t="s">
        <v>136</v>
      </c>
      <c r="B670" s="12" t="s">
        <v>24</v>
      </c>
      <c r="C670" s="30" t="s">
        <v>94</v>
      </c>
      <c r="D670" s="44">
        <v>35.739246289460183</v>
      </c>
      <c r="E670" s="15" t="s">
        <v>133</v>
      </c>
      <c r="F670" s="16" t="s">
        <v>16</v>
      </c>
      <c r="G670" s="22">
        <v>1</v>
      </c>
      <c r="H670" s="23">
        <v>1</v>
      </c>
      <c r="I670" s="23">
        <v>1</v>
      </c>
      <c r="J670" s="23">
        <v>2</v>
      </c>
      <c r="K670" s="23">
        <v>3</v>
      </c>
      <c r="L670" s="25">
        <f t="shared" si="26"/>
        <v>1.0195048044558224</v>
      </c>
      <c r="M670" s="20" t="s">
        <v>134</v>
      </c>
    </row>
    <row r="671" spans="1:13" x14ac:dyDescent="0.2">
      <c r="A671" s="43" t="s">
        <v>136</v>
      </c>
      <c r="B671" s="12" t="s">
        <v>25</v>
      </c>
      <c r="C671" s="30" t="s">
        <v>94</v>
      </c>
      <c r="D671" s="44">
        <v>30.9135752460354</v>
      </c>
      <c r="E671" s="15" t="s">
        <v>133</v>
      </c>
      <c r="F671" s="16" t="s">
        <v>16</v>
      </c>
      <c r="G671" s="22">
        <v>1</v>
      </c>
      <c r="H671" s="23">
        <v>1</v>
      </c>
      <c r="I671" s="23">
        <v>1</v>
      </c>
      <c r="J671" s="23">
        <v>2</v>
      </c>
      <c r="K671" s="23">
        <v>3</v>
      </c>
      <c r="L671" s="25">
        <f t="shared" si="26"/>
        <v>1.0195048044558224</v>
      </c>
      <c r="M671" s="20" t="s">
        <v>134</v>
      </c>
    </row>
    <row r="672" spans="1:13" x14ac:dyDescent="0.2">
      <c r="A672" s="43" t="s">
        <v>136</v>
      </c>
      <c r="B672" s="12" t="s">
        <v>26</v>
      </c>
      <c r="C672" s="30" t="s">
        <v>94</v>
      </c>
      <c r="D672" s="18">
        <v>0</v>
      </c>
      <c r="E672" s="15" t="s">
        <v>133</v>
      </c>
      <c r="F672" s="16"/>
      <c r="G672" s="17"/>
      <c r="H672" s="18"/>
      <c r="I672" s="18"/>
      <c r="J672" s="18"/>
      <c r="K672" s="18"/>
      <c r="L672" s="19" t="str">
        <f t="shared" si="26"/>
        <v/>
      </c>
      <c r="M672" s="20" t="s">
        <v>134</v>
      </c>
    </row>
    <row r="673" spans="1:13" x14ac:dyDescent="0.2">
      <c r="A673" s="43" t="s">
        <v>136</v>
      </c>
      <c r="B673" s="12" t="s">
        <v>27</v>
      </c>
      <c r="C673" s="30" t="s">
        <v>94</v>
      </c>
      <c r="D673" s="18">
        <v>0</v>
      </c>
      <c r="E673" s="15" t="s">
        <v>133</v>
      </c>
      <c r="F673" s="16"/>
      <c r="G673" s="17"/>
      <c r="H673" s="18"/>
      <c r="I673" s="18"/>
      <c r="J673" s="18"/>
      <c r="K673" s="18"/>
      <c r="L673" s="19" t="str">
        <f t="shared" si="26"/>
        <v/>
      </c>
      <c r="M673" s="20" t="s">
        <v>134</v>
      </c>
    </row>
    <row r="674" spans="1:13" x14ac:dyDescent="0.2">
      <c r="A674" s="43" t="s">
        <v>136</v>
      </c>
      <c r="B674" s="12" t="s">
        <v>28</v>
      </c>
      <c r="C674" s="30" t="s">
        <v>94</v>
      </c>
      <c r="D674" s="44">
        <v>118.0634495973552</v>
      </c>
      <c r="E674" s="15" t="s">
        <v>133</v>
      </c>
      <c r="F674" s="16" t="s">
        <v>16</v>
      </c>
      <c r="G674" s="22">
        <v>1</v>
      </c>
      <c r="H674" s="23">
        <v>1</v>
      </c>
      <c r="I674" s="23">
        <v>1</v>
      </c>
      <c r="J674" s="23">
        <v>2</v>
      </c>
      <c r="K674" s="23">
        <v>3</v>
      </c>
      <c r="L674" s="25">
        <f t="shared" si="26"/>
        <v>1.0195048044558224</v>
      </c>
      <c r="M674" s="20" t="s">
        <v>134</v>
      </c>
    </row>
    <row r="675" spans="1:13" x14ac:dyDescent="0.2">
      <c r="A675" s="43" t="s">
        <v>136</v>
      </c>
      <c r="B675" s="12" t="s">
        <v>30</v>
      </c>
      <c r="C675" s="30" t="s">
        <v>94</v>
      </c>
      <c r="D675" s="44">
        <v>0</v>
      </c>
      <c r="E675" s="15" t="s">
        <v>133</v>
      </c>
      <c r="F675" s="16"/>
      <c r="G675" s="22">
        <v>1</v>
      </c>
      <c r="H675" s="23">
        <v>1</v>
      </c>
      <c r="I675" s="23">
        <v>1</v>
      </c>
      <c r="J675" s="23">
        <v>2</v>
      </c>
      <c r="K675" s="23">
        <v>3</v>
      </c>
      <c r="L675" s="19">
        <f t="shared" si="26"/>
        <v>1.0195048044558224</v>
      </c>
      <c r="M675" s="20" t="s">
        <v>134</v>
      </c>
    </row>
    <row r="676" spans="1:13" x14ac:dyDescent="0.2">
      <c r="A676" s="43" t="s">
        <v>136</v>
      </c>
      <c r="B676" s="12" t="s">
        <v>32</v>
      </c>
      <c r="C676" s="30" t="s">
        <v>94</v>
      </c>
      <c r="D676" s="44">
        <v>37.433007975368859</v>
      </c>
      <c r="E676" s="15" t="s">
        <v>133</v>
      </c>
      <c r="F676" s="16" t="s">
        <v>16</v>
      </c>
      <c r="G676" s="22">
        <v>1</v>
      </c>
      <c r="H676" s="23">
        <v>1</v>
      </c>
      <c r="I676" s="23">
        <v>1</v>
      </c>
      <c r="J676" s="23">
        <v>2</v>
      </c>
      <c r="K676" s="23">
        <v>3</v>
      </c>
      <c r="L676" s="25">
        <f t="shared" si="26"/>
        <v>1.0195048044558224</v>
      </c>
      <c r="M676" s="20" t="s">
        <v>134</v>
      </c>
    </row>
    <row r="677" spans="1:13" x14ac:dyDescent="0.2">
      <c r="A677" s="43" t="s">
        <v>136</v>
      </c>
      <c r="B677" s="12" t="s">
        <v>34</v>
      </c>
      <c r="C677" s="30" t="s">
        <v>94</v>
      </c>
      <c r="D677" s="44">
        <v>7.0850046569235801</v>
      </c>
      <c r="E677" s="15" t="s">
        <v>133</v>
      </c>
      <c r="F677" s="16"/>
      <c r="G677" s="22">
        <v>1</v>
      </c>
      <c r="H677" s="23">
        <v>1</v>
      </c>
      <c r="I677" s="23">
        <v>1</v>
      </c>
      <c r="J677" s="23">
        <v>2</v>
      </c>
      <c r="K677" s="23">
        <v>3</v>
      </c>
      <c r="L677" s="19">
        <f t="shared" si="26"/>
        <v>1.0195048044558224</v>
      </c>
      <c r="M677" s="20" t="s">
        <v>134</v>
      </c>
    </row>
    <row r="678" spans="1:13" x14ac:dyDescent="0.2">
      <c r="A678" s="43" t="s">
        <v>136</v>
      </c>
      <c r="B678" s="12" t="s">
        <v>36</v>
      </c>
      <c r="C678" s="30" t="s">
        <v>94</v>
      </c>
      <c r="D678" s="44">
        <v>34.322671276269091</v>
      </c>
      <c r="E678" s="15" t="s">
        <v>133</v>
      </c>
      <c r="F678" s="16" t="s">
        <v>16</v>
      </c>
      <c r="G678" s="22">
        <v>1</v>
      </c>
      <c r="H678" s="23">
        <v>1</v>
      </c>
      <c r="I678" s="23">
        <v>1</v>
      </c>
      <c r="J678" s="23">
        <v>2</v>
      </c>
      <c r="K678" s="23">
        <v>3</v>
      </c>
      <c r="L678" s="25">
        <f t="shared" si="26"/>
        <v>1.0195048044558224</v>
      </c>
      <c r="M678" s="20" t="s">
        <v>134</v>
      </c>
    </row>
    <row r="679" spans="1:13" x14ac:dyDescent="0.2">
      <c r="A679" s="43" t="s">
        <v>136</v>
      </c>
      <c r="B679" s="12" t="s">
        <v>37</v>
      </c>
      <c r="C679" s="30" t="s">
        <v>94</v>
      </c>
      <c r="D679" s="44">
        <v>196.54277210222969</v>
      </c>
      <c r="E679" s="15" t="s">
        <v>133</v>
      </c>
      <c r="F679" s="16" t="s">
        <v>16</v>
      </c>
      <c r="G679" s="22">
        <v>1</v>
      </c>
      <c r="H679" s="23">
        <v>1</v>
      </c>
      <c r="I679" s="23">
        <v>1</v>
      </c>
      <c r="J679" s="23">
        <v>2</v>
      </c>
      <c r="K679" s="23">
        <v>3</v>
      </c>
      <c r="L679" s="24">
        <f t="shared" si="26"/>
        <v>1.0195048044558224</v>
      </c>
      <c r="M679" s="20" t="s">
        <v>134</v>
      </c>
    </row>
    <row r="680" spans="1:13" x14ac:dyDescent="0.2">
      <c r="A680" s="43" t="s">
        <v>136</v>
      </c>
      <c r="B680" s="12" t="s">
        <v>39</v>
      </c>
      <c r="C680" s="30" t="s">
        <v>94</v>
      </c>
      <c r="D680" s="44">
        <v>6.339361052809851</v>
      </c>
      <c r="E680" s="15" t="s">
        <v>133</v>
      </c>
      <c r="F680" s="16" t="s">
        <v>16</v>
      </c>
      <c r="G680" s="22">
        <v>1</v>
      </c>
      <c r="H680" s="23">
        <v>1</v>
      </c>
      <c r="I680" s="23">
        <v>1</v>
      </c>
      <c r="J680" s="23">
        <v>2</v>
      </c>
      <c r="K680" s="23">
        <v>3</v>
      </c>
      <c r="L680" s="25">
        <f t="shared" si="26"/>
        <v>1.0195048044558224</v>
      </c>
      <c r="M680" s="20" t="s">
        <v>134</v>
      </c>
    </row>
    <row r="681" spans="1:13" x14ac:dyDescent="0.2">
      <c r="A681" s="43" t="s">
        <v>136</v>
      </c>
      <c r="B681" s="12" t="s">
        <v>40</v>
      </c>
      <c r="C681" s="30" t="s">
        <v>94</v>
      </c>
      <c r="D681" s="44">
        <v>11.639940131664041</v>
      </c>
      <c r="E681" s="15" t="s">
        <v>133</v>
      </c>
      <c r="F681" s="16" t="s">
        <v>16</v>
      </c>
      <c r="G681" s="22">
        <v>1</v>
      </c>
      <c r="H681" s="23">
        <v>1</v>
      </c>
      <c r="I681" s="23">
        <v>1</v>
      </c>
      <c r="J681" s="23">
        <v>2</v>
      </c>
      <c r="K681" s="23">
        <v>3</v>
      </c>
      <c r="L681" s="25">
        <f t="shared" si="26"/>
        <v>1.0195048044558224</v>
      </c>
      <c r="M681" s="20" t="s">
        <v>134</v>
      </c>
    </row>
    <row r="682" spans="1:13" x14ac:dyDescent="0.2">
      <c r="A682" s="43" t="s">
        <v>136</v>
      </c>
      <c r="B682" s="12" t="s">
        <v>41</v>
      </c>
      <c r="C682" s="30" t="s">
        <v>94</v>
      </c>
      <c r="D682" s="44">
        <v>3.3079811677527751</v>
      </c>
      <c r="E682" s="15" t="s">
        <v>133</v>
      </c>
      <c r="F682" s="16" t="s">
        <v>16</v>
      </c>
      <c r="G682" s="22">
        <v>1</v>
      </c>
      <c r="H682" s="23">
        <v>1</v>
      </c>
      <c r="I682" s="23">
        <v>1</v>
      </c>
      <c r="J682" s="23">
        <v>2</v>
      </c>
      <c r="K682" s="23">
        <v>3</v>
      </c>
      <c r="L682" s="25">
        <f t="shared" si="26"/>
        <v>1.0195048044558224</v>
      </c>
      <c r="M682" s="20" t="s">
        <v>134</v>
      </c>
    </row>
    <row r="683" spans="1:13" x14ac:dyDescent="0.2">
      <c r="A683" s="43" t="s">
        <v>136</v>
      </c>
      <c r="B683" s="12" t="s">
        <v>42</v>
      </c>
      <c r="C683" s="30" t="s">
        <v>94</v>
      </c>
      <c r="D683" s="44">
        <v>1.908585436682062</v>
      </c>
      <c r="E683" s="15" t="s">
        <v>133</v>
      </c>
      <c r="F683" s="16" t="s">
        <v>16</v>
      </c>
      <c r="G683" s="22">
        <v>1</v>
      </c>
      <c r="H683" s="23">
        <v>1</v>
      </c>
      <c r="I683" s="23">
        <v>1</v>
      </c>
      <c r="J683" s="23">
        <v>2</v>
      </c>
      <c r="K683" s="23">
        <v>3</v>
      </c>
      <c r="L683" s="25">
        <f t="shared" si="26"/>
        <v>1.0195048044558224</v>
      </c>
      <c r="M683" s="20" t="s">
        <v>134</v>
      </c>
    </row>
    <row r="684" spans="1:13" x14ac:dyDescent="0.2">
      <c r="A684" s="43" t="s">
        <v>136</v>
      </c>
      <c r="B684" s="12" t="s">
        <v>43</v>
      </c>
      <c r="C684" s="30" t="s">
        <v>94</v>
      </c>
      <c r="D684" s="18">
        <v>0</v>
      </c>
      <c r="E684" s="15" t="s">
        <v>133</v>
      </c>
      <c r="F684" s="16"/>
      <c r="G684" s="17"/>
      <c r="H684" s="18"/>
      <c r="I684" s="18"/>
      <c r="J684" s="18"/>
      <c r="K684" s="18"/>
      <c r="L684" s="19" t="str">
        <f t="shared" si="26"/>
        <v/>
      </c>
      <c r="M684" s="20" t="s">
        <v>134</v>
      </c>
    </row>
    <row r="685" spans="1:13" x14ac:dyDescent="0.2">
      <c r="A685" s="43" t="s">
        <v>136</v>
      </c>
      <c r="B685" s="12" t="s">
        <v>45</v>
      </c>
      <c r="C685" s="30" t="s">
        <v>94</v>
      </c>
      <c r="D685" s="44">
        <v>33.467790757922657</v>
      </c>
      <c r="E685" s="15" t="s">
        <v>133</v>
      </c>
      <c r="F685" s="16" t="s">
        <v>16</v>
      </c>
      <c r="G685" s="22">
        <v>1</v>
      </c>
      <c r="H685" s="23">
        <v>1</v>
      </c>
      <c r="I685" s="23">
        <v>1</v>
      </c>
      <c r="J685" s="23">
        <v>2</v>
      </c>
      <c r="K685" s="23">
        <v>3</v>
      </c>
      <c r="L685" s="25">
        <f t="shared" si="26"/>
        <v>1.0195048044558224</v>
      </c>
      <c r="M685" s="20" t="s">
        <v>134</v>
      </c>
    </row>
    <row r="686" spans="1:13" x14ac:dyDescent="0.2">
      <c r="A686" s="43" t="s">
        <v>136</v>
      </c>
      <c r="B686" s="12" t="s">
        <v>46</v>
      </c>
      <c r="C686" s="30" t="s">
        <v>94</v>
      </c>
      <c r="D686" s="44">
        <v>30.766044453499031</v>
      </c>
      <c r="E686" s="15" t="s">
        <v>133</v>
      </c>
      <c r="F686" s="16"/>
      <c r="G686" s="22">
        <v>1</v>
      </c>
      <c r="H686" s="23">
        <v>1</v>
      </c>
      <c r="I686" s="23">
        <v>1</v>
      </c>
      <c r="J686" s="23">
        <v>2</v>
      </c>
      <c r="K686" s="23">
        <v>3</v>
      </c>
      <c r="L686" s="19">
        <f t="shared" si="26"/>
        <v>1.0195048044558224</v>
      </c>
      <c r="M686" s="20" t="s">
        <v>134</v>
      </c>
    </row>
    <row r="687" spans="1:13" x14ac:dyDescent="0.2">
      <c r="A687" s="43" t="s">
        <v>136</v>
      </c>
      <c r="B687" s="12" t="s">
        <v>48</v>
      </c>
      <c r="C687" s="30" t="s">
        <v>94</v>
      </c>
      <c r="D687" s="44">
        <v>56.107878962200459</v>
      </c>
      <c r="E687" s="15" t="s">
        <v>133</v>
      </c>
      <c r="F687" s="16" t="s">
        <v>16</v>
      </c>
      <c r="G687" s="22">
        <v>1</v>
      </c>
      <c r="H687" s="23">
        <v>1</v>
      </c>
      <c r="I687" s="23">
        <v>1</v>
      </c>
      <c r="J687" s="23">
        <v>2</v>
      </c>
      <c r="K687" s="23">
        <v>3</v>
      </c>
      <c r="L687" s="25">
        <f t="shared" si="26"/>
        <v>1.0195048044558224</v>
      </c>
      <c r="M687" s="20" t="s">
        <v>134</v>
      </c>
    </row>
    <row r="688" spans="1:13" x14ac:dyDescent="0.2">
      <c r="A688" s="43" t="s">
        <v>136</v>
      </c>
      <c r="B688" s="12" t="s">
        <v>50</v>
      </c>
      <c r="C688" s="30" t="s">
        <v>94</v>
      </c>
      <c r="D688" s="44">
        <v>43.823503525626272</v>
      </c>
      <c r="E688" s="15" t="s">
        <v>133</v>
      </c>
      <c r="F688" s="16"/>
      <c r="G688" s="22">
        <v>1</v>
      </c>
      <c r="H688" s="23">
        <v>1</v>
      </c>
      <c r="I688" s="23">
        <v>1</v>
      </c>
      <c r="J688" s="23">
        <v>2</v>
      </c>
      <c r="K688" s="23">
        <v>3</v>
      </c>
      <c r="L688" s="19">
        <f t="shared" si="26"/>
        <v>1.0195048044558224</v>
      </c>
      <c r="M688" s="20" t="s">
        <v>134</v>
      </c>
    </row>
    <row r="689" spans="1:13" x14ac:dyDescent="0.2">
      <c r="A689" s="43" t="s">
        <v>136</v>
      </c>
      <c r="B689" s="12" t="s">
        <v>52</v>
      </c>
      <c r="C689" s="30" t="s">
        <v>94</v>
      </c>
      <c r="D689" s="44">
        <v>6.4882749308285348</v>
      </c>
      <c r="E689" s="15" t="s">
        <v>133</v>
      </c>
      <c r="F689" s="16"/>
      <c r="G689" s="22">
        <v>1</v>
      </c>
      <c r="H689" s="23">
        <v>1</v>
      </c>
      <c r="I689" s="23">
        <v>1</v>
      </c>
      <c r="J689" s="23">
        <v>2</v>
      </c>
      <c r="K689" s="23">
        <v>3</v>
      </c>
      <c r="L689" s="19">
        <f t="shared" ref="L689:L707" si="27">IF( OR( ISBLANK(G689),ISBLANK(H689), ISBLANK(I689), ISBLANK(J689), ISBLANK(K689) ), "", 1.5*SQRT( EXP(2.21*(G689-1)) + EXP(2.21*(H689-1)) + EXP(2.21*(I689-1)) + EXP(2.21*(J689-1)) + EXP(2.21*K689) )/100*2.45 )</f>
        <v>1.0195048044558224</v>
      </c>
      <c r="M689" s="20" t="s">
        <v>134</v>
      </c>
    </row>
    <row r="690" spans="1:13" x14ac:dyDescent="0.2">
      <c r="A690" s="43" t="s">
        <v>136</v>
      </c>
      <c r="B690" s="12" t="s">
        <v>54</v>
      </c>
      <c r="C690" s="30" t="s">
        <v>94</v>
      </c>
      <c r="D690" s="44">
        <v>6.7097045137347617</v>
      </c>
      <c r="E690" s="15" t="s">
        <v>133</v>
      </c>
      <c r="F690" s="16" t="s">
        <v>16</v>
      </c>
      <c r="G690" s="22">
        <v>1</v>
      </c>
      <c r="H690" s="23">
        <v>1</v>
      </c>
      <c r="I690" s="23">
        <v>1</v>
      </c>
      <c r="J690" s="23">
        <v>2</v>
      </c>
      <c r="K690" s="23">
        <v>3</v>
      </c>
      <c r="L690" s="25">
        <f t="shared" si="27"/>
        <v>1.0195048044558224</v>
      </c>
      <c r="M690" s="20" t="s">
        <v>134</v>
      </c>
    </row>
    <row r="691" spans="1:13" x14ac:dyDescent="0.2">
      <c r="A691" s="43" t="s">
        <v>136</v>
      </c>
      <c r="B691" s="12" t="s">
        <v>55</v>
      </c>
      <c r="C691" s="30" t="s">
        <v>94</v>
      </c>
      <c r="D691" s="44">
        <v>202.90179654998241</v>
      </c>
      <c r="E691" s="15" t="s">
        <v>133</v>
      </c>
      <c r="F691" s="16" t="s">
        <v>16</v>
      </c>
      <c r="G691" s="22">
        <v>1</v>
      </c>
      <c r="H691" s="23">
        <v>1</v>
      </c>
      <c r="I691" s="23">
        <v>1</v>
      </c>
      <c r="J691" s="23">
        <v>2</v>
      </c>
      <c r="K691" s="23">
        <v>3</v>
      </c>
      <c r="L691" s="24">
        <f t="shared" si="27"/>
        <v>1.0195048044558224</v>
      </c>
      <c r="M691" s="20" t="s">
        <v>134</v>
      </c>
    </row>
    <row r="692" spans="1:13" x14ac:dyDescent="0.2">
      <c r="A692" s="43" t="s">
        <v>136</v>
      </c>
      <c r="B692" s="12" t="s">
        <v>57</v>
      </c>
      <c r="C692" s="30" t="s">
        <v>94</v>
      </c>
      <c r="D692" s="44">
        <v>33.551499724607993</v>
      </c>
      <c r="E692" s="15" t="s">
        <v>133</v>
      </c>
      <c r="F692" s="16" t="s">
        <v>16</v>
      </c>
      <c r="G692" s="22">
        <v>1</v>
      </c>
      <c r="H692" s="23">
        <v>1</v>
      </c>
      <c r="I692" s="23">
        <v>1</v>
      </c>
      <c r="J692" s="23">
        <v>2</v>
      </c>
      <c r="K692" s="23">
        <v>3</v>
      </c>
      <c r="L692" s="25">
        <f t="shared" si="27"/>
        <v>1.0195048044558224</v>
      </c>
      <c r="M692" s="20" t="s">
        <v>134</v>
      </c>
    </row>
    <row r="693" spans="1:13" x14ac:dyDescent="0.2">
      <c r="A693" s="43" t="s">
        <v>136</v>
      </c>
      <c r="B693" s="12" t="s">
        <v>59</v>
      </c>
      <c r="C693" s="30" t="s">
        <v>94</v>
      </c>
      <c r="D693" s="44">
        <v>50.485312551475459</v>
      </c>
      <c r="E693" s="15" t="s">
        <v>133</v>
      </c>
      <c r="F693" s="16" t="s">
        <v>16</v>
      </c>
      <c r="G693" s="22">
        <v>1</v>
      </c>
      <c r="H693" s="23">
        <v>1</v>
      </c>
      <c r="I693" s="23">
        <v>1</v>
      </c>
      <c r="J693" s="23">
        <v>2</v>
      </c>
      <c r="K693" s="23">
        <v>3</v>
      </c>
      <c r="L693" s="25">
        <f t="shared" si="27"/>
        <v>1.0195048044558224</v>
      </c>
      <c r="M693" s="20" t="s">
        <v>134</v>
      </c>
    </row>
    <row r="694" spans="1:13" x14ac:dyDescent="0.2">
      <c r="A694" s="43" t="s">
        <v>136</v>
      </c>
      <c r="B694" s="12" t="s">
        <v>60</v>
      </c>
      <c r="C694" s="30" t="s">
        <v>94</v>
      </c>
      <c r="D694" s="44">
        <v>246.99174377075749</v>
      </c>
      <c r="E694" s="15" t="s">
        <v>133</v>
      </c>
      <c r="F694" s="16" t="s">
        <v>16</v>
      </c>
      <c r="G694" s="22">
        <v>1</v>
      </c>
      <c r="H694" s="23">
        <v>2</v>
      </c>
      <c r="I694" s="23">
        <v>1</v>
      </c>
      <c r="J694" s="23">
        <v>2</v>
      </c>
      <c r="K694" s="23">
        <v>3</v>
      </c>
      <c r="L694" s="24">
        <f t="shared" si="27"/>
        <v>1.0248662490928169</v>
      </c>
      <c r="M694" s="20" t="s">
        <v>134</v>
      </c>
    </row>
    <row r="695" spans="1:13" x14ac:dyDescent="0.2">
      <c r="A695" s="43" t="s">
        <v>136</v>
      </c>
      <c r="B695" s="12" t="s">
        <v>13</v>
      </c>
      <c r="C695" s="31" t="s">
        <v>96</v>
      </c>
      <c r="D695" s="44">
        <v>97.431061948398039</v>
      </c>
      <c r="E695" s="15" t="s">
        <v>133</v>
      </c>
      <c r="F695" s="16" t="s">
        <v>16</v>
      </c>
      <c r="G695" s="22">
        <v>1</v>
      </c>
      <c r="H695" s="23">
        <v>1</v>
      </c>
      <c r="I695" s="23">
        <v>1</v>
      </c>
      <c r="J695" s="23">
        <v>2</v>
      </c>
      <c r="K695" s="23">
        <v>3</v>
      </c>
      <c r="L695" s="25">
        <f t="shared" si="27"/>
        <v>1.0195048044558224</v>
      </c>
      <c r="M695" s="20" t="s">
        <v>134</v>
      </c>
    </row>
    <row r="696" spans="1:13" x14ac:dyDescent="0.2">
      <c r="A696" s="43" t="s">
        <v>136</v>
      </c>
      <c r="B696" s="12" t="s">
        <v>18</v>
      </c>
      <c r="C696" s="31" t="s">
        <v>96</v>
      </c>
      <c r="D696" s="44">
        <v>131.32749929917921</v>
      </c>
      <c r="E696" s="15" t="s">
        <v>133</v>
      </c>
      <c r="F696" s="16" t="s">
        <v>16</v>
      </c>
      <c r="G696" s="22">
        <v>1</v>
      </c>
      <c r="H696" s="23">
        <v>1</v>
      </c>
      <c r="I696" s="23">
        <v>1</v>
      </c>
      <c r="J696" s="23">
        <v>2</v>
      </c>
      <c r="K696" s="23">
        <v>3</v>
      </c>
      <c r="L696" s="25">
        <f t="shared" si="27"/>
        <v>1.0195048044558224</v>
      </c>
      <c r="M696" s="20" t="s">
        <v>134</v>
      </c>
    </row>
    <row r="697" spans="1:13" x14ac:dyDescent="0.2">
      <c r="A697" s="43" t="s">
        <v>136</v>
      </c>
      <c r="B697" s="12" t="s">
        <v>20</v>
      </c>
      <c r="C697" s="31" t="s">
        <v>96</v>
      </c>
      <c r="D697" s="44">
        <v>40.341926500630642</v>
      </c>
      <c r="E697" s="15" t="s">
        <v>133</v>
      </c>
      <c r="F697" s="16" t="s">
        <v>16</v>
      </c>
      <c r="G697" s="22">
        <v>1</v>
      </c>
      <c r="H697" s="23">
        <v>1</v>
      </c>
      <c r="I697" s="23">
        <v>1</v>
      </c>
      <c r="J697" s="23">
        <v>2</v>
      </c>
      <c r="K697" s="23">
        <v>3</v>
      </c>
      <c r="L697" s="25">
        <f t="shared" si="27"/>
        <v>1.0195048044558224</v>
      </c>
      <c r="M697" s="20" t="s">
        <v>134</v>
      </c>
    </row>
    <row r="698" spans="1:13" x14ac:dyDescent="0.2">
      <c r="A698" s="43" t="s">
        <v>136</v>
      </c>
      <c r="B698" s="12" t="s">
        <v>22</v>
      </c>
      <c r="C698" s="31" t="s">
        <v>96</v>
      </c>
      <c r="D698" s="44">
        <v>20.475049088504729</v>
      </c>
      <c r="E698" s="15" t="s">
        <v>133</v>
      </c>
      <c r="F698" s="16" t="s">
        <v>16</v>
      </c>
      <c r="G698" s="22">
        <v>1</v>
      </c>
      <c r="H698" s="23">
        <v>1</v>
      </c>
      <c r="I698" s="23">
        <v>1</v>
      </c>
      <c r="J698" s="23">
        <v>2</v>
      </c>
      <c r="K698" s="23">
        <v>3</v>
      </c>
      <c r="L698" s="25">
        <f t="shared" si="27"/>
        <v>1.0195048044558224</v>
      </c>
      <c r="M698" s="20" t="s">
        <v>134</v>
      </c>
    </row>
    <row r="699" spans="1:13" x14ac:dyDescent="0.2">
      <c r="A699" s="43" t="s">
        <v>136</v>
      </c>
      <c r="B699" s="12" t="s">
        <v>23</v>
      </c>
      <c r="C699" s="31" t="s">
        <v>96</v>
      </c>
      <c r="D699" s="44">
        <v>5.970957524474704</v>
      </c>
      <c r="E699" s="15" t="s">
        <v>133</v>
      </c>
      <c r="F699" s="16" t="s">
        <v>16</v>
      </c>
      <c r="G699" s="22">
        <v>1</v>
      </c>
      <c r="H699" s="23">
        <v>1</v>
      </c>
      <c r="I699" s="23">
        <v>1</v>
      </c>
      <c r="J699" s="23">
        <v>2</v>
      </c>
      <c r="K699" s="23">
        <v>3</v>
      </c>
      <c r="L699" s="25">
        <f t="shared" si="27"/>
        <v>1.0195048044558224</v>
      </c>
      <c r="M699" s="20" t="s">
        <v>134</v>
      </c>
    </row>
    <row r="700" spans="1:13" x14ac:dyDescent="0.2">
      <c r="A700" s="43" t="s">
        <v>136</v>
      </c>
      <c r="B700" s="12" t="s">
        <v>24</v>
      </c>
      <c r="C700" s="31" t="s">
        <v>96</v>
      </c>
      <c r="D700" s="44">
        <v>86.248024592710749</v>
      </c>
      <c r="E700" s="15" t="s">
        <v>133</v>
      </c>
      <c r="F700" s="16" t="s">
        <v>16</v>
      </c>
      <c r="G700" s="22">
        <v>1</v>
      </c>
      <c r="H700" s="23">
        <v>1</v>
      </c>
      <c r="I700" s="23">
        <v>1</v>
      </c>
      <c r="J700" s="23">
        <v>2</v>
      </c>
      <c r="K700" s="23">
        <v>3</v>
      </c>
      <c r="L700" s="25">
        <f t="shared" si="27"/>
        <v>1.0195048044558224</v>
      </c>
      <c r="M700" s="20" t="s">
        <v>134</v>
      </c>
    </row>
    <row r="701" spans="1:13" x14ac:dyDescent="0.2">
      <c r="A701" s="43" t="s">
        <v>136</v>
      </c>
      <c r="B701" s="12" t="s">
        <v>25</v>
      </c>
      <c r="C701" s="31" t="s">
        <v>96</v>
      </c>
      <c r="D701" s="44">
        <v>74.550917445456037</v>
      </c>
      <c r="E701" s="15" t="s">
        <v>133</v>
      </c>
      <c r="F701" s="16" t="s">
        <v>16</v>
      </c>
      <c r="G701" s="22">
        <v>1</v>
      </c>
      <c r="H701" s="23">
        <v>1</v>
      </c>
      <c r="I701" s="23">
        <v>1</v>
      </c>
      <c r="J701" s="23">
        <v>2</v>
      </c>
      <c r="K701" s="23">
        <v>3</v>
      </c>
      <c r="L701" s="25">
        <f t="shared" si="27"/>
        <v>1.0195048044558224</v>
      </c>
      <c r="M701" s="20" t="s">
        <v>134</v>
      </c>
    </row>
    <row r="702" spans="1:13" x14ac:dyDescent="0.2">
      <c r="A702" s="43" t="s">
        <v>136</v>
      </c>
      <c r="B702" s="12" t="s">
        <v>26</v>
      </c>
      <c r="C702" s="31" t="s">
        <v>96</v>
      </c>
      <c r="D702" s="44">
        <v>17.4746014634554</v>
      </c>
      <c r="E702" s="15" t="s">
        <v>133</v>
      </c>
      <c r="F702" s="16" t="s">
        <v>16</v>
      </c>
      <c r="G702" s="22">
        <v>1</v>
      </c>
      <c r="H702" s="23">
        <v>1</v>
      </c>
      <c r="I702" s="23">
        <v>1</v>
      </c>
      <c r="J702" s="23">
        <v>2</v>
      </c>
      <c r="K702" s="23">
        <v>3</v>
      </c>
      <c r="L702" s="25">
        <f t="shared" si="27"/>
        <v>1.0195048044558224</v>
      </c>
      <c r="M702" s="20" t="s">
        <v>134</v>
      </c>
    </row>
    <row r="703" spans="1:13" x14ac:dyDescent="0.2">
      <c r="A703" s="43" t="s">
        <v>136</v>
      </c>
      <c r="B703" s="12" t="s">
        <v>27</v>
      </c>
      <c r="C703" s="31" t="s">
        <v>96</v>
      </c>
      <c r="D703" s="44">
        <v>51.114298202385193</v>
      </c>
      <c r="E703" s="15" t="s">
        <v>133</v>
      </c>
      <c r="F703" s="16" t="s">
        <v>16</v>
      </c>
      <c r="G703" s="22">
        <v>1</v>
      </c>
      <c r="H703" s="23">
        <v>1</v>
      </c>
      <c r="I703" s="23">
        <v>1</v>
      </c>
      <c r="J703" s="23">
        <v>2</v>
      </c>
      <c r="K703" s="23">
        <v>3</v>
      </c>
      <c r="L703" s="25">
        <f t="shared" si="27"/>
        <v>1.0195048044558224</v>
      </c>
      <c r="M703" s="20" t="s">
        <v>134</v>
      </c>
    </row>
    <row r="704" spans="1:13" x14ac:dyDescent="0.2">
      <c r="A704" s="43" t="s">
        <v>136</v>
      </c>
      <c r="B704" s="12" t="s">
        <v>28</v>
      </c>
      <c r="C704" s="31" t="s">
        <v>96</v>
      </c>
      <c r="D704" s="18">
        <v>0</v>
      </c>
      <c r="E704" s="15" t="s">
        <v>133</v>
      </c>
      <c r="F704" s="16"/>
      <c r="G704" s="17"/>
      <c r="H704" s="18"/>
      <c r="I704" s="18"/>
      <c r="J704" s="18"/>
      <c r="K704" s="18"/>
      <c r="L704" s="19" t="str">
        <f t="shared" si="27"/>
        <v/>
      </c>
      <c r="M704" s="20" t="s">
        <v>134</v>
      </c>
    </row>
    <row r="705" spans="1:13" x14ac:dyDescent="0.2">
      <c r="A705" s="43" t="s">
        <v>136</v>
      </c>
      <c r="B705" s="12" t="s">
        <v>30</v>
      </c>
      <c r="C705" s="31" t="s">
        <v>96</v>
      </c>
      <c r="D705" s="18">
        <v>0</v>
      </c>
      <c r="E705" s="15" t="s">
        <v>133</v>
      </c>
      <c r="F705" s="16"/>
      <c r="G705" s="17"/>
      <c r="H705" s="18"/>
      <c r="I705" s="18"/>
      <c r="J705" s="18"/>
      <c r="K705" s="18"/>
      <c r="L705" s="19" t="str">
        <f t="shared" si="27"/>
        <v/>
      </c>
      <c r="M705" s="20" t="s">
        <v>134</v>
      </c>
    </row>
    <row r="706" spans="1:13" x14ac:dyDescent="0.2">
      <c r="A706" s="43" t="s">
        <v>136</v>
      </c>
      <c r="B706" s="12" t="s">
        <v>32</v>
      </c>
      <c r="C706" s="31" t="s">
        <v>96</v>
      </c>
      <c r="D706" s="44">
        <v>84.701045851841599</v>
      </c>
      <c r="E706" s="15" t="s">
        <v>133</v>
      </c>
      <c r="F706" s="16" t="s">
        <v>16</v>
      </c>
      <c r="G706" s="22">
        <v>1</v>
      </c>
      <c r="H706" s="23">
        <v>1</v>
      </c>
      <c r="I706" s="23">
        <v>1</v>
      </c>
      <c r="J706" s="23">
        <v>2</v>
      </c>
      <c r="K706" s="23">
        <v>3</v>
      </c>
      <c r="L706" s="25">
        <f t="shared" si="27"/>
        <v>1.0195048044558224</v>
      </c>
      <c r="M706" s="20" t="s">
        <v>134</v>
      </c>
    </row>
    <row r="707" spans="1:13" x14ac:dyDescent="0.2">
      <c r="A707" s="43" t="s">
        <v>136</v>
      </c>
      <c r="B707" s="12" t="s">
        <v>34</v>
      </c>
      <c r="C707" s="31" t="s">
        <v>96</v>
      </c>
      <c r="D707" s="18">
        <v>0</v>
      </c>
      <c r="E707" s="15" t="s">
        <v>133</v>
      </c>
      <c r="F707" s="16"/>
      <c r="G707" s="17"/>
      <c r="H707" s="18"/>
      <c r="I707" s="18"/>
      <c r="J707" s="18"/>
      <c r="K707" s="18"/>
      <c r="L707" s="19" t="str">
        <f t="shared" si="27"/>
        <v/>
      </c>
      <c r="M707" s="20" t="s">
        <v>134</v>
      </c>
    </row>
    <row r="708" spans="1:13" x14ac:dyDescent="0.2">
      <c r="A708" s="43" t="s">
        <v>136</v>
      </c>
      <c r="B708" s="12" t="s">
        <v>36</v>
      </c>
      <c r="C708" s="31" t="s">
        <v>96</v>
      </c>
      <c r="D708" s="44">
        <v>0</v>
      </c>
      <c r="E708" s="15" t="s">
        <v>133</v>
      </c>
      <c r="F708" s="16"/>
      <c r="G708" s="22">
        <v>1</v>
      </c>
      <c r="H708" s="23">
        <v>1</v>
      </c>
      <c r="I708" s="23">
        <v>1</v>
      </c>
      <c r="J708" s="23">
        <v>2</v>
      </c>
      <c r="K708" s="23">
        <v>3</v>
      </c>
      <c r="L708" s="25">
        <f>IF( OR( ISBLANK(G708),ISBLANK(H708), ISBLANK(I708), ISBLANK(J708), ISBLANK(K708) ), "", 1.5*SQRT(   EXP(2.21*(G708-1)) + EXP(2.21*(H708-1)) + EXP(2.21*(I708-1)) + EXP(2.21*(J708-1)) + EXP(2.21*K708)   )/100*2.45 )</f>
        <v>1.0195048044558224</v>
      </c>
      <c r="M708" s="20" t="s">
        <v>134</v>
      </c>
    </row>
    <row r="709" spans="1:13" x14ac:dyDescent="0.2">
      <c r="A709" s="43" t="s">
        <v>136</v>
      </c>
      <c r="B709" s="12" t="s">
        <v>37</v>
      </c>
      <c r="C709" s="31" t="s">
        <v>96</v>
      </c>
      <c r="D709" s="44">
        <v>435.42191113490981</v>
      </c>
      <c r="E709" s="15" t="s">
        <v>133</v>
      </c>
      <c r="F709" s="16" t="s">
        <v>16</v>
      </c>
      <c r="G709" s="22">
        <v>1</v>
      </c>
      <c r="H709" s="23">
        <v>1</v>
      </c>
      <c r="I709" s="23">
        <v>1</v>
      </c>
      <c r="J709" s="23">
        <v>2</v>
      </c>
      <c r="K709" s="23">
        <v>3</v>
      </c>
      <c r="L709" s="24">
        <f t="shared" ref="L709:L715" si="28">IF( OR( ISBLANK(G709),ISBLANK(H709), ISBLANK(I709), ISBLANK(J709), ISBLANK(K709) ), "", 1.5*SQRT( EXP(2.21*(G709-1)) + EXP(2.21*(H709-1)) + EXP(2.21*(I709-1)) + EXP(2.21*(J709-1)) + EXP(2.21*K709) )/100*2.45 )</f>
        <v>1.0195048044558224</v>
      </c>
      <c r="M709" s="20" t="s">
        <v>134</v>
      </c>
    </row>
    <row r="710" spans="1:13" x14ac:dyDescent="0.2">
      <c r="A710" s="43" t="s">
        <v>136</v>
      </c>
      <c r="B710" s="12" t="s">
        <v>39</v>
      </c>
      <c r="C710" s="31" t="s">
        <v>96</v>
      </c>
      <c r="D710" s="44">
        <v>15.2985142315679</v>
      </c>
      <c r="E710" s="15" t="s">
        <v>133</v>
      </c>
      <c r="F710" s="16" t="s">
        <v>16</v>
      </c>
      <c r="G710" s="22">
        <v>1</v>
      </c>
      <c r="H710" s="23">
        <v>1</v>
      </c>
      <c r="I710" s="23">
        <v>1</v>
      </c>
      <c r="J710" s="23">
        <v>2</v>
      </c>
      <c r="K710" s="23">
        <v>3</v>
      </c>
      <c r="L710" s="25">
        <f t="shared" si="28"/>
        <v>1.0195048044558224</v>
      </c>
      <c r="M710" s="20" t="s">
        <v>134</v>
      </c>
    </row>
    <row r="711" spans="1:13" x14ac:dyDescent="0.2">
      <c r="A711" s="43" t="s">
        <v>136</v>
      </c>
      <c r="B711" s="12" t="s">
        <v>40</v>
      </c>
      <c r="C711" s="31" t="s">
        <v>96</v>
      </c>
      <c r="D711" s="44">
        <v>21.170691495923968</v>
      </c>
      <c r="E711" s="15" t="s">
        <v>133</v>
      </c>
      <c r="F711" s="16" t="s">
        <v>16</v>
      </c>
      <c r="G711" s="22">
        <v>1</v>
      </c>
      <c r="H711" s="23">
        <v>1</v>
      </c>
      <c r="I711" s="23">
        <v>1</v>
      </c>
      <c r="J711" s="23">
        <v>2</v>
      </c>
      <c r="K711" s="23">
        <v>3</v>
      </c>
      <c r="L711" s="25">
        <f t="shared" si="28"/>
        <v>1.0195048044558224</v>
      </c>
      <c r="M711" s="20" t="s">
        <v>134</v>
      </c>
    </row>
    <row r="712" spans="1:13" x14ac:dyDescent="0.2">
      <c r="A712" s="43" t="s">
        <v>136</v>
      </c>
      <c r="B712" s="12" t="s">
        <v>41</v>
      </c>
      <c r="C712" s="31" t="s">
        <v>96</v>
      </c>
      <c r="D712" s="44">
        <v>7.9830122548696494</v>
      </c>
      <c r="E712" s="15" t="s">
        <v>133</v>
      </c>
      <c r="F712" s="16" t="s">
        <v>16</v>
      </c>
      <c r="G712" s="22">
        <v>1</v>
      </c>
      <c r="H712" s="23">
        <v>1</v>
      </c>
      <c r="I712" s="23">
        <v>1</v>
      </c>
      <c r="J712" s="23">
        <v>2</v>
      </c>
      <c r="K712" s="23">
        <v>3</v>
      </c>
      <c r="L712" s="25">
        <f t="shared" si="28"/>
        <v>1.0195048044558224</v>
      </c>
      <c r="M712" s="20" t="s">
        <v>134</v>
      </c>
    </row>
    <row r="713" spans="1:13" x14ac:dyDescent="0.2">
      <c r="A713" s="43" t="s">
        <v>136</v>
      </c>
      <c r="B713" s="12" t="s">
        <v>42</v>
      </c>
      <c r="C713" s="31" t="s">
        <v>96</v>
      </c>
      <c r="D713" s="44">
        <v>4.6059092110397852</v>
      </c>
      <c r="E713" s="15" t="s">
        <v>133</v>
      </c>
      <c r="F713" s="16" t="s">
        <v>16</v>
      </c>
      <c r="G713" s="22">
        <v>1</v>
      </c>
      <c r="H713" s="23">
        <v>1</v>
      </c>
      <c r="I713" s="23">
        <v>1</v>
      </c>
      <c r="J713" s="23">
        <v>2</v>
      </c>
      <c r="K713" s="23">
        <v>3</v>
      </c>
      <c r="L713" s="25">
        <f t="shared" si="28"/>
        <v>1.0195048044558224</v>
      </c>
      <c r="M713" s="20" t="s">
        <v>134</v>
      </c>
    </row>
    <row r="714" spans="1:13" x14ac:dyDescent="0.2">
      <c r="A714" s="43" t="s">
        <v>136</v>
      </c>
      <c r="B714" s="12" t="s">
        <v>43</v>
      </c>
      <c r="C714" s="31" t="s">
        <v>96</v>
      </c>
      <c r="D714" s="44">
        <v>213.24542908916339</v>
      </c>
      <c r="E714" s="15" t="s">
        <v>133</v>
      </c>
      <c r="F714" s="16" t="s">
        <v>16</v>
      </c>
      <c r="G714" s="22">
        <v>1</v>
      </c>
      <c r="H714" s="23">
        <v>1</v>
      </c>
      <c r="I714" s="23">
        <v>1</v>
      </c>
      <c r="J714" s="23">
        <v>2</v>
      </c>
      <c r="K714" s="23">
        <v>3</v>
      </c>
      <c r="L714" s="25">
        <f t="shared" si="28"/>
        <v>1.0195048044558224</v>
      </c>
      <c r="M714" s="20" t="s">
        <v>134</v>
      </c>
    </row>
    <row r="715" spans="1:13" x14ac:dyDescent="0.2">
      <c r="A715" s="43" t="s">
        <v>136</v>
      </c>
      <c r="B715" s="12" t="s">
        <v>45</v>
      </c>
      <c r="C715" s="31" t="s">
        <v>96</v>
      </c>
      <c r="D715" s="44">
        <v>80.766416196199231</v>
      </c>
      <c r="E715" s="15" t="s">
        <v>133</v>
      </c>
      <c r="F715" s="16" t="s">
        <v>16</v>
      </c>
      <c r="G715" s="22">
        <v>1</v>
      </c>
      <c r="H715" s="23">
        <v>1</v>
      </c>
      <c r="I715" s="23">
        <v>1</v>
      </c>
      <c r="J715" s="23">
        <v>2</v>
      </c>
      <c r="K715" s="23">
        <v>3</v>
      </c>
      <c r="L715" s="25">
        <f t="shared" si="28"/>
        <v>1.0195048044558224</v>
      </c>
      <c r="M715" s="20" t="s">
        <v>134</v>
      </c>
    </row>
    <row r="716" spans="1:13" x14ac:dyDescent="0.2">
      <c r="A716" s="43" t="s">
        <v>136</v>
      </c>
      <c r="B716" s="12" t="s">
        <v>46</v>
      </c>
      <c r="C716" s="31" t="s">
        <v>96</v>
      </c>
      <c r="D716" s="44">
        <v>100.1742945404842</v>
      </c>
      <c r="E716" s="15" t="s">
        <v>133</v>
      </c>
      <c r="F716" s="16"/>
      <c r="G716" s="22">
        <v>1</v>
      </c>
      <c r="H716" s="23">
        <v>1</v>
      </c>
      <c r="I716" s="23">
        <v>1</v>
      </c>
      <c r="J716" s="23">
        <v>2</v>
      </c>
      <c r="K716" s="23">
        <v>3</v>
      </c>
      <c r="L716" s="25">
        <f>IF( OR( ISBLANK(G716),ISBLANK(H716), ISBLANK(I716), ISBLANK(J716), ISBLANK(K716) ), "", 1.5*SQRT(   EXP(2.21*(G716-1)) + EXP(2.21*(H716-1)) + EXP(2.21*(I716-1)) + EXP(2.21*(J716-1)) + EXP(2.21*K716)   )/100*2.45 )</f>
        <v>1.0195048044558224</v>
      </c>
      <c r="M716" s="20" t="s">
        <v>134</v>
      </c>
    </row>
    <row r="717" spans="1:13" x14ac:dyDescent="0.2">
      <c r="A717" s="43" t="s">
        <v>136</v>
      </c>
      <c r="B717" s="12" t="s">
        <v>48</v>
      </c>
      <c r="C717" s="31" t="s">
        <v>96</v>
      </c>
      <c r="D717" s="18">
        <v>0</v>
      </c>
      <c r="E717" s="15" t="s">
        <v>133</v>
      </c>
      <c r="F717" s="16"/>
      <c r="G717" s="17"/>
      <c r="H717" s="18"/>
      <c r="I717" s="18"/>
      <c r="J717" s="18"/>
      <c r="K717" s="18"/>
      <c r="L717" s="19" t="str">
        <f>IF( OR( ISBLANK(G717),ISBLANK(H717), ISBLANK(I717), ISBLANK(J717), ISBLANK(K717) ), "", 1.5*SQRT( EXP(2.21*(G717-1)) + EXP(2.21*(H717-1)) + EXP(2.21*(I717-1)) + EXP(2.21*(J717-1)) + EXP(2.21*K717) )/100*2.45 )</f>
        <v/>
      </c>
      <c r="M717" s="20" t="s">
        <v>134</v>
      </c>
    </row>
    <row r="718" spans="1:13" x14ac:dyDescent="0.2">
      <c r="A718" s="43" t="s">
        <v>136</v>
      </c>
      <c r="B718" s="12" t="s">
        <v>50</v>
      </c>
      <c r="C718" s="31" t="s">
        <v>96</v>
      </c>
      <c r="D718" s="44">
        <v>129.55326319726399</v>
      </c>
      <c r="E718" s="15" t="s">
        <v>133</v>
      </c>
      <c r="F718" s="16" t="s">
        <v>16</v>
      </c>
      <c r="G718" s="22">
        <v>1</v>
      </c>
      <c r="H718" s="23">
        <v>1</v>
      </c>
      <c r="I718" s="23">
        <v>1</v>
      </c>
      <c r="J718" s="23">
        <v>2</v>
      </c>
      <c r="K718" s="23">
        <v>3</v>
      </c>
      <c r="L718" s="25">
        <f>IF( OR( ISBLANK(G718),ISBLANK(H718), ISBLANK(I718), ISBLANK(J718), ISBLANK(K718) ), "", 1.5*SQRT( EXP(2.21*(G718-1)) + EXP(2.21*(H718-1)) + EXP(2.21*(I718-1)) + EXP(2.21*(J718-1)) + EXP(2.21*K718) )/100*2.45 )</f>
        <v>1.0195048044558224</v>
      </c>
      <c r="M718" s="20" t="s">
        <v>134</v>
      </c>
    </row>
    <row r="719" spans="1:13" x14ac:dyDescent="0.2">
      <c r="A719" s="43" t="s">
        <v>136</v>
      </c>
      <c r="B719" s="12" t="s">
        <v>52</v>
      </c>
      <c r="C719" s="31" t="s">
        <v>96</v>
      </c>
      <c r="D719" s="44">
        <v>12.02994778422554</v>
      </c>
      <c r="E719" s="15" t="s">
        <v>133</v>
      </c>
      <c r="F719" s="16" t="s">
        <v>16</v>
      </c>
      <c r="G719" s="22">
        <v>1</v>
      </c>
      <c r="H719" s="23">
        <v>1</v>
      </c>
      <c r="I719" s="23">
        <v>1</v>
      </c>
      <c r="J719" s="23">
        <v>2</v>
      </c>
      <c r="K719" s="23">
        <v>3</v>
      </c>
      <c r="L719" s="25">
        <f>IF( OR( ISBLANK(G719),ISBLANK(H719), ISBLANK(I719), ISBLANK(J719), ISBLANK(K719) ), "", 1.5*SQRT( EXP(2.21*(G719-1)) + EXP(2.21*(H719-1)) + EXP(2.21*(I719-1)) + EXP(2.21*(J719-1)) + EXP(2.21*K719) )/100*2.45 )</f>
        <v>1.0195048044558224</v>
      </c>
      <c r="M719" s="20" t="s">
        <v>134</v>
      </c>
    </row>
    <row r="720" spans="1:13" x14ac:dyDescent="0.2">
      <c r="A720" s="43" t="s">
        <v>136</v>
      </c>
      <c r="B720" s="12" t="s">
        <v>54</v>
      </c>
      <c r="C720" s="31" t="s">
        <v>96</v>
      </c>
      <c r="D720" s="44">
        <v>16.19224857803119</v>
      </c>
      <c r="E720" s="15" t="s">
        <v>133</v>
      </c>
      <c r="F720" s="16" t="s">
        <v>16</v>
      </c>
      <c r="G720" s="22">
        <v>1</v>
      </c>
      <c r="H720" s="23">
        <v>1</v>
      </c>
      <c r="I720" s="23">
        <v>1</v>
      </c>
      <c r="J720" s="23">
        <v>2</v>
      </c>
      <c r="K720" s="23">
        <v>3</v>
      </c>
      <c r="L720" s="25">
        <f>IF( OR( ISBLANK(G720),ISBLANK(H720), ISBLANK(I720), ISBLANK(J720), ISBLANK(K720) ), "", 1.5*SQRT( EXP(2.21*(G720-1)) + EXP(2.21*(H720-1)) + EXP(2.21*(I720-1)) + EXP(2.21*(J720-1)) + EXP(2.21*K720) )/100*2.45 )</f>
        <v>1.0195048044558224</v>
      </c>
      <c r="M720" s="20" t="s">
        <v>134</v>
      </c>
    </row>
    <row r="721" spans="1:13" x14ac:dyDescent="0.2">
      <c r="A721" s="43" t="s">
        <v>136</v>
      </c>
      <c r="B721" s="12" t="s">
        <v>55</v>
      </c>
      <c r="C721" s="31" t="s">
        <v>96</v>
      </c>
      <c r="D721" s="44">
        <v>0</v>
      </c>
      <c r="E721" s="15" t="s">
        <v>133</v>
      </c>
      <c r="F721" s="16"/>
      <c r="G721" s="22">
        <v>1</v>
      </c>
      <c r="H721" s="23">
        <v>1</v>
      </c>
      <c r="I721" s="23">
        <v>1</v>
      </c>
      <c r="J721" s="23">
        <v>2</v>
      </c>
      <c r="K721" s="23">
        <v>3</v>
      </c>
      <c r="L721" s="25">
        <f>IF( OR( ISBLANK(G721),ISBLANK(H721), ISBLANK(I721), ISBLANK(J721), ISBLANK(K721) ), "", 1.5*SQRT(   EXP(2.21*(G721-1)) + EXP(2.21*(H721-1)) + EXP(2.21*(I721-1)) + EXP(2.21*(J721-1)) + EXP(2.21*K721)   )/100*2.45 )</f>
        <v>1.0195048044558224</v>
      </c>
      <c r="M721" s="20" t="s">
        <v>134</v>
      </c>
    </row>
    <row r="722" spans="1:13" x14ac:dyDescent="0.2">
      <c r="A722" s="43" t="s">
        <v>136</v>
      </c>
      <c r="B722" s="12" t="s">
        <v>57</v>
      </c>
      <c r="C722" s="31" t="s">
        <v>96</v>
      </c>
      <c r="D722" s="18">
        <v>0</v>
      </c>
      <c r="E722" s="15" t="s">
        <v>133</v>
      </c>
      <c r="F722" s="16"/>
      <c r="G722" s="17"/>
      <c r="H722" s="18"/>
      <c r="I722" s="18"/>
      <c r="J722" s="18"/>
      <c r="K722" s="18"/>
      <c r="L722" s="19" t="str">
        <f t="shared" ref="L722:L745" si="29">IF( OR( ISBLANK(G722),ISBLANK(H722), ISBLANK(I722), ISBLANK(J722), ISBLANK(K722) ), "", 1.5*SQRT( EXP(2.21*(G722-1)) + EXP(2.21*(H722-1)) + EXP(2.21*(I722-1)) + EXP(2.21*(J722-1)) + EXP(2.21*K722) )/100*2.45 )</f>
        <v/>
      </c>
      <c r="M722" s="20" t="s">
        <v>134</v>
      </c>
    </row>
    <row r="723" spans="1:13" x14ac:dyDescent="0.2">
      <c r="A723" s="43" t="s">
        <v>136</v>
      </c>
      <c r="B723" s="12" t="s">
        <v>59</v>
      </c>
      <c r="C723" s="31" t="s">
        <v>96</v>
      </c>
      <c r="D723" s="44">
        <v>121.8340880287241</v>
      </c>
      <c r="E723" s="15" t="s">
        <v>133</v>
      </c>
      <c r="F723" s="16" t="s">
        <v>16</v>
      </c>
      <c r="G723" s="22">
        <v>1</v>
      </c>
      <c r="H723" s="23">
        <v>1</v>
      </c>
      <c r="I723" s="23">
        <v>1</v>
      </c>
      <c r="J723" s="23">
        <v>2</v>
      </c>
      <c r="K723" s="23">
        <v>3</v>
      </c>
      <c r="L723" s="25">
        <f t="shared" si="29"/>
        <v>1.0195048044558224</v>
      </c>
      <c r="M723" s="20" t="s">
        <v>134</v>
      </c>
    </row>
    <row r="724" spans="1:13" x14ac:dyDescent="0.2">
      <c r="A724" s="43" t="s">
        <v>136</v>
      </c>
      <c r="B724" s="12" t="s">
        <v>60</v>
      </c>
      <c r="C724" s="31" t="s">
        <v>96</v>
      </c>
      <c r="D724" s="44">
        <v>479.25821883081858</v>
      </c>
      <c r="E724" s="15" t="s">
        <v>133</v>
      </c>
      <c r="F724" s="16" t="s">
        <v>16</v>
      </c>
      <c r="G724" s="22">
        <v>1</v>
      </c>
      <c r="H724" s="23">
        <v>2</v>
      </c>
      <c r="I724" s="23">
        <v>1</v>
      </c>
      <c r="J724" s="23">
        <v>2</v>
      </c>
      <c r="K724" s="23">
        <v>3</v>
      </c>
      <c r="L724" s="24">
        <f t="shared" si="29"/>
        <v>1.0248662490928169</v>
      </c>
      <c r="M724" s="20" t="s">
        <v>134</v>
      </c>
    </row>
    <row r="725" spans="1:13" x14ac:dyDescent="0.2">
      <c r="A725" s="43" t="s">
        <v>136</v>
      </c>
      <c r="B725" s="12" t="s">
        <v>13</v>
      </c>
      <c r="C725" s="32" t="s">
        <v>98</v>
      </c>
      <c r="D725" s="44">
        <v>71.202538246655109</v>
      </c>
      <c r="E725" s="15" t="s">
        <v>133</v>
      </c>
      <c r="F725" s="16" t="s">
        <v>16</v>
      </c>
      <c r="G725" s="22">
        <v>1</v>
      </c>
      <c r="H725" s="23">
        <v>1</v>
      </c>
      <c r="I725" s="23">
        <v>1</v>
      </c>
      <c r="J725" s="23">
        <v>2</v>
      </c>
      <c r="K725" s="23">
        <v>3</v>
      </c>
      <c r="L725" s="25">
        <f t="shared" si="29"/>
        <v>1.0195048044558224</v>
      </c>
      <c r="M725" s="20" t="s">
        <v>134</v>
      </c>
    </row>
    <row r="726" spans="1:13" x14ac:dyDescent="0.2">
      <c r="A726" s="43" t="s">
        <v>136</v>
      </c>
      <c r="B726" s="12" t="s">
        <v>18</v>
      </c>
      <c r="C726" s="32" t="s">
        <v>98</v>
      </c>
      <c r="D726" s="44">
        <v>95.974026195463523</v>
      </c>
      <c r="E726" s="15" t="s">
        <v>133</v>
      </c>
      <c r="F726" s="16" t="s">
        <v>16</v>
      </c>
      <c r="G726" s="22">
        <v>1</v>
      </c>
      <c r="H726" s="23">
        <v>1</v>
      </c>
      <c r="I726" s="23">
        <v>1</v>
      </c>
      <c r="J726" s="23">
        <v>2</v>
      </c>
      <c r="K726" s="23">
        <v>3</v>
      </c>
      <c r="L726" s="25">
        <f t="shared" si="29"/>
        <v>1.0195048044558224</v>
      </c>
      <c r="M726" s="20" t="s">
        <v>134</v>
      </c>
    </row>
    <row r="727" spans="1:13" x14ac:dyDescent="0.2">
      <c r="A727" s="43" t="s">
        <v>136</v>
      </c>
      <c r="B727" s="12" t="s">
        <v>20</v>
      </c>
      <c r="C727" s="32" t="s">
        <v>98</v>
      </c>
      <c r="D727" s="44">
        <v>36.416770337757697</v>
      </c>
      <c r="E727" s="15" t="s">
        <v>133</v>
      </c>
      <c r="F727" s="16" t="s">
        <v>16</v>
      </c>
      <c r="G727" s="22">
        <v>1</v>
      </c>
      <c r="H727" s="23">
        <v>1</v>
      </c>
      <c r="I727" s="23">
        <v>1</v>
      </c>
      <c r="J727" s="23">
        <v>2</v>
      </c>
      <c r="K727" s="23">
        <v>3</v>
      </c>
      <c r="L727" s="25">
        <f t="shared" si="29"/>
        <v>1.0195048044558224</v>
      </c>
      <c r="M727" s="20" t="s">
        <v>134</v>
      </c>
    </row>
    <row r="728" spans="1:13" x14ac:dyDescent="0.2">
      <c r="A728" s="43" t="s">
        <v>136</v>
      </c>
      <c r="B728" s="12" t="s">
        <v>22</v>
      </c>
      <c r="C728" s="32" t="s">
        <v>98</v>
      </c>
      <c r="D728" s="44">
        <v>4.8194481789419257</v>
      </c>
      <c r="E728" s="15" t="s">
        <v>133</v>
      </c>
      <c r="F728" s="16" t="s">
        <v>16</v>
      </c>
      <c r="G728" s="22">
        <v>1</v>
      </c>
      <c r="H728" s="23">
        <v>1</v>
      </c>
      <c r="I728" s="23">
        <v>1</v>
      </c>
      <c r="J728" s="23">
        <v>2</v>
      </c>
      <c r="K728" s="23">
        <v>3</v>
      </c>
      <c r="L728" s="25">
        <f t="shared" si="29"/>
        <v>1.0195048044558224</v>
      </c>
      <c r="M728" s="20" t="s">
        <v>134</v>
      </c>
    </row>
    <row r="729" spans="1:13" x14ac:dyDescent="0.2">
      <c r="A729" s="43" t="s">
        <v>136</v>
      </c>
      <c r="B729" s="12" t="s">
        <v>23</v>
      </c>
      <c r="C729" s="32" t="s">
        <v>98</v>
      </c>
      <c r="D729" s="44">
        <v>4.3635707443149094</v>
      </c>
      <c r="E729" s="15" t="s">
        <v>133</v>
      </c>
      <c r="F729" s="16" t="s">
        <v>16</v>
      </c>
      <c r="G729" s="22">
        <v>1</v>
      </c>
      <c r="H729" s="23">
        <v>1</v>
      </c>
      <c r="I729" s="23">
        <v>1</v>
      </c>
      <c r="J729" s="23">
        <v>2</v>
      </c>
      <c r="K729" s="23">
        <v>3</v>
      </c>
      <c r="L729" s="25">
        <f t="shared" si="29"/>
        <v>1.0195048044558224</v>
      </c>
      <c r="M729" s="20" t="s">
        <v>134</v>
      </c>
    </row>
    <row r="730" spans="1:13" x14ac:dyDescent="0.2">
      <c r="A730" s="43" t="s">
        <v>136</v>
      </c>
      <c r="B730" s="12" t="s">
        <v>24</v>
      </c>
      <c r="C730" s="32" t="s">
        <v>98</v>
      </c>
      <c r="D730" s="44">
        <v>62.553486763583379</v>
      </c>
      <c r="E730" s="15" t="s">
        <v>133</v>
      </c>
      <c r="F730" s="16" t="s">
        <v>16</v>
      </c>
      <c r="G730" s="22">
        <v>1</v>
      </c>
      <c r="H730" s="23">
        <v>1</v>
      </c>
      <c r="I730" s="23">
        <v>1</v>
      </c>
      <c r="J730" s="23">
        <v>2</v>
      </c>
      <c r="K730" s="23">
        <v>3</v>
      </c>
      <c r="L730" s="25">
        <f t="shared" si="29"/>
        <v>1.0195048044558224</v>
      </c>
      <c r="M730" s="20" t="s">
        <v>134</v>
      </c>
    </row>
    <row r="731" spans="1:13" x14ac:dyDescent="0.2">
      <c r="A731" s="43" t="s">
        <v>136</v>
      </c>
      <c r="B731" s="12" t="s">
        <v>25</v>
      </c>
      <c r="C731" s="32" t="s">
        <v>98</v>
      </c>
      <c r="D731" s="44">
        <v>54.519396840982147</v>
      </c>
      <c r="E731" s="15" t="s">
        <v>133</v>
      </c>
      <c r="F731" s="16" t="s">
        <v>16</v>
      </c>
      <c r="G731" s="22">
        <v>1</v>
      </c>
      <c r="H731" s="23">
        <v>1</v>
      </c>
      <c r="I731" s="23">
        <v>1</v>
      </c>
      <c r="J731" s="23">
        <v>2</v>
      </c>
      <c r="K731" s="23">
        <v>3</v>
      </c>
      <c r="L731" s="25">
        <f t="shared" si="29"/>
        <v>1.0195048044558224</v>
      </c>
      <c r="M731" s="20" t="s">
        <v>134</v>
      </c>
    </row>
    <row r="732" spans="1:13" x14ac:dyDescent="0.2">
      <c r="A732" s="43" t="s">
        <v>136</v>
      </c>
      <c r="B732" s="12" t="s">
        <v>26</v>
      </c>
      <c r="C732" s="32" t="s">
        <v>98</v>
      </c>
      <c r="D732" s="44">
        <v>12.775275000341621</v>
      </c>
      <c r="E732" s="15" t="s">
        <v>133</v>
      </c>
      <c r="F732" s="16" t="s">
        <v>16</v>
      </c>
      <c r="G732" s="22">
        <v>1</v>
      </c>
      <c r="H732" s="23">
        <v>1</v>
      </c>
      <c r="I732" s="23">
        <v>1</v>
      </c>
      <c r="J732" s="23">
        <v>2</v>
      </c>
      <c r="K732" s="23">
        <v>3</v>
      </c>
      <c r="L732" s="25">
        <f t="shared" si="29"/>
        <v>1.0195048044558224</v>
      </c>
      <c r="M732" s="20" t="s">
        <v>134</v>
      </c>
    </row>
    <row r="733" spans="1:13" x14ac:dyDescent="0.2">
      <c r="A733" s="43" t="s">
        <v>136</v>
      </c>
      <c r="B733" s="12" t="s">
        <v>27</v>
      </c>
      <c r="C733" s="32" t="s">
        <v>98</v>
      </c>
      <c r="D733" s="44">
        <v>37.427213604085459</v>
      </c>
      <c r="E733" s="15" t="s">
        <v>133</v>
      </c>
      <c r="F733" s="16" t="s">
        <v>16</v>
      </c>
      <c r="G733" s="22">
        <v>1</v>
      </c>
      <c r="H733" s="23">
        <v>1</v>
      </c>
      <c r="I733" s="23">
        <v>1</v>
      </c>
      <c r="J733" s="23">
        <v>2</v>
      </c>
      <c r="K733" s="23">
        <v>3</v>
      </c>
      <c r="L733" s="25">
        <f t="shared" si="29"/>
        <v>1.0195048044558224</v>
      </c>
      <c r="M733" s="20" t="s">
        <v>134</v>
      </c>
    </row>
    <row r="734" spans="1:13" x14ac:dyDescent="0.2">
      <c r="A734" s="43" t="s">
        <v>136</v>
      </c>
      <c r="B734" s="12" t="s">
        <v>28</v>
      </c>
      <c r="C734" s="32" t="s">
        <v>98</v>
      </c>
      <c r="D734" s="44">
        <v>511.40576182987508</v>
      </c>
      <c r="E734" s="15" t="s">
        <v>133</v>
      </c>
      <c r="F734" s="16" t="s">
        <v>16</v>
      </c>
      <c r="G734" s="22">
        <v>1</v>
      </c>
      <c r="H734" s="23">
        <v>1</v>
      </c>
      <c r="I734" s="23">
        <v>1</v>
      </c>
      <c r="J734" s="23">
        <v>2</v>
      </c>
      <c r="K734" s="23">
        <v>3</v>
      </c>
      <c r="L734" s="25">
        <f t="shared" si="29"/>
        <v>1.0195048044558224</v>
      </c>
      <c r="M734" s="20" t="s">
        <v>134</v>
      </c>
    </row>
    <row r="735" spans="1:13" x14ac:dyDescent="0.2">
      <c r="A735" s="43" t="s">
        <v>136</v>
      </c>
      <c r="B735" s="12" t="s">
        <v>30</v>
      </c>
      <c r="C735" s="32" t="s">
        <v>98</v>
      </c>
      <c r="D735" s="44">
        <v>490.09863169861029</v>
      </c>
      <c r="E735" s="15" t="s">
        <v>133</v>
      </c>
      <c r="F735" s="16" t="s">
        <v>16</v>
      </c>
      <c r="G735" s="22">
        <v>1</v>
      </c>
      <c r="H735" s="23">
        <v>1</v>
      </c>
      <c r="I735" s="23">
        <v>1</v>
      </c>
      <c r="J735" s="23">
        <v>2</v>
      </c>
      <c r="K735" s="23">
        <v>3</v>
      </c>
      <c r="L735" s="24">
        <f t="shared" si="29"/>
        <v>1.0195048044558224</v>
      </c>
      <c r="M735" s="20" t="s">
        <v>134</v>
      </c>
    </row>
    <row r="736" spans="1:13" x14ac:dyDescent="0.2">
      <c r="A736" s="43" t="s">
        <v>136</v>
      </c>
      <c r="B736" s="12" t="s">
        <v>32</v>
      </c>
      <c r="C736" s="32" t="s">
        <v>98</v>
      </c>
      <c r="D736" s="44">
        <v>66.017113857528201</v>
      </c>
      <c r="E736" s="15" t="s">
        <v>133</v>
      </c>
      <c r="F736" s="16" t="s">
        <v>16</v>
      </c>
      <c r="G736" s="22">
        <v>1</v>
      </c>
      <c r="H736" s="23">
        <v>1</v>
      </c>
      <c r="I736" s="23">
        <v>1</v>
      </c>
      <c r="J736" s="23">
        <v>2</v>
      </c>
      <c r="K736" s="23">
        <v>3</v>
      </c>
      <c r="L736" s="25">
        <f t="shared" si="29"/>
        <v>1.0195048044558224</v>
      </c>
      <c r="M736" s="20" t="s">
        <v>134</v>
      </c>
    </row>
    <row r="737" spans="1:13" x14ac:dyDescent="0.2">
      <c r="A737" s="43" t="s">
        <v>136</v>
      </c>
      <c r="B737" s="12" t="s">
        <v>34</v>
      </c>
      <c r="C737" s="32" t="s">
        <v>98</v>
      </c>
      <c r="D737" s="44">
        <v>110.5218148498582</v>
      </c>
      <c r="E737" s="15" t="s">
        <v>133</v>
      </c>
      <c r="F737" s="16" t="s">
        <v>16</v>
      </c>
      <c r="G737" s="22">
        <v>1</v>
      </c>
      <c r="H737" s="23">
        <v>1</v>
      </c>
      <c r="I737" s="23">
        <v>1</v>
      </c>
      <c r="J737" s="23">
        <v>2</v>
      </c>
      <c r="K737" s="23">
        <v>3</v>
      </c>
      <c r="L737" s="25">
        <f t="shared" si="29"/>
        <v>1.0195048044558224</v>
      </c>
      <c r="M737" s="20" t="s">
        <v>134</v>
      </c>
    </row>
    <row r="738" spans="1:13" x14ac:dyDescent="0.2">
      <c r="A738" s="43" t="s">
        <v>136</v>
      </c>
      <c r="B738" s="12" t="s">
        <v>36</v>
      </c>
      <c r="C738" s="32" t="s">
        <v>98</v>
      </c>
      <c r="D738" s="18">
        <v>0</v>
      </c>
      <c r="E738" s="15" t="s">
        <v>133</v>
      </c>
      <c r="F738" s="16"/>
      <c r="G738" s="17"/>
      <c r="H738" s="18"/>
      <c r="I738" s="18"/>
      <c r="J738" s="18"/>
      <c r="K738" s="18"/>
      <c r="L738" s="19" t="str">
        <f t="shared" si="29"/>
        <v/>
      </c>
      <c r="M738" s="20" t="s">
        <v>134</v>
      </c>
    </row>
    <row r="739" spans="1:13" x14ac:dyDescent="0.2">
      <c r="A739" s="43" t="s">
        <v>136</v>
      </c>
      <c r="B739" s="12" t="s">
        <v>37</v>
      </c>
      <c r="C739" s="32" t="s">
        <v>98</v>
      </c>
      <c r="D739" s="44">
        <v>315.65938751404241</v>
      </c>
      <c r="E739" s="15" t="s">
        <v>133</v>
      </c>
      <c r="F739" s="16" t="s">
        <v>16</v>
      </c>
      <c r="G739" s="22">
        <v>1</v>
      </c>
      <c r="H739" s="23">
        <v>1</v>
      </c>
      <c r="I739" s="23">
        <v>1</v>
      </c>
      <c r="J739" s="23">
        <v>2</v>
      </c>
      <c r="K739" s="23">
        <v>3</v>
      </c>
      <c r="L739" s="24">
        <f t="shared" si="29"/>
        <v>1.0195048044558224</v>
      </c>
      <c r="M739" s="20" t="s">
        <v>134</v>
      </c>
    </row>
    <row r="740" spans="1:13" x14ac:dyDescent="0.2">
      <c r="A740" s="43" t="s">
        <v>136</v>
      </c>
      <c r="B740" s="12" t="s">
        <v>39</v>
      </c>
      <c r="C740" s="32" t="s">
        <v>98</v>
      </c>
      <c r="D740" s="44">
        <v>11.18014135232487</v>
      </c>
      <c r="E740" s="15" t="s">
        <v>133</v>
      </c>
      <c r="F740" s="16" t="s">
        <v>16</v>
      </c>
      <c r="G740" s="22">
        <v>1</v>
      </c>
      <c r="H740" s="23">
        <v>1</v>
      </c>
      <c r="I740" s="23">
        <v>1</v>
      </c>
      <c r="J740" s="23">
        <v>2</v>
      </c>
      <c r="K740" s="23">
        <v>3</v>
      </c>
      <c r="L740" s="25">
        <f t="shared" si="29"/>
        <v>1.0195048044558224</v>
      </c>
      <c r="M740" s="20" t="s">
        <v>134</v>
      </c>
    </row>
    <row r="741" spans="1:13" x14ac:dyDescent="0.2">
      <c r="A741" s="43" t="s">
        <v>136</v>
      </c>
      <c r="B741" s="12" t="s">
        <v>40</v>
      </c>
      <c r="C741" s="32" t="s">
        <v>98</v>
      </c>
      <c r="D741" s="18">
        <v>0</v>
      </c>
      <c r="E741" s="15" t="s">
        <v>133</v>
      </c>
      <c r="F741" s="16"/>
      <c r="G741" s="17"/>
      <c r="H741" s="18"/>
      <c r="I741" s="18"/>
      <c r="J741" s="18"/>
      <c r="K741" s="18"/>
      <c r="L741" s="19" t="str">
        <f t="shared" si="29"/>
        <v/>
      </c>
      <c r="M741" s="20" t="s">
        <v>134</v>
      </c>
    </row>
    <row r="742" spans="1:13" x14ac:dyDescent="0.2">
      <c r="A742" s="43" t="s">
        <v>136</v>
      </c>
      <c r="B742" s="12" t="s">
        <v>41</v>
      </c>
      <c r="C742" s="32" t="s">
        <v>98</v>
      </c>
      <c r="D742" s="44">
        <v>5.8339786515096943</v>
      </c>
      <c r="E742" s="15" t="s">
        <v>133</v>
      </c>
      <c r="F742" s="16" t="s">
        <v>16</v>
      </c>
      <c r="G742" s="22">
        <v>1</v>
      </c>
      <c r="H742" s="23">
        <v>1</v>
      </c>
      <c r="I742" s="23">
        <v>1</v>
      </c>
      <c r="J742" s="23">
        <v>2</v>
      </c>
      <c r="K742" s="23">
        <v>3</v>
      </c>
      <c r="L742" s="25">
        <f t="shared" si="29"/>
        <v>1.0195048044558224</v>
      </c>
      <c r="M742" s="20" t="s">
        <v>134</v>
      </c>
    </row>
    <row r="743" spans="1:13" x14ac:dyDescent="0.2">
      <c r="A743" s="43" t="s">
        <v>136</v>
      </c>
      <c r="B743" s="12" t="s">
        <v>42</v>
      </c>
      <c r="C743" s="32" t="s">
        <v>98</v>
      </c>
      <c r="D743" s="44">
        <v>3.365994583261068</v>
      </c>
      <c r="E743" s="15" t="s">
        <v>133</v>
      </c>
      <c r="F743" s="16" t="s">
        <v>16</v>
      </c>
      <c r="G743" s="22">
        <v>1</v>
      </c>
      <c r="H743" s="23">
        <v>1</v>
      </c>
      <c r="I743" s="23">
        <v>1</v>
      </c>
      <c r="J743" s="23">
        <v>2</v>
      </c>
      <c r="K743" s="23">
        <v>3</v>
      </c>
      <c r="L743" s="25">
        <f t="shared" si="29"/>
        <v>1.0195048044558224</v>
      </c>
      <c r="M743" s="20" t="s">
        <v>134</v>
      </c>
    </row>
    <row r="744" spans="1:13" x14ac:dyDescent="0.2">
      <c r="A744" s="43" t="s">
        <v>136</v>
      </c>
      <c r="B744" s="12" t="s">
        <v>43</v>
      </c>
      <c r="C744" s="32" t="s">
        <v>98</v>
      </c>
      <c r="D744" s="44">
        <v>155.83958048909659</v>
      </c>
      <c r="E744" s="15" t="s">
        <v>133</v>
      </c>
      <c r="F744" s="16" t="s">
        <v>16</v>
      </c>
      <c r="G744" s="22">
        <v>1</v>
      </c>
      <c r="H744" s="23">
        <v>1</v>
      </c>
      <c r="I744" s="23">
        <v>1</v>
      </c>
      <c r="J744" s="23">
        <v>2</v>
      </c>
      <c r="K744" s="23">
        <v>3</v>
      </c>
      <c r="L744" s="25">
        <f t="shared" si="29"/>
        <v>1.0195048044558224</v>
      </c>
      <c r="M744" s="20" t="s">
        <v>134</v>
      </c>
    </row>
    <row r="745" spans="1:13" x14ac:dyDescent="0.2">
      <c r="A745" s="43" t="s">
        <v>136</v>
      </c>
      <c r="B745" s="12" t="s">
        <v>45</v>
      </c>
      <c r="C745" s="32" t="s">
        <v>98</v>
      </c>
      <c r="D745" s="44">
        <v>59.024029126367282</v>
      </c>
      <c r="E745" s="15" t="s">
        <v>133</v>
      </c>
      <c r="F745" s="16" t="s">
        <v>16</v>
      </c>
      <c r="G745" s="22">
        <v>1</v>
      </c>
      <c r="H745" s="23">
        <v>1</v>
      </c>
      <c r="I745" s="23">
        <v>1</v>
      </c>
      <c r="J745" s="23">
        <v>2</v>
      </c>
      <c r="K745" s="23">
        <v>3</v>
      </c>
      <c r="L745" s="25">
        <f t="shared" si="29"/>
        <v>1.0195048044558224</v>
      </c>
      <c r="M745" s="20" t="s">
        <v>134</v>
      </c>
    </row>
    <row r="746" spans="1:13" x14ac:dyDescent="0.2">
      <c r="A746" s="43" t="s">
        <v>136</v>
      </c>
      <c r="B746" s="12" t="s">
        <v>46</v>
      </c>
      <c r="C746" s="32" t="s">
        <v>98</v>
      </c>
      <c r="D746" s="44">
        <v>98.969949477306386</v>
      </c>
      <c r="E746" s="15" t="s">
        <v>133</v>
      </c>
      <c r="F746" s="16"/>
      <c r="G746" s="22">
        <v>1</v>
      </c>
      <c r="H746" s="23">
        <v>1</v>
      </c>
      <c r="I746" s="23">
        <v>1</v>
      </c>
      <c r="J746" s="23">
        <v>2</v>
      </c>
      <c r="K746" s="23">
        <v>3</v>
      </c>
      <c r="L746" s="25">
        <f>IF( OR( ISBLANK(G746),ISBLANK(H746), ISBLANK(I746), ISBLANK(J746), ISBLANK(K746) ), "", 1.5*SQRT(   EXP(2.21*(G746-1)) + EXP(2.21*(H746-1)) + EXP(2.21*(I746-1)) + EXP(2.21*(J746-1)) + EXP(2.21*K746)   )/100*2.45 )</f>
        <v>1.0195048044558224</v>
      </c>
      <c r="M746" s="20" t="s">
        <v>134</v>
      </c>
    </row>
    <row r="747" spans="1:13" x14ac:dyDescent="0.2">
      <c r="A747" s="43" t="s">
        <v>136</v>
      </c>
      <c r="B747" s="12" t="s">
        <v>48</v>
      </c>
      <c r="C747" s="32" t="s">
        <v>98</v>
      </c>
      <c r="D747" s="44">
        <v>98.943551818148819</v>
      </c>
      <c r="E747" s="15" t="s">
        <v>133</v>
      </c>
      <c r="F747" s="16" t="s">
        <v>16</v>
      </c>
      <c r="G747" s="22">
        <v>1</v>
      </c>
      <c r="H747" s="23">
        <v>1</v>
      </c>
      <c r="I747" s="23">
        <v>1</v>
      </c>
      <c r="J747" s="23">
        <v>2</v>
      </c>
      <c r="K747" s="23">
        <v>3</v>
      </c>
      <c r="L747" s="25">
        <f>IF( OR( ISBLANK(G747),ISBLANK(H747), ISBLANK(I747), ISBLANK(J747), ISBLANK(K747) ), "", 1.5*SQRT( EXP(2.21*(G747-1)) + EXP(2.21*(H747-1)) + EXP(2.21*(I747-1)) + EXP(2.21*(J747-1)) + EXP(2.21*K747) )/100*2.45 )</f>
        <v>1.0195048044558224</v>
      </c>
      <c r="M747" s="20" t="s">
        <v>134</v>
      </c>
    </row>
    <row r="748" spans="1:13" x14ac:dyDescent="0.2">
      <c r="A748" s="43" t="s">
        <v>136</v>
      </c>
      <c r="B748" s="12" t="s">
        <v>50</v>
      </c>
      <c r="C748" s="32" t="s">
        <v>98</v>
      </c>
      <c r="D748" s="44">
        <v>114.9839764617879</v>
      </c>
      <c r="E748" s="15" t="s">
        <v>133</v>
      </c>
      <c r="F748" s="16" t="s">
        <v>16</v>
      </c>
      <c r="G748" s="22">
        <v>1</v>
      </c>
      <c r="H748" s="23">
        <v>1</v>
      </c>
      <c r="I748" s="23">
        <v>1</v>
      </c>
      <c r="J748" s="23">
        <v>2</v>
      </c>
      <c r="K748" s="23">
        <v>3</v>
      </c>
      <c r="L748" s="25">
        <f>IF( OR( ISBLANK(G748),ISBLANK(H748), ISBLANK(I748), ISBLANK(J748), ISBLANK(K748) ), "", 1.5*SQRT( EXP(2.21*(G748-1)) + EXP(2.21*(H748-1)) + EXP(2.21*(I748-1)) + EXP(2.21*(J748-1)) + EXP(2.21*K748) )/100*2.45 )</f>
        <v>1.0195048044558224</v>
      </c>
      <c r="M748" s="20" t="s">
        <v>134</v>
      </c>
    </row>
    <row r="749" spans="1:13" x14ac:dyDescent="0.2">
      <c r="A749" s="43" t="s">
        <v>136</v>
      </c>
      <c r="B749" s="12" t="s">
        <v>52</v>
      </c>
      <c r="C749" s="32" t="s">
        <v>98</v>
      </c>
      <c r="D749" s="44">
        <v>30.56803135322502</v>
      </c>
      <c r="E749" s="15" t="s">
        <v>133</v>
      </c>
      <c r="F749" s="16" t="s">
        <v>16</v>
      </c>
      <c r="G749" s="22">
        <v>1</v>
      </c>
      <c r="H749" s="23">
        <v>1</v>
      </c>
      <c r="I749" s="23">
        <v>1</v>
      </c>
      <c r="J749" s="23">
        <v>2</v>
      </c>
      <c r="K749" s="23">
        <v>3</v>
      </c>
      <c r="L749" s="25">
        <f>IF( OR( ISBLANK(G749),ISBLANK(H749), ISBLANK(I749), ISBLANK(J749), ISBLANK(K749) ), "", 1.5*SQRT( EXP(2.21*(G749-1)) + EXP(2.21*(H749-1)) + EXP(2.21*(I749-1)) + EXP(2.21*(J749-1)) + EXP(2.21*K749) )/100*2.45 )</f>
        <v>1.0195048044558224</v>
      </c>
      <c r="M749" s="20" t="s">
        <v>134</v>
      </c>
    </row>
    <row r="750" spans="1:13" x14ac:dyDescent="0.2">
      <c r="A750" s="43" t="s">
        <v>136</v>
      </c>
      <c r="B750" s="12" t="s">
        <v>54</v>
      </c>
      <c r="C750" s="32" t="s">
        <v>98</v>
      </c>
      <c r="D750" s="44">
        <v>11.833281662138029</v>
      </c>
      <c r="E750" s="15" t="s">
        <v>133</v>
      </c>
      <c r="F750" s="16" t="s">
        <v>16</v>
      </c>
      <c r="G750" s="22">
        <v>1</v>
      </c>
      <c r="H750" s="23">
        <v>1</v>
      </c>
      <c r="I750" s="23">
        <v>1</v>
      </c>
      <c r="J750" s="23">
        <v>2</v>
      </c>
      <c r="K750" s="23">
        <v>3</v>
      </c>
      <c r="L750" s="25">
        <f>IF( OR( ISBLANK(G750),ISBLANK(H750), ISBLANK(I750), ISBLANK(J750), ISBLANK(K750) ), "", 1.5*SQRT( EXP(2.21*(G750-1)) + EXP(2.21*(H750-1)) + EXP(2.21*(I750-1)) + EXP(2.21*(J750-1)) + EXP(2.21*K750) )/100*2.45 )</f>
        <v>1.0195048044558224</v>
      </c>
      <c r="M750" s="20" t="s">
        <v>134</v>
      </c>
    </row>
    <row r="751" spans="1:13" x14ac:dyDescent="0.2">
      <c r="A751" s="43" t="s">
        <v>136</v>
      </c>
      <c r="B751" s="12" t="s">
        <v>55</v>
      </c>
      <c r="C751" s="32" t="s">
        <v>98</v>
      </c>
      <c r="D751" s="44">
        <v>0</v>
      </c>
      <c r="E751" s="15" t="s">
        <v>133</v>
      </c>
      <c r="F751" s="16"/>
      <c r="G751" s="22">
        <v>1</v>
      </c>
      <c r="H751" s="23">
        <v>1</v>
      </c>
      <c r="I751" s="23">
        <v>1</v>
      </c>
      <c r="J751" s="23">
        <v>2</v>
      </c>
      <c r="K751" s="23">
        <v>3</v>
      </c>
      <c r="L751" s="25">
        <f>IF( OR( ISBLANK(G751),ISBLANK(H751), ISBLANK(I751), ISBLANK(J751), ISBLANK(K751) ), "", 1.5*SQRT(   EXP(2.21*(G751-1)) + EXP(2.21*(H751-1)) + EXP(2.21*(I751-1)) + EXP(2.21*(J751-1)) + EXP(2.21*K751)   )/100*2.45 )</f>
        <v>1.0195048044558224</v>
      </c>
      <c r="M751" s="20" t="s">
        <v>134</v>
      </c>
    </row>
    <row r="752" spans="1:13" x14ac:dyDescent="0.2">
      <c r="A752" s="43" t="s">
        <v>136</v>
      </c>
      <c r="B752" s="12" t="s">
        <v>57</v>
      </c>
      <c r="C752" s="32" t="s">
        <v>98</v>
      </c>
      <c r="D752" s="44">
        <v>59.171658843653127</v>
      </c>
      <c r="E752" s="15" t="s">
        <v>133</v>
      </c>
      <c r="F752" s="16" t="s">
        <v>16</v>
      </c>
      <c r="G752" s="22">
        <v>1</v>
      </c>
      <c r="H752" s="23">
        <v>1</v>
      </c>
      <c r="I752" s="23">
        <v>1</v>
      </c>
      <c r="J752" s="23">
        <v>2</v>
      </c>
      <c r="K752" s="23">
        <v>3</v>
      </c>
      <c r="L752" s="25">
        <f t="shared" ref="L752:L783" si="30">IF( OR( ISBLANK(G752),ISBLANK(H752), ISBLANK(I752), ISBLANK(J752), ISBLANK(K752) ), "", 1.5*SQRT( EXP(2.21*(G752-1)) + EXP(2.21*(H752-1)) + EXP(2.21*(I752-1)) + EXP(2.21*(J752-1)) + EXP(2.21*K752) )/100*2.45 )</f>
        <v>1.0195048044558224</v>
      </c>
      <c r="M752" s="20" t="s">
        <v>134</v>
      </c>
    </row>
    <row r="753" spans="1:13" x14ac:dyDescent="0.2">
      <c r="A753" s="43" t="s">
        <v>136</v>
      </c>
      <c r="B753" s="12" t="s">
        <v>59</v>
      </c>
      <c r="C753" s="32" t="s">
        <v>98</v>
      </c>
      <c r="D753" s="44">
        <v>89.03624921183777</v>
      </c>
      <c r="E753" s="15" t="s">
        <v>133</v>
      </c>
      <c r="F753" s="16" t="s">
        <v>16</v>
      </c>
      <c r="G753" s="22">
        <v>1</v>
      </c>
      <c r="H753" s="23">
        <v>1</v>
      </c>
      <c r="I753" s="23">
        <v>1</v>
      </c>
      <c r="J753" s="23">
        <v>2</v>
      </c>
      <c r="K753" s="23">
        <v>3</v>
      </c>
      <c r="L753" s="25">
        <f t="shared" si="30"/>
        <v>1.0195048044558224</v>
      </c>
      <c r="M753" s="20" t="s">
        <v>134</v>
      </c>
    </row>
    <row r="754" spans="1:13" x14ac:dyDescent="0.2">
      <c r="A754" s="45" t="s">
        <v>136</v>
      </c>
      <c r="B754" s="34" t="s">
        <v>60</v>
      </c>
      <c r="C754" s="35" t="s">
        <v>98</v>
      </c>
      <c r="D754" s="46">
        <v>420.26081275673079</v>
      </c>
      <c r="E754" s="37" t="s">
        <v>133</v>
      </c>
      <c r="F754" s="38" t="s">
        <v>16</v>
      </c>
      <c r="G754" s="39">
        <v>1</v>
      </c>
      <c r="H754" s="40">
        <v>2</v>
      </c>
      <c r="I754" s="40">
        <v>1</v>
      </c>
      <c r="J754" s="40">
        <v>2</v>
      </c>
      <c r="K754" s="40">
        <v>3</v>
      </c>
      <c r="L754" s="41">
        <f t="shared" si="30"/>
        <v>1.0248662490928169</v>
      </c>
      <c r="M754" s="47" t="s">
        <v>134</v>
      </c>
    </row>
    <row r="755" spans="1:13" x14ac:dyDescent="0.2">
      <c r="A755" s="48" t="s">
        <v>137</v>
      </c>
      <c r="B755" s="12" t="s">
        <v>13</v>
      </c>
      <c r="C755" s="13" t="s">
        <v>14</v>
      </c>
      <c r="D755" s="21">
        <v>50.992418538696477</v>
      </c>
      <c r="E755" s="15" t="s">
        <v>138</v>
      </c>
      <c r="F755" s="16" t="s">
        <v>16</v>
      </c>
      <c r="G755" s="22">
        <v>1</v>
      </c>
      <c r="H755" s="23">
        <v>1</v>
      </c>
      <c r="I755" s="23">
        <v>1</v>
      </c>
      <c r="J755" s="23">
        <v>2</v>
      </c>
      <c r="K755" s="23">
        <v>3</v>
      </c>
      <c r="L755" s="25">
        <f t="shared" si="30"/>
        <v>1.0195048044558224</v>
      </c>
      <c r="M755" s="20" t="s">
        <v>139</v>
      </c>
    </row>
    <row r="756" spans="1:13" x14ac:dyDescent="0.2">
      <c r="A756" s="48" t="s">
        <v>137</v>
      </c>
      <c r="B756" s="12" t="s">
        <v>18</v>
      </c>
      <c r="C756" s="13" t="s">
        <v>14</v>
      </c>
      <c r="D756" s="21">
        <v>68.732770391549906</v>
      </c>
      <c r="E756" s="15" t="s">
        <v>138</v>
      </c>
      <c r="F756" s="16" t="s">
        <v>16</v>
      </c>
      <c r="G756" s="22">
        <v>1</v>
      </c>
      <c r="H756" s="23">
        <v>1</v>
      </c>
      <c r="I756" s="23">
        <v>1</v>
      </c>
      <c r="J756" s="23">
        <v>2</v>
      </c>
      <c r="K756" s="23">
        <v>3</v>
      </c>
      <c r="L756" s="25">
        <f t="shared" si="30"/>
        <v>1.0195048044558224</v>
      </c>
      <c r="M756" s="20" t="s">
        <v>139</v>
      </c>
    </row>
    <row r="757" spans="1:13" x14ac:dyDescent="0.2">
      <c r="A757" s="48" t="s">
        <v>137</v>
      </c>
      <c r="B757" s="12" t="s">
        <v>20</v>
      </c>
      <c r="C757" s="13" t="s">
        <v>14</v>
      </c>
      <c r="D757" s="21">
        <v>26.080238719267349</v>
      </c>
      <c r="E757" s="15" t="s">
        <v>138</v>
      </c>
      <c r="F757" s="16" t="s">
        <v>16</v>
      </c>
      <c r="G757" s="22">
        <v>1</v>
      </c>
      <c r="H757" s="23">
        <v>1</v>
      </c>
      <c r="I757" s="23">
        <v>1</v>
      </c>
      <c r="J757" s="23">
        <v>2</v>
      </c>
      <c r="K757" s="23">
        <v>3</v>
      </c>
      <c r="L757" s="25">
        <f t="shared" si="30"/>
        <v>1.0195048044558224</v>
      </c>
      <c r="M757" s="20" t="s">
        <v>139</v>
      </c>
    </row>
    <row r="758" spans="1:13" x14ac:dyDescent="0.2">
      <c r="A758" s="48" t="s">
        <v>137</v>
      </c>
      <c r="B758" s="12" t="s">
        <v>22</v>
      </c>
      <c r="C758" s="13" t="s">
        <v>14</v>
      </c>
      <c r="D758" s="21">
        <v>11.30409106644605</v>
      </c>
      <c r="E758" s="15" t="s">
        <v>138</v>
      </c>
      <c r="F758" s="16" t="s">
        <v>16</v>
      </c>
      <c r="G758" s="22">
        <v>1</v>
      </c>
      <c r="H758" s="23">
        <v>1</v>
      </c>
      <c r="I758" s="23">
        <v>1</v>
      </c>
      <c r="J758" s="23">
        <v>2</v>
      </c>
      <c r="K758" s="23">
        <v>3</v>
      </c>
      <c r="L758" s="25">
        <f t="shared" si="30"/>
        <v>1.0195048044558224</v>
      </c>
      <c r="M758" s="20" t="s">
        <v>139</v>
      </c>
    </row>
    <row r="759" spans="1:13" x14ac:dyDescent="0.2">
      <c r="A759" s="48" t="s">
        <v>137</v>
      </c>
      <c r="B759" s="12" t="s">
        <v>23</v>
      </c>
      <c r="C759" s="13" t="s">
        <v>14</v>
      </c>
      <c r="D759" s="21">
        <v>3.12501536035859</v>
      </c>
      <c r="E759" s="15" t="s">
        <v>138</v>
      </c>
      <c r="F759" s="16" t="s">
        <v>16</v>
      </c>
      <c r="G759" s="22">
        <v>1</v>
      </c>
      <c r="H759" s="23">
        <v>1</v>
      </c>
      <c r="I759" s="23">
        <v>1</v>
      </c>
      <c r="J759" s="23">
        <v>2</v>
      </c>
      <c r="K759" s="23">
        <v>3</v>
      </c>
      <c r="L759" s="25">
        <f t="shared" si="30"/>
        <v>1.0195048044558224</v>
      </c>
      <c r="M759" s="20" t="s">
        <v>139</v>
      </c>
    </row>
    <row r="760" spans="1:13" x14ac:dyDescent="0.2">
      <c r="A760" s="48" t="s">
        <v>137</v>
      </c>
      <c r="B760" s="12" t="s">
        <v>24</v>
      </c>
      <c r="C760" s="13" t="s">
        <v>14</v>
      </c>
      <c r="D760" s="21">
        <v>45.139561041596608</v>
      </c>
      <c r="E760" s="15" t="s">
        <v>138</v>
      </c>
      <c r="F760" s="16" t="s">
        <v>16</v>
      </c>
      <c r="G760" s="22">
        <v>1</v>
      </c>
      <c r="H760" s="23">
        <v>1</v>
      </c>
      <c r="I760" s="23">
        <v>1</v>
      </c>
      <c r="J760" s="23">
        <v>2</v>
      </c>
      <c r="K760" s="23">
        <v>3</v>
      </c>
      <c r="L760" s="25">
        <f t="shared" si="30"/>
        <v>1.0195048044558224</v>
      </c>
      <c r="M760" s="20" t="s">
        <v>139</v>
      </c>
    </row>
    <row r="761" spans="1:13" x14ac:dyDescent="0.2">
      <c r="A761" s="48" t="s">
        <v>137</v>
      </c>
      <c r="B761" s="12" t="s">
        <v>25</v>
      </c>
      <c r="C761" s="13" t="s">
        <v>14</v>
      </c>
      <c r="D761" s="21">
        <v>39.044617939912399</v>
      </c>
      <c r="E761" s="15" t="s">
        <v>138</v>
      </c>
      <c r="F761" s="16" t="s">
        <v>16</v>
      </c>
      <c r="G761" s="22">
        <v>1</v>
      </c>
      <c r="H761" s="23">
        <v>1</v>
      </c>
      <c r="I761" s="23">
        <v>1</v>
      </c>
      <c r="J761" s="23">
        <v>2</v>
      </c>
      <c r="K761" s="23">
        <v>3</v>
      </c>
      <c r="L761" s="25">
        <f t="shared" si="30"/>
        <v>1.0195048044558224</v>
      </c>
      <c r="M761" s="20" t="s">
        <v>139</v>
      </c>
    </row>
    <row r="762" spans="1:13" x14ac:dyDescent="0.2">
      <c r="A762" s="48" t="s">
        <v>137</v>
      </c>
      <c r="B762" s="12" t="s">
        <v>26</v>
      </c>
      <c r="C762" s="13" t="s">
        <v>14</v>
      </c>
      <c r="D762" s="21">
        <v>9.1491425138199887</v>
      </c>
      <c r="E762" s="15" t="s">
        <v>138</v>
      </c>
      <c r="F762" s="16" t="s">
        <v>16</v>
      </c>
      <c r="G762" s="22">
        <v>1</v>
      </c>
      <c r="H762" s="23">
        <v>1</v>
      </c>
      <c r="I762" s="23">
        <v>1</v>
      </c>
      <c r="J762" s="23">
        <v>2</v>
      </c>
      <c r="K762" s="23">
        <v>3</v>
      </c>
      <c r="L762" s="25">
        <f t="shared" si="30"/>
        <v>1.0195048044558224</v>
      </c>
      <c r="M762" s="20" t="s">
        <v>139</v>
      </c>
    </row>
    <row r="763" spans="1:13" x14ac:dyDescent="0.2">
      <c r="A763" s="48" t="s">
        <v>137</v>
      </c>
      <c r="B763" s="12" t="s">
        <v>27</v>
      </c>
      <c r="C763" s="13" t="s">
        <v>14</v>
      </c>
      <c r="D763" s="21">
        <v>26.80387789302408</v>
      </c>
      <c r="E763" s="15" t="s">
        <v>138</v>
      </c>
      <c r="F763" s="16" t="s">
        <v>16</v>
      </c>
      <c r="G763" s="22">
        <v>1</v>
      </c>
      <c r="H763" s="23">
        <v>1</v>
      </c>
      <c r="I763" s="23">
        <v>1</v>
      </c>
      <c r="J763" s="23">
        <v>2</v>
      </c>
      <c r="K763" s="23">
        <v>3</v>
      </c>
      <c r="L763" s="25">
        <f t="shared" si="30"/>
        <v>1.0195048044558224</v>
      </c>
      <c r="M763" s="20" t="s">
        <v>139</v>
      </c>
    </row>
    <row r="764" spans="1:13" x14ac:dyDescent="0.2">
      <c r="A764" s="48" t="s">
        <v>137</v>
      </c>
      <c r="B764" s="12" t="s">
        <v>28</v>
      </c>
      <c r="C764" s="13" t="s">
        <v>14</v>
      </c>
      <c r="D764" s="21">
        <v>366.24841322359708</v>
      </c>
      <c r="E764" s="15" t="s">
        <v>138</v>
      </c>
      <c r="F764" s="16" t="s">
        <v>16</v>
      </c>
      <c r="G764" s="22">
        <v>1</v>
      </c>
      <c r="H764" s="23">
        <v>1</v>
      </c>
      <c r="I764" s="23">
        <v>1</v>
      </c>
      <c r="J764" s="23">
        <v>2</v>
      </c>
      <c r="K764" s="23">
        <v>3</v>
      </c>
      <c r="L764" s="25">
        <f t="shared" si="30"/>
        <v>1.0195048044558224</v>
      </c>
      <c r="M764" s="20" t="s">
        <v>139</v>
      </c>
    </row>
    <row r="765" spans="1:13" x14ac:dyDescent="0.2">
      <c r="A765" s="48" t="s">
        <v>137</v>
      </c>
      <c r="B765" s="12" t="s">
        <v>30</v>
      </c>
      <c r="C765" s="13" t="s">
        <v>14</v>
      </c>
      <c r="D765" s="21">
        <v>646.14277558537196</v>
      </c>
      <c r="E765" s="15" t="s">
        <v>138</v>
      </c>
      <c r="F765" s="16" t="s">
        <v>16</v>
      </c>
      <c r="G765" s="22">
        <v>1</v>
      </c>
      <c r="H765" s="23">
        <v>1</v>
      </c>
      <c r="I765" s="23">
        <v>1</v>
      </c>
      <c r="J765" s="23">
        <v>2</v>
      </c>
      <c r="K765" s="23">
        <v>3</v>
      </c>
      <c r="L765" s="24">
        <f t="shared" si="30"/>
        <v>1.0195048044558224</v>
      </c>
      <c r="M765" s="20" t="s">
        <v>139</v>
      </c>
    </row>
    <row r="766" spans="1:13" x14ac:dyDescent="0.2">
      <c r="A766" s="48" t="s">
        <v>137</v>
      </c>
      <c r="B766" s="12" t="s">
        <v>32</v>
      </c>
      <c r="C766" s="13" t="s">
        <v>14</v>
      </c>
      <c r="D766" s="21">
        <v>47.278824371096078</v>
      </c>
      <c r="E766" s="15" t="s">
        <v>138</v>
      </c>
      <c r="F766" s="16" t="s">
        <v>16</v>
      </c>
      <c r="G766" s="22">
        <v>1</v>
      </c>
      <c r="H766" s="23">
        <v>1</v>
      </c>
      <c r="I766" s="23">
        <v>1</v>
      </c>
      <c r="J766" s="23">
        <v>2</v>
      </c>
      <c r="K766" s="23">
        <v>3</v>
      </c>
      <c r="L766" s="25">
        <f t="shared" si="30"/>
        <v>1.0195048044558224</v>
      </c>
      <c r="M766" s="20" t="s">
        <v>139</v>
      </c>
    </row>
    <row r="767" spans="1:13" x14ac:dyDescent="0.2">
      <c r="A767" s="48" t="s">
        <v>137</v>
      </c>
      <c r="B767" s="12" t="s">
        <v>34</v>
      </c>
      <c r="C767" s="13" t="s">
        <v>14</v>
      </c>
      <c r="D767" s="21">
        <v>79.151316501628258</v>
      </c>
      <c r="E767" s="15" t="s">
        <v>138</v>
      </c>
      <c r="F767" s="16" t="s">
        <v>16</v>
      </c>
      <c r="G767" s="22">
        <v>1</v>
      </c>
      <c r="H767" s="23">
        <v>1</v>
      </c>
      <c r="I767" s="23">
        <v>1</v>
      </c>
      <c r="J767" s="23">
        <v>2</v>
      </c>
      <c r="K767" s="23">
        <v>3</v>
      </c>
      <c r="L767" s="25">
        <f t="shared" si="30"/>
        <v>1.0195048044558224</v>
      </c>
      <c r="M767" s="20" t="s">
        <v>139</v>
      </c>
    </row>
    <row r="768" spans="1:13" x14ac:dyDescent="0.2">
      <c r="A768" s="48" t="s">
        <v>137</v>
      </c>
      <c r="B768" s="12" t="s">
        <v>36</v>
      </c>
      <c r="C768" s="13" t="s">
        <v>14</v>
      </c>
      <c r="D768" s="21">
        <v>52.091415683129178</v>
      </c>
      <c r="E768" s="15" t="s">
        <v>138</v>
      </c>
      <c r="F768" s="16" t="s">
        <v>16</v>
      </c>
      <c r="G768" s="22">
        <v>1</v>
      </c>
      <c r="H768" s="23">
        <v>1</v>
      </c>
      <c r="I768" s="23">
        <v>1</v>
      </c>
      <c r="J768" s="23">
        <v>2</v>
      </c>
      <c r="K768" s="23">
        <v>3</v>
      </c>
      <c r="L768" s="25">
        <f t="shared" si="30"/>
        <v>1.0195048044558224</v>
      </c>
      <c r="M768" s="20" t="s">
        <v>139</v>
      </c>
    </row>
    <row r="769" spans="1:13" x14ac:dyDescent="0.2">
      <c r="A769" s="48" t="s">
        <v>137</v>
      </c>
      <c r="B769" s="12" t="s">
        <v>37</v>
      </c>
      <c r="C769" s="13" t="s">
        <v>14</v>
      </c>
      <c r="D769" s="21">
        <v>340.49847163631182</v>
      </c>
      <c r="E769" s="15" t="s">
        <v>138</v>
      </c>
      <c r="F769" s="16" t="s">
        <v>16</v>
      </c>
      <c r="G769" s="22">
        <v>1</v>
      </c>
      <c r="H769" s="23">
        <v>1</v>
      </c>
      <c r="I769" s="23">
        <v>1</v>
      </c>
      <c r="J769" s="23">
        <v>2</v>
      </c>
      <c r="K769" s="23">
        <v>3</v>
      </c>
      <c r="L769" s="24">
        <f t="shared" si="30"/>
        <v>1.0195048044558224</v>
      </c>
      <c r="M769" s="20" t="s">
        <v>139</v>
      </c>
    </row>
    <row r="770" spans="1:13" x14ac:dyDescent="0.2">
      <c r="A770" s="48" t="s">
        <v>137</v>
      </c>
      <c r="B770" s="12" t="s">
        <v>39</v>
      </c>
      <c r="C770" s="13" t="s">
        <v>14</v>
      </c>
      <c r="D770" s="21">
        <v>8.006771404477556</v>
      </c>
      <c r="E770" s="15" t="s">
        <v>138</v>
      </c>
      <c r="F770" s="16" t="s">
        <v>16</v>
      </c>
      <c r="G770" s="22">
        <v>1</v>
      </c>
      <c r="H770" s="23">
        <v>1</v>
      </c>
      <c r="I770" s="23">
        <v>1</v>
      </c>
      <c r="J770" s="23">
        <v>2</v>
      </c>
      <c r="K770" s="23">
        <v>3</v>
      </c>
      <c r="L770" s="25">
        <f t="shared" si="30"/>
        <v>1.0195048044558224</v>
      </c>
      <c r="M770" s="20" t="s">
        <v>139</v>
      </c>
    </row>
    <row r="771" spans="1:13" x14ac:dyDescent="0.2">
      <c r="A771" s="48" t="s">
        <v>137</v>
      </c>
      <c r="B771" s="12" t="s">
        <v>40</v>
      </c>
      <c r="C771" s="13" t="s">
        <v>14</v>
      </c>
      <c r="D771" s="21">
        <v>14.701535220924081</v>
      </c>
      <c r="E771" s="15" t="s">
        <v>138</v>
      </c>
      <c r="F771" s="16" t="s">
        <v>16</v>
      </c>
      <c r="G771" s="22">
        <v>1</v>
      </c>
      <c r="H771" s="23">
        <v>1</v>
      </c>
      <c r="I771" s="23">
        <v>1</v>
      </c>
      <c r="J771" s="23">
        <v>2</v>
      </c>
      <c r="K771" s="23">
        <v>3</v>
      </c>
      <c r="L771" s="25">
        <f t="shared" si="30"/>
        <v>1.0195048044558224</v>
      </c>
      <c r="M771" s="20" t="s">
        <v>139</v>
      </c>
    </row>
    <row r="772" spans="1:13" x14ac:dyDescent="0.2">
      <c r="A772" s="48" t="s">
        <v>137</v>
      </c>
      <c r="B772" s="12" t="s">
        <v>41</v>
      </c>
      <c r="C772" s="13" t="s">
        <v>14</v>
      </c>
      <c r="D772" s="21">
        <v>4.1780628678301026</v>
      </c>
      <c r="E772" s="15" t="s">
        <v>138</v>
      </c>
      <c r="F772" s="16" t="s">
        <v>16</v>
      </c>
      <c r="G772" s="22">
        <v>1</v>
      </c>
      <c r="H772" s="23">
        <v>1</v>
      </c>
      <c r="I772" s="23">
        <v>1</v>
      </c>
      <c r="J772" s="23">
        <v>2</v>
      </c>
      <c r="K772" s="23">
        <v>3</v>
      </c>
      <c r="L772" s="25">
        <f t="shared" si="30"/>
        <v>1.0195048044558224</v>
      </c>
      <c r="M772" s="20" t="s">
        <v>139</v>
      </c>
    </row>
    <row r="773" spans="1:13" x14ac:dyDescent="0.2">
      <c r="A773" s="48" t="s">
        <v>137</v>
      </c>
      <c r="B773" s="12" t="s">
        <v>42</v>
      </c>
      <c r="C773" s="13" t="s">
        <v>14</v>
      </c>
      <c r="D773" s="21">
        <v>2.4105910942956701</v>
      </c>
      <c r="E773" s="15" t="s">
        <v>138</v>
      </c>
      <c r="F773" s="16" t="s">
        <v>16</v>
      </c>
      <c r="G773" s="22">
        <v>1</v>
      </c>
      <c r="H773" s="23">
        <v>1</v>
      </c>
      <c r="I773" s="23">
        <v>1</v>
      </c>
      <c r="J773" s="23">
        <v>2</v>
      </c>
      <c r="K773" s="23">
        <v>3</v>
      </c>
      <c r="L773" s="25">
        <f t="shared" si="30"/>
        <v>1.0195048044558224</v>
      </c>
      <c r="M773" s="20" t="s">
        <v>139</v>
      </c>
    </row>
    <row r="774" spans="1:13" x14ac:dyDescent="0.2">
      <c r="A774" s="48" t="s">
        <v>137</v>
      </c>
      <c r="B774" s="12" t="s">
        <v>43</v>
      </c>
      <c r="C774" s="13" t="s">
        <v>14</v>
      </c>
      <c r="D774" s="21">
        <v>111.6060931095838</v>
      </c>
      <c r="E774" s="15" t="s">
        <v>138</v>
      </c>
      <c r="F774" s="16" t="s">
        <v>16</v>
      </c>
      <c r="G774" s="22">
        <v>1</v>
      </c>
      <c r="H774" s="23">
        <v>1</v>
      </c>
      <c r="I774" s="23">
        <v>1</v>
      </c>
      <c r="J774" s="23">
        <v>2</v>
      </c>
      <c r="K774" s="23">
        <v>3</v>
      </c>
      <c r="L774" s="25">
        <f t="shared" si="30"/>
        <v>1.0195048044558224</v>
      </c>
      <c r="M774" s="20" t="s">
        <v>139</v>
      </c>
    </row>
    <row r="775" spans="1:13" x14ac:dyDescent="0.2">
      <c r="A775" s="48" t="s">
        <v>137</v>
      </c>
      <c r="B775" s="12" t="s">
        <v>45</v>
      </c>
      <c r="C775" s="13" t="s">
        <v>14</v>
      </c>
      <c r="D775" s="21">
        <v>42.27065595085471</v>
      </c>
      <c r="E775" s="15" t="s">
        <v>138</v>
      </c>
      <c r="F775" s="16" t="s">
        <v>16</v>
      </c>
      <c r="G775" s="22">
        <v>1</v>
      </c>
      <c r="H775" s="23">
        <v>1</v>
      </c>
      <c r="I775" s="23">
        <v>1</v>
      </c>
      <c r="J775" s="23">
        <v>2</v>
      </c>
      <c r="K775" s="23">
        <v>3</v>
      </c>
      <c r="L775" s="25">
        <f t="shared" si="30"/>
        <v>1.0195048044558224</v>
      </c>
      <c r="M775" s="20" t="s">
        <v>139</v>
      </c>
    </row>
    <row r="776" spans="1:13" x14ac:dyDescent="0.2">
      <c r="A776" s="48" t="s">
        <v>137</v>
      </c>
      <c r="B776" s="12" t="s">
        <v>46</v>
      </c>
      <c r="C776" s="13" t="s">
        <v>14</v>
      </c>
      <c r="D776" s="21">
        <v>192.35787158042569</v>
      </c>
      <c r="E776" s="15" t="s">
        <v>138</v>
      </c>
      <c r="F776" s="16" t="s">
        <v>16</v>
      </c>
      <c r="G776" s="22">
        <v>1</v>
      </c>
      <c r="H776" s="23">
        <v>1</v>
      </c>
      <c r="I776" s="23">
        <v>1</v>
      </c>
      <c r="J776" s="23">
        <v>2</v>
      </c>
      <c r="K776" s="23">
        <v>3</v>
      </c>
      <c r="L776" s="24">
        <f t="shared" si="30"/>
        <v>1.0195048044558224</v>
      </c>
      <c r="M776" s="20" t="s">
        <v>139</v>
      </c>
    </row>
    <row r="777" spans="1:13" x14ac:dyDescent="0.2">
      <c r="A777" s="48" t="s">
        <v>137</v>
      </c>
      <c r="B777" s="12" t="s">
        <v>48</v>
      </c>
      <c r="C777" s="13" t="s">
        <v>14</v>
      </c>
      <c r="D777" s="21">
        <v>70.865653036328098</v>
      </c>
      <c r="E777" s="15" t="s">
        <v>138</v>
      </c>
      <c r="F777" s="16" t="s">
        <v>16</v>
      </c>
      <c r="G777" s="22">
        <v>1</v>
      </c>
      <c r="H777" s="23">
        <v>1</v>
      </c>
      <c r="I777" s="23">
        <v>1</v>
      </c>
      <c r="J777" s="23">
        <v>2</v>
      </c>
      <c r="K777" s="23">
        <v>3</v>
      </c>
      <c r="L777" s="25">
        <f t="shared" si="30"/>
        <v>1.0195048044558224</v>
      </c>
      <c r="M777" s="20" t="s">
        <v>139</v>
      </c>
    </row>
    <row r="778" spans="1:13" x14ac:dyDescent="0.2">
      <c r="A778" s="48" t="s">
        <v>137</v>
      </c>
      <c r="B778" s="12" t="s">
        <v>50</v>
      </c>
      <c r="C778" s="13" t="s">
        <v>14</v>
      </c>
      <c r="D778" s="21">
        <v>82.346938709850761</v>
      </c>
      <c r="E778" s="15" t="s">
        <v>138</v>
      </c>
      <c r="F778" s="16" t="s">
        <v>16</v>
      </c>
      <c r="G778" s="22">
        <v>1</v>
      </c>
      <c r="H778" s="23">
        <v>1</v>
      </c>
      <c r="I778" s="23">
        <v>1</v>
      </c>
      <c r="J778" s="23">
        <v>2</v>
      </c>
      <c r="K778" s="23">
        <v>3</v>
      </c>
      <c r="L778" s="25">
        <f t="shared" si="30"/>
        <v>1.0195048044558224</v>
      </c>
      <c r="M778" s="20" t="s">
        <v>139</v>
      </c>
    </row>
    <row r="779" spans="1:13" x14ac:dyDescent="0.2">
      <c r="A779" s="48" t="s">
        <v>137</v>
      </c>
      <c r="B779" s="12" t="s">
        <v>52</v>
      </c>
      <c r="C779" s="13" t="s">
        <v>14</v>
      </c>
      <c r="D779" s="21">
        <v>21.891605089526031</v>
      </c>
      <c r="E779" s="15" t="s">
        <v>138</v>
      </c>
      <c r="F779" s="16" t="s">
        <v>16</v>
      </c>
      <c r="G779" s="22">
        <v>1</v>
      </c>
      <c r="H779" s="23">
        <v>1</v>
      </c>
      <c r="I779" s="23">
        <v>1</v>
      </c>
      <c r="J779" s="23">
        <v>2</v>
      </c>
      <c r="K779" s="23">
        <v>3</v>
      </c>
      <c r="L779" s="25">
        <f t="shared" si="30"/>
        <v>1.0195048044558224</v>
      </c>
      <c r="M779" s="20" t="s">
        <v>139</v>
      </c>
    </row>
    <row r="780" spans="1:13" x14ac:dyDescent="0.2">
      <c r="A780" s="48" t="s">
        <v>137</v>
      </c>
      <c r="B780" s="12" t="s">
        <v>54</v>
      </c>
      <c r="C780" s="13" t="s">
        <v>14</v>
      </c>
      <c r="D780" s="21">
        <v>8.4745244489984248</v>
      </c>
      <c r="E780" s="15" t="s">
        <v>138</v>
      </c>
      <c r="F780" s="16" t="s">
        <v>16</v>
      </c>
      <c r="G780" s="22">
        <v>1</v>
      </c>
      <c r="H780" s="23">
        <v>1</v>
      </c>
      <c r="I780" s="23">
        <v>1</v>
      </c>
      <c r="J780" s="23">
        <v>2</v>
      </c>
      <c r="K780" s="23">
        <v>3</v>
      </c>
      <c r="L780" s="25">
        <f t="shared" si="30"/>
        <v>1.0195048044558224</v>
      </c>
      <c r="M780" s="20" t="s">
        <v>139</v>
      </c>
    </row>
    <row r="781" spans="1:13" x14ac:dyDescent="0.2">
      <c r="A781" s="48" t="s">
        <v>137</v>
      </c>
      <c r="B781" s="12" t="s">
        <v>55</v>
      </c>
      <c r="C781" s="13" t="s">
        <v>14</v>
      </c>
      <c r="D781" s="21">
        <v>259.83328371581331</v>
      </c>
      <c r="E781" s="15" t="s">
        <v>138</v>
      </c>
      <c r="F781" s="16" t="s">
        <v>16</v>
      </c>
      <c r="G781" s="22">
        <v>1</v>
      </c>
      <c r="H781" s="23">
        <v>1</v>
      </c>
      <c r="I781" s="23">
        <v>1</v>
      </c>
      <c r="J781" s="23">
        <v>2</v>
      </c>
      <c r="K781" s="23">
        <v>3</v>
      </c>
      <c r="L781" s="24">
        <f t="shared" si="30"/>
        <v>1.0195048044558224</v>
      </c>
      <c r="M781" s="20" t="s">
        <v>139</v>
      </c>
    </row>
    <row r="782" spans="1:13" x14ac:dyDescent="0.2">
      <c r="A782" s="48" t="s">
        <v>137</v>
      </c>
      <c r="B782" s="12" t="s">
        <v>57</v>
      </c>
      <c r="C782" s="13" t="s">
        <v>14</v>
      </c>
      <c r="D782" s="21">
        <v>42.376382467323992</v>
      </c>
      <c r="E782" s="15" t="s">
        <v>138</v>
      </c>
      <c r="F782" s="16" t="s">
        <v>16</v>
      </c>
      <c r="G782" s="22">
        <v>1</v>
      </c>
      <c r="H782" s="23">
        <v>1</v>
      </c>
      <c r="I782" s="23">
        <v>1</v>
      </c>
      <c r="J782" s="23">
        <v>2</v>
      </c>
      <c r="K782" s="23">
        <v>3</v>
      </c>
      <c r="L782" s="25">
        <f t="shared" si="30"/>
        <v>1.0195048044558224</v>
      </c>
      <c r="M782" s="20" t="s">
        <v>139</v>
      </c>
    </row>
    <row r="783" spans="1:13" x14ac:dyDescent="0.2">
      <c r="A783" s="48" t="s">
        <v>137</v>
      </c>
      <c r="B783" s="12" t="s">
        <v>59</v>
      </c>
      <c r="C783" s="13" t="s">
        <v>14</v>
      </c>
      <c r="D783" s="21">
        <v>63.76421117457847</v>
      </c>
      <c r="E783" s="15" t="s">
        <v>138</v>
      </c>
      <c r="F783" s="16" t="s">
        <v>16</v>
      </c>
      <c r="G783" s="22">
        <v>1</v>
      </c>
      <c r="H783" s="23">
        <v>1</v>
      </c>
      <c r="I783" s="23">
        <v>1</v>
      </c>
      <c r="J783" s="23">
        <v>2</v>
      </c>
      <c r="K783" s="23">
        <v>3</v>
      </c>
      <c r="L783" s="25">
        <f t="shared" si="30"/>
        <v>1.0195048044558224</v>
      </c>
      <c r="M783" s="20" t="s">
        <v>139</v>
      </c>
    </row>
    <row r="784" spans="1:13" x14ac:dyDescent="0.2">
      <c r="A784" s="48" t="s">
        <v>137</v>
      </c>
      <c r="B784" s="12" t="s">
        <v>60</v>
      </c>
      <c r="C784" s="13" t="s">
        <v>14</v>
      </c>
      <c r="D784" s="21">
        <v>336.71871626773788</v>
      </c>
      <c r="E784" s="15" t="s">
        <v>138</v>
      </c>
      <c r="F784" s="16" t="s">
        <v>16</v>
      </c>
      <c r="G784" s="22">
        <v>1</v>
      </c>
      <c r="H784" s="23">
        <v>2</v>
      </c>
      <c r="I784" s="23">
        <v>1</v>
      </c>
      <c r="J784" s="23">
        <v>2</v>
      </c>
      <c r="K784" s="23">
        <v>3</v>
      </c>
      <c r="L784" s="24">
        <f t="shared" ref="L784:L814" si="31">IF( OR( ISBLANK(G784),ISBLANK(H784), ISBLANK(I784), ISBLANK(J784), ISBLANK(K784) ), "", 1.5*SQRT( EXP(2.21*(G784-1)) + EXP(2.21*(H784-1)) + EXP(2.21*(I784-1)) + EXP(2.21*(J784-1)) + EXP(2.21*K784) )/100*2.45 )</f>
        <v>1.0248662490928169</v>
      </c>
      <c r="M784" s="20" t="s">
        <v>139</v>
      </c>
    </row>
    <row r="785" spans="1:13" x14ac:dyDescent="0.2">
      <c r="A785" s="48" t="s">
        <v>137</v>
      </c>
      <c r="B785" s="12" t="s">
        <v>13</v>
      </c>
      <c r="C785" s="27" t="s">
        <v>62</v>
      </c>
      <c r="D785" s="21">
        <v>60.084144559943972</v>
      </c>
      <c r="E785" s="15" t="s">
        <v>138</v>
      </c>
      <c r="F785" s="16" t="s">
        <v>16</v>
      </c>
      <c r="G785" s="22">
        <v>1</v>
      </c>
      <c r="H785" s="23">
        <v>1</v>
      </c>
      <c r="I785" s="23">
        <v>1</v>
      </c>
      <c r="J785" s="23">
        <v>2</v>
      </c>
      <c r="K785" s="23">
        <v>3</v>
      </c>
      <c r="L785" s="25">
        <f t="shared" si="31"/>
        <v>1.0195048044558224</v>
      </c>
      <c r="M785" s="20" t="s">
        <v>139</v>
      </c>
    </row>
    <row r="786" spans="1:13" x14ac:dyDescent="0.2">
      <c r="A786" s="48" t="s">
        <v>137</v>
      </c>
      <c r="B786" s="12" t="s">
        <v>18</v>
      </c>
      <c r="C786" s="27" t="s">
        <v>62</v>
      </c>
      <c r="D786" s="21">
        <v>80.987523842929477</v>
      </c>
      <c r="E786" s="15" t="s">
        <v>138</v>
      </c>
      <c r="F786" s="16" t="s">
        <v>16</v>
      </c>
      <c r="G786" s="22">
        <v>1</v>
      </c>
      <c r="H786" s="23">
        <v>1</v>
      </c>
      <c r="I786" s="23">
        <v>1</v>
      </c>
      <c r="J786" s="23">
        <v>2</v>
      </c>
      <c r="K786" s="23">
        <v>3</v>
      </c>
      <c r="L786" s="25">
        <f t="shared" si="31"/>
        <v>1.0195048044558224</v>
      </c>
      <c r="M786" s="20" t="s">
        <v>139</v>
      </c>
    </row>
    <row r="787" spans="1:13" x14ac:dyDescent="0.2">
      <c r="A787" s="48" t="s">
        <v>137</v>
      </c>
      <c r="B787" s="12" t="s">
        <v>20</v>
      </c>
      <c r="C787" s="27" t="s">
        <v>62</v>
      </c>
      <c r="D787" s="21">
        <v>30.730231635849069</v>
      </c>
      <c r="E787" s="15" t="s">
        <v>138</v>
      </c>
      <c r="F787" s="16" t="s">
        <v>16</v>
      </c>
      <c r="G787" s="22">
        <v>1</v>
      </c>
      <c r="H787" s="23">
        <v>1</v>
      </c>
      <c r="I787" s="23">
        <v>1</v>
      </c>
      <c r="J787" s="23">
        <v>2</v>
      </c>
      <c r="K787" s="23">
        <v>3</v>
      </c>
      <c r="L787" s="25">
        <f t="shared" si="31"/>
        <v>1.0195048044558224</v>
      </c>
      <c r="M787" s="20" t="s">
        <v>139</v>
      </c>
    </row>
    <row r="788" spans="1:13" x14ac:dyDescent="0.2">
      <c r="A788" s="48" t="s">
        <v>137</v>
      </c>
      <c r="B788" s="12" t="s">
        <v>22</v>
      </c>
      <c r="C788" s="27" t="s">
        <v>62</v>
      </c>
      <c r="D788" s="21">
        <v>13.31956124496616</v>
      </c>
      <c r="E788" s="15" t="s">
        <v>138</v>
      </c>
      <c r="F788" s="16" t="s">
        <v>16</v>
      </c>
      <c r="G788" s="22">
        <v>1</v>
      </c>
      <c r="H788" s="23">
        <v>1</v>
      </c>
      <c r="I788" s="23">
        <v>1</v>
      </c>
      <c r="J788" s="23">
        <v>2</v>
      </c>
      <c r="K788" s="23">
        <v>3</v>
      </c>
      <c r="L788" s="25">
        <f t="shared" si="31"/>
        <v>1.0195048044558224</v>
      </c>
      <c r="M788" s="20" t="s">
        <v>139</v>
      </c>
    </row>
    <row r="789" spans="1:13" x14ac:dyDescent="0.2">
      <c r="A789" s="48" t="s">
        <v>137</v>
      </c>
      <c r="B789" s="12" t="s">
        <v>23</v>
      </c>
      <c r="C789" s="27" t="s">
        <v>62</v>
      </c>
      <c r="D789" s="21">
        <v>3.68219198156571</v>
      </c>
      <c r="E789" s="15" t="s">
        <v>138</v>
      </c>
      <c r="F789" s="16" t="s">
        <v>16</v>
      </c>
      <c r="G789" s="22">
        <v>1</v>
      </c>
      <c r="H789" s="23">
        <v>1</v>
      </c>
      <c r="I789" s="23">
        <v>1</v>
      </c>
      <c r="J789" s="23">
        <v>2</v>
      </c>
      <c r="K789" s="23">
        <v>3</v>
      </c>
      <c r="L789" s="25">
        <f t="shared" si="31"/>
        <v>1.0195048044558224</v>
      </c>
      <c r="M789" s="20" t="s">
        <v>139</v>
      </c>
    </row>
    <row r="790" spans="1:13" x14ac:dyDescent="0.2">
      <c r="A790" s="48" t="s">
        <v>137</v>
      </c>
      <c r="B790" s="12" t="s">
        <v>24</v>
      </c>
      <c r="C790" s="27" t="s">
        <v>62</v>
      </c>
      <c r="D790" s="21">
        <v>53.187748075481593</v>
      </c>
      <c r="E790" s="15" t="s">
        <v>138</v>
      </c>
      <c r="F790" s="16" t="s">
        <v>16</v>
      </c>
      <c r="G790" s="22">
        <v>1</v>
      </c>
      <c r="H790" s="23">
        <v>1</v>
      </c>
      <c r="I790" s="23">
        <v>1</v>
      </c>
      <c r="J790" s="23">
        <v>2</v>
      </c>
      <c r="K790" s="23">
        <v>3</v>
      </c>
      <c r="L790" s="25">
        <f t="shared" si="31"/>
        <v>1.0195048044558224</v>
      </c>
      <c r="M790" s="20" t="s">
        <v>139</v>
      </c>
    </row>
    <row r="791" spans="1:13" x14ac:dyDescent="0.2">
      <c r="A791" s="48" t="s">
        <v>137</v>
      </c>
      <c r="B791" s="12" t="s">
        <v>25</v>
      </c>
      <c r="C791" s="27" t="s">
        <v>62</v>
      </c>
      <c r="D791" s="21">
        <v>46.006103178048001</v>
      </c>
      <c r="E791" s="15" t="s">
        <v>138</v>
      </c>
      <c r="F791" s="16" t="s">
        <v>16</v>
      </c>
      <c r="G791" s="22">
        <v>1</v>
      </c>
      <c r="H791" s="23">
        <v>1</v>
      </c>
      <c r="I791" s="23">
        <v>1</v>
      </c>
      <c r="J791" s="23">
        <v>2</v>
      </c>
      <c r="K791" s="23">
        <v>3</v>
      </c>
      <c r="L791" s="25">
        <f t="shared" si="31"/>
        <v>1.0195048044558224</v>
      </c>
      <c r="M791" s="20" t="s">
        <v>139</v>
      </c>
    </row>
    <row r="792" spans="1:13" x14ac:dyDescent="0.2">
      <c r="A792" s="48" t="s">
        <v>137</v>
      </c>
      <c r="B792" s="12" t="s">
        <v>26</v>
      </c>
      <c r="C792" s="27" t="s">
        <v>62</v>
      </c>
      <c r="D792" s="21">
        <v>10.780394755795429</v>
      </c>
      <c r="E792" s="15" t="s">
        <v>138</v>
      </c>
      <c r="F792" s="16" t="s">
        <v>16</v>
      </c>
      <c r="G792" s="22">
        <v>1</v>
      </c>
      <c r="H792" s="23">
        <v>1</v>
      </c>
      <c r="I792" s="23">
        <v>1</v>
      </c>
      <c r="J792" s="23">
        <v>2</v>
      </c>
      <c r="K792" s="23">
        <v>3</v>
      </c>
      <c r="L792" s="25">
        <f t="shared" si="31"/>
        <v>1.0195048044558224</v>
      </c>
      <c r="M792" s="20" t="s">
        <v>139</v>
      </c>
    </row>
    <row r="793" spans="1:13" x14ac:dyDescent="0.2">
      <c r="A793" s="48" t="s">
        <v>137</v>
      </c>
      <c r="B793" s="12" t="s">
        <v>27</v>
      </c>
      <c r="C793" s="27" t="s">
        <v>62</v>
      </c>
      <c r="D793" s="21">
        <v>31.582892520961689</v>
      </c>
      <c r="E793" s="15" t="s">
        <v>138</v>
      </c>
      <c r="F793" s="16" t="s">
        <v>16</v>
      </c>
      <c r="G793" s="22">
        <v>1</v>
      </c>
      <c r="H793" s="23">
        <v>1</v>
      </c>
      <c r="I793" s="23">
        <v>1</v>
      </c>
      <c r="J793" s="23">
        <v>2</v>
      </c>
      <c r="K793" s="23">
        <v>3</v>
      </c>
      <c r="L793" s="25">
        <f t="shared" si="31"/>
        <v>1.0195048044558224</v>
      </c>
      <c r="M793" s="20" t="s">
        <v>139</v>
      </c>
    </row>
    <row r="794" spans="1:13" x14ac:dyDescent="0.2">
      <c r="A794" s="48" t="s">
        <v>137</v>
      </c>
      <c r="B794" s="12" t="s">
        <v>28</v>
      </c>
      <c r="C794" s="27" t="s">
        <v>62</v>
      </c>
      <c r="D794" s="21">
        <v>431.54890933987127</v>
      </c>
      <c r="E794" s="15" t="s">
        <v>138</v>
      </c>
      <c r="F794" s="16" t="s">
        <v>16</v>
      </c>
      <c r="G794" s="22">
        <v>1</v>
      </c>
      <c r="H794" s="23">
        <v>1</v>
      </c>
      <c r="I794" s="23">
        <v>1</v>
      </c>
      <c r="J794" s="23">
        <v>2</v>
      </c>
      <c r="K794" s="23">
        <v>3</v>
      </c>
      <c r="L794" s="25">
        <f t="shared" si="31"/>
        <v>1.0195048044558224</v>
      </c>
      <c r="M794" s="20" t="s">
        <v>139</v>
      </c>
    </row>
    <row r="795" spans="1:13" x14ac:dyDescent="0.2">
      <c r="A795" s="48" t="s">
        <v>137</v>
      </c>
      <c r="B795" s="12" t="s">
        <v>30</v>
      </c>
      <c r="C795" s="27" t="s">
        <v>62</v>
      </c>
      <c r="D795" s="21">
        <v>761.34721684505826</v>
      </c>
      <c r="E795" s="15" t="s">
        <v>138</v>
      </c>
      <c r="F795" s="16" t="s">
        <v>16</v>
      </c>
      <c r="G795" s="22">
        <v>1</v>
      </c>
      <c r="H795" s="23">
        <v>1</v>
      </c>
      <c r="I795" s="23">
        <v>1</v>
      </c>
      <c r="J795" s="23">
        <v>2</v>
      </c>
      <c r="K795" s="23">
        <v>3</v>
      </c>
      <c r="L795" s="24">
        <f t="shared" si="31"/>
        <v>1.0195048044558224</v>
      </c>
      <c r="M795" s="20" t="s">
        <v>139</v>
      </c>
    </row>
    <row r="796" spans="1:13" x14ac:dyDescent="0.2">
      <c r="A796" s="48" t="s">
        <v>137</v>
      </c>
      <c r="B796" s="12" t="s">
        <v>32</v>
      </c>
      <c r="C796" s="27" t="s">
        <v>62</v>
      </c>
      <c r="D796" s="21">
        <v>55.708432734592073</v>
      </c>
      <c r="E796" s="15" t="s">
        <v>138</v>
      </c>
      <c r="F796" s="16" t="s">
        <v>16</v>
      </c>
      <c r="G796" s="22">
        <v>1</v>
      </c>
      <c r="H796" s="23">
        <v>1</v>
      </c>
      <c r="I796" s="23">
        <v>1</v>
      </c>
      <c r="J796" s="23">
        <v>2</v>
      </c>
      <c r="K796" s="23">
        <v>3</v>
      </c>
      <c r="L796" s="25">
        <f t="shared" si="31"/>
        <v>1.0195048044558224</v>
      </c>
      <c r="M796" s="20" t="s">
        <v>139</v>
      </c>
    </row>
    <row r="797" spans="1:13" x14ac:dyDescent="0.2">
      <c r="A797" s="48" t="s">
        <v>137</v>
      </c>
      <c r="B797" s="12" t="s">
        <v>34</v>
      </c>
      <c r="C797" s="27" t="s">
        <v>62</v>
      </c>
      <c r="D797" s="21">
        <v>93.263651324652017</v>
      </c>
      <c r="E797" s="15" t="s">
        <v>138</v>
      </c>
      <c r="F797" s="16" t="s">
        <v>16</v>
      </c>
      <c r="G797" s="22">
        <v>1</v>
      </c>
      <c r="H797" s="23">
        <v>1</v>
      </c>
      <c r="I797" s="23">
        <v>1</v>
      </c>
      <c r="J797" s="23">
        <v>2</v>
      </c>
      <c r="K797" s="23">
        <v>3</v>
      </c>
      <c r="L797" s="25">
        <f t="shared" si="31"/>
        <v>1.0195048044558224</v>
      </c>
      <c r="M797" s="20" t="s">
        <v>139</v>
      </c>
    </row>
    <row r="798" spans="1:13" x14ac:dyDescent="0.2">
      <c r="A798" s="48" t="s">
        <v>137</v>
      </c>
      <c r="B798" s="12" t="s">
        <v>36</v>
      </c>
      <c r="C798" s="27" t="s">
        <v>62</v>
      </c>
      <c r="D798" s="21">
        <v>61.379088106246833</v>
      </c>
      <c r="E798" s="15" t="s">
        <v>138</v>
      </c>
      <c r="F798" s="16" t="s">
        <v>16</v>
      </c>
      <c r="G798" s="22">
        <v>1</v>
      </c>
      <c r="H798" s="23">
        <v>1</v>
      </c>
      <c r="I798" s="23">
        <v>1</v>
      </c>
      <c r="J798" s="23">
        <v>2</v>
      </c>
      <c r="K798" s="23">
        <v>3</v>
      </c>
      <c r="L798" s="25">
        <f t="shared" si="31"/>
        <v>1.0195048044558224</v>
      </c>
      <c r="M798" s="20" t="s">
        <v>139</v>
      </c>
    </row>
    <row r="799" spans="1:13" x14ac:dyDescent="0.2">
      <c r="A799" s="48" t="s">
        <v>137</v>
      </c>
      <c r="B799" s="12" t="s">
        <v>37</v>
      </c>
      <c r="C799" s="27" t="s">
        <v>62</v>
      </c>
      <c r="D799" s="21">
        <v>401.20786537533621</v>
      </c>
      <c r="E799" s="15" t="s">
        <v>138</v>
      </c>
      <c r="F799" s="16" t="s">
        <v>16</v>
      </c>
      <c r="G799" s="22">
        <v>1</v>
      </c>
      <c r="H799" s="23">
        <v>1</v>
      </c>
      <c r="I799" s="23">
        <v>1</v>
      </c>
      <c r="J799" s="23">
        <v>2</v>
      </c>
      <c r="K799" s="23">
        <v>3</v>
      </c>
      <c r="L799" s="24">
        <f t="shared" si="31"/>
        <v>1.0195048044558224</v>
      </c>
      <c r="M799" s="20" t="s">
        <v>139</v>
      </c>
    </row>
    <row r="800" spans="1:13" x14ac:dyDescent="0.2">
      <c r="A800" s="48" t="s">
        <v>137</v>
      </c>
      <c r="B800" s="12" t="s">
        <v>39</v>
      </c>
      <c r="C800" s="27" t="s">
        <v>62</v>
      </c>
      <c r="D800" s="21">
        <v>9.434343855645503</v>
      </c>
      <c r="E800" s="15" t="s">
        <v>138</v>
      </c>
      <c r="F800" s="16" t="s">
        <v>16</v>
      </c>
      <c r="G800" s="22">
        <v>1</v>
      </c>
      <c r="H800" s="23">
        <v>1</v>
      </c>
      <c r="I800" s="23">
        <v>1</v>
      </c>
      <c r="J800" s="23">
        <v>2</v>
      </c>
      <c r="K800" s="23">
        <v>3</v>
      </c>
      <c r="L800" s="25">
        <f t="shared" si="31"/>
        <v>1.0195048044558224</v>
      </c>
      <c r="M800" s="20" t="s">
        <v>139</v>
      </c>
    </row>
    <row r="801" spans="1:13" x14ac:dyDescent="0.2">
      <c r="A801" s="48" t="s">
        <v>137</v>
      </c>
      <c r="B801" s="12" t="s">
        <v>40</v>
      </c>
      <c r="C801" s="27" t="s">
        <v>62</v>
      </c>
      <c r="D801" s="21">
        <v>17.322754887509021</v>
      </c>
      <c r="E801" s="15" t="s">
        <v>138</v>
      </c>
      <c r="F801" s="16" t="s">
        <v>16</v>
      </c>
      <c r="G801" s="22">
        <v>1</v>
      </c>
      <c r="H801" s="23">
        <v>1</v>
      </c>
      <c r="I801" s="23">
        <v>1</v>
      </c>
      <c r="J801" s="23">
        <v>2</v>
      </c>
      <c r="K801" s="23">
        <v>3</v>
      </c>
      <c r="L801" s="25">
        <f t="shared" si="31"/>
        <v>1.0195048044558224</v>
      </c>
      <c r="M801" s="20" t="s">
        <v>139</v>
      </c>
    </row>
    <row r="802" spans="1:13" x14ac:dyDescent="0.2">
      <c r="A802" s="48" t="s">
        <v>137</v>
      </c>
      <c r="B802" s="12" t="s">
        <v>41</v>
      </c>
      <c r="C802" s="27" t="s">
        <v>62</v>
      </c>
      <c r="D802" s="21">
        <v>4.9229932708670301</v>
      </c>
      <c r="E802" s="15" t="s">
        <v>138</v>
      </c>
      <c r="F802" s="16" t="s">
        <v>16</v>
      </c>
      <c r="G802" s="22">
        <v>1</v>
      </c>
      <c r="H802" s="23">
        <v>1</v>
      </c>
      <c r="I802" s="23">
        <v>1</v>
      </c>
      <c r="J802" s="23">
        <v>2</v>
      </c>
      <c r="K802" s="23">
        <v>3</v>
      </c>
      <c r="L802" s="25">
        <f t="shared" si="31"/>
        <v>1.0195048044558224</v>
      </c>
      <c r="M802" s="20" t="s">
        <v>139</v>
      </c>
    </row>
    <row r="803" spans="1:13" x14ac:dyDescent="0.2">
      <c r="A803" s="48" t="s">
        <v>137</v>
      </c>
      <c r="B803" s="12" t="s">
        <v>42</v>
      </c>
      <c r="C803" s="27" t="s">
        <v>62</v>
      </c>
      <c r="D803" s="21">
        <v>2.8403889820338968</v>
      </c>
      <c r="E803" s="15" t="s">
        <v>138</v>
      </c>
      <c r="F803" s="16" t="s">
        <v>16</v>
      </c>
      <c r="G803" s="22">
        <v>1</v>
      </c>
      <c r="H803" s="23">
        <v>1</v>
      </c>
      <c r="I803" s="23">
        <v>1</v>
      </c>
      <c r="J803" s="23">
        <v>2</v>
      </c>
      <c r="K803" s="23">
        <v>3</v>
      </c>
      <c r="L803" s="25">
        <f t="shared" si="31"/>
        <v>1.0195048044558224</v>
      </c>
      <c r="M803" s="20" t="s">
        <v>139</v>
      </c>
    </row>
    <row r="804" spans="1:13" x14ac:dyDescent="0.2">
      <c r="A804" s="48" t="s">
        <v>137</v>
      </c>
      <c r="B804" s="12" t="s">
        <v>43</v>
      </c>
      <c r="C804" s="27" t="s">
        <v>62</v>
      </c>
      <c r="D804" s="21">
        <v>131.50497317710119</v>
      </c>
      <c r="E804" s="15" t="s">
        <v>138</v>
      </c>
      <c r="F804" s="16" t="s">
        <v>16</v>
      </c>
      <c r="G804" s="22">
        <v>1</v>
      </c>
      <c r="H804" s="23">
        <v>1</v>
      </c>
      <c r="I804" s="23">
        <v>1</v>
      </c>
      <c r="J804" s="23">
        <v>2</v>
      </c>
      <c r="K804" s="23">
        <v>3</v>
      </c>
      <c r="L804" s="25">
        <f t="shared" si="31"/>
        <v>1.0195048044558224</v>
      </c>
      <c r="M804" s="20" t="s">
        <v>139</v>
      </c>
    </row>
    <row r="805" spans="1:13" x14ac:dyDescent="0.2">
      <c r="A805" s="48" t="s">
        <v>137</v>
      </c>
      <c r="B805" s="12" t="s">
        <v>45</v>
      </c>
      <c r="C805" s="27" t="s">
        <v>62</v>
      </c>
      <c r="D805" s="21">
        <v>49.807329708580923</v>
      </c>
      <c r="E805" s="15" t="s">
        <v>138</v>
      </c>
      <c r="F805" s="16" t="s">
        <v>16</v>
      </c>
      <c r="G805" s="22">
        <v>1</v>
      </c>
      <c r="H805" s="23">
        <v>1</v>
      </c>
      <c r="I805" s="23">
        <v>1</v>
      </c>
      <c r="J805" s="23">
        <v>2</v>
      </c>
      <c r="K805" s="23">
        <v>3</v>
      </c>
      <c r="L805" s="25">
        <f t="shared" si="31"/>
        <v>1.0195048044558224</v>
      </c>
      <c r="M805" s="20" t="s">
        <v>139</v>
      </c>
    </row>
    <row r="806" spans="1:13" x14ac:dyDescent="0.2">
      <c r="A806" s="48" t="s">
        <v>137</v>
      </c>
      <c r="B806" s="12" t="s">
        <v>46</v>
      </c>
      <c r="C806" s="27" t="s">
        <v>62</v>
      </c>
      <c r="D806" s="21">
        <v>226.65444186591591</v>
      </c>
      <c r="E806" s="15" t="s">
        <v>138</v>
      </c>
      <c r="F806" s="16" t="s">
        <v>16</v>
      </c>
      <c r="G806" s="22">
        <v>1</v>
      </c>
      <c r="H806" s="23">
        <v>1</v>
      </c>
      <c r="I806" s="23">
        <v>1</v>
      </c>
      <c r="J806" s="23">
        <v>2</v>
      </c>
      <c r="K806" s="23">
        <v>3</v>
      </c>
      <c r="L806" s="24">
        <f t="shared" si="31"/>
        <v>1.0195048044558224</v>
      </c>
      <c r="M806" s="20" t="s">
        <v>139</v>
      </c>
    </row>
    <row r="807" spans="1:13" x14ac:dyDescent="0.2">
      <c r="A807" s="48" t="s">
        <v>137</v>
      </c>
      <c r="B807" s="12" t="s">
        <v>48</v>
      </c>
      <c r="C807" s="27" t="s">
        <v>62</v>
      </c>
      <c r="D807" s="21">
        <v>83.500690169037313</v>
      </c>
      <c r="E807" s="15" t="s">
        <v>138</v>
      </c>
      <c r="F807" s="16" t="s">
        <v>16</v>
      </c>
      <c r="G807" s="22">
        <v>1</v>
      </c>
      <c r="H807" s="23">
        <v>1</v>
      </c>
      <c r="I807" s="23">
        <v>1</v>
      </c>
      <c r="J807" s="23">
        <v>2</v>
      </c>
      <c r="K807" s="23">
        <v>3</v>
      </c>
      <c r="L807" s="25">
        <f t="shared" si="31"/>
        <v>1.0195048044558224</v>
      </c>
      <c r="M807" s="20" t="s">
        <v>139</v>
      </c>
    </row>
    <row r="808" spans="1:13" x14ac:dyDescent="0.2">
      <c r="A808" s="48" t="s">
        <v>137</v>
      </c>
      <c r="B808" s="12" t="s">
        <v>50</v>
      </c>
      <c r="C808" s="27" t="s">
        <v>62</v>
      </c>
      <c r="D808" s="21">
        <v>97.029039047379868</v>
      </c>
      <c r="E808" s="15" t="s">
        <v>138</v>
      </c>
      <c r="F808" s="16" t="s">
        <v>16</v>
      </c>
      <c r="G808" s="22">
        <v>1</v>
      </c>
      <c r="H808" s="23">
        <v>1</v>
      </c>
      <c r="I808" s="23">
        <v>1</v>
      </c>
      <c r="J808" s="23">
        <v>2</v>
      </c>
      <c r="K808" s="23">
        <v>3</v>
      </c>
      <c r="L808" s="25">
        <f t="shared" si="31"/>
        <v>1.0195048044558224</v>
      </c>
      <c r="M808" s="20" t="s">
        <v>139</v>
      </c>
    </row>
    <row r="809" spans="1:13" x14ac:dyDescent="0.2">
      <c r="A809" s="48" t="s">
        <v>137</v>
      </c>
      <c r="B809" s="12" t="s">
        <v>52</v>
      </c>
      <c r="C809" s="27" t="s">
        <v>62</v>
      </c>
      <c r="D809" s="21">
        <v>25.794782882285141</v>
      </c>
      <c r="E809" s="15" t="s">
        <v>138</v>
      </c>
      <c r="F809" s="16" t="s">
        <v>16</v>
      </c>
      <c r="G809" s="22">
        <v>1</v>
      </c>
      <c r="H809" s="23">
        <v>1</v>
      </c>
      <c r="I809" s="23">
        <v>1</v>
      </c>
      <c r="J809" s="23">
        <v>2</v>
      </c>
      <c r="K809" s="23">
        <v>3</v>
      </c>
      <c r="L809" s="25">
        <f t="shared" si="31"/>
        <v>1.0195048044558224</v>
      </c>
      <c r="M809" s="20" t="s">
        <v>139</v>
      </c>
    </row>
    <row r="810" spans="1:13" x14ac:dyDescent="0.2">
      <c r="A810" s="48" t="s">
        <v>137</v>
      </c>
      <c r="B810" s="12" t="s">
        <v>54</v>
      </c>
      <c r="C810" s="27" t="s">
        <v>62</v>
      </c>
      <c r="D810" s="21">
        <v>9.9854952297270874</v>
      </c>
      <c r="E810" s="15" t="s">
        <v>138</v>
      </c>
      <c r="F810" s="16" t="s">
        <v>16</v>
      </c>
      <c r="G810" s="22">
        <v>1</v>
      </c>
      <c r="H810" s="23">
        <v>1</v>
      </c>
      <c r="I810" s="23">
        <v>1</v>
      </c>
      <c r="J810" s="23">
        <v>2</v>
      </c>
      <c r="K810" s="23">
        <v>3</v>
      </c>
      <c r="L810" s="25">
        <f t="shared" si="31"/>
        <v>1.0195048044558224</v>
      </c>
      <c r="M810" s="20" t="s">
        <v>139</v>
      </c>
    </row>
    <row r="811" spans="1:13" x14ac:dyDescent="0.2">
      <c r="A811" s="48" t="s">
        <v>137</v>
      </c>
      <c r="B811" s="12" t="s">
        <v>55</v>
      </c>
      <c r="C811" s="27" t="s">
        <v>62</v>
      </c>
      <c r="D811" s="21">
        <v>306.16042595466467</v>
      </c>
      <c r="E811" s="15" t="s">
        <v>138</v>
      </c>
      <c r="F811" s="16" t="s">
        <v>16</v>
      </c>
      <c r="G811" s="22">
        <v>1</v>
      </c>
      <c r="H811" s="23">
        <v>1</v>
      </c>
      <c r="I811" s="23">
        <v>1</v>
      </c>
      <c r="J811" s="23">
        <v>2</v>
      </c>
      <c r="K811" s="23">
        <v>3</v>
      </c>
      <c r="L811" s="24">
        <f t="shared" si="31"/>
        <v>1.0195048044558224</v>
      </c>
      <c r="M811" s="20" t="s">
        <v>139</v>
      </c>
    </row>
    <row r="812" spans="1:13" x14ac:dyDescent="0.2">
      <c r="A812" s="48" t="s">
        <v>137</v>
      </c>
      <c r="B812" s="12" t="s">
        <v>57</v>
      </c>
      <c r="C812" s="27" t="s">
        <v>62</v>
      </c>
      <c r="D812" s="21">
        <v>49.931906802223551</v>
      </c>
      <c r="E812" s="15" t="s">
        <v>138</v>
      </c>
      <c r="F812" s="16" t="s">
        <v>16</v>
      </c>
      <c r="G812" s="22">
        <v>1</v>
      </c>
      <c r="H812" s="23">
        <v>1</v>
      </c>
      <c r="I812" s="23">
        <v>1</v>
      </c>
      <c r="J812" s="23">
        <v>2</v>
      </c>
      <c r="K812" s="23">
        <v>3</v>
      </c>
      <c r="L812" s="25">
        <f t="shared" si="31"/>
        <v>1.0195048044558224</v>
      </c>
      <c r="M812" s="20" t="s">
        <v>139</v>
      </c>
    </row>
    <row r="813" spans="1:13" x14ac:dyDescent="0.2">
      <c r="A813" s="48" t="s">
        <v>137</v>
      </c>
      <c r="B813" s="12" t="s">
        <v>59</v>
      </c>
      <c r="C813" s="27" t="s">
        <v>62</v>
      </c>
      <c r="D813" s="21">
        <v>75.133092168530524</v>
      </c>
      <c r="E813" s="15" t="s">
        <v>138</v>
      </c>
      <c r="F813" s="16" t="s">
        <v>16</v>
      </c>
      <c r="G813" s="22">
        <v>1</v>
      </c>
      <c r="H813" s="23">
        <v>1</v>
      </c>
      <c r="I813" s="23">
        <v>1</v>
      </c>
      <c r="J813" s="23">
        <v>2</v>
      </c>
      <c r="K813" s="23">
        <v>3</v>
      </c>
      <c r="L813" s="25">
        <f t="shared" si="31"/>
        <v>1.0195048044558224</v>
      </c>
      <c r="M813" s="20" t="s">
        <v>139</v>
      </c>
    </row>
    <row r="814" spans="1:13" x14ac:dyDescent="0.2">
      <c r="A814" s="48" t="s">
        <v>137</v>
      </c>
      <c r="B814" s="12" t="s">
        <v>60</v>
      </c>
      <c r="C814" s="27" t="s">
        <v>62</v>
      </c>
      <c r="D814" s="21">
        <v>396.75419609518082</v>
      </c>
      <c r="E814" s="15" t="s">
        <v>138</v>
      </c>
      <c r="F814" s="16" t="s">
        <v>16</v>
      </c>
      <c r="G814" s="22">
        <v>1</v>
      </c>
      <c r="H814" s="23">
        <v>2</v>
      </c>
      <c r="I814" s="23">
        <v>1</v>
      </c>
      <c r="J814" s="23">
        <v>2</v>
      </c>
      <c r="K814" s="23">
        <v>3</v>
      </c>
      <c r="L814" s="24">
        <f t="shared" si="31"/>
        <v>1.0248662490928169</v>
      </c>
      <c r="M814" s="20" t="s">
        <v>139</v>
      </c>
    </row>
    <row r="815" spans="1:13" x14ac:dyDescent="0.2">
      <c r="A815" s="48" t="s">
        <v>137</v>
      </c>
      <c r="B815" s="12" t="s">
        <v>13</v>
      </c>
      <c r="C815" s="28" t="s">
        <v>64</v>
      </c>
      <c r="D815" s="21">
        <v>74.097436940561622</v>
      </c>
      <c r="E815" s="15" t="s">
        <v>138</v>
      </c>
      <c r="F815" s="16" t="s">
        <v>16</v>
      </c>
      <c r="G815" s="22">
        <v>1</v>
      </c>
      <c r="H815" s="23">
        <v>1</v>
      </c>
      <c r="I815" s="23">
        <v>1</v>
      </c>
      <c r="J815" s="23">
        <v>2</v>
      </c>
      <c r="K815" s="23">
        <v>3</v>
      </c>
      <c r="L815" s="25">
        <f>IF( OR( ISBLANK(G815),ISBLANK(H815), ISBLANK(I815), ISBLANK(J815), ISBLANK(K815) ), "", 1.5*SQRT(   EXP(2.21*(G815-1)) + EXP(2.21*(H815-1)) + EXP(2.21*(I815-1)) + EXP(2.21*(J815-1)) + EXP(2.21*K815)   )/100*2.45 )</f>
        <v>1.0195048044558224</v>
      </c>
      <c r="M815" s="20" t="s">
        <v>139</v>
      </c>
    </row>
    <row r="816" spans="1:13" x14ac:dyDescent="0.2">
      <c r="A816" s="48" t="s">
        <v>137</v>
      </c>
      <c r="B816" s="12" t="s">
        <v>18</v>
      </c>
      <c r="C816" s="28" t="s">
        <v>64</v>
      </c>
      <c r="D816" s="21">
        <v>99.876065222776546</v>
      </c>
      <c r="E816" s="15" t="s">
        <v>138</v>
      </c>
      <c r="F816" s="16" t="s">
        <v>16</v>
      </c>
      <c r="G816" s="22">
        <v>1</v>
      </c>
      <c r="H816" s="23">
        <v>1</v>
      </c>
      <c r="I816" s="23">
        <v>1</v>
      </c>
      <c r="J816" s="23">
        <v>2</v>
      </c>
      <c r="K816" s="23">
        <v>3</v>
      </c>
      <c r="L816" s="25">
        <f t="shared" ref="L816:L847" si="32">IF( OR( ISBLANK(G816),ISBLANK(H816), ISBLANK(I816), ISBLANK(J816), ISBLANK(K816) ), "", 1.5*SQRT( EXP(2.21*(G816-1)) + EXP(2.21*(H816-1)) + EXP(2.21*(I816-1)) + EXP(2.21*(J816-1)) + EXP(2.21*K816) )/100*2.45 )</f>
        <v>1.0195048044558224</v>
      </c>
      <c r="M816" s="20" t="s">
        <v>139</v>
      </c>
    </row>
    <row r="817" spans="1:13" x14ac:dyDescent="0.2">
      <c r="A817" s="48" t="s">
        <v>137</v>
      </c>
      <c r="B817" s="12" t="s">
        <v>20</v>
      </c>
      <c r="C817" s="28" t="s">
        <v>64</v>
      </c>
      <c r="D817" s="21">
        <v>37.897375713395718</v>
      </c>
      <c r="E817" s="15" t="s">
        <v>138</v>
      </c>
      <c r="F817" s="16" t="s">
        <v>16</v>
      </c>
      <c r="G817" s="22">
        <v>1</v>
      </c>
      <c r="H817" s="23">
        <v>1</v>
      </c>
      <c r="I817" s="23">
        <v>1</v>
      </c>
      <c r="J817" s="23">
        <v>2</v>
      </c>
      <c r="K817" s="23">
        <v>3</v>
      </c>
      <c r="L817" s="25">
        <f t="shared" si="32"/>
        <v>1.0195048044558224</v>
      </c>
      <c r="M817" s="20" t="s">
        <v>139</v>
      </c>
    </row>
    <row r="818" spans="1:13" x14ac:dyDescent="0.2">
      <c r="A818" s="48" t="s">
        <v>137</v>
      </c>
      <c r="B818" s="12" t="s">
        <v>22</v>
      </c>
      <c r="C818" s="28" t="s">
        <v>64</v>
      </c>
      <c r="D818" s="21">
        <v>16.426053106908849</v>
      </c>
      <c r="E818" s="15" t="s">
        <v>138</v>
      </c>
      <c r="F818" s="16" t="s">
        <v>16</v>
      </c>
      <c r="G818" s="22">
        <v>1</v>
      </c>
      <c r="H818" s="23">
        <v>1</v>
      </c>
      <c r="I818" s="23">
        <v>1</v>
      </c>
      <c r="J818" s="23">
        <v>2</v>
      </c>
      <c r="K818" s="23">
        <v>3</v>
      </c>
      <c r="L818" s="25">
        <f t="shared" si="32"/>
        <v>1.0195048044558224</v>
      </c>
      <c r="M818" s="20" t="s">
        <v>139</v>
      </c>
    </row>
    <row r="819" spans="1:13" x14ac:dyDescent="0.2">
      <c r="A819" s="48" t="s">
        <v>137</v>
      </c>
      <c r="B819" s="12" t="s">
        <v>23</v>
      </c>
      <c r="C819" s="28" t="s">
        <v>64</v>
      </c>
      <c r="D819" s="21">
        <v>4.5409814878017016</v>
      </c>
      <c r="E819" s="15" t="s">
        <v>138</v>
      </c>
      <c r="F819" s="16" t="s">
        <v>16</v>
      </c>
      <c r="G819" s="22">
        <v>1</v>
      </c>
      <c r="H819" s="23">
        <v>1</v>
      </c>
      <c r="I819" s="23">
        <v>1</v>
      </c>
      <c r="J819" s="23">
        <v>2</v>
      </c>
      <c r="K819" s="23">
        <v>3</v>
      </c>
      <c r="L819" s="25">
        <f t="shared" si="32"/>
        <v>1.0195048044558224</v>
      </c>
      <c r="M819" s="20" t="s">
        <v>139</v>
      </c>
    </row>
    <row r="820" spans="1:13" x14ac:dyDescent="0.2">
      <c r="A820" s="48" t="s">
        <v>137</v>
      </c>
      <c r="B820" s="12" t="s">
        <v>24</v>
      </c>
      <c r="C820" s="28" t="s">
        <v>64</v>
      </c>
      <c r="D820" s="21">
        <v>65.592609130044167</v>
      </c>
      <c r="E820" s="15" t="s">
        <v>138</v>
      </c>
      <c r="F820" s="16" t="s">
        <v>16</v>
      </c>
      <c r="G820" s="22">
        <v>1</v>
      </c>
      <c r="H820" s="23">
        <v>1</v>
      </c>
      <c r="I820" s="23">
        <v>1</v>
      </c>
      <c r="J820" s="23">
        <v>2</v>
      </c>
      <c r="K820" s="23">
        <v>3</v>
      </c>
      <c r="L820" s="25">
        <f t="shared" si="32"/>
        <v>1.0195048044558224</v>
      </c>
      <c r="M820" s="20" t="s">
        <v>139</v>
      </c>
    </row>
    <row r="821" spans="1:13" x14ac:dyDescent="0.2">
      <c r="A821" s="48" t="s">
        <v>137</v>
      </c>
      <c r="B821" s="12" t="s">
        <v>25</v>
      </c>
      <c r="C821" s="28" t="s">
        <v>64</v>
      </c>
      <c r="D821" s="21">
        <v>56.736005048975983</v>
      </c>
      <c r="E821" s="15" t="s">
        <v>138</v>
      </c>
      <c r="F821" s="16" t="s">
        <v>16</v>
      </c>
      <c r="G821" s="22">
        <v>1</v>
      </c>
      <c r="H821" s="23">
        <v>1</v>
      </c>
      <c r="I821" s="23">
        <v>1</v>
      </c>
      <c r="J821" s="23">
        <v>2</v>
      </c>
      <c r="K821" s="23">
        <v>3</v>
      </c>
      <c r="L821" s="25">
        <f t="shared" si="32"/>
        <v>1.0195048044558224</v>
      </c>
      <c r="M821" s="20" t="s">
        <v>139</v>
      </c>
    </row>
    <row r="822" spans="1:13" x14ac:dyDescent="0.2">
      <c r="A822" s="48" t="s">
        <v>137</v>
      </c>
      <c r="B822" s="12" t="s">
        <v>26</v>
      </c>
      <c r="C822" s="28" t="s">
        <v>64</v>
      </c>
      <c r="D822" s="21">
        <v>13.29468242349656</v>
      </c>
      <c r="E822" s="15" t="s">
        <v>138</v>
      </c>
      <c r="F822" s="16" t="s">
        <v>16</v>
      </c>
      <c r="G822" s="22">
        <v>1</v>
      </c>
      <c r="H822" s="23">
        <v>1</v>
      </c>
      <c r="I822" s="23">
        <v>1</v>
      </c>
      <c r="J822" s="23">
        <v>2</v>
      </c>
      <c r="K822" s="23">
        <v>3</v>
      </c>
      <c r="L822" s="25">
        <f t="shared" si="32"/>
        <v>1.0195048044558224</v>
      </c>
      <c r="M822" s="20" t="s">
        <v>139</v>
      </c>
    </row>
    <row r="823" spans="1:13" x14ac:dyDescent="0.2">
      <c r="A823" s="48" t="s">
        <v>137</v>
      </c>
      <c r="B823" s="12" t="s">
        <v>27</v>
      </c>
      <c r="C823" s="28" t="s">
        <v>64</v>
      </c>
      <c r="D823" s="21">
        <v>38.94890081421967</v>
      </c>
      <c r="E823" s="15" t="s">
        <v>138</v>
      </c>
      <c r="F823" s="16" t="s">
        <v>16</v>
      </c>
      <c r="G823" s="22">
        <v>1</v>
      </c>
      <c r="H823" s="23">
        <v>1</v>
      </c>
      <c r="I823" s="23">
        <v>1</v>
      </c>
      <c r="J823" s="23">
        <v>2</v>
      </c>
      <c r="K823" s="23">
        <v>3</v>
      </c>
      <c r="L823" s="25">
        <f t="shared" si="32"/>
        <v>1.0195048044558224</v>
      </c>
      <c r="M823" s="20" t="s">
        <v>139</v>
      </c>
    </row>
    <row r="824" spans="1:13" x14ac:dyDescent="0.2">
      <c r="A824" s="48" t="s">
        <v>137</v>
      </c>
      <c r="B824" s="12" t="s">
        <v>28</v>
      </c>
      <c r="C824" s="28" t="s">
        <v>64</v>
      </c>
      <c r="D824" s="21">
        <v>532.19810868202001</v>
      </c>
      <c r="E824" s="15" t="s">
        <v>138</v>
      </c>
      <c r="F824" s="16" t="s">
        <v>16</v>
      </c>
      <c r="G824" s="22">
        <v>1</v>
      </c>
      <c r="H824" s="23">
        <v>1</v>
      </c>
      <c r="I824" s="23">
        <v>1</v>
      </c>
      <c r="J824" s="23">
        <v>2</v>
      </c>
      <c r="K824" s="23">
        <v>3</v>
      </c>
      <c r="L824" s="25">
        <f t="shared" si="32"/>
        <v>1.0195048044558224</v>
      </c>
      <c r="M824" s="20" t="s">
        <v>139</v>
      </c>
    </row>
    <row r="825" spans="1:13" x14ac:dyDescent="0.2">
      <c r="A825" s="48" t="s">
        <v>137</v>
      </c>
      <c r="B825" s="12" t="s">
        <v>30</v>
      </c>
      <c r="C825" s="28" t="s">
        <v>64</v>
      </c>
      <c r="D825" s="21">
        <v>938.91454731067267</v>
      </c>
      <c r="E825" s="15" t="s">
        <v>138</v>
      </c>
      <c r="F825" s="16" t="s">
        <v>16</v>
      </c>
      <c r="G825" s="22">
        <v>1</v>
      </c>
      <c r="H825" s="23">
        <v>1</v>
      </c>
      <c r="I825" s="23">
        <v>1</v>
      </c>
      <c r="J825" s="23">
        <v>2</v>
      </c>
      <c r="K825" s="23">
        <v>3</v>
      </c>
      <c r="L825" s="24">
        <f t="shared" si="32"/>
        <v>1.0195048044558224</v>
      </c>
      <c r="M825" s="20" t="s">
        <v>139</v>
      </c>
    </row>
    <row r="826" spans="1:13" x14ac:dyDescent="0.2">
      <c r="A826" s="48" t="s">
        <v>137</v>
      </c>
      <c r="B826" s="12" t="s">
        <v>32</v>
      </c>
      <c r="C826" s="28" t="s">
        <v>64</v>
      </c>
      <c r="D826" s="21">
        <v>68.70118750697587</v>
      </c>
      <c r="E826" s="15" t="s">
        <v>138</v>
      </c>
      <c r="F826" s="16" t="s">
        <v>16</v>
      </c>
      <c r="G826" s="22">
        <v>1</v>
      </c>
      <c r="H826" s="23">
        <v>1</v>
      </c>
      <c r="I826" s="23">
        <v>1</v>
      </c>
      <c r="J826" s="23">
        <v>2</v>
      </c>
      <c r="K826" s="23">
        <v>3</v>
      </c>
      <c r="L826" s="25">
        <f t="shared" si="32"/>
        <v>1.0195048044558224</v>
      </c>
      <c r="M826" s="20" t="s">
        <v>139</v>
      </c>
    </row>
    <row r="827" spans="1:13" x14ac:dyDescent="0.2">
      <c r="A827" s="48" t="s">
        <v>137</v>
      </c>
      <c r="B827" s="12" t="s">
        <v>34</v>
      </c>
      <c r="C827" s="28" t="s">
        <v>64</v>
      </c>
      <c r="D827" s="21">
        <v>115.0153268135565</v>
      </c>
      <c r="E827" s="15" t="s">
        <v>138</v>
      </c>
      <c r="F827" s="16" t="s">
        <v>16</v>
      </c>
      <c r="G827" s="22">
        <v>1</v>
      </c>
      <c r="H827" s="23">
        <v>1</v>
      </c>
      <c r="I827" s="23">
        <v>1</v>
      </c>
      <c r="J827" s="23">
        <v>2</v>
      </c>
      <c r="K827" s="23">
        <v>3</v>
      </c>
      <c r="L827" s="25">
        <f t="shared" si="32"/>
        <v>1.0195048044558224</v>
      </c>
      <c r="M827" s="20" t="s">
        <v>139</v>
      </c>
    </row>
    <row r="828" spans="1:13" x14ac:dyDescent="0.2">
      <c r="A828" s="48" t="s">
        <v>137</v>
      </c>
      <c r="B828" s="12" t="s">
        <v>36</v>
      </c>
      <c r="C828" s="28" t="s">
        <v>64</v>
      </c>
      <c r="D828" s="21">
        <v>75.694397311163812</v>
      </c>
      <c r="E828" s="15" t="s">
        <v>138</v>
      </c>
      <c r="F828" s="16" t="s">
        <v>16</v>
      </c>
      <c r="G828" s="22">
        <v>1</v>
      </c>
      <c r="H828" s="23">
        <v>1</v>
      </c>
      <c r="I828" s="23">
        <v>1</v>
      </c>
      <c r="J828" s="23">
        <v>2</v>
      </c>
      <c r="K828" s="23">
        <v>3</v>
      </c>
      <c r="L828" s="25">
        <f t="shared" si="32"/>
        <v>1.0195048044558224</v>
      </c>
      <c r="M828" s="20" t="s">
        <v>139</v>
      </c>
    </row>
    <row r="829" spans="1:13" x14ac:dyDescent="0.2">
      <c r="A829" s="48" t="s">
        <v>137</v>
      </c>
      <c r="B829" s="12" t="s">
        <v>37</v>
      </c>
      <c r="C829" s="28" t="s">
        <v>64</v>
      </c>
      <c r="D829" s="21">
        <v>494.78069002126159</v>
      </c>
      <c r="E829" s="15" t="s">
        <v>138</v>
      </c>
      <c r="F829" s="16" t="s">
        <v>16</v>
      </c>
      <c r="G829" s="22">
        <v>1</v>
      </c>
      <c r="H829" s="23">
        <v>1</v>
      </c>
      <c r="I829" s="23">
        <v>1</v>
      </c>
      <c r="J829" s="23">
        <v>2</v>
      </c>
      <c r="K829" s="23">
        <v>3</v>
      </c>
      <c r="L829" s="24">
        <f t="shared" si="32"/>
        <v>1.0195048044558224</v>
      </c>
      <c r="M829" s="20" t="s">
        <v>139</v>
      </c>
    </row>
    <row r="830" spans="1:13" x14ac:dyDescent="0.2">
      <c r="A830" s="48" t="s">
        <v>137</v>
      </c>
      <c r="B830" s="12" t="s">
        <v>39</v>
      </c>
      <c r="C830" s="28" t="s">
        <v>64</v>
      </c>
      <c r="D830" s="21">
        <v>11.63469504374549</v>
      </c>
      <c r="E830" s="15" t="s">
        <v>138</v>
      </c>
      <c r="F830" s="16" t="s">
        <v>16</v>
      </c>
      <c r="G830" s="22">
        <v>1</v>
      </c>
      <c r="H830" s="23">
        <v>1</v>
      </c>
      <c r="I830" s="23">
        <v>1</v>
      </c>
      <c r="J830" s="23">
        <v>2</v>
      </c>
      <c r="K830" s="23">
        <v>3</v>
      </c>
      <c r="L830" s="25">
        <f t="shared" si="32"/>
        <v>1.0195048044558224</v>
      </c>
      <c r="M830" s="20" t="s">
        <v>139</v>
      </c>
    </row>
    <row r="831" spans="1:13" x14ac:dyDescent="0.2">
      <c r="A831" s="48" t="s">
        <v>137</v>
      </c>
      <c r="B831" s="12" t="s">
        <v>40</v>
      </c>
      <c r="C831" s="28" t="s">
        <v>64</v>
      </c>
      <c r="D831" s="21">
        <v>21.362902764362861</v>
      </c>
      <c r="E831" s="15" t="s">
        <v>138</v>
      </c>
      <c r="F831" s="16" t="s">
        <v>16</v>
      </c>
      <c r="G831" s="22">
        <v>1</v>
      </c>
      <c r="H831" s="23">
        <v>1</v>
      </c>
      <c r="I831" s="23">
        <v>1</v>
      </c>
      <c r="J831" s="23">
        <v>2</v>
      </c>
      <c r="K831" s="23">
        <v>3</v>
      </c>
      <c r="L831" s="25">
        <f t="shared" si="32"/>
        <v>1.0195048044558224</v>
      </c>
      <c r="M831" s="20" t="s">
        <v>139</v>
      </c>
    </row>
    <row r="832" spans="1:13" x14ac:dyDescent="0.2">
      <c r="A832" s="48" t="s">
        <v>137</v>
      </c>
      <c r="B832" s="12" t="s">
        <v>41</v>
      </c>
      <c r="C832" s="28" t="s">
        <v>64</v>
      </c>
      <c r="D832" s="21">
        <v>6.0711721223383446</v>
      </c>
      <c r="E832" s="15" t="s">
        <v>138</v>
      </c>
      <c r="F832" s="16" t="s">
        <v>16</v>
      </c>
      <c r="G832" s="22">
        <v>1</v>
      </c>
      <c r="H832" s="23">
        <v>1</v>
      </c>
      <c r="I832" s="23">
        <v>1</v>
      </c>
      <c r="J832" s="23">
        <v>2</v>
      </c>
      <c r="K832" s="23">
        <v>3</v>
      </c>
      <c r="L832" s="25">
        <f t="shared" si="32"/>
        <v>1.0195048044558224</v>
      </c>
      <c r="M832" s="20" t="s">
        <v>139</v>
      </c>
    </row>
    <row r="833" spans="1:13" x14ac:dyDescent="0.2">
      <c r="A833" s="48" t="s">
        <v>137</v>
      </c>
      <c r="B833" s="12" t="s">
        <v>42</v>
      </c>
      <c r="C833" s="28" t="s">
        <v>64</v>
      </c>
      <c r="D833" s="21">
        <v>3.5028466332402921</v>
      </c>
      <c r="E833" s="15" t="s">
        <v>138</v>
      </c>
      <c r="F833" s="16" t="s">
        <v>16</v>
      </c>
      <c r="G833" s="22">
        <v>1</v>
      </c>
      <c r="H833" s="23">
        <v>1</v>
      </c>
      <c r="I833" s="23">
        <v>1</v>
      </c>
      <c r="J833" s="23">
        <v>2</v>
      </c>
      <c r="K833" s="23">
        <v>3</v>
      </c>
      <c r="L833" s="25">
        <f t="shared" si="32"/>
        <v>1.0195048044558224</v>
      </c>
      <c r="M833" s="20" t="s">
        <v>139</v>
      </c>
    </row>
    <row r="834" spans="1:13" x14ac:dyDescent="0.2">
      <c r="A834" s="48" t="s">
        <v>137</v>
      </c>
      <c r="B834" s="12" t="s">
        <v>43</v>
      </c>
      <c r="C834" s="28" t="s">
        <v>64</v>
      </c>
      <c r="D834" s="21">
        <v>162.1755877316196</v>
      </c>
      <c r="E834" s="15" t="s">
        <v>138</v>
      </c>
      <c r="F834" s="16" t="s">
        <v>16</v>
      </c>
      <c r="G834" s="22">
        <v>1</v>
      </c>
      <c r="H834" s="23">
        <v>1</v>
      </c>
      <c r="I834" s="23">
        <v>1</v>
      </c>
      <c r="J834" s="23">
        <v>2</v>
      </c>
      <c r="K834" s="23">
        <v>3</v>
      </c>
      <c r="L834" s="25">
        <f t="shared" si="32"/>
        <v>1.0195048044558224</v>
      </c>
      <c r="M834" s="20" t="s">
        <v>139</v>
      </c>
    </row>
    <row r="835" spans="1:13" x14ac:dyDescent="0.2">
      <c r="A835" s="48" t="s">
        <v>137</v>
      </c>
      <c r="B835" s="12" t="s">
        <v>45</v>
      </c>
      <c r="C835" s="28" t="s">
        <v>64</v>
      </c>
      <c r="D835" s="21">
        <v>61.42378325079342</v>
      </c>
      <c r="E835" s="15" t="s">
        <v>138</v>
      </c>
      <c r="F835" s="16" t="s">
        <v>16</v>
      </c>
      <c r="G835" s="22">
        <v>1</v>
      </c>
      <c r="H835" s="23">
        <v>1</v>
      </c>
      <c r="I835" s="23">
        <v>1</v>
      </c>
      <c r="J835" s="23">
        <v>2</v>
      </c>
      <c r="K835" s="23">
        <v>3</v>
      </c>
      <c r="L835" s="25">
        <f t="shared" si="32"/>
        <v>1.0195048044558224</v>
      </c>
      <c r="M835" s="20" t="s">
        <v>139</v>
      </c>
    </row>
    <row r="836" spans="1:13" x14ac:dyDescent="0.2">
      <c r="A836" s="48" t="s">
        <v>137</v>
      </c>
      <c r="B836" s="12" t="s">
        <v>46</v>
      </c>
      <c r="C836" s="28" t="s">
        <v>64</v>
      </c>
      <c r="D836" s="21">
        <v>279.51655692963328</v>
      </c>
      <c r="E836" s="15" t="s">
        <v>138</v>
      </c>
      <c r="F836" s="16" t="s">
        <v>16</v>
      </c>
      <c r="G836" s="22">
        <v>1</v>
      </c>
      <c r="H836" s="23">
        <v>1</v>
      </c>
      <c r="I836" s="23">
        <v>1</v>
      </c>
      <c r="J836" s="23">
        <v>2</v>
      </c>
      <c r="K836" s="23">
        <v>3</v>
      </c>
      <c r="L836" s="24">
        <f t="shared" si="32"/>
        <v>1.0195048044558224</v>
      </c>
      <c r="M836" s="20" t="s">
        <v>139</v>
      </c>
    </row>
    <row r="837" spans="1:13" x14ac:dyDescent="0.2">
      <c r="A837" s="48" t="s">
        <v>137</v>
      </c>
      <c r="B837" s="12" t="s">
        <v>48</v>
      </c>
      <c r="C837" s="28" t="s">
        <v>64</v>
      </c>
      <c r="D837" s="21">
        <v>102.9753717824985</v>
      </c>
      <c r="E837" s="15" t="s">
        <v>138</v>
      </c>
      <c r="F837" s="16" t="s">
        <v>16</v>
      </c>
      <c r="G837" s="22">
        <v>1</v>
      </c>
      <c r="H837" s="23">
        <v>1</v>
      </c>
      <c r="I837" s="23">
        <v>1</v>
      </c>
      <c r="J837" s="23">
        <v>2</v>
      </c>
      <c r="K837" s="23">
        <v>3</v>
      </c>
      <c r="L837" s="25">
        <f t="shared" si="32"/>
        <v>1.0195048044558224</v>
      </c>
      <c r="M837" s="20" t="s">
        <v>139</v>
      </c>
    </row>
    <row r="838" spans="1:13" x14ac:dyDescent="0.2">
      <c r="A838" s="48" t="s">
        <v>137</v>
      </c>
      <c r="B838" s="12" t="s">
        <v>50</v>
      </c>
      <c r="C838" s="28" t="s">
        <v>64</v>
      </c>
      <c r="D838" s="21">
        <v>119.6589076015502</v>
      </c>
      <c r="E838" s="15" t="s">
        <v>138</v>
      </c>
      <c r="F838" s="16" t="s">
        <v>16</v>
      </c>
      <c r="G838" s="22">
        <v>1</v>
      </c>
      <c r="H838" s="23">
        <v>1</v>
      </c>
      <c r="I838" s="23">
        <v>1</v>
      </c>
      <c r="J838" s="23">
        <v>2</v>
      </c>
      <c r="K838" s="23">
        <v>3</v>
      </c>
      <c r="L838" s="25">
        <f t="shared" si="32"/>
        <v>1.0195048044558224</v>
      </c>
      <c r="M838" s="20" t="s">
        <v>139</v>
      </c>
    </row>
    <row r="839" spans="1:13" x14ac:dyDescent="0.2">
      <c r="A839" s="48" t="s">
        <v>137</v>
      </c>
      <c r="B839" s="12" t="s">
        <v>52</v>
      </c>
      <c r="C839" s="28" t="s">
        <v>64</v>
      </c>
      <c r="D839" s="21">
        <v>31.81084314363056</v>
      </c>
      <c r="E839" s="15" t="s">
        <v>138</v>
      </c>
      <c r="F839" s="16" t="s">
        <v>16</v>
      </c>
      <c r="G839" s="22">
        <v>1</v>
      </c>
      <c r="H839" s="23">
        <v>1</v>
      </c>
      <c r="I839" s="23">
        <v>1</v>
      </c>
      <c r="J839" s="23">
        <v>2</v>
      </c>
      <c r="K839" s="23">
        <v>3</v>
      </c>
      <c r="L839" s="25">
        <f t="shared" si="32"/>
        <v>1.0195048044558224</v>
      </c>
      <c r="M839" s="20" t="s">
        <v>139</v>
      </c>
    </row>
    <row r="840" spans="1:13" x14ac:dyDescent="0.2">
      <c r="A840" s="48" t="s">
        <v>137</v>
      </c>
      <c r="B840" s="12" t="s">
        <v>54</v>
      </c>
      <c r="C840" s="28" t="s">
        <v>64</v>
      </c>
      <c r="D840" s="21">
        <v>12.31439023595998</v>
      </c>
      <c r="E840" s="15" t="s">
        <v>138</v>
      </c>
      <c r="F840" s="16" t="s">
        <v>16</v>
      </c>
      <c r="G840" s="22">
        <v>1</v>
      </c>
      <c r="H840" s="23">
        <v>1</v>
      </c>
      <c r="I840" s="23">
        <v>1</v>
      </c>
      <c r="J840" s="23">
        <v>2</v>
      </c>
      <c r="K840" s="23">
        <v>3</v>
      </c>
      <c r="L840" s="25">
        <f t="shared" si="32"/>
        <v>1.0195048044558224</v>
      </c>
      <c r="M840" s="20" t="s">
        <v>139</v>
      </c>
    </row>
    <row r="841" spans="1:13" x14ac:dyDescent="0.2">
      <c r="A841" s="48" t="s">
        <v>137</v>
      </c>
      <c r="B841" s="12" t="s">
        <v>55</v>
      </c>
      <c r="C841" s="28" t="s">
        <v>64</v>
      </c>
      <c r="D841" s="21">
        <v>377.56554615233767</v>
      </c>
      <c r="E841" s="15" t="s">
        <v>138</v>
      </c>
      <c r="F841" s="16" t="s">
        <v>16</v>
      </c>
      <c r="G841" s="22">
        <v>1</v>
      </c>
      <c r="H841" s="23">
        <v>1</v>
      </c>
      <c r="I841" s="23">
        <v>1</v>
      </c>
      <c r="J841" s="23">
        <v>2</v>
      </c>
      <c r="K841" s="23">
        <v>3</v>
      </c>
      <c r="L841" s="24">
        <f t="shared" si="32"/>
        <v>1.0195048044558224</v>
      </c>
      <c r="M841" s="20" t="s">
        <v>139</v>
      </c>
    </row>
    <row r="842" spans="1:13" x14ac:dyDescent="0.2">
      <c r="A842" s="48" t="s">
        <v>137</v>
      </c>
      <c r="B842" s="12" t="s">
        <v>57</v>
      </c>
      <c r="C842" s="28" t="s">
        <v>64</v>
      </c>
      <c r="D842" s="21">
        <v>61.577415184942268</v>
      </c>
      <c r="E842" s="15" t="s">
        <v>138</v>
      </c>
      <c r="F842" s="16" t="s">
        <v>16</v>
      </c>
      <c r="G842" s="22">
        <v>1</v>
      </c>
      <c r="H842" s="23">
        <v>1</v>
      </c>
      <c r="I842" s="23">
        <v>1</v>
      </c>
      <c r="J842" s="23">
        <v>2</v>
      </c>
      <c r="K842" s="23">
        <v>3</v>
      </c>
      <c r="L842" s="25">
        <f t="shared" si="32"/>
        <v>1.0195048044558224</v>
      </c>
      <c r="M842" s="20" t="s">
        <v>139</v>
      </c>
    </row>
    <row r="843" spans="1:13" x14ac:dyDescent="0.2">
      <c r="A843" s="48" t="s">
        <v>137</v>
      </c>
      <c r="B843" s="12" t="s">
        <v>59</v>
      </c>
      <c r="C843" s="28" t="s">
        <v>64</v>
      </c>
      <c r="D843" s="21">
        <v>92.656217374500741</v>
      </c>
      <c r="E843" s="15" t="s">
        <v>138</v>
      </c>
      <c r="F843" s="16" t="s">
        <v>16</v>
      </c>
      <c r="G843" s="22">
        <v>1</v>
      </c>
      <c r="H843" s="23">
        <v>1</v>
      </c>
      <c r="I843" s="23">
        <v>1</v>
      </c>
      <c r="J843" s="23">
        <v>2</v>
      </c>
      <c r="K843" s="23">
        <v>3</v>
      </c>
      <c r="L843" s="25">
        <f t="shared" si="32"/>
        <v>1.0195048044558224</v>
      </c>
      <c r="M843" s="20" t="s">
        <v>139</v>
      </c>
    </row>
    <row r="844" spans="1:13" x14ac:dyDescent="0.2">
      <c r="A844" s="48" t="s">
        <v>137</v>
      </c>
      <c r="B844" s="12" t="s">
        <v>60</v>
      </c>
      <c r="C844" s="28" t="s">
        <v>64</v>
      </c>
      <c r="D844" s="21">
        <v>489.28830128780481</v>
      </c>
      <c r="E844" s="15" t="s">
        <v>138</v>
      </c>
      <c r="F844" s="16" t="s">
        <v>16</v>
      </c>
      <c r="G844" s="22">
        <v>1</v>
      </c>
      <c r="H844" s="23">
        <v>2</v>
      </c>
      <c r="I844" s="23">
        <v>1</v>
      </c>
      <c r="J844" s="23">
        <v>2</v>
      </c>
      <c r="K844" s="23">
        <v>3</v>
      </c>
      <c r="L844" s="24">
        <f t="shared" si="32"/>
        <v>1.0248662490928169</v>
      </c>
      <c r="M844" s="20" t="s">
        <v>139</v>
      </c>
    </row>
    <row r="845" spans="1:13" x14ac:dyDescent="0.2">
      <c r="A845" s="48" t="s">
        <v>137</v>
      </c>
      <c r="B845" s="12" t="s">
        <v>13</v>
      </c>
      <c r="C845" s="29" t="s">
        <v>66</v>
      </c>
      <c r="D845" s="21">
        <v>18.22433438416606</v>
      </c>
      <c r="E845" s="15" t="s">
        <v>138</v>
      </c>
      <c r="F845" s="16" t="s">
        <v>16</v>
      </c>
      <c r="G845" s="22">
        <v>1</v>
      </c>
      <c r="H845" s="23">
        <v>1</v>
      </c>
      <c r="I845" s="23">
        <v>1</v>
      </c>
      <c r="J845" s="23">
        <v>2</v>
      </c>
      <c r="K845" s="23">
        <v>3</v>
      </c>
      <c r="L845" s="25">
        <f t="shared" si="32"/>
        <v>1.0195048044558224</v>
      </c>
      <c r="M845" s="20" t="s">
        <v>139</v>
      </c>
    </row>
    <row r="846" spans="1:13" x14ac:dyDescent="0.2">
      <c r="A846" s="48" t="s">
        <v>137</v>
      </c>
      <c r="B846" s="12" t="s">
        <v>18</v>
      </c>
      <c r="C846" s="29" t="s">
        <v>66</v>
      </c>
      <c r="D846" s="21">
        <v>24.564612282807289</v>
      </c>
      <c r="E846" s="15" t="s">
        <v>138</v>
      </c>
      <c r="F846" s="16" t="s">
        <v>16</v>
      </c>
      <c r="G846" s="22">
        <v>1</v>
      </c>
      <c r="H846" s="23">
        <v>1</v>
      </c>
      <c r="I846" s="23">
        <v>1</v>
      </c>
      <c r="J846" s="23">
        <v>2</v>
      </c>
      <c r="K846" s="23">
        <v>3</v>
      </c>
      <c r="L846" s="25">
        <f t="shared" si="32"/>
        <v>1.0195048044558224</v>
      </c>
      <c r="M846" s="20" t="s">
        <v>139</v>
      </c>
    </row>
    <row r="847" spans="1:13" x14ac:dyDescent="0.2">
      <c r="A847" s="48" t="s">
        <v>137</v>
      </c>
      <c r="B847" s="12" t="s">
        <v>20</v>
      </c>
      <c r="C847" s="29" t="s">
        <v>66</v>
      </c>
      <c r="D847" s="21">
        <v>9.3208952401054894</v>
      </c>
      <c r="E847" s="15" t="s">
        <v>138</v>
      </c>
      <c r="F847" s="16" t="s">
        <v>16</v>
      </c>
      <c r="G847" s="22">
        <v>1</v>
      </c>
      <c r="H847" s="23">
        <v>1</v>
      </c>
      <c r="I847" s="23">
        <v>1</v>
      </c>
      <c r="J847" s="23">
        <v>2</v>
      </c>
      <c r="K847" s="23">
        <v>3</v>
      </c>
      <c r="L847" s="25">
        <f t="shared" si="32"/>
        <v>1.0195048044558224</v>
      </c>
      <c r="M847" s="20" t="s">
        <v>139</v>
      </c>
    </row>
    <row r="848" spans="1:13" x14ac:dyDescent="0.2">
      <c r="A848" s="48" t="s">
        <v>137</v>
      </c>
      <c r="B848" s="12" t="s">
        <v>22</v>
      </c>
      <c r="C848" s="29" t="s">
        <v>66</v>
      </c>
      <c r="D848" s="21">
        <v>4.0400032280807237</v>
      </c>
      <c r="E848" s="15" t="s">
        <v>138</v>
      </c>
      <c r="F848" s="16" t="s">
        <v>16</v>
      </c>
      <c r="G848" s="22">
        <v>1</v>
      </c>
      <c r="H848" s="23">
        <v>1</v>
      </c>
      <c r="I848" s="23">
        <v>1</v>
      </c>
      <c r="J848" s="23">
        <v>2</v>
      </c>
      <c r="K848" s="23">
        <v>3</v>
      </c>
      <c r="L848" s="25">
        <f t="shared" ref="L848:L878" si="33">IF( OR( ISBLANK(G848),ISBLANK(H848), ISBLANK(I848), ISBLANK(J848), ISBLANK(K848) ), "", 1.5*SQRT( EXP(2.21*(G848-1)) + EXP(2.21*(H848-1)) + EXP(2.21*(I848-1)) + EXP(2.21*(J848-1)) + EXP(2.21*K848) )/100*2.45 )</f>
        <v>1.0195048044558224</v>
      </c>
      <c r="M848" s="20" t="s">
        <v>139</v>
      </c>
    </row>
    <row r="849" spans="1:13" x14ac:dyDescent="0.2">
      <c r="A849" s="48" t="s">
        <v>137</v>
      </c>
      <c r="B849" s="12" t="s">
        <v>23</v>
      </c>
      <c r="C849" s="29" t="s">
        <v>66</v>
      </c>
      <c r="D849" s="21">
        <v>1.1168586726203551</v>
      </c>
      <c r="E849" s="15" t="s">
        <v>138</v>
      </c>
      <c r="F849" s="16" t="s">
        <v>16</v>
      </c>
      <c r="G849" s="22">
        <v>1</v>
      </c>
      <c r="H849" s="23">
        <v>1</v>
      </c>
      <c r="I849" s="23">
        <v>1</v>
      </c>
      <c r="J849" s="23">
        <v>2</v>
      </c>
      <c r="K849" s="23">
        <v>3</v>
      </c>
      <c r="L849" s="25">
        <f t="shared" si="33"/>
        <v>1.0195048044558224</v>
      </c>
      <c r="M849" s="20" t="s">
        <v>139</v>
      </c>
    </row>
    <row r="850" spans="1:13" x14ac:dyDescent="0.2">
      <c r="A850" s="48" t="s">
        <v>137</v>
      </c>
      <c r="B850" s="12" t="s">
        <v>24</v>
      </c>
      <c r="C850" s="29" t="s">
        <v>66</v>
      </c>
      <c r="D850" s="21">
        <v>16.132563976196941</v>
      </c>
      <c r="E850" s="15" t="s">
        <v>138</v>
      </c>
      <c r="F850" s="16" t="s">
        <v>16</v>
      </c>
      <c r="G850" s="22">
        <v>1</v>
      </c>
      <c r="H850" s="23">
        <v>1</v>
      </c>
      <c r="I850" s="23">
        <v>1</v>
      </c>
      <c r="J850" s="23">
        <v>2</v>
      </c>
      <c r="K850" s="23">
        <v>3</v>
      </c>
      <c r="L850" s="25">
        <f t="shared" si="33"/>
        <v>1.0195048044558224</v>
      </c>
      <c r="M850" s="20" t="s">
        <v>139</v>
      </c>
    </row>
    <row r="851" spans="1:13" x14ac:dyDescent="0.2">
      <c r="A851" s="48" t="s">
        <v>137</v>
      </c>
      <c r="B851" s="12" t="s">
        <v>25</v>
      </c>
      <c r="C851" s="29" t="s">
        <v>66</v>
      </c>
      <c r="D851" s="21">
        <v>13.9542738632605</v>
      </c>
      <c r="E851" s="15" t="s">
        <v>138</v>
      </c>
      <c r="F851" s="16" t="s">
        <v>16</v>
      </c>
      <c r="G851" s="22">
        <v>1</v>
      </c>
      <c r="H851" s="23">
        <v>1</v>
      </c>
      <c r="I851" s="23">
        <v>1</v>
      </c>
      <c r="J851" s="23">
        <v>2</v>
      </c>
      <c r="K851" s="23">
        <v>3</v>
      </c>
      <c r="L851" s="25">
        <f t="shared" si="33"/>
        <v>1.0195048044558224</v>
      </c>
      <c r="M851" s="20" t="s">
        <v>139</v>
      </c>
    </row>
    <row r="852" spans="1:13" x14ac:dyDescent="0.2">
      <c r="A852" s="48" t="s">
        <v>137</v>
      </c>
      <c r="B852" s="12" t="s">
        <v>26</v>
      </c>
      <c r="C852" s="29" t="s">
        <v>66</v>
      </c>
      <c r="D852" s="21">
        <v>3.2698396600607169</v>
      </c>
      <c r="E852" s="15" t="s">
        <v>138</v>
      </c>
      <c r="F852" s="16" t="s">
        <v>16</v>
      </c>
      <c r="G852" s="22">
        <v>1</v>
      </c>
      <c r="H852" s="23">
        <v>1</v>
      </c>
      <c r="I852" s="23">
        <v>1</v>
      </c>
      <c r="J852" s="23">
        <v>2</v>
      </c>
      <c r="K852" s="23">
        <v>3</v>
      </c>
      <c r="L852" s="25">
        <f t="shared" si="33"/>
        <v>1.0195048044558224</v>
      </c>
      <c r="M852" s="20" t="s">
        <v>139</v>
      </c>
    </row>
    <row r="853" spans="1:13" x14ac:dyDescent="0.2">
      <c r="A853" s="48" t="s">
        <v>137</v>
      </c>
      <c r="B853" s="12" t="s">
        <v>27</v>
      </c>
      <c r="C853" s="29" t="s">
        <v>66</v>
      </c>
      <c r="D853" s="21">
        <v>9.5795188287477213</v>
      </c>
      <c r="E853" s="15" t="s">
        <v>138</v>
      </c>
      <c r="F853" s="16" t="s">
        <v>16</v>
      </c>
      <c r="G853" s="22">
        <v>1</v>
      </c>
      <c r="H853" s="23">
        <v>1</v>
      </c>
      <c r="I853" s="23">
        <v>1</v>
      </c>
      <c r="J853" s="23">
        <v>2</v>
      </c>
      <c r="K853" s="23">
        <v>3</v>
      </c>
      <c r="L853" s="25">
        <f t="shared" si="33"/>
        <v>1.0195048044558224</v>
      </c>
      <c r="M853" s="20" t="s">
        <v>139</v>
      </c>
    </row>
    <row r="854" spans="1:13" x14ac:dyDescent="0.2">
      <c r="A854" s="48" t="s">
        <v>137</v>
      </c>
      <c r="B854" s="12" t="s">
        <v>28</v>
      </c>
      <c r="C854" s="29" t="s">
        <v>66</v>
      </c>
      <c r="D854" s="21">
        <v>130.89462593722439</v>
      </c>
      <c r="E854" s="15" t="s">
        <v>138</v>
      </c>
      <c r="F854" s="16" t="s">
        <v>16</v>
      </c>
      <c r="G854" s="22">
        <v>1</v>
      </c>
      <c r="H854" s="23">
        <v>1</v>
      </c>
      <c r="I854" s="23">
        <v>1</v>
      </c>
      <c r="J854" s="23">
        <v>2</v>
      </c>
      <c r="K854" s="23">
        <v>3</v>
      </c>
      <c r="L854" s="25">
        <f t="shared" si="33"/>
        <v>1.0195048044558224</v>
      </c>
      <c r="M854" s="20" t="s">
        <v>139</v>
      </c>
    </row>
    <row r="855" spans="1:13" x14ac:dyDescent="0.2">
      <c r="A855" s="48" t="s">
        <v>137</v>
      </c>
      <c r="B855" s="12" t="s">
        <v>30</v>
      </c>
      <c r="C855" s="29" t="s">
        <v>66</v>
      </c>
      <c r="D855" s="21">
        <v>230.92691697384251</v>
      </c>
      <c r="E855" s="15" t="s">
        <v>138</v>
      </c>
      <c r="F855" s="16" t="s">
        <v>16</v>
      </c>
      <c r="G855" s="22">
        <v>1</v>
      </c>
      <c r="H855" s="23">
        <v>1</v>
      </c>
      <c r="I855" s="23">
        <v>1</v>
      </c>
      <c r="J855" s="23">
        <v>2</v>
      </c>
      <c r="K855" s="23">
        <v>3</v>
      </c>
      <c r="L855" s="24">
        <f t="shared" si="33"/>
        <v>1.0195048044558224</v>
      </c>
      <c r="M855" s="20" t="s">
        <v>139</v>
      </c>
    </row>
    <row r="856" spans="1:13" x14ac:dyDescent="0.2">
      <c r="A856" s="48" t="s">
        <v>137</v>
      </c>
      <c r="B856" s="12" t="s">
        <v>32</v>
      </c>
      <c r="C856" s="29" t="s">
        <v>66</v>
      </c>
      <c r="D856" s="21">
        <v>16.89712175497727</v>
      </c>
      <c r="E856" s="15" t="s">
        <v>138</v>
      </c>
      <c r="F856" s="16" t="s">
        <v>16</v>
      </c>
      <c r="G856" s="22">
        <v>1</v>
      </c>
      <c r="H856" s="23">
        <v>1</v>
      </c>
      <c r="I856" s="23">
        <v>1</v>
      </c>
      <c r="J856" s="23">
        <v>2</v>
      </c>
      <c r="K856" s="23">
        <v>3</v>
      </c>
      <c r="L856" s="25">
        <f t="shared" si="33"/>
        <v>1.0195048044558224</v>
      </c>
      <c r="M856" s="20" t="s">
        <v>139</v>
      </c>
    </row>
    <row r="857" spans="1:13" x14ac:dyDescent="0.2">
      <c r="A857" s="48" t="s">
        <v>137</v>
      </c>
      <c r="B857" s="12" t="s">
        <v>34</v>
      </c>
      <c r="C857" s="29" t="s">
        <v>66</v>
      </c>
      <c r="D857" s="21">
        <v>28.288127925879479</v>
      </c>
      <c r="E857" s="15" t="s">
        <v>138</v>
      </c>
      <c r="F857" s="16" t="s">
        <v>16</v>
      </c>
      <c r="G857" s="22">
        <v>1</v>
      </c>
      <c r="H857" s="23">
        <v>1</v>
      </c>
      <c r="I857" s="23">
        <v>1</v>
      </c>
      <c r="J857" s="23">
        <v>2</v>
      </c>
      <c r="K857" s="23">
        <v>3</v>
      </c>
      <c r="L857" s="25">
        <f t="shared" si="33"/>
        <v>1.0195048044558224</v>
      </c>
      <c r="M857" s="20" t="s">
        <v>139</v>
      </c>
    </row>
    <row r="858" spans="1:13" x14ac:dyDescent="0.2">
      <c r="A858" s="48" t="s">
        <v>137</v>
      </c>
      <c r="B858" s="12" t="s">
        <v>36</v>
      </c>
      <c r="C858" s="29" t="s">
        <v>66</v>
      </c>
      <c r="D858" s="21">
        <v>18.61710829098098</v>
      </c>
      <c r="E858" s="15" t="s">
        <v>138</v>
      </c>
      <c r="F858" s="16" t="s">
        <v>16</v>
      </c>
      <c r="G858" s="22">
        <v>1</v>
      </c>
      <c r="H858" s="23">
        <v>1</v>
      </c>
      <c r="I858" s="23">
        <v>1</v>
      </c>
      <c r="J858" s="23">
        <v>2</v>
      </c>
      <c r="K858" s="23">
        <v>3</v>
      </c>
      <c r="L858" s="25">
        <f t="shared" si="33"/>
        <v>1.0195048044558224</v>
      </c>
      <c r="M858" s="20" t="s">
        <v>139</v>
      </c>
    </row>
    <row r="859" spans="1:13" x14ac:dyDescent="0.2">
      <c r="A859" s="48" t="s">
        <v>137</v>
      </c>
      <c r="B859" s="12" t="s">
        <v>37</v>
      </c>
      <c r="C859" s="29" t="s">
        <v>66</v>
      </c>
      <c r="D859" s="21">
        <v>121.6917765861328</v>
      </c>
      <c r="E859" s="15" t="s">
        <v>138</v>
      </c>
      <c r="F859" s="16" t="s">
        <v>16</v>
      </c>
      <c r="G859" s="22">
        <v>1</v>
      </c>
      <c r="H859" s="23">
        <v>1</v>
      </c>
      <c r="I859" s="23">
        <v>1</v>
      </c>
      <c r="J859" s="23">
        <v>2</v>
      </c>
      <c r="K859" s="23">
        <v>3</v>
      </c>
      <c r="L859" s="24">
        <f t="shared" si="33"/>
        <v>1.0195048044558224</v>
      </c>
      <c r="M859" s="20" t="s">
        <v>139</v>
      </c>
    </row>
    <row r="860" spans="1:13" x14ac:dyDescent="0.2">
      <c r="A860" s="48" t="s">
        <v>137</v>
      </c>
      <c r="B860" s="12" t="s">
        <v>39</v>
      </c>
      <c r="C860" s="29" t="s">
        <v>66</v>
      </c>
      <c r="D860" s="21">
        <v>2.861564201000693</v>
      </c>
      <c r="E860" s="15" t="s">
        <v>138</v>
      </c>
      <c r="F860" s="16" t="s">
        <v>16</v>
      </c>
      <c r="G860" s="22">
        <v>1</v>
      </c>
      <c r="H860" s="23">
        <v>1</v>
      </c>
      <c r="I860" s="23">
        <v>1</v>
      </c>
      <c r="J860" s="23">
        <v>2</v>
      </c>
      <c r="K860" s="23">
        <v>3</v>
      </c>
      <c r="L860" s="25">
        <f t="shared" si="33"/>
        <v>1.0195048044558224</v>
      </c>
      <c r="M860" s="20" t="s">
        <v>139</v>
      </c>
    </row>
    <row r="861" spans="1:13" x14ac:dyDescent="0.2">
      <c r="A861" s="48" t="s">
        <v>137</v>
      </c>
      <c r="B861" s="12" t="s">
        <v>40</v>
      </c>
      <c r="C861" s="29" t="s">
        <v>66</v>
      </c>
      <c r="D861" s="21">
        <v>5.2542260497684561</v>
      </c>
      <c r="E861" s="15" t="s">
        <v>138</v>
      </c>
      <c r="F861" s="16" t="s">
        <v>16</v>
      </c>
      <c r="G861" s="22">
        <v>1</v>
      </c>
      <c r="H861" s="23">
        <v>1</v>
      </c>
      <c r="I861" s="23">
        <v>1</v>
      </c>
      <c r="J861" s="23">
        <v>2</v>
      </c>
      <c r="K861" s="23">
        <v>3</v>
      </c>
      <c r="L861" s="25">
        <f t="shared" si="33"/>
        <v>1.0195048044558224</v>
      </c>
      <c r="M861" s="20" t="s">
        <v>139</v>
      </c>
    </row>
    <row r="862" spans="1:13" x14ac:dyDescent="0.2">
      <c r="A862" s="48" t="s">
        <v>137</v>
      </c>
      <c r="B862" s="12" t="s">
        <v>41</v>
      </c>
      <c r="C862" s="29" t="s">
        <v>66</v>
      </c>
      <c r="D862" s="21">
        <v>1.4932104999809259</v>
      </c>
      <c r="E862" s="15" t="s">
        <v>138</v>
      </c>
      <c r="F862" s="16" t="s">
        <v>16</v>
      </c>
      <c r="G862" s="22">
        <v>1</v>
      </c>
      <c r="H862" s="23">
        <v>1</v>
      </c>
      <c r="I862" s="23">
        <v>1</v>
      </c>
      <c r="J862" s="23">
        <v>2</v>
      </c>
      <c r="K862" s="23">
        <v>3</v>
      </c>
      <c r="L862" s="25">
        <f t="shared" si="33"/>
        <v>1.0195048044558224</v>
      </c>
      <c r="M862" s="20" t="s">
        <v>139</v>
      </c>
    </row>
    <row r="863" spans="1:13" x14ac:dyDescent="0.2">
      <c r="A863" s="48" t="s">
        <v>137</v>
      </c>
      <c r="B863" s="12" t="s">
        <v>42</v>
      </c>
      <c r="C863" s="29" t="s">
        <v>66</v>
      </c>
      <c r="D863" s="21">
        <v>0.86152842765437665</v>
      </c>
      <c r="E863" s="15" t="s">
        <v>138</v>
      </c>
      <c r="F863" s="16" t="s">
        <v>16</v>
      </c>
      <c r="G863" s="22">
        <v>1</v>
      </c>
      <c r="H863" s="23">
        <v>1</v>
      </c>
      <c r="I863" s="23">
        <v>1</v>
      </c>
      <c r="J863" s="23">
        <v>2</v>
      </c>
      <c r="K863" s="23">
        <v>3</v>
      </c>
      <c r="L863" s="25">
        <f t="shared" si="33"/>
        <v>1.0195048044558224</v>
      </c>
      <c r="M863" s="20" t="s">
        <v>139</v>
      </c>
    </row>
    <row r="864" spans="1:13" x14ac:dyDescent="0.2">
      <c r="A864" s="48" t="s">
        <v>137</v>
      </c>
      <c r="B864" s="12" t="s">
        <v>43</v>
      </c>
      <c r="C864" s="29" t="s">
        <v>66</v>
      </c>
      <c r="D864" s="21">
        <v>39.887238503816633</v>
      </c>
      <c r="E864" s="15" t="s">
        <v>138</v>
      </c>
      <c r="F864" s="16" t="s">
        <v>16</v>
      </c>
      <c r="G864" s="22">
        <v>1</v>
      </c>
      <c r="H864" s="23">
        <v>1</v>
      </c>
      <c r="I864" s="23">
        <v>1</v>
      </c>
      <c r="J864" s="23">
        <v>2</v>
      </c>
      <c r="K864" s="23">
        <v>3</v>
      </c>
      <c r="L864" s="25">
        <f t="shared" si="33"/>
        <v>1.0195048044558224</v>
      </c>
      <c r="M864" s="20" t="s">
        <v>139</v>
      </c>
    </row>
    <row r="865" spans="1:13" x14ac:dyDescent="0.2">
      <c r="A865" s="48" t="s">
        <v>137</v>
      </c>
      <c r="B865" s="12" t="s">
        <v>45</v>
      </c>
      <c r="C865" s="29" t="s">
        <v>66</v>
      </c>
      <c r="D865" s="21">
        <v>15.10723732591382</v>
      </c>
      <c r="E865" s="15" t="s">
        <v>138</v>
      </c>
      <c r="F865" s="16" t="s">
        <v>16</v>
      </c>
      <c r="G865" s="22">
        <v>1</v>
      </c>
      <c r="H865" s="23">
        <v>1</v>
      </c>
      <c r="I865" s="23">
        <v>1</v>
      </c>
      <c r="J865" s="23">
        <v>2</v>
      </c>
      <c r="K865" s="23">
        <v>3</v>
      </c>
      <c r="L865" s="25">
        <f t="shared" si="33"/>
        <v>1.0195048044558224</v>
      </c>
      <c r="M865" s="20" t="s">
        <v>139</v>
      </c>
    </row>
    <row r="866" spans="1:13" x14ac:dyDescent="0.2">
      <c r="A866" s="48" t="s">
        <v>137</v>
      </c>
      <c r="B866" s="12" t="s">
        <v>46</v>
      </c>
      <c r="C866" s="29" t="s">
        <v>66</v>
      </c>
      <c r="D866" s="21">
        <v>68.747360363930795</v>
      </c>
      <c r="E866" s="15" t="s">
        <v>138</v>
      </c>
      <c r="F866" s="16" t="s">
        <v>16</v>
      </c>
      <c r="G866" s="22">
        <v>1</v>
      </c>
      <c r="H866" s="23">
        <v>1</v>
      </c>
      <c r="I866" s="23">
        <v>1</v>
      </c>
      <c r="J866" s="23">
        <v>2</v>
      </c>
      <c r="K866" s="23">
        <v>3</v>
      </c>
      <c r="L866" s="24">
        <f t="shared" si="33"/>
        <v>1.0195048044558224</v>
      </c>
      <c r="M866" s="20" t="s">
        <v>139</v>
      </c>
    </row>
    <row r="867" spans="1:13" x14ac:dyDescent="0.2">
      <c r="A867" s="48" t="s">
        <v>137</v>
      </c>
      <c r="B867" s="12" t="s">
        <v>48</v>
      </c>
      <c r="C867" s="29" t="s">
        <v>66</v>
      </c>
      <c r="D867" s="21">
        <v>25.326889649414738</v>
      </c>
      <c r="E867" s="15" t="s">
        <v>138</v>
      </c>
      <c r="F867" s="16" t="s">
        <v>16</v>
      </c>
      <c r="G867" s="22">
        <v>1</v>
      </c>
      <c r="H867" s="23">
        <v>1</v>
      </c>
      <c r="I867" s="23">
        <v>1</v>
      </c>
      <c r="J867" s="23">
        <v>2</v>
      </c>
      <c r="K867" s="23">
        <v>3</v>
      </c>
      <c r="L867" s="25">
        <f t="shared" si="33"/>
        <v>1.0195048044558224</v>
      </c>
      <c r="M867" s="20" t="s">
        <v>139</v>
      </c>
    </row>
    <row r="868" spans="1:13" x14ac:dyDescent="0.2">
      <c r="A868" s="48" t="s">
        <v>137</v>
      </c>
      <c r="B868" s="12" t="s">
        <v>50</v>
      </c>
      <c r="C868" s="29" t="s">
        <v>66</v>
      </c>
      <c r="D868" s="21">
        <v>29.430220992987461</v>
      </c>
      <c r="E868" s="15" t="s">
        <v>138</v>
      </c>
      <c r="F868" s="16" t="s">
        <v>16</v>
      </c>
      <c r="G868" s="22">
        <v>1</v>
      </c>
      <c r="H868" s="23">
        <v>1</v>
      </c>
      <c r="I868" s="23">
        <v>1</v>
      </c>
      <c r="J868" s="23">
        <v>2</v>
      </c>
      <c r="K868" s="23">
        <v>3</v>
      </c>
      <c r="L868" s="25">
        <f t="shared" si="33"/>
        <v>1.0195048044558224</v>
      </c>
      <c r="M868" s="20" t="s">
        <v>139</v>
      </c>
    </row>
    <row r="869" spans="1:13" x14ac:dyDescent="0.2">
      <c r="A869" s="48" t="s">
        <v>137</v>
      </c>
      <c r="B869" s="12" t="s">
        <v>52</v>
      </c>
      <c r="C869" s="29" t="s">
        <v>66</v>
      </c>
      <c r="D869" s="21">
        <v>7.8239068236168556</v>
      </c>
      <c r="E869" s="15" t="s">
        <v>138</v>
      </c>
      <c r="F869" s="16" t="s">
        <v>16</v>
      </c>
      <c r="G869" s="22">
        <v>1</v>
      </c>
      <c r="H869" s="23">
        <v>1</v>
      </c>
      <c r="I869" s="23">
        <v>1</v>
      </c>
      <c r="J869" s="23">
        <v>2</v>
      </c>
      <c r="K869" s="23">
        <v>3</v>
      </c>
      <c r="L869" s="25">
        <f t="shared" si="33"/>
        <v>1.0195048044558224</v>
      </c>
      <c r="M869" s="20" t="s">
        <v>139</v>
      </c>
    </row>
    <row r="870" spans="1:13" x14ac:dyDescent="0.2">
      <c r="A870" s="48" t="s">
        <v>137</v>
      </c>
      <c r="B870" s="12" t="s">
        <v>54</v>
      </c>
      <c r="C870" s="29" t="s">
        <v>66</v>
      </c>
      <c r="D870" s="21">
        <v>3.028735873512971</v>
      </c>
      <c r="E870" s="15" t="s">
        <v>138</v>
      </c>
      <c r="F870" s="16" t="s">
        <v>16</v>
      </c>
      <c r="G870" s="22">
        <v>1</v>
      </c>
      <c r="H870" s="23">
        <v>1</v>
      </c>
      <c r="I870" s="23">
        <v>1</v>
      </c>
      <c r="J870" s="23">
        <v>2</v>
      </c>
      <c r="K870" s="23">
        <v>3</v>
      </c>
      <c r="L870" s="25">
        <f t="shared" si="33"/>
        <v>1.0195048044558224</v>
      </c>
      <c r="M870" s="20" t="s">
        <v>139</v>
      </c>
    </row>
    <row r="871" spans="1:13" x14ac:dyDescent="0.2">
      <c r="A871" s="48" t="s">
        <v>137</v>
      </c>
      <c r="B871" s="12" t="s">
        <v>55</v>
      </c>
      <c r="C871" s="29" t="s">
        <v>66</v>
      </c>
      <c r="D871" s="21">
        <v>92.862601584182855</v>
      </c>
      <c r="E871" s="15" t="s">
        <v>138</v>
      </c>
      <c r="F871" s="16" t="s">
        <v>16</v>
      </c>
      <c r="G871" s="22">
        <v>1</v>
      </c>
      <c r="H871" s="23">
        <v>1</v>
      </c>
      <c r="I871" s="23">
        <v>1</v>
      </c>
      <c r="J871" s="23">
        <v>2</v>
      </c>
      <c r="K871" s="23">
        <v>3</v>
      </c>
      <c r="L871" s="24">
        <f t="shared" si="33"/>
        <v>1.0195048044558224</v>
      </c>
      <c r="M871" s="20" t="s">
        <v>139</v>
      </c>
    </row>
    <row r="872" spans="1:13" x14ac:dyDescent="0.2">
      <c r="A872" s="48" t="s">
        <v>137</v>
      </c>
      <c r="B872" s="12" t="s">
        <v>57</v>
      </c>
      <c r="C872" s="29" t="s">
        <v>66</v>
      </c>
      <c r="D872" s="21">
        <v>15.14502324477442</v>
      </c>
      <c r="E872" s="15" t="s">
        <v>138</v>
      </c>
      <c r="F872" s="16" t="s">
        <v>16</v>
      </c>
      <c r="G872" s="22">
        <v>1</v>
      </c>
      <c r="H872" s="23">
        <v>1</v>
      </c>
      <c r="I872" s="23">
        <v>1</v>
      </c>
      <c r="J872" s="23">
        <v>2</v>
      </c>
      <c r="K872" s="23">
        <v>3</v>
      </c>
      <c r="L872" s="25">
        <f t="shared" si="33"/>
        <v>1.0195048044558224</v>
      </c>
      <c r="M872" s="20" t="s">
        <v>139</v>
      </c>
    </row>
    <row r="873" spans="1:13" x14ac:dyDescent="0.2">
      <c r="A873" s="48" t="s">
        <v>137</v>
      </c>
      <c r="B873" s="12" t="s">
        <v>59</v>
      </c>
      <c r="C873" s="29" t="s">
        <v>66</v>
      </c>
      <c r="D873" s="21">
        <v>22.78888390646242</v>
      </c>
      <c r="E873" s="15" t="s">
        <v>138</v>
      </c>
      <c r="F873" s="16" t="s">
        <v>16</v>
      </c>
      <c r="G873" s="22">
        <v>1</v>
      </c>
      <c r="H873" s="23">
        <v>1</v>
      </c>
      <c r="I873" s="23">
        <v>1</v>
      </c>
      <c r="J873" s="23">
        <v>2</v>
      </c>
      <c r="K873" s="23">
        <v>3</v>
      </c>
      <c r="L873" s="25">
        <f t="shared" si="33"/>
        <v>1.0195048044558224</v>
      </c>
      <c r="M873" s="20" t="s">
        <v>139</v>
      </c>
    </row>
    <row r="874" spans="1:13" x14ac:dyDescent="0.2">
      <c r="A874" s="48" t="s">
        <v>137</v>
      </c>
      <c r="B874" s="12" t="s">
        <v>60</v>
      </c>
      <c r="C874" s="29" t="s">
        <v>66</v>
      </c>
      <c r="D874" s="21">
        <v>120.3409184056179</v>
      </c>
      <c r="E874" s="15" t="s">
        <v>138</v>
      </c>
      <c r="F874" s="16" t="s">
        <v>16</v>
      </c>
      <c r="G874" s="22">
        <v>1</v>
      </c>
      <c r="H874" s="23">
        <v>2</v>
      </c>
      <c r="I874" s="23">
        <v>1</v>
      </c>
      <c r="J874" s="23">
        <v>2</v>
      </c>
      <c r="K874" s="23">
        <v>3</v>
      </c>
      <c r="L874" s="24">
        <f t="shared" si="33"/>
        <v>1.0248662490928169</v>
      </c>
      <c r="M874" s="20" t="s">
        <v>139</v>
      </c>
    </row>
    <row r="875" spans="1:13" x14ac:dyDescent="0.2">
      <c r="A875" s="48" t="s">
        <v>137</v>
      </c>
      <c r="B875" s="12" t="s">
        <v>13</v>
      </c>
      <c r="C875" s="30" t="s">
        <v>94</v>
      </c>
      <c r="D875" s="21">
        <v>4.4451383592703007</v>
      </c>
      <c r="E875" s="15" t="s">
        <v>138</v>
      </c>
      <c r="F875" s="16" t="s">
        <v>16</v>
      </c>
      <c r="G875" s="22">
        <v>1</v>
      </c>
      <c r="H875" s="23">
        <v>1</v>
      </c>
      <c r="I875" s="23">
        <v>1</v>
      </c>
      <c r="J875" s="23">
        <v>2</v>
      </c>
      <c r="K875" s="23">
        <v>3</v>
      </c>
      <c r="L875" s="25">
        <f t="shared" si="33"/>
        <v>1.0195048044558224</v>
      </c>
      <c r="M875" s="20" t="s">
        <v>139</v>
      </c>
    </row>
    <row r="876" spans="1:13" x14ac:dyDescent="0.2">
      <c r="A876" s="48" t="s">
        <v>137</v>
      </c>
      <c r="B876" s="12" t="s">
        <v>18</v>
      </c>
      <c r="C876" s="30" t="s">
        <v>94</v>
      </c>
      <c r="D876" s="21">
        <v>5.9916097914544331</v>
      </c>
      <c r="E876" s="15" t="s">
        <v>138</v>
      </c>
      <c r="F876" s="16" t="s">
        <v>16</v>
      </c>
      <c r="G876" s="22">
        <v>1</v>
      </c>
      <c r="H876" s="23">
        <v>1</v>
      </c>
      <c r="I876" s="23">
        <v>1</v>
      </c>
      <c r="J876" s="23">
        <v>2</v>
      </c>
      <c r="K876" s="23">
        <v>3</v>
      </c>
      <c r="L876" s="25">
        <f t="shared" si="33"/>
        <v>1.0195048044558224</v>
      </c>
      <c r="M876" s="20" t="s">
        <v>139</v>
      </c>
    </row>
    <row r="877" spans="1:13" x14ac:dyDescent="0.2">
      <c r="A877" s="48" t="s">
        <v>137</v>
      </c>
      <c r="B877" s="12" t="s">
        <v>20</v>
      </c>
      <c r="C877" s="30" t="s">
        <v>94</v>
      </c>
      <c r="D877" s="21">
        <v>2.2734805069495989</v>
      </c>
      <c r="E877" s="15" t="s">
        <v>138</v>
      </c>
      <c r="F877" s="16" t="s">
        <v>16</v>
      </c>
      <c r="G877" s="22">
        <v>1</v>
      </c>
      <c r="H877" s="23">
        <v>1</v>
      </c>
      <c r="I877" s="23">
        <v>1</v>
      </c>
      <c r="J877" s="23">
        <v>2</v>
      </c>
      <c r="K877" s="23">
        <v>3</v>
      </c>
      <c r="L877" s="25">
        <f t="shared" si="33"/>
        <v>1.0195048044558224</v>
      </c>
      <c r="M877" s="20" t="s">
        <v>139</v>
      </c>
    </row>
    <row r="878" spans="1:13" x14ac:dyDescent="0.2">
      <c r="A878" s="48" t="s">
        <v>137</v>
      </c>
      <c r="B878" s="12" t="s">
        <v>22</v>
      </c>
      <c r="C878" s="30" t="s">
        <v>94</v>
      </c>
      <c r="D878" s="21">
        <v>0.98540626736526116</v>
      </c>
      <c r="E878" s="15" t="s">
        <v>138</v>
      </c>
      <c r="F878" s="16" t="s">
        <v>16</v>
      </c>
      <c r="G878" s="22">
        <v>1</v>
      </c>
      <c r="H878" s="23">
        <v>1</v>
      </c>
      <c r="I878" s="23">
        <v>1</v>
      </c>
      <c r="J878" s="23">
        <v>2</v>
      </c>
      <c r="K878" s="23">
        <v>3</v>
      </c>
      <c r="L878" s="25">
        <f t="shared" si="33"/>
        <v>1.0195048044558224</v>
      </c>
      <c r="M878" s="20" t="s">
        <v>139</v>
      </c>
    </row>
    <row r="879" spans="1:13" x14ac:dyDescent="0.2">
      <c r="A879" s="48" t="s">
        <v>137</v>
      </c>
      <c r="B879" s="12" t="s">
        <v>23</v>
      </c>
      <c r="C879" s="30" t="s">
        <v>94</v>
      </c>
      <c r="D879" s="21">
        <v>0.27241550900546802</v>
      </c>
      <c r="E879" s="15" t="s">
        <v>138</v>
      </c>
      <c r="F879" s="16" t="s">
        <v>16</v>
      </c>
      <c r="G879" s="22">
        <v>1</v>
      </c>
      <c r="H879" s="23">
        <v>1</v>
      </c>
      <c r="I879" s="23">
        <v>1</v>
      </c>
      <c r="J879" s="23">
        <v>2</v>
      </c>
      <c r="K879" s="23">
        <v>3</v>
      </c>
      <c r="L879" s="25">
        <f>IF( OR( ISBLANK(G879),ISBLANK(H879), ISBLANK(I879), ISBLANK(J879), ISBLANK(K879) ), "", 1.5*SQRT(   EXP(2.21*(G879-1)) + EXP(2.21*(H879-1)) + EXP(2.21*(I879-1)) + EXP(2.21*(J879-1)) + EXP(2.21*K879)   )/100*2.45 )</f>
        <v>1.0195048044558224</v>
      </c>
      <c r="M879" s="20" t="s">
        <v>139</v>
      </c>
    </row>
    <row r="880" spans="1:13" x14ac:dyDescent="0.2">
      <c r="A880" s="48" t="s">
        <v>137</v>
      </c>
      <c r="B880" s="12" t="s">
        <v>24</v>
      </c>
      <c r="C880" s="30" t="s">
        <v>94</v>
      </c>
      <c r="D880" s="21">
        <v>3.934929937758421</v>
      </c>
      <c r="E880" s="15" t="s">
        <v>138</v>
      </c>
      <c r="F880" s="16" t="s">
        <v>16</v>
      </c>
      <c r="G880" s="22">
        <v>1</v>
      </c>
      <c r="H880" s="23">
        <v>1</v>
      </c>
      <c r="I880" s="23">
        <v>1</v>
      </c>
      <c r="J880" s="23">
        <v>2</v>
      </c>
      <c r="K880" s="23">
        <v>3</v>
      </c>
      <c r="L880" s="25">
        <f t="shared" ref="L880:L943" si="34">IF( OR( ISBLANK(G880),ISBLANK(H880), ISBLANK(I880), ISBLANK(J880), ISBLANK(K880) ), "", 1.5*SQRT( EXP(2.21*(G880-1)) + EXP(2.21*(H880-1)) + EXP(2.21*(I880-1)) + EXP(2.21*(J880-1)) + EXP(2.21*K880) )/100*2.45 )</f>
        <v>1.0195048044558224</v>
      </c>
      <c r="M880" s="20" t="s">
        <v>139</v>
      </c>
    </row>
    <row r="881" spans="1:13" x14ac:dyDescent="0.2">
      <c r="A881" s="48" t="s">
        <v>137</v>
      </c>
      <c r="B881" s="12" t="s">
        <v>25</v>
      </c>
      <c r="C881" s="30" t="s">
        <v>94</v>
      </c>
      <c r="D881" s="21">
        <v>3.4036183005528531</v>
      </c>
      <c r="E881" s="15" t="s">
        <v>138</v>
      </c>
      <c r="F881" s="16" t="s">
        <v>16</v>
      </c>
      <c r="G881" s="22">
        <v>1</v>
      </c>
      <c r="H881" s="23">
        <v>1</v>
      </c>
      <c r="I881" s="23">
        <v>1</v>
      </c>
      <c r="J881" s="23">
        <v>2</v>
      </c>
      <c r="K881" s="23">
        <v>3</v>
      </c>
      <c r="L881" s="25">
        <f t="shared" si="34"/>
        <v>1.0195048044558224</v>
      </c>
      <c r="M881" s="20" t="s">
        <v>139</v>
      </c>
    </row>
    <row r="882" spans="1:13" x14ac:dyDescent="0.2">
      <c r="A882" s="48" t="s">
        <v>137</v>
      </c>
      <c r="B882" s="12" t="s">
        <v>26</v>
      </c>
      <c r="C882" s="30" t="s">
        <v>94</v>
      </c>
      <c r="D882" s="21">
        <v>0.79755394052842188</v>
      </c>
      <c r="E882" s="15" t="s">
        <v>138</v>
      </c>
      <c r="F882" s="16" t="s">
        <v>16</v>
      </c>
      <c r="G882" s="22">
        <v>1</v>
      </c>
      <c r="H882" s="23">
        <v>1</v>
      </c>
      <c r="I882" s="23">
        <v>1</v>
      </c>
      <c r="J882" s="23">
        <v>2</v>
      </c>
      <c r="K882" s="23">
        <v>3</v>
      </c>
      <c r="L882" s="25">
        <f t="shared" si="34"/>
        <v>1.0195048044558224</v>
      </c>
      <c r="M882" s="20" t="s">
        <v>139</v>
      </c>
    </row>
    <row r="883" spans="1:13" x14ac:dyDescent="0.2">
      <c r="A883" s="48" t="s">
        <v>137</v>
      </c>
      <c r="B883" s="12" t="s">
        <v>27</v>
      </c>
      <c r="C883" s="30" t="s">
        <v>94</v>
      </c>
      <c r="D883" s="21">
        <v>2.33656196771804</v>
      </c>
      <c r="E883" s="15" t="s">
        <v>138</v>
      </c>
      <c r="F883" s="16" t="s">
        <v>16</v>
      </c>
      <c r="G883" s="22">
        <v>1</v>
      </c>
      <c r="H883" s="23">
        <v>1</v>
      </c>
      <c r="I883" s="23">
        <v>1</v>
      </c>
      <c r="J883" s="23">
        <v>2</v>
      </c>
      <c r="K883" s="23">
        <v>3</v>
      </c>
      <c r="L883" s="25">
        <f t="shared" si="34"/>
        <v>1.0195048044558224</v>
      </c>
      <c r="M883" s="20" t="s">
        <v>139</v>
      </c>
    </row>
    <row r="884" spans="1:13" x14ac:dyDescent="0.2">
      <c r="A884" s="48" t="s">
        <v>137</v>
      </c>
      <c r="B884" s="12" t="s">
        <v>28</v>
      </c>
      <c r="C884" s="30" t="s">
        <v>94</v>
      </c>
      <c r="D884" s="21">
        <v>31.926802401157669</v>
      </c>
      <c r="E884" s="15" t="s">
        <v>138</v>
      </c>
      <c r="F884" s="16" t="s">
        <v>16</v>
      </c>
      <c r="G884" s="22">
        <v>1</v>
      </c>
      <c r="H884" s="23">
        <v>1</v>
      </c>
      <c r="I884" s="23">
        <v>1</v>
      </c>
      <c r="J884" s="23">
        <v>2</v>
      </c>
      <c r="K884" s="23">
        <v>3</v>
      </c>
      <c r="L884" s="25">
        <f t="shared" si="34"/>
        <v>1.0195048044558224</v>
      </c>
      <c r="M884" s="20" t="s">
        <v>139</v>
      </c>
    </row>
    <row r="885" spans="1:13" x14ac:dyDescent="0.2">
      <c r="A885" s="48" t="s">
        <v>137</v>
      </c>
      <c r="B885" s="12" t="s">
        <v>30</v>
      </c>
      <c r="C885" s="30" t="s">
        <v>94</v>
      </c>
      <c r="D885" s="21">
        <v>56.325903332871022</v>
      </c>
      <c r="E885" s="15" t="s">
        <v>138</v>
      </c>
      <c r="F885" s="16" t="s">
        <v>16</v>
      </c>
      <c r="G885" s="22">
        <v>1</v>
      </c>
      <c r="H885" s="23">
        <v>1</v>
      </c>
      <c r="I885" s="23">
        <v>1</v>
      </c>
      <c r="J885" s="23">
        <v>2</v>
      </c>
      <c r="K885" s="23">
        <v>3</v>
      </c>
      <c r="L885" s="24">
        <f t="shared" si="34"/>
        <v>1.0195048044558224</v>
      </c>
      <c r="M885" s="20" t="s">
        <v>139</v>
      </c>
    </row>
    <row r="886" spans="1:13" x14ac:dyDescent="0.2">
      <c r="A886" s="48" t="s">
        <v>137</v>
      </c>
      <c r="B886" s="12" t="s">
        <v>32</v>
      </c>
      <c r="C886" s="30" t="s">
        <v>94</v>
      </c>
      <c r="D886" s="21">
        <v>4.1214149439426651</v>
      </c>
      <c r="E886" s="15" t="s">
        <v>138</v>
      </c>
      <c r="F886" s="16" t="s">
        <v>16</v>
      </c>
      <c r="G886" s="22">
        <v>1</v>
      </c>
      <c r="H886" s="23">
        <v>1</v>
      </c>
      <c r="I886" s="23">
        <v>1</v>
      </c>
      <c r="J886" s="23">
        <v>2</v>
      </c>
      <c r="K886" s="23">
        <v>3</v>
      </c>
      <c r="L886" s="25">
        <f t="shared" si="34"/>
        <v>1.0195048044558224</v>
      </c>
      <c r="M886" s="20" t="s">
        <v>139</v>
      </c>
    </row>
    <row r="887" spans="1:13" x14ac:dyDescent="0.2">
      <c r="A887" s="48" t="s">
        <v>137</v>
      </c>
      <c r="B887" s="12" t="s">
        <v>34</v>
      </c>
      <c r="C887" s="30" t="s">
        <v>94</v>
      </c>
      <c r="D887" s="21">
        <v>6.8998208606468294</v>
      </c>
      <c r="E887" s="15" t="s">
        <v>138</v>
      </c>
      <c r="F887" s="16" t="s">
        <v>16</v>
      </c>
      <c r="G887" s="22">
        <v>1</v>
      </c>
      <c r="H887" s="23">
        <v>1</v>
      </c>
      <c r="I887" s="23">
        <v>1</v>
      </c>
      <c r="J887" s="23">
        <v>2</v>
      </c>
      <c r="K887" s="23">
        <v>3</v>
      </c>
      <c r="L887" s="25">
        <f t="shared" si="34"/>
        <v>1.0195048044558224</v>
      </c>
      <c r="M887" s="20" t="s">
        <v>139</v>
      </c>
    </row>
    <row r="888" spans="1:13" x14ac:dyDescent="0.2">
      <c r="A888" s="48" t="s">
        <v>137</v>
      </c>
      <c r="B888" s="12" t="s">
        <v>36</v>
      </c>
      <c r="C888" s="30" t="s">
        <v>94</v>
      </c>
      <c r="D888" s="21">
        <v>4.5409407256502963</v>
      </c>
      <c r="E888" s="15" t="s">
        <v>138</v>
      </c>
      <c r="F888" s="16" t="s">
        <v>16</v>
      </c>
      <c r="G888" s="22">
        <v>1</v>
      </c>
      <c r="H888" s="23">
        <v>1</v>
      </c>
      <c r="I888" s="23">
        <v>1</v>
      </c>
      <c r="J888" s="23">
        <v>2</v>
      </c>
      <c r="K888" s="23">
        <v>3</v>
      </c>
      <c r="L888" s="25">
        <f t="shared" si="34"/>
        <v>1.0195048044558224</v>
      </c>
      <c r="M888" s="20" t="s">
        <v>139</v>
      </c>
    </row>
    <row r="889" spans="1:13" x14ac:dyDescent="0.2">
      <c r="A889" s="48" t="s">
        <v>137</v>
      </c>
      <c r="B889" s="12" t="s">
        <v>37</v>
      </c>
      <c r="C889" s="30" t="s">
        <v>94</v>
      </c>
      <c r="D889" s="21">
        <v>29.68211473230842</v>
      </c>
      <c r="E889" s="15" t="s">
        <v>138</v>
      </c>
      <c r="F889" s="16" t="s">
        <v>16</v>
      </c>
      <c r="G889" s="22">
        <v>1</v>
      </c>
      <c r="H889" s="23">
        <v>1</v>
      </c>
      <c r="I889" s="23">
        <v>1</v>
      </c>
      <c r="J889" s="23">
        <v>2</v>
      </c>
      <c r="K889" s="23">
        <v>3</v>
      </c>
      <c r="L889" s="24">
        <f t="shared" si="34"/>
        <v>1.0195048044558224</v>
      </c>
      <c r="M889" s="20" t="s">
        <v>139</v>
      </c>
    </row>
    <row r="890" spans="1:13" x14ac:dyDescent="0.2">
      <c r="A890" s="48" t="s">
        <v>137</v>
      </c>
      <c r="B890" s="12" t="s">
        <v>39</v>
      </c>
      <c r="C890" s="30" t="s">
        <v>94</v>
      </c>
      <c r="D890" s="21">
        <v>0.69797055570021094</v>
      </c>
      <c r="E890" s="15" t="s">
        <v>138</v>
      </c>
      <c r="F890" s="16" t="s">
        <v>16</v>
      </c>
      <c r="G890" s="22">
        <v>1</v>
      </c>
      <c r="H890" s="23">
        <v>1</v>
      </c>
      <c r="I890" s="23">
        <v>1</v>
      </c>
      <c r="J890" s="23">
        <v>2</v>
      </c>
      <c r="K890" s="23">
        <v>3</v>
      </c>
      <c r="L890" s="25">
        <f t="shared" si="34"/>
        <v>1.0195048044558224</v>
      </c>
      <c r="M890" s="20" t="s">
        <v>139</v>
      </c>
    </row>
    <row r="891" spans="1:13" x14ac:dyDescent="0.2">
      <c r="A891" s="48" t="s">
        <v>137</v>
      </c>
      <c r="B891" s="12" t="s">
        <v>40</v>
      </c>
      <c r="C891" s="30" t="s">
        <v>94</v>
      </c>
      <c r="D891" s="21">
        <v>1.281570084798012</v>
      </c>
      <c r="E891" s="15" t="s">
        <v>138</v>
      </c>
      <c r="F891" s="16" t="s">
        <v>16</v>
      </c>
      <c r="G891" s="22">
        <v>1</v>
      </c>
      <c r="H891" s="23">
        <v>1</v>
      </c>
      <c r="I891" s="23">
        <v>1</v>
      </c>
      <c r="J891" s="23">
        <v>2</v>
      </c>
      <c r="K891" s="23">
        <v>3</v>
      </c>
      <c r="L891" s="25">
        <f t="shared" si="34"/>
        <v>1.0195048044558224</v>
      </c>
      <c r="M891" s="20" t="s">
        <v>139</v>
      </c>
    </row>
    <row r="892" spans="1:13" x14ac:dyDescent="0.2">
      <c r="A892" s="48" t="s">
        <v>137</v>
      </c>
      <c r="B892" s="12" t="s">
        <v>41</v>
      </c>
      <c r="C892" s="30" t="s">
        <v>94</v>
      </c>
      <c r="D892" s="21">
        <v>0.36421232907673778</v>
      </c>
      <c r="E892" s="15" t="s">
        <v>138</v>
      </c>
      <c r="F892" s="16" t="s">
        <v>16</v>
      </c>
      <c r="G892" s="22">
        <v>1</v>
      </c>
      <c r="H892" s="23">
        <v>1</v>
      </c>
      <c r="I892" s="23">
        <v>1</v>
      </c>
      <c r="J892" s="23">
        <v>2</v>
      </c>
      <c r="K892" s="23">
        <v>3</v>
      </c>
      <c r="L892" s="25">
        <f t="shared" si="34"/>
        <v>1.0195048044558224</v>
      </c>
      <c r="M892" s="20" t="s">
        <v>139</v>
      </c>
    </row>
    <row r="893" spans="1:13" x14ac:dyDescent="0.2">
      <c r="A893" s="48" t="s">
        <v>137</v>
      </c>
      <c r="B893" s="12" t="s">
        <v>42</v>
      </c>
      <c r="C893" s="30" t="s">
        <v>94</v>
      </c>
      <c r="D893" s="21">
        <v>0.21013733509497051</v>
      </c>
      <c r="E893" s="15" t="s">
        <v>138</v>
      </c>
      <c r="F893" s="16" t="s">
        <v>16</v>
      </c>
      <c r="G893" s="22">
        <v>1</v>
      </c>
      <c r="H893" s="23">
        <v>1</v>
      </c>
      <c r="I893" s="23">
        <v>1</v>
      </c>
      <c r="J893" s="23">
        <v>2</v>
      </c>
      <c r="K893" s="23">
        <v>3</v>
      </c>
      <c r="L893" s="25">
        <f t="shared" si="34"/>
        <v>1.0195048044558224</v>
      </c>
      <c r="M893" s="20" t="s">
        <v>139</v>
      </c>
    </row>
    <row r="894" spans="1:13" x14ac:dyDescent="0.2">
      <c r="A894" s="48" t="s">
        <v>137</v>
      </c>
      <c r="B894" s="12" t="s">
        <v>43</v>
      </c>
      <c r="C894" s="30" t="s">
        <v>94</v>
      </c>
      <c r="D894" s="21">
        <v>9.7289859909905285</v>
      </c>
      <c r="E894" s="15" t="s">
        <v>138</v>
      </c>
      <c r="F894" s="16" t="s">
        <v>16</v>
      </c>
      <c r="G894" s="22">
        <v>1</v>
      </c>
      <c r="H894" s="23">
        <v>1</v>
      </c>
      <c r="I894" s="23">
        <v>1</v>
      </c>
      <c r="J894" s="23">
        <v>2</v>
      </c>
      <c r="K894" s="23">
        <v>3</v>
      </c>
      <c r="L894" s="25">
        <f t="shared" si="34"/>
        <v>1.0195048044558224</v>
      </c>
      <c r="M894" s="20" t="s">
        <v>139</v>
      </c>
    </row>
    <row r="895" spans="1:13" x14ac:dyDescent="0.2">
      <c r="A895" s="48" t="s">
        <v>137</v>
      </c>
      <c r="B895" s="12" t="s">
        <v>45</v>
      </c>
      <c r="C895" s="30" t="s">
        <v>94</v>
      </c>
      <c r="D895" s="21">
        <v>3.6848402100416422</v>
      </c>
      <c r="E895" s="15" t="s">
        <v>138</v>
      </c>
      <c r="F895" s="16" t="s">
        <v>16</v>
      </c>
      <c r="G895" s="22">
        <v>1</v>
      </c>
      <c r="H895" s="23">
        <v>1</v>
      </c>
      <c r="I895" s="23">
        <v>1</v>
      </c>
      <c r="J895" s="23">
        <v>2</v>
      </c>
      <c r="K895" s="23">
        <v>3</v>
      </c>
      <c r="L895" s="25">
        <f t="shared" si="34"/>
        <v>1.0195048044558224</v>
      </c>
      <c r="M895" s="20" t="s">
        <v>139</v>
      </c>
    </row>
    <row r="896" spans="1:13" x14ac:dyDescent="0.2">
      <c r="A896" s="48" t="s">
        <v>137</v>
      </c>
      <c r="B896" s="12" t="s">
        <v>46</v>
      </c>
      <c r="C896" s="30" t="s">
        <v>94</v>
      </c>
      <c r="D896" s="21">
        <v>16.76832317770662</v>
      </c>
      <c r="E896" s="15" t="s">
        <v>138</v>
      </c>
      <c r="F896" s="16" t="s">
        <v>16</v>
      </c>
      <c r="G896" s="22">
        <v>1</v>
      </c>
      <c r="H896" s="23">
        <v>1</v>
      </c>
      <c r="I896" s="23">
        <v>1</v>
      </c>
      <c r="J896" s="23">
        <v>2</v>
      </c>
      <c r="K896" s="23">
        <v>3</v>
      </c>
      <c r="L896" s="24">
        <f t="shared" si="34"/>
        <v>1.0195048044558224</v>
      </c>
      <c r="M896" s="20" t="s">
        <v>139</v>
      </c>
    </row>
    <row r="897" spans="1:13" x14ac:dyDescent="0.2">
      <c r="A897" s="48" t="s">
        <v>137</v>
      </c>
      <c r="B897" s="12" t="s">
        <v>48</v>
      </c>
      <c r="C897" s="30" t="s">
        <v>94</v>
      </c>
      <c r="D897" s="21">
        <v>6.1775385771803082</v>
      </c>
      <c r="E897" s="15" t="s">
        <v>138</v>
      </c>
      <c r="F897" s="16" t="s">
        <v>16</v>
      </c>
      <c r="G897" s="22">
        <v>1</v>
      </c>
      <c r="H897" s="23">
        <v>1</v>
      </c>
      <c r="I897" s="23">
        <v>1</v>
      </c>
      <c r="J897" s="23">
        <v>2</v>
      </c>
      <c r="K897" s="23">
        <v>3</v>
      </c>
      <c r="L897" s="25">
        <f t="shared" si="34"/>
        <v>1.0195048044558224</v>
      </c>
      <c r="M897" s="20" t="s">
        <v>139</v>
      </c>
    </row>
    <row r="898" spans="1:13" x14ac:dyDescent="0.2">
      <c r="A898" s="48" t="s">
        <v>137</v>
      </c>
      <c r="B898" s="12" t="s">
        <v>50</v>
      </c>
      <c r="C898" s="30" t="s">
        <v>94</v>
      </c>
      <c r="D898" s="21">
        <v>7.1783913475266807</v>
      </c>
      <c r="E898" s="15" t="s">
        <v>138</v>
      </c>
      <c r="F898" s="16" t="s">
        <v>16</v>
      </c>
      <c r="G898" s="22">
        <v>1</v>
      </c>
      <c r="H898" s="23">
        <v>1</v>
      </c>
      <c r="I898" s="23">
        <v>1</v>
      </c>
      <c r="J898" s="23">
        <v>2</v>
      </c>
      <c r="K898" s="23">
        <v>3</v>
      </c>
      <c r="L898" s="25">
        <f t="shared" si="34"/>
        <v>1.0195048044558224</v>
      </c>
      <c r="M898" s="20" t="s">
        <v>139</v>
      </c>
    </row>
    <row r="899" spans="1:13" x14ac:dyDescent="0.2">
      <c r="A899" s="48" t="s">
        <v>137</v>
      </c>
      <c r="B899" s="12" t="s">
        <v>52</v>
      </c>
      <c r="C899" s="30" t="s">
        <v>94</v>
      </c>
      <c r="D899" s="21">
        <v>1.908346697766508</v>
      </c>
      <c r="E899" s="15" t="s">
        <v>138</v>
      </c>
      <c r="F899" s="16" t="s">
        <v>16</v>
      </c>
      <c r="G899" s="22">
        <v>1</v>
      </c>
      <c r="H899" s="23">
        <v>1</v>
      </c>
      <c r="I899" s="23">
        <v>1</v>
      </c>
      <c r="J899" s="23">
        <v>2</v>
      </c>
      <c r="K899" s="23">
        <v>3</v>
      </c>
      <c r="L899" s="25">
        <f t="shared" si="34"/>
        <v>1.0195048044558224</v>
      </c>
      <c r="M899" s="20" t="s">
        <v>139</v>
      </c>
    </row>
    <row r="900" spans="1:13" x14ac:dyDescent="0.2">
      <c r="A900" s="48" t="s">
        <v>137</v>
      </c>
      <c r="B900" s="12" t="s">
        <v>54</v>
      </c>
      <c r="C900" s="30" t="s">
        <v>94</v>
      </c>
      <c r="D900" s="21">
        <v>0.73874577406502184</v>
      </c>
      <c r="E900" s="15" t="s">
        <v>138</v>
      </c>
      <c r="F900" s="16" t="s">
        <v>16</v>
      </c>
      <c r="G900" s="22">
        <v>1</v>
      </c>
      <c r="H900" s="23">
        <v>1</v>
      </c>
      <c r="I900" s="23">
        <v>1</v>
      </c>
      <c r="J900" s="23">
        <v>2</v>
      </c>
      <c r="K900" s="23">
        <v>3</v>
      </c>
      <c r="L900" s="25">
        <f t="shared" si="34"/>
        <v>1.0195048044558224</v>
      </c>
      <c r="M900" s="20" t="s">
        <v>139</v>
      </c>
    </row>
    <row r="901" spans="1:13" x14ac:dyDescent="0.2">
      <c r="A901" s="48" t="s">
        <v>137</v>
      </c>
      <c r="B901" s="12" t="s">
        <v>55</v>
      </c>
      <c r="C901" s="30" t="s">
        <v>94</v>
      </c>
      <c r="D901" s="21">
        <v>22.650325863320969</v>
      </c>
      <c r="E901" s="15" t="s">
        <v>138</v>
      </c>
      <c r="F901" s="16" t="s">
        <v>16</v>
      </c>
      <c r="G901" s="22">
        <v>1</v>
      </c>
      <c r="H901" s="23">
        <v>1</v>
      </c>
      <c r="I901" s="23">
        <v>1</v>
      </c>
      <c r="J901" s="23">
        <v>2</v>
      </c>
      <c r="K901" s="23">
        <v>3</v>
      </c>
      <c r="L901" s="24">
        <f t="shared" si="34"/>
        <v>1.0195048044558224</v>
      </c>
      <c r="M901" s="20" t="s">
        <v>139</v>
      </c>
    </row>
    <row r="902" spans="1:13" x14ac:dyDescent="0.2">
      <c r="A902" s="48" t="s">
        <v>137</v>
      </c>
      <c r="B902" s="12" t="s">
        <v>57</v>
      </c>
      <c r="C902" s="30" t="s">
        <v>94</v>
      </c>
      <c r="D902" s="21">
        <v>3.6940566584356902</v>
      </c>
      <c r="E902" s="15" t="s">
        <v>138</v>
      </c>
      <c r="F902" s="16" t="s">
        <v>16</v>
      </c>
      <c r="G902" s="22">
        <v>1</v>
      </c>
      <c r="H902" s="23">
        <v>1</v>
      </c>
      <c r="I902" s="23">
        <v>1</v>
      </c>
      <c r="J902" s="23">
        <v>2</v>
      </c>
      <c r="K902" s="23">
        <v>3</v>
      </c>
      <c r="L902" s="25">
        <f t="shared" si="34"/>
        <v>1.0195048044558224</v>
      </c>
      <c r="M902" s="20" t="s">
        <v>139</v>
      </c>
    </row>
    <row r="903" spans="1:13" x14ac:dyDescent="0.2">
      <c r="A903" s="48" t="s">
        <v>137</v>
      </c>
      <c r="B903" s="12" t="s">
        <v>59</v>
      </c>
      <c r="C903" s="30" t="s">
        <v>94</v>
      </c>
      <c r="D903" s="21">
        <v>5.558487892188066</v>
      </c>
      <c r="E903" s="15" t="s">
        <v>138</v>
      </c>
      <c r="F903" s="16" t="s">
        <v>16</v>
      </c>
      <c r="G903" s="22">
        <v>1</v>
      </c>
      <c r="H903" s="23">
        <v>1</v>
      </c>
      <c r="I903" s="23">
        <v>1</v>
      </c>
      <c r="J903" s="23">
        <v>2</v>
      </c>
      <c r="K903" s="23">
        <v>3</v>
      </c>
      <c r="L903" s="25">
        <f t="shared" si="34"/>
        <v>1.0195048044558224</v>
      </c>
      <c r="M903" s="20" t="s">
        <v>139</v>
      </c>
    </row>
    <row r="904" spans="1:13" x14ac:dyDescent="0.2">
      <c r="A904" s="48" t="s">
        <v>137</v>
      </c>
      <c r="B904" s="12" t="s">
        <v>60</v>
      </c>
      <c r="C904" s="30" t="s">
        <v>94</v>
      </c>
      <c r="D904" s="21">
        <v>29.352623877412888</v>
      </c>
      <c r="E904" s="15" t="s">
        <v>138</v>
      </c>
      <c r="F904" s="16" t="s">
        <v>16</v>
      </c>
      <c r="G904" s="22">
        <v>1</v>
      </c>
      <c r="H904" s="23">
        <v>2</v>
      </c>
      <c r="I904" s="23">
        <v>1</v>
      </c>
      <c r="J904" s="23">
        <v>2</v>
      </c>
      <c r="K904" s="23">
        <v>3</v>
      </c>
      <c r="L904" s="24">
        <f t="shared" si="34"/>
        <v>1.0248662490928169</v>
      </c>
      <c r="M904" s="20" t="s">
        <v>139</v>
      </c>
    </row>
    <row r="905" spans="1:13" x14ac:dyDescent="0.2">
      <c r="A905" s="48" t="s">
        <v>137</v>
      </c>
      <c r="B905" s="12" t="s">
        <v>13</v>
      </c>
      <c r="C905" s="31" t="s">
        <v>96</v>
      </c>
      <c r="D905" s="21">
        <v>5.4520715955082633</v>
      </c>
      <c r="E905" s="15" t="s">
        <v>138</v>
      </c>
      <c r="F905" s="16" t="s">
        <v>16</v>
      </c>
      <c r="G905" s="22">
        <v>1</v>
      </c>
      <c r="H905" s="23">
        <v>1</v>
      </c>
      <c r="I905" s="23">
        <v>1</v>
      </c>
      <c r="J905" s="23">
        <v>2</v>
      </c>
      <c r="K905" s="23">
        <v>3</v>
      </c>
      <c r="L905" s="25">
        <f t="shared" si="34"/>
        <v>1.0195048044558224</v>
      </c>
      <c r="M905" s="20" t="s">
        <v>139</v>
      </c>
    </row>
    <row r="906" spans="1:13" x14ac:dyDescent="0.2">
      <c r="A906" s="48" t="s">
        <v>137</v>
      </c>
      <c r="B906" s="12" t="s">
        <v>18</v>
      </c>
      <c r="C906" s="31" t="s">
        <v>96</v>
      </c>
      <c r="D906" s="21">
        <v>7.3488568667906122</v>
      </c>
      <c r="E906" s="15" t="s">
        <v>138</v>
      </c>
      <c r="F906" s="16" t="s">
        <v>16</v>
      </c>
      <c r="G906" s="22">
        <v>1</v>
      </c>
      <c r="H906" s="23">
        <v>1</v>
      </c>
      <c r="I906" s="23">
        <v>1</v>
      </c>
      <c r="J906" s="23">
        <v>2</v>
      </c>
      <c r="K906" s="23">
        <v>3</v>
      </c>
      <c r="L906" s="25">
        <f t="shared" si="34"/>
        <v>1.0195048044558224</v>
      </c>
      <c r="M906" s="20" t="s">
        <v>139</v>
      </c>
    </row>
    <row r="907" spans="1:13" x14ac:dyDescent="0.2">
      <c r="A907" s="48" t="s">
        <v>137</v>
      </c>
      <c r="B907" s="12" t="s">
        <v>20</v>
      </c>
      <c r="C907" s="31" t="s">
        <v>96</v>
      </c>
      <c r="D907" s="21">
        <v>2.7884797936675221</v>
      </c>
      <c r="E907" s="15" t="s">
        <v>138</v>
      </c>
      <c r="F907" s="16" t="s">
        <v>16</v>
      </c>
      <c r="G907" s="22">
        <v>1</v>
      </c>
      <c r="H907" s="23">
        <v>1</v>
      </c>
      <c r="I907" s="23">
        <v>1</v>
      </c>
      <c r="J907" s="23">
        <v>2</v>
      </c>
      <c r="K907" s="23">
        <v>3</v>
      </c>
      <c r="L907" s="25">
        <f t="shared" si="34"/>
        <v>1.0195048044558224</v>
      </c>
      <c r="M907" s="20" t="s">
        <v>139</v>
      </c>
    </row>
    <row r="908" spans="1:13" x14ac:dyDescent="0.2">
      <c r="A908" s="48" t="s">
        <v>137</v>
      </c>
      <c r="B908" s="12" t="s">
        <v>22</v>
      </c>
      <c r="C908" s="31" t="s">
        <v>96</v>
      </c>
      <c r="D908" s="21">
        <v>1.2086250384385999</v>
      </c>
      <c r="E908" s="15" t="s">
        <v>138</v>
      </c>
      <c r="F908" s="16" t="s">
        <v>16</v>
      </c>
      <c r="G908" s="22">
        <v>1</v>
      </c>
      <c r="H908" s="23">
        <v>1</v>
      </c>
      <c r="I908" s="23">
        <v>1</v>
      </c>
      <c r="J908" s="23">
        <v>2</v>
      </c>
      <c r="K908" s="23">
        <v>3</v>
      </c>
      <c r="L908" s="25">
        <f t="shared" si="34"/>
        <v>1.0195048044558224</v>
      </c>
      <c r="M908" s="20" t="s">
        <v>139</v>
      </c>
    </row>
    <row r="909" spans="1:13" x14ac:dyDescent="0.2">
      <c r="A909" s="48" t="s">
        <v>137</v>
      </c>
      <c r="B909" s="12" t="s">
        <v>23</v>
      </c>
      <c r="C909" s="31" t="s">
        <v>96</v>
      </c>
      <c r="D909" s="21">
        <v>0.33412432612523862</v>
      </c>
      <c r="E909" s="15" t="s">
        <v>138</v>
      </c>
      <c r="F909" s="16" t="s">
        <v>16</v>
      </c>
      <c r="G909" s="22">
        <v>1</v>
      </c>
      <c r="H909" s="23">
        <v>1</v>
      </c>
      <c r="I909" s="23">
        <v>1</v>
      </c>
      <c r="J909" s="23">
        <v>2</v>
      </c>
      <c r="K909" s="23">
        <v>3</v>
      </c>
      <c r="L909" s="25">
        <f t="shared" si="34"/>
        <v>1.0195048044558224</v>
      </c>
      <c r="M909" s="20" t="s">
        <v>139</v>
      </c>
    </row>
    <row r="910" spans="1:13" x14ac:dyDescent="0.2">
      <c r="A910" s="48" t="s">
        <v>137</v>
      </c>
      <c r="B910" s="12" t="s">
        <v>24</v>
      </c>
      <c r="C910" s="31" t="s">
        <v>96</v>
      </c>
      <c r="D910" s="21">
        <v>4.8262884099494094</v>
      </c>
      <c r="E910" s="15" t="s">
        <v>138</v>
      </c>
      <c r="F910" s="16" t="s">
        <v>16</v>
      </c>
      <c r="G910" s="22">
        <v>1</v>
      </c>
      <c r="H910" s="23">
        <v>1</v>
      </c>
      <c r="I910" s="23">
        <v>1</v>
      </c>
      <c r="J910" s="23">
        <v>2</v>
      </c>
      <c r="K910" s="23">
        <v>3</v>
      </c>
      <c r="L910" s="25">
        <f t="shared" si="34"/>
        <v>1.0195048044558224</v>
      </c>
      <c r="M910" s="20" t="s">
        <v>139</v>
      </c>
    </row>
    <row r="911" spans="1:13" x14ac:dyDescent="0.2">
      <c r="A911" s="48" t="s">
        <v>137</v>
      </c>
      <c r="B911" s="12" t="s">
        <v>25</v>
      </c>
      <c r="C911" s="31" t="s">
        <v>96</v>
      </c>
      <c r="D911" s="21">
        <v>4.1746216109778276</v>
      </c>
      <c r="E911" s="15" t="s">
        <v>138</v>
      </c>
      <c r="F911" s="16" t="s">
        <v>16</v>
      </c>
      <c r="G911" s="22">
        <v>1</v>
      </c>
      <c r="H911" s="23">
        <v>1</v>
      </c>
      <c r="I911" s="23">
        <v>1</v>
      </c>
      <c r="J911" s="23">
        <v>2</v>
      </c>
      <c r="K911" s="23">
        <v>3</v>
      </c>
      <c r="L911" s="25">
        <f t="shared" si="34"/>
        <v>1.0195048044558224</v>
      </c>
      <c r="M911" s="20" t="s">
        <v>139</v>
      </c>
    </row>
    <row r="912" spans="1:13" x14ac:dyDescent="0.2">
      <c r="A912" s="48" t="s">
        <v>137</v>
      </c>
      <c r="B912" s="12" t="s">
        <v>26</v>
      </c>
      <c r="C912" s="31" t="s">
        <v>96</v>
      </c>
      <c r="D912" s="21">
        <v>0.97821953640032522</v>
      </c>
      <c r="E912" s="15" t="s">
        <v>138</v>
      </c>
      <c r="F912" s="16" t="s">
        <v>16</v>
      </c>
      <c r="G912" s="22">
        <v>1</v>
      </c>
      <c r="H912" s="23">
        <v>1</v>
      </c>
      <c r="I912" s="23">
        <v>1</v>
      </c>
      <c r="J912" s="23">
        <v>2</v>
      </c>
      <c r="K912" s="23">
        <v>3</v>
      </c>
      <c r="L912" s="25">
        <f t="shared" si="34"/>
        <v>1.0195048044558224</v>
      </c>
      <c r="M912" s="20" t="s">
        <v>139</v>
      </c>
    </row>
    <row r="913" spans="1:13" x14ac:dyDescent="0.2">
      <c r="A913" s="48" t="s">
        <v>137</v>
      </c>
      <c r="B913" s="12" t="s">
        <v>27</v>
      </c>
      <c r="C913" s="31" t="s">
        <v>96</v>
      </c>
      <c r="D913" s="21">
        <v>2.865850757777455</v>
      </c>
      <c r="E913" s="15" t="s">
        <v>138</v>
      </c>
      <c r="F913" s="16" t="s">
        <v>16</v>
      </c>
      <c r="G913" s="22">
        <v>1</v>
      </c>
      <c r="H913" s="23">
        <v>1</v>
      </c>
      <c r="I913" s="23">
        <v>1</v>
      </c>
      <c r="J913" s="23">
        <v>2</v>
      </c>
      <c r="K913" s="23">
        <v>3</v>
      </c>
      <c r="L913" s="25">
        <f t="shared" si="34"/>
        <v>1.0195048044558224</v>
      </c>
      <c r="M913" s="20" t="s">
        <v>139</v>
      </c>
    </row>
    <row r="914" spans="1:13" x14ac:dyDescent="0.2">
      <c r="A914" s="48" t="s">
        <v>137</v>
      </c>
      <c r="B914" s="12" t="s">
        <v>28</v>
      </c>
      <c r="C914" s="31" t="s">
        <v>96</v>
      </c>
      <c r="D914" s="21">
        <v>39.15900888523322</v>
      </c>
      <c r="E914" s="15" t="s">
        <v>138</v>
      </c>
      <c r="F914" s="16" t="s">
        <v>16</v>
      </c>
      <c r="G914" s="22">
        <v>1</v>
      </c>
      <c r="H914" s="23">
        <v>1</v>
      </c>
      <c r="I914" s="23">
        <v>1</v>
      </c>
      <c r="J914" s="23">
        <v>2</v>
      </c>
      <c r="K914" s="23">
        <v>3</v>
      </c>
      <c r="L914" s="25">
        <f t="shared" si="34"/>
        <v>1.0195048044558224</v>
      </c>
      <c r="M914" s="20" t="s">
        <v>139</v>
      </c>
    </row>
    <row r="915" spans="1:13" x14ac:dyDescent="0.2">
      <c r="A915" s="48" t="s">
        <v>137</v>
      </c>
      <c r="B915" s="12" t="s">
        <v>30</v>
      </c>
      <c r="C915" s="31" t="s">
        <v>96</v>
      </c>
      <c r="D915" s="21">
        <v>69.085106656365511</v>
      </c>
      <c r="E915" s="15" t="s">
        <v>138</v>
      </c>
      <c r="F915" s="16" t="s">
        <v>16</v>
      </c>
      <c r="G915" s="22">
        <v>1</v>
      </c>
      <c r="H915" s="23">
        <v>1</v>
      </c>
      <c r="I915" s="23">
        <v>1</v>
      </c>
      <c r="J915" s="23">
        <v>2</v>
      </c>
      <c r="K915" s="23">
        <v>3</v>
      </c>
      <c r="L915" s="24">
        <f t="shared" si="34"/>
        <v>1.0195048044558224</v>
      </c>
      <c r="M915" s="20" t="s">
        <v>139</v>
      </c>
    </row>
    <row r="916" spans="1:13" x14ac:dyDescent="0.2">
      <c r="A916" s="48" t="s">
        <v>137</v>
      </c>
      <c r="B916" s="12" t="s">
        <v>32</v>
      </c>
      <c r="C916" s="31" t="s">
        <v>96</v>
      </c>
      <c r="D916" s="21">
        <v>5.0550168595565896</v>
      </c>
      <c r="E916" s="15" t="s">
        <v>138</v>
      </c>
      <c r="F916" s="16" t="s">
        <v>16</v>
      </c>
      <c r="G916" s="22">
        <v>1</v>
      </c>
      <c r="H916" s="23">
        <v>1</v>
      </c>
      <c r="I916" s="23">
        <v>1</v>
      </c>
      <c r="J916" s="23">
        <v>2</v>
      </c>
      <c r="K916" s="23">
        <v>3</v>
      </c>
      <c r="L916" s="25">
        <f t="shared" si="34"/>
        <v>1.0195048044558224</v>
      </c>
      <c r="M916" s="20" t="s">
        <v>139</v>
      </c>
    </row>
    <row r="917" spans="1:13" x14ac:dyDescent="0.2">
      <c r="A917" s="48" t="s">
        <v>137</v>
      </c>
      <c r="B917" s="12" t="s">
        <v>34</v>
      </c>
      <c r="C917" s="31" t="s">
        <v>96</v>
      </c>
      <c r="D917" s="21">
        <v>8.4628000948441251</v>
      </c>
      <c r="E917" s="15" t="s">
        <v>138</v>
      </c>
      <c r="F917" s="16" t="s">
        <v>16</v>
      </c>
      <c r="G917" s="22">
        <v>1</v>
      </c>
      <c r="H917" s="23">
        <v>1</v>
      </c>
      <c r="I917" s="23">
        <v>1</v>
      </c>
      <c r="J917" s="23">
        <v>2</v>
      </c>
      <c r="K917" s="23">
        <v>3</v>
      </c>
      <c r="L917" s="25">
        <f t="shared" si="34"/>
        <v>1.0195048044558224</v>
      </c>
      <c r="M917" s="20" t="s">
        <v>139</v>
      </c>
    </row>
    <row r="918" spans="1:13" x14ac:dyDescent="0.2">
      <c r="A918" s="48" t="s">
        <v>137</v>
      </c>
      <c r="B918" s="12" t="s">
        <v>36</v>
      </c>
      <c r="C918" s="31" t="s">
        <v>96</v>
      </c>
      <c r="D918" s="21">
        <v>5.5695755556343984</v>
      </c>
      <c r="E918" s="15" t="s">
        <v>138</v>
      </c>
      <c r="F918" s="16" t="s">
        <v>16</v>
      </c>
      <c r="G918" s="22">
        <v>1</v>
      </c>
      <c r="H918" s="23">
        <v>1</v>
      </c>
      <c r="I918" s="23">
        <v>1</v>
      </c>
      <c r="J918" s="23">
        <v>2</v>
      </c>
      <c r="K918" s="23">
        <v>3</v>
      </c>
      <c r="L918" s="25">
        <f t="shared" si="34"/>
        <v>1.0195048044558224</v>
      </c>
      <c r="M918" s="20" t="s">
        <v>139</v>
      </c>
    </row>
    <row r="919" spans="1:13" x14ac:dyDescent="0.2">
      <c r="A919" s="48" t="s">
        <v>137</v>
      </c>
      <c r="B919" s="12" t="s">
        <v>37</v>
      </c>
      <c r="C919" s="31" t="s">
        <v>96</v>
      </c>
      <c r="D919" s="21">
        <v>36.405844216107013</v>
      </c>
      <c r="E919" s="15" t="s">
        <v>138</v>
      </c>
      <c r="F919" s="16" t="s">
        <v>16</v>
      </c>
      <c r="G919" s="22">
        <v>1</v>
      </c>
      <c r="H919" s="23">
        <v>1</v>
      </c>
      <c r="I919" s="23">
        <v>1</v>
      </c>
      <c r="J919" s="23">
        <v>2</v>
      </c>
      <c r="K919" s="23">
        <v>3</v>
      </c>
      <c r="L919" s="24">
        <f t="shared" si="34"/>
        <v>1.0195048044558224</v>
      </c>
      <c r="M919" s="20" t="s">
        <v>139</v>
      </c>
    </row>
    <row r="920" spans="1:13" x14ac:dyDescent="0.2">
      <c r="A920" s="48" t="s">
        <v>137</v>
      </c>
      <c r="B920" s="12" t="s">
        <v>39</v>
      </c>
      <c r="C920" s="31" t="s">
        <v>96</v>
      </c>
      <c r="D920" s="21">
        <v>0.85607806409403142</v>
      </c>
      <c r="E920" s="15" t="s">
        <v>138</v>
      </c>
      <c r="F920" s="16" t="s">
        <v>16</v>
      </c>
      <c r="G920" s="22">
        <v>1</v>
      </c>
      <c r="H920" s="23">
        <v>1</v>
      </c>
      <c r="I920" s="23">
        <v>1</v>
      </c>
      <c r="J920" s="23">
        <v>2</v>
      </c>
      <c r="K920" s="23">
        <v>3</v>
      </c>
      <c r="L920" s="25">
        <f t="shared" si="34"/>
        <v>1.0195048044558224</v>
      </c>
      <c r="M920" s="20" t="s">
        <v>139</v>
      </c>
    </row>
    <row r="921" spans="1:13" x14ac:dyDescent="0.2">
      <c r="A921" s="48" t="s">
        <v>137</v>
      </c>
      <c r="B921" s="12" t="s">
        <v>40</v>
      </c>
      <c r="C921" s="31" t="s">
        <v>96</v>
      </c>
      <c r="D921" s="21">
        <v>1.5718772493118429</v>
      </c>
      <c r="E921" s="15" t="s">
        <v>138</v>
      </c>
      <c r="F921" s="16" t="s">
        <v>16</v>
      </c>
      <c r="G921" s="22">
        <v>1</v>
      </c>
      <c r="H921" s="23">
        <v>1</v>
      </c>
      <c r="I921" s="23">
        <v>1</v>
      </c>
      <c r="J921" s="23">
        <v>2</v>
      </c>
      <c r="K921" s="23">
        <v>3</v>
      </c>
      <c r="L921" s="25">
        <f t="shared" si="34"/>
        <v>1.0195048044558224</v>
      </c>
      <c r="M921" s="20" t="s">
        <v>139</v>
      </c>
    </row>
    <row r="922" spans="1:13" x14ac:dyDescent="0.2">
      <c r="A922" s="48" t="s">
        <v>137</v>
      </c>
      <c r="B922" s="12" t="s">
        <v>41</v>
      </c>
      <c r="C922" s="31" t="s">
        <v>96</v>
      </c>
      <c r="D922" s="21">
        <v>0.44671538512451581</v>
      </c>
      <c r="E922" s="15" t="s">
        <v>138</v>
      </c>
      <c r="F922" s="16" t="s">
        <v>16</v>
      </c>
      <c r="G922" s="22">
        <v>1</v>
      </c>
      <c r="H922" s="23">
        <v>1</v>
      </c>
      <c r="I922" s="23">
        <v>1</v>
      </c>
      <c r="J922" s="23">
        <v>2</v>
      </c>
      <c r="K922" s="23">
        <v>3</v>
      </c>
      <c r="L922" s="25">
        <f t="shared" si="34"/>
        <v>1.0195048044558224</v>
      </c>
      <c r="M922" s="20" t="s">
        <v>139</v>
      </c>
    </row>
    <row r="923" spans="1:13" x14ac:dyDescent="0.2">
      <c r="A923" s="48" t="s">
        <v>137</v>
      </c>
      <c r="B923" s="12" t="s">
        <v>42</v>
      </c>
      <c r="C923" s="31" t="s">
        <v>96</v>
      </c>
      <c r="D923" s="21">
        <v>0.2577386131160071</v>
      </c>
      <c r="E923" s="15" t="s">
        <v>138</v>
      </c>
      <c r="F923" s="16" t="s">
        <v>16</v>
      </c>
      <c r="G923" s="22">
        <v>1</v>
      </c>
      <c r="H923" s="23">
        <v>1</v>
      </c>
      <c r="I923" s="23">
        <v>1</v>
      </c>
      <c r="J923" s="23">
        <v>2</v>
      </c>
      <c r="K923" s="23">
        <v>3</v>
      </c>
      <c r="L923" s="25">
        <f t="shared" si="34"/>
        <v>1.0195048044558224</v>
      </c>
      <c r="M923" s="20" t="s">
        <v>139</v>
      </c>
    </row>
    <row r="924" spans="1:13" x14ac:dyDescent="0.2">
      <c r="A924" s="48" t="s">
        <v>137</v>
      </c>
      <c r="B924" s="12" t="s">
        <v>43</v>
      </c>
      <c r="C924" s="31" t="s">
        <v>96</v>
      </c>
      <c r="D924" s="21">
        <v>11.93284075487915</v>
      </c>
      <c r="E924" s="15" t="s">
        <v>138</v>
      </c>
      <c r="F924" s="16" t="s">
        <v>16</v>
      </c>
      <c r="G924" s="22">
        <v>1</v>
      </c>
      <c r="H924" s="23">
        <v>1</v>
      </c>
      <c r="I924" s="23">
        <v>1</v>
      </c>
      <c r="J924" s="23">
        <v>2</v>
      </c>
      <c r="K924" s="23">
        <v>3</v>
      </c>
      <c r="L924" s="25">
        <f t="shared" si="34"/>
        <v>1.0195048044558224</v>
      </c>
      <c r="M924" s="20" t="s">
        <v>139</v>
      </c>
    </row>
    <row r="925" spans="1:13" x14ac:dyDescent="0.2">
      <c r="A925" s="48" t="s">
        <v>137</v>
      </c>
      <c r="B925" s="12" t="s">
        <v>45</v>
      </c>
      <c r="C925" s="31" t="s">
        <v>96</v>
      </c>
      <c r="D925" s="21">
        <v>4.5195472040273339</v>
      </c>
      <c r="E925" s="15" t="s">
        <v>138</v>
      </c>
      <c r="F925" s="16" t="s">
        <v>16</v>
      </c>
      <c r="G925" s="22">
        <v>1</v>
      </c>
      <c r="H925" s="23">
        <v>1</v>
      </c>
      <c r="I925" s="23">
        <v>1</v>
      </c>
      <c r="J925" s="23">
        <v>2</v>
      </c>
      <c r="K925" s="23">
        <v>3</v>
      </c>
      <c r="L925" s="25">
        <f t="shared" si="34"/>
        <v>1.0195048044558224</v>
      </c>
      <c r="M925" s="20" t="s">
        <v>139</v>
      </c>
    </row>
    <row r="926" spans="1:13" x14ac:dyDescent="0.2">
      <c r="A926" s="48" t="s">
        <v>137</v>
      </c>
      <c r="B926" s="12" t="s">
        <v>46</v>
      </c>
      <c r="C926" s="31" t="s">
        <v>96</v>
      </c>
      <c r="D926" s="21">
        <v>20.56676105723842</v>
      </c>
      <c r="E926" s="15" t="s">
        <v>138</v>
      </c>
      <c r="F926" s="16" t="s">
        <v>16</v>
      </c>
      <c r="G926" s="22">
        <v>1</v>
      </c>
      <c r="H926" s="23">
        <v>1</v>
      </c>
      <c r="I926" s="23">
        <v>1</v>
      </c>
      <c r="J926" s="23">
        <v>2</v>
      </c>
      <c r="K926" s="23">
        <v>3</v>
      </c>
      <c r="L926" s="24">
        <f t="shared" si="34"/>
        <v>1.0195048044558224</v>
      </c>
      <c r="M926" s="20" t="s">
        <v>139</v>
      </c>
    </row>
    <row r="927" spans="1:13" x14ac:dyDescent="0.2">
      <c r="A927" s="48" t="s">
        <v>137</v>
      </c>
      <c r="B927" s="12" t="s">
        <v>48</v>
      </c>
      <c r="C927" s="31" t="s">
        <v>96</v>
      </c>
      <c r="D927" s="21">
        <v>7.5769030983166408</v>
      </c>
      <c r="E927" s="15" t="s">
        <v>138</v>
      </c>
      <c r="F927" s="16" t="s">
        <v>16</v>
      </c>
      <c r="G927" s="22">
        <v>1</v>
      </c>
      <c r="H927" s="23">
        <v>1</v>
      </c>
      <c r="I927" s="23">
        <v>1</v>
      </c>
      <c r="J927" s="23">
        <v>2</v>
      </c>
      <c r="K927" s="23">
        <v>3</v>
      </c>
      <c r="L927" s="25">
        <f t="shared" si="34"/>
        <v>1.0195048044558224</v>
      </c>
      <c r="M927" s="20" t="s">
        <v>139</v>
      </c>
    </row>
    <row r="928" spans="1:13" x14ac:dyDescent="0.2">
      <c r="A928" s="48" t="s">
        <v>137</v>
      </c>
      <c r="B928" s="12" t="s">
        <v>50</v>
      </c>
      <c r="C928" s="31" t="s">
        <v>96</v>
      </c>
      <c r="D928" s="21">
        <v>8.8044736528104668</v>
      </c>
      <c r="E928" s="15" t="s">
        <v>138</v>
      </c>
      <c r="F928" s="16" t="s">
        <v>16</v>
      </c>
      <c r="G928" s="22">
        <v>1</v>
      </c>
      <c r="H928" s="23">
        <v>1</v>
      </c>
      <c r="I928" s="23">
        <v>1</v>
      </c>
      <c r="J928" s="23">
        <v>2</v>
      </c>
      <c r="K928" s="23">
        <v>3</v>
      </c>
      <c r="L928" s="25">
        <f t="shared" si="34"/>
        <v>1.0195048044558224</v>
      </c>
      <c r="M928" s="20" t="s">
        <v>139</v>
      </c>
    </row>
    <row r="929" spans="1:13" x14ac:dyDescent="0.2">
      <c r="A929" s="48" t="s">
        <v>137</v>
      </c>
      <c r="B929" s="12" t="s">
        <v>52</v>
      </c>
      <c r="C929" s="31" t="s">
        <v>96</v>
      </c>
      <c r="D929" s="21">
        <v>2.340634190514316</v>
      </c>
      <c r="E929" s="15" t="s">
        <v>138</v>
      </c>
      <c r="F929" s="16" t="s">
        <v>16</v>
      </c>
      <c r="G929" s="22">
        <v>1</v>
      </c>
      <c r="H929" s="23">
        <v>1</v>
      </c>
      <c r="I929" s="23">
        <v>1</v>
      </c>
      <c r="J929" s="23">
        <v>2</v>
      </c>
      <c r="K929" s="23">
        <v>3</v>
      </c>
      <c r="L929" s="25">
        <f t="shared" si="34"/>
        <v>1.0195048044558224</v>
      </c>
      <c r="M929" s="20" t="s">
        <v>139</v>
      </c>
    </row>
    <row r="930" spans="1:13" x14ac:dyDescent="0.2">
      <c r="A930" s="48" t="s">
        <v>137</v>
      </c>
      <c r="B930" s="12" t="s">
        <v>54</v>
      </c>
      <c r="C930" s="31" t="s">
        <v>96</v>
      </c>
      <c r="D930" s="21">
        <v>0.9060898729241903</v>
      </c>
      <c r="E930" s="15" t="s">
        <v>138</v>
      </c>
      <c r="F930" s="16" t="s">
        <v>16</v>
      </c>
      <c r="G930" s="22">
        <v>1</v>
      </c>
      <c r="H930" s="23">
        <v>1</v>
      </c>
      <c r="I930" s="23">
        <v>1</v>
      </c>
      <c r="J930" s="23">
        <v>2</v>
      </c>
      <c r="K930" s="23">
        <v>3</v>
      </c>
      <c r="L930" s="25">
        <f t="shared" si="34"/>
        <v>1.0195048044558224</v>
      </c>
      <c r="M930" s="20" t="s">
        <v>139</v>
      </c>
    </row>
    <row r="931" spans="1:13" x14ac:dyDescent="0.2">
      <c r="A931" s="48" t="s">
        <v>137</v>
      </c>
      <c r="B931" s="12" t="s">
        <v>55</v>
      </c>
      <c r="C931" s="31" t="s">
        <v>96</v>
      </c>
      <c r="D931" s="21">
        <v>27.78118211121112</v>
      </c>
      <c r="E931" s="15" t="s">
        <v>138</v>
      </c>
      <c r="F931" s="16" t="s">
        <v>16</v>
      </c>
      <c r="G931" s="22">
        <v>1</v>
      </c>
      <c r="H931" s="23">
        <v>1</v>
      </c>
      <c r="I931" s="23">
        <v>1</v>
      </c>
      <c r="J931" s="23">
        <v>2</v>
      </c>
      <c r="K931" s="23">
        <v>3</v>
      </c>
      <c r="L931" s="24">
        <f t="shared" si="34"/>
        <v>1.0195048044558224</v>
      </c>
      <c r="M931" s="20" t="s">
        <v>139</v>
      </c>
    </row>
    <row r="932" spans="1:13" x14ac:dyDescent="0.2">
      <c r="A932" s="48" t="s">
        <v>137</v>
      </c>
      <c r="B932" s="12" t="s">
        <v>57</v>
      </c>
      <c r="C932" s="31" t="s">
        <v>96</v>
      </c>
      <c r="D932" s="21">
        <v>4.5308514048056674</v>
      </c>
      <c r="E932" s="15" t="s">
        <v>138</v>
      </c>
      <c r="F932" s="16" t="s">
        <v>16</v>
      </c>
      <c r="G932" s="22">
        <v>1</v>
      </c>
      <c r="H932" s="23">
        <v>1</v>
      </c>
      <c r="I932" s="23">
        <v>1</v>
      </c>
      <c r="J932" s="23">
        <v>2</v>
      </c>
      <c r="K932" s="23">
        <v>3</v>
      </c>
      <c r="L932" s="25">
        <f t="shared" si="34"/>
        <v>1.0195048044558224</v>
      </c>
      <c r="M932" s="20" t="s">
        <v>139</v>
      </c>
    </row>
    <row r="933" spans="1:13" x14ac:dyDescent="0.2">
      <c r="A933" s="48" t="s">
        <v>137</v>
      </c>
      <c r="B933" s="12" t="s">
        <v>59</v>
      </c>
      <c r="C933" s="31" t="s">
        <v>96</v>
      </c>
      <c r="D933" s="21">
        <v>6.8176221979173599</v>
      </c>
      <c r="E933" s="15" t="s">
        <v>138</v>
      </c>
      <c r="F933" s="16" t="s">
        <v>16</v>
      </c>
      <c r="G933" s="22">
        <v>1</v>
      </c>
      <c r="H933" s="23">
        <v>1</v>
      </c>
      <c r="I933" s="23">
        <v>1</v>
      </c>
      <c r="J933" s="23">
        <v>2</v>
      </c>
      <c r="K933" s="23">
        <v>3</v>
      </c>
      <c r="L933" s="25">
        <f t="shared" si="34"/>
        <v>1.0195048044558224</v>
      </c>
      <c r="M933" s="20" t="s">
        <v>139</v>
      </c>
    </row>
    <row r="934" spans="1:13" x14ac:dyDescent="0.2">
      <c r="A934" s="48" t="s">
        <v>137</v>
      </c>
      <c r="B934" s="12" t="s">
        <v>60</v>
      </c>
      <c r="C934" s="31" t="s">
        <v>96</v>
      </c>
      <c r="D934" s="21">
        <v>36.001715573584733</v>
      </c>
      <c r="E934" s="15" t="s">
        <v>138</v>
      </c>
      <c r="F934" s="16" t="s">
        <v>16</v>
      </c>
      <c r="G934" s="22">
        <v>1</v>
      </c>
      <c r="H934" s="23">
        <v>2</v>
      </c>
      <c r="I934" s="23">
        <v>1</v>
      </c>
      <c r="J934" s="23">
        <v>2</v>
      </c>
      <c r="K934" s="23">
        <v>3</v>
      </c>
      <c r="L934" s="24">
        <f t="shared" si="34"/>
        <v>1.0248662490928169</v>
      </c>
      <c r="M934" s="20" t="s">
        <v>139</v>
      </c>
    </row>
    <row r="935" spans="1:13" x14ac:dyDescent="0.2">
      <c r="A935" s="48" t="s">
        <v>137</v>
      </c>
      <c r="B935" s="12" t="s">
        <v>13</v>
      </c>
      <c r="C935" s="32" t="s">
        <v>98</v>
      </c>
      <c r="D935" s="21">
        <v>69.258541361680969</v>
      </c>
      <c r="E935" s="15" t="s">
        <v>138</v>
      </c>
      <c r="F935" s="16" t="s">
        <v>16</v>
      </c>
      <c r="G935" s="22">
        <v>1</v>
      </c>
      <c r="H935" s="23">
        <v>1</v>
      </c>
      <c r="I935" s="23">
        <v>1</v>
      </c>
      <c r="J935" s="23">
        <v>2</v>
      </c>
      <c r="K935" s="23">
        <v>3</v>
      </c>
      <c r="L935" s="25">
        <f t="shared" si="34"/>
        <v>1.0195048044558224</v>
      </c>
      <c r="M935" s="20" t="s">
        <v>139</v>
      </c>
    </row>
    <row r="936" spans="1:13" x14ac:dyDescent="0.2">
      <c r="A936" s="48" t="s">
        <v>137</v>
      </c>
      <c r="B936" s="12" t="s">
        <v>18</v>
      </c>
      <c r="C936" s="32" t="s">
        <v>98</v>
      </c>
      <c r="D936" s="21">
        <v>93.353709384339552</v>
      </c>
      <c r="E936" s="15" t="s">
        <v>138</v>
      </c>
      <c r="F936" s="16" t="s">
        <v>16</v>
      </c>
      <c r="G936" s="22">
        <v>1</v>
      </c>
      <c r="H936" s="23">
        <v>1</v>
      </c>
      <c r="I936" s="23">
        <v>1</v>
      </c>
      <c r="J936" s="23">
        <v>2</v>
      </c>
      <c r="K936" s="23">
        <v>3</v>
      </c>
      <c r="L936" s="25">
        <f t="shared" si="34"/>
        <v>1.0195048044558224</v>
      </c>
      <c r="M936" s="20" t="s">
        <v>139</v>
      </c>
    </row>
    <row r="937" spans="1:13" x14ac:dyDescent="0.2">
      <c r="A937" s="48" t="s">
        <v>137</v>
      </c>
      <c r="B937" s="12" t="s">
        <v>20</v>
      </c>
      <c r="C937" s="32" t="s">
        <v>98</v>
      </c>
      <c r="D937" s="21">
        <v>35.422506792655163</v>
      </c>
      <c r="E937" s="15" t="s">
        <v>138</v>
      </c>
      <c r="F937" s="16" t="s">
        <v>16</v>
      </c>
      <c r="G937" s="22">
        <v>1</v>
      </c>
      <c r="H937" s="23">
        <v>1</v>
      </c>
      <c r="I937" s="23">
        <v>1</v>
      </c>
      <c r="J937" s="23">
        <v>2</v>
      </c>
      <c r="K937" s="23">
        <v>3</v>
      </c>
      <c r="L937" s="25">
        <f t="shared" si="34"/>
        <v>1.0195048044558224</v>
      </c>
      <c r="M937" s="20" t="s">
        <v>139</v>
      </c>
    </row>
    <row r="938" spans="1:13" x14ac:dyDescent="0.2">
      <c r="A938" s="48" t="s">
        <v>137</v>
      </c>
      <c r="B938" s="12" t="s">
        <v>22</v>
      </c>
      <c r="C938" s="32" t="s">
        <v>98</v>
      </c>
      <c r="D938" s="21">
        <v>15.35335803081278</v>
      </c>
      <c r="E938" s="15" t="s">
        <v>138</v>
      </c>
      <c r="F938" s="16" t="s">
        <v>16</v>
      </c>
      <c r="G938" s="22">
        <v>1</v>
      </c>
      <c r="H938" s="23">
        <v>1</v>
      </c>
      <c r="I938" s="23">
        <v>1</v>
      </c>
      <c r="J938" s="23">
        <v>2</v>
      </c>
      <c r="K938" s="23">
        <v>3</v>
      </c>
      <c r="L938" s="25">
        <f t="shared" si="34"/>
        <v>1.0195048044558224</v>
      </c>
      <c r="M938" s="20" t="s">
        <v>139</v>
      </c>
    </row>
    <row r="939" spans="1:13" x14ac:dyDescent="0.2">
      <c r="A939" s="48" t="s">
        <v>137</v>
      </c>
      <c r="B939" s="12" t="s">
        <v>23</v>
      </c>
      <c r="C939" s="32" t="s">
        <v>98</v>
      </c>
      <c r="D939" s="21">
        <v>4.2444349923712483</v>
      </c>
      <c r="E939" s="15" t="s">
        <v>138</v>
      </c>
      <c r="F939" s="16" t="s">
        <v>16</v>
      </c>
      <c r="G939" s="22">
        <v>1</v>
      </c>
      <c r="H939" s="23">
        <v>1</v>
      </c>
      <c r="I939" s="23">
        <v>1</v>
      </c>
      <c r="J939" s="23">
        <v>2</v>
      </c>
      <c r="K939" s="23">
        <v>3</v>
      </c>
      <c r="L939" s="25">
        <f t="shared" si="34"/>
        <v>1.0195048044558224</v>
      </c>
      <c r="M939" s="20" t="s">
        <v>139</v>
      </c>
    </row>
    <row r="940" spans="1:13" x14ac:dyDescent="0.2">
      <c r="A940" s="48" t="s">
        <v>137</v>
      </c>
      <c r="B940" s="12" t="s">
        <v>24</v>
      </c>
      <c r="C940" s="32" t="s">
        <v>98</v>
      </c>
      <c r="D940" s="21">
        <v>61.309117022466673</v>
      </c>
      <c r="E940" s="15" t="s">
        <v>138</v>
      </c>
      <c r="F940" s="16" t="s">
        <v>16</v>
      </c>
      <c r="G940" s="22">
        <v>1</v>
      </c>
      <c r="H940" s="23">
        <v>1</v>
      </c>
      <c r="I940" s="23">
        <v>1</v>
      </c>
      <c r="J940" s="23">
        <v>2</v>
      </c>
      <c r="K940" s="23">
        <v>3</v>
      </c>
      <c r="L940" s="25">
        <f t="shared" si="34"/>
        <v>1.0195048044558224</v>
      </c>
      <c r="M940" s="20" t="s">
        <v>139</v>
      </c>
    </row>
    <row r="941" spans="1:13" x14ac:dyDescent="0.2">
      <c r="A941" s="48" t="s">
        <v>137</v>
      </c>
      <c r="B941" s="12" t="s">
        <v>25</v>
      </c>
      <c r="C941" s="32" t="s">
        <v>98</v>
      </c>
      <c r="D941" s="21">
        <v>53.030888983826969</v>
      </c>
      <c r="E941" s="15" t="s">
        <v>138</v>
      </c>
      <c r="F941" s="16" t="s">
        <v>16</v>
      </c>
      <c r="G941" s="22">
        <v>1</v>
      </c>
      <c r="H941" s="23">
        <v>1</v>
      </c>
      <c r="I941" s="23">
        <v>1</v>
      </c>
      <c r="J941" s="23">
        <v>2</v>
      </c>
      <c r="K941" s="23">
        <v>3</v>
      </c>
      <c r="L941" s="25">
        <f t="shared" si="34"/>
        <v>1.0195048044558224</v>
      </c>
      <c r="M941" s="20" t="s">
        <v>139</v>
      </c>
    </row>
    <row r="942" spans="1:13" x14ac:dyDescent="0.2">
      <c r="A942" s="48" t="s">
        <v>137</v>
      </c>
      <c r="B942" s="12" t="s">
        <v>26</v>
      </c>
      <c r="C942" s="32" t="s">
        <v>98</v>
      </c>
      <c r="D942" s="21">
        <v>12.426479923411639</v>
      </c>
      <c r="E942" s="15" t="s">
        <v>138</v>
      </c>
      <c r="F942" s="16" t="s">
        <v>16</v>
      </c>
      <c r="G942" s="22">
        <v>1</v>
      </c>
      <c r="H942" s="23">
        <v>1</v>
      </c>
      <c r="I942" s="23">
        <v>1</v>
      </c>
      <c r="J942" s="23">
        <v>2</v>
      </c>
      <c r="K942" s="23">
        <v>3</v>
      </c>
      <c r="L942" s="25">
        <f t="shared" si="34"/>
        <v>1.0195048044558224</v>
      </c>
      <c r="M942" s="20" t="s">
        <v>139</v>
      </c>
    </row>
    <row r="943" spans="1:13" x14ac:dyDescent="0.2">
      <c r="A943" s="48" t="s">
        <v>137</v>
      </c>
      <c r="B943" s="12" t="s">
        <v>27</v>
      </c>
      <c r="C943" s="32" t="s">
        <v>98</v>
      </c>
      <c r="D943" s="21">
        <v>36.405362579511603</v>
      </c>
      <c r="E943" s="15" t="s">
        <v>138</v>
      </c>
      <c r="F943" s="16" t="s">
        <v>16</v>
      </c>
      <c r="G943" s="22">
        <v>1</v>
      </c>
      <c r="H943" s="23">
        <v>1</v>
      </c>
      <c r="I943" s="23">
        <v>1</v>
      </c>
      <c r="J943" s="23">
        <v>2</v>
      </c>
      <c r="K943" s="23">
        <v>3</v>
      </c>
      <c r="L943" s="25">
        <f t="shared" si="34"/>
        <v>1.0195048044558224</v>
      </c>
      <c r="M943" s="20" t="s">
        <v>139</v>
      </c>
    </row>
    <row r="944" spans="1:13" x14ac:dyDescent="0.2">
      <c r="A944" s="48" t="s">
        <v>137</v>
      </c>
      <c r="B944" s="12" t="s">
        <v>28</v>
      </c>
      <c r="C944" s="32" t="s">
        <v>98</v>
      </c>
      <c r="D944" s="21">
        <v>497.44318082593452</v>
      </c>
      <c r="E944" s="15" t="s">
        <v>138</v>
      </c>
      <c r="F944" s="16" t="s">
        <v>16</v>
      </c>
      <c r="G944" s="22">
        <v>1</v>
      </c>
      <c r="H944" s="23">
        <v>1</v>
      </c>
      <c r="I944" s="23">
        <v>1</v>
      </c>
      <c r="J944" s="23">
        <v>2</v>
      </c>
      <c r="K944" s="23">
        <v>3</v>
      </c>
      <c r="L944" s="25">
        <f t="shared" ref="L944:L1007" si="35">IF( OR( ISBLANK(G944),ISBLANK(H944), ISBLANK(I944), ISBLANK(J944), ISBLANK(K944) ), "", 1.5*SQRT( EXP(2.21*(G944-1)) + EXP(2.21*(H944-1)) + EXP(2.21*(I944-1)) + EXP(2.21*(J944-1)) + EXP(2.21*K944) )/100*2.45 )</f>
        <v>1.0195048044558224</v>
      </c>
      <c r="M944" s="20" t="s">
        <v>139</v>
      </c>
    </row>
    <row r="945" spans="1:13" x14ac:dyDescent="0.2">
      <c r="A945" s="48" t="s">
        <v>137</v>
      </c>
      <c r="B945" s="12" t="s">
        <v>30</v>
      </c>
      <c r="C945" s="32" t="s">
        <v>98</v>
      </c>
      <c r="D945" s="21">
        <v>877.59920848764659</v>
      </c>
      <c r="E945" s="15" t="s">
        <v>138</v>
      </c>
      <c r="F945" s="16" t="s">
        <v>16</v>
      </c>
      <c r="G945" s="22">
        <v>1</v>
      </c>
      <c r="H945" s="23">
        <v>1</v>
      </c>
      <c r="I945" s="23">
        <v>1</v>
      </c>
      <c r="J945" s="23">
        <v>2</v>
      </c>
      <c r="K945" s="23">
        <v>3</v>
      </c>
      <c r="L945" s="24">
        <f t="shared" si="35"/>
        <v>1.0195048044558224</v>
      </c>
      <c r="M945" s="20" t="s">
        <v>139</v>
      </c>
    </row>
    <row r="946" spans="1:13" x14ac:dyDescent="0.2">
      <c r="A946" s="48" t="s">
        <v>137</v>
      </c>
      <c r="B946" s="12" t="s">
        <v>32</v>
      </c>
      <c r="C946" s="32" t="s">
        <v>98</v>
      </c>
      <c r="D946" s="21">
        <v>64.21469126341448</v>
      </c>
      <c r="E946" s="15" t="s">
        <v>138</v>
      </c>
      <c r="F946" s="16" t="s">
        <v>16</v>
      </c>
      <c r="G946" s="22">
        <v>1</v>
      </c>
      <c r="H946" s="23">
        <v>1</v>
      </c>
      <c r="I946" s="23">
        <v>1</v>
      </c>
      <c r="J946" s="23">
        <v>2</v>
      </c>
      <c r="K946" s="23">
        <v>3</v>
      </c>
      <c r="L946" s="25">
        <f t="shared" si="35"/>
        <v>1.0195048044558224</v>
      </c>
      <c r="M946" s="20" t="s">
        <v>139</v>
      </c>
    </row>
    <row r="947" spans="1:13" x14ac:dyDescent="0.2">
      <c r="A947" s="48" t="s">
        <v>137</v>
      </c>
      <c r="B947" s="12" t="s">
        <v>34</v>
      </c>
      <c r="C947" s="32" t="s">
        <v>98</v>
      </c>
      <c r="D947" s="21">
        <v>107.50430916704769</v>
      </c>
      <c r="E947" s="15" t="s">
        <v>138</v>
      </c>
      <c r="F947" s="16" t="s">
        <v>16</v>
      </c>
      <c r="G947" s="22">
        <v>1</v>
      </c>
      <c r="H947" s="23">
        <v>1</v>
      </c>
      <c r="I947" s="23">
        <v>1</v>
      </c>
      <c r="J947" s="23">
        <v>2</v>
      </c>
      <c r="K947" s="23">
        <v>3</v>
      </c>
      <c r="L947" s="25">
        <f t="shared" si="35"/>
        <v>1.0195048044558224</v>
      </c>
      <c r="M947" s="20" t="s">
        <v>139</v>
      </c>
    </row>
    <row r="948" spans="1:13" x14ac:dyDescent="0.2">
      <c r="A948" s="48" t="s">
        <v>137</v>
      </c>
      <c r="B948" s="12" t="s">
        <v>36</v>
      </c>
      <c r="C948" s="32" t="s">
        <v>98</v>
      </c>
      <c r="D948" s="21">
        <v>70.751213044360625</v>
      </c>
      <c r="E948" s="15" t="s">
        <v>138</v>
      </c>
      <c r="F948" s="16" t="s">
        <v>16</v>
      </c>
      <c r="G948" s="22">
        <v>1</v>
      </c>
      <c r="H948" s="23">
        <v>1</v>
      </c>
      <c r="I948" s="23">
        <v>1</v>
      </c>
      <c r="J948" s="23">
        <v>2</v>
      </c>
      <c r="K948" s="23">
        <v>3</v>
      </c>
      <c r="L948" s="25">
        <f t="shared" si="35"/>
        <v>1.0195048044558224</v>
      </c>
      <c r="M948" s="20" t="s">
        <v>139</v>
      </c>
    </row>
    <row r="949" spans="1:13" x14ac:dyDescent="0.2">
      <c r="A949" s="48" t="s">
        <v>137</v>
      </c>
      <c r="B949" s="12" t="s">
        <v>37</v>
      </c>
      <c r="C949" s="32" t="s">
        <v>98</v>
      </c>
      <c r="D949" s="21">
        <v>462.46928773375822</v>
      </c>
      <c r="E949" s="15" t="s">
        <v>138</v>
      </c>
      <c r="F949" s="16" t="s">
        <v>16</v>
      </c>
      <c r="G949" s="22">
        <v>1</v>
      </c>
      <c r="H949" s="23">
        <v>1</v>
      </c>
      <c r="I949" s="23">
        <v>1</v>
      </c>
      <c r="J949" s="23">
        <v>2</v>
      </c>
      <c r="K949" s="23">
        <v>3</v>
      </c>
      <c r="L949" s="24">
        <f t="shared" si="35"/>
        <v>1.0195048044558224</v>
      </c>
      <c r="M949" s="20" t="s">
        <v>139</v>
      </c>
    </row>
    <row r="950" spans="1:13" x14ac:dyDescent="0.2">
      <c r="A950" s="48" t="s">
        <v>137</v>
      </c>
      <c r="B950" s="12" t="s">
        <v>39</v>
      </c>
      <c r="C950" s="32" t="s">
        <v>98</v>
      </c>
      <c r="D950" s="21">
        <v>10.87489717848376</v>
      </c>
      <c r="E950" s="15" t="s">
        <v>138</v>
      </c>
      <c r="F950" s="16" t="s">
        <v>16</v>
      </c>
      <c r="G950" s="22">
        <v>1</v>
      </c>
      <c r="H950" s="23">
        <v>1</v>
      </c>
      <c r="I950" s="23">
        <v>1</v>
      </c>
      <c r="J950" s="23">
        <v>2</v>
      </c>
      <c r="K950" s="23">
        <v>3</v>
      </c>
      <c r="L950" s="25">
        <f t="shared" si="35"/>
        <v>1.0195048044558224</v>
      </c>
      <c r="M950" s="20" t="s">
        <v>139</v>
      </c>
    </row>
    <row r="951" spans="1:13" x14ac:dyDescent="0.2">
      <c r="A951" s="48" t="s">
        <v>137</v>
      </c>
      <c r="B951" s="12" t="s">
        <v>40</v>
      </c>
      <c r="C951" s="32" t="s">
        <v>98</v>
      </c>
      <c r="D951" s="21">
        <v>19.967809222578762</v>
      </c>
      <c r="E951" s="15" t="s">
        <v>138</v>
      </c>
      <c r="F951" s="16" t="s">
        <v>16</v>
      </c>
      <c r="G951" s="22">
        <v>1</v>
      </c>
      <c r="H951" s="23">
        <v>1</v>
      </c>
      <c r="I951" s="23">
        <v>1</v>
      </c>
      <c r="J951" s="23">
        <v>2</v>
      </c>
      <c r="K951" s="23">
        <v>3</v>
      </c>
      <c r="L951" s="25">
        <f t="shared" si="35"/>
        <v>1.0195048044558224</v>
      </c>
      <c r="M951" s="20" t="s">
        <v>139</v>
      </c>
    </row>
    <row r="952" spans="1:13" x14ac:dyDescent="0.2">
      <c r="A952" s="48" t="s">
        <v>137</v>
      </c>
      <c r="B952" s="12" t="s">
        <v>41</v>
      </c>
      <c r="C952" s="32" t="s">
        <v>98</v>
      </c>
      <c r="D952" s="21">
        <v>5.6746973027710732</v>
      </c>
      <c r="E952" s="15" t="s">
        <v>138</v>
      </c>
      <c r="F952" s="16" t="s">
        <v>16</v>
      </c>
      <c r="G952" s="22">
        <v>1</v>
      </c>
      <c r="H952" s="23">
        <v>1</v>
      </c>
      <c r="I952" s="23">
        <v>1</v>
      </c>
      <c r="J952" s="23">
        <v>2</v>
      </c>
      <c r="K952" s="23">
        <v>3</v>
      </c>
      <c r="L952" s="25">
        <f t="shared" si="35"/>
        <v>1.0195048044558224</v>
      </c>
      <c r="M952" s="20" t="s">
        <v>139</v>
      </c>
    </row>
    <row r="953" spans="1:13" x14ac:dyDescent="0.2">
      <c r="A953" s="48" t="s">
        <v>137</v>
      </c>
      <c r="B953" s="12" t="s">
        <v>42</v>
      </c>
      <c r="C953" s="32" t="s">
        <v>98</v>
      </c>
      <c r="D953" s="21">
        <v>3.2740950085291689</v>
      </c>
      <c r="E953" s="15" t="s">
        <v>138</v>
      </c>
      <c r="F953" s="16" t="s">
        <v>16</v>
      </c>
      <c r="G953" s="22">
        <v>1</v>
      </c>
      <c r="H953" s="23">
        <v>1</v>
      </c>
      <c r="I953" s="23">
        <v>1</v>
      </c>
      <c r="J953" s="23">
        <v>2</v>
      </c>
      <c r="K953" s="23">
        <v>3</v>
      </c>
      <c r="L953" s="25">
        <f t="shared" si="35"/>
        <v>1.0195048044558224</v>
      </c>
      <c r="M953" s="20" t="s">
        <v>139</v>
      </c>
    </row>
    <row r="954" spans="1:13" x14ac:dyDescent="0.2">
      <c r="A954" s="48" t="s">
        <v>137</v>
      </c>
      <c r="B954" s="12" t="s">
        <v>43</v>
      </c>
      <c r="C954" s="32" t="s">
        <v>98</v>
      </c>
      <c r="D954" s="21">
        <v>151.58479313900219</v>
      </c>
      <c r="E954" s="15" t="s">
        <v>138</v>
      </c>
      <c r="F954" s="16" t="s">
        <v>16</v>
      </c>
      <c r="G954" s="22">
        <v>1</v>
      </c>
      <c r="H954" s="23">
        <v>1</v>
      </c>
      <c r="I954" s="23">
        <v>1</v>
      </c>
      <c r="J954" s="23">
        <v>2</v>
      </c>
      <c r="K954" s="23">
        <v>3</v>
      </c>
      <c r="L954" s="25">
        <f t="shared" si="35"/>
        <v>1.0195048044558224</v>
      </c>
      <c r="M954" s="20" t="s">
        <v>139</v>
      </c>
    </row>
    <row r="955" spans="1:13" x14ac:dyDescent="0.2">
      <c r="A955" s="48" t="s">
        <v>137</v>
      </c>
      <c r="B955" s="12" t="s">
        <v>45</v>
      </c>
      <c r="C955" s="32" t="s">
        <v>98</v>
      </c>
      <c r="D955" s="21">
        <v>57.412534205177849</v>
      </c>
      <c r="E955" s="15" t="s">
        <v>138</v>
      </c>
      <c r="F955" s="16" t="s">
        <v>16</v>
      </c>
      <c r="G955" s="22">
        <v>1</v>
      </c>
      <c r="H955" s="23">
        <v>1</v>
      </c>
      <c r="I955" s="23">
        <v>1</v>
      </c>
      <c r="J955" s="23">
        <v>2</v>
      </c>
      <c r="K955" s="23">
        <v>3</v>
      </c>
      <c r="L955" s="25">
        <f t="shared" si="35"/>
        <v>1.0195048044558224</v>
      </c>
      <c r="M955" s="20" t="s">
        <v>139</v>
      </c>
    </row>
    <row r="956" spans="1:13" x14ac:dyDescent="0.2">
      <c r="A956" s="48" t="s">
        <v>137</v>
      </c>
      <c r="B956" s="12" t="s">
        <v>46</v>
      </c>
      <c r="C956" s="32" t="s">
        <v>98</v>
      </c>
      <c r="D956" s="21">
        <v>261.26286979284731</v>
      </c>
      <c r="E956" s="15" t="s">
        <v>138</v>
      </c>
      <c r="F956" s="16" t="s">
        <v>16</v>
      </c>
      <c r="G956" s="22">
        <v>1</v>
      </c>
      <c r="H956" s="23">
        <v>1</v>
      </c>
      <c r="I956" s="23">
        <v>1</v>
      </c>
      <c r="J956" s="23">
        <v>2</v>
      </c>
      <c r="K956" s="23">
        <v>3</v>
      </c>
      <c r="L956" s="24">
        <f t="shared" si="35"/>
        <v>1.0195048044558224</v>
      </c>
      <c r="M956" s="20" t="s">
        <v>139</v>
      </c>
    </row>
    <row r="957" spans="1:13" x14ac:dyDescent="0.2">
      <c r="A957" s="48" t="s">
        <v>137</v>
      </c>
      <c r="B957" s="12" t="s">
        <v>48</v>
      </c>
      <c r="C957" s="32" t="s">
        <v>98</v>
      </c>
      <c r="D957" s="21">
        <v>96.250617299403075</v>
      </c>
      <c r="E957" s="15" t="s">
        <v>138</v>
      </c>
      <c r="F957" s="16" t="s">
        <v>16</v>
      </c>
      <c r="G957" s="22">
        <v>1</v>
      </c>
      <c r="H957" s="23">
        <v>1</v>
      </c>
      <c r="I957" s="23">
        <v>1</v>
      </c>
      <c r="J957" s="23">
        <v>2</v>
      </c>
      <c r="K957" s="23">
        <v>3</v>
      </c>
      <c r="L957" s="25">
        <f t="shared" si="35"/>
        <v>1.0195048044558224</v>
      </c>
      <c r="M957" s="20" t="s">
        <v>139</v>
      </c>
    </row>
    <row r="958" spans="1:13" x14ac:dyDescent="0.2">
      <c r="A958" s="48" t="s">
        <v>137</v>
      </c>
      <c r="B958" s="12" t="s">
        <v>50</v>
      </c>
      <c r="C958" s="32" t="s">
        <v>98</v>
      </c>
      <c r="D958" s="21">
        <v>111.8446432642926</v>
      </c>
      <c r="E958" s="15" t="s">
        <v>138</v>
      </c>
      <c r="F958" s="16" t="s">
        <v>16</v>
      </c>
      <c r="G958" s="22">
        <v>1</v>
      </c>
      <c r="H958" s="23">
        <v>1</v>
      </c>
      <c r="I958" s="23">
        <v>1</v>
      </c>
      <c r="J958" s="23">
        <v>2</v>
      </c>
      <c r="K958" s="23">
        <v>3</v>
      </c>
      <c r="L958" s="25">
        <f t="shared" si="35"/>
        <v>1.0195048044558224</v>
      </c>
      <c r="M958" s="20" t="s">
        <v>139</v>
      </c>
    </row>
    <row r="959" spans="1:13" x14ac:dyDescent="0.2">
      <c r="A959" s="48" t="s">
        <v>137</v>
      </c>
      <c r="B959" s="12" t="s">
        <v>52</v>
      </c>
      <c r="C959" s="32" t="s">
        <v>98</v>
      </c>
      <c r="D959" s="21">
        <v>29.733452148694312</v>
      </c>
      <c r="E959" s="15" t="s">
        <v>138</v>
      </c>
      <c r="F959" s="16" t="s">
        <v>16</v>
      </c>
      <c r="G959" s="22">
        <v>1</v>
      </c>
      <c r="H959" s="23">
        <v>1</v>
      </c>
      <c r="I959" s="23">
        <v>1</v>
      </c>
      <c r="J959" s="23">
        <v>2</v>
      </c>
      <c r="K959" s="23">
        <v>3</v>
      </c>
      <c r="L959" s="25">
        <f t="shared" si="35"/>
        <v>1.0195048044558224</v>
      </c>
      <c r="M959" s="20" t="s">
        <v>139</v>
      </c>
    </row>
    <row r="960" spans="1:13" x14ac:dyDescent="0.2">
      <c r="A960" s="48" t="s">
        <v>137</v>
      </c>
      <c r="B960" s="12" t="s">
        <v>54</v>
      </c>
      <c r="C960" s="32" t="s">
        <v>98</v>
      </c>
      <c r="D960" s="21">
        <v>11.51020522052959</v>
      </c>
      <c r="E960" s="15" t="s">
        <v>138</v>
      </c>
      <c r="F960" s="16" t="s">
        <v>16</v>
      </c>
      <c r="G960" s="22">
        <v>1</v>
      </c>
      <c r="H960" s="23">
        <v>1</v>
      </c>
      <c r="I960" s="23">
        <v>1</v>
      </c>
      <c r="J960" s="23">
        <v>2</v>
      </c>
      <c r="K960" s="23">
        <v>3</v>
      </c>
      <c r="L960" s="25">
        <f t="shared" si="35"/>
        <v>1.0195048044558224</v>
      </c>
      <c r="M960" s="20" t="s">
        <v>139</v>
      </c>
    </row>
    <row r="961" spans="1:13" x14ac:dyDescent="0.2">
      <c r="A961" s="48" t="s">
        <v>137</v>
      </c>
      <c r="B961" s="12" t="s">
        <v>55</v>
      </c>
      <c r="C961" s="32" t="s">
        <v>98</v>
      </c>
      <c r="D961" s="21">
        <v>352.90881944963462</v>
      </c>
      <c r="E961" s="15" t="s">
        <v>138</v>
      </c>
      <c r="F961" s="16" t="s">
        <v>16</v>
      </c>
      <c r="G961" s="22">
        <v>1</v>
      </c>
      <c r="H961" s="23">
        <v>1</v>
      </c>
      <c r="I961" s="23">
        <v>1</v>
      </c>
      <c r="J961" s="23">
        <v>2</v>
      </c>
      <c r="K961" s="23">
        <v>3</v>
      </c>
      <c r="L961" s="24">
        <f t="shared" si="35"/>
        <v>1.0195048044558224</v>
      </c>
      <c r="M961" s="20" t="s">
        <v>139</v>
      </c>
    </row>
    <row r="962" spans="1:13" x14ac:dyDescent="0.2">
      <c r="A962" s="48" t="s">
        <v>137</v>
      </c>
      <c r="B962" s="12" t="s">
        <v>57</v>
      </c>
      <c r="C962" s="32" t="s">
        <v>98</v>
      </c>
      <c r="D962" s="21">
        <v>57.556133283702771</v>
      </c>
      <c r="E962" s="15" t="s">
        <v>138</v>
      </c>
      <c r="F962" s="16" t="s">
        <v>16</v>
      </c>
      <c r="G962" s="22">
        <v>1</v>
      </c>
      <c r="H962" s="23">
        <v>1</v>
      </c>
      <c r="I962" s="23">
        <v>1</v>
      </c>
      <c r="J962" s="23">
        <v>2</v>
      </c>
      <c r="K962" s="23">
        <v>3</v>
      </c>
      <c r="L962" s="25">
        <f t="shared" si="35"/>
        <v>1.0195048044558224</v>
      </c>
      <c r="M962" s="20" t="s">
        <v>139</v>
      </c>
    </row>
    <row r="963" spans="1:13" x14ac:dyDescent="0.2">
      <c r="A963" s="48" t="s">
        <v>137</v>
      </c>
      <c r="B963" s="12" t="s">
        <v>59</v>
      </c>
      <c r="C963" s="32" t="s">
        <v>98</v>
      </c>
      <c r="D963" s="21">
        <v>86.605350041951439</v>
      </c>
      <c r="E963" s="15" t="s">
        <v>138</v>
      </c>
      <c r="F963" s="16" t="s">
        <v>16</v>
      </c>
      <c r="G963" s="22">
        <v>1</v>
      </c>
      <c r="H963" s="23">
        <v>1</v>
      </c>
      <c r="I963" s="23">
        <v>1</v>
      </c>
      <c r="J963" s="23">
        <v>2</v>
      </c>
      <c r="K963" s="23">
        <v>3</v>
      </c>
      <c r="L963" s="25">
        <f t="shared" si="35"/>
        <v>1.0195048044558224</v>
      </c>
      <c r="M963" s="20" t="s">
        <v>139</v>
      </c>
    </row>
    <row r="964" spans="1:13" x14ac:dyDescent="0.2">
      <c r="A964" s="49" t="s">
        <v>137</v>
      </c>
      <c r="B964" s="34" t="s">
        <v>60</v>
      </c>
      <c r="C964" s="35" t="s">
        <v>98</v>
      </c>
      <c r="D964" s="36">
        <v>457.33557666389089</v>
      </c>
      <c r="E964" s="37" t="s">
        <v>138</v>
      </c>
      <c r="F964" s="38" t="s">
        <v>16</v>
      </c>
      <c r="G964" s="39">
        <v>1</v>
      </c>
      <c r="H964" s="40">
        <v>2</v>
      </c>
      <c r="I964" s="40">
        <v>1</v>
      </c>
      <c r="J964" s="40">
        <v>2</v>
      </c>
      <c r="K964" s="40">
        <v>3</v>
      </c>
      <c r="L964" s="41">
        <f t="shared" si="35"/>
        <v>1.0248662490928169</v>
      </c>
      <c r="M964" s="42" t="s">
        <v>139</v>
      </c>
    </row>
    <row r="965" spans="1:13" x14ac:dyDescent="0.2">
      <c r="A965" s="48" t="s">
        <v>140</v>
      </c>
      <c r="B965" s="12" t="s">
        <v>13</v>
      </c>
      <c r="C965" s="13" t="s">
        <v>14</v>
      </c>
      <c r="D965" s="44">
        <v>5.0245772570491152</v>
      </c>
      <c r="E965" s="15" t="s">
        <v>138</v>
      </c>
      <c r="F965" s="16" t="s">
        <v>16</v>
      </c>
      <c r="G965" s="22">
        <v>1</v>
      </c>
      <c r="H965" s="23">
        <v>1</v>
      </c>
      <c r="I965" s="23">
        <v>1</v>
      </c>
      <c r="J965" s="23">
        <v>2</v>
      </c>
      <c r="K965" s="23">
        <v>3</v>
      </c>
      <c r="L965" s="25">
        <f t="shared" si="35"/>
        <v>1.0195048044558224</v>
      </c>
      <c r="M965" s="20" t="s">
        <v>139</v>
      </c>
    </row>
    <row r="966" spans="1:13" x14ac:dyDescent="0.2">
      <c r="A966" s="48" t="s">
        <v>140</v>
      </c>
      <c r="B966" s="12" t="s">
        <v>18</v>
      </c>
      <c r="C966" s="13" t="s">
        <v>14</v>
      </c>
      <c r="D966" s="44">
        <v>6.7726364981351734</v>
      </c>
      <c r="E966" s="15" t="s">
        <v>138</v>
      </c>
      <c r="F966" s="16" t="s">
        <v>16</v>
      </c>
      <c r="G966" s="22">
        <v>1</v>
      </c>
      <c r="H966" s="23">
        <v>1</v>
      </c>
      <c r="I966" s="23">
        <v>1</v>
      </c>
      <c r="J966" s="23">
        <v>2</v>
      </c>
      <c r="K966" s="23">
        <v>3</v>
      </c>
      <c r="L966" s="25">
        <f t="shared" si="35"/>
        <v>1.0195048044558224</v>
      </c>
      <c r="M966" s="20" t="s">
        <v>139</v>
      </c>
    </row>
    <row r="967" spans="1:13" x14ac:dyDescent="0.2">
      <c r="A967" s="48" t="s">
        <v>140</v>
      </c>
      <c r="B967" s="12" t="s">
        <v>20</v>
      </c>
      <c r="C967" s="13" t="s">
        <v>14</v>
      </c>
      <c r="D967" s="44">
        <v>2.5698364204435369</v>
      </c>
      <c r="E967" s="15" t="s">
        <v>138</v>
      </c>
      <c r="F967" s="16" t="s">
        <v>16</v>
      </c>
      <c r="G967" s="22">
        <v>1</v>
      </c>
      <c r="H967" s="23">
        <v>1</v>
      </c>
      <c r="I967" s="23">
        <v>1</v>
      </c>
      <c r="J967" s="23">
        <v>2</v>
      </c>
      <c r="K967" s="23">
        <v>3</v>
      </c>
      <c r="L967" s="25">
        <f t="shared" si="35"/>
        <v>1.0195048044558224</v>
      </c>
      <c r="M967" s="20" t="s">
        <v>139</v>
      </c>
    </row>
    <row r="968" spans="1:13" x14ac:dyDescent="0.2">
      <c r="A968" s="48" t="s">
        <v>140</v>
      </c>
      <c r="B968" s="12" t="s">
        <v>22</v>
      </c>
      <c r="C968" s="13" t="s">
        <v>14</v>
      </c>
      <c r="D968" s="44">
        <v>1.113857324515301</v>
      </c>
      <c r="E968" s="15" t="s">
        <v>138</v>
      </c>
      <c r="F968" s="16" t="s">
        <v>16</v>
      </c>
      <c r="G968" s="22">
        <v>1</v>
      </c>
      <c r="H968" s="23">
        <v>1</v>
      </c>
      <c r="I968" s="23">
        <v>1</v>
      </c>
      <c r="J968" s="23">
        <v>2</v>
      </c>
      <c r="K968" s="23">
        <v>3</v>
      </c>
      <c r="L968" s="25">
        <f t="shared" si="35"/>
        <v>1.0195048044558224</v>
      </c>
      <c r="M968" s="20" t="s">
        <v>139</v>
      </c>
    </row>
    <row r="969" spans="1:13" x14ac:dyDescent="0.2">
      <c r="A969" s="48" t="s">
        <v>140</v>
      </c>
      <c r="B969" s="12" t="s">
        <v>23</v>
      </c>
      <c r="C969" s="13" t="s">
        <v>14</v>
      </c>
      <c r="D969" s="44">
        <v>0.30792579676665599</v>
      </c>
      <c r="E969" s="15" t="s">
        <v>138</v>
      </c>
      <c r="F969" s="16" t="s">
        <v>16</v>
      </c>
      <c r="G969" s="22">
        <v>1</v>
      </c>
      <c r="H969" s="23">
        <v>1</v>
      </c>
      <c r="I969" s="23">
        <v>1</v>
      </c>
      <c r="J969" s="23">
        <v>2</v>
      </c>
      <c r="K969" s="23">
        <v>3</v>
      </c>
      <c r="L969" s="25">
        <f t="shared" si="35"/>
        <v>1.0195048044558224</v>
      </c>
      <c r="M969" s="20" t="s">
        <v>139</v>
      </c>
    </row>
    <row r="970" spans="1:13" x14ac:dyDescent="0.2">
      <c r="A970" s="48" t="s">
        <v>140</v>
      </c>
      <c r="B970" s="12" t="s">
        <v>24</v>
      </c>
      <c r="C970" s="13" t="s">
        <v>14</v>
      </c>
      <c r="D970" s="44">
        <v>4.4478614331789341</v>
      </c>
      <c r="E970" s="15" t="s">
        <v>138</v>
      </c>
      <c r="F970" s="16" t="s">
        <v>16</v>
      </c>
      <c r="G970" s="22">
        <v>1</v>
      </c>
      <c r="H970" s="23">
        <v>1</v>
      </c>
      <c r="I970" s="23">
        <v>1</v>
      </c>
      <c r="J970" s="23">
        <v>2</v>
      </c>
      <c r="K970" s="23">
        <v>3</v>
      </c>
      <c r="L970" s="25">
        <f t="shared" si="35"/>
        <v>1.0195048044558224</v>
      </c>
      <c r="M970" s="20" t="s">
        <v>139</v>
      </c>
    </row>
    <row r="971" spans="1:13" x14ac:dyDescent="0.2">
      <c r="A971" s="48" t="s">
        <v>140</v>
      </c>
      <c r="B971" s="12" t="s">
        <v>25</v>
      </c>
      <c r="C971" s="13" t="s">
        <v>14</v>
      </c>
      <c r="D971" s="44">
        <v>3.847291517702363</v>
      </c>
      <c r="E971" s="15" t="s">
        <v>138</v>
      </c>
      <c r="F971" s="16" t="s">
        <v>16</v>
      </c>
      <c r="G971" s="22">
        <v>1</v>
      </c>
      <c r="H971" s="23">
        <v>1</v>
      </c>
      <c r="I971" s="23">
        <v>1</v>
      </c>
      <c r="J971" s="23">
        <v>2</v>
      </c>
      <c r="K971" s="23">
        <v>3</v>
      </c>
      <c r="L971" s="25">
        <f t="shared" si="35"/>
        <v>1.0195048044558224</v>
      </c>
      <c r="M971" s="20" t="s">
        <v>139</v>
      </c>
    </row>
    <row r="972" spans="1:13" x14ac:dyDescent="0.2">
      <c r="A972" s="48" t="s">
        <v>140</v>
      </c>
      <c r="B972" s="12" t="s">
        <v>26</v>
      </c>
      <c r="C972" s="13" t="s">
        <v>14</v>
      </c>
      <c r="D972" s="44">
        <v>0.9015178082121269</v>
      </c>
      <c r="E972" s="15" t="s">
        <v>138</v>
      </c>
      <c r="F972" s="16" t="s">
        <v>16</v>
      </c>
      <c r="G972" s="22">
        <v>1</v>
      </c>
      <c r="H972" s="23">
        <v>1</v>
      </c>
      <c r="I972" s="23">
        <v>1</v>
      </c>
      <c r="J972" s="23">
        <v>2</v>
      </c>
      <c r="K972" s="23">
        <v>3</v>
      </c>
      <c r="L972" s="25">
        <f t="shared" si="35"/>
        <v>1.0195048044558224</v>
      </c>
      <c r="M972" s="20" t="s">
        <v>139</v>
      </c>
    </row>
    <row r="973" spans="1:13" x14ac:dyDescent="0.2">
      <c r="A973" s="48" t="s">
        <v>140</v>
      </c>
      <c r="B973" s="12" t="s">
        <v>27</v>
      </c>
      <c r="C973" s="13" t="s">
        <v>14</v>
      </c>
      <c r="D973" s="44">
        <v>2.6411407640884401</v>
      </c>
      <c r="E973" s="15" t="s">
        <v>138</v>
      </c>
      <c r="F973" s="16" t="s">
        <v>16</v>
      </c>
      <c r="G973" s="22">
        <v>1</v>
      </c>
      <c r="H973" s="23">
        <v>1</v>
      </c>
      <c r="I973" s="23">
        <v>1</v>
      </c>
      <c r="J973" s="23">
        <v>2</v>
      </c>
      <c r="K973" s="23">
        <v>3</v>
      </c>
      <c r="L973" s="25">
        <f t="shared" si="35"/>
        <v>1.0195048044558224</v>
      </c>
      <c r="M973" s="20" t="s">
        <v>139</v>
      </c>
    </row>
    <row r="974" spans="1:13" x14ac:dyDescent="0.2">
      <c r="A974" s="48" t="s">
        <v>140</v>
      </c>
      <c r="B974" s="12" t="s">
        <v>28</v>
      </c>
      <c r="C974" s="13" t="s">
        <v>14</v>
      </c>
      <c r="D974" s="44">
        <v>36.088569639369268</v>
      </c>
      <c r="E974" s="15" t="s">
        <v>138</v>
      </c>
      <c r="F974" s="16" t="s">
        <v>16</v>
      </c>
      <c r="G974" s="22">
        <v>1</v>
      </c>
      <c r="H974" s="23">
        <v>1</v>
      </c>
      <c r="I974" s="23">
        <v>1</v>
      </c>
      <c r="J974" s="23">
        <v>2</v>
      </c>
      <c r="K974" s="23">
        <v>3</v>
      </c>
      <c r="L974" s="25">
        <f t="shared" si="35"/>
        <v>1.0195048044558224</v>
      </c>
      <c r="M974" s="20" t="s">
        <v>139</v>
      </c>
    </row>
    <row r="975" spans="1:13" x14ac:dyDescent="0.2">
      <c r="A975" s="48" t="s">
        <v>140</v>
      </c>
      <c r="B975" s="12" t="s">
        <v>30</v>
      </c>
      <c r="C975" s="13" t="s">
        <v>14</v>
      </c>
      <c r="D975" s="44">
        <v>63.668176329960033</v>
      </c>
      <c r="E975" s="15" t="s">
        <v>138</v>
      </c>
      <c r="F975" s="16" t="s">
        <v>16</v>
      </c>
      <c r="G975" s="22">
        <v>1</v>
      </c>
      <c r="H975" s="23">
        <v>1</v>
      </c>
      <c r="I975" s="23">
        <v>1</v>
      </c>
      <c r="J975" s="23">
        <v>2</v>
      </c>
      <c r="K975" s="23">
        <v>3</v>
      </c>
      <c r="L975" s="24">
        <f t="shared" si="35"/>
        <v>1.0195048044558224</v>
      </c>
      <c r="M975" s="20" t="s">
        <v>139</v>
      </c>
    </row>
    <row r="976" spans="1:13" x14ac:dyDescent="0.2">
      <c r="A976" s="48" t="s">
        <v>140</v>
      </c>
      <c r="B976" s="12" t="s">
        <v>32</v>
      </c>
      <c r="C976" s="13" t="s">
        <v>14</v>
      </c>
      <c r="D976" s="44">
        <v>4.6586553939338096</v>
      </c>
      <c r="E976" s="15" t="s">
        <v>138</v>
      </c>
      <c r="F976" s="16" t="s">
        <v>16</v>
      </c>
      <c r="G976" s="22">
        <v>1</v>
      </c>
      <c r="H976" s="23">
        <v>1</v>
      </c>
      <c r="I976" s="23">
        <v>1</v>
      </c>
      <c r="J976" s="23">
        <v>2</v>
      </c>
      <c r="K976" s="23">
        <v>3</v>
      </c>
      <c r="L976" s="25">
        <f t="shared" si="35"/>
        <v>1.0195048044558224</v>
      </c>
      <c r="M976" s="20" t="s">
        <v>139</v>
      </c>
    </row>
    <row r="977" spans="1:13" x14ac:dyDescent="0.2">
      <c r="A977" s="48" t="s">
        <v>140</v>
      </c>
      <c r="B977" s="12" t="s">
        <v>34</v>
      </c>
      <c r="C977" s="13" t="s">
        <v>14</v>
      </c>
      <c r="D977" s="44">
        <v>7.7992359679463856</v>
      </c>
      <c r="E977" s="15" t="s">
        <v>138</v>
      </c>
      <c r="F977" s="16" t="s">
        <v>16</v>
      </c>
      <c r="G977" s="22">
        <v>1</v>
      </c>
      <c r="H977" s="23">
        <v>1</v>
      </c>
      <c r="I977" s="23">
        <v>1</v>
      </c>
      <c r="J977" s="23">
        <v>2</v>
      </c>
      <c r="K977" s="23">
        <v>3</v>
      </c>
      <c r="L977" s="25">
        <f t="shared" si="35"/>
        <v>1.0195048044558224</v>
      </c>
      <c r="M977" s="20" t="s">
        <v>139</v>
      </c>
    </row>
    <row r="978" spans="1:13" x14ac:dyDescent="0.2">
      <c r="A978" s="48" t="s">
        <v>140</v>
      </c>
      <c r="B978" s="12" t="s">
        <v>36</v>
      </c>
      <c r="C978" s="13" t="s">
        <v>14</v>
      </c>
      <c r="D978" s="44">
        <v>5.1328677875970632</v>
      </c>
      <c r="E978" s="15" t="s">
        <v>138</v>
      </c>
      <c r="F978" s="16" t="s">
        <v>16</v>
      </c>
      <c r="G978" s="22">
        <v>1</v>
      </c>
      <c r="H978" s="23">
        <v>1</v>
      </c>
      <c r="I978" s="23">
        <v>1</v>
      </c>
      <c r="J978" s="23">
        <v>2</v>
      </c>
      <c r="K978" s="23">
        <v>3</v>
      </c>
      <c r="L978" s="25">
        <f t="shared" si="35"/>
        <v>1.0195048044558224</v>
      </c>
      <c r="M978" s="20" t="s">
        <v>139</v>
      </c>
    </row>
    <row r="979" spans="1:13" x14ac:dyDescent="0.2">
      <c r="A979" s="48" t="s">
        <v>140</v>
      </c>
      <c r="B979" s="12" t="s">
        <v>37</v>
      </c>
      <c r="C979" s="13" t="s">
        <v>14</v>
      </c>
      <c r="D979" s="44">
        <v>33.551279301362783</v>
      </c>
      <c r="E979" s="15" t="s">
        <v>138</v>
      </c>
      <c r="F979" s="16" t="s">
        <v>16</v>
      </c>
      <c r="G979" s="22">
        <v>1</v>
      </c>
      <c r="H979" s="23">
        <v>1</v>
      </c>
      <c r="I979" s="23">
        <v>1</v>
      </c>
      <c r="J979" s="23">
        <v>2</v>
      </c>
      <c r="K979" s="23">
        <v>3</v>
      </c>
      <c r="L979" s="24">
        <f t="shared" si="35"/>
        <v>1.0195048044558224</v>
      </c>
      <c r="M979" s="20" t="s">
        <v>139</v>
      </c>
    </row>
    <row r="980" spans="1:13" x14ac:dyDescent="0.2">
      <c r="A980" s="48" t="s">
        <v>140</v>
      </c>
      <c r="B980" s="12" t="s">
        <v>39</v>
      </c>
      <c r="C980" s="13" t="s">
        <v>14</v>
      </c>
      <c r="D980" s="44">
        <v>0.78895339060647629</v>
      </c>
      <c r="E980" s="15" t="s">
        <v>138</v>
      </c>
      <c r="F980" s="16" t="s">
        <v>16</v>
      </c>
      <c r="G980" s="22">
        <v>1</v>
      </c>
      <c r="H980" s="23">
        <v>1</v>
      </c>
      <c r="I980" s="23">
        <v>1</v>
      </c>
      <c r="J980" s="23">
        <v>2</v>
      </c>
      <c r="K980" s="23">
        <v>3</v>
      </c>
      <c r="L980" s="25">
        <f t="shared" si="35"/>
        <v>1.0195048044558224</v>
      </c>
      <c r="M980" s="20" t="s">
        <v>139</v>
      </c>
    </row>
    <row r="981" spans="1:13" x14ac:dyDescent="0.2">
      <c r="A981" s="48" t="s">
        <v>140</v>
      </c>
      <c r="B981" s="12" t="s">
        <v>40</v>
      </c>
      <c r="C981" s="13" t="s">
        <v>14</v>
      </c>
      <c r="D981" s="44">
        <v>1.448627102452591</v>
      </c>
      <c r="E981" s="15" t="s">
        <v>138</v>
      </c>
      <c r="F981" s="16" t="s">
        <v>16</v>
      </c>
      <c r="G981" s="22">
        <v>1</v>
      </c>
      <c r="H981" s="23">
        <v>1</v>
      </c>
      <c r="I981" s="23">
        <v>1</v>
      </c>
      <c r="J981" s="23">
        <v>2</v>
      </c>
      <c r="K981" s="23">
        <v>3</v>
      </c>
      <c r="L981" s="25">
        <f t="shared" si="35"/>
        <v>1.0195048044558224</v>
      </c>
      <c r="M981" s="20" t="s">
        <v>139</v>
      </c>
    </row>
    <row r="982" spans="1:13" x14ac:dyDescent="0.2">
      <c r="A982" s="48" t="s">
        <v>140</v>
      </c>
      <c r="B982" s="12" t="s">
        <v>41</v>
      </c>
      <c r="C982" s="13" t="s">
        <v>14</v>
      </c>
      <c r="D982" s="44">
        <v>0.41168864442641873</v>
      </c>
      <c r="E982" s="15" t="s">
        <v>138</v>
      </c>
      <c r="F982" s="16" t="s">
        <v>16</v>
      </c>
      <c r="G982" s="22">
        <v>1</v>
      </c>
      <c r="H982" s="23">
        <v>1</v>
      </c>
      <c r="I982" s="23">
        <v>1</v>
      </c>
      <c r="J982" s="23">
        <v>2</v>
      </c>
      <c r="K982" s="23">
        <v>3</v>
      </c>
      <c r="L982" s="25">
        <f t="shared" si="35"/>
        <v>1.0195048044558224</v>
      </c>
      <c r="M982" s="20" t="s">
        <v>139</v>
      </c>
    </row>
    <row r="983" spans="1:13" x14ac:dyDescent="0.2">
      <c r="A983" s="48" t="s">
        <v>140</v>
      </c>
      <c r="B983" s="12" t="s">
        <v>42</v>
      </c>
      <c r="C983" s="13" t="s">
        <v>14</v>
      </c>
      <c r="D983" s="44">
        <v>0.23752945115265731</v>
      </c>
      <c r="E983" s="15" t="s">
        <v>138</v>
      </c>
      <c r="F983" s="16" t="s">
        <v>16</v>
      </c>
      <c r="G983" s="22">
        <v>1</v>
      </c>
      <c r="H983" s="23">
        <v>1</v>
      </c>
      <c r="I983" s="23">
        <v>1</v>
      </c>
      <c r="J983" s="23">
        <v>2</v>
      </c>
      <c r="K983" s="23">
        <v>3</v>
      </c>
      <c r="L983" s="25">
        <f t="shared" si="35"/>
        <v>1.0195048044558224</v>
      </c>
      <c r="M983" s="20" t="s">
        <v>139</v>
      </c>
    </row>
    <row r="984" spans="1:13" x14ac:dyDescent="0.2">
      <c r="A984" s="48" t="s">
        <v>140</v>
      </c>
      <c r="B984" s="12" t="s">
        <v>43</v>
      </c>
      <c r="C984" s="13" t="s">
        <v>14</v>
      </c>
      <c r="D984" s="44">
        <v>10.997192391668349</v>
      </c>
      <c r="E984" s="15" t="s">
        <v>138</v>
      </c>
      <c r="F984" s="16" t="s">
        <v>16</v>
      </c>
      <c r="G984" s="22">
        <v>1</v>
      </c>
      <c r="H984" s="23">
        <v>1</v>
      </c>
      <c r="I984" s="23">
        <v>1</v>
      </c>
      <c r="J984" s="23">
        <v>2</v>
      </c>
      <c r="K984" s="23">
        <v>3</v>
      </c>
      <c r="L984" s="25">
        <f t="shared" si="35"/>
        <v>1.0195048044558224</v>
      </c>
      <c r="M984" s="20" t="s">
        <v>139</v>
      </c>
    </row>
    <row r="985" spans="1:13" x14ac:dyDescent="0.2">
      <c r="A985" s="48" t="s">
        <v>140</v>
      </c>
      <c r="B985" s="12" t="s">
        <v>45</v>
      </c>
      <c r="C985" s="13" t="s">
        <v>14</v>
      </c>
      <c r="D985" s="44">
        <v>4.1651716591954733</v>
      </c>
      <c r="E985" s="15" t="s">
        <v>138</v>
      </c>
      <c r="F985" s="16" t="s">
        <v>16</v>
      </c>
      <c r="G985" s="22">
        <v>1</v>
      </c>
      <c r="H985" s="23">
        <v>1</v>
      </c>
      <c r="I985" s="23">
        <v>1</v>
      </c>
      <c r="J985" s="23">
        <v>2</v>
      </c>
      <c r="K985" s="23">
        <v>3</v>
      </c>
      <c r="L985" s="25">
        <f t="shared" si="35"/>
        <v>1.0195048044558224</v>
      </c>
      <c r="M985" s="20" t="s">
        <v>139</v>
      </c>
    </row>
    <row r="986" spans="1:13" x14ac:dyDescent="0.2">
      <c r="A986" s="48" t="s">
        <v>140</v>
      </c>
      <c r="B986" s="12" t="s">
        <v>46</v>
      </c>
      <c r="C986" s="13" t="s">
        <v>14</v>
      </c>
      <c r="D986" s="44">
        <v>18.954131113116809</v>
      </c>
      <c r="E986" s="15" t="s">
        <v>138</v>
      </c>
      <c r="F986" s="16" t="s">
        <v>16</v>
      </c>
      <c r="G986" s="22">
        <v>1</v>
      </c>
      <c r="H986" s="23">
        <v>1</v>
      </c>
      <c r="I986" s="23">
        <v>1</v>
      </c>
      <c r="J986" s="23">
        <v>2</v>
      </c>
      <c r="K986" s="23">
        <v>3</v>
      </c>
      <c r="L986" s="24">
        <f t="shared" si="35"/>
        <v>1.0195048044558224</v>
      </c>
      <c r="M986" s="20" t="s">
        <v>139</v>
      </c>
    </row>
    <row r="987" spans="1:13" x14ac:dyDescent="0.2">
      <c r="A987" s="48" t="s">
        <v>140</v>
      </c>
      <c r="B987" s="12" t="s">
        <v>48</v>
      </c>
      <c r="C987" s="13" t="s">
        <v>14</v>
      </c>
      <c r="D987" s="44">
        <v>6.9828017332038854</v>
      </c>
      <c r="E987" s="15" t="s">
        <v>138</v>
      </c>
      <c r="F987" s="16" t="s">
        <v>16</v>
      </c>
      <c r="G987" s="22">
        <v>1</v>
      </c>
      <c r="H987" s="23">
        <v>1</v>
      </c>
      <c r="I987" s="23">
        <v>1</v>
      </c>
      <c r="J987" s="23">
        <v>2</v>
      </c>
      <c r="K987" s="23">
        <v>3</v>
      </c>
      <c r="L987" s="25">
        <f t="shared" si="35"/>
        <v>1.0195048044558224</v>
      </c>
      <c r="M987" s="20" t="s">
        <v>139</v>
      </c>
    </row>
    <row r="988" spans="1:13" x14ac:dyDescent="0.2">
      <c r="A988" s="48" t="s">
        <v>140</v>
      </c>
      <c r="B988" s="12" t="s">
        <v>50</v>
      </c>
      <c r="C988" s="13" t="s">
        <v>14</v>
      </c>
      <c r="D988" s="44">
        <v>8.1141190648791373</v>
      </c>
      <c r="E988" s="15" t="s">
        <v>138</v>
      </c>
      <c r="F988" s="16" t="s">
        <v>16</v>
      </c>
      <c r="G988" s="22">
        <v>1</v>
      </c>
      <c r="H988" s="23">
        <v>1</v>
      </c>
      <c r="I988" s="23">
        <v>1</v>
      </c>
      <c r="J988" s="23">
        <v>2</v>
      </c>
      <c r="K988" s="23">
        <v>3</v>
      </c>
      <c r="L988" s="25">
        <f t="shared" si="35"/>
        <v>1.0195048044558224</v>
      </c>
      <c r="M988" s="20" t="s">
        <v>139</v>
      </c>
    </row>
    <row r="989" spans="1:13" x14ac:dyDescent="0.2">
      <c r="A989" s="48" t="s">
        <v>140</v>
      </c>
      <c r="B989" s="12" t="s">
        <v>52</v>
      </c>
      <c r="C989" s="13" t="s">
        <v>14</v>
      </c>
      <c r="D989" s="44">
        <v>2.1571061778460412</v>
      </c>
      <c r="E989" s="15" t="s">
        <v>138</v>
      </c>
      <c r="F989" s="16" t="s">
        <v>16</v>
      </c>
      <c r="G989" s="22">
        <v>1</v>
      </c>
      <c r="H989" s="23">
        <v>1</v>
      </c>
      <c r="I989" s="23">
        <v>1</v>
      </c>
      <c r="J989" s="23">
        <v>2</v>
      </c>
      <c r="K989" s="23">
        <v>3</v>
      </c>
      <c r="L989" s="25">
        <f t="shared" si="35"/>
        <v>1.0195048044558224</v>
      </c>
      <c r="M989" s="20" t="s">
        <v>139</v>
      </c>
    </row>
    <row r="990" spans="1:13" x14ac:dyDescent="0.2">
      <c r="A990" s="48" t="s">
        <v>140</v>
      </c>
      <c r="B990" s="12" t="s">
        <v>54</v>
      </c>
      <c r="C990" s="13" t="s">
        <v>14</v>
      </c>
      <c r="D990" s="44">
        <v>0.835043797313338</v>
      </c>
      <c r="E990" s="15" t="s">
        <v>138</v>
      </c>
      <c r="F990" s="16" t="s">
        <v>16</v>
      </c>
      <c r="G990" s="22">
        <v>1</v>
      </c>
      <c r="H990" s="23">
        <v>1</v>
      </c>
      <c r="I990" s="23">
        <v>1</v>
      </c>
      <c r="J990" s="23">
        <v>2</v>
      </c>
      <c r="K990" s="23">
        <v>3</v>
      </c>
      <c r="L990" s="25">
        <f t="shared" si="35"/>
        <v>1.0195048044558224</v>
      </c>
      <c r="M990" s="20" t="s">
        <v>139</v>
      </c>
    </row>
    <row r="991" spans="1:13" x14ac:dyDescent="0.2">
      <c r="A991" s="48" t="s">
        <v>140</v>
      </c>
      <c r="B991" s="12" t="s">
        <v>55</v>
      </c>
      <c r="C991" s="13" t="s">
        <v>14</v>
      </c>
      <c r="D991" s="44">
        <v>25.60287284652177</v>
      </c>
      <c r="E991" s="15" t="s">
        <v>138</v>
      </c>
      <c r="F991" s="16" t="s">
        <v>16</v>
      </c>
      <c r="G991" s="22">
        <v>1</v>
      </c>
      <c r="H991" s="23">
        <v>1</v>
      </c>
      <c r="I991" s="23">
        <v>1</v>
      </c>
      <c r="J991" s="23">
        <v>2</v>
      </c>
      <c r="K991" s="23">
        <v>3</v>
      </c>
      <c r="L991" s="24">
        <f t="shared" si="35"/>
        <v>1.0195048044558224</v>
      </c>
      <c r="M991" s="20" t="s">
        <v>139</v>
      </c>
    </row>
    <row r="992" spans="1:13" x14ac:dyDescent="0.2">
      <c r="A992" s="48" t="s">
        <v>140</v>
      </c>
      <c r="B992" s="12" t="s">
        <v>57</v>
      </c>
      <c r="C992" s="13" t="s">
        <v>14</v>
      </c>
      <c r="D992" s="44">
        <v>4.1755895029719046</v>
      </c>
      <c r="E992" s="15" t="s">
        <v>138</v>
      </c>
      <c r="F992" s="16" t="s">
        <v>16</v>
      </c>
      <c r="G992" s="22">
        <v>1</v>
      </c>
      <c r="H992" s="23">
        <v>1</v>
      </c>
      <c r="I992" s="23">
        <v>1</v>
      </c>
      <c r="J992" s="23">
        <v>2</v>
      </c>
      <c r="K992" s="23">
        <v>3</v>
      </c>
      <c r="L992" s="25">
        <f t="shared" si="35"/>
        <v>1.0195048044558224</v>
      </c>
      <c r="M992" s="20" t="s">
        <v>139</v>
      </c>
    </row>
    <row r="993" spans="1:13" x14ac:dyDescent="0.2">
      <c r="A993" s="48" t="s">
        <v>140</v>
      </c>
      <c r="B993" s="12" t="s">
        <v>59</v>
      </c>
      <c r="C993" s="13" t="s">
        <v>14</v>
      </c>
      <c r="D993" s="44">
        <v>6.2830556867651186</v>
      </c>
      <c r="E993" s="15" t="s">
        <v>138</v>
      </c>
      <c r="F993" s="16" t="s">
        <v>16</v>
      </c>
      <c r="G993" s="22">
        <v>1</v>
      </c>
      <c r="H993" s="23">
        <v>1</v>
      </c>
      <c r="I993" s="23">
        <v>1</v>
      </c>
      <c r="J993" s="23">
        <v>2</v>
      </c>
      <c r="K993" s="23">
        <v>3</v>
      </c>
      <c r="L993" s="25">
        <f t="shared" si="35"/>
        <v>1.0195048044558224</v>
      </c>
      <c r="M993" s="20" t="s">
        <v>139</v>
      </c>
    </row>
    <row r="994" spans="1:13" x14ac:dyDescent="0.2">
      <c r="A994" s="48" t="s">
        <v>140</v>
      </c>
      <c r="B994" s="12" t="s">
        <v>60</v>
      </c>
      <c r="C994" s="13" t="s">
        <v>14</v>
      </c>
      <c r="D994" s="44">
        <v>33.178838193323678</v>
      </c>
      <c r="E994" s="15" t="s">
        <v>138</v>
      </c>
      <c r="F994" s="16" t="s">
        <v>16</v>
      </c>
      <c r="G994" s="22">
        <v>1</v>
      </c>
      <c r="H994" s="23">
        <v>2</v>
      </c>
      <c r="I994" s="23">
        <v>1</v>
      </c>
      <c r="J994" s="23">
        <v>2</v>
      </c>
      <c r="K994" s="23">
        <v>3</v>
      </c>
      <c r="L994" s="24">
        <f t="shared" si="35"/>
        <v>1.0248662490928169</v>
      </c>
      <c r="M994" s="20" t="s">
        <v>139</v>
      </c>
    </row>
    <row r="995" spans="1:13" x14ac:dyDescent="0.2">
      <c r="A995" s="48" t="s">
        <v>140</v>
      </c>
      <c r="B995" s="12" t="s">
        <v>13</v>
      </c>
      <c r="C995" s="27" t="s">
        <v>62</v>
      </c>
      <c r="D995" s="44">
        <v>30.613536655943111</v>
      </c>
      <c r="E995" s="15" t="s">
        <v>138</v>
      </c>
      <c r="F995" s="16" t="s">
        <v>16</v>
      </c>
      <c r="G995" s="22">
        <v>1</v>
      </c>
      <c r="H995" s="23">
        <v>1</v>
      </c>
      <c r="I995" s="23">
        <v>1</v>
      </c>
      <c r="J995" s="23">
        <v>2</v>
      </c>
      <c r="K995" s="23">
        <v>3</v>
      </c>
      <c r="L995" s="25">
        <f t="shared" si="35"/>
        <v>1.0195048044558224</v>
      </c>
      <c r="M995" s="20" t="s">
        <v>139</v>
      </c>
    </row>
    <row r="996" spans="1:13" x14ac:dyDescent="0.2">
      <c r="A996" s="48" t="s">
        <v>140</v>
      </c>
      <c r="B996" s="12" t="s">
        <v>18</v>
      </c>
      <c r="C996" s="27" t="s">
        <v>62</v>
      </c>
      <c r="D996" s="44">
        <v>41.264039756213187</v>
      </c>
      <c r="E996" s="15" t="s">
        <v>138</v>
      </c>
      <c r="F996" s="16" t="s">
        <v>16</v>
      </c>
      <c r="G996" s="22">
        <v>1</v>
      </c>
      <c r="H996" s="23">
        <v>1</v>
      </c>
      <c r="I996" s="23">
        <v>1</v>
      </c>
      <c r="J996" s="23">
        <v>2</v>
      </c>
      <c r="K996" s="23">
        <v>3</v>
      </c>
      <c r="L996" s="25">
        <f t="shared" si="35"/>
        <v>1.0195048044558224</v>
      </c>
      <c r="M996" s="20" t="s">
        <v>139</v>
      </c>
    </row>
    <row r="997" spans="1:13" x14ac:dyDescent="0.2">
      <c r="A997" s="48" t="s">
        <v>140</v>
      </c>
      <c r="B997" s="12" t="s">
        <v>20</v>
      </c>
      <c r="C997" s="27" t="s">
        <v>62</v>
      </c>
      <c r="D997" s="44">
        <v>15.65739313623949</v>
      </c>
      <c r="E997" s="15" t="s">
        <v>138</v>
      </c>
      <c r="F997" s="16" t="s">
        <v>16</v>
      </c>
      <c r="G997" s="22">
        <v>1</v>
      </c>
      <c r="H997" s="23">
        <v>1</v>
      </c>
      <c r="I997" s="23">
        <v>1</v>
      </c>
      <c r="J997" s="23">
        <v>2</v>
      </c>
      <c r="K997" s="23">
        <v>3</v>
      </c>
      <c r="L997" s="25">
        <f t="shared" si="35"/>
        <v>1.0195048044558224</v>
      </c>
      <c r="M997" s="20" t="s">
        <v>139</v>
      </c>
    </row>
    <row r="998" spans="1:13" x14ac:dyDescent="0.2">
      <c r="A998" s="48" t="s">
        <v>140</v>
      </c>
      <c r="B998" s="12" t="s">
        <v>22</v>
      </c>
      <c r="C998" s="27" t="s">
        <v>62</v>
      </c>
      <c r="D998" s="44">
        <v>6.7864638732942781</v>
      </c>
      <c r="E998" s="15" t="s">
        <v>138</v>
      </c>
      <c r="F998" s="16" t="s">
        <v>16</v>
      </c>
      <c r="G998" s="22">
        <v>1</v>
      </c>
      <c r="H998" s="23">
        <v>1</v>
      </c>
      <c r="I998" s="23">
        <v>1</v>
      </c>
      <c r="J998" s="23">
        <v>2</v>
      </c>
      <c r="K998" s="23">
        <v>3</v>
      </c>
      <c r="L998" s="25">
        <f t="shared" si="35"/>
        <v>1.0195048044558224</v>
      </c>
      <c r="M998" s="20" t="s">
        <v>139</v>
      </c>
    </row>
    <row r="999" spans="1:13" x14ac:dyDescent="0.2">
      <c r="A999" s="48" t="s">
        <v>140</v>
      </c>
      <c r="B999" s="12" t="s">
        <v>23</v>
      </c>
      <c r="C999" s="27" t="s">
        <v>62</v>
      </c>
      <c r="D999" s="44">
        <v>1.876117568577842</v>
      </c>
      <c r="E999" s="15" t="s">
        <v>138</v>
      </c>
      <c r="F999" s="16" t="s">
        <v>16</v>
      </c>
      <c r="G999" s="22">
        <v>1</v>
      </c>
      <c r="H999" s="23">
        <v>1</v>
      </c>
      <c r="I999" s="23">
        <v>1</v>
      </c>
      <c r="J999" s="23">
        <v>2</v>
      </c>
      <c r="K999" s="23">
        <v>3</v>
      </c>
      <c r="L999" s="25">
        <f t="shared" si="35"/>
        <v>1.0195048044558224</v>
      </c>
      <c r="M999" s="20" t="s">
        <v>139</v>
      </c>
    </row>
    <row r="1000" spans="1:13" x14ac:dyDescent="0.2">
      <c r="A1000" s="48" t="s">
        <v>140</v>
      </c>
      <c r="B1000" s="12" t="s">
        <v>24</v>
      </c>
      <c r="C1000" s="27" t="s">
        <v>62</v>
      </c>
      <c r="D1000" s="44">
        <v>27.099746318787261</v>
      </c>
      <c r="E1000" s="15" t="s">
        <v>138</v>
      </c>
      <c r="F1000" s="16" t="s">
        <v>16</v>
      </c>
      <c r="G1000" s="22">
        <v>1</v>
      </c>
      <c r="H1000" s="23">
        <v>1</v>
      </c>
      <c r="I1000" s="23">
        <v>1</v>
      </c>
      <c r="J1000" s="23">
        <v>2</v>
      </c>
      <c r="K1000" s="23">
        <v>3</v>
      </c>
      <c r="L1000" s="25">
        <f t="shared" si="35"/>
        <v>1.0195048044558224</v>
      </c>
      <c r="M1000" s="20" t="s">
        <v>139</v>
      </c>
    </row>
    <row r="1001" spans="1:13" x14ac:dyDescent="0.2">
      <c r="A1001" s="48" t="s">
        <v>140</v>
      </c>
      <c r="B1001" s="12" t="s">
        <v>25</v>
      </c>
      <c r="C1001" s="27" t="s">
        <v>62</v>
      </c>
      <c r="D1001" s="44">
        <v>23.44061875813426</v>
      </c>
      <c r="E1001" s="15" t="s">
        <v>138</v>
      </c>
      <c r="F1001" s="16" t="s">
        <v>16</v>
      </c>
      <c r="G1001" s="22">
        <v>1</v>
      </c>
      <c r="H1001" s="23">
        <v>1</v>
      </c>
      <c r="I1001" s="23">
        <v>1</v>
      </c>
      <c r="J1001" s="23">
        <v>2</v>
      </c>
      <c r="K1001" s="23">
        <v>3</v>
      </c>
      <c r="L1001" s="25">
        <f t="shared" si="35"/>
        <v>1.0195048044558224</v>
      </c>
      <c r="M1001" s="20" t="s">
        <v>139</v>
      </c>
    </row>
    <row r="1002" spans="1:13" x14ac:dyDescent="0.2">
      <c r="A1002" s="48" t="s">
        <v>140</v>
      </c>
      <c r="B1002" s="12" t="s">
        <v>26</v>
      </c>
      <c r="C1002" s="27" t="s">
        <v>62</v>
      </c>
      <c r="D1002" s="44">
        <v>5.4927304439330777</v>
      </c>
      <c r="E1002" s="15" t="s">
        <v>138</v>
      </c>
      <c r="F1002" s="16" t="s">
        <v>16</v>
      </c>
      <c r="G1002" s="22">
        <v>1</v>
      </c>
      <c r="H1002" s="23">
        <v>1</v>
      </c>
      <c r="I1002" s="23">
        <v>1</v>
      </c>
      <c r="J1002" s="23">
        <v>2</v>
      </c>
      <c r="K1002" s="23">
        <v>3</v>
      </c>
      <c r="L1002" s="25">
        <f t="shared" si="35"/>
        <v>1.0195048044558224</v>
      </c>
      <c r="M1002" s="20" t="s">
        <v>139</v>
      </c>
    </row>
    <row r="1003" spans="1:13" x14ac:dyDescent="0.2">
      <c r="A1003" s="48" t="s">
        <v>140</v>
      </c>
      <c r="B1003" s="12" t="s">
        <v>27</v>
      </c>
      <c r="C1003" s="27" t="s">
        <v>62</v>
      </c>
      <c r="D1003" s="44">
        <v>16.091833294332151</v>
      </c>
      <c r="E1003" s="15" t="s">
        <v>138</v>
      </c>
      <c r="F1003" s="16" t="s">
        <v>16</v>
      </c>
      <c r="G1003" s="22">
        <v>1</v>
      </c>
      <c r="H1003" s="23">
        <v>1</v>
      </c>
      <c r="I1003" s="23">
        <v>1</v>
      </c>
      <c r="J1003" s="23">
        <v>2</v>
      </c>
      <c r="K1003" s="23">
        <v>3</v>
      </c>
      <c r="L1003" s="25">
        <f t="shared" si="35"/>
        <v>1.0195048044558224</v>
      </c>
      <c r="M1003" s="20" t="s">
        <v>139</v>
      </c>
    </row>
    <row r="1004" spans="1:13" x14ac:dyDescent="0.2">
      <c r="A1004" s="48" t="s">
        <v>140</v>
      </c>
      <c r="B1004" s="12" t="s">
        <v>28</v>
      </c>
      <c r="C1004" s="27" t="s">
        <v>62</v>
      </c>
      <c r="D1004" s="44">
        <v>219.87894562979099</v>
      </c>
      <c r="E1004" s="15" t="s">
        <v>138</v>
      </c>
      <c r="F1004" s="16" t="s">
        <v>16</v>
      </c>
      <c r="G1004" s="22">
        <v>1</v>
      </c>
      <c r="H1004" s="23">
        <v>1</v>
      </c>
      <c r="I1004" s="23">
        <v>1</v>
      </c>
      <c r="J1004" s="23">
        <v>2</v>
      </c>
      <c r="K1004" s="23">
        <v>3</v>
      </c>
      <c r="L1004" s="25">
        <f t="shared" si="35"/>
        <v>1.0195048044558224</v>
      </c>
      <c r="M1004" s="20" t="s">
        <v>139</v>
      </c>
    </row>
    <row r="1005" spans="1:13" x14ac:dyDescent="0.2">
      <c r="A1005" s="48" t="s">
        <v>140</v>
      </c>
      <c r="B1005" s="12" t="s">
        <v>30</v>
      </c>
      <c r="C1005" s="27" t="s">
        <v>62</v>
      </c>
      <c r="D1005" s="44">
        <v>387.91483346381511</v>
      </c>
      <c r="E1005" s="15" t="s">
        <v>138</v>
      </c>
      <c r="F1005" s="16" t="s">
        <v>16</v>
      </c>
      <c r="G1005" s="22">
        <v>1</v>
      </c>
      <c r="H1005" s="23">
        <v>1</v>
      </c>
      <c r="I1005" s="23">
        <v>1</v>
      </c>
      <c r="J1005" s="23">
        <v>2</v>
      </c>
      <c r="K1005" s="23">
        <v>3</v>
      </c>
      <c r="L1005" s="24">
        <f t="shared" si="35"/>
        <v>1.0195048044558224</v>
      </c>
      <c r="M1005" s="20" t="s">
        <v>139</v>
      </c>
    </row>
    <row r="1006" spans="1:13" x14ac:dyDescent="0.2">
      <c r="A1006" s="48" t="s">
        <v>140</v>
      </c>
      <c r="B1006" s="12" t="s">
        <v>32</v>
      </c>
      <c r="C1006" s="27" t="s">
        <v>62</v>
      </c>
      <c r="D1006" s="44">
        <v>28.384063051178529</v>
      </c>
      <c r="E1006" s="15" t="s">
        <v>138</v>
      </c>
      <c r="F1006" s="16" t="s">
        <v>16</v>
      </c>
      <c r="G1006" s="22">
        <v>1</v>
      </c>
      <c r="H1006" s="23">
        <v>1</v>
      </c>
      <c r="I1006" s="23">
        <v>1</v>
      </c>
      <c r="J1006" s="23">
        <v>2</v>
      </c>
      <c r="K1006" s="23">
        <v>3</v>
      </c>
      <c r="L1006" s="25">
        <f t="shared" si="35"/>
        <v>1.0195048044558224</v>
      </c>
      <c r="M1006" s="20" t="s">
        <v>139</v>
      </c>
    </row>
    <row r="1007" spans="1:13" x14ac:dyDescent="0.2">
      <c r="A1007" s="48" t="s">
        <v>140</v>
      </c>
      <c r="B1007" s="12" t="s">
        <v>34</v>
      </c>
      <c r="C1007" s="27" t="s">
        <v>62</v>
      </c>
      <c r="D1007" s="44">
        <v>47.518862578560338</v>
      </c>
      <c r="E1007" s="15" t="s">
        <v>138</v>
      </c>
      <c r="F1007" s="16" t="s">
        <v>16</v>
      </c>
      <c r="G1007" s="22">
        <v>1</v>
      </c>
      <c r="H1007" s="23">
        <v>1</v>
      </c>
      <c r="I1007" s="23">
        <v>1</v>
      </c>
      <c r="J1007" s="23">
        <v>2</v>
      </c>
      <c r="K1007" s="23">
        <v>3</v>
      </c>
      <c r="L1007" s="25">
        <f t="shared" si="35"/>
        <v>1.0195048044558224</v>
      </c>
      <c r="M1007" s="20" t="s">
        <v>139</v>
      </c>
    </row>
    <row r="1008" spans="1:13" x14ac:dyDescent="0.2">
      <c r="A1008" s="48" t="s">
        <v>140</v>
      </c>
      <c r="B1008" s="12" t="s">
        <v>36</v>
      </c>
      <c r="C1008" s="27" t="s">
        <v>62</v>
      </c>
      <c r="D1008" s="44">
        <v>31.273324725032939</v>
      </c>
      <c r="E1008" s="15" t="s">
        <v>138</v>
      </c>
      <c r="F1008" s="16" t="s">
        <v>16</v>
      </c>
      <c r="G1008" s="22">
        <v>1</v>
      </c>
      <c r="H1008" s="23">
        <v>1</v>
      </c>
      <c r="I1008" s="23">
        <v>1</v>
      </c>
      <c r="J1008" s="23">
        <v>2</v>
      </c>
      <c r="K1008" s="23">
        <v>3</v>
      </c>
      <c r="L1008" s="25">
        <f t="shared" ref="L1008:L1071" si="36">IF( OR( ISBLANK(G1008),ISBLANK(H1008), ISBLANK(I1008), ISBLANK(J1008), ISBLANK(K1008) ), "", 1.5*SQRT( EXP(2.21*(G1008-1)) + EXP(2.21*(H1008-1)) + EXP(2.21*(I1008-1)) + EXP(2.21*(J1008-1)) + EXP(2.21*K1008) )/100*2.45 )</f>
        <v>1.0195048044558224</v>
      </c>
      <c r="M1008" s="20" t="s">
        <v>139</v>
      </c>
    </row>
    <row r="1009" spans="1:13" x14ac:dyDescent="0.2">
      <c r="A1009" s="48" t="s">
        <v>140</v>
      </c>
      <c r="B1009" s="12" t="s">
        <v>37</v>
      </c>
      <c r="C1009" s="27" t="s">
        <v>62</v>
      </c>
      <c r="D1009" s="44">
        <v>204.41984791955889</v>
      </c>
      <c r="E1009" s="15" t="s">
        <v>138</v>
      </c>
      <c r="F1009" s="16" t="s">
        <v>16</v>
      </c>
      <c r="G1009" s="22">
        <v>1</v>
      </c>
      <c r="H1009" s="23">
        <v>1</v>
      </c>
      <c r="I1009" s="23">
        <v>1</v>
      </c>
      <c r="J1009" s="23">
        <v>2</v>
      </c>
      <c r="K1009" s="23">
        <v>3</v>
      </c>
      <c r="L1009" s="24">
        <f t="shared" si="36"/>
        <v>1.0195048044558224</v>
      </c>
      <c r="M1009" s="20" t="s">
        <v>139</v>
      </c>
    </row>
    <row r="1010" spans="1:13" x14ac:dyDescent="0.2">
      <c r="A1010" s="48" t="s">
        <v>140</v>
      </c>
      <c r="B1010" s="12" t="s">
        <v>39</v>
      </c>
      <c r="C1010" s="27" t="s">
        <v>62</v>
      </c>
      <c r="D1010" s="44">
        <v>4.8069026124093428</v>
      </c>
      <c r="E1010" s="15" t="s">
        <v>138</v>
      </c>
      <c r="F1010" s="16" t="s">
        <v>16</v>
      </c>
      <c r="G1010" s="22">
        <v>1</v>
      </c>
      <c r="H1010" s="23">
        <v>1</v>
      </c>
      <c r="I1010" s="23">
        <v>1</v>
      </c>
      <c r="J1010" s="23">
        <v>2</v>
      </c>
      <c r="K1010" s="23">
        <v>3</v>
      </c>
      <c r="L1010" s="25">
        <f t="shared" si="36"/>
        <v>1.0195048044558224</v>
      </c>
      <c r="M1010" s="20" t="s">
        <v>139</v>
      </c>
    </row>
    <row r="1011" spans="1:13" x14ac:dyDescent="0.2">
      <c r="A1011" s="48" t="s">
        <v>140</v>
      </c>
      <c r="B1011" s="12" t="s">
        <v>40</v>
      </c>
      <c r="C1011" s="27" t="s">
        <v>62</v>
      </c>
      <c r="D1011" s="44">
        <v>8.8261353409400929</v>
      </c>
      <c r="E1011" s="15" t="s">
        <v>138</v>
      </c>
      <c r="F1011" s="16" t="s">
        <v>16</v>
      </c>
      <c r="G1011" s="22">
        <v>1</v>
      </c>
      <c r="H1011" s="23">
        <v>1</v>
      </c>
      <c r="I1011" s="23">
        <v>1</v>
      </c>
      <c r="J1011" s="23">
        <v>2</v>
      </c>
      <c r="K1011" s="23">
        <v>3</v>
      </c>
      <c r="L1011" s="25">
        <f t="shared" si="36"/>
        <v>1.0195048044558224</v>
      </c>
      <c r="M1011" s="20" t="s">
        <v>139</v>
      </c>
    </row>
    <row r="1012" spans="1:13" x14ac:dyDescent="0.2">
      <c r="A1012" s="48" t="s">
        <v>140</v>
      </c>
      <c r="B1012" s="12" t="s">
        <v>41</v>
      </c>
      <c r="C1012" s="27" t="s">
        <v>62</v>
      </c>
      <c r="D1012" s="44">
        <v>2.50831955848669</v>
      </c>
      <c r="E1012" s="15" t="s">
        <v>138</v>
      </c>
      <c r="F1012" s="16" t="s">
        <v>16</v>
      </c>
      <c r="G1012" s="22">
        <v>1</v>
      </c>
      <c r="H1012" s="23">
        <v>1</v>
      </c>
      <c r="I1012" s="23">
        <v>1</v>
      </c>
      <c r="J1012" s="23">
        <v>2</v>
      </c>
      <c r="K1012" s="23">
        <v>3</v>
      </c>
      <c r="L1012" s="25">
        <f t="shared" si="36"/>
        <v>1.0195048044558224</v>
      </c>
      <c r="M1012" s="20" t="s">
        <v>139</v>
      </c>
    </row>
    <row r="1013" spans="1:13" x14ac:dyDescent="0.2">
      <c r="A1013" s="48" t="s">
        <v>140</v>
      </c>
      <c r="B1013" s="12" t="s">
        <v>42</v>
      </c>
      <c r="C1013" s="27" t="s">
        <v>62</v>
      </c>
      <c r="D1013" s="44">
        <v>1.447209623362119</v>
      </c>
      <c r="E1013" s="15" t="s">
        <v>138</v>
      </c>
      <c r="F1013" s="16" t="s">
        <v>16</v>
      </c>
      <c r="G1013" s="22">
        <v>1</v>
      </c>
      <c r="H1013" s="23">
        <v>1</v>
      </c>
      <c r="I1013" s="23">
        <v>1</v>
      </c>
      <c r="J1013" s="23">
        <v>2</v>
      </c>
      <c r="K1013" s="23">
        <v>3</v>
      </c>
      <c r="L1013" s="25">
        <f t="shared" si="36"/>
        <v>1.0195048044558224</v>
      </c>
      <c r="M1013" s="20" t="s">
        <v>139</v>
      </c>
    </row>
    <row r="1014" spans="1:13" x14ac:dyDescent="0.2">
      <c r="A1014" s="48" t="s">
        <v>140</v>
      </c>
      <c r="B1014" s="12" t="s">
        <v>43</v>
      </c>
      <c r="C1014" s="27" t="s">
        <v>62</v>
      </c>
      <c r="D1014" s="44">
        <v>67.003239311821503</v>
      </c>
      <c r="E1014" s="15" t="s">
        <v>138</v>
      </c>
      <c r="F1014" s="16" t="s">
        <v>16</v>
      </c>
      <c r="G1014" s="22">
        <v>1</v>
      </c>
      <c r="H1014" s="23">
        <v>1</v>
      </c>
      <c r="I1014" s="23">
        <v>1</v>
      </c>
      <c r="J1014" s="23">
        <v>2</v>
      </c>
      <c r="K1014" s="23">
        <v>3</v>
      </c>
      <c r="L1014" s="25">
        <f t="shared" si="36"/>
        <v>1.0195048044558224</v>
      </c>
      <c r="M1014" s="20" t="s">
        <v>139</v>
      </c>
    </row>
    <row r="1015" spans="1:13" x14ac:dyDescent="0.2">
      <c r="A1015" s="48" t="s">
        <v>140</v>
      </c>
      <c r="B1015" s="12" t="s">
        <v>45</v>
      </c>
      <c r="C1015" s="27" t="s">
        <v>62</v>
      </c>
      <c r="D1015" s="44">
        <v>25.377385746868129</v>
      </c>
      <c r="E1015" s="15" t="s">
        <v>138</v>
      </c>
      <c r="F1015" s="16" t="s">
        <v>16</v>
      </c>
      <c r="G1015" s="22">
        <v>1</v>
      </c>
      <c r="H1015" s="23">
        <v>1</v>
      </c>
      <c r="I1015" s="23">
        <v>1</v>
      </c>
      <c r="J1015" s="23">
        <v>2</v>
      </c>
      <c r="K1015" s="23">
        <v>3</v>
      </c>
      <c r="L1015" s="25">
        <f t="shared" si="36"/>
        <v>1.0195048044558224</v>
      </c>
      <c r="M1015" s="20" t="s">
        <v>139</v>
      </c>
    </row>
    <row r="1016" spans="1:13" x14ac:dyDescent="0.2">
      <c r="A1016" s="48" t="s">
        <v>140</v>
      </c>
      <c r="B1016" s="12" t="s">
        <v>46</v>
      </c>
      <c r="C1016" s="27" t="s">
        <v>62</v>
      </c>
      <c r="D1016" s="44">
        <v>115.4829467093775</v>
      </c>
      <c r="E1016" s="15" t="s">
        <v>138</v>
      </c>
      <c r="F1016" s="16" t="s">
        <v>16</v>
      </c>
      <c r="G1016" s="22">
        <v>1</v>
      </c>
      <c r="H1016" s="23">
        <v>1</v>
      </c>
      <c r="I1016" s="23">
        <v>1</v>
      </c>
      <c r="J1016" s="23">
        <v>2</v>
      </c>
      <c r="K1016" s="23">
        <v>3</v>
      </c>
      <c r="L1016" s="24">
        <f t="shared" si="36"/>
        <v>1.0195048044558224</v>
      </c>
      <c r="M1016" s="20" t="s">
        <v>139</v>
      </c>
    </row>
    <row r="1017" spans="1:13" x14ac:dyDescent="0.2">
      <c r="A1017" s="48" t="s">
        <v>140</v>
      </c>
      <c r="B1017" s="12" t="s">
        <v>48</v>
      </c>
      <c r="C1017" s="27" t="s">
        <v>62</v>
      </c>
      <c r="D1017" s="44">
        <v>42.544525814727777</v>
      </c>
      <c r="E1017" s="15" t="s">
        <v>138</v>
      </c>
      <c r="F1017" s="16" t="s">
        <v>16</v>
      </c>
      <c r="G1017" s="22">
        <v>1</v>
      </c>
      <c r="H1017" s="23">
        <v>1</v>
      </c>
      <c r="I1017" s="23">
        <v>1</v>
      </c>
      <c r="J1017" s="23">
        <v>2</v>
      </c>
      <c r="K1017" s="23">
        <v>3</v>
      </c>
      <c r="L1017" s="25">
        <f t="shared" si="36"/>
        <v>1.0195048044558224</v>
      </c>
      <c r="M1017" s="20" t="s">
        <v>139</v>
      </c>
    </row>
    <row r="1018" spans="1:13" x14ac:dyDescent="0.2">
      <c r="A1018" s="48" t="s">
        <v>140</v>
      </c>
      <c r="B1018" s="12" t="s">
        <v>50</v>
      </c>
      <c r="C1018" s="27" t="s">
        <v>62</v>
      </c>
      <c r="D1018" s="44">
        <v>49.437369298058769</v>
      </c>
      <c r="E1018" s="15" t="s">
        <v>138</v>
      </c>
      <c r="F1018" s="16" t="s">
        <v>16</v>
      </c>
      <c r="G1018" s="22">
        <v>1</v>
      </c>
      <c r="H1018" s="23">
        <v>1</v>
      </c>
      <c r="I1018" s="23">
        <v>1</v>
      </c>
      <c r="J1018" s="23">
        <v>2</v>
      </c>
      <c r="K1018" s="23">
        <v>3</v>
      </c>
      <c r="L1018" s="25">
        <f t="shared" si="36"/>
        <v>1.0195048044558224</v>
      </c>
      <c r="M1018" s="20" t="s">
        <v>139</v>
      </c>
    </row>
    <row r="1019" spans="1:13" x14ac:dyDescent="0.2">
      <c r="A1019" s="48" t="s">
        <v>140</v>
      </c>
      <c r="B1019" s="12" t="s">
        <v>52</v>
      </c>
      <c r="C1019" s="27" t="s">
        <v>62</v>
      </c>
      <c r="D1019" s="44">
        <v>13.14272737146324</v>
      </c>
      <c r="E1019" s="15" t="s">
        <v>138</v>
      </c>
      <c r="F1019" s="16" t="s">
        <v>16</v>
      </c>
      <c r="G1019" s="22">
        <v>1</v>
      </c>
      <c r="H1019" s="23">
        <v>1</v>
      </c>
      <c r="I1019" s="23">
        <v>1</v>
      </c>
      <c r="J1019" s="23">
        <v>2</v>
      </c>
      <c r="K1019" s="23">
        <v>3</v>
      </c>
      <c r="L1019" s="25">
        <f t="shared" si="36"/>
        <v>1.0195048044558224</v>
      </c>
      <c r="M1019" s="20" t="s">
        <v>139</v>
      </c>
    </row>
    <row r="1020" spans="1:13" x14ac:dyDescent="0.2">
      <c r="A1020" s="48" t="s">
        <v>140</v>
      </c>
      <c r="B1020" s="12" t="s">
        <v>54</v>
      </c>
      <c r="C1020" s="27" t="s">
        <v>62</v>
      </c>
      <c r="D1020" s="44">
        <v>5.0877203375678768</v>
      </c>
      <c r="E1020" s="15" t="s">
        <v>138</v>
      </c>
      <c r="F1020" s="16" t="s">
        <v>16</v>
      </c>
      <c r="G1020" s="22">
        <v>1</v>
      </c>
      <c r="H1020" s="23">
        <v>1</v>
      </c>
      <c r="I1020" s="23">
        <v>1</v>
      </c>
      <c r="J1020" s="23">
        <v>2</v>
      </c>
      <c r="K1020" s="23">
        <v>3</v>
      </c>
      <c r="L1020" s="25">
        <f t="shared" si="36"/>
        <v>1.0195048044558224</v>
      </c>
      <c r="M1020" s="20" t="s">
        <v>139</v>
      </c>
    </row>
    <row r="1021" spans="1:13" x14ac:dyDescent="0.2">
      <c r="A1021" s="48" t="s">
        <v>140</v>
      </c>
      <c r="B1021" s="12" t="s">
        <v>55</v>
      </c>
      <c r="C1021" s="27" t="s">
        <v>62</v>
      </c>
      <c r="D1021" s="44">
        <v>155.99212556336721</v>
      </c>
      <c r="E1021" s="15" t="s">
        <v>138</v>
      </c>
      <c r="F1021" s="16" t="s">
        <v>16</v>
      </c>
      <c r="G1021" s="22">
        <v>1</v>
      </c>
      <c r="H1021" s="23">
        <v>1</v>
      </c>
      <c r="I1021" s="23">
        <v>1</v>
      </c>
      <c r="J1021" s="23">
        <v>2</v>
      </c>
      <c r="K1021" s="23">
        <v>3</v>
      </c>
      <c r="L1021" s="24">
        <f t="shared" si="36"/>
        <v>1.0195048044558224</v>
      </c>
      <c r="M1021" s="20" t="s">
        <v>139</v>
      </c>
    </row>
    <row r="1022" spans="1:13" x14ac:dyDescent="0.2">
      <c r="A1022" s="48" t="s">
        <v>140</v>
      </c>
      <c r="B1022" s="12" t="s">
        <v>57</v>
      </c>
      <c r="C1022" s="27" t="s">
        <v>62</v>
      </c>
      <c r="D1022" s="44">
        <v>25.440859154880361</v>
      </c>
      <c r="E1022" s="15" t="s">
        <v>138</v>
      </c>
      <c r="F1022" s="16" t="s">
        <v>16</v>
      </c>
      <c r="G1022" s="22">
        <v>1</v>
      </c>
      <c r="H1022" s="23">
        <v>1</v>
      </c>
      <c r="I1022" s="23">
        <v>1</v>
      </c>
      <c r="J1022" s="23">
        <v>2</v>
      </c>
      <c r="K1022" s="23">
        <v>3</v>
      </c>
      <c r="L1022" s="25">
        <f t="shared" si="36"/>
        <v>1.0195048044558224</v>
      </c>
      <c r="M1022" s="20" t="s">
        <v>139</v>
      </c>
    </row>
    <row r="1023" spans="1:13" x14ac:dyDescent="0.2">
      <c r="A1023" s="48" t="s">
        <v>140</v>
      </c>
      <c r="B1023" s="12" t="s">
        <v>59</v>
      </c>
      <c r="C1023" s="27" t="s">
        <v>62</v>
      </c>
      <c r="D1023" s="44">
        <v>38.28114202210098</v>
      </c>
      <c r="E1023" s="15" t="s">
        <v>138</v>
      </c>
      <c r="F1023" s="16" t="s">
        <v>16</v>
      </c>
      <c r="G1023" s="22">
        <v>1</v>
      </c>
      <c r="H1023" s="23">
        <v>1</v>
      </c>
      <c r="I1023" s="23">
        <v>1</v>
      </c>
      <c r="J1023" s="23">
        <v>2</v>
      </c>
      <c r="K1023" s="23">
        <v>3</v>
      </c>
      <c r="L1023" s="25">
        <f t="shared" si="36"/>
        <v>1.0195048044558224</v>
      </c>
      <c r="M1023" s="20" t="s">
        <v>139</v>
      </c>
    </row>
    <row r="1024" spans="1:13" x14ac:dyDescent="0.2">
      <c r="A1024" s="48" t="s">
        <v>140</v>
      </c>
      <c r="B1024" s="12" t="s">
        <v>60</v>
      </c>
      <c r="C1024" s="27" t="s">
        <v>62</v>
      </c>
      <c r="D1024" s="44">
        <v>202.15065412875009</v>
      </c>
      <c r="E1024" s="15" t="s">
        <v>138</v>
      </c>
      <c r="F1024" s="16" t="s">
        <v>16</v>
      </c>
      <c r="G1024" s="22">
        <v>1</v>
      </c>
      <c r="H1024" s="23">
        <v>2</v>
      </c>
      <c r="I1024" s="23">
        <v>1</v>
      </c>
      <c r="J1024" s="23">
        <v>2</v>
      </c>
      <c r="K1024" s="23">
        <v>3</v>
      </c>
      <c r="L1024" s="24">
        <f t="shared" si="36"/>
        <v>1.0248662490928169</v>
      </c>
      <c r="M1024" s="20" t="s">
        <v>139</v>
      </c>
    </row>
    <row r="1025" spans="1:13" x14ac:dyDescent="0.2">
      <c r="A1025" s="48" t="s">
        <v>140</v>
      </c>
      <c r="B1025" s="12" t="s">
        <v>13</v>
      </c>
      <c r="C1025" s="28" t="s">
        <v>64</v>
      </c>
      <c r="D1025" s="44">
        <v>13.742870437756579</v>
      </c>
      <c r="E1025" s="15" t="s">
        <v>138</v>
      </c>
      <c r="F1025" s="16" t="s">
        <v>16</v>
      </c>
      <c r="G1025" s="22">
        <v>1</v>
      </c>
      <c r="H1025" s="23">
        <v>1</v>
      </c>
      <c r="I1025" s="23">
        <v>1</v>
      </c>
      <c r="J1025" s="23">
        <v>2</v>
      </c>
      <c r="K1025" s="23">
        <v>3</v>
      </c>
      <c r="L1025" s="25">
        <f t="shared" si="36"/>
        <v>1.0195048044558224</v>
      </c>
      <c r="M1025" s="20" t="s">
        <v>139</v>
      </c>
    </row>
    <row r="1026" spans="1:13" x14ac:dyDescent="0.2">
      <c r="A1026" s="48" t="s">
        <v>140</v>
      </c>
      <c r="B1026" s="12" t="s">
        <v>18</v>
      </c>
      <c r="C1026" s="28" t="s">
        <v>64</v>
      </c>
      <c r="D1026" s="44">
        <v>18.524039168731068</v>
      </c>
      <c r="E1026" s="15" t="s">
        <v>138</v>
      </c>
      <c r="F1026" s="16" t="s">
        <v>16</v>
      </c>
      <c r="G1026" s="22">
        <v>1</v>
      </c>
      <c r="H1026" s="23">
        <v>1</v>
      </c>
      <c r="I1026" s="23">
        <v>1</v>
      </c>
      <c r="J1026" s="23">
        <v>2</v>
      </c>
      <c r="K1026" s="23">
        <v>3</v>
      </c>
      <c r="L1026" s="25">
        <f t="shared" si="36"/>
        <v>1.0195048044558224</v>
      </c>
      <c r="M1026" s="20" t="s">
        <v>139</v>
      </c>
    </row>
    <row r="1027" spans="1:13" x14ac:dyDescent="0.2">
      <c r="A1027" s="48" t="s">
        <v>140</v>
      </c>
      <c r="B1027" s="12" t="s">
        <v>20</v>
      </c>
      <c r="C1027" s="28" t="s">
        <v>64</v>
      </c>
      <c r="D1027" s="44">
        <v>7.0288358931762094</v>
      </c>
      <c r="E1027" s="15" t="s">
        <v>138</v>
      </c>
      <c r="F1027" s="16" t="s">
        <v>16</v>
      </c>
      <c r="G1027" s="22">
        <v>1</v>
      </c>
      <c r="H1027" s="23">
        <v>1</v>
      </c>
      <c r="I1027" s="23">
        <v>1</v>
      </c>
      <c r="J1027" s="23">
        <v>2</v>
      </c>
      <c r="K1027" s="23">
        <v>3</v>
      </c>
      <c r="L1027" s="25">
        <f t="shared" si="36"/>
        <v>1.0195048044558224</v>
      </c>
      <c r="M1027" s="20" t="s">
        <v>139</v>
      </c>
    </row>
    <row r="1028" spans="1:13" x14ac:dyDescent="0.2">
      <c r="A1028" s="48" t="s">
        <v>140</v>
      </c>
      <c r="B1028" s="12" t="s">
        <v>22</v>
      </c>
      <c r="C1028" s="28" t="s">
        <v>64</v>
      </c>
      <c r="D1028" s="44">
        <v>3.0465442392162498</v>
      </c>
      <c r="E1028" s="15" t="s">
        <v>138</v>
      </c>
      <c r="F1028" s="16" t="s">
        <v>16</v>
      </c>
      <c r="G1028" s="22">
        <v>1</v>
      </c>
      <c r="H1028" s="23">
        <v>1</v>
      </c>
      <c r="I1028" s="23">
        <v>1</v>
      </c>
      <c r="J1028" s="23">
        <v>2</v>
      </c>
      <c r="K1028" s="23">
        <v>3</v>
      </c>
      <c r="L1028" s="25">
        <f t="shared" si="36"/>
        <v>1.0195048044558224</v>
      </c>
      <c r="M1028" s="20" t="s">
        <v>139</v>
      </c>
    </row>
    <row r="1029" spans="1:13" x14ac:dyDescent="0.2">
      <c r="A1029" s="48" t="s">
        <v>140</v>
      </c>
      <c r="B1029" s="12" t="s">
        <v>23</v>
      </c>
      <c r="C1029" s="28" t="s">
        <v>64</v>
      </c>
      <c r="D1029" s="44">
        <v>0.84221698919451049</v>
      </c>
      <c r="E1029" s="15" t="s">
        <v>138</v>
      </c>
      <c r="F1029" s="16" t="s">
        <v>16</v>
      </c>
      <c r="G1029" s="22">
        <v>1</v>
      </c>
      <c r="H1029" s="23">
        <v>1</v>
      </c>
      <c r="I1029" s="23">
        <v>1</v>
      </c>
      <c r="J1029" s="23">
        <v>2</v>
      </c>
      <c r="K1029" s="23">
        <v>3</v>
      </c>
      <c r="L1029" s="25">
        <f t="shared" si="36"/>
        <v>1.0195048044558224</v>
      </c>
      <c r="M1029" s="20" t="s">
        <v>139</v>
      </c>
    </row>
    <row r="1030" spans="1:13" x14ac:dyDescent="0.2">
      <c r="A1030" s="48" t="s">
        <v>140</v>
      </c>
      <c r="B1030" s="12" t="s">
        <v>24</v>
      </c>
      <c r="C1030" s="28" t="s">
        <v>64</v>
      </c>
      <c r="D1030" s="44">
        <v>12.16547786493213</v>
      </c>
      <c r="E1030" s="15" t="s">
        <v>138</v>
      </c>
      <c r="F1030" s="16" t="s">
        <v>16</v>
      </c>
      <c r="G1030" s="22">
        <v>1</v>
      </c>
      <c r="H1030" s="23">
        <v>1</v>
      </c>
      <c r="I1030" s="23">
        <v>1</v>
      </c>
      <c r="J1030" s="23">
        <v>2</v>
      </c>
      <c r="K1030" s="23">
        <v>3</v>
      </c>
      <c r="L1030" s="25">
        <f t="shared" si="36"/>
        <v>1.0195048044558224</v>
      </c>
      <c r="M1030" s="20" t="s">
        <v>139</v>
      </c>
    </row>
    <row r="1031" spans="1:13" x14ac:dyDescent="0.2">
      <c r="A1031" s="48" t="s">
        <v>140</v>
      </c>
      <c r="B1031" s="12" t="s">
        <v>25</v>
      </c>
      <c r="C1031" s="28" t="s">
        <v>64</v>
      </c>
      <c r="D1031" s="44">
        <v>10.52284125791612</v>
      </c>
      <c r="E1031" s="15" t="s">
        <v>138</v>
      </c>
      <c r="F1031" s="16" t="s">
        <v>16</v>
      </c>
      <c r="G1031" s="22">
        <v>1</v>
      </c>
      <c r="H1031" s="23">
        <v>1</v>
      </c>
      <c r="I1031" s="23">
        <v>1</v>
      </c>
      <c r="J1031" s="23">
        <v>2</v>
      </c>
      <c r="K1031" s="23">
        <v>3</v>
      </c>
      <c r="L1031" s="25">
        <f t="shared" si="36"/>
        <v>1.0195048044558224</v>
      </c>
      <c r="M1031" s="20" t="s">
        <v>139</v>
      </c>
    </row>
    <row r="1032" spans="1:13" x14ac:dyDescent="0.2">
      <c r="A1032" s="48" t="s">
        <v>140</v>
      </c>
      <c r="B1032" s="12" t="s">
        <v>26</v>
      </c>
      <c r="C1032" s="28" t="s">
        <v>64</v>
      </c>
      <c r="D1032" s="44">
        <v>2.4657681237178841</v>
      </c>
      <c r="E1032" s="15" t="s">
        <v>138</v>
      </c>
      <c r="F1032" s="16" t="s">
        <v>16</v>
      </c>
      <c r="G1032" s="22">
        <v>1</v>
      </c>
      <c r="H1032" s="23">
        <v>1</v>
      </c>
      <c r="I1032" s="23">
        <v>1</v>
      </c>
      <c r="J1032" s="23">
        <v>2</v>
      </c>
      <c r="K1032" s="23">
        <v>3</v>
      </c>
      <c r="L1032" s="25">
        <f t="shared" si="36"/>
        <v>1.0195048044558224</v>
      </c>
      <c r="M1032" s="20" t="s">
        <v>139</v>
      </c>
    </row>
    <row r="1033" spans="1:13" x14ac:dyDescent="0.2">
      <c r="A1033" s="48" t="s">
        <v>140</v>
      </c>
      <c r="B1033" s="12" t="s">
        <v>27</v>
      </c>
      <c r="C1033" s="28" t="s">
        <v>64</v>
      </c>
      <c r="D1033" s="44">
        <v>7.2238625205380238</v>
      </c>
      <c r="E1033" s="15" t="s">
        <v>138</v>
      </c>
      <c r="F1033" s="16" t="s">
        <v>16</v>
      </c>
      <c r="G1033" s="22">
        <v>1</v>
      </c>
      <c r="H1033" s="23">
        <v>1</v>
      </c>
      <c r="I1033" s="23">
        <v>1</v>
      </c>
      <c r="J1033" s="23">
        <v>2</v>
      </c>
      <c r="K1033" s="23">
        <v>3</v>
      </c>
      <c r="L1033" s="25">
        <f t="shared" si="36"/>
        <v>1.0195048044558224</v>
      </c>
      <c r="M1033" s="20" t="s">
        <v>139</v>
      </c>
    </row>
    <row r="1034" spans="1:13" x14ac:dyDescent="0.2">
      <c r="A1034" s="48" t="s">
        <v>140</v>
      </c>
      <c r="B1034" s="12" t="s">
        <v>28</v>
      </c>
      <c r="C1034" s="28" t="s">
        <v>64</v>
      </c>
      <c r="D1034" s="44">
        <v>98.706918306811033</v>
      </c>
      <c r="E1034" s="15" t="s">
        <v>138</v>
      </c>
      <c r="F1034" s="16" t="s">
        <v>16</v>
      </c>
      <c r="G1034" s="22">
        <v>1</v>
      </c>
      <c r="H1034" s="23">
        <v>1</v>
      </c>
      <c r="I1034" s="23">
        <v>1</v>
      </c>
      <c r="J1034" s="23">
        <v>2</v>
      </c>
      <c r="K1034" s="23">
        <v>3</v>
      </c>
      <c r="L1034" s="25">
        <f t="shared" si="36"/>
        <v>1.0195048044558224</v>
      </c>
      <c r="M1034" s="20" t="s">
        <v>139</v>
      </c>
    </row>
    <row r="1035" spans="1:13" x14ac:dyDescent="0.2">
      <c r="A1035" s="48" t="s">
        <v>140</v>
      </c>
      <c r="B1035" s="12" t="s">
        <v>30</v>
      </c>
      <c r="C1035" s="28" t="s">
        <v>64</v>
      </c>
      <c r="D1035" s="44">
        <v>174.14071941740829</v>
      </c>
      <c r="E1035" s="15" t="s">
        <v>138</v>
      </c>
      <c r="F1035" s="16" t="s">
        <v>16</v>
      </c>
      <c r="G1035" s="22">
        <v>1</v>
      </c>
      <c r="H1035" s="23">
        <v>1</v>
      </c>
      <c r="I1035" s="23">
        <v>1</v>
      </c>
      <c r="J1035" s="23">
        <v>2</v>
      </c>
      <c r="K1035" s="23">
        <v>3</v>
      </c>
      <c r="L1035" s="24">
        <f t="shared" si="36"/>
        <v>1.0195048044558224</v>
      </c>
      <c r="M1035" s="20" t="s">
        <v>139</v>
      </c>
    </row>
    <row r="1036" spans="1:13" x14ac:dyDescent="0.2">
      <c r="A1036" s="48" t="s">
        <v>140</v>
      </c>
      <c r="B1036" s="12" t="s">
        <v>32</v>
      </c>
      <c r="C1036" s="28" t="s">
        <v>64</v>
      </c>
      <c r="D1036" s="44">
        <v>12.74202668556209</v>
      </c>
      <c r="E1036" s="15" t="s">
        <v>138</v>
      </c>
      <c r="F1036" s="16" t="s">
        <v>16</v>
      </c>
      <c r="G1036" s="22">
        <v>1</v>
      </c>
      <c r="H1036" s="23">
        <v>1</v>
      </c>
      <c r="I1036" s="23">
        <v>1</v>
      </c>
      <c r="J1036" s="23">
        <v>2</v>
      </c>
      <c r="K1036" s="23">
        <v>3</v>
      </c>
      <c r="L1036" s="25">
        <f t="shared" si="36"/>
        <v>1.0195048044558224</v>
      </c>
      <c r="M1036" s="20" t="s">
        <v>139</v>
      </c>
    </row>
    <row r="1037" spans="1:13" x14ac:dyDescent="0.2">
      <c r="A1037" s="48" t="s">
        <v>140</v>
      </c>
      <c r="B1037" s="12" t="s">
        <v>34</v>
      </c>
      <c r="C1037" s="28" t="s">
        <v>64</v>
      </c>
      <c r="D1037" s="44">
        <v>21.331921858820468</v>
      </c>
      <c r="E1037" s="15" t="s">
        <v>138</v>
      </c>
      <c r="F1037" s="16" t="s">
        <v>16</v>
      </c>
      <c r="G1037" s="22">
        <v>1</v>
      </c>
      <c r="H1037" s="23">
        <v>1</v>
      </c>
      <c r="I1037" s="23">
        <v>1</v>
      </c>
      <c r="J1037" s="23">
        <v>2</v>
      </c>
      <c r="K1037" s="23">
        <v>3</v>
      </c>
      <c r="L1037" s="25">
        <f t="shared" si="36"/>
        <v>1.0195048044558224</v>
      </c>
      <c r="M1037" s="20" t="s">
        <v>139</v>
      </c>
    </row>
    <row r="1038" spans="1:13" x14ac:dyDescent="0.2">
      <c r="A1038" s="48" t="s">
        <v>140</v>
      </c>
      <c r="B1038" s="12" t="s">
        <v>36</v>
      </c>
      <c r="C1038" s="28" t="s">
        <v>64</v>
      </c>
      <c r="D1038" s="44">
        <v>14.039059083053759</v>
      </c>
      <c r="E1038" s="15" t="s">
        <v>138</v>
      </c>
      <c r="F1038" s="16" t="s">
        <v>16</v>
      </c>
      <c r="G1038" s="22">
        <v>1</v>
      </c>
      <c r="H1038" s="23">
        <v>1</v>
      </c>
      <c r="I1038" s="23">
        <v>1</v>
      </c>
      <c r="J1038" s="23">
        <v>2</v>
      </c>
      <c r="K1038" s="23">
        <v>3</v>
      </c>
      <c r="L1038" s="25">
        <f t="shared" si="36"/>
        <v>1.0195048044558224</v>
      </c>
      <c r="M1038" s="20" t="s">
        <v>139</v>
      </c>
    </row>
    <row r="1039" spans="1:13" x14ac:dyDescent="0.2">
      <c r="A1039" s="48" t="s">
        <v>140</v>
      </c>
      <c r="B1039" s="12" t="s">
        <v>37</v>
      </c>
      <c r="C1039" s="28" t="s">
        <v>64</v>
      </c>
      <c r="D1039" s="44">
        <v>91.767100170016505</v>
      </c>
      <c r="E1039" s="15" t="s">
        <v>138</v>
      </c>
      <c r="F1039" s="16" t="s">
        <v>16</v>
      </c>
      <c r="G1039" s="22">
        <v>1</v>
      </c>
      <c r="H1039" s="23">
        <v>1</v>
      </c>
      <c r="I1039" s="23">
        <v>1</v>
      </c>
      <c r="J1039" s="23">
        <v>2</v>
      </c>
      <c r="K1039" s="23">
        <v>3</v>
      </c>
      <c r="L1039" s="24">
        <f t="shared" si="36"/>
        <v>1.0195048044558224</v>
      </c>
      <c r="M1039" s="20" t="s">
        <v>139</v>
      </c>
    </row>
    <row r="1040" spans="1:13" x14ac:dyDescent="0.2">
      <c r="A1040" s="48" t="s">
        <v>140</v>
      </c>
      <c r="B1040" s="12" t="s">
        <v>39</v>
      </c>
      <c r="C1040" s="28" t="s">
        <v>64</v>
      </c>
      <c r="D1040" s="44">
        <v>2.1578898430355209</v>
      </c>
      <c r="E1040" s="15" t="s">
        <v>138</v>
      </c>
      <c r="F1040" s="16" t="s">
        <v>16</v>
      </c>
      <c r="G1040" s="22">
        <v>1</v>
      </c>
      <c r="H1040" s="23">
        <v>1</v>
      </c>
      <c r="I1040" s="23">
        <v>1</v>
      </c>
      <c r="J1040" s="23">
        <v>2</v>
      </c>
      <c r="K1040" s="23">
        <v>3</v>
      </c>
      <c r="L1040" s="25">
        <f t="shared" si="36"/>
        <v>1.0195048044558224</v>
      </c>
      <c r="M1040" s="20" t="s">
        <v>139</v>
      </c>
    </row>
    <row r="1041" spans="1:13" x14ac:dyDescent="0.2">
      <c r="A1041" s="48" t="s">
        <v>140</v>
      </c>
      <c r="B1041" s="12" t="s">
        <v>40</v>
      </c>
      <c r="C1041" s="28" t="s">
        <v>64</v>
      </c>
      <c r="D1041" s="44">
        <v>3.9621829983206638</v>
      </c>
      <c r="E1041" s="15" t="s">
        <v>138</v>
      </c>
      <c r="F1041" s="16" t="s">
        <v>16</v>
      </c>
      <c r="G1041" s="22">
        <v>1</v>
      </c>
      <c r="H1041" s="23">
        <v>1</v>
      </c>
      <c r="I1041" s="23">
        <v>1</v>
      </c>
      <c r="J1041" s="23">
        <v>2</v>
      </c>
      <c r="K1041" s="23">
        <v>3</v>
      </c>
      <c r="L1041" s="25">
        <f t="shared" si="36"/>
        <v>1.0195048044558224</v>
      </c>
      <c r="M1041" s="20" t="s">
        <v>139</v>
      </c>
    </row>
    <row r="1042" spans="1:13" x14ac:dyDescent="0.2">
      <c r="A1042" s="48" t="s">
        <v>140</v>
      </c>
      <c r="B1042" s="12" t="s">
        <v>41</v>
      </c>
      <c r="C1042" s="28" t="s">
        <v>64</v>
      </c>
      <c r="D1042" s="44">
        <v>1.12602183459523</v>
      </c>
      <c r="E1042" s="15" t="s">
        <v>138</v>
      </c>
      <c r="F1042" s="16" t="s">
        <v>16</v>
      </c>
      <c r="G1042" s="22">
        <v>1</v>
      </c>
      <c r="H1042" s="23">
        <v>1</v>
      </c>
      <c r="I1042" s="23">
        <v>1</v>
      </c>
      <c r="J1042" s="23">
        <v>2</v>
      </c>
      <c r="K1042" s="23">
        <v>3</v>
      </c>
      <c r="L1042" s="25">
        <f t="shared" si="36"/>
        <v>1.0195048044558224</v>
      </c>
      <c r="M1042" s="20" t="s">
        <v>139</v>
      </c>
    </row>
    <row r="1043" spans="1:13" x14ac:dyDescent="0.2">
      <c r="A1043" s="48" t="s">
        <v>140</v>
      </c>
      <c r="B1043" s="12" t="s">
        <v>42</v>
      </c>
      <c r="C1043" s="28" t="s">
        <v>64</v>
      </c>
      <c r="D1043" s="44">
        <v>0.6496738542058984</v>
      </c>
      <c r="E1043" s="15" t="s">
        <v>138</v>
      </c>
      <c r="F1043" s="16" t="s">
        <v>16</v>
      </c>
      <c r="G1043" s="22">
        <v>1</v>
      </c>
      <c r="H1043" s="23">
        <v>1</v>
      </c>
      <c r="I1043" s="23">
        <v>1</v>
      </c>
      <c r="J1043" s="23">
        <v>2</v>
      </c>
      <c r="K1043" s="23">
        <v>3</v>
      </c>
      <c r="L1043" s="25">
        <f t="shared" si="36"/>
        <v>1.0195048044558224</v>
      </c>
      <c r="M1043" s="20" t="s">
        <v>139</v>
      </c>
    </row>
    <row r="1044" spans="1:13" x14ac:dyDescent="0.2">
      <c r="A1044" s="48" t="s">
        <v>140</v>
      </c>
      <c r="B1044" s="12" t="s">
        <v>43</v>
      </c>
      <c r="C1044" s="28" t="s">
        <v>64</v>
      </c>
      <c r="D1044" s="44">
        <v>30.07874742213426</v>
      </c>
      <c r="E1044" s="15" t="s">
        <v>138</v>
      </c>
      <c r="F1044" s="16" t="s">
        <v>16</v>
      </c>
      <c r="G1044" s="22">
        <v>1</v>
      </c>
      <c r="H1044" s="23">
        <v>1</v>
      </c>
      <c r="I1044" s="23">
        <v>1</v>
      </c>
      <c r="J1044" s="23">
        <v>2</v>
      </c>
      <c r="K1044" s="23">
        <v>3</v>
      </c>
      <c r="L1044" s="25">
        <f t="shared" si="36"/>
        <v>1.0195048044558224</v>
      </c>
      <c r="M1044" s="20" t="s">
        <v>139</v>
      </c>
    </row>
    <row r="1045" spans="1:13" x14ac:dyDescent="0.2">
      <c r="A1045" s="48" t="s">
        <v>140</v>
      </c>
      <c r="B1045" s="12" t="s">
        <v>45</v>
      </c>
      <c r="C1045" s="28" t="s">
        <v>64</v>
      </c>
      <c r="D1045" s="44">
        <v>11.392284670921009</v>
      </c>
      <c r="E1045" s="15" t="s">
        <v>138</v>
      </c>
      <c r="F1045" s="16" t="s">
        <v>16</v>
      </c>
      <c r="G1045" s="22">
        <v>1</v>
      </c>
      <c r="H1045" s="23">
        <v>1</v>
      </c>
      <c r="I1045" s="23">
        <v>1</v>
      </c>
      <c r="J1045" s="23">
        <v>2</v>
      </c>
      <c r="K1045" s="23">
        <v>3</v>
      </c>
      <c r="L1045" s="25">
        <f t="shared" si="36"/>
        <v>1.0195048044558224</v>
      </c>
      <c r="M1045" s="20" t="s">
        <v>139</v>
      </c>
    </row>
    <row r="1046" spans="1:13" x14ac:dyDescent="0.2">
      <c r="A1046" s="48" t="s">
        <v>140</v>
      </c>
      <c r="B1046" s="12" t="s">
        <v>46</v>
      </c>
      <c r="C1046" s="28" t="s">
        <v>64</v>
      </c>
      <c r="D1046" s="44">
        <v>51.842006764325298</v>
      </c>
      <c r="E1046" s="15" t="s">
        <v>138</v>
      </c>
      <c r="F1046" s="16" t="s">
        <v>16</v>
      </c>
      <c r="G1046" s="22">
        <v>1</v>
      </c>
      <c r="H1046" s="23">
        <v>1</v>
      </c>
      <c r="I1046" s="23">
        <v>1</v>
      </c>
      <c r="J1046" s="23">
        <v>2</v>
      </c>
      <c r="K1046" s="23">
        <v>3</v>
      </c>
      <c r="L1046" s="24">
        <f t="shared" si="36"/>
        <v>1.0195048044558224</v>
      </c>
      <c r="M1046" s="20" t="s">
        <v>139</v>
      </c>
    </row>
    <row r="1047" spans="1:13" x14ac:dyDescent="0.2">
      <c r="A1047" s="48" t="s">
        <v>140</v>
      </c>
      <c r="B1047" s="12" t="s">
        <v>48</v>
      </c>
      <c r="C1047" s="28" t="s">
        <v>64</v>
      </c>
      <c r="D1047" s="44">
        <v>19.09886834306965</v>
      </c>
      <c r="E1047" s="15" t="s">
        <v>138</v>
      </c>
      <c r="F1047" s="16" t="s">
        <v>16</v>
      </c>
      <c r="G1047" s="22">
        <v>1</v>
      </c>
      <c r="H1047" s="23">
        <v>1</v>
      </c>
      <c r="I1047" s="23">
        <v>1</v>
      </c>
      <c r="J1047" s="23">
        <v>2</v>
      </c>
      <c r="K1047" s="23">
        <v>3</v>
      </c>
      <c r="L1047" s="25">
        <f t="shared" si="36"/>
        <v>1.0195048044558224</v>
      </c>
      <c r="M1047" s="20" t="s">
        <v>139</v>
      </c>
    </row>
    <row r="1048" spans="1:13" x14ac:dyDescent="0.2">
      <c r="A1048" s="48" t="s">
        <v>140</v>
      </c>
      <c r="B1048" s="12" t="s">
        <v>50</v>
      </c>
      <c r="C1048" s="28" t="s">
        <v>64</v>
      </c>
      <c r="D1048" s="44">
        <v>22.193167966264699</v>
      </c>
      <c r="E1048" s="15" t="s">
        <v>138</v>
      </c>
      <c r="F1048" s="16" t="s">
        <v>16</v>
      </c>
      <c r="G1048" s="22">
        <v>1</v>
      </c>
      <c r="H1048" s="23">
        <v>1</v>
      </c>
      <c r="I1048" s="23">
        <v>1</v>
      </c>
      <c r="J1048" s="23">
        <v>2</v>
      </c>
      <c r="K1048" s="23">
        <v>3</v>
      </c>
      <c r="L1048" s="25">
        <f t="shared" si="36"/>
        <v>1.0195048044558224</v>
      </c>
      <c r="M1048" s="20" t="s">
        <v>139</v>
      </c>
    </row>
    <row r="1049" spans="1:13" x14ac:dyDescent="0.2">
      <c r="A1049" s="48" t="s">
        <v>140</v>
      </c>
      <c r="B1049" s="12" t="s">
        <v>52</v>
      </c>
      <c r="C1049" s="28" t="s">
        <v>64</v>
      </c>
      <c r="D1049" s="44">
        <v>5.8999651524977379</v>
      </c>
      <c r="E1049" s="15" t="s">
        <v>138</v>
      </c>
      <c r="F1049" s="16" t="s">
        <v>16</v>
      </c>
      <c r="G1049" s="22">
        <v>1</v>
      </c>
      <c r="H1049" s="23">
        <v>1</v>
      </c>
      <c r="I1049" s="23">
        <v>1</v>
      </c>
      <c r="J1049" s="23">
        <v>2</v>
      </c>
      <c r="K1049" s="23">
        <v>3</v>
      </c>
      <c r="L1049" s="25">
        <f t="shared" si="36"/>
        <v>1.0195048044558224</v>
      </c>
      <c r="M1049" s="20" t="s">
        <v>139</v>
      </c>
    </row>
    <row r="1050" spans="1:13" x14ac:dyDescent="0.2">
      <c r="A1050" s="48" t="s">
        <v>140</v>
      </c>
      <c r="B1050" s="12" t="s">
        <v>54</v>
      </c>
      <c r="C1050" s="28" t="s">
        <v>64</v>
      </c>
      <c r="D1050" s="44">
        <v>2.2839530828647572</v>
      </c>
      <c r="E1050" s="15" t="s">
        <v>138</v>
      </c>
      <c r="F1050" s="16" t="s">
        <v>16</v>
      </c>
      <c r="G1050" s="22">
        <v>1</v>
      </c>
      <c r="H1050" s="23">
        <v>1</v>
      </c>
      <c r="I1050" s="23">
        <v>1</v>
      </c>
      <c r="J1050" s="23">
        <v>2</v>
      </c>
      <c r="K1050" s="23">
        <v>3</v>
      </c>
      <c r="L1050" s="25">
        <f t="shared" si="36"/>
        <v>1.0195048044558224</v>
      </c>
      <c r="M1050" s="20" t="s">
        <v>139</v>
      </c>
    </row>
    <row r="1051" spans="1:13" x14ac:dyDescent="0.2">
      <c r="A1051" s="48" t="s">
        <v>140</v>
      </c>
      <c r="B1051" s="12" t="s">
        <v>55</v>
      </c>
      <c r="C1051" s="28" t="s">
        <v>64</v>
      </c>
      <c r="D1051" s="44">
        <v>70.027177683550406</v>
      </c>
      <c r="E1051" s="15" t="s">
        <v>138</v>
      </c>
      <c r="F1051" s="16" t="s">
        <v>16</v>
      </c>
      <c r="G1051" s="22">
        <v>1</v>
      </c>
      <c r="H1051" s="23">
        <v>1</v>
      </c>
      <c r="I1051" s="23">
        <v>1</v>
      </c>
      <c r="J1051" s="23">
        <v>2</v>
      </c>
      <c r="K1051" s="23">
        <v>3</v>
      </c>
      <c r="L1051" s="24">
        <f t="shared" si="36"/>
        <v>1.0195048044558224</v>
      </c>
      <c r="M1051" s="20" t="s">
        <v>139</v>
      </c>
    </row>
    <row r="1052" spans="1:13" x14ac:dyDescent="0.2">
      <c r="A1052" s="48" t="s">
        <v>140</v>
      </c>
      <c r="B1052" s="12" t="s">
        <v>57</v>
      </c>
      <c r="C1052" s="28" t="s">
        <v>64</v>
      </c>
      <c r="D1052" s="44">
        <v>11.42077882474449</v>
      </c>
      <c r="E1052" s="15" t="s">
        <v>138</v>
      </c>
      <c r="F1052" s="16" t="s">
        <v>16</v>
      </c>
      <c r="G1052" s="22">
        <v>1</v>
      </c>
      <c r="H1052" s="23">
        <v>1</v>
      </c>
      <c r="I1052" s="23">
        <v>1</v>
      </c>
      <c r="J1052" s="23">
        <v>2</v>
      </c>
      <c r="K1052" s="23">
        <v>3</v>
      </c>
      <c r="L1052" s="25">
        <f t="shared" si="36"/>
        <v>1.0195048044558224</v>
      </c>
      <c r="M1052" s="20" t="s">
        <v>139</v>
      </c>
    </row>
    <row r="1053" spans="1:13" x14ac:dyDescent="0.2">
      <c r="A1053" s="48" t="s">
        <v>140</v>
      </c>
      <c r="B1053" s="12" t="s">
        <v>59</v>
      </c>
      <c r="C1053" s="28" t="s">
        <v>64</v>
      </c>
      <c r="D1053" s="44">
        <v>17.184972155674171</v>
      </c>
      <c r="E1053" s="15" t="s">
        <v>138</v>
      </c>
      <c r="F1053" s="16" t="s">
        <v>16</v>
      </c>
      <c r="G1053" s="22">
        <v>1</v>
      </c>
      <c r="H1053" s="23">
        <v>1</v>
      </c>
      <c r="I1053" s="23">
        <v>1</v>
      </c>
      <c r="J1053" s="23">
        <v>2</v>
      </c>
      <c r="K1053" s="23">
        <v>3</v>
      </c>
      <c r="L1053" s="25">
        <f t="shared" si="36"/>
        <v>1.0195048044558224</v>
      </c>
      <c r="M1053" s="20" t="s">
        <v>139</v>
      </c>
    </row>
    <row r="1054" spans="1:13" x14ac:dyDescent="0.2">
      <c r="A1054" s="48" t="s">
        <v>140</v>
      </c>
      <c r="B1054" s="12" t="s">
        <v>60</v>
      </c>
      <c r="C1054" s="28" t="s">
        <v>64</v>
      </c>
      <c r="D1054" s="44">
        <v>90.748425437471568</v>
      </c>
      <c r="E1054" s="15" t="s">
        <v>138</v>
      </c>
      <c r="F1054" s="16" t="s">
        <v>16</v>
      </c>
      <c r="G1054" s="22">
        <v>1</v>
      </c>
      <c r="H1054" s="23">
        <v>2</v>
      </c>
      <c r="I1054" s="23">
        <v>1</v>
      </c>
      <c r="J1054" s="23">
        <v>2</v>
      </c>
      <c r="K1054" s="23">
        <v>3</v>
      </c>
      <c r="L1054" s="24">
        <f t="shared" si="36"/>
        <v>1.0248662490928169</v>
      </c>
      <c r="M1054" s="20" t="s">
        <v>139</v>
      </c>
    </row>
    <row r="1055" spans="1:13" x14ac:dyDescent="0.2">
      <c r="A1055" s="48" t="s">
        <v>140</v>
      </c>
      <c r="B1055" s="12" t="s">
        <v>13</v>
      </c>
      <c r="C1055" s="29" t="s">
        <v>66</v>
      </c>
      <c r="D1055" s="44">
        <v>0.41623528796775422</v>
      </c>
      <c r="E1055" s="15" t="s">
        <v>138</v>
      </c>
      <c r="F1055" s="16" t="s">
        <v>16</v>
      </c>
      <c r="G1055" s="22">
        <v>1</v>
      </c>
      <c r="H1055" s="23">
        <v>1</v>
      </c>
      <c r="I1055" s="23">
        <v>1</v>
      </c>
      <c r="J1055" s="23">
        <v>2</v>
      </c>
      <c r="K1055" s="23">
        <v>3</v>
      </c>
      <c r="L1055" s="25">
        <f t="shared" si="36"/>
        <v>1.0195048044558224</v>
      </c>
      <c r="M1055" s="20" t="s">
        <v>139</v>
      </c>
    </row>
    <row r="1056" spans="1:13" x14ac:dyDescent="0.2">
      <c r="A1056" s="48" t="s">
        <v>140</v>
      </c>
      <c r="B1056" s="12" t="s">
        <v>18</v>
      </c>
      <c r="C1056" s="29" t="s">
        <v>66</v>
      </c>
      <c r="D1056" s="44">
        <v>0.5610442747491543</v>
      </c>
      <c r="E1056" s="15" t="s">
        <v>138</v>
      </c>
      <c r="F1056" s="16" t="s">
        <v>16</v>
      </c>
      <c r="G1056" s="22">
        <v>1</v>
      </c>
      <c r="H1056" s="23">
        <v>1</v>
      </c>
      <c r="I1056" s="23">
        <v>1</v>
      </c>
      <c r="J1056" s="23">
        <v>2</v>
      </c>
      <c r="K1056" s="23">
        <v>3</v>
      </c>
      <c r="L1056" s="25">
        <f t="shared" si="36"/>
        <v>1.0195048044558224</v>
      </c>
      <c r="M1056" s="20" t="s">
        <v>139</v>
      </c>
    </row>
    <row r="1057" spans="1:13" x14ac:dyDescent="0.2">
      <c r="A1057" s="48" t="s">
        <v>140</v>
      </c>
      <c r="B1057" s="12" t="s">
        <v>20</v>
      </c>
      <c r="C1057" s="29" t="s">
        <v>66</v>
      </c>
      <c r="D1057" s="44">
        <v>0.21288489514071821</v>
      </c>
      <c r="E1057" s="15" t="s">
        <v>138</v>
      </c>
      <c r="F1057" s="16" t="s">
        <v>16</v>
      </c>
      <c r="G1057" s="22">
        <v>1</v>
      </c>
      <c r="H1057" s="23">
        <v>1</v>
      </c>
      <c r="I1057" s="23">
        <v>1</v>
      </c>
      <c r="J1057" s="23">
        <v>2</v>
      </c>
      <c r="K1057" s="23">
        <v>3</v>
      </c>
      <c r="L1057" s="25">
        <f t="shared" si="36"/>
        <v>1.0195048044558224</v>
      </c>
      <c r="M1057" s="20" t="s">
        <v>139</v>
      </c>
    </row>
    <row r="1058" spans="1:13" x14ac:dyDescent="0.2">
      <c r="A1058" s="48" t="s">
        <v>140</v>
      </c>
      <c r="B1058" s="12" t="s">
        <v>22</v>
      </c>
      <c r="C1058" s="29" t="s">
        <v>66</v>
      </c>
      <c r="D1058" s="44">
        <v>9.2271787357669527E-2</v>
      </c>
      <c r="E1058" s="15" t="s">
        <v>138</v>
      </c>
      <c r="F1058" s="16" t="s">
        <v>16</v>
      </c>
      <c r="G1058" s="22">
        <v>1</v>
      </c>
      <c r="H1058" s="23">
        <v>1</v>
      </c>
      <c r="I1058" s="23">
        <v>1</v>
      </c>
      <c r="J1058" s="23">
        <v>2</v>
      </c>
      <c r="K1058" s="23">
        <v>3</v>
      </c>
      <c r="L1058" s="25">
        <f t="shared" si="36"/>
        <v>1.0195048044558224</v>
      </c>
      <c r="M1058" s="20" t="s">
        <v>139</v>
      </c>
    </row>
    <row r="1059" spans="1:13" x14ac:dyDescent="0.2">
      <c r="A1059" s="48" t="s">
        <v>140</v>
      </c>
      <c r="B1059" s="12" t="s">
        <v>23</v>
      </c>
      <c r="C1059" s="29" t="s">
        <v>66</v>
      </c>
      <c r="D1059" s="44">
        <v>2.5508530595296671E-2</v>
      </c>
      <c r="E1059" s="15" t="s">
        <v>138</v>
      </c>
      <c r="F1059" s="16" t="s">
        <v>16</v>
      </c>
      <c r="G1059" s="22">
        <v>1</v>
      </c>
      <c r="H1059" s="23">
        <v>1</v>
      </c>
      <c r="I1059" s="23">
        <v>1</v>
      </c>
      <c r="J1059" s="23">
        <v>2</v>
      </c>
      <c r="K1059" s="23">
        <v>3</v>
      </c>
      <c r="L1059" s="25">
        <f t="shared" si="36"/>
        <v>1.0195048044558224</v>
      </c>
      <c r="M1059" s="20" t="s">
        <v>139</v>
      </c>
    </row>
    <row r="1060" spans="1:13" x14ac:dyDescent="0.2">
      <c r="A1060" s="48" t="s">
        <v>140</v>
      </c>
      <c r="B1060" s="12" t="s">
        <v>24</v>
      </c>
      <c r="C1060" s="29" t="s">
        <v>66</v>
      </c>
      <c r="D1060" s="44">
        <v>0.36846022854610949</v>
      </c>
      <c r="E1060" s="15" t="s">
        <v>138</v>
      </c>
      <c r="F1060" s="16" t="s">
        <v>16</v>
      </c>
      <c r="G1060" s="22">
        <v>1</v>
      </c>
      <c r="H1060" s="23">
        <v>1</v>
      </c>
      <c r="I1060" s="23">
        <v>1</v>
      </c>
      <c r="J1060" s="23">
        <v>2</v>
      </c>
      <c r="K1060" s="23">
        <v>3</v>
      </c>
      <c r="L1060" s="25">
        <f t="shared" si="36"/>
        <v>1.0195048044558224</v>
      </c>
      <c r="M1060" s="20" t="s">
        <v>139</v>
      </c>
    </row>
    <row r="1061" spans="1:13" x14ac:dyDescent="0.2">
      <c r="A1061" s="48" t="s">
        <v>140</v>
      </c>
      <c r="B1061" s="12" t="s">
        <v>25</v>
      </c>
      <c r="C1061" s="29" t="s">
        <v>66</v>
      </c>
      <c r="D1061" s="44">
        <v>0.31870909946107878</v>
      </c>
      <c r="E1061" s="15" t="s">
        <v>138</v>
      </c>
      <c r="F1061" s="16" t="s">
        <v>16</v>
      </c>
      <c r="G1061" s="22">
        <v>1</v>
      </c>
      <c r="H1061" s="23">
        <v>1</v>
      </c>
      <c r="I1061" s="23">
        <v>1</v>
      </c>
      <c r="J1061" s="23">
        <v>2</v>
      </c>
      <c r="K1061" s="23">
        <v>3</v>
      </c>
      <c r="L1061" s="25">
        <f t="shared" si="36"/>
        <v>1.0195048044558224</v>
      </c>
      <c r="M1061" s="20" t="s">
        <v>139</v>
      </c>
    </row>
    <row r="1062" spans="1:13" x14ac:dyDescent="0.2">
      <c r="A1062" s="48" t="s">
        <v>140</v>
      </c>
      <c r="B1062" s="12" t="s">
        <v>26</v>
      </c>
      <c r="C1062" s="29" t="s">
        <v>66</v>
      </c>
      <c r="D1062" s="44">
        <v>7.4681611071417783E-2</v>
      </c>
      <c r="E1062" s="15" t="s">
        <v>138</v>
      </c>
      <c r="F1062" s="16" t="s">
        <v>16</v>
      </c>
      <c r="G1062" s="22">
        <v>1</v>
      </c>
      <c r="H1062" s="23">
        <v>1</v>
      </c>
      <c r="I1062" s="23">
        <v>1</v>
      </c>
      <c r="J1062" s="23">
        <v>2</v>
      </c>
      <c r="K1062" s="23">
        <v>3</v>
      </c>
      <c r="L1062" s="25">
        <f t="shared" si="36"/>
        <v>1.0195048044558224</v>
      </c>
      <c r="M1062" s="20" t="s">
        <v>139</v>
      </c>
    </row>
    <row r="1063" spans="1:13" x14ac:dyDescent="0.2">
      <c r="A1063" s="48" t="s">
        <v>140</v>
      </c>
      <c r="B1063" s="12" t="s">
        <v>27</v>
      </c>
      <c r="C1063" s="29" t="s">
        <v>66</v>
      </c>
      <c r="D1063" s="44">
        <v>0.2187917371479238</v>
      </c>
      <c r="E1063" s="15" t="s">
        <v>138</v>
      </c>
      <c r="F1063" s="16" t="s">
        <v>16</v>
      </c>
      <c r="G1063" s="22">
        <v>1</v>
      </c>
      <c r="H1063" s="23">
        <v>1</v>
      </c>
      <c r="I1063" s="23">
        <v>1</v>
      </c>
      <c r="J1063" s="23">
        <v>2</v>
      </c>
      <c r="K1063" s="23">
        <v>3</v>
      </c>
      <c r="L1063" s="25">
        <f t="shared" si="36"/>
        <v>1.0195048044558224</v>
      </c>
      <c r="M1063" s="20" t="s">
        <v>139</v>
      </c>
    </row>
    <row r="1064" spans="1:13" x14ac:dyDescent="0.2">
      <c r="A1064" s="48" t="s">
        <v>140</v>
      </c>
      <c r="B1064" s="12" t="s">
        <v>28</v>
      </c>
      <c r="C1064" s="29" t="s">
        <v>66</v>
      </c>
      <c r="D1064" s="44">
        <v>2.9895721386537302</v>
      </c>
      <c r="E1064" s="15" t="s">
        <v>138</v>
      </c>
      <c r="F1064" s="16" t="s">
        <v>16</v>
      </c>
      <c r="G1064" s="22">
        <v>1</v>
      </c>
      <c r="H1064" s="23">
        <v>1</v>
      </c>
      <c r="I1064" s="23">
        <v>1</v>
      </c>
      <c r="J1064" s="23">
        <v>2</v>
      </c>
      <c r="K1064" s="23">
        <v>3</v>
      </c>
      <c r="L1064" s="25">
        <f t="shared" si="36"/>
        <v>1.0195048044558224</v>
      </c>
      <c r="M1064" s="20" t="s">
        <v>139</v>
      </c>
    </row>
    <row r="1065" spans="1:13" x14ac:dyDescent="0.2">
      <c r="A1065" s="48" t="s">
        <v>140</v>
      </c>
      <c r="B1065" s="12" t="s">
        <v>30</v>
      </c>
      <c r="C1065" s="29" t="s">
        <v>66</v>
      </c>
      <c r="D1065" s="44">
        <v>5.274262958521291</v>
      </c>
      <c r="E1065" s="15" t="s">
        <v>138</v>
      </c>
      <c r="F1065" s="16" t="s">
        <v>16</v>
      </c>
      <c r="G1065" s="22">
        <v>1</v>
      </c>
      <c r="H1065" s="23">
        <v>1</v>
      </c>
      <c r="I1065" s="23">
        <v>1</v>
      </c>
      <c r="J1065" s="23">
        <v>2</v>
      </c>
      <c r="K1065" s="23">
        <v>3</v>
      </c>
      <c r="L1065" s="24">
        <f t="shared" si="36"/>
        <v>1.0195048044558224</v>
      </c>
      <c r="M1065" s="20" t="s">
        <v>139</v>
      </c>
    </row>
    <row r="1066" spans="1:13" x14ac:dyDescent="0.2">
      <c r="A1066" s="48" t="s">
        <v>140</v>
      </c>
      <c r="B1066" s="12" t="s">
        <v>32</v>
      </c>
      <c r="C1066" s="29" t="s">
        <v>66</v>
      </c>
      <c r="D1066" s="44">
        <v>0.38592237122360079</v>
      </c>
      <c r="E1066" s="15" t="s">
        <v>138</v>
      </c>
      <c r="F1066" s="16" t="s">
        <v>16</v>
      </c>
      <c r="G1066" s="22">
        <v>1</v>
      </c>
      <c r="H1066" s="23">
        <v>1</v>
      </c>
      <c r="I1066" s="23">
        <v>1</v>
      </c>
      <c r="J1066" s="23">
        <v>2</v>
      </c>
      <c r="K1066" s="23">
        <v>3</v>
      </c>
      <c r="L1066" s="25">
        <f t="shared" si="36"/>
        <v>1.0195048044558224</v>
      </c>
      <c r="M1066" s="20" t="s">
        <v>139</v>
      </c>
    </row>
    <row r="1067" spans="1:13" x14ac:dyDescent="0.2">
      <c r="A1067" s="48" t="s">
        <v>140</v>
      </c>
      <c r="B1067" s="12" t="s">
        <v>34</v>
      </c>
      <c r="C1067" s="29" t="s">
        <v>66</v>
      </c>
      <c r="D1067" s="44">
        <v>0.64608763344066078</v>
      </c>
      <c r="E1067" s="15" t="s">
        <v>138</v>
      </c>
      <c r="F1067" s="16" t="s">
        <v>16</v>
      </c>
      <c r="G1067" s="22">
        <v>1</v>
      </c>
      <c r="H1067" s="23">
        <v>1</v>
      </c>
      <c r="I1067" s="23">
        <v>1</v>
      </c>
      <c r="J1067" s="23">
        <v>2</v>
      </c>
      <c r="K1067" s="23">
        <v>3</v>
      </c>
      <c r="L1067" s="25">
        <f t="shared" si="36"/>
        <v>1.0195048044558224</v>
      </c>
      <c r="M1067" s="20" t="s">
        <v>139</v>
      </c>
    </row>
    <row r="1068" spans="1:13" x14ac:dyDescent="0.2">
      <c r="A1068" s="48" t="s">
        <v>140</v>
      </c>
      <c r="B1068" s="12" t="s">
        <v>36</v>
      </c>
      <c r="C1068" s="29" t="s">
        <v>66</v>
      </c>
      <c r="D1068" s="44">
        <v>0.4252060606041127</v>
      </c>
      <c r="E1068" s="15" t="s">
        <v>138</v>
      </c>
      <c r="F1068" s="16" t="s">
        <v>16</v>
      </c>
      <c r="G1068" s="22">
        <v>1</v>
      </c>
      <c r="H1068" s="23">
        <v>1</v>
      </c>
      <c r="I1068" s="23">
        <v>1</v>
      </c>
      <c r="J1068" s="23">
        <v>2</v>
      </c>
      <c r="K1068" s="23">
        <v>3</v>
      </c>
      <c r="L1068" s="25">
        <f t="shared" si="36"/>
        <v>1.0195048044558224</v>
      </c>
      <c r="M1068" s="20" t="s">
        <v>139</v>
      </c>
    </row>
    <row r="1069" spans="1:13" x14ac:dyDescent="0.2">
      <c r="A1069" s="48" t="s">
        <v>140</v>
      </c>
      <c r="B1069" s="12" t="s">
        <v>37</v>
      </c>
      <c r="C1069" s="29" t="s">
        <v>66</v>
      </c>
      <c r="D1069" s="44">
        <v>2.7793833564997121</v>
      </c>
      <c r="E1069" s="15" t="s">
        <v>138</v>
      </c>
      <c r="F1069" s="16" t="s">
        <v>16</v>
      </c>
      <c r="G1069" s="22">
        <v>1</v>
      </c>
      <c r="H1069" s="23">
        <v>1</v>
      </c>
      <c r="I1069" s="23">
        <v>1</v>
      </c>
      <c r="J1069" s="23">
        <v>2</v>
      </c>
      <c r="K1069" s="23">
        <v>3</v>
      </c>
      <c r="L1069" s="24">
        <f t="shared" si="36"/>
        <v>1.0195048044558224</v>
      </c>
      <c r="M1069" s="20" t="s">
        <v>139</v>
      </c>
    </row>
    <row r="1070" spans="1:13" x14ac:dyDescent="0.2">
      <c r="A1070" s="48" t="s">
        <v>140</v>
      </c>
      <c r="B1070" s="12" t="s">
        <v>39</v>
      </c>
      <c r="C1070" s="29" t="s">
        <v>66</v>
      </c>
      <c r="D1070" s="44">
        <v>6.5356790219817024E-2</v>
      </c>
      <c r="E1070" s="15" t="s">
        <v>138</v>
      </c>
      <c r="F1070" s="16" t="s">
        <v>16</v>
      </c>
      <c r="G1070" s="22">
        <v>1</v>
      </c>
      <c r="H1070" s="23">
        <v>1</v>
      </c>
      <c r="I1070" s="23">
        <v>1</v>
      </c>
      <c r="J1070" s="23">
        <v>2</v>
      </c>
      <c r="K1070" s="23">
        <v>3</v>
      </c>
      <c r="L1070" s="25">
        <f t="shared" si="36"/>
        <v>1.0195048044558224</v>
      </c>
      <c r="M1070" s="20" t="s">
        <v>139</v>
      </c>
    </row>
    <row r="1071" spans="1:13" x14ac:dyDescent="0.2">
      <c r="A1071" s="48" t="s">
        <v>140</v>
      </c>
      <c r="B1071" s="12" t="s">
        <v>40</v>
      </c>
      <c r="C1071" s="29" t="s">
        <v>66</v>
      </c>
      <c r="D1071" s="44">
        <v>0.12000406965607401</v>
      </c>
      <c r="E1071" s="15" t="s">
        <v>138</v>
      </c>
      <c r="F1071" s="16" t="s">
        <v>16</v>
      </c>
      <c r="G1071" s="22">
        <v>1</v>
      </c>
      <c r="H1071" s="23">
        <v>1</v>
      </c>
      <c r="I1071" s="23">
        <v>1</v>
      </c>
      <c r="J1071" s="23">
        <v>2</v>
      </c>
      <c r="K1071" s="23">
        <v>3</v>
      </c>
      <c r="L1071" s="25">
        <f t="shared" si="36"/>
        <v>1.0195048044558224</v>
      </c>
      <c r="M1071" s="20" t="s">
        <v>139</v>
      </c>
    </row>
    <row r="1072" spans="1:13" x14ac:dyDescent="0.2">
      <c r="A1072" s="48" t="s">
        <v>140</v>
      </c>
      <c r="B1072" s="12" t="s">
        <v>41</v>
      </c>
      <c r="C1072" s="29" t="s">
        <v>66</v>
      </c>
      <c r="D1072" s="44">
        <v>3.4104230604769803E-2</v>
      </c>
      <c r="E1072" s="15" t="s">
        <v>138</v>
      </c>
      <c r="F1072" s="16" t="s">
        <v>16</v>
      </c>
      <c r="G1072" s="22">
        <v>1</v>
      </c>
      <c r="H1072" s="23">
        <v>1</v>
      </c>
      <c r="I1072" s="23">
        <v>1</v>
      </c>
      <c r="J1072" s="23">
        <v>2</v>
      </c>
      <c r="K1072" s="23">
        <v>3</v>
      </c>
      <c r="L1072" s="25">
        <f t="shared" ref="L1072:L1133" si="37">IF( OR( ISBLANK(G1072),ISBLANK(H1072), ISBLANK(I1072), ISBLANK(J1072), ISBLANK(K1072) ), "", 1.5*SQRT( EXP(2.21*(G1072-1)) + EXP(2.21*(H1072-1)) + EXP(2.21*(I1072-1)) + EXP(2.21*(J1072-1)) + EXP(2.21*K1072) )/100*2.45 )</f>
        <v>1.0195048044558224</v>
      </c>
      <c r="M1072" s="20" t="s">
        <v>139</v>
      </c>
    </row>
    <row r="1073" spans="1:13" x14ac:dyDescent="0.2">
      <c r="A1073" s="48" t="s">
        <v>140</v>
      </c>
      <c r="B1073" s="12" t="s">
        <v>42</v>
      </c>
      <c r="C1073" s="29" t="s">
        <v>66</v>
      </c>
      <c r="D1073" s="44">
        <v>1.9676907019917769E-2</v>
      </c>
      <c r="E1073" s="15" t="s">
        <v>138</v>
      </c>
      <c r="F1073" s="16" t="s">
        <v>16</v>
      </c>
      <c r="G1073" s="22">
        <v>1</v>
      </c>
      <c r="H1073" s="23">
        <v>1</v>
      </c>
      <c r="I1073" s="23">
        <v>1</v>
      </c>
      <c r="J1073" s="23">
        <v>2</v>
      </c>
      <c r="K1073" s="23">
        <v>3</v>
      </c>
      <c r="L1073" s="25">
        <f t="shared" si="37"/>
        <v>1.0195048044558224</v>
      </c>
      <c r="M1073" s="20" t="s">
        <v>139</v>
      </c>
    </row>
    <row r="1074" spans="1:13" x14ac:dyDescent="0.2">
      <c r="A1074" s="48" t="s">
        <v>140</v>
      </c>
      <c r="B1074" s="12" t="s">
        <v>43</v>
      </c>
      <c r="C1074" s="29" t="s">
        <v>66</v>
      </c>
      <c r="D1074" s="44">
        <v>0.91100590314559959</v>
      </c>
      <c r="E1074" s="15" t="s">
        <v>138</v>
      </c>
      <c r="F1074" s="16" t="s">
        <v>16</v>
      </c>
      <c r="G1074" s="22">
        <v>1</v>
      </c>
      <c r="H1074" s="23">
        <v>1</v>
      </c>
      <c r="I1074" s="23">
        <v>1</v>
      </c>
      <c r="J1074" s="23">
        <v>2</v>
      </c>
      <c r="K1074" s="23">
        <v>3</v>
      </c>
      <c r="L1074" s="25">
        <f t="shared" si="37"/>
        <v>1.0195048044558224</v>
      </c>
      <c r="M1074" s="20" t="s">
        <v>139</v>
      </c>
    </row>
    <row r="1075" spans="1:13" x14ac:dyDescent="0.2">
      <c r="A1075" s="48" t="s">
        <v>140</v>
      </c>
      <c r="B1075" s="12" t="s">
        <v>45</v>
      </c>
      <c r="C1075" s="29" t="s">
        <v>66</v>
      </c>
      <c r="D1075" s="44">
        <v>0.34504224660256011</v>
      </c>
      <c r="E1075" s="15" t="s">
        <v>138</v>
      </c>
      <c r="F1075" s="16" t="s">
        <v>16</v>
      </c>
      <c r="G1075" s="22">
        <v>1</v>
      </c>
      <c r="H1075" s="23">
        <v>1</v>
      </c>
      <c r="I1075" s="23">
        <v>1</v>
      </c>
      <c r="J1075" s="23">
        <v>2</v>
      </c>
      <c r="K1075" s="23">
        <v>3</v>
      </c>
      <c r="L1075" s="25">
        <f t="shared" si="37"/>
        <v>1.0195048044558224</v>
      </c>
      <c r="M1075" s="20" t="s">
        <v>139</v>
      </c>
    </row>
    <row r="1076" spans="1:13" x14ac:dyDescent="0.2">
      <c r="A1076" s="48" t="s">
        <v>140</v>
      </c>
      <c r="B1076" s="12" t="s">
        <v>46</v>
      </c>
      <c r="C1076" s="29" t="s">
        <v>66</v>
      </c>
      <c r="D1076" s="44">
        <v>1.5701576109668769</v>
      </c>
      <c r="E1076" s="15" t="s">
        <v>138</v>
      </c>
      <c r="F1076" s="16" t="s">
        <v>16</v>
      </c>
      <c r="G1076" s="22">
        <v>1</v>
      </c>
      <c r="H1076" s="23">
        <v>1</v>
      </c>
      <c r="I1076" s="23">
        <v>1</v>
      </c>
      <c r="J1076" s="23">
        <v>2</v>
      </c>
      <c r="K1076" s="23">
        <v>3</v>
      </c>
      <c r="L1076" s="24">
        <f t="shared" si="37"/>
        <v>1.0195048044558224</v>
      </c>
      <c r="M1076" s="20" t="s">
        <v>139</v>
      </c>
    </row>
    <row r="1077" spans="1:13" x14ac:dyDescent="0.2">
      <c r="A1077" s="48" t="s">
        <v>140</v>
      </c>
      <c r="B1077" s="12" t="s">
        <v>48</v>
      </c>
      <c r="C1077" s="29" t="s">
        <v>66</v>
      </c>
      <c r="D1077" s="44">
        <v>0.57845433387739442</v>
      </c>
      <c r="E1077" s="15" t="s">
        <v>138</v>
      </c>
      <c r="F1077" s="16" t="s">
        <v>16</v>
      </c>
      <c r="G1077" s="22">
        <v>1</v>
      </c>
      <c r="H1077" s="23">
        <v>1</v>
      </c>
      <c r="I1077" s="23">
        <v>1</v>
      </c>
      <c r="J1077" s="23">
        <v>2</v>
      </c>
      <c r="K1077" s="23">
        <v>3</v>
      </c>
      <c r="L1077" s="25">
        <f t="shared" si="37"/>
        <v>1.0195048044558224</v>
      </c>
      <c r="M1077" s="20" t="s">
        <v>139</v>
      </c>
    </row>
    <row r="1078" spans="1:13" x14ac:dyDescent="0.2">
      <c r="A1078" s="48" t="s">
        <v>140</v>
      </c>
      <c r="B1078" s="12" t="s">
        <v>50</v>
      </c>
      <c r="C1078" s="29" t="s">
        <v>66</v>
      </c>
      <c r="D1078" s="44">
        <v>0.67217250582352783</v>
      </c>
      <c r="E1078" s="15" t="s">
        <v>138</v>
      </c>
      <c r="F1078" s="16" t="s">
        <v>16</v>
      </c>
      <c r="G1078" s="22">
        <v>1</v>
      </c>
      <c r="H1078" s="23">
        <v>1</v>
      </c>
      <c r="I1078" s="23">
        <v>1</v>
      </c>
      <c r="J1078" s="23">
        <v>2</v>
      </c>
      <c r="K1078" s="23">
        <v>3</v>
      </c>
      <c r="L1078" s="25">
        <f t="shared" si="37"/>
        <v>1.0195048044558224</v>
      </c>
      <c r="M1078" s="20" t="s">
        <v>139</v>
      </c>
    </row>
    <row r="1079" spans="1:13" x14ac:dyDescent="0.2">
      <c r="A1079" s="48" t="s">
        <v>140</v>
      </c>
      <c r="B1079" s="12" t="s">
        <v>52</v>
      </c>
      <c r="C1079" s="29" t="s">
        <v>66</v>
      </c>
      <c r="D1079" s="44">
        <v>0.1786943786869096</v>
      </c>
      <c r="E1079" s="15" t="s">
        <v>138</v>
      </c>
      <c r="F1079" s="16" t="s">
        <v>16</v>
      </c>
      <c r="G1079" s="22">
        <v>1</v>
      </c>
      <c r="H1079" s="23">
        <v>1</v>
      </c>
      <c r="I1079" s="23">
        <v>1</v>
      </c>
      <c r="J1079" s="23">
        <v>2</v>
      </c>
      <c r="K1079" s="23">
        <v>3</v>
      </c>
      <c r="L1079" s="25">
        <f t="shared" si="37"/>
        <v>1.0195048044558224</v>
      </c>
      <c r="M1079" s="20" t="s">
        <v>139</v>
      </c>
    </row>
    <row r="1080" spans="1:13" x14ac:dyDescent="0.2">
      <c r="A1080" s="48" t="s">
        <v>140</v>
      </c>
      <c r="B1080" s="12" t="s">
        <v>54</v>
      </c>
      <c r="C1080" s="29" t="s">
        <v>66</v>
      </c>
      <c r="D1080" s="44">
        <v>6.9174913163646198E-2</v>
      </c>
      <c r="E1080" s="15" t="s">
        <v>138</v>
      </c>
      <c r="F1080" s="16" t="s">
        <v>16</v>
      </c>
      <c r="G1080" s="22">
        <v>1</v>
      </c>
      <c r="H1080" s="23">
        <v>1</v>
      </c>
      <c r="I1080" s="23">
        <v>1</v>
      </c>
      <c r="J1080" s="23">
        <v>2</v>
      </c>
      <c r="K1080" s="23">
        <v>3</v>
      </c>
      <c r="L1080" s="25">
        <f t="shared" si="37"/>
        <v>1.0195048044558224</v>
      </c>
      <c r="M1080" s="20" t="s">
        <v>139</v>
      </c>
    </row>
    <row r="1081" spans="1:13" x14ac:dyDescent="0.2">
      <c r="A1081" s="48" t="s">
        <v>140</v>
      </c>
      <c r="B1081" s="12" t="s">
        <v>55</v>
      </c>
      <c r="C1081" s="29" t="s">
        <v>66</v>
      </c>
      <c r="D1081" s="44">
        <v>2.120938460469096</v>
      </c>
      <c r="E1081" s="15" t="s">
        <v>138</v>
      </c>
      <c r="F1081" s="16" t="s">
        <v>16</v>
      </c>
      <c r="G1081" s="22">
        <v>1</v>
      </c>
      <c r="H1081" s="23">
        <v>1</v>
      </c>
      <c r="I1081" s="23">
        <v>1</v>
      </c>
      <c r="J1081" s="23">
        <v>2</v>
      </c>
      <c r="K1081" s="23">
        <v>3</v>
      </c>
      <c r="L1081" s="24">
        <f t="shared" si="37"/>
        <v>1.0195048044558224</v>
      </c>
      <c r="M1081" s="20" t="s">
        <v>139</v>
      </c>
    </row>
    <row r="1082" spans="1:13" x14ac:dyDescent="0.2">
      <c r="A1082" s="48" t="s">
        <v>140</v>
      </c>
      <c r="B1082" s="12" t="s">
        <v>57</v>
      </c>
      <c r="C1082" s="29" t="s">
        <v>66</v>
      </c>
      <c r="D1082" s="44">
        <v>0.34590525934620991</v>
      </c>
      <c r="E1082" s="15" t="s">
        <v>138</v>
      </c>
      <c r="F1082" s="16" t="s">
        <v>16</v>
      </c>
      <c r="G1082" s="22">
        <v>1</v>
      </c>
      <c r="H1082" s="23">
        <v>1</v>
      </c>
      <c r="I1082" s="23">
        <v>1</v>
      </c>
      <c r="J1082" s="23">
        <v>2</v>
      </c>
      <c r="K1082" s="23">
        <v>3</v>
      </c>
      <c r="L1082" s="25">
        <f t="shared" si="37"/>
        <v>1.0195048044558224</v>
      </c>
      <c r="M1082" s="20" t="s">
        <v>139</v>
      </c>
    </row>
    <row r="1083" spans="1:13" x14ac:dyDescent="0.2">
      <c r="A1083" s="48" t="s">
        <v>140</v>
      </c>
      <c r="B1083" s="12" t="s">
        <v>59</v>
      </c>
      <c r="C1083" s="29" t="s">
        <v>66</v>
      </c>
      <c r="D1083" s="44">
        <v>0.52048746776241495</v>
      </c>
      <c r="E1083" s="15" t="s">
        <v>138</v>
      </c>
      <c r="F1083" s="16" t="s">
        <v>16</v>
      </c>
      <c r="G1083" s="22">
        <v>1</v>
      </c>
      <c r="H1083" s="23">
        <v>1</v>
      </c>
      <c r="I1083" s="23">
        <v>1</v>
      </c>
      <c r="J1083" s="23">
        <v>2</v>
      </c>
      <c r="K1083" s="23">
        <v>3</v>
      </c>
      <c r="L1083" s="25">
        <f t="shared" si="37"/>
        <v>1.0195048044558224</v>
      </c>
      <c r="M1083" s="20" t="s">
        <v>139</v>
      </c>
    </row>
    <row r="1084" spans="1:13" x14ac:dyDescent="0.2">
      <c r="A1084" s="48" t="s">
        <v>140</v>
      </c>
      <c r="B1084" s="12" t="s">
        <v>60</v>
      </c>
      <c r="C1084" s="29" t="s">
        <v>66</v>
      </c>
      <c r="D1084" s="44">
        <v>2.7485303864039299</v>
      </c>
      <c r="E1084" s="15" t="s">
        <v>138</v>
      </c>
      <c r="F1084" s="16" t="s">
        <v>16</v>
      </c>
      <c r="G1084" s="22">
        <v>1</v>
      </c>
      <c r="H1084" s="23">
        <v>2</v>
      </c>
      <c r="I1084" s="23">
        <v>1</v>
      </c>
      <c r="J1084" s="23">
        <v>2</v>
      </c>
      <c r="K1084" s="23">
        <v>3</v>
      </c>
      <c r="L1084" s="24">
        <f t="shared" si="37"/>
        <v>1.0248662490928169</v>
      </c>
      <c r="M1084" s="20" t="s">
        <v>139</v>
      </c>
    </row>
    <row r="1085" spans="1:13" x14ac:dyDescent="0.2">
      <c r="A1085" s="48" t="s">
        <v>140</v>
      </c>
      <c r="B1085" s="12" t="s">
        <v>13</v>
      </c>
      <c r="C1085" s="30" t="s">
        <v>94</v>
      </c>
      <c r="D1085" s="44">
        <v>34.524170605863361</v>
      </c>
      <c r="E1085" s="15" t="s">
        <v>138</v>
      </c>
      <c r="F1085" s="16" t="s">
        <v>16</v>
      </c>
      <c r="G1085" s="22">
        <v>1</v>
      </c>
      <c r="H1085" s="23">
        <v>1</v>
      </c>
      <c r="I1085" s="23">
        <v>1</v>
      </c>
      <c r="J1085" s="23">
        <v>2</v>
      </c>
      <c r="K1085" s="23">
        <v>3</v>
      </c>
      <c r="L1085" s="25">
        <f t="shared" si="37"/>
        <v>1.0195048044558224</v>
      </c>
      <c r="M1085" s="20" t="s">
        <v>139</v>
      </c>
    </row>
    <row r="1086" spans="1:13" x14ac:dyDescent="0.2">
      <c r="A1086" s="48" t="s">
        <v>140</v>
      </c>
      <c r="B1086" s="12" t="s">
        <v>18</v>
      </c>
      <c r="C1086" s="30" t="s">
        <v>94</v>
      </c>
      <c r="D1086" s="44">
        <v>46.535190116757349</v>
      </c>
      <c r="E1086" s="15" t="s">
        <v>138</v>
      </c>
      <c r="F1086" s="16" t="s">
        <v>16</v>
      </c>
      <c r="G1086" s="22">
        <v>1</v>
      </c>
      <c r="H1086" s="23">
        <v>1</v>
      </c>
      <c r="I1086" s="23">
        <v>1</v>
      </c>
      <c r="J1086" s="23">
        <v>2</v>
      </c>
      <c r="K1086" s="23">
        <v>3</v>
      </c>
      <c r="L1086" s="25">
        <f t="shared" si="37"/>
        <v>1.0195048044558224</v>
      </c>
      <c r="M1086" s="20" t="s">
        <v>139</v>
      </c>
    </row>
    <row r="1087" spans="1:13" x14ac:dyDescent="0.2">
      <c r="A1087" s="48" t="s">
        <v>140</v>
      </c>
      <c r="B1087" s="12" t="s">
        <v>20</v>
      </c>
      <c r="C1087" s="30" t="s">
        <v>94</v>
      </c>
      <c r="D1087" s="44">
        <v>17.65749962030819</v>
      </c>
      <c r="E1087" s="15" t="s">
        <v>138</v>
      </c>
      <c r="F1087" s="16" t="s">
        <v>16</v>
      </c>
      <c r="G1087" s="22">
        <v>1</v>
      </c>
      <c r="H1087" s="23">
        <v>1</v>
      </c>
      <c r="I1087" s="23">
        <v>1</v>
      </c>
      <c r="J1087" s="23">
        <v>2</v>
      </c>
      <c r="K1087" s="23">
        <v>3</v>
      </c>
      <c r="L1087" s="25">
        <f t="shared" si="37"/>
        <v>1.0195048044558224</v>
      </c>
      <c r="M1087" s="20" t="s">
        <v>139</v>
      </c>
    </row>
    <row r="1088" spans="1:13" x14ac:dyDescent="0.2">
      <c r="A1088" s="48" t="s">
        <v>140</v>
      </c>
      <c r="B1088" s="12" t="s">
        <v>22</v>
      </c>
      <c r="C1088" s="30" t="s">
        <v>94</v>
      </c>
      <c r="D1088" s="44">
        <v>7.6533802417322168</v>
      </c>
      <c r="E1088" s="15" t="s">
        <v>138</v>
      </c>
      <c r="F1088" s="16" t="s">
        <v>16</v>
      </c>
      <c r="G1088" s="22">
        <v>1</v>
      </c>
      <c r="H1088" s="23">
        <v>1</v>
      </c>
      <c r="I1088" s="23">
        <v>1</v>
      </c>
      <c r="J1088" s="23">
        <v>2</v>
      </c>
      <c r="K1088" s="23">
        <v>3</v>
      </c>
      <c r="L1088" s="25">
        <f t="shared" si="37"/>
        <v>1.0195048044558224</v>
      </c>
      <c r="M1088" s="20" t="s">
        <v>139</v>
      </c>
    </row>
    <row r="1089" spans="1:13" x14ac:dyDescent="0.2">
      <c r="A1089" s="48" t="s">
        <v>140</v>
      </c>
      <c r="B1089" s="12" t="s">
        <v>23</v>
      </c>
      <c r="C1089" s="30" t="s">
        <v>94</v>
      </c>
      <c r="D1089" s="44">
        <v>2.1157765514708902</v>
      </c>
      <c r="E1089" s="15" t="s">
        <v>138</v>
      </c>
      <c r="F1089" s="16" t="s">
        <v>16</v>
      </c>
      <c r="G1089" s="22">
        <v>1</v>
      </c>
      <c r="H1089" s="23">
        <v>1</v>
      </c>
      <c r="I1089" s="23">
        <v>1</v>
      </c>
      <c r="J1089" s="23">
        <v>2</v>
      </c>
      <c r="K1089" s="23">
        <v>3</v>
      </c>
      <c r="L1089" s="25">
        <f t="shared" si="37"/>
        <v>1.0195048044558224</v>
      </c>
      <c r="M1089" s="20" t="s">
        <v>139</v>
      </c>
    </row>
    <row r="1090" spans="1:13" x14ac:dyDescent="0.2">
      <c r="A1090" s="48" t="s">
        <v>140</v>
      </c>
      <c r="B1090" s="12" t="s">
        <v>24</v>
      </c>
      <c r="C1090" s="30" t="s">
        <v>94</v>
      </c>
      <c r="D1090" s="44">
        <v>30.56152171506125</v>
      </c>
      <c r="E1090" s="15" t="s">
        <v>138</v>
      </c>
      <c r="F1090" s="16" t="s">
        <v>16</v>
      </c>
      <c r="G1090" s="22">
        <v>1</v>
      </c>
      <c r="H1090" s="23">
        <v>1</v>
      </c>
      <c r="I1090" s="23">
        <v>1</v>
      </c>
      <c r="J1090" s="23">
        <v>2</v>
      </c>
      <c r="K1090" s="23">
        <v>3</v>
      </c>
      <c r="L1090" s="25">
        <f t="shared" si="37"/>
        <v>1.0195048044558224</v>
      </c>
      <c r="M1090" s="20" t="s">
        <v>139</v>
      </c>
    </row>
    <row r="1091" spans="1:13" x14ac:dyDescent="0.2">
      <c r="A1091" s="48" t="s">
        <v>140</v>
      </c>
      <c r="B1091" s="12" t="s">
        <v>25</v>
      </c>
      <c r="C1091" s="30" t="s">
        <v>94</v>
      </c>
      <c r="D1091" s="44">
        <v>26.434969935292411</v>
      </c>
      <c r="E1091" s="15" t="s">
        <v>138</v>
      </c>
      <c r="F1091" s="16" t="s">
        <v>16</v>
      </c>
      <c r="G1091" s="22">
        <v>1</v>
      </c>
      <c r="H1091" s="23">
        <v>1</v>
      </c>
      <c r="I1091" s="23">
        <v>1</v>
      </c>
      <c r="J1091" s="23">
        <v>2</v>
      </c>
      <c r="K1091" s="23">
        <v>3</v>
      </c>
      <c r="L1091" s="25">
        <f t="shared" si="37"/>
        <v>1.0195048044558224</v>
      </c>
      <c r="M1091" s="20" t="s">
        <v>139</v>
      </c>
    </row>
    <row r="1092" spans="1:13" x14ac:dyDescent="0.2">
      <c r="A1092" s="48" t="s">
        <v>140</v>
      </c>
      <c r="B1092" s="12" t="s">
        <v>26</v>
      </c>
      <c r="C1092" s="30" t="s">
        <v>94</v>
      </c>
      <c r="D1092" s="44">
        <v>6.1943827356370242</v>
      </c>
      <c r="E1092" s="15" t="s">
        <v>138</v>
      </c>
      <c r="F1092" s="16" t="s">
        <v>16</v>
      </c>
      <c r="G1092" s="22">
        <v>1</v>
      </c>
      <c r="H1092" s="23">
        <v>1</v>
      </c>
      <c r="I1092" s="23">
        <v>1</v>
      </c>
      <c r="J1092" s="23">
        <v>2</v>
      </c>
      <c r="K1092" s="23">
        <v>3</v>
      </c>
      <c r="L1092" s="25">
        <f t="shared" si="37"/>
        <v>1.0195048044558224</v>
      </c>
      <c r="M1092" s="20" t="s">
        <v>139</v>
      </c>
    </row>
    <row r="1093" spans="1:13" x14ac:dyDescent="0.2">
      <c r="A1093" s="48" t="s">
        <v>140</v>
      </c>
      <c r="B1093" s="12" t="s">
        <v>27</v>
      </c>
      <c r="C1093" s="30" t="s">
        <v>94</v>
      </c>
      <c r="D1093" s="44">
        <v>18.147436026695829</v>
      </c>
      <c r="E1093" s="15" t="s">
        <v>138</v>
      </c>
      <c r="F1093" s="16" t="s">
        <v>16</v>
      </c>
      <c r="G1093" s="22">
        <v>1</v>
      </c>
      <c r="H1093" s="23">
        <v>1</v>
      </c>
      <c r="I1093" s="23">
        <v>1</v>
      </c>
      <c r="J1093" s="23">
        <v>2</v>
      </c>
      <c r="K1093" s="23">
        <v>3</v>
      </c>
      <c r="L1093" s="25">
        <f t="shared" si="37"/>
        <v>1.0195048044558224</v>
      </c>
      <c r="M1093" s="20" t="s">
        <v>139</v>
      </c>
    </row>
    <row r="1094" spans="1:13" x14ac:dyDescent="0.2">
      <c r="A1094" s="48" t="s">
        <v>140</v>
      </c>
      <c r="B1094" s="12" t="s">
        <v>28</v>
      </c>
      <c r="C1094" s="30" t="s">
        <v>94</v>
      </c>
      <c r="D1094" s="44">
        <v>247.96671867334101</v>
      </c>
      <c r="E1094" s="15" t="s">
        <v>138</v>
      </c>
      <c r="F1094" s="16" t="s">
        <v>16</v>
      </c>
      <c r="G1094" s="22">
        <v>1</v>
      </c>
      <c r="H1094" s="23">
        <v>1</v>
      </c>
      <c r="I1094" s="23">
        <v>1</v>
      </c>
      <c r="J1094" s="23">
        <v>2</v>
      </c>
      <c r="K1094" s="23">
        <v>3</v>
      </c>
      <c r="L1094" s="25">
        <f t="shared" si="37"/>
        <v>1.0195048044558224</v>
      </c>
      <c r="M1094" s="20" t="s">
        <v>139</v>
      </c>
    </row>
    <row r="1095" spans="1:13" x14ac:dyDescent="0.2">
      <c r="A1095" s="48" t="s">
        <v>140</v>
      </c>
      <c r="B1095" s="12" t="s">
        <v>30</v>
      </c>
      <c r="C1095" s="30" t="s">
        <v>94</v>
      </c>
      <c r="D1095" s="44">
        <v>437.46784442332341</v>
      </c>
      <c r="E1095" s="15" t="s">
        <v>138</v>
      </c>
      <c r="F1095" s="16" t="s">
        <v>16</v>
      </c>
      <c r="G1095" s="22">
        <v>1</v>
      </c>
      <c r="H1095" s="23">
        <v>1</v>
      </c>
      <c r="I1095" s="23">
        <v>1</v>
      </c>
      <c r="J1095" s="23">
        <v>2</v>
      </c>
      <c r="K1095" s="23">
        <v>3</v>
      </c>
      <c r="L1095" s="24">
        <f t="shared" si="37"/>
        <v>1.0195048044558224</v>
      </c>
      <c r="M1095" s="20" t="s">
        <v>139</v>
      </c>
    </row>
    <row r="1096" spans="1:13" x14ac:dyDescent="0.2">
      <c r="A1096" s="48" t="s">
        <v>140</v>
      </c>
      <c r="B1096" s="12" t="s">
        <v>32</v>
      </c>
      <c r="C1096" s="30" t="s">
        <v>94</v>
      </c>
      <c r="D1096" s="44">
        <v>32.009899616620473</v>
      </c>
      <c r="E1096" s="15" t="s">
        <v>138</v>
      </c>
      <c r="F1096" s="16" t="s">
        <v>16</v>
      </c>
      <c r="G1096" s="22">
        <v>1</v>
      </c>
      <c r="H1096" s="23">
        <v>1</v>
      </c>
      <c r="I1096" s="23">
        <v>1</v>
      </c>
      <c r="J1096" s="23">
        <v>2</v>
      </c>
      <c r="K1096" s="23">
        <v>3</v>
      </c>
      <c r="L1096" s="25">
        <f t="shared" si="37"/>
        <v>1.0195048044558224</v>
      </c>
      <c r="M1096" s="20" t="s">
        <v>139</v>
      </c>
    </row>
    <row r="1097" spans="1:13" x14ac:dyDescent="0.2">
      <c r="A1097" s="48" t="s">
        <v>140</v>
      </c>
      <c r="B1097" s="12" t="s">
        <v>34</v>
      </c>
      <c r="C1097" s="30" t="s">
        <v>94</v>
      </c>
      <c r="D1097" s="44">
        <v>53.589016424219913</v>
      </c>
      <c r="E1097" s="15" t="s">
        <v>138</v>
      </c>
      <c r="F1097" s="16" t="s">
        <v>16</v>
      </c>
      <c r="G1097" s="22">
        <v>1</v>
      </c>
      <c r="H1097" s="23">
        <v>1</v>
      </c>
      <c r="I1097" s="23">
        <v>1</v>
      </c>
      <c r="J1097" s="23">
        <v>2</v>
      </c>
      <c r="K1097" s="23">
        <v>3</v>
      </c>
      <c r="L1097" s="25">
        <f t="shared" si="37"/>
        <v>1.0195048044558224</v>
      </c>
      <c r="M1097" s="20" t="s">
        <v>139</v>
      </c>
    </row>
    <row r="1098" spans="1:13" x14ac:dyDescent="0.2">
      <c r="A1098" s="48" t="s">
        <v>140</v>
      </c>
      <c r="B1098" s="12" t="s">
        <v>36</v>
      </c>
      <c r="C1098" s="30" t="s">
        <v>94</v>
      </c>
      <c r="D1098" s="44">
        <v>35.268241312785378</v>
      </c>
      <c r="E1098" s="15" t="s">
        <v>138</v>
      </c>
      <c r="F1098" s="16" t="s">
        <v>16</v>
      </c>
      <c r="G1098" s="22">
        <v>1</v>
      </c>
      <c r="H1098" s="23">
        <v>1</v>
      </c>
      <c r="I1098" s="23">
        <v>1</v>
      </c>
      <c r="J1098" s="23">
        <v>2</v>
      </c>
      <c r="K1098" s="23">
        <v>3</v>
      </c>
      <c r="L1098" s="25">
        <f t="shared" si="37"/>
        <v>1.0195048044558224</v>
      </c>
      <c r="M1098" s="20" t="s">
        <v>139</v>
      </c>
    </row>
    <row r="1099" spans="1:13" x14ac:dyDescent="0.2">
      <c r="A1099" s="48" t="s">
        <v>140</v>
      </c>
      <c r="B1099" s="12" t="s">
        <v>37</v>
      </c>
      <c r="C1099" s="30" t="s">
        <v>94</v>
      </c>
      <c r="D1099" s="44">
        <v>230.53284513043721</v>
      </c>
      <c r="E1099" s="15" t="s">
        <v>138</v>
      </c>
      <c r="F1099" s="16" t="s">
        <v>16</v>
      </c>
      <c r="G1099" s="22">
        <v>1</v>
      </c>
      <c r="H1099" s="23">
        <v>1</v>
      </c>
      <c r="I1099" s="23">
        <v>1</v>
      </c>
      <c r="J1099" s="23">
        <v>2</v>
      </c>
      <c r="K1099" s="23">
        <v>3</v>
      </c>
      <c r="L1099" s="24">
        <f t="shared" si="37"/>
        <v>1.0195048044558224</v>
      </c>
      <c r="M1099" s="20" t="s">
        <v>139</v>
      </c>
    </row>
    <row r="1100" spans="1:13" x14ac:dyDescent="0.2">
      <c r="A1100" s="48" t="s">
        <v>140</v>
      </c>
      <c r="B1100" s="12" t="s">
        <v>39</v>
      </c>
      <c r="C1100" s="30" t="s">
        <v>94</v>
      </c>
      <c r="D1100" s="44">
        <v>5.420945895330691</v>
      </c>
      <c r="E1100" s="15" t="s">
        <v>138</v>
      </c>
      <c r="F1100" s="16" t="s">
        <v>16</v>
      </c>
      <c r="G1100" s="22">
        <v>1</v>
      </c>
      <c r="H1100" s="23">
        <v>1</v>
      </c>
      <c r="I1100" s="23">
        <v>1</v>
      </c>
      <c r="J1100" s="23">
        <v>2</v>
      </c>
      <c r="K1100" s="23">
        <v>3</v>
      </c>
      <c r="L1100" s="25">
        <f t="shared" si="37"/>
        <v>1.0195048044558224</v>
      </c>
      <c r="M1100" s="20" t="s">
        <v>139</v>
      </c>
    </row>
    <row r="1101" spans="1:13" x14ac:dyDescent="0.2">
      <c r="A1101" s="48" t="s">
        <v>140</v>
      </c>
      <c r="B1101" s="12" t="s">
        <v>40</v>
      </c>
      <c r="C1101" s="30" t="s">
        <v>94</v>
      </c>
      <c r="D1101" s="44">
        <v>9.953603392043906</v>
      </c>
      <c r="E1101" s="15" t="s">
        <v>138</v>
      </c>
      <c r="F1101" s="16" t="s">
        <v>16</v>
      </c>
      <c r="G1101" s="22">
        <v>1</v>
      </c>
      <c r="H1101" s="23">
        <v>1</v>
      </c>
      <c r="I1101" s="23">
        <v>1</v>
      </c>
      <c r="J1101" s="23">
        <v>2</v>
      </c>
      <c r="K1101" s="23">
        <v>3</v>
      </c>
      <c r="L1101" s="25">
        <f t="shared" si="37"/>
        <v>1.0195048044558224</v>
      </c>
      <c r="M1101" s="20" t="s">
        <v>139</v>
      </c>
    </row>
    <row r="1102" spans="1:13" x14ac:dyDescent="0.2">
      <c r="A1102" s="48" t="s">
        <v>140</v>
      </c>
      <c r="B1102" s="12" t="s">
        <v>41</v>
      </c>
      <c r="C1102" s="30" t="s">
        <v>94</v>
      </c>
      <c r="D1102" s="44">
        <v>2.8287372786903031</v>
      </c>
      <c r="E1102" s="15" t="s">
        <v>138</v>
      </c>
      <c r="F1102" s="16" t="s">
        <v>16</v>
      </c>
      <c r="G1102" s="22">
        <v>1</v>
      </c>
      <c r="H1102" s="23">
        <v>1</v>
      </c>
      <c r="I1102" s="23">
        <v>1</v>
      </c>
      <c r="J1102" s="23">
        <v>2</v>
      </c>
      <c r="K1102" s="23">
        <v>3</v>
      </c>
      <c r="L1102" s="25">
        <f t="shared" si="37"/>
        <v>1.0195048044558224</v>
      </c>
      <c r="M1102" s="20" t="s">
        <v>139</v>
      </c>
    </row>
    <row r="1103" spans="1:13" x14ac:dyDescent="0.2">
      <c r="A1103" s="48" t="s">
        <v>140</v>
      </c>
      <c r="B1103" s="12" t="s">
        <v>42</v>
      </c>
      <c r="C1103" s="30" t="s">
        <v>94</v>
      </c>
      <c r="D1103" s="44">
        <v>1.6320790538162619</v>
      </c>
      <c r="E1103" s="15" t="s">
        <v>138</v>
      </c>
      <c r="F1103" s="16" t="s">
        <v>16</v>
      </c>
      <c r="G1103" s="22">
        <v>1</v>
      </c>
      <c r="H1103" s="23">
        <v>1</v>
      </c>
      <c r="I1103" s="23">
        <v>1</v>
      </c>
      <c r="J1103" s="23">
        <v>2</v>
      </c>
      <c r="K1103" s="23">
        <v>3</v>
      </c>
      <c r="L1103" s="25">
        <f t="shared" si="37"/>
        <v>1.0195048044558224</v>
      </c>
      <c r="M1103" s="20" t="s">
        <v>139</v>
      </c>
    </row>
    <row r="1104" spans="1:13" x14ac:dyDescent="0.2">
      <c r="A1104" s="48" t="s">
        <v>140</v>
      </c>
      <c r="B1104" s="12" t="s">
        <v>43</v>
      </c>
      <c r="C1104" s="30" t="s">
        <v>94</v>
      </c>
      <c r="D1104" s="44">
        <v>75.562366123998331</v>
      </c>
      <c r="E1104" s="15" t="s">
        <v>138</v>
      </c>
      <c r="F1104" s="16" t="s">
        <v>16</v>
      </c>
      <c r="G1104" s="22">
        <v>1</v>
      </c>
      <c r="H1104" s="23">
        <v>1</v>
      </c>
      <c r="I1104" s="23">
        <v>1</v>
      </c>
      <c r="J1104" s="23">
        <v>2</v>
      </c>
      <c r="K1104" s="23">
        <v>3</v>
      </c>
      <c r="L1104" s="25">
        <f t="shared" si="37"/>
        <v>1.0195048044558224</v>
      </c>
      <c r="M1104" s="20" t="s">
        <v>139</v>
      </c>
    </row>
    <row r="1105" spans="1:13" x14ac:dyDescent="0.2">
      <c r="A1105" s="48" t="s">
        <v>140</v>
      </c>
      <c r="B1105" s="12" t="s">
        <v>45</v>
      </c>
      <c r="C1105" s="30" t="s">
        <v>94</v>
      </c>
      <c r="D1105" s="44">
        <v>28.619143384258219</v>
      </c>
      <c r="E1105" s="15" t="s">
        <v>138</v>
      </c>
      <c r="F1105" s="16" t="s">
        <v>16</v>
      </c>
      <c r="G1105" s="22">
        <v>1</v>
      </c>
      <c r="H1105" s="23">
        <v>1</v>
      </c>
      <c r="I1105" s="23">
        <v>1</v>
      </c>
      <c r="J1105" s="23">
        <v>2</v>
      </c>
      <c r="K1105" s="23">
        <v>3</v>
      </c>
      <c r="L1105" s="25">
        <f t="shared" si="37"/>
        <v>1.0195048044558224</v>
      </c>
      <c r="M1105" s="20" t="s">
        <v>139</v>
      </c>
    </row>
    <row r="1106" spans="1:13" x14ac:dyDescent="0.2">
      <c r="A1106" s="48" t="s">
        <v>140</v>
      </c>
      <c r="B1106" s="12" t="s">
        <v>46</v>
      </c>
      <c r="C1106" s="30" t="s">
        <v>94</v>
      </c>
      <c r="D1106" s="44">
        <v>130.2349675919713</v>
      </c>
      <c r="E1106" s="15" t="s">
        <v>138</v>
      </c>
      <c r="F1106" s="16" t="s">
        <v>16</v>
      </c>
      <c r="G1106" s="22">
        <v>1</v>
      </c>
      <c r="H1106" s="23">
        <v>1</v>
      </c>
      <c r="I1106" s="23">
        <v>1</v>
      </c>
      <c r="J1106" s="23">
        <v>2</v>
      </c>
      <c r="K1106" s="23">
        <v>3</v>
      </c>
      <c r="L1106" s="24">
        <f t="shared" si="37"/>
        <v>1.0195048044558224</v>
      </c>
      <c r="M1106" s="20" t="s">
        <v>139</v>
      </c>
    </row>
    <row r="1107" spans="1:13" x14ac:dyDescent="0.2">
      <c r="A1107" s="48" t="s">
        <v>140</v>
      </c>
      <c r="B1107" s="12" t="s">
        <v>48</v>
      </c>
      <c r="C1107" s="30" t="s">
        <v>94</v>
      </c>
      <c r="D1107" s="44">
        <v>47.979248006553803</v>
      </c>
      <c r="E1107" s="15" t="s">
        <v>138</v>
      </c>
      <c r="F1107" s="16" t="s">
        <v>16</v>
      </c>
      <c r="G1107" s="22">
        <v>1</v>
      </c>
      <c r="H1107" s="23">
        <v>1</v>
      </c>
      <c r="I1107" s="23">
        <v>1</v>
      </c>
      <c r="J1107" s="23">
        <v>2</v>
      </c>
      <c r="K1107" s="23">
        <v>3</v>
      </c>
      <c r="L1107" s="25">
        <f t="shared" si="37"/>
        <v>1.0195048044558224</v>
      </c>
      <c r="M1107" s="20" t="s">
        <v>139</v>
      </c>
    </row>
    <row r="1108" spans="1:13" x14ac:dyDescent="0.2">
      <c r="A1108" s="48" t="s">
        <v>140</v>
      </c>
      <c r="B1108" s="12" t="s">
        <v>50</v>
      </c>
      <c r="C1108" s="30" t="s">
        <v>94</v>
      </c>
      <c r="D1108" s="44">
        <v>55.752597000905773</v>
      </c>
      <c r="E1108" s="15" t="s">
        <v>138</v>
      </c>
      <c r="F1108" s="16" t="s">
        <v>16</v>
      </c>
      <c r="G1108" s="22">
        <v>1</v>
      </c>
      <c r="H1108" s="23">
        <v>1</v>
      </c>
      <c r="I1108" s="23">
        <v>1</v>
      </c>
      <c r="J1108" s="23">
        <v>2</v>
      </c>
      <c r="K1108" s="23">
        <v>3</v>
      </c>
      <c r="L1108" s="25">
        <f t="shared" si="37"/>
        <v>1.0195048044558224</v>
      </c>
      <c r="M1108" s="20" t="s">
        <v>139</v>
      </c>
    </row>
    <row r="1109" spans="1:13" x14ac:dyDescent="0.2">
      <c r="A1109" s="48" t="s">
        <v>140</v>
      </c>
      <c r="B1109" s="12" t="s">
        <v>52</v>
      </c>
      <c r="C1109" s="30" t="s">
        <v>94</v>
      </c>
      <c r="D1109" s="44">
        <v>14.821605458337681</v>
      </c>
      <c r="E1109" s="15" t="s">
        <v>138</v>
      </c>
      <c r="F1109" s="16" t="s">
        <v>16</v>
      </c>
      <c r="G1109" s="22">
        <v>1</v>
      </c>
      <c r="H1109" s="23">
        <v>1</v>
      </c>
      <c r="I1109" s="23">
        <v>1</v>
      </c>
      <c r="J1109" s="23">
        <v>2</v>
      </c>
      <c r="K1109" s="23">
        <v>3</v>
      </c>
      <c r="L1109" s="25">
        <f t="shared" si="37"/>
        <v>1.0195048044558224</v>
      </c>
      <c r="M1109" s="20" t="s">
        <v>139</v>
      </c>
    </row>
    <row r="1110" spans="1:13" x14ac:dyDescent="0.2">
      <c r="A1110" s="48" t="s">
        <v>140</v>
      </c>
      <c r="B1110" s="12" t="s">
        <v>54</v>
      </c>
      <c r="C1110" s="30" t="s">
        <v>94</v>
      </c>
      <c r="D1110" s="44">
        <v>5.7376358342124032</v>
      </c>
      <c r="E1110" s="15" t="s">
        <v>138</v>
      </c>
      <c r="F1110" s="16" t="s">
        <v>16</v>
      </c>
      <c r="G1110" s="22">
        <v>1</v>
      </c>
      <c r="H1110" s="23">
        <v>1</v>
      </c>
      <c r="I1110" s="23">
        <v>1</v>
      </c>
      <c r="J1110" s="23">
        <v>2</v>
      </c>
      <c r="K1110" s="23">
        <v>3</v>
      </c>
      <c r="L1110" s="25">
        <f t="shared" si="37"/>
        <v>1.0195048044558224</v>
      </c>
      <c r="M1110" s="20" t="s">
        <v>139</v>
      </c>
    </row>
    <row r="1111" spans="1:13" x14ac:dyDescent="0.2">
      <c r="A1111" s="48" t="s">
        <v>140</v>
      </c>
      <c r="B1111" s="12" t="s">
        <v>55</v>
      </c>
      <c r="C1111" s="30" t="s">
        <v>94</v>
      </c>
      <c r="D1111" s="44">
        <v>175.91886937621899</v>
      </c>
      <c r="E1111" s="15" t="s">
        <v>138</v>
      </c>
      <c r="F1111" s="16" t="s">
        <v>16</v>
      </c>
      <c r="G1111" s="22">
        <v>1</v>
      </c>
      <c r="H1111" s="23">
        <v>1</v>
      </c>
      <c r="I1111" s="23">
        <v>1</v>
      </c>
      <c r="J1111" s="23">
        <v>2</v>
      </c>
      <c r="K1111" s="23">
        <v>3</v>
      </c>
      <c r="L1111" s="24">
        <f t="shared" si="37"/>
        <v>1.0195048044558224</v>
      </c>
      <c r="M1111" s="20" t="s">
        <v>139</v>
      </c>
    </row>
    <row r="1112" spans="1:13" x14ac:dyDescent="0.2">
      <c r="A1112" s="48" t="s">
        <v>140</v>
      </c>
      <c r="B1112" s="12" t="s">
        <v>57</v>
      </c>
      <c r="C1112" s="30" t="s">
        <v>94</v>
      </c>
      <c r="D1112" s="44">
        <v>28.69072501142459</v>
      </c>
      <c r="E1112" s="15" t="s">
        <v>138</v>
      </c>
      <c r="F1112" s="16" t="s">
        <v>16</v>
      </c>
      <c r="G1112" s="22">
        <v>1</v>
      </c>
      <c r="H1112" s="23">
        <v>1</v>
      </c>
      <c r="I1112" s="23">
        <v>1</v>
      </c>
      <c r="J1112" s="23">
        <v>2</v>
      </c>
      <c r="K1112" s="23">
        <v>3</v>
      </c>
      <c r="L1112" s="25">
        <f t="shared" si="37"/>
        <v>1.0195048044558224</v>
      </c>
      <c r="M1112" s="20" t="s">
        <v>139</v>
      </c>
    </row>
    <row r="1113" spans="1:13" x14ac:dyDescent="0.2">
      <c r="A1113" s="48" t="s">
        <v>140</v>
      </c>
      <c r="B1113" s="12" t="s">
        <v>59</v>
      </c>
      <c r="C1113" s="30" t="s">
        <v>94</v>
      </c>
      <c r="D1113" s="44">
        <v>43.171251104100321</v>
      </c>
      <c r="E1113" s="15" t="s">
        <v>138</v>
      </c>
      <c r="F1113" s="16" t="s">
        <v>16</v>
      </c>
      <c r="G1113" s="22">
        <v>1</v>
      </c>
      <c r="H1113" s="23">
        <v>1</v>
      </c>
      <c r="I1113" s="23">
        <v>1</v>
      </c>
      <c r="J1113" s="23">
        <v>2</v>
      </c>
      <c r="K1113" s="23">
        <v>3</v>
      </c>
      <c r="L1113" s="25">
        <f t="shared" si="37"/>
        <v>1.0195048044558224</v>
      </c>
      <c r="M1113" s="20" t="s">
        <v>139</v>
      </c>
    </row>
    <row r="1114" spans="1:13" x14ac:dyDescent="0.2">
      <c r="A1114" s="48" t="s">
        <v>140</v>
      </c>
      <c r="B1114" s="12" t="s">
        <v>60</v>
      </c>
      <c r="C1114" s="30" t="s">
        <v>94</v>
      </c>
      <c r="D1114" s="44">
        <v>227.9737800197278</v>
      </c>
      <c r="E1114" s="15" t="s">
        <v>138</v>
      </c>
      <c r="F1114" s="16" t="s">
        <v>16</v>
      </c>
      <c r="G1114" s="22">
        <v>1</v>
      </c>
      <c r="H1114" s="23">
        <v>2</v>
      </c>
      <c r="I1114" s="23">
        <v>1</v>
      </c>
      <c r="J1114" s="23">
        <v>2</v>
      </c>
      <c r="K1114" s="23">
        <v>3</v>
      </c>
      <c r="L1114" s="24">
        <f t="shared" si="37"/>
        <v>1.0248662490928169</v>
      </c>
      <c r="M1114" s="20" t="s">
        <v>139</v>
      </c>
    </row>
    <row r="1115" spans="1:13" x14ac:dyDescent="0.2">
      <c r="A1115" s="48" t="s">
        <v>140</v>
      </c>
      <c r="B1115" s="12" t="s">
        <v>13</v>
      </c>
      <c r="C1115" s="31" t="s">
        <v>96</v>
      </c>
      <c r="D1115" s="44">
        <v>63.242348406400907</v>
      </c>
      <c r="E1115" s="15" t="s">
        <v>138</v>
      </c>
      <c r="F1115" s="16" t="s">
        <v>16</v>
      </c>
      <c r="G1115" s="22">
        <v>1</v>
      </c>
      <c r="H1115" s="23">
        <v>1</v>
      </c>
      <c r="I1115" s="23">
        <v>1</v>
      </c>
      <c r="J1115" s="23">
        <v>2</v>
      </c>
      <c r="K1115" s="23">
        <v>3</v>
      </c>
      <c r="L1115" s="25">
        <f t="shared" si="37"/>
        <v>1.0195048044558224</v>
      </c>
      <c r="M1115" s="20" t="s">
        <v>139</v>
      </c>
    </row>
    <row r="1116" spans="1:13" x14ac:dyDescent="0.2">
      <c r="A1116" s="48" t="s">
        <v>140</v>
      </c>
      <c r="B1116" s="12" t="s">
        <v>18</v>
      </c>
      <c r="C1116" s="31" t="s">
        <v>96</v>
      </c>
      <c r="D1116" s="44">
        <v>85.244472347215577</v>
      </c>
      <c r="E1116" s="15" t="s">
        <v>138</v>
      </c>
      <c r="F1116" s="16" t="s">
        <v>16</v>
      </c>
      <c r="G1116" s="22">
        <v>1</v>
      </c>
      <c r="H1116" s="23">
        <v>1</v>
      </c>
      <c r="I1116" s="23">
        <v>1</v>
      </c>
      <c r="J1116" s="23">
        <v>2</v>
      </c>
      <c r="K1116" s="23">
        <v>3</v>
      </c>
      <c r="L1116" s="25">
        <f t="shared" si="37"/>
        <v>1.0195048044558224</v>
      </c>
      <c r="M1116" s="20" t="s">
        <v>139</v>
      </c>
    </row>
    <row r="1117" spans="1:13" x14ac:dyDescent="0.2">
      <c r="A1117" s="48" t="s">
        <v>140</v>
      </c>
      <c r="B1117" s="12" t="s">
        <v>20</v>
      </c>
      <c r="C1117" s="31" t="s">
        <v>96</v>
      </c>
      <c r="D1117" s="44">
        <v>32.345505290249278</v>
      </c>
      <c r="E1117" s="15" t="s">
        <v>138</v>
      </c>
      <c r="F1117" s="16" t="s">
        <v>16</v>
      </c>
      <c r="G1117" s="22">
        <v>1</v>
      </c>
      <c r="H1117" s="23">
        <v>1</v>
      </c>
      <c r="I1117" s="23">
        <v>1</v>
      </c>
      <c r="J1117" s="23">
        <v>2</v>
      </c>
      <c r="K1117" s="23">
        <v>3</v>
      </c>
      <c r="L1117" s="25">
        <f t="shared" si="37"/>
        <v>1.0195048044558224</v>
      </c>
      <c r="M1117" s="20" t="s">
        <v>139</v>
      </c>
    </row>
    <row r="1118" spans="1:13" x14ac:dyDescent="0.2">
      <c r="A1118" s="48" t="s">
        <v>140</v>
      </c>
      <c r="B1118" s="12" t="s">
        <v>22</v>
      </c>
      <c r="C1118" s="31" t="s">
        <v>96</v>
      </c>
      <c r="D1118" s="44">
        <v>14.019677554602611</v>
      </c>
      <c r="E1118" s="15" t="s">
        <v>138</v>
      </c>
      <c r="F1118" s="16" t="s">
        <v>16</v>
      </c>
      <c r="G1118" s="22">
        <v>1</v>
      </c>
      <c r="H1118" s="23">
        <v>1</v>
      </c>
      <c r="I1118" s="23">
        <v>1</v>
      </c>
      <c r="J1118" s="23">
        <v>2</v>
      </c>
      <c r="K1118" s="23">
        <v>3</v>
      </c>
      <c r="L1118" s="25">
        <f t="shared" si="37"/>
        <v>1.0195048044558224</v>
      </c>
      <c r="M1118" s="20" t="s">
        <v>139</v>
      </c>
    </row>
    <row r="1119" spans="1:13" x14ac:dyDescent="0.2">
      <c r="A1119" s="48" t="s">
        <v>140</v>
      </c>
      <c r="B1119" s="12" t="s">
        <v>23</v>
      </c>
      <c r="C1119" s="31" t="s">
        <v>96</v>
      </c>
      <c r="D1119" s="44">
        <v>3.8757390972772732</v>
      </c>
      <c r="E1119" s="15" t="s">
        <v>138</v>
      </c>
      <c r="F1119" s="16" t="s">
        <v>16</v>
      </c>
      <c r="G1119" s="22">
        <v>1</v>
      </c>
      <c r="H1119" s="23">
        <v>1</v>
      </c>
      <c r="I1119" s="23">
        <v>1</v>
      </c>
      <c r="J1119" s="23">
        <v>2</v>
      </c>
      <c r="K1119" s="23">
        <v>3</v>
      </c>
      <c r="L1119" s="25">
        <f t="shared" si="37"/>
        <v>1.0195048044558224</v>
      </c>
      <c r="M1119" s="20" t="s">
        <v>139</v>
      </c>
    </row>
    <row r="1120" spans="1:13" x14ac:dyDescent="0.2">
      <c r="A1120" s="48" t="s">
        <v>140</v>
      </c>
      <c r="B1120" s="12" t="s">
        <v>24</v>
      </c>
      <c r="C1120" s="31" t="s">
        <v>96</v>
      </c>
      <c r="D1120" s="44">
        <v>55.983456523802467</v>
      </c>
      <c r="E1120" s="15" t="s">
        <v>138</v>
      </c>
      <c r="F1120" s="16" t="s">
        <v>16</v>
      </c>
      <c r="G1120" s="22">
        <v>1</v>
      </c>
      <c r="H1120" s="23">
        <v>1</v>
      </c>
      <c r="I1120" s="23">
        <v>1</v>
      </c>
      <c r="J1120" s="23">
        <v>2</v>
      </c>
      <c r="K1120" s="23">
        <v>3</v>
      </c>
      <c r="L1120" s="25">
        <f t="shared" si="37"/>
        <v>1.0195048044558224</v>
      </c>
      <c r="M1120" s="20" t="s">
        <v>139</v>
      </c>
    </row>
    <row r="1121" spans="1:13" x14ac:dyDescent="0.2">
      <c r="A1121" s="48" t="s">
        <v>140</v>
      </c>
      <c r="B1121" s="12" t="s">
        <v>25</v>
      </c>
      <c r="C1121" s="31" t="s">
        <v>96</v>
      </c>
      <c r="D1121" s="44">
        <v>48.424322711363452</v>
      </c>
      <c r="E1121" s="15" t="s">
        <v>138</v>
      </c>
      <c r="F1121" s="16" t="s">
        <v>16</v>
      </c>
      <c r="G1121" s="22">
        <v>1</v>
      </c>
      <c r="H1121" s="23">
        <v>1</v>
      </c>
      <c r="I1121" s="23">
        <v>1</v>
      </c>
      <c r="J1121" s="23">
        <v>2</v>
      </c>
      <c r="K1121" s="23">
        <v>3</v>
      </c>
      <c r="L1121" s="25">
        <f t="shared" si="37"/>
        <v>1.0195048044558224</v>
      </c>
      <c r="M1121" s="20" t="s">
        <v>139</v>
      </c>
    </row>
    <row r="1122" spans="1:13" x14ac:dyDescent="0.2">
      <c r="A1122" s="48" t="s">
        <v>140</v>
      </c>
      <c r="B1122" s="12" t="s">
        <v>26</v>
      </c>
      <c r="C1122" s="31" t="s">
        <v>96</v>
      </c>
      <c r="D1122" s="44">
        <v>11.347044816862869</v>
      </c>
      <c r="E1122" s="15" t="s">
        <v>138</v>
      </c>
      <c r="F1122" s="16" t="s">
        <v>16</v>
      </c>
      <c r="G1122" s="22">
        <v>1</v>
      </c>
      <c r="H1122" s="23">
        <v>1</v>
      </c>
      <c r="I1122" s="23">
        <v>1</v>
      </c>
      <c r="J1122" s="23">
        <v>2</v>
      </c>
      <c r="K1122" s="23">
        <v>3</v>
      </c>
      <c r="L1122" s="25">
        <f t="shared" si="37"/>
        <v>1.0195048044558224</v>
      </c>
      <c r="M1122" s="20" t="s">
        <v>139</v>
      </c>
    </row>
    <row r="1123" spans="1:13" x14ac:dyDescent="0.2">
      <c r="A1123" s="48" t="s">
        <v>140</v>
      </c>
      <c r="B1123" s="12" t="s">
        <v>27</v>
      </c>
      <c r="C1123" s="31" t="s">
        <v>96</v>
      </c>
      <c r="D1123" s="44">
        <v>33.242984603032113</v>
      </c>
      <c r="E1123" s="15" t="s">
        <v>138</v>
      </c>
      <c r="F1123" s="16" t="s">
        <v>16</v>
      </c>
      <c r="G1123" s="22">
        <v>1</v>
      </c>
      <c r="H1123" s="23">
        <v>1</v>
      </c>
      <c r="I1123" s="23">
        <v>1</v>
      </c>
      <c r="J1123" s="23">
        <v>2</v>
      </c>
      <c r="K1123" s="23">
        <v>3</v>
      </c>
      <c r="L1123" s="25">
        <f t="shared" si="37"/>
        <v>1.0195048044558224</v>
      </c>
      <c r="M1123" s="20" t="s">
        <v>139</v>
      </c>
    </row>
    <row r="1124" spans="1:13" x14ac:dyDescent="0.2">
      <c r="A1124" s="48" t="s">
        <v>140</v>
      </c>
      <c r="B1124" s="12" t="s">
        <v>28</v>
      </c>
      <c r="C1124" s="31" t="s">
        <v>96</v>
      </c>
      <c r="D1124" s="44">
        <v>454.23242152754568</v>
      </c>
      <c r="E1124" s="15" t="s">
        <v>138</v>
      </c>
      <c r="F1124" s="16" t="s">
        <v>16</v>
      </c>
      <c r="G1124" s="22">
        <v>1</v>
      </c>
      <c r="H1124" s="23">
        <v>1</v>
      </c>
      <c r="I1124" s="23">
        <v>1</v>
      </c>
      <c r="J1124" s="23">
        <v>2</v>
      </c>
      <c r="K1124" s="23">
        <v>3</v>
      </c>
      <c r="L1124" s="25">
        <f t="shared" si="37"/>
        <v>1.0195048044558224</v>
      </c>
      <c r="M1124" s="20" t="s">
        <v>139</v>
      </c>
    </row>
    <row r="1125" spans="1:13" x14ac:dyDescent="0.2">
      <c r="A1125" s="48" t="s">
        <v>140</v>
      </c>
      <c r="B1125" s="12" t="s">
        <v>30</v>
      </c>
      <c r="C1125" s="31" t="s">
        <v>96</v>
      </c>
      <c r="D1125" s="44">
        <v>801.36592271729501</v>
      </c>
      <c r="E1125" s="15" t="s">
        <v>138</v>
      </c>
      <c r="F1125" s="16" t="s">
        <v>16</v>
      </c>
      <c r="G1125" s="22">
        <v>1</v>
      </c>
      <c r="H1125" s="23">
        <v>1</v>
      </c>
      <c r="I1125" s="23">
        <v>1</v>
      </c>
      <c r="J1125" s="23">
        <v>2</v>
      </c>
      <c r="K1125" s="23">
        <v>3</v>
      </c>
      <c r="L1125" s="24">
        <f t="shared" si="37"/>
        <v>1.0195048044558224</v>
      </c>
      <c r="M1125" s="20" t="s">
        <v>139</v>
      </c>
    </row>
    <row r="1126" spans="1:13" x14ac:dyDescent="0.2">
      <c r="A1126" s="48" t="s">
        <v>140</v>
      </c>
      <c r="B1126" s="12" t="s">
        <v>32</v>
      </c>
      <c r="C1126" s="31" t="s">
        <v>96</v>
      </c>
      <c r="D1126" s="44">
        <v>58.636635970754448</v>
      </c>
      <c r="E1126" s="15" t="s">
        <v>138</v>
      </c>
      <c r="F1126" s="16" t="s">
        <v>16</v>
      </c>
      <c r="G1126" s="22">
        <v>1</v>
      </c>
      <c r="H1126" s="23">
        <v>1</v>
      </c>
      <c r="I1126" s="23">
        <v>1</v>
      </c>
      <c r="J1126" s="23">
        <v>2</v>
      </c>
      <c r="K1126" s="23">
        <v>3</v>
      </c>
      <c r="L1126" s="25">
        <f t="shared" si="37"/>
        <v>1.0195048044558224</v>
      </c>
      <c r="M1126" s="20" t="s">
        <v>139</v>
      </c>
    </row>
    <row r="1127" spans="1:13" x14ac:dyDescent="0.2">
      <c r="A1127" s="48" t="s">
        <v>140</v>
      </c>
      <c r="B1127" s="12" t="s">
        <v>34</v>
      </c>
      <c r="C1127" s="31" t="s">
        <v>96</v>
      </c>
      <c r="D1127" s="44">
        <v>98.165870113075925</v>
      </c>
      <c r="E1127" s="15" t="s">
        <v>138</v>
      </c>
      <c r="F1127" s="16" t="s">
        <v>16</v>
      </c>
      <c r="G1127" s="22">
        <v>1</v>
      </c>
      <c r="H1127" s="23">
        <v>1</v>
      </c>
      <c r="I1127" s="23">
        <v>1</v>
      </c>
      <c r="J1127" s="23">
        <v>2</v>
      </c>
      <c r="K1127" s="23">
        <v>3</v>
      </c>
      <c r="L1127" s="25">
        <f t="shared" si="37"/>
        <v>1.0195048044558224</v>
      </c>
      <c r="M1127" s="20" t="s">
        <v>139</v>
      </c>
    </row>
    <row r="1128" spans="1:13" x14ac:dyDescent="0.2">
      <c r="A1128" s="48" t="s">
        <v>140</v>
      </c>
      <c r="B1128" s="12" t="s">
        <v>36</v>
      </c>
      <c r="C1128" s="31" t="s">
        <v>96</v>
      </c>
      <c r="D1128" s="44">
        <v>64.605358090930949</v>
      </c>
      <c r="E1128" s="15" t="s">
        <v>138</v>
      </c>
      <c r="F1128" s="16" t="s">
        <v>16</v>
      </c>
      <c r="G1128" s="22">
        <v>1</v>
      </c>
      <c r="H1128" s="23">
        <v>1</v>
      </c>
      <c r="I1128" s="23">
        <v>1</v>
      </c>
      <c r="J1128" s="23">
        <v>2</v>
      </c>
      <c r="K1128" s="23">
        <v>3</v>
      </c>
      <c r="L1128" s="25">
        <f t="shared" si="37"/>
        <v>1.0195048044558224</v>
      </c>
      <c r="M1128" s="20" t="s">
        <v>139</v>
      </c>
    </row>
    <row r="1129" spans="1:13" x14ac:dyDescent="0.2">
      <c r="A1129" s="48" t="s">
        <v>140</v>
      </c>
      <c r="B1129" s="12" t="s">
        <v>37</v>
      </c>
      <c r="C1129" s="31" t="s">
        <v>96</v>
      </c>
      <c r="D1129" s="44">
        <v>422.2965607863697</v>
      </c>
      <c r="E1129" s="15" t="s">
        <v>138</v>
      </c>
      <c r="F1129" s="16" t="s">
        <v>16</v>
      </c>
      <c r="G1129" s="22">
        <v>1</v>
      </c>
      <c r="H1129" s="23">
        <v>1</v>
      </c>
      <c r="I1129" s="23">
        <v>1</v>
      </c>
      <c r="J1129" s="23">
        <v>2</v>
      </c>
      <c r="K1129" s="23">
        <v>3</v>
      </c>
      <c r="L1129" s="24">
        <f t="shared" si="37"/>
        <v>1.0195048044558224</v>
      </c>
      <c r="M1129" s="20" t="s">
        <v>139</v>
      </c>
    </row>
    <row r="1130" spans="1:13" x14ac:dyDescent="0.2">
      <c r="A1130" s="48" t="s">
        <v>140</v>
      </c>
      <c r="B1130" s="12" t="s">
        <v>39</v>
      </c>
      <c r="C1130" s="31" t="s">
        <v>96</v>
      </c>
      <c r="D1130" s="44">
        <v>9.9302414218323865</v>
      </c>
      <c r="E1130" s="15" t="s">
        <v>138</v>
      </c>
      <c r="F1130" s="16" t="s">
        <v>16</v>
      </c>
      <c r="G1130" s="22">
        <v>1</v>
      </c>
      <c r="H1130" s="23">
        <v>1</v>
      </c>
      <c r="I1130" s="23">
        <v>1</v>
      </c>
      <c r="J1130" s="23">
        <v>2</v>
      </c>
      <c r="K1130" s="23">
        <v>3</v>
      </c>
      <c r="L1130" s="25">
        <f t="shared" si="37"/>
        <v>1.0195048044558224</v>
      </c>
      <c r="M1130" s="20" t="s">
        <v>139</v>
      </c>
    </row>
    <row r="1131" spans="1:13" x14ac:dyDescent="0.2">
      <c r="A1131" s="48" t="s">
        <v>140</v>
      </c>
      <c r="B1131" s="12" t="s">
        <v>40</v>
      </c>
      <c r="C1131" s="31" t="s">
        <v>96</v>
      </c>
      <c r="D1131" s="44">
        <v>18.233291128270182</v>
      </c>
      <c r="E1131" s="15" t="s">
        <v>138</v>
      </c>
      <c r="F1131" s="16" t="s">
        <v>16</v>
      </c>
      <c r="G1131" s="22">
        <v>1</v>
      </c>
      <c r="H1131" s="23">
        <v>1</v>
      </c>
      <c r="I1131" s="23">
        <v>1</v>
      </c>
      <c r="J1131" s="23">
        <v>2</v>
      </c>
      <c r="K1131" s="23">
        <v>3</v>
      </c>
      <c r="L1131" s="25">
        <f t="shared" si="37"/>
        <v>1.0195048044558224</v>
      </c>
      <c r="M1131" s="20" t="s">
        <v>139</v>
      </c>
    </row>
    <row r="1132" spans="1:13" x14ac:dyDescent="0.2">
      <c r="A1132" s="48" t="s">
        <v>140</v>
      </c>
      <c r="B1132" s="12" t="s">
        <v>41</v>
      </c>
      <c r="C1132" s="31" t="s">
        <v>96</v>
      </c>
      <c r="D1132" s="44">
        <v>5.1817606444895734</v>
      </c>
      <c r="E1132" s="15" t="s">
        <v>138</v>
      </c>
      <c r="F1132" s="16" t="s">
        <v>16</v>
      </c>
      <c r="G1132" s="22">
        <v>1</v>
      </c>
      <c r="H1132" s="23">
        <v>1</v>
      </c>
      <c r="I1132" s="23">
        <v>1</v>
      </c>
      <c r="J1132" s="23">
        <v>2</v>
      </c>
      <c r="K1132" s="23">
        <v>3</v>
      </c>
      <c r="L1132" s="25">
        <f t="shared" si="37"/>
        <v>1.0195048044558224</v>
      </c>
      <c r="M1132" s="20" t="s">
        <v>139</v>
      </c>
    </row>
    <row r="1133" spans="1:13" x14ac:dyDescent="0.2">
      <c r="A1133" s="48" t="s">
        <v>140</v>
      </c>
      <c r="B1133" s="12" t="s">
        <v>42</v>
      </c>
      <c r="C1133" s="31" t="s">
        <v>96</v>
      </c>
      <c r="D1133" s="44">
        <v>2.9896883932877891</v>
      </c>
      <c r="E1133" s="15" t="s">
        <v>138</v>
      </c>
      <c r="F1133" s="16" t="s">
        <v>16</v>
      </c>
      <c r="G1133" s="22">
        <v>1</v>
      </c>
      <c r="H1133" s="23">
        <v>1</v>
      </c>
      <c r="I1133" s="23">
        <v>1</v>
      </c>
      <c r="J1133" s="23">
        <v>2</v>
      </c>
      <c r="K1133" s="23">
        <v>3</v>
      </c>
      <c r="L1133" s="25">
        <f t="shared" si="37"/>
        <v>1.0195048044558224</v>
      </c>
      <c r="M1133" s="20" t="s">
        <v>139</v>
      </c>
    </row>
    <row r="1134" spans="1:13" x14ac:dyDescent="0.2">
      <c r="A1134" s="48" t="s">
        <v>140</v>
      </c>
      <c r="B1134" s="12" t="s">
        <v>43</v>
      </c>
      <c r="C1134" s="31" t="s">
        <v>96</v>
      </c>
      <c r="D1134" s="44">
        <v>138.41727117448369</v>
      </c>
      <c r="E1134" s="15" t="s">
        <v>138</v>
      </c>
      <c r="F1134" s="16" t="s">
        <v>16</v>
      </c>
      <c r="G1134" s="22">
        <v>1</v>
      </c>
      <c r="H1134" s="23">
        <v>1</v>
      </c>
      <c r="I1134" s="23">
        <v>1</v>
      </c>
      <c r="J1134" s="23">
        <v>2</v>
      </c>
      <c r="K1134" s="23">
        <v>3</v>
      </c>
      <c r="L1134" s="25">
        <f>IF( OR( ISBLANK(G1134),ISBLANK(H1134), ISBLANK(I1134), ISBLANK(J1134), ISBLANK(K1134) ), "", 1.5*SQRT(   EXP(2.21*(G1134-1)) + EXP(2.21*(H1134-1)) + EXP(2.21*(I1134-1)) + EXP(2.21*(J1134-1)) + EXP(2.21*K1134)   )/100*2.45 )</f>
        <v>1.0195048044558224</v>
      </c>
      <c r="M1134" s="20" t="s">
        <v>139</v>
      </c>
    </row>
    <row r="1135" spans="1:13" x14ac:dyDescent="0.2">
      <c r="A1135" s="48" t="s">
        <v>140</v>
      </c>
      <c r="B1135" s="12" t="s">
        <v>45</v>
      </c>
      <c r="C1135" s="31" t="s">
        <v>96</v>
      </c>
      <c r="D1135" s="44">
        <v>52.425353172499179</v>
      </c>
      <c r="E1135" s="15" t="s">
        <v>138</v>
      </c>
      <c r="F1135" s="16" t="s">
        <v>16</v>
      </c>
      <c r="G1135" s="22">
        <v>1</v>
      </c>
      <c r="H1135" s="23">
        <v>1</v>
      </c>
      <c r="I1135" s="23">
        <v>1</v>
      </c>
      <c r="J1135" s="23">
        <v>2</v>
      </c>
      <c r="K1135" s="23">
        <v>3</v>
      </c>
      <c r="L1135" s="25">
        <f t="shared" ref="L1135:L1166" si="38">IF( OR( ISBLANK(G1135),ISBLANK(H1135), ISBLANK(I1135), ISBLANK(J1135), ISBLANK(K1135) ), "", 1.5*SQRT( EXP(2.21*(G1135-1)) + EXP(2.21*(H1135-1)) + EXP(2.21*(I1135-1)) + EXP(2.21*(J1135-1)) + EXP(2.21*K1135) )/100*2.45 )</f>
        <v>1.0195048044558224</v>
      </c>
      <c r="M1135" s="20" t="s">
        <v>139</v>
      </c>
    </row>
    <row r="1136" spans="1:13" x14ac:dyDescent="0.2">
      <c r="A1136" s="48" t="s">
        <v>140</v>
      </c>
      <c r="B1136" s="12" t="s">
        <v>46</v>
      </c>
      <c r="C1136" s="31" t="s">
        <v>96</v>
      </c>
      <c r="D1136" s="44">
        <v>238.56808289983849</v>
      </c>
      <c r="E1136" s="15" t="s">
        <v>138</v>
      </c>
      <c r="F1136" s="16" t="s">
        <v>16</v>
      </c>
      <c r="G1136" s="22">
        <v>1</v>
      </c>
      <c r="H1136" s="23">
        <v>1</v>
      </c>
      <c r="I1136" s="23">
        <v>1</v>
      </c>
      <c r="J1136" s="23">
        <v>2</v>
      </c>
      <c r="K1136" s="23">
        <v>3</v>
      </c>
      <c r="L1136" s="24">
        <f t="shared" si="38"/>
        <v>1.0195048044558224</v>
      </c>
      <c r="M1136" s="20" t="s">
        <v>139</v>
      </c>
    </row>
    <row r="1137" spans="1:13" x14ac:dyDescent="0.2">
      <c r="A1137" s="48" t="s">
        <v>140</v>
      </c>
      <c r="B1137" s="12" t="s">
        <v>48</v>
      </c>
      <c r="C1137" s="31" t="s">
        <v>96</v>
      </c>
      <c r="D1137" s="44">
        <v>87.889738274907671</v>
      </c>
      <c r="E1137" s="15" t="s">
        <v>138</v>
      </c>
      <c r="F1137" s="16" t="s">
        <v>16</v>
      </c>
      <c r="G1137" s="22">
        <v>1</v>
      </c>
      <c r="H1137" s="23">
        <v>1</v>
      </c>
      <c r="I1137" s="23">
        <v>1</v>
      </c>
      <c r="J1137" s="23">
        <v>2</v>
      </c>
      <c r="K1137" s="23">
        <v>3</v>
      </c>
      <c r="L1137" s="25">
        <f t="shared" si="38"/>
        <v>1.0195048044558224</v>
      </c>
      <c r="M1137" s="20" t="s">
        <v>139</v>
      </c>
    </row>
    <row r="1138" spans="1:13" x14ac:dyDescent="0.2">
      <c r="A1138" s="48" t="s">
        <v>140</v>
      </c>
      <c r="B1138" s="12" t="s">
        <v>50</v>
      </c>
      <c r="C1138" s="31" t="s">
        <v>96</v>
      </c>
      <c r="D1138" s="44">
        <v>102.12917797058169</v>
      </c>
      <c r="E1138" s="15" t="s">
        <v>138</v>
      </c>
      <c r="F1138" s="16" t="s">
        <v>16</v>
      </c>
      <c r="G1138" s="22">
        <v>1</v>
      </c>
      <c r="H1138" s="23">
        <v>1</v>
      </c>
      <c r="I1138" s="23">
        <v>1</v>
      </c>
      <c r="J1138" s="23">
        <v>2</v>
      </c>
      <c r="K1138" s="23">
        <v>3</v>
      </c>
      <c r="L1138" s="25">
        <f t="shared" si="38"/>
        <v>1.0195048044558224</v>
      </c>
      <c r="M1138" s="20" t="s">
        <v>139</v>
      </c>
    </row>
    <row r="1139" spans="1:13" x14ac:dyDescent="0.2">
      <c r="A1139" s="48" t="s">
        <v>140</v>
      </c>
      <c r="B1139" s="12" t="s">
        <v>52</v>
      </c>
      <c r="C1139" s="31" t="s">
        <v>96</v>
      </c>
      <c r="D1139" s="44">
        <v>27.150634465327641</v>
      </c>
      <c r="E1139" s="15" t="s">
        <v>138</v>
      </c>
      <c r="F1139" s="16" t="s">
        <v>16</v>
      </c>
      <c r="G1139" s="22">
        <v>1</v>
      </c>
      <c r="H1139" s="23">
        <v>1</v>
      </c>
      <c r="I1139" s="23">
        <v>1</v>
      </c>
      <c r="J1139" s="23">
        <v>2</v>
      </c>
      <c r="K1139" s="23">
        <v>3</v>
      </c>
      <c r="L1139" s="25">
        <f t="shared" si="38"/>
        <v>1.0195048044558224</v>
      </c>
      <c r="M1139" s="20" t="s">
        <v>139</v>
      </c>
    </row>
    <row r="1140" spans="1:13" x14ac:dyDescent="0.2">
      <c r="A1140" s="48" t="s">
        <v>140</v>
      </c>
      <c r="B1140" s="12" t="s">
        <v>54</v>
      </c>
      <c r="C1140" s="31" t="s">
        <v>96</v>
      </c>
      <c r="D1140" s="44">
        <v>10.51036297435876</v>
      </c>
      <c r="E1140" s="15" t="s">
        <v>138</v>
      </c>
      <c r="F1140" s="16" t="s">
        <v>16</v>
      </c>
      <c r="G1140" s="22">
        <v>1</v>
      </c>
      <c r="H1140" s="23">
        <v>1</v>
      </c>
      <c r="I1140" s="23">
        <v>1</v>
      </c>
      <c r="J1140" s="23">
        <v>2</v>
      </c>
      <c r="K1140" s="23">
        <v>3</v>
      </c>
      <c r="L1140" s="25">
        <f t="shared" si="38"/>
        <v>1.0195048044558224</v>
      </c>
      <c r="M1140" s="20" t="s">
        <v>139</v>
      </c>
    </row>
    <row r="1141" spans="1:13" x14ac:dyDescent="0.2">
      <c r="A1141" s="48" t="s">
        <v>140</v>
      </c>
      <c r="B1141" s="12" t="s">
        <v>55</v>
      </c>
      <c r="C1141" s="31" t="s">
        <v>96</v>
      </c>
      <c r="D1141" s="44">
        <v>322.25314129520279</v>
      </c>
      <c r="E1141" s="15" t="s">
        <v>138</v>
      </c>
      <c r="F1141" s="16" t="s">
        <v>16</v>
      </c>
      <c r="G1141" s="22">
        <v>1</v>
      </c>
      <c r="H1141" s="23">
        <v>1</v>
      </c>
      <c r="I1141" s="23">
        <v>1</v>
      </c>
      <c r="J1141" s="23">
        <v>2</v>
      </c>
      <c r="K1141" s="23">
        <v>3</v>
      </c>
      <c r="L1141" s="24">
        <f t="shared" si="38"/>
        <v>1.0195048044558224</v>
      </c>
      <c r="M1141" s="20" t="s">
        <v>139</v>
      </c>
    </row>
    <row r="1142" spans="1:13" x14ac:dyDescent="0.2">
      <c r="A1142" s="48" t="s">
        <v>140</v>
      </c>
      <c r="B1142" s="12" t="s">
        <v>57</v>
      </c>
      <c r="C1142" s="31" t="s">
        <v>96</v>
      </c>
      <c r="D1142" s="44">
        <v>52.55647841389699</v>
      </c>
      <c r="E1142" s="15" t="s">
        <v>138</v>
      </c>
      <c r="F1142" s="16" t="s">
        <v>16</v>
      </c>
      <c r="G1142" s="22">
        <v>1</v>
      </c>
      <c r="H1142" s="23">
        <v>1</v>
      </c>
      <c r="I1142" s="23">
        <v>1</v>
      </c>
      <c r="J1142" s="23">
        <v>2</v>
      </c>
      <c r="K1142" s="23">
        <v>3</v>
      </c>
      <c r="L1142" s="25">
        <f t="shared" si="38"/>
        <v>1.0195048044558224</v>
      </c>
      <c r="M1142" s="20" t="s">
        <v>139</v>
      </c>
    </row>
    <row r="1143" spans="1:13" x14ac:dyDescent="0.2">
      <c r="A1143" s="48" t="s">
        <v>140</v>
      </c>
      <c r="B1143" s="12" t="s">
        <v>59</v>
      </c>
      <c r="C1143" s="31" t="s">
        <v>96</v>
      </c>
      <c r="D1143" s="44">
        <v>79.082314087569827</v>
      </c>
      <c r="E1143" s="15" t="s">
        <v>138</v>
      </c>
      <c r="F1143" s="16" t="s">
        <v>16</v>
      </c>
      <c r="G1143" s="22">
        <v>1</v>
      </c>
      <c r="H1143" s="23">
        <v>1</v>
      </c>
      <c r="I1143" s="23">
        <v>1</v>
      </c>
      <c r="J1143" s="23">
        <v>2</v>
      </c>
      <c r="K1143" s="23">
        <v>3</v>
      </c>
      <c r="L1143" s="25">
        <f t="shared" si="38"/>
        <v>1.0195048044558224</v>
      </c>
      <c r="M1143" s="20" t="s">
        <v>139</v>
      </c>
    </row>
    <row r="1144" spans="1:13" x14ac:dyDescent="0.2">
      <c r="A1144" s="48" t="s">
        <v>140</v>
      </c>
      <c r="B1144" s="12" t="s">
        <v>60</v>
      </c>
      <c r="C1144" s="31" t="s">
        <v>96</v>
      </c>
      <c r="D1144" s="44">
        <v>417.60879321698258</v>
      </c>
      <c r="E1144" s="15" t="s">
        <v>138</v>
      </c>
      <c r="F1144" s="16" t="s">
        <v>16</v>
      </c>
      <c r="G1144" s="22">
        <v>1</v>
      </c>
      <c r="H1144" s="23">
        <v>2</v>
      </c>
      <c r="I1144" s="23">
        <v>1</v>
      </c>
      <c r="J1144" s="23">
        <v>2</v>
      </c>
      <c r="K1144" s="23">
        <v>3</v>
      </c>
      <c r="L1144" s="24">
        <f t="shared" si="38"/>
        <v>1.0248662490928169</v>
      </c>
      <c r="M1144" s="20" t="s">
        <v>139</v>
      </c>
    </row>
    <row r="1145" spans="1:13" x14ac:dyDescent="0.2">
      <c r="A1145" s="49" t="s">
        <v>140</v>
      </c>
      <c r="B1145" s="39" t="s">
        <v>135</v>
      </c>
      <c r="C1145" s="35" t="s">
        <v>98</v>
      </c>
      <c r="D1145" s="51">
        <v>0</v>
      </c>
      <c r="E1145" s="37"/>
      <c r="F1145" s="38"/>
      <c r="G1145" s="50"/>
      <c r="H1145" s="51"/>
      <c r="I1145" s="51"/>
      <c r="J1145" s="51"/>
      <c r="K1145" s="51"/>
      <c r="L1145" s="52" t="str">
        <f t="shared" si="38"/>
        <v/>
      </c>
      <c r="M1145" s="42" t="s">
        <v>139</v>
      </c>
    </row>
    <row r="1146" spans="1:13" x14ac:dyDescent="0.2">
      <c r="A1146" s="48" t="s">
        <v>141</v>
      </c>
      <c r="B1146" s="12" t="s">
        <v>13</v>
      </c>
      <c r="C1146" s="13" t="s">
        <v>14</v>
      </c>
      <c r="D1146" s="44">
        <v>1.8039568373409769</v>
      </c>
      <c r="E1146" s="15" t="s">
        <v>138</v>
      </c>
      <c r="F1146" s="16" t="s">
        <v>16</v>
      </c>
      <c r="G1146" s="22">
        <v>1</v>
      </c>
      <c r="H1146" s="23">
        <v>1</v>
      </c>
      <c r="I1146" s="23">
        <v>1</v>
      </c>
      <c r="J1146" s="23">
        <v>2</v>
      </c>
      <c r="K1146" s="23">
        <v>3</v>
      </c>
      <c r="L1146" s="25">
        <f t="shared" si="38"/>
        <v>1.0195048044558224</v>
      </c>
      <c r="M1146" s="20" t="s">
        <v>139</v>
      </c>
    </row>
    <row r="1147" spans="1:13" x14ac:dyDescent="0.2">
      <c r="A1147" s="48" t="s">
        <v>141</v>
      </c>
      <c r="B1147" s="12" t="s">
        <v>18</v>
      </c>
      <c r="C1147" s="13" t="s">
        <v>14</v>
      </c>
      <c r="D1147" s="44">
        <v>2.43155658528201</v>
      </c>
      <c r="E1147" s="15" t="s">
        <v>138</v>
      </c>
      <c r="F1147" s="16" t="s">
        <v>16</v>
      </c>
      <c r="G1147" s="22">
        <v>1</v>
      </c>
      <c r="H1147" s="23">
        <v>1</v>
      </c>
      <c r="I1147" s="23">
        <v>1</v>
      </c>
      <c r="J1147" s="23">
        <v>2</v>
      </c>
      <c r="K1147" s="23">
        <v>3</v>
      </c>
      <c r="L1147" s="25">
        <f t="shared" si="38"/>
        <v>1.0195048044558224</v>
      </c>
      <c r="M1147" s="20" t="s">
        <v>139</v>
      </c>
    </row>
    <row r="1148" spans="1:13" x14ac:dyDescent="0.2">
      <c r="A1148" s="48" t="s">
        <v>141</v>
      </c>
      <c r="B1148" s="12" t="s">
        <v>20</v>
      </c>
      <c r="C1148" s="13" t="s">
        <v>14</v>
      </c>
      <c r="D1148" s="44">
        <v>0.92263960614859453</v>
      </c>
      <c r="E1148" s="15" t="s">
        <v>138</v>
      </c>
      <c r="F1148" s="16" t="s">
        <v>16</v>
      </c>
      <c r="G1148" s="22">
        <v>1</v>
      </c>
      <c r="H1148" s="23">
        <v>1</v>
      </c>
      <c r="I1148" s="23">
        <v>1</v>
      </c>
      <c r="J1148" s="23">
        <v>2</v>
      </c>
      <c r="K1148" s="23">
        <v>3</v>
      </c>
      <c r="L1148" s="25">
        <f t="shared" si="38"/>
        <v>1.0195048044558224</v>
      </c>
      <c r="M1148" s="20" t="s">
        <v>139</v>
      </c>
    </row>
    <row r="1149" spans="1:13" x14ac:dyDescent="0.2">
      <c r="A1149" s="48" t="s">
        <v>141</v>
      </c>
      <c r="B1149" s="12" t="s">
        <v>22</v>
      </c>
      <c r="C1149" s="13" t="s">
        <v>14</v>
      </c>
      <c r="D1149" s="44">
        <v>0.3999043966460526</v>
      </c>
      <c r="E1149" s="15" t="s">
        <v>138</v>
      </c>
      <c r="F1149" s="16" t="s">
        <v>16</v>
      </c>
      <c r="G1149" s="22">
        <v>1</v>
      </c>
      <c r="H1149" s="23">
        <v>1</v>
      </c>
      <c r="I1149" s="23">
        <v>1</v>
      </c>
      <c r="J1149" s="23">
        <v>2</v>
      </c>
      <c r="K1149" s="23">
        <v>3</v>
      </c>
      <c r="L1149" s="25">
        <f t="shared" si="38"/>
        <v>1.0195048044558224</v>
      </c>
      <c r="M1149" s="20" t="s">
        <v>139</v>
      </c>
    </row>
    <row r="1150" spans="1:13" x14ac:dyDescent="0.2">
      <c r="A1150" s="48" t="s">
        <v>141</v>
      </c>
      <c r="B1150" s="12" t="s">
        <v>23</v>
      </c>
      <c r="C1150" s="13" t="s">
        <v>14</v>
      </c>
      <c r="D1150" s="44">
        <v>0.11055354869737</v>
      </c>
      <c r="E1150" s="15" t="s">
        <v>138</v>
      </c>
      <c r="F1150" s="16" t="s">
        <v>16</v>
      </c>
      <c r="G1150" s="22">
        <v>1</v>
      </c>
      <c r="H1150" s="23">
        <v>1</v>
      </c>
      <c r="I1150" s="23">
        <v>1</v>
      </c>
      <c r="J1150" s="23">
        <v>2</v>
      </c>
      <c r="K1150" s="23">
        <v>3</v>
      </c>
      <c r="L1150" s="25">
        <f t="shared" si="38"/>
        <v>1.0195048044558224</v>
      </c>
      <c r="M1150" s="20" t="s">
        <v>139</v>
      </c>
    </row>
    <row r="1151" spans="1:13" x14ac:dyDescent="0.2">
      <c r="A1151" s="48" t="s">
        <v>141</v>
      </c>
      <c r="B1151" s="12" t="s">
        <v>24</v>
      </c>
      <c r="C1151" s="13" t="s">
        <v>14</v>
      </c>
      <c r="D1151" s="44">
        <v>1.596900521864131</v>
      </c>
      <c r="E1151" s="15" t="s">
        <v>138</v>
      </c>
      <c r="F1151" s="16" t="s">
        <v>16</v>
      </c>
      <c r="G1151" s="22">
        <v>1</v>
      </c>
      <c r="H1151" s="23">
        <v>1</v>
      </c>
      <c r="I1151" s="23">
        <v>1</v>
      </c>
      <c r="J1151" s="23">
        <v>2</v>
      </c>
      <c r="K1151" s="23">
        <v>3</v>
      </c>
      <c r="L1151" s="25">
        <f t="shared" si="38"/>
        <v>1.0195048044558224</v>
      </c>
      <c r="M1151" s="20" t="s">
        <v>139</v>
      </c>
    </row>
    <row r="1152" spans="1:13" x14ac:dyDescent="0.2">
      <c r="A1152" s="48" t="s">
        <v>141</v>
      </c>
      <c r="B1152" s="12" t="s">
        <v>25</v>
      </c>
      <c r="C1152" s="13" t="s">
        <v>14</v>
      </c>
      <c r="D1152" s="44">
        <v>1.381279953227174</v>
      </c>
      <c r="E1152" s="15" t="s">
        <v>138</v>
      </c>
      <c r="F1152" s="16" t="s">
        <v>16</v>
      </c>
      <c r="G1152" s="22">
        <v>1</v>
      </c>
      <c r="H1152" s="23">
        <v>1</v>
      </c>
      <c r="I1152" s="23">
        <v>1</v>
      </c>
      <c r="J1152" s="23">
        <v>2</v>
      </c>
      <c r="K1152" s="23">
        <v>3</v>
      </c>
      <c r="L1152" s="25">
        <f t="shared" si="38"/>
        <v>1.0195048044558224</v>
      </c>
      <c r="M1152" s="20" t="s">
        <v>139</v>
      </c>
    </row>
    <row r="1153" spans="1:13" x14ac:dyDescent="0.2">
      <c r="A1153" s="48" t="s">
        <v>141</v>
      </c>
      <c r="B1153" s="12" t="s">
        <v>26</v>
      </c>
      <c r="C1153" s="13" t="s">
        <v>14</v>
      </c>
      <c r="D1153" s="44">
        <v>0.32366886424670632</v>
      </c>
      <c r="E1153" s="15" t="s">
        <v>138</v>
      </c>
      <c r="F1153" s="16" t="s">
        <v>16</v>
      </c>
      <c r="G1153" s="22">
        <v>1</v>
      </c>
      <c r="H1153" s="23">
        <v>1</v>
      </c>
      <c r="I1153" s="23">
        <v>1</v>
      </c>
      <c r="J1153" s="23">
        <v>2</v>
      </c>
      <c r="K1153" s="23">
        <v>3</v>
      </c>
      <c r="L1153" s="25">
        <f t="shared" si="38"/>
        <v>1.0195048044558224</v>
      </c>
      <c r="M1153" s="20" t="s">
        <v>139</v>
      </c>
    </row>
    <row r="1154" spans="1:13" x14ac:dyDescent="0.2">
      <c r="A1154" s="48" t="s">
        <v>141</v>
      </c>
      <c r="B1154" s="12" t="s">
        <v>27</v>
      </c>
      <c r="C1154" s="13" t="s">
        <v>14</v>
      </c>
      <c r="D1154" s="44">
        <v>0.94823976147905031</v>
      </c>
      <c r="E1154" s="15" t="s">
        <v>138</v>
      </c>
      <c r="F1154" s="16" t="s">
        <v>16</v>
      </c>
      <c r="G1154" s="22">
        <v>1</v>
      </c>
      <c r="H1154" s="23">
        <v>1</v>
      </c>
      <c r="I1154" s="23">
        <v>1</v>
      </c>
      <c r="J1154" s="23">
        <v>2</v>
      </c>
      <c r="K1154" s="23">
        <v>3</v>
      </c>
      <c r="L1154" s="25">
        <f t="shared" si="38"/>
        <v>1.0195048044558224</v>
      </c>
      <c r="M1154" s="20" t="s">
        <v>139</v>
      </c>
    </row>
    <row r="1155" spans="1:13" x14ac:dyDescent="0.2">
      <c r="A1155" s="48" t="s">
        <v>141</v>
      </c>
      <c r="B1155" s="12" t="s">
        <v>28</v>
      </c>
      <c r="C1155" s="13" t="s">
        <v>14</v>
      </c>
      <c r="D1155" s="44">
        <v>12.95675608519354</v>
      </c>
      <c r="E1155" s="15" t="s">
        <v>138</v>
      </c>
      <c r="F1155" s="16" t="s">
        <v>16</v>
      </c>
      <c r="G1155" s="22">
        <v>1</v>
      </c>
      <c r="H1155" s="23">
        <v>1</v>
      </c>
      <c r="I1155" s="23">
        <v>1</v>
      </c>
      <c r="J1155" s="23">
        <v>2</v>
      </c>
      <c r="K1155" s="23">
        <v>3</v>
      </c>
      <c r="L1155" s="25">
        <f t="shared" si="38"/>
        <v>1.0195048044558224</v>
      </c>
      <c r="M1155" s="20" t="s">
        <v>139</v>
      </c>
    </row>
    <row r="1156" spans="1:13" x14ac:dyDescent="0.2">
      <c r="A1156" s="48" t="s">
        <v>141</v>
      </c>
      <c r="B1156" s="12" t="s">
        <v>30</v>
      </c>
      <c r="C1156" s="13" t="s">
        <v>14</v>
      </c>
      <c r="D1156" s="44">
        <v>22.858568220904491</v>
      </c>
      <c r="E1156" s="15" t="s">
        <v>138</v>
      </c>
      <c r="F1156" s="16" t="s">
        <v>16</v>
      </c>
      <c r="G1156" s="22">
        <v>1</v>
      </c>
      <c r="H1156" s="23">
        <v>1</v>
      </c>
      <c r="I1156" s="23">
        <v>1</v>
      </c>
      <c r="J1156" s="23">
        <v>2</v>
      </c>
      <c r="K1156" s="23">
        <v>3</v>
      </c>
      <c r="L1156" s="24">
        <f t="shared" si="38"/>
        <v>1.0195048044558224</v>
      </c>
      <c r="M1156" s="20" t="s">
        <v>139</v>
      </c>
    </row>
    <row r="1157" spans="1:13" x14ac:dyDescent="0.2">
      <c r="A1157" s="48" t="s">
        <v>141</v>
      </c>
      <c r="B1157" s="12" t="s">
        <v>32</v>
      </c>
      <c r="C1157" s="13" t="s">
        <v>14</v>
      </c>
      <c r="D1157" s="44">
        <v>1.672581158725762</v>
      </c>
      <c r="E1157" s="15" t="s">
        <v>138</v>
      </c>
      <c r="F1157" s="16" t="s">
        <v>16</v>
      </c>
      <c r="G1157" s="22">
        <v>1</v>
      </c>
      <c r="H1157" s="23">
        <v>1</v>
      </c>
      <c r="I1157" s="23">
        <v>1</v>
      </c>
      <c r="J1157" s="23">
        <v>2</v>
      </c>
      <c r="K1157" s="23">
        <v>3</v>
      </c>
      <c r="L1157" s="25">
        <f t="shared" si="38"/>
        <v>1.0195048044558224</v>
      </c>
      <c r="M1157" s="20" t="s">
        <v>139</v>
      </c>
    </row>
    <row r="1158" spans="1:13" x14ac:dyDescent="0.2">
      <c r="A1158" s="48" t="s">
        <v>141</v>
      </c>
      <c r="B1158" s="12" t="s">
        <v>34</v>
      </c>
      <c r="C1158" s="13" t="s">
        <v>14</v>
      </c>
      <c r="D1158" s="44">
        <v>2.8001330919281009</v>
      </c>
      <c r="E1158" s="15" t="s">
        <v>138</v>
      </c>
      <c r="F1158" s="16" t="s">
        <v>16</v>
      </c>
      <c r="G1158" s="22">
        <v>1</v>
      </c>
      <c r="H1158" s="23">
        <v>1</v>
      </c>
      <c r="I1158" s="23">
        <v>1</v>
      </c>
      <c r="J1158" s="23">
        <v>2</v>
      </c>
      <c r="K1158" s="23">
        <v>3</v>
      </c>
      <c r="L1158" s="25">
        <f t="shared" si="38"/>
        <v>1.0195048044558224</v>
      </c>
      <c r="M1158" s="20" t="s">
        <v>139</v>
      </c>
    </row>
    <row r="1159" spans="1:13" x14ac:dyDescent="0.2">
      <c r="A1159" s="48" t="s">
        <v>141</v>
      </c>
      <c r="B1159" s="12" t="s">
        <v>36</v>
      </c>
      <c r="C1159" s="13" t="s">
        <v>14</v>
      </c>
      <c r="D1159" s="44">
        <v>1.84283601722167</v>
      </c>
      <c r="E1159" s="15" t="s">
        <v>138</v>
      </c>
      <c r="F1159" s="16" t="s">
        <v>16</v>
      </c>
      <c r="G1159" s="22">
        <v>1</v>
      </c>
      <c r="H1159" s="23">
        <v>1</v>
      </c>
      <c r="I1159" s="23">
        <v>1</v>
      </c>
      <c r="J1159" s="23">
        <v>2</v>
      </c>
      <c r="K1159" s="23">
        <v>3</v>
      </c>
      <c r="L1159" s="25">
        <f t="shared" si="38"/>
        <v>1.0195048044558224</v>
      </c>
      <c r="M1159" s="20" t="s">
        <v>139</v>
      </c>
    </row>
    <row r="1160" spans="1:13" x14ac:dyDescent="0.2">
      <c r="A1160" s="48" t="s">
        <v>141</v>
      </c>
      <c r="B1160" s="12" t="s">
        <v>37</v>
      </c>
      <c r="C1160" s="13" t="s">
        <v>14</v>
      </c>
      <c r="D1160" s="44">
        <v>12.045801388030791</v>
      </c>
      <c r="E1160" s="15" t="s">
        <v>138</v>
      </c>
      <c r="F1160" s="16" t="s">
        <v>16</v>
      </c>
      <c r="G1160" s="22">
        <v>1</v>
      </c>
      <c r="H1160" s="23">
        <v>1</v>
      </c>
      <c r="I1160" s="23">
        <v>1</v>
      </c>
      <c r="J1160" s="23">
        <v>2</v>
      </c>
      <c r="K1160" s="23">
        <v>3</v>
      </c>
      <c r="L1160" s="24">
        <f t="shared" si="38"/>
        <v>1.0195048044558224</v>
      </c>
      <c r="M1160" s="20" t="s">
        <v>139</v>
      </c>
    </row>
    <row r="1161" spans="1:13" x14ac:dyDescent="0.2">
      <c r="A1161" s="48" t="s">
        <v>141</v>
      </c>
      <c r="B1161" s="12" t="s">
        <v>39</v>
      </c>
      <c r="C1161" s="13" t="s">
        <v>14</v>
      </c>
      <c r="D1161" s="44">
        <v>0.28325524527087342</v>
      </c>
      <c r="E1161" s="15" t="s">
        <v>138</v>
      </c>
      <c r="F1161" s="16" t="s">
        <v>16</v>
      </c>
      <c r="G1161" s="22">
        <v>1</v>
      </c>
      <c r="H1161" s="23">
        <v>1</v>
      </c>
      <c r="I1161" s="23">
        <v>1</v>
      </c>
      <c r="J1161" s="23">
        <v>2</v>
      </c>
      <c r="K1161" s="23">
        <v>3</v>
      </c>
      <c r="L1161" s="25">
        <f t="shared" si="38"/>
        <v>1.0195048044558224</v>
      </c>
      <c r="M1161" s="20" t="s">
        <v>139</v>
      </c>
    </row>
    <row r="1162" spans="1:13" x14ac:dyDescent="0.2">
      <c r="A1162" s="48" t="s">
        <v>141</v>
      </c>
      <c r="B1162" s="12" t="s">
        <v>40</v>
      </c>
      <c r="C1162" s="13" t="s">
        <v>14</v>
      </c>
      <c r="D1162" s="44">
        <v>0.52009564835739852</v>
      </c>
      <c r="E1162" s="15" t="s">
        <v>138</v>
      </c>
      <c r="F1162" s="16" t="s">
        <v>16</v>
      </c>
      <c r="G1162" s="22">
        <v>1</v>
      </c>
      <c r="H1162" s="23">
        <v>1</v>
      </c>
      <c r="I1162" s="23">
        <v>1</v>
      </c>
      <c r="J1162" s="23">
        <v>2</v>
      </c>
      <c r="K1162" s="23">
        <v>3</v>
      </c>
      <c r="L1162" s="25">
        <f t="shared" si="38"/>
        <v>1.0195048044558224</v>
      </c>
      <c r="M1162" s="20" t="s">
        <v>139</v>
      </c>
    </row>
    <row r="1163" spans="1:13" x14ac:dyDescent="0.2">
      <c r="A1163" s="48" t="s">
        <v>141</v>
      </c>
      <c r="B1163" s="12" t="s">
        <v>41</v>
      </c>
      <c r="C1163" s="13" t="s">
        <v>14</v>
      </c>
      <c r="D1163" s="44">
        <v>0.14780717003142241</v>
      </c>
      <c r="E1163" s="15" t="s">
        <v>138</v>
      </c>
      <c r="F1163" s="16" t="s">
        <v>16</v>
      </c>
      <c r="G1163" s="22">
        <v>1</v>
      </c>
      <c r="H1163" s="23">
        <v>1</v>
      </c>
      <c r="I1163" s="23">
        <v>1</v>
      </c>
      <c r="J1163" s="23">
        <v>2</v>
      </c>
      <c r="K1163" s="23">
        <v>3</v>
      </c>
      <c r="L1163" s="25">
        <f t="shared" si="38"/>
        <v>1.0195048044558224</v>
      </c>
      <c r="M1163" s="20" t="s">
        <v>139</v>
      </c>
    </row>
    <row r="1164" spans="1:13" x14ac:dyDescent="0.2">
      <c r="A1164" s="48" t="s">
        <v>141</v>
      </c>
      <c r="B1164" s="12" t="s">
        <v>42</v>
      </c>
      <c r="C1164" s="13" t="s">
        <v>14</v>
      </c>
      <c r="D1164" s="44">
        <v>8.5279388803414541E-2</v>
      </c>
      <c r="E1164" s="15" t="s">
        <v>138</v>
      </c>
      <c r="F1164" s="16" t="s">
        <v>16</v>
      </c>
      <c r="G1164" s="22">
        <v>1</v>
      </c>
      <c r="H1164" s="23">
        <v>1</v>
      </c>
      <c r="I1164" s="23">
        <v>1</v>
      </c>
      <c r="J1164" s="23">
        <v>2</v>
      </c>
      <c r="K1164" s="23">
        <v>3</v>
      </c>
      <c r="L1164" s="25">
        <f t="shared" si="38"/>
        <v>1.0195048044558224</v>
      </c>
      <c r="M1164" s="20" t="s">
        <v>139</v>
      </c>
    </row>
    <row r="1165" spans="1:13" x14ac:dyDescent="0.2">
      <c r="A1165" s="48" t="s">
        <v>141</v>
      </c>
      <c r="B1165" s="12" t="s">
        <v>43</v>
      </c>
      <c r="C1165" s="13" t="s">
        <v>14</v>
      </c>
      <c r="D1165" s="44">
        <v>3.948284480783407</v>
      </c>
      <c r="E1165" s="15" t="s">
        <v>138</v>
      </c>
      <c r="F1165" s="16" t="s">
        <v>16</v>
      </c>
      <c r="G1165" s="22">
        <v>1</v>
      </c>
      <c r="H1165" s="23">
        <v>1</v>
      </c>
      <c r="I1165" s="23">
        <v>1</v>
      </c>
      <c r="J1165" s="23">
        <v>2</v>
      </c>
      <c r="K1165" s="23">
        <v>3</v>
      </c>
      <c r="L1165" s="25">
        <f t="shared" si="38"/>
        <v>1.0195048044558224</v>
      </c>
      <c r="M1165" s="20" t="s">
        <v>139</v>
      </c>
    </row>
    <row r="1166" spans="1:13" x14ac:dyDescent="0.2">
      <c r="A1166" s="48" t="s">
        <v>141</v>
      </c>
      <c r="B1166" s="12" t="s">
        <v>45</v>
      </c>
      <c r="C1166" s="13" t="s">
        <v>14</v>
      </c>
      <c r="D1166" s="44">
        <v>1.4954073763644959</v>
      </c>
      <c r="E1166" s="15" t="s">
        <v>138</v>
      </c>
      <c r="F1166" s="16" t="s">
        <v>16</v>
      </c>
      <c r="G1166" s="22">
        <v>1</v>
      </c>
      <c r="H1166" s="23">
        <v>1</v>
      </c>
      <c r="I1166" s="23">
        <v>1</v>
      </c>
      <c r="J1166" s="23">
        <v>2</v>
      </c>
      <c r="K1166" s="23">
        <v>3</v>
      </c>
      <c r="L1166" s="25">
        <f t="shared" si="38"/>
        <v>1.0195048044558224</v>
      </c>
      <c r="M1166" s="20" t="s">
        <v>139</v>
      </c>
    </row>
    <row r="1167" spans="1:13" x14ac:dyDescent="0.2">
      <c r="A1167" s="48" t="s">
        <v>141</v>
      </c>
      <c r="B1167" s="12" t="s">
        <v>46</v>
      </c>
      <c r="C1167" s="13" t="s">
        <v>14</v>
      </c>
      <c r="D1167" s="44">
        <v>6.8050370544894943</v>
      </c>
      <c r="E1167" s="15" t="s">
        <v>138</v>
      </c>
      <c r="F1167" s="16" t="s">
        <v>16</v>
      </c>
      <c r="G1167" s="22">
        <v>1</v>
      </c>
      <c r="H1167" s="23">
        <v>1</v>
      </c>
      <c r="I1167" s="23">
        <v>1</v>
      </c>
      <c r="J1167" s="23">
        <v>2</v>
      </c>
      <c r="K1167" s="23">
        <v>3</v>
      </c>
      <c r="L1167" s="24">
        <f t="shared" ref="L1167:L1198" si="39">IF( OR( ISBLANK(G1167),ISBLANK(H1167), ISBLANK(I1167), ISBLANK(J1167), ISBLANK(K1167) ), "", 1.5*SQRT( EXP(2.21*(G1167-1)) + EXP(2.21*(H1167-1)) + EXP(2.21*(I1167-1)) + EXP(2.21*(J1167-1)) + EXP(2.21*K1167) )/100*2.45 )</f>
        <v>1.0195048044558224</v>
      </c>
      <c r="M1167" s="20" t="s">
        <v>139</v>
      </c>
    </row>
    <row r="1168" spans="1:13" x14ac:dyDescent="0.2">
      <c r="A1168" s="48" t="s">
        <v>141</v>
      </c>
      <c r="B1168" s="12" t="s">
        <v>48</v>
      </c>
      <c r="C1168" s="13" t="s">
        <v>14</v>
      </c>
      <c r="D1168" s="44">
        <v>2.5070114929046738</v>
      </c>
      <c r="E1168" s="15" t="s">
        <v>138</v>
      </c>
      <c r="F1168" s="16" t="s">
        <v>16</v>
      </c>
      <c r="G1168" s="22">
        <v>1</v>
      </c>
      <c r="H1168" s="23">
        <v>1</v>
      </c>
      <c r="I1168" s="23">
        <v>1</v>
      </c>
      <c r="J1168" s="23">
        <v>2</v>
      </c>
      <c r="K1168" s="23">
        <v>3</v>
      </c>
      <c r="L1168" s="25">
        <f t="shared" si="39"/>
        <v>1.0195048044558224</v>
      </c>
      <c r="M1168" s="20" t="s">
        <v>139</v>
      </c>
    </row>
    <row r="1169" spans="1:13" x14ac:dyDescent="0.2">
      <c r="A1169" s="48" t="s">
        <v>141</v>
      </c>
      <c r="B1169" s="12" t="s">
        <v>50</v>
      </c>
      <c r="C1169" s="13" t="s">
        <v>14</v>
      </c>
      <c r="D1169" s="44">
        <v>2.913184496377704</v>
      </c>
      <c r="E1169" s="15" t="s">
        <v>138</v>
      </c>
      <c r="F1169" s="16" t="s">
        <v>16</v>
      </c>
      <c r="G1169" s="22">
        <v>1</v>
      </c>
      <c r="H1169" s="23">
        <v>1</v>
      </c>
      <c r="I1169" s="23">
        <v>1</v>
      </c>
      <c r="J1169" s="23">
        <v>2</v>
      </c>
      <c r="K1169" s="23">
        <v>3</v>
      </c>
      <c r="L1169" s="25">
        <f t="shared" si="39"/>
        <v>1.0195048044558224</v>
      </c>
      <c r="M1169" s="20" t="s">
        <v>139</v>
      </c>
    </row>
    <row r="1170" spans="1:13" x14ac:dyDescent="0.2">
      <c r="A1170" s="48" t="s">
        <v>141</v>
      </c>
      <c r="B1170" s="12" t="s">
        <v>52</v>
      </c>
      <c r="C1170" s="13" t="s">
        <v>14</v>
      </c>
      <c r="D1170" s="44">
        <v>0.77445847467796025</v>
      </c>
      <c r="E1170" s="15" t="s">
        <v>138</v>
      </c>
      <c r="F1170" s="16" t="s">
        <v>16</v>
      </c>
      <c r="G1170" s="22">
        <v>1</v>
      </c>
      <c r="H1170" s="23">
        <v>1</v>
      </c>
      <c r="I1170" s="23">
        <v>1</v>
      </c>
      <c r="J1170" s="23">
        <v>2</v>
      </c>
      <c r="K1170" s="23">
        <v>3</v>
      </c>
      <c r="L1170" s="25">
        <f t="shared" si="39"/>
        <v>1.0195048044558224</v>
      </c>
      <c r="M1170" s="20" t="s">
        <v>139</v>
      </c>
    </row>
    <row r="1171" spans="1:13" x14ac:dyDescent="0.2">
      <c r="A1171" s="48" t="s">
        <v>141</v>
      </c>
      <c r="B1171" s="12" t="s">
        <v>54</v>
      </c>
      <c r="C1171" s="13" t="s">
        <v>14</v>
      </c>
      <c r="D1171" s="44">
        <v>0.29980292680926018</v>
      </c>
      <c r="E1171" s="15" t="s">
        <v>138</v>
      </c>
      <c r="F1171" s="16" t="s">
        <v>16</v>
      </c>
      <c r="G1171" s="22">
        <v>1</v>
      </c>
      <c r="H1171" s="23">
        <v>1</v>
      </c>
      <c r="I1171" s="23">
        <v>1</v>
      </c>
      <c r="J1171" s="23">
        <v>2</v>
      </c>
      <c r="K1171" s="23">
        <v>3</v>
      </c>
      <c r="L1171" s="25">
        <f t="shared" si="39"/>
        <v>1.0195048044558224</v>
      </c>
      <c r="M1171" s="20" t="s">
        <v>139</v>
      </c>
    </row>
    <row r="1172" spans="1:13" x14ac:dyDescent="0.2">
      <c r="A1172" s="48" t="s">
        <v>141</v>
      </c>
      <c r="B1172" s="12" t="s">
        <v>55</v>
      </c>
      <c r="C1172" s="13" t="s">
        <v>14</v>
      </c>
      <c r="D1172" s="44">
        <v>9.1921121249072897</v>
      </c>
      <c r="E1172" s="15" t="s">
        <v>138</v>
      </c>
      <c r="F1172" s="16" t="s">
        <v>16</v>
      </c>
      <c r="G1172" s="22">
        <v>1</v>
      </c>
      <c r="H1172" s="23">
        <v>1</v>
      </c>
      <c r="I1172" s="23">
        <v>1</v>
      </c>
      <c r="J1172" s="23">
        <v>2</v>
      </c>
      <c r="K1172" s="23">
        <v>3</v>
      </c>
      <c r="L1172" s="24">
        <f t="shared" si="39"/>
        <v>1.0195048044558224</v>
      </c>
      <c r="M1172" s="20" t="s">
        <v>139</v>
      </c>
    </row>
    <row r="1173" spans="1:13" x14ac:dyDescent="0.2">
      <c r="A1173" s="48" t="s">
        <v>141</v>
      </c>
      <c r="B1173" s="12" t="s">
        <v>57</v>
      </c>
      <c r="C1173" s="13" t="s">
        <v>14</v>
      </c>
      <c r="D1173" s="44">
        <v>1.4991476592876971</v>
      </c>
      <c r="E1173" s="15" t="s">
        <v>138</v>
      </c>
      <c r="F1173" s="16" t="s">
        <v>16</v>
      </c>
      <c r="G1173" s="22">
        <v>1</v>
      </c>
      <c r="H1173" s="23">
        <v>1</v>
      </c>
      <c r="I1173" s="23">
        <v>1</v>
      </c>
      <c r="J1173" s="23">
        <v>2</v>
      </c>
      <c r="K1173" s="23">
        <v>3</v>
      </c>
      <c r="L1173" s="25">
        <f t="shared" si="39"/>
        <v>1.0195048044558224</v>
      </c>
      <c r="M1173" s="20" t="s">
        <v>139</v>
      </c>
    </row>
    <row r="1174" spans="1:13" x14ac:dyDescent="0.2">
      <c r="A1174" s="48" t="s">
        <v>141</v>
      </c>
      <c r="B1174" s="12" t="s">
        <v>59</v>
      </c>
      <c r="C1174" s="13" t="s">
        <v>14</v>
      </c>
      <c r="D1174" s="44">
        <v>2.2557840561875659</v>
      </c>
      <c r="E1174" s="15" t="s">
        <v>138</v>
      </c>
      <c r="F1174" s="16" t="s">
        <v>16</v>
      </c>
      <c r="G1174" s="22">
        <v>1</v>
      </c>
      <c r="H1174" s="23">
        <v>1</v>
      </c>
      <c r="I1174" s="23">
        <v>1</v>
      </c>
      <c r="J1174" s="23">
        <v>2</v>
      </c>
      <c r="K1174" s="23">
        <v>3</v>
      </c>
      <c r="L1174" s="25">
        <f t="shared" si="39"/>
        <v>1.0195048044558224</v>
      </c>
      <c r="M1174" s="20" t="s">
        <v>139</v>
      </c>
    </row>
    <row r="1175" spans="1:13" x14ac:dyDescent="0.2">
      <c r="A1175" s="48" t="s">
        <v>141</v>
      </c>
      <c r="B1175" s="12" t="s">
        <v>60</v>
      </c>
      <c r="C1175" s="13" t="s">
        <v>14</v>
      </c>
      <c r="D1175" s="44">
        <v>11.91208512714309</v>
      </c>
      <c r="E1175" s="15" t="s">
        <v>138</v>
      </c>
      <c r="F1175" s="16" t="s">
        <v>16</v>
      </c>
      <c r="G1175" s="22">
        <v>1</v>
      </c>
      <c r="H1175" s="23">
        <v>2</v>
      </c>
      <c r="I1175" s="23">
        <v>1</v>
      </c>
      <c r="J1175" s="23">
        <v>2</v>
      </c>
      <c r="K1175" s="23">
        <v>3</v>
      </c>
      <c r="L1175" s="24">
        <f t="shared" si="39"/>
        <v>1.0248662490928169</v>
      </c>
      <c r="M1175" s="20" t="s">
        <v>139</v>
      </c>
    </row>
    <row r="1176" spans="1:13" x14ac:dyDescent="0.2">
      <c r="A1176" s="48" t="s">
        <v>141</v>
      </c>
      <c r="B1176" s="12" t="s">
        <v>13</v>
      </c>
      <c r="C1176" s="27" t="s">
        <v>62</v>
      </c>
      <c r="D1176" s="44">
        <v>4.6181295035929013</v>
      </c>
      <c r="E1176" s="15" t="s">
        <v>138</v>
      </c>
      <c r="F1176" s="16" t="s">
        <v>16</v>
      </c>
      <c r="G1176" s="22">
        <v>1</v>
      </c>
      <c r="H1176" s="23">
        <v>1</v>
      </c>
      <c r="I1176" s="23">
        <v>1</v>
      </c>
      <c r="J1176" s="23">
        <v>2</v>
      </c>
      <c r="K1176" s="23">
        <v>3</v>
      </c>
      <c r="L1176" s="25">
        <f t="shared" si="39"/>
        <v>1.0195048044558224</v>
      </c>
      <c r="M1176" s="20" t="s">
        <v>139</v>
      </c>
    </row>
    <row r="1177" spans="1:13" x14ac:dyDescent="0.2">
      <c r="A1177" s="48" t="s">
        <v>141</v>
      </c>
      <c r="B1177" s="12" t="s">
        <v>18</v>
      </c>
      <c r="C1177" s="27" t="s">
        <v>62</v>
      </c>
      <c r="D1177" s="44">
        <v>6.2247848583219474</v>
      </c>
      <c r="E1177" s="15" t="s">
        <v>138</v>
      </c>
      <c r="F1177" s="16" t="s">
        <v>16</v>
      </c>
      <c r="G1177" s="22">
        <v>1</v>
      </c>
      <c r="H1177" s="23">
        <v>1</v>
      </c>
      <c r="I1177" s="23">
        <v>1</v>
      </c>
      <c r="J1177" s="23">
        <v>2</v>
      </c>
      <c r="K1177" s="23">
        <v>3</v>
      </c>
      <c r="L1177" s="25">
        <f t="shared" si="39"/>
        <v>1.0195048044558224</v>
      </c>
      <c r="M1177" s="20" t="s">
        <v>139</v>
      </c>
    </row>
    <row r="1178" spans="1:13" x14ac:dyDescent="0.2">
      <c r="A1178" s="48" t="s">
        <v>141</v>
      </c>
      <c r="B1178" s="12" t="s">
        <v>20</v>
      </c>
      <c r="C1178" s="27" t="s">
        <v>62</v>
      </c>
      <c r="D1178" s="44">
        <v>2.3619573917404022</v>
      </c>
      <c r="E1178" s="15" t="s">
        <v>138</v>
      </c>
      <c r="F1178" s="16" t="s">
        <v>16</v>
      </c>
      <c r="G1178" s="22">
        <v>1</v>
      </c>
      <c r="H1178" s="23">
        <v>1</v>
      </c>
      <c r="I1178" s="23">
        <v>1</v>
      </c>
      <c r="J1178" s="23">
        <v>2</v>
      </c>
      <c r="K1178" s="23">
        <v>3</v>
      </c>
      <c r="L1178" s="25">
        <f t="shared" si="39"/>
        <v>1.0195048044558224</v>
      </c>
      <c r="M1178" s="20" t="s">
        <v>139</v>
      </c>
    </row>
    <row r="1179" spans="1:13" x14ac:dyDescent="0.2">
      <c r="A1179" s="48" t="s">
        <v>141</v>
      </c>
      <c r="B1179" s="12" t="s">
        <v>22</v>
      </c>
      <c r="C1179" s="27" t="s">
        <v>62</v>
      </c>
      <c r="D1179" s="44">
        <v>1.0237552554138949</v>
      </c>
      <c r="E1179" s="15" t="s">
        <v>138</v>
      </c>
      <c r="F1179" s="16" t="s">
        <v>16</v>
      </c>
      <c r="G1179" s="22">
        <v>1</v>
      </c>
      <c r="H1179" s="23">
        <v>1</v>
      </c>
      <c r="I1179" s="23">
        <v>1</v>
      </c>
      <c r="J1179" s="23">
        <v>2</v>
      </c>
      <c r="K1179" s="23">
        <v>3</v>
      </c>
      <c r="L1179" s="25">
        <f t="shared" si="39"/>
        <v>1.0195048044558224</v>
      </c>
      <c r="M1179" s="20" t="s">
        <v>139</v>
      </c>
    </row>
    <row r="1180" spans="1:13" x14ac:dyDescent="0.2">
      <c r="A1180" s="48" t="s">
        <v>141</v>
      </c>
      <c r="B1180" s="12" t="s">
        <v>23</v>
      </c>
      <c r="C1180" s="27" t="s">
        <v>62</v>
      </c>
      <c r="D1180" s="44">
        <v>0.2830170846652672</v>
      </c>
      <c r="E1180" s="15" t="s">
        <v>138</v>
      </c>
      <c r="F1180" s="16" t="s">
        <v>16</v>
      </c>
      <c r="G1180" s="22">
        <v>1</v>
      </c>
      <c r="H1180" s="23">
        <v>1</v>
      </c>
      <c r="I1180" s="23">
        <v>1</v>
      </c>
      <c r="J1180" s="23">
        <v>2</v>
      </c>
      <c r="K1180" s="23">
        <v>3</v>
      </c>
      <c r="L1180" s="25">
        <f t="shared" si="39"/>
        <v>1.0195048044558224</v>
      </c>
      <c r="M1180" s="20" t="s">
        <v>139</v>
      </c>
    </row>
    <row r="1181" spans="1:13" x14ac:dyDescent="0.2">
      <c r="A1181" s="48" t="s">
        <v>141</v>
      </c>
      <c r="B1181" s="12" t="s">
        <v>24</v>
      </c>
      <c r="C1181" s="27" t="s">
        <v>62</v>
      </c>
      <c r="D1181" s="44">
        <v>4.0880653359721757</v>
      </c>
      <c r="E1181" s="15" t="s">
        <v>138</v>
      </c>
      <c r="F1181" s="16" t="s">
        <v>16</v>
      </c>
      <c r="G1181" s="22">
        <v>1</v>
      </c>
      <c r="H1181" s="23">
        <v>1</v>
      </c>
      <c r="I1181" s="23">
        <v>1</v>
      </c>
      <c r="J1181" s="23">
        <v>2</v>
      </c>
      <c r="K1181" s="23">
        <v>3</v>
      </c>
      <c r="L1181" s="25">
        <f t="shared" si="39"/>
        <v>1.0195048044558224</v>
      </c>
      <c r="M1181" s="20" t="s">
        <v>139</v>
      </c>
    </row>
    <row r="1182" spans="1:13" x14ac:dyDescent="0.2">
      <c r="A1182" s="48" t="s">
        <v>141</v>
      </c>
      <c r="B1182" s="12" t="s">
        <v>25</v>
      </c>
      <c r="C1182" s="27" t="s">
        <v>62</v>
      </c>
      <c r="D1182" s="44">
        <v>3.5360766802615649</v>
      </c>
      <c r="E1182" s="15" t="s">
        <v>138</v>
      </c>
      <c r="F1182" s="16" t="s">
        <v>16</v>
      </c>
      <c r="G1182" s="22">
        <v>1</v>
      </c>
      <c r="H1182" s="23">
        <v>1</v>
      </c>
      <c r="I1182" s="23">
        <v>1</v>
      </c>
      <c r="J1182" s="23">
        <v>2</v>
      </c>
      <c r="K1182" s="23">
        <v>3</v>
      </c>
      <c r="L1182" s="25">
        <f t="shared" si="39"/>
        <v>1.0195048044558224</v>
      </c>
      <c r="M1182" s="20" t="s">
        <v>139</v>
      </c>
    </row>
    <row r="1183" spans="1:13" x14ac:dyDescent="0.2">
      <c r="A1183" s="48" t="s">
        <v>141</v>
      </c>
      <c r="B1183" s="12" t="s">
        <v>26</v>
      </c>
      <c r="C1183" s="27" t="s">
        <v>62</v>
      </c>
      <c r="D1183" s="44">
        <v>0.82859229247156818</v>
      </c>
      <c r="E1183" s="15" t="s">
        <v>138</v>
      </c>
      <c r="F1183" s="16" t="s">
        <v>16</v>
      </c>
      <c r="G1183" s="22">
        <v>1</v>
      </c>
      <c r="H1183" s="23">
        <v>1</v>
      </c>
      <c r="I1183" s="23">
        <v>1</v>
      </c>
      <c r="J1183" s="23">
        <v>2</v>
      </c>
      <c r="K1183" s="23">
        <v>3</v>
      </c>
      <c r="L1183" s="25">
        <f t="shared" si="39"/>
        <v>1.0195048044558224</v>
      </c>
      <c r="M1183" s="20" t="s">
        <v>139</v>
      </c>
    </row>
    <row r="1184" spans="1:13" x14ac:dyDescent="0.2">
      <c r="A1184" s="48" t="s">
        <v>141</v>
      </c>
      <c r="B1184" s="12" t="s">
        <v>27</v>
      </c>
      <c r="C1184" s="27" t="s">
        <v>62</v>
      </c>
      <c r="D1184" s="44">
        <v>2.4274937893863688</v>
      </c>
      <c r="E1184" s="15" t="s">
        <v>138</v>
      </c>
      <c r="F1184" s="16" t="s">
        <v>16</v>
      </c>
      <c r="G1184" s="22">
        <v>1</v>
      </c>
      <c r="H1184" s="23">
        <v>1</v>
      </c>
      <c r="I1184" s="23">
        <v>1</v>
      </c>
      <c r="J1184" s="23">
        <v>2</v>
      </c>
      <c r="K1184" s="23">
        <v>3</v>
      </c>
      <c r="L1184" s="25">
        <f t="shared" si="39"/>
        <v>1.0195048044558224</v>
      </c>
      <c r="M1184" s="20" t="s">
        <v>139</v>
      </c>
    </row>
    <row r="1185" spans="1:13" x14ac:dyDescent="0.2">
      <c r="A1185" s="48" t="s">
        <v>141</v>
      </c>
      <c r="B1185" s="12" t="s">
        <v>28</v>
      </c>
      <c r="C1185" s="27" t="s">
        <v>62</v>
      </c>
      <c r="D1185" s="44">
        <v>33.169295578095458</v>
      </c>
      <c r="E1185" s="15" t="s">
        <v>138</v>
      </c>
      <c r="F1185" s="16" t="s">
        <v>16</v>
      </c>
      <c r="G1185" s="22">
        <v>1</v>
      </c>
      <c r="H1185" s="23">
        <v>1</v>
      </c>
      <c r="I1185" s="23">
        <v>1</v>
      </c>
      <c r="J1185" s="23">
        <v>2</v>
      </c>
      <c r="K1185" s="23">
        <v>3</v>
      </c>
      <c r="L1185" s="25">
        <f t="shared" si="39"/>
        <v>1.0195048044558224</v>
      </c>
      <c r="M1185" s="20" t="s">
        <v>139</v>
      </c>
    </row>
    <row r="1186" spans="1:13" x14ac:dyDescent="0.2">
      <c r="A1186" s="48" t="s">
        <v>141</v>
      </c>
      <c r="B1186" s="12" t="s">
        <v>30</v>
      </c>
      <c r="C1186" s="27" t="s">
        <v>62</v>
      </c>
      <c r="D1186" s="44">
        <v>58.517934645515503</v>
      </c>
      <c r="E1186" s="15" t="s">
        <v>138</v>
      </c>
      <c r="F1186" s="16" t="s">
        <v>16</v>
      </c>
      <c r="G1186" s="22">
        <v>1</v>
      </c>
      <c r="H1186" s="23">
        <v>1</v>
      </c>
      <c r="I1186" s="23">
        <v>1</v>
      </c>
      <c r="J1186" s="23">
        <v>2</v>
      </c>
      <c r="K1186" s="23">
        <v>3</v>
      </c>
      <c r="L1186" s="24">
        <f t="shared" si="39"/>
        <v>1.0195048044558224</v>
      </c>
      <c r="M1186" s="20" t="s">
        <v>139</v>
      </c>
    </row>
    <row r="1187" spans="1:13" x14ac:dyDescent="0.2">
      <c r="A1187" s="48" t="s">
        <v>141</v>
      </c>
      <c r="B1187" s="12" t="s">
        <v>32</v>
      </c>
      <c r="C1187" s="27" t="s">
        <v>62</v>
      </c>
      <c r="D1187" s="44">
        <v>4.2818077663379501</v>
      </c>
      <c r="E1187" s="15" t="s">
        <v>138</v>
      </c>
      <c r="F1187" s="16" t="s">
        <v>16</v>
      </c>
      <c r="G1187" s="22">
        <v>1</v>
      </c>
      <c r="H1187" s="23">
        <v>1</v>
      </c>
      <c r="I1187" s="23">
        <v>1</v>
      </c>
      <c r="J1187" s="23">
        <v>2</v>
      </c>
      <c r="K1187" s="23">
        <v>3</v>
      </c>
      <c r="L1187" s="25">
        <f t="shared" si="39"/>
        <v>1.0195048044558224</v>
      </c>
      <c r="M1187" s="20" t="s">
        <v>139</v>
      </c>
    </row>
    <row r="1188" spans="1:13" x14ac:dyDescent="0.2">
      <c r="A1188" s="48" t="s">
        <v>141</v>
      </c>
      <c r="B1188" s="12" t="s">
        <v>34</v>
      </c>
      <c r="C1188" s="27" t="s">
        <v>62</v>
      </c>
      <c r="D1188" s="44">
        <v>7.1683407153359386</v>
      </c>
      <c r="E1188" s="15" t="s">
        <v>138</v>
      </c>
      <c r="F1188" s="16" t="s">
        <v>16</v>
      </c>
      <c r="G1188" s="22">
        <v>1</v>
      </c>
      <c r="H1188" s="23">
        <v>1</v>
      </c>
      <c r="I1188" s="23">
        <v>1</v>
      </c>
      <c r="J1188" s="23">
        <v>2</v>
      </c>
      <c r="K1188" s="23">
        <v>3</v>
      </c>
      <c r="L1188" s="25">
        <f t="shared" si="39"/>
        <v>1.0195048044558224</v>
      </c>
      <c r="M1188" s="20" t="s">
        <v>139</v>
      </c>
    </row>
    <row r="1189" spans="1:13" x14ac:dyDescent="0.2">
      <c r="A1189" s="48" t="s">
        <v>141</v>
      </c>
      <c r="B1189" s="12" t="s">
        <v>36</v>
      </c>
      <c r="C1189" s="27" t="s">
        <v>62</v>
      </c>
      <c r="D1189" s="44">
        <v>4.7176602040874762</v>
      </c>
      <c r="E1189" s="15" t="s">
        <v>138</v>
      </c>
      <c r="F1189" s="16" t="s">
        <v>16</v>
      </c>
      <c r="G1189" s="22">
        <v>1</v>
      </c>
      <c r="H1189" s="23">
        <v>1</v>
      </c>
      <c r="I1189" s="23">
        <v>1</v>
      </c>
      <c r="J1189" s="23">
        <v>2</v>
      </c>
      <c r="K1189" s="23">
        <v>3</v>
      </c>
      <c r="L1189" s="25">
        <f t="shared" si="39"/>
        <v>1.0195048044558224</v>
      </c>
      <c r="M1189" s="20" t="s">
        <v>139</v>
      </c>
    </row>
    <row r="1190" spans="1:13" x14ac:dyDescent="0.2">
      <c r="A1190" s="48" t="s">
        <v>141</v>
      </c>
      <c r="B1190" s="12" t="s">
        <v>37</v>
      </c>
      <c r="C1190" s="27" t="s">
        <v>62</v>
      </c>
      <c r="D1190" s="44">
        <v>30.83725155335884</v>
      </c>
      <c r="E1190" s="15" t="s">
        <v>138</v>
      </c>
      <c r="F1190" s="16" t="s">
        <v>16</v>
      </c>
      <c r="G1190" s="22">
        <v>1</v>
      </c>
      <c r="H1190" s="23">
        <v>1</v>
      </c>
      <c r="I1190" s="23">
        <v>1</v>
      </c>
      <c r="J1190" s="23">
        <v>2</v>
      </c>
      <c r="K1190" s="23">
        <v>3</v>
      </c>
      <c r="L1190" s="24">
        <f t="shared" si="39"/>
        <v>1.0195048044558224</v>
      </c>
      <c r="M1190" s="20" t="s">
        <v>139</v>
      </c>
    </row>
    <row r="1191" spans="1:13" x14ac:dyDescent="0.2">
      <c r="A1191" s="48" t="s">
        <v>141</v>
      </c>
      <c r="B1191" s="12" t="s">
        <v>39</v>
      </c>
      <c r="C1191" s="27" t="s">
        <v>62</v>
      </c>
      <c r="D1191" s="44">
        <v>0.72513342789343593</v>
      </c>
      <c r="E1191" s="15" t="s">
        <v>138</v>
      </c>
      <c r="F1191" s="16" t="s">
        <v>16</v>
      </c>
      <c r="G1191" s="22">
        <v>1</v>
      </c>
      <c r="H1191" s="23">
        <v>1</v>
      </c>
      <c r="I1191" s="23">
        <v>1</v>
      </c>
      <c r="J1191" s="23">
        <v>2</v>
      </c>
      <c r="K1191" s="23">
        <v>3</v>
      </c>
      <c r="L1191" s="25">
        <f t="shared" si="39"/>
        <v>1.0195048044558224</v>
      </c>
      <c r="M1191" s="20" t="s">
        <v>139</v>
      </c>
    </row>
    <row r="1192" spans="1:13" x14ac:dyDescent="0.2">
      <c r="A1192" s="48" t="s">
        <v>141</v>
      </c>
      <c r="B1192" s="12" t="s">
        <v>40</v>
      </c>
      <c r="C1192" s="27" t="s">
        <v>62</v>
      </c>
      <c r="D1192" s="44">
        <v>1.33144485979494</v>
      </c>
      <c r="E1192" s="15" t="s">
        <v>138</v>
      </c>
      <c r="F1192" s="16" t="s">
        <v>16</v>
      </c>
      <c r="G1192" s="22">
        <v>1</v>
      </c>
      <c r="H1192" s="23">
        <v>1</v>
      </c>
      <c r="I1192" s="23">
        <v>1</v>
      </c>
      <c r="J1192" s="23">
        <v>2</v>
      </c>
      <c r="K1192" s="23">
        <v>3</v>
      </c>
      <c r="L1192" s="25">
        <f t="shared" si="39"/>
        <v>1.0195048044558224</v>
      </c>
      <c r="M1192" s="20" t="s">
        <v>139</v>
      </c>
    </row>
    <row r="1193" spans="1:13" x14ac:dyDescent="0.2">
      <c r="A1193" s="48" t="s">
        <v>141</v>
      </c>
      <c r="B1193" s="12" t="s">
        <v>41</v>
      </c>
      <c r="C1193" s="27" t="s">
        <v>62</v>
      </c>
      <c r="D1193" s="44">
        <v>0.37838635528044129</v>
      </c>
      <c r="E1193" s="15" t="s">
        <v>138</v>
      </c>
      <c r="F1193" s="16" t="s">
        <v>16</v>
      </c>
      <c r="G1193" s="22">
        <v>1</v>
      </c>
      <c r="H1193" s="23">
        <v>1</v>
      </c>
      <c r="I1193" s="23">
        <v>1</v>
      </c>
      <c r="J1193" s="23">
        <v>2</v>
      </c>
      <c r="K1193" s="23">
        <v>3</v>
      </c>
      <c r="L1193" s="25">
        <f t="shared" si="39"/>
        <v>1.0195048044558224</v>
      </c>
      <c r="M1193" s="20" t="s">
        <v>139</v>
      </c>
    </row>
    <row r="1194" spans="1:13" x14ac:dyDescent="0.2">
      <c r="A1194" s="48" t="s">
        <v>141</v>
      </c>
      <c r="B1194" s="12" t="s">
        <v>42</v>
      </c>
      <c r="C1194" s="27" t="s">
        <v>62</v>
      </c>
      <c r="D1194" s="44">
        <v>0.21831523533674119</v>
      </c>
      <c r="E1194" s="15" t="s">
        <v>138</v>
      </c>
      <c r="F1194" s="16" t="s">
        <v>16</v>
      </c>
      <c r="G1194" s="22">
        <v>1</v>
      </c>
      <c r="H1194" s="23">
        <v>1</v>
      </c>
      <c r="I1194" s="23">
        <v>1</v>
      </c>
      <c r="J1194" s="23">
        <v>2</v>
      </c>
      <c r="K1194" s="23">
        <v>3</v>
      </c>
      <c r="L1194" s="25">
        <f t="shared" si="39"/>
        <v>1.0195048044558224</v>
      </c>
      <c r="M1194" s="20" t="s">
        <v>139</v>
      </c>
    </row>
    <row r="1195" spans="1:13" x14ac:dyDescent="0.2">
      <c r="A1195" s="48" t="s">
        <v>141</v>
      </c>
      <c r="B1195" s="12" t="s">
        <v>43</v>
      </c>
      <c r="C1195" s="27" t="s">
        <v>62</v>
      </c>
      <c r="D1195" s="44">
        <v>10.107608270805519</v>
      </c>
      <c r="E1195" s="15" t="s">
        <v>138</v>
      </c>
      <c r="F1195" s="16" t="s">
        <v>16</v>
      </c>
      <c r="G1195" s="22">
        <v>1</v>
      </c>
      <c r="H1195" s="23">
        <v>1</v>
      </c>
      <c r="I1195" s="23">
        <v>1</v>
      </c>
      <c r="J1195" s="23">
        <v>2</v>
      </c>
      <c r="K1195" s="23">
        <v>3</v>
      </c>
      <c r="L1195" s="25">
        <f t="shared" si="39"/>
        <v>1.0195048044558224</v>
      </c>
      <c r="M1195" s="20" t="s">
        <v>139</v>
      </c>
    </row>
    <row r="1196" spans="1:13" x14ac:dyDescent="0.2">
      <c r="A1196" s="48" t="s">
        <v>141</v>
      </c>
      <c r="B1196" s="12" t="s">
        <v>45</v>
      </c>
      <c r="C1196" s="27" t="s">
        <v>62</v>
      </c>
      <c r="D1196" s="44">
        <v>3.828242883493111</v>
      </c>
      <c r="E1196" s="15" t="s">
        <v>138</v>
      </c>
      <c r="F1196" s="16" t="s">
        <v>16</v>
      </c>
      <c r="G1196" s="22">
        <v>1</v>
      </c>
      <c r="H1196" s="23">
        <v>1</v>
      </c>
      <c r="I1196" s="23">
        <v>1</v>
      </c>
      <c r="J1196" s="23">
        <v>2</v>
      </c>
      <c r="K1196" s="23">
        <v>3</v>
      </c>
      <c r="L1196" s="25">
        <f t="shared" si="39"/>
        <v>1.0195048044558224</v>
      </c>
      <c r="M1196" s="20" t="s">
        <v>139</v>
      </c>
    </row>
    <row r="1197" spans="1:13" x14ac:dyDescent="0.2">
      <c r="A1197" s="48" t="s">
        <v>141</v>
      </c>
      <c r="B1197" s="12" t="s">
        <v>46</v>
      </c>
      <c r="C1197" s="27" t="s">
        <v>62</v>
      </c>
      <c r="D1197" s="44">
        <v>17.42089485949311</v>
      </c>
      <c r="E1197" s="15" t="s">
        <v>138</v>
      </c>
      <c r="F1197" s="16" t="s">
        <v>16</v>
      </c>
      <c r="G1197" s="22">
        <v>1</v>
      </c>
      <c r="H1197" s="23">
        <v>1</v>
      </c>
      <c r="I1197" s="23">
        <v>1</v>
      </c>
      <c r="J1197" s="23">
        <v>2</v>
      </c>
      <c r="K1197" s="23">
        <v>3</v>
      </c>
      <c r="L1197" s="24">
        <f t="shared" si="39"/>
        <v>1.0195048044558224</v>
      </c>
      <c r="M1197" s="20" t="s">
        <v>139</v>
      </c>
    </row>
    <row r="1198" spans="1:13" x14ac:dyDescent="0.2">
      <c r="A1198" s="48" t="s">
        <v>141</v>
      </c>
      <c r="B1198" s="12" t="s">
        <v>48</v>
      </c>
      <c r="C1198" s="27" t="s">
        <v>62</v>
      </c>
      <c r="D1198" s="44">
        <v>6.4179494218359654</v>
      </c>
      <c r="E1198" s="15" t="s">
        <v>138</v>
      </c>
      <c r="F1198" s="16" t="s">
        <v>16</v>
      </c>
      <c r="G1198" s="22">
        <v>1</v>
      </c>
      <c r="H1198" s="23">
        <v>1</v>
      </c>
      <c r="I1198" s="23">
        <v>1</v>
      </c>
      <c r="J1198" s="23">
        <v>2</v>
      </c>
      <c r="K1198" s="23">
        <v>3</v>
      </c>
      <c r="L1198" s="25">
        <f t="shared" si="39"/>
        <v>1.0195048044558224</v>
      </c>
      <c r="M1198" s="20" t="s">
        <v>139</v>
      </c>
    </row>
    <row r="1199" spans="1:13" x14ac:dyDescent="0.2">
      <c r="A1199" s="48" t="s">
        <v>141</v>
      </c>
      <c r="B1199" s="12" t="s">
        <v>50</v>
      </c>
      <c r="C1199" s="27" t="s">
        <v>62</v>
      </c>
      <c r="D1199" s="44">
        <v>7.4577523107269243</v>
      </c>
      <c r="E1199" s="15" t="s">
        <v>138</v>
      </c>
      <c r="F1199" s="16" t="s">
        <v>16</v>
      </c>
      <c r="G1199" s="22">
        <v>1</v>
      </c>
      <c r="H1199" s="23">
        <v>1</v>
      </c>
      <c r="I1199" s="23">
        <v>1</v>
      </c>
      <c r="J1199" s="23">
        <v>2</v>
      </c>
      <c r="K1199" s="23">
        <v>3</v>
      </c>
      <c r="L1199" s="25">
        <f t="shared" ref="L1199:L1230" si="40">IF( OR( ISBLANK(G1199),ISBLANK(H1199), ISBLANK(I1199), ISBLANK(J1199), ISBLANK(K1199) ), "", 1.5*SQRT( EXP(2.21*(G1199-1)) + EXP(2.21*(H1199-1)) + EXP(2.21*(I1199-1)) + EXP(2.21*(J1199-1)) + EXP(2.21*K1199) )/100*2.45 )</f>
        <v>1.0195048044558224</v>
      </c>
      <c r="M1199" s="20" t="s">
        <v>139</v>
      </c>
    </row>
    <row r="1200" spans="1:13" x14ac:dyDescent="0.2">
      <c r="A1200" s="48" t="s">
        <v>141</v>
      </c>
      <c r="B1200" s="12" t="s">
        <v>52</v>
      </c>
      <c r="C1200" s="27" t="s">
        <v>62</v>
      </c>
      <c r="D1200" s="44">
        <v>1.982613695175578</v>
      </c>
      <c r="E1200" s="15" t="s">
        <v>138</v>
      </c>
      <c r="F1200" s="16" t="s">
        <v>16</v>
      </c>
      <c r="G1200" s="22">
        <v>1</v>
      </c>
      <c r="H1200" s="23">
        <v>1</v>
      </c>
      <c r="I1200" s="23">
        <v>1</v>
      </c>
      <c r="J1200" s="23">
        <v>2</v>
      </c>
      <c r="K1200" s="23">
        <v>3</v>
      </c>
      <c r="L1200" s="25">
        <f t="shared" si="40"/>
        <v>1.0195048044558224</v>
      </c>
      <c r="M1200" s="20" t="s">
        <v>139</v>
      </c>
    </row>
    <row r="1201" spans="1:13" x14ac:dyDescent="0.2">
      <c r="A1201" s="48" t="s">
        <v>141</v>
      </c>
      <c r="B1201" s="12" t="s">
        <v>54</v>
      </c>
      <c r="C1201" s="27" t="s">
        <v>62</v>
      </c>
      <c r="D1201" s="44">
        <v>0.76749549263170613</v>
      </c>
      <c r="E1201" s="15" t="s">
        <v>138</v>
      </c>
      <c r="F1201" s="16" t="s">
        <v>16</v>
      </c>
      <c r="G1201" s="22">
        <v>1</v>
      </c>
      <c r="H1201" s="23">
        <v>1</v>
      </c>
      <c r="I1201" s="23">
        <v>1</v>
      </c>
      <c r="J1201" s="23">
        <v>2</v>
      </c>
      <c r="K1201" s="23">
        <v>3</v>
      </c>
      <c r="L1201" s="25">
        <f t="shared" si="40"/>
        <v>1.0195048044558224</v>
      </c>
      <c r="M1201" s="20" t="s">
        <v>139</v>
      </c>
    </row>
    <row r="1202" spans="1:13" x14ac:dyDescent="0.2">
      <c r="A1202" s="48" t="s">
        <v>141</v>
      </c>
      <c r="B1202" s="12" t="s">
        <v>55</v>
      </c>
      <c r="C1202" s="27" t="s">
        <v>62</v>
      </c>
      <c r="D1202" s="44">
        <v>23.531807039762661</v>
      </c>
      <c r="E1202" s="15" t="s">
        <v>138</v>
      </c>
      <c r="F1202" s="16" t="s">
        <v>16</v>
      </c>
      <c r="G1202" s="22">
        <v>1</v>
      </c>
      <c r="H1202" s="23">
        <v>1</v>
      </c>
      <c r="I1202" s="23">
        <v>1</v>
      </c>
      <c r="J1202" s="23">
        <v>2</v>
      </c>
      <c r="K1202" s="23">
        <v>3</v>
      </c>
      <c r="L1202" s="24">
        <f t="shared" si="40"/>
        <v>1.0195048044558224</v>
      </c>
      <c r="M1202" s="20" t="s">
        <v>139</v>
      </c>
    </row>
    <row r="1203" spans="1:13" x14ac:dyDescent="0.2">
      <c r="A1203" s="48" t="s">
        <v>141</v>
      </c>
      <c r="B1203" s="12" t="s">
        <v>57</v>
      </c>
      <c r="C1203" s="27" t="s">
        <v>62</v>
      </c>
      <c r="D1203" s="44">
        <v>3.8378180077765052</v>
      </c>
      <c r="E1203" s="15" t="s">
        <v>138</v>
      </c>
      <c r="F1203" s="16" t="s">
        <v>16</v>
      </c>
      <c r="G1203" s="22">
        <v>1</v>
      </c>
      <c r="H1203" s="23">
        <v>1</v>
      </c>
      <c r="I1203" s="23">
        <v>1</v>
      </c>
      <c r="J1203" s="23">
        <v>2</v>
      </c>
      <c r="K1203" s="23">
        <v>3</v>
      </c>
      <c r="L1203" s="25">
        <f t="shared" si="40"/>
        <v>1.0195048044558224</v>
      </c>
      <c r="M1203" s="20" t="s">
        <v>139</v>
      </c>
    </row>
    <row r="1204" spans="1:13" x14ac:dyDescent="0.2">
      <c r="A1204" s="48" t="s">
        <v>141</v>
      </c>
      <c r="B1204" s="12" t="s">
        <v>59</v>
      </c>
      <c r="C1204" s="27" t="s">
        <v>62</v>
      </c>
      <c r="D1204" s="44">
        <v>5.774807183840168</v>
      </c>
      <c r="E1204" s="15" t="s">
        <v>138</v>
      </c>
      <c r="F1204" s="16" t="s">
        <v>16</v>
      </c>
      <c r="G1204" s="22">
        <v>1</v>
      </c>
      <c r="H1204" s="23">
        <v>1</v>
      </c>
      <c r="I1204" s="23">
        <v>1</v>
      </c>
      <c r="J1204" s="23">
        <v>2</v>
      </c>
      <c r="K1204" s="23">
        <v>3</v>
      </c>
      <c r="L1204" s="25">
        <f t="shared" si="40"/>
        <v>1.0195048044558224</v>
      </c>
      <c r="M1204" s="20" t="s">
        <v>139</v>
      </c>
    </row>
    <row r="1205" spans="1:13" x14ac:dyDescent="0.2">
      <c r="A1205" s="48" t="s">
        <v>141</v>
      </c>
      <c r="B1205" s="12" t="s">
        <v>60</v>
      </c>
      <c r="C1205" s="27" t="s">
        <v>62</v>
      </c>
      <c r="D1205" s="44">
        <v>30.494937925486319</v>
      </c>
      <c r="E1205" s="15" t="s">
        <v>138</v>
      </c>
      <c r="F1205" s="16" t="s">
        <v>16</v>
      </c>
      <c r="G1205" s="22">
        <v>1</v>
      </c>
      <c r="H1205" s="23">
        <v>2</v>
      </c>
      <c r="I1205" s="23">
        <v>1</v>
      </c>
      <c r="J1205" s="23">
        <v>2</v>
      </c>
      <c r="K1205" s="23">
        <v>3</v>
      </c>
      <c r="L1205" s="24">
        <f t="shared" si="40"/>
        <v>1.0248662490928169</v>
      </c>
      <c r="M1205" s="20" t="s">
        <v>139</v>
      </c>
    </row>
    <row r="1206" spans="1:13" x14ac:dyDescent="0.2">
      <c r="A1206" s="48" t="s">
        <v>141</v>
      </c>
      <c r="B1206" s="12" t="s">
        <v>13</v>
      </c>
      <c r="C1206" s="28" t="s">
        <v>64</v>
      </c>
      <c r="D1206" s="44">
        <v>18.828970759206339</v>
      </c>
      <c r="E1206" s="15" t="s">
        <v>138</v>
      </c>
      <c r="F1206" s="16" t="s">
        <v>16</v>
      </c>
      <c r="G1206" s="22">
        <v>1</v>
      </c>
      <c r="H1206" s="23">
        <v>1</v>
      </c>
      <c r="I1206" s="23">
        <v>1</v>
      </c>
      <c r="J1206" s="23">
        <v>2</v>
      </c>
      <c r="K1206" s="23">
        <v>3</v>
      </c>
      <c r="L1206" s="25">
        <f t="shared" si="40"/>
        <v>1.0195048044558224</v>
      </c>
      <c r="M1206" s="20" t="s">
        <v>139</v>
      </c>
    </row>
    <row r="1207" spans="1:13" x14ac:dyDescent="0.2">
      <c r="A1207" s="48" t="s">
        <v>141</v>
      </c>
      <c r="B1207" s="12" t="s">
        <v>18</v>
      </c>
      <c r="C1207" s="28" t="s">
        <v>64</v>
      </c>
      <c r="D1207" s="44">
        <v>25.379602713286381</v>
      </c>
      <c r="E1207" s="15" t="s">
        <v>138</v>
      </c>
      <c r="F1207" s="16" t="s">
        <v>16</v>
      </c>
      <c r="G1207" s="22">
        <v>1</v>
      </c>
      <c r="H1207" s="23">
        <v>1</v>
      </c>
      <c r="I1207" s="23">
        <v>1</v>
      </c>
      <c r="J1207" s="23">
        <v>2</v>
      </c>
      <c r="K1207" s="23">
        <v>3</v>
      </c>
      <c r="L1207" s="25">
        <f t="shared" si="40"/>
        <v>1.0195048044558224</v>
      </c>
      <c r="M1207" s="20" t="s">
        <v>139</v>
      </c>
    </row>
    <row r="1208" spans="1:13" x14ac:dyDescent="0.2">
      <c r="A1208" s="48" t="s">
        <v>141</v>
      </c>
      <c r="B1208" s="12" t="s">
        <v>20</v>
      </c>
      <c r="C1208" s="28" t="s">
        <v>64</v>
      </c>
      <c r="D1208" s="44">
        <v>9.6301384854996286</v>
      </c>
      <c r="E1208" s="15" t="s">
        <v>138</v>
      </c>
      <c r="F1208" s="16" t="s">
        <v>16</v>
      </c>
      <c r="G1208" s="22">
        <v>1</v>
      </c>
      <c r="H1208" s="23">
        <v>1</v>
      </c>
      <c r="I1208" s="23">
        <v>1</v>
      </c>
      <c r="J1208" s="23">
        <v>2</v>
      </c>
      <c r="K1208" s="23">
        <v>3</v>
      </c>
      <c r="L1208" s="25">
        <f t="shared" si="40"/>
        <v>1.0195048044558224</v>
      </c>
      <c r="M1208" s="20" t="s">
        <v>139</v>
      </c>
    </row>
    <row r="1209" spans="1:13" x14ac:dyDescent="0.2">
      <c r="A1209" s="48" t="s">
        <v>141</v>
      </c>
      <c r="B1209" s="12" t="s">
        <v>22</v>
      </c>
      <c r="C1209" s="28" t="s">
        <v>64</v>
      </c>
      <c r="D1209" s="44">
        <v>4.1740401073151201</v>
      </c>
      <c r="E1209" s="15" t="s">
        <v>138</v>
      </c>
      <c r="F1209" s="16" t="s">
        <v>16</v>
      </c>
      <c r="G1209" s="22">
        <v>1</v>
      </c>
      <c r="H1209" s="23">
        <v>1</v>
      </c>
      <c r="I1209" s="23">
        <v>1</v>
      </c>
      <c r="J1209" s="23">
        <v>2</v>
      </c>
      <c r="K1209" s="23">
        <v>3</v>
      </c>
      <c r="L1209" s="25">
        <f t="shared" si="40"/>
        <v>1.0195048044558224</v>
      </c>
      <c r="M1209" s="20" t="s">
        <v>139</v>
      </c>
    </row>
    <row r="1210" spans="1:13" x14ac:dyDescent="0.2">
      <c r="A1210" s="48" t="s">
        <v>141</v>
      </c>
      <c r="B1210" s="12" t="s">
        <v>23</v>
      </c>
      <c r="C1210" s="28" t="s">
        <v>64</v>
      </c>
      <c r="D1210" s="44">
        <v>1.1539131605928861</v>
      </c>
      <c r="E1210" s="15" t="s">
        <v>138</v>
      </c>
      <c r="F1210" s="16" t="s">
        <v>16</v>
      </c>
      <c r="G1210" s="22">
        <v>1</v>
      </c>
      <c r="H1210" s="23">
        <v>1</v>
      </c>
      <c r="I1210" s="23">
        <v>1</v>
      </c>
      <c r="J1210" s="23">
        <v>2</v>
      </c>
      <c r="K1210" s="23">
        <v>3</v>
      </c>
      <c r="L1210" s="25">
        <f t="shared" si="40"/>
        <v>1.0195048044558224</v>
      </c>
      <c r="M1210" s="20" t="s">
        <v>139</v>
      </c>
    </row>
    <row r="1211" spans="1:13" x14ac:dyDescent="0.2">
      <c r="A1211" s="48" t="s">
        <v>141</v>
      </c>
      <c r="B1211" s="12" t="s">
        <v>24</v>
      </c>
      <c r="C1211" s="28" t="s">
        <v>64</v>
      </c>
      <c r="D1211" s="44">
        <v>16.667800808283818</v>
      </c>
      <c r="E1211" s="15" t="s">
        <v>138</v>
      </c>
      <c r="F1211" s="16" t="s">
        <v>16</v>
      </c>
      <c r="G1211" s="22">
        <v>1</v>
      </c>
      <c r="H1211" s="23">
        <v>1</v>
      </c>
      <c r="I1211" s="23">
        <v>1</v>
      </c>
      <c r="J1211" s="23">
        <v>2</v>
      </c>
      <c r="K1211" s="23">
        <v>3</v>
      </c>
      <c r="L1211" s="25">
        <f t="shared" si="40"/>
        <v>1.0195048044558224</v>
      </c>
      <c r="M1211" s="20" t="s">
        <v>139</v>
      </c>
    </row>
    <row r="1212" spans="1:13" x14ac:dyDescent="0.2">
      <c r="A1212" s="48" t="s">
        <v>141</v>
      </c>
      <c r="B1212" s="12" t="s">
        <v>25</v>
      </c>
      <c r="C1212" s="28" t="s">
        <v>64</v>
      </c>
      <c r="D1212" s="44">
        <v>14.41724065190391</v>
      </c>
      <c r="E1212" s="15" t="s">
        <v>138</v>
      </c>
      <c r="F1212" s="16" t="s">
        <v>16</v>
      </c>
      <c r="G1212" s="22">
        <v>1</v>
      </c>
      <c r="H1212" s="23">
        <v>1</v>
      </c>
      <c r="I1212" s="23">
        <v>1</v>
      </c>
      <c r="J1212" s="23">
        <v>2</v>
      </c>
      <c r="K1212" s="23">
        <v>3</v>
      </c>
      <c r="L1212" s="25">
        <f t="shared" si="40"/>
        <v>1.0195048044558224</v>
      </c>
      <c r="M1212" s="20" t="s">
        <v>139</v>
      </c>
    </row>
    <row r="1213" spans="1:13" x14ac:dyDescent="0.2">
      <c r="A1213" s="48" t="s">
        <v>141</v>
      </c>
      <c r="B1213" s="12" t="s">
        <v>26</v>
      </c>
      <c r="C1213" s="28" t="s">
        <v>64</v>
      </c>
      <c r="D1213" s="44">
        <v>3.3783245000195241</v>
      </c>
      <c r="E1213" s="15" t="s">
        <v>138</v>
      </c>
      <c r="F1213" s="16" t="s">
        <v>16</v>
      </c>
      <c r="G1213" s="22">
        <v>1</v>
      </c>
      <c r="H1213" s="23">
        <v>1</v>
      </c>
      <c r="I1213" s="23">
        <v>1</v>
      </c>
      <c r="J1213" s="23">
        <v>2</v>
      </c>
      <c r="K1213" s="23">
        <v>3</v>
      </c>
      <c r="L1213" s="25">
        <f t="shared" si="40"/>
        <v>1.0195048044558224</v>
      </c>
      <c r="M1213" s="20" t="s">
        <v>139</v>
      </c>
    </row>
    <row r="1214" spans="1:13" x14ac:dyDescent="0.2">
      <c r="A1214" s="48" t="s">
        <v>141</v>
      </c>
      <c r="B1214" s="12" t="s">
        <v>27</v>
      </c>
      <c r="C1214" s="28" t="s">
        <v>64</v>
      </c>
      <c r="D1214" s="44">
        <v>9.8973425372655193</v>
      </c>
      <c r="E1214" s="15" t="s">
        <v>138</v>
      </c>
      <c r="F1214" s="16" t="s">
        <v>16</v>
      </c>
      <c r="G1214" s="22">
        <v>1</v>
      </c>
      <c r="H1214" s="23">
        <v>1</v>
      </c>
      <c r="I1214" s="23">
        <v>1</v>
      </c>
      <c r="J1214" s="23">
        <v>2</v>
      </c>
      <c r="K1214" s="23">
        <v>3</v>
      </c>
      <c r="L1214" s="25">
        <f t="shared" si="40"/>
        <v>1.0195048044558224</v>
      </c>
      <c r="M1214" s="20" t="s">
        <v>139</v>
      </c>
    </row>
    <row r="1215" spans="1:13" x14ac:dyDescent="0.2">
      <c r="A1215" s="48" t="s">
        <v>141</v>
      </c>
      <c r="B1215" s="12" t="s">
        <v>28</v>
      </c>
      <c r="C1215" s="28" t="s">
        <v>64</v>
      </c>
      <c r="D1215" s="44">
        <v>135.23737176654251</v>
      </c>
      <c r="E1215" s="15" t="s">
        <v>138</v>
      </c>
      <c r="F1215" s="16" t="s">
        <v>16</v>
      </c>
      <c r="G1215" s="22">
        <v>1</v>
      </c>
      <c r="H1215" s="23">
        <v>1</v>
      </c>
      <c r="I1215" s="23">
        <v>1</v>
      </c>
      <c r="J1215" s="23">
        <v>2</v>
      </c>
      <c r="K1215" s="23">
        <v>3</v>
      </c>
      <c r="L1215" s="25">
        <f t="shared" si="40"/>
        <v>1.0195048044558224</v>
      </c>
      <c r="M1215" s="20" t="s">
        <v>139</v>
      </c>
    </row>
    <row r="1216" spans="1:13" x14ac:dyDescent="0.2">
      <c r="A1216" s="48" t="s">
        <v>141</v>
      </c>
      <c r="B1216" s="12" t="s">
        <v>30</v>
      </c>
      <c r="C1216" s="28" t="s">
        <v>64</v>
      </c>
      <c r="D1216" s="44">
        <v>238.58847602093741</v>
      </c>
      <c r="E1216" s="15" t="s">
        <v>138</v>
      </c>
      <c r="F1216" s="16" t="s">
        <v>16</v>
      </c>
      <c r="G1216" s="22">
        <v>1</v>
      </c>
      <c r="H1216" s="23">
        <v>1</v>
      </c>
      <c r="I1216" s="23">
        <v>1</v>
      </c>
      <c r="J1216" s="23">
        <v>2</v>
      </c>
      <c r="K1216" s="23">
        <v>3</v>
      </c>
      <c r="L1216" s="24">
        <f t="shared" si="40"/>
        <v>1.0195048044558224</v>
      </c>
      <c r="M1216" s="20" t="s">
        <v>139</v>
      </c>
    </row>
    <row r="1217" spans="1:13" x14ac:dyDescent="0.2">
      <c r="A1217" s="48" t="s">
        <v>141</v>
      </c>
      <c r="B1217" s="12" t="s">
        <v>32</v>
      </c>
      <c r="C1217" s="28" t="s">
        <v>64</v>
      </c>
      <c r="D1217" s="44">
        <v>17.457724640722169</v>
      </c>
      <c r="E1217" s="15" t="s">
        <v>138</v>
      </c>
      <c r="F1217" s="16" t="s">
        <v>16</v>
      </c>
      <c r="G1217" s="22">
        <v>1</v>
      </c>
      <c r="H1217" s="23">
        <v>1</v>
      </c>
      <c r="I1217" s="23">
        <v>1</v>
      </c>
      <c r="J1217" s="23">
        <v>2</v>
      </c>
      <c r="K1217" s="23">
        <v>3</v>
      </c>
      <c r="L1217" s="25">
        <f t="shared" si="40"/>
        <v>1.0195048044558224</v>
      </c>
      <c r="M1217" s="20" t="s">
        <v>139</v>
      </c>
    </row>
    <row r="1218" spans="1:13" x14ac:dyDescent="0.2">
      <c r="A1218" s="48" t="s">
        <v>141</v>
      </c>
      <c r="B1218" s="12" t="s">
        <v>34</v>
      </c>
      <c r="C1218" s="28" t="s">
        <v>64</v>
      </c>
      <c r="D1218" s="44">
        <v>29.2266549944258</v>
      </c>
      <c r="E1218" s="15" t="s">
        <v>138</v>
      </c>
      <c r="F1218" s="16" t="s">
        <v>16</v>
      </c>
      <c r="G1218" s="22">
        <v>1</v>
      </c>
      <c r="H1218" s="23">
        <v>1</v>
      </c>
      <c r="I1218" s="23">
        <v>1</v>
      </c>
      <c r="J1218" s="23">
        <v>2</v>
      </c>
      <c r="K1218" s="23">
        <v>3</v>
      </c>
      <c r="L1218" s="25">
        <f t="shared" si="40"/>
        <v>1.0195048044558224</v>
      </c>
      <c r="M1218" s="20" t="s">
        <v>139</v>
      </c>
    </row>
    <row r="1219" spans="1:13" x14ac:dyDescent="0.2">
      <c r="A1219" s="48" t="s">
        <v>141</v>
      </c>
      <c r="B1219" s="12" t="s">
        <v>36</v>
      </c>
      <c r="C1219" s="28" t="s">
        <v>64</v>
      </c>
      <c r="D1219" s="44">
        <v>19.234775890439149</v>
      </c>
      <c r="E1219" s="15" t="s">
        <v>138</v>
      </c>
      <c r="F1219" s="16" t="s">
        <v>16</v>
      </c>
      <c r="G1219" s="22">
        <v>1</v>
      </c>
      <c r="H1219" s="23">
        <v>1</v>
      </c>
      <c r="I1219" s="23">
        <v>1</v>
      </c>
      <c r="J1219" s="23">
        <v>2</v>
      </c>
      <c r="K1219" s="23">
        <v>3</v>
      </c>
      <c r="L1219" s="25">
        <f t="shared" si="40"/>
        <v>1.0195048044558224</v>
      </c>
      <c r="M1219" s="20" t="s">
        <v>139</v>
      </c>
    </row>
    <row r="1220" spans="1:13" x14ac:dyDescent="0.2">
      <c r="A1220" s="48" t="s">
        <v>141</v>
      </c>
      <c r="B1220" s="12" t="s">
        <v>37</v>
      </c>
      <c r="C1220" s="28" t="s">
        <v>64</v>
      </c>
      <c r="D1220" s="44">
        <v>125.7291956279595</v>
      </c>
      <c r="E1220" s="15" t="s">
        <v>138</v>
      </c>
      <c r="F1220" s="16" t="s">
        <v>16</v>
      </c>
      <c r="G1220" s="22">
        <v>1</v>
      </c>
      <c r="H1220" s="23">
        <v>1</v>
      </c>
      <c r="I1220" s="23">
        <v>1</v>
      </c>
      <c r="J1220" s="23">
        <v>2</v>
      </c>
      <c r="K1220" s="23">
        <v>3</v>
      </c>
      <c r="L1220" s="24">
        <f t="shared" si="40"/>
        <v>1.0195048044558224</v>
      </c>
      <c r="M1220" s="20" t="s">
        <v>139</v>
      </c>
    </row>
    <row r="1221" spans="1:13" x14ac:dyDescent="0.2">
      <c r="A1221" s="48" t="s">
        <v>141</v>
      </c>
      <c r="B1221" s="12" t="s">
        <v>39</v>
      </c>
      <c r="C1221" s="28" t="s">
        <v>64</v>
      </c>
      <c r="D1221" s="44">
        <v>2.9565035150500081</v>
      </c>
      <c r="E1221" s="15" t="s">
        <v>138</v>
      </c>
      <c r="F1221" s="16" t="s">
        <v>16</v>
      </c>
      <c r="G1221" s="22">
        <v>1</v>
      </c>
      <c r="H1221" s="23">
        <v>1</v>
      </c>
      <c r="I1221" s="23">
        <v>1</v>
      </c>
      <c r="J1221" s="23">
        <v>2</v>
      </c>
      <c r="K1221" s="23">
        <v>3</v>
      </c>
      <c r="L1221" s="25">
        <f t="shared" si="40"/>
        <v>1.0195048044558224</v>
      </c>
      <c r="M1221" s="20" t="s">
        <v>139</v>
      </c>
    </row>
    <row r="1222" spans="1:13" x14ac:dyDescent="0.2">
      <c r="A1222" s="48" t="s">
        <v>141</v>
      </c>
      <c r="B1222" s="12" t="s">
        <v>40</v>
      </c>
      <c r="C1222" s="28" t="s">
        <v>64</v>
      </c>
      <c r="D1222" s="44">
        <v>5.4285477081295088</v>
      </c>
      <c r="E1222" s="15" t="s">
        <v>138</v>
      </c>
      <c r="F1222" s="16" t="s">
        <v>16</v>
      </c>
      <c r="G1222" s="22">
        <v>1</v>
      </c>
      <c r="H1222" s="23">
        <v>1</v>
      </c>
      <c r="I1222" s="23">
        <v>1</v>
      </c>
      <c r="J1222" s="23">
        <v>2</v>
      </c>
      <c r="K1222" s="23">
        <v>3</v>
      </c>
      <c r="L1222" s="25">
        <f t="shared" si="40"/>
        <v>1.0195048044558224</v>
      </c>
      <c r="M1222" s="20" t="s">
        <v>139</v>
      </c>
    </row>
    <row r="1223" spans="1:13" x14ac:dyDescent="0.2">
      <c r="A1223" s="48" t="s">
        <v>141</v>
      </c>
      <c r="B1223" s="12" t="s">
        <v>41</v>
      </c>
      <c r="C1223" s="28" t="s">
        <v>64</v>
      </c>
      <c r="D1223" s="44">
        <v>1.542751370162992</v>
      </c>
      <c r="E1223" s="15" t="s">
        <v>138</v>
      </c>
      <c r="F1223" s="16" t="s">
        <v>16</v>
      </c>
      <c r="G1223" s="22">
        <v>1</v>
      </c>
      <c r="H1223" s="23">
        <v>1</v>
      </c>
      <c r="I1223" s="23">
        <v>1</v>
      </c>
      <c r="J1223" s="23">
        <v>2</v>
      </c>
      <c r="K1223" s="23">
        <v>3</v>
      </c>
      <c r="L1223" s="25">
        <f t="shared" si="40"/>
        <v>1.0195048044558224</v>
      </c>
      <c r="M1223" s="20" t="s">
        <v>139</v>
      </c>
    </row>
    <row r="1224" spans="1:13" x14ac:dyDescent="0.2">
      <c r="A1224" s="48" t="s">
        <v>141</v>
      </c>
      <c r="B1224" s="12" t="s">
        <v>42</v>
      </c>
      <c r="C1224" s="28" t="s">
        <v>64</v>
      </c>
      <c r="D1224" s="44">
        <v>0.89011171714579829</v>
      </c>
      <c r="E1224" s="15" t="s">
        <v>138</v>
      </c>
      <c r="F1224" s="16" t="s">
        <v>16</v>
      </c>
      <c r="G1224" s="22">
        <v>1</v>
      </c>
      <c r="H1224" s="23">
        <v>1</v>
      </c>
      <c r="I1224" s="23">
        <v>1</v>
      </c>
      <c r="J1224" s="23">
        <v>2</v>
      </c>
      <c r="K1224" s="23">
        <v>3</v>
      </c>
      <c r="L1224" s="25">
        <f t="shared" si="40"/>
        <v>1.0195048044558224</v>
      </c>
      <c r="M1224" s="20" t="s">
        <v>139</v>
      </c>
    </row>
    <row r="1225" spans="1:13" x14ac:dyDescent="0.2">
      <c r="A1225" s="48" t="s">
        <v>141</v>
      </c>
      <c r="B1225" s="12" t="s">
        <v>43</v>
      </c>
      <c r="C1225" s="28" t="s">
        <v>64</v>
      </c>
      <c r="D1225" s="44">
        <v>41.210594122240117</v>
      </c>
      <c r="E1225" s="15" t="s">
        <v>138</v>
      </c>
      <c r="F1225" s="16" t="s">
        <v>16</v>
      </c>
      <c r="G1225" s="22">
        <v>1</v>
      </c>
      <c r="H1225" s="23">
        <v>1</v>
      </c>
      <c r="I1225" s="23">
        <v>1</v>
      </c>
      <c r="J1225" s="23">
        <v>2</v>
      </c>
      <c r="K1225" s="23">
        <v>3</v>
      </c>
      <c r="L1225" s="25">
        <f t="shared" si="40"/>
        <v>1.0195048044558224</v>
      </c>
      <c r="M1225" s="20" t="s">
        <v>139</v>
      </c>
    </row>
    <row r="1226" spans="1:13" x14ac:dyDescent="0.2">
      <c r="A1226" s="48" t="s">
        <v>141</v>
      </c>
      <c r="B1226" s="12" t="s">
        <v>45</v>
      </c>
      <c r="C1226" s="28" t="s">
        <v>64</v>
      </c>
      <c r="D1226" s="44">
        <v>15.608456466271001</v>
      </c>
      <c r="E1226" s="15" t="s">
        <v>138</v>
      </c>
      <c r="F1226" s="16" t="s">
        <v>16</v>
      </c>
      <c r="G1226" s="22">
        <v>1</v>
      </c>
      <c r="H1226" s="23">
        <v>1</v>
      </c>
      <c r="I1226" s="23">
        <v>1</v>
      </c>
      <c r="J1226" s="23">
        <v>2</v>
      </c>
      <c r="K1226" s="23">
        <v>3</v>
      </c>
      <c r="L1226" s="25">
        <f t="shared" si="40"/>
        <v>1.0195048044558224</v>
      </c>
      <c r="M1226" s="20" t="s">
        <v>139</v>
      </c>
    </row>
    <row r="1227" spans="1:13" x14ac:dyDescent="0.2">
      <c r="A1227" s="48" t="s">
        <v>141</v>
      </c>
      <c r="B1227" s="12" t="s">
        <v>46</v>
      </c>
      <c r="C1227" s="28" t="s">
        <v>64</v>
      </c>
      <c r="D1227" s="44">
        <v>71.028220333233676</v>
      </c>
      <c r="E1227" s="15" t="s">
        <v>138</v>
      </c>
      <c r="F1227" s="16" t="s">
        <v>16</v>
      </c>
      <c r="G1227" s="22">
        <v>1</v>
      </c>
      <c r="H1227" s="23">
        <v>1</v>
      </c>
      <c r="I1227" s="23">
        <v>1</v>
      </c>
      <c r="J1227" s="23">
        <v>2</v>
      </c>
      <c r="K1227" s="23">
        <v>3</v>
      </c>
      <c r="L1227" s="24">
        <f t="shared" si="40"/>
        <v>1.0195048044558224</v>
      </c>
      <c r="M1227" s="20" t="s">
        <v>139</v>
      </c>
    </row>
    <row r="1228" spans="1:13" x14ac:dyDescent="0.2">
      <c r="A1228" s="48" t="s">
        <v>141</v>
      </c>
      <c r="B1228" s="12" t="s">
        <v>48</v>
      </c>
      <c r="C1228" s="28" t="s">
        <v>64</v>
      </c>
      <c r="D1228" s="44">
        <v>26.167170475362049</v>
      </c>
      <c r="E1228" s="15" t="s">
        <v>138</v>
      </c>
      <c r="F1228" s="16" t="s">
        <v>16</v>
      </c>
      <c r="G1228" s="22">
        <v>1</v>
      </c>
      <c r="H1228" s="23">
        <v>1</v>
      </c>
      <c r="I1228" s="23">
        <v>1</v>
      </c>
      <c r="J1228" s="23">
        <v>2</v>
      </c>
      <c r="K1228" s="23">
        <v>3</v>
      </c>
      <c r="L1228" s="25">
        <f t="shared" si="40"/>
        <v>1.0195048044558224</v>
      </c>
      <c r="M1228" s="20" t="s">
        <v>139</v>
      </c>
    </row>
    <row r="1229" spans="1:13" x14ac:dyDescent="0.2">
      <c r="A1229" s="48" t="s">
        <v>141</v>
      </c>
      <c r="B1229" s="12" t="s">
        <v>50</v>
      </c>
      <c r="C1229" s="28" t="s">
        <v>64</v>
      </c>
      <c r="D1229" s="44">
        <v>30.406639761581541</v>
      </c>
      <c r="E1229" s="15" t="s">
        <v>138</v>
      </c>
      <c r="F1229" s="16" t="s">
        <v>16</v>
      </c>
      <c r="G1229" s="22">
        <v>1</v>
      </c>
      <c r="H1229" s="23">
        <v>1</v>
      </c>
      <c r="I1229" s="23">
        <v>1</v>
      </c>
      <c r="J1229" s="23">
        <v>2</v>
      </c>
      <c r="K1229" s="23">
        <v>3</v>
      </c>
      <c r="L1229" s="25">
        <f t="shared" si="40"/>
        <v>1.0195048044558224</v>
      </c>
      <c r="M1229" s="20" t="s">
        <v>139</v>
      </c>
    </row>
    <row r="1230" spans="1:13" x14ac:dyDescent="0.2">
      <c r="A1230" s="48" t="s">
        <v>141</v>
      </c>
      <c r="B1230" s="12" t="s">
        <v>52</v>
      </c>
      <c r="C1230" s="28" t="s">
        <v>64</v>
      </c>
      <c r="D1230" s="44">
        <v>8.0834838573105898</v>
      </c>
      <c r="E1230" s="15" t="s">
        <v>138</v>
      </c>
      <c r="F1230" s="16" t="s">
        <v>16</v>
      </c>
      <c r="G1230" s="22">
        <v>1</v>
      </c>
      <c r="H1230" s="23">
        <v>1</v>
      </c>
      <c r="I1230" s="23">
        <v>1</v>
      </c>
      <c r="J1230" s="23">
        <v>2</v>
      </c>
      <c r="K1230" s="23">
        <v>3</v>
      </c>
      <c r="L1230" s="25">
        <f t="shared" si="40"/>
        <v>1.0195048044558224</v>
      </c>
      <c r="M1230" s="20" t="s">
        <v>139</v>
      </c>
    </row>
    <row r="1231" spans="1:13" x14ac:dyDescent="0.2">
      <c r="A1231" s="48" t="s">
        <v>141</v>
      </c>
      <c r="B1231" s="12" t="s">
        <v>54</v>
      </c>
      <c r="C1231" s="28" t="s">
        <v>64</v>
      </c>
      <c r="D1231" s="44">
        <v>3.1292215121602962</v>
      </c>
      <c r="E1231" s="15" t="s">
        <v>138</v>
      </c>
      <c r="F1231" s="16" t="s">
        <v>16</v>
      </c>
      <c r="G1231" s="22">
        <v>1</v>
      </c>
      <c r="H1231" s="23">
        <v>1</v>
      </c>
      <c r="I1231" s="23">
        <v>1</v>
      </c>
      <c r="J1231" s="23">
        <v>2</v>
      </c>
      <c r="K1231" s="23">
        <v>3</v>
      </c>
      <c r="L1231" s="25">
        <f t="shared" ref="L1231:L1262" si="41">IF( OR( ISBLANK(G1231),ISBLANK(H1231), ISBLANK(I1231), ISBLANK(J1231), ISBLANK(K1231) ), "", 1.5*SQRT( EXP(2.21*(G1231-1)) + EXP(2.21*(H1231-1)) + EXP(2.21*(I1231-1)) + EXP(2.21*(J1231-1)) + EXP(2.21*K1231) )/100*2.45 )</f>
        <v>1.0195048044558224</v>
      </c>
      <c r="M1231" s="20" t="s">
        <v>139</v>
      </c>
    </row>
    <row r="1232" spans="1:13" x14ac:dyDescent="0.2">
      <c r="A1232" s="48" t="s">
        <v>141</v>
      </c>
      <c r="B1232" s="12" t="s">
        <v>55</v>
      </c>
      <c r="C1232" s="28" t="s">
        <v>64</v>
      </c>
      <c r="D1232" s="44">
        <v>95.943543012005463</v>
      </c>
      <c r="E1232" s="15" t="s">
        <v>138</v>
      </c>
      <c r="F1232" s="16" t="s">
        <v>16</v>
      </c>
      <c r="G1232" s="22">
        <v>1</v>
      </c>
      <c r="H1232" s="23">
        <v>1</v>
      </c>
      <c r="I1232" s="23">
        <v>1</v>
      </c>
      <c r="J1232" s="23">
        <v>2</v>
      </c>
      <c r="K1232" s="23">
        <v>3</v>
      </c>
      <c r="L1232" s="24">
        <f t="shared" si="41"/>
        <v>1.0195048044558224</v>
      </c>
      <c r="M1232" s="20" t="s">
        <v>139</v>
      </c>
    </row>
    <row r="1233" spans="1:13" x14ac:dyDescent="0.2">
      <c r="A1233" s="48" t="s">
        <v>141</v>
      </c>
      <c r="B1233" s="12" t="s">
        <v>57</v>
      </c>
      <c r="C1233" s="28" t="s">
        <v>64</v>
      </c>
      <c r="D1233" s="44">
        <v>15.647496024388101</v>
      </c>
      <c r="E1233" s="15" t="s">
        <v>138</v>
      </c>
      <c r="F1233" s="16" t="s">
        <v>16</v>
      </c>
      <c r="G1233" s="22">
        <v>1</v>
      </c>
      <c r="H1233" s="23">
        <v>1</v>
      </c>
      <c r="I1233" s="23">
        <v>1</v>
      </c>
      <c r="J1233" s="23">
        <v>2</v>
      </c>
      <c r="K1233" s="23">
        <v>3</v>
      </c>
      <c r="L1233" s="25">
        <f t="shared" si="41"/>
        <v>1.0195048044558224</v>
      </c>
      <c r="M1233" s="20" t="s">
        <v>139</v>
      </c>
    </row>
    <row r="1234" spans="1:13" x14ac:dyDescent="0.2">
      <c r="A1234" s="48" t="s">
        <v>141</v>
      </c>
      <c r="B1234" s="12" t="s">
        <v>59</v>
      </c>
      <c r="C1234" s="28" t="s">
        <v>64</v>
      </c>
      <c r="D1234" s="44">
        <v>23.544960252844032</v>
      </c>
      <c r="E1234" s="15" t="s">
        <v>138</v>
      </c>
      <c r="F1234" s="16" t="s">
        <v>16</v>
      </c>
      <c r="G1234" s="22">
        <v>1</v>
      </c>
      <c r="H1234" s="23">
        <v>1</v>
      </c>
      <c r="I1234" s="23">
        <v>1</v>
      </c>
      <c r="J1234" s="23">
        <v>2</v>
      </c>
      <c r="K1234" s="23">
        <v>3</v>
      </c>
      <c r="L1234" s="25">
        <f t="shared" si="41"/>
        <v>1.0195048044558224</v>
      </c>
      <c r="M1234" s="20" t="s">
        <v>139</v>
      </c>
    </row>
    <row r="1235" spans="1:13" x14ac:dyDescent="0.2">
      <c r="A1235" s="48" t="s">
        <v>141</v>
      </c>
      <c r="B1235" s="12" t="s">
        <v>60</v>
      </c>
      <c r="C1235" s="28" t="s">
        <v>64</v>
      </c>
      <c r="D1235" s="44">
        <v>124.3335194597891</v>
      </c>
      <c r="E1235" s="15" t="s">
        <v>138</v>
      </c>
      <c r="F1235" s="16" t="s">
        <v>16</v>
      </c>
      <c r="G1235" s="22">
        <v>1</v>
      </c>
      <c r="H1235" s="23">
        <v>2</v>
      </c>
      <c r="I1235" s="23">
        <v>1</v>
      </c>
      <c r="J1235" s="23">
        <v>2</v>
      </c>
      <c r="K1235" s="23">
        <v>3</v>
      </c>
      <c r="L1235" s="24">
        <f t="shared" si="41"/>
        <v>1.0248662490928169</v>
      </c>
      <c r="M1235" s="20" t="s">
        <v>139</v>
      </c>
    </row>
    <row r="1236" spans="1:13" x14ac:dyDescent="0.2">
      <c r="A1236" s="48" t="s">
        <v>141</v>
      </c>
      <c r="B1236" s="12" t="s">
        <v>13</v>
      </c>
      <c r="C1236" s="29" t="s">
        <v>66</v>
      </c>
      <c r="D1236" s="44">
        <v>0.81466662558946623</v>
      </c>
      <c r="E1236" s="15" t="s">
        <v>138</v>
      </c>
      <c r="F1236" s="16" t="s">
        <v>16</v>
      </c>
      <c r="G1236" s="22">
        <v>1</v>
      </c>
      <c r="H1236" s="23">
        <v>1</v>
      </c>
      <c r="I1236" s="23">
        <v>1</v>
      </c>
      <c r="J1236" s="23">
        <v>2</v>
      </c>
      <c r="K1236" s="23">
        <v>3</v>
      </c>
      <c r="L1236" s="25">
        <f t="shared" si="41"/>
        <v>1.0195048044558224</v>
      </c>
      <c r="M1236" s="20" t="s">
        <v>139</v>
      </c>
    </row>
    <row r="1237" spans="1:13" x14ac:dyDescent="0.2">
      <c r="A1237" s="48" t="s">
        <v>141</v>
      </c>
      <c r="B1237" s="12" t="s">
        <v>18</v>
      </c>
      <c r="C1237" s="29" t="s">
        <v>66</v>
      </c>
      <c r="D1237" s="44">
        <v>1.098090573597863</v>
      </c>
      <c r="E1237" s="15" t="s">
        <v>138</v>
      </c>
      <c r="F1237" s="16" t="s">
        <v>16</v>
      </c>
      <c r="G1237" s="22">
        <v>1</v>
      </c>
      <c r="H1237" s="23">
        <v>1</v>
      </c>
      <c r="I1237" s="23">
        <v>1</v>
      </c>
      <c r="J1237" s="23">
        <v>2</v>
      </c>
      <c r="K1237" s="23">
        <v>3</v>
      </c>
      <c r="L1237" s="25">
        <f t="shared" si="41"/>
        <v>1.0195048044558224</v>
      </c>
      <c r="M1237" s="20" t="s">
        <v>139</v>
      </c>
    </row>
    <row r="1238" spans="1:13" x14ac:dyDescent="0.2">
      <c r="A1238" s="48" t="s">
        <v>141</v>
      </c>
      <c r="B1238" s="12" t="s">
        <v>20</v>
      </c>
      <c r="C1238" s="29" t="s">
        <v>66</v>
      </c>
      <c r="D1238" s="44">
        <v>0.41666390182826568</v>
      </c>
      <c r="E1238" s="15" t="s">
        <v>138</v>
      </c>
      <c r="F1238" s="16" t="s">
        <v>16</v>
      </c>
      <c r="G1238" s="22">
        <v>1</v>
      </c>
      <c r="H1238" s="23">
        <v>1</v>
      </c>
      <c r="I1238" s="23">
        <v>1</v>
      </c>
      <c r="J1238" s="23">
        <v>2</v>
      </c>
      <c r="K1238" s="23">
        <v>3</v>
      </c>
      <c r="L1238" s="25">
        <f t="shared" si="41"/>
        <v>1.0195048044558224</v>
      </c>
      <c r="M1238" s="20" t="s">
        <v>139</v>
      </c>
    </row>
    <row r="1239" spans="1:13" x14ac:dyDescent="0.2">
      <c r="A1239" s="48" t="s">
        <v>141</v>
      </c>
      <c r="B1239" s="12" t="s">
        <v>22</v>
      </c>
      <c r="C1239" s="29" t="s">
        <v>66</v>
      </c>
      <c r="D1239" s="44">
        <v>0.18059676297701341</v>
      </c>
      <c r="E1239" s="15" t="s">
        <v>138</v>
      </c>
      <c r="F1239" s="16" t="s">
        <v>16</v>
      </c>
      <c r="G1239" s="22">
        <v>1</v>
      </c>
      <c r="H1239" s="23">
        <v>1</v>
      </c>
      <c r="I1239" s="23">
        <v>1</v>
      </c>
      <c r="J1239" s="23">
        <v>2</v>
      </c>
      <c r="K1239" s="23">
        <v>3</v>
      </c>
      <c r="L1239" s="25">
        <f t="shared" si="41"/>
        <v>1.0195048044558224</v>
      </c>
      <c r="M1239" s="20" t="s">
        <v>139</v>
      </c>
    </row>
    <row r="1240" spans="1:13" x14ac:dyDescent="0.2">
      <c r="A1240" s="48" t="s">
        <v>141</v>
      </c>
      <c r="B1240" s="12" t="s">
        <v>23</v>
      </c>
      <c r="C1240" s="29" t="s">
        <v>66</v>
      </c>
      <c r="D1240" s="44">
        <v>4.9925965300245997E-2</v>
      </c>
      <c r="E1240" s="15" t="s">
        <v>138</v>
      </c>
      <c r="F1240" s="16" t="s">
        <v>16</v>
      </c>
      <c r="G1240" s="22">
        <v>1</v>
      </c>
      <c r="H1240" s="23">
        <v>1</v>
      </c>
      <c r="I1240" s="23">
        <v>1</v>
      </c>
      <c r="J1240" s="23">
        <v>2</v>
      </c>
      <c r="K1240" s="23">
        <v>3</v>
      </c>
      <c r="L1240" s="25">
        <f t="shared" si="41"/>
        <v>1.0195048044558224</v>
      </c>
      <c r="M1240" s="20" t="s">
        <v>139</v>
      </c>
    </row>
    <row r="1241" spans="1:13" x14ac:dyDescent="0.2">
      <c r="A1241" s="48" t="s">
        <v>141</v>
      </c>
      <c r="B1241" s="12" t="s">
        <v>24</v>
      </c>
      <c r="C1241" s="29" t="s">
        <v>66</v>
      </c>
      <c r="D1241" s="44">
        <v>0.72116002590543693</v>
      </c>
      <c r="E1241" s="15" t="s">
        <v>138</v>
      </c>
      <c r="F1241" s="16" t="s">
        <v>16</v>
      </c>
      <c r="G1241" s="22">
        <v>1</v>
      </c>
      <c r="H1241" s="23">
        <v>1</v>
      </c>
      <c r="I1241" s="23">
        <v>1</v>
      </c>
      <c r="J1241" s="23">
        <v>2</v>
      </c>
      <c r="K1241" s="23">
        <v>3</v>
      </c>
      <c r="L1241" s="25">
        <f t="shared" si="41"/>
        <v>1.0195048044558224</v>
      </c>
      <c r="M1241" s="20" t="s">
        <v>139</v>
      </c>
    </row>
    <row r="1242" spans="1:13" x14ac:dyDescent="0.2">
      <c r="A1242" s="48" t="s">
        <v>141</v>
      </c>
      <c r="B1242" s="12" t="s">
        <v>25</v>
      </c>
      <c r="C1242" s="29" t="s">
        <v>66</v>
      </c>
      <c r="D1242" s="44">
        <v>0.62378581083382123</v>
      </c>
      <c r="E1242" s="15" t="s">
        <v>138</v>
      </c>
      <c r="F1242" s="16" t="s">
        <v>16</v>
      </c>
      <c r="G1242" s="22">
        <v>1</v>
      </c>
      <c r="H1242" s="23">
        <v>1</v>
      </c>
      <c r="I1242" s="23">
        <v>1</v>
      </c>
      <c r="J1242" s="23">
        <v>2</v>
      </c>
      <c r="K1242" s="23">
        <v>3</v>
      </c>
      <c r="L1242" s="25">
        <f t="shared" si="41"/>
        <v>1.0195048044558224</v>
      </c>
      <c r="M1242" s="20" t="s">
        <v>139</v>
      </c>
    </row>
    <row r="1243" spans="1:13" x14ac:dyDescent="0.2">
      <c r="A1243" s="48" t="s">
        <v>141</v>
      </c>
      <c r="B1243" s="12" t="s">
        <v>26</v>
      </c>
      <c r="C1243" s="29" t="s">
        <v>66</v>
      </c>
      <c r="D1243" s="44">
        <v>0.14616880846933419</v>
      </c>
      <c r="E1243" s="15" t="s">
        <v>138</v>
      </c>
      <c r="F1243" s="16" t="s">
        <v>16</v>
      </c>
      <c r="G1243" s="22">
        <v>1</v>
      </c>
      <c r="H1243" s="23">
        <v>1</v>
      </c>
      <c r="I1243" s="23">
        <v>1</v>
      </c>
      <c r="J1243" s="23">
        <v>2</v>
      </c>
      <c r="K1243" s="23">
        <v>3</v>
      </c>
      <c r="L1243" s="25">
        <f t="shared" si="41"/>
        <v>1.0195048044558224</v>
      </c>
      <c r="M1243" s="20" t="s">
        <v>139</v>
      </c>
    </row>
    <row r="1244" spans="1:13" x14ac:dyDescent="0.2">
      <c r="A1244" s="48" t="s">
        <v>141</v>
      </c>
      <c r="B1244" s="12" t="s">
        <v>27</v>
      </c>
      <c r="C1244" s="29" t="s">
        <v>66</v>
      </c>
      <c r="D1244" s="44">
        <v>0.42822492797142431</v>
      </c>
      <c r="E1244" s="15" t="s">
        <v>138</v>
      </c>
      <c r="F1244" s="16" t="s">
        <v>16</v>
      </c>
      <c r="G1244" s="22">
        <v>1</v>
      </c>
      <c r="H1244" s="23">
        <v>1</v>
      </c>
      <c r="I1244" s="23">
        <v>1</v>
      </c>
      <c r="J1244" s="23">
        <v>2</v>
      </c>
      <c r="K1244" s="23">
        <v>3</v>
      </c>
      <c r="L1244" s="25">
        <f t="shared" si="41"/>
        <v>1.0195048044558224</v>
      </c>
      <c r="M1244" s="20" t="s">
        <v>139</v>
      </c>
    </row>
    <row r="1245" spans="1:13" x14ac:dyDescent="0.2">
      <c r="A1245" s="48" t="s">
        <v>141</v>
      </c>
      <c r="B1245" s="12" t="s">
        <v>28</v>
      </c>
      <c r="C1245" s="29" t="s">
        <v>66</v>
      </c>
      <c r="D1245" s="44">
        <v>5.8512690215299514</v>
      </c>
      <c r="E1245" s="15" t="s">
        <v>138</v>
      </c>
      <c r="F1245" s="16" t="s">
        <v>16</v>
      </c>
      <c r="G1245" s="22">
        <v>1</v>
      </c>
      <c r="H1245" s="23">
        <v>1</v>
      </c>
      <c r="I1245" s="23">
        <v>1</v>
      </c>
      <c r="J1245" s="23">
        <v>2</v>
      </c>
      <c r="K1245" s="23">
        <v>3</v>
      </c>
      <c r="L1245" s="25">
        <f t="shared" si="41"/>
        <v>1.0195048044558224</v>
      </c>
      <c r="M1245" s="20" t="s">
        <v>139</v>
      </c>
    </row>
    <row r="1246" spans="1:13" x14ac:dyDescent="0.2">
      <c r="A1246" s="48" t="s">
        <v>141</v>
      </c>
      <c r="B1246" s="12" t="s">
        <v>30</v>
      </c>
      <c r="C1246" s="29" t="s">
        <v>66</v>
      </c>
      <c r="D1246" s="44">
        <v>10.322925833291981</v>
      </c>
      <c r="E1246" s="15" t="s">
        <v>138</v>
      </c>
      <c r="F1246" s="16" t="s">
        <v>16</v>
      </c>
      <c r="G1246" s="22">
        <v>1</v>
      </c>
      <c r="H1246" s="23">
        <v>1</v>
      </c>
      <c r="I1246" s="23">
        <v>1</v>
      </c>
      <c r="J1246" s="23">
        <v>2</v>
      </c>
      <c r="K1246" s="23">
        <v>3</v>
      </c>
      <c r="L1246" s="24">
        <f t="shared" si="41"/>
        <v>1.0195048044558224</v>
      </c>
      <c r="M1246" s="20" t="s">
        <v>139</v>
      </c>
    </row>
    <row r="1247" spans="1:13" x14ac:dyDescent="0.2">
      <c r="A1247" s="48" t="s">
        <v>141</v>
      </c>
      <c r="B1247" s="12" t="s">
        <v>32</v>
      </c>
      <c r="C1247" s="29" t="s">
        <v>66</v>
      </c>
      <c r="D1247" s="44">
        <v>0.75533738967507402</v>
      </c>
      <c r="E1247" s="15" t="s">
        <v>138</v>
      </c>
      <c r="F1247" s="16" t="s">
        <v>16</v>
      </c>
      <c r="G1247" s="22">
        <v>1</v>
      </c>
      <c r="H1247" s="23">
        <v>1</v>
      </c>
      <c r="I1247" s="23">
        <v>1</v>
      </c>
      <c r="J1247" s="23">
        <v>2</v>
      </c>
      <c r="K1247" s="23">
        <v>3</v>
      </c>
      <c r="L1247" s="25">
        <f t="shared" si="41"/>
        <v>1.0195048044558224</v>
      </c>
      <c r="M1247" s="20" t="s">
        <v>139</v>
      </c>
    </row>
    <row r="1248" spans="1:13" x14ac:dyDescent="0.2">
      <c r="A1248" s="48" t="s">
        <v>141</v>
      </c>
      <c r="B1248" s="12" t="s">
        <v>34</v>
      </c>
      <c r="C1248" s="29" t="s">
        <v>66</v>
      </c>
      <c r="D1248" s="44">
        <v>1.2645396663508339</v>
      </c>
      <c r="E1248" s="15" t="s">
        <v>138</v>
      </c>
      <c r="F1248" s="16" t="s">
        <v>16</v>
      </c>
      <c r="G1248" s="22">
        <v>1</v>
      </c>
      <c r="H1248" s="23">
        <v>1</v>
      </c>
      <c r="I1248" s="23">
        <v>1</v>
      </c>
      <c r="J1248" s="23">
        <v>2</v>
      </c>
      <c r="K1248" s="23">
        <v>3</v>
      </c>
      <c r="L1248" s="25">
        <f t="shared" si="41"/>
        <v>1.0195048044558224</v>
      </c>
      <c r="M1248" s="20" t="s">
        <v>139</v>
      </c>
    </row>
    <row r="1249" spans="1:13" x14ac:dyDescent="0.2">
      <c r="A1249" s="48" t="s">
        <v>141</v>
      </c>
      <c r="B1249" s="12" t="s">
        <v>36</v>
      </c>
      <c r="C1249" s="29" t="s">
        <v>66</v>
      </c>
      <c r="D1249" s="44">
        <v>0.83222445714256299</v>
      </c>
      <c r="E1249" s="15" t="s">
        <v>138</v>
      </c>
      <c r="F1249" s="16" t="s">
        <v>16</v>
      </c>
      <c r="G1249" s="22">
        <v>1</v>
      </c>
      <c r="H1249" s="23">
        <v>1</v>
      </c>
      <c r="I1249" s="23">
        <v>1</v>
      </c>
      <c r="J1249" s="23">
        <v>2</v>
      </c>
      <c r="K1249" s="23">
        <v>3</v>
      </c>
      <c r="L1249" s="25">
        <f t="shared" si="41"/>
        <v>1.0195048044558224</v>
      </c>
      <c r="M1249" s="20" t="s">
        <v>139</v>
      </c>
    </row>
    <row r="1250" spans="1:13" x14ac:dyDescent="0.2">
      <c r="A1250" s="48" t="s">
        <v>141</v>
      </c>
      <c r="B1250" s="12" t="s">
        <v>37</v>
      </c>
      <c r="C1250" s="29" t="s">
        <v>66</v>
      </c>
      <c r="D1250" s="44">
        <v>5.4398820227720783</v>
      </c>
      <c r="E1250" s="15" t="s">
        <v>138</v>
      </c>
      <c r="F1250" s="16" t="s">
        <v>16</v>
      </c>
      <c r="G1250" s="22">
        <v>1</v>
      </c>
      <c r="H1250" s="23">
        <v>1</v>
      </c>
      <c r="I1250" s="23">
        <v>1</v>
      </c>
      <c r="J1250" s="23">
        <v>2</v>
      </c>
      <c r="K1250" s="23">
        <v>3</v>
      </c>
      <c r="L1250" s="24">
        <f t="shared" si="41"/>
        <v>1.0195048044558224</v>
      </c>
      <c r="M1250" s="20" t="s">
        <v>139</v>
      </c>
    </row>
    <row r="1251" spans="1:13" x14ac:dyDescent="0.2">
      <c r="A1251" s="48" t="s">
        <v>141</v>
      </c>
      <c r="B1251" s="12" t="s">
        <v>39</v>
      </c>
      <c r="C1251" s="29" t="s">
        <v>66</v>
      </c>
      <c r="D1251" s="44">
        <v>0.12791802446087119</v>
      </c>
      <c r="E1251" s="15" t="s">
        <v>138</v>
      </c>
      <c r="F1251" s="16" t="s">
        <v>16</v>
      </c>
      <c r="G1251" s="22">
        <v>1</v>
      </c>
      <c r="H1251" s="23">
        <v>1</v>
      </c>
      <c r="I1251" s="23">
        <v>1</v>
      </c>
      <c r="J1251" s="23">
        <v>2</v>
      </c>
      <c r="K1251" s="23">
        <v>3</v>
      </c>
      <c r="L1251" s="25">
        <f t="shared" si="41"/>
        <v>1.0195048044558224</v>
      </c>
      <c r="M1251" s="20" t="s">
        <v>139</v>
      </c>
    </row>
    <row r="1252" spans="1:13" x14ac:dyDescent="0.2">
      <c r="A1252" s="48" t="s">
        <v>141</v>
      </c>
      <c r="B1252" s="12" t="s">
        <v>40</v>
      </c>
      <c r="C1252" s="29" t="s">
        <v>66</v>
      </c>
      <c r="D1252" s="44">
        <v>0.23487511345095469</v>
      </c>
      <c r="E1252" s="15" t="s">
        <v>138</v>
      </c>
      <c r="F1252" s="16" t="s">
        <v>16</v>
      </c>
      <c r="G1252" s="22">
        <v>1</v>
      </c>
      <c r="H1252" s="23">
        <v>1</v>
      </c>
      <c r="I1252" s="23">
        <v>1</v>
      </c>
      <c r="J1252" s="23">
        <v>2</v>
      </c>
      <c r="K1252" s="23">
        <v>3</v>
      </c>
      <c r="L1252" s="25">
        <f t="shared" si="41"/>
        <v>1.0195048044558224</v>
      </c>
      <c r="M1252" s="20" t="s">
        <v>139</v>
      </c>
    </row>
    <row r="1253" spans="1:13" x14ac:dyDescent="0.2">
      <c r="A1253" s="48" t="s">
        <v>141</v>
      </c>
      <c r="B1253" s="12" t="s">
        <v>41</v>
      </c>
      <c r="C1253" s="29" t="s">
        <v>66</v>
      </c>
      <c r="D1253" s="44">
        <v>6.6749694867930601E-2</v>
      </c>
      <c r="E1253" s="15" t="s">
        <v>138</v>
      </c>
      <c r="F1253" s="16" t="s">
        <v>16</v>
      </c>
      <c r="G1253" s="22">
        <v>1</v>
      </c>
      <c r="H1253" s="23">
        <v>1</v>
      </c>
      <c r="I1253" s="23">
        <v>1</v>
      </c>
      <c r="J1253" s="23">
        <v>2</v>
      </c>
      <c r="K1253" s="23">
        <v>3</v>
      </c>
      <c r="L1253" s="25">
        <f t="shared" si="41"/>
        <v>1.0195048044558224</v>
      </c>
      <c r="M1253" s="20" t="s">
        <v>139</v>
      </c>
    </row>
    <row r="1254" spans="1:13" x14ac:dyDescent="0.2">
      <c r="A1254" s="48" t="s">
        <v>141</v>
      </c>
      <c r="B1254" s="12" t="s">
        <v>42</v>
      </c>
      <c r="C1254" s="29" t="s">
        <v>66</v>
      </c>
      <c r="D1254" s="44">
        <v>3.8512158645222658E-2</v>
      </c>
      <c r="E1254" s="15" t="s">
        <v>138</v>
      </c>
      <c r="F1254" s="16" t="s">
        <v>16</v>
      </c>
      <c r="G1254" s="22">
        <v>1</v>
      </c>
      <c r="H1254" s="23">
        <v>1</v>
      </c>
      <c r="I1254" s="23">
        <v>1</v>
      </c>
      <c r="J1254" s="23">
        <v>2</v>
      </c>
      <c r="K1254" s="23">
        <v>3</v>
      </c>
      <c r="L1254" s="25">
        <f t="shared" si="41"/>
        <v>1.0195048044558224</v>
      </c>
      <c r="M1254" s="20" t="s">
        <v>139</v>
      </c>
    </row>
    <row r="1255" spans="1:13" x14ac:dyDescent="0.2">
      <c r="A1255" s="48" t="s">
        <v>141</v>
      </c>
      <c r="B1255" s="12" t="s">
        <v>43</v>
      </c>
      <c r="C1255" s="29" t="s">
        <v>66</v>
      </c>
      <c r="D1255" s="44">
        <v>1.7830446539775491</v>
      </c>
      <c r="E1255" s="15" t="s">
        <v>138</v>
      </c>
      <c r="F1255" s="16" t="s">
        <v>16</v>
      </c>
      <c r="G1255" s="22">
        <v>1</v>
      </c>
      <c r="H1255" s="23">
        <v>1</v>
      </c>
      <c r="I1255" s="23">
        <v>1</v>
      </c>
      <c r="J1255" s="23">
        <v>2</v>
      </c>
      <c r="K1255" s="23">
        <v>3</v>
      </c>
      <c r="L1255" s="25">
        <f t="shared" si="41"/>
        <v>1.0195048044558224</v>
      </c>
      <c r="M1255" s="20" t="s">
        <v>139</v>
      </c>
    </row>
    <row r="1256" spans="1:13" x14ac:dyDescent="0.2">
      <c r="A1256" s="48" t="s">
        <v>141</v>
      </c>
      <c r="B1256" s="12" t="s">
        <v>45</v>
      </c>
      <c r="C1256" s="29" t="s">
        <v>66</v>
      </c>
      <c r="D1256" s="44">
        <v>0.67532573727216649</v>
      </c>
      <c r="E1256" s="15" t="s">
        <v>138</v>
      </c>
      <c r="F1256" s="16" t="s">
        <v>16</v>
      </c>
      <c r="G1256" s="22">
        <v>1</v>
      </c>
      <c r="H1256" s="23">
        <v>1</v>
      </c>
      <c r="I1256" s="23">
        <v>1</v>
      </c>
      <c r="J1256" s="23">
        <v>2</v>
      </c>
      <c r="K1256" s="23">
        <v>3</v>
      </c>
      <c r="L1256" s="25">
        <f t="shared" si="41"/>
        <v>1.0195048044558224</v>
      </c>
      <c r="M1256" s="20" t="s">
        <v>139</v>
      </c>
    </row>
    <row r="1257" spans="1:13" x14ac:dyDescent="0.2">
      <c r="A1257" s="48" t="s">
        <v>141</v>
      </c>
      <c r="B1257" s="12" t="s">
        <v>46</v>
      </c>
      <c r="C1257" s="29" t="s">
        <v>66</v>
      </c>
      <c r="D1257" s="44">
        <v>3.0731536694435668</v>
      </c>
      <c r="E1257" s="15" t="s">
        <v>138</v>
      </c>
      <c r="F1257" s="16" t="s">
        <v>16</v>
      </c>
      <c r="G1257" s="22">
        <v>1</v>
      </c>
      <c r="H1257" s="23">
        <v>1</v>
      </c>
      <c r="I1257" s="23">
        <v>1</v>
      </c>
      <c r="J1257" s="23">
        <v>2</v>
      </c>
      <c r="K1257" s="23">
        <v>3</v>
      </c>
      <c r="L1257" s="24">
        <f t="shared" si="41"/>
        <v>1.0195048044558224</v>
      </c>
      <c r="M1257" s="20" t="s">
        <v>139</v>
      </c>
    </row>
    <row r="1258" spans="1:13" x14ac:dyDescent="0.2">
      <c r="A1258" s="48" t="s">
        <v>141</v>
      </c>
      <c r="B1258" s="12" t="s">
        <v>48</v>
      </c>
      <c r="C1258" s="29" t="s">
        <v>66</v>
      </c>
      <c r="D1258" s="44">
        <v>1.1321659980784879</v>
      </c>
      <c r="E1258" s="15" t="s">
        <v>138</v>
      </c>
      <c r="F1258" s="16" t="s">
        <v>16</v>
      </c>
      <c r="G1258" s="22">
        <v>1</v>
      </c>
      <c r="H1258" s="23">
        <v>1</v>
      </c>
      <c r="I1258" s="23">
        <v>1</v>
      </c>
      <c r="J1258" s="23">
        <v>2</v>
      </c>
      <c r="K1258" s="23">
        <v>3</v>
      </c>
      <c r="L1258" s="25">
        <f t="shared" si="41"/>
        <v>1.0195048044558224</v>
      </c>
      <c r="M1258" s="20" t="s">
        <v>139</v>
      </c>
    </row>
    <row r="1259" spans="1:13" x14ac:dyDescent="0.2">
      <c r="A1259" s="48" t="s">
        <v>141</v>
      </c>
      <c r="B1259" s="12" t="s">
        <v>50</v>
      </c>
      <c r="C1259" s="29" t="s">
        <v>66</v>
      </c>
      <c r="D1259" s="44">
        <v>1.3155936629181031</v>
      </c>
      <c r="E1259" s="15" t="s">
        <v>138</v>
      </c>
      <c r="F1259" s="16" t="s">
        <v>16</v>
      </c>
      <c r="G1259" s="22">
        <v>1</v>
      </c>
      <c r="H1259" s="23">
        <v>1</v>
      </c>
      <c r="I1259" s="23">
        <v>1</v>
      </c>
      <c r="J1259" s="23">
        <v>2</v>
      </c>
      <c r="K1259" s="23">
        <v>3</v>
      </c>
      <c r="L1259" s="25">
        <f t="shared" si="41"/>
        <v>1.0195048044558224</v>
      </c>
      <c r="M1259" s="20" t="s">
        <v>139</v>
      </c>
    </row>
    <row r="1260" spans="1:13" x14ac:dyDescent="0.2">
      <c r="A1260" s="48" t="s">
        <v>141</v>
      </c>
      <c r="B1260" s="12" t="s">
        <v>52</v>
      </c>
      <c r="C1260" s="29" t="s">
        <v>66</v>
      </c>
      <c r="D1260" s="44">
        <v>0.34974532603287772</v>
      </c>
      <c r="E1260" s="15" t="s">
        <v>138</v>
      </c>
      <c r="F1260" s="16" t="s">
        <v>16</v>
      </c>
      <c r="G1260" s="22">
        <v>1</v>
      </c>
      <c r="H1260" s="23">
        <v>1</v>
      </c>
      <c r="I1260" s="23">
        <v>1</v>
      </c>
      <c r="J1260" s="23">
        <v>2</v>
      </c>
      <c r="K1260" s="23">
        <v>3</v>
      </c>
      <c r="L1260" s="25">
        <f t="shared" si="41"/>
        <v>1.0195048044558224</v>
      </c>
      <c r="M1260" s="20" t="s">
        <v>139</v>
      </c>
    </row>
    <row r="1261" spans="1:13" x14ac:dyDescent="0.2">
      <c r="A1261" s="48" t="s">
        <v>141</v>
      </c>
      <c r="B1261" s="12" t="s">
        <v>54</v>
      </c>
      <c r="C1261" s="29" t="s">
        <v>66</v>
      </c>
      <c r="D1261" s="44">
        <v>0.13539095485541289</v>
      </c>
      <c r="E1261" s="15" t="s">
        <v>138</v>
      </c>
      <c r="F1261" s="16" t="s">
        <v>16</v>
      </c>
      <c r="G1261" s="22">
        <v>1</v>
      </c>
      <c r="H1261" s="23">
        <v>1</v>
      </c>
      <c r="I1261" s="23">
        <v>1</v>
      </c>
      <c r="J1261" s="23">
        <v>2</v>
      </c>
      <c r="K1261" s="23">
        <v>3</v>
      </c>
      <c r="L1261" s="25">
        <f t="shared" si="41"/>
        <v>1.0195048044558224</v>
      </c>
      <c r="M1261" s="20" t="s">
        <v>139</v>
      </c>
    </row>
    <row r="1262" spans="1:13" x14ac:dyDescent="0.2">
      <c r="A1262" s="48" t="s">
        <v>141</v>
      </c>
      <c r="B1262" s="12" t="s">
        <v>55</v>
      </c>
      <c r="C1262" s="29" t="s">
        <v>66</v>
      </c>
      <c r="D1262" s="44">
        <v>4.1511563978860266</v>
      </c>
      <c r="E1262" s="15" t="s">
        <v>138</v>
      </c>
      <c r="F1262" s="16" t="s">
        <v>16</v>
      </c>
      <c r="G1262" s="22">
        <v>1</v>
      </c>
      <c r="H1262" s="23">
        <v>1</v>
      </c>
      <c r="I1262" s="23">
        <v>1</v>
      </c>
      <c r="J1262" s="23">
        <v>2</v>
      </c>
      <c r="K1262" s="23">
        <v>3</v>
      </c>
      <c r="L1262" s="24">
        <f t="shared" si="41"/>
        <v>1.0195048044558224</v>
      </c>
      <c r="M1262" s="20" t="s">
        <v>139</v>
      </c>
    </row>
    <row r="1263" spans="1:13" x14ac:dyDescent="0.2">
      <c r="A1263" s="48" t="s">
        <v>141</v>
      </c>
      <c r="B1263" s="12" t="s">
        <v>57</v>
      </c>
      <c r="C1263" s="29" t="s">
        <v>66</v>
      </c>
      <c r="D1263" s="44">
        <v>0.67701484845527293</v>
      </c>
      <c r="E1263" s="15" t="s">
        <v>138</v>
      </c>
      <c r="F1263" s="16" t="s">
        <v>16</v>
      </c>
      <c r="G1263" s="22">
        <v>1</v>
      </c>
      <c r="H1263" s="23">
        <v>1</v>
      </c>
      <c r="I1263" s="23">
        <v>1</v>
      </c>
      <c r="J1263" s="23">
        <v>2</v>
      </c>
      <c r="K1263" s="23">
        <v>3</v>
      </c>
      <c r="L1263" s="25">
        <f t="shared" ref="L1263:L1265" si="42">IF( OR( ISBLANK(G1263),ISBLANK(H1263), ISBLANK(I1263), ISBLANK(J1263), ISBLANK(K1263) ), "", 1.5*SQRT( EXP(2.21*(G1263-1)) + EXP(2.21*(H1263-1)) + EXP(2.21*(I1263-1)) + EXP(2.21*(J1263-1)) + EXP(2.21*K1263) )/100*2.45 )</f>
        <v>1.0195048044558224</v>
      </c>
      <c r="M1263" s="20" t="s">
        <v>139</v>
      </c>
    </row>
    <row r="1264" spans="1:13" x14ac:dyDescent="0.2">
      <c r="A1264" s="48" t="s">
        <v>141</v>
      </c>
      <c r="B1264" s="12" t="s">
        <v>59</v>
      </c>
      <c r="C1264" s="29" t="s">
        <v>66</v>
      </c>
      <c r="D1264" s="44">
        <v>1.0187117269510839</v>
      </c>
      <c r="E1264" s="15" t="s">
        <v>138</v>
      </c>
      <c r="F1264" s="16" t="s">
        <v>16</v>
      </c>
      <c r="G1264" s="22">
        <v>1</v>
      </c>
      <c r="H1264" s="23">
        <v>1</v>
      </c>
      <c r="I1264" s="23">
        <v>1</v>
      </c>
      <c r="J1264" s="23">
        <v>2</v>
      </c>
      <c r="K1264" s="23">
        <v>3</v>
      </c>
      <c r="L1264" s="25">
        <f t="shared" si="42"/>
        <v>1.0195048044558224</v>
      </c>
      <c r="M1264" s="20" t="s">
        <v>139</v>
      </c>
    </row>
    <row r="1265" spans="1:13" x14ac:dyDescent="0.2">
      <c r="A1265" s="48" t="s">
        <v>141</v>
      </c>
      <c r="B1265" s="12" t="s">
        <v>60</v>
      </c>
      <c r="C1265" s="29" t="s">
        <v>66</v>
      </c>
      <c r="D1265" s="44">
        <v>5.3794957802695178</v>
      </c>
      <c r="E1265" s="15" t="s">
        <v>138</v>
      </c>
      <c r="F1265" s="16" t="s">
        <v>16</v>
      </c>
      <c r="G1265" s="22">
        <v>1</v>
      </c>
      <c r="H1265" s="23">
        <v>2</v>
      </c>
      <c r="I1265" s="23">
        <v>1</v>
      </c>
      <c r="J1265" s="23">
        <v>2</v>
      </c>
      <c r="K1265" s="23">
        <v>3</v>
      </c>
      <c r="L1265" s="24">
        <f t="shared" si="42"/>
        <v>1.0248662490928169</v>
      </c>
      <c r="M1265" s="20" t="s">
        <v>139</v>
      </c>
    </row>
    <row r="1266" spans="1:13" x14ac:dyDescent="0.2">
      <c r="A1266" s="48" t="s">
        <v>141</v>
      </c>
      <c r="B1266" s="22" t="s">
        <v>135</v>
      </c>
      <c r="C1266" s="30" t="s">
        <v>94</v>
      </c>
      <c r="D1266" s="18">
        <v>0</v>
      </c>
      <c r="E1266" s="15"/>
      <c r="F1266" s="16"/>
      <c r="G1266" s="17"/>
      <c r="H1266" s="18"/>
      <c r="I1266" s="18"/>
      <c r="J1266" s="18"/>
      <c r="K1266" s="18"/>
      <c r="L1266" s="19" t="str">
        <f>IF( OR( ISBLANK(G1266),ISBLANK(H1266), ISBLANK(I1266), ISBLANK(J1266), ISBLANK(K1266) ), "", 1.5*SQRT(   EXP(2.21*(G1266-1)) + EXP(2.21*(H1266-1)) + EXP(2.21*(I1266-1)) + EXP(2.21*(J1266-1)) + EXP(2.21*K1266)   )/100*2.45 )</f>
        <v/>
      </c>
      <c r="M1266" s="20" t="s">
        <v>139</v>
      </c>
    </row>
    <row r="1267" spans="1:13" x14ac:dyDescent="0.2">
      <c r="A1267" s="48" t="s">
        <v>141</v>
      </c>
      <c r="B1267" s="12" t="s">
        <v>13</v>
      </c>
      <c r="C1267" s="31" t="s">
        <v>96</v>
      </c>
      <c r="D1267" s="44">
        <v>5.8935045383523326</v>
      </c>
      <c r="E1267" s="15" t="s">
        <v>138</v>
      </c>
      <c r="F1267" s="16" t="s">
        <v>16</v>
      </c>
      <c r="G1267" s="22">
        <v>1</v>
      </c>
      <c r="H1267" s="23">
        <v>1</v>
      </c>
      <c r="I1267" s="23">
        <v>1</v>
      </c>
      <c r="J1267" s="23">
        <v>2</v>
      </c>
      <c r="K1267" s="23">
        <v>3</v>
      </c>
      <c r="L1267" s="25">
        <f t="shared" ref="L1267:L1314" si="43">IF( OR( ISBLANK(G1267),ISBLANK(H1267), ISBLANK(I1267), ISBLANK(J1267), ISBLANK(K1267) ), "", 1.5*SQRT( EXP(2.21*(G1267-1)) + EXP(2.21*(H1267-1)) + EXP(2.21*(I1267-1)) + EXP(2.21*(J1267-1)) + EXP(2.21*K1267) )/100*2.45 )</f>
        <v>1.0195048044558224</v>
      </c>
      <c r="M1267" s="20" t="s">
        <v>139</v>
      </c>
    </row>
    <row r="1268" spans="1:13" x14ac:dyDescent="0.2">
      <c r="A1268" s="48" t="s">
        <v>141</v>
      </c>
      <c r="B1268" s="12" t="s">
        <v>18</v>
      </c>
      <c r="C1268" s="31" t="s">
        <v>96</v>
      </c>
      <c r="D1268" s="44">
        <v>7.9438651047454938</v>
      </c>
      <c r="E1268" s="15" t="s">
        <v>138</v>
      </c>
      <c r="F1268" s="16" t="s">
        <v>16</v>
      </c>
      <c r="G1268" s="22">
        <v>1</v>
      </c>
      <c r="H1268" s="23">
        <v>1</v>
      </c>
      <c r="I1268" s="23">
        <v>1</v>
      </c>
      <c r="J1268" s="23">
        <v>2</v>
      </c>
      <c r="K1268" s="23">
        <v>3</v>
      </c>
      <c r="L1268" s="25">
        <f t="shared" si="43"/>
        <v>1.0195048044558224</v>
      </c>
      <c r="M1268" s="20" t="s">
        <v>139</v>
      </c>
    </row>
    <row r="1269" spans="1:13" x14ac:dyDescent="0.2">
      <c r="A1269" s="48" t="s">
        <v>141</v>
      </c>
      <c r="B1269" s="12" t="s">
        <v>20</v>
      </c>
      <c r="C1269" s="31" t="s">
        <v>96</v>
      </c>
      <c r="D1269" s="44">
        <v>3.0142521115501388</v>
      </c>
      <c r="E1269" s="15" t="s">
        <v>138</v>
      </c>
      <c r="F1269" s="16" t="s">
        <v>16</v>
      </c>
      <c r="G1269" s="22">
        <v>1</v>
      </c>
      <c r="H1269" s="23">
        <v>1</v>
      </c>
      <c r="I1269" s="23">
        <v>1</v>
      </c>
      <c r="J1269" s="23">
        <v>2</v>
      </c>
      <c r="K1269" s="23">
        <v>3</v>
      </c>
      <c r="L1269" s="25">
        <f t="shared" si="43"/>
        <v>1.0195048044558224</v>
      </c>
      <c r="M1269" s="20" t="s">
        <v>139</v>
      </c>
    </row>
    <row r="1270" spans="1:13" x14ac:dyDescent="0.2">
      <c r="A1270" s="48" t="s">
        <v>141</v>
      </c>
      <c r="B1270" s="12" t="s">
        <v>22</v>
      </c>
      <c r="C1270" s="31" t="s">
        <v>96</v>
      </c>
      <c r="D1270" s="44">
        <v>1.3064826872546069</v>
      </c>
      <c r="E1270" s="15" t="s">
        <v>138</v>
      </c>
      <c r="F1270" s="16" t="s">
        <v>16</v>
      </c>
      <c r="G1270" s="22">
        <v>1</v>
      </c>
      <c r="H1270" s="23">
        <v>1</v>
      </c>
      <c r="I1270" s="23">
        <v>1</v>
      </c>
      <c r="J1270" s="23">
        <v>2</v>
      </c>
      <c r="K1270" s="23">
        <v>3</v>
      </c>
      <c r="L1270" s="25">
        <f t="shared" si="43"/>
        <v>1.0195048044558224</v>
      </c>
      <c r="M1270" s="20" t="s">
        <v>139</v>
      </c>
    </row>
    <row r="1271" spans="1:13" x14ac:dyDescent="0.2">
      <c r="A1271" s="48" t="s">
        <v>141</v>
      </c>
      <c r="B1271" s="12" t="s">
        <v>23</v>
      </c>
      <c r="C1271" s="31" t="s">
        <v>96</v>
      </c>
      <c r="D1271" s="44">
        <v>0.36117706781681308</v>
      </c>
      <c r="E1271" s="15" t="s">
        <v>138</v>
      </c>
      <c r="F1271" s="16" t="s">
        <v>16</v>
      </c>
      <c r="G1271" s="22">
        <v>1</v>
      </c>
      <c r="H1271" s="23">
        <v>1</v>
      </c>
      <c r="I1271" s="23">
        <v>1</v>
      </c>
      <c r="J1271" s="23">
        <v>2</v>
      </c>
      <c r="K1271" s="23">
        <v>3</v>
      </c>
      <c r="L1271" s="25">
        <f t="shared" si="43"/>
        <v>1.0195048044558224</v>
      </c>
      <c r="M1271" s="20" t="s">
        <v>139</v>
      </c>
    </row>
    <row r="1272" spans="1:13" x14ac:dyDescent="0.2">
      <c r="A1272" s="48" t="s">
        <v>141</v>
      </c>
      <c r="B1272" s="12" t="s">
        <v>24</v>
      </c>
      <c r="C1272" s="31" t="s">
        <v>96</v>
      </c>
      <c r="D1272" s="44">
        <v>5.2170541323902908</v>
      </c>
      <c r="E1272" s="15" t="s">
        <v>138</v>
      </c>
      <c r="F1272" s="16" t="s">
        <v>16</v>
      </c>
      <c r="G1272" s="22">
        <v>1</v>
      </c>
      <c r="H1272" s="23">
        <v>1</v>
      </c>
      <c r="I1272" s="23">
        <v>1</v>
      </c>
      <c r="J1272" s="23">
        <v>2</v>
      </c>
      <c r="K1272" s="23">
        <v>3</v>
      </c>
      <c r="L1272" s="25">
        <f t="shared" si="43"/>
        <v>1.0195048044558224</v>
      </c>
      <c r="M1272" s="20" t="s">
        <v>139</v>
      </c>
    </row>
    <row r="1273" spans="1:13" x14ac:dyDescent="0.2">
      <c r="A1273" s="48" t="s">
        <v>141</v>
      </c>
      <c r="B1273" s="12" t="s">
        <v>25</v>
      </c>
      <c r="C1273" s="31" t="s">
        <v>96</v>
      </c>
      <c r="D1273" s="44">
        <v>4.5126244179315389</v>
      </c>
      <c r="E1273" s="15" t="s">
        <v>138</v>
      </c>
      <c r="F1273" s="16" t="s">
        <v>16</v>
      </c>
      <c r="G1273" s="22">
        <v>1</v>
      </c>
      <c r="H1273" s="23">
        <v>1</v>
      </c>
      <c r="I1273" s="23">
        <v>1</v>
      </c>
      <c r="J1273" s="23">
        <v>2</v>
      </c>
      <c r="K1273" s="23">
        <v>3</v>
      </c>
      <c r="L1273" s="25">
        <f t="shared" si="43"/>
        <v>1.0195048044558224</v>
      </c>
      <c r="M1273" s="20" t="s">
        <v>139</v>
      </c>
    </row>
    <row r="1274" spans="1:13" x14ac:dyDescent="0.2">
      <c r="A1274" s="48" t="s">
        <v>141</v>
      </c>
      <c r="B1274" s="12" t="s">
        <v>26</v>
      </c>
      <c r="C1274" s="31" t="s">
        <v>96</v>
      </c>
      <c r="D1274" s="44">
        <v>1.057422151614791</v>
      </c>
      <c r="E1274" s="15" t="s">
        <v>138</v>
      </c>
      <c r="F1274" s="16" t="s">
        <v>16</v>
      </c>
      <c r="G1274" s="22">
        <v>1</v>
      </c>
      <c r="H1274" s="23">
        <v>1</v>
      </c>
      <c r="I1274" s="23">
        <v>1</v>
      </c>
      <c r="J1274" s="23">
        <v>2</v>
      </c>
      <c r="K1274" s="23">
        <v>3</v>
      </c>
      <c r="L1274" s="25">
        <f t="shared" si="43"/>
        <v>1.0195048044558224</v>
      </c>
      <c r="M1274" s="20" t="s">
        <v>139</v>
      </c>
    </row>
    <row r="1275" spans="1:13" x14ac:dyDescent="0.2">
      <c r="A1275" s="48" t="s">
        <v>141</v>
      </c>
      <c r="B1275" s="12" t="s">
        <v>27</v>
      </c>
      <c r="C1275" s="31" t="s">
        <v>96</v>
      </c>
      <c r="D1275" s="44">
        <v>3.0978875004350268</v>
      </c>
      <c r="E1275" s="15" t="s">
        <v>138</v>
      </c>
      <c r="F1275" s="16" t="s">
        <v>16</v>
      </c>
      <c r="G1275" s="22">
        <v>1</v>
      </c>
      <c r="H1275" s="23">
        <v>1</v>
      </c>
      <c r="I1275" s="23">
        <v>1</v>
      </c>
      <c r="J1275" s="23">
        <v>2</v>
      </c>
      <c r="K1275" s="23">
        <v>3</v>
      </c>
      <c r="L1275" s="25">
        <f t="shared" si="43"/>
        <v>1.0195048044558224</v>
      </c>
      <c r="M1275" s="20" t="s">
        <v>139</v>
      </c>
    </row>
    <row r="1276" spans="1:13" x14ac:dyDescent="0.2">
      <c r="A1276" s="48" t="s">
        <v>141</v>
      </c>
      <c r="B1276" s="12" t="s">
        <v>28</v>
      </c>
      <c r="C1276" s="31" t="s">
        <v>96</v>
      </c>
      <c r="D1276" s="44">
        <v>42.329560890696037</v>
      </c>
      <c r="E1276" s="15" t="s">
        <v>138</v>
      </c>
      <c r="F1276" s="16" t="s">
        <v>16</v>
      </c>
      <c r="G1276" s="22">
        <v>1</v>
      </c>
      <c r="H1276" s="23">
        <v>1</v>
      </c>
      <c r="I1276" s="23">
        <v>1</v>
      </c>
      <c r="J1276" s="23">
        <v>2</v>
      </c>
      <c r="K1276" s="23">
        <v>3</v>
      </c>
      <c r="L1276" s="25">
        <f t="shared" si="43"/>
        <v>1.0195048044558224</v>
      </c>
      <c r="M1276" s="20" t="s">
        <v>139</v>
      </c>
    </row>
    <row r="1277" spans="1:13" x14ac:dyDescent="0.2">
      <c r="A1277" s="48" t="s">
        <v>141</v>
      </c>
      <c r="B1277" s="12" t="s">
        <v>30</v>
      </c>
      <c r="C1277" s="31" t="s">
        <v>96</v>
      </c>
      <c r="D1277" s="44">
        <v>74.678657915512701</v>
      </c>
      <c r="E1277" s="15" t="s">
        <v>138</v>
      </c>
      <c r="F1277" s="16" t="s">
        <v>16</v>
      </c>
      <c r="G1277" s="22">
        <v>1</v>
      </c>
      <c r="H1277" s="23">
        <v>1</v>
      </c>
      <c r="I1277" s="23">
        <v>1</v>
      </c>
      <c r="J1277" s="23">
        <v>2</v>
      </c>
      <c r="K1277" s="23">
        <v>3</v>
      </c>
      <c r="L1277" s="24">
        <f t="shared" si="43"/>
        <v>1.0195048044558224</v>
      </c>
      <c r="M1277" s="20" t="s">
        <v>139</v>
      </c>
    </row>
    <row r="1278" spans="1:13" x14ac:dyDescent="0.2">
      <c r="A1278" s="48" t="s">
        <v>141</v>
      </c>
      <c r="B1278" s="12" t="s">
        <v>32</v>
      </c>
      <c r="C1278" s="31" t="s">
        <v>96</v>
      </c>
      <c r="D1278" s="44">
        <v>5.4643018312137581</v>
      </c>
      <c r="E1278" s="15" t="s">
        <v>138</v>
      </c>
      <c r="F1278" s="16" t="s">
        <v>16</v>
      </c>
      <c r="G1278" s="22">
        <v>1</v>
      </c>
      <c r="H1278" s="23">
        <v>1</v>
      </c>
      <c r="I1278" s="23">
        <v>1</v>
      </c>
      <c r="J1278" s="23">
        <v>2</v>
      </c>
      <c r="K1278" s="23">
        <v>3</v>
      </c>
      <c r="L1278" s="25">
        <f t="shared" si="43"/>
        <v>1.0195048044558224</v>
      </c>
      <c r="M1278" s="20" t="s">
        <v>139</v>
      </c>
    </row>
    <row r="1279" spans="1:13" x14ac:dyDescent="0.2">
      <c r="A1279" s="48" t="s">
        <v>141</v>
      </c>
      <c r="B1279" s="12" t="s">
        <v>34</v>
      </c>
      <c r="C1279" s="31" t="s">
        <v>96</v>
      </c>
      <c r="D1279" s="44">
        <v>9.1479999652284114</v>
      </c>
      <c r="E1279" s="15" t="s">
        <v>138</v>
      </c>
      <c r="F1279" s="16" t="s">
        <v>16</v>
      </c>
      <c r="G1279" s="22">
        <v>1</v>
      </c>
      <c r="H1279" s="23">
        <v>1</v>
      </c>
      <c r="I1279" s="23">
        <v>1</v>
      </c>
      <c r="J1279" s="23">
        <v>2</v>
      </c>
      <c r="K1279" s="23">
        <v>3</v>
      </c>
      <c r="L1279" s="25">
        <f t="shared" si="43"/>
        <v>1.0195048044558224</v>
      </c>
      <c r="M1279" s="20" t="s">
        <v>139</v>
      </c>
    </row>
    <row r="1280" spans="1:13" x14ac:dyDescent="0.2">
      <c r="A1280" s="48" t="s">
        <v>141</v>
      </c>
      <c r="B1280" s="12" t="s">
        <v>36</v>
      </c>
      <c r="C1280" s="31" t="s">
        <v>96</v>
      </c>
      <c r="D1280" s="44">
        <v>6.020522335192763</v>
      </c>
      <c r="E1280" s="15" t="s">
        <v>138</v>
      </c>
      <c r="F1280" s="16" t="s">
        <v>16</v>
      </c>
      <c r="G1280" s="22">
        <v>1</v>
      </c>
      <c r="H1280" s="23">
        <v>1</v>
      </c>
      <c r="I1280" s="23">
        <v>1</v>
      </c>
      <c r="J1280" s="23">
        <v>2</v>
      </c>
      <c r="K1280" s="23">
        <v>3</v>
      </c>
      <c r="L1280" s="25">
        <f t="shared" si="43"/>
        <v>1.0195048044558224</v>
      </c>
      <c r="M1280" s="20" t="s">
        <v>139</v>
      </c>
    </row>
    <row r="1281" spans="1:13" x14ac:dyDescent="0.2">
      <c r="A1281" s="48" t="s">
        <v>141</v>
      </c>
      <c r="B1281" s="12" t="s">
        <v>37</v>
      </c>
      <c r="C1281" s="31" t="s">
        <v>96</v>
      </c>
      <c r="D1281" s="44">
        <v>39.353483231390463</v>
      </c>
      <c r="E1281" s="15" t="s">
        <v>138</v>
      </c>
      <c r="F1281" s="16" t="s">
        <v>16</v>
      </c>
      <c r="G1281" s="22">
        <v>1</v>
      </c>
      <c r="H1281" s="23">
        <v>1</v>
      </c>
      <c r="I1281" s="23">
        <v>1</v>
      </c>
      <c r="J1281" s="23">
        <v>2</v>
      </c>
      <c r="K1281" s="23">
        <v>3</v>
      </c>
      <c r="L1281" s="24">
        <f t="shared" si="43"/>
        <v>1.0195048044558224</v>
      </c>
      <c r="M1281" s="20" t="s">
        <v>139</v>
      </c>
    </row>
    <row r="1282" spans="1:13" x14ac:dyDescent="0.2">
      <c r="A1282" s="48" t="s">
        <v>141</v>
      </c>
      <c r="B1282" s="12" t="s">
        <v>39</v>
      </c>
      <c r="C1282" s="31" t="s">
        <v>96</v>
      </c>
      <c r="D1282" s="44">
        <v>0.92539136134578059</v>
      </c>
      <c r="E1282" s="15" t="s">
        <v>138</v>
      </c>
      <c r="F1282" s="16" t="s">
        <v>16</v>
      </c>
      <c r="G1282" s="22">
        <v>1</v>
      </c>
      <c r="H1282" s="23">
        <v>1</v>
      </c>
      <c r="I1282" s="23">
        <v>1</v>
      </c>
      <c r="J1282" s="23">
        <v>2</v>
      </c>
      <c r="K1282" s="23">
        <v>3</v>
      </c>
      <c r="L1282" s="25">
        <f t="shared" si="43"/>
        <v>1.0195048044558224</v>
      </c>
      <c r="M1282" s="20" t="s">
        <v>139</v>
      </c>
    </row>
    <row r="1283" spans="1:13" x14ac:dyDescent="0.2">
      <c r="A1283" s="48" t="s">
        <v>141</v>
      </c>
      <c r="B1283" s="12" t="s">
        <v>40</v>
      </c>
      <c r="C1283" s="31" t="s">
        <v>96</v>
      </c>
      <c r="D1283" s="44">
        <v>1.6991460108822201</v>
      </c>
      <c r="E1283" s="15" t="s">
        <v>138</v>
      </c>
      <c r="F1283" s="16" t="s">
        <v>16</v>
      </c>
      <c r="G1283" s="22">
        <v>1</v>
      </c>
      <c r="H1283" s="23">
        <v>1</v>
      </c>
      <c r="I1283" s="23">
        <v>1</v>
      </c>
      <c r="J1283" s="23">
        <v>2</v>
      </c>
      <c r="K1283" s="23">
        <v>3</v>
      </c>
      <c r="L1283" s="25">
        <f t="shared" si="43"/>
        <v>1.0195048044558224</v>
      </c>
      <c r="M1283" s="20" t="s">
        <v>139</v>
      </c>
    </row>
    <row r="1284" spans="1:13" x14ac:dyDescent="0.2">
      <c r="A1284" s="48" t="s">
        <v>141</v>
      </c>
      <c r="B1284" s="12" t="s">
        <v>41</v>
      </c>
      <c r="C1284" s="31" t="s">
        <v>96</v>
      </c>
      <c r="D1284" s="44">
        <v>0.48288418511454118</v>
      </c>
      <c r="E1284" s="15" t="s">
        <v>138</v>
      </c>
      <c r="F1284" s="16" t="s">
        <v>16</v>
      </c>
      <c r="G1284" s="22">
        <v>1</v>
      </c>
      <c r="H1284" s="23">
        <v>1</v>
      </c>
      <c r="I1284" s="23">
        <v>1</v>
      </c>
      <c r="J1284" s="23">
        <v>2</v>
      </c>
      <c r="K1284" s="23">
        <v>3</v>
      </c>
      <c r="L1284" s="25">
        <f t="shared" si="43"/>
        <v>1.0195048044558224</v>
      </c>
      <c r="M1284" s="20" t="s">
        <v>139</v>
      </c>
    </row>
    <row r="1285" spans="1:13" x14ac:dyDescent="0.2">
      <c r="A1285" s="48" t="s">
        <v>141</v>
      </c>
      <c r="B1285" s="12" t="s">
        <v>42</v>
      </c>
      <c r="C1285" s="31" t="s">
        <v>96</v>
      </c>
      <c r="D1285" s="44">
        <v>0.27860670196613918</v>
      </c>
      <c r="E1285" s="15" t="s">
        <v>138</v>
      </c>
      <c r="F1285" s="16" t="s">
        <v>16</v>
      </c>
      <c r="G1285" s="22">
        <v>1</v>
      </c>
      <c r="H1285" s="23">
        <v>1</v>
      </c>
      <c r="I1285" s="23">
        <v>1</v>
      </c>
      <c r="J1285" s="23">
        <v>2</v>
      </c>
      <c r="K1285" s="23">
        <v>3</v>
      </c>
      <c r="L1285" s="25">
        <f t="shared" si="43"/>
        <v>1.0195048044558224</v>
      </c>
      <c r="M1285" s="20" t="s">
        <v>139</v>
      </c>
    </row>
    <row r="1286" spans="1:13" x14ac:dyDescent="0.2">
      <c r="A1286" s="48" t="s">
        <v>141</v>
      </c>
      <c r="B1286" s="12" t="s">
        <v>43</v>
      </c>
      <c r="C1286" s="31" t="s">
        <v>96</v>
      </c>
      <c r="D1286" s="44">
        <v>12.89899626451253</v>
      </c>
      <c r="E1286" s="15" t="s">
        <v>138</v>
      </c>
      <c r="F1286" s="16" t="s">
        <v>16</v>
      </c>
      <c r="G1286" s="22">
        <v>1</v>
      </c>
      <c r="H1286" s="23">
        <v>1</v>
      </c>
      <c r="I1286" s="23">
        <v>1</v>
      </c>
      <c r="J1286" s="23">
        <v>2</v>
      </c>
      <c r="K1286" s="23">
        <v>3</v>
      </c>
      <c r="L1286" s="25">
        <f t="shared" si="43"/>
        <v>1.0195048044558224</v>
      </c>
      <c r="M1286" s="20" t="s">
        <v>139</v>
      </c>
    </row>
    <row r="1287" spans="1:13" x14ac:dyDescent="0.2">
      <c r="A1287" s="48" t="s">
        <v>141</v>
      </c>
      <c r="B1287" s="12" t="s">
        <v>45</v>
      </c>
      <c r="C1287" s="31" t="s">
        <v>96</v>
      </c>
      <c r="D1287" s="44">
        <v>4.8854772890687954</v>
      </c>
      <c r="E1287" s="15" t="s">
        <v>138</v>
      </c>
      <c r="F1287" s="16" t="s">
        <v>16</v>
      </c>
      <c r="G1287" s="22">
        <v>1</v>
      </c>
      <c r="H1287" s="23">
        <v>1</v>
      </c>
      <c r="I1287" s="23">
        <v>1</v>
      </c>
      <c r="J1287" s="23">
        <v>2</v>
      </c>
      <c r="K1287" s="23">
        <v>3</v>
      </c>
      <c r="L1287" s="25">
        <f t="shared" si="43"/>
        <v>1.0195048044558224</v>
      </c>
      <c r="M1287" s="20" t="s">
        <v>139</v>
      </c>
    </row>
    <row r="1288" spans="1:13" x14ac:dyDescent="0.2">
      <c r="A1288" s="48" t="s">
        <v>141</v>
      </c>
      <c r="B1288" s="12" t="s">
        <v>46</v>
      </c>
      <c r="C1288" s="31" t="s">
        <v>96</v>
      </c>
      <c r="D1288" s="44">
        <v>22.231971372111619</v>
      </c>
      <c r="E1288" s="15" t="s">
        <v>138</v>
      </c>
      <c r="F1288" s="16" t="s">
        <v>16</v>
      </c>
      <c r="G1288" s="22">
        <v>1</v>
      </c>
      <c r="H1288" s="23">
        <v>1</v>
      </c>
      <c r="I1288" s="23">
        <v>1</v>
      </c>
      <c r="J1288" s="23">
        <v>2</v>
      </c>
      <c r="K1288" s="23">
        <v>3</v>
      </c>
      <c r="L1288" s="24">
        <f t="shared" si="43"/>
        <v>1.0195048044558224</v>
      </c>
      <c r="M1288" s="20" t="s">
        <v>139</v>
      </c>
    </row>
    <row r="1289" spans="1:13" x14ac:dyDescent="0.2">
      <c r="A1289" s="48" t="s">
        <v>141</v>
      </c>
      <c r="B1289" s="12" t="s">
        <v>48</v>
      </c>
      <c r="C1289" s="31" t="s">
        <v>96</v>
      </c>
      <c r="D1289" s="44">
        <v>8.1903753489543281</v>
      </c>
      <c r="E1289" s="15" t="s">
        <v>138</v>
      </c>
      <c r="F1289" s="16" t="s">
        <v>16</v>
      </c>
      <c r="G1289" s="22">
        <v>1</v>
      </c>
      <c r="H1289" s="23">
        <v>1</v>
      </c>
      <c r="I1289" s="23">
        <v>1</v>
      </c>
      <c r="J1289" s="23">
        <v>2</v>
      </c>
      <c r="K1289" s="23">
        <v>3</v>
      </c>
      <c r="L1289" s="25">
        <f t="shared" si="43"/>
        <v>1.0195048044558224</v>
      </c>
      <c r="M1289" s="20" t="s">
        <v>139</v>
      </c>
    </row>
    <row r="1290" spans="1:13" x14ac:dyDescent="0.2">
      <c r="A1290" s="48" t="s">
        <v>141</v>
      </c>
      <c r="B1290" s="12" t="s">
        <v>50</v>
      </c>
      <c r="C1290" s="31" t="s">
        <v>96</v>
      </c>
      <c r="D1290" s="44">
        <v>9.5173374967033446</v>
      </c>
      <c r="E1290" s="15" t="s">
        <v>138</v>
      </c>
      <c r="F1290" s="16" t="s">
        <v>16</v>
      </c>
      <c r="G1290" s="22">
        <v>1</v>
      </c>
      <c r="H1290" s="23">
        <v>1</v>
      </c>
      <c r="I1290" s="23">
        <v>1</v>
      </c>
      <c r="J1290" s="23">
        <v>2</v>
      </c>
      <c r="K1290" s="23">
        <v>3</v>
      </c>
      <c r="L1290" s="25">
        <f t="shared" si="43"/>
        <v>1.0195048044558224</v>
      </c>
      <c r="M1290" s="20" t="s">
        <v>139</v>
      </c>
    </row>
    <row r="1291" spans="1:13" x14ac:dyDescent="0.2">
      <c r="A1291" s="48" t="s">
        <v>141</v>
      </c>
      <c r="B1291" s="12" t="s">
        <v>52</v>
      </c>
      <c r="C1291" s="31" t="s">
        <v>96</v>
      </c>
      <c r="D1291" s="44">
        <v>2.5301461990674352</v>
      </c>
      <c r="E1291" s="15" t="s">
        <v>138</v>
      </c>
      <c r="F1291" s="16" t="s">
        <v>16</v>
      </c>
      <c r="G1291" s="22">
        <v>1</v>
      </c>
      <c r="H1291" s="23">
        <v>1</v>
      </c>
      <c r="I1291" s="23">
        <v>1</v>
      </c>
      <c r="J1291" s="23">
        <v>2</v>
      </c>
      <c r="K1291" s="23">
        <v>3</v>
      </c>
      <c r="L1291" s="25">
        <f t="shared" si="43"/>
        <v>1.0195048044558224</v>
      </c>
      <c r="M1291" s="20" t="s">
        <v>139</v>
      </c>
    </row>
    <row r="1292" spans="1:13" x14ac:dyDescent="0.2">
      <c r="A1292" s="48" t="s">
        <v>141</v>
      </c>
      <c r="B1292" s="12" t="s">
        <v>54</v>
      </c>
      <c r="C1292" s="31" t="s">
        <v>96</v>
      </c>
      <c r="D1292" s="44">
        <v>0.97945243100498658</v>
      </c>
      <c r="E1292" s="15" t="s">
        <v>138</v>
      </c>
      <c r="F1292" s="16" t="s">
        <v>16</v>
      </c>
      <c r="G1292" s="22">
        <v>1</v>
      </c>
      <c r="H1292" s="23">
        <v>1</v>
      </c>
      <c r="I1292" s="23">
        <v>1</v>
      </c>
      <c r="J1292" s="23">
        <v>2</v>
      </c>
      <c r="K1292" s="23">
        <v>3</v>
      </c>
      <c r="L1292" s="25">
        <f t="shared" si="43"/>
        <v>1.0195048044558224</v>
      </c>
      <c r="M1292" s="20" t="s">
        <v>139</v>
      </c>
    </row>
    <row r="1293" spans="1:13" x14ac:dyDescent="0.2">
      <c r="A1293" s="48" t="s">
        <v>141</v>
      </c>
      <c r="B1293" s="12" t="s">
        <v>55</v>
      </c>
      <c r="C1293" s="31" t="s">
        <v>96</v>
      </c>
      <c r="D1293" s="44">
        <v>30.030515921343468</v>
      </c>
      <c r="E1293" s="15" t="s">
        <v>138</v>
      </c>
      <c r="F1293" s="16" t="s">
        <v>16</v>
      </c>
      <c r="G1293" s="22">
        <v>1</v>
      </c>
      <c r="H1293" s="23">
        <v>1</v>
      </c>
      <c r="I1293" s="23">
        <v>1</v>
      </c>
      <c r="J1293" s="23">
        <v>2</v>
      </c>
      <c r="K1293" s="23">
        <v>3</v>
      </c>
      <c r="L1293" s="24">
        <f t="shared" si="43"/>
        <v>1.0195048044558224</v>
      </c>
      <c r="M1293" s="20" t="s">
        <v>139</v>
      </c>
    </row>
    <row r="1294" spans="1:13" x14ac:dyDescent="0.2">
      <c r="A1294" s="48" t="s">
        <v>141</v>
      </c>
      <c r="B1294" s="12" t="s">
        <v>57</v>
      </c>
      <c r="C1294" s="31" t="s">
        <v>96</v>
      </c>
      <c r="D1294" s="44">
        <v>4.8976967468331498</v>
      </c>
      <c r="E1294" s="15" t="s">
        <v>138</v>
      </c>
      <c r="F1294" s="16" t="s">
        <v>16</v>
      </c>
      <c r="G1294" s="22">
        <v>1</v>
      </c>
      <c r="H1294" s="23">
        <v>1</v>
      </c>
      <c r="I1294" s="23">
        <v>1</v>
      </c>
      <c r="J1294" s="23">
        <v>2</v>
      </c>
      <c r="K1294" s="23">
        <v>3</v>
      </c>
      <c r="L1294" s="25">
        <f t="shared" si="43"/>
        <v>1.0195048044558224</v>
      </c>
      <c r="M1294" s="20" t="s">
        <v>139</v>
      </c>
    </row>
    <row r="1295" spans="1:13" x14ac:dyDescent="0.2">
      <c r="A1295" s="48" t="s">
        <v>141</v>
      </c>
      <c r="B1295" s="12" t="s">
        <v>59</v>
      </c>
      <c r="C1295" s="31" t="s">
        <v>96</v>
      </c>
      <c r="D1295" s="44">
        <v>7.3696184395854143</v>
      </c>
      <c r="E1295" s="15" t="s">
        <v>138</v>
      </c>
      <c r="F1295" s="16" t="s">
        <v>16</v>
      </c>
      <c r="G1295" s="22">
        <v>1</v>
      </c>
      <c r="H1295" s="23">
        <v>1</v>
      </c>
      <c r="I1295" s="23">
        <v>1</v>
      </c>
      <c r="J1295" s="23">
        <v>2</v>
      </c>
      <c r="K1295" s="23">
        <v>3</v>
      </c>
      <c r="L1295" s="25">
        <f t="shared" si="43"/>
        <v>1.0195048044558224</v>
      </c>
      <c r="M1295" s="20" t="s">
        <v>139</v>
      </c>
    </row>
    <row r="1296" spans="1:13" x14ac:dyDescent="0.2">
      <c r="A1296" s="48" t="s">
        <v>141</v>
      </c>
      <c r="B1296" s="12" t="s">
        <v>60</v>
      </c>
      <c r="C1296" s="31" t="s">
        <v>96</v>
      </c>
      <c r="D1296" s="44">
        <v>38.91663387109493</v>
      </c>
      <c r="E1296" s="15" t="s">
        <v>138</v>
      </c>
      <c r="F1296" s="16" t="s">
        <v>16</v>
      </c>
      <c r="G1296" s="22">
        <v>1</v>
      </c>
      <c r="H1296" s="23">
        <v>2</v>
      </c>
      <c r="I1296" s="23">
        <v>1</v>
      </c>
      <c r="J1296" s="23">
        <v>2</v>
      </c>
      <c r="K1296" s="23">
        <v>3</v>
      </c>
      <c r="L1296" s="24">
        <f t="shared" si="43"/>
        <v>1.0248662490928169</v>
      </c>
      <c r="M1296" s="20" t="s">
        <v>139</v>
      </c>
    </row>
    <row r="1297" spans="1:13" x14ac:dyDescent="0.2">
      <c r="A1297" s="48" t="s">
        <v>141</v>
      </c>
      <c r="B1297" s="12" t="s">
        <v>13</v>
      </c>
      <c r="C1297" s="32" t="s">
        <v>98</v>
      </c>
      <c r="D1297" s="44">
        <v>7.331999630305195E-4</v>
      </c>
      <c r="E1297" s="15" t="s">
        <v>138</v>
      </c>
      <c r="F1297" s="16" t="s">
        <v>16</v>
      </c>
      <c r="G1297" s="22">
        <v>1</v>
      </c>
      <c r="H1297" s="23">
        <v>1</v>
      </c>
      <c r="I1297" s="23">
        <v>1</v>
      </c>
      <c r="J1297" s="23">
        <v>2</v>
      </c>
      <c r="K1297" s="23">
        <v>3</v>
      </c>
      <c r="L1297" s="25">
        <f t="shared" si="43"/>
        <v>1.0195048044558224</v>
      </c>
      <c r="M1297" s="20" t="s">
        <v>139</v>
      </c>
    </row>
    <row r="1298" spans="1:13" x14ac:dyDescent="0.2">
      <c r="A1298" s="48" t="s">
        <v>141</v>
      </c>
      <c r="B1298" s="12" t="s">
        <v>18</v>
      </c>
      <c r="C1298" s="32" t="s">
        <v>98</v>
      </c>
      <c r="D1298" s="44">
        <v>9.8828151623807673E-4</v>
      </c>
      <c r="E1298" s="15" t="s">
        <v>138</v>
      </c>
      <c r="F1298" s="16" t="s">
        <v>16</v>
      </c>
      <c r="G1298" s="22">
        <v>1</v>
      </c>
      <c r="H1298" s="23">
        <v>1</v>
      </c>
      <c r="I1298" s="23">
        <v>1</v>
      </c>
      <c r="J1298" s="23">
        <v>2</v>
      </c>
      <c r="K1298" s="23">
        <v>3</v>
      </c>
      <c r="L1298" s="25">
        <f t="shared" si="43"/>
        <v>1.0195048044558224</v>
      </c>
      <c r="M1298" s="20" t="s">
        <v>139</v>
      </c>
    </row>
    <row r="1299" spans="1:13" x14ac:dyDescent="0.2">
      <c r="A1299" s="48" t="s">
        <v>141</v>
      </c>
      <c r="B1299" s="12" t="s">
        <v>20</v>
      </c>
      <c r="C1299" s="32" t="s">
        <v>98</v>
      </c>
      <c r="D1299" s="44">
        <v>3.7499751164543908E-4</v>
      </c>
      <c r="E1299" s="15" t="s">
        <v>138</v>
      </c>
      <c r="F1299" s="16" t="s">
        <v>16</v>
      </c>
      <c r="G1299" s="22">
        <v>1</v>
      </c>
      <c r="H1299" s="23">
        <v>1</v>
      </c>
      <c r="I1299" s="23">
        <v>1</v>
      </c>
      <c r="J1299" s="23">
        <v>2</v>
      </c>
      <c r="K1299" s="23">
        <v>3</v>
      </c>
      <c r="L1299" s="25">
        <f t="shared" si="43"/>
        <v>1.0195048044558224</v>
      </c>
      <c r="M1299" s="20" t="s">
        <v>139</v>
      </c>
    </row>
    <row r="1300" spans="1:13" x14ac:dyDescent="0.2">
      <c r="A1300" s="48" t="s">
        <v>141</v>
      </c>
      <c r="B1300" s="12" t="s">
        <v>22</v>
      </c>
      <c r="C1300" s="32" t="s">
        <v>98</v>
      </c>
      <c r="D1300" s="44">
        <v>1.6253708667931201E-4</v>
      </c>
      <c r="E1300" s="15" t="s">
        <v>138</v>
      </c>
      <c r="F1300" s="16" t="s">
        <v>16</v>
      </c>
      <c r="G1300" s="22">
        <v>1</v>
      </c>
      <c r="H1300" s="23">
        <v>1</v>
      </c>
      <c r="I1300" s="23">
        <v>1</v>
      </c>
      <c r="J1300" s="23">
        <v>2</v>
      </c>
      <c r="K1300" s="23">
        <v>3</v>
      </c>
      <c r="L1300" s="25">
        <f t="shared" si="43"/>
        <v>1.0195048044558224</v>
      </c>
      <c r="M1300" s="20" t="s">
        <v>139</v>
      </c>
    </row>
    <row r="1301" spans="1:13" x14ac:dyDescent="0.2">
      <c r="A1301" s="48" t="s">
        <v>141</v>
      </c>
      <c r="B1301" s="12" t="s">
        <v>23</v>
      </c>
      <c r="C1301" s="32" t="s">
        <v>98</v>
      </c>
      <c r="D1301" s="44">
        <v>4.4933368770221403E-5</v>
      </c>
      <c r="E1301" s="15" t="s">
        <v>138</v>
      </c>
      <c r="F1301" s="16" t="s">
        <v>16</v>
      </c>
      <c r="G1301" s="22">
        <v>1</v>
      </c>
      <c r="H1301" s="23">
        <v>1</v>
      </c>
      <c r="I1301" s="23">
        <v>1</v>
      </c>
      <c r="J1301" s="23">
        <v>2</v>
      </c>
      <c r="K1301" s="23">
        <v>3</v>
      </c>
      <c r="L1301" s="25">
        <f t="shared" si="43"/>
        <v>1.0195048044558224</v>
      </c>
      <c r="M1301" s="20" t="s">
        <v>139</v>
      </c>
    </row>
    <row r="1302" spans="1:13" x14ac:dyDescent="0.2">
      <c r="A1302" s="48" t="s">
        <v>141</v>
      </c>
      <c r="B1302" s="12" t="s">
        <v>24</v>
      </c>
      <c r="C1302" s="32" t="s">
        <v>98</v>
      </c>
      <c r="D1302" s="44">
        <v>6.4904402331489319E-4</v>
      </c>
      <c r="E1302" s="15" t="s">
        <v>138</v>
      </c>
      <c r="F1302" s="16" t="s">
        <v>16</v>
      </c>
      <c r="G1302" s="22">
        <v>1</v>
      </c>
      <c r="H1302" s="23">
        <v>1</v>
      </c>
      <c r="I1302" s="23">
        <v>1</v>
      </c>
      <c r="J1302" s="23">
        <v>2</v>
      </c>
      <c r="K1302" s="23">
        <v>3</v>
      </c>
      <c r="L1302" s="25">
        <f t="shared" si="43"/>
        <v>1.0195048044558224</v>
      </c>
      <c r="M1302" s="20" t="s">
        <v>139</v>
      </c>
    </row>
    <row r="1303" spans="1:13" x14ac:dyDescent="0.2">
      <c r="A1303" s="48" t="s">
        <v>141</v>
      </c>
      <c r="B1303" s="12" t="s">
        <v>25</v>
      </c>
      <c r="C1303" s="32" t="s">
        <v>98</v>
      </c>
      <c r="D1303" s="44">
        <v>5.6140722975043904E-4</v>
      </c>
      <c r="E1303" s="15" t="s">
        <v>138</v>
      </c>
      <c r="F1303" s="16" t="s">
        <v>16</v>
      </c>
      <c r="G1303" s="22">
        <v>1</v>
      </c>
      <c r="H1303" s="23">
        <v>1</v>
      </c>
      <c r="I1303" s="23">
        <v>1</v>
      </c>
      <c r="J1303" s="23">
        <v>2</v>
      </c>
      <c r="K1303" s="23">
        <v>3</v>
      </c>
      <c r="L1303" s="25">
        <f t="shared" si="43"/>
        <v>1.0195048044558224</v>
      </c>
      <c r="M1303" s="20" t="s">
        <v>139</v>
      </c>
    </row>
    <row r="1304" spans="1:13" x14ac:dyDescent="0.2">
      <c r="A1304" s="48" t="s">
        <v>141</v>
      </c>
      <c r="B1304" s="12" t="s">
        <v>26</v>
      </c>
      <c r="C1304" s="32" t="s">
        <v>98</v>
      </c>
      <c r="D1304" s="44">
        <v>1.3155192762240081E-4</v>
      </c>
      <c r="E1304" s="15" t="s">
        <v>138</v>
      </c>
      <c r="F1304" s="16" t="s">
        <v>16</v>
      </c>
      <c r="G1304" s="22">
        <v>1</v>
      </c>
      <c r="H1304" s="23">
        <v>1</v>
      </c>
      <c r="I1304" s="23">
        <v>1</v>
      </c>
      <c r="J1304" s="23">
        <v>2</v>
      </c>
      <c r="K1304" s="23">
        <v>3</v>
      </c>
      <c r="L1304" s="25">
        <f t="shared" si="43"/>
        <v>1.0195048044558224</v>
      </c>
      <c r="M1304" s="20" t="s">
        <v>139</v>
      </c>
    </row>
    <row r="1305" spans="1:13" x14ac:dyDescent="0.2">
      <c r="A1305" s="48" t="s">
        <v>141</v>
      </c>
      <c r="B1305" s="12" t="s">
        <v>27</v>
      </c>
      <c r="C1305" s="32" t="s">
        <v>98</v>
      </c>
      <c r="D1305" s="44">
        <v>3.8540243517428178E-4</v>
      </c>
      <c r="E1305" s="15" t="s">
        <v>138</v>
      </c>
      <c r="F1305" s="16" t="s">
        <v>16</v>
      </c>
      <c r="G1305" s="22">
        <v>1</v>
      </c>
      <c r="H1305" s="23">
        <v>1</v>
      </c>
      <c r="I1305" s="23">
        <v>1</v>
      </c>
      <c r="J1305" s="23">
        <v>2</v>
      </c>
      <c r="K1305" s="23">
        <v>3</v>
      </c>
      <c r="L1305" s="25">
        <f t="shared" si="43"/>
        <v>1.0195048044558224</v>
      </c>
      <c r="M1305" s="20" t="s">
        <v>139</v>
      </c>
    </row>
    <row r="1306" spans="1:13" x14ac:dyDescent="0.2">
      <c r="A1306" s="48" t="s">
        <v>141</v>
      </c>
      <c r="B1306" s="12" t="s">
        <v>28</v>
      </c>
      <c r="C1306" s="32" t="s">
        <v>98</v>
      </c>
      <c r="D1306" s="44">
        <v>5.2661421193769551E-3</v>
      </c>
      <c r="E1306" s="15" t="s">
        <v>138</v>
      </c>
      <c r="F1306" s="16" t="s">
        <v>16</v>
      </c>
      <c r="G1306" s="22">
        <v>1</v>
      </c>
      <c r="H1306" s="23">
        <v>1</v>
      </c>
      <c r="I1306" s="23">
        <v>1</v>
      </c>
      <c r="J1306" s="23">
        <v>2</v>
      </c>
      <c r="K1306" s="23">
        <v>3</v>
      </c>
      <c r="L1306" s="25">
        <f t="shared" si="43"/>
        <v>1.0195048044558224</v>
      </c>
      <c r="M1306" s="20" t="s">
        <v>139</v>
      </c>
    </row>
    <row r="1307" spans="1:13" x14ac:dyDescent="0.2">
      <c r="A1307" s="48" t="s">
        <v>141</v>
      </c>
      <c r="B1307" s="12" t="s">
        <v>30</v>
      </c>
      <c r="C1307" s="32" t="s">
        <v>98</v>
      </c>
      <c r="D1307" s="44">
        <v>9.2906332499627792E-3</v>
      </c>
      <c r="E1307" s="15" t="s">
        <v>138</v>
      </c>
      <c r="F1307" s="16" t="s">
        <v>16</v>
      </c>
      <c r="G1307" s="22">
        <v>1</v>
      </c>
      <c r="H1307" s="23">
        <v>1</v>
      </c>
      <c r="I1307" s="23">
        <v>1</v>
      </c>
      <c r="J1307" s="23">
        <v>2</v>
      </c>
      <c r="K1307" s="23">
        <v>3</v>
      </c>
      <c r="L1307" s="24">
        <f t="shared" si="43"/>
        <v>1.0195048044558224</v>
      </c>
      <c r="M1307" s="20" t="s">
        <v>139</v>
      </c>
    </row>
    <row r="1308" spans="1:13" x14ac:dyDescent="0.2">
      <c r="A1308" s="48" t="s">
        <v>141</v>
      </c>
      <c r="B1308" s="12" t="s">
        <v>32</v>
      </c>
      <c r="C1308" s="32" t="s">
        <v>98</v>
      </c>
      <c r="D1308" s="44">
        <v>6.7980365070756648E-4</v>
      </c>
      <c r="E1308" s="15" t="s">
        <v>138</v>
      </c>
      <c r="F1308" s="16" t="s">
        <v>16</v>
      </c>
      <c r="G1308" s="22">
        <v>1</v>
      </c>
      <c r="H1308" s="23">
        <v>1</v>
      </c>
      <c r="I1308" s="23">
        <v>1</v>
      </c>
      <c r="J1308" s="23">
        <v>2</v>
      </c>
      <c r="K1308" s="23">
        <v>3</v>
      </c>
      <c r="L1308" s="25">
        <f t="shared" si="43"/>
        <v>1.0195048044558224</v>
      </c>
      <c r="M1308" s="20" t="s">
        <v>139</v>
      </c>
    </row>
    <row r="1309" spans="1:13" x14ac:dyDescent="0.2">
      <c r="A1309" s="48" t="s">
        <v>141</v>
      </c>
      <c r="B1309" s="12" t="s">
        <v>34</v>
      </c>
      <c r="C1309" s="32" t="s">
        <v>98</v>
      </c>
      <c r="D1309" s="44">
        <v>1.13808569971575E-3</v>
      </c>
      <c r="E1309" s="15" t="s">
        <v>138</v>
      </c>
      <c r="F1309" s="16" t="s">
        <v>16</v>
      </c>
      <c r="G1309" s="22">
        <v>1</v>
      </c>
      <c r="H1309" s="23">
        <v>1</v>
      </c>
      <c r="I1309" s="23">
        <v>1</v>
      </c>
      <c r="J1309" s="23">
        <v>2</v>
      </c>
      <c r="K1309" s="23">
        <v>3</v>
      </c>
      <c r="L1309" s="25">
        <f t="shared" si="43"/>
        <v>1.0195048044558224</v>
      </c>
      <c r="M1309" s="20" t="s">
        <v>139</v>
      </c>
    </row>
    <row r="1310" spans="1:13" x14ac:dyDescent="0.2">
      <c r="A1310" s="48" t="s">
        <v>141</v>
      </c>
      <c r="B1310" s="12" t="s">
        <v>36</v>
      </c>
      <c r="C1310" s="32" t="s">
        <v>98</v>
      </c>
      <c r="D1310" s="44">
        <v>7.4900201142830657E-4</v>
      </c>
      <c r="E1310" s="15" t="s">
        <v>138</v>
      </c>
      <c r="F1310" s="16" t="s">
        <v>16</v>
      </c>
      <c r="G1310" s="22">
        <v>1</v>
      </c>
      <c r="H1310" s="23">
        <v>1</v>
      </c>
      <c r="I1310" s="23">
        <v>1</v>
      </c>
      <c r="J1310" s="23">
        <v>2</v>
      </c>
      <c r="K1310" s="23">
        <v>3</v>
      </c>
      <c r="L1310" s="25">
        <f t="shared" si="43"/>
        <v>1.0195048044558224</v>
      </c>
      <c r="M1310" s="20" t="s">
        <v>139</v>
      </c>
    </row>
    <row r="1311" spans="1:13" x14ac:dyDescent="0.2">
      <c r="A1311" s="48" t="s">
        <v>141</v>
      </c>
      <c r="B1311" s="12" t="s">
        <v>37</v>
      </c>
      <c r="C1311" s="32" t="s">
        <v>98</v>
      </c>
      <c r="D1311" s="44">
        <v>4.8958938204948692E-3</v>
      </c>
      <c r="E1311" s="15" t="s">
        <v>138</v>
      </c>
      <c r="F1311" s="16" t="s">
        <v>16</v>
      </c>
      <c r="G1311" s="22">
        <v>1</v>
      </c>
      <c r="H1311" s="23">
        <v>1</v>
      </c>
      <c r="I1311" s="23">
        <v>1</v>
      </c>
      <c r="J1311" s="23">
        <v>2</v>
      </c>
      <c r="K1311" s="23">
        <v>3</v>
      </c>
      <c r="L1311" s="24">
        <f t="shared" si="43"/>
        <v>1.0195048044558224</v>
      </c>
      <c r="M1311" s="20" t="s">
        <v>139</v>
      </c>
    </row>
    <row r="1312" spans="1:13" x14ac:dyDescent="0.2">
      <c r="A1312" s="48" t="s">
        <v>141</v>
      </c>
      <c r="B1312" s="12" t="s">
        <v>39</v>
      </c>
      <c r="C1312" s="32" t="s">
        <v>98</v>
      </c>
      <c r="D1312" s="44">
        <v>1.151262220147841E-4</v>
      </c>
      <c r="E1312" s="15" t="s">
        <v>138</v>
      </c>
      <c r="F1312" s="16" t="s">
        <v>16</v>
      </c>
      <c r="G1312" s="22">
        <v>1</v>
      </c>
      <c r="H1312" s="23">
        <v>1</v>
      </c>
      <c r="I1312" s="23">
        <v>1</v>
      </c>
      <c r="J1312" s="23">
        <v>2</v>
      </c>
      <c r="K1312" s="23">
        <v>3</v>
      </c>
      <c r="L1312" s="25">
        <f t="shared" si="43"/>
        <v>1.0195048044558224</v>
      </c>
      <c r="M1312" s="20" t="s">
        <v>139</v>
      </c>
    </row>
    <row r="1313" spans="1:13" x14ac:dyDescent="0.2">
      <c r="A1313" s="48" t="s">
        <v>141</v>
      </c>
      <c r="B1313" s="12" t="s">
        <v>40</v>
      </c>
      <c r="C1313" s="32" t="s">
        <v>98</v>
      </c>
      <c r="D1313" s="44">
        <v>2.113876021058592E-4</v>
      </c>
      <c r="E1313" s="15" t="s">
        <v>138</v>
      </c>
      <c r="F1313" s="16" t="s">
        <v>16</v>
      </c>
      <c r="G1313" s="22">
        <v>1</v>
      </c>
      <c r="H1313" s="23">
        <v>1</v>
      </c>
      <c r="I1313" s="23">
        <v>1</v>
      </c>
      <c r="J1313" s="23">
        <v>2</v>
      </c>
      <c r="K1313" s="23">
        <v>3</v>
      </c>
      <c r="L1313" s="25">
        <f t="shared" si="43"/>
        <v>1.0195048044558224</v>
      </c>
      <c r="M1313" s="20" t="s">
        <v>139</v>
      </c>
    </row>
    <row r="1314" spans="1:13" x14ac:dyDescent="0.2">
      <c r="A1314" s="48" t="s">
        <v>141</v>
      </c>
      <c r="B1314" s="12" t="s">
        <v>41</v>
      </c>
      <c r="C1314" s="32" t="s">
        <v>98</v>
      </c>
      <c r="D1314" s="44">
        <v>6.0074725381137529E-5</v>
      </c>
      <c r="E1314" s="15" t="s">
        <v>138</v>
      </c>
      <c r="F1314" s="16" t="s">
        <v>16</v>
      </c>
      <c r="G1314" s="22">
        <v>1</v>
      </c>
      <c r="H1314" s="23">
        <v>1</v>
      </c>
      <c r="I1314" s="23">
        <v>1</v>
      </c>
      <c r="J1314" s="23">
        <v>2</v>
      </c>
      <c r="K1314" s="23">
        <v>3</v>
      </c>
      <c r="L1314" s="25">
        <f t="shared" si="43"/>
        <v>1.0195048044558224</v>
      </c>
      <c r="M1314" s="20" t="s">
        <v>139</v>
      </c>
    </row>
    <row r="1315" spans="1:13" x14ac:dyDescent="0.2">
      <c r="A1315" s="48" t="s">
        <v>141</v>
      </c>
      <c r="B1315" s="12" t="s">
        <v>42</v>
      </c>
      <c r="C1315" s="32" t="s">
        <v>98</v>
      </c>
      <c r="D1315" s="44">
        <v>3.4660942780700388E-5</v>
      </c>
      <c r="E1315" s="15" t="s">
        <v>138</v>
      </c>
      <c r="F1315" s="16" t="s">
        <v>16</v>
      </c>
      <c r="G1315" s="22">
        <v>1</v>
      </c>
      <c r="H1315" s="23">
        <v>1</v>
      </c>
      <c r="I1315" s="23">
        <v>1</v>
      </c>
      <c r="J1315" s="23">
        <v>2</v>
      </c>
      <c r="K1315" s="23">
        <v>3</v>
      </c>
      <c r="L1315" s="25">
        <f>IF( OR( ISBLANK(G1315),ISBLANK(H1315), ISBLANK(I1315), ISBLANK(J1315), ISBLANK(K1315) ), "", 1.5*SQRT(   EXP(2.21*(G1315-1)) + EXP(2.21*(H1315-1)) + EXP(2.21*(I1315-1)) + EXP(2.21*(J1315-1)) + EXP(2.21*K1315)   )/100*2.45 )</f>
        <v>1.0195048044558224</v>
      </c>
      <c r="M1315" s="20" t="s">
        <v>139</v>
      </c>
    </row>
    <row r="1316" spans="1:13" x14ac:dyDescent="0.2">
      <c r="A1316" s="48" t="s">
        <v>141</v>
      </c>
      <c r="B1316" s="12" t="s">
        <v>43</v>
      </c>
      <c r="C1316" s="32" t="s">
        <v>98</v>
      </c>
      <c r="D1316" s="44">
        <v>1.604740188579794E-3</v>
      </c>
      <c r="E1316" s="15" t="s">
        <v>138</v>
      </c>
      <c r="F1316" s="16" t="s">
        <v>16</v>
      </c>
      <c r="G1316" s="22">
        <v>1</v>
      </c>
      <c r="H1316" s="23">
        <v>1</v>
      </c>
      <c r="I1316" s="23">
        <v>1</v>
      </c>
      <c r="J1316" s="23">
        <v>2</v>
      </c>
      <c r="K1316" s="23">
        <v>3</v>
      </c>
      <c r="L1316" s="25">
        <f t="shared" ref="L1316:L1347" si="44">IF( OR( ISBLANK(G1316),ISBLANK(H1316), ISBLANK(I1316), ISBLANK(J1316), ISBLANK(K1316) ), "", 1.5*SQRT( EXP(2.21*(G1316-1)) + EXP(2.21*(H1316-1)) + EXP(2.21*(I1316-1)) + EXP(2.21*(J1316-1)) + EXP(2.21*K1316) )/100*2.45 )</f>
        <v>1.0195048044558224</v>
      </c>
      <c r="M1316" s="20" t="s">
        <v>139</v>
      </c>
    </row>
    <row r="1317" spans="1:13" x14ac:dyDescent="0.2">
      <c r="A1317" s="48" t="s">
        <v>141</v>
      </c>
      <c r="B1317" s="12" t="s">
        <v>45</v>
      </c>
      <c r="C1317" s="32" t="s">
        <v>98</v>
      </c>
      <c r="D1317" s="44">
        <v>6.0779316354494975E-4</v>
      </c>
      <c r="E1317" s="15" t="s">
        <v>138</v>
      </c>
      <c r="F1317" s="16" t="s">
        <v>16</v>
      </c>
      <c r="G1317" s="22">
        <v>1</v>
      </c>
      <c r="H1317" s="23">
        <v>1</v>
      </c>
      <c r="I1317" s="23">
        <v>1</v>
      </c>
      <c r="J1317" s="23">
        <v>2</v>
      </c>
      <c r="K1317" s="23">
        <v>3</v>
      </c>
      <c r="L1317" s="25">
        <f t="shared" si="44"/>
        <v>1.0195048044558224</v>
      </c>
      <c r="M1317" s="20" t="s">
        <v>139</v>
      </c>
    </row>
    <row r="1318" spans="1:13" x14ac:dyDescent="0.2">
      <c r="A1318" s="48" t="s">
        <v>141</v>
      </c>
      <c r="B1318" s="12" t="s">
        <v>46</v>
      </c>
      <c r="C1318" s="32" t="s">
        <v>98</v>
      </c>
      <c r="D1318" s="44">
        <v>2.7658383024992102E-3</v>
      </c>
      <c r="E1318" s="15" t="s">
        <v>138</v>
      </c>
      <c r="F1318" s="16" t="s">
        <v>16</v>
      </c>
      <c r="G1318" s="22">
        <v>1</v>
      </c>
      <c r="H1318" s="23">
        <v>1</v>
      </c>
      <c r="I1318" s="23">
        <v>1</v>
      </c>
      <c r="J1318" s="23">
        <v>2</v>
      </c>
      <c r="K1318" s="23">
        <v>3</v>
      </c>
      <c r="L1318" s="24">
        <f t="shared" si="44"/>
        <v>1.0195048044558224</v>
      </c>
      <c r="M1318" s="20" t="s">
        <v>139</v>
      </c>
    </row>
    <row r="1319" spans="1:13" x14ac:dyDescent="0.2">
      <c r="A1319" s="48" t="s">
        <v>141</v>
      </c>
      <c r="B1319" s="12" t="s">
        <v>48</v>
      </c>
      <c r="C1319" s="32" t="s">
        <v>98</v>
      </c>
      <c r="D1319" s="44">
        <v>1.018949398270639E-3</v>
      </c>
      <c r="E1319" s="15" t="s">
        <v>138</v>
      </c>
      <c r="F1319" s="16" t="s">
        <v>16</v>
      </c>
      <c r="G1319" s="22">
        <v>1</v>
      </c>
      <c r="H1319" s="23">
        <v>1</v>
      </c>
      <c r="I1319" s="23">
        <v>1</v>
      </c>
      <c r="J1319" s="23">
        <v>2</v>
      </c>
      <c r="K1319" s="23">
        <v>3</v>
      </c>
      <c r="L1319" s="25">
        <f t="shared" si="44"/>
        <v>1.0195048044558224</v>
      </c>
      <c r="M1319" s="20" t="s">
        <v>139</v>
      </c>
    </row>
    <row r="1320" spans="1:13" x14ac:dyDescent="0.2">
      <c r="A1320" s="48" t="s">
        <v>141</v>
      </c>
      <c r="B1320" s="12" t="s">
        <v>50</v>
      </c>
      <c r="C1320" s="32" t="s">
        <v>98</v>
      </c>
      <c r="D1320" s="44">
        <v>1.184034296626293E-3</v>
      </c>
      <c r="E1320" s="15" t="s">
        <v>138</v>
      </c>
      <c r="F1320" s="16" t="s">
        <v>16</v>
      </c>
      <c r="G1320" s="22">
        <v>1</v>
      </c>
      <c r="H1320" s="23">
        <v>1</v>
      </c>
      <c r="I1320" s="23">
        <v>1</v>
      </c>
      <c r="J1320" s="23">
        <v>2</v>
      </c>
      <c r="K1320" s="23">
        <v>3</v>
      </c>
      <c r="L1320" s="25">
        <f t="shared" si="44"/>
        <v>1.0195048044558224</v>
      </c>
      <c r="M1320" s="20" t="s">
        <v>139</v>
      </c>
    </row>
    <row r="1321" spans="1:13" x14ac:dyDescent="0.2">
      <c r="A1321" s="48" t="s">
        <v>141</v>
      </c>
      <c r="B1321" s="12" t="s">
        <v>52</v>
      </c>
      <c r="C1321" s="32" t="s">
        <v>98</v>
      </c>
      <c r="D1321" s="44">
        <v>3.1477079342958979E-4</v>
      </c>
      <c r="E1321" s="15" t="s">
        <v>138</v>
      </c>
      <c r="F1321" s="16" t="s">
        <v>16</v>
      </c>
      <c r="G1321" s="22">
        <v>1</v>
      </c>
      <c r="H1321" s="23">
        <v>1</v>
      </c>
      <c r="I1321" s="23">
        <v>1</v>
      </c>
      <c r="J1321" s="23">
        <v>2</v>
      </c>
      <c r="K1321" s="23">
        <v>3</v>
      </c>
      <c r="L1321" s="25">
        <f t="shared" si="44"/>
        <v>1.0195048044558224</v>
      </c>
      <c r="M1321" s="20" t="s">
        <v>139</v>
      </c>
    </row>
    <row r="1322" spans="1:13" x14ac:dyDescent="0.2">
      <c r="A1322" s="48" t="s">
        <v>141</v>
      </c>
      <c r="B1322" s="12" t="s">
        <v>54</v>
      </c>
      <c r="C1322" s="32" t="s">
        <v>98</v>
      </c>
      <c r="D1322" s="44">
        <v>1.2185185936987161E-4</v>
      </c>
      <c r="E1322" s="15" t="s">
        <v>138</v>
      </c>
      <c r="F1322" s="16" t="s">
        <v>16</v>
      </c>
      <c r="G1322" s="22">
        <v>1</v>
      </c>
      <c r="H1322" s="23">
        <v>1</v>
      </c>
      <c r="I1322" s="23">
        <v>1</v>
      </c>
      <c r="J1322" s="23">
        <v>2</v>
      </c>
      <c r="K1322" s="23">
        <v>3</v>
      </c>
      <c r="L1322" s="25">
        <f t="shared" si="44"/>
        <v>1.0195048044558224</v>
      </c>
      <c r="M1322" s="20" t="s">
        <v>139</v>
      </c>
    </row>
    <row r="1323" spans="1:13" x14ac:dyDescent="0.2">
      <c r="A1323" s="48" t="s">
        <v>141</v>
      </c>
      <c r="B1323" s="12" t="s">
        <v>55</v>
      </c>
      <c r="C1323" s="32" t="s">
        <v>98</v>
      </c>
      <c r="D1323" s="44">
        <v>3.7360407580974242E-3</v>
      </c>
      <c r="E1323" s="15" t="s">
        <v>138</v>
      </c>
      <c r="F1323" s="16" t="s">
        <v>16</v>
      </c>
      <c r="G1323" s="22">
        <v>1</v>
      </c>
      <c r="H1323" s="23">
        <v>1</v>
      </c>
      <c r="I1323" s="23">
        <v>1</v>
      </c>
      <c r="J1323" s="23">
        <v>2</v>
      </c>
      <c r="K1323" s="23">
        <v>3</v>
      </c>
      <c r="L1323" s="24">
        <f t="shared" si="44"/>
        <v>1.0195048044558224</v>
      </c>
      <c r="M1323" s="20" t="s">
        <v>139</v>
      </c>
    </row>
    <row r="1324" spans="1:13" x14ac:dyDescent="0.2">
      <c r="A1324" s="48" t="s">
        <v>141</v>
      </c>
      <c r="B1324" s="12" t="s">
        <v>57</v>
      </c>
      <c r="C1324" s="32" t="s">
        <v>98</v>
      </c>
      <c r="D1324" s="44">
        <v>6.0931336360974561E-4</v>
      </c>
      <c r="E1324" s="15" t="s">
        <v>138</v>
      </c>
      <c r="F1324" s="16" t="s">
        <v>16</v>
      </c>
      <c r="G1324" s="22">
        <v>1</v>
      </c>
      <c r="H1324" s="23">
        <v>1</v>
      </c>
      <c r="I1324" s="23">
        <v>1</v>
      </c>
      <c r="J1324" s="23">
        <v>2</v>
      </c>
      <c r="K1324" s="23">
        <v>3</v>
      </c>
      <c r="L1324" s="25">
        <f t="shared" si="44"/>
        <v>1.0195048044558224</v>
      </c>
      <c r="M1324" s="20" t="s">
        <v>139</v>
      </c>
    </row>
    <row r="1325" spans="1:13" x14ac:dyDescent="0.2">
      <c r="A1325" s="48" t="s">
        <v>141</v>
      </c>
      <c r="B1325" s="12" t="s">
        <v>59</v>
      </c>
      <c r="C1325" s="32" t="s">
        <v>98</v>
      </c>
      <c r="D1325" s="44">
        <v>9.1684055425597557E-4</v>
      </c>
      <c r="E1325" s="15" t="s">
        <v>138</v>
      </c>
      <c r="F1325" s="16" t="s">
        <v>16</v>
      </c>
      <c r="G1325" s="22">
        <v>1</v>
      </c>
      <c r="H1325" s="23">
        <v>1</v>
      </c>
      <c r="I1325" s="23">
        <v>1</v>
      </c>
      <c r="J1325" s="23">
        <v>2</v>
      </c>
      <c r="K1325" s="23">
        <v>3</v>
      </c>
      <c r="L1325" s="25">
        <f t="shared" si="44"/>
        <v>1.0195048044558224</v>
      </c>
      <c r="M1325" s="20" t="s">
        <v>139</v>
      </c>
    </row>
    <row r="1326" spans="1:13" x14ac:dyDescent="0.2">
      <c r="A1326" s="49" t="s">
        <v>141</v>
      </c>
      <c r="B1326" s="34" t="s">
        <v>60</v>
      </c>
      <c r="C1326" s="35" t="s">
        <v>98</v>
      </c>
      <c r="D1326" s="46">
        <v>4.841546202242566E-3</v>
      </c>
      <c r="E1326" s="37" t="s">
        <v>138</v>
      </c>
      <c r="F1326" s="38" t="s">
        <v>16</v>
      </c>
      <c r="G1326" s="39">
        <v>1</v>
      </c>
      <c r="H1326" s="40">
        <v>2</v>
      </c>
      <c r="I1326" s="40">
        <v>1</v>
      </c>
      <c r="J1326" s="40">
        <v>2</v>
      </c>
      <c r="K1326" s="40">
        <v>3</v>
      </c>
      <c r="L1326" s="41">
        <f t="shared" si="44"/>
        <v>1.0248662490928169</v>
      </c>
      <c r="M1326" s="42" t="s">
        <v>139</v>
      </c>
    </row>
    <row r="1327" spans="1:13" x14ac:dyDescent="0.2">
      <c r="A1327" s="48" t="s">
        <v>142</v>
      </c>
      <c r="B1327" s="12" t="s">
        <v>13</v>
      </c>
      <c r="C1327" s="13" t="s">
        <v>14</v>
      </c>
      <c r="D1327" s="44">
        <v>0.26635916929320991</v>
      </c>
      <c r="E1327" s="15" t="s">
        <v>138</v>
      </c>
      <c r="F1327" s="16" t="s">
        <v>16</v>
      </c>
      <c r="G1327" s="22">
        <v>1</v>
      </c>
      <c r="H1327" s="23">
        <v>1</v>
      </c>
      <c r="I1327" s="23">
        <v>1</v>
      </c>
      <c r="J1327" s="23">
        <v>2</v>
      </c>
      <c r="K1327" s="23">
        <v>3</v>
      </c>
      <c r="L1327" s="25">
        <f t="shared" si="44"/>
        <v>1.0195048044558224</v>
      </c>
      <c r="M1327" s="20" t="s">
        <v>139</v>
      </c>
    </row>
    <row r="1328" spans="1:13" x14ac:dyDescent="0.2">
      <c r="A1328" s="48" t="s">
        <v>142</v>
      </c>
      <c r="B1328" s="12" t="s">
        <v>18</v>
      </c>
      <c r="C1328" s="13" t="s">
        <v>14</v>
      </c>
      <c r="D1328" s="44">
        <v>0.35902599149756198</v>
      </c>
      <c r="E1328" s="15" t="s">
        <v>138</v>
      </c>
      <c r="F1328" s="16" t="s">
        <v>16</v>
      </c>
      <c r="G1328" s="22">
        <v>1</v>
      </c>
      <c r="H1328" s="23">
        <v>1</v>
      </c>
      <c r="I1328" s="23">
        <v>1</v>
      </c>
      <c r="J1328" s="23">
        <v>2</v>
      </c>
      <c r="K1328" s="23">
        <v>3</v>
      </c>
      <c r="L1328" s="25">
        <f t="shared" si="44"/>
        <v>1.0195048044558224</v>
      </c>
      <c r="M1328" s="20" t="s">
        <v>139</v>
      </c>
    </row>
    <row r="1329" spans="1:13" x14ac:dyDescent="0.2">
      <c r="A1329" s="48" t="s">
        <v>142</v>
      </c>
      <c r="B1329" s="12" t="s">
        <v>20</v>
      </c>
      <c r="C1329" s="13" t="s">
        <v>14</v>
      </c>
      <c r="D1329" s="44">
        <v>0.1362302655827361</v>
      </c>
      <c r="E1329" s="15" t="s">
        <v>138</v>
      </c>
      <c r="F1329" s="16" t="s">
        <v>16</v>
      </c>
      <c r="G1329" s="22">
        <v>1</v>
      </c>
      <c r="H1329" s="23">
        <v>1</v>
      </c>
      <c r="I1329" s="23">
        <v>1</v>
      </c>
      <c r="J1329" s="23">
        <v>2</v>
      </c>
      <c r="K1329" s="23">
        <v>3</v>
      </c>
      <c r="L1329" s="25">
        <f t="shared" si="44"/>
        <v>1.0195048044558224</v>
      </c>
      <c r="M1329" s="20" t="s">
        <v>139</v>
      </c>
    </row>
    <row r="1330" spans="1:13" x14ac:dyDescent="0.2">
      <c r="A1330" s="48" t="s">
        <v>142</v>
      </c>
      <c r="B1330" s="12" t="s">
        <v>22</v>
      </c>
      <c r="C1330" s="13" t="s">
        <v>14</v>
      </c>
      <c r="D1330" s="44">
        <v>5.9046979773835481E-2</v>
      </c>
      <c r="E1330" s="15" t="s">
        <v>138</v>
      </c>
      <c r="F1330" s="16" t="s">
        <v>16</v>
      </c>
      <c r="G1330" s="22">
        <v>1</v>
      </c>
      <c r="H1330" s="23">
        <v>1</v>
      </c>
      <c r="I1330" s="23">
        <v>1</v>
      </c>
      <c r="J1330" s="23">
        <v>2</v>
      </c>
      <c r="K1330" s="23">
        <v>3</v>
      </c>
      <c r="L1330" s="25">
        <f t="shared" si="44"/>
        <v>1.0195048044558224</v>
      </c>
      <c r="M1330" s="20" t="s">
        <v>139</v>
      </c>
    </row>
    <row r="1331" spans="1:13" x14ac:dyDescent="0.2">
      <c r="A1331" s="48" t="s">
        <v>142</v>
      </c>
      <c r="B1331" s="12" t="s">
        <v>23</v>
      </c>
      <c r="C1331" s="13" t="s">
        <v>14</v>
      </c>
      <c r="D1331" s="44">
        <v>1.632353434622779E-2</v>
      </c>
      <c r="E1331" s="15" t="s">
        <v>138</v>
      </c>
      <c r="F1331" s="16" t="s">
        <v>16</v>
      </c>
      <c r="G1331" s="22">
        <v>1</v>
      </c>
      <c r="H1331" s="23">
        <v>1</v>
      </c>
      <c r="I1331" s="23">
        <v>1</v>
      </c>
      <c r="J1331" s="23">
        <v>2</v>
      </c>
      <c r="K1331" s="23">
        <v>3</v>
      </c>
      <c r="L1331" s="25">
        <f t="shared" si="44"/>
        <v>1.0195048044558224</v>
      </c>
      <c r="M1331" s="20" t="s">
        <v>139</v>
      </c>
    </row>
    <row r="1332" spans="1:13" x14ac:dyDescent="0.2">
      <c r="A1332" s="48" t="s">
        <v>142</v>
      </c>
      <c r="B1332" s="12" t="s">
        <v>24</v>
      </c>
      <c r="C1332" s="13" t="s">
        <v>14</v>
      </c>
      <c r="D1332" s="44">
        <v>0.23578673704554129</v>
      </c>
      <c r="E1332" s="15" t="s">
        <v>138</v>
      </c>
      <c r="F1332" s="16" t="s">
        <v>16</v>
      </c>
      <c r="G1332" s="22">
        <v>1</v>
      </c>
      <c r="H1332" s="23">
        <v>1</v>
      </c>
      <c r="I1332" s="23">
        <v>1</v>
      </c>
      <c r="J1332" s="23">
        <v>2</v>
      </c>
      <c r="K1332" s="23">
        <v>3</v>
      </c>
      <c r="L1332" s="25">
        <f t="shared" si="44"/>
        <v>1.0195048044558224</v>
      </c>
      <c r="M1332" s="20" t="s">
        <v>139</v>
      </c>
    </row>
    <row r="1333" spans="1:13" x14ac:dyDescent="0.2">
      <c r="A1333" s="48" t="s">
        <v>142</v>
      </c>
      <c r="B1333" s="12" t="s">
        <v>25</v>
      </c>
      <c r="C1333" s="13" t="s">
        <v>14</v>
      </c>
      <c r="D1333" s="44">
        <v>0.20394976935549131</v>
      </c>
      <c r="E1333" s="15" t="s">
        <v>138</v>
      </c>
      <c r="F1333" s="16" t="s">
        <v>16</v>
      </c>
      <c r="G1333" s="22">
        <v>1</v>
      </c>
      <c r="H1333" s="23">
        <v>1</v>
      </c>
      <c r="I1333" s="23">
        <v>1</v>
      </c>
      <c r="J1333" s="23">
        <v>2</v>
      </c>
      <c r="K1333" s="23">
        <v>3</v>
      </c>
      <c r="L1333" s="25">
        <f t="shared" si="44"/>
        <v>1.0195048044558224</v>
      </c>
      <c r="M1333" s="20" t="s">
        <v>139</v>
      </c>
    </row>
    <row r="1334" spans="1:13" x14ac:dyDescent="0.2">
      <c r="A1334" s="48" t="s">
        <v>142</v>
      </c>
      <c r="B1334" s="12" t="s">
        <v>26</v>
      </c>
      <c r="C1334" s="13" t="s">
        <v>14</v>
      </c>
      <c r="D1334" s="44">
        <v>4.7790594554305253E-2</v>
      </c>
      <c r="E1334" s="15" t="s">
        <v>138</v>
      </c>
      <c r="F1334" s="16" t="s">
        <v>16</v>
      </c>
      <c r="G1334" s="22">
        <v>1</v>
      </c>
      <c r="H1334" s="23">
        <v>1</v>
      </c>
      <c r="I1334" s="23">
        <v>1</v>
      </c>
      <c r="J1334" s="23">
        <v>2</v>
      </c>
      <c r="K1334" s="23">
        <v>3</v>
      </c>
      <c r="L1334" s="25">
        <f t="shared" si="44"/>
        <v>1.0195048044558224</v>
      </c>
      <c r="M1334" s="20" t="s">
        <v>139</v>
      </c>
    </row>
    <row r="1335" spans="1:13" x14ac:dyDescent="0.2">
      <c r="A1335" s="48" t="s">
        <v>142</v>
      </c>
      <c r="B1335" s="12" t="s">
        <v>27</v>
      </c>
      <c r="C1335" s="13" t="s">
        <v>14</v>
      </c>
      <c r="D1335" s="44">
        <v>0.14001019865344541</v>
      </c>
      <c r="E1335" s="15" t="s">
        <v>138</v>
      </c>
      <c r="F1335" s="16" t="s">
        <v>16</v>
      </c>
      <c r="G1335" s="22">
        <v>1</v>
      </c>
      <c r="H1335" s="23">
        <v>1</v>
      </c>
      <c r="I1335" s="23">
        <v>1</v>
      </c>
      <c r="J1335" s="23">
        <v>2</v>
      </c>
      <c r="K1335" s="23">
        <v>3</v>
      </c>
      <c r="L1335" s="25">
        <f t="shared" si="44"/>
        <v>1.0195048044558224</v>
      </c>
      <c r="M1335" s="20" t="s">
        <v>139</v>
      </c>
    </row>
    <row r="1336" spans="1:13" x14ac:dyDescent="0.2">
      <c r="A1336" s="48" t="s">
        <v>142</v>
      </c>
      <c r="B1336" s="12" t="s">
        <v>28</v>
      </c>
      <c r="C1336" s="13" t="s">
        <v>14</v>
      </c>
      <c r="D1336" s="44">
        <v>1.913100533310915</v>
      </c>
      <c r="E1336" s="15" t="s">
        <v>138</v>
      </c>
      <c r="F1336" s="16" t="s">
        <v>16</v>
      </c>
      <c r="G1336" s="22">
        <v>1</v>
      </c>
      <c r="H1336" s="23">
        <v>1</v>
      </c>
      <c r="I1336" s="23">
        <v>1</v>
      </c>
      <c r="J1336" s="23">
        <v>2</v>
      </c>
      <c r="K1336" s="23">
        <v>3</v>
      </c>
      <c r="L1336" s="25">
        <f t="shared" si="44"/>
        <v>1.0195048044558224</v>
      </c>
      <c r="M1336" s="20" t="s">
        <v>139</v>
      </c>
    </row>
    <row r="1337" spans="1:13" x14ac:dyDescent="0.2">
      <c r="A1337" s="48" t="s">
        <v>142</v>
      </c>
      <c r="B1337" s="12" t="s">
        <v>30</v>
      </c>
      <c r="C1337" s="13" t="s">
        <v>14</v>
      </c>
      <c r="D1337" s="44">
        <v>3.3751302229197648</v>
      </c>
      <c r="E1337" s="15" t="s">
        <v>138</v>
      </c>
      <c r="F1337" s="16" t="s">
        <v>16</v>
      </c>
      <c r="G1337" s="22">
        <v>1</v>
      </c>
      <c r="H1337" s="23">
        <v>1</v>
      </c>
      <c r="I1337" s="23">
        <v>1</v>
      </c>
      <c r="J1337" s="23">
        <v>2</v>
      </c>
      <c r="K1337" s="23">
        <v>3</v>
      </c>
      <c r="L1337" s="24">
        <f t="shared" si="44"/>
        <v>1.0195048044558224</v>
      </c>
      <c r="M1337" s="20" t="s">
        <v>139</v>
      </c>
    </row>
    <row r="1338" spans="1:13" x14ac:dyDescent="0.2">
      <c r="A1338" s="48" t="s">
        <v>142</v>
      </c>
      <c r="B1338" s="12" t="s">
        <v>32</v>
      </c>
      <c r="C1338" s="13" t="s">
        <v>14</v>
      </c>
      <c r="D1338" s="44">
        <v>0.24696119041869311</v>
      </c>
      <c r="E1338" s="15" t="s">
        <v>138</v>
      </c>
      <c r="F1338" s="16" t="s">
        <v>16</v>
      </c>
      <c r="G1338" s="22">
        <v>1</v>
      </c>
      <c r="H1338" s="23">
        <v>1</v>
      </c>
      <c r="I1338" s="23">
        <v>1</v>
      </c>
      <c r="J1338" s="23">
        <v>2</v>
      </c>
      <c r="K1338" s="23">
        <v>3</v>
      </c>
      <c r="L1338" s="25">
        <f t="shared" si="44"/>
        <v>1.0195048044558224</v>
      </c>
      <c r="M1338" s="20" t="s">
        <v>139</v>
      </c>
    </row>
    <row r="1339" spans="1:13" x14ac:dyDescent="0.2">
      <c r="A1339" s="48" t="s">
        <v>142</v>
      </c>
      <c r="B1339" s="12" t="s">
        <v>34</v>
      </c>
      <c r="C1339" s="13" t="s">
        <v>14</v>
      </c>
      <c r="D1339" s="44">
        <v>0.41344732248459021</v>
      </c>
      <c r="E1339" s="15" t="s">
        <v>138</v>
      </c>
      <c r="F1339" s="16" t="s">
        <v>16</v>
      </c>
      <c r="G1339" s="22">
        <v>1</v>
      </c>
      <c r="H1339" s="23">
        <v>1</v>
      </c>
      <c r="I1339" s="23">
        <v>1</v>
      </c>
      <c r="J1339" s="23">
        <v>2</v>
      </c>
      <c r="K1339" s="23">
        <v>3</v>
      </c>
      <c r="L1339" s="25">
        <f t="shared" si="44"/>
        <v>1.0195048044558224</v>
      </c>
      <c r="M1339" s="20" t="s">
        <v>139</v>
      </c>
    </row>
    <row r="1340" spans="1:13" x14ac:dyDescent="0.2">
      <c r="A1340" s="48" t="s">
        <v>142</v>
      </c>
      <c r="B1340" s="12" t="s">
        <v>36</v>
      </c>
      <c r="C1340" s="13" t="s">
        <v>14</v>
      </c>
      <c r="D1340" s="44">
        <v>0.27209978671900548</v>
      </c>
      <c r="E1340" s="15" t="s">
        <v>138</v>
      </c>
      <c r="F1340" s="16" t="s">
        <v>16</v>
      </c>
      <c r="G1340" s="22">
        <v>1</v>
      </c>
      <c r="H1340" s="23">
        <v>1</v>
      </c>
      <c r="I1340" s="23">
        <v>1</v>
      </c>
      <c r="J1340" s="23">
        <v>2</v>
      </c>
      <c r="K1340" s="23">
        <v>3</v>
      </c>
      <c r="L1340" s="25">
        <f t="shared" si="44"/>
        <v>1.0195048044558224</v>
      </c>
      <c r="M1340" s="20" t="s">
        <v>139</v>
      </c>
    </row>
    <row r="1341" spans="1:13" x14ac:dyDescent="0.2">
      <c r="A1341" s="48" t="s">
        <v>142</v>
      </c>
      <c r="B1341" s="12" t="s">
        <v>37</v>
      </c>
      <c r="C1341" s="13" t="s">
        <v>14</v>
      </c>
      <c r="D1341" s="44">
        <v>1.7785955765528201</v>
      </c>
      <c r="E1341" s="15" t="s">
        <v>138</v>
      </c>
      <c r="F1341" s="16" t="s">
        <v>16</v>
      </c>
      <c r="G1341" s="22">
        <v>1</v>
      </c>
      <c r="H1341" s="23">
        <v>1</v>
      </c>
      <c r="I1341" s="23">
        <v>1</v>
      </c>
      <c r="J1341" s="23">
        <v>2</v>
      </c>
      <c r="K1341" s="23">
        <v>3</v>
      </c>
      <c r="L1341" s="24">
        <f t="shared" si="44"/>
        <v>1.0195048044558224</v>
      </c>
      <c r="M1341" s="20" t="s">
        <v>139</v>
      </c>
    </row>
    <row r="1342" spans="1:13" x14ac:dyDescent="0.2">
      <c r="A1342" s="48" t="s">
        <v>142</v>
      </c>
      <c r="B1342" s="12" t="s">
        <v>39</v>
      </c>
      <c r="C1342" s="13" t="s">
        <v>14</v>
      </c>
      <c r="D1342" s="44">
        <v>4.1823412992244138E-2</v>
      </c>
      <c r="E1342" s="15" t="s">
        <v>138</v>
      </c>
      <c r="F1342" s="16" t="s">
        <v>16</v>
      </c>
      <c r="G1342" s="22">
        <v>1</v>
      </c>
      <c r="H1342" s="23">
        <v>1</v>
      </c>
      <c r="I1342" s="23">
        <v>1</v>
      </c>
      <c r="J1342" s="23">
        <v>2</v>
      </c>
      <c r="K1342" s="23">
        <v>3</v>
      </c>
      <c r="L1342" s="25">
        <f t="shared" si="44"/>
        <v>1.0195048044558224</v>
      </c>
      <c r="M1342" s="20" t="s">
        <v>139</v>
      </c>
    </row>
    <row r="1343" spans="1:13" x14ac:dyDescent="0.2">
      <c r="A1343" s="48" t="s">
        <v>142</v>
      </c>
      <c r="B1343" s="12" t="s">
        <v>40</v>
      </c>
      <c r="C1343" s="13" t="s">
        <v>14</v>
      </c>
      <c r="D1343" s="44">
        <v>7.6793547374274157E-2</v>
      </c>
      <c r="E1343" s="15" t="s">
        <v>138</v>
      </c>
      <c r="F1343" s="16" t="s">
        <v>16</v>
      </c>
      <c r="G1343" s="22">
        <v>1</v>
      </c>
      <c r="H1343" s="23">
        <v>1</v>
      </c>
      <c r="I1343" s="23">
        <v>1</v>
      </c>
      <c r="J1343" s="23">
        <v>2</v>
      </c>
      <c r="K1343" s="23">
        <v>3</v>
      </c>
      <c r="L1343" s="25">
        <f t="shared" si="44"/>
        <v>1.0195048044558224</v>
      </c>
      <c r="M1343" s="20" t="s">
        <v>139</v>
      </c>
    </row>
    <row r="1344" spans="1:13" x14ac:dyDescent="0.2">
      <c r="A1344" s="48" t="s">
        <v>142</v>
      </c>
      <c r="B1344" s="12" t="s">
        <v>41</v>
      </c>
      <c r="C1344" s="13" t="s">
        <v>14</v>
      </c>
      <c r="D1344" s="44">
        <v>2.182413359910582E-2</v>
      </c>
      <c r="E1344" s="15" t="s">
        <v>138</v>
      </c>
      <c r="F1344" s="16" t="s">
        <v>16</v>
      </c>
      <c r="G1344" s="22">
        <v>1</v>
      </c>
      <c r="H1344" s="23">
        <v>1</v>
      </c>
      <c r="I1344" s="23">
        <v>1</v>
      </c>
      <c r="J1344" s="23">
        <v>2</v>
      </c>
      <c r="K1344" s="23">
        <v>3</v>
      </c>
      <c r="L1344" s="25">
        <f t="shared" si="44"/>
        <v>1.0195048044558224</v>
      </c>
      <c r="M1344" s="20" t="s">
        <v>139</v>
      </c>
    </row>
    <row r="1345" spans="1:13" x14ac:dyDescent="0.2">
      <c r="A1345" s="48" t="s">
        <v>142</v>
      </c>
      <c r="B1345" s="12" t="s">
        <v>42</v>
      </c>
      <c r="C1345" s="13" t="s">
        <v>14</v>
      </c>
      <c r="D1345" s="44">
        <v>1.2591735394840089E-2</v>
      </c>
      <c r="E1345" s="15" t="s">
        <v>138</v>
      </c>
      <c r="F1345" s="16" t="s">
        <v>16</v>
      </c>
      <c r="G1345" s="22">
        <v>1</v>
      </c>
      <c r="H1345" s="23">
        <v>1</v>
      </c>
      <c r="I1345" s="23">
        <v>1</v>
      </c>
      <c r="J1345" s="23">
        <v>2</v>
      </c>
      <c r="K1345" s="23">
        <v>3</v>
      </c>
      <c r="L1345" s="25">
        <f t="shared" si="44"/>
        <v>1.0195048044558224</v>
      </c>
      <c r="M1345" s="20" t="s">
        <v>139</v>
      </c>
    </row>
    <row r="1346" spans="1:13" x14ac:dyDescent="0.2">
      <c r="A1346" s="48" t="s">
        <v>142</v>
      </c>
      <c r="B1346" s="12" t="s">
        <v>43</v>
      </c>
      <c r="C1346" s="13" t="s">
        <v>14</v>
      </c>
      <c r="D1346" s="44">
        <v>0.58297502061351147</v>
      </c>
      <c r="E1346" s="15" t="s">
        <v>138</v>
      </c>
      <c r="F1346" s="16" t="s">
        <v>16</v>
      </c>
      <c r="G1346" s="22">
        <v>1</v>
      </c>
      <c r="H1346" s="23">
        <v>1</v>
      </c>
      <c r="I1346" s="23">
        <v>1</v>
      </c>
      <c r="J1346" s="23">
        <v>2</v>
      </c>
      <c r="K1346" s="23">
        <v>3</v>
      </c>
      <c r="L1346" s="25">
        <f t="shared" si="44"/>
        <v>1.0195048044558224</v>
      </c>
      <c r="M1346" s="20" t="s">
        <v>139</v>
      </c>
    </row>
    <row r="1347" spans="1:13" x14ac:dyDescent="0.2">
      <c r="A1347" s="48" t="s">
        <v>142</v>
      </c>
      <c r="B1347" s="12" t="s">
        <v>45</v>
      </c>
      <c r="C1347" s="13" t="s">
        <v>14</v>
      </c>
      <c r="D1347" s="44">
        <v>0.22080099605404119</v>
      </c>
      <c r="E1347" s="15" t="s">
        <v>138</v>
      </c>
      <c r="F1347" s="16" t="s">
        <v>16</v>
      </c>
      <c r="G1347" s="22">
        <v>1</v>
      </c>
      <c r="H1347" s="23">
        <v>1</v>
      </c>
      <c r="I1347" s="23">
        <v>1</v>
      </c>
      <c r="J1347" s="23">
        <v>2</v>
      </c>
      <c r="K1347" s="23">
        <v>3</v>
      </c>
      <c r="L1347" s="25">
        <f t="shared" si="44"/>
        <v>1.0195048044558224</v>
      </c>
      <c r="M1347" s="20" t="s">
        <v>139</v>
      </c>
    </row>
    <row r="1348" spans="1:13" x14ac:dyDescent="0.2">
      <c r="A1348" s="48" t="s">
        <v>142</v>
      </c>
      <c r="B1348" s="12" t="s">
        <v>46</v>
      </c>
      <c r="C1348" s="13" t="s">
        <v>14</v>
      </c>
      <c r="D1348" s="44">
        <v>1.0047823647017371</v>
      </c>
      <c r="E1348" s="15" t="s">
        <v>138</v>
      </c>
      <c r="F1348" s="16" t="s">
        <v>16</v>
      </c>
      <c r="G1348" s="22">
        <v>1</v>
      </c>
      <c r="H1348" s="23">
        <v>1</v>
      </c>
      <c r="I1348" s="23">
        <v>1</v>
      </c>
      <c r="J1348" s="23">
        <v>2</v>
      </c>
      <c r="K1348" s="23">
        <v>3</v>
      </c>
      <c r="L1348" s="24">
        <f t="shared" ref="L1348:L1379" si="45">IF( OR( ISBLANK(G1348),ISBLANK(H1348), ISBLANK(I1348), ISBLANK(J1348), ISBLANK(K1348) ), "", 1.5*SQRT( EXP(2.21*(G1348-1)) + EXP(2.21*(H1348-1)) + EXP(2.21*(I1348-1)) + EXP(2.21*(J1348-1)) + EXP(2.21*K1348) )/100*2.45 )</f>
        <v>1.0195048044558224</v>
      </c>
      <c r="M1348" s="20" t="s">
        <v>139</v>
      </c>
    </row>
    <row r="1349" spans="1:13" x14ac:dyDescent="0.2">
      <c r="A1349" s="48" t="s">
        <v>142</v>
      </c>
      <c r="B1349" s="12" t="s">
        <v>48</v>
      </c>
      <c r="C1349" s="13" t="s">
        <v>14</v>
      </c>
      <c r="D1349" s="44">
        <v>0.37016711533015489</v>
      </c>
      <c r="E1349" s="15" t="s">
        <v>138</v>
      </c>
      <c r="F1349" s="16" t="s">
        <v>16</v>
      </c>
      <c r="G1349" s="22">
        <v>1</v>
      </c>
      <c r="H1349" s="23">
        <v>1</v>
      </c>
      <c r="I1349" s="23">
        <v>1</v>
      </c>
      <c r="J1349" s="23">
        <v>2</v>
      </c>
      <c r="K1349" s="23">
        <v>3</v>
      </c>
      <c r="L1349" s="25">
        <f t="shared" si="45"/>
        <v>1.0195048044558224</v>
      </c>
      <c r="M1349" s="20" t="s">
        <v>139</v>
      </c>
    </row>
    <row r="1350" spans="1:13" x14ac:dyDescent="0.2">
      <c r="A1350" s="48" t="s">
        <v>142</v>
      </c>
      <c r="B1350" s="12" t="s">
        <v>50</v>
      </c>
      <c r="C1350" s="13" t="s">
        <v>14</v>
      </c>
      <c r="D1350" s="44">
        <v>0.43013967207595433</v>
      </c>
      <c r="E1350" s="15" t="s">
        <v>138</v>
      </c>
      <c r="F1350" s="16" t="s">
        <v>16</v>
      </c>
      <c r="G1350" s="22">
        <v>1</v>
      </c>
      <c r="H1350" s="23">
        <v>1</v>
      </c>
      <c r="I1350" s="23">
        <v>1</v>
      </c>
      <c r="J1350" s="23">
        <v>2</v>
      </c>
      <c r="K1350" s="23">
        <v>3</v>
      </c>
      <c r="L1350" s="25">
        <f t="shared" si="45"/>
        <v>1.0195048044558224</v>
      </c>
      <c r="M1350" s="20" t="s">
        <v>139</v>
      </c>
    </row>
    <row r="1351" spans="1:13" x14ac:dyDescent="0.2">
      <c r="A1351" s="48" t="s">
        <v>142</v>
      </c>
      <c r="B1351" s="12" t="s">
        <v>52</v>
      </c>
      <c r="C1351" s="13" t="s">
        <v>14</v>
      </c>
      <c r="D1351" s="44">
        <v>0.11435091555259699</v>
      </c>
      <c r="E1351" s="15" t="s">
        <v>138</v>
      </c>
      <c r="F1351" s="16" t="s">
        <v>16</v>
      </c>
      <c r="G1351" s="22">
        <v>1</v>
      </c>
      <c r="H1351" s="23">
        <v>1</v>
      </c>
      <c r="I1351" s="23">
        <v>1</v>
      </c>
      <c r="J1351" s="23">
        <v>2</v>
      </c>
      <c r="K1351" s="23">
        <v>3</v>
      </c>
      <c r="L1351" s="25">
        <f t="shared" si="45"/>
        <v>1.0195048044558224</v>
      </c>
      <c r="M1351" s="20" t="s">
        <v>139</v>
      </c>
    </row>
    <row r="1352" spans="1:13" x14ac:dyDescent="0.2">
      <c r="A1352" s="48" t="s">
        <v>142</v>
      </c>
      <c r="B1352" s="12" t="s">
        <v>54</v>
      </c>
      <c r="C1352" s="13" t="s">
        <v>14</v>
      </c>
      <c r="D1352" s="44">
        <v>4.4266723506696408E-2</v>
      </c>
      <c r="E1352" s="15" t="s">
        <v>138</v>
      </c>
      <c r="F1352" s="16" t="s">
        <v>16</v>
      </c>
      <c r="G1352" s="22">
        <v>1</v>
      </c>
      <c r="H1352" s="23">
        <v>1</v>
      </c>
      <c r="I1352" s="23">
        <v>1</v>
      </c>
      <c r="J1352" s="23">
        <v>2</v>
      </c>
      <c r="K1352" s="23">
        <v>3</v>
      </c>
      <c r="L1352" s="25">
        <f t="shared" si="45"/>
        <v>1.0195048044558224</v>
      </c>
      <c r="M1352" s="20" t="s">
        <v>139</v>
      </c>
    </row>
    <row r="1353" spans="1:13" x14ac:dyDescent="0.2">
      <c r="A1353" s="48" t="s">
        <v>142</v>
      </c>
      <c r="B1353" s="12" t="s">
        <v>55</v>
      </c>
      <c r="C1353" s="13" t="s">
        <v>14</v>
      </c>
      <c r="D1353" s="44">
        <v>1.357240538664596</v>
      </c>
      <c r="E1353" s="15" t="s">
        <v>138</v>
      </c>
      <c r="F1353" s="16" t="s">
        <v>16</v>
      </c>
      <c r="G1353" s="22">
        <v>1</v>
      </c>
      <c r="H1353" s="23">
        <v>1</v>
      </c>
      <c r="I1353" s="23">
        <v>1</v>
      </c>
      <c r="J1353" s="23">
        <v>2</v>
      </c>
      <c r="K1353" s="23">
        <v>3</v>
      </c>
      <c r="L1353" s="24">
        <f t="shared" si="45"/>
        <v>1.0195048044558224</v>
      </c>
      <c r="M1353" s="20" t="s">
        <v>139</v>
      </c>
    </row>
    <row r="1354" spans="1:13" x14ac:dyDescent="0.2">
      <c r="A1354" s="48" t="s">
        <v>142</v>
      </c>
      <c r="B1354" s="12" t="s">
        <v>57</v>
      </c>
      <c r="C1354" s="13" t="s">
        <v>14</v>
      </c>
      <c r="D1354" s="44">
        <v>0.22135325907482051</v>
      </c>
      <c r="E1354" s="15" t="s">
        <v>138</v>
      </c>
      <c r="F1354" s="16" t="s">
        <v>16</v>
      </c>
      <c r="G1354" s="22">
        <v>1</v>
      </c>
      <c r="H1354" s="23">
        <v>1</v>
      </c>
      <c r="I1354" s="23">
        <v>1</v>
      </c>
      <c r="J1354" s="23">
        <v>2</v>
      </c>
      <c r="K1354" s="23">
        <v>3</v>
      </c>
      <c r="L1354" s="25">
        <f t="shared" si="45"/>
        <v>1.0195048044558224</v>
      </c>
      <c r="M1354" s="20" t="s">
        <v>139</v>
      </c>
    </row>
    <row r="1355" spans="1:13" x14ac:dyDescent="0.2">
      <c r="A1355" s="48" t="s">
        <v>142</v>
      </c>
      <c r="B1355" s="12" t="s">
        <v>59</v>
      </c>
      <c r="C1355" s="13" t="s">
        <v>14</v>
      </c>
      <c r="D1355" s="44">
        <v>0.33307269601673811</v>
      </c>
      <c r="E1355" s="15" t="s">
        <v>138</v>
      </c>
      <c r="F1355" s="16" t="s">
        <v>16</v>
      </c>
      <c r="G1355" s="22">
        <v>1</v>
      </c>
      <c r="H1355" s="23">
        <v>1</v>
      </c>
      <c r="I1355" s="23">
        <v>1</v>
      </c>
      <c r="J1355" s="23">
        <v>2</v>
      </c>
      <c r="K1355" s="23">
        <v>3</v>
      </c>
      <c r="L1355" s="25">
        <f t="shared" si="45"/>
        <v>1.0195048044558224</v>
      </c>
      <c r="M1355" s="20" t="s">
        <v>139</v>
      </c>
    </row>
    <row r="1356" spans="1:13" x14ac:dyDescent="0.2">
      <c r="A1356" s="48" t="s">
        <v>142</v>
      </c>
      <c r="B1356" s="12" t="s">
        <v>60</v>
      </c>
      <c r="C1356" s="13" t="s">
        <v>14</v>
      </c>
      <c r="D1356" s="44">
        <v>1.7588520042933311</v>
      </c>
      <c r="E1356" s="15" t="s">
        <v>138</v>
      </c>
      <c r="F1356" s="16" t="s">
        <v>16</v>
      </c>
      <c r="G1356" s="22">
        <v>1</v>
      </c>
      <c r="H1356" s="23">
        <v>2</v>
      </c>
      <c r="I1356" s="23">
        <v>1</v>
      </c>
      <c r="J1356" s="23">
        <v>2</v>
      </c>
      <c r="K1356" s="23">
        <v>3</v>
      </c>
      <c r="L1356" s="24">
        <f t="shared" si="45"/>
        <v>1.0248662490928169</v>
      </c>
      <c r="M1356" s="20" t="s">
        <v>139</v>
      </c>
    </row>
    <row r="1357" spans="1:13" x14ac:dyDescent="0.2">
      <c r="A1357" s="48" t="s">
        <v>142</v>
      </c>
      <c r="B1357" s="12" t="s">
        <v>13</v>
      </c>
      <c r="C1357" s="27" t="s">
        <v>62</v>
      </c>
      <c r="D1357" s="44">
        <v>0.25116862102598492</v>
      </c>
      <c r="E1357" s="15" t="s">
        <v>138</v>
      </c>
      <c r="F1357" s="16" t="s">
        <v>16</v>
      </c>
      <c r="G1357" s="22">
        <v>1</v>
      </c>
      <c r="H1357" s="23">
        <v>1</v>
      </c>
      <c r="I1357" s="23">
        <v>1</v>
      </c>
      <c r="J1357" s="23">
        <v>2</v>
      </c>
      <c r="K1357" s="23">
        <v>3</v>
      </c>
      <c r="L1357" s="25">
        <f t="shared" si="45"/>
        <v>1.0195048044558224</v>
      </c>
      <c r="M1357" s="20" t="s">
        <v>139</v>
      </c>
    </row>
    <row r="1358" spans="1:13" x14ac:dyDescent="0.2">
      <c r="A1358" s="48" t="s">
        <v>142</v>
      </c>
      <c r="B1358" s="12" t="s">
        <v>18</v>
      </c>
      <c r="C1358" s="27" t="s">
        <v>62</v>
      </c>
      <c r="D1358" s="44">
        <v>0.33855062484319137</v>
      </c>
      <c r="E1358" s="15" t="s">
        <v>138</v>
      </c>
      <c r="F1358" s="16" t="s">
        <v>16</v>
      </c>
      <c r="G1358" s="22">
        <v>1</v>
      </c>
      <c r="H1358" s="23">
        <v>1</v>
      </c>
      <c r="I1358" s="23">
        <v>1</v>
      </c>
      <c r="J1358" s="23">
        <v>2</v>
      </c>
      <c r="K1358" s="23">
        <v>3</v>
      </c>
      <c r="L1358" s="25">
        <f t="shared" si="45"/>
        <v>1.0195048044558224</v>
      </c>
      <c r="M1358" s="20" t="s">
        <v>139</v>
      </c>
    </row>
    <row r="1359" spans="1:13" x14ac:dyDescent="0.2">
      <c r="A1359" s="48" t="s">
        <v>142</v>
      </c>
      <c r="B1359" s="12" t="s">
        <v>20</v>
      </c>
      <c r="C1359" s="27" t="s">
        <v>62</v>
      </c>
      <c r="D1359" s="44">
        <v>0.12846101014361361</v>
      </c>
      <c r="E1359" s="15" t="s">
        <v>138</v>
      </c>
      <c r="F1359" s="16" t="s">
        <v>16</v>
      </c>
      <c r="G1359" s="22">
        <v>1</v>
      </c>
      <c r="H1359" s="23">
        <v>1</v>
      </c>
      <c r="I1359" s="23">
        <v>1</v>
      </c>
      <c r="J1359" s="23">
        <v>2</v>
      </c>
      <c r="K1359" s="23">
        <v>3</v>
      </c>
      <c r="L1359" s="25">
        <f t="shared" si="45"/>
        <v>1.0195048044558224</v>
      </c>
      <c r="M1359" s="20" t="s">
        <v>139</v>
      </c>
    </row>
    <row r="1360" spans="1:13" x14ac:dyDescent="0.2">
      <c r="A1360" s="48" t="s">
        <v>142</v>
      </c>
      <c r="B1360" s="12" t="s">
        <v>22</v>
      </c>
      <c r="C1360" s="27" t="s">
        <v>62</v>
      </c>
      <c r="D1360" s="44">
        <v>5.5679511709310417E-2</v>
      </c>
      <c r="E1360" s="15" t="s">
        <v>138</v>
      </c>
      <c r="F1360" s="16" t="s">
        <v>16</v>
      </c>
      <c r="G1360" s="22">
        <v>1</v>
      </c>
      <c r="H1360" s="23">
        <v>1</v>
      </c>
      <c r="I1360" s="23">
        <v>1</v>
      </c>
      <c r="J1360" s="23">
        <v>2</v>
      </c>
      <c r="K1360" s="23">
        <v>3</v>
      </c>
      <c r="L1360" s="25">
        <f t="shared" si="45"/>
        <v>1.0195048044558224</v>
      </c>
      <c r="M1360" s="20" t="s">
        <v>139</v>
      </c>
    </row>
    <row r="1361" spans="1:13" x14ac:dyDescent="0.2">
      <c r="A1361" s="48" t="s">
        <v>142</v>
      </c>
      <c r="B1361" s="12" t="s">
        <v>23</v>
      </c>
      <c r="C1361" s="27" t="s">
        <v>62</v>
      </c>
      <c r="D1361" s="44">
        <v>1.539259798298542E-2</v>
      </c>
      <c r="E1361" s="15" t="s">
        <v>138</v>
      </c>
      <c r="F1361" s="16" t="s">
        <v>16</v>
      </c>
      <c r="G1361" s="22">
        <v>1</v>
      </c>
      <c r="H1361" s="23">
        <v>1</v>
      </c>
      <c r="I1361" s="23">
        <v>1</v>
      </c>
      <c r="J1361" s="23">
        <v>2</v>
      </c>
      <c r="K1361" s="23">
        <v>3</v>
      </c>
      <c r="L1361" s="25">
        <f t="shared" si="45"/>
        <v>1.0195048044558224</v>
      </c>
      <c r="M1361" s="20" t="s">
        <v>139</v>
      </c>
    </row>
    <row r="1362" spans="1:13" x14ac:dyDescent="0.2">
      <c r="A1362" s="48" t="s">
        <v>142</v>
      </c>
      <c r="B1362" s="12" t="s">
        <v>24</v>
      </c>
      <c r="C1362" s="27" t="s">
        <v>62</v>
      </c>
      <c r="D1362" s="44">
        <v>0.22233974432752829</v>
      </c>
      <c r="E1362" s="15" t="s">
        <v>138</v>
      </c>
      <c r="F1362" s="16" t="s">
        <v>16</v>
      </c>
      <c r="G1362" s="22">
        <v>1</v>
      </c>
      <c r="H1362" s="23">
        <v>1</v>
      </c>
      <c r="I1362" s="23">
        <v>1</v>
      </c>
      <c r="J1362" s="23">
        <v>2</v>
      </c>
      <c r="K1362" s="23">
        <v>3</v>
      </c>
      <c r="L1362" s="25">
        <f t="shared" si="45"/>
        <v>1.0195048044558224</v>
      </c>
      <c r="M1362" s="20" t="s">
        <v>139</v>
      </c>
    </row>
    <row r="1363" spans="1:13" x14ac:dyDescent="0.2">
      <c r="A1363" s="48" t="s">
        <v>142</v>
      </c>
      <c r="B1363" s="12" t="s">
        <v>25</v>
      </c>
      <c r="C1363" s="27" t="s">
        <v>62</v>
      </c>
      <c r="D1363" s="44">
        <v>0.19231844904575721</v>
      </c>
      <c r="E1363" s="15" t="s">
        <v>138</v>
      </c>
      <c r="F1363" s="16" t="s">
        <v>16</v>
      </c>
      <c r="G1363" s="22">
        <v>1</v>
      </c>
      <c r="H1363" s="23">
        <v>1</v>
      </c>
      <c r="I1363" s="23">
        <v>1</v>
      </c>
      <c r="J1363" s="23">
        <v>2</v>
      </c>
      <c r="K1363" s="23">
        <v>3</v>
      </c>
      <c r="L1363" s="25">
        <f t="shared" si="45"/>
        <v>1.0195048044558224</v>
      </c>
      <c r="M1363" s="20" t="s">
        <v>139</v>
      </c>
    </row>
    <row r="1364" spans="1:13" x14ac:dyDescent="0.2">
      <c r="A1364" s="48" t="s">
        <v>142</v>
      </c>
      <c r="B1364" s="12" t="s">
        <v>26</v>
      </c>
      <c r="C1364" s="27" t="s">
        <v>62</v>
      </c>
      <c r="D1364" s="44">
        <v>4.5065081724306108E-2</v>
      </c>
      <c r="E1364" s="15" t="s">
        <v>138</v>
      </c>
      <c r="F1364" s="16" t="s">
        <v>16</v>
      </c>
      <c r="G1364" s="22">
        <v>1</v>
      </c>
      <c r="H1364" s="23">
        <v>1</v>
      </c>
      <c r="I1364" s="23">
        <v>1</v>
      </c>
      <c r="J1364" s="23">
        <v>2</v>
      </c>
      <c r="K1364" s="23">
        <v>3</v>
      </c>
      <c r="L1364" s="25">
        <f t="shared" si="45"/>
        <v>1.0195048044558224</v>
      </c>
      <c r="M1364" s="20" t="s">
        <v>139</v>
      </c>
    </row>
    <row r="1365" spans="1:13" x14ac:dyDescent="0.2">
      <c r="A1365" s="48" t="s">
        <v>142</v>
      </c>
      <c r="B1365" s="12" t="s">
        <v>27</v>
      </c>
      <c r="C1365" s="27" t="s">
        <v>62</v>
      </c>
      <c r="D1365" s="44">
        <v>0.1320253724272917</v>
      </c>
      <c r="E1365" s="15" t="s">
        <v>138</v>
      </c>
      <c r="F1365" s="16" t="s">
        <v>16</v>
      </c>
      <c r="G1365" s="22">
        <v>1</v>
      </c>
      <c r="H1365" s="23">
        <v>1</v>
      </c>
      <c r="I1365" s="23">
        <v>1</v>
      </c>
      <c r="J1365" s="23">
        <v>2</v>
      </c>
      <c r="K1365" s="23">
        <v>3</v>
      </c>
      <c r="L1365" s="25">
        <f t="shared" si="45"/>
        <v>1.0195048044558224</v>
      </c>
      <c r="M1365" s="20" t="s">
        <v>139</v>
      </c>
    </row>
    <row r="1366" spans="1:13" x14ac:dyDescent="0.2">
      <c r="A1366" s="48" t="s">
        <v>142</v>
      </c>
      <c r="B1366" s="12" t="s">
        <v>28</v>
      </c>
      <c r="C1366" s="27" t="s">
        <v>62</v>
      </c>
      <c r="D1366" s="44">
        <v>1.803995800523124</v>
      </c>
      <c r="E1366" s="15" t="s">
        <v>138</v>
      </c>
      <c r="F1366" s="16" t="s">
        <v>16</v>
      </c>
      <c r="G1366" s="22">
        <v>1</v>
      </c>
      <c r="H1366" s="23">
        <v>1</v>
      </c>
      <c r="I1366" s="23">
        <v>1</v>
      </c>
      <c r="J1366" s="23">
        <v>2</v>
      </c>
      <c r="K1366" s="23">
        <v>3</v>
      </c>
      <c r="L1366" s="25">
        <f t="shared" si="45"/>
        <v>1.0195048044558224</v>
      </c>
      <c r="M1366" s="20" t="s">
        <v>139</v>
      </c>
    </row>
    <row r="1367" spans="1:13" x14ac:dyDescent="0.2">
      <c r="A1367" s="48" t="s">
        <v>142</v>
      </c>
      <c r="B1367" s="12" t="s">
        <v>30</v>
      </c>
      <c r="C1367" s="27" t="s">
        <v>62</v>
      </c>
      <c r="D1367" s="44">
        <v>3.1826454712384962</v>
      </c>
      <c r="E1367" s="15" t="s">
        <v>138</v>
      </c>
      <c r="F1367" s="16" t="s">
        <v>16</v>
      </c>
      <c r="G1367" s="22">
        <v>1</v>
      </c>
      <c r="H1367" s="23">
        <v>1</v>
      </c>
      <c r="I1367" s="23">
        <v>1</v>
      </c>
      <c r="J1367" s="23">
        <v>2</v>
      </c>
      <c r="K1367" s="23">
        <v>3</v>
      </c>
      <c r="L1367" s="24">
        <f t="shared" si="45"/>
        <v>1.0195048044558224</v>
      </c>
      <c r="M1367" s="20" t="s">
        <v>139</v>
      </c>
    </row>
    <row r="1368" spans="1:13" x14ac:dyDescent="0.2">
      <c r="A1368" s="48" t="s">
        <v>142</v>
      </c>
      <c r="B1368" s="12" t="s">
        <v>32</v>
      </c>
      <c r="C1368" s="27" t="s">
        <v>62</v>
      </c>
      <c r="D1368" s="44">
        <v>0.23287691506545061</v>
      </c>
      <c r="E1368" s="15" t="s">
        <v>138</v>
      </c>
      <c r="F1368" s="16" t="s">
        <v>16</v>
      </c>
      <c r="G1368" s="22">
        <v>1</v>
      </c>
      <c r="H1368" s="23">
        <v>1</v>
      </c>
      <c r="I1368" s="23">
        <v>1</v>
      </c>
      <c r="J1368" s="23">
        <v>2</v>
      </c>
      <c r="K1368" s="23">
        <v>3</v>
      </c>
      <c r="L1368" s="25">
        <f t="shared" si="45"/>
        <v>1.0195048044558224</v>
      </c>
      <c r="M1368" s="20" t="s">
        <v>139</v>
      </c>
    </row>
    <row r="1369" spans="1:13" x14ac:dyDescent="0.2">
      <c r="A1369" s="48" t="s">
        <v>142</v>
      </c>
      <c r="B1369" s="12" t="s">
        <v>34</v>
      </c>
      <c r="C1369" s="27" t="s">
        <v>62</v>
      </c>
      <c r="D1369" s="44">
        <v>0.38986828998939749</v>
      </c>
      <c r="E1369" s="15" t="s">
        <v>138</v>
      </c>
      <c r="F1369" s="16" t="s">
        <v>16</v>
      </c>
      <c r="G1369" s="22">
        <v>1</v>
      </c>
      <c r="H1369" s="23">
        <v>1</v>
      </c>
      <c r="I1369" s="23">
        <v>1</v>
      </c>
      <c r="J1369" s="23">
        <v>2</v>
      </c>
      <c r="K1369" s="23">
        <v>3</v>
      </c>
      <c r="L1369" s="25">
        <f t="shared" si="45"/>
        <v>1.0195048044558224</v>
      </c>
      <c r="M1369" s="20" t="s">
        <v>139</v>
      </c>
    </row>
    <row r="1370" spans="1:13" x14ac:dyDescent="0.2">
      <c r="A1370" s="48" t="s">
        <v>142</v>
      </c>
      <c r="B1370" s="12" t="s">
        <v>36</v>
      </c>
      <c r="C1370" s="27" t="s">
        <v>62</v>
      </c>
      <c r="D1370" s="44">
        <v>0.256581849211449</v>
      </c>
      <c r="E1370" s="15" t="s">
        <v>138</v>
      </c>
      <c r="F1370" s="16" t="s">
        <v>16</v>
      </c>
      <c r="G1370" s="22">
        <v>1</v>
      </c>
      <c r="H1370" s="23">
        <v>1</v>
      </c>
      <c r="I1370" s="23">
        <v>1</v>
      </c>
      <c r="J1370" s="23">
        <v>2</v>
      </c>
      <c r="K1370" s="23">
        <v>3</v>
      </c>
      <c r="L1370" s="25">
        <f t="shared" si="45"/>
        <v>1.0195048044558224</v>
      </c>
      <c r="M1370" s="20" t="s">
        <v>139</v>
      </c>
    </row>
    <row r="1371" spans="1:13" x14ac:dyDescent="0.2">
      <c r="A1371" s="48" t="s">
        <v>142</v>
      </c>
      <c r="B1371" s="12" t="s">
        <v>37</v>
      </c>
      <c r="C1371" s="27" t="s">
        <v>62</v>
      </c>
      <c r="D1371" s="44">
        <v>1.677161704292327</v>
      </c>
      <c r="E1371" s="15" t="s">
        <v>138</v>
      </c>
      <c r="F1371" s="16" t="s">
        <v>16</v>
      </c>
      <c r="G1371" s="22">
        <v>1</v>
      </c>
      <c r="H1371" s="23">
        <v>1</v>
      </c>
      <c r="I1371" s="23">
        <v>1</v>
      </c>
      <c r="J1371" s="23">
        <v>2</v>
      </c>
      <c r="K1371" s="23">
        <v>3</v>
      </c>
      <c r="L1371" s="24">
        <f t="shared" si="45"/>
        <v>1.0195048044558224</v>
      </c>
      <c r="M1371" s="20" t="s">
        <v>139</v>
      </c>
    </row>
    <row r="1372" spans="1:13" x14ac:dyDescent="0.2">
      <c r="A1372" s="48" t="s">
        <v>142</v>
      </c>
      <c r="B1372" s="12" t="s">
        <v>39</v>
      </c>
      <c r="C1372" s="27" t="s">
        <v>62</v>
      </c>
      <c r="D1372" s="44">
        <v>3.9438210427434339E-2</v>
      </c>
      <c r="E1372" s="15" t="s">
        <v>138</v>
      </c>
      <c r="F1372" s="16" t="s">
        <v>16</v>
      </c>
      <c r="G1372" s="22">
        <v>1</v>
      </c>
      <c r="H1372" s="23">
        <v>1</v>
      </c>
      <c r="I1372" s="23">
        <v>1</v>
      </c>
      <c r="J1372" s="23">
        <v>2</v>
      </c>
      <c r="K1372" s="23">
        <v>3</v>
      </c>
      <c r="L1372" s="25">
        <f t="shared" si="45"/>
        <v>1.0195048044558224</v>
      </c>
      <c r="M1372" s="20" t="s">
        <v>139</v>
      </c>
    </row>
    <row r="1373" spans="1:13" x14ac:dyDescent="0.2">
      <c r="A1373" s="48" t="s">
        <v>142</v>
      </c>
      <c r="B1373" s="12" t="s">
        <v>40</v>
      </c>
      <c r="C1373" s="27" t="s">
        <v>62</v>
      </c>
      <c r="D1373" s="44">
        <v>7.2413986906745387E-2</v>
      </c>
      <c r="E1373" s="15" t="s">
        <v>138</v>
      </c>
      <c r="F1373" s="16" t="s">
        <v>16</v>
      </c>
      <c r="G1373" s="22">
        <v>1</v>
      </c>
      <c r="H1373" s="23">
        <v>1</v>
      </c>
      <c r="I1373" s="23">
        <v>1</v>
      </c>
      <c r="J1373" s="23">
        <v>2</v>
      </c>
      <c r="K1373" s="23">
        <v>3</v>
      </c>
      <c r="L1373" s="25">
        <f t="shared" si="45"/>
        <v>1.0195048044558224</v>
      </c>
      <c r="M1373" s="20" t="s">
        <v>139</v>
      </c>
    </row>
    <row r="1374" spans="1:13" x14ac:dyDescent="0.2">
      <c r="A1374" s="48" t="s">
        <v>142</v>
      </c>
      <c r="B1374" s="12" t="s">
        <v>41</v>
      </c>
      <c r="C1374" s="27" t="s">
        <v>62</v>
      </c>
      <c r="D1374" s="44">
        <v>2.0579496308385618E-2</v>
      </c>
      <c r="E1374" s="15" t="s">
        <v>138</v>
      </c>
      <c r="F1374" s="16" t="s">
        <v>16</v>
      </c>
      <c r="G1374" s="22">
        <v>1</v>
      </c>
      <c r="H1374" s="23">
        <v>1</v>
      </c>
      <c r="I1374" s="23">
        <v>1</v>
      </c>
      <c r="J1374" s="23">
        <v>2</v>
      </c>
      <c r="K1374" s="23">
        <v>3</v>
      </c>
      <c r="L1374" s="25">
        <f t="shared" si="45"/>
        <v>1.0195048044558224</v>
      </c>
      <c r="M1374" s="20" t="s">
        <v>139</v>
      </c>
    </row>
    <row r="1375" spans="1:13" x14ac:dyDescent="0.2">
      <c r="A1375" s="48" t="s">
        <v>142</v>
      </c>
      <c r="B1375" s="12" t="s">
        <v>42</v>
      </c>
      <c r="C1375" s="27" t="s">
        <v>62</v>
      </c>
      <c r="D1375" s="44">
        <v>1.1873624714471931E-2</v>
      </c>
      <c r="E1375" s="15" t="s">
        <v>138</v>
      </c>
      <c r="F1375" s="16" t="s">
        <v>16</v>
      </c>
      <c r="G1375" s="22">
        <v>1</v>
      </c>
      <c r="H1375" s="23">
        <v>1</v>
      </c>
      <c r="I1375" s="23">
        <v>1</v>
      </c>
      <c r="J1375" s="23">
        <v>2</v>
      </c>
      <c r="K1375" s="23">
        <v>3</v>
      </c>
      <c r="L1375" s="25">
        <f t="shared" si="45"/>
        <v>1.0195048044558224</v>
      </c>
      <c r="M1375" s="20" t="s">
        <v>139</v>
      </c>
    </row>
    <row r="1376" spans="1:13" x14ac:dyDescent="0.2">
      <c r="A1376" s="48" t="s">
        <v>142</v>
      </c>
      <c r="B1376" s="12" t="s">
        <v>43</v>
      </c>
      <c r="C1376" s="27" t="s">
        <v>62</v>
      </c>
      <c r="D1376" s="44">
        <v>0.54972776949497515</v>
      </c>
      <c r="E1376" s="15" t="s">
        <v>138</v>
      </c>
      <c r="F1376" s="16" t="s">
        <v>16</v>
      </c>
      <c r="G1376" s="22">
        <v>1</v>
      </c>
      <c r="H1376" s="23">
        <v>1</v>
      </c>
      <c r="I1376" s="23">
        <v>1</v>
      </c>
      <c r="J1376" s="23">
        <v>2</v>
      </c>
      <c r="K1376" s="23">
        <v>3</v>
      </c>
      <c r="L1376" s="25">
        <f t="shared" si="45"/>
        <v>1.0195048044558224</v>
      </c>
      <c r="M1376" s="20" t="s">
        <v>139</v>
      </c>
    </row>
    <row r="1377" spans="1:13" x14ac:dyDescent="0.2">
      <c r="A1377" s="48" t="s">
        <v>142</v>
      </c>
      <c r="B1377" s="12" t="s">
        <v>45</v>
      </c>
      <c r="C1377" s="27" t="s">
        <v>62</v>
      </c>
      <c r="D1377" s="44">
        <v>0.20820864491812791</v>
      </c>
      <c r="E1377" s="15" t="s">
        <v>138</v>
      </c>
      <c r="F1377" s="16" t="s">
        <v>16</v>
      </c>
      <c r="G1377" s="22">
        <v>1</v>
      </c>
      <c r="H1377" s="23">
        <v>1</v>
      </c>
      <c r="I1377" s="23">
        <v>1</v>
      </c>
      <c r="J1377" s="23">
        <v>2</v>
      </c>
      <c r="K1377" s="23">
        <v>3</v>
      </c>
      <c r="L1377" s="25">
        <f t="shared" si="45"/>
        <v>1.0195048044558224</v>
      </c>
      <c r="M1377" s="20" t="s">
        <v>139</v>
      </c>
    </row>
    <row r="1378" spans="1:13" x14ac:dyDescent="0.2">
      <c r="A1378" s="48" t="s">
        <v>142</v>
      </c>
      <c r="B1378" s="12" t="s">
        <v>46</v>
      </c>
      <c r="C1378" s="27" t="s">
        <v>62</v>
      </c>
      <c r="D1378" s="44">
        <v>0.94747930639306488</v>
      </c>
      <c r="E1378" s="15" t="s">
        <v>138</v>
      </c>
      <c r="F1378" s="16" t="s">
        <v>16</v>
      </c>
      <c r="G1378" s="22">
        <v>1</v>
      </c>
      <c r="H1378" s="23">
        <v>1</v>
      </c>
      <c r="I1378" s="23">
        <v>1</v>
      </c>
      <c r="J1378" s="23">
        <v>2</v>
      </c>
      <c r="K1378" s="23">
        <v>3</v>
      </c>
      <c r="L1378" s="24">
        <f t="shared" si="45"/>
        <v>1.0195048044558224</v>
      </c>
      <c r="M1378" s="20" t="s">
        <v>139</v>
      </c>
    </row>
    <row r="1379" spans="1:13" x14ac:dyDescent="0.2">
      <c r="A1379" s="48" t="s">
        <v>142</v>
      </c>
      <c r="B1379" s="12" t="s">
        <v>48</v>
      </c>
      <c r="C1379" s="27" t="s">
        <v>62</v>
      </c>
      <c r="D1379" s="44">
        <v>0.34905636683486918</v>
      </c>
      <c r="E1379" s="15" t="s">
        <v>138</v>
      </c>
      <c r="F1379" s="16" t="s">
        <v>16</v>
      </c>
      <c r="G1379" s="22">
        <v>1</v>
      </c>
      <c r="H1379" s="23">
        <v>1</v>
      </c>
      <c r="I1379" s="23">
        <v>1</v>
      </c>
      <c r="J1379" s="23">
        <v>2</v>
      </c>
      <c r="K1379" s="23">
        <v>3</v>
      </c>
      <c r="L1379" s="25">
        <f t="shared" si="45"/>
        <v>1.0195048044558224</v>
      </c>
      <c r="M1379" s="20" t="s">
        <v>139</v>
      </c>
    </row>
    <row r="1380" spans="1:13" x14ac:dyDescent="0.2">
      <c r="A1380" s="48" t="s">
        <v>142</v>
      </c>
      <c r="B1380" s="12" t="s">
        <v>50</v>
      </c>
      <c r="C1380" s="27" t="s">
        <v>62</v>
      </c>
      <c r="D1380" s="44">
        <v>0.40560866956661168</v>
      </c>
      <c r="E1380" s="15" t="s">
        <v>138</v>
      </c>
      <c r="F1380" s="16" t="s">
        <v>16</v>
      </c>
      <c r="G1380" s="22">
        <v>1</v>
      </c>
      <c r="H1380" s="23">
        <v>1</v>
      </c>
      <c r="I1380" s="23">
        <v>1</v>
      </c>
      <c r="J1380" s="23">
        <v>2</v>
      </c>
      <c r="K1380" s="23">
        <v>3</v>
      </c>
      <c r="L1380" s="25">
        <f t="shared" ref="L1380:L1411" si="46">IF( OR( ISBLANK(G1380),ISBLANK(H1380), ISBLANK(I1380), ISBLANK(J1380), ISBLANK(K1380) ), "", 1.5*SQRT( EXP(2.21*(G1380-1)) + EXP(2.21*(H1380-1)) + EXP(2.21*(I1380-1)) + EXP(2.21*(J1380-1)) + EXP(2.21*K1380) )/100*2.45 )</f>
        <v>1.0195048044558224</v>
      </c>
      <c r="M1380" s="20" t="s">
        <v>139</v>
      </c>
    </row>
    <row r="1381" spans="1:13" x14ac:dyDescent="0.2">
      <c r="A1381" s="48" t="s">
        <v>142</v>
      </c>
      <c r="B1381" s="12" t="s">
        <v>52</v>
      </c>
      <c r="C1381" s="27" t="s">
        <v>62</v>
      </c>
      <c r="D1381" s="44">
        <v>0.10782944641484429</v>
      </c>
      <c r="E1381" s="15" t="s">
        <v>138</v>
      </c>
      <c r="F1381" s="16" t="s">
        <v>16</v>
      </c>
      <c r="G1381" s="22">
        <v>1</v>
      </c>
      <c r="H1381" s="23">
        <v>1</v>
      </c>
      <c r="I1381" s="23">
        <v>1</v>
      </c>
      <c r="J1381" s="23">
        <v>2</v>
      </c>
      <c r="K1381" s="23">
        <v>3</v>
      </c>
      <c r="L1381" s="25">
        <f t="shared" si="46"/>
        <v>1.0195048044558224</v>
      </c>
      <c r="M1381" s="20" t="s">
        <v>139</v>
      </c>
    </row>
    <row r="1382" spans="1:13" x14ac:dyDescent="0.2">
      <c r="A1382" s="48" t="s">
        <v>142</v>
      </c>
      <c r="B1382" s="12" t="s">
        <v>54</v>
      </c>
      <c r="C1382" s="27" t="s">
        <v>62</v>
      </c>
      <c r="D1382" s="44">
        <v>4.1742178164988437E-2</v>
      </c>
      <c r="E1382" s="15" t="s">
        <v>138</v>
      </c>
      <c r="F1382" s="16" t="s">
        <v>16</v>
      </c>
      <c r="G1382" s="22">
        <v>1</v>
      </c>
      <c r="H1382" s="23">
        <v>1</v>
      </c>
      <c r="I1382" s="23">
        <v>1</v>
      </c>
      <c r="J1382" s="23">
        <v>2</v>
      </c>
      <c r="K1382" s="23">
        <v>3</v>
      </c>
      <c r="L1382" s="25">
        <f t="shared" si="46"/>
        <v>1.0195048044558224</v>
      </c>
      <c r="M1382" s="20" t="s">
        <v>139</v>
      </c>
    </row>
    <row r="1383" spans="1:13" x14ac:dyDescent="0.2">
      <c r="A1383" s="48" t="s">
        <v>142</v>
      </c>
      <c r="B1383" s="12" t="s">
        <v>55</v>
      </c>
      <c r="C1383" s="27" t="s">
        <v>62</v>
      </c>
      <c r="D1383" s="44">
        <v>1.279836678427581</v>
      </c>
      <c r="E1383" s="15" t="s">
        <v>138</v>
      </c>
      <c r="F1383" s="16" t="s">
        <v>16</v>
      </c>
      <c r="G1383" s="22">
        <v>1</v>
      </c>
      <c r="H1383" s="23">
        <v>1</v>
      </c>
      <c r="I1383" s="23">
        <v>1</v>
      </c>
      <c r="J1383" s="23">
        <v>2</v>
      </c>
      <c r="K1383" s="23">
        <v>3</v>
      </c>
      <c r="L1383" s="24">
        <f t="shared" si="46"/>
        <v>1.0195048044558224</v>
      </c>
      <c r="M1383" s="20" t="s">
        <v>139</v>
      </c>
    </row>
    <row r="1384" spans="1:13" x14ac:dyDescent="0.2">
      <c r="A1384" s="48" t="s">
        <v>142</v>
      </c>
      <c r="B1384" s="12" t="s">
        <v>57</v>
      </c>
      <c r="C1384" s="27" t="s">
        <v>62</v>
      </c>
      <c r="D1384" s="44">
        <v>0.20872941220292179</v>
      </c>
      <c r="E1384" s="15" t="s">
        <v>138</v>
      </c>
      <c r="F1384" s="16" t="s">
        <v>16</v>
      </c>
      <c r="G1384" s="22">
        <v>1</v>
      </c>
      <c r="H1384" s="23">
        <v>1</v>
      </c>
      <c r="I1384" s="23">
        <v>1</v>
      </c>
      <c r="J1384" s="23">
        <v>2</v>
      </c>
      <c r="K1384" s="23">
        <v>3</v>
      </c>
      <c r="L1384" s="25">
        <f t="shared" si="46"/>
        <v>1.0195048044558224</v>
      </c>
      <c r="M1384" s="20" t="s">
        <v>139</v>
      </c>
    </row>
    <row r="1385" spans="1:13" x14ac:dyDescent="0.2">
      <c r="A1385" s="48" t="s">
        <v>142</v>
      </c>
      <c r="B1385" s="12" t="s">
        <v>59</v>
      </c>
      <c r="C1385" s="27" t="s">
        <v>62</v>
      </c>
      <c r="D1385" s="44">
        <v>0.31407745407044918</v>
      </c>
      <c r="E1385" s="15" t="s">
        <v>138</v>
      </c>
      <c r="F1385" s="16" t="s">
        <v>16</v>
      </c>
      <c r="G1385" s="22">
        <v>1</v>
      </c>
      <c r="H1385" s="23">
        <v>1</v>
      </c>
      <c r="I1385" s="23">
        <v>1</v>
      </c>
      <c r="J1385" s="23">
        <v>2</v>
      </c>
      <c r="K1385" s="23">
        <v>3</v>
      </c>
      <c r="L1385" s="25">
        <f t="shared" si="46"/>
        <v>1.0195048044558224</v>
      </c>
      <c r="M1385" s="20" t="s">
        <v>139</v>
      </c>
    </row>
    <row r="1386" spans="1:13" x14ac:dyDescent="0.2">
      <c r="A1386" s="48" t="s">
        <v>142</v>
      </c>
      <c r="B1386" s="12" t="s">
        <v>60</v>
      </c>
      <c r="C1386" s="27" t="s">
        <v>62</v>
      </c>
      <c r="D1386" s="44">
        <v>1.6585441142476449</v>
      </c>
      <c r="E1386" s="15" t="s">
        <v>138</v>
      </c>
      <c r="F1386" s="16" t="s">
        <v>16</v>
      </c>
      <c r="G1386" s="22">
        <v>1</v>
      </c>
      <c r="H1386" s="23">
        <v>2</v>
      </c>
      <c r="I1386" s="23">
        <v>1</v>
      </c>
      <c r="J1386" s="23">
        <v>2</v>
      </c>
      <c r="K1386" s="23">
        <v>3</v>
      </c>
      <c r="L1386" s="24">
        <f t="shared" si="46"/>
        <v>1.0248662490928169</v>
      </c>
      <c r="M1386" s="20" t="s">
        <v>139</v>
      </c>
    </row>
    <row r="1387" spans="1:13" x14ac:dyDescent="0.2">
      <c r="A1387" s="48" t="s">
        <v>142</v>
      </c>
      <c r="B1387" s="12" t="s">
        <v>13</v>
      </c>
      <c r="C1387" s="28" t="s">
        <v>64</v>
      </c>
      <c r="D1387" s="44">
        <v>9.2653986475194348</v>
      </c>
      <c r="E1387" s="15" t="s">
        <v>138</v>
      </c>
      <c r="F1387" s="16" t="s">
        <v>16</v>
      </c>
      <c r="G1387" s="22">
        <v>1</v>
      </c>
      <c r="H1387" s="23">
        <v>1</v>
      </c>
      <c r="I1387" s="23">
        <v>1</v>
      </c>
      <c r="J1387" s="23">
        <v>2</v>
      </c>
      <c r="K1387" s="23">
        <v>3</v>
      </c>
      <c r="L1387" s="25">
        <f t="shared" si="46"/>
        <v>1.0195048044558224</v>
      </c>
      <c r="M1387" s="20" t="s">
        <v>139</v>
      </c>
    </row>
    <row r="1388" spans="1:13" x14ac:dyDescent="0.2">
      <c r="A1388" s="48" t="s">
        <v>142</v>
      </c>
      <c r="B1388" s="12" t="s">
        <v>18</v>
      </c>
      <c r="C1388" s="28" t="s">
        <v>64</v>
      </c>
      <c r="D1388" s="44">
        <v>12.488847088961981</v>
      </c>
      <c r="E1388" s="15" t="s">
        <v>138</v>
      </c>
      <c r="F1388" s="16" t="s">
        <v>16</v>
      </c>
      <c r="G1388" s="22">
        <v>1</v>
      </c>
      <c r="H1388" s="23">
        <v>1</v>
      </c>
      <c r="I1388" s="23">
        <v>1</v>
      </c>
      <c r="J1388" s="23">
        <v>2</v>
      </c>
      <c r="K1388" s="23">
        <v>3</v>
      </c>
      <c r="L1388" s="25">
        <f t="shared" si="46"/>
        <v>1.0195048044558224</v>
      </c>
      <c r="M1388" s="20" t="s">
        <v>139</v>
      </c>
    </row>
    <row r="1389" spans="1:13" x14ac:dyDescent="0.2">
      <c r="A1389" s="48" t="s">
        <v>142</v>
      </c>
      <c r="B1389" s="12" t="s">
        <v>20</v>
      </c>
      <c r="C1389" s="28" t="s">
        <v>64</v>
      </c>
      <c r="D1389" s="44">
        <v>4.7388183475374497</v>
      </c>
      <c r="E1389" s="15" t="s">
        <v>138</v>
      </c>
      <c r="F1389" s="16" t="s">
        <v>16</v>
      </c>
      <c r="G1389" s="22">
        <v>1</v>
      </c>
      <c r="H1389" s="23">
        <v>1</v>
      </c>
      <c r="I1389" s="23">
        <v>1</v>
      </c>
      <c r="J1389" s="23">
        <v>2</v>
      </c>
      <c r="K1389" s="23">
        <v>3</v>
      </c>
      <c r="L1389" s="25">
        <f t="shared" si="46"/>
        <v>1.0195048044558224</v>
      </c>
      <c r="M1389" s="20" t="s">
        <v>139</v>
      </c>
    </row>
    <row r="1390" spans="1:13" x14ac:dyDescent="0.2">
      <c r="A1390" s="48" t="s">
        <v>142</v>
      </c>
      <c r="B1390" s="12" t="s">
        <v>22</v>
      </c>
      <c r="C1390" s="28" t="s">
        <v>64</v>
      </c>
      <c r="D1390" s="44">
        <v>2.05397023871312</v>
      </c>
      <c r="E1390" s="15" t="s">
        <v>138</v>
      </c>
      <c r="F1390" s="16" t="s">
        <v>16</v>
      </c>
      <c r="G1390" s="22">
        <v>1</v>
      </c>
      <c r="H1390" s="23">
        <v>1</v>
      </c>
      <c r="I1390" s="23">
        <v>1</v>
      </c>
      <c r="J1390" s="23">
        <v>2</v>
      </c>
      <c r="K1390" s="23">
        <v>3</v>
      </c>
      <c r="L1390" s="25">
        <f t="shared" si="46"/>
        <v>1.0195048044558224</v>
      </c>
      <c r="M1390" s="20" t="s">
        <v>139</v>
      </c>
    </row>
    <row r="1391" spans="1:13" x14ac:dyDescent="0.2">
      <c r="A1391" s="48" t="s">
        <v>142</v>
      </c>
      <c r="B1391" s="12" t="s">
        <v>23</v>
      </c>
      <c r="C1391" s="28" t="s">
        <v>64</v>
      </c>
      <c r="D1391" s="44">
        <v>0.56781996075301466</v>
      </c>
      <c r="E1391" s="15" t="s">
        <v>138</v>
      </c>
      <c r="F1391" s="16" t="s">
        <v>16</v>
      </c>
      <c r="G1391" s="22">
        <v>1</v>
      </c>
      <c r="H1391" s="23">
        <v>1</v>
      </c>
      <c r="I1391" s="23">
        <v>1</v>
      </c>
      <c r="J1391" s="23">
        <v>2</v>
      </c>
      <c r="K1391" s="23">
        <v>3</v>
      </c>
      <c r="L1391" s="25">
        <f t="shared" si="46"/>
        <v>1.0195048044558224</v>
      </c>
      <c r="M1391" s="20" t="s">
        <v>139</v>
      </c>
    </row>
    <row r="1392" spans="1:13" x14ac:dyDescent="0.2">
      <c r="A1392" s="48" t="s">
        <v>142</v>
      </c>
      <c r="B1392" s="12" t="s">
        <v>24</v>
      </c>
      <c r="C1392" s="28" t="s">
        <v>64</v>
      </c>
      <c r="D1392" s="44">
        <v>8.2019256942489314</v>
      </c>
      <c r="E1392" s="15" t="s">
        <v>138</v>
      </c>
      <c r="F1392" s="16" t="s">
        <v>16</v>
      </c>
      <c r="G1392" s="22">
        <v>1</v>
      </c>
      <c r="H1392" s="23">
        <v>1</v>
      </c>
      <c r="I1392" s="23">
        <v>1</v>
      </c>
      <c r="J1392" s="23">
        <v>2</v>
      </c>
      <c r="K1392" s="23">
        <v>3</v>
      </c>
      <c r="L1392" s="25">
        <f t="shared" si="46"/>
        <v>1.0195048044558224</v>
      </c>
      <c r="M1392" s="20" t="s">
        <v>139</v>
      </c>
    </row>
    <row r="1393" spans="1:13" x14ac:dyDescent="0.2">
      <c r="A1393" s="48" t="s">
        <v>142</v>
      </c>
      <c r="B1393" s="12" t="s">
        <v>25</v>
      </c>
      <c r="C1393" s="28" t="s">
        <v>64</v>
      </c>
      <c r="D1393" s="44">
        <v>7.0944654248718662</v>
      </c>
      <c r="E1393" s="15" t="s">
        <v>138</v>
      </c>
      <c r="F1393" s="16" t="s">
        <v>16</v>
      </c>
      <c r="G1393" s="22">
        <v>1</v>
      </c>
      <c r="H1393" s="23">
        <v>1</v>
      </c>
      <c r="I1393" s="23">
        <v>1</v>
      </c>
      <c r="J1393" s="23">
        <v>2</v>
      </c>
      <c r="K1393" s="23">
        <v>3</v>
      </c>
      <c r="L1393" s="25">
        <f t="shared" si="46"/>
        <v>1.0195048044558224</v>
      </c>
      <c r="M1393" s="20" t="s">
        <v>139</v>
      </c>
    </row>
    <row r="1394" spans="1:13" x14ac:dyDescent="0.2">
      <c r="A1394" s="48" t="s">
        <v>142</v>
      </c>
      <c r="B1394" s="12" t="s">
        <v>26</v>
      </c>
      <c r="C1394" s="28" t="s">
        <v>64</v>
      </c>
      <c r="D1394" s="44">
        <v>1.6624128665162401</v>
      </c>
      <c r="E1394" s="15" t="s">
        <v>138</v>
      </c>
      <c r="F1394" s="16" t="s">
        <v>16</v>
      </c>
      <c r="G1394" s="22">
        <v>1</v>
      </c>
      <c r="H1394" s="23">
        <v>1</v>
      </c>
      <c r="I1394" s="23">
        <v>1</v>
      </c>
      <c r="J1394" s="23">
        <v>2</v>
      </c>
      <c r="K1394" s="23">
        <v>3</v>
      </c>
      <c r="L1394" s="25">
        <f t="shared" si="46"/>
        <v>1.0195048044558224</v>
      </c>
      <c r="M1394" s="20" t="s">
        <v>139</v>
      </c>
    </row>
    <row r="1395" spans="1:13" x14ac:dyDescent="0.2">
      <c r="A1395" s="48" t="s">
        <v>142</v>
      </c>
      <c r="B1395" s="12" t="s">
        <v>27</v>
      </c>
      <c r="C1395" s="28" t="s">
        <v>64</v>
      </c>
      <c r="D1395" s="44">
        <v>4.8703046667582113</v>
      </c>
      <c r="E1395" s="15" t="s">
        <v>138</v>
      </c>
      <c r="F1395" s="16" t="s">
        <v>16</v>
      </c>
      <c r="G1395" s="22">
        <v>1</v>
      </c>
      <c r="H1395" s="23">
        <v>1</v>
      </c>
      <c r="I1395" s="23">
        <v>1</v>
      </c>
      <c r="J1395" s="23">
        <v>2</v>
      </c>
      <c r="K1395" s="23">
        <v>3</v>
      </c>
      <c r="L1395" s="25">
        <f t="shared" si="46"/>
        <v>1.0195048044558224</v>
      </c>
      <c r="M1395" s="20" t="s">
        <v>139</v>
      </c>
    </row>
    <row r="1396" spans="1:13" x14ac:dyDescent="0.2">
      <c r="A1396" s="48" t="s">
        <v>142</v>
      </c>
      <c r="B1396" s="12" t="s">
        <v>28</v>
      </c>
      <c r="C1396" s="28" t="s">
        <v>64</v>
      </c>
      <c r="D1396" s="44">
        <v>66.547883975396985</v>
      </c>
      <c r="E1396" s="15" t="s">
        <v>138</v>
      </c>
      <c r="F1396" s="16" t="s">
        <v>16</v>
      </c>
      <c r="G1396" s="22">
        <v>1</v>
      </c>
      <c r="H1396" s="23">
        <v>1</v>
      </c>
      <c r="I1396" s="23">
        <v>1</v>
      </c>
      <c r="J1396" s="23">
        <v>2</v>
      </c>
      <c r="K1396" s="23">
        <v>3</v>
      </c>
      <c r="L1396" s="25">
        <f t="shared" si="46"/>
        <v>1.0195048044558224</v>
      </c>
      <c r="M1396" s="20" t="s">
        <v>139</v>
      </c>
    </row>
    <row r="1397" spans="1:13" x14ac:dyDescent="0.2">
      <c r="A1397" s="48" t="s">
        <v>142</v>
      </c>
      <c r="B1397" s="12" t="s">
        <v>30</v>
      </c>
      <c r="C1397" s="28" t="s">
        <v>64</v>
      </c>
      <c r="D1397" s="44">
        <v>117.4051078685353</v>
      </c>
      <c r="E1397" s="15" t="s">
        <v>138</v>
      </c>
      <c r="F1397" s="16" t="s">
        <v>16</v>
      </c>
      <c r="G1397" s="22">
        <v>1</v>
      </c>
      <c r="H1397" s="23">
        <v>1</v>
      </c>
      <c r="I1397" s="23">
        <v>1</v>
      </c>
      <c r="J1397" s="23">
        <v>2</v>
      </c>
      <c r="K1397" s="23">
        <v>3</v>
      </c>
      <c r="L1397" s="24">
        <f t="shared" si="46"/>
        <v>1.0195048044558224</v>
      </c>
      <c r="M1397" s="20" t="s">
        <v>139</v>
      </c>
    </row>
    <row r="1398" spans="1:13" x14ac:dyDescent="0.2">
      <c r="A1398" s="48" t="s">
        <v>142</v>
      </c>
      <c r="B1398" s="12" t="s">
        <v>32</v>
      </c>
      <c r="C1398" s="28" t="s">
        <v>64</v>
      </c>
      <c r="D1398" s="44">
        <v>8.5906330379649507</v>
      </c>
      <c r="E1398" s="15" t="s">
        <v>138</v>
      </c>
      <c r="F1398" s="16" t="s">
        <v>16</v>
      </c>
      <c r="G1398" s="22">
        <v>1</v>
      </c>
      <c r="H1398" s="23">
        <v>1</v>
      </c>
      <c r="I1398" s="23">
        <v>1</v>
      </c>
      <c r="J1398" s="23">
        <v>2</v>
      </c>
      <c r="K1398" s="23">
        <v>3</v>
      </c>
      <c r="L1398" s="25">
        <f t="shared" si="46"/>
        <v>1.0195048044558224</v>
      </c>
      <c r="M1398" s="20" t="s">
        <v>139</v>
      </c>
    </row>
    <row r="1399" spans="1:13" x14ac:dyDescent="0.2">
      <c r="A1399" s="48" t="s">
        <v>142</v>
      </c>
      <c r="B1399" s="12" t="s">
        <v>34</v>
      </c>
      <c r="C1399" s="28" t="s">
        <v>64</v>
      </c>
      <c r="D1399" s="44">
        <v>14.38191248581473</v>
      </c>
      <c r="E1399" s="15" t="s">
        <v>138</v>
      </c>
      <c r="F1399" s="16" t="s">
        <v>16</v>
      </c>
      <c r="G1399" s="22">
        <v>1</v>
      </c>
      <c r="H1399" s="23">
        <v>1</v>
      </c>
      <c r="I1399" s="23">
        <v>1</v>
      </c>
      <c r="J1399" s="23">
        <v>2</v>
      </c>
      <c r="K1399" s="23">
        <v>3</v>
      </c>
      <c r="L1399" s="25">
        <f t="shared" si="46"/>
        <v>1.0195048044558224</v>
      </c>
      <c r="M1399" s="20" t="s">
        <v>139</v>
      </c>
    </row>
    <row r="1400" spans="1:13" x14ac:dyDescent="0.2">
      <c r="A1400" s="48" t="s">
        <v>142</v>
      </c>
      <c r="B1400" s="12" t="s">
        <v>36</v>
      </c>
      <c r="C1400" s="28" t="s">
        <v>64</v>
      </c>
      <c r="D1400" s="44">
        <v>9.4650880709172913</v>
      </c>
      <c r="E1400" s="15" t="s">
        <v>138</v>
      </c>
      <c r="F1400" s="16" t="s">
        <v>16</v>
      </c>
      <c r="G1400" s="22">
        <v>1</v>
      </c>
      <c r="H1400" s="23">
        <v>1</v>
      </c>
      <c r="I1400" s="23">
        <v>1</v>
      </c>
      <c r="J1400" s="23">
        <v>2</v>
      </c>
      <c r="K1400" s="23">
        <v>3</v>
      </c>
      <c r="L1400" s="25">
        <f t="shared" si="46"/>
        <v>1.0195048044558224</v>
      </c>
      <c r="M1400" s="20" t="s">
        <v>139</v>
      </c>
    </row>
    <row r="1401" spans="1:13" x14ac:dyDescent="0.2">
      <c r="A1401" s="48" t="s">
        <v>142</v>
      </c>
      <c r="B1401" s="12" t="s">
        <v>37</v>
      </c>
      <c r="C1401" s="28" t="s">
        <v>64</v>
      </c>
      <c r="D1401" s="44">
        <v>61.869081110310567</v>
      </c>
      <c r="E1401" s="15" t="s">
        <v>138</v>
      </c>
      <c r="F1401" s="16" t="s">
        <v>16</v>
      </c>
      <c r="G1401" s="22">
        <v>1</v>
      </c>
      <c r="H1401" s="23">
        <v>1</v>
      </c>
      <c r="I1401" s="23">
        <v>1</v>
      </c>
      <c r="J1401" s="23">
        <v>2</v>
      </c>
      <c r="K1401" s="23">
        <v>3</v>
      </c>
      <c r="L1401" s="24">
        <f t="shared" si="46"/>
        <v>1.0195048044558224</v>
      </c>
      <c r="M1401" s="20" t="s">
        <v>139</v>
      </c>
    </row>
    <row r="1402" spans="1:13" x14ac:dyDescent="0.2">
      <c r="A1402" s="48" t="s">
        <v>142</v>
      </c>
      <c r="B1402" s="12" t="s">
        <v>39</v>
      </c>
      <c r="C1402" s="28" t="s">
        <v>64</v>
      </c>
      <c r="D1402" s="44">
        <v>1.4548423288796619</v>
      </c>
      <c r="E1402" s="15" t="s">
        <v>138</v>
      </c>
      <c r="F1402" s="16" t="s">
        <v>16</v>
      </c>
      <c r="G1402" s="22">
        <v>1</v>
      </c>
      <c r="H1402" s="23">
        <v>1</v>
      </c>
      <c r="I1402" s="23">
        <v>1</v>
      </c>
      <c r="J1402" s="23">
        <v>2</v>
      </c>
      <c r="K1402" s="23">
        <v>3</v>
      </c>
      <c r="L1402" s="25">
        <f t="shared" si="46"/>
        <v>1.0195048044558224</v>
      </c>
      <c r="M1402" s="20" t="s">
        <v>139</v>
      </c>
    </row>
    <row r="1403" spans="1:13" x14ac:dyDescent="0.2">
      <c r="A1403" s="48" t="s">
        <v>142</v>
      </c>
      <c r="B1403" s="12" t="s">
        <v>40</v>
      </c>
      <c r="C1403" s="28" t="s">
        <v>64</v>
      </c>
      <c r="D1403" s="44">
        <v>2.671290918453685</v>
      </c>
      <c r="E1403" s="15" t="s">
        <v>138</v>
      </c>
      <c r="F1403" s="16" t="s">
        <v>16</v>
      </c>
      <c r="G1403" s="22">
        <v>1</v>
      </c>
      <c r="H1403" s="23">
        <v>1</v>
      </c>
      <c r="I1403" s="23">
        <v>1</v>
      </c>
      <c r="J1403" s="23">
        <v>2</v>
      </c>
      <c r="K1403" s="23">
        <v>3</v>
      </c>
      <c r="L1403" s="25">
        <f t="shared" si="46"/>
        <v>1.0195048044558224</v>
      </c>
      <c r="M1403" s="20" t="s">
        <v>139</v>
      </c>
    </row>
    <row r="1404" spans="1:13" x14ac:dyDescent="0.2">
      <c r="A1404" s="48" t="s">
        <v>142</v>
      </c>
      <c r="B1404" s="12" t="s">
        <v>41</v>
      </c>
      <c r="C1404" s="28" t="s">
        <v>64</v>
      </c>
      <c r="D1404" s="44">
        <v>0.75916026645151913</v>
      </c>
      <c r="E1404" s="15" t="s">
        <v>138</v>
      </c>
      <c r="F1404" s="16" t="s">
        <v>16</v>
      </c>
      <c r="G1404" s="22">
        <v>1</v>
      </c>
      <c r="H1404" s="23">
        <v>1</v>
      </c>
      <c r="I1404" s="23">
        <v>1</v>
      </c>
      <c r="J1404" s="23">
        <v>2</v>
      </c>
      <c r="K1404" s="23">
        <v>3</v>
      </c>
      <c r="L1404" s="25">
        <f t="shared" si="46"/>
        <v>1.0195048044558224</v>
      </c>
      <c r="M1404" s="20" t="s">
        <v>139</v>
      </c>
    </row>
    <row r="1405" spans="1:13" x14ac:dyDescent="0.2">
      <c r="A1405" s="48" t="s">
        <v>142</v>
      </c>
      <c r="B1405" s="12" t="s">
        <v>42</v>
      </c>
      <c r="C1405" s="28" t="s">
        <v>64</v>
      </c>
      <c r="D1405" s="44">
        <v>0.43800800403024859</v>
      </c>
      <c r="E1405" s="15" t="s">
        <v>138</v>
      </c>
      <c r="F1405" s="16" t="s">
        <v>16</v>
      </c>
      <c r="G1405" s="22">
        <v>1</v>
      </c>
      <c r="H1405" s="23">
        <v>1</v>
      </c>
      <c r="I1405" s="23">
        <v>1</v>
      </c>
      <c r="J1405" s="23">
        <v>2</v>
      </c>
      <c r="K1405" s="23">
        <v>3</v>
      </c>
      <c r="L1405" s="25">
        <f t="shared" si="46"/>
        <v>1.0195048044558224</v>
      </c>
      <c r="M1405" s="20" t="s">
        <v>139</v>
      </c>
    </row>
    <row r="1406" spans="1:13" x14ac:dyDescent="0.2">
      <c r="A1406" s="48" t="s">
        <v>142</v>
      </c>
      <c r="B1406" s="12" t="s">
        <v>43</v>
      </c>
      <c r="C1406" s="28" t="s">
        <v>64</v>
      </c>
      <c r="D1406" s="44">
        <v>20.27899389333221</v>
      </c>
      <c r="E1406" s="15" t="s">
        <v>138</v>
      </c>
      <c r="F1406" s="16" t="s">
        <v>16</v>
      </c>
      <c r="G1406" s="22">
        <v>1</v>
      </c>
      <c r="H1406" s="23">
        <v>1</v>
      </c>
      <c r="I1406" s="23">
        <v>1</v>
      </c>
      <c r="J1406" s="23">
        <v>2</v>
      </c>
      <c r="K1406" s="23">
        <v>3</v>
      </c>
      <c r="L1406" s="25">
        <f t="shared" si="46"/>
        <v>1.0195048044558224</v>
      </c>
      <c r="M1406" s="20" t="s">
        <v>139</v>
      </c>
    </row>
    <row r="1407" spans="1:13" x14ac:dyDescent="0.2">
      <c r="A1407" s="48" t="s">
        <v>142</v>
      </c>
      <c r="B1407" s="12" t="s">
        <v>45</v>
      </c>
      <c r="C1407" s="28" t="s">
        <v>64</v>
      </c>
      <c r="D1407" s="44">
        <v>7.6806413521962051</v>
      </c>
      <c r="E1407" s="15" t="s">
        <v>138</v>
      </c>
      <c r="F1407" s="16" t="s">
        <v>16</v>
      </c>
      <c r="G1407" s="22">
        <v>1</v>
      </c>
      <c r="H1407" s="23">
        <v>1</v>
      </c>
      <c r="I1407" s="23">
        <v>1</v>
      </c>
      <c r="J1407" s="23">
        <v>2</v>
      </c>
      <c r="K1407" s="23">
        <v>3</v>
      </c>
      <c r="L1407" s="25">
        <f t="shared" si="46"/>
        <v>1.0195048044558224</v>
      </c>
      <c r="M1407" s="20" t="s">
        <v>139</v>
      </c>
    </row>
    <row r="1408" spans="1:13" x14ac:dyDescent="0.2">
      <c r="A1408" s="48" t="s">
        <v>142</v>
      </c>
      <c r="B1408" s="12" t="s">
        <v>46</v>
      </c>
      <c r="C1408" s="28" t="s">
        <v>64</v>
      </c>
      <c r="D1408" s="44">
        <v>34.951712710556869</v>
      </c>
      <c r="E1408" s="15" t="s">
        <v>138</v>
      </c>
      <c r="F1408" s="16" t="s">
        <v>16</v>
      </c>
      <c r="G1408" s="22">
        <v>1</v>
      </c>
      <c r="H1408" s="23">
        <v>1</v>
      </c>
      <c r="I1408" s="23">
        <v>1</v>
      </c>
      <c r="J1408" s="23">
        <v>2</v>
      </c>
      <c r="K1408" s="23">
        <v>3</v>
      </c>
      <c r="L1408" s="24">
        <f t="shared" si="46"/>
        <v>1.0195048044558224</v>
      </c>
      <c r="M1408" s="20" t="s">
        <v>139</v>
      </c>
    </row>
    <row r="1409" spans="1:13" x14ac:dyDescent="0.2">
      <c r="A1409" s="48" t="s">
        <v>142</v>
      </c>
      <c r="B1409" s="12" t="s">
        <v>48</v>
      </c>
      <c r="C1409" s="28" t="s">
        <v>64</v>
      </c>
      <c r="D1409" s="44">
        <v>12.87639505272935</v>
      </c>
      <c r="E1409" s="15" t="s">
        <v>138</v>
      </c>
      <c r="F1409" s="16" t="s">
        <v>16</v>
      </c>
      <c r="G1409" s="22">
        <v>1</v>
      </c>
      <c r="H1409" s="23">
        <v>1</v>
      </c>
      <c r="I1409" s="23">
        <v>1</v>
      </c>
      <c r="J1409" s="23">
        <v>2</v>
      </c>
      <c r="K1409" s="23">
        <v>3</v>
      </c>
      <c r="L1409" s="25">
        <f t="shared" si="46"/>
        <v>1.0195048044558224</v>
      </c>
      <c r="M1409" s="20" t="s">
        <v>139</v>
      </c>
    </row>
    <row r="1410" spans="1:13" x14ac:dyDescent="0.2">
      <c r="A1410" s="48" t="s">
        <v>142</v>
      </c>
      <c r="B1410" s="12" t="s">
        <v>50</v>
      </c>
      <c r="C1410" s="28" t="s">
        <v>64</v>
      </c>
      <c r="D1410" s="44">
        <v>14.962561816333899</v>
      </c>
      <c r="E1410" s="15" t="s">
        <v>138</v>
      </c>
      <c r="F1410" s="16" t="s">
        <v>16</v>
      </c>
      <c r="G1410" s="22">
        <v>1</v>
      </c>
      <c r="H1410" s="23">
        <v>1</v>
      </c>
      <c r="I1410" s="23">
        <v>1</v>
      </c>
      <c r="J1410" s="23">
        <v>2</v>
      </c>
      <c r="K1410" s="23">
        <v>3</v>
      </c>
      <c r="L1410" s="25">
        <f t="shared" si="46"/>
        <v>1.0195048044558224</v>
      </c>
      <c r="M1410" s="20" t="s">
        <v>139</v>
      </c>
    </row>
    <row r="1411" spans="1:13" x14ac:dyDescent="0.2">
      <c r="A1411" s="48" t="s">
        <v>142</v>
      </c>
      <c r="B1411" s="12" t="s">
        <v>52</v>
      </c>
      <c r="C1411" s="28" t="s">
        <v>64</v>
      </c>
      <c r="D1411" s="44">
        <v>3.977737357850553</v>
      </c>
      <c r="E1411" s="15" t="s">
        <v>138</v>
      </c>
      <c r="F1411" s="16" t="s">
        <v>16</v>
      </c>
      <c r="G1411" s="22">
        <v>1</v>
      </c>
      <c r="H1411" s="23">
        <v>1</v>
      </c>
      <c r="I1411" s="23">
        <v>1</v>
      </c>
      <c r="J1411" s="23">
        <v>2</v>
      </c>
      <c r="K1411" s="23">
        <v>3</v>
      </c>
      <c r="L1411" s="25">
        <f t="shared" si="46"/>
        <v>1.0195048044558224</v>
      </c>
      <c r="M1411" s="20" t="s">
        <v>139</v>
      </c>
    </row>
    <row r="1412" spans="1:13" x14ac:dyDescent="0.2">
      <c r="A1412" s="48" t="s">
        <v>142</v>
      </c>
      <c r="B1412" s="12" t="s">
        <v>54</v>
      </c>
      <c r="C1412" s="28" t="s">
        <v>64</v>
      </c>
      <c r="D1412" s="44">
        <v>1.5398337560422679</v>
      </c>
      <c r="E1412" s="15" t="s">
        <v>138</v>
      </c>
      <c r="F1412" s="16" t="s">
        <v>16</v>
      </c>
      <c r="G1412" s="22">
        <v>1</v>
      </c>
      <c r="H1412" s="23">
        <v>1</v>
      </c>
      <c r="I1412" s="23">
        <v>1</v>
      </c>
      <c r="J1412" s="23">
        <v>2</v>
      </c>
      <c r="K1412" s="23">
        <v>3</v>
      </c>
      <c r="L1412" s="25">
        <f t="shared" ref="L1412:L1443" si="47">IF( OR( ISBLANK(G1412),ISBLANK(H1412), ISBLANK(I1412), ISBLANK(J1412), ISBLANK(K1412) ), "", 1.5*SQRT( EXP(2.21*(G1412-1)) + EXP(2.21*(H1412-1)) + EXP(2.21*(I1412-1)) + EXP(2.21*(J1412-1)) + EXP(2.21*K1412) )/100*2.45 )</f>
        <v>1.0195048044558224</v>
      </c>
      <c r="M1412" s="20" t="s">
        <v>139</v>
      </c>
    </row>
    <row r="1413" spans="1:13" x14ac:dyDescent="0.2">
      <c r="A1413" s="48" t="s">
        <v>142</v>
      </c>
      <c r="B1413" s="12" t="s">
        <v>55</v>
      </c>
      <c r="C1413" s="28" t="s">
        <v>64</v>
      </c>
      <c r="D1413" s="44">
        <v>47.212095925477392</v>
      </c>
      <c r="E1413" s="15" t="s">
        <v>138</v>
      </c>
      <c r="F1413" s="16" t="s">
        <v>16</v>
      </c>
      <c r="G1413" s="22">
        <v>1</v>
      </c>
      <c r="H1413" s="23">
        <v>1</v>
      </c>
      <c r="I1413" s="23">
        <v>1</v>
      </c>
      <c r="J1413" s="23">
        <v>2</v>
      </c>
      <c r="K1413" s="23">
        <v>3</v>
      </c>
      <c r="L1413" s="24">
        <f t="shared" si="47"/>
        <v>1.0195048044558224</v>
      </c>
      <c r="M1413" s="20" t="s">
        <v>139</v>
      </c>
    </row>
    <row r="1414" spans="1:13" x14ac:dyDescent="0.2">
      <c r="A1414" s="48" t="s">
        <v>142</v>
      </c>
      <c r="B1414" s="12" t="s">
        <v>57</v>
      </c>
      <c r="C1414" s="28" t="s">
        <v>64</v>
      </c>
      <c r="D1414" s="44">
        <v>7.699852018228019</v>
      </c>
      <c r="E1414" s="15" t="s">
        <v>138</v>
      </c>
      <c r="F1414" s="16" t="s">
        <v>16</v>
      </c>
      <c r="G1414" s="22">
        <v>1</v>
      </c>
      <c r="H1414" s="23">
        <v>1</v>
      </c>
      <c r="I1414" s="23">
        <v>1</v>
      </c>
      <c r="J1414" s="23">
        <v>2</v>
      </c>
      <c r="K1414" s="23">
        <v>3</v>
      </c>
      <c r="L1414" s="25">
        <f t="shared" si="47"/>
        <v>1.0195048044558224</v>
      </c>
      <c r="M1414" s="20" t="s">
        <v>139</v>
      </c>
    </row>
    <row r="1415" spans="1:13" x14ac:dyDescent="0.2">
      <c r="A1415" s="48" t="s">
        <v>142</v>
      </c>
      <c r="B1415" s="12" t="s">
        <v>59</v>
      </c>
      <c r="C1415" s="28" t="s">
        <v>64</v>
      </c>
      <c r="D1415" s="44">
        <v>11.58605245461624</v>
      </c>
      <c r="E1415" s="15" t="s">
        <v>138</v>
      </c>
      <c r="F1415" s="16" t="s">
        <v>16</v>
      </c>
      <c r="G1415" s="22">
        <v>1</v>
      </c>
      <c r="H1415" s="23">
        <v>1</v>
      </c>
      <c r="I1415" s="23">
        <v>1</v>
      </c>
      <c r="J1415" s="23">
        <v>2</v>
      </c>
      <c r="K1415" s="23">
        <v>3</v>
      </c>
      <c r="L1415" s="25">
        <f t="shared" si="47"/>
        <v>1.0195048044558224</v>
      </c>
      <c r="M1415" s="20" t="s">
        <v>139</v>
      </c>
    </row>
    <row r="1416" spans="1:13" x14ac:dyDescent="0.2">
      <c r="A1416" s="48" t="s">
        <v>142</v>
      </c>
      <c r="B1416" s="12" t="s">
        <v>60</v>
      </c>
      <c r="C1416" s="28" t="s">
        <v>64</v>
      </c>
      <c r="D1416" s="44">
        <v>61.182293911673142</v>
      </c>
      <c r="E1416" s="15" t="s">
        <v>138</v>
      </c>
      <c r="F1416" s="16" t="s">
        <v>16</v>
      </c>
      <c r="G1416" s="22">
        <v>1</v>
      </c>
      <c r="H1416" s="23">
        <v>2</v>
      </c>
      <c r="I1416" s="23">
        <v>1</v>
      </c>
      <c r="J1416" s="23">
        <v>2</v>
      </c>
      <c r="K1416" s="23">
        <v>3</v>
      </c>
      <c r="L1416" s="24">
        <f t="shared" si="47"/>
        <v>1.0248662490928169</v>
      </c>
      <c r="M1416" s="20" t="s">
        <v>139</v>
      </c>
    </row>
    <row r="1417" spans="1:13" x14ac:dyDescent="0.2">
      <c r="A1417" s="48" t="s">
        <v>142</v>
      </c>
      <c r="B1417" s="12" t="s">
        <v>13</v>
      </c>
      <c r="C1417" s="29" t="s">
        <v>66</v>
      </c>
      <c r="D1417" s="44">
        <v>5.3408276089531901</v>
      </c>
      <c r="E1417" s="15" t="s">
        <v>138</v>
      </c>
      <c r="F1417" s="16" t="s">
        <v>16</v>
      </c>
      <c r="G1417" s="22">
        <v>1</v>
      </c>
      <c r="H1417" s="23">
        <v>1</v>
      </c>
      <c r="I1417" s="23">
        <v>1</v>
      </c>
      <c r="J1417" s="23">
        <v>2</v>
      </c>
      <c r="K1417" s="23">
        <v>3</v>
      </c>
      <c r="L1417" s="25">
        <f t="shared" si="47"/>
        <v>1.0195048044558224</v>
      </c>
      <c r="M1417" s="20" t="s">
        <v>139</v>
      </c>
    </row>
    <row r="1418" spans="1:13" x14ac:dyDescent="0.2">
      <c r="A1418" s="48" t="s">
        <v>142</v>
      </c>
      <c r="B1418" s="12" t="s">
        <v>18</v>
      </c>
      <c r="C1418" s="29" t="s">
        <v>66</v>
      </c>
      <c r="D1418" s="44">
        <v>7.1989109021855384</v>
      </c>
      <c r="E1418" s="15" t="s">
        <v>138</v>
      </c>
      <c r="F1418" s="16" t="s">
        <v>16</v>
      </c>
      <c r="G1418" s="22">
        <v>1</v>
      </c>
      <c r="H1418" s="23">
        <v>1</v>
      </c>
      <c r="I1418" s="23">
        <v>1</v>
      </c>
      <c r="J1418" s="23">
        <v>2</v>
      </c>
      <c r="K1418" s="23">
        <v>3</v>
      </c>
      <c r="L1418" s="25">
        <f t="shared" si="47"/>
        <v>1.0195048044558224</v>
      </c>
      <c r="M1418" s="20" t="s">
        <v>139</v>
      </c>
    </row>
    <row r="1419" spans="1:13" x14ac:dyDescent="0.2">
      <c r="A1419" s="48" t="s">
        <v>142</v>
      </c>
      <c r="B1419" s="12" t="s">
        <v>20</v>
      </c>
      <c r="C1419" s="29" t="s">
        <v>66</v>
      </c>
      <c r="D1419" s="44">
        <v>2.73158369403974</v>
      </c>
      <c r="E1419" s="15" t="s">
        <v>138</v>
      </c>
      <c r="F1419" s="16" t="s">
        <v>16</v>
      </c>
      <c r="G1419" s="22">
        <v>1</v>
      </c>
      <c r="H1419" s="23">
        <v>1</v>
      </c>
      <c r="I1419" s="23">
        <v>1</v>
      </c>
      <c r="J1419" s="23">
        <v>2</v>
      </c>
      <c r="K1419" s="23">
        <v>3</v>
      </c>
      <c r="L1419" s="25">
        <f t="shared" si="47"/>
        <v>1.0195048044558224</v>
      </c>
      <c r="M1419" s="20" t="s">
        <v>139</v>
      </c>
    </row>
    <row r="1420" spans="1:13" x14ac:dyDescent="0.2">
      <c r="A1420" s="48" t="s">
        <v>142</v>
      </c>
      <c r="B1420" s="12" t="s">
        <v>22</v>
      </c>
      <c r="C1420" s="29" t="s">
        <v>66</v>
      </c>
      <c r="D1420" s="44">
        <v>1.183964271394206</v>
      </c>
      <c r="E1420" s="15" t="s">
        <v>138</v>
      </c>
      <c r="F1420" s="16" t="s">
        <v>16</v>
      </c>
      <c r="G1420" s="22">
        <v>1</v>
      </c>
      <c r="H1420" s="23">
        <v>1</v>
      </c>
      <c r="I1420" s="23">
        <v>1</v>
      </c>
      <c r="J1420" s="23">
        <v>2</v>
      </c>
      <c r="K1420" s="23">
        <v>3</v>
      </c>
      <c r="L1420" s="25">
        <f t="shared" si="47"/>
        <v>1.0195048044558224</v>
      </c>
      <c r="M1420" s="20" t="s">
        <v>139</v>
      </c>
    </row>
    <row r="1421" spans="1:13" x14ac:dyDescent="0.2">
      <c r="A1421" s="48" t="s">
        <v>142</v>
      </c>
      <c r="B1421" s="12" t="s">
        <v>23</v>
      </c>
      <c r="C1421" s="29" t="s">
        <v>66</v>
      </c>
      <c r="D1421" s="44">
        <v>0.32730685841740048</v>
      </c>
      <c r="E1421" s="15" t="s">
        <v>138</v>
      </c>
      <c r="F1421" s="16" t="s">
        <v>16</v>
      </c>
      <c r="G1421" s="22">
        <v>1</v>
      </c>
      <c r="H1421" s="23">
        <v>1</v>
      </c>
      <c r="I1421" s="23">
        <v>1</v>
      </c>
      <c r="J1421" s="23">
        <v>2</v>
      </c>
      <c r="K1421" s="23">
        <v>3</v>
      </c>
      <c r="L1421" s="25">
        <f t="shared" si="47"/>
        <v>1.0195048044558224</v>
      </c>
      <c r="M1421" s="20" t="s">
        <v>139</v>
      </c>
    </row>
    <row r="1422" spans="1:13" x14ac:dyDescent="0.2">
      <c r="A1422" s="48" t="s">
        <v>142</v>
      </c>
      <c r="B1422" s="12" t="s">
        <v>24</v>
      </c>
      <c r="C1422" s="29" t="s">
        <v>66</v>
      </c>
      <c r="D1422" s="44">
        <v>4.7278128940685029</v>
      </c>
      <c r="E1422" s="15" t="s">
        <v>138</v>
      </c>
      <c r="F1422" s="16" t="s">
        <v>16</v>
      </c>
      <c r="G1422" s="22">
        <v>1</v>
      </c>
      <c r="H1422" s="23">
        <v>1</v>
      </c>
      <c r="I1422" s="23">
        <v>1</v>
      </c>
      <c r="J1422" s="23">
        <v>2</v>
      </c>
      <c r="K1422" s="23">
        <v>3</v>
      </c>
      <c r="L1422" s="25">
        <f t="shared" si="47"/>
        <v>1.0195048044558224</v>
      </c>
      <c r="M1422" s="20" t="s">
        <v>139</v>
      </c>
    </row>
    <row r="1423" spans="1:13" x14ac:dyDescent="0.2">
      <c r="A1423" s="48" t="s">
        <v>142</v>
      </c>
      <c r="B1423" s="12" t="s">
        <v>25</v>
      </c>
      <c r="C1423" s="29" t="s">
        <v>66</v>
      </c>
      <c r="D1423" s="44">
        <v>4.0894426946285378</v>
      </c>
      <c r="E1423" s="15" t="s">
        <v>138</v>
      </c>
      <c r="F1423" s="16" t="s">
        <v>16</v>
      </c>
      <c r="G1423" s="22">
        <v>1</v>
      </c>
      <c r="H1423" s="23">
        <v>1</v>
      </c>
      <c r="I1423" s="23">
        <v>1</v>
      </c>
      <c r="J1423" s="23">
        <v>2</v>
      </c>
      <c r="K1423" s="23">
        <v>3</v>
      </c>
      <c r="L1423" s="25">
        <f t="shared" si="47"/>
        <v>1.0195048044558224</v>
      </c>
      <c r="M1423" s="20" t="s">
        <v>139</v>
      </c>
    </row>
    <row r="1424" spans="1:13" x14ac:dyDescent="0.2">
      <c r="A1424" s="48" t="s">
        <v>142</v>
      </c>
      <c r="B1424" s="12" t="s">
        <v>26</v>
      </c>
      <c r="C1424" s="29" t="s">
        <v>66</v>
      </c>
      <c r="D1424" s="44">
        <v>0.95825995974236633</v>
      </c>
      <c r="E1424" s="15" t="s">
        <v>138</v>
      </c>
      <c r="F1424" s="16" t="s">
        <v>16</v>
      </c>
      <c r="G1424" s="22">
        <v>1</v>
      </c>
      <c r="H1424" s="23">
        <v>1</v>
      </c>
      <c r="I1424" s="23">
        <v>1</v>
      </c>
      <c r="J1424" s="23">
        <v>2</v>
      </c>
      <c r="K1424" s="23">
        <v>3</v>
      </c>
      <c r="L1424" s="25">
        <f t="shared" si="47"/>
        <v>1.0195048044558224</v>
      </c>
      <c r="M1424" s="20" t="s">
        <v>139</v>
      </c>
    </row>
    <row r="1425" spans="1:13" x14ac:dyDescent="0.2">
      <c r="A1425" s="48" t="s">
        <v>142</v>
      </c>
      <c r="B1425" s="12" t="s">
        <v>27</v>
      </c>
      <c r="C1425" s="29" t="s">
        <v>66</v>
      </c>
      <c r="D1425" s="44">
        <v>2.8073759821656141</v>
      </c>
      <c r="E1425" s="15" t="s">
        <v>138</v>
      </c>
      <c r="F1425" s="16" t="s">
        <v>16</v>
      </c>
      <c r="G1425" s="22">
        <v>1</v>
      </c>
      <c r="H1425" s="23">
        <v>1</v>
      </c>
      <c r="I1425" s="23">
        <v>1</v>
      </c>
      <c r="J1425" s="23">
        <v>2</v>
      </c>
      <c r="K1425" s="23">
        <v>3</v>
      </c>
      <c r="L1425" s="25">
        <f t="shared" si="47"/>
        <v>1.0195048044558224</v>
      </c>
      <c r="M1425" s="20" t="s">
        <v>139</v>
      </c>
    </row>
    <row r="1426" spans="1:13" x14ac:dyDescent="0.2">
      <c r="A1426" s="48" t="s">
        <v>142</v>
      </c>
      <c r="B1426" s="12" t="s">
        <v>28</v>
      </c>
      <c r="C1426" s="29" t="s">
        <v>66</v>
      </c>
      <c r="D1426" s="44">
        <v>38.360009058905227</v>
      </c>
      <c r="E1426" s="15" t="s">
        <v>138</v>
      </c>
      <c r="F1426" s="16" t="s">
        <v>16</v>
      </c>
      <c r="G1426" s="22">
        <v>1</v>
      </c>
      <c r="H1426" s="23">
        <v>1</v>
      </c>
      <c r="I1426" s="23">
        <v>1</v>
      </c>
      <c r="J1426" s="23">
        <v>2</v>
      </c>
      <c r="K1426" s="23">
        <v>3</v>
      </c>
      <c r="L1426" s="25">
        <f t="shared" si="47"/>
        <v>1.0195048044558224</v>
      </c>
      <c r="M1426" s="20" t="s">
        <v>139</v>
      </c>
    </row>
    <row r="1427" spans="1:13" x14ac:dyDescent="0.2">
      <c r="A1427" s="48" t="s">
        <v>142</v>
      </c>
      <c r="B1427" s="12" t="s">
        <v>30</v>
      </c>
      <c r="C1427" s="29" t="s">
        <v>66</v>
      </c>
      <c r="D1427" s="44">
        <v>67.675495182743617</v>
      </c>
      <c r="E1427" s="15" t="s">
        <v>138</v>
      </c>
      <c r="F1427" s="16" t="s">
        <v>16</v>
      </c>
      <c r="G1427" s="22">
        <v>1</v>
      </c>
      <c r="H1427" s="23">
        <v>1</v>
      </c>
      <c r="I1427" s="23">
        <v>1</v>
      </c>
      <c r="J1427" s="23">
        <v>2</v>
      </c>
      <c r="K1427" s="23">
        <v>3</v>
      </c>
      <c r="L1427" s="24">
        <f t="shared" si="47"/>
        <v>1.0195048044558224</v>
      </c>
      <c r="M1427" s="20" t="s">
        <v>139</v>
      </c>
    </row>
    <row r="1428" spans="1:13" x14ac:dyDescent="0.2">
      <c r="A1428" s="48" t="s">
        <v>142</v>
      </c>
      <c r="B1428" s="12" t="s">
        <v>32</v>
      </c>
      <c r="C1428" s="29" t="s">
        <v>66</v>
      </c>
      <c r="D1428" s="44">
        <v>4.9518743718417424</v>
      </c>
      <c r="E1428" s="15" t="s">
        <v>138</v>
      </c>
      <c r="F1428" s="16" t="s">
        <v>16</v>
      </c>
      <c r="G1428" s="22">
        <v>1</v>
      </c>
      <c r="H1428" s="23">
        <v>1</v>
      </c>
      <c r="I1428" s="23">
        <v>1</v>
      </c>
      <c r="J1428" s="23">
        <v>2</v>
      </c>
      <c r="K1428" s="23">
        <v>3</v>
      </c>
      <c r="L1428" s="25">
        <f t="shared" si="47"/>
        <v>1.0195048044558224</v>
      </c>
      <c r="M1428" s="20" t="s">
        <v>139</v>
      </c>
    </row>
    <row r="1429" spans="1:13" x14ac:dyDescent="0.2">
      <c r="A1429" s="48" t="s">
        <v>142</v>
      </c>
      <c r="B1429" s="12" t="s">
        <v>34</v>
      </c>
      <c r="C1429" s="29" t="s">
        <v>66</v>
      </c>
      <c r="D1429" s="44">
        <v>8.2901252494248681</v>
      </c>
      <c r="E1429" s="15" t="s">
        <v>138</v>
      </c>
      <c r="F1429" s="16" t="s">
        <v>16</v>
      </c>
      <c r="G1429" s="22">
        <v>1</v>
      </c>
      <c r="H1429" s="23">
        <v>1</v>
      </c>
      <c r="I1429" s="23">
        <v>1</v>
      </c>
      <c r="J1429" s="23">
        <v>2</v>
      </c>
      <c r="K1429" s="23">
        <v>3</v>
      </c>
      <c r="L1429" s="25">
        <f t="shared" si="47"/>
        <v>1.0195048044558224</v>
      </c>
      <c r="M1429" s="20" t="s">
        <v>139</v>
      </c>
    </row>
    <row r="1430" spans="1:13" x14ac:dyDescent="0.2">
      <c r="A1430" s="48" t="s">
        <v>142</v>
      </c>
      <c r="B1430" s="12" t="s">
        <v>36</v>
      </c>
      <c r="C1430" s="29" t="s">
        <v>66</v>
      </c>
      <c r="D1430" s="44">
        <v>5.4559340200502184</v>
      </c>
      <c r="E1430" s="15" t="s">
        <v>138</v>
      </c>
      <c r="F1430" s="16" t="s">
        <v>16</v>
      </c>
      <c r="G1430" s="22">
        <v>1</v>
      </c>
      <c r="H1430" s="23">
        <v>1</v>
      </c>
      <c r="I1430" s="23">
        <v>1</v>
      </c>
      <c r="J1430" s="23">
        <v>2</v>
      </c>
      <c r="K1430" s="23">
        <v>3</v>
      </c>
      <c r="L1430" s="25">
        <f t="shared" si="47"/>
        <v>1.0195048044558224</v>
      </c>
      <c r="M1430" s="20" t="s">
        <v>139</v>
      </c>
    </row>
    <row r="1431" spans="1:13" x14ac:dyDescent="0.2">
      <c r="A1431" s="48" t="s">
        <v>142</v>
      </c>
      <c r="B1431" s="12" t="s">
        <v>37</v>
      </c>
      <c r="C1431" s="29" t="s">
        <v>66</v>
      </c>
      <c r="D1431" s="44">
        <v>35.663019920138623</v>
      </c>
      <c r="E1431" s="15" t="s">
        <v>138</v>
      </c>
      <c r="F1431" s="16" t="s">
        <v>16</v>
      </c>
      <c r="G1431" s="22">
        <v>1</v>
      </c>
      <c r="H1431" s="23">
        <v>1</v>
      </c>
      <c r="I1431" s="23">
        <v>1</v>
      </c>
      <c r="J1431" s="23">
        <v>2</v>
      </c>
      <c r="K1431" s="23">
        <v>3</v>
      </c>
      <c r="L1431" s="24">
        <f t="shared" si="47"/>
        <v>1.0195048044558224</v>
      </c>
      <c r="M1431" s="20" t="s">
        <v>139</v>
      </c>
    </row>
    <row r="1432" spans="1:13" x14ac:dyDescent="0.2">
      <c r="A1432" s="48" t="s">
        <v>142</v>
      </c>
      <c r="B1432" s="12" t="s">
        <v>39</v>
      </c>
      <c r="C1432" s="29" t="s">
        <v>66</v>
      </c>
      <c r="D1432" s="44">
        <v>0.83861066019371799</v>
      </c>
      <c r="E1432" s="15" t="s">
        <v>138</v>
      </c>
      <c r="F1432" s="16" t="s">
        <v>16</v>
      </c>
      <c r="G1432" s="22">
        <v>1</v>
      </c>
      <c r="H1432" s="23">
        <v>1</v>
      </c>
      <c r="I1432" s="23">
        <v>1</v>
      </c>
      <c r="J1432" s="23">
        <v>2</v>
      </c>
      <c r="K1432" s="23">
        <v>3</v>
      </c>
      <c r="L1432" s="25">
        <f t="shared" si="47"/>
        <v>1.0195048044558224</v>
      </c>
      <c r="M1432" s="20" t="s">
        <v>139</v>
      </c>
    </row>
    <row r="1433" spans="1:13" x14ac:dyDescent="0.2">
      <c r="A1433" s="48" t="s">
        <v>142</v>
      </c>
      <c r="B1433" s="12" t="s">
        <v>40</v>
      </c>
      <c r="C1433" s="29" t="s">
        <v>66</v>
      </c>
      <c r="D1433" s="44">
        <v>1.539804689638794</v>
      </c>
      <c r="E1433" s="15" t="s">
        <v>138</v>
      </c>
      <c r="F1433" s="16" t="s">
        <v>16</v>
      </c>
      <c r="G1433" s="22">
        <v>1</v>
      </c>
      <c r="H1433" s="23">
        <v>1</v>
      </c>
      <c r="I1433" s="23">
        <v>1</v>
      </c>
      <c r="J1433" s="23">
        <v>2</v>
      </c>
      <c r="K1433" s="23">
        <v>3</v>
      </c>
      <c r="L1433" s="25">
        <f t="shared" si="47"/>
        <v>1.0195048044558224</v>
      </c>
      <c r="M1433" s="20" t="s">
        <v>139</v>
      </c>
    </row>
    <row r="1434" spans="1:13" x14ac:dyDescent="0.2">
      <c r="A1434" s="48" t="s">
        <v>142</v>
      </c>
      <c r="B1434" s="12" t="s">
        <v>41</v>
      </c>
      <c r="C1434" s="29" t="s">
        <v>66</v>
      </c>
      <c r="D1434" s="44">
        <v>0.43760061114801913</v>
      </c>
      <c r="E1434" s="15" t="s">
        <v>138</v>
      </c>
      <c r="F1434" s="16" t="s">
        <v>16</v>
      </c>
      <c r="G1434" s="22">
        <v>1</v>
      </c>
      <c r="H1434" s="23">
        <v>1</v>
      </c>
      <c r="I1434" s="23">
        <v>1</v>
      </c>
      <c r="J1434" s="23">
        <v>2</v>
      </c>
      <c r="K1434" s="23">
        <v>3</v>
      </c>
      <c r="L1434" s="25">
        <f t="shared" si="47"/>
        <v>1.0195048044558224</v>
      </c>
      <c r="M1434" s="20" t="s">
        <v>139</v>
      </c>
    </row>
    <row r="1435" spans="1:13" x14ac:dyDescent="0.2">
      <c r="A1435" s="48" t="s">
        <v>142</v>
      </c>
      <c r="B1435" s="12" t="s">
        <v>42</v>
      </c>
      <c r="C1435" s="29" t="s">
        <v>66</v>
      </c>
      <c r="D1435" s="44">
        <v>0.25247971834363803</v>
      </c>
      <c r="E1435" s="15" t="s">
        <v>138</v>
      </c>
      <c r="F1435" s="16" t="s">
        <v>16</v>
      </c>
      <c r="G1435" s="22">
        <v>1</v>
      </c>
      <c r="H1435" s="23">
        <v>1</v>
      </c>
      <c r="I1435" s="23">
        <v>1</v>
      </c>
      <c r="J1435" s="23">
        <v>2</v>
      </c>
      <c r="K1435" s="23">
        <v>3</v>
      </c>
      <c r="L1435" s="25">
        <f t="shared" si="47"/>
        <v>1.0195048044558224</v>
      </c>
      <c r="M1435" s="20" t="s">
        <v>139</v>
      </c>
    </row>
    <row r="1436" spans="1:13" x14ac:dyDescent="0.2">
      <c r="A1436" s="48" t="s">
        <v>142</v>
      </c>
      <c r="B1436" s="12" t="s">
        <v>43</v>
      </c>
      <c r="C1436" s="29" t="s">
        <v>66</v>
      </c>
      <c r="D1436" s="44">
        <v>11.68936325220049</v>
      </c>
      <c r="E1436" s="15" t="s">
        <v>138</v>
      </c>
      <c r="F1436" s="16" t="s">
        <v>16</v>
      </c>
      <c r="G1436" s="22">
        <v>1</v>
      </c>
      <c r="H1436" s="23">
        <v>1</v>
      </c>
      <c r="I1436" s="23">
        <v>1</v>
      </c>
      <c r="J1436" s="23">
        <v>2</v>
      </c>
      <c r="K1436" s="23">
        <v>3</v>
      </c>
      <c r="L1436" s="25">
        <f t="shared" si="47"/>
        <v>1.0195048044558224</v>
      </c>
      <c r="M1436" s="20" t="s">
        <v>139</v>
      </c>
    </row>
    <row r="1437" spans="1:13" x14ac:dyDescent="0.2">
      <c r="A1437" s="48" t="s">
        <v>142</v>
      </c>
      <c r="B1437" s="12" t="s">
        <v>45</v>
      </c>
      <c r="C1437" s="29" t="s">
        <v>66</v>
      </c>
      <c r="D1437" s="44">
        <v>4.4273304310828907</v>
      </c>
      <c r="E1437" s="15" t="s">
        <v>138</v>
      </c>
      <c r="F1437" s="16" t="s">
        <v>16</v>
      </c>
      <c r="G1437" s="22">
        <v>1</v>
      </c>
      <c r="H1437" s="23">
        <v>1</v>
      </c>
      <c r="I1437" s="23">
        <v>1</v>
      </c>
      <c r="J1437" s="23">
        <v>2</v>
      </c>
      <c r="K1437" s="23">
        <v>3</v>
      </c>
      <c r="L1437" s="25">
        <f t="shared" si="47"/>
        <v>1.0195048044558224</v>
      </c>
      <c r="M1437" s="20" t="s">
        <v>139</v>
      </c>
    </row>
    <row r="1438" spans="1:13" x14ac:dyDescent="0.2">
      <c r="A1438" s="48" t="s">
        <v>142</v>
      </c>
      <c r="B1438" s="12" t="s">
        <v>46</v>
      </c>
      <c r="C1438" s="29" t="s">
        <v>66</v>
      </c>
      <c r="D1438" s="44">
        <v>20.14711717500882</v>
      </c>
      <c r="E1438" s="15" t="s">
        <v>138</v>
      </c>
      <c r="F1438" s="16" t="s">
        <v>16</v>
      </c>
      <c r="G1438" s="22">
        <v>1</v>
      </c>
      <c r="H1438" s="23">
        <v>1</v>
      </c>
      <c r="I1438" s="23">
        <v>1</v>
      </c>
      <c r="J1438" s="23">
        <v>2</v>
      </c>
      <c r="K1438" s="23">
        <v>3</v>
      </c>
      <c r="L1438" s="24">
        <f t="shared" si="47"/>
        <v>1.0195048044558224</v>
      </c>
      <c r="M1438" s="20" t="s">
        <v>139</v>
      </c>
    </row>
    <row r="1439" spans="1:13" x14ac:dyDescent="0.2">
      <c r="A1439" s="48" t="s">
        <v>142</v>
      </c>
      <c r="B1439" s="12" t="s">
        <v>48</v>
      </c>
      <c r="C1439" s="29" t="s">
        <v>66</v>
      </c>
      <c r="D1439" s="44">
        <v>7.4223040818450583</v>
      </c>
      <c r="E1439" s="15" t="s">
        <v>138</v>
      </c>
      <c r="F1439" s="16" t="s">
        <v>16</v>
      </c>
      <c r="G1439" s="22">
        <v>1</v>
      </c>
      <c r="H1439" s="23">
        <v>1</v>
      </c>
      <c r="I1439" s="23">
        <v>1</v>
      </c>
      <c r="J1439" s="23">
        <v>2</v>
      </c>
      <c r="K1439" s="23">
        <v>3</v>
      </c>
      <c r="L1439" s="25">
        <f t="shared" si="47"/>
        <v>1.0195048044558224</v>
      </c>
      <c r="M1439" s="20" t="s">
        <v>139</v>
      </c>
    </row>
    <row r="1440" spans="1:13" x14ac:dyDescent="0.2">
      <c r="A1440" s="48" t="s">
        <v>142</v>
      </c>
      <c r="B1440" s="12" t="s">
        <v>50</v>
      </c>
      <c r="C1440" s="29" t="s">
        <v>66</v>
      </c>
      <c r="D1440" s="44">
        <v>8.6248273052708146</v>
      </c>
      <c r="E1440" s="15" t="s">
        <v>138</v>
      </c>
      <c r="F1440" s="16" t="s">
        <v>16</v>
      </c>
      <c r="G1440" s="22">
        <v>1</v>
      </c>
      <c r="H1440" s="23">
        <v>1</v>
      </c>
      <c r="I1440" s="23">
        <v>1</v>
      </c>
      <c r="J1440" s="23">
        <v>2</v>
      </c>
      <c r="K1440" s="23">
        <v>3</v>
      </c>
      <c r="L1440" s="25">
        <f t="shared" si="47"/>
        <v>1.0195048044558224</v>
      </c>
      <c r="M1440" s="20" t="s">
        <v>139</v>
      </c>
    </row>
    <row r="1441" spans="1:13" x14ac:dyDescent="0.2">
      <c r="A1441" s="48" t="s">
        <v>142</v>
      </c>
      <c r="B1441" s="12" t="s">
        <v>52</v>
      </c>
      <c r="C1441" s="29" t="s">
        <v>66</v>
      </c>
      <c r="D1441" s="44">
        <v>2.2928759258146298</v>
      </c>
      <c r="E1441" s="15" t="s">
        <v>138</v>
      </c>
      <c r="F1441" s="16" t="s">
        <v>16</v>
      </c>
      <c r="G1441" s="22">
        <v>1</v>
      </c>
      <c r="H1441" s="23">
        <v>1</v>
      </c>
      <c r="I1441" s="23">
        <v>1</v>
      </c>
      <c r="J1441" s="23">
        <v>2</v>
      </c>
      <c r="K1441" s="23">
        <v>3</v>
      </c>
      <c r="L1441" s="25">
        <f t="shared" si="47"/>
        <v>1.0195048044558224</v>
      </c>
      <c r="M1441" s="20" t="s">
        <v>139</v>
      </c>
    </row>
    <row r="1442" spans="1:13" x14ac:dyDescent="0.2">
      <c r="A1442" s="48" t="s">
        <v>142</v>
      </c>
      <c r="B1442" s="12" t="s">
        <v>54</v>
      </c>
      <c r="C1442" s="29" t="s">
        <v>66</v>
      </c>
      <c r="D1442" s="44">
        <v>0.88760202883125705</v>
      </c>
      <c r="E1442" s="15" t="s">
        <v>138</v>
      </c>
      <c r="F1442" s="16" t="s">
        <v>16</v>
      </c>
      <c r="G1442" s="22">
        <v>1</v>
      </c>
      <c r="H1442" s="23">
        <v>1</v>
      </c>
      <c r="I1442" s="23">
        <v>1</v>
      </c>
      <c r="J1442" s="23">
        <v>2</v>
      </c>
      <c r="K1442" s="23">
        <v>3</v>
      </c>
      <c r="L1442" s="25">
        <f t="shared" si="47"/>
        <v>1.0195048044558224</v>
      </c>
      <c r="M1442" s="20" t="s">
        <v>139</v>
      </c>
    </row>
    <row r="1443" spans="1:13" x14ac:dyDescent="0.2">
      <c r="A1443" s="48" t="s">
        <v>142</v>
      </c>
      <c r="B1443" s="12" t="s">
        <v>55</v>
      </c>
      <c r="C1443" s="29" t="s">
        <v>66</v>
      </c>
      <c r="D1443" s="44">
        <v>27.214335290672349</v>
      </c>
      <c r="E1443" s="15" t="s">
        <v>138</v>
      </c>
      <c r="F1443" s="16" t="s">
        <v>16</v>
      </c>
      <c r="G1443" s="22">
        <v>1</v>
      </c>
      <c r="H1443" s="23">
        <v>1</v>
      </c>
      <c r="I1443" s="23">
        <v>1</v>
      </c>
      <c r="J1443" s="23">
        <v>2</v>
      </c>
      <c r="K1443" s="23">
        <v>3</v>
      </c>
      <c r="L1443" s="24">
        <f t="shared" si="47"/>
        <v>1.0195048044558224</v>
      </c>
      <c r="M1443" s="20" t="s">
        <v>139</v>
      </c>
    </row>
    <row r="1444" spans="1:13" x14ac:dyDescent="0.2">
      <c r="A1444" s="48" t="s">
        <v>142</v>
      </c>
      <c r="B1444" s="12" t="s">
        <v>57</v>
      </c>
      <c r="C1444" s="29" t="s">
        <v>66</v>
      </c>
      <c r="D1444" s="44">
        <v>4.4384039811191389</v>
      </c>
      <c r="E1444" s="15" t="s">
        <v>138</v>
      </c>
      <c r="F1444" s="16" t="s">
        <v>16</v>
      </c>
      <c r="G1444" s="22">
        <v>1</v>
      </c>
      <c r="H1444" s="23">
        <v>1</v>
      </c>
      <c r="I1444" s="23">
        <v>1</v>
      </c>
      <c r="J1444" s="23">
        <v>2</v>
      </c>
      <c r="K1444" s="23">
        <v>3</v>
      </c>
      <c r="L1444" s="25">
        <f t="shared" ref="L1444:L1446" si="48">IF( OR( ISBLANK(G1444),ISBLANK(H1444), ISBLANK(I1444), ISBLANK(J1444), ISBLANK(K1444) ), "", 1.5*SQRT( EXP(2.21*(G1444-1)) + EXP(2.21*(H1444-1)) + EXP(2.21*(I1444-1)) + EXP(2.21*(J1444-1)) + EXP(2.21*K1444) )/100*2.45 )</f>
        <v>1.0195048044558224</v>
      </c>
      <c r="M1444" s="20" t="s">
        <v>139</v>
      </c>
    </row>
    <row r="1445" spans="1:13" x14ac:dyDescent="0.2">
      <c r="A1445" s="48" t="s">
        <v>142</v>
      </c>
      <c r="B1445" s="12" t="s">
        <v>59</v>
      </c>
      <c r="C1445" s="29" t="s">
        <v>66</v>
      </c>
      <c r="D1445" s="44">
        <v>6.6785155374788738</v>
      </c>
      <c r="E1445" s="15" t="s">
        <v>138</v>
      </c>
      <c r="F1445" s="16" t="s">
        <v>16</v>
      </c>
      <c r="G1445" s="22">
        <v>1</v>
      </c>
      <c r="H1445" s="23">
        <v>1</v>
      </c>
      <c r="I1445" s="23">
        <v>1</v>
      </c>
      <c r="J1445" s="23">
        <v>2</v>
      </c>
      <c r="K1445" s="23">
        <v>3</v>
      </c>
      <c r="L1445" s="25">
        <f t="shared" si="48"/>
        <v>1.0195048044558224</v>
      </c>
      <c r="M1445" s="20" t="s">
        <v>139</v>
      </c>
    </row>
    <row r="1446" spans="1:13" x14ac:dyDescent="0.2">
      <c r="A1446" s="48" t="s">
        <v>142</v>
      </c>
      <c r="B1446" s="12" t="s">
        <v>60</v>
      </c>
      <c r="C1446" s="29" t="s">
        <v>66</v>
      </c>
      <c r="D1446" s="44">
        <v>35.267137112339469</v>
      </c>
      <c r="E1446" s="15" t="s">
        <v>138</v>
      </c>
      <c r="F1446" s="16" t="s">
        <v>16</v>
      </c>
      <c r="G1446" s="22">
        <v>1</v>
      </c>
      <c r="H1446" s="23">
        <v>2</v>
      </c>
      <c r="I1446" s="23">
        <v>1</v>
      </c>
      <c r="J1446" s="23">
        <v>2</v>
      </c>
      <c r="K1446" s="23">
        <v>3</v>
      </c>
      <c r="L1446" s="24">
        <f t="shared" si="48"/>
        <v>1.0248662490928169</v>
      </c>
      <c r="M1446" s="20" t="s">
        <v>139</v>
      </c>
    </row>
    <row r="1447" spans="1:13" x14ac:dyDescent="0.2">
      <c r="A1447" s="48" t="s">
        <v>142</v>
      </c>
      <c r="B1447" s="22" t="s">
        <v>135</v>
      </c>
      <c r="C1447" s="30" t="s">
        <v>94</v>
      </c>
      <c r="D1447" s="18">
        <v>0</v>
      </c>
      <c r="E1447" s="15"/>
      <c r="F1447" s="16"/>
      <c r="G1447" s="17"/>
      <c r="H1447" s="18"/>
      <c r="I1447" s="18"/>
      <c r="J1447" s="18"/>
      <c r="K1447" s="18"/>
      <c r="L1447" s="19" t="str">
        <f>IF( OR( ISBLANK(G1447),ISBLANK(H1447), ISBLANK(I1447), ISBLANK(J1447), ISBLANK(K1447) ), "", 1.5*SQRT(   EXP(2.21*(G1447-1)) + EXP(2.21*(H1447-1)) + EXP(2.21*(I1447-1)) + EXP(2.21*(J1447-1)) + EXP(2.21*K1447)   )/100*2.45 )</f>
        <v/>
      </c>
      <c r="M1447" s="20" t="s">
        <v>139</v>
      </c>
    </row>
    <row r="1448" spans="1:13" x14ac:dyDescent="0.2">
      <c r="A1448" s="48" t="s">
        <v>142</v>
      </c>
      <c r="B1448" s="12" t="s">
        <v>13</v>
      </c>
      <c r="C1448" s="31" t="s">
        <v>96</v>
      </c>
      <c r="D1448" s="44">
        <v>2.140527704156955</v>
      </c>
      <c r="E1448" s="15" t="s">
        <v>138</v>
      </c>
      <c r="F1448" s="16" t="s">
        <v>16</v>
      </c>
      <c r="G1448" s="22">
        <v>1</v>
      </c>
      <c r="H1448" s="23">
        <v>1</v>
      </c>
      <c r="I1448" s="23">
        <v>1</v>
      </c>
      <c r="J1448" s="23">
        <v>2</v>
      </c>
      <c r="K1448" s="23">
        <v>3</v>
      </c>
      <c r="L1448" s="25">
        <f t="shared" ref="L1448:L1479" si="49">IF( OR( ISBLANK(G1448),ISBLANK(H1448), ISBLANK(I1448), ISBLANK(J1448), ISBLANK(K1448) ), "", 1.5*SQRT( EXP(2.21*(G1448-1)) + EXP(2.21*(H1448-1)) + EXP(2.21*(I1448-1)) + EXP(2.21*(J1448-1)) + EXP(2.21*K1448) )/100*2.45 )</f>
        <v>1.0195048044558224</v>
      </c>
      <c r="M1448" s="20" t="s">
        <v>139</v>
      </c>
    </row>
    <row r="1449" spans="1:13" x14ac:dyDescent="0.2">
      <c r="A1449" s="48" t="s">
        <v>142</v>
      </c>
      <c r="B1449" s="12" t="s">
        <v>18</v>
      </c>
      <c r="C1449" s="31" t="s">
        <v>96</v>
      </c>
      <c r="D1449" s="44">
        <v>2.885221047025325</v>
      </c>
      <c r="E1449" s="15" t="s">
        <v>138</v>
      </c>
      <c r="F1449" s="16" t="s">
        <v>16</v>
      </c>
      <c r="G1449" s="22">
        <v>1</v>
      </c>
      <c r="H1449" s="23">
        <v>1</v>
      </c>
      <c r="I1449" s="23">
        <v>1</v>
      </c>
      <c r="J1449" s="23">
        <v>2</v>
      </c>
      <c r="K1449" s="23">
        <v>3</v>
      </c>
      <c r="L1449" s="25">
        <f t="shared" si="49"/>
        <v>1.0195048044558224</v>
      </c>
      <c r="M1449" s="20" t="s">
        <v>139</v>
      </c>
    </row>
    <row r="1450" spans="1:13" x14ac:dyDescent="0.2">
      <c r="A1450" s="48" t="s">
        <v>142</v>
      </c>
      <c r="B1450" s="12" t="s">
        <v>20</v>
      </c>
      <c r="C1450" s="31" t="s">
        <v>96</v>
      </c>
      <c r="D1450" s="44">
        <v>1.0947798733502809</v>
      </c>
      <c r="E1450" s="15" t="s">
        <v>138</v>
      </c>
      <c r="F1450" s="16" t="s">
        <v>16</v>
      </c>
      <c r="G1450" s="22">
        <v>1</v>
      </c>
      <c r="H1450" s="23">
        <v>1</v>
      </c>
      <c r="I1450" s="23">
        <v>1</v>
      </c>
      <c r="J1450" s="23">
        <v>2</v>
      </c>
      <c r="K1450" s="23">
        <v>3</v>
      </c>
      <c r="L1450" s="25">
        <f t="shared" si="49"/>
        <v>1.0195048044558224</v>
      </c>
      <c r="M1450" s="20" t="s">
        <v>139</v>
      </c>
    </row>
    <row r="1451" spans="1:13" x14ac:dyDescent="0.2">
      <c r="A1451" s="48" t="s">
        <v>142</v>
      </c>
      <c r="B1451" s="12" t="s">
        <v>22</v>
      </c>
      <c r="C1451" s="31" t="s">
        <v>96</v>
      </c>
      <c r="D1451" s="44">
        <v>0.47451603182302099</v>
      </c>
      <c r="E1451" s="15" t="s">
        <v>138</v>
      </c>
      <c r="F1451" s="16" t="s">
        <v>16</v>
      </c>
      <c r="G1451" s="22">
        <v>1</v>
      </c>
      <c r="H1451" s="23">
        <v>1</v>
      </c>
      <c r="I1451" s="23">
        <v>1</v>
      </c>
      <c r="J1451" s="23">
        <v>2</v>
      </c>
      <c r="K1451" s="23">
        <v>3</v>
      </c>
      <c r="L1451" s="25">
        <f t="shared" si="49"/>
        <v>1.0195048044558224</v>
      </c>
      <c r="M1451" s="20" t="s">
        <v>139</v>
      </c>
    </row>
    <row r="1452" spans="1:13" x14ac:dyDescent="0.2">
      <c r="A1452" s="48" t="s">
        <v>142</v>
      </c>
      <c r="B1452" s="12" t="s">
        <v>23</v>
      </c>
      <c r="C1452" s="31" t="s">
        <v>96</v>
      </c>
      <c r="D1452" s="44">
        <v>0.13117993118305199</v>
      </c>
      <c r="E1452" s="15" t="s">
        <v>138</v>
      </c>
      <c r="F1452" s="16" t="s">
        <v>16</v>
      </c>
      <c r="G1452" s="22">
        <v>1</v>
      </c>
      <c r="H1452" s="23">
        <v>1</v>
      </c>
      <c r="I1452" s="23">
        <v>1</v>
      </c>
      <c r="J1452" s="23">
        <v>2</v>
      </c>
      <c r="K1452" s="23">
        <v>3</v>
      </c>
      <c r="L1452" s="25">
        <f t="shared" si="49"/>
        <v>1.0195048044558224</v>
      </c>
      <c r="M1452" s="20" t="s">
        <v>139</v>
      </c>
    </row>
    <row r="1453" spans="1:13" x14ac:dyDescent="0.2">
      <c r="A1453" s="48" t="s">
        <v>142</v>
      </c>
      <c r="B1453" s="12" t="s">
        <v>24</v>
      </c>
      <c r="C1453" s="31" t="s">
        <v>96</v>
      </c>
      <c r="D1453" s="44">
        <v>1.8948401298067059</v>
      </c>
      <c r="E1453" s="15" t="s">
        <v>138</v>
      </c>
      <c r="F1453" s="16" t="s">
        <v>16</v>
      </c>
      <c r="G1453" s="22">
        <v>1</v>
      </c>
      <c r="H1453" s="23">
        <v>1</v>
      </c>
      <c r="I1453" s="23">
        <v>1</v>
      </c>
      <c r="J1453" s="23">
        <v>2</v>
      </c>
      <c r="K1453" s="23">
        <v>3</v>
      </c>
      <c r="L1453" s="25">
        <f t="shared" si="49"/>
        <v>1.0195048044558224</v>
      </c>
      <c r="M1453" s="20" t="s">
        <v>139</v>
      </c>
    </row>
    <row r="1454" spans="1:13" x14ac:dyDescent="0.2">
      <c r="A1454" s="48" t="s">
        <v>142</v>
      </c>
      <c r="B1454" s="12" t="s">
        <v>25</v>
      </c>
      <c r="C1454" s="31" t="s">
        <v>96</v>
      </c>
      <c r="D1454" s="44">
        <v>1.6389904380625331</v>
      </c>
      <c r="E1454" s="15" t="s">
        <v>138</v>
      </c>
      <c r="F1454" s="16" t="s">
        <v>16</v>
      </c>
      <c r="G1454" s="22">
        <v>1</v>
      </c>
      <c r="H1454" s="23">
        <v>1</v>
      </c>
      <c r="I1454" s="23">
        <v>1</v>
      </c>
      <c r="J1454" s="23">
        <v>2</v>
      </c>
      <c r="K1454" s="23">
        <v>3</v>
      </c>
      <c r="L1454" s="25">
        <f t="shared" si="49"/>
        <v>1.0195048044558224</v>
      </c>
      <c r="M1454" s="20" t="s">
        <v>139</v>
      </c>
    </row>
    <row r="1455" spans="1:13" x14ac:dyDescent="0.2">
      <c r="A1455" s="48" t="s">
        <v>142</v>
      </c>
      <c r="B1455" s="12" t="s">
        <v>26</v>
      </c>
      <c r="C1455" s="31" t="s">
        <v>96</v>
      </c>
      <c r="D1455" s="44">
        <v>0.38405695555017139</v>
      </c>
      <c r="E1455" s="15" t="s">
        <v>138</v>
      </c>
      <c r="F1455" s="16" t="s">
        <v>16</v>
      </c>
      <c r="G1455" s="22">
        <v>1</v>
      </c>
      <c r="H1455" s="23">
        <v>1</v>
      </c>
      <c r="I1455" s="23">
        <v>1</v>
      </c>
      <c r="J1455" s="23">
        <v>2</v>
      </c>
      <c r="K1455" s="23">
        <v>3</v>
      </c>
      <c r="L1455" s="25">
        <f t="shared" si="49"/>
        <v>1.0195048044558224</v>
      </c>
      <c r="M1455" s="20" t="s">
        <v>139</v>
      </c>
    </row>
    <row r="1456" spans="1:13" x14ac:dyDescent="0.2">
      <c r="A1456" s="48" t="s">
        <v>142</v>
      </c>
      <c r="B1456" s="12" t="s">
        <v>27</v>
      </c>
      <c r="C1456" s="31" t="s">
        <v>96</v>
      </c>
      <c r="D1456" s="44">
        <v>1.125156343885094</v>
      </c>
      <c r="E1456" s="15" t="s">
        <v>138</v>
      </c>
      <c r="F1456" s="16" t="s">
        <v>16</v>
      </c>
      <c r="G1456" s="22">
        <v>1</v>
      </c>
      <c r="H1456" s="23">
        <v>1</v>
      </c>
      <c r="I1456" s="23">
        <v>1</v>
      </c>
      <c r="J1456" s="23">
        <v>2</v>
      </c>
      <c r="K1456" s="23">
        <v>3</v>
      </c>
      <c r="L1456" s="25">
        <f t="shared" si="49"/>
        <v>1.0195048044558224</v>
      </c>
      <c r="M1456" s="20" t="s">
        <v>139</v>
      </c>
    </row>
    <row r="1457" spans="1:13" x14ac:dyDescent="0.2">
      <c r="A1457" s="48" t="s">
        <v>142</v>
      </c>
      <c r="B1457" s="12" t="s">
        <v>28</v>
      </c>
      <c r="C1457" s="31" t="s">
        <v>96</v>
      </c>
      <c r="D1457" s="44">
        <v>15.37414575685813</v>
      </c>
      <c r="E1457" s="15" t="s">
        <v>138</v>
      </c>
      <c r="F1457" s="16" t="s">
        <v>16</v>
      </c>
      <c r="G1457" s="22">
        <v>1</v>
      </c>
      <c r="H1457" s="23">
        <v>1</v>
      </c>
      <c r="I1457" s="23">
        <v>1</v>
      </c>
      <c r="J1457" s="23">
        <v>2</v>
      </c>
      <c r="K1457" s="23">
        <v>3</v>
      </c>
      <c r="L1457" s="25">
        <f t="shared" si="49"/>
        <v>1.0195048044558224</v>
      </c>
      <c r="M1457" s="20" t="s">
        <v>139</v>
      </c>
    </row>
    <row r="1458" spans="1:13" x14ac:dyDescent="0.2">
      <c r="A1458" s="48" t="s">
        <v>142</v>
      </c>
      <c r="B1458" s="12" t="s">
        <v>30</v>
      </c>
      <c r="C1458" s="31" t="s">
        <v>96</v>
      </c>
      <c r="D1458" s="44">
        <v>27.123375427501639</v>
      </c>
      <c r="E1458" s="15" t="s">
        <v>138</v>
      </c>
      <c r="F1458" s="16" t="s">
        <v>16</v>
      </c>
      <c r="G1458" s="22">
        <v>1</v>
      </c>
      <c r="H1458" s="23">
        <v>1</v>
      </c>
      <c r="I1458" s="23">
        <v>1</v>
      </c>
      <c r="J1458" s="23">
        <v>2</v>
      </c>
      <c r="K1458" s="23">
        <v>3</v>
      </c>
      <c r="L1458" s="24">
        <f t="shared" si="49"/>
        <v>1.0195048044558224</v>
      </c>
      <c r="M1458" s="20" t="s">
        <v>139</v>
      </c>
    </row>
    <row r="1459" spans="1:13" x14ac:dyDescent="0.2">
      <c r="A1459" s="48" t="s">
        <v>142</v>
      </c>
      <c r="B1459" s="12" t="s">
        <v>32</v>
      </c>
      <c r="C1459" s="31" t="s">
        <v>96</v>
      </c>
      <c r="D1459" s="44">
        <v>1.984640781639011</v>
      </c>
      <c r="E1459" s="15" t="s">
        <v>138</v>
      </c>
      <c r="F1459" s="16" t="s">
        <v>16</v>
      </c>
      <c r="G1459" s="22">
        <v>1</v>
      </c>
      <c r="H1459" s="23">
        <v>1</v>
      </c>
      <c r="I1459" s="23">
        <v>1</v>
      </c>
      <c r="J1459" s="23">
        <v>2</v>
      </c>
      <c r="K1459" s="23">
        <v>3</v>
      </c>
      <c r="L1459" s="25">
        <f t="shared" si="49"/>
        <v>1.0195048044558224</v>
      </c>
      <c r="M1459" s="20" t="s">
        <v>139</v>
      </c>
    </row>
    <row r="1460" spans="1:13" x14ac:dyDescent="0.2">
      <c r="A1460" s="48" t="s">
        <v>142</v>
      </c>
      <c r="B1460" s="12" t="s">
        <v>34</v>
      </c>
      <c r="C1460" s="31" t="s">
        <v>96</v>
      </c>
      <c r="D1460" s="44">
        <v>3.3225642291051432</v>
      </c>
      <c r="E1460" s="15" t="s">
        <v>138</v>
      </c>
      <c r="F1460" s="16" t="s">
        <v>16</v>
      </c>
      <c r="G1460" s="22">
        <v>1</v>
      </c>
      <c r="H1460" s="23">
        <v>1</v>
      </c>
      <c r="I1460" s="23">
        <v>1</v>
      </c>
      <c r="J1460" s="23">
        <v>2</v>
      </c>
      <c r="K1460" s="23">
        <v>3</v>
      </c>
      <c r="L1460" s="25">
        <f t="shared" si="49"/>
        <v>1.0195048044558224</v>
      </c>
      <c r="M1460" s="20" t="s">
        <v>139</v>
      </c>
    </row>
    <row r="1461" spans="1:13" x14ac:dyDescent="0.2">
      <c r="A1461" s="48" t="s">
        <v>142</v>
      </c>
      <c r="B1461" s="12" t="s">
        <v>36</v>
      </c>
      <c r="C1461" s="31" t="s">
        <v>96</v>
      </c>
      <c r="D1461" s="44">
        <v>2.1866607157273399</v>
      </c>
      <c r="E1461" s="15" t="s">
        <v>138</v>
      </c>
      <c r="F1461" s="16" t="s">
        <v>16</v>
      </c>
      <c r="G1461" s="22">
        <v>1</v>
      </c>
      <c r="H1461" s="23">
        <v>1</v>
      </c>
      <c r="I1461" s="23">
        <v>1</v>
      </c>
      <c r="J1461" s="23">
        <v>2</v>
      </c>
      <c r="K1461" s="23">
        <v>3</v>
      </c>
      <c r="L1461" s="25">
        <f t="shared" si="49"/>
        <v>1.0195048044558224</v>
      </c>
      <c r="M1461" s="20" t="s">
        <v>139</v>
      </c>
    </row>
    <row r="1462" spans="1:13" x14ac:dyDescent="0.2">
      <c r="A1462" s="48" t="s">
        <v>142</v>
      </c>
      <c r="B1462" s="12" t="s">
        <v>37</v>
      </c>
      <c r="C1462" s="31" t="s">
        <v>96</v>
      </c>
      <c r="D1462" s="44">
        <v>14.29323088897085</v>
      </c>
      <c r="E1462" s="15" t="s">
        <v>138</v>
      </c>
      <c r="F1462" s="16" t="s">
        <v>16</v>
      </c>
      <c r="G1462" s="22">
        <v>1</v>
      </c>
      <c r="H1462" s="23">
        <v>1</v>
      </c>
      <c r="I1462" s="23">
        <v>1</v>
      </c>
      <c r="J1462" s="23">
        <v>2</v>
      </c>
      <c r="K1462" s="23">
        <v>3</v>
      </c>
      <c r="L1462" s="24">
        <f t="shared" si="49"/>
        <v>1.0195048044558224</v>
      </c>
      <c r="M1462" s="20" t="s">
        <v>139</v>
      </c>
    </row>
    <row r="1463" spans="1:13" x14ac:dyDescent="0.2">
      <c r="A1463" s="48" t="s">
        <v>142</v>
      </c>
      <c r="B1463" s="12" t="s">
        <v>39</v>
      </c>
      <c r="C1463" s="31" t="s">
        <v>96</v>
      </c>
      <c r="D1463" s="44">
        <v>0.33610321893498518</v>
      </c>
      <c r="E1463" s="15" t="s">
        <v>138</v>
      </c>
      <c r="F1463" s="16" t="s">
        <v>16</v>
      </c>
      <c r="G1463" s="22">
        <v>1</v>
      </c>
      <c r="H1463" s="23">
        <v>1</v>
      </c>
      <c r="I1463" s="23">
        <v>1</v>
      </c>
      <c r="J1463" s="23">
        <v>2</v>
      </c>
      <c r="K1463" s="23">
        <v>3</v>
      </c>
      <c r="L1463" s="25">
        <f t="shared" si="49"/>
        <v>1.0195048044558224</v>
      </c>
      <c r="M1463" s="20" t="s">
        <v>139</v>
      </c>
    </row>
    <row r="1464" spans="1:13" x14ac:dyDescent="0.2">
      <c r="A1464" s="48" t="s">
        <v>142</v>
      </c>
      <c r="B1464" s="12" t="s">
        <v>40</v>
      </c>
      <c r="C1464" s="31" t="s">
        <v>96</v>
      </c>
      <c r="D1464" s="44">
        <v>0.61713180774405507</v>
      </c>
      <c r="E1464" s="15" t="s">
        <v>138</v>
      </c>
      <c r="F1464" s="16" t="s">
        <v>16</v>
      </c>
      <c r="G1464" s="22">
        <v>1</v>
      </c>
      <c r="H1464" s="23">
        <v>1</v>
      </c>
      <c r="I1464" s="23">
        <v>1</v>
      </c>
      <c r="J1464" s="23">
        <v>2</v>
      </c>
      <c r="K1464" s="23">
        <v>3</v>
      </c>
      <c r="L1464" s="25">
        <f t="shared" si="49"/>
        <v>1.0195048044558224</v>
      </c>
      <c r="M1464" s="20" t="s">
        <v>139</v>
      </c>
    </row>
    <row r="1465" spans="1:13" x14ac:dyDescent="0.2">
      <c r="A1465" s="48" t="s">
        <v>142</v>
      </c>
      <c r="B1465" s="12" t="s">
        <v>41</v>
      </c>
      <c r="C1465" s="31" t="s">
        <v>96</v>
      </c>
      <c r="D1465" s="44">
        <v>0.1753840977656913</v>
      </c>
      <c r="E1465" s="15" t="s">
        <v>138</v>
      </c>
      <c r="F1465" s="16" t="s">
        <v>16</v>
      </c>
      <c r="G1465" s="22">
        <v>1</v>
      </c>
      <c r="H1465" s="23">
        <v>1</v>
      </c>
      <c r="I1465" s="23">
        <v>1</v>
      </c>
      <c r="J1465" s="23">
        <v>2</v>
      </c>
      <c r="K1465" s="23">
        <v>3</v>
      </c>
      <c r="L1465" s="25">
        <f t="shared" si="49"/>
        <v>1.0195048044558224</v>
      </c>
      <c r="M1465" s="20" t="s">
        <v>139</v>
      </c>
    </row>
    <row r="1466" spans="1:13" x14ac:dyDescent="0.2">
      <c r="A1466" s="48" t="s">
        <v>142</v>
      </c>
      <c r="B1466" s="12" t="s">
        <v>42</v>
      </c>
      <c r="C1466" s="31" t="s">
        <v>96</v>
      </c>
      <c r="D1466" s="44">
        <v>0.1011902782531918</v>
      </c>
      <c r="E1466" s="15" t="s">
        <v>138</v>
      </c>
      <c r="F1466" s="16" t="s">
        <v>16</v>
      </c>
      <c r="G1466" s="22">
        <v>1</v>
      </c>
      <c r="H1466" s="23">
        <v>1</v>
      </c>
      <c r="I1466" s="23">
        <v>1</v>
      </c>
      <c r="J1466" s="23">
        <v>2</v>
      </c>
      <c r="K1466" s="23">
        <v>3</v>
      </c>
      <c r="L1466" s="25">
        <f t="shared" si="49"/>
        <v>1.0195048044558224</v>
      </c>
      <c r="M1466" s="20" t="s">
        <v>139</v>
      </c>
    </row>
    <row r="1467" spans="1:13" x14ac:dyDescent="0.2">
      <c r="A1467" s="48" t="s">
        <v>142</v>
      </c>
      <c r="B1467" s="12" t="s">
        <v>43</v>
      </c>
      <c r="C1467" s="31" t="s">
        <v>96</v>
      </c>
      <c r="D1467" s="44">
        <v>4.6849304484841134</v>
      </c>
      <c r="E1467" s="15" t="s">
        <v>138</v>
      </c>
      <c r="F1467" s="16" t="s">
        <v>16</v>
      </c>
      <c r="G1467" s="22">
        <v>1</v>
      </c>
      <c r="H1467" s="23">
        <v>1</v>
      </c>
      <c r="I1467" s="23">
        <v>1</v>
      </c>
      <c r="J1467" s="23">
        <v>2</v>
      </c>
      <c r="K1467" s="23">
        <v>3</v>
      </c>
      <c r="L1467" s="25">
        <f t="shared" si="49"/>
        <v>1.0195048044558224</v>
      </c>
      <c r="M1467" s="20" t="s">
        <v>139</v>
      </c>
    </row>
    <row r="1468" spans="1:13" x14ac:dyDescent="0.2">
      <c r="A1468" s="48" t="s">
        <v>142</v>
      </c>
      <c r="B1468" s="12" t="s">
        <v>45</v>
      </c>
      <c r="C1468" s="31" t="s">
        <v>96</v>
      </c>
      <c r="D1468" s="44">
        <v>1.7744110345938611</v>
      </c>
      <c r="E1468" s="15" t="s">
        <v>138</v>
      </c>
      <c r="F1468" s="16" t="s">
        <v>16</v>
      </c>
      <c r="G1468" s="22">
        <v>1</v>
      </c>
      <c r="H1468" s="23">
        <v>1</v>
      </c>
      <c r="I1468" s="23">
        <v>1</v>
      </c>
      <c r="J1468" s="23">
        <v>2</v>
      </c>
      <c r="K1468" s="23">
        <v>3</v>
      </c>
      <c r="L1468" s="25">
        <f t="shared" si="49"/>
        <v>1.0195048044558224</v>
      </c>
      <c r="M1468" s="20" t="s">
        <v>139</v>
      </c>
    </row>
    <row r="1469" spans="1:13" x14ac:dyDescent="0.2">
      <c r="A1469" s="48" t="s">
        <v>142</v>
      </c>
      <c r="B1469" s="12" t="s">
        <v>46</v>
      </c>
      <c r="C1469" s="31" t="s">
        <v>96</v>
      </c>
      <c r="D1469" s="44">
        <v>8.0746778644771577</v>
      </c>
      <c r="E1469" s="15" t="s">
        <v>138</v>
      </c>
      <c r="F1469" s="16" t="s">
        <v>16</v>
      </c>
      <c r="G1469" s="22">
        <v>1</v>
      </c>
      <c r="H1469" s="23">
        <v>1</v>
      </c>
      <c r="I1469" s="23">
        <v>1</v>
      </c>
      <c r="J1469" s="23">
        <v>2</v>
      </c>
      <c r="K1469" s="23">
        <v>3</v>
      </c>
      <c r="L1469" s="24">
        <f t="shared" si="49"/>
        <v>1.0195048044558224</v>
      </c>
      <c r="M1469" s="20" t="s">
        <v>139</v>
      </c>
    </row>
    <row r="1470" spans="1:13" x14ac:dyDescent="0.2">
      <c r="A1470" s="48" t="s">
        <v>142</v>
      </c>
      <c r="B1470" s="12" t="s">
        <v>48</v>
      </c>
      <c r="C1470" s="31" t="s">
        <v>96</v>
      </c>
      <c r="D1470" s="44">
        <v>2.9747538544837262</v>
      </c>
      <c r="E1470" s="15" t="s">
        <v>138</v>
      </c>
      <c r="F1470" s="16" t="s">
        <v>16</v>
      </c>
      <c r="G1470" s="22">
        <v>1</v>
      </c>
      <c r="H1470" s="23">
        <v>1</v>
      </c>
      <c r="I1470" s="23">
        <v>1</v>
      </c>
      <c r="J1470" s="23">
        <v>2</v>
      </c>
      <c r="K1470" s="23">
        <v>3</v>
      </c>
      <c r="L1470" s="25">
        <f t="shared" si="49"/>
        <v>1.0195048044558224</v>
      </c>
      <c r="M1470" s="20" t="s">
        <v>139</v>
      </c>
    </row>
    <row r="1471" spans="1:13" x14ac:dyDescent="0.2">
      <c r="A1471" s="48" t="s">
        <v>142</v>
      </c>
      <c r="B1471" s="12" t="s">
        <v>50</v>
      </c>
      <c r="C1471" s="31" t="s">
        <v>96</v>
      </c>
      <c r="D1471" s="44">
        <v>3.456708050181772</v>
      </c>
      <c r="E1471" s="15" t="s">
        <v>138</v>
      </c>
      <c r="F1471" s="16" t="s">
        <v>16</v>
      </c>
      <c r="G1471" s="22">
        <v>1</v>
      </c>
      <c r="H1471" s="23">
        <v>1</v>
      </c>
      <c r="I1471" s="23">
        <v>1</v>
      </c>
      <c r="J1471" s="23">
        <v>2</v>
      </c>
      <c r="K1471" s="23">
        <v>3</v>
      </c>
      <c r="L1471" s="25">
        <f t="shared" si="49"/>
        <v>1.0195048044558224</v>
      </c>
      <c r="M1471" s="20" t="s">
        <v>139</v>
      </c>
    </row>
    <row r="1472" spans="1:13" x14ac:dyDescent="0.2">
      <c r="A1472" s="48" t="s">
        <v>142</v>
      </c>
      <c r="B1472" s="12" t="s">
        <v>52</v>
      </c>
      <c r="C1472" s="31" t="s">
        <v>96</v>
      </c>
      <c r="D1472" s="44">
        <v>0.91895204278325548</v>
      </c>
      <c r="E1472" s="15" t="s">
        <v>138</v>
      </c>
      <c r="F1472" s="16" t="s">
        <v>16</v>
      </c>
      <c r="G1472" s="22">
        <v>1</v>
      </c>
      <c r="H1472" s="23">
        <v>1</v>
      </c>
      <c r="I1472" s="23">
        <v>1</v>
      </c>
      <c r="J1472" s="23">
        <v>2</v>
      </c>
      <c r="K1472" s="23">
        <v>3</v>
      </c>
      <c r="L1472" s="25">
        <f t="shared" si="49"/>
        <v>1.0195048044558224</v>
      </c>
      <c r="M1472" s="20" t="s">
        <v>139</v>
      </c>
    </row>
    <row r="1473" spans="1:13" x14ac:dyDescent="0.2">
      <c r="A1473" s="48" t="s">
        <v>142</v>
      </c>
      <c r="B1473" s="12" t="s">
        <v>54</v>
      </c>
      <c r="C1473" s="31" t="s">
        <v>96</v>
      </c>
      <c r="D1473" s="44">
        <v>0.35573826232365829</v>
      </c>
      <c r="E1473" s="15" t="s">
        <v>138</v>
      </c>
      <c r="F1473" s="16" t="s">
        <v>16</v>
      </c>
      <c r="G1473" s="22">
        <v>1</v>
      </c>
      <c r="H1473" s="23">
        <v>1</v>
      </c>
      <c r="I1473" s="23">
        <v>1</v>
      </c>
      <c r="J1473" s="23">
        <v>2</v>
      </c>
      <c r="K1473" s="23">
        <v>3</v>
      </c>
      <c r="L1473" s="25">
        <f t="shared" si="49"/>
        <v>1.0195048044558224</v>
      </c>
      <c r="M1473" s="20" t="s">
        <v>139</v>
      </c>
    </row>
    <row r="1474" spans="1:13" x14ac:dyDescent="0.2">
      <c r="A1474" s="48" t="s">
        <v>142</v>
      </c>
      <c r="B1474" s="12" t="s">
        <v>55</v>
      </c>
      <c r="C1474" s="31" t="s">
        <v>96</v>
      </c>
      <c r="D1474" s="44">
        <v>10.907118316690649</v>
      </c>
      <c r="E1474" s="15" t="s">
        <v>138</v>
      </c>
      <c r="F1474" s="16" t="s">
        <v>16</v>
      </c>
      <c r="G1474" s="22">
        <v>1</v>
      </c>
      <c r="H1474" s="23">
        <v>1</v>
      </c>
      <c r="I1474" s="23">
        <v>1</v>
      </c>
      <c r="J1474" s="23">
        <v>2</v>
      </c>
      <c r="K1474" s="23">
        <v>3</v>
      </c>
      <c r="L1474" s="24">
        <f t="shared" si="49"/>
        <v>1.0195048044558224</v>
      </c>
      <c r="M1474" s="20" t="s">
        <v>139</v>
      </c>
    </row>
    <row r="1475" spans="1:13" x14ac:dyDescent="0.2">
      <c r="A1475" s="48" t="s">
        <v>142</v>
      </c>
      <c r="B1475" s="12" t="s">
        <v>57</v>
      </c>
      <c r="C1475" s="31" t="s">
        <v>96</v>
      </c>
      <c r="D1475" s="44">
        <v>1.7788491558685899</v>
      </c>
      <c r="E1475" s="15" t="s">
        <v>138</v>
      </c>
      <c r="F1475" s="16" t="s">
        <v>16</v>
      </c>
      <c r="G1475" s="22">
        <v>1</v>
      </c>
      <c r="H1475" s="23">
        <v>1</v>
      </c>
      <c r="I1475" s="23">
        <v>1</v>
      </c>
      <c r="J1475" s="23">
        <v>2</v>
      </c>
      <c r="K1475" s="23">
        <v>3</v>
      </c>
      <c r="L1475" s="25">
        <f t="shared" si="49"/>
        <v>1.0195048044558224</v>
      </c>
      <c r="M1475" s="20" t="s">
        <v>139</v>
      </c>
    </row>
    <row r="1476" spans="1:13" x14ac:dyDescent="0.2">
      <c r="A1476" s="48" t="s">
        <v>142</v>
      </c>
      <c r="B1476" s="12" t="s">
        <v>59</v>
      </c>
      <c r="C1476" s="31" t="s">
        <v>96</v>
      </c>
      <c r="D1476" s="44">
        <v>2.6766539902264621</v>
      </c>
      <c r="E1476" s="15" t="s">
        <v>138</v>
      </c>
      <c r="F1476" s="16" t="s">
        <v>16</v>
      </c>
      <c r="G1476" s="22">
        <v>1</v>
      </c>
      <c r="H1476" s="23">
        <v>1</v>
      </c>
      <c r="I1476" s="23">
        <v>1</v>
      </c>
      <c r="J1476" s="23">
        <v>2</v>
      </c>
      <c r="K1476" s="23">
        <v>3</v>
      </c>
      <c r="L1476" s="25">
        <f t="shared" si="49"/>
        <v>1.0195048044558224</v>
      </c>
      <c r="M1476" s="20" t="s">
        <v>139</v>
      </c>
    </row>
    <row r="1477" spans="1:13" x14ac:dyDescent="0.2">
      <c r="A1477" s="48" t="s">
        <v>142</v>
      </c>
      <c r="B1477" s="12" t="s">
        <v>60</v>
      </c>
      <c r="C1477" s="31" t="s">
        <v>96</v>
      </c>
      <c r="D1477" s="44">
        <v>14.13456669313106</v>
      </c>
      <c r="E1477" s="15" t="s">
        <v>138</v>
      </c>
      <c r="F1477" s="16" t="s">
        <v>16</v>
      </c>
      <c r="G1477" s="22">
        <v>1</v>
      </c>
      <c r="H1477" s="23">
        <v>2</v>
      </c>
      <c r="I1477" s="23">
        <v>1</v>
      </c>
      <c r="J1477" s="23">
        <v>2</v>
      </c>
      <c r="K1477" s="23">
        <v>3</v>
      </c>
      <c r="L1477" s="24">
        <f t="shared" si="49"/>
        <v>1.0248662490928169</v>
      </c>
      <c r="M1477" s="20" t="s">
        <v>139</v>
      </c>
    </row>
    <row r="1478" spans="1:13" x14ac:dyDescent="0.2">
      <c r="A1478" s="48" t="s">
        <v>142</v>
      </c>
      <c r="B1478" s="12" t="s">
        <v>13</v>
      </c>
      <c r="C1478" s="32" t="s">
        <v>98</v>
      </c>
      <c r="D1478" s="44">
        <v>9.765352457501848E-4</v>
      </c>
      <c r="E1478" s="15" t="s">
        <v>138</v>
      </c>
      <c r="F1478" s="16" t="s">
        <v>16</v>
      </c>
      <c r="G1478" s="22">
        <v>1</v>
      </c>
      <c r="H1478" s="23">
        <v>1</v>
      </c>
      <c r="I1478" s="23">
        <v>1</v>
      </c>
      <c r="J1478" s="23">
        <v>2</v>
      </c>
      <c r="K1478" s="23">
        <v>3</v>
      </c>
      <c r="L1478" s="25">
        <f t="shared" si="49"/>
        <v>1.0195048044558224</v>
      </c>
      <c r="M1478" s="20" t="s">
        <v>139</v>
      </c>
    </row>
    <row r="1479" spans="1:13" x14ac:dyDescent="0.2">
      <c r="A1479" s="48" t="s">
        <v>142</v>
      </c>
      <c r="B1479" s="12" t="s">
        <v>18</v>
      </c>
      <c r="C1479" s="32" t="s">
        <v>98</v>
      </c>
      <c r="D1479" s="44">
        <v>1.316273570638114E-3</v>
      </c>
      <c r="E1479" s="15" t="s">
        <v>138</v>
      </c>
      <c r="F1479" s="16" t="s">
        <v>16</v>
      </c>
      <c r="G1479" s="22">
        <v>1</v>
      </c>
      <c r="H1479" s="23">
        <v>1</v>
      </c>
      <c r="I1479" s="23">
        <v>1</v>
      </c>
      <c r="J1479" s="23">
        <v>2</v>
      </c>
      <c r="K1479" s="23">
        <v>3</v>
      </c>
      <c r="L1479" s="25">
        <f t="shared" si="49"/>
        <v>1.0195048044558224</v>
      </c>
      <c r="M1479" s="20" t="s">
        <v>139</v>
      </c>
    </row>
    <row r="1480" spans="1:13" x14ac:dyDescent="0.2">
      <c r="A1480" s="48" t="s">
        <v>142</v>
      </c>
      <c r="B1480" s="12" t="s">
        <v>20</v>
      </c>
      <c r="C1480" s="32" t="s">
        <v>98</v>
      </c>
      <c r="D1480" s="44">
        <v>4.9945213537216677E-4</v>
      </c>
      <c r="E1480" s="15" t="s">
        <v>138</v>
      </c>
      <c r="F1480" s="16" t="s">
        <v>16</v>
      </c>
      <c r="G1480" s="22">
        <v>1</v>
      </c>
      <c r="H1480" s="23">
        <v>1</v>
      </c>
      <c r="I1480" s="23">
        <v>1</v>
      </c>
      <c r="J1480" s="23">
        <v>2</v>
      </c>
      <c r="K1480" s="23">
        <v>3</v>
      </c>
      <c r="L1480" s="25">
        <f t="shared" ref="L1480:L1511" si="50">IF( OR( ISBLANK(G1480),ISBLANK(H1480), ISBLANK(I1480), ISBLANK(J1480), ISBLANK(K1480) ), "", 1.5*SQRT( EXP(2.21*(G1480-1)) + EXP(2.21*(H1480-1)) + EXP(2.21*(I1480-1)) + EXP(2.21*(J1480-1)) + EXP(2.21*K1480) )/100*2.45 )</f>
        <v>1.0195048044558224</v>
      </c>
      <c r="M1480" s="20" t="s">
        <v>139</v>
      </c>
    </row>
    <row r="1481" spans="1:13" x14ac:dyDescent="0.2">
      <c r="A1481" s="48" t="s">
        <v>142</v>
      </c>
      <c r="B1481" s="12" t="s">
        <v>22</v>
      </c>
      <c r="C1481" s="32" t="s">
        <v>98</v>
      </c>
      <c r="D1481" s="44">
        <v>2.1648008986232609E-4</v>
      </c>
      <c r="E1481" s="15" t="s">
        <v>138</v>
      </c>
      <c r="F1481" s="16" t="s">
        <v>16</v>
      </c>
      <c r="G1481" s="22">
        <v>1</v>
      </c>
      <c r="H1481" s="23">
        <v>1</v>
      </c>
      <c r="I1481" s="23">
        <v>1</v>
      </c>
      <c r="J1481" s="23">
        <v>2</v>
      </c>
      <c r="K1481" s="23">
        <v>3</v>
      </c>
      <c r="L1481" s="25">
        <f t="shared" si="50"/>
        <v>1.0195048044558224</v>
      </c>
      <c r="M1481" s="20" t="s">
        <v>139</v>
      </c>
    </row>
    <row r="1482" spans="1:13" x14ac:dyDescent="0.2">
      <c r="A1482" s="48" t="s">
        <v>142</v>
      </c>
      <c r="B1482" s="12" t="s">
        <v>23</v>
      </c>
      <c r="C1482" s="32" t="s">
        <v>98</v>
      </c>
      <c r="D1482" s="44">
        <v>5.9845909065581018E-5</v>
      </c>
      <c r="E1482" s="15" t="s">
        <v>138</v>
      </c>
      <c r="F1482" s="16" t="s">
        <v>16</v>
      </c>
      <c r="G1482" s="22">
        <v>1</v>
      </c>
      <c r="H1482" s="23">
        <v>1</v>
      </c>
      <c r="I1482" s="23">
        <v>1</v>
      </c>
      <c r="J1482" s="23">
        <v>2</v>
      </c>
      <c r="K1482" s="23">
        <v>3</v>
      </c>
      <c r="L1482" s="25">
        <f t="shared" si="50"/>
        <v>1.0195048044558224</v>
      </c>
      <c r="M1482" s="20" t="s">
        <v>139</v>
      </c>
    </row>
    <row r="1483" spans="1:13" x14ac:dyDescent="0.2">
      <c r="A1483" s="48" t="s">
        <v>142</v>
      </c>
      <c r="B1483" s="12" t="s">
        <v>24</v>
      </c>
      <c r="C1483" s="32" t="s">
        <v>98</v>
      </c>
      <c r="D1483" s="44">
        <v>8.6444953187226942E-4</v>
      </c>
      <c r="E1483" s="15" t="s">
        <v>138</v>
      </c>
      <c r="F1483" s="16" t="s">
        <v>16</v>
      </c>
      <c r="G1483" s="22">
        <v>1</v>
      </c>
      <c r="H1483" s="23">
        <v>1</v>
      </c>
      <c r="I1483" s="23">
        <v>1</v>
      </c>
      <c r="J1483" s="23">
        <v>2</v>
      </c>
      <c r="K1483" s="23">
        <v>3</v>
      </c>
      <c r="L1483" s="25">
        <f t="shared" si="50"/>
        <v>1.0195048044558224</v>
      </c>
      <c r="M1483" s="20" t="s">
        <v>139</v>
      </c>
    </row>
    <row r="1484" spans="1:13" x14ac:dyDescent="0.2">
      <c r="A1484" s="48" t="s">
        <v>142</v>
      </c>
      <c r="B1484" s="12" t="s">
        <v>25</v>
      </c>
      <c r="C1484" s="32" t="s">
        <v>98</v>
      </c>
      <c r="D1484" s="44">
        <v>7.4772773419719231E-4</v>
      </c>
      <c r="E1484" s="15" t="s">
        <v>138</v>
      </c>
      <c r="F1484" s="16" t="s">
        <v>16</v>
      </c>
      <c r="G1484" s="22">
        <v>1</v>
      </c>
      <c r="H1484" s="23">
        <v>1</v>
      </c>
      <c r="I1484" s="23">
        <v>1</v>
      </c>
      <c r="J1484" s="23">
        <v>2</v>
      </c>
      <c r="K1484" s="23">
        <v>3</v>
      </c>
      <c r="L1484" s="25">
        <f t="shared" si="50"/>
        <v>1.0195048044558224</v>
      </c>
      <c r="M1484" s="20" t="s">
        <v>139</v>
      </c>
    </row>
    <row r="1485" spans="1:13" x14ac:dyDescent="0.2">
      <c r="A1485" s="48" t="s">
        <v>142</v>
      </c>
      <c r="B1485" s="12" t="s">
        <v>26</v>
      </c>
      <c r="C1485" s="32" t="s">
        <v>98</v>
      </c>
      <c r="D1485" s="44">
        <v>1.7521153907137379E-4</v>
      </c>
      <c r="E1485" s="15" t="s">
        <v>138</v>
      </c>
      <c r="F1485" s="16" t="s">
        <v>16</v>
      </c>
      <c r="G1485" s="22">
        <v>1</v>
      </c>
      <c r="H1485" s="23">
        <v>1</v>
      </c>
      <c r="I1485" s="23">
        <v>1</v>
      </c>
      <c r="J1485" s="23">
        <v>2</v>
      </c>
      <c r="K1485" s="23">
        <v>3</v>
      </c>
      <c r="L1485" s="25">
        <f t="shared" si="50"/>
        <v>1.0195048044558224</v>
      </c>
      <c r="M1485" s="20" t="s">
        <v>139</v>
      </c>
    </row>
    <row r="1486" spans="1:13" x14ac:dyDescent="0.2">
      <c r="A1486" s="48" t="s">
        <v>142</v>
      </c>
      <c r="B1486" s="12" t="s">
        <v>27</v>
      </c>
      <c r="C1486" s="32" t="s">
        <v>98</v>
      </c>
      <c r="D1486" s="44">
        <v>5.1331025739559529E-4</v>
      </c>
      <c r="E1486" s="15" t="s">
        <v>138</v>
      </c>
      <c r="F1486" s="16" t="s">
        <v>16</v>
      </c>
      <c r="G1486" s="22">
        <v>1</v>
      </c>
      <c r="H1486" s="23">
        <v>1</v>
      </c>
      <c r="I1486" s="23">
        <v>1</v>
      </c>
      <c r="J1486" s="23">
        <v>2</v>
      </c>
      <c r="K1486" s="23">
        <v>3</v>
      </c>
      <c r="L1486" s="25">
        <f t="shared" si="50"/>
        <v>1.0195048044558224</v>
      </c>
      <c r="M1486" s="20" t="s">
        <v>139</v>
      </c>
    </row>
    <row r="1487" spans="1:13" x14ac:dyDescent="0.2">
      <c r="A1487" s="48" t="s">
        <v>142</v>
      </c>
      <c r="B1487" s="12" t="s">
        <v>28</v>
      </c>
      <c r="C1487" s="32" t="s">
        <v>98</v>
      </c>
      <c r="D1487" s="44">
        <v>7.0138756792151036E-3</v>
      </c>
      <c r="E1487" s="15" t="s">
        <v>138</v>
      </c>
      <c r="F1487" s="16" t="s">
        <v>16</v>
      </c>
      <c r="G1487" s="22">
        <v>1</v>
      </c>
      <c r="H1487" s="23">
        <v>1</v>
      </c>
      <c r="I1487" s="23">
        <v>1</v>
      </c>
      <c r="J1487" s="23">
        <v>2</v>
      </c>
      <c r="K1487" s="23">
        <v>3</v>
      </c>
      <c r="L1487" s="25">
        <f t="shared" si="50"/>
        <v>1.0195048044558224</v>
      </c>
      <c r="M1487" s="20" t="s">
        <v>139</v>
      </c>
    </row>
    <row r="1488" spans="1:13" x14ac:dyDescent="0.2">
      <c r="A1488" s="48" t="s">
        <v>142</v>
      </c>
      <c r="B1488" s="12" t="s">
        <v>30</v>
      </c>
      <c r="C1488" s="32" t="s">
        <v>98</v>
      </c>
      <c r="D1488" s="44">
        <v>1.237401975093879E-2</v>
      </c>
      <c r="E1488" s="15" t="s">
        <v>138</v>
      </c>
      <c r="F1488" s="16" t="s">
        <v>16</v>
      </c>
      <c r="G1488" s="22">
        <v>1</v>
      </c>
      <c r="H1488" s="23">
        <v>1</v>
      </c>
      <c r="I1488" s="23">
        <v>1</v>
      </c>
      <c r="J1488" s="23">
        <v>2</v>
      </c>
      <c r="K1488" s="23">
        <v>3</v>
      </c>
      <c r="L1488" s="24">
        <f t="shared" si="50"/>
        <v>1.0195048044558224</v>
      </c>
      <c r="M1488" s="20" t="s">
        <v>139</v>
      </c>
    </row>
    <row r="1489" spans="1:13" x14ac:dyDescent="0.2">
      <c r="A1489" s="48" t="s">
        <v>142</v>
      </c>
      <c r="B1489" s="12" t="s">
        <v>32</v>
      </c>
      <c r="C1489" s="32" t="s">
        <v>98</v>
      </c>
      <c r="D1489" s="44">
        <v>9.0541770127988046E-4</v>
      </c>
      <c r="E1489" s="15" t="s">
        <v>138</v>
      </c>
      <c r="F1489" s="16" t="s">
        <v>16</v>
      </c>
      <c r="G1489" s="22">
        <v>1</v>
      </c>
      <c r="H1489" s="23">
        <v>1</v>
      </c>
      <c r="I1489" s="23">
        <v>1</v>
      </c>
      <c r="J1489" s="23">
        <v>2</v>
      </c>
      <c r="K1489" s="23">
        <v>3</v>
      </c>
      <c r="L1489" s="25">
        <f t="shared" si="50"/>
        <v>1.0195048044558224</v>
      </c>
      <c r="M1489" s="20" t="s">
        <v>139</v>
      </c>
    </row>
    <row r="1490" spans="1:13" x14ac:dyDescent="0.2">
      <c r="A1490" s="48" t="s">
        <v>142</v>
      </c>
      <c r="B1490" s="12" t="s">
        <v>34</v>
      </c>
      <c r="C1490" s="32" t="s">
        <v>98</v>
      </c>
      <c r="D1490" s="44">
        <v>1.5157949461195349E-3</v>
      </c>
      <c r="E1490" s="15" t="s">
        <v>138</v>
      </c>
      <c r="F1490" s="16" t="s">
        <v>16</v>
      </c>
      <c r="G1490" s="22">
        <v>1</v>
      </c>
      <c r="H1490" s="23">
        <v>1</v>
      </c>
      <c r="I1490" s="23">
        <v>1</v>
      </c>
      <c r="J1490" s="23">
        <v>2</v>
      </c>
      <c r="K1490" s="23">
        <v>3</v>
      </c>
      <c r="L1490" s="25">
        <f t="shared" si="50"/>
        <v>1.0195048044558224</v>
      </c>
      <c r="M1490" s="20" t="s">
        <v>139</v>
      </c>
    </row>
    <row r="1491" spans="1:13" x14ac:dyDescent="0.2">
      <c r="A1491" s="48" t="s">
        <v>142</v>
      </c>
      <c r="B1491" s="12" t="s">
        <v>36</v>
      </c>
      <c r="C1491" s="32" t="s">
        <v>98</v>
      </c>
      <c r="D1491" s="44">
        <v>9.9758169691434979E-4</v>
      </c>
      <c r="E1491" s="15" t="s">
        <v>138</v>
      </c>
      <c r="F1491" s="16" t="s">
        <v>16</v>
      </c>
      <c r="G1491" s="22">
        <v>1</v>
      </c>
      <c r="H1491" s="23">
        <v>1</v>
      </c>
      <c r="I1491" s="23">
        <v>1</v>
      </c>
      <c r="J1491" s="23">
        <v>2</v>
      </c>
      <c r="K1491" s="23">
        <v>3</v>
      </c>
      <c r="L1491" s="25">
        <f t="shared" si="50"/>
        <v>1.0195048044558224</v>
      </c>
      <c r="M1491" s="20" t="s">
        <v>139</v>
      </c>
    </row>
    <row r="1492" spans="1:13" x14ac:dyDescent="0.2">
      <c r="A1492" s="48" t="s">
        <v>142</v>
      </c>
      <c r="B1492" s="12" t="s">
        <v>37</v>
      </c>
      <c r="C1492" s="32" t="s">
        <v>98</v>
      </c>
      <c r="D1492" s="44">
        <v>6.5207489310317368E-3</v>
      </c>
      <c r="E1492" s="15" t="s">
        <v>138</v>
      </c>
      <c r="F1492" s="16" t="s">
        <v>16</v>
      </c>
      <c r="G1492" s="22">
        <v>1</v>
      </c>
      <c r="H1492" s="23">
        <v>1</v>
      </c>
      <c r="I1492" s="23">
        <v>1</v>
      </c>
      <c r="J1492" s="23">
        <v>2</v>
      </c>
      <c r="K1492" s="23">
        <v>3</v>
      </c>
      <c r="L1492" s="24">
        <f t="shared" si="50"/>
        <v>1.0195048044558224</v>
      </c>
      <c r="M1492" s="20" t="s">
        <v>139</v>
      </c>
    </row>
    <row r="1493" spans="1:13" x14ac:dyDescent="0.2">
      <c r="A1493" s="48" t="s">
        <v>142</v>
      </c>
      <c r="B1493" s="12" t="s">
        <v>39</v>
      </c>
      <c r="C1493" s="32" t="s">
        <v>98</v>
      </c>
      <c r="D1493" s="44">
        <v>1.5333445059491609E-4</v>
      </c>
      <c r="E1493" s="15" t="s">
        <v>138</v>
      </c>
      <c r="F1493" s="16" t="s">
        <v>16</v>
      </c>
      <c r="G1493" s="22">
        <v>1</v>
      </c>
      <c r="H1493" s="23">
        <v>1</v>
      </c>
      <c r="I1493" s="23">
        <v>1</v>
      </c>
      <c r="J1493" s="23">
        <v>2</v>
      </c>
      <c r="K1493" s="23">
        <v>3</v>
      </c>
      <c r="L1493" s="25">
        <f t="shared" si="50"/>
        <v>1.0195048044558224</v>
      </c>
      <c r="M1493" s="20" t="s">
        <v>139</v>
      </c>
    </row>
    <row r="1494" spans="1:13" x14ac:dyDescent="0.2">
      <c r="A1494" s="48" t="s">
        <v>142</v>
      </c>
      <c r="B1494" s="12" t="s">
        <v>40</v>
      </c>
      <c r="C1494" s="32" t="s">
        <v>98</v>
      </c>
      <c r="D1494" s="44">
        <v>2.8154317291256462E-4</v>
      </c>
      <c r="E1494" s="15" t="s">
        <v>138</v>
      </c>
      <c r="F1494" s="16" t="s">
        <v>16</v>
      </c>
      <c r="G1494" s="22">
        <v>1</v>
      </c>
      <c r="H1494" s="23">
        <v>1</v>
      </c>
      <c r="I1494" s="23">
        <v>1</v>
      </c>
      <c r="J1494" s="23">
        <v>2</v>
      </c>
      <c r="K1494" s="23">
        <v>3</v>
      </c>
      <c r="L1494" s="25">
        <f t="shared" si="50"/>
        <v>1.0195048044558224</v>
      </c>
      <c r="M1494" s="20" t="s">
        <v>139</v>
      </c>
    </row>
    <row r="1495" spans="1:13" x14ac:dyDescent="0.2">
      <c r="A1495" s="48" t="s">
        <v>142</v>
      </c>
      <c r="B1495" s="12" t="s">
        <v>41</v>
      </c>
      <c r="C1495" s="32" t="s">
        <v>98</v>
      </c>
      <c r="D1495" s="44">
        <v>8.0012397260584785E-5</v>
      </c>
      <c r="E1495" s="15" t="s">
        <v>138</v>
      </c>
      <c r="F1495" s="16" t="s">
        <v>16</v>
      </c>
      <c r="G1495" s="22">
        <v>1</v>
      </c>
      <c r="H1495" s="23">
        <v>1</v>
      </c>
      <c r="I1495" s="23">
        <v>1</v>
      </c>
      <c r="J1495" s="23">
        <v>2</v>
      </c>
      <c r="K1495" s="23">
        <v>3</v>
      </c>
      <c r="L1495" s="25">
        <f t="shared" si="50"/>
        <v>1.0195048044558224</v>
      </c>
      <c r="M1495" s="20" t="s">
        <v>139</v>
      </c>
    </row>
    <row r="1496" spans="1:13" x14ac:dyDescent="0.2">
      <c r="A1496" s="48" t="s">
        <v>142</v>
      </c>
      <c r="B1496" s="12" t="s">
        <v>42</v>
      </c>
      <c r="C1496" s="32" t="s">
        <v>98</v>
      </c>
      <c r="D1496" s="44">
        <v>4.6164258023667462E-5</v>
      </c>
      <c r="E1496" s="15" t="s">
        <v>138</v>
      </c>
      <c r="F1496" s="16" t="s">
        <v>16</v>
      </c>
      <c r="G1496" s="22">
        <v>1</v>
      </c>
      <c r="H1496" s="23">
        <v>1</v>
      </c>
      <c r="I1496" s="23">
        <v>1</v>
      </c>
      <c r="J1496" s="23">
        <v>2</v>
      </c>
      <c r="K1496" s="23">
        <v>3</v>
      </c>
      <c r="L1496" s="25">
        <f t="shared" si="50"/>
        <v>1.0195048044558224</v>
      </c>
      <c r="M1496" s="20" t="s">
        <v>139</v>
      </c>
    </row>
    <row r="1497" spans="1:13" x14ac:dyDescent="0.2">
      <c r="A1497" s="48" t="s">
        <v>142</v>
      </c>
      <c r="B1497" s="12" t="s">
        <v>43</v>
      </c>
      <c r="C1497" s="32" t="s">
        <v>98</v>
      </c>
      <c r="D1497" s="44">
        <v>2.1373232861916238E-3</v>
      </c>
      <c r="E1497" s="15" t="s">
        <v>138</v>
      </c>
      <c r="F1497" s="16" t="s">
        <v>16</v>
      </c>
      <c r="G1497" s="22">
        <v>1</v>
      </c>
      <c r="H1497" s="23">
        <v>1</v>
      </c>
      <c r="I1497" s="23">
        <v>1</v>
      </c>
      <c r="J1497" s="23">
        <v>2</v>
      </c>
      <c r="K1497" s="23">
        <v>3</v>
      </c>
      <c r="L1497" s="25">
        <f t="shared" si="50"/>
        <v>1.0195048044558224</v>
      </c>
      <c r="M1497" s="20" t="s">
        <v>139</v>
      </c>
    </row>
    <row r="1498" spans="1:13" x14ac:dyDescent="0.2">
      <c r="A1498" s="48" t="s">
        <v>142</v>
      </c>
      <c r="B1498" s="12" t="s">
        <v>45</v>
      </c>
      <c r="C1498" s="32" t="s">
        <v>98</v>
      </c>
      <c r="D1498" s="44">
        <v>8.0950828730871611E-4</v>
      </c>
      <c r="E1498" s="15" t="s">
        <v>138</v>
      </c>
      <c r="F1498" s="16" t="s">
        <v>16</v>
      </c>
      <c r="G1498" s="22">
        <v>1</v>
      </c>
      <c r="H1498" s="23">
        <v>1</v>
      </c>
      <c r="I1498" s="23">
        <v>1</v>
      </c>
      <c r="J1498" s="23">
        <v>2</v>
      </c>
      <c r="K1498" s="23">
        <v>3</v>
      </c>
      <c r="L1498" s="25">
        <f t="shared" si="50"/>
        <v>1.0195048044558224</v>
      </c>
      <c r="M1498" s="20" t="s">
        <v>139</v>
      </c>
    </row>
    <row r="1499" spans="1:13" x14ac:dyDescent="0.2">
      <c r="A1499" s="48" t="s">
        <v>142</v>
      </c>
      <c r="B1499" s="12" t="s">
        <v>46</v>
      </c>
      <c r="C1499" s="32" t="s">
        <v>98</v>
      </c>
      <c r="D1499" s="44">
        <v>3.6837680341289289E-3</v>
      </c>
      <c r="E1499" s="15" t="s">
        <v>138</v>
      </c>
      <c r="F1499" s="16" t="s">
        <v>16</v>
      </c>
      <c r="G1499" s="22">
        <v>1</v>
      </c>
      <c r="H1499" s="23">
        <v>1</v>
      </c>
      <c r="I1499" s="23">
        <v>1</v>
      </c>
      <c r="J1499" s="23">
        <v>2</v>
      </c>
      <c r="K1499" s="23">
        <v>3</v>
      </c>
      <c r="L1499" s="24">
        <f t="shared" si="50"/>
        <v>1.0195048044558224</v>
      </c>
      <c r="M1499" s="20" t="s">
        <v>139</v>
      </c>
    </row>
    <row r="1500" spans="1:13" x14ac:dyDescent="0.2">
      <c r="A1500" s="48" t="s">
        <v>142</v>
      </c>
      <c r="B1500" s="12" t="s">
        <v>48</v>
      </c>
      <c r="C1500" s="32" t="s">
        <v>98</v>
      </c>
      <c r="D1500" s="44">
        <v>1.357119546125513E-3</v>
      </c>
      <c r="E1500" s="15" t="s">
        <v>138</v>
      </c>
      <c r="F1500" s="16" t="s">
        <v>16</v>
      </c>
      <c r="G1500" s="22">
        <v>1</v>
      </c>
      <c r="H1500" s="23">
        <v>1</v>
      </c>
      <c r="I1500" s="23">
        <v>1</v>
      </c>
      <c r="J1500" s="23">
        <v>2</v>
      </c>
      <c r="K1500" s="23">
        <v>3</v>
      </c>
      <c r="L1500" s="25">
        <f t="shared" si="50"/>
        <v>1.0195048044558224</v>
      </c>
      <c r="M1500" s="20" t="s">
        <v>139</v>
      </c>
    </row>
    <row r="1501" spans="1:13" x14ac:dyDescent="0.2">
      <c r="A1501" s="48" t="s">
        <v>142</v>
      </c>
      <c r="B1501" s="12" t="s">
        <v>50</v>
      </c>
      <c r="C1501" s="32" t="s">
        <v>98</v>
      </c>
      <c r="D1501" s="44">
        <v>1.5769930184577419E-3</v>
      </c>
      <c r="E1501" s="15" t="s">
        <v>138</v>
      </c>
      <c r="F1501" s="16" t="s">
        <v>16</v>
      </c>
      <c r="G1501" s="22">
        <v>1</v>
      </c>
      <c r="H1501" s="23">
        <v>1</v>
      </c>
      <c r="I1501" s="23">
        <v>1</v>
      </c>
      <c r="J1501" s="23">
        <v>2</v>
      </c>
      <c r="K1501" s="23">
        <v>3</v>
      </c>
      <c r="L1501" s="25">
        <f t="shared" si="50"/>
        <v>1.0195048044558224</v>
      </c>
      <c r="M1501" s="20" t="s">
        <v>139</v>
      </c>
    </row>
    <row r="1502" spans="1:13" x14ac:dyDescent="0.2">
      <c r="A1502" s="48" t="s">
        <v>142</v>
      </c>
      <c r="B1502" s="12" t="s">
        <v>52</v>
      </c>
      <c r="C1502" s="32" t="s">
        <v>98</v>
      </c>
      <c r="D1502" s="44">
        <v>4.1923730171267111E-4</v>
      </c>
      <c r="E1502" s="15" t="s">
        <v>138</v>
      </c>
      <c r="F1502" s="16" t="s">
        <v>16</v>
      </c>
      <c r="G1502" s="22">
        <v>1</v>
      </c>
      <c r="H1502" s="23">
        <v>1</v>
      </c>
      <c r="I1502" s="23">
        <v>1</v>
      </c>
      <c r="J1502" s="23">
        <v>2</v>
      </c>
      <c r="K1502" s="23">
        <v>3</v>
      </c>
      <c r="L1502" s="25">
        <f t="shared" si="50"/>
        <v>1.0195048044558224</v>
      </c>
      <c r="M1502" s="20" t="s">
        <v>139</v>
      </c>
    </row>
    <row r="1503" spans="1:13" x14ac:dyDescent="0.2">
      <c r="A1503" s="48" t="s">
        <v>142</v>
      </c>
      <c r="B1503" s="12" t="s">
        <v>54</v>
      </c>
      <c r="C1503" s="32" t="s">
        <v>98</v>
      </c>
      <c r="D1503" s="44">
        <v>1.6229220053837001E-4</v>
      </c>
      <c r="E1503" s="15" t="s">
        <v>138</v>
      </c>
      <c r="F1503" s="16" t="s">
        <v>16</v>
      </c>
      <c r="G1503" s="22">
        <v>1</v>
      </c>
      <c r="H1503" s="23">
        <v>1</v>
      </c>
      <c r="I1503" s="23">
        <v>1</v>
      </c>
      <c r="J1503" s="23">
        <v>2</v>
      </c>
      <c r="K1503" s="23">
        <v>3</v>
      </c>
      <c r="L1503" s="25">
        <f t="shared" si="50"/>
        <v>1.0195048044558224</v>
      </c>
      <c r="M1503" s="20" t="s">
        <v>139</v>
      </c>
    </row>
    <row r="1504" spans="1:13" x14ac:dyDescent="0.2">
      <c r="A1504" s="48" t="s">
        <v>142</v>
      </c>
      <c r="B1504" s="12" t="s">
        <v>55</v>
      </c>
      <c r="C1504" s="32" t="s">
        <v>98</v>
      </c>
      <c r="D1504" s="44">
        <v>4.9759624438081296E-3</v>
      </c>
      <c r="E1504" s="15" t="s">
        <v>138</v>
      </c>
      <c r="F1504" s="16" t="s">
        <v>16</v>
      </c>
      <c r="G1504" s="22">
        <v>1</v>
      </c>
      <c r="H1504" s="23">
        <v>1</v>
      </c>
      <c r="I1504" s="23">
        <v>1</v>
      </c>
      <c r="J1504" s="23">
        <v>2</v>
      </c>
      <c r="K1504" s="23">
        <v>3</v>
      </c>
      <c r="L1504" s="24">
        <f t="shared" si="50"/>
        <v>1.0195048044558224</v>
      </c>
      <c r="M1504" s="20" t="s">
        <v>139</v>
      </c>
    </row>
    <row r="1505" spans="1:13" x14ac:dyDescent="0.2">
      <c r="A1505" s="48" t="s">
        <v>142</v>
      </c>
      <c r="B1505" s="12" t="s">
        <v>57</v>
      </c>
      <c r="C1505" s="32" t="s">
        <v>98</v>
      </c>
      <c r="D1505" s="44">
        <v>8.1153301319349222E-4</v>
      </c>
      <c r="E1505" s="15" t="s">
        <v>138</v>
      </c>
      <c r="F1505" s="16" t="s">
        <v>16</v>
      </c>
      <c r="G1505" s="22">
        <v>1</v>
      </c>
      <c r="H1505" s="23">
        <v>1</v>
      </c>
      <c r="I1505" s="23">
        <v>1</v>
      </c>
      <c r="J1505" s="23">
        <v>2</v>
      </c>
      <c r="K1505" s="23">
        <v>3</v>
      </c>
      <c r="L1505" s="25">
        <f t="shared" si="50"/>
        <v>1.0195048044558224</v>
      </c>
      <c r="M1505" s="20" t="s">
        <v>139</v>
      </c>
    </row>
    <row r="1506" spans="1:13" x14ac:dyDescent="0.2">
      <c r="A1506" s="48" t="s">
        <v>142</v>
      </c>
      <c r="B1506" s="12" t="s">
        <v>59</v>
      </c>
      <c r="C1506" s="32" t="s">
        <v>98</v>
      </c>
      <c r="D1506" s="44">
        <v>1.2211226965471451E-3</v>
      </c>
      <c r="E1506" s="15" t="s">
        <v>138</v>
      </c>
      <c r="F1506" s="16" t="s">
        <v>16</v>
      </c>
      <c r="G1506" s="22">
        <v>1</v>
      </c>
      <c r="H1506" s="23">
        <v>1</v>
      </c>
      <c r="I1506" s="23">
        <v>1</v>
      </c>
      <c r="J1506" s="23">
        <v>2</v>
      </c>
      <c r="K1506" s="23">
        <v>3</v>
      </c>
      <c r="L1506" s="25">
        <f t="shared" si="50"/>
        <v>1.0195048044558224</v>
      </c>
      <c r="M1506" s="20" t="s">
        <v>139</v>
      </c>
    </row>
    <row r="1507" spans="1:13" x14ac:dyDescent="0.2">
      <c r="A1507" s="49" t="s">
        <v>142</v>
      </c>
      <c r="B1507" s="34" t="s">
        <v>60</v>
      </c>
      <c r="C1507" s="35" t="s">
        <v>98</v>
      </c>
      <c r="D1507" s="46">
        <v>6.4483643600797853E-3</v>
      </c>
      <c r="E1507" s="37" t="s">
        <v>138</v>
      </c>
      <c r="F1507" s="38" t="s">
        <v>16</v>
      </c>
      <c r="G1507" s="39">
        <v>1</v>
      </c>
      <c r="H1507" s="40">
        <v>2</v>
      </c>
      <c r="I1507" s="40">
        <v>1</v>
      </c>
      <c r="J1507" s="40">
        <v>2</v>
      </c>
      <c r="K1507" s="40">
        <v>3</v>
      </c>
      <c r="L1507" s="41">
        <f t="shared" si="50"/>
        <v>1.0248662490928169</v>
      </c>
      <c r="M1507" s="42" t="s">
        <v>139</v>
      </c>
    </row>
    <row r="1508" spans="1:13" x14ac:dyDescent="0.2">
      <c r="A1508" s="48" t="s">
        <v>143</v>
      </c>
      <c r="B1508" s="12" t="s">
        <v>13</v>
      </c>
      <c r="C1508" s="13" t="s">
        <v>14</v>
      </c>
      <c r="D1508" s="44">
        <v>7.2097231939447619</v>
      </c>
      <c r="E1508" s="15" t="s">
        <v>138</v>
      </c>
      <c r="F1508" s="16" t="s">
        <v>16</v>
      </c>
      <c r="G1508" s="22">
        <v>1</v>
      </c>
      <c r="H1508" s="23">
        <v>1</v>
      </c>
      <c r="I1508" s="23">
        <v>1</v>
      </c>
      <c r="J1508" s="23">
        <v>2</v>
      </c>
      <c r="K1508" s="23">
        <v>3</v>
      </c>
      <c r="L1508" s="25">
        <f t="shared" si="50"/>
        <v>1.0195048044558224</v>
      </c>
      <c r="M1508" s="20" t="s">
        <v>139</v>
      </c>
    </row>
    <row r="1509" spans="1:13" x14ac:dyDescent="0.2">
      <c r="A1509" s="48" t="s">
        <v>143</v>
      </c>
      <c r="B1509" s="12" t="s">
        <v>18</v>
      </c>
      <c r="C1509" s="13" t="s">
        <v>14</v>
      </c>
      <c r="D1509" s="44">
        <v>9.7179985393315818</v>
      </c>
      <c r="E1509" s="15" t="s">
        <v>138</v>
      </c>
      <c r="F1509" s="16" t="s">
        <v>16</v>
      </c>
      <c r="G1509" s="22">
        <v>1</v>
      </c>
      <c r="H1509" s="23">
        <v>1</v>
      </c>
      <c r="I1509" s="23">
        <v>1</v>
      </c>
      <c r="J1509" s="23">
        <v>2</v>
      </c>
      <c r="K1509" s="23">
        <v>3</v>
      </c>
      <c r="L1509" s="25">
        <f t="shared" si="50"/>
        <v>1.0195048044558224</v>
      </c>
      <c r="M1509" s="20" t="s">
        <v>139</v>
      </c>
    </row>
    <row r="1510" spans="1:13" x14ac:dyDescent="0.2">
      <c r="A1510" s="48" t="s">
        <v>143</v>
      </c>
      <c r="B1510" s="12" t="s">
        <v>20</v>
      </c>
      <c r="C1510" s="13" t="s">
        <v>14</v>
      </c>
      <c r="D1510" s="44">
        <v>3.6874364344030321</v>
      </c>
      <c r="E1510" s="15" t="s">
        <v>138</v>
      </c>
      <c r="F1510" s="16" t="s">
        <v>16</v>
      </c>
      <c r="G1510" s="22">
        <v>1</v>
      </c>
      <c r="H1510" s="23">
        <v>1</v>
      </c>
      <c r="I1510" s="23">
        <v>1</v>
      </c>
      <c r="J1510" s="23">
        <v>2</v>
      </c>
      <c r="K1510" s="23">
        <v>3</v>
      </c>
      <c r="L1510" s="25">
        <f t="shared" si="50"/>
        <v>1.0195048044558224</v>
      </c>
      <c r="M1510" s="20" t="s">
        <v>139</v>
      </c>
    </row>
    <row r="1511" spans="1:13" x14ac:dyDescent="0.2">
      <c r="A1511" s="48" t="s">
        <v>143</v>
      </c>
      <c r="B1511" s="12" t="s">
        <v>22</v>
      </c>
      <c r="C1511" s="13" t="s">
        <v>14</v>
      </c>
      <c r="D1511" s="44">
        <v>1.598264406430784</v>
      </c>
      <c r="E1511" s="15" t="s">
        <v>138</v>
      </c>
      <c r="F1511" s="16" t="s">
        <v>16</v>
      </c>
      <c r="G1511" s="22">
        <v>1</v>
      </c>
      <c r="H1511" s="23">
        <v>1</v>
      </c>
      <c r="I1511" s="23">
        <v>1</v>
      </c>
      <c r="J1511" s="23">
        <v>2</v>
      </c>
      <c r="K1511" s="23">
        <v>3</v>
      </c>
      <c r="L1511" s="25">
        <f t="shared" si="50"/>
        <v>1.0195048044558224</v>
      </c>
      <c r="M1511" s="20" t="s">
        <v>139</v>
      </c>
    </row>
    <row r="1512" spans="1:13" x14ac:dyDescent="0.2">
      <c r="A1512" s="48" t="s">
        <v>143</v>
      </c>
      <c r="B1512" s="12" t="s">
        <v>23</v>
      </c>
      <c r="C1512" s="13" t="s">
        <v>14</v>
      </c>
      <c r="D1512" s="44">
        <v>0.44184010820968039</v>
      </c>
      <c r="E1512" s="15" t="s">
        <v>138</v>
      </c>
      <c r="F1512" s="16" t="s">
        <v>16</v>
      </c>
      <c r="G1512" s="22">
        <v>1</v>
      </c>
      <c r="H1512" s="23">
        <v>1</v>
      </c>
      <c r="I1512" s="23">
        <v>1</v>
      </c>
      <c r="J1512" s="23">
        <v>2</v>
      </c>
      <c r="K1512" s="23">
        <v>3</v>
      </c>
      <c r="L1512" s="25">
        <f t="shared" ref="L1512:L1543" si="51">IF( OR( ISBLANK(G1512),ISBLANK(H1512), ISBLANK(I1512), ISBLANK(J1512), ISBLANK(K1512) ), "", 1.5*SQRT( EXP(2.21*(G1512-1)) + EXP(2.21*(H1512-1)) + EXP(2.21*(I1512-1)) + EXP(2.21*(J1512-1)) + EXP(2.21*K1512) )/100*2.45 )</f>
        <v>1.0195048044558224</v>
      </c>
      <c r="M1512" s="20" t="s">
        <v>139</v>
      </c>
    </row>
    <row r="1513" spans="1:13" x14ac:dyDescent="0.2">
      <c r="A1513" s="48" t="s">
        <v>143</v>
      </c>
      <c r="B1513" s="12" t="s">
        <v>24</v>
      </c>
      <c r="C1513" s="13" t="s">
        <v>14</v>
      </c>
      <c r="D1513" s="44">
        <v>6.3821985607353726</v>
      </c>
      <c r="E1513" s="15" t="s">
        <v>138</v>
      </c>
      <c r="F1513" s="16" t="s">
        <v>16</v>
      </c>
      <c r="G1513" s="22">
        <v>1</v>
      </c>
      <c r="H1513" s="23">
        <v>1</v>
      </c>
      <c r="I1513" s="23">
        <v>1</v>
      </c>
      <c r="J1513" s="23">
        <v>2</v>
      </c>
      <c r="K1513" s="23">
        <v>3</v>
      </c>
      <c r="L1513" s="25">
        <f t="shared" si="51"/>
        <v>1.0195048044558224</v>
      </c>
      <c r="M1513" s="20" t="s">
        <v>139</v>
      </c>
    </row>
    <row r="1514" spans="1:13" x14ac:dyDescent="0.2">
      <c r="A1514" s="48" t="s">
        <v>143</v>
      </c>
      <c r="B1514" s="12" t="s">
        <v>25</v>
      </c>
      <c r="C1514" s="13" t="s">
        <v>14</v>
      </c>
      <c r="D1514" s="44">
        <v>5.5204458942553636</v>
      </c>
      <c r="E1514" s="15" t="s">
        <v>138</v>
      </c>
      <c r="F1514" s="16" t="s">
        <v>16</v>
      </c>
      <c r="G1514" s="22">
        <v>1</v>
      </c>
      <c r="H1514" s="23">
        <v>1</v>
      </c>
      <c r="I1514" s="23">
        <v>1</v>
      </c>
      <c r="J1514" s="23">
        <v>2</v>
      </c>
      <c r="K1514" s="23">
        <v>3</v>
      </c>
      <c r="L1514" s="25">
        <f t="shared" si="51"/>
        <v>1.0195048044558224</v>
      </c>
      <c r="M1514" s="20" t="s">
        <v>139</v>
      </c>
    </row>
    <row r="1515" spans="1:13" x14ac:dyDescent="0.2">
      <c r="A1515" s="48" t="s">
        <v>143</v>
      </c>
      <c r="B1515" s="12" t="s">
        <v>26</v>
      </c>
      <c r="C1515" s="13" t="s">
        <v>14</v>
      </c>
      <c r="D1515" s="44">
        <v>1.293580239512214</v>
      </c>
      <c r="E1515" s="15" t="s">
        <v>138</v>
      </c>
      <c r="F1515" s="16" t="s">
        <v>16</v>
      </c>
      <c r="G1515" s="22">
        <v>1</v>
      </c>
      <c r="H1515" s="23">
        <v>1</v>
      </c>
      <c r="I1515" s="23">
        <v>1</v>
      </c>
      <c r="J1515" s="23">
        <v>2</v>
      </c>
      <c r="K1515" s="23">
        <v>3</v>
      </c>
      <c r="L1515" s="25">
        <f t="shared" si="51"/>
        <v>1.0195048044558224</v>
      </c>
      <c r="M1515" s="20" t="s">
        <v>139</v>
      </c>
    </row>
    <row r="1516" spans="1:13" x14ac:dyDescent="0.2">
      <c r="A1516" s="48" t="s">
        <v>143</v>
      </c>
      <c r="B1516" s="12" t="s">
        <v>27</v>
      </c>
      <c r="C1516" s="13" t="s">
        <v>14</v>
      </c>
      <c r="D1516" s="44">
        <v>3.7897504309655159</v>
      </c>
      <c r="E1516" s="15" t="s">
        <v>138</v>
      </c>
      <c r="F1516" s="16" t="s">
        <v>16</v>
      </c>
      <c r="G1516" s="22">
        <v>1</v>
      </c>
      <c r="H1516" s="23">
        <v>1</v>
      </c>
      <c r="I1516" s="23">
        <v>1</v>
      </c>
      <c r="J1516" s="23">
        <v>2</v>
      </c>
      <c r="K1516" s="23">
        <v>3</v>
      </c>
      <c r="L1516" s="25">
        <f t="shared" si="51"/>
        <v>1.0195048044558224</v>
      </c>
      <c r="M1516" s="20" t="s">
        <v>139</v>
      </c>
    </row>
    <row r="1517" spans="1:13" x14ac:dyDescent="0.2">
      <c r="A1517" s="48" t="s">
        <v>143</v>
      </c>
      <c r="B1517" s="12" t="s">
        <v>28</v>
      </c>
      <c r="C1517" s="13" t="s">
        <v>14</v>
      </c>
      <c r="D1517" s="44">
        <v>51.78318179907091</v>
      </c>
      <c r="E1517" s="15" t="s">
        <v>138</v>
      </c>
      <c r="F1517" s="16" t="s">
        <v>16</v>
      </c>
      <c r="G1517" s="22">
        <v>1</v>
      </c>
      <c r="H1517" s="23">
        <v>1</v>
      </c>
      <c r="I1517" s="23">
        <v>1</v>
      </c>
      <c r="J1517" s="23">
        <v>2</v>
      </c>
      <c r="K1517" s="23">
        <v>3</v>
      </c>
      <c r="L1517" s="25">
        <f t="shared" si="51"/>
        <v>1.0195048044558224</v>
      </c>
      <c r="M1517" s="20" t="s">
        <v>139</v>
      </c>
    </row>
    <row r="1518" spans="1:13" x14ac:dyDescent="0.2">
      <c r="A1518" s="48" t="s">
        <v>143</v>
      </c>
      <c r="B1518" s="12" t="s">
        <v>30</v>
      </c>
      <c r="C1518" s="13" t="s">
        <v>14</v>
      </c>
      <c r="D1518" s="44">
        <v>91.356924994693273</v>
      </c>
      <c r="E1518" s="15" t="s">
        <v>138</v>
      </c>
      <c r="F1518" s="16" t="s">
        <v>16</v>
      </c>
      <c r="G1518" s="22">
        <v>1</v>
      </c>
      <c r="H1518" s="23">
        <v>1</v>
      </c>
      <c r="I1518" s="23">
        <v>1</v>
      </c>
      <c r="J1518" s="23">
        <v>2</v>
      </c>
      <c r="K1518" s="23">
        <v>3</v>
      </c>
      <c r="L1518" s="24">
        <f t="shared" si="51"/>
        <v>1.0195048044558224</v>
      </c>
      <c r="M1518" s="20" t="s">
        <v>139</v>
      </c>
    </row>
    <row r="1519" spans="1:13" x14ac:dyDescent="0.2">
      <c r="A1519" s="48" t="s">
        <v>143</v>
      </c>
      <c r="B1519" s="12" t="s">
        <v>32</v>
      </c>
      <c r="C1519" s="13" t="s">
        <v>14</v>
      </c>
      <c r="D1519" s="44">
        <v>6.6846650231359233</v>
      </c>
      <c r="E1519" s="15" t="s">
        <v>138</v>
      </c>
      <c r="F1519" s="16" t="s">
        <v>16</v>
      </c>
      <c r="G1519" s="22">
        <v>1</v>
      </c>
      <c r="H1519" s="23">
        <v>1</v>
      </c>
      <c r="I1519" s="23">
        <v>1</v>
      </c>
      <c r="J1519" s="23">
        <v>2</v>
      </c>
      <c r="K1519" s="23">
        <v>3</v>
      </c>
      <c r="L1519" s="25">
        <f t="shared" si="51"/>
        <v>1.0195048044558224</v>
      </c>
      <c r="M1519" s="20" t="s">
        <v>139</v>
      </c>
    </row>
    <row r="1520" spans="1:13" x14ac:dyDescent="0.2">
      <c r="A1520" s="48" t="s">
        <v>143</v>
      </c>
      <c r="B1520" s="12" t="s">
        <v>34</v>
      </c>
      <c r="C1520" s="13" t="s">
        <v>14</v>
      </c>
      <c r="D1520" s="44">
        <v>11.19105739179634</v>
      </c>
      <c r="E1520" s="15" t="s">
        <v>138</v>
      </c>
      <c r="F1520" s="16" t="s">
        <v>16</v>
      </c>
      <c r="G1520" s="22">
        <v>1</v>
      </c>
      <c r="H1520" s="23">
        <v>1</v>
      </c>
      <c r="I1520" s="23">
        <v>1</v>
      </c>
      <c r="J1520" s="23">
        <v>2</v>
      </c>
      <c r="K1520" s="23">
        <v>3</v>
      </c>
      <c r="L1520" s="25">
        <f t="shared" si="51"/>
        <v>1.0195048044558224</v>
      </c>
      <c r="M1520" s="20" t="s">
        <v>139</v>
      </c>
    </row>
    <row r="1521" spans="1:13" x14ac:dyDescent="0.2">
      <c r="A1521" s="48" t="s">
        <v>143</v>
      </c>
      <c r="B1521" s="12" t="s">
        <v>36</v>
      </c>
      <c r="C1521" s="13" t="s">
        <v>14</v>
      </c>
      <c r="D1521" s="44">
        <v>7.3651083556876316</v>
      </c>
      <c r="E1521" s="15" t="s">
        <v>138</v>
      </c>
      <c r="F1521" s="16" t="s">
        <v>16</v>
      </c>
      <c r="G1521" s="22">
        <v>1</v>
      </c>
      <c r="H1521" s="23">
        <v>1</v>
      </c>
      <c r="I1521" s="23">
        <v>1</v>
      </c>
      <c r="J1521" s="23">
        <v>2</v>
      </c>
      <c r="K1521" s="23">
        <v>3</v>
      </c>
      <c r="L1521" s="25">
        <f t="shared" si="51"/>
        <v>1.0195048044558224</v>
      </c>
      <c r="M1521" s="20" t="s">
        <v>139</v>
      </c>
    </row>
    <row r="1522" spans="1:13" x14ac:dyDescent="0.2">
      <c r="A1522" s="48" t="s">
        <v>143</v>
      </c>
      <c r="B1522" s="12" t="s">
        <v>37</v>
      </c>
      <c r="C1522" s="13" t="s">
        <v>14</v>
      </c>
      <c r="D1522" s="44">
        <v>48.142445461693796</v>
      </c>
      <c r="E1522" s="15" t="s">
        <v>138</v>
      </c>
      <c r="F1522" s="16" t="s">
        <v>16</v>
      </c>
      <c r="G1522" s="22">
        <v>1</v>
      </c>
      <c r="H1522" s="23">
        <v>1</v>
      </c>
      <c r="I1522" s="23">
        <v>1</v>
      </c>
      <c r="J1522" s="23">
        <v>2</v>
      </c>
      <c r="K1522" s="23">
        <v>3</v>
      </c>
      <c r="L1522" s="24">
        <f t="shared" si="51"/>
        <v>1.0195048044558224</v>
      </c>
      <c r="M1522" s="20" t="s">
        <v>139</v>
      </c>
    </row>
    <row r="1523" spans="1:13" x14ac:dyDescent="0.2">
      <c r="A1523" s="48" t="s">
        <v>143</v>
      </c>
      <c r="B1523" s="12" t="s">
        <v>39</v>
      </c>
      <c r="C1523" s="13" t="s">
        <v>14</v>
      </c>
      <c r="D1523" s="44">
        <v>1.1320625135610829</v>
      </c>
      <c r="E1523" s="15" t="s">
        <v>138</v>
      </c>
      <c r="F1523" s="16" t="s">
        <v>16</v>
      </c>
      <c r="G1523" s="22">
        <v>1</v>
      </c>
      <c r="H1523" s="23">
        <v>1</v>
      </c>
      <c r="I1523" s="23">
        <v>1</v>
      </c>
      <c r="J1523" s="23">
        <v>2</v>
      </c>
      <c r="K1523" s="23">
        <v>3</v>
      </c>
      <c r="L1523" s="25">
        <f t="shared" si="51"/>
        <v>1.0195048044558224</v>
      </c>
      <c r="M1523" s="20" t="s">
        <v>139</v>
      </c>
    </row>
    <row r="1524" spans="1:13" x14ac:dyDescent="0.2">
      <c r="A1524" s="48" t="s">
        <v>143</v>
      </c>
      <c r="B1524" s="12" t="s">
        <v>40</v>
      </c>
      <c r="C1524" s="13" t="s">
        <v>14</v>
      </c>
      <c r="D1524" s="44">
        <v>2.0786227150307992</v>
      </c>
      <c r="E1524" s="15" t="s">
        <v>138</v>
      </c>
      <c r="F1524" s="16" t="s">
        <v>16</v>
      </c>
      <c r="G1524" s="22">
        <v>1</v>
      </c>
      <c r="H1524" s="23">
        <v>1</v>
      </c>
      <c r="I1524" s="23">
        <v>1</v>
      </c>
      <c r="J1524" s="23">
        <v>2</v>
      </c>
      <c r="K1524" s="23">
        <v>3</v>
      </c>
      <c r="L1524" s="25">
        <f t="shared" si="51"/>
        <v>1.0195048044558224</v>
      </c>
      <c r="M1524" s="20" t="s">
        <v>139</v>
      </c>
    </row>
    <row r="1525" spans="1:13" x14ac:dyDescent="0.2">
      <c r="A1525" s="48" t="s">
        <v>143</v>
      </c>
      <c r="B1525" s="12" t="s">
        <v>41</v>
      </c>
      <c r="C1525" s="13" t="s">
        <v>14</v>
      </c>
      <c r="D1525" s="44">
        <v>0.59072853626456145</v>
      </c>
      <c r="E1525" s="15" t="s">
        <v>138</v>
      </c>
      <c r="F1525" s="16" t="s">
        <v>16</v>
      </c>
      <c r="G1525" s="22">
        <v>1</v>
      </c>
      <c r="H1525" s="23">
        <v>1</v>
      </c>
      <c r="I1525" s="23">
        <v>1</v>
      </c>
      <c r="J1525" s="23">
        <v>2</v>
      </c>
      <c r="K1525" s="23">
        <v>3</v>
      </c>
      <c r="L1525" s="25">
        <f t="shared" si="51"/>
        <v>1.0195048044558224</v>
      </c>
      <c r="M1525" s="20" t="s">
        <v>139</v>
      </c>
    </row>
    <row r="1526" spans="1:13" x14ac:dyDescent="0.2">
      <c r="A1526" s="48" t="s">
        <v>143</v>
      </c>
      <c r="B1526" s="12" t="s">
        <v>42</v>
      </c>
      <c r="C1526" s="13" t="s">
        <v>14</v>
      </c>
      <c r="D1526" s="44">
        <v>0.34082899030316222</v>
      </c>
      <c r="E1526" s="15" t="s">
        <v>138</v>
      </c>
      <c r="F1526" s="16" t="s">
        <v>16</v>
      </c>
      <c r="G1526" s="22">
        <v>1</v>
      </c>
      <c r="H1526" s="23">
        <v>1</v>
      </c>
      <c r="I1526" s="23">
        <v>1</v>
      </c>
      <c r="J1526" s="23">
        <v>2</v>
      </c>
      <c r="K1526" s="23">
        <v>3</v>
      </c>
      <c r="L1526" s="25">
        <f t="shared" si="51"/>
        <v>1.0195048044558224</v>
      </c>
      <c r="M1526" s="20" t="s">
        <v>139</v>
      </c>
    </row>
    <row r="1527" spans="1:13" x14ac:dyDescent="0.2">
      <c r="A1527" s="48" t="s">
        <v>143</v>
      </c>
      <c r="B1527" s="12" t="s">
        <v>43</v>
      </c>
      <c r="C1527" s="13" t="s">
        <v>14</v>
      </c>
      <c r="D1527" s="44">
        <v>15.77977787947248</v>
      </c>
      <c r="E1527" s="15" t="s">
        <v>138</v>
      </c>
      <c r="F1527" s="16" t="s">
        <v>16</v>
      </c>
      <c r="G1527" s="22">
        <v>1</v>
      </c>
      <c r="H1527" s="23">
        <v>1</v>
      </c>
      <c r="I1527" s="23">
        <v>1</v>
      </c>
      <c r="J1527" s="23">
        <v>2</v>
      </c>
      <c r="K1527" s="23">
        <v>3</v>
      </c>
      <c r="L1527" s="25">
        <f t="shared" si="51"/>
        <v>1.0195048044558224</v>
      </c>
      <c r="M1527" s="20" t="s">
        <v>139</v>
      </c>
    </row>
    <row r="1528" spans="1:13" x14ac:dyDescent="0.2">
      <c r="A1528" s="48" t="s">
        <v>143</v>
      </c>
      <c r="B1528" s="12" t="s">
        <v>45</v>
      </c>
      <c r="C1528" s="13" t="s">
        <v>14</v>
      </c>
      <c r="D1528" s="44">
        <v>5.9765694070945896</v>
      </c>
      <c r="E1528" s="15" t="s">
        <v>138</v>
      </c>
      <c r="F1528" s="16" t="s">
        <v>16</v>
      </c>
      <c r="G1528" s="22">
        <v>1</v>
      </c>
      <c r="H1528" s="23">
        <v>1</v>
      </c>
      <c r="I1528" s="23">
        <v>1</v>
      </c>
      <c r="J1528" s="23">
        <v>2</v>
      </c>
      <c r="K1528" s="23">
        <v>3</v>
      </c>
      <c r="L1528" s="25">
        <f t="shared" si="51"/>
        <v>1.0195048044558224</v>
      </c>
      <c r="M1528" s="20" t="s">
        <v>139</v>
      </c>
    </row>
    <row r="1529" spans="1:13" x14ac:dyDescent="0.2">
      <c r="A1529" s="48" t="s">
        <v>143</v>
      </c>
      <c r="B1529" s="12" t="s">
        <v>46</v>
      </c>
      <c r="C1529" s="13" t="s">
        <v>14</v>
      </c>
      <c r="D1529" s="44">
        <v>27.197121611692339</v>
      </c>
      <c r="E1529" s="15" t="s">
        <v>138</v>
      </c>
      <c r="F1529" s="16" t="s">
        <v>16</v>
      </c>
      <c r="G1529" s="22">
        <v>1</v>
      </c>
      <c r="H1529" s="23">
        <v>1</v>
      </c>
      <c r="I1529" s="23">
        <v>1</v>
      </c>
      <c r="J1529" s="23">
        <v>2</v>
      </c>
      <c r="K1529" s="23">
        <v>3</v>
      </c>
      <c r="L1529" s="24">
        <f t="shared" si="51"/>
        <v>1.0195048044558224</v>
      </c>
      <c r="M1529" s="20" t="s">
        <v>139</v>
      </c>
    </row>
    <row r="1530" spans="1:13" x14ac:dyDescent="0.2">
      <c r="A1530" s="48" t="s">
        <v>143</v>
      </c>
      <c r="B1530" s="12" t="s">
        <v>48</v>
      </c>
      <c r="C1530" s="13" t="s">
        <v>14</v>
      </c>
      <c r="D1530" s="44">
        <v>10.01956284858964</v>
      </c>
      <c r="E1530" s="15" t="s">
        <v>138</v>
      </c>
      <c r="F1530" s="16" t="s">
        <v>16</v>
      </c>
      <c r="G1530" s="22">
        <v>1</v>
      </c>
      <c r="H1530" s="23">
        <v>1</v>
      </c>
      <c r="I1530" s="23">
        <v>1</v>
      </c>
      <c r="J1530" s="23">
        <v>2</v>
      </c>
      <c r="K1530" s="23">
        <v>3</v>
      </c>
      <c r="L1530" s="25">
        <f t="shared" si="51"/>
        <v>1.0195048044558224</v>
      </c>
      <c r="M1530" s="20" t="s">
        <v>139</v>
      </c>
    </row>
    <row r="1531" spans="1:13" x14ac:dyDescent="0.2">
      <c r="A1531" s="48" t="s">
        <v>143</v>
      </c>
      <c r="B1531" s="12" t="s">
        <v>50</v>
      </c>
      <c r="C1531" s="13" t="s">
        <v>14</v>
      </c>
      <c r="D1531" s="44">
        <v>11.64288047087275</v>
      </c>
      <c r="E1531" s="15" t="s">
        <v>138</v>
      </c>
      <c r="F1531" s="16" t="s">
        <v>16</v>
      </c>
      <c r="G1531" s="22">
        <v>1</v>
      </c>
      <c r="H1531" s="23">
        <v>1</v>
      </c>
      <c r="I1531" s="23">
        <v>1</v>
      </c>
      <c r="J1531" s="23">
        <v>2</v>
      </c>
      <c r="K1531" s="23">
        <v>3</v>
      </c>
      <c r="L1531" s="25">
        <f t="shared" si="51"/>
        <v>1.0195048044558224</v>
      </c>
      <c r="M1531" s="20" t="s">
        <v>139</v>
      </c>
    </row>
    <row r="1532" spans="1:13" x14ac:dyDescent="0.2">
      <c r="A1532" s="48" t="s">
        <v>143</v>
      </c>
      <c r="B1532" s="12" t="s">
        <v>52</v>
      </c>
      <c r="C1532" s="13" t="s">
        <v>14</v>
      </c>
      <c r="D1532" s="44">
        <v>3.0952133177770569</v>
      </c>
      <c r="E1532" s="15" t="s">
        <v>138</v>
      </c>
      <c r="F1532" s="16" t="s">
        <v>16</v>
      </c>
      <c r="G1532" s="22">
        <v>1</v>
      </c>
      <c r="H1532" s="23">
        <v>1</v>
      </c>
      <c r="I1532" s="23">
        <v>1</v>
      </c>
      <c r="J1532" s="23">
        <v>2</v>
      </c>
      <c r="K1532" s="23">
        <v>3</v>
      </c>
      <c r="L1532" s="25">
        <f t="shared" si="51"/>
        <v>1.0195048044558224</v>
      </c>
      <c r="M1532" s="20" t="s">
        <v>139</v>
      </c>
    </row>
    <row r="1533" spans="1:13" x14ac:dyDescent="0.2">
      <c r="A1533" s="48" t="s">
        <v>143</v>
      </c>
      <c r="B1533" s="12" t="s">
        <v>54</v>
      </c>
      <c r="C1533" s="13" t="s">
        <v>14</v>
      </c>
      <c r="D1533" s="44">
        <v>1.1981972463461379</v>
      </c>
      <c r="E1533" s="15" t="s">
        <v>138</v>
      </c>
      <c r="F1533" s="16" t="s">
        <v>16</v>
      </c>
      <c r="G1533" s="22">
        <v>1</v>
      </c>
      <c r="H1533" s="23">
        <v>1</v>
      </c>
      <c r="I1533" s="23">
        <v>1</v>
      </c>
      <c r="J1533" s="23">
        <v>2</v>
      </c>
      <c r="K1533" s="23">
        <v>3</v>
      </c>
      <c r="L1533" s="25">
        <f t="shared" si="51"/>
        <v>1.0195048044558224</v>
      </c>
      <c r="M1533" s="20" t="s">
        <v>139</v>
      </c>
    </row>
    <row r="1534" spans="1:13" x14ac:dyDescent="0.2">
      <c r="A1534" s="48" t="s">
        <v>143</v>
      </c>
      <c r="B1534" s="12" t="s">
        <v>55</v>
      </c>
      <c r="C1534" s="13" t="s">
        <v>14</v>
      </c>
      <c r="D1534" s="44">
        <v>36.737344606299118</v>
      </c>
      <c r="E1534" s="15" t="s">
        <v>138</v>
      </c>
      <c r="F1534" s="16" t="s">
        <v>16</v>
      </c>
      <c r="G1534" s="22">
        <v>1</v>
      </c>
      <c r="H1534" s="23">
        <v>1</v>
      </c>
      <c r="I1534" s="23">
        <v>1</v>
      </c>
      <c r="J1534" s="23">
        <v>2</v>
      </c>
      <c r="K1534" s="23">
        <v>3</v>
      </c>
      <c r="L1534" s="24">
        <f t="shared" si="51"/>
        <v>1.0195048044558224</v>
      </c>
      <c r="M1534" s="20" t="s">
        <v>139</v>
      </c>
    </row>
    <row r="1535" spans="1:13" x14ac:dyDescent="0.2">
      <c r="A1535" s="48" t="s">
        <v>143</v>
      </c>
      <c r="B1535" s="12" t="s">
        <v>57</v>
      </c>
      <c r="C1535" s="13" t="s">
        <v>14</v>
      </c>
      <c r="D1535" s="44">
        <v>5.9915178825709008</v>
      </c>
      <c r="E1535" s="15" t="s">
        <v>138</v>
      </c>
      <c r="F1535" s="16" t="s">
        <v>16</v>
      </c>
      <c r="G1535" s="22">
        <v>1</v>
      </c>
      <c r="H1535" s="23">
        <v>1</v>
      </c>
      <c r="I1535" s="23">
        <v>1</v>
      </c>
      <c r="J1535" s="23">
        <v>2</v>
      </c>
      <c r="K1535" s="23">
        <v>3</v>
      </c>
      <c r="L1535" s="25">
        <f t="shared" si="51"/>
        <v>1.0195048044558224</v>
      </c>
      <c r="M1535" s="20" t="s">
        <v>139</v>
      </c>
    </row>
    <row r="1536" spans="1:13" x14ac:dyDescent="0.2">
      <c r="A1536" s="48" t="s">
        <v>143</v>
      </c>
      <c r="B1536" s="12" t="s">
        <v>59</v>
      </c>
      <c r="C1536" s="13" t="s">
        <v>14</v>
      </c>
      <c r="D1536" s="44">
        <v>9.0155031948539932</v>
      </c>
      <c r="E1536" s="15" t="s">
        <v>138</v>
      </c>
      <c r="F1536" s="16" t="s">
        <v>16</v>
      </c>
      <c r="G1536" s="22">
        <v>1</v>
      </c>
      <c r="H1536" s="23">
        <v>1</v>
      </c>
      <c r="I1536" s="23">
        <v>1</v>
      </c>
      <c r="J1536" s="23">
        <v>2</v>
      </c>
      <c r="K1536" s="23">
        <v>3</v>
      </c>
      <c r="L1536" s="25">
        <f t="shared" si="51"/>
        <v>1.0195048044558224</v>
      </c>
      <c r="M1536" s="20" t="s">
        <v>139</v>
      </c>
    </row>
    <row r="1537" spans="1:13" x14ac:dyDescent="0.2">
      <c r="A1537" s="48" t="s">
        <v>143</v>
      </c>
      <c r="B1537" s="12" t="s">
        <v>60</v>
      </c>
      <c r="C1537" s="13" t="s">
        <v>14</v>
      </c>
      <c r="D1537" s="44">
        <v>47.608032881761659</v>
      </c>
      <c r="E1537" s="15" t="s">
        <v>138</v>
      </c>
      <c r="F1537" s="16" t="s">
        <v>16</v>
      </c>
      <c r="G1537" s="22">
        <v>1</v>
      </c>
      <c r="H1537" s="23">
        <v>2</v>
      </c>
      <c r="I1537" s="23">
        <v>1</v>
      </c>
      <c r="J1537" s="23">
        <v>2</v>
      </c>
      <c r="K1537" s="23">
        <v>3</v>
      </c>
      <c r="L1537" s="24">
        <f t="shared" si="51"/>
        <v>1.0248662490928169</v>
      </c>
      <c r="M1537" s="20" t="s">
        <v>139</v>
      </c>
    </row>
    <row r="1538" spans="1:13" x14ac:dyDescent="0.2">
      <c r="A1538" s="48" t="s">
        <v>143</v>
      </c>
      <c r="B1538" s="12" t="s">
        <v>13</v>
      </c>
      <c r="C1538" s="27" t="s">
        <v>62</v>
      </c>
      <c r="D1538" s="44">
        <v>8.0043387384727077E-2</v>
      </c>
      <c r="E1538" s="15" t="s">
        <v>138</v>
      </c>
      <c r="F1538" s="16" t="s">
        <v>16</v>
      </c>
      <c r="G1538" s="22">
        <v>1</v>
      </c>
      <c r="H1538" s="23">
        <v>1</v>
      </c>
      <c r="I1538" s="23">
        <v>1</v>
      </c>
      <c r="J1538" s="23">
        <v>2</v>
      </c>
      <c r="K1538" s="23">
        <v>3</v>
      </c>
      <c r="L1538" s="25">
        <f t="shared" si="51"/>
        <v>1.0195048044558224</v>
      </c>
      <c r="M1538" s="20" t="s">
        <v>139</v>
      </c>
    </row>
    <row r="1539" spans="1:13" x14ac:dyDescent="0.2">
      <c r="A1539" s="48" t="s">
        <v>143</v>
      </c>
      <c r="B1539" s="12" t="s">
        <v>18</v>
      </c>
      <c r="C1539" s="27" t="s">
        <v>62</v>
      </c>
      <c r="D1539" s="44">
        <v>0.1078906222559603</v>
      </c>
      <c r="E1539" s="15" t="s">
        <v>138</v>
      </c>
      <c r="F1539" s="16" t="s">
        <v>16</v>
      </c>
      <c r="G1539" s="22">
        <v>1</v>
      </c>
      <c r="H1539" s="23">
        <v>1</v>
      </c>
      <c r="I1539" s="23">
        <v>1</v>
      </c>
      <c r="J1539" s="23">
        <v>2</v>
      </c>
      <c r="K1539" s="23">
        <v>3</v>
      </c>
      <c r="L1539" s="25">
        <f t="shared" si="51"/>
        <v>1.0195048044558224</v>
      </c>
      <c r="M1539" s="20" t="s">
        <v>139</v>
      </c>
    </row>
    <row r="1540" spans="1:13" x14ac:dyDescent="0.2">
      <c r="A1540" s="48" t="s">
        <v>143</v>
      </c>
      <c r="B1540" s="12" t="s">
        <v>20</v>
      </c>
      <c r="C1540" s="27" t="s">
        <v>62</v>
      </c>
      <c r="D1540" s="44">
        <v>4.0938451454470642E-2</v>
      </c>
      <c r="E1540" s="15" t="s">
        <v>138</v>
      </c>
      <c r="F1540" s="16" t="s">
        <v>16</v>
      </c>
      <c r="G1540" s="22">
        <v>1</v>
      </c>
      <c r="H1540" s="23">
        <v>1</v>
      </c>
      <c r="I1540" s="23">
        <v>1</v>
      </c>
      <c r="J1540" s="23">
        <v>2</v>
      </c>
      <c r="K1540" s="23">
        <v>3</v>
      </c>
      <c r="L1540" s="25">
        <f t="shared" si="51"/>
        <v>1.0195048044558224</v>
      </c>
      <c r="M1540" s="20" t="s">
        <v>139</v>
      </c>
    </row>
    <row r="1541" spans="1:13" x14ac:dyDescent="0.2">
      <c r="A1541" s="48" t="s">
        <v>143</v>
      </c>
      <c r="B1541" s="12" t="s">
        <v>22</v>
      </c>
      <c r="C1541" s="27" t="s">
        <v>62</v>
      </c>
      <c r="D1541" s="44">
        <v>1.774416209690342E-2</v>
      </c>
      <c r="E1541" s="15" t="s">
        <v>138</v>
      </c>
      <c r="F1541" s="16" t="s">
        <v>16</v>
      </c>
      <c r="G1541" s="22">
        <v>1</v>
      </c>
      <c r="H1541" s="23">
        <v>1</v>
      </c>
      <c r="I1541" s="23">
        <v>1</v>
      </c>
      <c r="J1541" s="23">
        <v>2</v>
      </c>
      <c r="K1541" s="23">
        <v>3</v>
      </c>
      <c r="L1541" s="25">
        <f t="shared" si="51"/>
        <v>1.0195048044558224</v>
      </c>
      <c r="M1541" s="20" t="s">
        <v>139</v>
      </c>
    </row>
    <row r="1542" spans="1:13" x14ac:dyDescent="0.2">
      <c r="A1542" s="48" t="s">
        <v>143</v>
      </c>
      <c r="B1542" s="12" t="s">
        <v>23</v>
      </c>
      <c r="C1542" s="27" t="s">
        <v>62</v>
      </c>
      <c r="D1542" s="44">
        <v>4.9053726463784879E-3</v>
      </c>
      <c r="E1542" s="15" t="s">
        <v>138</v>
      </c>
      <c r="F1542" s="16" t="s">
        <v>16</v>
      </c>
      <c r="G1542" s="22">
        <v>1</v>
      </c>
      <c r="H1542" s="23">
        <v>1</v>
      </c>
      <c r="I1542" s="23">
        <v>1</v>
      </c>
      <c r="J1542" s="23">
        <v>2</v>
      </c>
      <c r="K1542" s="23">
        <v>3</v>
      </c>
      <c r="L1542" s="25">
        <f t="shared" si="51"/>
        <v>1.0195048044558224</v>
      </c>
      <c r="M1542" s="20" t="s">
        <v>139</v>
      </c>
    </row>
    <row r="1543" spans="1:13" x14ac:dyDescent="0.2">
      <c r="A1543" s="48" t="s">
        <v>143</v>
      </c>
      <c r="B1543" s="12" t="s">
        <v>24</v>
      </c>
      <c r="C1543" s="27" t="s">
        <v>62</v>
      </c>
      <c r="D1543" s="44">
        <v>7.0856089480971968E-2</v>
      </c>
      <c r="E1543" s="15" t="s">
        <v>138</v>
      </c>
      <c r="F1543" s="16" t="s">
        <v>16</v>
      </c>
      <c r="G1543" s="22">
        <v>1</v>
      </c>
      <c r="H1543" s="23">
        <v>1</v>
      </c>
      <c r="I1543" s="23">
        <v>1</v>
      </c>
      <c r="J1543" s="23">
        <v>2</v>
      </c>
      <c r="K1543" s="23">
        <v>3</v>
      </c>
      <c r="L1543" s="25">
        <f t="shared" si="51"/>
        <v>1.0195048044558224</v>
      </c>
      <c r="M1543" s="20" t="s">
        <v>139</v>
      </c>
    </row>
    <row r="1544" spans="1:13" x14ac:dyDescent="0.2">
      <c r="A1544" s="48" t="s">
        <v>143</v>
      </c>
      <c r="B1544" s="12" t="s">
        <v>25</v>
      </c>
      <c r="C1544" s="27" t="s">
        <v>62</v>
      </c>
      <c r="D1544" s="44">
        <v>6.1288787012159687E-2</v>
      </c>
      <c r="E1544" s="15" t="s">
        <v>138</v>
      </c>
      <c r="F1544" s="16" t="s">
        <v>16</v>
      </c>
      <c r="G1544" s="22">
        <v>1</v>
      </c>
      <c r="H1544" s="23">
        <v>1</v>
      </c>
      <c r="I1544" s="23">
        <v>1</v>
      </c>
      <c r="J1544" s="23">
        <v>2</v>
      </c>
      <c r="K1544" s="23">
        <v>3</v>
      </c>
      <c r="L1544" s="25">
        <f t="shared" ref="L1544:L1570" si="52">IF( OR( ISBLANK(G1544),ISBLANK(H1544), ISBLANK(I1544), ISBLANK(J1544), ISBLANK(K1544) ), "", 1.5*SQRT( EXP(2.21*(G1544-1)) + EXP(2.21*(H1544-1)) + EXP(2.21*(I1544-1)) + EXP(2.21*(J1544-1)) + EXP(2.21*K1544) )/100*2.45 )</f>
        <v>1.0195048044558224</v>
      </c>
      <c r="M1544" s="20" t="s">
        <v>139</v>
      </c>
    </row>
    <row r="1545" spans="1:13" x14ac:dyDescent="0.2">
      <c r="A1545" s="48" t="s">
        <v>143</v>
      </c>
      <c r="B1545" s="12" t="s">
        <v>26</v>
      </c>
      <c r="C1545" s="27" t="s">
        <v>62</v>
      </c>
      <c r="D1545" s="44">
        <v>1.4361514504671489E-2</v>
      </c>
      <c r="E1545" s="15" t="s">
        <v>138</v>
      </c>
      <c r="F1545" s="16" t="s">
        <v>16</v>
      </c>
      <c r="G1545" s="22">
        <v>1</v>
      </c>
      <c r="H1545" s="23">
        <v>1</v>
      </c>
      <c r="I1545" s="23">
        <v>1</v>
      </c>
      <c r="J1545" s="23">
        <v>2</v>
      </c>
      <c r="K1545" s="23">
        <v>3</v>
      </c>
      <c r="L1545" s="25">
        <f t="shared" si="52"/>
        <v>1.0195048044558224</v>
      </c>
      <c r="M1545" s="20" t="s">
        <v>139</v>
      </c>
    </row>
    <row r="1546" spans="1:13" x14ac:dyDescent="0.2">
      <c r="A1546" s="48" t="s">
        <v>143</v>
      </c>
      <c r="B1546" s="12" t="s">
        <v>27</v>
      </c>
      <c r="C1546" s="27" t="s">
        <v>62</v>
      </c>
      <c r="D1546" s="44">
        <v>4.2074356209955387E-2</v>
      </c>
      <c r="E1546" s="15" t="s">
        <v>138</v>
      </c>
      <c r="F1546" s="16" t="s">
        <v>16</v>
      </c>
      <c r="G1546" s="22">
        <v>1</v>
      </c>
      <c r="H1546" s="23">
        <v>1</v>
      </c>
      <c r="I1546" s="23">
        <v>1</v>
      </c>
      <c r="J1546" s="23">
        <v>2</v>
      </c>
      <c r="K1546" s="23">
        <v>3</v>
      </c>
      <c r="L1546" s="25">
        <f t="shared" si="52"/>
        <v>1.0195048044558224</v>
      </c>
      <c r="M1546" s="20" t="s">
        <v>139</v>
      </c>
    </row>
    <row r="1547" spans="1:13" x14ac:dyDescent="0.2">
      <c r="A1547" s="48" t="s">
        <v>143</v>
      </c>
      <c r="B1547" s="12" t="s">
        <v>28</v>
      </c>
      <c r="C1547" s="27" t="s">
        <v>62</v>
      </c>
      <c r="D1547" s="44">
        <v>0.57490435752623115</v>
      </c>
      <c r="E1547" s="15" t="s">
        <v>138</v>
      </c>
      <c r="F1547" s="16" t="s">
        <v>16</v>
      </c>
      <c r="G1547" s="22">
        <v>1</v>
      </c>
      <c r="H1547" s="23">
        <v>1</v>
      </c>
      <c r="I1547" s="23">
        <v>1</v>
      </c>
      <c r="J1547" s="23">
        <v>2</v>
      </c>
      <c r="K1547" s="23">
        <v>3</v>
      </c>
      <c r="L1547" s="25">
        <f t="shared" si="52"/>
        <v>1.0195048044558224</v>
      </c>
      <c r="M1547" s="20" t="s">
        <v>139</v>
      </c>
    </row>
    <row r="1548" spans="1:13" x14ac:dyDescent="0.2">
      <c r="A1548" s="48" t="s">
        <v>143</v>
      </c>
      <c r="B1548" s="12" t="s">
        <v>30</v>
      </c>
      <c r="C1548" s="27" t="s">
        <v>62</v>
      </c>
      <c r="D1548" s="44">
        <v>1.014257765647544</v>
      </c>
      <c r="E1548" s="15" t="s">
        <v>138</v>
      </c>
      <c r="F1548" s="16" t="s">
        <v>16</v>
      </c>
      <c r="G1548" s="22">
        <v>1</v>
      </c>
      <c r="H1548" s="23">
        <v>1</v>
      </c>
      <c r="I1548" s="23">
        <v>1</v>
      </c>
      <c r="J1548" s="23">
        <v>2</v>
      </c>
      <c r="K1548" s="23">
        <v>3</v>
      </c>
      <c r="L1548" s="24">
        <f t="shared" si="52"/>
        <v>1.0195048044558224</v>
      </c>
      <c r="M1548" s="20" t="s">
        <v>139</v>
      </c>
    </row>
    <row r="1549" spans="1:13" x14ac:dyDescent="0.2">
      <c r="A1549" s="48" t="s">
        <v>143</v>
      </c>
      <c r="B1549" s="12" t="s">
        <v>32</v>
      </c>
      <c r="C1549" s="27" t="s">
        <v>62</v>
      </c>
      <c r="D1549" s="44">
        <v>7.4214115797592406E-2</v>
      </c>
      <c r="E1549" s="15" t="s">
        <v>138</v>
      </c>
      <c r="F1549" s="16" t="s">
        <v>16</v>
      </c>
      <c r="G1549" s="22">
        <v>1</v>
      </c>
      <c r="H1549" s="23">
        <v>1</v>
      </c>
      <c r="I1549" s="23">
        <v>1</v>
      </c>
      <c r="J1549" s="23">
        <v>2</v>
      </c>
      <c r="K1549" s="23">
        <v>3</v>
      </c>
      <c r="L1549" s="25">
        <f t="shared" si="52"/>
        <v>1.0195048044558224</v>
      </c>
      <c r="M1549" s="20" t="s">
        <v>139</v>
      </c>
    </row>
    <row r="1550" spans="1:13" x14ac:dyDescent="0.2">
      <c r="A1550" s="48" t="s">
        <v>143</v>
      </c>
      <c r="B1550" s="12" t="s">
        <v>34</v>
      </c>
      <c r="C1550" s="27" t="s">
        <v>62</v>
      </c>
      <c r="D1550" s="44">
        <v>0.12424473422344411</v>
      </c>
      <c r="E1550" s="15" t="s">
        <v>138</v>
      </c>
      <c r="F1550" s="16" t="s">
        <v>16</v>
      </c>
      <c r="G1550" s="22">
        <v>1</v>
      </c>
      <c r="H1550" s="23">
        <v>1</v>
      </c>
      <c r="I1550" s="23">
        <v>1</v>
      </c>
      <c r="J1550" s="23">
        <v>2</v>
      </c>
      <c r="K1550" s="23">
        <v>3</v>
      </c>
      <c r="L1550" s="25">
        <f t="shared" si="52"/>
        <v>1.0195048044558224</v>
      </c>
      <c r="M1550" s="20" t="s">
        <v>139</v>
      </c>
    </row>
    <row r="1551" spans="1:13" x14ac:dyDescent="0.2">
      <c r="A1551" s="48" t="s">
        <v>143</v>
      </c>
      <c r="B1551" s="12" t="s">
        <v>36</v>
      </c>
      <c r="C1551" s="27" t="s">
        <v>62</v>
      </c>
      <c r="D1551" s="44">
        <v>8.1768495875115296E-2</v>
      </c>
      <c r="E1551" s="15" t="s">
        <v>138</v>
      </c>
      <c r="F1551" s="16" t="s">
        <v>16</v>
      </c>
      <c r="G1551" s="22">
        <v>1</v>
      </c>
      <c r="H1551" s="23">
        <v>1</v>
      </c>
      <c r="I1551" s="23">
        <v>1</v>
      </c>
      <c r="J1551" s="23">
        <v>2</v>
      </c>
      <c r="K1551" s="23">
        <v>3</v>
      </c>
      <c r="L1551" s="25">
        <f t="shared" si="52"/>
        <v>1.0195048044558224</v>
      </c>
      <c r="M1551" s="20" t="s">
        <v>139</v>
      </c>
    </row>
    <row r="1552" spans="1:13" x14ac:dyDescent="0.2">
      <c r="A1552" s="48" t="s">
        <v>143</v>
      </c>
      <c r="B1552" s="12" t="s">
        <v>37</v>
      </c>
      <c r="C1552" s="27" t="s">
        <v>62</v>
      </c>
      <c r="D1552" s="44">
        <v>0.5344843772885598</v>
      </c>
      <c r="E1552" s="15" t="s">
        <v>138</v>
      </c>
      <c r="F1552" s="16" t="s">
        <v>16</v>
      </c>
      <c r="G1552" s="22">
        <v>1</v>
      </c>
      <c r="H1552" s="23">
        <v>1</v>
      </c>
      <c r="I1552" s="23">
        <v>1</v>
      </c>
      <c r="J1552" s="23">
        <v>2</v>
      </c>
      <c r="K1552" s="23">
        <v>3</v>
      </c>
      <c r="L1552" s="24">
        <f t="shared" si="52"/>
        <v>1.0195048044558224</v>
      </c>
      <c r="M1552" s="20" t="s">
        <v>139</v>
      </c>
    </row>
    <row r="1553" spans="1:13" x14ac:dyDescent="0.2">
      <c r="A1553" s="48" t="s">
        <v>143</v>
      </c>
      <c r="B1553" s="12" t="s">
        <v>39</v>
      </c>
      <c r="C1553" s="27" t="s">
        <v>62</v>
      </c>
      <c r="D1553" s="44">
        <v>1.2568321401409951E-2</v>
      </c>
      <c r="E1553" s="15" t="s">
        <v>138</v>
      </c>
      <c r="F1553" s="16" t="s">
        <v>16</v>
      </c>
      <c r="G1553" s="22">
        <v>1</v>
      </c>
      <c r="H1553" s="23">
        <v>1</v>
      </c>
      <c r="I1553" s="23">
        <v>1</v>
      </c>
      <c r="J1553" s="23">
        <v>2</v>
      </c>
      <c r="K1553" s="23">
        <v>3</v>
      </c>
      <c r="L1553" s="25">
        <f t="shared" si="52"/>
        <v>1.0195048044558224</v>
      </c>
      <c r="M1553" s="20" t="s">
        <v>139</v>
      </c>
    </row>
    <row r="1554" spans="1:13" x14ac:dyDescent="0.2">
      <c r="A1554" s="48" t="s">
        <v>143</v>
      </c>
      <c r="B1554" s="12" t="s">
        <v>40</v>
      </c>
      <c r="C1554" s="27" t="s">
        <v>62</v>
      </c>
      <c r="D1554" s="44">
        <v>2.3077169362846161E-2</v>
      </c>
      <c r="E1554" s="15" t="s">
        <v>138</v>
      </c>
      <c r="F1554" s="16" t="s">
        <v>16</v>
      </c>
      <c r="G1554" s="22">
        <v>1</v>
      </c>
      <c r="H1554" s="23">
        <v>1</v>
      </c>
      <c r="I1554" s="23">
        <v>1</v>
      </c>
      <c r="J1554" s="23">
        <v>2</v>
      </c>
      <c r="K1554" s="23">
        <v>3</v>
      </c>
      <c r="L1554" s="25">
        <f t="shared" si="52"/>
        <v>1.0195048044558224</v>
      </c>
      <c r="M1554" s="20" t="s">
        <v>139</v>
      </c>
    </row>
    <row r="1555" spans="1:13" x14ac:dyDescent="0.2">
      <c r="A1555" s="48" t="s">
        <v>143</v>
      </c>
      <c r="B1555" s="12" t="s">
        <v>41</v>
      </c>
      <c r="C1555" s="27" t="s">
        <v>62</v>
      </c>
      <c r="D1555" s="44">
        <v>6.5583534617736057E-3</v>
      </c>
      <c r="E1555" s="15" t="s">
        <v>138</v>
      </c>
      <c r="F1555" s="16" t="s">
        <v>16</v>
      </c>
      <c r="G1555" s="22">
        <v>1</v>
      </c>
      <c r="H1555" s="23">
        <v>1</v>
      </c>
      <c r="I1555" s="23">
        <v>1</v>
      </c>
      <c r="J1555" s="23">
        <v>2</v>
      </c>
      <c r="K1555" s="23">
        <v>3</v>
      </c>
      <c r="L1555" s="25">
        <f t="shared" si="52"/>
        <v>1.0195048044558224</v>
      </c>
      <c r="M1555" s="20" t="s">
        <v>139</v>
      </c>
    </row>
    <row r="1556" spans="1:13" x14ac:dyDescent="0.2">
      <c r="A1556" s="48" t="s">
        <v>143</v>
      </c>
      <c r="B1556" s="12" t="s">
        <v>42</v>
      </c>
      <c r="C1556" s="27" t="s">
        <v>62</v>
      </c>
      <c r="D1556" s="44">
        <v>3.7839326377597979E-3</v>
      </c>
      <c r="E1556" s="15" t="s">
        <v>138</v>
      </c>
      <c r="F1556" s="16" t="s">
        <v>16</v>
      </c>
      <c r="G1556" s="22">
        <v>1</v>
      </c>
      <c r="H1556" s="23">
        <v>1</v>
      </c>
      <c r="I1556" s="23">
        <v>1</v>
      </c>
      <c r="J1556" s="23">
        <v>2</v>
      </c>
      <c r="K1556" s="23">
        <v>3</v>
      </c>
      <c r="L1556" s="25">
        <f t="shared" si="52"/>
        <v>1.0195048044558224</v>
      </c>
      <c r="M1556" s="20" t="s">
        <v>139</v>
      </c>
    </row>
    <row r="1557" spans="1:13" x14ac:dyDescent="0.2">
      <c r="A1557" s="48" t="s">
        <v>143</v>
      </c>
      <c r="B1557" s="12" t="s">
        <v>43</v>
      </c>
      <c r="C1557" s="27" t="s">
        <v>62</v>
      </c>
      <c r="D1557" s="44">
        <v>0.17518937130795481</v>
      </c>
      <c r="E1557" s="15" t="s">
        <v>138</v>
      </c>
      <c r="F1557" s="16" t="s">
        <v>16</v>
      </c>
      <c r="G1557" s="22">
        <v>1</v>
      </c>
      <c r="H1557" s="23">
        <v>1</v>
      </c>
      <c r="I1557" s="23">
        <v>1</v>
      </c>
      <c r="J1557" s="23">
        <v>2</v>
      </c>
      <c r="K1557" s="23">
        <v>3</v>
      </c>
      <c r="L1557" s="25">
        <f t="shared" si="52"/>
        <v>1.0195048044558224</v>
      </c>
      <c r="M1557" s="20" t="s">
        <v>139</v>
      </c>
    </row>
    <row r="1558" spans="1:13" x14ac:dyDescent="0.2">
      <c r="A1558" s="48" t="s">
        <v>143</v>
      </c>
      <c r="B1558" s="12" t="s">
        <v>45</v>
      </c>
      <c r="C1558" s="27" t="s">
        <v>62</v>
      </c>
      <c r="D1558" s="44">
        <v>6.6352736078073349E-2</v>
      </c>
      <c r="E1558" s="15" t="s">
        <v>138</v>
      </c>
      <c r="F1558" s="16" t="s">
        <v>16</v>
      </c>
      <c r="G1558" s="22">
        <v>1</v>
      </c>
      <c r="H1558" s="23">
        <v>1</v>
      </c>
      <c r="I1558" s="23">
        <v>1</v>
      </c>
      <c r="J1558" s="23">
        <v>2</v>
      </c>
      <c r="K1558" s="23">
        <v>3</v>
      </c>
      <c r="L1558" s="25">
        <f t="shared" si="52"/>
        <v>1.0195048044558224</v>
      </c>
      <c r="M1558" s="20" t="s">
        <v>139</v>
      </c>
    </row>
    <row r="1559" spans="1:13" x14ac:dyDescent="0.2">
      <c r="A1559" s="48" t="s">
        <v>143</v>
      </c>
      <c r="B1559" s="12" t="s">
        <v>46</v>
      </c>
      <c r="C1559" s="27" t="s">
        <v>62</v>
      </c>
      <c r="D1559" s="44">
        <v>0.30194636913974449</v>
      </c>
      <c r="E1559" s="15" t="s">
        <v>138</v>
      </c>
      <c r="F1559" s="16" t="s">
        <v>16</v>
      </c>
      <c r="G1559" s="22">
        <v>1</v>
      </c>
      <c r="H1559" s="23">
        <v>1</v>
      </c>
      <c r="I1559" s="23">
        <v>1</v>
      </c>
      <c r="J1559" s="23">
        <v>2</v>
      </c>
      <c r="K1559" s="23">
        <v>3</v>
      </c>
      <c r="L1559" s="24">
        <f t="shared" si="52"/>
        <v>1.0195048044558224</v>
      </c>
      <c r="M1559" s="20" t="s">
        <v>139</v>
      </c>
    </row>
    <row r="1560" spans="1:13" x14ac:dyDescent="0.2">
      <c r="A1560" s="48" t="s">
        <v>143</v>
      </c>
      <c r="B1560" s="12" t="s">
        <v>48</v>
      </c>
      <c r="C1560" s="27" t="s">
        <v>62</v>
      </c>
      <c r="D1560" s="44">
        <v>0.1112386327381967</v>
      </c>
      <c r="E1560" s="15" t="s">
        <v>138</v>
      </c>
      <c r="F1560" s="16" t="s">
        <v>16</v>
      </c>
      <c r="G1560" s="22">
        <v>1</v>
      </c>
      <c r="H1560" s="23">
        <v>1</v>
      </c>
      <c r="I1560" s="23">
        <v>1</v>
      </c>
      <c r="J1560" s="23">
        <v>2</v>
      </c>
      <c r="K1560" s="23">
        <v>3</v>
      </c>
      <c r="L1560" s="25">
        <f t="shared" si="52"/>
        <v>1.0195048044558224</v>
      </c>
      <c r="M1560" s="20" t="s">
        <v>139</v>
      </c>
    </row>
    <row r="1561" spans="1:13" x14ac:dyDescent="0.2">
      <c r="A1561" s="48" t="s">
        <v>143</v>
      </c>
      <c r="B1561" s="12" t="s">
        <v>50</v>
      </c>
      <c r="C1561" s="27" t="s">
        <v>62</v>
      </c>
      <c r="D1561" s="44">
        <v>0.12926093925309731</v>
      </c>
      <c r="E1561" s="15" t="s">
        <v>138</v>
      </c>
      <c r="F1561" s="16" t="s">
        <v>16</v>
      </c>
      <c r="G1561" s="22">
        <v>1</v>
      </c>
      <c r="H1561" s="23">
        <v>1</v>
      </c>
      <c r="I1561" s="23">
        <v>1</v>
      </c>
      <c r="J1561" s="23">
        <v>2</v>
      </c>
      <c r="K1561" s="23">
        <v>3</v>
      </c>
      <c r="L1561" s="25">
        <f t="shared" si="52"/>
        <v>1.0195048044558224</v>
      </c>
      <c r="M1561" s="20" t="s">
        <v>139</v>
      </c>
    </row>
    <row r="1562" spans="1:13" x14ac:dyDescent="0.2">
      <c r="A1562" s="48" t="s">
        <v>143</v>
      </c>
      <c r="B1562" s="12" t="s">
        <v>52</v>
      </c>
      <c r="C1562" s="27" t="s">
        <v>62</v>
      </c>
      <c r="D1562" s="44">
        <v>3.4363504945831277E-2</v>
      </c>
      <c r="E1562" s="15" t="s">
        <v>138</v>
      </c>
      <c r="F1562" s="16" t="s">
        <v>16</v>
      </c>
      <c r="G1562" s="22">
        <v>1</v>
      </c>
      <c r="H1562" s="23">
        <v>1</v>
      </c>
      <c r="I1562" s="23">
        <v>1</v>
      </c>
      <c r="J1562" s="23">
        <v>2</v>
      </c>
      <c r="K1562" s="23">
        <v>3</v>
      </c>
      <c r="L1562" s="25">
        <f t="shared" si="52"/>
        <v>1.0195048044558224</v>
      </c>
      <c r="M1562" s="20" t="s">
        <v>139</v>
      </c>
    </row>
    <row r="1563" spans="1:13" x14ac:dyDescent="0.2">
      <c r="A1563" s="48" t="s">
        <v>143</v>
      </c>
      <c r="B1563" s="12" t="s">
        <v>54</v>
      </c>
      <c r="C1563" s="27" t="s">
        <v>62</v>
      </c>
      <c r="D1563" s="44">
        <v>1.330255874915522E-2</v>
      </c>
      <c r="E1563" s="15" t="s">
        <v>138</v>
      </c>
      <c r="F1563" s="16" t="s">
        <v>16</v>
      </c>
      <c r="G1563" s="22">
        <v>1</v>
      </c>
      <c r="H1563" s="23">
        <v>1</v>
      </c>
      <c r="I1563" s="23">
        <v>1</v>
      </c>
      <c r="J1563" s="23">
        <v>2</v>
      </c>
      <c r="K1563" s="23">
        <v>3</v>
      </c>
      <c r="L1563" s="25">
        <f t="shared" si="52"/>
        <v>1.0195048044558224</v>
      </c>
      <c r="M1563" s="20" t="s">
        <v>139</v>
      </c>
    </row>
    <row r="1564" spans="1:13" x14ac:dyDescent="0.2">
      <c r="A1564" s="48" t="s">
        <v>143</v>
      </c>
      <c r="B1564" s="12" t="s">
        <v>55</v>
      </c>
      <c r="C1564" s="27" t="s">
        <v>62</v>
      </c>
      <c r="D1564" s="44">
        <v>0.40786330164213841</v>
      </c>
      <c r="E1564" s="15" t="s">
        <v>138</v>
      </c>
      <c r="F1564" s="16" t="s">
        <v>16</v>
      </c>
      <c r="G1564" s="22">
        <v>1</v>
      </c>
      <c r="H1564" s="23">
        <v>1</v>
      </c>
      <c r="I1564" s="23">
        <v>1</v>
      </c>
      <c r="J1564" s="23">
        <v>2</v>
      </c>
      <c r="K1564" s="23">
        <v>3</v>
      </c>
      <c r="L1564" s="24">
        <f t="shared" si="52"/>
        <v>1.0195048044558224</v>
      </c>
      <c r="M1564" s="20" t="s">
        <v>139</v>
      </c>
    </row>
    <row r="1565" spans="1:13" x14ac:dyDescent="0.2">
      <c r="A1565" s="48" t="s">
        <v>143</v>
      </c>
      <c r="B1565" s="12" t="s">
        <v>57</v>
      </c>
      <c r="C1565" s="27" t="s">
        <v>62</v>
      </c>
      <c r="D1565" s="44">
        <v>6.6518696210130346E-2</v>
      </c>
      <c r="E1565" s="15" t="s">
        <v>138</v>
      </c>
      <c r="F1565" s="16" t="s">
        <v>16</v>
      </c>
      <c r="G1565" s="22">
        <v>1</v>
      </c>
      <c r="H1565" s="23">
        <v>1</v>
      </c>
      <c r="I1565" s="23">
        <v>1</v>
      </c>
      <c r="J1565" s="23">
        <v>2</v>
      </c>
      <c r="K1565" s="23">
        <v>3</v>
      </c>
      <c r="L1565" s="25">
        <f t="shared" si="52"/>
        <v>1.0195048044558224</v>
      </c>
      <c r="M1565" s="20" t="s">
        <v>139</v>
      </c>
    </row>
    <row r="1566" spans="1:13" x14ac:dyDescent="0.2">
      <c r="A1566" s="48" t="s">
        <v>143</v>
      </c>
      <c r="B1566" s="12" t="s">
        <v>59</v>
      </c>
      <c r="C1566" s="27" t="s">
        <v>62</v>
      </c>
      <c r="D1566" s="44">
        <v>0.10009141755955631</v>
      </c>
      <c r="E1566" s="15" t="s">
        <v>138</v>
      </c>
      <c r="F1566" s="16" t="s">
        <v>16</v>
      </c>
      <c r="G1566" s="22">
        <v>1</v>
      </c>
      <c r="H1566" s="23">
        <v>1</v>
      </c>
      <c r="I1566" s="23">
        <v>1</v>
      </c>
      <c r="J1566" s="23">
        <v>2</v>
      </c>
      <c r="K1566" s="23">
        <v>3</v>
      </c>
      <c r="L1566" s="25">
        <f t="shared" si="52"/>
        <v>1.0195048044558224</v>
      </c>
      <c r="M1566" s="20" t="s">
        <v>139</v>
      </c>
    </row>
    <row r="1567" spans="1:13" x14ac:dyDescent="0.2">
      <c r="A1567" s="48" t="s">
        <v>143</v>
      </c>
      <c r="B1567" s="12" t="s">
        <v>60</v>
      </c>
      <c r="C1567" s="27" t="s">
        <v>62</v>
      </c>
      <c r="D1567" s="44">
        <v>0.5285512517013381</v>
      </c>
      <c r="E1567" s="15" t="s">
        <v>138</v>
      </c>
      <c r="F1567" s="16" t="s">
        <v>16</v>
      </c>
      <c r="G1567" s="22">
        <v>1</v>
      </c>
      <c r="H1567" s="23">
        <v>2</v>
      </c>
      <c r="I1567" s="23">
        <v>1</v>
      </c>
      <c r="J1567" s="23">
        <v>2</v>
      </c>
      <c r="K1567" s="23">
        <v>3</v>
      </c>
      <c r="L1567" s="24">
        <f t="shared" si="52"/>
        <v>1.0248662490928169</v>
      </c>
      <c r="M1567" s="20" t="s">
        <v>139</v>
      </c>
    </row>
    <row r="1568" spans="1:13" x14ac:dyDescent="0.2">
      <c r="A1568" s="48" t="s">
        <v>143</v>
      </c>
      <c r="B1568" s="12" t="s">
        <v>13</v>
      </c>
      <c r="C1568" s="28" t="s">
        <v>64</v>
      </c>
      <c r="D1568" s="44">
        <v>7.5089521347284013E-2</v>
      </c>
      <c r="E1568" s="15" t="s">
        <v>138</v>
      </c>
      <c r="F1568" s="16" t="s">
        <v>16</v>
      </c>
      <c r="G1568" s="22">
        <v>1</v>
      </c>
      <c r="H1568" s="23">
        <v>1</v>
      </c>
      <c r="I1568" s="23">
        <v>1</v>
      </c>
      <c r="J1568" s="23">
        <v>2</v>
      </c>
      <c r="K1568" s="23">
        <v>3</v>
      </c>
      <c r="L1568" s="25">
        <f t="shared" si="52"/>
        <v>1.0195048044558224</v>
      </c>
      <c r="M1568" s="20" t="s">
        <v>139</v>
      </c>
    </row>
    <row r="1569" spans="1:13" x14ac:dyDescent="0.2">
      <c r="A1569" s="48" t="s">
        <v>143</v>
      </c>
      <c r="B1569" s="12" t="s">
        <v>18</v>
      </c>
      <c r="C1569" s="28" t="s">
        <v>64</v>
      </c>
      <c r="D1569" s="44">
        <v>0.1012132975347631</v>
      </c>
      <c r="E1569" s="15" t="s">
        <v>138</v>
      </c>
      <c r="F1569" s="16" t="s">
        <v>16</v>
      </c>
      <c r="G1569" s="22">
        <v>1</v>
      </c>
      <c r="H1569" s="23">
        <v>1</v>
      </c>
      <c r="I1569" s="23">
        <v>1</v>
      </c>
      <c r="J1569" s="23">
        <v>2</v>
      </c>
      <c r="K1569" s="23">
        <v>3</v>
      </c>
      <c r="L1569" s="25">
        <f t="shared" si="52"/>
        <v>1.0195048044558224</v>
      </c>
      <c r="M1569" s="20" t="s">
        <v>139</v>
      </c>
    </row>
    <row r="1570" spans="1:13" x14ac:dyDescent="0.2">
      <c r="A1570" s="48" t="s">
        <v>143</v>
      </c>
      <c r="B1570" s="12" t="s">
        <v>20</v>
      </c>
      <c r="C1570" s="28" t="s">
        <v>64</v>
      </c>
      <c r="D1570" s="44">
        <v>3.8404780517844198E-2</v>
      </c>
      <c r="E1570" s="15" t="s">
        <v>138</v>
      </c>
      <c r="F1570" s="16" t="s">
        <v>16</v>
      </c>
      <c r="G1570" s="22">
        <v>1</v>
      </c>
      <c r="H1570" s="23">
        <v>1</v>
      </c>
      <c r="I1570" s="23">
        <v>1</v>
      </c>
      <c r="J1570" s="23">
        <v>2</v>
      </c>
      <c r="K1570" s="23">
        <v>3</v>
      </c>
      <c r="L1570" s="25">
        <f t="shared" si="52"/>
        <v>1.0195048044558224</v>
      </c>
      <c r="M1570" s="20" t="s">
        <v>139</v>
      </c>
    </row>
    <row r="1571" spans="1:13" x14ac:dyDescent="0.2">
      <c r="A1571" s="48" t="s">
        <v>143</v>
      </c>
      <c r="B1571" s="12" t="s">
        <v>22</v>
      </c>
      <c r="C1571" s="28" t="s">
        <v>64</v>
      </c>
      <c r="D1571" s="44">
        <v>1.6645980162745211E-2</v>
      </c>
      <c r="E1571" s="15" t="s">
        <v>138</v>
      </c>
      <c r="F1571" s="16" t="s">
        <v>16</v>
      </c>
      <c r="G1571" s="22">
        <v>1</v>
      </c>
      <c r="H1571" s="23">
        <v>1</v>
      </c>
      <c r="I1571" s="23">
        <v>1</v>
      </c>
      <c r="J1571" s="23">
        <v>2</v>
      </c>
      <c r="K1571" s="23">
        <v>3</v>
      </c>
      <c r="L1571" s="25">
        <f>IF( OR( ISBLANK(G1571),ISBLANK(H1571), ISBLANK(I1571), ISBLANK(J1571), ISBLANK(K1571) ), "", 1.5*SQRT(   EXP(2.21*(G1571-1)) + EXP(2.21*(H1571-1)) + EXP(2.21*(I1571-1)) + EXP(2.21*(J1571-1)) + EXP(2.21*K1571)   )/100*2.45 )</f>
        <v>1.0195048044558224</v>
      </c>
      <c r="M1571" s="20" t="s">
        <v>139</v>
      </c>
    </row>
    <row r="1572" spans="1:13" x14ac:dyDescent="0.2">
      <c r="A1572" s="48" t="s">
        <v>143</v>
      </c>
      <c r="B1572" s="12" t="s">
        <v>23</v>
      </c>
      <c r="C1572" s="28" t="s">
        <v>64</v>
      </c>
      <c r="D1572" s="44">
        <v>4.6017803104232841E-3</v>
      </c>
      <c r="E1572" s="15" t="s">
        <v>138</v>
      </c>
      <c r="F1572" s="16" t="s">
        <v>16</v>
      </c>
      <c r="G1572" s="22">
        <v>1</v>
      </c>
      <c r="H1572" s="23">
        <v>1</v>
      </c>
      <c r="I1572" s="23">
        <v>1</v>
      </c>
      <c r="J1572" s="23">
        <v>2</v>
      </c>
      <c r="K1572" s="23">
        <v>3</v>
      </c>
      <c r="L1572" s="25">
        <f t="shared" ref="L1572:L1603" si="53">IF( OR( ISBLANK(G1572),ISBLANK(H1572), ISBLANK(I1572), ISBLANK(J1572), ISBLANK(K1572) ), "", 1.5*SQRT( EXP(2.21*(G1572-1)) + EXP(2.21*(H1572-1)) + EXP(2.21*(I1572-1)) + EXP(2.21*(J1572-1)) + EXP(2.21*K1572) )/100*2.45 )</f>
        <v>1.0195048044558224</v>
      </c>
      <c r="M1572" s="20" t="s">
        <v>139</v>
      </c>
    </row>
    <row r="1573" spans="1:13" x14ac:dyDescent="0.2">
      <c r="A1573" s="48" t="s">
        <v>143</v>
      </c>
      <c r="B1573" s="12" t="s">
        <v>24</v>
      </c>
      <c r="C1573" s="28" t="s">
        <v>64</v>
      </c>
      <c r="D1573" s="44">
        <v>6.6470823106140983E-2</v>
      </c>
      <c r="E1573" s="15" t="s">
        <v>138</v>
      </c>
      <c r="F1573" s="16" t="s">
        <v>16</v>
      </c>
      <c r="G1573" s="22">
        <v>1</v>
      </c>
      <c r="H1573" s="23">
        <v>1</v>
      </c>
      <c r="I1573" s="23">
        <v>1</v>
      </c>
      <c r="J1573" s="23">
        <v>2</v>
      </c>
      <c r="K1573" s="23">
        <v>3</v>
      </c>
      <c r="L1573" s="25">
        <f t="shared" si="53"/>
        <v>1.0195048044558224</v>
      </c>
      <c r="M1573" s="20" t="s">
        <v>139</v>
      </c>
    </row>
    <row r="1574" spans="1:13" x14ac:dyDescent="0.2">
      <c r="A1574" s="48" t="s">
        <v>143</v>
      </c>
      <c r="B1574" s="12" t="s">
        <v>25</v>
      </c>
      <c r="C1574" s="28" t="s">
        <v>64</v>
      </c>
      <c r="D1574" s="44">
        <v>5.7495638691283511E-2</v>
      </c>
      <c r="E1574" s="15" t="s">
        <v>138</v>
      </c>
      <c r="F1574" s="16" t="s">
        <v>16</v>
      </c>
      <c r="G1574" s="22">
        <v>1</v>
      </c>
      <c r="H1574" s="23">
        <v>1</v>
      </c>
      <c r="I1574" s="23">
        <v>1</v>
      </c>
      <c r="J1574" s="23">
        <v>2</v>
      </c>
      <c r="K1574" s="23">
        <v>3</v>
      </c>
      <c r="L1574" s="25">
        <f t="shared" si="53"/>
        <v>1.0195048044558224</v>
      </c>
      <c r="M1574" s="20" t="s">
        <v>139</v>
      </c>
    </row>
    <row r="1575" spans="1:13" x14ac:dyDescent="0.2">
      <c r="A1575" s="48" t="s">
        <v>143</v>
      </c>
      <c r="B1575" s="12" t="s">
        <v>26</v>
      </c>
      <c r="C1575" s="28" t="s">
        <v>64</v>
      </c>
      <c r="D1575" s="44">
        <v>1.347268381827162E-2</v>
      </c>
      <c r="E1575" s="15" t="s">
        <v>138</v>
      </c>
      <c r="F1575" s="16" t="s">
        <v>16</v>
      </c>
      <c r="G1575" s="22">
        <v>1</v>
      </c>
      <c r="H1575" s="23">
        <v>1</v>
      </c>
      <c r="I1575" s="23">
        <v>1</v>
      </c>
      <c r="J1575" s="23">
        <v>2</v>
      </c>
      <c r="K1575" s="23">
        <v>3</v>
      </c>
      <c r="L1575" s="25">
        <f t="shared" si="53"/>
        <v>1.0195048044558224</v>
      </c>
      <c r="M1575" s="20" t="s">
        <v>139</v>
      </c>
    </row>
    <row r="1576" spans="1:13" x14ac:dyDescent="0.2">
      <c r="A1576" s="48" t="s">
        <v>143</v>
      </c>
      <c r="B1576" s="12" t="s">
        <v>27</v>
      </c>
      <c r="C1576" s="28" t="s">
        <v>64</v>
      </c>
      <c r="D1576" s="44">
        <v>3.9470384400592043E-2</v>
      </c>
      <c r="E1576" s="15" t="s">
        <v>138</v>
      </c>
      <c r="F1576" s="16" t="s">
        <v>16</v>
      </c>
      <c r="G1576" s="22">
        <v>1</v>
      </c>
      <c r="H1576" s="23">
        <v>1</v>
      </c>
      <c r="I1576" s="23">
        <v>1</v>
      </c>
      <c r="J1576" s="23">
        <v>2</v>
      </c>
      <c r="K1576" s="23">
        <v>3</v>
      </c>
      <c r="L1576" s="25">
        <f t="shared" si="53"/>
        <v>1.0195048044558224</v>
      </c>
      <c r="M1576" s="20" t="s">
        <v>139</v>
      </c>
    </row>
    <row r="1577" spans="1:13" x14ac:dyDescent="0.2">
      <c r="A1577" s="48" t="s">
        <v>143</v>
      </c>
      <c r="B1577" s="12" t="s">
        <v>28</v>
      </c>
      <c r="C1577" s="28" t="s">
        <v>64</v>
      </c>
      <c r="D1577" s="44">
        <v>0.53932366479719462</v>
      </c>
      <c r="E1577" s="15" t="s">
        <v>138</v>
      </c>
      <c r="F1577" s="16" t="s">
        <v>16</v>
      </c>
      <c r="G1577" s="22">
        <v>1</v>
      </c>
      <c r="H1577" s="23">
        <v>1</v>
      </c>
      <c r="I1577" s="23">
        <v>1</v>
      </c>
      <c r="J1577" s="23">
        <v>2</v>
      </c>
      <c r="K1577" s="23">
        <v>3</v>
      </c>
      <c r="L1577" s="25">
        <f t="shared" si="53"/>
        <v>1.0195048044558224</v>
      </c>
      <c r="M1577" s="20" t="s">
        <v>139</v>
      </c>
    </row>
    <row r="1578" spans="1:13" x14ac:dyDescent="0.2">
      <c r="A1578" s="48" t="s">
        <v>143</v>
      </c>
      <c r="B1578" s="12" t="s">
        <v>30</v>
      </c>
      <c r="C1578" s="28" t="s">
        <v>64</v>
      </c>
      <c r="D1578" s="44">
        <v>0.95148559592034232</v>
      </c>
      <c r="E1578" s="15" t="s">
        <v>138</v>
      </c>
      <c r="F1578" s="16" t="s">
        <v>16</v>
      </c>
      <c r="G1578" s="22">
        <v>1</v>
      </c>
      <c r="H1578" s="23">
        <v>1</v>
      </c>
      <c r="I1578" s="23">
        <v>1</v>
      </c>
      <c r="J1578" s="23">
        <v>2</v>
      </c>
      <c r="K1578" s="23">
        <v>3</v>
      </c>
      <c r="L1578" s="24">
        <f t="shared" si="53"/>
        <v>1.0195048044558224</v>
      </c>
      <c r="M1578" s="20" t="s">
        <v>139</v>
      </c>
    </row>
    <row r="1579" spans="1:13" x14ac:dyDescent="0.2">
      <c r="A1579" s="48" t="s">
        <v>143</v>
      </c>
      <c r="B1579" s="12" t="s">
        <v>32</v>
      </c>
      <c r="C1579" s="28" t="s">
        <v>64</v>
      </c>
      <c r="D1579" s="44">
        <v>6.9621021979842393E-2</v>
      </c>
      <c r="E1579" s="15" t="s">
        <v>138</v>
      </c>
      <c r="F1579" s="16" t="s">
        <v>16</v>
      </c>
      <c r="G1579" s="22">
        <v>1</v>
      </c>
      <c r="H1579" s="23">
        <v>1</v>
      </c>
      <c r="I1579" s="23">
        <v>1</v>
      </c>
      <c r="J1579" s="23">
        <v>2</v>
      </c>
      <c r="K1579" s="23">
        <v>3</v>
      </c>
      <c r="L1579" s="25">
        <f t="shared" si="53"/>
        <v>1.0195048044558224</v>
      </c>
      <c r="M1579" s="20" t="s">
        <v>139</v>
      </c>
    </row>
    <row r="1580" spans="1:13" x14ac:dyDescent="0.2">
      <c r="A1580" s="48" t="s">
        <v>143</v>
      </c>
      <c r="B1580" s="12" t="s">
        <v>34</v>
      </c>
      <c r="C1580" s="28" t="s">
        <v>64</v>
      </c>
      <c r="D1580" s="44">
        <v>0.11655525743703191</v>
      </c>
      <c r="E1580" s="15" t="s">
        <v>138</v>
      </c>
      <c r="F1580" s="16" t="s">
        <v>16</v>
      </c>
      <c r="G1580" s="22">
        <v>1</v>
      </c>
      <c r="H1580" s="23">
        <v>1</v>
      </c>
      <c r="I1580" s="23">
        <v>1</v>
      </c>
      <c r="J1580" s="23">
        <v>2</v>
      </c>
      <c r="K1580" s="23">
        <v>3</v>
      </c>
      <c r="L1580" s="25">
        <f t="shared" si="53"/>
        <v>1.0195048044558224</v>
      </c>
      <c r="M1580" s="20" t="s">
        <v>139</v>
      </c>
    </row>
    <row r="1581" spans="1:13" x14ac:dyDescent="0.2">
      <c r="A1581" s="48" t="s">
        <v>143</v>
      </c>
      <c r="B1581" s="12" t="s">
        <v>36</v>
      </c>
      <c r="C1581" s="28" t="s">
        <v>64</v>
      </c>
      <c r="D1581" s="44">
        <v>7.6707863287171787E-2</v>
      </c>
      <c r="E1581" s="15" t="s">
        <v>138</v>
      </c>
      <c r="F1581" s="16" t="s">
        <v>16</v>
      </c>
      <c r="G1581" s="22">
        <v>1</v>
      </c>
      <c r="H1581" s="23">
        <v>1</v>
      </c>
      <c r="I1581" s="23">
        <v>1</v>
      </c>
      <c r="J1581" s="23">
        <v>2</v>
      </c>
      <c r="K1581" s="23">
        <v>3</v>
      </c>
      <c r="L1581" s="25">
        <f t="shared" si="53"/>
        <v>1.0195048044558224</v>
      </c>
      <c r="M1581" s="20" t="s">
        <v>139</v>
      </c>
    </row>
    <row r="1582" spans="1:13" x14ac:dyDescent="0.2">
      <c r="A1582" s="48" t="s">
        <v>143</v>
      </c>
      <c r="B1582" s="12" t="s">
        <v>37</v>
      </c>
      <c r="C1582" s="28" t="s">
        <v>64</v>
      </c>
      <c r="D1582" s="44">
        <v>0.50140526743695812</v>
      </c>
      <c r="E1582" s="15" t="s">
        <v>138</v>
      </c>
      <c r="F1582" s="16" t="s">
        <v>16</v>
      </c>
      <c r="G1582" s="22">
        <v>1</v>
      </c>
      <c r="H1582" s="23">
        <v>1</v>
      </c>
      <c r="I1582" s="23">
        <v>1</v>
      </c>
      <c r="J1582" s="23">
        <v>2</v>
      </c>
      <c r="K1582" s="23">
        <v>3</v>
      </c>
      <c r="L1582" s="24">
        <f t="shared" si="53"/>
        <v>1.0195048044558224</v>
      </c>
      <c r="M1582" s="20" t="s">
        <v>139</v>
      </c>
    </row>
    <row r="1583" spans="1:13" x14ac:dyDescent="0.2">
      <c r="A1583" s="48" t="s">
        <v>143</v>
      </c>
      <c r="B1583" s="12" t="s">
        <v>39</v>
      </c>
      <c r="C1583" s="28" t="s">
        <v>64</v>
      </c>
      <c r="D1583" s="44">
        <v>1.179047100586317E-2</v>
      </c>
      <c r="E1583" s="15" t="s">
        <v>138</v>
      </c>
      <c r="F1583" s="16" t="s">
        <v>16</v>
      </c>
      <c r="G1583" s="22">
        <v>1</v>
      </c>
      <c r="H1583" s="23">
        <v>1</v>
      </c>
      <c r="I1583" s="23">
        <v>1</v>
      </c>
      <c r="J1583" s="23">
        <v>2</v>
      </c>
      <c r="K1583" s="23">
        <v>3</v>
      </c>
      <c r="L1583" s="25">
        <f t="shared" si="53"/>
        <v>1.0195048044558224</v>
      </c>
      <c r="M1583" s="20" t="s">
        <v>139</v>
      </c>
    </row>
    <row r="1584" spans="1:13" x14ac:dyDescent="0.2">
      <c r="A1584" s="48" t="s">
        <v>143</v>
      </c>
      <c r="B1584" s="12" t="s">
        <v>40</v>
      </c>
      <c r="C1584" s="28" t="s">
        <v>64</v>
      </c>
      <c r="D1584" s="44">
        <v>2.1648928888746252E-2</v>
      </c>
      <c r="E1584" s="15" t="s">
        <v>138</v>
      </c>
      <c r="F1584" s="16" t="s">
        <v>16</v>
      </c>
      <c r="G1584" s="22">
        <v>1</v>
      </c>
      <c r="H1584" s="23">
        <v>1</v>
      </c>
      <c r="I1584" s="23">
        <v>1</v>
      </c>
      <c r="J1584" s="23">
        <v>2</v>
      </c>
      <c r="K1584" s="23">
        <v>3</v>
      </c>
      <c r="L1584" s="25">
        <f t="shared" si="53"/>
        <v>1.0195048044558224</v>
      </c>
      <c r="M1584" s="20" t="s">
        <v>139</v>
      </c>
    </row>
    <row r="1585" spans="1:13" x14ac:dyDescent="0.2">
      <c r="A1585" s="48" t="s">
        <v>143</v>
      </c>
      <c r="B1585" s="12" t="s">
        <v>41</v>
      </c>
      <c r="C1585" s="28" t="s">
        <v>64</v>
      </c>
      <c r="D1585" s="44">
        <v>6.1524585398149857E-3</v>
      </c>
      <c r="E1585" s="15" t="s">
        <v>138</v>
      </c>
      <c r="F1585" s="16" t="s">
        <v>16</v>
      </c>
      <c r="G1585" s="22">
        <v>1</v>
      </c>
      <c r="H1585" s="23">
        <v>1</v>
      </c>
      <c r="I1585" s="23">
        <v>1</v>
      </c>
      <c r="J1585" s="23">
        <v>2</v>
      </c>
      <c r="K1585" s="23">
        <v>3</v>
      </c>
      <c r="L1585" s="25">
        <f t="shared" si="53"/>
        <v>1.0195048044558224</v>
      </c>
      <c r="M1585" s="20" t="s">
        <v>139</v>
      </c>
    </row>
    <row r="1586" spans="1:13" x14ac:dyDescent="0.2">
      <c r="A1586" s="48" t="s">
        <v>143</v>
      </c>
      <c r="B1586" s="12" t="s">
        <v>42</v>
      </c>
      <c r="C1586" s="28" t="s">
        <v>64</v>
      </c>
      <c r="D1586" s="44">
        <v>3.5497459548290439E-3</v>
      </c>
      <c r="E1586" s="15" t="s">
        <v>138</v>
      </c>
      <c r="F1586" s="16" t="s">
        <v>16</v>
      </c>
      <c r="G1586" s="22">
        <v>1</v>
      </c>
      <c r="H1586" s="23">
        <v>1</v>
      </c>
      <c r="I1586" s="23">
        <v>1</v>
      </c>
      <c r="J1586" s="23">
        <v>2</v>
      </c>
      <c r="K1586" s="23">
        <v>3</v>
      </c>
      <c r="L1586" s="25">
        <f t="shared" si="53"/>
        <v>1.0195048044558224</v>
      </c>
      <c r="M1586" s="20" t="s">
        <v>139</v>
      </c>
    </row>
    <row r="1587" spans="1:13" x14ac:dyDescent="0.2">
      <c r="A1587" s="48" t="s">
        <v>143</v>
      </c>
      <c r="B1587" s="12" t="s">
        <v>43</v>
      </c>
      <c r="C1587" s="28" t="s">
        <v>64</v>
      </c>
      <c r="D1587" s="44">
        <v>0.16434694315743059</v>
      </c>
      <c r="E1587" s="15" t="s">
        <v>138</v>
      </c>
      <c r="F1587" s="16" t="s">
        <v>16</v>
      </c>
      <c r="G1587" s="22">
        <v>1</v>
      </c>
      <c r="H1587" s="23">
        <v>1</v>
      </c>
      <c r="I1587" s="23">
        <v>1</v>
      </c>
      <c r="J1587" s="23">
        <v>2</v>
      </c>
      <c r="K1587" s="23">
        <v>3</v>
      </c>
      <c r="L1587" s="25">
        <f t="shared" si="53"/>
        <v>1.0195048044558224</v>
      </c>
      <c r="M1587" s="20" t="s">
        <v>139</v>
      </c>
    </row>
    <row r="1588" spans="1:13" x14ac:dyDescent="0.2">
      <c r="A1588" s="48" t="s">
        <v>143</v>
      </c>
      <c r="B1588" s="12" t="s">
        <v>45</v>
      </c>
      <c r="C1588" s="28" t="s">
        <v>64</v>
      </c>
      <c r="D1588" s="44">
        <v>6.2246181164690093E-2</v>
      </c>
      <c r="E1588" s="15" t="s">
        <v>138</v>
      </c>
      <c r="F1588" s="16" t="s">
        <v>16</v>
      </c>
      <c r="G1588" s="22">
        <v>1</v>
      </c>
      <c r="H1588" s="23">
        <v>1</v>
      </c>
      <c r="I1588" s="23">
        <v>1</v>
      </c>
      <c r="J1588" s="23">
        <v>2</v>
      </c>
      <c r="K1588" s="23">
        <v>3</v>
      </c>
      <c r="L1588" s="25">
        <f t="shared" si="53"/>
        <v>1.0195048044558224</v>
      </c>
      <c r="M1588" s="20" t="s">
        <v>139</v>
      </c>
    </row>
    <row r="1589" spans="1:13" x14ac:dyDescent="0.2">
      <c r="A1589" s="48" t="s">
        <v>143</v>
      </c>
      <c r="B1589" s="12" t="s">
        <v>46</v>
      </c>
      <c r="C1589" s="28" t="s">
        <v>64</v>
      </c>
      <c r="D1589" s="44">
        <v>0.28325898081094869</v>
      </c>
      <c r="E1589" s="15" t="s">
        <v>138</v>
      </c>
      <c r="F1589" s="16" t="s">
        <v>16</v>
      </c>
      <c r="G1589" s="22">
        <v>1</v>
      </c>
      <c r="H1589" s="23">
        <v>1</v>
      </c>
      <c r="I1589" s="23">
        <v>1</v>
      </c>
      <c r="J1589" s="23">
        <v>2</v>
      </c>
      <c r="K1589" s="23">
        <v>3</v>
      </c>
      <c r="L1589" s="24">
        <f t="shared" si="53"/>
        <v>1.0195048044558224</v>
      </c>
      <c r="M1589" s="20" t="s">
        <v>139</v>
      </c>
    </row>
    <row r="1590" spans="1:13" x14ac:dyDescent="0.2">
      <c r="A1590" s="48" t="s">
        <v>143</v>
      </c>
      <c r="B1590" s="12" t="s">
        <v>48</v>
      </c>
      <c r="C1590" s="28" t="s">
        <v>64</v>
      </c>
      <c r="D1590" s="44">
        <v>0.104354100451667</v>
      </c>
      <c r="E1590" s="15" t="s">
        <v>138</v>
      </c>
      <c r="F1590" s="16" t="s">
        <v>16</v>
      </c>
      <c r="G1590" s="22">
        <v>1</v>
      </c>
      <c r="H1590" s="23">
        <v>1</v>
      </c>
      <c r="I1590" s="23">
        <v>1</v>
      </c>
      <c r="J1590" s="23">
        <v>2</v>
      </c>
      <c r="K1590" s="23">
        <v>3</v>
      </c>
      <c r="L1590" s="25">
        <f t="shared" si="53"/>
        <v>1.0195048044558224</v>
      </c>
      <c r="M1590" s="20" t="s">
        <v>139</v>
      </c>
    </row>
    <row r="1591" spans="1:13" x14ac:dyDescent="0.2">
      <c r="A1591" s="48" t="s">
        <v>143</v>
      </c>
      <c r="B1591" s="12" t="s">
        <v>50</v>
      </c>
      <c r="C1591" s="28" t="s">
        <v>64</v>
      </c>
      <c r="D1591" s="44">
        <v>0.12126101074112521</v>
      </c>
      <c r="E1591" s="15" t="s">
        <v>138</v>
      </c>
      <c r="F1591" s="16" t="s">
        <v>16</v>
      </c>
      <c r="G1591" s="22">
        <v>1</v>
      </c>
      <c r="H1591" s="23">
        <v>1</v>
      </c>
      <c r="I1591" s="23">
        <v>1</v>
      </c>
      <c r="J1591" s="23">
        <v>2</v>
      </c>
      <c r="K1591" s="23">
        <v>3</v>
      </c>
      <c r="L1591" s="25">
        <f t="shared" si="53"/>
        <v>1.0195048044558224</v>
      </c>
      <c r="M1591" s="20" t="s">
        <v>139</v>
      </c>
    </row>
    <row r="1592" spans="1:13" x14ac:dyDescent="0.2">
      <c r="A1592" s="48" t="s">
        <v>143</v>
      </c>
      <c r="B1592" s="12" t="s">
        <v>52</v>
      </c>
      <c r="C1592" s="28" t="s">
        <v>64</v>
      </c>
      <c r="D1592" s="44">
        <v>3.2236755870852202E-2</v>
      </c>
      <c r="E1592" s="15" t="s">
        <v>138</v>
      </c>
      <c r="F1592" s="16" t="s">
        <v>16</v>
      </c>
      <c r="G1592" s="22">
        <v>1</v>
      </c>
      <c r="H1592" s="23">
        <v>1</v>
      </c>
      <c r="I1592" s="23">
        <v>1</v>
      </c>
      <c r="J1592" s="23">
        <v>2</v>
      </c>
      <c r="K1592" s="23">
        <v>3</v>
      </c>
      <c r="L1592" s="25">
        <f t="shared" si="53"/>
        <v>1.0195048044558224</v>
      </c>
      <c r="M1592" s="20" t="s">
        <v>139</v>
      </c>
    </row>
    <row r="1593" spans="1:13" x14ac:dyDescent="0.2">
      <c r="A1593" s="48" t="s">
        <v>143</v>
      </c>
      <c r="B1593" s="12" t="s">
        <v>54</v>
      </c>
      <c r="C1593" s="28" t="s">
        <v>64</v>
      </c>
      <c r="D1593" s="44">
        <v>1.247926658034946E-2</v>
      </c>
      <c r="E1593" s="15" t="s">
        <v>138</v>
      </c>
      <c r="F1593" s="16" t="s">
        <v>16</v>
      </c>
      <c r="G1593" s="22">
        <v>1</v>
      </c>
      <c r="H1593" s="23">
        <v>1</v>
      </c>
      <c r="I1593" s="23">
        <v>1</v>
      </c>
      <c r="J1593" s="23">
        <v>2</v>
      </c>
      <c r="K1593" s="23">
        <v>3</v>
      </c>
      <c r="L1593" s="25">
        <f t="shared" si="53"/>
        <v>1.0195048044558224</v>
      </c>
      <c r="M1593" s="20" t="s">
        <v>139</v>
      </c>
    </row>
    <row r="1594" spans="1:13" x14ac:dyDescent="0.2">
      <c r="A1594" s="48" t="s">
        <v>143</v>
      </c>
      <c r="B1594" s="12" t="s">
        <v>55</v>
      </c>
      <c r="C1594" s="28" t="s">
        <v>64</v>
      </c>
      <c r="D1594" s="44">
        <v>0.38262073977737271</v>
      </c>
      <c r="E1594" s="15" t="s">
        <v>138</v>
      </c>
      <c r="F1594" s="16" t="s">
        <v>16</v>
      </c>
      <c r="G1594" s="22">
        <v>1</v>
      </c>
      <c r="H1594" s="23">
        <v>1</v>
      </c>
      <c r="I1594" s="23">
        <v>1</v>
      </c>
      <c r="J1594" s="23">
        <v>2</v>
      </c>
      <c r="K1594" s="23">
        <v>3</v>
      </c>
      <c r="L1594" s="24">
        <f t="shared" si="53"/>
        <v>1.0195048044558224</v>
      </c>
      <c r="M1594" s="20" t="s">
        <v>139</v>
      </c>
    </row>
    <row r="1595" spans="1:13" x14ac:dyDescent="0.2">
      <c r="A1595" s="48" t="s">
        <v>143</v>
      </c>
      <c r="B1595" s="12" t="s">
        <v>57</v>
      </c>
      <c r="C1595" s="28" t="s">
        <v>64</v>
      </c>
      <c r="D1595" s="44">
        <v>6.2401870063999103E-2</v>
      </c>
      <c r="E1595" s="15" t="s">
        <v>138</v>
      </c>
      <c r="F1595" s="16" t="s">
        <v>16</v>
      </c>
      <c r="G1595" s="22">
        <v>1</v>
      </c>
      <c r="H1595" s="23">
        <v>1</v>
      </c>
      <c r="I1595" s="23">
        <v>1</v>
      </c>
      <c r="J1595" s="23">
        <v>2</v>
      </c>
      <c r="K1595" s="23">
        <v>3</v>
      </c>
      <c r="L1595" s="25">
        <f t="shared" si="53"/>
        <v>1.0195048044558224</v>
      </c>
      <c r="M1595" s="20" t="s">
        <v>139</v>
      </c>
    </row>
    <row r="1596" spans="1:13" x14ac:dyDescent="0.2">
      <c r="A1596" s="48" t="s">
        <v>143</v>
      </c>
      <c r="B1596" s="12" t="s">
        <v>59</v>
      </c>
      <c r="C1596" s="28" t="s">
        <v>64</v>
      </c>
      <c r="D1596" s="44">
        <v>9.3896783745465229E-2</v>
      </c>
      <c r="E1596" s="15" t="s">
        <v>138</v>
      </c>
      <c r="F1596" s="16" t="s">
        <v>16</v>
      </c>
      <c r="G1596" s="22">
        <v>1</v>
      </c>
      <c r="H1596" s="23">
        <v>1</v>
      </c>
      <c r="I1596" s="23">
        <v>1</v>
      </c>
      <c r="J1596" s="23">
        <v>2</v>
      </c>
      <c r="K1596" s="23">
        <v>3</v>
      </c>
      <c r="L1596" s="25">
        <f t="shared" si="53"/>
        <v>1.0195048044558224</v>
      </c>
      <c r="M1596" s="20" t="s">
        <v>139</v>
      </c>
    </row>
    <row r="1597" spans="1:13" x14ac:dyDescent="0.2">
      <c r="A1597" s="48" t="s">
        <v>143</v>
      </c>
      <c r="B1597" s="12" t="s">
        <v>60</v>
      </c>
      <c r="C1597" s="28" t="s">
        <v>64</v>
      </c>
      <c r="D1597" s="44">
        <v>0.49583934156857318</v>
      </c>
      <c r="E1597" s="15" t="s">
        <v>138</v>
      </c>
      <c r="F1597" s="16" t="s">
        <v>16</v>
      </c>
      <c r="G1597" s="22">
        <v>1</v>
      </c>
      <c r="H1597" s="23">
        <v>2</v>
      </c>
      <c r="I1597" s="23">
        <v>1</v>
      </c>
      <c r="J1597" s="23">
        <v>2</v>
      </c>
      <c r="K1597" s="23">
        <v>3</v>
      </c>
      <c r="L1597" s="24">
        <f t="shared" si="53"/>
        <v>1.0248662490928169</v>
      </c>
      <c r="M1597" s="20" t="s">
        <v>139</v>
      </c>
    </row>
    <row r="1598" spans="1:13" x14ac:dyDescent="0.2">
      <c r="A1598" s="48" t="s">
        <v>143</v>
      </c>
      <c r="B1598" s="12" t="s">
        <v>13</v>
      </c>
      <c r="C1598" s="29" t="s">
        <v>66</v>
      </c>
      <c r="D1598" s="44">
        <v>1.7686703791229458E-2</v>
      </c>
      <c r="E1598" s="15" t="s">
        <v>138</v>
      </c>
      <c r="F1598" s="16" t="s">
        <v>16</v>
      </c>
      <c r="G1598" s="22">
        <v>1</v>
      </c>
      <c r="H1598" s="23">
        <v>1</v>
      </c>
      <c r="I1598" s="23">
        <v>1</v>
      </c>
      <c r="J1598" s="23">
        <v>2</v>
      </c>
      <c r="K1598" s="23">
        <v>3</v>
      </c>
      <c r="L1598" s="25">
        <f t="shared" si="53"/>
        <v>1.0195048044558224</v>
      </c>
      <c r="M1598" s="20" t="s">
        <v>139</v>
      </c>
    </row>
    <row r="1599" spans="1:13" x14ac:dyDescent="0.2">
      <c r="A1599" s="48" t="s">
        <v>143</v>
      </c>
      <c r="B1599" s="12" t="s">
        <v>18</v>
      </c>
      <c r="C1599" s="29" t="s">
        <v>66</v>
      </c>
      <c r="D1599" s="44">
        <v>2.3839939063557219E-2</v>
      </c>
      <c r="E1599" s="15" t="s">
        <v>138</v>
      </c>
      <c r="F1599" s="16" t="s">
        <v>16</v>
      </c>
      <c r="G1599" s="22">
        <v>1</v>
      </c>
      <c r="H1599" s="23">
        <v>1</v>
      </c>
      <c r="I1599" s="23">
        <v>1</v>
      </c>
      <c r="J1599" s="23">
        <v>2</v>
      </c>
      <c r="K1599" s="23">
        <v>3</v>
      </c>
      <c r="L1599" s="25">
        <f t="shared" si="53"/>
        <v>1.0195048044558224</v>
      </c>
      <c r="M1599" s="20" t="s">
        <v>139</v>
      </c>
    </row>
    <row r="1600" spans="1:13" x14ac:dyDescent="0.2">
      <c r="A1600" s="48" t="s">
        <v>143</v>
      </c>
      <c r="B1600" s="12" t="s">
        <v>20</v>
      </c>
      <c r="C1600" s="29" t="s">
        <v>66</v>
      </c>
      <c r="D1600" s="44">
        <v>9.0459223204365138E-3</v>
      </c>
      <c r="E1600" s="15" t="s">
        <v>138</v>
      </c>
      <c r="F1600" s="16" t="s">
        <v>16</v>
      </c>
      <c r="G1600" s="22">
        <v>1</v>
      </c>
      <c r="H1600" s="23">
        <v>1</v>
      </c>
      <c r="I1600" s="23">
        <v>1</v>
      </c>
      <c r="J1600" s="23">
        <v>2</v>
      </c>
      <c r="K1600" s="23">
        <v>3</v>
      </c>
      <c r="L1600" s="25">
        <f t="shared" si="53"/>
        <v>1.0195048044558224</v>
      </c>
      <c r="M1600" s="20" t="s">
        <v>139</v>
      </c>
    </row>
    <row r="1601" spans="1:13" x14ac:dyDescent="0.2">
      <c r="A1601" s="48" t="s">
        <v>143</v>
      </c>
      <c r="B1601" s="12" t="s">
        <v>22</v>
      </c>
      <c r="C1601" s="29" t="s">
        <v>66</v>
      </c>
      <c r="D1601" s="44">
        <v>3.9208203111525779E-3</v>
      </c>
      <c r="E1601" s="15" t="s">
        <v>138</v>
      </c>
      <c r="F1601" s="16" t="s">
        <v>16</v>
      </c>
      <c r="G1601" s="22">
        <v>1</v>
      </c>
      <c r="H1601" s="23">
        <v>1</v>
      </c>
      <c r="I1601" s="23">
        <v>1</v>
      </c>
      <c r="J1601" s="23">
        <v>2</v>
      </c>
      <c r="K1601" s="23">
        <v>3</v>
      </c>
      <c r="L1601" s="25">
        <f t="shared" si="53"/>
        <v>1.0195048044558224</v>
      </c>
      <c r="M1601" s="20" t="s">
        <v>139</v>
      </c>
    </row>
    <row r="1602" spans="1:13" x14ac:dyDescent="0.2">
      <c r="A1602" s="48" t="s">
        <v>143</v>
      </c>
      <c r="B1602" s="12" t="s">
        <v>23</v>
      </c>
      <c r="C1602" s="29" t="s">
        <v>66</v>
      </c>
      <c r="D1602" s="44">
        <v>1.083910561719308E-3</v>
      </c>
      <c r="E1602" s="15" t="s">
        <v>138</v>
      </c>
      <c r="F1602" s="16" t="s">
        <v>16</v>
      </c>
      <c r="G1602" s="22">
        <v>1</v>
      </c>
      <c r="H1602" s="23">
        <v>1</v>
      </c>
      <c r="I1602" s="23">
        <v>1</v>
      </c>
      <c r="J1602" s="23">
        <v>2</v>
      </c>
      <c r="K1602" s="23">
        <v>3</v>
      </c>
      <c r="L1602" s="25">
        <f t="shared" si="53"/>
        <v>1.0195048044558224</v>
      </c>
      <c r="M1602" s="20" t="s">
        <v>139</v>
      </c>
    </row>
    <row r="1603" spans="1:13" x14ac:dyDescent="0.2">
      <c r="A1603" s="48" t="s">
        <v>143</v>
      </c>
      <c r="B1603" s="12" t="s">
        <v>24</v>
      </c>
      <c r="C1603" s="29" t="s">
        <v>66</v>
      </c>
      <c r="D1603" s="44">
        <v>1.5656642071271511E-2</v>
      </c>
      <c r="E1603" s="15" t="s">
        <v>138</v>
      </c>
      <c r="F1603" s="16" t="s">
        <v>16</v>
      </c>
      <c r="G1603" s="22">
        <v>1</v>
      </c>
      <c r="H1603" s="23">
        <v>1</v>
      </c>
      <c r="I1603" s="23">
        <v>1</v>
      </c>
      <c r="J1603" s="23">
        <v>2</v>
      </c>
      <c r="K1603" s="23">
        <v>3</v>
      </c>
      <c r="L1603" s="25">
        <f t="shared" si="53"/>
        <v>1.0195048044558224</v>
      </c>
      <c r="M1603" s="20" t="s">
        <v>139</v>
      </c>
    </row>
    <row r="1604" spans="1:13" x14ac:dyDescent="0.2">
      <c r="A1604" s="48" t="s">
        <v>143</v>
      </c>
      <c r="B1604" s="12" t="s">
        <v>25</v>
      </c>
      <c r="C1604" s="29" t="s">
        <v>66</v>
      </c>
      <c r="D1604" s="44">
        <v>1.354261303807159E-2</v>
      </c>
      <c r="E1604" s="15" t="s">
        <v>138</v>
      </c>
      <c r="F1604" s="16" t="s">
        <v>16</v>
      </c>
      <c r="G1604" s="22">
        <v>1</v>
      </c>
      <c r="H1604" s="23">
        <v>1</v>
      </c>
      <c r="I1604" s="23">
        <v>1</v>
      </c>
      <c r="J1604" s="23">
        <v>2</v>
      </c>
      <c r="K1604" s="23">
        <v>3</v>
      </c>
      <c r="L1604" s="25">
        <f t="shared" ref="L1604:L1627" si="54">IF( OR( ISBLANK(G1604),ISBLANK(H1604), ISBLANK(I1604), ISBLANK(J1604), ISBLANK(K1604) ), "", 1.5*SQRT( EXP(2.21*(G1604-1)) + EXP(2.21*(H1604-1)) + EXP(2.21*(I1604-1)) + EXP(2.21*(J1604-1)) + EXP(2.21*K1604) )/100*2.45 )</f>
        <v>1.0195048044558224</v>
      </c>
      <c r="M1604" s="20" t="s">
        <v>139</v>
      </c>
    </row>
    <row r="1605" spans="1:13" x14ac:dyDescent="0.2">
      <c r="A1605" s="48" t="s">
        <v>143</v>
      </c>
      <c r="B1605" s="12" t="s">
        <v>26</v>
      </c>
      <c r="C1605" s="29" t="s">
        <v>66</v>
      </c>
      <c r="D1605" s="44">
        <v>3.1733771063021869E-3</v>
      </c>
      <c r="E1605" s="15" t="s">
        <v>138</v>
      </c>
      <c r="F1605" s="16" t="s">
        <v>16</v>
      </c>
      <c r="G1605" s="22">
        <v>1</v>
      </c>
      <c r="H1605" s="23">
        <v>1</v>
      </c>
      <c r="I1605" s="23">
        <v>1</v>
      </c>
      <c r="J1605" s="23">
        <v>2</v>
      </c>
      <c r="K1605" s="23">
        <v>3</v>
      </c>
      <c r="L1605" s="25">
        <f t="shared" si="54"/>
        <v>1.0195048044558224</v>
      </c>
      <c r="M1605" s="20" t="s">
        <v>139</v>
      </c>
    </row>
    <row r="1606" spans="1:13" x14ac:dyDescent="0.2">
      <c r="A1606" s="48" t="s">
        <v>143</v>
      </c>
      <c r="B1606" s="12" t="s">
        <v>27</v>
      </c>
      <c r="C1606" s="29" t="s">
        <v>66</v>
      </c>
      <c r="D1606" s="44">
        <v>9.2969163325807465E-3</v>
      </c>
      <c r="E1606" s="15" t="s">
        <v>138</v>
      </c>
      <c r="F1606" s="16" t="s">
        <v>16</v>
      </c>
      <c r="G1606" s="22">
        <v>1</v>
      </c>
      <c r="H1606" s="23">
        <v>1</v>
      </c>
      <c r="I1606" s="23">
        <v>1</v>
      </c>
      <c r="J1606" s="23">
        <v>2</v>
      </c>
      <c r="K1606" s="23">
        <v>3</v>
      </c>
      <c r="L1606" s="25">
        <f t="shared" si="54"/>
        <v>1.0195048044558224</v>
      </c>
      <c r="M1606" s="20" t="s">
        <v>139</v>
      </c>
    </row>
    <row r="1607" spans="1:13" x14ac:dyDescent="0.2">
      <c r="A1607" s="48" t="s">
        <v>143</v>
      </c>
      <c r="B1607" s="12" t="s">
        <v>28</v>
      </c>
      <c r="C1607" s="29" t="s">
        <v>66</v>
      </c>
      <c r="D1607" s="44">
        <v>0.1270331430500366</v>
      </c>
      <c r="E1607" s="15" t="s">
        <v>138</v>
      </c>
      <c r="F1607" s="16" t="s">
        <v>16</v>
      </c>
      <c r="G1607" s="22">
        <v>1</v>
      </c>
      <c r="H1607" s="23">
        <v>1</v>
      </c>
      <c r="I1607" s="23">
        <v>1</v>
      </c>
      <c r="J1607" s="23">
        <v>2</v>
      </c>
      <c r="K1607" s="23">
        <v>3</v>
      </c>
      <c r="L1607" s="25">
        <f t="shared" si="54"/>
        <v>1.0195048044558224</v>
      </c>
      <c r="M1607" s="20" t="s">
        <v>139</v>
      </c>
    </row>
    <row r="1608" spans="1:13" x14ac:dyDescent="0.2">
      <c r="A1608" s="48" t="s">
        <v>143</v>
      </c>
      <c r="B1608" s="12" t="s">
        <v>30</v>
      </c>
      <c r="C1608" s="29" t="s">
        <v>66</v>
      </c>
      <c r="D1608" s="44">
        <v>0.22411441163452339</v>
      </c>
      <c r="E1608" s="15" t="s">
        <v>138</v>
      </c>
      <c r="F1608" s="16" t="s">
        <v>16</v>
      </c>
      <c r="G1608" s="22">
        <v>1</v>
      </c>
      <c r="H1608" s="23">
        <v>1</v>
      </c>
      <c r="I1608" s="23">
        <v>1</v>
      </c>
      <c r="J1608" s="23">
        <v>2</v>
      </c>
      <c r="K1608" s="23">
        <v>3</v>
      </c>
      <c r="L1608" s="24">
        <f t="shared" si="54"/>
        <v>1.0195048044558224</v>
      </c>
      <c r="M1608" s="20" t="s">
        <v>139</v>
      </c>
    </row>
    <row r="1609" spans="1:13" x14ac:dyDescent="0.2">
      <c r="A1609" s="48" t="s">
        <v>143</v>
      </c>
      <c r="B1609" s="12" t="s">
        <v>32</v>
      </c>
      <c r="C1609" s="29" t="s">
        <v>66</v>
      </c>
      <c r="D1609" s="44">
        <v>1.6398644861580099E-2</v>
      </c>
      <c r="E1609" s="15" t="s">
        <v>138</v>
      </c>
      <c r="F1609" s="16" t="s">
        <v>16</v>
      </c>
      <c r="G1609" s="22">
        <v>1</v>
      </c>
      <c r="H1609" s="23">
        <v>1</v>
      </c>
      <c r="I1609" s="23">
        <v>1</v>
      </c>
      <c r="J1609" s="23">
        <v>2</v>
      </c>
      <c r="K1609" s="23">
        <v>3</v>
      </c>
      <c r="L1609" s="25">
        <f t="shared" si="54"/>
        <v>1.0195048044558224</v>
      </c>
      <c r="M1609" s="20" t="s">
        <v>139</v>
      </c>
    </row>
    <row r="1610" spans="1:13" x14ac:dyDescent="0.2">
      <c r="A1610" s="48" t="s">
        <v>143</v>
      </c>
      <c r="B1610" s="12" t="s">
        <v>34</v>
      </c>
      <c r="C1610" s="29" t="s">
        <v>66</v>
      </c>
      <c r="D1610" s="44">
        <v>2.7453608394506598E-2</v>
      </c>
      <c r="E1610" s="15" t="s">
        <v>138</v>
      </c>
      <c r="F1610" s="16" t="s">
        <v>16</v>
      </c>
      <c r="G1610" s="22">
        <v>1</v>
      </c>
      <c r="H1610" s="23">
        <v>1</v>
      </c>
      <c r="I1610" s="23">
        <v>1</v>
      </c>
      <c r="J1610" s="23">
        <v>2</v>
      </c>
      <c r="K1610" s="23">
        <v>3</v>
      </c>
      <c r="L1610" s="25">
        <f t="shared" si="54"/>
        <v>1.0195048044558224</v>
      </c>
      <c r="M1610" s="20" t="s">
        <v>139</v>
      </c>
    </row>
    <row r="1611" spans="1:13" x14ac:dyDescent="0.2">
      <c r="A1611" s="48" t="s">
        <v>143</v>
      </c>
      <c r="B1611" s="12" t="s">
        <v>36</v>
      </c>
      <c r="C1611" s="29" t="s">
        <v>66</v>
      </c>
      <c r="D1611" s="44">
        <v>1.806789059346434E-2</v>
      </c>
      <c r="E1611" s="15" t="s">
        <v>138</v>
      </c>
      <c r="F1611" s="16" t="s">
        <v>16</v>
      </c>
      <c r="G1611" s="22">
        <v>1</v>
      </c>
      <c r="H1611" s="23">
        <v>1</v>
      </c>
      <c r="I1611" s="23">
        <v>1</v>
      </c>
      <c r="J1611" s="23">
        <v>2</v>
      </c>
      <c r="K1611" s="23">
        <v>3</v>
      </c>
      <c r="L1611" s="25">
        <f t="shared" si="54"/>
        <v>1.0195048044558224</v>
      </c>
      <c r="M1611" s="20" t="s">
        <v>139</v>
      </c>
    </row>
    <row r="1612" spans="1:13" x14ac:dyDescent="0.2">
      <c r="A1612" s="48" t="s">
        <v>143</v>
      </c>
      <c r="B1612" s="12" t="s">
        <v>37</v>
      </c>
      <c r="C1612" s="29" t="s">
        <v>66</v>
      </c>
      <c r="D1612" s="44">
        <v>0.1181017841824402</v>
      </c>
      <c r="E1612" s="15" t="s">
        <v>138</v>
      </c>
      <c r="F1612" s="16" t="s">
        <v>16</v>
      </c>
      <c r="G1612" s="22">
        <v>1</v>
      </c>
      <c r="H1612" s="23">
        <v>1</v>
      </c>
      <c r="I1612" s="23">
        <v>1</v>
      </c>
      <c r="J1612" s="23">
        <v>2</v>
      </c>
      <c r="K1612" s="23">
        <v>3</v>
      </c>
      <c r="L1612" s="24">
        <f t="shared" si="54"/>
        <v>1.0195048044558224</v>
      </c>
      <c r="M1612" s="20" t="s">
        <v>139</v>
      </c>
    </row>
    <row r="1613" spans="1:13" x14ac:dyDescent="0.2">
      <c r="A1613" s="48" t="s">
        <v>143</v>
      </c>
      <c r="B1613" s="12" t="s">
        <v>39</v>
      </c>
      <c r="C1613" s="29" t="s">
        <v>66</v>
      </c>
      <c r="D1613" s="44">
        <v>2.7771460584403362E-3</v>
      </c>
      <c r="E1613" s="15" t="s">
        <v>138</v>
      </c>
      <c r="F1613" s="16" t="s">
        <v>16</v>
      </c>
      <c r="G1613" s="22">
        <v>1</v>
      </c>
      <c r="H1613" s="23">
        <v>1</v>
      </c>
      <c r="I1613" s="23">
        <v>1</v>
      </c>
      <c r="J1613" s="23">
        <v>2</v>
      </c>
      <c r="K1613" s="23">
        <v>3</v>
      </c>
      <c r="L1613" s="25">
        <f t="shared" si="54"/>
        <v>1.0195048044558224</v>
      </c>
      <c r="M1613" s="20" t="s">
        <v>139</v>
      </c>
    </row>
    <row r="1614" spans="1:13" x14ac:dyDescent="0.2">
      <c r="A1614" s="48" t="s">
        <v>143</v>
      </c>
      <c r="B1614" s="12" t="s">
        <v>40</v>
      </c>
      <c r="C1614" s="29" t="s">
        <v>66</v>
      </c>
      <c r="D1614" s="44">
        <v>5.0992227115387624E-3</v>
      </c>
      <c r="E1614" s="15" t="s">
        <v>138</v>
      </c>
      <c r="F1614" s="16" t="s">
        <v>16</v>
      </c>
      <c r="G1614" s="22">
        <v>1</v>
      </c>
      <c r="H1614" s="23">
        <v>1</v>
      </c>
      <c r="I1614" s="23">
        <v>1</v>
      </c>
      <c r="J1614" s="23">
        <v>2</v>
      </c>
      <c r="K1614" s="23">
        <v>3</v>
      </c>
      <c r="L1614" s="25">
        <f t="shared" si="54"/>
        <v>1.0195048044558224</v>
      </c>
      <c r="M1614" s="20" t="s">
        <v>139</v>
      </c>
    </row>
    <row r="1615" spans="1:13" x14ac:dyDescent="0.2">
      <c r="A1615" s="48" t="s">
        <v>143</v>
      </c>
      <c r="B1615" s="12" t="s">
        <v>41</v>
      </c>
      <c r="C1615" s="29" t="s">
        <v>66</v>
      </c>
      <c r="D1615" s="44">
        <v>1.4491597473135799E-3</v>
      </c>
      <c r="E1615" s="15" t="s">
        <v>138</v>
      </c>
      <c r="F1615" s="16" t="s">
        <v>16</v>
      </c>
      <c r="G1615" s="22">
        <v>1</v>
      </c>
      <c r="H1615" s="23">
        <v>1</v>
      </c>
      <c r="I1615" s="23">
        <v>1</v>
      </c>
      <c r="J1615" s="23">
        <v>2</v>
      </c>
      <c r="K1615" s="23">
        <v>3</v>
      </c>
      <c r="L1615" s="25">
        <f t="shared" si="54"/>
        <v>1.0195048044558224</v>
      </c>
      <c r="M1615" s="20" t="s">
        <v>139</v>
      </c>
    </row>
    <row r="1616" spans="1:13" x14ac:dyDescent="0.2">
      <c r="A1616" s="48" t="s">
        <v>143</v>
      </c>
      <c r="B1616" s="12" t="s">
        <v>42</v>
      </c>
      <c r="C1616" s="29" t="s">
        <v>66</v>
      </c>
      <c r="D1616" s="44">
        <v>8.361127373126767E-4</v>
      </c>
      <c r="E1616" s="15" t="s">
        <v>138</v>
      </c>
      <c r="F1616" s="16" t="s">
        <v>16</v>
      </c>
      <c r="G1616" s="22">
        <v>1</v>
      </c>
      <c r="H1616" s="23">
        <v>1</v>
      </c>
      <c r="I1616" s="23">
        <v>1</v>
      </c>
      <c r="J1616" s="23">
        <v>2</v>
      </c>
      <c r="K1616" s="23">
        <v>3</v>
      </c>
      <c r="L1616" s="25">
        <f t="shared" si="54"/>
        <v>1.0195048044558224</v>
      </c>
      <c r="M1616" s="20" t="s">
        <v>139</v>
      </c>
    </row>
    <row r="1617" spans="1:13" x14ac:dyDescent="0.2">
      <c r="A1617" s="48" t="s">
        <v>143</v>
      </c>
      <c r="B1617" s="12" t="s">
        <v>43</v>
      </c>
      <c r="C1617" s="29" t="s">
        <v>66</v>
      </c>
      <c r="D1617" s="44">
        <v>3.8710537109112077E-2</v>
      </c>
      <c r="E1617" s="15" t="s">
        <v>138</v>
      </c>
      <c r="F1617" s="16" t="s">
        <v>16</v>
      </c>
      <c r="G1617" s="22">
        <v>1</v>
      </c>
      <c r="H1617" s="23">
        <v>1</v>
      </c>
      <c r="I1617" s="23">
        <v>1</v>
      </c>
      <c r="J1617" s="23">
        <v>2</v>
      </c>
      <c r="K1617" s="23">
        <v>3</v>
      </c>
      <c r="L1617" s="25">
        <f t="shared" si="54"/>
        <v>1.0195048044558224</v>
      </c>
      <c r="M1617" s="20" t="s">
        <v>139</v>
      </c>
    </row>
    <row r="1618" spans="1:13" x14ac:dyDescent="0.2">
      <c r="A1618" s="48" t="s">
        <v>143</v>
      </c>
      <c r="B1618" s="12" t="s">
        <v>45</v>
      </c>
      <c r="C1618" s="29" t="s">
        <v>66</v>
      </c>
      <c r="D1618" s="44">
        <v>1.466156327330086E-2</v>
      </c>
      <c r="E1618" s="15" t="s">
        <v>138</v>
      </c>
      <c r="F1618" s="16" t="s">
        <v>16</v>
      </c>
      <c r="G1618" s="22">
        <v>1</v>
      </c>
      <c r="H1618" s="23">
        <v>1</v>
      </c>
      <c r="I1618" s="23">
        <v>1</v>
      </c>
      <c r="J1618" s="23">
        <v>2</v>
      </c>
      <c r="K1618" s="23">
        <v>3</v>
      </c>
      <c r="L1618" s="25">
        <f t="shared" si="54"/>
        <v>1.0195048044558224</v>
      </c>
      <c r="M1618" s="20" t="s">
        <v>139</v>
      </c>
    </row>
    <row r="1619" spans="1:13" x14ac:dyDescent="0.2">
      <c r="A1619" s="48" t="s">
        <v>143</v>
      </c>
      <c r="B1619" s="12" t="s">
        <v>46</v>
      </c>
      <c r="C1619" s="29" t="s">
        <v>66</v>
      </c>
      <c r="D1619" s="44">
        <v>6.6719265217289991E-2</v>
      </c>
      <c r="E1619" s="15" t="s">
        <v>138</v>
      </c>
      <c r="F1619" s="16" t="s">
        <v>16</v>
      </c>
      <c r="G1619" s="22">
        <v>1</v>
      </c>
      <c r="H1619" s="23">
        <v>1</v>
      </c>
      <c r="I1619" s="23">
        <v>1</v>
      </c>
      <c r="J1619" s="23">
        <v>2</v>
      </c>
      <c r="K1619" s="23">
        <v>3</v>
      </c>
      <c r="L1619" s="24">
        <f t="shared" si="54"/>
        <v>1.0195048044558224</v>
      </c>
      <c r="M1619" s="20" t="s">
        <v>139</v>
      </c>
    </row>
    <row r="1620" spans="1:13" x14ac:dyDescent="0.2">
      <c r="A1620" s="48" t="s">
        <v>143</v>
      </c>
      <c r="B1620" s="12" t="s">
        <v>48</v>
      </c>
      <c r="C1620" s="29" t="s">
        <v>66</v>
      </c>
      <c r="D1620" s="44">
        <v>2.4579728715444761E-2</v>
      </c>
      <c r="E1620" s="15" t="s">
        <v>138</v>
      </c>
      <c r="F1620" s="16" t="s">
        <v>16</v>
      </c>
      <c r="G1620" s="22">
        <v>1</v>
      </c>
      <c r="H1620" s="23">
        <v>1</v>
      </c>
      <c r="I1620" s="23">
        <v>1</v>
      </c>
      <c r="J1620" s="23">
        <v>2</v>
      </c>
      <c r="K1620" s="23">
        <v>3</v>
      </c>
      <c r="L1620" s="25">
        <f t="shared" si="54"/>
        <v>1.0195048044558224</v>
      </c>
      <c r="M1620" s="20" t="s">
        <v>139</v>
      </c>
    </row>
    <row r="1621" spans="1:13" x14ac:dyDescent="0.2">
      <c r="A1621" s="48" t="s">
        <v>143</v>
      </c>
      <c r="B1621" s="12" t="s">
        <v>50</v>
      </c>
      <c r="C1621" s="29" t="s">
        <v>66</v>
      </c>
      <c r="D1621" s="44">
        <v>2.856200891845144E-2</v>
      </c>
      <c r="E1621" s="15" t="s">
        <v>138</v>
      </c>
      <c r="F1621" s="16" t="s">
        <v>16</v>
      </c>
      <c r="G1621" s="22">
        <v>1</v>
      </c>
      <c r="H1621" s="23">
        <v>1</v>
      </c>
      <c r="I1621" s="23">
        <v>1</v>
      </c>
      <c r="J1621" s="23">
        <v>2</v>
      </c>
      <c r="K1621" s="23">
        <v>3</v>
      </c>
      <c r="L1621" s="25">
        <f t="shared" si="54"/>
        <v>1.0195048044558224</v>
      </c>
      <c r="M1621" s="20" t="s">
        <v>139</v>
      </c>
    </row>
    <row r="1622" spans="1:13" x14ac:dyDescent="0.2">
      <c r="A1622" s="48" t="s">
        <v>143</v>
      </c>
      <c r="B1622" s="12" t="s">
        <v>52</v>
      </c>
      <c r="C1622" s="29" t="s">
        <v>66</v>
      </c>
      <c r="D1622" s="44">
        <v>7.5930961077908506E-3</v>
      </c>
      <c r="E1622" s="15" t="s">
        <v>138</v>
      </c>
      <c r="F1622" s="16" t="s">
        <v>16</v>
      </c>
      <c r="G1622" s="22">
        <v>1</v>
      </c>
      <c r="H1622" s="23">
        <v>1</v>
      </c>
      <c r="I1622" s="23">
        <v>1</v>
      </c>
      <c r="J1622" s="23">
        <v>2</v>
      </c>
      <c r="K1622" s="23">
        <v>3</v>
      </c>
      <c r="L1622" s="25">
        <f t="shared" si="54"/>
        <v>1.0195048044558224</v>
      </c>
      <c r="M1622" s="20" t="s">
        <v>139</v>
      </c>
    </row>
    <row r="1623" spans="1:13" x14ac:dyDescent="0.2">
      <c r="A1623" s="48" t="s">
        <v>143</v>
      </c>
      <c r="B1623" s="12" t="s">
        <v>54</v>
      </c>
      <c r="C1623" s="29" t="s">
        <v>66</v>
      </c>
      <c r="D1623" s="44">
        <v>2.939386049854123E-3</v>
      </c>
      <c r="E1623" s="15" t="s">
        <v>138</v>
      </c>
      <c r="F1623" s="16" t="s">
        <v>16</v>
      </c>
      <c r="G1623" s="22">
        <v>1</v>
      </c>
      <c r="H1623" s="23">
        <v>1</v>
      </c>
      <c r="I1623" s="23">
        <v>1</v>
      </c>
      <c r="J1623" s="23">
        <v>2</v>
      </c>
      <c r="K1623" s="23">
        <v>3</v>
      </c>
      <c r="L1623" s="25">
        <f t="shared" si="54"/>
        <v>1.0195048044558224</v>
      </c>
      <c r="M1623" s="20" t="s">
        <v>139</v>
      </c>
    </row>
    <row r="1624" spans="1:13" x14ac:dyDescent="0.2">
      <c r="A1624" s="48" t="s">
        <v>143</v>
      </c>
      <c r="B1624" s="12" t="s">
        <v>55</v>
      </c>
      <c r="C1624" s="29" t="s">
        <v>66</v>
      </c>
      <c r="D1624" s="44">
        <v>9.0123089978496079E-2</v>
      </c>
      <c r="E1624" s="15" t="s">
        <v>138</v>
      </c>
      <c r="F1624" s="16" t="s">
        <v>16</v>
      </c>
      <c r="G1624" s="22">
        <v>1</v>
      </c>
      <c r="H1624" s="23">
        <v>1</v>
      </c>
      <c r="I1624" s="23">
        <v>1</v>
      </c>
      <c r="J1624" s="23">
        <v>2</v>
      </c>
      <c r="K1624" s="23">
        <v>3</v>
      </c>
      <c r="L1624" s="24">
        <f t="shared" si="54"/>
        <v>1.0195048044558224</v>
      </c>
      <c r="M1624" s="20" t="s">
        <v>139</v>
      </c>
    </row>
    <row r="1625" spans="1:13" x14ac:dyDescent="0.2">
      <c r="A1625" s="48" t="s">
        <v>143</v>
      </c>
      <c r="B1625" s="12" t="s">
        <v>57</v>
      </c>
      <c r="C1625" s="29" t="s">
        <v>66</v>
      </c>
      <c r="D1625" s="44">
        <v>1.4698234481163881E-2</v>
      </c>
      <c r="E1625" s="15" t="s">
        <v>138</v>
      </c>
      <c r="F1625" s="16" t="s">
        <v>16</v>
      </c>
      <c r="G1625" s="22">
        <v>1</v>
      </c>
      <c r="H1625" s="23">
        <v>1</v>
      </c>
      <c r="I1625" s="23">
        <v>1</v>
      </c>
      <c r="J1625" s="23">
        <v>2</v>
      </c>
      <c r="K1625" s="23">
        <v>3</v>
      </c>
      <c r="L1625" s="25">
        <f t="shared" si="54"/>
        <v>1.0195048044558224</v>
      </c>
      <c r="M1625" s="20" t="s">
        <v>139</v>
      </c>
    </row>
    <row r="1626" spans="1:13" x14ac:dyDescent="0.2">
      <c r="A1626" s="48" t="s">
        <v>143</v>
      </c>
      <c r="B1626" s="12" t="s">
        <v>59</v>
      </c>
      <c r="C1626" s="29" t="s">
        <v>66</v>
      </c>
      <c r="D1626" s="44">
        <v>2.2116595914554209E-2</v>
      </c>
      <c r="E1626" s="15" t="s">
        <v>138</v>
      </c>
      <c r="F1626" s="16" t="s">
        <v>16</v>
      </c>
      <c r="G1626" s="22">
        <v>1</v>
      </c>
      <c r="H1626" s="23">
        <v>1</v>
      </c>
      <c r="I1626" s="23">
        <v>1</v>
      </c>
      <c r="J1626" s="23">
        <v>2</v>
      </c>
      <c r="K1626" s="23">
        <v>3</v>
      </c>
      <c r="L1626" s="25">
        <f t="shared" si="54"/>
        <v>1.0195048044558224</v>
      </c>
      <c r="M1626" s="20" t="s">
        <v>139</v>
      </c>
    </row>
    <row r="1627" spans="1:13" x14ac:dyDescent="0.2">
      <c r="A1627" s="48" t="s">
        <v>143</v>
      </c>
      <c r="B1627" s="12" t="s">
        <v>60</v>
      </c>
      <c r="C1627" s="29" t="s">
        <v>66</v>
      </c>
      <c r="D1627" s="44">
        <v>0.11679077726174381</v>
      </c>
      <c r="E1627" s="15" t="s">
        <v>138</v>
      </c>
      <c r="F1627" s="16" t="s">
        <v>16</v>
      </c>
      <c r="G1627" s="22">
        <v>1</v>
      </c>
      <c r="H1627" s="23">
        <v>2</v>
      </c>
      <c r="I1627" s="23">
        <v>1</v>
      </c>
      <c r="J1627" s="23">
        <v>2</v>
      </c>
      <c r="K1627" s="23">
        <v>3</v>
      </c>
      <c r="L1627" s="24">
        <f t="shared" si="54"/>
        <v>1.0248662490928169</v>
      </c>
      <c r="M1627" s="20" t="s">
        <v>139</v>
      </c>
    </row>
    <row r="1628" spans="1:13" x14ac:dyDescent="0.2">
      <c r="A1628" s="48" t="s">
        <v>143</v>
      </c>
      <c r="B1628" s="22" t="s">
        <v>135</v>
      </c>
      <c r="C1628" s="30" t="s">
        <v>94</v>
      </c>
      <c r="D1628" s="14">
        <v>0</v>
      </c>
      <c r="E1628" s="15"/>
      <c r="F1628" s="16"/>
      <c r="G1628" s="17"/>
      <c r="H1628" s="18"/>
      <c r="I1628" s="18"/>
      <c r="J1628" s="18"/>
      <c r="K1628" s="18"/>
      <c r="L1628" s="19" t="str">
        <f>IF( OR( ISBLANK(G1628),ISBLANK(H1628), ISBLANK(I1628), ISBLANK(J1628), ISBLANK(K1628) ), "", 1.5*SQRT(   EXP(2.21*(G1628-1)) + EXP(2.21*(H1628-1)) + EXP(2.21*(I1628-1)) + EXP(2.21*(J1628-1)) + EXP(2.21*K1628)   )/100*2.45 )</f>
        <v/>
      </c>
      <c r="M1628" s="20" t="s">
        <v>139</v>
      </c>
    </row>
    <row r="1629" spans="1:13" x14ac:dyDescent="0.2">
      <c r="A1629" s="48" t="s">
        <v>143</v>
      </c>
      <c r="B1629" s="12" t="s">
        <v>13</v>
      </c>
      <c r="C1629" s="31" t="s">
        <v>96</v>
      </c>
      <c r="D1629" s="44">
        <v>0.1720314921610808</v>
      </c>
      <c r="E1629" s="15" t="s">
        <v>138</v>
      </c>
      <c r="F1629" s="16" t="s">
        <v>16</v>
      </c>
      <c r="G1629" s="22">
        <v>1</v>
      </c>
      <c r="H1629" s="23">
        <v>1</v>
      </c>
      <c r="I1629" s="23">
        <v>1</v>
      </c>
      <c r="J1629" s="23">
        <v>2</v>
      </c>
      <c r="K1629" s="23">
        <v>3</v>
      </c>
      <c r="L1629" s="25">
        <f t="shared" ref="L1629:L1658" si="55">IF( OR( ISBLANK(G1629),ISBLANK(H1629), ISBLANK(I1629), ISBLANK(J1629), ISBLANK(K1629) ), "", 1.5*SQRT( EXP(2.21*(G1629-1)) + EXP(2.21*(H1629-1)) + EXP(2.21*(I1629-1)) + EXP(2.21*(J1629-1)) + EXP(2.21*K1629) )/100*2.45 )</f>
        <v>1.0195048044558224</v>
      </c>
      <c r="M1629" s="20" t="s">
        <v>139</v>
      </c>
    </row>
    <row r="1630" spans="1:13" x14ac:dyDescent="0.2">
      <c r="A1630" s="48" t="s">
        <v>143</v>
      </c>
      <c r="B1630" s="12" t="s">
        <v>18</v>
      </c>
      <c r="C1630" s="31" t="s">
        <v>96</v>
      </c>
      <c r="D1630" s="44">
        <v>0.23188155003572311</v>
      </c>
      <c r="E1630" s="15" t="s">
        <v>138</v>
      </c>
      <c r="F1630" s="16" t="s">
        <v>16</v>
      </c>
      <c r="G1630" s="22">
        <v>1</v>
      </c>
      <c r="H1630" s="23">
        <v>1</v>
      </c>
      <c r="I1630" s="23">
        <v>1</v>
      </c>
      <c r="J1630" s="23">
        <v>2</v>
      </c>
      <c r="K1630" s="23">
        <v>3</v>
      </c>
      <c r="L1630" s="25">
        <f t="shared" si="55"/>
        <v>1.0195048044558224</v>
      </c>
      <c r="M1630" s="20" t="s">
        <v>139</v>
      </c>
    </row>
    <row r="1631" spans="1:13" x14ac:dyDescent="0.2">
      <c r="A1631" s="48" t="s">
        <v>143</v>
      </c>
      <c r="B1631" s="12" t="s">
        <v>20</v>
      </c>
      <c r="C1631" s="31" t="s">
        <v>96</v>
      </c>
      <c r="D1631" s="44">
        <v>8.7986067563906686E-2</v>
      </c>
      <c r="E1631" s="15" t="s">
        <v>138</v>
      </c>
      <c r="F1631" s="16" t="s">
        <v>16</v>
      </c>
      <c r="G1631" s="22">
        <v>1</v>
      </c>
      <c r="H1631" s="23">
        <v>1</v>
      </c>
      <c r="I1631" s="23">
        <v>1</v>
      </c>
      <c r="J1631" s="23">
        <v>2</v>
      </c>
      <c r="K1631" s="23">
        <v>3</v>
      </c>
      <c r="L1631" s="25">
        <f t="shared" si="55"/>
        <v>1.0195048044558224</v>
      </c>
      <c r="M1631" s="20" t="s">
        <v>139</v>
      </c>
    </row>
    <row r="1632" spans="1:13" x14ac:dyDescent="0.2">
      <c r="A1632" s="48" t="s">
        <v>143</v>
      </c>
      <c r="B1632" s="12" t="s">
        <v>22</v>
      </c>
      <c r="C1632" s="31" t="s">
        <v>96</v>
      </c>
      <c r="D1632" s="44">
        <v>3.8136250631252533E-2</v>
      </c>
      <c r="E1632" s="15" t="s">
        <v>138</v>
      </c>
      <c r="F1632" s="16" t="s">
        <v>16</v>
      </c>
      <c r="G1632" s="22">
        <v>1</v>
      </c>
      <c r="H1632" s="23">
        <v>1</v>
      </c>
      <c r="I1632" s="23">
        <v>1</v>
      </c>
      <c r="J1632" s="23">
        <v>2</v>
      </c>
      <c r="K1632" s="23">
        <v>3</v>
      </c>
      <c r="L1632" s="25">
        <f t="shared" si="55"/>
        <v>1.0195048044558224</v>
      </c>
      <c r="M1632" s="20" t="s">
        <v>139</v>
      </c>
    </row>
    <row r="1633" spans="1:13" x14ac:dyDescent="0.2">
      <c r="A1633" s="48" t="s">
        <v>143</v>
      </c>
      <c r="B1633" s="12" t="s">
        <v>23</v>
      </c>
      <c r="C1633" s="31" t="s">
        <v>96</v>
      </c>
      <c r="D1633" s="44">
        <v>1.054276441233745E-2</v>
      </c>
      <c r="E1633" s="15" t="s">
        <v>138</v>
      </c>
      <c r="F1633" s="16" t="s">
        <v>16</v>
      </c>
      <c r="G1633" s="22">
        <v>1</v>
      </c>
      <c r="H1633" s="23">
        <v>1</v>
      </c>
      <c r="I1633" s="23">
        <v>1</v>
      </c>
      <c r="J1633" s="23">
        <v>2</v>
      </c>
      <c r="K1633" s="23">
        <v>3</v>
      </c>
      <c r="L1633" s="25">
        <f t="shared" si="55"/>
        <v>1.0195048044558224</v>
      </c>
      <c r="M1633" s="20" t="s">
        <v>139</v>
      </c>
    </row>
    <row r="1634" spans="1:13" x14ac:dyDescent="0.2">
      <c r="A1634" s="48" t="s">
        <v>143</v>
      </c>
      <c r="B1634" s="12" t="s">
        <v>24</v>
      </c>
      <c r="C1634" s="31" t="s">
        <v>96</v>
      </c>
      <c r="D1634" s="44">
        <v>0.15228589394302069</v>
      </c>
      <c r="E1634" s="15" t="s">
        <v>138</v>
      </c>
      <c r="F1634" s="16" t="s">
        <v>16</v>
      </c>
      <c r="G1634" s="22">
        <v>1</v>
      </c>
      <c r="H1634" s="23">
        <v>1</v>
      </c>
      <c r="I1634" s="23">
        <v>1</v>
      </c>
      <c r="J1634" s="23">
        <v>2</v>
      </c>
      <c r="K1634" s="23">
        <v>3</v>
      </c>
      <c r="L1634" s="25">
        <f t="shared" si="55"/>
        <v>1.0195048044558224</v>
      </c>
      <c r="M1634" s="20" t="s">
        <v>139</v>
      </c>
    </row>
    <row r="1635" spans="1:13" x14ac:dyDescent="0.2">
      <c r="A1635" s="48" t="s">
        <v>143</v>
      </c>
      <c r="B1635" s="12" t="s">
        <v>25</v>
      </c>
      <c r="C1635" s="31" t="s">
        <v>96</v>
      </c>
      <c r="D1635" s="44">
        <v>0.1317235792604188</v>
      </c>
      <c r="E1635" s="15" t="s">
        <v>138</v>
      </c>
      <c r="F1635" s="16" t="s">
        <v>16</v>
      </c>
      <c r="G1635" s="22">
        <v>1</v>
      </c>
      <c r="H1635" s="23">
        <v>1</v>
      </c>
      <c r="I1635" s="23">
        <v>1</v>
      </c>
      <c r="J1635" s="23">
        <v>2</v>
      </c>
      <c r="K1635" s="23">
        <v>3</v>
      </c>
      <c r="L1635" s="25">
        <f t="shared" si="55"/>
        <v>1.0195048044558224</v>
      </c>
      <c r="M1635" s="20" t="s">
        <v>139</v>
      </c>
    </row>
    <row r="1636" spans="1:13" x14ac:dyDescent="0.2">
      <c r="A1636" s="48" t="s">
        <v>143</v>
      </c>
      <c r="B1636" s="12" t="s">
        <v>26</v>
      </c>
      <c r="C1636" s="31" t="s">
        <v>96</v>
      </c>
      <c r="D1636" s="44">
        <v>3.0866169594454949E-2</v>
      </c>
      <c r="E1636" s="15" t="s">
        <v>138</v>
      </c>
      <c r="F1636" s="16" t="s">
        <v>16</v>
      </c>
      <c r="G1636" s="22">
        <v>1</v>
      </c>
      <c r="H1636" s="23">
        <v>1</v>
      </c>
      <c r="I1636" s="23">
        <v>1</v>
      </c>
      <c r="J1636" s="23">
        <v>2</v>
      </c>
      <c r="K1636" s="23">
        <v>3</v>
      </c>
      <c r="L1636" s="25">
        <f t="shared" si="55"/>
        <v>1.0195048044558224</v>
      </c>
      <c r="M1636" s="20" t="s">
        <v>139</v>
      </c>
    </row>
    <row r="1637" spans="1:13" x14ac:dyDescent="0.2">
      <c r="A1637" s="48" t="s">
        <v>143</v>
      </c>
      <c r="B1637" s="12" t="s">
        <v>27</v>
      </c>
      <c r="C1637" s="31" t="s">
        <v>96</v>
      </c>
      <c r="D1637" s="44">
        <v>9.0427385909164479E-2</v>
      </c>
      <c r="E1637" s="15" t="s">
        <v>138</v>
      </c>
      <c r="F1637" s="16" t="s">
        <v>16</v>
      </c>
      <c r="G1637" s="22">
        <v>1</v>
      </c>
      <c r="H1637" s="23">
        <v>1</v>
      </c>
      <c r="I1637" s="23">
        <v>1</v>
      </c>
      <c r="J1637" s="23">
        <v>2</v>
      </c>
      <c r="K1637" s="23">
        <v>3</v>
      </c>
      <c r="L1637" s="25">
        <f t="shared" si="55"/>
        <v>1.0195048044558224</v>
      </c>
      <c r="M1637" s="20" t="s">
        <v>139</v>
      </c>
    </row>
    <row r="1638" spans="1:13" x14ac:dyDescent="0.2">
      <c r="A1638" s="48" t="s">
        <v>143</v>
      </c>
      <c r="B1638" s="12" t="s">
        <v>28</v>
      </c>
      <c r="C1638" s="31" t="s">
        <v>96</v>
      </c>
      <c r="D1638" s="44">
        <v>1.235600562477148</v>
      </c>
      <c r="E1638" s="15" t="s">
        <v>138</v>
      </c>
      <c r="F1638" s="16" t="s">
        <v>16</v>
      </c>
      <c r="G1638" s="22">
        <v>1</v>
      </c>
      <c r="H1638" s="23">
        <v>1</v>
      </c>
      <c r="I1638" s="23">
        <v>1</v>
      </c>
      <c r="J1638" s="23">
        <v>2</v>
      </c>
      <c r="K1638" s="23">
        <v>3</v>
      </c>
      <c r="L1638" s="25">
        <f t="shared" si="55"/>
        <v>1.0195048044558224</v>
      </c>
      <c r="M1638" s="20" t="s">
        <v>139</v>
      </c>
    </row>
    <row r="1639" spans="1:13" x14ac:dyDescent="0.2">
      <c r="A1639" s="48" t="s">
        <v>143</v>
      </c>
      <c r="B1639" s="12" t="s">
        <v>30</v>
      </c>
      <c r="C1639" s="31" t="s">
        <v>96</v>
      </c>
      <c r="D1639" s="44">
        <v>2.17987122436055</v>
      </c>
      <c r="E1639" s="15" t="s">
        <v>138</v>
      </c>
      <c r="F1639" s="16" t="s">
        <v>16</v>
      </c>
      <c r="G1639" s="22">
        <v>1</v>
      </c>
      <c r="H1639" s="23">
        <v>1</v>
      </c>
      <c r="I1639" s="23">
        <v>1</v>
      </c>
      <c r="J1639" s="23">
        <v>2</v>
      </c>
      <c r="K1639" s="23">
        <v>3</v>
      </c>
      <c r="L1639" s="24">
        <f t="shared" si="55"/>
        <v>1.0195048044558224</v>
      </c>
      <c r="M1639" s="20" t="s">
        <v>139</v>
      </c>
    </row>
    <row r="1640" spans="1:13" x14ac:dyDescent="0.2">
      <c r="A1640" s="48" t="s">
        <v>143</v>
      </c>
      <c r="B1640" s="12" t="s">
        <v>32</v>
      </c>
      <c r="C1640" s="31" t="s">
        <v>96</v>
      </c>
      <c r="D1640" s="44">
        <v>0.1595030582440235</v>
      </c>
      <c r="E1640" s="15" t="s">
        <v>138</v>
      </c>
      <c r="F1640" s="16" t="s">
        <v>16</v>
      </c>
      <c r="G1640" s="22">
        <v>1</v>
      </c>
      <c r="H1640" s="23">
        <v>1</v>
      </c>
      <c r="I1640" s="23">
        <v>1</v>
      </c>
      <c r="J1640" s="23">
        <v>2</v>
      </c>
      <c r="K1640" s="23">
        <v>3</v>
      </c>
      <c r="L1640" s="25">
        <f t="shared" si="55"/>
        <v>1.0195048044558224</v>
      </c>
      <c r="M1640" s="20" t="s">
        <v>139</v>
      </c>
    </row>
    <row r="1641" spans="1:13" x14ac:dyDescent="0.2">
      <c r="A1641" s="48" t="s">
        <v>143</v>
      </c>
      <c r="B1641" s="12" t="s">
        <v>34</v>
      </c>
      <c r="C1641" s="31" t="s">
        <v>96</v>
      </c>
      <c r="D1641" s="44">
        <v>0.26703026595916318</v>
      </c>
      <c r="E1641" s="15" t="s">
        <v>138</v>
      </c>
      <c r="F1641" s="16" t="s">
        <v>16</v>
      </c>
      <c r="G1641" s="22">
        <v>1</v>
      </c>
      <c r="H1641" s="23">
        <v>1</v>
      </c>
      <c r="I1641" s="23">
        <v>1</v>
      </c>
      <c r="J1641" s="23">
        <v>2</v>
      </c>
      <c r="K1641" s="23">
        <v>3</v>
      </c>
      <c r="L1641" s="25">
        <f t="shared" si="55"/>
        <v>1.0195048044558224</v>
      </c>
      <c r="M1641" s="20" t="s">
        <v>139</v>
      </c>
    </row>
    <row r="1642" spans="1:13" x14ac:dyDescent="0.2">
      <c r="A1642" s="48" t="s">
        <v>143</v>
      </c>
      <c r="B1642" s="12" t="s">
        <v>36</v>
      </c>
      <c r="C1642" s="31" t="s">
        <v>96</v>
      </c>
      <c r="D1642" s="44">
        <v>0.17573914369155391</v>
      </c>
      <c r="E1642" s="15" t="s">
        <v>138</v>
      </c>
      <c r="F1642" s="16" t="s">
        <v>16</v>
      </c>
      <c r="G1642" s="22">
        <v>1</v>
      </c>
      <c r="H1642" s="23">
        <v>1</v>
      </c>
      <c r="I1642" s="23">
        <v>1</v>
      </c>
      <c r="J1642" s="23">
        <v>2</v>
      </c>
      <c r="K1642" s="23">
        <v>3</v>
      </c>
      <c r="L1642" s="25">
        <f t="shared" si="55"/>
        <v>1.0195048044558224</v>
      </c>
      <c r="M1642" s="20" t="s">
        <v>139</v>
      </c>
    </row>
    <row r="1643" spans="1:13" x14ac:dyDescent="0.2">
      <c r="A1643" s="48" t="s">
        <v>143</v>
      </c>
      <c r="B1643" s="12" t="s">
        <v>37</v>
      </c>
      <c r="C1643" s="31" t="s">
        <v>96</v>
      </c>
      <c r="D1643" s="44">
        <v>1.148728807787581</v>
      </c>
      <c r="E1643" s="15" t="s">
        <v>138</v>
      </c>
      <c r="F1643" s="16" t="s">
        <v>16</v>
      </c>
      <c r="G1643" s="22">
        <v>1</v>
      </c>
      <c r="H1643" s="23">
        <v>1</v>
      </c>
      <c r="I1643" s="23">
        <v>1</v>
      </c>
      <c r="J1643" s="23">
        <v>2</v>
      </c>
      <c r="K1643" s="23">
        <v>3</v>
      </c>
      <c r="L1643" s="24">
        <f t="shared" si="55"/>
        <v>1.0195048044558224</v>
      </c>
      <c r="M1643" s="20" t="s">
        <v>139</v>
      </c>
    </row>
    <row r="1644" spans="1:13" x14ac:dyDescent="0.2">
      <c r="A1644" s="48" t="s">
        <v>143</v>
      </c>
      <c r="B1644" s="12" t="s">
        <v>39</v>
      </c>
      <c r="C1644" s="31" t="s">
        <v>96</v>
      </c>
      <c r="D1644" s="44">
        <v>2.701218870526155E-2</v>
      </c>
      <c r="E1644" s="15" t="s">
        <v>138</v>
      </c>
      <c r="F1644" s="16" t="s">
        <v>16</v>
      </c>
      <c r="G1644" s="22">
        <v>1</v>
      </c>
      <c r="H1644" s="23">
        <v>1</v>
      </c>
      <c r="I1644" s="23">
        <v>1</v>
      </c>
      <c r="J1644" s="23">
        <v>2</v>
      </c>
      <c r="K1644" s="23">
        <v>3</v>
      </c>
      <c r="L1644" s="25">
        <f t="shared" si="55"/>
        <v>1.0195048044558224</v>
      </c>
      <c r="M1644" s="20" t="s">
        <v>139</v>
      </c>
    </row>
    <row r="1645" spans="1:13" x14ac:dyDescent="0.2">
      <c r="A1645" s="48" t="s">
        <v>143</v>
      </c>
      <c r="B1645" s="12" t="s">
        <v>40</v>
      </c>
      <c r="C1645" s="31" t="s">
        <v>96</v>
      </c>
      <c r="D1645" s="44">
        <v>4.9598099356573597E-2</v>
      </c>
      <c r="E1645" s="15" t="s">
        <v>138</v>
      </c>
      <c r="F1645" s="16" t="s">
        <v>16</v>
      </c>
      <c r="G1645" s="22">
        <v>1</v>
      </c>
      <c r="H1645" s="23">
        <v>1</v>
      </c>
      <c r="I1645" s="23">
        <v>1</v>
      </c>
      <c r="J1645" s="23">
        <v>2</v>
      </c>
      <c r="K1645" s="23">
        <v>3</v>
      </c>
      <c r="L1645" s="25">
        <f t="shared" si="55"/>
        <v>1.0195048044558224</v>
      </c>
      <c r="M1645" s="20" t="s">
        <v>139</v>
      </c>
    </row>
    <row r="1646" spans="1:13" x14ac:dyDescent="0.2">
      <c r="A1646" s="48" t="s">
        <v>143</v>
      </c>
      <c r="B1646" s="12" t="s">
        <v>41</v>
      </c>
      <c r="C1646" s="31" t="s">
        <v>96</v>
      </c>
      <c r="D1646" s="44">
        <v>1.409539712163633E-2</v>
      </c>
      <c r="E1646" s="15" t="s">
        <v>138</v>
      </c>
      <c r="F1646" s="16" t="s">
        <v>16</v>
      </c>
      <c r="G1646" s="22">
        <v>1</v>
      </c>
      <c r="H1646" s="23">
        <v>1</v>
      </c>
      <c r="I1646" s="23">
        <v>1</v>
      </c>
      <c r="J1646" s="23">
        <v>2</v>
      </c>
      <c r="K1646" s="23">
        <v>3</v>
      </c>
      <c r="L1646" s="25">
        <f t="shared" si="55"/>
        <v>1.0195048044558224</v>
      </c>
      <c r="M1646" s="20" t="s">
        <v>139</v>
      </c>
    </row>
    <row r="1647" spans="1:13" x14ac:dyDescent="0.2">
      <c r="A1647" s="48" t="s">
        <v>143</v>
      </c>
      <c r="B1647" s="12" t="s">
        <v>42</v>
      </c>
      <c r="C1647" s="31" t="s">
        <v>96</v>
      </c>
      <c r="D1647" s="44">
        <v>8.1325341065593155E-3</v>
      </c>
      <c r="E1647" s="15" t="s">
        <v>138</v>
      </c>
      <c r="F1647" s="16" t="s">
        <v>16</v>
      </c>
      <c r="G1647" s="22">
        <v>1</v>
      </c>
      <c r="H1647" s="23">
        <v>1</v>
      </c>
      <c r="I1647" s="23">
        <v>1</v>
      </c>
      <c r="J1647" s="23">
        <v>2</v>
      </c>
      <c r="K1647" s="23">
        <v>3</v>
      </c>
      <c r="L1647" s="25">
        <f t="shared" si="55"/>
        <v>1.0195048044558224</v>
      </c>
      <c r="M1647" s="20" t="s">
        <v>139</v>
      </c>
    </row>
    <row r="1648" spans="1:13" x14ac:dyDescent="0.2">
      <c r="A1648" s="48" t="s">
        <v>143</v>
      </c>
      <c r="B1648" s="12" t="s">
        <v>43</v>
      </c>
      <c r="C1648" s="31" t="s">
        <v>96</v>
      </c>
      <c r="D1648" s="44">
        <v>0.3765219081997484</v>
      </c>
      <c r="E1648" s="15" t="s">
        <v>138</v>
      </c>
      <c r="F1648" s="16" t="s">
        <v>16</v>
      </c>
      <c r="G1648" s="22">
        <v>1</v>
      </c>
      <c r="H1648" s="23">
        <v>1</v>
      </c>
      <c r="I1648" s="23">
        <v>1</v>
      </c>
      <c r="J1648" s="23">
        <v>2</v>
      </c>
      <c r="K1648" s="23">
        <v>3</v>
      </c>
      <c r="L1648" s="25">
        <f t="shared" si="55"/>
        <v>1.0195048044558224</v>
      </c>
      <c r="M1648" s="20" t="s">
        <v>139</v>
      </c>
    </row>
    <row r="1649" spans="1:13" x14ac:dyDescent="0.2">
      <c r="A1649" s="48" t="s">
        <v>143</v>
      </c>
      <c r="B1649" s="12" t="s">
        <v>45</v>
      </c>
      <c r="C1649" s="31" t="s">
        <v>96</v>
      </c>
      <c r="D1649" s="44">
        <v>0.1426071605592665</v>
      </c>
      <c r="E1649" s="15" t="s">
        <v>138</v>
      </c>
      <c r="F1649" s="16" t="s">
        <v>16</v>
      </c>
      <c r="G1649" s="22">
        <v>1</v>
      </c>
      <c r="H1649" s="23">
        <v>1</v>
      </c>
      <c r="I1649" s="23">
        <v>1</v>
      </c>
      <c r="J1649" s="23">
        <v>2</v>
      </c>
      <c r="K1649" s="23">
        <v>3</v>
      </c>
      <c r="L1649" s="25">
        <f t="shared" si="55"/>
        <v>1.0195048044558224</v>
      </c>
      <c r="M1649" s="20" t="s">
        <v>139</v>
      </c>
    </row>
    <row r="1650" spans="1:13" x14ac:dyDescent="0.2">
      <c r="A1650" s="48" t="s">
        <v>143</v>
      </c>
      <c r="B1650" s="12" t="s">
        <v>46</v>
      </c>
      <c r="C1650" s="31" t="s">
        <v>96</v>
      </c>
      <c r="D1650" s="44">
        <v>0.64895160153657061</v>
      </c>
      <c r="E1650" s="15" t="s">
        <v>138</v>
      </c>
      <c r="F1650" s="16" t="s">
        <v>16</v>
      </c>
      <c r="G1650" s="22">
        <v>1</v>
      </c>
      <c r="H1650" s="23">
        <v>1</v>
      </c>
      <c r="I1650" s="23">
        <v>1</v>
      </c>
      <c r="J1650" s="23">
        <v>2</v>
      </c>
      <c r="K1650" s="23">
        <v>3</v>
      </c>
      <c r="L1650" s="24">
        <f t="shared" si="55"/>
        <v>1.0195048044558224</v>
      </c>
      <c r="M1650" s="20" t="s">
        <v>139</v>
      </c>
    </row>
    <row r="1651" spans="1:13" x14ac:dyDescent="0.2">
      <c r="A1651" s="48" t="s">
        <v>143</v>
      </c>
      <c r="B1651" s="12" t="s">
        <v>48</v>
      </c>
      <c r="C1651" s="31" t="s">
        <v>96</v>
      </c>
      <c r="D1651" s="44">
        <v>0.2390771880246767</v>
      </c>
      <c r="E1651" s="15" t="s">
        <v>138</v>
      </c>
      <c r="F1651" s="16" t="s">
        <v>16</v>
      </c>
      <c r="G1651" s="22">
        <v>1</v>
      </c>
      <c r="H1651" s="23">
        <v>1</v>
      </c>
      <c r="I1651" s="23">
        <v>1</v>
      </c>
      <c r="J1651" s="23">
        <v>2</v>
      </c>
      <c r="K1651" s="23">
        <v>3</v>
      </c>
      <c r="L1651" s="25">
        <f t="shared" si="55"/>
        <v>1.0195048044558224</v>
      </c>
      <c r="M1651" s="20" t="s">
        <v>139</v>
      </c>
    </row>
    <row r="1652" spans="1:13" x14ac:dyDescent="0.2">
      <c r="A1652" s="48" t="s">
        <v>143</v>
      </c>
      <c r="B1652" s="12" t="s">
        <v>50</v>
      </c>
      <c r="C1652" s="31" t="s">
        <v>96</v>
      </c>
      <c r="D1652" s="44">
        <v>0.27781123443678929</v>
      </c>
      <c r="E1652" s="15" t="s">
        <v>138</v>
      </c>
      <c r="F1652" s="16" t="s">
        <v>16</v>
      </c>
      <c r="G1652" s="22">
        <v>1</v>
      </c>
      <c r="H1652" s="23">
        <v>1</v>
      </c>
      <c r="I1652" s="23">
        <v>1</v>
      </c>
      <c r="J1652" s="23">
        <v>2</v>
      </c>
      <c r="K1652" s="23">
        <v>3</v>
      </c>
      <c r="L1652" s="25">
        <f t="shared" si="55"/>
        <v>1.0195048044558224</v>
      </c>
      <c r="M1652" s="20" t="s">
        <v>139</v>
      </c>
    </row>
    <row r="1653" spans="1:13" x14ac:dyDescent="0.2">
      <c r="A1653" s="48" t="s">
        <v>143</v>
      </c>
      <c r="B1653" s="12" t="s">
        <v>52</v>
      </c>
      <c r="C1653" s="31" t="s">
        <v>96</v>
      </c>
      <c r="D1653" s="44">
        <v>7.3855008200765085E-2</v>
      </c>
      <c r="E1653" s="15" t="s">
        <v>138</v>
      </c>
      <c r="F1653" s="16" t="s">
        <v>16</v>
      </c>
      <c r="G1653" s="22">
        <v>1</v>
      </c>
      <c r="H1653" s="23">
        <v>1</v>
      </c>
      <c r="I1653" s="23">
        <v>1</v>
      </c>
      <c r="J1653" s="23">
        <v>2</v>
      </c>
      <c r="K1653" s="23">
        <v>3</v>
      </c>
      <c r="L1653" s="25">
        <f t="shared" si="55"/>
        <v>1.0195048044558224</v>
      </c>
      <c r="M1653" s="20" t="s">
        <v>139</v>
      </c>
    </row>
    <row r="1654" spans="1:13" x14ac:dyDescent="0.2">
      <c r="A1654" s="48" t="s">
        <v>143</v>
      </c>
      <c r="B1654" s="12" t="s">
        <v>54</v>
      </c>
      <c r="C1654" s="31" t="s">
        <v>96</v>
      </c>
      <c r="D1654" s="44">
        <v>2.8590232197172969E-2</v>
      </c>
      <c r="E1654" s="15" t="s">
        <v>138</v>
      </c>
      <c r="F1654" s="16" t="s">
        <v>16</v>
      </c>
      <c r="G1654" s="22">
        <v>1</v>
      </c>
      <c r="H1654" s="23">
        <v>1</v>
      </c>
      <c r="I1654" s="23">
        <v>1</v>
      </c>
      <c r="J1654" s="23">
        <v>2</v>
      </c>
      <c r="K1654" s="23">
        <v>3</v>
      </c>
      <c r="L1654" s="25">
        <f t="shared" si="55"/>
        <v>1.0195048044558224</v>
      </c>
      <c r="M1654" s="20" t="s">
        <v>139</v>
      </c>
    </row>
    <row r="1655" spans="1:13" x14ac:dyDescent="0.2">
      <c r="A1655" s="48" t="s">
        <v>143</v>
      </c>
      <c r="B1655" s="12" t="s">
        <v>55</v>
      </c>
      <c r="C1655" s="31" t="s">
        <v>96</v>
      </c>
      <c r="D1655" s="44">
        <v>0.8765912422220925</v>
      </c>
      <c r="E1655" s="15" t="s">
        <v>138</v>
      </c>
      <c r="F1655" s="16" t="s">
        <v>16</v>
      </c>
      <c r="G1655" s="22">
        <v>1</v>
      </c>
      <c r="H1655" s="23">
        <v>1</v>
      </c>
      <c r="I1655" s="23">
        <v>1</v>
      </c>
      <c r="J1655" s="23">
        <v>2</v>
      </c>
      <c r="K1655" s="23">
        <v>3</v>
      </c>
      <c r="L1655" s="24">
        <f t="shared" si="55"/>
        <v>1.0195048044558224</v>
      </c>
      <c r="M1655" s="20" t="s">
        <v>139</v>
      </c>
    </row>
    <row r="1656" spans="1:13" x14ac:dyDescent="0.2">
      <c r="A1656" s="48" t="s">
        <v>143</v>
      </c>
      <c r="B1656" s="12" t="s">
        <v>57</v>
      </c>
      <c r="C1656" s="31" t="s">
        <v>96</v>
      </c>
      <c r="D1656" s="44">
        <v>0.14296384672772899</v>
      </c>
      <c r="E1656" s="15" t="s">
        <v>138</v>
      </c>
      <c r="F1656" s="16" t="s">
        <v>16</v>
      </c>
      <c r="G1656" s="22">
        <v>1</v>
      </c>
      <c r="H1656" s="23">
        <v>1</v>
      </c>
      <c r="I1656" s="23">
        <v>1</v>
      </c>
      <c r="J1656" s="23">
        <v>2</v>
      </c>
      <c r="K1656" s="23">
        <v>3</v>
      </c>
      <c r="L1656" s="25">
        <f t="shared" si="55"/>
        <v>1.0195048044558224</v>
      </c>
      <c r="M1656" s="20" t="s">
        <v>139</v>
      </c>
    </row>
    <row r="1657" spans="1:13" x14ac:dyDescent="0.2">
      <c r="A1657" s="48" t="s">
        <v>143</v>
      </c>
      <c r="B1657" s="12" t="s">
        <v>59</v>
      </c>
      <c r="C1657" s="31" t="s">
        <v>96</v>
      </c>
      <c r="D1657" s="44">
        <v>0.2151192806537042</v>
      </c>
      <c r="E1657" s="15" t="s">
        <v>138</v>
      </c>
      <c r="F1657" s="16" t="s">
        <v>16</v>
      </c>
      <c r="G1657" s="22">
        <v>1</v>
      </c>
      <c r="H1657" s="23">
        <v>1</v>
      </c>
      <c r="I1657" s="23">
        <v>1</v>
      </c>
      <c r="J1657" s="23">
        <v>2</v>
      </c>
      <c r="K1657" s="23">
        <v>3</v>
      </c>
      <c r="L1657" s="25">
        <f t="shared" si="55"/>
        <v>1.0195048044558224</v>
      </c>
      <c r="M1657" s="20" t="s">
        <v>139</v>
      </c>
    </row>
    <row r="1658" spans="1:13" x14ac:dyDescent="0.2">
      <c r="A1658" s="48" t="s">
        <v>143</v>
      </c>
      <c r="B1658" s="12" t="s">
        <v>60</v>
      </c>
      <c r="C1658" s="31" t="s">
        <v>96</v>
      </c>
      <c r="D1658" s="44">
        <v>1.135977167942019</v>
      </c>
      <c r="E1658" s="15" t="s">
        <v>138</v>
      </c>
      <c r="F1658" s="16" t="s">
        <v>16</v>
      </c>
      <c r="G1658" s="22">
        <v>1</v>
      </c>
      <c r="H1658" s="23">
        <v>2</v>
      </c>
      <c r="I1658" s="23">
        <v>1</v>
      </c>
      <c r="J1658" s="23">
        <v>2</v>
      </c>
      <c r="K1658" s="23">
        <v>3</v>
      </c>
      <c r="L1658" s="24">
        <f t="shared" si="55"/>
        <v>1.0248662490928169</v>
      </c>
      <c r="M1658" s="20" t="s">
        <v>139</v>
      </c>
    </row>
    <row r="1659" spans="1:13" x14ac:dyDescent="0.2">
      <c r="A1659" s="49" t="s">
        <v>143</v>
      </c>
      <c r="B1659" s="39" t="s">
        <v>135</v>
      </c>
      <c r="C1659" s="35" t="s">
        <v>98</v>
      </c>
      <c r="D1659" s="714">
        <v>0</v>
      </c>
      <c r="E1659" s="37"/>
      <c r="F1659" s="38"/>
      <c r="G1659" s="50"/>
      <c r="H1659" s="51"/>
      <c r="I1659" s="51"/>
      <c r="J1659" s="51"/>
      <c r="K1659" s="51"/>
      <c r="L1659" s="52" t="str">
        <f>IF( OR( ISBLANK(G1659),ISBLANK(H1659), ISBLANK(I1659), ISBLANK(J1659), ISBLANK(K1659) ), "", 1.5*SQRT(   EXP(2.21*(G1659-1)) + EXP(2.21*(H1659-1)) + EXP(2.21*(I1659-1)) + EXP(2.21*(J1659-1)) + EXP(2.21*K1659)   )/100*2.45 )</f>
        <v/>
      </c>
      <c r="M1659" s="42" t="s">
        <v>139</v>
      </c>
    </row>
    <row r="1660" spans="1:13" x14ac:dyDescent="0.2">
      <c r="A1660" s="53" t="s">
        <v>144</v>
      </c>
      <c r="B1660" s="54" t="s">
        <v>13</v>
      </c>
      <c r="C1660" s="55" t="s">
        <v>14</v>
      </c>
      <c r="D1660" s="44">
        <v>6.2860505985846475E-5</v>
      </c>
      <c r="E1660" s="56" t="s">
        <v>133</v>
      </c>
      <c r="F1660" s="57" t="s">
        <v>16</v>
      </c>
      <c r="G1660" s="58">
        <v>1</v>
      </c>
      <c r="H1660" s="58">
        <v>1</v>
      </c>
      <c r="I1660" s="58">
        <v>3</v>
      </c>
      <c r="J1660" s="58">
        <v>2</v>
      </c>
      <c r="K1660" s="59">
        <v>2</v>
      </c>
      <c r="L1660" s="60">
        <v>0.48935255543384237</v>
      </c>
      <c r="M1660" s="20" t="s">
        <v>139</v>
      </c>
    </row>
    <row r="1661" spans="1:13" x14ac:dyDescent="0.2">
      <c r="A1661" s="53" t="s">
        <v>144</v>
      </c>
      <c r="B1661" s="54" t="s">
        <v>18</v>
      </c>
      <c r="C1661" s="55" t="s">
        <v>14</v>
      </c>
      <c r="D1661" s="44">
        <v>3.583731326686811E-3</v>
      </c>
      <c r="E1661" s="56" t="s">
        <v>133</v>
      </c>
      <c r="F1661" s="57" t="s">
        <v>16</v>
      </c>
      <c r="G1661" s="58">
        <v>1</v>
      </c>
      <c r="H1661" s="58">
        <v>1</v>
      </c>
      <c r="I1661" s="58">
        <v>3</v>
      </c>
      <c r="J1661" s="58">
        <v>2</v>
      </c>
      <c r="K1661" s="59">
        <v>2</v>
      </c>
      <c r="L1661" s="60">
        <v>0.48935255543384237</v>
      </c>
      <c r="M1661" s="20" t="s">
        <v>139</v>
      </c>
    </row>
    <row r="1662" spans="1:13" x14ac:dyDescent="0.2">
      <c r="A1662" s="53" t="s">
        <v>144</v>
      </c>
      <c r="B1662" s="54" t="s">
        <v>20</v>
      </c>
      <c r="C1662" s="55" t="s">
        <v>14</v>
      </c>
      <c r="D1662" s="44">
        <v>1.130736038883526E-3</v>
      </c>
      <c r="E1662" s="56" t="s">
        <v>133</v>
      </c>
      <c r="F1662" s="57" t="s">
        <v>16</v>
      </c>
      <c r="G1662" s="58">
        <v>1</v>
      </c>
      <c r="H1662" s="58">
        <v>1</v>
      </c>
      <c r="I1662" s="58">
        <v>3</v>
      </c>
      <c r="J1662" s="58">
        <v>2</v>
      </c>
      <c r="K1662" s="59">
        <v>2</v>
      </c>
      <c r="L1662" s="60">
        <v>0.48935255543384237</v>
      </c>
      <c r="M1662" s="20" t="s">
        <v>139</v>
      </c>
    </row>
    <row r="1663" spans="1:13" x14ac:dyDescent="0.2">
      <c r="A1663" s="53" t="s">
        <v>144</v>
      </c>
      <c r="B1663" s="54" t="s">
        <v>22</v>
      </c>
      <c r="C1663" s="55" t="s">
        <v>14</v>
      </c>
      <c r="D1663" s="44">
        <v>1.287320589446463E-2</v>
      </c>
      <c r="E1663" s="56" t="s">
        <v>133</v>
      </c>
      <c r="F1663" s="57" t="s">
        <v>16</v>
      </c>
      <c r="G1663" s="58">
        <v>1</v>
      </c>
      <c r="H1663" s="58">
        <v>1</v>
      </c>
      <c r="I1663" s="58">
        <v>3</v>
      </c>
      <c r="J1663" s="58">
        <v>2</v>
      </c>
      <c r="K1663" s="59">
        <v>2</v>
      </c>
      <c r="L1663" s="60">
        <v>0.48935255543384237</v>
      </c>
      <c r="M1663" s="20" t="s">
        <v>139</v>
      </c>
    </row>
    <row r="1664" spans="1:13" x14ac:dyDescent="0.2">
      <c r="A1664" s="53" t="s">
        <v>144</v>
      </c>
      <c r="B1664" s="54" t="s">
        <v>23</v>
      </c>
      <c r="C1664" s="55" t="s">
        <v>14</v>
      </c>
      <c r="D1664" s="44">
        <v>2.4132094367532761E-4</v>
      </c>
      <c r="E1664" s="56" t="s">
        <v>133</v>
      </c>
      <c r="F1664" s="57" t="s">
        <v>16</v>
      </c>
      <c r="G1664" s="58">
        <v>1</v>
      </c>
      <c r="H1664" s="58">
        <v>1</v>
      </c>
      <c r="I1664" s="58">
        <v>3</v>
      </c>
      <c r="J1664" s="58">
        <v>2</v>
      </c>
      <c r="K1664" s="59">
        <v>2</v>
      </c>
      <c r="L1664" s="60">
        <v>0.48935255543384237</v>
      </c>
      <c r="M1664" s="20" t="s">
        <v>139</v>
      </c>
    </row>
    <row r="1665" spans="1:13" x14ac:dyDescent="0.2">
      <c r="A1665" s="53" t="s">
        <v>144</v>
      </c>
      <c r="B1665" s="54" t="s">
        <v>24</v>
      </c>
      <c r="C1665" s="55" t="s">
        <v>14</v>
      </c>
      <c r="D1665" s="44">
        <v>6.6973379091777631E-4</v>
      </c>
      <c r="E1665" s="56" t="s">
        <v>133</v>
      </c>
      <c r="F1665" s="57" t="s">
        <v>16</v>
      </c>
      <c r="G1665" s="58">
        <v>1</v>
      </c>
      <c r="H1665" s="58">
        <v>1</v>
      </c>
      <c r="I1665" s="58">
        <v>3</v>
      </c>
      <c r="J1665" s="58">
        <v>2</v>
      </c>
      <c r="K1665" s="59">
        <v>2</v>
      </c>
      <c r="L1665" s="60">
        <v>0.48935255543384237</v>
      </c>
      <c r="M1665" s="20" t="s">
        <v>139</v>
      </c>
    </row>
    <row r="1666" spans="1:13" x14ac:dyDescent="0.2">
      <c r="A1666" s="53" t="s">
        <v>144</v>
      </c>
      <c r="B1666" s="54" t="s">
        <v>25</v>
      </c>
      <c r="C1666" s="55" t="s">
        <v>14</v>
      </c>
      <c r="D1666" s="44">
        <v>0.13161481301292591</v>
      </c>
      <c r="E1666" s="56" t="s">
        <v>133</v>
      </c>
      <c r="F1666" s="57" t="s">
        <v>16</v>
      </c>
      <c r="G1666" s="58">
        <v>1</v>
      </c>
      <c r="H1666" s="58">
        <v>1</v>
      </c>
      <c r="I1666" s="58">
        <v>3</v>
      </c>
      <c r="J1666" s="58">
        <v>2</v>
      </c>
      <c r="K1666" s="59">
        <v>2</v>
      </c>
      <c r="L1666" s="60">
        <v>0.48935255543384237</v>
      </c>
      <c r="M1666" s="20" t="s">
        <v>139</v>
      </c>
    </row>
    <row r="1667" spans="1:13" x14ac:dyDescent="0.2">
      <c r="A1667" s="53" t="s">
        <v>144</v>
      </c>
      <c r="B1667" s="54" t="s">
        <v>26</v>
      </c>
      <c r="C1667" s="55" t="s">
        <v>14</v>
      </c>
      <c r="D1667" s="44">
        <v>1.331609641424285E-2</v>
      </c>
      <c r="E1667" s="56" t="s">
        <v>133</v>
      </c>
      <c r="F1667" s="57" t="s">
        <v>16</v>
      </c>
      <c r="G1667" s="58">
        <v>1</v>
      </c>
      <c r="H1667" s="58">
        <v>1</v>
      </c>
      <c r="I1667" s="58">
        <v>3</v>
      </c>
      <c r="J1667" s="58">
        <v>2</v>
      </c>
      <c r="K1667" s="59">
        <v>2</v>
      </c>
      <c r="L1667" s="60">
        <v>0.48935255543384237</v>
      </c>
      <c r="M1667" s="20" t="s">
        <v>139</v>
      </c>
    </row>
    <row r="1668" spans="1:13" x14ac:dyDescent="0.2">
      <c r="A1668" s="53" t="s">
        <v>144</v>
      </c>
      <c r="B1668" s="54" t="s">
        <v>27</v>
      </c>
      <c r="C1668" s="55" t="s">
        <v>14</v>
      </c>
      <c r="D1668" s="44">
        <v>2.668320718231779E-2</v>
      </c>
      <c r="E1668" s="56" t="s">
        <v>133</v>
      </c>
      <c r="F1668" s="57" t="s">
        <v>16</v>
      </c>
      <c r="G1668" s="58">
        <v>1</v>
      </c>
      <c r="H1668" s="58">
        <v>1</v>
      </c>
      <c r="I1668" s="58">
        <v>3</v>
      </c>
      <c r="J1668" s="58">
        <v>2</v>
      </c>
      <c r="K1668" s="59">
        <v>2</v>
      </c>
      <c r="L1668" s="60">
        <v>0.48935255543384237</v>
      </c>
      <c r="M1668" s="20" t="s">
        <v>139</v>
      </c>
    </row>
    <row r="1669" spans="1:13" x14ac:dyDescent="0.2">
      <c r="A1669" s="53" t="s">
        <v>144</v>
      </c>
      <c r="B1669" s="54" t="s">
        <v>28</v>
      </c>
      <c r="C1669" s="55" t="s">
        <v>14</v>
      </c>
      <c r="D1669" s="44">
        <v>8.7634294227794091E-2</v>
      </c>
      <c r="E1669" s="56" t="s">
        <v>133</v>
      </c>
      <c r="F1669" s="57" t="s">
        <v>16</v>
      </c>
      <c r="G1669" s="58">
        <v>1</v>
      </c>
      <c r="H1669" s="58">
        <v>1</v>
      </c>
      <c r="I1669" s="58">
        <v>3</v>
      </c>
      <c r="J1669" s="58">
        <v>2</v>
      </c>
      <c r="K1669" s="59">
        <v>2</v>
      </c>
      <c r="L1669" s="60">
        <v>0.48935255543384237</v>
      </c>
      <c r="M1669" s="20" t="s">
        <v>139</v>
      </c>
    </row>
    <row r="1670" spans="1:13" x14ac:dyDescent="0.2">
      <c r="A1670" s="53" t="s">
        <v>144</v>
      </c>
      <c r="B1670" s="54" t="s">
        <v>30</v>
      </c>
      <c r="C1670" s="55" t="s">
        <v>14</v>
      </c>
      <c r="D1670" s="44">
        <v>3.8092489954761402E-2</v>
      </c>
      <c r="E1670" s="56" t="s">
        <v>133</v>
      </c>
      <c r="F1670" s="57" t="s">
        <v>16</v>
      </c>
      <c r="G1670" s="58">
        <v>1</v>
      </c>
      <c r="H1670" s="58">
        <v>1</v>
      </c>
      <c r="I1670" s="58">
        <v>3</v>
      </c>
      <c r="J1670" s="58">
        <v>2</v>
      </c>
      <c r="K1670" s="59">
        <v>2</v>
      </c>
      <c r="L1670" s="60">
        <v>0.48935255543384237</v>
      </c>
      <c r="M1670" s="20" t="s">
        <v>139</v>
      </c>
    </row>
    <row r="1671" spans="1:13" x14ac:dyDescent="0.2">
      <c r="A1671" s="53" t="s">
        <v>144</v>
      </c>
      <c r="B1671" s="54" t="s">
        <v>32</v>
      </c>
      <c r="C1671" s="55" t="s">
        <v>14</v>
      </c>
      <c r="D1671" s="44">
        <v>1.283719311058534E-2</v>
      </c>
      <c r="E1671" s="56" t="s">
        <v>133</v>
      </c>
      <c r="F1671" s="57" t="s">
        <v>16</v>
      </c>
      <c r="G1671" s="58">
        <v>1</v>
      </c>
      <c r="H1671" s="58">
        <v>1</v>
      </c>
      <c r="I1671" s="58">
        <v>3</v>
      </c>
      <c r="J1671" s="58">
        <v>2</v>
      </c>
      <c r="K1671" s="59">
        <v>2</v>
      </c>
      <c r="L1671" s="60">
        <v>0.48935255543384237</v>
      </c>
      <c r="M1671" s="20" t="s">
        <v>139</v>
      </c>
    </row>
    <row r="1672" spans="1:13" x14ac:dyDescent="0.2">
      <c r="A1672" s="53" t="s">
        <v>144</v>
      </c>
      <c r="B1672" s="54" t="s">
        <v>34</v>
      </c>
      <c r="C1672" s="55" t="s">
        <v>14</v>
      </c>
      <c r="D1672" s="44">
        <v>9.8477627880318424E-4</v>
      </c>
      <c r="E1672" s="56" t="s">
        <v>133</v>
      </c>
      <c r="F1672" s="57" t="s">
        <v>16</v>
      </c>
      <c r="G1672" s="58">
        <v>1</v>
      </c>
      <c r="H1672" s="58">
        <v>1</v>
      </c>
      <c r="I1672" s="58">
        <v>3</v>
      </c>
      <c r="J1672" s="58">
        <v>2</v>
      </c>
      <c r="K1672" s="59">
        <v>2</v>
      </c>
      <c r="L1672" s="60">
        <v>0.48935255543384237</v>
      </c>
      <c r="M1672" s="20" t="s">
        <v>139</v>
      </c>
    </row>
    <row r="1673" spans="1:13" x14ac:dyDescent="0.2">
      <c r="A1673" s="53" t="s">
        <v>144</v>
      </c>
      <c r="B1673" s="54" t="s">
        <v>36</v>
      </c>
      <c r="C1673" s="55" t="s">
        <v>14</v>
      </c>
      <c r="D1673" s="44">
        <v>3.7447272120381001E-2</v>
      </c>
      <c r="E1673" s="56" t="s">
        <v>133</v>
      </c>
      <c r="F1673" s="57" t="s">
        <v>16</v>
      </c>
      <c r="G1673" s="58">
        <v>1</v>
      </c>
      <c r="H1673" s="58">
        <v>1</v>
      </c>
      <c r="I1673" s="58">
        <v>3</v>
      </c>
      <c r="J1673" s="58">
        <v>2</v>
      </c>
      <c r="K1673" s="59">
        <v>2</v>
      </c>
      <c r="L1673" s="60">
        <v>0.48935255543384237</v>
      </c>
      <c r="M1673" s="20" t="s">
        <v>139</v>
      </c>
    </row>
    <row r="1674" spans="1:13" x14ac:dyDescent="0.2">
      <c r="A1674" s="53" t="s">
        <v>144</v>
      </c>
      <c r="B1674" s="54" t="s">
        <v>37</v>
      </c>
      <c r="C1674" s="55" t="s">
        <v>14</v>
      </c>
      <c r="D1674" s="44">
        <v>2.5429353454417609E-2</v>
      </c>
      <c r="E1674" s="56" t="s">
        <v>133</v>
      </c>
      <c r="F1674" s="57" t="s">
        <v>16</v>
      </c>
      <c r="G1674" s="58">
        <v>1</v>
      </c>
      <c r="H1674" s="58">
        <v>1</v>
      </c>
      <c r="I1674" s="58">
        <v>3</v>
      </c>
      <c r="J1674" s="58">
        <v>2</v>
      </c>
      <c r="K1674" s="59">
        <v>2</v>
      </c>
      <c r="L1674" s="60">
        <v>0.48935255543384237</v>
      </c>
      <c r="M1674" s="20" t="s">
        <v>139</v>
      </c>
    </row>
    <row r="1675" spans="1:13" x14ac:dyDescent="0.2">
      <c r="A1675" s="53" t="s">
        <v>144</v>
      </c>
      <c r="B1675" s="54" t="s">
        <v>39</v>
      </c>
      <c r="C1675" s="55" t="s">
        <v>14</v>
      </c>
      <c r="D1675" s="44">
        <v>1.1672118352897651E-2</v>
      </c>
      <c r="E1675" s="56" t="s">
        <v>133</v>
      </c>
      <c r="F1675" s="57" t="s">
        <v>16</v>
      </c>
      <c r="G1675" s="58">
        <v>1</v>
      </c>
      <c r="H1675" s="58">
        <v>1</v>
      </c>
      <c r="I1675" s="58">
        <v>3</v>
      </c>
      <c r="J1675" s="58">
        <v>2</v>
      </c>
      <c r="K1675" s="59">
        <v>2</v>
      </c>
      <c r="L1675" s="60">
        <v>0.48935255543384237</v>
      </c>
      <c r="M1675" s="20" t="s">
        <v>139</v>
      </c>
    </row>
    <row r="1676" spans="1:13" x14ac:dyDescent="0.2">
      <c r="A1676" s="53" t="s">
        <v>144</v>
      </c>
      <c r="B1676" s="54" t="s">
        <v>40</v>
      </c>
      <c r="C1676" s="55" t="s">
        <v>14</v>
      </c>
      <c r="D1676" s="44">
        <v>1.6342178901822241E-2</v>
      </c>
      <c r="E1676" s="56" t="s">
        <v>133</v>
      </c>
      <c r="F1676" s="57" t="s">
        <v>16</v>
      </c>
      <c r="G1676" s="58">
        <v>1</v>
      </c>
      <c r="H1676" s="58">
        <v>1</v>
      </c>
      <c r="I1676" s="58">
        <v>3</v>
      </c>
      <c r="J1676" s="58">
        <v>2</v>
      </c>
      <c r="K1676" s="59">
        <v>2</v>
      </c>
      <c r="L1676" s="60">
        <v>0.48935255543384237</v>
      </c>
      <c r="M1676" s="20" t="s">
        <v>139</v>
      </c>
    </row>
    <row r="1677" spans="1:13" x14ac:dyDescent="0.2">
      <c r="A1677" s="53" t="s">
        <v>144</v>
      </c>
      <c r="B1677" s="54" t="s">
        <v>41</v>
      </c>
      <c r="C1677" s="55" t="s">
        <v>14</v>
      </c>
      <c r="D1677" s="61">
        <v>0</v>
      </c>
      <c r="E1677" s="56" t="s">
        <v>133</v>
      </c>
      <c r="F1677" s="57" t="s">
        <v>16</v>
      </c>
      <c r="G1677" s="61"/>
      <c r="H1677" s="61"/>
      <c r="I1677" s="61"/>
      <c r="J1677" s="61"/>
      <c r="K1677" s="62"/>
      <c r="L1677" s="63"/>
      <c r="M1677" s="20" t="s">
        <v>139</v>
      </c>
    </row>
    <row r="1678" spans="1:13" x14ac:dyDescent="0.2">
      <c r="A1678" s="53" t="s">
        <v>144</v>
      </c>
      <c r="B1678" s="54" t="s">
        <v>42</v>
      </c>
      <c r="C1678" s="55" t="s">
        <v>14</v>
      </c>
      <c r="D1678" s="44">
        <v>3.7774602220773601E-4</v>
      </c>
      <c r="E1678" s="56" t="s">
        <v>133</v>
      </c>
      <c r="F1678" s="57" t="s">
        <v>16</v>
      </c>
      <c r="G1678" s="58">
        <v>1</v>
      </c>
      <c r="H1678" s="58">
        <v>1</v>
      </c>
      <c r="I1678" s="58">
        <v>3</v>
      </c>
      <c r="J1678" s="58">
        <v>2</v>
      </c>
      <c r="K1678" s="59">
        <v>2</v>
      </c>
      <c r="L1678" s="60">
        <v>0.48935255543384237</v>
      </c>
      <c r="M1678" s="20" t="s">
        <v>139</v>
      </c>
    </row>
    <row r="1679" spans="1:13" x14ac:dyDescent="0.2">
      <c r="A1679" s="53" t="s">
        <v>144</v>
      </c>
      <c r="B1679" s="54" t="s">
        <v>43</v>
      </c>
      <c r="C1679" s="55" t="s">
        <v>14</v>
      </c>
      <c r="D1679" s="44">
        <v>5.5595503583341872E-2</v>
      </c>
      <c r="E1679" s="56" t="s">
        <v>133</v>
      </c>
      <c r="F1679" s="57" t="s">
        <v>16</v>
      </c>
      <c r="G1679" s="58">
        <v>1</v>
      </c>
      <c r="H1679" s="58">
        <v>1</v>
      </c>
      <c r="I1679" s="58">
        <v>3</v>
      </c>
      <c r="J1679" s="58">
        <v>2</v>
      </c>
      <c r="K1679" s="59">
        <v>2</v>
      </c>
      <c r="L1679" s="60">
        <v>0.48935255543384237</v>
      </c>
      <c r="M1679" s="20" t="s">
        <v>139</v>
      </c>
    </row>
    <row r="1680" spans="1:13" x14ac:dyDescent="0.2">
      <c r="A1680" s="53" t="s">
        <v>144</v>
      </c>
      <c r="B1680" s="54" t="s">
        <v>45</v>
      </c>
      <c r="C1680" s="55" t="s">
        <v>14</v>
      </c>
      <c r="D1680" s="44">
        <v>0.47151984206828518</v>
      </c>
      <c r="E1680" s="56" t="s">
        <v>133</v>
      </c>
      <c r="F1680" s="57" t="s">
        <v>16</v>
      </c>
      <c r="G1680" s="58">
        <v>1</v>
      </c>
      <c r="H1680" s="58">
        <v>1</v>
      </c>
      <c r="I1680" s="58">
        <v>3</v>
      </c>
      <c r="J1680" s="58">
        <v>2</v>
      </c>
      <c r="K1680" s="59">
        <v>2</v>
      </c>
      <c r="L1680" s="60">
        <v>0.48935255543384237</v>
      </c>
      <c r="M1680" s="20" t="s">
        <v>139</v>
      </c>
    </row>
    <row r="1681" spans="1:13" x14ac:dyDescent="0.2">
      <c r="A1681" s="53" t="s">
        <v>144</v>
      </c>
      <c r="B1681" s="54" t="s">
        <v>46</v>
      </c>
      <c r="C1681" s="55" t="s">
        <v>14</v>
      </c>
      <c r="D1681" s="44">
        <v>3.5990386860610138E-2</v>
      </c>
      <c r="E1681" s="56" t="s">
        <v>133</v>
      </c>
      <c r="F1681" s="57" t="s">
        <v>16</v>
      </c>
      <c r="G1681" s="58">
        <v>1</v>
      </c>
      <c r="H1681" s="58">
        <v>1</v>
      </c>
      <c r="I1681" s="58">
        <v>3</v>
      </c>
      <c r="J1681" s="58">
        <v>2</v>
      </c>
      <c r="K1681" s="59">
        <v>2</v>
      </c>
      <c r="L1681" s="60">
        <v>0.48935255543384237</v>
      </c>
      <c r="M1681" s="20" t="s">
        <v>139</v>
      </c>
    </row>
    <row r="1682" spans="1:13" x14ac:dyDescent="0.2">
      <c r="A1682" s="53" t="s">
        <v>144</v>
      </c>
      <c r="B1682" s="54" t="s">
        <v>48</v>
      </c>
      <c r="C1682" s="55" t="s">
        <v>14</v>
      </c>
      <c r="D1682" s="44">
        <v>2.8726884668981229E-2</v>
      </c>
      <c r="E1682" s="56" t="s">
        <v>133</v>
      </c>
      <c r="F1682" s="57" t="s">
        <v>16</v>
      </c>
      <c r="G1682" s="58">
        <v>1</v>
      </c>
      <c r="H1682" s="58">
        <v>1</v>
      </c>
      <c r="I1682" s="58">
        <v>3</v>
      </c>
      <c r="J1682" s="58">
        <v>2</v>
      </c>
      <c r="K1682" s="59">
        <v>2</v>
      </c>
      <c r="L1682" s="60">
        <v>0.48935255543384237</v>
      </c>
      <c r="M1682" s="20" t="s">
        <v>139</v>
      </c>
    </row>
    <row r="1683" spans="1:13" x14ac:dyDescent="0.2">
      <c r="A1683" s="53" t="s">
        <v>144</v>
      </c>
      <c r="B1683" s="54" t="s">
        <v>50</v>
      </c>
      <c r="C1683" s="55" t="s">
        <v>14</v>
      </c>
      <c r="D1683" s="44">
        <v>1.4319407741841021E-3</v>
      </c>
      <c r="E1683" s="56" t="s">
        <v>133</v>
      </c>
      <c r="F1683" s="57" t="s">
        <v>16</v>
      </c>
      <c r="G1683" s="58">
        <v>1</v>
      </c>
      <c r="H1683" s="58">
        <v>1</v>
      </c>
      <c r="I1683" s="58">
        <v>3</v>
      </c>
      <c r="J1683" s="58">
        <v>2</v>
      </c>
      <c r="K1683" s="59">
        <v>2</v>
      </c>
      <c r="L1683" s="60">
        <v>0.48935255543384237</v>
      </c>
      <c r="M1683" s="20" t="s">
        <v>139</v>
      </c>
    </row>
    <row r="1684" spans="1:13" x14ac:dyDescent="0.2">
      <c r="A1684" s="53" t="s">
        <v>144</v>
      </c>
      <c r="B1684" s="54" t="s">
        <v>52</v>
      </c>
      <c r="C1684" s="55" t="s">
        <v>14</v>
      </c>
      <c r="D1684" s="44">
        <v>3.1178810968979849E-4</v>
      </c>
      <c r="E1684" s="56" t="s">
        <v>133</v>
      </c>
      <c r="F1684" s="57" t="s">
        <v>16</v>
      </c>
      <c r="G1684" s="58">
        <v>1</v>
      </c>
      <c r="H1684" s="58">
        <v>1</v>
      </c>
      <c r="I1684" s="58">
        <v>3</v>
      </c>
      <c r="J1684" s="58">
        <v>2</v>
      </c>
      <c r="K1684" s="59">
        <v>2</v>
      </c>
      <c r="L1684" s="60">
        <v>0.48935255543384237</v>
      </c>
      <c r="M1684" s="20" t="s">
        <v>139</v>
      </c>
    </row>
    <row r="1685" spans="1:13" x14ac:dyDescent="0.2">
      <c r="A1685" s="53" t="s">
        <v>144</v>
      </c>
      <c r="B1685" s="54" t="s">
        <v>54</v>
      </c>
      <c r="C1685" s="55" t="s">
        <v>14</v>
      </c>
      <c r="D1685" s="44">
        <v>5.6041039093610491E-5</v>
      </c>
      <c r="E1685" s="56" t="s">
        <v>133</v>
      </c>
      <c r="F1685" s="57" t="s">
        <v>16</v>
      </c>
      <c r="G1685" s="58">
        <v>1</v>
      </c>
      <c r="H1685" s="58">
        <v>1</v>
      </c>
      <c r="I1685" s="58">
        <v>3</v>
      </c>
      <c r="J1685" s="58">
        <v>2</v>
      </c>
      <c r="K1685" s="59">
        <v>2</v>
      </c>
      <c r="L1685" s="60">
        <v>0.48935255543384237</v>
      </c>
      <c r="M1685" s="20" t="s">
        <v>139</v>
      </c>
    </row>
    <row r="1686" spans="1:13" x14ac:dyDescent="0.2">
      <c r="A1686" s="53" t="s">
        <v>144</v>
      </c>
      <c r="B1686" s="54" t="s">
        <v>55</v>
      </c>
      <c r="C1686" s="55" t="s">
        <v>14</v>
      </c>
      <c r="D1686" s="44">
        <v>0.1433723176647273</v>
      </c>
      <c r="E1686" s="56" t="s">
        <v>133</v>
      </c>
      <c r="F1686" s="57" t="s">
        <v>16</v>
      </c>
      <c r="G1686" s="58">
        <v>1</v>
      </c>
      <c r="H1686" s="58">
        <v>1</v>
      </c>
      <c r="I1686" s="58">
        <v>3</v>
      </c>
      <c r="J1686" s="58">
        <v>2</v>
      </c>
      <c r="K1686" s="59">
        <v>2</v>
      </c>
      <c r="L1686" s="60">
        <v>0.48935255543384237</v>
      </c>
      <c r="M1686" s="20" t="s">
        <v>139</v>
      </c>
    </row>
    <row r="1687" spans="1:13" x14ac:dyDescent="0.2">
      <c r="A1687" s="53" t="s">
        <v>144</v>
      </c>
      <c r="B1687" s="54" t="s">
        <v>57</v>
      </c>
      <c r="C1687" s="55" t="s">
        <v>14</v>
      </c>
      <c r="D1687" s="44">
        <v>3.2264117360984522E-2</v>
      </c>
      <c r="E1687" s="56" t="s">
        <v>133</v>
      </c>
      <c r="F1687" s="57" t="s">
        <v>16</v>
      </c>
      <c r="G1687" s="58">
        <v>1</v>
      </c>
      <c r="H1687" s="58">
        <v>1</v>
      </c>
      <c r="I1687" s="58">
        <v>3</v>
      </c>
      <c r="J1687" s="58">
        <v>2</v>
      </c>
      <c r="K1687" s="59">
        <v>2</v>
      </c>
      <c r="L1687" s="60">
        <v>0.48935255543384237</v>
      </c>
      <c r="M1687" s="20" t="s">
        <v>139</v>
      </c>
    </row>
    <row r="1688" spans="1:13" x14ac:dyDescent="0.2">
      <c r="A1688" s="53" t="s">
        <v>144</v>
      </c>
      <c r="B1688" s="54" t="s">
        <v>59</v>
      </c>
      <c r="C1688" s="55" t="s">
        <v>14</v>
      </c>
      <c r="D1688" s="44">
        <v>2.6687338015568302E-4</v>
      </c>
      <c r="E1688" s="56" t="s">
        <v>133</v>
      </c>
      <c r="F1688" s="57" t="s">
        <v>16</v>
      </c>
      <c r="G1688" s="58">
        <v>1</v>
      </c>
      <c r="H1688" s="58">
        <v>1</v>
      </c>
      <c r="I1688" s="58">
        <v>3</v>
      </c>
      <c r="J1688" s="58">
        <v>2</v>
      </c>
      <c r="K1688" s="59">
        <v>2</v>
      </c>
      <c r="L1688" s="60">
        <v>0.48935255543384237</v>
      </c>
      <c r="M1688" s="20" t="s">
        <v>139</v>
      </c>
    </row>
    <row r="1689" spans="1:13" x14ac:dyDescent="0.2">
      <c r="A1689" s="53" t="s">
        <v>144</v>
      </c>
      <c r="B1689" s="54" t="s">
        <v>60</v>
      </c>
      <c r="C1689" s="55" t="s">
        <v>14</v>
      </c>
      <c r="D1689" s="44">
        <v>0.11269477702464489</v>
      </c>
      <c r="E1689" s="56" t="s">
        <v>133</v>
      </c>
      <c r="F1689" s="57" t="s">
        <v>16</v>
      </c>
      <c r="G1689" s="58">
        <v>1</v>
      </c>
      <c r="H1689" s="58">
        <v>1</v>
      </c>
      <c r="I1689" s="58">
        <v>3</v>
      </c>
      <c r="J1689" s="58">
        <v>2</v>
      </c>
      <c r="K1689" s="59">
        <v>2</v>
      </c>
      <c r="L1689" s="60">
        <v>0.48935255543384237</v>
      </c>
      <c r="M1689" s="20" t="s">
        <v>139</v>
      </c>
    </row>
    <row r="1690" spans="1:13" x14ac:dyDescent="0.2">
      <c r="A1690" s="53" t="s">
        <v>144</v>
      </c>
      <c r="B1690" s="54" t="s">
        <v>13</v>
      </c>
      <c r="C1690" s="64" t="s">
        <v>62</v>
      </c>
      <c r="D1690" s="44">
        <v>6.2860505985846475E-5</v>
      </c>
      <c r="E1690" s="56" t="s">
        <v>133</v>
      </c>
      <c r="F1690" s="57" t="s">
        <v>16</v>
      </c>
      <c r="G1690" s="58">
        <v>1</v>
      </c>
      <c r="H1690" s="58">
        <v>1</v>
      </c>
      <c r="I1690" s="58">
        <v>3</v>
      </c>
      <c r="J1690" s="58">
        <v>2</v>
      </c>
      <c r="K1690" s="59">
        <v>2</v>
      </c>
      <c r="L1690" s="60">
        <v>0.48935255543384237</v>
      </c>
    </row>
    <row r="1691" spans="1:13" x14ac:dyDescent="0.2">
      <c r="A1691" s="53" t="s">
        <v>144</v>
      </c>
      <c r="B1691" s="54" t="s">
        <v>18</v>
      </c>
      <c r="C1691" s="64" t="s">
        <v>62</v>
      </c>
      <c r="D1691" s="44">
        <v>3.5837313266868101E-3</v>
      </c>
      <c r="E1691" s="56" t="s">
        <v>133</v>
      </c>
      <c r="F1691" s="57" t="s">
        <v>16</v>
      </c>
      <c r="G1691" s="58">
        <v>1</v>
      </c>
      <c r="H1691" s="58">
        <v>1</v>
      </c>
      <c r="I1691" s="58">
        <v>3</v>
      </c>
      <c r="J1691" s="58">
        <v>2</v>
      </c>
      <c r="K1691" s="59">
        <v>2</v>
      </c>
      <c r="L1691" s="60">
        <v>0.48935255543384237</v>
      </c>
    </row>
    <row r="1692" spans="1:13" x14ac:dyDescent="0.2">
      <c r="A1692" s="53" t="s">
        <v>144</v>
      </c>
      <c r="B1692" s="54" t="s">
        <v>20</v>
      </c>
      <c r="C1692" s="64" t="s">
        <v>62</v>
      </c>
      <c r="D1692" s="44">
        <v>1.130736038883526E-3</v>
      </c>
      <c r="E1692" s="56" t="s">
        <v>133</v>
      </c>
      <c r="F1692" s="57" t="s">
        <v>16</v>
      </c>
      <c r="G1692" s="58">
        <v>1</v>
      </c>
      <c r="H1692" s="58">
        <v>1</v>
      </c>
      <c r="I1692" s="58">
        <v>3</v>
      </c>
      <c r="J1692" s="58">
        <v>2</v>
      </c>
      <c r="K1692" s="59">
        <v>2</v>
      </c>
      <c r="L1692" s="60">
        <v>0.48935255543384237</v>
      </c>
    </row>
    <row r="1693" spans="1:13" x14ac:dyDescent="0.2">
      <c r="A1693" s="53" t="s">
        <v>144</v>
      </c>
      <c r="B1693" s="54" t="s">
        <v>22</v>
      </c>
      <c r="C1693" s="64" t="s">
        <v>62</v>
      </c>
      <c r="D1693" s="44">
        <v>1.287320589446463E-2</v>
      </c>
      <c r="E1693" s="56" t="s">
        <v>133</v>
      </c>
      <c r="F1693" s="57" t="s">
        <v>16</v>
      </c>
      <c r="G1693" s="58">
        <v>1</v>
      </c>
      <c r="H1693" s="58">
        <v>1</v>
      </c>
      <c r="I1693" s="58">
        <v>3</v>
      </c>
      <c r="J1693" s="58">
        <v>2</v>
      </c>
      <c r="K1693" s="59">
        <v>2</v>
      </c>
      <c r="L1693" s="60">
        <v>0.48935255543384237</v>
      </c>
    </row>
    <row r="1694" spans="1:13" x14ac:dyDescent="0.2">
      <c r="A1694" s="53" t="s">
        <v>144</v>
      </c>
      <c r="B1694" s="54" t="s">
        <v>23</v>
      </c>
      <c r="C1694" s="64" t="s">
        <v>62</v>
      </c>
      <c r="D1694" s="44">
        <v>2.4132094367532761E-4</v>
      </c>
      <c r="E1694" s="56" t="s">
        <v>133</v>
      </c>
      <c r="F1694" s="57" t="s">
        <v>16</v>
      </c>
      <c r="G1694" s="58">
        <v>1</v>
      </c>
      <c r="H1694" s="58">
        <v>1</v>
      </c>
      <c r="I1694" s="58">
        <v>3</v>
      </c>
      <c r="J1694" s="58">
        <v>2</v>
      </c>
      <c r="K1694" s="59">
        <v>2</v>
      </c>
      <c r="L1694" s="60">
        <v>0.48935255543384237</v>
      </c>
    </row>
    <row r="1695" spans="1:13" x14ac:dyDescent="0.2">
      <c r="A1695" s="53" t="s">
        <v>144</v>
      </c>
      <c r="B1695" s="54" t="s">
        <v>24</v>
      </c>
      <c r="C1695" s="64" t="s">
        <v>62</v>
      </c>
      <c r="D1695" s="44">
        <v>6.6973379091777631E-4</v>
      </c>
      <c r="E1695" s="56" t="s">
        <v>133</v>
      </c>
      <c r="F1695" s="57" t="s">
        <v>16</v>
      </c>
      <c r="G1695" s="58">
        <v>1</v>
      </c>
      <c r="H1695" s="58">
        <v>1</v>
      </c>
      <c r="I1695" s="58">
        <v>3</v>
      </c>
      <c r="J1695" s="58">
        <v>2</v>
      </c>
      <c r="K1695" s="59">
        <v>2</v>
      </c>
      <c r="L1695" s="60">
        <v>0.48935255543384237</v>
      </c>
    </row>
    <row r="1696" spans="1:13" x14ac:dyDescent="0.2">
      <c r="A1696" s="53" t="s">
        <v>144</v>
      </c>
      <c r="B1696" s="54" t="s">
        <v>25</v>
      </c>
      <c r="C1696" s="64" t="s">
        <v>62</v>
      </c>
      <c r="D1696" s="44">
        <v>0.13161481301292599</v>
      </c>
      <c r="E1696" s="56" t="s">
        <v>133</v>
      </c>
      <c r="F1696" s="57" t="s">
        <v>16</v>
      </c>
      <c r="G1696" s="58">
        <v>1</v>
      </c>
      <c r="H1696" s="58">
        <v>1</v>
      </c>
      <c r="I1696" s="58">
        <v>3</v>
      </c>
      <c r="J1696" s="58">
        <v>2</v>
      </c>
      <c r="K1696" s="59">
        <v>2</v>
      </c>
      <c r="L1696" s="60">
        <v>0.48935255543384237</v>
      </c>
    </row>
    <row r="1697" spans="1:12" x14ac:dyDescent="0.2">
      <c r="A1697" s="53" t="s">
        <v>144</v>
      </c>
      <c r="B1697" s="54" t="s">
        <v>26</v>
      </c>
      <c r="C1697" s="64" t="s">
        <v>62</v>
      </c>
      <c r="D1697" s="44">
        <v>1.331609641424285E-2</v>
      </c>
      <c r="E1697" s="56" t="s">
        <v>133</v>
      </c>
      <c r="F1697" s="57" t="s">
        <v>16</v>
      </c>
      <c r="G1697" s="58">
        <v>1</v>
      </c>
      <c r="H1697" s="58">
        <v>1</v>
      </c>
      <c r="I1697" s="58">
        <v>3</v>
      </c>
      <c r="J1697" s="58">
        <v>2</v>
      </c>
      <c r="K1697" s="59">
        <v>2</v>
      </c>
      <c r="L1697" s="60">
        <v>0.48935255543384237</v>
      </c>
    </row>
    <row r="1698" spans="1:12" x14ac:dyDescent="0.2">
      <c r="A1698" s="53" t="s">
        <v>144</v>
      </c>
      <c r="B1698" s="54" t="s">
        <v>27</v>
      </c>
      <c r="C1698" s="64" t="s">
        <v>62</v>
      </c>
      <c r="D1698" s="44">
        <v>2.668320718231779E-2</v>
      </c>
      <c r="E1698" s="56" t="s">
        <v>133</v>
      </c>
      <c r="F1698" s="57" t="s">
        <v>16</v>
      </c>
      <c r="G1698" s="58">
        <v>1</v>
      </c>
      <c r="H1698" s="58">
        <v>1</v>
      </c>
      <c r="I1698" s="58">
        <v>3</v>
      </c>
      <c r="J1698" s="58">
        <v>2</v>
      </c>
      <c r="K1698" s="59">
        <v>2</v>
      </c>
      <c r="L1698" s="60">
        <v>0.48935255543384237</v>
      </c>
    </row>
    <row r="1699" spans="1:12" x14ac:dyDescent="0.2">
      <c r="A1699" s="53" t="s">
        <v>144</v>
      </c>
      <c r="B1699" s="54" t="s">
        <v>28</v>
      </c>
      <c r="C1699" s="64" t="s">
        <v>62</v>
      </c>
      <c r="D1699" s="44">
        <v>8.7634294227794091E-2</v>
      </c>
      <c r="E1699" s="56" t="s">
        <v>133</v>
      </c>
      <c r="F1699" s="57" t="s">
        <v>16</v>
      </c>
      <c r="G1699" s="58">
        <v>1</v>
      </c>
      <c r="H1699" s="58">
        <v>1</v>
      </c>
      <c r="I1699" s="58">
        <v>3</v>
      </c>
      <c r="J1699" s="58">
        <v>2</v>
      </c>
      <c r="K1699" s="59">
        <v>2</v>
      </c>
      <c r="L1699" s="60">
        <v>0.48935255543384237</v>
      </c>
    </row>
    <row r="1700" spans="1:12" x14ac:dyDescent="0.2">
      <c r="A1700" s="53" t="s">
        <v>144</v>
      </c>
      <c r="B1700" s="54" t="s">
        <v>30</v>
      </c>
      <c r="C1700" s="64" t="s">
        <v>62</v>
      </c>
      <c r="D1700" s="44">
        <v>3.8092489954761402E-2</v>
      </c>
      <c r="E1700" s="56" t="s">
        <v>133</v>
      </c>
      <c r="F1700" s="57" t="s">
        <v>16</v>
      </c>
      <c r="G1700" s="58">
        <v>1</v>
      </c>
      <c r="H1700" s="58">
        <v>1</v>
      </c>
      <c r="I1700" s="58">
        <v>3</v>
      </c>
      <c r="J1700" s="58">
        <v>2</v>
      </c>
      <c r="K1700" s="59">
        <v>2</v>
      </c>
      <c r="L1700" s="60">
        <v>0.48935255543384237</v>
      </c>
    </row>
    <row r="1701" spans="1:12" x14ac:dyDescent="0.2">
      <c r="A1701" s="53" t="s">
        <v>144</v>
      </c>
      <c r="B1701" s="54" t="s">
        <v>32</v>
      </c>
      <c r="C1701" s="64" t="s">
        <v>62</v>
      </c>
      <c r="D1701" s="44">
        <v>1.283719311058535E-2</v>
      </c>
      <c r="E1701" s="56" t="s">
        <v>133</v>
      </c>
      <c r="F1701" s="57" t="s">
        <v>16</v>
      </c>
      <c r="G1701" s="58">
        <v>1</v>
      </c>
      <c r="H1701" s="58">
        <v>1</v>
      </c>
      <c r="I1701" s="58">
        <v>3</v>
      </c>
      <c r="J1701" s="58">
        <v>2</v>
      </c>
      <c r="K1701" s="59">
        <v>2</v>
      </c>
      <c r="L1701" s="60">
        <v>0.48935255543384237</v>
      </c>
    </row>
    <row r="1702" spans="1:12" x14ac:dyDescent="0.2">
      <c r="A1702" s="53" t="s">
        <v>144</v>
      </c>
      <c r="B1702" s="54" t="s">
        <v>34</v>
      </c>
      <c r="C1702" s="64" t="s">
        <v>62</v>
      </c>
      <c r="D1702" s="44">
        <v>9.8477627880318424E-4</v>
      </c>
      <c r="E1702" s="56" t="s">
        <v>133</v>
      </c>
      <c r="F1702" s="57" t="s">
        <v>16</v>
      </c>
      <c r="G1702" s="58">
        <v>1</v>
      </c>
      <c r="H1702" s="58">
        <v>1</v>
      </c>
      <c r="I1702" s="58">
        <v>3</v>
      </c>
      <c r="J1702" s="58">
        <v>2</v>
      </c>
      <c r="K1702" s="59">
        <v>2</v>
      </c>
      <c r="L1702" s="60">
        <v>0.48935255543384237</v>
      </c>
    </row>
    <row r="1703" spans="1:12" x14ac:dyDescent="0.2">
      <c r="A1703" s="53" t="s">
        <v>144</v>
      </c>
      <c r="B1703" s="54" t="s">
        <v>36</v>
      </c>
      <c r="C1703" s="64" t="s">
        <v>62</v>
      </c>
      <c r="D1703" s="44">
        <v>3.7447272120380987E-2</v>
      </c>
      <c r="E1703" s="56" t="s">
        <v>133</v>
      </c>
      <c r="F1703" s="57" t="s">
        <v>16</v>
      </c>
      <c r="G1703" s="58">
        <v>1</v>
      </c>
      <c r="H1703" s="58">
        <v>1</v>
      </c>
      <c r="I1703" s="58">
        <v>3</v>
      </c>
      <c r="J1703" s="58">
        <v>2</v>
      </c>
      <c r="K1703" s="59">
        <v>2</v>
      </c>
      <c r="L1703" s="60">
        <v>0.48935255543384237</v>
      </c>
    </row>
    <row r="1704" spans="1:12" x14ac:dyDescent="0.2">
      <c r="A1704" s="53" t="s">
        <v>144</v>
      </c>
      <c r="B1704" s="54" t="s">
        <v>37</v>
      </c>
      <c r="C1704" s="64" t="s">
        <v>62</v>
      </c>
      <c r="D1704" s="44">
        <v>2.5429353454417609E-2</v>
      </c>
      <c r="E1704" s="56" t="s">
        <v>133</v>
      </c>
      <c r="F1704" s="57" t="s">
        <v>16</v>
      </c>
      <c r="G1704" s="58">
        <v>1</v>
      </c>
      <c r="H1704" s="58">
        <v>1</v>
      </c>
      <c r="I1704" s="58">
        <v>3</v>
      </c>
      <c r="J1704" s="58">
        <v>2</v>
      </c>
      <c r="K1704" s="59">
        <v>2</v>
      </c>
      <c r="L1704" s="60">
        <v>0.48935255543384237</v>
      </c>
    </row>
    <row r="1705" spans="1:12" x14ac:dyDescent="0.2">
      <c r="A1705" s="53" t="s">
        <v>144</v>
      </c>
      <c r="B1705" s="54" t="s">
        <v>39</v>
      </c>
      <c r="C1705" s="64" t="s">
        <v>62</v>
      </c>
      <c r="D1705" s="44">
        <v>1.1672118352897651E-2</v>
      </c>
      <c r="E1705" s="56" t="s">
        <v>133</v>
      </c>
      <c r="F1705" s="57" t="s">
        <v>16</v>
      </c>
      <c r="G1705" s="58">
        <v>1</v>
      </c>
      <c r="H1705" s="58">
        <v>1</v>
      </c>
      <c r="I1705" s="58">
        <v>3</v>
      </c>
      <c r="J1705" s="58">
        <v>2</v>
      </c>
      <c r="K1705" s="59">
        <v>2</v>
      </c>
      <c r="L1705" s="60">
        <v>0.48935255543384237</v>
      </c>
    </row>
    <row r="1706" spans="1:12" x14ac:dyDescent="0.2">
      <c r="A1706" s="53" t="s">
        <v>144</v>
      </c>
      <c r="B1706" s="54" t="s">
        <v>40</v>
      </c>
      <c r="C1706" s="64" t="s">
        <v>62</v>
      </c>
      <c r="D1706" s="44">
        <v>1.6342178901822241E-2</v>
      </c>
      <c r="E1706" s="56" t="s">
        <v>133</v>
      </c>
      <c r="F1706" s="57" t="s">
        <v>16</v>
      </c>
      <c r="G1706" s="58">
        <v>1</v>
      </c>
      <c r="H1706" s="58">
        <v>1</v>
      </c>
      <c r="I1706" s="58">
        <v>3</v>
      </c>
      <c r="J1706" s="58">
        <v>2</v>
      </c>
      <c r="K1706" s="59">
        <v>2</v>
      </c>
      <c r="L1706" s="60">
        <v>0.48935255543384237</v>
      </c>
    </row>
    <row r="1707" spans="1:12" x14ac:dyDescent="0.2">
      <c r="A1707" s="53" t="s">
        <v>144</v>
      </c>
      <c r="B1707" s="54" t="s">
        <v>41</v>
      </c>
      <c r="C1707" s="64" t="s">
        <v>62</v>
      </c>
      <c r="D1707" s="61">
        <v>0</v>
      </c>
      <c r="E1707" s="56" t="s">
        <v>133</v>
      </c>
      <c r="F1707" s="57" t="s">
        <v>16</v>
      </c>
      <c r="G1707" s="61"/>
      <c r="H1707" s="61"/>
      <c r="I1707" s="61"/>
      <c r="J1707" s="61"/>
      <c r="K1707" s="62"/>
      <c r="L1707" s="63"/>
    </row>
    <row r="1708" spans="1:12" x14ac:dyDescent="0.2">
      <c r="A1708" s="53" t="s">
        <v>144</v>
      </c>
      <c r="B1708" s="54" t="s">
        <v>42</v>
      </c>
      <c r="C1708" s="64" t="s">
        <v>62</v>
      </c>
      <c r="D1708" s="44">
        <v>3.7774602220773601E-4</v>
      </c>
      <c r="E1708" s="56" t="s">
        <v>133</v>
      </c>
      <c r="F1708" s="57" t="s">
        <v>16</v>
      </c>
      <c r="G1708" s="58">
        <v>1</v>
      </c>
      <c r="H1708" s="58">
        <v>1</v>
      </c>
      <c r="I1708" s="58">
        <v>3</v>
      </c>
      <c r="J1708" s="58">
        <v>2</v>
      </c>
      <c r="K1708" s="59">
        <v>2</v>
      </c>
      <c r="L1708" s="60">
        <v>0.48935255543384237</v>
      </c>
    </row>
    <row r="1709" spans="1:12" x14ac:dyDescent="0.2">
      <c r="A1709" s="53" t="s">
        <v>144</v>
      </c>
      <c r="B1709" s="54" t="s">
        <v>43</v>
      </c>
      <c r="C1709" s="64" t="s">
        <v>62</v>
      </c>
      <c r="D1709" s="44">
        <v>5.5595503583341858E-2</v>
      </c>
      <c r="E1709" s="56" t="s">
        <v>133</v>
      </c>
      <c r="F1709" s="57" t="s">
        <v>16</v>
      </c>
      <c r="G1709" s="58">
        <v>1</v>
      </c>
      <c r="H1709" s="58">
        <v>1</v>
      </c>
      <c r="I1709" s="58">
        <v>3</v>
      </c>
      <c r="J1709" s="58">
        <v>2</v>
      </c>
      <c r="K1709" s="59">
        <v>2</v>
      </c>
      <c r="L1709" s="60">
        <v>0.48935255543384237</v>
      </c>
    </row>
    <row r="1710" spans="1:12" x14ac:dyDescent="0.2">
      <c r="A1710" s="53" t="s">
        <v>144</v>
      </c>
      <c r="B1710" s="54" t="s">
        <v>45</v>
      </c>
      <c r="C1710" s="64" t="s">
        <v>62</v>
      </c>
      <c r="D1710" s="44">
        <v>0.47151984206828518</v>
      </c>
      <c r="E1710" s="56" t="s">
        <v>133</v>
      </c>
      <c r="F1710" s="57" t="s">
        <v>16</v>
      </c>
      <c r="G1710" s="58">
        <v>1</v>
      </c>
      <c r="H1710" s="58">
        <v>1</v>
      </c>
      <c r="I1710" s="58">
        <v>3</v>
      </c>
      <c r="J1710" s="58">
        <v>2</v>
      </c>
      <c r="K1710" s="59">
        <v>2</v>
      </c>
      <c r="L1710" s="60">
        <v>0.48935255543384237</v>
      </c>
    </row>
    <row r="1711" spans="1:12" x14ac:dyDescent="0.2">
      <c r="A1711" s="53" t="s">
        <v>144</v>
      </c>
      <c r="B1711" s="54" t="s">
        <v>46</v>
      </c>
      <c r="C1711" s="64" t="s">
        <v>62</v>
      </c>
      <c r="D1711" s="44">
        <v>3.5990386860610152E-2</v>
      </c>
      <c r="E1711" s="56" t="s">
        <v>133</v>
      </c>
      <c r="F1711" s="57" t="s">
        <v>16</v>
      </c>
      <c r="G1711" s="58">
        <v>1</v>
      </c>
      <c r="H1711" s="58">
        <v>1</v>
      </c>
      <c r="I1711" s="58">
        <v>3</v>
      </c>
      <c r="J1711" s="58">
        <v>2</v>
      </c>
      <c r="K1711" s="59">
        <v>2</v>
      </c>
      <c r="L1711" s="60">
        <v>0.48935255543384237</v>
      </c>
    </row>
    <row r="1712" spans="1:12" x14ac:dyDescent="0.2">
      <c r="A1712" s="53" t="s">
        <v>144</v>
      </c>
      <c r="B1712" s="54" t="s">
        <v>48</v>
      </c>
      <c r="C1712" s="64" t="s">
        <v>62</v>
      </c>
      <c r="D1712" s="44">
        <v>2.8726884668981229E-2</v>
      </c>
      <c r="E1712" s="56" t="s">
        <v>133</v>
      </c>
      <c r="F1712" s="57" t="s">
        <v>16</v>
      </c>
      <c r="G1712" s="58">
        <v>1</v>
      </c>
      <c r="H1712" s="58">
        <v>1</v>
      </c>
      <c r="I1712" s="58">
        <v>3</v>
      </c>
      <c r="J1712" s="58">
        <v>2</v>
      </c>
      <c r="K1712" s="59">
        <v>2</v>
      </c>
      <c r="L1712" s="60">
        <v>0.48935255543384237</v>
      </c>
    </row>
    <row r="1713" spans="1:12" x14ac:dyDescent="0.2">
      <c r="A1713" s="53" t="s">
        <v>144</v>
      </c>
      <c r="B1713" s="54" t="s">
        <v>50</v>
      </c>
      <c r="C1713" s="64" t="s">
        <v>62</v>
      </c>
      <c r="D1713" s="44">
        <v>1.4319407741841021E-3</v>
      </c>
      <c r="E1713" s="56" t="s">
        <v>133</v>
      </c>
      <c r="F1713" s="57" t="s">
        <v>16</v>
      </c>
      <c r="G1713" s="58">
        <v>1</v>
      </c>
      <c r="H1713" s="58">
        <v>1</v>
      </c>
      <c r="I1713" s="58">
        <v>3</v>
      </c>
      <c r="J1713" s="58">
        <v>2</v>
      </c>
      <c r="K1713" s="59">
        <v>2</v>
      </c>
      <c r="L1713" s="60">
        <v>0.48935255543384237</v>
      </c>
    </row>
    <row r="1714" spans="1:12" x14ac:dyDescent="0.2">
      <c r="A1714" s="53" t="s">
        <v>144</v>
      </c>
      <c r="B1714" s="54" t="s">
        <v>52</v>
      </c>
      <c r="C1714" s="64" t="s">
        <v>62</v>
      </c>
      <c r="D1714" s="44">
        <v>3.117881096897986E-4</v>
      </c>
      <c r="E1714" s="56" t="s">
        <v>133</v>
      </c>
      <c r="F1714" s="57" t="s">
        <v>16</v>
      </c>
      <c r="G1714" s="58">
        <v>1</v>
      </c>
      <c r="H1714" s="58">
        <v>1</v>
      </c>
      <c r="I1714" s="58">
        <v>3</v>
      </c>
      <c r="J1714" s="58">
        <v>2</v>
      </c>
      <c r="K1714" s="59">
        <v>2</v>
      </c>
      <c r="L1714" s="60">
        <v>0.48935255543384237</v>
      </c>
    </row>
    <row r="1715" spans="1:12" x14ac:dyDescent="0.2">
      <c r="A1715" s="53" t="s">
        <v>144</v>
      </c>
      <c r="B1715" s="54" t="s">
        <v>54</v>
      </c>
      <c r="C1715" s="64" t="s">
        <v>62</v>
      </c>
      <c r="D1715" s="44">
        <v>5.6041039093610498E-5</v>
      </c>
      <c r="E1715" s="56" t="s">
        <v>133</v>
      </c>
      <c r="F1715" s="57" t="s">
        <v>16</v>
      </c>
      <c r="G1715" s="58">
        <v>1</v>
      </c>
      <c r="H1715" s="58">
        <v>1</v>
      </c>
      <c r="I1715" s="58">
        <v>3</v>
      </c>
      <c r="J1715" s="58">
        <v>2</v>
      </c>
      <c r="K1715" s="59">
        <v>2</v>
      </c>
      <c r="L1715" s="60">
        <v>0.48935255543384237</v>
      </c>
    </row>
    <row r="1716" spans="1:12" x14ac:dyDescent="0.2">
      <c r="A1716" s="53" t="s">
        <v>144</v>
      </c>
      <c r="B1716" s="54" t="s">
        <v>55</v>
      </c>
      <c r="C1716" s="64" t="s">
        <v>62</v>
      </c>
      <c r="D1716" s="44">
        <v>0.1433723176647273</v>
      </c>
      <c r="E1716" s="56" t="s">
        <v>133</v>
      </c>
      <c r="F1716" s="57" t="s">
        <v>16</v>
      </c>
      <c r="G1716" s="58">
        <v>1</v>
      </c>
      <c r="H1716" s="58">
        <v>1</v>
      </c>
      <c r="I1716" s="58">
        <v>3</v>
      </c>
      <c r="J1716" s="58">
        <v>2</v>
      </c>
      <c r="K1716" s="59">
        <v>2</v>
      </c>
      <c r="L1716" s="60">
        <v>0.48935255543384237</v>
      </c>
    </row>
    <row r="1717" spans="1:12" x14ac:dyDescent="0.2">
      <c r="A1717" s="53" t="s">
        <v>144</v>
      </c>
      <c r="B1717" s="54" t="s">
        <v>57</v>
      </c>
      <c r="C1717" s="64" t="s">
        <v>62</v>
      </c>
      <c r="D1717" s="44">
        <v>3.2264117360984522E-2</v>
      </c>
      <c r="E1717" s="56" t="s">
        <v>133</v>
      </c>
      <c r="F1717" s="57" t="s">
        <v>16</v>
      </c>
      <c r="G1717" s="58">
        <v>1</v>
      </c>
      <c r="H1717" s="58">
        <v>1</v>
      </c>
      <c r="I1717" s="58">
        <v>3</v>
      </c>
      <c r="J1717" s="58">
        <v>2</v>
      </c>
      <c r="K1717" s="59">
        <v>2</v>
      </c>
      <c r="L1717" s="60">
        <v>0.48935255543384237</v>
      </c>
    </row>
    <row r="1718" spans="1:12" x14ac:dyDescent="0.2">
      <c r="A1718" s="53" t="s">
        <v>144</v>
      </c>
      <c r="B1718" s="54" t="s">
        <v>59</v>
      </c>
      <c r="C1718" s="64" t="s">
        <v>62</v>
      </c>
      <c r="D1718" s="44">
        <v>2.6687338015568302E-4</v>
      </c>
      <c r="E1718" s="56" t="s">
        <v>133</v>
      </c>
      <c r="F1718" s="57" t="s">
        <v>16</v>
      </c>
      <c r="G1718" s="58">
        <v>1</v>
      </c>
      <c r="H1718" s="58">
        <v>1</v>
      </c>
      <c r="I1718" s="58">
        <v>3</v>
      </c>
      <c r="J1718" s="58">
        <v>2</v>
      </c>
      <c r="K1718" s="59">
        <v>2</v>
      </c>
      <c r="L1718" s="60">
        <v>0.48935255543384237</v>
      </c>
    </row>
    <row r="1719" spans="1:12" x14ac:dyDescent="0.2">
      <c r="A1719" s="53" t="s">
        <v>144</v>
      </c>
      <c r="B1719" s="54" t="s">
        <v>60</v>
      </c>
      <c r="C1719" s="64" t="s">
        <v>62</v>
      </c>
      <c r="D1719" s="44">
        <v>0.11269477702464489</v>
      </c>
      <c r="E1719" s="56" t="s">
        <v>133</v>
      </c>
      <c r="F1719" s="57" t="s">
        <v>16</v>
      </c>
      <c r="G1719" s="58">
        <v>1</v>
      </c>
      <c r="H1719" s="58">
        <v>1</v>
      </c>
      <c r="I1719" s="58">
        <v>3</v>
      </c>
      <c r="J1719" s="58">
        <v>2</v>
      </c>
      <c r="K1719" s="59">
        <v>2</v>
      </c>
      <c r="L1719" s="60">
        <v>0.48935255543384237</v>
      </c>
    </row>
    <row r="1720" spans="1:12" x14ac:dyDescent="0.2">
      <c r="A1720" s="53" t="s">
        <v>144</v>
      </c>
      <c r="B1720" s="54" t="s">
        <v>13</v>
      </c>
      <c r="C1720" s="65" t="s">
        <v>64</v>
      </c>
      <c r="D1720" s="44">
        <v>2.750147136880784E-5</v>
      </c>
      <c r="E1720" s="56" t="s">
        <v>133</v>
      </c>
      <c r="F1720" s="57" t="s">
        <v>16</v>
      </c>
      <c r="G1720" s="58">
        <v>1</v>
      </c>
      <c r="H1720" s="58">
        <v>1</v>
      </c>
      <c r="I1720" s="58">
        <v>3</v>
      </c>
      <c r="J1720" s="58">
        <v>2</v>
      </c>
      <c r="K1720" s="59">
        <v>2</v>
      </c>
      <c r="L1720" s="60">
        <v>0.48935255543384237</v>
      </c>
    </row>
    <row r="1721" spans="1:12" x14ac:dyDescent="0.2">
      <c r="A1721" s="53" t="s">
        <v>144</v>
      </c>
      <c r="B1721" s="54" t="s">
        <v>18</v>
      </c>
      <c r="C1721" s="65" t="s">
        <v>64</v>
      </c>
      <c r="D1721" s="44">
        <v>1.5678824554254799E-3</v>
      </c>
      <c r="E1721" s="56" t="s">
        <v>133</v>
      </c>
      <c r="F1721" s="57" t="s">
        <v>16</v>
      </c>
      <c r="G1721" s="58">
        <v>1</v>
      </c>
      <c r="H1721" s="58">
        <v>1</v>
      </c>
      <c r="I1721" s="58">
        <v>3</v>
      </c>
      <c r="J1721" s="58">
        <v>2</v>
      </c>
      <c r="K1721" s="59">
        <v>2</v>
      </c>
      <c r="L1721" s="60">
        <v>0.48935255543384237</v>
      </c>
    </row>
    <row r="1722" spans="1:12" x14ac:dyDescent="0.2">
      <c r="A1722" s="53" t="s">
        <v>144</v>
      </c>
      <c r="B1722" s="54" t="s">
        <v>20</v>
      </c>
      <c r="C1722" s="65" t="s">
        <v>64</v>
      </c>
      <c r="D1722" s="44">
        <v>4.9469701701154278E-4</v>
      </c>
      <c r="E1722" s="56" t="s">
        <v>133</v>
      </c>
      <c r="F1722" s="57" t="s">
        <v>16</v>
      </c>
      <c r="G1722" s="58">
        <v>1</v>
      </c>
      <c r="H1722" s="58">
        <v>1</v>
      </c>
      <c r="I1722" s="58">
        <v>3</v>
      </c>
      <c r="J1722" s="58">
        <v>2</v>
      </c>
      <c r="K1722" s="59">
        <v>2</v>
      </c>
      <c r="L1722" s="60">
        <v>0.48935255543384237</v>
      </c>
    </row>
    <row r="1723" spans="1:12" x14ac:dyDescent="0.2">
      <c r="A1723" s="53" t="s">
        <v>144</v>
      </c>
      <c r="B1723" s="54" t="s">
        <v>22</v>
      </c>
      <c r="C1723" s="65" t="s">
        <v>64</v>
      </c>
      <c r="D1723" s="44">
        <v>5.6320275788282782E-3</v>
      </c>
      <c r="E1723" s="56" t="s">
        <v>133</v>
      </c>
      <c r="F1723" s="57" t="s">
        <v>16</v>
      </c>
      <c r="G1723" s="58">
        <v>1</v>
      </c>
      <c r="H1723" s="58">
        <v>1</v>
      </c>
      <c r="I1723" s="58">
        <v>3</v>
      </c>
      <c r="J1723" s="58">
        <v>2</v>
      </c>
      <c r="K1723" s="59">
        <v>2</v>
      </c>
      <c r="L1723" s="60">
        <v>0.48935255543384237</v>
      </c>
    </row>
    <row r="1724" spans="1:12" x14ac:dyDescent="0.2">
      <c r="A1724" s="53" t="s">
        <v>144</v>
      </c>
      <c r="B1724" s="54" t="s">
        <v>23</v>
      </c>
      <c r="C1724" s="65" t="s">
        <v>64</v>
      </c>
      <c r="D1724" s="44">
        <v>1.0557791285795579E-4</v>
      </c>
      <c r="E1724" s="56" t="s">
        <v>133</v>
      </c>
      <c r="F1724" s="57" t="s">
        <v>16</v>
      </c>
      <c r="G1724" s="58">
        <v>1</v>
      </c>
      <c r="H1724" s="58">
        <v>1</v>
      </c>
      <c r="I1724" s="58">
        <v>3</v>
      </c>
      <c r="J1724" s="58">
        <v>2</v>
      </c>
      <c r="K1724" s="59">
        <v>2</v>
      </c>
      <c r="L1724" s="60">
        <v>0.48935255543384237</v>
      </c>
    </row>
    <row r="1725" spans="1:12" x14ac:dyDescent="0.2">
      <c r="A1725" s="53" t="s">
        <v>144</v>
      </c>
      <c r="B1725" s="54" t="s">
        <v>24</v>
      </c>
      <c r="C1725" s="65" t="s">
        <v>64</v>
      </c>
      <c r="D1725" s="44">
        <v>2.9300853352652709E-4</v>
      </c>
      <c r="E1725" s="56" t="s">
        <v>133</v>
      </c>
      <c r="F1725" s="57" t="s">
        <v>16</v>
      </c>
      <c r="G1725" s="58">
        <v>1</v>
      </c>
      <c r="H1725" s="58">
        <v>1</v>
      </c>
      <c r="I1725" s="58">
        <v>3</v>
      </c>
      <c r="J1725" s="58">
        <v>2</v>
      </c>
      <c r="K1725" s="59">
        <v>2</v>
      </c>
      <c r="L1725" s="60">
        <v>0.48935255543384237</v>
      </c>
    </row>
    <row r="1726" spans="1:12" x14ac:dyDescent="0.2">
      <c r="A1726" s="53" t="s">
        <v>144</v>
      </c>
      <c r="B1726" s="54" t="s">
        <v>25</v>
      </c>
      <c r="C1726" s="65" t="s">
        <v>64</v>
      </c>
      <c r="D1726" s="44">
        <v>5.7581480693155107E-2</v>
      </c>
      <c r="E1726" s="56" t="s">
        <v>133</v>
      </c>
      <c r="F1726" s="57" t="s">
        <v>16</v>
      </c>
      <c r="G1726" s="58">
        <v>1</v>
      </c>
      <c r="H1726" s="58">
        <v>1</v>
      </c>
      <c r="I1726" s="58">
        <v>3</v>
      </c>
      <c r="J1726" s="58">
        <v>2</v>
      </c>
      <c r="K1726" s="59">
        <v>2</v>
      </c>
      <c r="L1726" s="60">
        <v>0.48935255543384237</v>
      </c>
    </row>
    <row r="1727" spans="1:12" x14ac:dyDescent="0.2">
      <c r="A1727" s="53" t="s">
        <v>144</v>
      </c>
      <c r="B1727" s="54" t="s">
        <v>26</v>
      </c>
      <c r="C1727" s="65" t="s">
        <v>64</v>
      </c>
      <c r="D1727" s="44">
        <v>5.8257921812312477E-3</v>
      </c>
      <c r="E1727" s="56" t="s">
        <v>133</v>
      </c>
      <c r="F1727" s="57" t="s">
        <v>16</v>
      </c>
      <c r="G1727" s="58">
        <v>1</v>
      </c>
      <c r="H1727" s="58">
        <v>1</v>
      </c>
      <c r="I1727" s="58">
        <v>3</v>
      </c>
      <c r="J1727" s="58">
        <v>2</v>
      </c>
      <c r="K1727" s="59">
        <v>2</v>
      </c>
      <c r="L1727" s="60">
        <v>0.48935255543384237</v>
      </c>
    </row>
    <row r="1728" spans="1:12" x14ac:dyDescent="0.2">
      <c r="A1728" s="53" t="s">
        <v>144</v>
      </c>
      <c r="B1728" s="54" t="s">
        <v>27</v>
      </c>
      <c r="C1728" s="65" t="s">
        <v>64</v>
      </c>
      <c r="D1728" s="44">
        <v>1.167390314226403E-2</v>
      </c>
      <c r="E1728" s="56" t="s">
        <v>133</v>
      </c>
      <c r="F1728" s="57" t="s">
        <v>16</v>
      </c>
      <c r="G1728" s="58">
        <v>1</v>
      </c>
      <c r="H1728" s="58">
        <v>1</v>
      </c>
      <c r="I1728" s="58">
        <v>3</v>
      </c>
      <c r="J1728" s="58">
        <v>2</v>
      </c>
      <c r="K1728" s="59">
        <v>2</v>
      </c>
      <c r="L1728" s="60">
        <v>0.48935255543384237</v>
      </c>
    </row>
    <row r="1729" spans="1:12" x14ac:dyDescent="0.2">
      <c r="A1729" s="53" t="s">
        <v>144</v>
      </c>
      <c r="B1729" s="54" t="s">
        <v>28</v>
      </c>
      <c r="C1729" s="65" t="s">
        <v>64</v>
      </c>
      <c r="D1729" s="44">
        <v>3.8340003724659913E-2</v>
      </c>
      <c r="E1729" s="56" t="s">
        <v>133</v>
      </c>
      <c r="F1729" s="57" t="s">
        <v>16</v>
      </c>
      <c r="G1729" s="58">
        <v>1</v>
      </c>
      <c r="H1729" s="58">
        <v>1</v>
      </c>
      <c r="I1729" s="58">
        <v>3</v>
      </c>
      <c r="J1729" s="58">
        <v>2</v>
      </c>
      <c r="K1729" s="59">
        <v>2</v>
      </c>
      <c r="L1729" s="60">
        <v>0.48935255543384237</v>
      </c>
    </row>
    <row r="1730" spans="1:12" x14ac:dyDescent="0.2">
      <c r="A1730" s="53" t="s">
        <v>144</v>
      </c>
      <c r="B1730" s="54" t="s">
        <v>30</v>
      </c>
      <c r="C1730" s="65" t="s">
        <v>64</v>
      </c>
      <c r="D1730" s="44">
        <v>1.6665464355208111E-2</v>
      </c>
      <c r="E1730" s="56" t="s">
        <v>133</v>
      </c>
      <c r="F1730" s="57" t="s">
        <v>16</v>
      </c>
      <c r="G1730" s="58">
        <v>1</v>
      </c>
      <c r="H1730" s="58">
        <v>1</v>
      </c>
      <c r="I1730" s="58">
        <v>3</v>
      </c>
      <c r="J1730" s="58">
        <v>2</v>
      </c>
      <c r="K1730" s="59">
        <v>2</v>
      </c>
      <c r="L1730" s="60">
        <v>0.48935255543384237</v>
      </c>
    </row>
    <row r="1731" spans="1:12" x14ac:dyDescent="0.2">
      <c r="A1731" s="53" t="s">
        <v>144</v>
      </c>
      <c r="B1731" s="54" t="s">
        <v>32</v>
      </c>
      <c r="C1731" s="65" t="s">
        <v>64</v>
      </c>
      <c r="D1731" s="44">
        <v>5.6162719858810894E-3</v>
      </c>
      <c r="E1731" s="56" t="s">
        <v>133</v>
      </c>
      <c r="F1731" s="57" t="s">
        <v>16</v>
      </c>
      <c r="G1731" s="58">
        <v>1</v>
      </c>
      <c r="H1731" s="58">
        <v>1</v>
      </c>
      <c r="I1731" s="58">
        <v>3</v>
      </c>
      <c r="J1731" s="58">
        <v>2</v>
      </c>
      <c r="K1731" s="59">
        <v>2</v>
      </c>
      <c r="L1731" s="60">
        <v>0.48935255543384237</v>
      </c>
    </row>
    <row r="1732" spans="1:12" x14ac:dyDescent="0.2">
      <c r="A1732" s="53" t="s">
        <v>144</v>
      </c>
      <c r="B1732" s="54" t="s">
        <v>34</v>
      </c>
      <c r="C1732" s="65" t="s">
        <v>64</v>
      </c>
      <c r="D1732" s="44">
        <v>4.308396219763931E-4</v>
      </c>
      <c r="E1732" s="56" t="s">
        <v>133</v>
      </c>
      <c r="F1732" s="57" t="s">
        <v>16</v>
      </c>
      <c r="G1732" s="58">
        <v>1</v>
      </c>
      <c r="H1732" s="58">
        <v>1</v>
      </c>
      <c r="I1732" s="58">
        <v>3</v>
      </c>
      <c r="J1732" s="58">
        <v>2</v>
      </c>
      <c r="K1732" s="59">
        <v>2</v>
      </c>
      <c r="L1732" s="60">
        <v>0.48935255543384237</v>
      </c>
    </row>
    <row r="1733" spans="1:12" x14ac:dyDescent="0.2">
      <c r="A1733" s="53" t="s">
        <v>144</v>
      </c>
      <c r="B1733" s="54" t="s">
        <v>36</v>
      </c>
      <c r="C1733" s="65" t="s">
        <v>64</v>
      </c>
      <c r="D1733" s="44">
        <v>1.638318155266669E-2</v>
      </c>
      <c r="E1733" s="56" t="s">
        <v>133</v>
      </c>
      <c r="F1733" s="57" t="s">
        <v>16</v>
      </c>
      <c r="G1733" s="58">
        <v>1</v>
      </c>
      <c r="H1733" s="58">
        <v>1</v>
      </c>
      <c r="I1733" s="58">
        <v>3</v>
      </c>
      <c r="J1733" s="58">
        <v>2</v>
      </c>
      <c r="K1733" s="59">
        <v>2</v>
      </c>
      <c r="L1733" s="60">
        <v>0.48935255543384237</v>
      </c>
    </row>
    <row r="1734" spans="1:12" x14ac:dyDescent="0.2">
      <c r="A1734" s="53" t="s">
        <v>144</v>
      </c>
      <c r="B1734" s="54" t="s">
        <v>37</v>
      </c>
      <c r="C1734" s="65" t="s">
        <v>64</v>
      </c>
      <c r="D1734" s="44">
        <v>1.1125342136307699E-2</v>
      </c>
      <c r="E1734" s="56" t="s">
        <v>133</v>
      </c>
      <c r="F1734" s="57" t="s">
        <v>16</v>
      </c>
      <c r="G1734" s="58">
        <v>1</v>
      </c>
      <c r="H1734" s="58">
        <v>1</v>
      </c>
      <c r="I1734" s="58">
        <v>3</v>
      </c>
      <c r="J1734" s="58">
        <v>2</v>
      </c>
      <c r="K1734" s="59">
        <v>2</v>
      </c>
      <c r="L1734" s="60">
        <v>0.48935255543384237</v>
      </c>
    </row>
    <row r="1735" spans="1:12" x14ac:dyDescent="0.2">
      <c r="A1735" s="53" t="s">
        <v>144</v>
      </c>
      <c r="B1735" s="54" t="s">
        <v>39</v>
      </c>
      <c r="C1735" s="65" t="s">
        <v>64</v>
      </c>
      <c r="D1735" s="44">
        <v>5.1065517793927222E-3</v>
      </c>
      <c r="E1735" s="56" t="s">
        <v>133</v>
      </c>
      <c r="F1735" s="57" t="s">
        <v>16</v>
      </c>
      <c r="G1735" s="58">
        <v>1</v>
      </c>
      <c r="H1735" s="58">
        <v>1</v>
      </c>
      <c r="I1735" s="58">
        <v>3</v>
      </c>
      <c r="J1735" s="58">
        <v>2</v>
      </c>
      <c r="K1735" s="59">
        <v>2</v>
      </c>
      <c r="L1735" s="60">
        <v>0.48935255543384237</v>
      </c>
    </row>
    <row r="1736" spans="1:12" x14ac:dyDescent="0.2">
      <c r="A1736" s="53" t="s">
        <v>144</v>
      </c>
      <c r="B1736" s="54" t="s">
        <v>40</v>
      </c>
      <c r="C1736" s="65" t="s">
        <v>64</v>
      </c>
      <c r="D1736" s="44">
        <v>7.1497032695472303E-3</v>
      </c>
      <c r="E1736" s="56" t="s">
        <v>133</v>
      </c>
      <c r="F1736" s="57" t="s">
        <v>16</v>
      </c>
      <c r="G1736" s="58">
        <v>1</v>
      </c>
      <c r="H1736" s="58">
        <v>1</v>
      </c>
      <c r="I1736" s="58">
        <v>3</v>
      </c>
      <c r="J1736" s="58">
        <v>2</v>
      </c>
      <c r="K1736" s="59">
        <v>2</v>
      </c>
      <c r="L1736" s="60">
        <v>0.48935255543384237</v>
      </c>
    </row>
    <row r="1737" spans="1:12" x14ac:dyDescent="0.2">
      <c r="A1737" s="53" t="s">
        <v>144</v>
      </c>
      <c r="B1737" s="54" t="s">
        <v>41</v>
      </c>
      <c r="C1737" s="65" t="s">
        <v>64</v>
      </c>
      <c r="D1737" s="61">
        <v>0</v>
      </c>
      <c r="E1737" s="56" t="s">
        <v>133</v>
      </c>
      <c r="F1737" s="57" t="s">
        <v>16</v>
      </c>
      <c r="G1737" s="61"/>
      <c r="H1737" s="61"/>
      <c r="I1737" s="61"/>
      <c r="J1737" s="61"/>
      <c r="K1737" s="62"/>
      <c r="L1737" s="63"/>
    </row>
    <row r="1738" spans="1:12" x14ac:dyDescent="0.2">
      <c r="A1738" s="53" t="s">
        <v>144</v>
      </c>
      <c r="B1738" s="54" t="s">
        <v>42</v>
      </c>
      <c r="C1738" s="65" t="s">
        <v>64</v>
      </c>
      <c r="D1738" s="44">
        <v>1.652638847158845E-4</v>
      </c>
      <c r="E1738" s="56" t="s">
        <v>133</v>
      </c>
      <c r="F1738" s="57" t="s">
        <v>16</v>
      </c>
      <c r="G1738" s="58">
        <v>1</v>
      </c>
      <c r="H1738" s="58">
        <v>1</v>
      </c>
      <c r="I1738" s="58">
        <v>3</v>
      </c>
      <c r="J1738" s="58">
        <v>2</v>
      </c>
      <c r="K1738" s="59">
        <v>2</v>
      </c>
      <c r="L1738" s="60">
        <v>0.48935255543384237</v>
      </c>
    </row>
    <row r="1739" spans="1:12" x14ac:dyDescent="0.2">
      <c r="A1739" s="53" t="s">
        <v>144</v>
      </c>
      <c r="B1739" s="54" t="s">
        <v>43</v>
      </c>
      <c r="C1739" s="65" t="s">
        <v>64</v>
      </c>
      <c r="D1739" s="44">
        <v>2.432303281771207E-2</v>
      </c>
      <c r="E1739" s="56" t="s">
        <v>133</v>
      </c>
      <c r="F1739" s="57" t="s">
        <v>16</v>
      </c>
      <c r="G1739" s="58">
        <v>1</v>
      </c>
      <c r="H1739" s="58">
        <v>1</v>
      </c>
      <c r="I1739" s="58">
        <v>3</v>
      </c>
      <c r="J1739" s="58">
        <v>2</v>
      </c>
      <c r="K1739" s="59">
        <v>2</v>
      </c>
      <c r="L1739" s="60">
        <v>0.48935255543384237</v>
      </c>
    </row>
    <row r="1740" spans="1:12" x14ac:dyDescent="0.2">
      <c r="A1740" s="53" t="s">
        <v>144</v>
      </c>
      <c r="B1740" s="54" t="s">
        <v>45</v>
      </c>
      <c r="C1740" s="65" t="s">
        <v>64</v>
      </c>
      <c r="D1740" s="44">
        <v>0.2062899309048748</v>
      </c>
      <c r="E1740" s="56" t="s">
        <v>133</v>
      </c>
      <c r="F1740" s="57" t="s">
        <v>16</v>
      </c>
      <c r="G1740" s="58">
        <v>1</v>
      </c>
      <c r="H1740" s="58">
        <v>1</v>
      </c>
      <c r="I1740" s="58">
        <v>3</v>
      </c>
      <c r="J1740" s="58">
        <v>2</v>
      </c>
      <c r="K1740" s="59">
        <v>2</v>
      </c>
      <c r="L1740" s="60">
        <v>0.48935255543384237</v>
      </c>
    </row>
    <row r="1741" spans="1:12" x14ac:dyDescent="0.2">
      <c r="A1741" s="53" t="s">
        <v>144</v>
      </c>
      <c r="B1741" s="54" t="s">
        <v>46</v>
      </c>
      <c r="C1741" s="65" t="s">
        <v>64</v>
      </c>
      <c r="D1741" s="44">
        <v>1.574579425151694E-2</v>
      </c>
      <c r="E1741" s="56" t="s">
        <v>133</v>
      </c>
      <c r="F1741" s="57" t="s">
        <v>16</v>
      </c>
      <c r="G1741" s="58">
        <v>1</v>
      </c>
      <c r="H1741" s="58">
        <v>1</v>
      </c>
      <c r="I1741" s="58">
        <v>3</v>
      </c>
      <c r="J1741" s="58">
        <v>2</v>
      </c>
      <c r="K1741" s="59">
        <v>2</v>
      </c>
      <c r="L1741" s="60">
        <v>0.48935255543384237</v>
      </c>
    </row>
    <row r="1742" spans="1:12" x14ac:dyDescent="0.2">
      <c r="A1742" s="53" t="s">
        <v>144</v>
      </c>
      <c r="B1742" s="54" t="s">
        <v>48</v>
      </c>
      <c r="C1742" s="65" t="s">
        <v>64</v>
      </c>
      <c r="D1742" s="44">
        <v>1.2568012042679291E-2</v>
      </c>
      <c r="E1742" s="56" t="s">
        <v>133</v>
      </c>
      <c r="F1742" s="57" t="s">
        <v>16</v>
      </c>
      <c r="G1742" s="58">
        <v>1</v>
      </c>
      <c r="H1742" s="58">
        <v>1</v>
      </c>
      <c r="I1742" s="58">
        <v>3</v>
      </c>
      <c r="J1742" s="58">
        <v>2</v>
      </c>
      <c r="K1742" s="59">
        <v>2</v>
      </c>
      <c r="L1742" s="60">
        <v>0.48935255543384237</v>
      </c>
    </row>
    <row r="1743" spans="1:12" x14ac:dyDescent="0.2">
      <c r="A1743" s="53" t="s">
        <v>144</v>
      </c>
      <c r="B1743" s="54" t="s">
        <v>50</v>
      </c>
      <c r="C1743" s="65" t="s">
        <v>64</v>
      </c>
      <c r="D1743" s="44">
        <v>6.2647408870554477E-4</v>
      </c>
      <c r="E1743" s="56" t="s">
        <v>133</v>
      </c>
      <c r="F1743" s="57" t="s">
        <v>16</v>
      </c>
      <c r="G1743" s="58">
        <v>1</v>
      </c>
      <c r="H1743" s="58">
        <v>1</v>
      </c>
      <c r="I1743" s="58">
        <v>3</v>
      </c>
      <c r="J1743" s="58">
        <v>2</v>
      </c>
      <c r="K1743" s="59">
        <v>2</v>
      </c>
      <c r="L1743" s="60">
        <v>0.48935255543384237</v>
      </c>
    </row>
    <row r="1744" spans="1:12" x14ac:dyDescent="0.2">
      <c r="A1744" s="53" t="s">
        <v>144</v>
      </c>
      <c r="B1744" s="54" t="s">
        <v>52</v>
      </c>
      <c r="C1744" s="65" t="s">
        <v>64</v>
      </c>
      <c r="D1744" s="44">
        <v>1.364072979892869E-4</v>
      </c>
      <c r="E1744" s="56" t="s">
        <v>133</v>
      </c>
      <c r="F1744" s="57" t="s">
        <v>16</v>
      </c>
      <c r="G1744" s="58">
        <v>1</v>
      </c>
      <c r="H1744" s="58">
        <v>1</v>
      </c>
      <c r="I1744" s="58">
        <v>3</v>
      </c>
      <c r="J1744" s="58">
        <v>2</v>
      </c>
      <c r="K1744" s="59">
        <v>2</v>
      </c>
      <c r="L1744" s="60">
        <v>0.48935255543384237</v>
      </c>
    </row>
    <row r="1745" spans="1:13" x14ac:dyDescent="0.2">
      <c r="A1745" s="53" t="s">
        <v>144</v>
      </c>
      <c r="B1745" s="54" t="s">
        <v>54</v>
      </c>
      <c r="C1745" s="65" t="s">
        <v>64</v>
      </c>
      <c r="D1745" s="44">
        <v>2.4517954603454588E-5</v>
      </c>
      <c r="E1745" s="56" t="s">
        <v>133</v>
      </c>
      <c r="F1745" s="57" t="s">
        <v>16</v>
      </c>
      <c r="G1745" s="58">
        <v>1</v>
      </c>
      <c r="H1745" s="58">
        <v>1</v>
      </c>
      <c r="I1745" s="58">
        <v>3</v>
      </c>
      <c r="J1745" s="58">
        <v>2</v>
      </c>
      <c r="K1745" s="59">
        <v>2</v>
      </c>
      <c r="L1745" s="60">
        <v>0.48935255543384237</v>
      </c>
    </row>
    <row r="1746" spans="1:13" x14ac:dyDescent="0.2">
      <c r="A1746" s="53" t="s">
        <v>144</v>
      </c>
      <c r="B1746" s="54" t="s">
        <v>55</v>
      </c>
      <c r="C1746" s="65" t="s">
        <v>64</v>
      </c>
      <c r="D1746" s="44">
        <v>6.2725388978318197E-2</v>
      </c>
      <c r="E1746" s="56" t="s">
        <v>133</v>
      </c>
      <c r="F1746" s="57" t="s">
        <v>16</v>
      </c>
      <c r="G1746" s="58">
        <v>1</v>
      </c>
      <c r="H1746" s="58">
        <v>1</v>
      </c>
      <c r="I1746" s="58">
        <v>3</v>
      </c>
      <c r="J1746" s="58">
        <v>2</v>
      </c>
      <c r="K1746" s="59">
        <v>2</v>
      </c>
      <c r="L1746" s="60">
        <v>0.48935255543384237</v>
      </c>
    </row>
    <row r="1747" spans="1:13" x14ac:dyDescent="0.2">
      <c r="A1747" s="53" t="s">
        <v>144</v>
      </c>
      <c r="B1747" s="54" t="s">
        <v>57</v>
      </c>
      <c r="C1747" s="65" t="s">
        <v>64</v>
      </c>
      <c r="D1747" s="44">
        <v>1.411555134543073E-2</v>
      </c>
      <c r="E1747" s="56" t="s">
        <v>133</v>
      </c>
      <c r="F1747" s="57" t="s">
        <v>16</v>
      </c>
      <c r="G1747" s="58">
        <v>1</v>
      </c>
      <c r="H1747" s="58">
        <v>1</v>
      </c>
      <c r="I1747" s="58">
        <v>3</v>
      </c>
      <c r="J1747" s="58">
        <v>2</v>
      </c>
      <c r="K1747" s="59">
        <v>2</v>
      </c>
      <c r="L1747" s="60">
        <v>0.48935255543384237</v>
      </c>
    </row>
    <row r="1748" spans="1:13" x14ac:dyDescent="0.2">
      <c r="A1748" s="53" t="s">
        <v>144</v>
      </c>
      <c r="B1748" s="54" t="s">
        <v>59</v>
      </c>
      <c r="C1748" s="65" t="s">
        <v>64</v>
      </c>
      <c r="D1748" s="44">
        <v>1.167571038181113E-4</v>
      </c>
      <c r="E1748" s="56" t="s">
        <v>133</v>
      </c>
      <c r="F1748" s="57" t="s">
        <v>16</v>
      </c>
      <c r="G1748" s="58">
        <v>1</v>
      </c>
      <c r="H1748" s="58">
        <v>1</v>
      </c>
      <c r="I1748" s="58">
        <v>3</v>
      </c>
      <c r="J1748" s="58">
        <v>2</v>
      </c>
      <c r="K1748" s="59">
        <v>2</v>
      </c>
      <c r="L1748" s="60">
        <v>0.48935255543384237</v>
      </c>
    </row>
    <row r="1749" spans="1:13" x14ac:dyDescent="0.2">
      <c r="A1749" s="53" t="s">
        <v>144</v>
      </c>
      <c r="B1749" s="54" t="s">
        <v>60</v>
      </c>
      <c r="C1749" s="65" t="s">
        <v>64</v>
      </c>
      <c r="D1749" s="44">
        <v>4.9303964948282132E-2</v>
      </c>
      <c r="E1749" s="56" t="s">
        <v>133</v>
      </c>
      <c r="F1749" s="57" t="s">
        <v>16</v>
      </c>
      <c r="G1749" s="58">
        <v>1</v>
      </c>
      <c r="H1749" s="58">
        <v>1</v>
      </c>
      <c r="I1749" s="58">
        <v>3</v>
      </c>
      <c r="J1749" s="58">
        <v>2</v>
      </c>
      <c r="K1749" s="59">
        <v>2</v>
      </c>
      <c r="L1749" s="60">
        <v>0.48935255543384237</v>
      </c>
    </row>
    <row r="1750" spans="1:13" x14ac:dyDescent="0.2">
      <c r="A1750" s="48" t="s">
        <v>144</v>
      </c>
      <c r="B1750" s="22" t="s">
        <v>135</v>
      </c>
      <c r="C1750" s="29" t="s">
        <v>66</v>
      </c>
      <c r="D1750" s="18">
        <v>0</v>
      </c>
      <c r="E1750" s="15"/>
      <c r="F1750" s="16"/>
      <c r="G1750" s="17"/>
      <c r="H1750" s="18"/>
      <c r="I1750" s="18"/>
      <c r="J1750" s="18"/>
      <c r="K1750" s="18"/>
      <c r="L1750" s="19" t="str">
        <f>IF( OR( ISBLANK(G1750),ISBLANK(H1750), ISBLANK(I1750), ISBLANK(J1750), ISBLANK(K1750) ), "", 1.5*SQRT(   EXP(2.21*(G1750-1)) + EXP(2.21*(H1750-1)) + EXP(2.21*(I1750-1)) + EXP(2.21*(J1750-1)) + EXP(2.21*K1750)   )/100*2.45 )</f>
        <v/>
      </c>
      <c r="M1750" s="20"/>
    </row>
    <row r="1751" spans="1:13" x14ac:dyDescent="0.2">
      <c r="A1751" s="48" t="s">
        <v>144</v>
      </c>
      <c r="B1751" s="22" t="s">
        <v>135</v>
      </c>
      <c r="C1751" s="30" t="s">
        <v>94</v>
      </c>
      <c r="D1751" s="18">
        <v>0</v>
      </c>
      <c r="E1751" s="15"/>
      <c r="F1751" s="16"/>
      <c r="G1751" s="17"/>
      <c r="H1751" s="18"/>
      <c r="I1751" s="18"/>
      <c r="J1751" s="18"/>
      <c r="K1751" s="18"/>
      <c r="L1751" s="19" t="str">
        <f>IF( OR( ISBLANK(G1751),ISBLANK(H1751), ISBLANK(I1751), ISBLANK(J1751), ISBLANK(K1751) ), "", 1.5*SQRT( EXP(2.21*(G1751-1)) + EXP(2.21*(H1751-1)) + EXP(2.21*(I1751-1)) + EXP(2.21*(J1751-1)) + EXP(2.21*K1751) )/100*2.45 )</f>
        <v/>
      </c>
      <c r="M1751" s="20"/>
    </row>
    <row r="1752" spans="1:13" x14ac:dyDescent="0.2">
      <c r="A1752" s="48" t="s">
        <v>144</v>
      </c>
      <c r="B1752" s="22" t="s">
        <v>135</v>
      </c>
      <c r="C1752" s="31" t="s">
        <v>96</v>
      </c>
      <c r="D1752" s="18">
        <v>0</v>
      </c>
      <c r="E1752" s="15"/>
      <c r="F1752" s="16"/>
      <c r="G1752" s="17"/>
      <c r="H1752" s="18"/>
      <c r="I1752" s="18"/>
      <c r="J1752" s="18"/>
      <c r="K1752" s="18"/>
      <c r="L1752" s="19" t="str">
        <f>IF( OR( ISBLANK(G1752),ISBLANK(H1752), ISBLANK(I1752), ISBLANK(J1752), ISBLANK(K1752) ), "", 1.5*SQRT( EXP(2.21*(G1752-1)) + EXP(2.21*(H1752-1)) + EXP(2.21*(I1752-1)) + EXP(2.21*(J1752-1)) + EXP(2.21*K1752) )/100*2.45 )</f>
        <v/>
      </c>
      <c r="M1752" s="20"/>
    </row>
    <row r="1753" spans="1:13" x14ac:dyDescent="0.2">
      <c r="A1753" s="49" t="s">
        <v>144</v>
      </c>
      <c r="B1753" s="39" t="s">
        <v>135</v>
      </c>
      <c r="C1753" s="35" t="s">
        <v>98</v>
      </c>
      <c r="D1753" s="51">
        <v>0</v>
      </c>
      <c r="E1753" s="37"/>
      <c r="F1753" s="38"/>
      <c r="G1753" s="50"/>
      <c r="H1753" s="51"/>
      <c r="I1753" s="51"/>
      <c r="J1753" s="51"/>
      <c r="K1753" s="51"/>
      <c r="L1753" s="52" t="str">
        <f>IF( OR( ISBLANK(G1753),ISBLANK(H1753), ISBLANK(I1753), ISBLANK(J1753), ISBLANK(K1753) ), "", 1.5*SQRT( EXP(2.21*(G1753-1)) + EXP(2.21*(H1753-1)) + EXP(2.21*(I1753-1)) + EXP(2.21*(J1753-1)) + EXP(2.21*K1753) )/100*2.45 )</f>
        <v/>
      </c>
      <c r="M1753" s="42"/>
    </row>
    <row r="1754" spans="1:13" x14ac:dyDescent="0.2">
      <c r="A1754" s="53" t="s">
        <v>145</v>
      </c>
      <c r="B1754" s="54" t="s">
        <v>13</v>
      </c>
      <c r="C1754" s="55" t="s">
        <v>14</v>
      </c>
      <c r="D1754" s="44">
        <v>8.2738712146083349E-3</v>
      </c>
      <c r="E1754" s="56" t="s">
        <v>133</v>
      </c>
      <c r="F1754" s="57" t="s">
        <v>16</v>
      </c>
      <c r="G1754" s="58">
        <v>1</v>
      </c>
      <c r="H1754" s="58">
        <v>1</v>
      </c>
      <c r="I1754" s="58">
        <v>3</v>
      </c>
      <c r="J1754" s="58">
        <v>2</v>
      </c>
      <c r="K1754" s="59">
        <v>2</v>
      </c>
      <c r="L1754" s="60">
        <v>0.48935255543384237</v>
      </c>
    </row>
    <row r="1755" spans="1:13" x14ac:dyDescent="0.2">
      <c r="A1755" s="53" t="s">
        <v>145</v>
      </c>
      <c r="B1755" s="54" t="s">
        <v>18</v>
      </c>
      <c r="C1755" s="55" t="s">
        <v>14</v>
      </c>
      <c r="D1755" s="44">
        <v>3.8072940747917378E-4</v>
      </c>
      <c r="E1755" s="56" t="s">
        <v>133</v>
      </c>
      <c r="F1755" s="57" t="s">
        <v>16</v>
      </c>
      <c r="G1755" s="58">
        <v>1</v>
      </c>
      <c r="H1755" s="58">
        <v>1</v>
      </c>
      <c r="I1755" s="58">
        <v>3</v>
      </c>
      <c r="J1755" s="58">
        <v>2</v>
      </c>
      <c r="K1755" s="59">
        <v>2</v>
      </c>
      <c r="L1755" s="60">
        <v>0.48935255543384237</v>
      </c>
    </row>
    <row r="1756" spans="1:13" x14ac:dyDescent="0.2">
      <c r="A1756" s="53" t="s">
        <v>145</v>
      </c>
      <c r="B1756" s="54" t="s">
        <v>20</v>
      </c>
      <c r="C1756" s="55" t="s">
        <v>14</v>
      </c>
      <c r="D1756" s="44">
        <v>2.3688296963083291E-2</v>
      </c>
      <c r="E1756" s="56" t="s">
        <v>133</v>
      </c>
      <c r="F1756" s="57" t="s">
        <v>16</v>
      </c>
      <c r="G1756" s="58">
        <v>1</v>
      </c>
      <c r="H1756" s="58">
        <v>1</v>
      </c>
      <c r="I1756" s="58">
        <v>3</v>
      </c>
      <c r="J1756" s="58">
        <v>2</v>
      </c>
      <c r="K1756" s="59">
        <v>2</v>
      </c>
      <c r="L1756" s="60">
        <v>0.48935255543384237</v>
      </c>
    </row>
    <row r="1757" spans="1:13" x14ac:dyDescent="0.2">
      <c r="A1757" s="53" t="s">
        <v>145</v>
      </c>
      <c r="B1757" s="54" t="s">
        <v>22</v>
      </c>
      <c r="C1757" s="55" t="s">
        <v>14</v>
      </c>
      <c r="D1757" s="44">
        <v>3.9563560136711563E-2</v>
      </c>
      <c r="E1757" s="56" t="s">
        <v>133</v>
      </c>
      <c r="F1757" s="57" t="s">
        <v>16</v>
      </c>
      <c r="G1757" s="58">
        <v>1</v>
      </c>
      <c r="H1757" s="58">
        <v>1</v>
      </c>
      <c r="I1757" s="58">
        <v>3</v>
      </c>
      <c r="J1757" s="58">
        <v>2</v>
      </c>
      <c r="K1757" s="59">
        <v>2</v>
      </c>
      <c r="L1757" s="60">
        <v>0.48935255543384237</v>
      </c>
    </row>
    <row r="1758" spans="1:13" x14ac:dyDescent="0.2">
      <c r="A1758" s="53" t="s">
        <v>145</v>
      </c>
      <c r="B1758" s="54" t="s">
        <v>23</v>
      </c>
      <c r="C1758" s="55" t="s">
        <v>14</v>
      </c>
      <c r="D1758" s="44">
        <v>1.3404954152517939E-2</v>
      </c>
      <c r="E1758" s="56" t="s">
        <v>133</v>
      </c>
      <c r="F1758" s="57" t="s">
        <v>16</v>
      </c>
      <c r="G1758" s="58">
        <v>1</v>
      </c>
      <c r="H1758" s="58">
        <v>1</v>
      </c>
      <c r="I1758" s="58">
        <v>3</v>
      </c>
      <c r="J1758" s="58">
        <v>2</v>
      </c>
      <c r="K1758" s="59">
        <v>2</v>
      </c>
      <c r="L1758" s="60">
        <v>0.48935255543384237</v>
      </c>
    </row>
    <row r="1759" spans="1:13" x14ac:dyDescent="0.2">
      <c r="A1759" s="53" t="s">
        <v>145</v>
      </c>
      <c r="B1759" s="54" t="s">
        <v>24</v>
      </c>
      <c r="C1759" s="55" t="s">
        <v>14</v>
      </c>
      <c r="D1759" s="44">
        <v>3.7163926516663282E-2</v>
      </c>
      <c r="E1759" s="56" t="s">
        <v>133</v>
      </c>
      <c r="F1759" s="57" t="s">
        <v>16</v>
      </c>
      <c r="G1759" s="58">
        <v>1</v>
      </c>
      <c r="H1759" s="58">
        <v>1</v>
      </c>
      <c r="I1759" s="58">
        <v>3</v>
      </c>
      <c r="J1759" s="58">
        <v>2</v>
      </c>
      <c r="K1759" s="59">
        <v>2</v>
      </c>
      <c r="L1759" s="60">
        <v>0.48935255543384237</v>
      </c>
    </row>
    <row r="1760" spans="1:13" x14ac:dyDescent="0.2">
      <c r="A1760" s="53" t="s">
        <v>145</v>
      </c>
      <c r="B1760" s="54" t="s">
        <v>25</v>
      </c>
      <c r="C1760" s="55" t="s">
        <v>14</v>
      </c>
      <c r="D1760" s="44">
        <v>7.7656047423108623E-2</v>
      </c>
      <c r="E1760" s="56" t="s">
        <v>133</v>
      </c>
      <c r="F1760" s="57" t="s">
        <v>16</v>
      </c>
      <c r="G1760" s="58">
        <v>1</v>
      </c>
      <c r="H1760" s="58">
        <v>1</v>
      </c>
      <c r="I1760" s="58">
        <v>3</v>
      </c>
      <c r="J1760" s="58">
        <v>2</v>
      </c>
      <c r="K1760" s="59">
        <v>2</v>
      </c>
      <c r="L1760" s="60">
        <v>0.48935255543384237</v>
      </c>
    </row>
    <row r="1761" spans="1:12" x14ac:dyDescent="0.2">
      <c r="A1761" s="53" t="s">
        <v>145</v>
      </c>
      <c r="B1761" s="54" t="s">
        <v>26</v>
      </c>
      <c r="C1761" s="55" t="s">
        <v>14</v>
      </c>
      <c r="D1761" s="44">
        <v>1.9858955194422081E-3</v>
      </c>
      <c r="E1761" s="56" t="s">
        <v>133</v>
      </c>
      <c r="F1761" s="57" t="s">
        <v>16</v>
      </c>
      <c r="G1761" s="58">
        <v>1</v>
      </c>
      <c r="H1761" s="58">
        <v>1</v>
      </c>
      <c r="I1761" s="58">
        <v>3</v>
      </c>
      <c r="J1761" s="58">
        <v>2</v>
      </c>
      <c r="K1761" s="59">
        <v>2</v>
      </c>
      <c r="L1761" s="60">
        <v>0.48935255543384237</v>
      </c>
    </row>
    <row r="1762" spans="1:12" x14ac:dyDescent="0.2">
      <c r="A1762" s="53" t="s">
        <v>145</v>
      </c>
      <c r="B1762" s="54" t="s">
        <v>27</v>
      </c>
      <c r="C1762" s="55" t="s">
        <v>14</v>
      </c>
      <c r="D1762" s="44">
        <v>2.74214435303505E-2</v>
      </c>
      <c r="E1762" s="56" t="s">
        <v>133</v>
      </c>
      <c r="F1762" s="57" t="s">
        <v>16</v>
      </c>
      <c r="G1762" s="58">
        <v>1</v>
      </c>
      <c r="H1762" s="58">
        <v>1</v>
      </c>
      <c r="I1762" s="58">
        <v>3</v>
      </c>
      <c r="J1762" s="58">
        <v>2</v>
      </c>
      <c r="K1762" s="59">
        <v>2</v>
      </c>
      <c r="L1762" s="60">
        <v>0.48935255543384237</v>
      </c>
    </row>
    <row r="1763" spans="1:12" x14ac:dyDescent="0.2">
      <c r="A1763" s="53" t="s">
        <v>145</v>
      </c>
      <c r="B1763" s="54" t="s">
        <v>28</v>
      </c>
      <c r="C1763" s="55" t="s">
        <v>14</v>
      </c>
      <c r="D1763" s="44">
        <v>0.34806758434589019</v>
      </c>
      <c r="E1763" s="56" t="s">
        <v>133</v>
      </c>
      <c r="F1763" s="57" t="s">
        <v>16</v>
      </c>
      <c r="G1763" s="58">
        <v>1</v>
      </c>
      <c r="H1763" s="58">
        <v>1</v>
      </c>
      <c r="I1763" s="58">
        <v>3</v>
      </c>
      <c r="J1763" s="58">
        <v>2</v>
      </c>
      <c r="K1763" s="59">
        <v>2</v>
      </c>
      <c r="L1763" s="60">
        <v>0.48935255543384237</v>
      </c>
    </row>
    <row r="1764" spans="1:12" x14ac:dyDescent="0.2">
      <c r="A1764" s="53" t="s">
        <v>145</v>
      </c>
      <c r="B1764" s="54" t="s">
        <v>30</v>
      </c>
      <c r="C1764" s="55" t="s">
        <v>14</v>
      </c>
      <c r="D1764" s="44">
        <v>5.8763489121833441E-2</v>
      </c>
      <c r="E1764" s="56" t="s">
        <v>133</v>
      </c>
      <c r="F1764" s="57" t="s">
        <v>16</v>
      </c>
      <c r="G1764" s="58">
        <v>1</v>
      </c>
      <c r="H1764" s="58">
        <v>1</v>
      </c>
      <c r="I1764" s="58">
        <v>3</v>
      </c>
      <c r="J1764" s="58">
        <v>2</v>
      </c>
      <c r="K1764" s="59">
        <v>2</v>
      </c>
      <c r="L1764" s="60">
        <v>0.48935255543384237</v>
      </c>
    </row>
    <row r="1765" spans="1:12" x14ac:dyDescent="0.2">
      <c r="A1765" s="53" t="s">
        <v>145</v>
      </c>
      <c r="B1765" s="54" t="s">
        <v>32</v>
      </c>
      <c r="C1765" s="55" t="s">
        <v>14</v>
      </c>
      <c r="D1765" s="44">
        <v>0.2399818792987376</v>
      </c>
      <c r="E1765" s="56" t="s">
        <v>133</v>
      </c>
      <c r="F1765" s="57" t="s">
        <v>16</v>
      </c>
      <c r="G1765" s="58">
        <v>1</v>
      </c>
      <c r="H1765" s="58">
        <v>1</v>
      </c>
      <c r="I1765" s="58">
        <v>3</v>
      </c>
      <c r="J1765" s="58">
        <v>2</v>
      </c>
      <c r="K1765" s="59">
        <v>2</v>
      </c>
      <c r="L1765" s="60">
        <v>0.48935255543384237</v>
      </c>
    </row>
    <row r="1766" spans="1:12" x14ac:dyDescent="0.2">
      <c r="A1766" s="53" t="s">
        <v>145</v>
      </c>
      <c r="B1766" s="54" t="s">
        <v>34</v>
      </c>
      <c r="C1766" s="55" t="s">
        <v>14</v>
      </c>
      <c r="D1766" s="44">
        <v>3.3584104600301812E-2</v>
      </c>
      <c r="E1766" s="56" t="s">
        <v>133</v>
      </c>
      <c r="F1766" s="57" t="s">
        <v>16</v>
      </c>
      <c r="G1766" s="58">
        <v>1</v>
      </c>
      <c r="H1766" s="58">
        <v>1</v>
      </c>
      <c r="I1766" s="58">
        <v>3</v>
      </c>
      <c r="J1766" s="58">
        <v>2</v>
      </c>
      <c r="K1766" s="59">
        <v>2</v>
      </c>
      <c r="L1766" s="60">
        <v>0.48935255543384237</v>
      </c>
    </row>
    <row r="1767" spans="1:12" x14ac:dyDescent="0.2">
      <c r="A1767" s="53" t="s">
        <v>145</v>
      </c>
      <c r="B1767" s="54" t="s">
        <v>36</v>
      </c>
      <c r="C1767" s="55" t="s">
        <v>14</v>
      </c>
      <c r="D1767" s="44">
        <v>6.8769385851311232E-2</v>
      </c>
      <c r="E1767" s="56" t="s">
        <v>133</v>
      </c>
      <c r="F1767" s="57" t="s">
        <v>16</v>
      </c>
      <c r="G1767" s="58">
        <v>1</v>
      </c>
      <c r="H1767" s="58">
        <v>1</v>
      </c>
      <c r="I1767" s="58">
        <v>3</v>
      </c>
      <c r="J1767" s="58">
        <v>2</v>
      </c>
      <c r="K1767" s="59">
        <v>2</v>
      </c>
      <c r="L1767" s="60">
        <v>0.48935255543384237</v>
      </c>
    </row>
    <row r="1768" spans="1:12" x14ac:dyDescent="0.2">
      <c r="A1768" s="53" t="s">
        <v>145</v>
      </c>
      <c r="B1768" s="54" t="s">
        <v>37</v>
      </c>
      <c r="C1768" s="55" t="s">
        <v>14</v>
      </c>
      <c r="D1768" s="44">
        <v>0.22914856830488911</v>
      </c>
      <c r="E1768" s="56" t="s">
        <v>133</v>
      </c>
      <c r="F1768" s="57" t="s">
        <v>16</v>
      </c>
      <c r="G1768" s="58">
        <v>1</v>
      </c>
      <c r="H1768" s="58">
        <v>1</v>
      </c>
      <c r="I1768" s="58">
        <v>3</v>
      </c>
      <c r="J1768" s="58">
        <v>2</v>
      </c>
      <c r="K1768" s="59">
        <v>2</v>
      </c>
      <c r="L1768" s="60">
        <v>0.48935255543384237</v>
      </c>
    </row>
    <row r="1769" spans="1:12" x14ac:dyDescent="0.2">
      <c r="A1769" s="53" t="s">
        <v>145</v>
      </c>
      <c r="B1769" s="54" t="s">
        <v>39</v>
      </c>
      <c r="C1769" s="55" t="s">
        <v>14</v>
      </c>
      <c r="D1769" s="44">
        <v>1.3069584373011161E-3</v>
      </c>
      <c r="E1769" s="56" t="s">
        <v>133</v>
      </c>
      <c r="F1769" s="57" t="s">
        <v>16</v>
      </c>
      <c r="G1769" s="58">
        <v>1</v>
      </c>
      <c r="H1769" s="58">
        <v>1</v>
      </c>
      <c r="I1769" s="58">
        <v>3</v>
      </c>
      <c r="J1769" s="58">
        <v>2</v>
      </c>
      <c r="K1769" s="59">
        <v>2</v>
      </c>
      <c r="L1769" s="60">
        <v>0.48935255543384237</v>
      </c>
    </row>
    <row r="1770" spans="1:12" x14ac:dyDescent="0.2">
      <c r="A1770" s="53" t="s">
        <v>145</v>
      </c>
      <c r="B1770" s="54" t="s">
        <v>40</v>
      </c>
      <c r="C1770" s="55" t="s">
        <v>14</v>
      </c>
      <c r="D1770" s="44">
        <v>8.1564444283140063E-3</v>
      </c>
      <c r="E1770" s="56" t="s">
        <v>133</v>
      </c>
      <c r="F1770" s="57" t="s">
        <v>16</v>
      </c>
      <c r="G1770" s="58">
        <v>1</v>
      </c>
      <c r="H1770" s="58">
        <v>1</v>
      </c>
      <c r="I1770" s="58">
        <v>3</v>
      </c>
      <c r="J1770" s="58">
        <v>2</v>
      </c>
      <c r="K1770" s="59">
        <v>2</v>
      </c>
      <c r="L1770" s="60">
        <v>0.48935255543384237</v>
      </c>
    </row>
    <row r="1771" spans="1:12" x14ac:dyDescent="0.2">
      <c r="A1771" s="53" t="s">
        <v>145</v>
      </c>
      <c r="B1771" s="54" t="s">
        <v>41</v>
      </c>
      <c r="C1771" s="55" t="s">
        <v>14</v>
      </c>
      <c r="D1771" s="61">
        <v>0</v>
      </c>
      <c r="E1771" s="56" t="s">
        <v>133</v>
      </c>
      <c r="F1771" s="57" t="s">
        <v>16</v>
      </c>
      <c r="G1771" s="61"/>
      <c r="H1771" s="61"/>
      <c r="I1771" s="61"/>
      <c r="J1771" s="61"/>
      <c r="K1771" s="62"/>
      <c r="L1771" s="63"/>
    </row>
    <row r="1772" spans="1:12" x14ac:dyDescent="0.2">
      <c r="A1772" s="53" t="s">
        <v>145</v>
      </c>
      <c r="B1772" s="54" t="s">
        <v>42</v>
      </c>
      <c r="C1772" s="55" t="s">
        <v>14</v>
      </c>
      <c r="D1772" s="44">
        <v>3.6122879334573373E-2</v>
      </c>
      <c r="E1772" s="56" t="s">
        <v>133</v>
      </c>
      <c r="F1772" s="57" t="s">
        <v>16</v>
      </c>
      <c r="G1772" s="58">
        <v>1</v>
      </c>
      <c r="H1772" s="58">
        <v>1</v>
      </c>
      <c r="I1772" s="58">
        <v>3</v>
      </c>
      <c r="J1772" s="58">
        <v>2</v>
      </c>
      <c r="K1772" s="59">
        <v>2</v>
      </c>
      <c r="L1772" s="60">
        <v>0.48935255543384237</v>
      </c>
    </row>
    <row r="1773" spans="1:12" x14ac:dyDescent="0.2">
      <c r="A1773" s="53" t="s">
        <v>145</v>
      </c>
      <c r="B1773" s="54" t="s">
        <v>43</v>
      </c>
      <c r="C1773" s="55" t="s">
        <v>14</v>
      </c>
      <c r="D1773" s="44">
        <v>7.2961599178736236E-2</v>
      </c>
      <c r="E1773" s="56" t="s">
        <v>133</v>
      </c>
      <c r="F1773" s="57" t="s">
        <v>16</v>
      </c>
      <c r="G1773" s="58">
        <v>1</v>
      </c>
      <c r="H1773" s="58">
        <v>1</v>
      </c>
      <c r="I1773" s="58">
        <v>3</v>
      </c>
      <c r="J1773" s="58">
        <v>2</v>
      </c>
      <c r="K1773" s="59">
        <v>2</v>
      </c>
      <c r="L1773" s="60">
        <v>0.48935255543384237</v>
      </c>
    </row>
    <row r="1774" spans="1:12" x14ac:dyDescent="0.2">
      <c r="A1774" s="53" t="s">
        <v>145</v>
      </c>
      <c r="B1774" s="54" t="s">
        <v>45</v>
      </c>
      <c r="C1774" s="55" t="s">
        <v>14</v>
      </c>
      <c r="D1774" s="44">
        <v>2.7150416018788222</v>
      </c>
      <c r="E1774" s="56" t="s">
        <v>133</v>
      </c>
      <c r="F1774" s="57" t="s">
        <v>16</v>
      </c>
      <c r="G1774" s="58">
        <v>1</v>
      </c>
      <c r="H1774" s="58">
        <v>1</v>
      </c>
      <c r="I1774" s="58">
        <v>3</v>
      </c>
      <c r="J1774" s="58">
        <v>2</v>
      </c>
      <c r="K1774" s="59">
        <v>2</v>
      </c>
      <c r="L1774" s="60">
        <v>0.48935255543384237</v>
      </c>
    </row>
    <row r="1775" spans="1:12" x14ac:dyDescent="0.2">
      <c r="A1775" s="53" t="s">
        <v>145</v>
      </c>
      <c r="B1775" s="54" t="s">
        <v>46</v>
      </c>
      <c r="C1775" s="55" t="s">
        <v>14</v>
      </c>
      <c r="D1775" s="44">
        <v>8.2736376762827898E-2</v>
      </c>
      <c r="E1775" s="56" t="s">
        <v>133</v>
      </c>
      <c r="F1775" s="57" t="s">
        <v>16</v>
      </c>
      <c r="G1775" s="58">
        <v>1</v>
      </c>
      <c r="H1775" s="58">
        <v>1</v>
      </c>
      <c r="I1775" s="58">
        <v>3</v>
      </c>
      <c r="J1775" s="58">
        <v>2</v>
      </c>
      <c r="K1775" s="59">
        <v>2</v>
      </c>
      <c r="L1775" s="60">
        <v>0.48935255543384237</v>
      </c>
    </row>
    <row r="1776" spans="1:12" x14ac:dyDescent="0.2">
      <c r="A1776" s="53" t="s">
        <v>145</v>
      </c>
      <c r="B1776" s="54" t="s">
        <v>48</v>
      </c>
      <c r="C1776" s="55" t="s">
        <v>14</v>
      </c>
      <c r="D1776" s="44">
        <v>3.754103079724827E-2</v>
      </c>
      <c r="E1776" s="56" t="s">
        <v>133</v>
      </c>
      <c r="F1776" s="57" t="s">
        <v>16</v>
      </c>
      <c r="G1776" s="58">
        <v>1</v>
      </c>
      <c r="H1776" s="58">
        <v>1</v>
      </c>
      <c r="I1776" s="58">
        <v>3</v>
      </c>
      <c r="J1776" s="58">
        <v>2</v>
      </c>
      <c r="K1776" s="59">
        <v>2</v>
      </c>
      <c r="L1776" s="60">
        <v>0.48935255543384237</v>
      </c>
    </row>
    <row r="1777" spans="1:13" x14ac:dyDescent="0.2">
      <c r="A1777" s="53" t="s">
        <v>145</v>
      </c>
      <c r="B1777" s="54" t="s">
        <v>50</v>
      </c>
      <c r="C1777" s="55" t="s">
        <v>14</v>
      </c>
      <c r="D1777" s="44">
        <v>2.2535901913516079E-2</v>
      </c>
      <c r="E1777" s="56" t="s">
        <v>133</v>
      </c>
      <c r="F1777" s="57" t="s">
        <v>16</v>
      </c>
      <c r="G1777" s="58">
        <v>1</v>
      </c>
      <c r="H1777" s="58">
        <v>1</v>
      </c>
      <c r="I1777" s="58">
        <v>3</v>
      </c>
      <c r="J1777" s="58">
        <v>2</v>
      </c>
      <c r="K1777" s="59">
        <v>2</v>
      </c>
      <c r="L1777" s="60">
        <v>0.48935255543384237</v>
      </c>
    </row>
    <row r="1778" spans="1:13" x14ac:dyDescent="0.2">
      <c r="A1778" s="53" t="s">
        <v>145</v>
      </c>
      <c r="B1778" s="54" t="s">
        <v>52</v>
      </c>
      <c r="C1778" s="55" t="s">
        <v>14</v>
      </c>
      <c r="D1778" s="44">
        <v>4.1825584668525508E-3</v>
      </c>
      <c r="E1778" s="56" t="s">
        <v>133</v>
      </c>
      <c r="F1778" s="57" t="s">
        <v>16</v>
      </c>
      <c r="G1778" s="58">
        <v>1</v>
      </c>
      <c r="H1778" s="58">
        <v>1</v>
      </c>
      <c r="I1778" s="58">
        <v>3</v>
      </c>
      <c r="J1778" s="58">
        <v>2</v>
      </c>
      <c r="K1778" s="59">
        <v>2</v>
      </c>
      <c r="L1778" s="60">
        <v>0.48935255543384237</v>
      </c>
    </row>
    <row r="1779" spans="1:13" x14ac:dyDescent="0.2">
      <c r="A1779" s="53" t="s">
        <v>145</v>
      </c>
      <c r="B1779" s="54" t="s">
        <v>54</v>
      </c>
      <c r="C1779" s="55" t="s">
        <v>14</v>
      </c>
      <c r="D1779" s="44">
        <v>3.046928262917064E-3</v>
      </c>
      <c r="E1779" s="56" t="s">
        <v>133</v>
      </c>
      <c r="F1779" s="57" t="s">
        <v>16</v>
      </c>
      <c r="G1779" s="58">
        <v>1</v>
      </c>
      <c r="H1779" s="58">
        <v>1</v>
      </c>
      <c r="I1779" s="58">
        <v>3</v>
      </c>
      <c r="J1779" s="58">
        <v>2</v>
      </c>
      <c r="K1779" s="59">
        <v>2</v>
      </c>
      <c r="L1779" s="60">
        <v>0.48935255543384237</v>
      </c>
    </row>
    <row r="1780" spans="1:13" x14ac:dyDescent="0.2">
      <c r="A1780" s="53" t="s">
        <v>145</v>
      </c>
      <c r="B1780" s="54" t="s">
        <v>55</v>
      </c>
      <c r="C1780" s="55" t="s">
        <v>14</v>
      </c>
      <c r="D1780" s="44">
        <v>0.49845831986422101</v>
      </c>
      <c r="E1780" s="56" t="s">
        <v>133</v>
      </c>
      <c r="F1780" s="57" t="s">
        <v>16</v>
      </c>
      <c r="G1780" s="58">
        <v>1</v>
      </c>
      <c r="H1780" s="58">
        <v>1</v>
      </c>
      <c r="I1780" s="58">
        <v>3</v>
      </c>
      <c r="J1780" s="58">
        <v>2</v>
      </c>
      <c r="K1780" s="59">
        <v>2</v>
      </c>
      <c r="L1780" s="60">
        <v>0.48935255543384237</v>
      </c>
    </row>
    <row r="1781" spans="1:13" x14ac:dyDescent="0.2">
      <c r="A1781" s="53" t="s">
        <v>145</v>
      </c>
      <c r="B1781" s="54" t="s">
        <v>57</v>
      </c>
      <c r="C1781" s="55" t="s">
        <v>14</v>
      </c>
      <c r="D1781" s="44">
        <v>2.220672581815011E-2</v>
      </c>
      <c r="E1781" s="56" t="s">
        <v>133</v>
      </c>
      <c r="F1781" s="57" t="s">
        <v>16</v>
      </c>
      <c r="G1781" s="58">
        <v>1</v>
      </c>
      <c r="H1781" s="58">
        <v>1</v>
      </c>
      <c r="I1781" s="58">
        <v>3</v>
      </c>
      <c r="J1781" s="58">
        <v>2</v>
      </c>
      <c r="K1781" s="59">
        <v>2</v>
      </c>
      <c r="L1781" s="60">
        <v>0.48935255543384237</v>
      </c>
    </row>
    <row r="1782" spans="1:13" x14ac:dyDescent="0.2">
      <c r="A1782" s="53" t="s">
        <v>145</v>
      </c>
      <c r="B1782" s="54" t="s">
        <v>59</v>
      </c>
      <c r="C1782" s="55" t="s">
        <v>14</v>
      </c>
      <c r="D1782" s="44">
        <v>4.2956842860126304E-3</v>
      </c>
      <c r="E1782" s="56" t="s">
        <v>133</v>
      </c>
      <c r="F1782" s="57" t="s">
        <v>16</v>
      </c>
      <c r="G1782" s="58">
        <v>1</v>
      </c>
      <c r="H1782" s="58">
        <v>1</v>
      </c>
      <c r="I1782" s="58">
        <v>3</v>
      </c>
      <c r="J1782" s="58">
        <v>2</v>
      </c>
      <c r="K1782" s="59">
        <v>2</v>
      </c>
      <c r="L1782" s="60">
        <v>0.48935255543384237</v>
      </c>
    </row>
    <row r="1783" spans="1:13" x14ac:dyDescent="0.2">
      <c r="A1783" s="53" t="s">
        <v>145</v>
      </c>
      <c r="B1783" s="54" t="s">
        <v>60</v>
      </c>
      <c r="C1783" s="55" t="s">
        <v>14</v>
      </c>
      <c r="D1783" s="44">
        <v>0.40136385746982051</v>
      </c>
      <c r="E1783" s="56" t="s">
        <v>133</v>
      </c>
      <c r="F1783" s="57" t="s">
        <v>16</v>
      </c>
      <c r="G1783" s="58">
        <v>1</v>
      </c>
      <c r="H1783" s="58">
        <v>1</v>
      </c>
      <c r="I1783" s="58">
        <v>3</v>
      </c>
      <c r="J1783" s="58">
        <v>2</v>
      </c>
      <c r="K1783" s="59">
        <v>2</v>
      </c>
      <c r="L1783" s="60">
        <v>0.48935255543384237</v>
      </c>
    </row>
    <row r="1784" spans="1:13" x14ac:dyDescent="0.2">
      <c r="A1784" s="53" t="s">
        <v>145</v>
      </c>
      <c r="B1784" s="54" t="s">
        <v>13</v>
      </c>
      <c r="C1784" s="64" t="s">
        <v>62</v>
      </c>
      <c r="D1784" s="44">
        <v>8.2738712146083349E-3</v>
      </c>
      <c r="E1784" s="56" t="s">
        <v>133</v>
      </c>
      <c r="F1784" s="57" t="s">
        <v>16</v>
      </c>
      <c r="G1784" s="58">
        <v>1</v>
      </c>
      <c r="H1784" s="58">
        <v>1</v>
      </c>
      <c r="I1784" s="58">
        <v>3</v>
      </c>
      <c r="J1784" s="58">
        <v>2</v>
      </c>
      <c r="K1784" s="59">
        <v>2</v>
      </c>
      <c r="L1784" s="60">
        <v>0.48935255543384237</v>
      </c>
      <c r="M1784" t="s">
        <v>146</v>
      </c>
    </row>
    <row r="1785" spans="1:13" x14ac:dyDescent="0.2">
      <c r="A1785" s="53" t="s">
        <v>145</v>
      </c>
      <c r="B1785" s="54" t="s">
        <v>18</v>
      </c>
      <c r="C1785" s="64" t="s">
        <v>62</v>
      </c>
      <c r="D1785" s="44">
        <v>3.8072940747917378E-4</v>
      </c>
      <c r="E1785" s="56" t="s">
        <v>133</v>
      </c>
      <c r="F1785" s="57" t="s">
        <v>16</v>
      </c>
      <c r="G1785" s="58">
        <v>1</v>
      </c>
      <c r="H1785" s="58">
        <v>1</v>
      </c>
      <c r="I1785" s="58">
        <v>3</v>
      </c>
      <c r="J1785" s="58">
        <v>2</v>
      </c>
      <c r="K1785" s="59">
        <v>2</v>
      </c>
      <c r="L1785" s="60">
        <v>0.48935255543384237</v>
      </c>
    </row>
    <row r="1786" spans="1:13" x14ac:dyDescent="0.2">
      <c r="A1786" s="53" t="s">
        <v>145</v>
      </c>
      <c r="B1786" s="54" t="s">
        <v>20</v>
      </c>
      <c r="C1786" s="64" t="s">
        <v>62</v>
      </c>
      <c r="D1786" s="44">
        <v>2.3688296963083291E-2</v>
      </c>
      <c r="E1786" s="56" t="s">
        <v>133</v>
      </c>
      <c r="F1786" s="57" t="s">
        <v>16</v>
      </c>
      <c r="G1786" s="58">
        <v>1</v>
      </c>
      <c r="H1786" s="58">
        <v>1</v>
      </c>
      <c r="I1786" s="58">
        <v>3</v>
      </c>
      <c r="J1786" s="58">
        <v>2</v>
      </c>
      <c r="K1786" s="59">
        <v>2</v>
      </c>
      <c r="L1786" s="60">
        <v>0.48935255543384237</v>
      </c>
    </row>
    <row r="1787" spans="1:13" x14ac:dyDescent="0.2">
      <c r="A1787" s="53" t="s">
        <v>145</v>
      </c>
      <c r="B1787" s="54" t="s">
        <v>22</v>
      </c>
      <c r="C1787" s="64" t="s">
        <v>62</v>
      </c>
      <c r="D1787" s="44">
        <v>3.9563560136711563E-2</v>
      </c>
      <c r="E1787" s="56" t="s">
        <v>133</v>
      </c>
      <c r="F1787" s="57" t="s">
        <v>16</v>
      </c>
      <c r="G1787" s="58">
        <v>1</v>
      </c>
      <c r="H1787" s="58">
        <v>1</v>
      </c>
      <c r="I1787" s="58">
        <v>3</v>
      </c>
      <c r="J1787" s="58">
        <v>2</v>
      </c>
      <c r="K1787" s="59">
        <v>2</v>
      </c>
      <c r="L1787" s="60">
        <v>0.48935255543384237</v>
      </c>
    </row>
    <row r="1788" spans="1:13" x14ac:dyDescent="0.2">
      <c r="A1788" s="53" t="s">
        <v>145</v>
      </c>
      <c r="B1788" s="54" t="s">
        <v>23</v>
      </c>
      <c r="C1788" s="64" t="s">
        <v>62</v>
      </c>
      <c r="D1788" s="44">
        <v>1.3404954152517939E-2</v>
      </c>
      <c r="E1788" s="56" t="s">
        <v>133</v>
      </c>
      <c r="F1788" s="57" t="s">
        <v>16</v>
      </c>
      <c r="G1788" s="58">
        <v>1</v>
      </c>
      <c r="H1788" s="58">
        <v>1</v>
      </c>
      <c r="I1788" s="58">
        <v>3</v>
      </c>
      <c r="J1788" s="58">
        <v>2</v>
      </c>
      <c r="K1788" s="59">
        <v>2</v>
      </c>
      <c r="L1788" s="60">
        <v>0.48935255543384237</v>
      </c>
    </row>
    <row r="1789" spans="1:13" x14ac:dyDescent="0.2">
      <c r="A1789" s="53" t="s">
        <v>145</v>
      </c>
      <c r="B1789" s="54" t="s">
        <v>24</v>
      </c>
      <c r="C1789" s="64" t="s">
        <v>62</v>
      </c>
      <c r="D1789" s="44">
        <v>3.7163926516663282E-2</v>
      </c>
      <c r="E1789" s="56" t="s">
        <v>133</v>
      </c>
      <c r="F1789" s="57" t="s">
        <v>16</v>
      </c>
      <c r="G1789" s="58">
        <v>1</v>
      </c>
      <c r="H1789" s="58">
        <v>1</v>
      </c>
      <c r="I1789" s="58">
        <v>3</v>
      </c>
      <c r="J1789" s="58">
        <v>2</v>
      </c>
      <c r="K1789" s="59">
        <v>2</v>
      </c>
      <c r="L1789" s="60">
        <v>0.48935255543384237</v>
      </c>
    </row>
    <row r="1790" spans="1:13" x14ac:dyDescent="0.2">
      <c r="A1790" s="53" t="s">
        <v>145</v>
      </c>
      <c r="B1790" s="54" t="s">
        <v>25</v>
      </c>
      <c r="C1790" s="64" t="s">
        <v>62</v>
      </c>
      <c r="D1790" s="44">
        <v>7.7656047423108623E-2</v>
      </c>
      <c r="E1790" s="56" t="s">
        <v>133</v>
      </c>
      <c r="F1790" s="57" t="s">
        <v>16</v>
      </c>
      <c r="G1790" s="58">
        <v>1</v>
      </c>
      <c r="H1790" s="58">
        <v>1</v>
      </c>
      <c r="I1790" s="58">
        <v>3</v>
      </c>
      <c r="J1790" s="58">
        <v>2</v>
      </c>
      <c r="K1790" s="59">
        <v>2</v>
      </c>
      <c r="L1790" s="60">
        <v>0.48935255543384237</v>
      </c>
    </row>
    <row r="1791" spans="1:13" x14ac:dyDescent="0.2">
      <c r="A1791" s="53" t="s">
        <v>145</v>
      </c>
      <c r="B1791" s="54" t="s">
        <v>26</v>
      </c>
      <c r="C1791" s="64" t="s">
        <v>62</v>
      </c>
      <c r="D1791" s="44">
        <v>1.9858955194422081E-3</v>
      </c>
      <c r="E1791" s="56" t="s">
        <v>133</v>
      </c>
      <c r="F1791" s="57" t="s">
        <v>16</v>
      </c>
      <c r="G1791" s="58">
        <v>1</v>
      </c>
      <c r="H1791" s="58">
        <v>1</v>
      </c>
      <c r="I1791" s="58">
        <v>3</v>
      </c>
      <c r="J1791" s="58">
        <v>2</v>
      </c>
      <c r="K1791" s="59">
        <v>2</v>
      </c>
      <c r="L1791" s="60">
        <v>0.48935255543384237</v>
      </c>
    </row>
    <row r="1792" spans="1:13" x14ac:dyDescent="0.2">
      <c r="A1792" s="53" t="s">
        <v>145</v>
      </c>
      <c r="B1792" s="54" t="s">
        <v>27</v>
      </c>
      <c r="C1792" s="64" t="s">
        <v>62</v>
      </c>
      <c r="D1792" s="44">
        <v>2.74214435303505E-2</v>
      </c>
      <c r="E1792" s="56" t="s">
        <v>133</v>
      </c>
      <c r="F1792" s="57" t="s">
        <v>16</v>
      </c>
      <c r="G1792" s="58">
        <v>1</v>
      </c>
      <c r="H1792" s="58">
        <v>1</v>
      </c>
      <c r="I1792" s="58">
        <v>3</v>
      </c>
      <c r="J1792" s="58">
        <v>2</v>
      </c>
      <c r="K1792" s="59">
        <v>2</v>
      </c>
      <c r="L1792" s="60">
        <v>0.48935255543384237</v>
      </c>
    </row>
    <row r="1793" spans="1:12" x14ac:dyDescent="0.2">
      <c r="A1793" s="53" t="s">
        <v>145</v>
      </c>
      <c r="B1793" s="54" t="s">
        <v>28</v>
      </c>
      <c r="C1793" s="64" t="s">
        <v>62</v>
      </c>
      <c r="D1793" s="44">
        <v>0.34806758434589019</v>
      </c>
      <c r="E1793" s="56" t="s">
        <v>133</v>
      </c>
      <c r="F1793" s="57" t="s">
        <v>16</v>
      </c>
      <c r="G1793" s="58">
        <v>1</v>
      </c>
      <c r="H1793" s="58">
        <v>1</v>
      </c>
      <c r="I1793" s="58">
        <v>3</v>
      </c>
      <c r="J1793" s="58">
        <v>2</v>
      </c>
      <c r="K1793" s="59">
        <v>2</v>
      </c>
      <c r="L1793" s="60">
        <v>0.48935255543384237</v>
      </c>
    </row>
    <row r="1794" spans="1:12" x14ac:dyDescent="0.2">
      <c r="A1794" s="53" t="s">
        <v>145</v>
      </c>
      <c r="B1794" s="54" t="s">
        <v>30</v>
      </c>
      <c r="C1794" s="64" t="s">
        <v>62</v>
      </c>
      <c r="D1794" s="44">
        <v>5.8763489121833441E-2</v>
      </c>
      <c r="E1794" s="56" t="s">
        <v>133</v>
      </c>
      <c r="F1794" s="57" t="s">
        <v>16</v>
      </c>
      <c r="G1794" s="58">
        <v>1</v>
      </c>
      <c r="H1794" s="58">
        <v>1</v>
      </c>
      <c r="I1794" s="58">
        <v>3</v>
      </c>
      <c r="J1794" s="58">
        <v>2</v>
      </c>
      <c r="K1794" s="59">
        <v>2</v>
      </c>
      <c r="L1794" s="60">
        <v>0.48935255543384237</v>
      </c>
    </row>
    <row r="1795" spans="1:12" x14ac:dyDescent="0.2">
      <c r="A1795" s="53" t="s">
        <v>145</v>
      </c>
      <c r="B1795" s="54" t="s">
        <v>32</v>
      </c>
      <c r="C1795" s="64" t="s">
        <v>62</v>
      </c>
      <c r="D1795" s="44">
        <v>0.2399818792987376</v>
      </c>
      <c r="E1795" s="56" t="s">
        <v>133</v>
      </c>
      <c r="F1795" s="57" t="s">
        <v>16</v>
      </c>
      <c r="G1795" s="58">
        <v>1</v>
      </c>
      <c r="H1795" s="58">
        <v>1</v>
      </c>
      <c r="I1795" s="58">
        <v>3</v>
      </c>
      <c r="J1795" s="58">
        <v>2</v>
      </c>
      <c r="K1795" s="59">
        <v>2</v>
      </c>
      <c r="L1795" s="60">
        <v>0.48935255543384237</v>
      </c>
    </row>
    <row r="1796" spans="1:12" x14ac:dyDescent="0.2">
      <c r="A1796" s="53" t="s">
        <v>145</v>
      </c>
      <c r="B1796" s="54" t="s">
        <v>34</v>
      </c>
      <c r="C1796" s="64" t="s">
        <v>62</v>
      </c>
      <c r="D1796" s="44">
        <v>3.3584104600301812E-2</v>
      </c>
      <c r="E1796" s="56" t="s">
        <v>133</v>
      </c>
      <c r="F1796" s="57" t="s">
        <v>16</v>
      </c>
      <c r="G1796" s="58">
        <v>1</v>
      </c>
      <c r="H1796" s="58">
        <v>1</v>
      </c>
      <c r="I1796" s="58">
        <v>3</v>
      </c>
      <c r="J1796" s="58">
        <v>2</v>
      </c>
      <c r="K1796" s="59">
        <v>2</v>
      </c>
      <c r="L1796" s="60">
        <v>0.48935255543384237</v>
      </c>
    </row>
    <row r="1797" spans="1:12" x14ac:dyDescent="0.2">
      <c r="A1797" s="53" t="s">
        <v>145</v>
      </c>
      <c r="B1797" s="54" t="s">
        <v>36</v>
      </c>
      <c r="C1797" s="64" t="s">
        <v>62</v>
      </c>
      <c r="D1797" s="44">
        <v>6.8769385851311232E-2</v>
      </c>
      <c r="E1797" s="56" t="s">
        <v>133</v>
      </c>
      <c r="F1797" s="57" t="s">
        <v>16</v>
      </c>
      <c r="G1797" s="58">
        <v>1</v>
      </c>
      <c r="H1797" s="58">
        <v>1</v>
      </c>
      <c r="I1797" s="58">
        <v>3</v>
      </c>
      <c r="J1797" s="58">
        <v>2</v>
      </c>
      <c r="K1797" s="59">
        <v>2</v>
      </c>
      <c r="L1797" s="60">
        <v>0.48935255543384237</v>
      </c>
    </row>
    <row r="1798" spans="1:12" x14ac:dyDescent="0.2">
      <c r="A1798" s="53" t="s">
        <v>145</v>
      </c>
      <c r="B1798" s="54" t="s">
        <v>37</v>
      </c>
      <c r="C1798" s="64" t="s">
        <v>62</v>
      </c>
      <c r="D1798" s="44">
        <v>0.22914856830488911</v>
      </c>
      <c r="E1798" s="56" t="s">
        <v>133</v>
      </c>
      <c r="F1798" s="57" t="s">
        <v>16</v>
      </c>
      <c r="G1798" s="58">
        <v>1</v>
      </c>
      <c r="H1798" s="58">
        <v>1</v>
      </c>
      <c r="I1798" s="58">
        <v>3</v>
      </c>
      <c r="J1798" s="58">
        <v>2</v>
      </c>
      <c r="K1798" s="59">
        <v>2</v>
      </c>
      <c r="L1798" s="60">
        <v>0.48935255543384237</v>
      </c>
    </row>
    <row r="1799" spans="1:12" x14ac:dyDescent="0.2">
      <c r="A1799" s="53" t="s">
        <v>145</v>
      </c>
      <c r="B1799" s="54" t="s">
        <v>39</v>
      </c>
      <c r="C1799" s="64" t="s">
        <v>62</v>
      </c>
      <c r="D1799" s="44">
        <v>1.3069584373011161E-3</v>
      </c>
      <c r="E1799" s="56" t="s">
        <v>133</v>
      </c>
      <c r="F1799" s="57" t="s">
        <v>16</v>
      </c>
      <c r="G1799" s="58">
        <v>1</v>
      </c>
      <c r="H1799" s="58">
        <v>1</v>
      </c>
      <c r="I1799" s="58">
        <v>3</v>
      </c>
      <c r="J1799" s="58">
        <v>2</v>
      </c>
      <c r="K1799" s="59">
        <v>2</v>
      </c>
      <c r="L1799" s="60">
        <v>0.48935255543384237</v>
      </c>
    </row>
    <row r="1800" spans="1:12" x14ac:dyDescent="0.2">
      <c r="A1800" s="53" t="s">
        <v>145</v>
      </c>
      <c r="B1800" s="54" t="s">
        <v>40</v>
      </c>
      <c r="C1800" s="64" t="s">
        <v>62</v>
      </c>
      <c r="D1800" s="44">
        <v>8.1564444283140063E-3</v>
      </c>
      <c r="E1800" s="56" t="s">
        <v>133</v>
      </c>
      <c r="F1800" s="57" t="s">
        <v>16</v>
      </c>
      <c r="G1800" s="58">
        <v>1</v>
      </c>
      <c r="H1800" s="58">
        <v>1</v>
      </c>
      <c r="I1800" s="58">
        <v>3</v>
      </c>
      <c r="J1800" s="58">
        <v>2</v>
      </c>
      <c r="K1800" s="59">
        <v>2</v>
      </c>
      <c r="L1800" s="60">
        <v>0.48935255543384237</v>
      </c>
    </row>
    <row r="1801" spans="1:12" x14ac:dyDescent="0.2">
      <c r="A1801" s="53" t="s">
        <v>145</v>
      </c>
      <c r="B1801" s="54" t="s">
        <v>41</v>
      </c>
      <c r="C1801" s="64" t="s">
        <v>62</v>
      </c>
      <c r="D1801" s="61">
        <v>0</v>
      </c>
      <c r="E1801" s="56" t="s">
        <v>133</v>
      </c>
      <c r="F1801" s="57" t="s">
        <v>16</v>
      </c>
      <c r="G1801" s="61"/>
      <c r="H1801" s="61"/>
      <c r="I1801" s="61"/>
      <c r="J1801" s="61"/>
      <c r="K1801" s="62"/>
      <c r="L1801" s="63"/>
    </row>
    <row r="1802" spans="1:12" x14ac:dyDescent="0.2">
      <c r="A1802" s="53" t="s">
        <v>145</v>
      </c>
      <c r="B1802" s="54" t="s">
        <v>42</v>
      </c>
      <c r="C1802" s="64" t="s">
        <v>62</v>
      </c>
      <c r="D1802" s="44">
        <v>3.6122879334573373E-2</v>
      </c>
      <c r="E1802" s="56" t="s">
        <v>133</v>
      </c>
      <c r="F1802" s="57" t="s">
        <v>16</v>
      </c>
      <c r="G1802" s="58">
        <v>1</v>
      </c>
      <c r="H1802" s="58">
        <v>1</v>
      </c>
      <c r="I1802" s="58">
        <v>3</v>
      </c>
      <c r="J1802" s="58">
        <v>2</v>
      </c>
      <c r="K1802" s="59">
        <v>2</v>
      </c>
      <c r="L1802" s="60">
        <v>0.48935255543384237</v>
      </c>
    </row>
    <row r="1803" spans="1:12" x14ac:dyDescent="0.2">
      <c r="A1803" s="53" t="s">
        <v>145</v>
      </c>
      <c r="B1803" s="54" t="s">
        <v>43</v>
      </c>
      <c r="C1803" s="64" t="s">
        <v>62</v>
      </c>
      <c r="D1803" s="44">
        <v>7.2961599178736236E-2</v>
      </c>
      <c r="E1803" s="56" t="s">
        <v>133</v>
      </c>
      <c r="F1803" s="57" t="s">
        <v>16</v>
      </c>
      <c r="G1803" s="58">
        <v>1</v>
      </c>
      <c r="H1803" s="58">
        <v>1</v>
      </c>
      <c r="I1803" s="58">
        <v>3</v>
      </c>
      <c r="J1803" s="58">
        <v>2</v>
      </c>
      <c r="K1803" s="59">
        <v>2</v>
      </c>
      <c r="L1803" s="60">
        <v>0.48935255543384237</v>
      </c>
    </row>
    <row r="1804" spans="1:12" x14ac:dyDescent="0.2">
      <c r="A1804" s="53" t="s">
        <v>145</v>
      </c>
      <c r="B1804" s="54" t="s">
        <v>45</v>
      </c>
      <c r="C1804" s="64" t="s">
        <v>62</v>
      </c>
      <c r="D1804" s="44">
        <v>2.7150416018788222</v>
      </c>
      <c r="E1804" s="56" t="s">
        <v>133</v>
      </c>
      <c r="F1804" s="57" t="s">
        <v>16</v>
      </c>
      <c r="G1804" s="58">
        <v>1</v>
      </c>
      <c r="H1804" s="58">
        <v>1</v>
      </c>
      <c r="I1804" s="58">
        <v>3</v>
      </c>
      <c r="J1804" s="58">
        <v>2</v>
      </c>
      <c r="K1804" s="59">
        <v>2</v>
      </c>
      <c r="L1804" s="60">
        <v>0.48935255543384237</v>
      </c>
    </row>
    <row r="1805" spans="1:12" x14ac:dyDescent="0.2">
      <c r="A1805" s="53" t="s">
        <v>145</v>
      </c>
      <c r="B1805" s="54" t="s">
        <v>46</v>
      </c>
      <c r="C1805" s="64" t="s">
        <v>62</v>
      </c>
      <c r="D1805" s="44">
        <v>8.2736376762827898E-2</v>
      </c>
      <c r="E1805" s="56" t="s">
        <v>133</v>
      </c>
      <c r="F1805" s="57" t="s">
        <v>16</v>
      </c>
      <c r="G1805" s="58">
        <v>1</v>
      </c>
      <c r="H1805" s="58">
        <v>1</v>
      </c>
      <c r="I1805" s="58">
        <v>3</v>
      </c>
      <c r="J1805" s="58">
        <v>2</v>
      </c>
      <c r="K1805" s="59">
        <v>2</v>
      </c>
      <c r="L1805" s="60">
        <v>0.48935255543384237</v>
      </c>
    </row>
    <row r="1806" spans="1:12" x14ac:dyDescent="0.2">
      <c r="A1806" s="53" t="s">
        <v>145</v>
      </c>
      <c r="B1806" s="54" t="s">
        <v>48</v>
      </c>
      <c r="C1806" s="64" t="s">
        <v>62</v>
      </c>
      <c r="D1806" s="44">
        <v>3.754103079724827E-2</v>
      </c>
      <c r="E1806" s="56" t="s">
        <v>133</v>
      </c>
      <c r="F1806" s="57" t="s">
        <v>16</v>
      </c>
      <c r="G1806" s="58">
        <v>1</v>
      </c>
      <c r="H1806" s="58">
        <v>1</v>
      </c>
      <c r="I1806" s="58">
        <v>3</v>
      </c>
      <c r="J1806" s="58">
        <v>2</v>
      </c>
      <c r="K1806" s="59">
        <v>2</v>
      </c>
      <c r="L1806" s="60">
        <v>0.48935255543384237</v>
      </c>
    </row>
    <row r="1807" spans="1:12" x14ac:dyDescent="0.2">
      <c r="A1807" s="53" t="s">
        <v>145</v>
      </c>
      <c r="B1807" s="54" t="s">
        <v>50</v>
      </c>
      <c r="C1807" s="64" t="s">
        <v>62</v>
      </c>
      <c r="D1807" s="44">
        <v>2.2535901913516079E-2</v>
      </c>
      <c r="E1807" s="56" t="s">
        <v>133</v>
      </c>
      <c r="F1807" s="57" t="s">
        <v>16</v>
      </c>
      <c r="G1807" s="58">
        <v>1</v>
      </c>
      <c r="H1807" s="58">
        <v>1</v>
      </c>
      <c r="I1807" s="58">
        <v>3</v>
      </c>
      <c r="J1807" s="58">
        <v>2</v>
      </c>
      <c r="K1807" s="59">
        <v>2</v>
      </c>
      <c r="L1807" s="60">
        <v>0.48935255543384237</v>
      </c>
    </row>
    <row r="1808" spans="1:12" x14ac:dyDescent="0.2">
      <c r="A1808" s="53" t="s">
        <v>145</v>
      </c>
      <c r="B1808" s="54" t="s">
        <v>52</v>
      </c>
      <c r="C1808" s="64" t="s">
        <v>62</v>
      </c>
      <c r="D1808" s="44">
        <v>4.1825584668525508E-3</v>
      </c>
      <c r="E1808" s="56" t="s">
        <v>133</v>
      </c>
      <c r="F1808" s="57" t="s">
        <v>16</v>
      </c>
      <c r="G1808" s="58">
        <v>1</v>
      </c>
      <c r="H1808" s="58">
        <v>1</v>
      </c>
      <c r="I1808" s="58">
        <v>3</v>
      </c>
      <c r="J1808" s="58">
        <v>2</v>
      </c>
      <c r="K1808" s="59">
        <v>2</v>
      </c>
      <c r="L1808" s="60">
        <v>0.48935255543384237</v>
      </c>
    </row>
    <row r="1809" spans="1:12" x14ac:dyDescent="0.2">
      <c r="A1809" s="53" t="s">
        <v>145</v>
      </c>
      <c r="B1809" s="54" t="s">
        <v>54</v>
      </c>
      <c r="C1809" s="64" t="s">
        <v>62</v>
      </c>
      <c r="D1809" s="44">
        <v>3.046928262917064E-3</v>
      </c>
      <c r="E1809" s="56" t="s">
        <v>133</v>
      </c>
      <c r="F1809" s="57" t="s">
        <v>16</v>
      </c>
      <c r="G1809" s="58">
        <v>1</v>
      </c>
      <c r="H1809" s="58">
        <v>1</v>
      </c>
      <c r="I1809" s="58">
        <v>3</v>
      </c>
      <c r="J1809" s="58">
        <v>2</v>
      </c>
      <c r="K1809" s="59">
        <v>2</v>
      </c>
      <c r="L1809" s="60">
        <v>0.48935255543384237</v>
      </c>
    </row>
    <row r="1810" spans="1:12" x14ac:dyDescent="0.2">
      <c r="A1810" s="53" t="s">
        <v>145</v>
      </c>
      <c r="B1810" s="54" t="s">
        <v>55</v>
      </c>
      <c r="C1810" s="64" t="s">
        <v>62</v>
      </c>
      <c r="D1810" s="44">
        <v>0.49845831986422101</v>
      </c>
      <c r="E1810" s="56" t="s">
        <v>133</v>
      </c>
      <c r="F1810" s="57" t="s">
        <v>16</v>
      </c>
      <c r="G1810" s="58">
        <v>1</v>
      </c>
      <c r="H1810" s="58">
        <v>1</v>
      </c>
      <c r="I1810" s="58">
        <v>3</v>
      </c>
      <c r="J1810" s="58">
        <v>2</v>
      </c>
      <c r="K1810" s="59">
        <v>2</v>
      </c>
      <c r="L1810" s="60">
        <v>0.48935255543384237</v>
      </c>
    </row>
    <row r="1811" spans="1:12" x14ac:dyDescent="0.2">
      <c r="A1811" s="53" t="s">
        <v>145</v>
      </c>
      <c r="B1811" s="54" t="s">
        <v>57</v>
      </c>
      <c r="C1811" s="64" t="s">
        <v>62</v>
      </c>
      <c r="D1811" s="44">
        <v>2.220672581815011E-2</v>
      </c>
      <c r="E1811" s="56" t="s">
        <v>133</v>
      </c>
      <c r="F1811" s="57" t="s">
        <v>16</v>
      </c>
      <c r="G1811" s="58">
        <v>1</v>
      </c>
      <c r="H1811" s="58">
        <v>1</v>
      </c>
      <c r="I1811" s="58">
        <v>3</v>
      </c>
      <c r="J1811" s="58">
        <v>2</v>
      </c>
      <c r="K1811" s="59">
        <v>2</v>
      </c>
      <c r="L1811" s="60">
        <v>0.48935255543384237</v>
      </c>
    </row>
    <row r="1812" spans="1:12" x14ac:dyDescent="0.2">
      <c r="A1812" s="53" t="s">
        <v>145</v>
      </c>
      <c r="B1812" s="54" t="s">
        <v>59</v>
      </c>
      <c r="C1812" s="64" t="s">
        <v>62</v>
      </c>
      <c r="D1812" s="44">
        <v>4.2956842860126304E-3</v>
      </c>
      <c r="E1812" s="56" t="s">
        <v>133</v>
      </c>
      <c r="F1812" s="57" t="s">
        <v>16</v>
      </c>
      <c r="G1812" s="58">
        <v>1</v>
      </c>
      <c r="H1812" s="58">
        <v>1</v>
      </c>
      <c r="I1812" s="58">
        <v>3</v>
      </c>
      <c r="J1812" s="58">
        <v>2</v>
      </c>
      <c r="K1812" s="59">
        <v>2</v>
      </c>
      <c r="L1812" s="60">
        <v>0.48935255543384237</v>
      </c>
    </row>
    <row r="1813" spans="1:12" x14ac:dyDescent="0.2">
      <c r="A1813" s="53" t="s">
        <v>145</v>
      </c>
      <c r="B1813" s="54" t="s">
        <v>60</v>
      </c>
      <c r="C1813" s="64" t="s">
        <v>62</v>
      </c>
      <c r="D1813" s="44">
        <v>0.40136385746982051</v>
      </c>
      <c r="E1813" s="56" t="s">
        <v>133</v>
      </c>
      <c r="F1813" s="57" t="s">
        <v>16</v>
      </c>
      <c r="G1813" s="58">
        <v>1</v>
      </c>
      <c r="H1813" s="58">
        <v>1</v>
      </c>
      <c r="I1813" s="58">
        <v>3</v>
      </c>
      <c r="J1813" s="58">
        <v>2</v>
      </c>
      <c r="K1813" s="59">
        <v>2</v>
      </c>
      <c r="L1813" s="60">
        <v>0.48935255543384237</v>
      </c>
    </row>
    <row r="1814" spans="1:12" x14ac:dyDescent="0.2">
      <c r="A1814" s="53" t="s">
        <v>145</v>
      </c>
      <c r="B1814" s="54" t="s">
        <v>13</v>
      </c>
      <c r="C1814" s="65" t="s">
        <v>64</v>
      </c>
      <c r="D1814" s="44">
        <v>3.6198186563911471E-3</v>
      </c>
      <c r="E1814" s="56" t="s">
        <v>133</v>
      </c>
      <c r="F1814" s="57" t="s">
        <v>16</v>
      </c>
      <c r="G1814" s="58">
        <v>1</v>
      </c>
      <c r="H1814" s="58">
        <v>1</v>
      </c>
      <c r="I1814" s="58">
        <v>3</v>
      </c>
      <c r="J1814" s="58">
        <v>2</v>
      </c>
      <c r="K1814" s="59">
        <v>2</v>
      </c>
      <c r="L1814" s="60">
        <v>0.48935255543384237</v>
      </c>
    </row>
    <row r="1815" spans="1:12" x14ac:dyDescent="0.2">
      <c r="A1815" s="53" t="s">
        <v>145</v>
      </c>
      <c r="B1815" s="54" t="s">
        <v>18</v>
      </c>
      <c r="C1815" s="65" t="s">
        <v>64</v>
      </c>
      <c r="D1815" s="44">
        <v>1.665691157721386E-4</v>
      </c>
      <c r="E1815" s="56" t="s">
        <v>133</v>
      </c>
      <c r="F1815" s="57" t="s">
        <v>16</v>
      </c>
      <c r="G1815" s="58">
        <v>1</v>
      </c>
      <c r="H1815" s="58">
        <v>1</v>
      </c>
      <c r="I1815" s="58">
        <v>3</v>
      </c>
      <c r="J1815" s="58">
        <v>2</v>
      </c>
      <c r="K1815" s="59">
        <v>2</v>
      </c>
      <c r="L1815" s="60">
        <v>0.48935255543384237</v>
      </c>
    </row>
    <row r="1816" spans="1:12" x14ac:dyDescent="0.2">
      <c r="A1816" s="53" t="s">
        <v>145</v>
      </c>
      <c r="B1816" s="54" t="s">
        <v>20</v>
      </c>
      <c r="C1816" s="65" t="s">
        <v>64</v>
      </c>
      <c r="D1816" s="44">
        <v>1.0363629921348941E-2</v>
      </c>
      <c r="E1816" s="56" t="s">
        <v>133</v>
      </c>
      <c r="F1816" s="57" t="s">
        <v>16</v>
      </c>
      <c r="G1816" s="58">
        <v>1</v>
      </c>
      <c r="H1816" s="58">
        <v>1</v>
      </c>
      <c r="I1816" s="58">
        <v>3</v>
      </c>
      <c r="J1816" s="58">
        <v>2</v>
      </c>
      <c r="K1816" s="59">
        <v>2</v>
      </c>
      <c r="L1816" s="60">
        <v>0.48935255543384237</v>
      </c>
    </row>
    <row r="1817" spans="1:12" x14ac:dyDescent="0.2">
      <c r="A1817" s="53" t="s">
        <v>145</v>
      </c>
      <c r="B1817" s="54" t="s">
        <v>22</v>
      </c>
      <c r="C1817" s="65" t="s">
        <v>64</v>
      </c>
      <c r="D1817" s="44">
        <v>1.7309057559811311E-2</v>
      </c>
      <c r="E1817" s="56" t="s">
        <v>133</v>
      </c>
      <c r="F1817" s="57" t="s">
        <v>16</v>
      </c>
      <c r="G1817" s="58">
        <v>1</v>
      </c>
      <c r="H1817" s="58">
        <v>1</v>
      </c>
      <c r="I1817" s="58">
        <v>3</v>
      </c>
      <c r="J1817" s="58">
        <v>2</v>
      </c>
      <c r="K1817" s="59">
        <v>2</v>
      </c>
      <c r="L1817" s="60">
        <v>0.48935255543384237</v>
      </c>
    </row>
    <row r="1818" spans="1:12" x14ac:dyDescent="0.2">
      <c r="A1818" s="53" t="s">
        <v>145</v>
      </c>
      <c r="B1818" s="54" t="s">
        <v>23</v>
      </c>
      <c r="C1818" s="65" t="s">
        <v>64</v>
      </c>
      <c r="D1818" s="44">
        <v>5.8646674417265994E-3</v>
      </c>
      <c r="E1818" s="56" t="s">
        <v>133</v>
      </c>
      <c r="F1818" s="57" t="s">
        <v>16</v>
      </c>
      <c r="G1818" s="58">
        <v>1</v>
      </c>
      <c r="H1818" s="58">
        <v>1</v>
      </c>
      <c r="I1818" s="58">
        <v>3</v>
      </c>
      <c r="J1818" s="58">
        <v>2</v>
      </c>
      <c r="K1818" s="59">
        <v>2</v>
      </c>
      <c r="L1818" s="60">
        <v>0.48935255543384237</v>
      </c>
    </row>
    <row r="1819" spans="1:12" x14ac:dyDescent="0.2">
      <c r="A1819" s="53" t="s">
        <v>145</v>
      </c>
      <c r="B1819" s="54" t="s">
        <v>24</v>
      </c>
      <c r="C1819" s="65" t="s">
        <v>64</v>
      </c>
      <c r="D1819" s="44">
        <v>1.6259217851040189E-2</v>
      </c>
      <c r="E1819" s="56" t="s">
        <v>133</v>
      </c>
      <c r="F1819" s="57" t="s">
        <v>16</v>
      </c>
      <c r="G1819" s="58">
        <v>1</v>
      </c>
      <c r="H1819" s="58">
        <v>1</v>
      </c>
      <c r="I1819" s="58">
        <v>3</v>
      </c>
      <c r="J1819" s="58">
        <v>2</v>
      </c>
      <c r="K1819" s="59">
        <v>2</v>
      </c>
      <c r="L1819" s="60">
        <v>0.48935255543384237</v>
      </c>
    </row>
    <row r="1820" spans="1:12" x14ac:dyDescent="0.2">
      <c r="A1820" s="53" t="s">
        <v>145</v>
      </c>
      <c r="B1820" s="54" t="s">
        <v>25</v>
      </c>
      <c r="C1820" s="65" t="s">
        <v>64</v>
      </c>
      <c r="D1820" s="44">
        <v>3.3974520747610031E-2</v>
      </c>
      <c r="E1820" s="56" t="s">
        <v>133</v>
      </c>
      <c r="F1820" s="57" t="s">
        <v>16</v>
      </c>
      <c r="G1820" s="58">
        <v>1</v>
      </c>
      <c r="H1820" s="58">
        <v>1</v>
      </c>
      <c r="I1820" s="58">
        <v>3</v>
      </c>
      <c r="J1820" s="58">
        <v>2</v>
      </c>
      <c r="K1820" s="59">
        <v>2</v>
      </c>
      <c r="L1820" s="60">
        <v>0.48935255543384237</v>
      </c>
    </row>
    <row r="1821" spans="1:12" x14ac:dyDescent="0.2">
      <c r="A1821" s="53" t="s">
        <v>145</v>
      </c>
      <c r="B1821" s="54" t="s">
        <v>26</v>
      </c>
      <c r="C1821" s="65" t="s">
        <v>64</v>
      </c>
      <c r="D1821" s="44">
        <v>8.6882928975596596E-4</v>
      </c>
      <c r="E1821" s="56" t="s">
        <v>133</v>
      </c>
      <c r="F1821" s="57" t="s">
        <v>16</v>
      </c>
      <c r="G1821" s="58">
        <v>1</v>
      </c>
      <c r="H1821" s="58">
        <v>1</v>
      </c>
      <c r="I1821" s="58">
        <v>3</v>
      </c>
      <c r="J1821" s="58">
        <v>2</v>
      </c>
      <c r="K1821" s="59">
        <v>2</v>
      </c>
      <c r="L1821" s="60">
        <v>0.48935255543384237</v>
      </c>
    </row>
    <row r="1822" spans="1:12" x14ac:dyDescent="0.2">
      <c r="A1822" s="53" t="s">
        <v>145</v>
      </c>
      <c r="B1822" s="54" t="s">
        <v>27</v>
      </c>
      <c r="C1822" s="65" t="s">
        <v>64</v>
      </c>
      <c r="D1822" s="44">
        <v>1.199688154452835E-2</v>
      </c>
      <c r="E1822" s="56" t="s">
        <v>133</v>
      </c>
      <c r="F1822" s="57" t="s">
        <v>16</v>
      </c>
      <c r="G1822" s="58">
        <v>1</v>
      </c>
      <c r="H1822" s="58">
        <v>1</v>
      </c>
      <c r="I1822" s="58">
        <v>3</v>
      </c>
      <c r="J1822" s="58">
        <v>2</v>
      </c>
      <c r="K1822" s="59">
        <v>2</v>
      </c>
      <c r="L1822" s="60">
        <v>0.48935255543384237</v>
      </c>
    </row>
    <row r="1823" spans="1:12" x14ac:dyDescent="0.2">
      <c r="A1823" s="53" t="s">
        <v>145</v>
      </c>
      <c r="B1823" s="54" t="s">
        <v>28</v>
      </c>
      <c r="C1823" s="65" t="s">
        <v>64</v>
      </c>
      <c r="D1823" s="44">
        <v>0.15227956815132701</v>
      </c>
      <c r="E1823" s="56" t="s">
        <v>133</v>
      </c>
      <c r="F1823" s="57" t="s">
        <v>16</v>
      </c>
      <c r="G1823" s="58">
        <v>1</v>
      </c>
      <c r="H1823" s="58">
        <v>1</v>
      </c>
      <c r="I1823" s="58">
        <v>3</v>
      </c>
      <c r="J1823" s="58">
        <v>2</v>
      </c>
      <c r="K1823" s="59">
        <v>2</v>
      </c>
      <c r="L1823" s="60">
        <v>0.48935255543384237</v>
      </c>
    </row>
    <row r="1824" spans="1:12" x14ac:dyDescent="0.2">
      <c r="A1824" s="53" t="s">
        <v>145</v>
      </c>
      <c r="B1824" s="54" t="s">
        <v>30</v>
      </c>
      <c r="C1824" s="65" t="s">
        <v>64</v>
      </c>
      <c r="D1824" s="44">
        <v>2.5709026490802131E-2</v>
      </c>
      <c r="E1824" s="56" t="s">
        <v>133</v>
      </c>
      <c r="F1824" s="57" t="s">
        <v>16</v>
      </c>
      <c r="G1824" s="58">
        <v>1</v>
      </c>
      <c r="H1824" s="58">
        <v>1</v>
      </c>
      <c r="I1824" s="58">
        <v>3</v>
      </c>
      <c r="J1824" s="58">
        <v>2</v>
      </c>
      <c r="K1824" s="59">
        <v>2</v>
      </c>
      <c r="L1824" s="60">
        <v>0.48935255543384237</v>
      </c>
    </row>
    <row r="1825" spans="1:12" x14ac:dyDescent="0.2">
      <c r="A1825" s="53" t="s">
        <v>145</v>
      </c>
      <c r="B1825" s="54" t="s">
        <v>32</v>
      </c>
      <c r="C1825" s="65" t="s">
        <v>64</v>
      </c>
      <c r="D1825" s="44">
        <v>0.1049920721931977</v>
      </c>
      <c r="E1825" s="56" t="s">
        <v>133</v>
      </c>
      <c r="F1825" s="57" t="s">
        <v>16</v>
      </c>
      <c r="G1825" s="58">
        <v>1</v>
      </c>
      <c r="H1825" s="58">
        <v>1</v>
      </c>
      <c r="I1825" s="58">
        <v>3</v>
      </c>
      <c r="J1825" s="58">
        <v>2</v>
      </c>
      <c r="K1825" s="59">
        <v>2</v>
      </c>
      <c r="L1825" s="60">
        <v>0.48935255543384237</v>
      </c>
    </row>
    <row r="1826" spans="1:12" x14ac:dyDescent="0.2">
      <c r="A1826" s="53" t="s">
        <v>145</v>
      </c>
      <c r="B1826" s="54" t="s">
        <v>34</v>
      </c>
      <c r="C1826" s="65" t="s">
        <v>64</v>
      </c>
      <c r="D1826" s="44">
        <v>1.4693045762632039E-2</v>
      </c>
      <c r="E1826" s="56" t="s">
        <v>133</v>
      </c>
      <c r="F1826" s="57" t="s">
        <v>16</v>
      </c>
      <c r="G1826" s="58">
        <v>1</v>
      </c>
      <c r="H1826" s="58">
        <v>1</v>
      </c>
      <c r="I1826" s="58">
        <v>3</v>
      </c>
      <c r="J1826" s="58">
        <v>2</v>
      </c>
      <c r="K1826" s="59">
        <v>2</v>
      </c>
      <c r="L1826" s="60">
        <v>0.48935255543384237</v>
      </c>
    </row>
    <row r="1827" spans="1:12" x14ac:dyDescent="0.2">
      <c r="A1827" s="53" t="s">
        <v>145</v>
      </c>
      <c r="B1827" s="54" t="s">
        <v>36</v>
      </c>
      <c r="C1827" s="65" t="s">
        <v>64</v>
      </c>
      <c r="D1827" s="44">
        <v>3.0086606309948669E-2</v>
      </c>
      <c r="E1827" s="56" t="s">
        <v>133</v>
      </c>
      <c r="F1827" s="57" t="s">
        <v>16</v>
      </c>
      <c r="G1827" s="58">
        <v>1</v>
      </c>
      <c r="H1827" s="58">
        <v>1</v>
      </c>
      <c r="I1827" s="58">
        <v>3</v>
      </c>
      <c r="J1827" s="58">
        <v>2</v>
      </c>
      <c r="K1827" s="59">
        <v>2</v>
      </c>
      <c r="L1827" s="60">
        <v>0.48935255543384237</v>
      </c>
    </row>
    <row r="1828" spans="1:12" x14ac:dyDescent="0.2">
      <c r="A1828" s="53" t="s">
        <v>145</v>
      </c>
      <c r="B1828" s="54" t="s">
        <v>37</v>
      </c>
      <c r="C1828" s="65" t="s">
        <v>64</v>
      </c>
      <c r="D1828" s="44">
        <v>0.100252498633389</v>
      </c>
      <c r="E1828" s="56" t="s">
        <v>133</v>
      </c>
      <c r="F1828" s="57" t="s">
        <v>16</v>
      </c>
      <c r="G1828" s="58">
        <v>1</v>
      </c>
      <c r="H1828" s="58">
        <v>1</v>
      </c>
      <c r="I1828" s="58">
        <v>3</v>
      </c>
      <c r="J1828" s="58">
        <v>2</v>
      </c>
      <c r="K1828" s="59">
        <v>2</v>
      </c>
      <c r="L1828" s="60">
        <v>0.48935255543384237</v>
      </c>
    </row>
    <row r="1829" spans="1:12" x14ac:dyDescent="0.2">
      <c r="A1829" s="53" t="s">
        <v>145</v>
      </c>
      <c r="B1829" s="54" t="s">
        <v>39</v>
      </c>
      <c r="C1829" s="65" t="s">
        <v>64</v>
      </c>
      <c r="D1829" s="44">
        <v>5.7179431631923842E-4</v>
      </c>
      <c r="E1829" s="56" t="s">
        <v>133</v>
      </c>
      <c r="F1829" s="57" t="s">
        <v>16</v>
      </c>
      <c r="G1829" s="58">
        <v>1</v>
      </c>
      <c r="H1829" s="58">
        <v>1</v>
      </c>
      <c r="I1829" s="58">
        <v>3</v>
      </c>
      <c r="J1829" s="58">
        <v>2</v>
      </c>
      <c r="K1829" s="59">
        <v>2</v>
      </c>
      <c r="L1829" s="60">
        <v>0.48935255543384237</v>
      </c>
    </row>
    <row r="1830" spans="1:12" x14ac:dyDescent="0.2">
      <c r="A1830" s="53" t="s">
        <v>145</v>
      </c>
      <c r="B1830" s="54" t="s">
        <v>40</v>
      </c>
      <c r="C1830" s="65" t="s">
        <v>64</v>
      </c>
      <c r="D1830" s="44">
        <v>3.5684444373873781E-3</v>
      </c>
      <c r="E1830" s="56" t="s">
        <v>133</v>
      </c>
      <c r="F1830" s="57" t="s">
        <v>16</v>
      </c>
      <c r="G1830" s="58">
        <v>1</v>
      </c>
      <c r="H1830" s="58">
        <v>1</v>
      </c>
      <c r="I1830" s="58">
        <v>3</v>
      </c>
      <c r="J1830" s="58">
        <v>2</v>
      </c>
      <c r="K1830" s="59">
        <v>2</v>
      </c>
      <c r="L1830" s="60">
        <v>0.48935255543384237</v>
      </c>
    </row>
    <row r="1831" spans="1:12" x14ac:dyDescent="0.2">
      <c r="A1831" s="53" t="s">
        <v>145</v>
      </c>
      <c r="B1831" s="54" t="s">
        <v>41</v>
      </c>
      <c r="C1831" s="65" t="s">
        <v>64</v>
      </c>
      <c r="D1831" s="61">
        <v>0</v>
      </c>
      <c r="E1831" s="56" t="s">
        <v>133</v>
      </c>
      <c r="F1831" s="57" t="s">
        <v>16</v>
      </c>
      <c r="G1831" s="61"/>
      <c r="H1831" s="61"/>
      <c r="I1831" s="61"/>
      <c r="J1831" s="61"/>
      <c r="K1831" s="62"/>
      <c r="L1831" s="63"/>
    </row>
    <row r="1832" spans="1:12" x14ac:dyDescent="0.2">
      <c r="A1832" s="53" t="s">
        <v>145</v>
      </c>
      <c r="B1832" s="54" t="s">
        <v>42</v>
      </c>
      <c r="C1832" s="65" t="s">
        <v>64</v>
      </c>
      <c r="D1832" s="44">
        <v>1.5803759708875851E-2</v>
      </c>
      <c r="E1832" s="56" t="s">
        <v>133</v>
      </c>
      <c r="F1832" s="57" t="s">
        <v>16</v>
      </c>
      <c r="G1832" s="58">
        <v>1</v>
      </c>
      <c r="H1832" s="58">
        <v>1</v>
      </c>
      <c r="I1832" s="58">
        <v>3</v>
      </c>
      <c r="J1832" s="58">
        <v>2</v>
      </c>
      <c r="K1832" s="59">
        <v>2</v>
      </c>
      <c r="L1832" s="60">
        <v>0.48935255543384237</v>
      </c>
    </row>
    <row r="1833" spans="1:12" x14ac:dyDescent="0.2">
      <c r="A1833" s="53" t="s">
        <v>145</v>
      </c>
      <c r="B1833" s="54" t="s">
        <v>43</v>
      </c>
      <c r="C1833" s="65" t="s">
        <v>64</v>
      </c>
      <c r="D1833" s="44">
        <v>3.1920699640697103E-2</v>
      </c>
      <c r="E1833" s="56" t="s">
        <v>133</v>
      </c>
      <c r="F1833" s="57" t="s">
        <v>16</v>
      </c>
      <c r="G1833" s="58">
        <v>1</v>
      </c>
      <c r="H1833" s="58">
        <v>1</v>
      </c>
      <c r="I1833" s="58">
        <v>3</v>
      </c>
      <c r="J1833" s="58">
        <v>2</v>
      </c>
      <c r="K1833" s="59">
        <v>2</v>
      </c>
      <c r="L1833" s="60">
        <v>0.48935255543384237</v>
      </c>
    </row>
    <row r="1834" spans="1:12" x14ac:dyDescent="0.2">
      <c r="A1834" s="53" t="s">
        <v>145</v>
      </c>
      <c r="B1834" s="54" t="s">
        <v>45</v>
      </c>
      <c r="C1834" s="65" t="s">
        <v>64</v>
      </c>
      <c r="D1834" s="44">
        <v>1.1878307008219851</v>
      </c>
      <c r="E1834" s="56" t="s">
        <v>133</v>
      </c>
      <c r="F1834" s="57" t="s">
        <v>16</v>
      </c>
      <c r="G1834" s="58">
        <v>1</v>
      </c>
      <c r="H1834" s="58">
        <v>1</v>
      </c>
      <c r="I1834" s="58">
        <v>3</v>
      </c>
      <c r="J1834" s="58">
        <v>2</v>
      </c>
      <c r="K1834" s="59">
        <v>2</v>
      </c>
      <c r="L1834" s="60">
        <v>0.48935255543384237</v>
      </c>
    </row>
    <row r="1835" spans="1:12" x14ac:dyDescent="0.2">
      <c r="A1835" s="53" t="s">
        <v>145</v>
      </c>
      <c r="B1835" s="54" t="s">
        <v>46</v>
      </c>
      <c r="C1835" s="65" t="s">
        <v>64</v>
      </c>
      <c r="D1835" s="44">
        <v>3.6197164833737208E-2</v>
      </c>
      <c r="E1835" s="56" t="s">
        <v>133</v>
      </c>
      <c r="F1835" s="57" t="s">
        <v>16</v>
      </c>
      <c r="G1835" s="58">
        <v>1</v>
      </c>
      <c r="H1835" s="58">
        <v>1</v>
      </c>
      <c r="I1835" s="58">
        <v>3</v>
      </c>
      <c r="J1835" s="58">
        <v>2</v>
      </c>
      <c r="K1835" s="59">
        <v>2</v>
      </c>
      <c r="L1835" s="60">
        <v>0.48935255543384237</v>
      </c>
    </row>
    <row r="1836" spans="1:12" x14ac:dyDescent="0.2">
      <c r="A1836" s="53" t="s">
        <v>145</v>
      </c>
      <c r="B1836" s="54" t="s">
        <v>48</v>
      </c>
      <c r="C1836" s="65" t="s">
        <v>64</v>
      </c>
      <c r="D1836" s="44">
        <v>1.642420097379612E-2</v>
      </c>
      <c r="E1836" s="56" t="s">
        <v>133</v>
      </c>
      <c r="F1836" s="57" t="s">
        <v>16</v>
      </c>
      <c r="G1836" s="58">
        <v>1</v>
      </c>
      <c r="H1836" s="58">
        <v>1</v>
      </c>
      <c r="I1836" s="58">
        <v>3</v>
      </c>
      <c r="J1836" s="58">
        <v>2</v>
      </c>
      <c r="K1836" s="59">
        <v>2</v>
      </c>
      <c r="L1836" s="60">
        <v>0.48935255543384237</v>
      </c>
    </row>
    <row r="1837" spans="1:12" x14ac:dyDescent="0.2">
      <c r="A1837" s="53" t="s">
        <v>145</v>
      </c>
      <c r="B1837" s="54" t="s">
        <v>50</v>
      </c>
      <c r="C1837" s="65" t="s">
        <v>64</v>
      </c>
      <c r="D1837" s="44">
        <v>9.8594570871632856E-3</v>
      </c>
      <c r="E1837" s="56" t="s">
        <v>133</v>
      </c>
      <c r="F1837" s="57" t="s">
        <v>16</v>
      </c>
      <c r="G1837" s="58">
        <v>1</v>
      </c>
      <c r="H1837" s="58">
        <v>1</v>
      </c>
      <c r="I1837" s="58">
        <v>3</v>
      </c>
      <c r="J1837" s="58">
        <v>2</v>
      </c>
      <c r="K1837" s="59">
        <v>2</v>
      </c>
      <c r="L1837" s="60">
        <v>0.48935255543384237</v>
      </c>
    </row>
    <row r="1838" spans="1:12" x14ac:dyDescent="0.2">
      <c r="A1838" s="53" t="s">
        <v>145</v>
      </c>
      <c r="B1838" s="54" t="s">
        <v>52</v>
      </c>
      <c r="C1838" s="65" t="s">
        <v>64</v>
      </c>
      <c r="D1838" s="44">
        <v>1.8298693292479911E-3</v>
      </c>
      <c r="E1838" s="56" t="s">
        <v>133</v>
      </c>
      <c r="F1838" s="57" t="s">
        <v>16</v>
      </c>
      <c r="G1838" s="58">
        <v>1</v>
      </c>
      <c r="H1838" s="58">
        <v>1</v>
      </c>
      <c r="I1838" s="58">
        <v>3</v>
      </c>
      <c r="J1838" s="58">
        <v>2</v>
      </c>
      <c r="K1838" s="59">
        <v>2</v>
      </c>
      <c r="L1838" s="60">
        <v>0.48935255543384237</v>
      </c>
    </row>
    <row r="1839" spans="1:12" x14ac:dyDescent="0.2">
      <c r="A1839" s="53" t="s">
        <v>145</v>
      </c>
      <c r="B1839" s="54" t="s">
        <v>54</v>
      </c>
      <c r="C1839" s="65" t="s">
        <v>64</v>
      </c>
      <c r="D1839" s="44">
        <v>1.333031115026215E-3</v>
      </c>
      <c r="E1839" s="56" t="s">
        <v>133</v>
      </c>
      <c r="F1839" s="57" t="s">
        <v>16</v>
      </c>
      <c r="G1839" s="58">
        <v>1</v>
      </c>
      <c r="H1839" s="58">
        <v>1</v>
      </c>
      <c r="I1839" s="58">
        <v>3</v>
      </c>
      <c r="J1839" s="58">
        <v>2</v>
      </c>
      <c r="K1839" s="59">
        <v>2</v>
      </c>
      <c r="L1839" s="60">
        <v>0.48935255543384237</v>
      </c>
    </row>
    <row r="1840" spans="1:12" x14ac:dyDescent="0.2">
      <c r="A1840" s="53" t="s">
        <v>145</v>
      </c>
      <c r="B1840" s="54" t="s">
        <v>55</v>
      </c>
      <c r="C1840" s="65" t="s">
        <v>64</v>
      </c>
      <c r="D1840" s="44">
        <v>0.21807551494059671</v>
      </c>
      <c r="E1840" s="56" t="s">
        <v>133</v>
      </c>
      <c r="F1840" s="57" t="s">
        <v>16</v>
      </c>
      <c r="G1840" s="58">
        <v>1</v>
      </c>
      <c r="H1840" s="58">
        <v>1</v>
      </c>
      <c r="I1840" s="58">
        <v>3</v>
      </c>
      <c r="J1840" s="58">
        <v>2</v>
      </c>
      <c r="K1840" s="59">
        <v>2</v>
      </c>
      <c r="L1840" s="60">
        <v>0.48935255543384237</v>
      </c>
    </row>
    <row r="1841" spans="1:13" x14ac:dyDescent="0.2">
      <c r="A1841" s="53" t="s">
        <v>145</v>
      </c>
      <c r="B1841" s="54" t="s">
        <v>57</v>
      </c>
      <c r="C1841" s="65" t="s">
        <v>64</v>
      </c>
      <c r="D1841" s="44">
        <v>9.715442545440673E-3</v>
      </c>
      <c r="E1841" s="56" t="s">
        <v>133</v>
      </c>
      <c r="F1841" s="57" t="s">
        <v>16</v>
      </c>
      <c r="G1841" s="58">
        <v>1</v>
      </c>
      <c r="H1841" s="58">
        <v>1</v>
      </c>
      <c r="I1841" s="58">
        <v>3</v>
      </c>
      <c r="J1841" s="58">
        <v>2</v>
      </c>
      <c r="K1841" s="59">
        <v>2</v>
      </c>
      <c r="L1841" s="60">
        <v>0.48935255543384237</v>
      </c>
    </row>
    <row r="1842" spans="1:13" x14ac:dyDescent="0.2">
      <c r="A1842" s="53" t="s">
        <v>145</v>
      </c>
      <c r="B1842" s="54" t="s">
        <v>59</v>
      </c>
      <c r="C1842" s="65" t="s">
        <v>64</v>
      </c>
      <c r="D1842" s="44">
        <v>1.879361875130526E-3</v>
      </c>
      <c r="E1842" s="56" t="s">
        <v>133</v>
      </c>
      <c r="F1842" s="57" t="s">
        <v>16</v>
      </c>
      <c r="G1842" s="58">
        <v>1</v>
      </c>
      <c r="H1842" s="58">
        <v>1</v>
      </c>
      <c r="I1842" s="58">
        <v>3</v>
      </c>
      <c r="J1842" s="58">
        <v>2</v>
      </c>
      <c r="K1842" s="59">
        <v>2</v>
      </c>
      <c r="L1842" s="60">
        <v>0.48935255543384237</v>
      </c>
    </row>
    <row r="1843" spans="1:13" x14ac:dyDescent="0.2">
      <c r="A1843" s="53" t="s">
        <v>145</v>
      </c>
      <c r="B1843" s="54" t="s">
        <v>60</v>
      </c>
      <c r="C1843" s="65" t="s">
        <v>64</v>
      </c>
      <c r="D1843" s="44">
        <v>0.17559668764304651</v>
      </c>
      <c r="E1843" s="56" t="s">
        <v>133</v>
      </c>
      <c r="F1843" s="57" t="s">
        <v>16</v>
      </c>
      <c r="G1843" s="58">
        <v>1</v>
      </c>
      <c r="H1843" s="58">
        <v>1</v>
      </c>
      <c r="I1843" s="58">
        <v>3</v>
      </c>
      <c r="J1843" s="58">
        <v>2</v>
      </c>
      <c r="K1843" s="59">
        <v>2</v>
      </c>
      <c r="L1843" s="60">
        <v>0.48935255543384237</v>
      </c>
    </row>
    <row r="1844" spans="1:13" x14ac:dyDescent="0.2">
      <c r="A1844" s="48" t="s">
        <v>145</v>
      </c>
      <c r="B1844" s="22" t="s">
        <v>135</v>
      </c>
      <c r="C1844" s="29" t="s">
        <v>66</v>
      </c>
      <c r="D1844" s="18">
        <v>0</v>
      </c>
      <c r="E1844" s="15"/>
      <c r="F1844" s="16"/>
      <c r="G1844" s="17"/>
      <c r="H1844" s="18"/>
      <c r="I1844" s="18"/>
      <c r="J1844" s="18"/>
      <c r="K1844" s="18"/>
      <c r="L1844" s="19" t="str">
        <f>IF( OR( ISBLANK(G1844),ISBLANK(H1844), ISBLANK(I1844), ISBLANK(J1844), ISBLANK(K1844) ), "", 1.5*SQRT(   EXP(2.21*(G1844-1)) + EXP(2.21*(H1844-1)) + EXP(2.21*(I1844-1)) + EXP(2.21*(J1844-1)) + EXP(2.21*K1844)   )/100*2.45 )</f>
        <v/>
      </c>
      <c r="M1844" s="20"/>
    </row>
    <row r="1845" spans="1:13" x14ac:dyDescent="0.2">
      <c r="A1845" s="48" t="s">
        <v>145</v>
      </c>
      <c r="B1845" s="22" t="s">
        <v>135</v>
      </c>
      <c r="C1845" s="30" t="s">
        <v>94</v>
      </c>
      <c r="D1845" s="18">
        <v>0</v>
      </c>
      <c r="E1845" s="15"/>
      <c r="F1845" s="16"/>
      <c r="G1845" s="17"/>
      <c r="H1845" s="18"/>
      <c r="I1845" s="18"/>
      <c r="J1845" s="18"/>
      <c r="K1845" s="18"/>
      <c r="L1845" s="19" t="str">
        <f t="shared" ref="L1845:L1876" si="56">IF( OR( ISBLANK(G1845),ISBLANK(H1845), ISBLANK(I1845), ISBLANK(J1845), ISBLANK(K1845) ), "", 1.5*SQRT( EXP(2.21*(G1845-1)) + EXP(2.21*(H1845-1)) + EXP(2.21*(I1845-1)) + EXP(2.21*(J1845-1)) + EXP(2.21*K1845) )/100*2.45 )</f>
        <v/>
      </c>
      <c r="M1845" s="20"/>
    </row>
    <row r="1846" spans="1:13" x14ac:dyDescent="0.2">
      <c r="A1846" s="48" t="s">
        <v>145</v>
      </c>
      <c r="B1846" s="22" t="s">
        <v>135</v>
      </c>
      <c r="C1846" s="31" t="s">
        <v>96</v>
      </c>
      <c r="D1846" s="18">
        <v>0</v>
      </c>
      <c r="E1846" s="15"/>
      <c r="F1846" s="16"/>
      <c r="G1846" s="17"/>
      <c r="H1846" s="18"/>
      <c r="I1846" s="18"/>
      <c r="J1846" s="18"/>
      <c r="K1846" s="18"/>
      <c r="L1846" s="19" t="str">
        <f t="shared" si="56"/>
        <v/>
      </c>
      <c r="M1846" s="20"/>
    </row>
    <row r="1847" spans="1:13" x14ac:dyDescent="0.2">
      <c r="A1847" s="49" t="s">
        <v>145</v>
      </c>
      <c r="B1847" s="39" t="s">
        <v>135</v>
      </c>
      <c r="C1847" s="35" t="s">
        <v>98</v>
      </c>
      <c r="D1847" s="51">
        <v>0</v>
      </c>
      <c r="E1847" s="37"/>
      <c r="F1847" s="38"/>
      <c r="G1847" s="50"/>
      <c r="H1847" s="51"/>
      <c r="I1847" s="51"/>
      <c r="J1847" s="51"/>
      <c r="K1847" s="51"/>
      <c r="L1847" s="52" t="str">
        <f t="shared" si="56"/>
        <v/>
      </c>
      <c r="M1847" s="42"/>
    </row>
    <row r="1848" spans="1:13" x14ac:dyDescent="0.2">
      <c r="A1848" s="48" t="s">
        <v>147</v>
      </c>
      <c r="B1848" s="12" t="s">
        <v>13</v>
      </c>
      <c r="C1848" s="13" t="s">
        <v>14</v>
      </c>
      <c r="D1848" s="44">
        <v>16.224590242946888</v>
      </c>
      <c r="E1848" s="15" t="s">
        <v>148</v>
      </c>
      <c r="F1848" s="16" t="s">
        <v>16</v>
      </c>
      <c r="G1848" s="22">
        <v>1</v>
      </c>
      <c r="H1848" s="23">
        <v>1</v>
      </c>
      <c r="I1848" s="23">
        <v>1</v>
      </c>
      <c r="J1848" s="23">
        <v>2</v>
      </c>
      <c r="K1848" s="23">
        <v>3</v>
      </c>
      <c r="L1848" s="25">
        <f t="shared" si="56"/>
        <v>1.0195048044558224</v>
      </c>
      <c r="M1848" s="20"/>
    </row>
    <row r="1849" spans="1:13" x14ac:dyDescent="0.2">
      <c r="A1849" s="48" t="s">
        <v>147</v>
      </c>
      <c r="B1849" s="12" t="s">
        <v>18</v>
      </c>
      <c r="C1849" s="13" t="s">
        <v>14</v>
      </c>
      <c r="D1849" s="44">
        <v>21.869153647207181</v>
      </c>
      <c r="E1849" s="15" t="s">
        <v>148</v>
      </c>
      <c r="F1849" s="16" t="s">
        <v>16</v>
      </c>
      <c r="G1849" s="22">
        <v>1</v>
      </c>
      <c r="H1849" s="23">
        <v>1</v>
      </c>
      <c r="I1849" s="23">
        <v>1</v>
      </c>
      <c r="J1849" s="23">
        <v>2</v>
      </c>
      <c r="K1849" s="23">
        <v>3</v>
      </c>
      <c r="L1849" s="25">
        <f t="shared" si="56"/>
        <v>1.0195048044558224</v>
      </c>
      <c r="M1849" s="20"/>
    </row>
    <row r="1850" spans="1:13" x14ac:dyDescent="0.2">
      <c r="A1850" s="48" t="s">
        <v>147</v>
      </c>
      <c r="B1850" s="12" t="s">
        <v>20</v>
      </c>
      <c r="C1850" s="13" t="s">
        <v>14</v>
      </c>
      <c r="D1850" s="44">
        <v>8.2981195790359035</v>
      </c>
      <c r="E1850" s="15" t="s">
        <v>148</v>
      </c>
      <c r="F1850" s="16" t="s">
        <v>16</v>
      </c>
      <c r="G1850" s="22">
        <v>1</v>
      </c>
      <c r="H1850" s="23">
        <v>1</v>
      </c>
      <c r="I1850" s="23">
        <v>1</v>
      </c>
      <c r="J1850" s="23">
        <v>2</v>
      </c>
      <c r="K1850" s="23">
        <v>3</v>
      </c>
      <c r="L1850" s="25">
        <f t="shared" si="56"/>
        <v>1.0195048044558224</v>
      </c>
      <c r="M1850" s="20"/>
    </row>
    <row r="1851" spans="1:13" x14ac:dyDescent="0.2">
      <c r="A1851" s="48" t="s">
        <v>147</v>
      </c>
      <c r="B1851" s="12" t="s">
        <v>22</v>
      </c>
      <c r="C1851" s="13" t="s">
        <v>14</v>
      </c>
      <c r="D1851" s="44">
        <v>3.5966963497301889</v>
      </c>
      <c r="E1851" s="15" t="s">
        <v>148</v>
      </c>
      <c r="F1851" s="16" t="s">
        <v>16</v>
      </c>
      <c r="G1851" s="22">
        <v>1</v>
      </c>
      <c r="H1851" s="23">
        <v>1</v>
      </c>
      <c r="I1851" s="23">
        <v>1</v>
      </c>
      <c r="J1851" s="23">
        <v>2</v>
      </c>
      <c r="K1851" s="23">
        <v>3</v>
      </c>
      <c r="L1851" s="25">
        <f t="shared" si="56"/>
        <v>1.0195048044558224</v>
      </c>
      <c r="M1851" s="20"/>
    </row>
    <row r="1852" spans="1:13" x14ac:dyDescent="0.2">
      <c r="A1852" s="48" t="s">
        <v>147</v>
      </c>
      <c r="B1852" s="12" t="s">
        <v>23</v>
      </c>
      <c r="C1852" s="13" t="s">
        <v>14</v>
      </c>
      <c r="D1852" s="44">
        <v>0.99430651021694461</v>
      </c>
      <c r="E1852" s="15" t="s">
        <v>148</v>
      </c>
      <c r="F1852" s="16" t="s">
        <v>16</v>
      </c>
      <c r="G1852" s="22">
        <v>1</v>
      </c>
      <c r="H1852" s="23">
        <v>1</v>
      </c>
      <c r="I1852" s="23">
        <v>1</v>
      </c>
      <c r="J1852" s="23">
        <v>2</v>
      </c>
      <c r="K1852" s="23">
        <v>3</v>
      </c>
      <c r="L1852" s="25">
        <f t="shared" si="56"/>
        <v>1.0195048044558224</v>
      </c>
      <c r="M1852" s="20"/>
    </row>
    <row r="1853" spans="1:13" x14ac:dyDescent="0.2">
      <c r="A1853" s="48" t="s">
        <v>147</v>
      </c>
      <c r="B1853" s="12" t="s">
        <v>24</v>
      </c>
      <c r="C1853" s="13" t="s">
        <v>14</v>
      </c>
      <c r="D1853" s="44">
        <v>14.362348416375299</v>
      </c>
      <c r="E1853" s="15" t="s">
        <v>148</v>
      </c>
      <c r="F1853" s="16" t="s">
        <v>16</v>
      </c>
      <c r="G1853" s="22">
        <v>1</v>
      </c>
      <c r="H1853" s="23">
        <v>1</v>
      </c>
      <c r="I1853" s="23">
        <v>1</v>
      </c>
      <c r="J1853" s="23">
        <v>2</v>
      </c>
      <c r="K1853" s="23">
        <v>3</v>
      </c>
      <c r="L1853" s="25">
        <f t="shared" si="56"/>
        <v>1.0195048044558224</v>
      </c>
      <c r="M1853" s="20"/>
    </row>
    <row r="1854" spans="1:13" x14ac:dyDescent="0.2">
      <c r="A1854" s="48" t="s">
        <v>147</v>
      </c>
      <c r="B1854" s="12" t="s">
        <v>25</v>
      </c>
      <c r="C1854" s="13" t="s">
        <v>14</v>
      </c>
      <c r="D1854" s="44">
        <v>12.42308063475676</v>
      </c>
      <c r="E1854" s="15" t="s">
        <v>148</v>
      </c>
      <c r="F1854" s="16" t="s">
        <v>16</v>
      </c>
      <c r="G1854" s="22">
        <v>1</v>
      </c>
      <c r="H1854" s="23">
        <v>1</v>
      </c>
      <c r="I1854" s="23">
        <v>1</v>
      </c>
      <c r="J1854" s="23">
        <v>2</v>
      </c>
      <c r="K1854" s="23">
        <v>3</v>
      </c>
      <c r="L1854" s="25">
        <f t="shared" si="56"/>
        <v>1.0195048044558224</v>
      </c>
      <c r="M1854" s="20"/>
    </row>
    <row r="1855" spans="1:13" x14ac:dyDescent="0.2">
      <c r="A1855" s="48" t="s">
        <v>147</v>
      </c>
      <c r="B1855" s="12" t="s">
        <v>26</v>
      </c>
      <c r="C1855" s="13" t="s">
        <v>14</v>
      </c>
      <c r="D1855" s="44">
        <v>2.911042319916779</v>
      </c>
      <c r="E1855" s="15" t="s">
        <v>148</v>
      </c>
      <c r="F1855" s="16" t="s">
        <v>16</v>
      </c>
      <c r="G1855" s="22">
        <v>1</v>
      </c>
      <c r="H1855" s="23">
        <v>1</v>
      </c>
      <c r="I1855" s="23">
        <v>1</v>
      </c>
      <c r="J1855" s="23">
        <v>2</v>
      </c>
      <c r="K1855" s="23">
        <v>3</v>
      </c>
      <c r="L1855" s="25">
        <f t="shared" si="56"/>
        <v>1.0195048044558224</v>
      </c>
      <c r="M1855" s="20"/>
    </row>
    <row r="1856" spans="1:13" x14ac:dyDescent="0.2">
      <c r="A1856" s="48" t="s">
        <v>147</v>
      </c>
      <c r="B1856" s="12" t="s">
        <v>27</v>
      </c>
      <c r="C1856" s="13" t="s">
        <v>14</v>
      </c>
      <c r="D1856" s="44">
        <v>8.5283645725938779</v>
      </c>
      <c r="E1856" s="15" t="s">
        <v>148</v>
      </c>
      <c r="F1856" s="16" t="s">
        <v>16</v>
      </c>
      <c r="G1856" s="22">
        <v>1</v>
      </c>
      <c r="H1856" s="23">
        <v>1</v>
      </c>
      <c r="I1856" s="23">
        <v>1</v>
      </c>
      <c r="J1856" s="23">
        <v>2</v>
      </c>
      <c r="K1856" s="23">
        <v>3</v>
      </c>
      <c r="L1856" s="25">
        <f t="shared" si="56"/>
        <v>1.0195048044558224</v>
      </c>
      <c r="M1856" s="20"/>
    </row>
    <row r="1857" spans="1:13" x14ac:dyDescent="0.2">
      <c r="A1857" s="48" t="s">
        <v>147</v>
      </c>
      <c r="B1857" s="12" t="s">
        <v>28</v>
      </c>
      <c r="C1857" s="13" t="s">
        <v>14</v>
      </c>
      <c r="D1857" s="44">
        <v>116.5316453302365</v>
      </c>
      <c r="E1857" s="15" t="s">
        <v>148</v>
      </c>
      <c r="F1857" s="16" t="s">
        <v>16</v>
      </c>
      <c r="G1857" s="22">
        <v>1</v>
      </c>
      <c r="H1857" s="23">
        <v>1</v>
      </c>
      <c r="I1857" s="23">
        <v>1</v>
      </c>
      <c r="J1857" s="23">
        <v>2</v>
      </c>
      <c r="K1857" s="23">
        <v>3</v>
      </c>
      <c r="L1857" s="25">
        <f t="shared" si="56"/>
        <v>1.0195048044558224</v>
      </c>
      <c r="M1857" s="20"/>
    </row>
    <row r="1858" spans="1:13" x14ac:dyDescent="0.2">
      <c r="A1858" s="48" t="s">
        <v>147</v>
      </c>
      <c r="B1858" s="12" t="s">
        <v>30</v>
      </c>
      <c r="C1858" s="13" t="s">
        <v>14</v>
      </c>
      <c r="D1858" s="44">
        <v>205.58745932706719</v>
      </c>
      <c r="E1858" s="15" t="s">
        <v>148</v>
      </c>
      <c r="F1858" s="16" t="s">
        <v>16</v>
      </c>
      <c r="G1858" s="22">
        <v>1</v>
      </c>
      <c r="H1858" s="23">
        <v>1</v>
      </c>
      <c r="I1858" s="23">
        <v>1</v>
      </c>
      <c r="J1858" s="23">
        <v>2</v>
      </c>
      <c r="K1858" s="23">
        <v>3</v>
      </c>
      <c r="L1858" s="24">
        <f t="shared" si="56"/>
        <v>1.0195048044558224</v>
      </c>
      <c r="M1858" s="20"/>
    </row>
    <row r="1859" spans="1:13" x14ac:dyDescent="0.2">
      <c r="A1859" s="48" t="s">
        <v>147</v>
      </c>
      <c r="B1859" s="12" t="s">
        <v>32</v>
      </c>
      <c r="C1859" s="13" t="s">
        <v>14</v>
      </c>
      <c r="D1859" s="44">
        <v>15.043011776489349</v>
      </c>
      <c r="E1859" s="15" t="s">
        <v>148</v>
      </c>
      <c r="F1859" s="16" t="s">
        <v>16</v>
      </c>
      <c r="G1859" s="22">
        <v>1</v>
      </c>
      <c r="H1859" s="23">
        <v>1</v>
      </c>
      <c r="I1859" s="23">
        <v>1</v>
      </c>
      <c r="J1859" s="23">
        <v>2</v>
      </c>
      <c r="K1859" s="23">
        <v>3</v>
      </c>
      <c r="L1859" s="25">
        <f t="shared" si="56"/>
        <v>1.0195048044558224</v>
      </c>
      <c r="M1859" s="20"/>
    </row>
    <row r="1860" spans="1:13" x14ac:dyDescent="0.2">
      <c r="A1860" s="48" t="s">
        <v>147</v>
      </c>
      <c r="B1860" s="12" t="s">
        <v>34</v>
      </c>
      <c r="C1860" s="13" t="s">
        <v>14</v>
      </c>
      <c r="D1860" s="44">
        <v>25.18409038500857</v>
      </c>
      <c r="E1860" s="15" t="s">
        <v>148</v>
      </c>
      <c r="F1860" s="16" t="s">
        <v>16</v>
      </c>
      <c r="G1860" s="22">
        <v>1</v>
      </c>
      <c r="H1860" s="23">
        <v>1</v>
      </c>
      <c r="I1860" s="23">
        <v>1</v>
      </c>
      <c r="J1860" s="23">
        <v>2</v>
      </c>
      <c r="K1860" s="23">
        <v>3</v>
      </c>
      <c r="L1860" s="25">
        <f t="shared" si="56"/>
        <v>1.0195048044558224</v>
      </c>
      <c r="M1860" s="20"/>
    </row>
    <row r="1861" spans="1:13" x14ac:dyDescent="0.2">
      <c r="A1861" s="48" t="s">
        <v>147</v>
      </c>
      <c r="B1861" s="12" t="s">
        <v>36</v>
      </c>
      <c r="C1861" s="13" t="s">
        <v>14</v>
      </c>
      <c r="D1861" s="44">
        <v>16.574265329117949</v>
      </c>
      <c r="E1861" s="15" t="s">
        <v>148</v>
      </c>
      <c r="F1861" s="16" t="s">
        <v>16</v>
      </c>
      <c r="G1861" s="22">
        <v>1</v>
      </c>
      <c r="H1861" s="23">
        <v>1</v>
      </c>
      <c r="I1861" s="23">
        <v>1</v>
      </c>
      <c r="J1861" s="23">
        <v>2</v>
      </c>
      <c r="K1861" s="23">
        <v>3</v>
      </c>
      <c r="L1861" s="25">
        <f t="shared" si="56"/>
        <v>1.0195048044558224</v>
      </c>
      <c r="M1861" s="20"/>
    </row>
    <row r="1862" spans="1:13" x14ac:dyDescent="0.2">
      <c r="A1862" s="48" t="s">
        <v>147</v>
      </c>
      <c r="B1862" s="12" t="s">
        <v>37</v>
      </c>
      <c r="C1862" s="13" t="s">
        <v>14</v>
      </c>
      <c r="D1862" s="44">
        <v>108.3386185429998</v>
      </c>
      <c r="E1862" s="15" t="s">
        <v>148</v>
      </c>
      <c r="F1862" s="16" t="s">
        <v>16</v>
      </c>
      <c r="G1862" s="22">
        <v>1</v>
      </c>
      <c r="H1862" s="23">
        <v>1</v>
      </c>
      <c r="I1862" s="23">
        <v>1</v>
      </c>
      <c r="J1862" s="23">
        <v>2</v>
      </c>
      <c r="K1862" s="23">
        <v>3</v>
      </c>
      <c r="L1862" s="24">
        <f t="shared" si="56"/>
        <v>1.0195048044558224</v>
      </c>
      <c r="M1862" s="20"/>
    </row>
    <row r="1863" spans="1:13" x14ac:dyDescent="0.2">
      <c r="A1863" s="48" t="s">
        <v>147</v>
      </c>
      <c r="B1863" s="12" t="s">
        <v>39</v>
      </c>
      <c r="C1863" s="13" t="s">
        <v>14</v>
      </c>
      <c r="D1863" s="44">
        <v>2.5475666565611288</v>
      </c>
      <c r="E1863" s="15" t="s">
        <v>148</v>
      </c>
      <c r="F1863" s="16" t="s">
        <v>16</v>
      </c>
      <c r="G1863" s="22">
        <v>1</v>
      </c>
      <c r="H1863" s="23">
        <v>1</v>
      </c>
      <c r="I1863" s="23">
        <v>1</v>
      </c>
      <c r="J1863" s="23">
        <v>2</v>
      </c>
      <c r="K1863" s="23">
        <v>3</v>
      </c>
      <c r="L1863" s="25">
        <f t="shared" si="56"/>
        <v>1.0195048044558224</v>
      </c>
      <c r="M1863" s="20"/>
    </row>
    <row r="1864" spans="1:13" x14ac:dyDescent="0.2">
      <c r="A1864" s="48" t="s">
        <v>147</v>
      </c>
      <c r="B1864" s="12" t="s">
        <v>40</v>
      </c>
      <c r="C1864" s="13" t="s">
        <v>14</v>
      </c>
      <c r="D1864" s="44">
        <v>4.6776833054257843</v>
      </c>
      <c r="E1864" s="15" t="s">
        <v>148</v>
      </c>
      <c r="F1864" s="16" t="s">
        <v>16</v>
      </c>
      <c r="G1864" s="22">
        <v>1</v>
      </c>
      <c r="H1864" s="23">
        <v>1</v>
      </c>
      <c r="I1864" s="23">
        <v>1</v>
      </c>
      <c r="J1864" s="23">
        <v>2</v>
      </c>
      <c r="K1864" s="23">
        <v>3</v>
      </c>
      <c r="L1864" s="25">
        <f t="shared" si="56"/>
        <v>1.0195048044558224</v>
      </c>
      <c r="M1864" s="20"/>
    </row>
    <row r="1865" spans="1:13" x14ac:dyDescent="0.2">
      <c r="A1865" s="48" t="s">
        <v>147</v>
      </c>
      <c r="B1865" s="12" t="s">
        <v>41</v>
      </c>
      <c r="C1865" s="13" t="s">
        <v>14</v>
      </c>
      <c r="D1865" s="44">
        <v>1.329361500835136</v>
      </c>
      <c r="E1865" s="15" t="s">
        <v>148</v>
      </c>
      <c r="F1865" s="16" t="s">
        <v>16</v>
      </c>
      <c r="G1865" s="22">
        <v>1</v>
      </c>
      <c r="H1865" s="23">
        <v>1</v>
      </c>
      <c r="I1865" s="23">
        <v>1</v>
      </c>
      <c r="J1865" s="23">
        <v>2</v>
      </c>
      <c r="K1865" s="23">
        <v>3</v>
      </c>
      <c r="L1865" s="25">
        <f t="shared" si="56"/>
        <v>1.0195048044558224</v>
      </c>
      <c r="M1865" s="20"/>
    </row>
    <row r="1866" spans="1:13" x14ac:dyDescent="0.2">
      <c r="A1866" s="48" t="s">
        <v>147</v>
      </c>
      <c r="B1866" s="12" t="s">
        <v>42</v>
      </c>
      <c r="C1866" s="13" t="s">
        <v>14</v>
      </c>
      <c r="D1866" s="44">
        <v>0.76699348391495181</v>
      </c>
      <c r="E1866" s="15" t="s">
        <v>148</v>
      </c>
      <c r="F1866" s="16" t="s">
        <v>16</v>
      </c>
      <c r="G1866" s="22">
        <v>1</v>
      </c>
      <c r="H1866" s="23">
        <v>1</v>
      </c>
      <c r="I1866" s="23">
        <v>1</v>
      </c>
      <c r="J1866" s="23">
        <v>2</v>
      </c>
      <c r="K1866" s="23">
        <v>3</v>
      </c>
      <c r="L1866" s="25">
        <f t="shared" si="56"/>
        <v>1.0195048044558224</v>
      </c>
      <c r="M1866" s="20"/>
    </row>
    <row r="1867" spans="1:13" x14ac:dyDescent="0.2">
      <c r="A1867" s="48" t="s">
        <v>147</v>
      </c>
      <c r="B1867" s="12" t="s">
        <v>43</v>
      </c>
      <c r="C1867" s="13" t="s">
        <v>14</v>
      </c>
      <c r="D1867" s="44">
        <v>35.510438241815237</v>
      </c>
      <c r="E1867" s="15" t="s">
        <v>148</v>
      </c>
      <c r="F1867" s="16" t="s">
        <v>16</v>
      </c>
      <c r="G1867" s="22">
        <v>1</v>
      </c>
      <c r="H1867" s="23">
        <v>1</v>
      </c>
      <c r="I1867" s="23">
        <v>1</v>
      </c>
      <c r="J1867" s="23">
        <v>2</v>
      </c>
      <c r="K1867" s="23">
        <v>3</v>
      </c>
      <c r="L1867" s="25">
        <f t="shared" si="56"/>
        <v>1.0195048044558224</v>
      </c>
      <c r="M1867" s="20"/>
    </row>
    <row r="1868" spans="1:13" x14ac:dyDescent="0.2">
      <c r="A1868" s="48" t="s">
        <v>147</v>
      </c>
      <c r="B1868" s="12" t="s">
        <v>45</v>
      </c>
      <c r="C1868" s="13" t="s">
        <v>14</v>
      </c>
      <c r="D1868" s="44">
        <v>13.44953018031009</v>
      </c>
      <c r="E1868" s="15" t="s">
        <v>148</v>
      </c>
      <c r="F1868" s="16" t="s">
        <v>16</v>
      </c>
      <c r="G1868" s="22">
        <v>1</v>
      </c>
      <c r="H1868" s="23">
        <v>1</v>
      </c>
      <c r="I1868" s="23">
        <v>1</v>
      </c>
      <c r="J1868" s="23">
        <v>2</v>
      </c>
      <c r="K1868" s="23">
        <v>3</v>
      </c>
      <c r="L1868" s="25">
        <f t="shared" si="56"/>
        <v>1.0195048044558224</v>
      </c>
      <c r="M1868" s="20"/>
    </row>
    <row r="1869" spans="1:13" x14ac:dyDescent="0.2">
      <c r="A1869" s="48" t="s">
        <v>147</v>
      </c>
      <c r="B1869" s="12" t="s">
        <v>46</v>
      </c>
      <c r="C1869" s="13" t="s">
        <v>14</v>
      </c>
      <c r="D1869" s="44">
        <v>61.203758045510938</v>
      </c>
      <c r="E1869" s="15" t="s">
        <v>148</v>
      </c>
      <c r="F1869" s="16" t="s">
        <v>16</v>
      </c>
      <c r="G1869" s="22">
        <v>1</v>
      </c>
      <c r="H1869" s="23">
        <v>1</v>
      </c>
      <c r="I1869" s="23">
        <v>1</v>
      </c>
      <c r="J1869" s="23">
        <v>2</v>
      </c>
      <c r="K1869" s="23">
        <v>3</v>
      </c>
      <c r="L1869" s="24">
        <f t="shared" si="56"/>
        <v>1.0195048044558224</v>
      </c>
      <c r="M1869" s="20"/>
    </row>
    <row r="1870" spans="1:13" x14ac:dyDescent="0.2">
      <c r="A1870" s="48" t="s">
        <v>147</v>
      </c>
      <c r="B1870" s="12" t="s">
        <v>48</v>
      </c>
      <c r="C1870" s="13" t="s">
        <v>14</v>
      </c>
      <c r="D1870" s="44">
        <v>22.547786823265671</v>
      </c>
      <c r="E1870" s="15" t="s">
        <v>148</v>
      </c>
      <c r="F1870" s="16" t="s">
        <v>16</v>
      </c>
      <c r="G1870" s="22">
        <v>1</v>
      </c>
      <c r="H1870" s="23">
        <v>1</v>
      </c>
      <c r="I1870" s="23">
        <v>1</v>
      </c>
      <c r="J1870" s="23">
        <v>2</v>
      </c>
      <c r="K1870" s="23">
        <v>3</v>
      </c>
      <c r="L1870" s="25">
        <f t="shared" si="56"/>
        <v>1.0195048044558224</v>
      </c>
      <c r="M1870" s="20"/>
    </row>
    <row r="1871" spans="1:13" x14ac:dyDescent="0.2">
      <c r="A1871" s="48" t="s">
        <v>147</v>
      </c>
      <c r="B1871" s="12" t="s">
        <v>50</v>
      </c>
      <c r="C1871" s="13" t="s">
        <v>14</v>
      </c>
      <c r="D1871" s="44">
        <v>26.20086233631984</v>
      </c>
      <c r="E1871" s="15" t="s">
        <v>148</v>
      </c>
      <c r="F1871" s="16" t="s">
        <v>16</v>
      </c>
      <c r="G1871" s="22">
        <v>1</v>
      </c>
      <c r="H1871" s="23">
        <v>1</v>
      </c>
      <c r="I1871" s="23">
        <v>1</v>
      </c>
      <c r="J1871" s="23">
        <v>2</v>
      </c>
      <c r="K1871" s="23">
        <v>3</v>
      </c>
      <c r="L1871" s="25">
        <f t="shared" si="56"/>
        <v>1.0195048044558224</v>
      </c>
      <c r="M1871" s="20"/>
    </row>
    <row r="1872" spans="1:13" x14ac:dyDescent="0.2">
      <c r="A1872" s="48" t="s">
        <v>147</v>
      </c>
      <c r="B1872" s="12" t="s">
        <v>52</v>
      </c>
      <c r="C1872" s="13" t="s">
        <v>14</v>
      </c>
      <c r="D1872" s="44">
        <v>6.9653947099691749</v>
      </c>
      <c r="E1872" s="15" t="s">
        <v>148</v>
      </c>
      <c r="F1872" s="16" t="s">
        <v>16</v>
      </c>
      <c r="G1872" s="22">
        <v>1</v>
      </c>
      <c r="H1872" s="23">
        <v>1</v>
      </c>
      <c r="I1872" s="23">
        <v>1</v>
      </c>
      <c r="J1872" s="23">
        <v>2</v>
      </c>
      <c r="K1872" s="23">
        <v>3</v>
      </c>
      <c r="L1872" s="25">
        <f t="shared" si="56"/>
        <v>1.0195048044558224</v>
      </c>
      <c r="M1872" s="20"/>
    </row>
    <row r="1873" spans="1:13" x14ac:dyDescent="0.2">
      <c r="A1873" s="48" t="s">
        <v>147</v>
      </c>
      <c r="B1873" s="12" t="s">
        <v>54</v>
      </c>
      <c r="C1873" s="13" t="s">
        <v>14</v>
      </c>
      <c r="D1873" s="44">
        <v>2.6963946921735769</v>
      </c>
      <c r="E1873" s="15" t="s">
        <v>148</v>
      </c>
      <c r="F1873" s="16" t="s">
        <v>16</v>
      </c>
      <c r="G1873" s="22">
        <v>1</v>
      </c>
      <c r="H1873" s="23">
        <v>1</v>
      </c>
      <c r="I1873" s="23">
        <v>1</v>
      </c>
      <c r="J1873" s="23">
        <v>2</v>
      </c>
      <c r="K1873" s="23">
        <v>3</v>
      </c>
      <c r="L1873" s="25">
        <f t="shared" si="56"/>
        <v>1.0195048044558224</v>
      </c>
      <c r="M1873" s="20"/>
    </row>
    <row r="1874" spans="1:13" x14ac:dyDescent="0.2">
      <c r="A1874" s="48" t="s">
        <v>147</v>
      </c>
      <c r="B1874" s="12" t="s">
        <v>55</v>
      </c>
      <c r="C1874" s="13" t="s">
        <v>14</v>
      </c>
      <c r="D1874" s="44">
        <v>82.672849819219422</v>
      </c>
      <c r="E1874" s="15" t="s">
        <v>148</v>
      </c>
      <c r="F1874" s="16" t="s">
        <v>16</v>
      </c>
      <c r="G1874" s="22">
        <v>1</v>
      </c>
      <c r="H1874" s="23">
        <v>1</v>
      </c>
      <c r="I1874" s="23">
        <v>1</v>
      </c>
      <c r="J1874" s="23">
        <v>2</v>
      </c>
      <c r="K1874" s="23">
        <v>3</v>
      </c>
      <c r="L1874" s="24">
        <f t="shared" si="56"/>
        <v>1.0195048044558224</v>
      </c>
      <c r="M1874" s="20"/>
    </row>
    <row r="1875" spans="1:13" x14ac:dyDescent="0.2">
      <c r="A1875" s="48" t="s">
        <v>147</v>
      </c>
      <c r="B1875" s="12" t="s">
        <v>57</v>
      </c>
      <c r="C1875" s="13" t="s">
        <v>14</v>
      </c>
      <c r="D1875" s="44">
        <v>13.48316987532135</v>
      </c>
      <c r="E1875" s="15" t="s">
        <v>148</v>
      </c>
      <c r="F1875" s="16" t="s">
        <v>16</v>
      </c>
      <c r="G1875" s="22">
        <v>1</v>
      </c>
      <c r="H1875" s="23">
        <v>1</v>
      </c>
      <c r="I1875" s="23">
        <v>1</v>
      </c>
      <c r="J1875" s="23">
        <v>2</v>
      </c>
      <c r="K1875" s="23">
        <v>3</v>
      </c>
      <c r="L1875" s="25">
        <f t="shared" si="56"/>
        <v>1.0195048044558224</v>
      </c>
      <c r="M1875" s="20"/>
    </row>
    <row r="1876" spans="1:13" x14ac:dyDescent="0.2">
      <c r="A1876" s="48" t="s">
        <v>147</v>
      </c>
      <c r="B1876" s="12" t="s">
        <v>59</v>
      </c>
      <c r="C1876" s="13" t="s">
        <v>14</v>
      </c>
      <c r="D1876" s="44">
        <v>20.28827476945786</v>
      </c>
      <c r="E1876" s="15" t="s">
        <v>148</v>
      </c>
      <c r="F1876" s="16" t="s">
        <v>16</v>
      </c>
      <c r="G1876" s="22">
        <v>1</v>
      </c>
      <c r="H1876" s="23">
        <v>1</v>
      </c>
      <c r="I1876" s="23">
        <v>1</v>
      </c>
      <c r="J1876" s="23">
        <v>2</v>
      </c>
      <c r="K1876" s="23">
        <v>3</v>
      </c>
      <c r="L1876" s="25">
        <f t="shared" si="56"/>
        <v>1.0195048044558224</v>
      </c>
      <c r="M1876" s="20"/>
    </row>
    <row r="1877" spans="1:13" x14ac:dyDescent="0.2">
      <c r="A1877" s="48" t="s">
        <v>147</v>
      </c>
      <c r="B1877" s="12" t="s">
        <v>60</v>
      </c>
      <c r="C1877" s="13" t="s">
        <v>14</v>
      </c>
      <c r="D1877" s="44">
        <v>107.1359891359018</v>
      </c>
      <c r="E1877" s="15" t="s">
        <v>148</v>
      </c>
      <c r="F1877" s="16" t="s">
        <v>16</v>
      </c>
      <c r="G1877" s="22">
        <v>1</v>
      </c>
      <c r="H1877" s="23">
        <v>2</v>
      </c>
      <c r="I1877" s="23">
        <v>1</v>
      </c>
      <c r="J1877" s="23">
        <v>2</v>
      </c>
      <c r="K1877" s="23">
        <v>3</v>
      </c>
      <c r="L1877" s="24">
        <f t="shared" ref="L1877:L1907" si="57">IF( OR( ISBLANK(G1877),ISBLANK(H1877), ISBLANK(I1877), ISBLANK(J1877), ISBLANK(K1877) ), "", 1.5*SQRT( EXP(2.21*(G1877-1)) + EXP(2.21*(H1877-1)) + EXP(2.21*(I1877-1)) + EXP(2.21*(J1877-1)) + EXP(2.21*K1877) )/100*2.45 )</f>
        <v>1.0248662490928169</v>
      </c>
      <c r="M1877" s="20"/>
    </row>
    <row r="1878" spans="1:13" x14ac:dyDescent="0.2">
      <c r="A1878" s="48" t="s">
        <v>147</v>
      </c>
      <c r="B1878" s="12" t="s">
        <v>13</v>
      </c>
      <c r="C1878" s="27" t="s">
        <v>62</v>
      </c>
      <c r="D1878" s="44">
        <v>16.18536455700653</v>
      </c>
      <c r="E1878" s="15" t="s">
        <v>148</v>
      </c>
      <c r="F1878" s="16" t="s">
        <v>16</v>
      </c>
      <c r="G1878" s="22">
        <v>1</v>
      </c>
      <c r="H1878" s="23">
        <v>1</v>
      </c>
      <c r="I1878" s="23">
        <v>1</v>
      </c>
      <c r="J1878" s="23">
        <v>2</v>
      </c>
      <c r="K1878" s="23">
        <v>3</v>
      </c>
      <c r="L1878" s="25">
        <f t="shared" si="57"/>
        <v>1.0195048044558224</v>
      </c>
      <c r="M1878" s="20"/>
    </row>
    <row r="1879" spans="1:13" x14ac:dyDescent="0.2">
      <c r="A1879" s="48" t="s">
        <v>147</v>
      </c>
      <c r="B1879" s="12" t="s">
        <v>18</v>
      </c>
      <c r="C1879" s="27" t="s">
        <v>62</v>
      </c>
      <c r="D1879" s="44">
        <v>21.816281276324371</v>
      </c>
      <c r="E1879" s="15" t="s">
        <v>148</v>
      </c>
      <c r="F1879" s="16" t="s">
        <v>16</v>
      </c>
      <c r="G1879" s="22">
        <v>1</v>
      </c>
      <c r="H1879" s="23">
        <v>1</v>
      </c>
      <c r="I1879" s="23">
        <v>1</v>
      </c>
      <c r="J1879" s="23">
        <v>2</v>
      </c>
      <c r="K1879" s="23">
        <v>3</v>
      </c>
      <c r="L1879" s="25">
        <f t="shared" si="57"/>
        <v>1.0195048044558224</v>
      </c>
      <c r="M1879" s="20"/>
    </row>
    <row r="1880" spans="1:13" x14ac:dyDescent="0.2">
      <c r="A1880" s="48" t="s">
        <v>147</v>
      </c>
      <c r="B1880" s="12" t="s">
        <v>20</v>
      </c>
      <c r="C1880" s="27" t="s">
        <v>62</v>
      </c>
      <c r="D1880" s="44">
        <v>8.2780574740687669</v>
      </c>
      <c r="E1880" s="15" t="s">
        <v>148</v>
      </c>
      <c r="F1880" s="16" t="s">
        <v>16</v>
      </c>
      <c r="G1880" s="22">
        <v>1</v>
      </c>
      <c r="H1880" s="23">
        <v>1</v>
      </c>
      <c r="I1880" s="23">
        <v>1</v>
      </c>
      <c r="J1880" s="23">
        <v>2</v>
      </c>
      <c r="K1880" s="23">
        <v>3</v>
      </c>
      <c r="L1880" s="25">
        <f t="shared" si="57"/>
        <v>1.0195048044558224</v>
      </c>
      <c r="M1880" s="20"/>
    </row>
    <row r="1881" spans="1:13" x14ac:dyDescent="0.2">
      <c r="A1881" s="48" t="s">
        <v>147</v>
      </c>
      <c r="B1881" s="12" t="s">
        <v>22</v>
      </c>
      <c r="C1881" s="27" t="s">
        <v>62</v>
      </c>
      <c r="D1881" s="44">
        <v>3.5880007291120548</v>
      </c>
      <c r="E1881" s="15" t="s">
        <v>148</v>
      </c>
      <c r="F1881" s="16" t="s">
        <v>16</v>
      </c>
      <c r="G1881" s="22">
        <v>1</v>
      </c>
      <c r="H1881" s="23">
        <v>1</v>
      </c>
      <c r="I1881" s="23">
        <v>1</v>
      </c>
      <c r="J1881" s="23">
        <v>2</v>
      </c>
      <c r="K1881" s="23">
        <v>3</v>
      </c>
      <c r="L1881" s="25">
        <f t="shared" si="57"/>
        <v>1.0195048044558224</v>
      </c>
      <c r="M1881" s="20"/>
    </row>
    <row r="1882" spans="1:13" x14ac:dyDescent="0.2">
      <c r="A1882" s="48" t="s">
        <v>147</v>
      </c>
      <c r="B1882" s="12" t="s">
        <v>23</v>
      </c>
      <c r="C1882" s="27" t="s">
        <v>62</v>
      </c>
      <c r="D1882" s="44">
        <v>0.99190260637011696</v>
      </c>
      <c r="E1882" s="15" t="s">
        <v>148</v>
      </c>
      <c r="F1882" s="16" t="s">
        <v>16</v>
      </c>
      <c r="G1882" s="22">
        <v>1</v>
      </c>
      <c r="H1882" s="23">
        <v>1</v>
      </c>
      <c r="I1882" s="23">
        <v>1</v>
      </c>
      <c r="J1882" s="23">
        <v>2</v>
      </c>
      <c r="K1882" s="23">
        <v>3</v>
      </c>
      <c r="L1882" s="25">
        <f t="shared" si="57"/>
        <v>1.0195048044558224</v>
      </c>
      <c r="M1882" s="20"/>
    </row>
    <row r="1883" spans="1:13" x14ac:dyDescent="0.2">
      <c r="A1883" s="48" t="s">
        <v>147</v>
      </c>
      <c r="B1883" s="12" t="s">
        <v>24</v>
      </c>
      <c r="C1883" s="27" t="s">
        <v>62</v>
      </c>
      <c r="D1883" s="44">
        <v>14.32762501443351</v>
      </c>
      <c r="E1883" s="15" t="s">
        <v>148</v>
      </c>
      <c r="F1883" s="16" t="s">
        <v>16</v>
      </c>
      <c r="G1883" s="22">
        <v>1</v>
      </c>
      <c r="H1883" s="23">
        <v>1</v>
      </c>
      <c r="I1883" s="23">
        <v>1</v>
      </c>
      <c r="J1883" s="23">
        <v>2</v>
      </c>
      <c r="K1883" s="23">
        <v>3</v>
      </c>
      <c r="L1883" s="25">
        <f t="shared" si="57"/>
        <v>1.0195048044558224</v>
      </c>
      <c r="M1883" s="20"/>
    </row>
    <row r="1884" spans="1:13" x14ac:dyDescent="0.2">
      <c r="A1884" s="48" t="s">
        <v>147</v>
      </c>
      <c r="B1884" s="12" t="s">
        <v>25</v>
      </c>
      <c r="C1884" s="27" t="s">
        <v>62</v>
      </c>
      <c r="D1884" s="44">
        <v>12.393045740063339</v>
      </c>
      <c r="E1884" s="15" t="s">
        <v>148</v>
      </c>
      <c r="F1884" s="16" t="s">
        <v>16</v>
      </c>
      <c r="G1884" s="22">
        <v>1</v>
      </c>
      <c r="H1884" s="23">
        <v>1</v>
      </c>
      <c r="I1884" s="23">
        <v>1</v>
      </c>
      <c r="J1884" s="23">
        <v>2</v>
      </c>
      <c r="K1884" s="23">
        <v>3</v>
      </c>
      <c r="L1884" s="25">
        <f t="shared" si="57"/>
        <v>1.0195048044558224</v>
      </c>
      <c r="M1884" s="20"/>
    </row>
    <row r="1885" spans="1:13" x14ac:dyDescent="0.2">
      <c r="A1885" s="48" t="s">
        <v>147</v>
      </c>
      <c r="B1885" s="12" t="s">
        <v>26</v>
      </c>
      <c r="C1885" s="27" t="s">
        <v>62</v>
      </c>
      <c r="D1885" s="44">
        <v>2.904004383667524</v>
      </c>
      <c r="E1885" s="15" t="s">
        <v>148</v>
      </c>
      <c r="F1885" s="16" t="s">
        <v>16</v>
      </c>
      <c r="G1885" s="22">
        <v>1</v>
      </c>
      <c r="H1885" s="23">
        <v>1</v>
      </c>
      <c r="I1885" s="23">
        <v>1</v>
      </c>
      <c r="J1885" s="23">
        <v>2</v>
      </c>
      <c r="K1885" s="23">
        <v>3</v>
      </c>
      <c r="L1885" s="25">
        <f t="shared" si="57"/>
        <v>1.0195048044558224</v>
      </c>
      <c r="M1885" s="20"/>
    </row>
    <row r="1886" spans="1:13" x14ac:dyDescent="0.2">
      <c r="A1886" s="48" t="s">
        <v>147</v>
      </c>
      <c r="B1886" s="12" t="s">
        <v>27</v>
      </c>
      <c r="C1886" s="27" t="s">
        <v>62</v>
      </c>
      <c r="D1886" s="44">
        <v>8.5077458114849573</v>
      </c>
      <c r="E1886" s="15" t="s">
        <v>148</v>
      </c>
      <c r="F1886" s="16" t="s">
        <v>16</v>
      </c>
      <c r="G1886" s="22">
        <v>1</v>
      </c>
      <c r="H1886" s="23">
        <v>1</v>
      </c>
      <c r="I1886" s="23">
        <v>1</v>
      </c>
      <c r="J1886" s="23">
        <v>2</v>
      </c>
      <c r="K1886" s="23">
        <v>3</v>
      </c>
      <c r="L1886" s="25">
        <f t="shared" si="57"/>
        <v>1.0195048044558224</v>
      </c>
      <c r="M1886" s="20"/>
    </row>
    <row r="1887" spans="1:13" x14ac:dyDescent="0.2">
      <c r="A1887" s="48" t="s">
        <v>147</v>
      </c>
      <c r="B1887" s="12" t="s">
        <v>28</v>
      </c>
      <c r="C1887" s="27" t="s">
        <v>62</v>
      </c>
      <c r="D1887" s="44">
        <v>116.2499104048307</v>
      </c>
      <c r="E1887" s="15" t="s">
        <v>148</v>
      </c>
      <c r="F1887" s="16" t="s">
        <v>16</v>
      </c>
      <c r="G1887" s="22">
        <v>1</v>
      </c>
      <c r="H1887" s="23">
        <v>1</v>
      </c>
      <c r="I1887" s="23">
        <v>1</v>
      </c>
      <c r="J1887" s="23">
        <v>2</v>
      </c>
      <c r="K1887" s="23">
        <v>3</v>
      </c>
      <c r="L1887" s="25">
        <f t="shared" si="57"/>
        <v>1.0195048044558224</v>
      </c>
      <c r="M1887" s="20"/>
    </row>
    <row r="1888" spans="1:13" x14ac:dyDescent="0.2">
      <c r="A1888" s="48" t="s">
        <v>147</v>
      </c>
      <c r="B1888" s="12" t="s">
        <v>30</v>
      </c>
      <c r="C1888" s="27" t="s">
        <v>62</v>
      </c>
      <c r="D1888" s="44">
        <v>205.0904169369615</v>
      </c>
      <c r="E1888" s="15" t="s">
        <v>148</v>
      </c>
      <c r="F1888" s="16" t="s">
        <v>16</v>
      </c>
      <c r="G1888" s="22">
        <v>1</v>
      </c>
      <c r="H1888" s="23">
        <v>1</v>
      </c>
      <c r="I1888" s="23">
        <v>1</v>
      </c>
      <c r="J1888" s="23">
        <v>2</v>
      </c>
      <c r="K1888" s="23">
        <v>3</v>
      </c>
      <c r="L1888" s="24">
        <f t="shared" si="57"/>
        <v>1.0195048044558224</v>
      </c>
      <c r="M1888" s="20"/>
    </row>
    <row r="1889" spans="1:13" x14ac:dyDescent="0.2">
      <c r="A1889" s="48" t="s">
        <v>147</v>
      </c>
      <c r="B1889" s="12" t="s">
        <v>32</v>
      </c>
      <c r="C1889" s="27" t="s">
        <v>62</v>
      </c>
      <c r="D1889" s="44">
        <v>15.006642755965199</v>
      </c>
      <c r="E1889" s="15" t="s">
        <v>148</v>
      </c>
      <c r="F1889" s="16" t="s">
        <v>16</v>
      </c>
      <c r="G1889" s="22">
        <v>1</v>
      </c>
      <c r="H1889" s="23">
        <v>1</v>
      </c>
      <c r="I1889" s="23">
        <v>1</v>
      </c>
      <c r="J1889" s="23">
        <v>2</v>
      </c>
      <c r="K1889" s="23">
        <v>3</v>
      </c>
      <c r="L1889" s="25">
        <f t="shared" si="57"/>
        <v>1.0195048044558224</v>
      </c>
      <c r="M1889" s="20"/>
    </row>
    <row r="1890" spans="1:13" x14ac:dyDescent="0.2">
      <c r="A1890" s="48" t="s">
        <v>147</v>
      </c>
      <c r="B1890" s="12" t="s">
        <v>34</v>
      </c>
      <c r="C1890" s="27" t="s">
        <v>62</v>
      </c>
      <c r="D1890" s="44">
        <v>25.12320359493599</v>
      </c>
      <c r="E1890" s="15" t="s">
        <v>148</v>
      </c>
      <c r="F1890" s="16" t="s">
        <v>16</v>
      </c>
      <c r="G1890" s="22">
        <v>1</v>
      </c>
      <c r="H1890" s="23">
        <v>1</v>
      </c>
      <c r="I1890" s="23">
        <v>1</v>
      </c>
      <c r="J1890" s="23">
        <v>2</v>
      </c>
      <c r="K1890" s="23">
        <v>3</v>
      </c>
      <c r="L1890" s="25">
        <f t="shared" si="57"/>
        <v>1.0195048044558224</v>
      </c>
      <c r="M1890" s="20"/>
    </row>
    <row r="1891" spans="1:13" x14ac:dyDescent="0.2">
      <c r="A1891" s="48" t="s">
        <v>147</v>
      </c>
      <c r="B1891" s="12" t="s">
        <v>36</v>
      </c>
      <c r="C1891" s="27" t="s">
        <v>62</v>
      </c>
      <c r="D1891" s="44">
        <v>16.534194244624778</v>
      </c>
      <c r="E1891" s="15" t="s">
        <v>148</v>
      </c>
      <c r="F1891" s="16" t="s">
        <v>16</v>
      </c>
      <c r="G1891" s="22">
        <v>1</v>
      </c>
      <c r="H1891" s="23">
        <v>1</v>
      </c>
      <c r="I1891" s="23">
        <v>1</v>
      </c>
      <c r="J1891" s="23">
        <v>2</v>
      </c>
      <c r="K1891" s="23">
        <v>3</v>
      </c>
      <c r="L1891" s="25">
        <f t="shared" si="57"/>
        <v>1.0195048044558224</v>
      </c>
      <c r="M1891" s="20"/>
    </row>
    <row r="1892" spans="1:13" x14ac:dyDescent="0.2">
      <c r="A1892" s="48" t="s">
        <v>147</v>
      </c>
      <c r="B1892" s="12" t="s">
        <v>37</v>
      </c>
      <c r="C1892" s="27" t="s">
        <v>62</v>
      </c>
      <c r="D1892" s="44">
        <v>108.0766916429952</v>
      </c>
      <c r="E1892" s="15" t="s">
        <v>148</v>
      </c>
      <c r="F1892" s="16" t="s">
        <v>16</v>
      </c>
      <c r="G1892" s="22">
        <v>1</v>
      </c>
      <c r="H1892" s="23">
        <v>1</v>
      </c>
      <c r="I1892" s="23">
        <v>1</v>
      </c>
      <c r="J1892" s="23">
        <v>2</v>
      </c>
      <c r="K1892" s="23">
        <v>3</v>
      </c>
      <c r="L1892" s="24">
        <f t="shared" si="57"/>
        <v>1.0195048044558224</v>
      </c>
      <c r="M1892" s="20"/>
    </row>
    <row r="1893" spans="1:13" x14ac:dyDescent="0.2">
      <c r="A1893" s="48" t="s">
        <v>147</v>
      </c>
      <c r="B1893" s="12" t="s">
        <v>39</v>
      </c>
      <c r="C1893" s="27" t="s">
        <v>62</v>
      </c>
      <c r="D1893" s="44">
        <v>2.541407484089834</v>
      </c>
      <c r="E1893" s="15" t="s">
        <v>148</v>
      </c>
      <c r="F1893" s="16" t="s">
        <v>16</v>
      </c>
      <c r="G1893" s="22">
        <v>1</v>
      </c>
      <c r="H1893" s="23">
        <v>1</v>
      </c>
      <c r="I1893" s="23">
        <v>1</v>
      </c>
      <c r="J1893" s="23">
        <v>2</v>
      </c>
      <c r="K1893" s="23">
        <v>3</v>
      </c>
      <c r="L1893" s="25">
        <f t="shared" si="57"/>
        <v>1.0195048044558224</v>
      </c>
      <c r="M1893" s="20"/>
    </row>
    <row r="1894" spans="1:13" x14ac:dyDescent="0.2">
      <c r="A1894" s="48" t="s">
        <v>147</v>
      </c>
      <c r="B1894" s="12" t="s">
        <v>40</v>
      </c>
      <c r="C1894" s="27" t="s">
        <v>62</v>
      </c>
      <c r="D1894" s="44">
        <v>4.6663742163505244</v>
      </c>
      <c r="E1894" s="15" t="s">
        <v>148</v>
      </c>
      <c r="F1894" s="16" t="s">
        <v>16</v>
      </c>
      <c r="G1894" s="22">
        <v>1</v>
      </c>
      <c r="H1894" s="23">
        <v>1</v>
      </c>
      <c r="I1894" s="23">
        <v>1</v>
      </c>
      <c r="J1894" s="23">
        <v>2</v>
      </c>
      <c r="K1894" s="23">
        <v>3</v>
      </c>
      <c r="L1894" s="25">
        <f t="shared" si="57"/>
        <v>1.0195048044558224</v>
      </c>
      <c r="M1894" s="20"/>
    </row>
    <row r="1895" spans="1:13" x14ac:dyDescent="0.2">
      <c r="A1895" s="48" t="s">
        <v>147</v>
      </c>
      <c r="B1895" s="12" t="s">
        <v>41</v>
      </c>
      <c r="C1895" s="27" t="s">
        <v>62</v>
      </c>
      <c r="D1895" s="44">
        <v>1.326147544984656</v>
      </c>
      <c r="E1895" s="15" t="s">
        <v>148</v>
      </c>
      <c r="F1895" s="16" t="s">
        <v>16</v>
      </c>
      <c r="G1895" s="22">
        <v>1</v>
      </c>
      <c r="H1895" s="23">
        <v>1</v>
      </c>
      <c r="I1895" s="23">
        <v>1</v>
      </c>
      <c r="J1895" s="23">
        <v>2</v>
      </c>
      <c r="K1895" s="23">
        <v>3</v>
      </c>
      <c r="L1895" s="25">
        <f t="shared" si="57"/>
        <v>1.0195048044558224</v>
      </c>
      <c r="M1895" s="20"/>
    </row>
    <row r="1896" spans="1:13" x14ac:dyDescent="0.2">
      <c r="A1896" s="48" t="s">
        <v>147</v>
      </c>
      <c r="B1896" s="12" t="s">
        <v>42</v>
      </c>
      <c r="C1896" s="27" t="s">
        <v>62</v>
      </c>
      <c r="D1896" s="44">
        <v>0.76513914768409208</v>
      </c>
      <c r="E1896" s="15" t="s">
        <v>148</v>
      </c>
      <c r="F1896" s="16" t="s">
        <v>16</v>
      </c>
      <c r="G1896" s="22">
        <v>1</v>
      </c>
      <c r="H1896" s="23">
        <v>1</v>
      </c>
      <c r="I1896" s="23">
        <v>1</v>
      </c>
      <c r="J1896" s="23">
        <v>2</v>
      </c>
      <c r="K1896" s="23">
        <v>3</v>
      </c>
      <c r="L1896" s="25">
        <f t="shared" si="57"/>
        <v>1.0195048044558224</v>
      </c>
      <c r="M1896" s="20"/>
    </row>
    <row r="1897" spans="1:13" x14ac:dyDescent="0.2">
      <c r="A1897" s="48" t="s">
        <v>147</v>
      </c>
      <c r="B1897" s="12" t="s">
        <v>43</v>
      </c>
      <c r="C1897" s="27" t="s">
        <v>62</v>
      </c>
      <c r="D1897" s="44">
        <v>35.424585762509423</v>
      </c>
      <c r="E1897" s="15" t="s">
        <v>148</v>
      </c>
      <c r="F1897" s="16" t="s">
        <v>16</v>
      </c>
      <c r="G1897" s="22">
        <v>1</v>
      </c>
      <c r="H1897" s="23">
        <v>1</v>
      </c>
      <c r="I1897" s="23">
        <v>1</v>
      </c>
      <c r="J1897" s="23">
        <v>2</v>
      </c>
      <c r="K1897" s="23">
        <v>3</v>
      </c>
      <c r="L1897" s="25">
        <f t="shared" si="57"/>
        <v>1.0195048044558224</v>
      </c>
      <c r="M1897" s="20"/>
    </row>
    <row r="1898" spans="1:13" x14ac:dyDescent="0.2">
      <c r="A1898" s="48" t="s">
        <v>147</v>
      </c>
      <c r="B1898" s="12" t="s">
        <v>45</v>
      </c>
      <c r="C1898" s="27" t="s">
        <v>62</v>
      </c>
      <c r="D1898" s="44">
        <v>13.41701367055555</v>
      </c>
      <c r="E1898" s="15" t="s">
        <v>148</v>
      </c>
      <c r="F1898" s="16" t="s">
        <v>16</v>
      </c>
      <c r="G1898" s="22">
        <v>1</v>
      </c>
      <c r="H1898" s="23">
        <v>1</v>
      </c>
      <c r="I1898" s="23">
        <v>1</v>
      </c>
      <c r="J1898" s="23">
        <v>2</v>
      </c>
      <c r="K1898" s="23">
        <v>3</v>
      </c>
      <c r="L1898" s="25">
        <f t="shared" si="57"/>
        <v>1.0195048044558224</v>
      </c>
      <c r="M1898" s="20"/>
    </row>
    <row r="1899" spans="1:13" x14ac:dyDescent="0.2">
      <c r="A1899" s="48" t="s">
        <v>147</v>
      </c>
      <c r="B1899" s="12" t="s">
        <v>46</v>
      </c>
      <c r="C1899" s="27" t="s">
        <v>62</v>
      </c>
      <c r="D1899" s="44">
        <v>61.055787628044989</v>
      </c>
      <c r="E1899" s="15" t="s">
        <v>148</v>
      </c>
      <c r="F1899" s="16" t="s">
        <v>16</v>
      </c>
      <c r="G1899" s="22">
        <v>1</v>
      </c>
      <c r="H1899" s="23">
        <v>1</v>
      </c>
      <c r="I1899" s="23">
        <v>1</v>
      </c>
      <c r="J1899" s="23">
        <v>2</v>
      </c>
      <c r="K1899" s="23">
        <v>3</v>
      </c>
      <c r="L1899" s="24">
        <f t="shared" si="57"/>
        <v>1.0195048044558224</v>
      </c>
      <c r="M1899" s="20"/>
    </row>
    <row r="1900" spans="1:13" x14ac:dyDescent="0.2">
      <c r="A1900" s="48" t="s">
        <v>147</v>
      </c>
      <c r="B1900" s="12" t="s">
        <v>48</v>
      </c>
      <c r="C1900" s="27" t="s">
        <v>62</v>
      </c>
      <c r="D1900" s="44">
        <v>22.493273742113178</v>
      </c>
      <c r="E1900" s="15" t="s">
        <v>148</v>
      </c>
      <c r="F1900" s="16" t="s">
        <v>16</v>
      </c>
      <c r="G1900" s="22">
        <v>1</v>
      </c>
      <c r="H1900" s="23">
        <v>1</v>
      </c>
      <c r="I1900" s="23">
        <v>1</v>
      </c>
      <c r="J1900" s="23">
        <v>2</v>
      </c>
      <c r="K1900" s="23">
        <v>3</v>
      </c>
      <c r="L1900" s="25">
        <f t="shared" si="57"/>
        <v>1.0195048044558224</v>
      </c>
      <c r="M1900" s="20"/>
    </row>
    <row r="1901" spans="1:13" x14ac:dyDescent="0.2">
      <c r="A1901" s="48" t="s">
        <v>147</v>
      </c>
      <c r="B1901" s="12" t="s">
        <v>50</v>
      </c>
      <c r="C1901" s="27" t="s">
        <v>62</v>
      </c>
      <c r="D1901" s="44">
        <v>26.13751732840398</v>
      </c>
      <c r="E1901" s="15" t="s">
        <v>148</v>
      </c>
      <c r="F1901" s="16" t="s">
        <v>16</v>
      </c>
      <c r="G1901" s="22">
        <v>1</v>
      </c>
      <c r="H1901" s="23">
        <v>1</v>
      </c>
      <c r="I1901" s="23">
        <v>1</v>
      </c>
      <c r="J1901" s="23">
        <v>2</v>
      </c>
      <c r="K1901" s="23">
        <v>3</v>
      </c>
      <c r="L1901" s="25">
        <f t="shared" si="57"/>
        <v>1.0195048044558224</v>
      </c>
      <c r="M1901" s="20"/>
    </row>
    <row r="1902" spans="1:13" x14ac:dyDescent="0.2">
      <c r="A1902" s="48" t="s">
        <v>147</v>
      </c>
      <c r="B1902" s="12" t="s">
        <v>52</v>
      </c>
      <c r="C1902" s="27" t="s">
        <v>62</v>
      </c>
      <c r="D1902" s="44">
        <v>6.9485546923630199</v>
      </c>
      <c r="E1902" s="15" t="s">
        <v>148</v>
      </c>
      <c r="F1902" s="16" t="s">
        <v>16</v>
      </c>
      <c r="G1902" s="22">
        <v>1</v>
      </c>
      <c r="H1902" s="23">
        <v>1</v>
      </c>
      <c r="I1902" s="23">
        <v>1</v>
      </c>
      <c r="J1902" s="23">
        <v>2</v>
      </c>
      <c r="K1902" s="23">
        <v>3</v>
      </c>
      <c r="L1902" s="25">
        <f t="shared" si="57"/>
        <v>1.0195048044558224</v>
      </c>
      <c r="M1902" s="20"/>
    </row>
    <row r="1903" spans="1:13" x14ac:dyDescent="0.2">
      <c r="A1903" s="48" t="s">
        <v>147</v>
      </c>
      <c r="B1903" s="12" t="s">
        <v>54</v>
      </c>
      <c r="C1903" s="27" t="s">
        <v>62</v>
      </c>
      <c r="D1903" s="44">
        <v>2.6898757028011069</v>
      </c>
      <c r="E1903" s="15" t="s">
        <v>148</v>
      </c>
      <c r="F1903" s="16" t="s">
        <v>16</v>
      </c>
      <c r="G1903" s="22">
        <v>1</v>
      </c>
      <c r="H1903" s="23">
        <v>1</v>
      </c>
      <c r="I1903" s="23">
        <v>1</v>
      </c>
      <c r="J1903" s="23">
        <v>2</v>
      </c>
      <c r="K1903" s="23">
        <v>3</v>
      </c>
      <c r="L1903" s="25">
        <f t="shared" si="57"/>
        <v>1.0195048044558224</v>
      </c>
      <c r="M1903" s="20"/>
    </row>
    <row r="1904" spans="1:13" x14ac:dyDescent="0.2">
      <c r="A1904" s="48" t="s">
        <v>147</v>
      </c>
      <c r="B1904" s="12" t="s">
        <v>55</v>
      </c>
      <c r="C1904" s="27" t="s">
        <v>62</v>
      </c>
      <c r="D1904" s="44">
        <v>82.472974247988105</v>
      </c>
      <c r="E1904" s="15" t="s">
        <v>148</v>
      </c>
      <c r="F1904" s="16" t="s">
        <v>16</v>
      </c>
      <c r="G1904" s="22">
        <v>1</v>
      </c>
      <c r="H1904" s="23">
        <v>1</v>
      </c>
      <c r="I1904" s="23">
        <v>1</v>
      </c>
      <c r="J1904" s="23">
        <v>2</v>
      </c>
      <c r="K1904" s="23">
        <v>3</v>
      </c>
      <c r="L1904" s="24">
        <f t="shared" si="57"/>
        <v>1.0195048044558224</v>
      </c>
      <c r="M1904" s="20"/>
    </row>
    <row r="1905" spans="1:13" x14ac:dyDescent="0.2">
      <c r="A1905" s="48" t="s">
        <v>147</v>
      </c>
      <c r="B1905" s="12" t="s">
        <v>57</v>
      </c>
      <c r="C1905" s="27" t="s">
        <v>62</v>
      </c>
      <c r="D1905" s="44">
        <v>13.450572035925081</v>
      </c>
      <c r="E1905" s="15" t="s">
        <v>148</v>
      </c>
      <c r="F1905" s="16" t="s">
        <v>16</v>
      </c>
      <c r="G1905" s="22">
        <v>1</v>
      </c>
      <c r="H1905" s="23">
        <v>1</v>
      </c>
      <c r="I1905" s="23">
        <v>1</v>
      </c>
      <c r="J1905" s="23">
        <v>2</v>
      </c>
      <c r="K1905" s="23">
        <v>3</v>
      </c>
      <c r="L1905" s="25">
        <f t="shared" si="57"/>
        <v>1.0195048044558224</v>
      </c>
      <c r="M1905" s="20"/>
    </row>
    <row r="1906" spans="1:13" x14ac:dyDescent="0.2">
      <c r="A1906" s="48" t="s">
        <v>147</v>
      </c>
      <c r="B1906" s="12" t="s">
        <v>59</v>
      </c>
      <c r="C1906" s="27" t="s">
        <v>62</v>
      </c>
      <c r="D1906" s="44">
        <v>20.239224440145261</v>
      </c>
      <c r="E1906" s="15" t="s">
        <v>148</v>
      </c>
      <c r="F1906" s="16" t="s">
        <v>16</v>
      </c>
      <c r="G1906" s="22">
        <v>1</v>
      </c>
      <c r="H1906" s="23">
        <v>1</v>
      </c>
      <c r="I1906" s="23">
        <v>1</v>
      </c>
      <c r="J1906" s="23">
        <v>2</v>
      </c>
      <c r="K1906" s="23">
        <v>3</v>
      </c>
      <c r="L1906" s="25">
        <f t="shared" si="57"/>
        <v>1.0195048044558224</v>
      </c>
      <c r="M1906" s="20"/>
    </row>
    <row r="1907" spans="1:13" x14ac:dyDescent="0.2">
      <c r="A1907" s="48" t="s">
        <v>147</v>
      </c>
      <c r="B1907" s="12" t="s">
        <v>60</v>
      </c>
      <c r="C1907" s="27" t="s">
        <v>62</v>
      </c>
      <c r="D1907" s="44">
        <v>106.8769697955162</v>
      </c>
      <c r="E1907" s="15" t="s">
        <v>148</v>
      </c>
      <c r="F1907" s="16" t="s">
        <v>16</v>
      </c>
      <c r="G1907" s="22">
        <v>1</v>
      </c>
      <c r="H1907" s="23">
        <v>2</v>
      </c>
      <c r="I1907" s="23">
        <v>1</v>
      </c>
      <c r="J1907" s="23">
        <v>2</v>
      </c>
      <c r="K1907" s="23">
        <v>3</v>
      </c>
      <c r="L1907" s="24">
        <f t="shared" si="57"/>
        <v>1.0248662490928169</v>
      </c>
      <c r="M1907" s="20"/>
    </row>
    <row r="1908" spans="1:13" x14ac:dyDescent="0.2">
      <c r="A1908" s="48" t="s">
        <v>147</v>
      </c>
      <c r="B1908" s="12" t="s">
        <v>13</v>
      </c>
      <c r="C1908" s="28" t="s">
        <v>64</v>
      </c>
      <c r="D1908" s="21">
        <v>37.269664452428593</v>
      </c>
      <c r="E1908" s="15" t="s">
        <v>148</v>
      </c>
      <c r="F1908" s="16" t="s">
        <v>16</v>
      </c>
      <c r="G1908" s="22">
        <v>1</v>
      </c>
      <c r="H1908" s="23">
        <v>1</v>
      </c>
      <c r="I1908" s="23">
        <v>1</v>
      </c>
      <c r="J1908" s="23">
        <v>2</v>
      </c>
      <c r="K1908" s="23">
        <v>3</v>
      </c>
      <c r="L1908" s="25">
        <f>IF( OR( ISBLANK(G1908),ISBLANK(H1908), ISBLANK(I1908), ISBLANK(J1908), ISBLANK(K1908) ), "", 1.5*SQRT(   EXP(2.21*(G1908-1)) + EXP(2.21*(H1908-1)) + EXP(2.21*(I1908-1)) + EXP(2.21*(J1908-1)) + EXP(2.21*K1908)   )/100*2.45 )</f>
        <v>1.0195048044558224</v>
      </c>
      <c r="M1908" s="20"/>
    </row>
    <row r="1909" spans="1:13" x14ac:dyDescent="0.2">
      <c r="A1909" s="48" t="s">
        <v>147</v>
      </c>
      <c r="B1909" s="12" t="s">
        <v>18</v>
      </c>
      <c r="C1909" s="28" t="s">
        <v>64</v>
      </c>
      <c r="D1909" s="21">
        <v>50.235846088275508</v>
      </c>
      <c r="E1909" s="15" t="s">
        <v>148</v>
      </c>
      <c r="F1909" s="16" t="s">
        <v>16</v>
      </c>
      <c r="G1909" s="22">
        <v>1</v>
      </c>
      <c r="H1909" s="23">
        <v>1</v>
      </c>
      <c r="I1909" s="23">
        <v>1</v>
      </c>
      <c r="J1909" s="23">
        <v>2</v>
      </c>
      <c r="K1909" s="23">
        <v>3</v>
      </c>
      <c r="L1909" s="25">
        <f t="shared" ref="L1909:L1940" si="58">IF( OR( ISBLANK(G1909),ISBLANK(H1909), ISBLANK(I1909), ISBLANK(J1909), ISBLANK(K1909) ), "", 1.5*SQRT( EXP(2.21*(G1909-1)) + EXP(2.21*(H1909-1)) + EXP(2.21*(I1909-1)) + EXP(2.21*(J1909-1)) + EXP(2.21*K1909) )/100*2.45 )</f>
        <v>1.0195048044558224</v>
      </c>
      <c r="M1909" s="20"/>
    </row>
    <row r="1910" spans="1:13" x14ac:dyDescent="0.2">
      <c r="A1910" s="48" t="s">
        <v>147</v>
      </c>
      <c r="B1910" s="12" t="s">
        <v>20</v>
      </c>
      <c r="C1910" s="28" t="s">
        <v>64</v>
      </c>
      <c r="D1910" s="21">
        <v>19.061691399648151</v>
      </c>
      <c r="E1910" s="15" t="s">
        <v>148</v>
      </c>
      <c r="F1910" s="16" t="s">
        <v>16</v>
      </c>
      <c r="G1910" s="22">
        <v>1</v>
      </c>
      <c r="H1910" s="23">
        <v>1</v>
      </c>
      <c r="I1910" s="23">
        <v>1</v>
      </c>
      <c r="J1910" s="23">
        <v>2</v>
      </c>
      <c r="K1910" s="23">
        <v>3</v>
      </c>
      <c r="L1910" s="25">
        <f t="shared" si="58"/>
        <v>1.0195048044558224</v>
      </c>
      <c r="M1910" s="20"/>
    </row>
    <row r="1911" spans="1:13" x14ac:dyDescent="0.2">
      <c r="A1911" s="48" t="s">
        <v>147</v>
      </c>
      <c r="B1911" s="12" t="s">
        <v>22</v>
      </c>
      <c r="C1911" s="28" t="s">
        <v>64</v>
      </c>
      <c r="D1911" s="21">
        <v>8.2620062562129544</v>
      </c>
      <c r="E1911" s="15" t="s">
        <v>148</v>
      </c>
      <c r="F1911" s="16" t="s">
        <v>16</v>
      </c>
      <c r="G1911" s="22">
        <v>1</v>
      </c>
      <c r="H1911" s="23">
        <v>1</v>
      </c>
      <c r="I1911" s="23">
        <v>1</v>
      </c>
      <c r="J1911" s="23">
        <v>2</v>
      </c>
      <c r="K1911" s="23">
        <v>3</v>
      </c>
      <c r="L1911" s="25">
        <f t="shared" si="58"/>
        <v>1.0195048044558224</v>
      </c>
      <c r="M1911" s="20"/>
    </row>
    <row r="1912" spans="1:13" x14ac:dyDescent="0.2">
      <c r="A1912" s="48" t="s">
        <v>147</v>
      </c>
      <c r="B1912" s="12" t="s">
        <v>23</v>
      </c>
      <c r="C1912" s="28" t="s">
        <v>64</v>
      </c>
      <c r="D1912" s="21">
        <v>2.2840311800638728</v>
      </c>
      <c r="E1912" s="15" t="s">
        <v>148</v>
      </c>
      <c r="F1912" s="16" t="s">
        <v>16</v>
      </c>
      <c r="G1912" s="22">
        <v>1</v>
      </c>
      <c r="H1912" s="23">
        <v>1</v>
      </c>
      <c r="I1912" s="23">
        <v>1</v>
      </c>
      <c r="J1912" s="23">
        <v>2</v>
      </c>
      <c r="K1912" s="23">
        <v>3</v>
      </c>
      <c r="L1912" s="25">
        <f t="shared" si="58"/>
        <v>1.0195048044558224</v>
      </c>
      <c r="M1912" s="20"/>
    </row>
    <row r="1913" spans="1:13" x14ac:dyDescent="0.2">
      <c r="A1913" s="48" t="s">
        <v>147</v>
      </c>
      <c r="B1913" s="12" t="s">
        <v>24</v>
      </c>
      <c r="C1913" s="28" t="s">
        <v>64</v>
      </c>
      <c r="D1913" s="21">
        <v>32.991890593962573</v>
      </c>
      <c r="E1913" s="15" t="s">
        <v>148</v>
      </c>
      <c r="F1913" s="16" t="s">
        <v>16</v>
      </c>
      <c r="G1913" s="22">
        <v>1</v>
      </c>
      <c r="H1913" s="23">
        <v>1</v>
      </c>
      <c r="I1913" s="23">
        <v>1</v>
      </c>
      <c r="J1913" s="23">
        <v>2</v>
      </c>
      <c r="K1913" s="23">
        <v>3</v>
      </c>
      <c r="L1913" s="25">
        <f t="shared" si="58"/>
        <v>1.0195048044558224</v>
      </c>
      <c r="M1913" s="20"/>
    </row>
    <row r="1914" spans="1:13" x14ac:dyDescent="0.2">
      <c r="A1914" s="48" t="s">
        <v>147</v>
      </c>
      <c r="B1914" s="12" t="s">
        <v>25</v>
      </c>
      <c r="C1914" s="28" t="s">
        <v>64</v>
      </c>
      <c r="D1914" s="21">
        <v>28.537179663081091</v>
      </c>
      <c r="E1914" s="15" t="s">
        <v>148</v>
      </c>
      <c r="F1914" s="16" t="s">
        <v>16</v>
      </c>
      <c r="G1914" s="22">
        <v>1</v>
      </c>
      <c r="H1914" s="23">
        <v>1</v>
      </c>
      <c r="I1914" s="23">
        <v>1</v>
      </c>
      <c r="J1914" s="23">
        <v>2</v>
      </c>
      <c r="K1914" s="23">
        <v>3</v>
      </c>
      <c r="L1914" s="25">
        <f t="shared" si="58"/>
        <v>1.0195048044558224</v>
      </c>
      <c r="M1914" s="20"/>
    </row>
    <row r="1915" spans="1:13" x14ac:dyDescent="0.2">
      <c r="A1915" s="48" t="s">
        <v>147</v>
      </c>
      <c r="B1915" s="12" t="s">
        <v>26</v>
      </c>
      <c r="C1915" s="28" t="s">
        <v>64</v>
      </c>
      <c r="D1915" s="21">
        <v>6.6869836985425044</v>
      </c>
      <c r="E1915" s="15" t="s">
        <v>148</v>
      </c>
      <c r="F1915" s="16" t="s">
        <v>16</v>
      </c>
      <c r="G1915" s="22">
        <v>1</v>
      </c>
      <c r="H1915" s="23">
        <v>1</v>
      </c>
      <c r="I1915" s="23">
        <v>1</v>
      </c>
      <c r="J1915" s="23">
        <v>2</v>
      </c>
      <c r="K1915" s="23">
        <v>3</v>
      </c>
      <c r="L1915" s="25">
        <f t="shared" si="58"/>
        <v>1.0195048044558224</v>
      </c>
      <c r="M1915" s="20"/>
    </row>
    <row r="1916" spans="1:13" x14ac:dyDescent="0.2">
      <c r="A1916" s="48" t="s">
        <v>147</v>
      </c>
      <c r="B1916" s="12" t="s">
        <v>27</v>
      </c>
      <c r="C1916" s="28" t="s">
        <v>64</v>
      </c>
      <c r="D1916" s="21">
        <v>19.590589419460251</v>
      </c>
      <c r="E1916" s="15" t="s">
        <v>148</v>
      </c>
      <c r="F1916" s="16" t="s">
        <v>16</v>
      </c>
      <c r="G1916" s="22">
        <v>1</v>
      </c>
      <c r="H1916" s="23">
        <v>1</v>
      </c>
      <c r="I1916" s="23">
        <v>1</v>
      </c>
      <c r="J1916" s="23">
        <v>2</v>
      </c>
      <c r="K1916" s="23">
        <v>3</v>
      </c>
      <c r="L1916" s="25">
        <f t="shared" si="58"/>
        <v>1.0195048044558224</v>
      </c>
      <c r="M1916" s="20"/>
    </row>
    <row r="1917" spans="1:13" x14ac:dyDescent="0.2">
      <c r="A1917" s="48" t="s">
        <v>147</v>
      </c>
      <c r="B1917" s="12" t="s">
        <v>28</v>
      </c>
      <c r="C1917" s="28" t="s">
        <v>64</v>
      </c>
      <c r="D1917" s="21">
        <v>267.68597878367677</v>
      </c>
      <c r="E1917" s="15" t="s">
        <v>148</v>
      </c>
      <c r="F1917" s="16" t="s">
        <v>16</v>
      </c>
      <c r="G1917" s="22">
        <v>1</v>
      </c>
      <c r="H1917" s="23">
        <v>1</v>
      </c>
      <c r="I1917" s="23">
        <v>1</v>
      </c>
      <c r="J1917" s="23">
        <v>2</v>
      </c>
      <c r="K1917" s="23">
        <v>3</v>
      </c>
      <c r="L1917" s="25">
        <f t="shared" si="58"/>
        <v>1.0195048044558224</v>
      </c>
      <c r="M1917" s="20"/>
    </row>
    <row r="1918" spans="1:13" x14ac:dyDescent="0.2">
      <c r="A1918" s="48" t="s">
        <v>147</v>
      </c>
      <c r="B1918" s="12" t="s">
        <v>30</v>
      </c>
      <c r="C1918" s="28" t="s">
        <v>64</v>
      </c>
      <c r="D1918" s="21">
        <v>472.25695749561271</v>
      </c>
      <c r="E1918" s="15" t="s">
        <v>148</v>
      </c>
      <c r="F1918" s="16" t="s">
        <v>16</v>
      </c>
      <c r="G1918" s="22">
        <v>1</v>
      </c>
      <c r="H1918" s="23">
        <v>1</v>
      </c>
      <c r="I1918" s="23">
        <v>1</v>
      </c>
      <c r="J1918" s="23">
        <v>2</v>
      </c>
      <c r="K1918" s="23">
        <v>3</v>
      </c>
      <c r="L1918" s="24">
        <f t="shared" si="58"/>
        <v>1.0195048044558224</v>
      </c>
      <c r="M1918" s="20"/>
    </row>
    <row r="1919" spans="1:13" x14ac:dyDescent="0.2">
      <c r="A1919" s="48" t="s">
        <v>147</v>
      </c>
      <c r="B1919" s="12" t="s">
        <v>32</v>
      </c>
      <c r="C1919" s="28" t="s">
        <v>64</v>
      </c>
      <c r="D1919" s="21">
        <v>34.555449035602798</v>
      </c>
      <c r="E1919" s="15" t="s">
        <v>148</v>
      </c>
      <c r="F1919" s="16" t="s">
        <v>16</v>
      </c>
      <c r="G1919" s="22">
        <v>1</v>
      </c>
      <c r="H1919" s="23">
        <v>1</v>
      </c>
      <c r="I1919" s="23">
        <v>1</v>
      </c>
      <c r="J1919" s="23">
        <v>2</v>
      </c>
      <c r="K1919" s="23">
        <v>3</v>
      </c>
      <c r="L1919" s="25">
        <f t="shared" si="58"/>
        <v>1.0195048044558224</v>
      </c>
      <c r="M1919" s="20"/>
    </row>
    <row r="1920" spans="1:13" x14ac:dyDescent="0.2">
      <c r="A1920" s="48" t="s">
        <v>147</v>
      </c>
      <c r="B1920" s="12" t="s">
        <v>34</v>
      </c>
      <c r="C1920" s="28" t="s">
        <v>64</v>
      </c>
      <c r="D1920" s="21">
        <v>57.850619592499683</v>
      </c>
      <c r="E1920" s="15" t="s">
        <v>148</v>
      </c>
      <c r="F1920" s="16" t="s">
        <v>16</v>
      </c>
      <c r="G1920" s="22">
        <v>1</v>
      </c>
      <c r="H1920" s="23">
        <v>1</v>
      </c>
      <c r="I1920" s="23">
        <v>1</v>
      </c>
      <c r="J1920" s="23">
        <v>2</v>
      </c>
      <c r="K1920" s="23">
        <v>3</v>
      </c>
      <c r="L1920" s="25">
        <f t="shared" si="58"/>
        <v>1.0195048044558224</v>
      </c>
      <c r="M1920" s="20"/>
    </row>
    <row r="1921" spans="1:13" x14ac:dyDescent="0.2">
      <c r="A1921" s="48" t="s">
        <v>147</v>
      </c>
      <c r="B1921" s="12" t="s">
        <v>36</v>
      </c>
      <c r="C1921" s="28" t="s">
        <v>64</v>
      </c>
      <c r="D1921" s="21">
        <v>38.072906502540427</v>
      </c>
      <c r="E1921" s="15" t="s">
        <v>148</v>
      </c>
      <c r="F1921" s="16" t="s">
        <v>16</v>
      </c>
      <c r="G1921" s="22">
        <v>1</v>
      </c>
      <c r="H1921" s="23">
        <v>1</v>
      </c>
      <c r="I1921" s="23">
        <v>1</v>
      </c>
      <c r="J1921" s="23">
        <v>2</v>
      </c>
      <c r="K1921" s="23">
        <v>3</v>
      </c>
      <c r="L1921" s="25">
        <f t="shared" si="58"/>
        <v>1.0195048044558224</v>
      </c>
      <c r="M1921" s="20"/>
    </row>
    <row r="1922" spans="1:13" x14ac:dyDescent="0.2">
      <c r="A1922" s="48" t="s">
        <v>147</v>
      </c>
      <c r="B1922" s="12" t="s">
        <v>37</v>
      </c>
      <c r="C1922" s="28" t="s">
        <v>64</v>
      </c>
      <c r="D1922" s="21">
        <v>248.86569706082651</v>
      </c>
      <c r="E1922" s="15" t="s">
        <v>148</v>
      </c>
      <c r="F1922" s="16" t="s">
        <v>16</v>
      </c>
      <c r="G1922" s="22">
        <v>1</v>
      </c>
      <c r="H1922" s="23">
        <v>1</v>
      </c>
      <c r="I1922" s="23">
        <v>1</v>
      </c>
      <c r="J1922" s="23">
        <v>2</v>
      </c>
      <c r="K1922" s="23">
        <v>3</v>
      </c>
      <c r="L1922" s="24">
        <f t="shared" si="58"/>
        <v>1.0195048044558224</v>
      </c>
      <c r="M1922" s="20"/>
    </row>
    <row r="1923" spans="1:13" x14ac:dyDescent="0.2">
      <c r="A1923" s="48" t="s">
        <v>147</v>
      </c>
      <c r="B1923" s="12" t="s">
        <v>39</v>
      </c>
      <c r="C1923" s="28" t="s">
        <v>64</v>
      </c>
      <c r="D1923" s="21">
        <v>5.8520402080110294</v>
      </c>
      <c r="E1923" s="15" t="s">
        <v>148</v>
      </c>
      <c r="F1923" s="16" t="s">
        <v>16</v>
      </c>
      <c r="G1923" s="22">
        <v>1</v>
      </c>
      <c r="H1923" s="23">
        <v>1</v>
      </c>
      <c r="I1923" s="23">
        <v>1</v>
      </c>
      <c r="J1923" s="23">
        <v>2</v>
      </c>
      <c r="K1923" s="23">
        <v>3</v>
      </c>
      <c r="L1923" s="25">
        <f t="shared" si="58"/>
        <v>1.0195048044558224</v>
      </c>
      <c r="M1923" s="20"/>
    </row>
    <row r="1924" spans="1:13" x14ac:dyDescent="0.2">
      <c r="A1924" s="48" t="s">
        <v>147</v>
      </c>
      <c r="B1924" s="12" t="s">
        <v>40</v>
      </c>
      <c r="C1924" s="28" t="s">
        <v>64</v>
      </c>
      <c r="D1924" s="21">
        <v>10.74515193280352</v>
      </c>
      <c r="E1924" s="15" t="s">
        <v>148</v>
      </c>
      <c r="F1924" s="16" t="s">
        <v>16</v>
      </c>
      <c r="G1924" s="22">
        <v>1</v>
      </c>
      <c r="H1924" s="23">
        <v>1</v>
      </c>
      <c r="I1924" s="23">
        <v>1</v>
      </c>
      <c r="J1924" s="23">
        <v>2</v>
      </c>
      <c r="K1924" s="23">
        <v>3</v>
      </c>
      <c r="L1924" s="25">
        <f t="shared" si="58"/>
        <v>1.0195048044558224</v>
      </c>
      <c r="M1924" s="20"/>
    </row>
    <row r="1925" spans="1:13" x14ac:dyDescent="0.2">
      <c r="A1925" s="48" t="s">
        <v>147</v>
      </c>
      <c r="B1925" s="12" t="s">
        <v>41</v>
      </c>
      <c r="C1925" s="28" t="s">
        <v>64</v>
      </c>
      <c r="D1925" s="21">
        <v>3.0536892661212449</v>
      </c>
      <c r="E1925" s="15" t="s">
        <v>148</v>
      </c>
      <c r="F1925" s="16" t="s">
        <v>16</v>
      </c>
      <c r="G1925" s="22">
        <v>1</v>
      </c>
      <c r="H1925" s="23">
        <v>1</v>
      </c>
      <c r="I1925" s="23">
        <v>1</v>
      </c>
      <c r="J1925" s="23">
        <v>2</v>
      </c>
      <c r="K1925" s="23">
        <v>3</v>
      </c>
      <c r="L1925" s="25">
        <f t="shared" si="58"/>
        <v>1.0195048044558224</v>
      </c>
      <c r="M1925" s="20"/>
    </row>
    <row r="1926" spans="1:13" x14ac:dyDescent="0.2">
      <c r="A1926" s="48" t="s">
        <v>147</v>
      </c>
      <c r="B1926" s="12" t="s">
        <v>42</v>
      </c>
      <c r="C1926" s="28" t="s">
        <v>64</v>
      </c>
      <c r="D1926" s="21">
        <v>1.7618682108249899</v>
      </c>
      <c r="E1926" s="15" t="s">
        <v>148</v>
      </c>
      <c r="F1926" s="16" t="s">
        <v>16</v>
      </c>
      <c r="G1926" s="22">
        <v>1</v>
      </c>
      <c r="H1926" s="23">
        <v>1</v>
      </c>
      <c r="I1926" s="23">
        <v>1</v>
      </c>
      <c r="J1926" s="23">
        <v>2</v>
      </c>
      <c r="K1926" s="23">
        <v>3</v>
      </c>
      <c r="L1926" s="25">
        <f t="shared" si="58"/>
        <v>1.0195048044558224</v>
      </c>
      <c r="M1926" s="20"/>
    </row>
    <row r="1927" spans="1:13" x14ac:dyDescent="0.2">
      <c r="A1927" s="48" t="s">
        <v>147</v>
      </c>
      <c r="B1927" s="12" t="s">
        <v>43</v>
      </c>
      <c r="C1927" s="28" t="s">
        <v>64</v>
      </c>
      <c r="D1927" s="21">
        <v>81.57137394619096</v>
      </c>
      <c r="E1927" s="15" t="s">
        <v>148</v>
      </c>
      <c r="F1927" s="16" t="s">
        <v>16</v>
      </c>
      <c r="G1927" s="22">
        <v>1</v>
      </c>
      <c r="H1927" s="23">
        <v>1</v>
      </c>
      <c r="I1927" s="23">
        <v>1</v>
      </c>
      <c r="J1927" s="23">
        <v>2</v>
      </c>
      <c r="K1927" s="23">
        <v>3</v>
      </c>
      <c r="L1927" s="25">
        <f t="shared" si="58"/>
        <v>1.0195048044558224</v>
      </c>
      <c r="M1927" s="20"/>
    </row>
    <row r="1928" spans="1:13" x14ac:dyDescent="0.2">
      <c r="A1928" s="48" t="s">
        <v>147</v>
      </c>
      <c r="B1928" s="12" t="s">
        <v>45</v>
      </c>
      <c r="C1928" s="28" t="s">
        <v>64</v>
      </c>
      <c r="D1928" s="21">
        <v>30.89504692304169</v>
      </c>
      <c r="E1928" s="15" t="s">
        <v>148</v>
      </c>
      <c r="F1928" s="16" t="s">
        <v>16</v>
      </c>
      <c r="G1928" s="22">
        <v>1</v>
      </c>
      <c r="H1928" s="23">
        <v>1</v>
      </c>
      <c r="I1928" s="23">
        <v>1</v>
      </c>
      <c r="J1928" s="23">
        <v>2</v>
      </c>
      <c r="K1928" s="23">
        <v>3</v>
      </c>
      <c r="L1928" s="25">
        <f t="shared" si="58"/>
        <v>1.0195048044558224</v>
      </c>
      <c r="M1928" s="20"/>
    </row>
    <row r="1929" spans="1:13" x14ac:dyDescent="0.2">
      <c r="A1929" s="48" t="s">
        <v>147</v>
      </c>
      <c r="B1929" s="12" t="s">
        <v>46</v>
      </c>
      <c r="C1929" s="28" t="s">
        <v>64</v>
      </c>
      <c r="D1929" s="21">
        <v>140.59174940183331</v>
      </c>
      <c r="E1929" s="15" t="s">
        <v>148</v>
      </c>
      <c r="F1929" s="16" t="s">
        <v>16</v>
      </c>
      <c r="G1929" s="22">
        <v>1</v>
      </c>
      <c r="H1929" s="23">
        <v>1</v>
      </c>
      <c r="I1929" s="23">
        <v>1</v>
      </c>
      <c r="J1929" s="23">
        <v>2</v>
      </c>
      <c r="K1929" s="23">
        <v>3</v>
      </c>
      <c r="L1929" s="24">
        <f t="shared" si="58"/>
        <v>1.0195048044558224</v>
      </c>
      <c r="M1929" s="20"/>
    </row>
    <row r="1930" spans="1:13" x14ac:dyDescent="0.2">
      <c r="A1930" s="48" t="s">
        <v>147</v>
      </c>
      <c r="B1930" s="12" t="s">
        <v>48</v>
      </c>
      <c r="C1930" s="28" t="s">
        <v>64</v>
      </c>
      <c r="D1930" s="21">
        <v>51.794740974325443</v>
      </c>
      <c r="E1930" s="15" t="s">
        <v>148</v>
      </c>
      <c r="F1930" s="16" t="s">
        <v>16</v>
      </c>
      <c r="G1930" s="22">
        <v>1</v>
      </c>
      <c r="H1930" s="23">
        <v>1</v>
      </c>
      <c r="I1930" s="23">
        <v>1</v>
      </c>
      <c r="J1930" s="23">
        <v>2</v>
      </c>
      <c r="K1930" s="23">
        <v>3</v>
      </c>
      <c r="L1930" s="25">
        <f t="shared" si="58"/>
        <v>1.0195048044558224</v>
      </c>
      <c r="M1930" s="20"/>
    </row>
    <row r="1931" spans="1:13" x14ac:dyDescent="0.2">
      <c r="A1931" s="48" t="s">
        <v>147</v>
      </c>
      <c r="B1931" s="12" t="s">
        <v>50</v>
      </c>
      <c r="C1931" s="28" t="s">
        <v>64</v>
      </c>
      <c r="D1931" s="21">
        <v>60.186256356360971</v>
      </c>
      <c r="E1931" s="15" t="s">
        <v>148</v>
      </c>
      <c r="F1931" s="16" t="s">
        <v>16</v>
      </c>
      <c r="G1931" s="22">
        <v>1</v>
      </c>
      <c r="H1931" s="23">
        <v>1</v>
      </c>
      <c r="I1931" s="23">
        <v>1</v>
      </c>
      <c r="J1931" s="23">
        <v>2</v>
      </c>
      <c r="K1931" s="23">
        <v>3</v>
      </c>
      <c r="L1931" s="25">
        <f t="shared" si="58"/>
        <v>1.0195048044558224</v>
      </c>
      <c r="M1931" s="20"/>
    </row>
    <row r="1932" spans="1:13" x14ac:dyDescent="0.2">
      <c r="A1932" s="48" t="s">
        <v>147</v>
      </c>
      <c r="B1932" s="12" t="s">
        <v>52</v>
      </c>
      <c r="C1932" s="28" t="s">
        <v>64</v>
      </c>
      <c r="D1932" s="21">
        <v>16.000276107566041</v>
      </c>
      <c r="E1932" s="15" t="s">
        <v>148</v>
      </c>
      <c r="F1932" s="16" t="s">
        <v>16</v>
      </c>
      <c r="G1932" s="22">
        <v>1</v>
      </c>
      <c r="H1932" s="23">
        <v>1</v>
      </c>
      <c r="I1932" s="23">
        <v>1</v>
      </c>
      <c r="J1932" s="23">
        <v>2</v>
      </c>
      <c r="K1932" s="23">
        <v>3</v>
      </c>
      <c r="L1932" s="25">
        <f t="shared" si="58"/>
        <v>1.0195048044558224</v>
      </c>
      <c r="M1932" s="20"/>
    </row>
    <row r="1933" spans="1:13" x14ac:dyDescent="0.2">
      <c r="A1933" s="48" t="s">
        <v>147</v>
      </c>
      <c r="B1933" s="12" t="s">
        <v>54</v>
      </c>
      <c r="C1933" s="28" t="s">
        <v>64</v>
      </c>
      <c r="D1933" s="21">
        <v>6.1939145398328339</v>
      </c>
      <c r="E1933" s="15" t="s">
        <v>148</v>
      </c>
      <c r="F1933" s="16" t="s">
        <v>16</v>
      </c>
      <c r="G1933" s="22">
        <v>1</v>
      </c>
      <c r="H1933" s="23">
        <v>1</v>
      </c>
      <c r="I1933" s="23">
        <v>1</v>
      </c>
      <c r="J1933" s="23">
        <v>2</v>
      </c>
      <c r="K1933" s="23">
        <v>3</v>
      </c>
      <c r="L1933" s="25">
        <f t="shared" si="58"/>
        <v>1.0195048044558224</v>
      </c>
      <c r="M1933" s="20"/>
    </row>
    <row r="1934" spans="1:13" x14ac:dyDescent="0.2">
      <c r="A1934" s="48" t="s">
        <v>147</v>
      </c>
      <c r="B1934" s="12" t="s">
        <v>55</v>
      </c>
      <c r="C1934" s="28" t="s">
        <v>64</v>
      </c>
      <c r="D1934" s="21">
        <v>189.90860945950701</v>
      </c>
      <c r="E1934" s="15" t="s">
        <v>148</v>
      </c>
      <c r="F1934" s="16" t="s">
        <v>16</v>
      </c>
      <c r="G1934" s="22">
        <v>1</v>
      </c>
      <c r="H1934" s="23">
        <v>1</v>
      </c>
      <c r="I1934" s="23">
        <v>1</v>
      </c>
      <c r="J1934" s="23">
        <v>2</v>
      </c>
      <c r="K1934" s="23">
        <v>3</v>
      </c>
      <c r="L1934" s="24">
        <f t="shared" si="58"/>
        <v>1.0195048044558224</v>
      </c>
      <c r="M1934" s="20"/>
    </row>
    <row r="1935" spans="1:13" x14ac:dyDescent="0.2">
      <c r="A1935" s="48" t="s">
        <v>147</v>
      </c>
      <c r="B1935" s="12" t="s">
        <v>57</v>
      </c>
      <c r="C1935" s="28" t="s">
        <v>64</v>
      </c>
      <c r="D1935" s="21">
        <v>30.972320994471421</v>
      </c>
      <c r="E1935" s="15" t="s">
        <v>148</v>
      </c>
      <c r="F1935" s="16" t="s">
        <v>16</v>
      </c>
      <c r="G1935" s="22">
        <v>1</v>
      </c>
      <c r="H1935" s="23">
        <v>1</v>
      </c>
      <c r="I1935" s="23">
        <v>1</v>
      </c>
      <c r="J1935" s="23">
        <v>2</v>
      </c>
      <c r="K1935" s="23">
        <v>3</v>
      </c>
      <c r="L1935" s="25">
        <f t="shared" si="58"/>
        <v>1.0195048044558224</v>
      </c>
      <c r="M1935" s="20"/>
    </row>
    <row r="1936" spans="1:13" x14ac:dyDescent="0.2">
      <c r="A1936" s="48" t="s">
        <v>147</v>
      </c>
      <c r="B1936" s="12" t="s">
        <v>59</v>
      </c>
      <c r="C1936" s="28" t="s">
        <v>64</v>
      </c>
      <c r="D1936" s="21">
        <v>46.604393803108408</v>
      </c>
      <c r="E1936" s="15" t="s">
        <v>148</v>
      </c>
      <c r="F1936" s="16" t="s">
        <v>16</v>
      </c>
      <c r="G1936" s="22">
        <v>1</v>
      </c>
      <c r="H1936" s="23">
        <v>1</v>
      </c>
      <c r="I1936" s="23">
        <v>1</v>
      </c>
      <c r="J1936" s="23">
        <v>2</v>
      </c>
      <c r="K1936" s="23">
        <v>3</v>
      </c>
      <c r="L1936" s="25">
        <f t="shared" si="58"/>
        <v>1.0195048044558224</v>
      </c>
      <c r="M1936" s="20"/>
    </row>
    <row r="1937" spans="1:13" x14ac:dyDescent="0.2">
      <c r="A1937" s="48" t="s">
        <v>147</v>
      </c>
      <c r="B1937" s="12" t="s">
        <v>60</v>
      </c>
      <c r="C1937" s="28" t="s">
        <v>64</v>
      </c>
      <c r="D1937" s="21">
        <v>246.1031253229884</v>
      </c>
      <c r="E1937" s="15" t="s">
        <v>148</v>
      </c>
      <c r="F1937" s="16" t="s">
        <v>16</v>
      </c>
      <c r="G1937" s="22">
        <v>1</v>
      </c>
      <c r="H1937" s="23">
        <v>2</v>
      </c>
      <c r="I1937" s="23">
        <v>1</v>
      </c>
      <c r="J1937" s="23">
        <v>2</v>
      </c>
      <c r="K1937" s="23">
        <v>3</v>
      </c>
      <c r="L1937" s="24">
        <f t="shared" si="58"/>
        <v>1.0248662490928169</v>
      </c>
      <c r="M1937" s="20"/>
    </row>
    <row r="1938" spans="1:13" x14ac:dyDescent="0.2">
      <c r="A1938" s="48" t="s">
        <v>147</v>
      </c>
      <c r="B1938" s="12" t="s">
        <v>13</v>
      </c>
      <c r="C1938" s="29" t="s">
        <v>66</v>
      </c>
      <c r="D1938" s="21">
        <v>15.922320119761039</v>
      </c>
      <c r="E1938" s="15" t="s">
        <v>148</v>
      </c>
      <c r="F1938" s="16" t="s">
        <v>16</v>
      </c>
      <c r="G1938" s="22">
        <v>1</v>
      </c>
      <c r="H1938" s="23">
        <v>1</v>
      </c>
      <c r="I1938" s="23">
        <v>1</v>
      </c>
      <c r="J1938" s="23">
        <v>2</v>
      </c>
      <c r="K1938" s="23">
        <v>3</v>
      </c>
      <c r="L1938" s="25">
        <f t="shared" si="58"/>
        <v>1.0195048044558224</v>
      </c>
      <c r="M1938" s="20"/>
    </row>
    <row r="1939" spans="1:13" x14ac:dyDescent="0.2">
      <c r="A1939" s="48" t="s">
        <v>147</v>
      </c>
      <c r="B1939" s="12" t="s">
        <v>18</v>
      </c>
      <c r="C1939" s="29" t="s">
        <v>66</v>
      </c>
      <c r="D1939" s="21">
        <v>21.461723217968139</v>
      </c>
      <c r="E1939" s="15" t="s">
        <v>148</v>
      </c>
      <c r="F1939" s="16" t="s">
        <v>16</v>
      </c>
      <c r="G1939" s="22">
        <v>1</v>
      </c>
      <c r="H1939" s="23">
        <v>1</v>
      </c>
      <c r="I1939" s="23">
        <v>1</v>
      </c>
      <c r="J1939" s="23">
        <v>2</v>
      </c>
      <c r="K1939" s="23">
        <v>3</v>
      </c>
      <c r="L1939" s="25">
        <f t="shared" si="58"/>
        <v>1.0195048044558224</v>
      </c>
      <c r="M1939" s="20"/>
    </row>
    <row r="1940" spans="1:13" x14ac:dyDescent="0.2">
      <c r="A1940" s="48" t="s">
        <v>147</v>
      </c>
      <c r="B1940" s="12" t="s">
        <v>20</v>
      </c>
      <c r="C1940" s="29" t="s">
        <v>66</v>
      </c>
      <c r="D1940" s="21">
        <v>8.1435225389993171</v>
      </c>
      <c r="E1940" s="15" t="s">
        <v>148</v>
      </c>
      <c r="F1940" s="16" t="s">
        <v>16</v>
      </c>
      <c r="G1940" s="22">
        <v>1</v>
      </c>
      <c r="H1940" s="23">
        <v>1</v>
      </c>
      <c r="I1940" s="23">
        <v>1</v>
      </c>
      <c r="J1940" s="23">
        <v>2</v>
      </c>
      <c r="K1940" s="23">
        <v>3</v>
      </c>
      <c r="L1940" s="25">
        <f t="shared" si="58"/>
        <v>1.0195048044558224</v>
      </c>
      <c r="M1940" s="20"/>
    </row>
    <row r="1941" spans="1:13" x14ac:dyDescent="0.2">
      <c r="A1941" s="48" t="s">
        <v>147</v>
      </c>
      <c r="B1941" s="12" t="s">
        <v>22</v>
      </c>
      <c r="C1941" s="29" t="s">
        <v>66</v>
      </c>
      <c r="D1941" s="21">
        <v>3.5296885651010732</v>
      </c>
      <c r="E1941" s="15" t="s">
        <v>148</v>
      </c>
      <c r="F1941" s="16" t="s">
        <v>16</v>
      </c>
      <c r="G1941" s="22">
        <v>1</v>
      </c>
      <c r="H1941" s="23">
        <v>1</v>
      </c>
      <c r="I1941" s="23">
        <v>1</v>
      </c>
      <c r="J1941" s="23">
        <v>2</v>
      </c>
      <c r="K1941" s="23">
        <v>3</v>
      </c>
      <c r="L1941" s="25">
        <f t="shared" ref="L1941:L1972" si="59">IF( OR( ISBLANK(G1941),ISBLANK(H1941), ISBLANK(I1941), ISBLANK(J1941), ISBLANK(K1941) ), "", 1.5*SQRT( EXP(2.21*(G1941-1)) + EXP(2.21*(H1941-1)) + EXP(2.21*(I1941-1)) + EXP(2.21*(J1941-1)) + EXP(2.21*K1941) )/100*2.45 )</f>
        <v>1.0195048044558224</v>
      </c>
      <c r="M1941" s="20"/>
    </row>
    <row r="1942" spans="1:13" x14ac:dyDescent="0.2">
      <c r="A1942" s="48" t="s">
        <v>147</v>
      </c>
      <c r="B1942" s="12" t="s">
        <v>23</v>
      </c>
      <c r="C1942" s="29" t="s">
        <v>66</v>
      </c>
      <c r="D1942" s="21">
        <v>0.975782211801555</v>
      </c>
      <c r="E1942" s="15" t="s">
        <v>148</v>
      </c>
      <c r="F1942" s="16" t="s">
        <v>16</v>
      </c>
      <c r="G1942" s="22">
        <v>1</v>
      </c>
      <c r="H1942" s="23">
        <v>1</v>
      </c>
      <c r="I1942" s="23">
        <v>1</v>
      </c>
      <c r="J1942" s="23">
        <v>2</v>
      </c>
      <c r="K1942" s="23">
        <v>3</v>
      </c>
      <c r="L1942" s="25">
        <f t="shared" si="59"/>
        <v>1.0195048044558224</v>
      </c>
      <c r="M1942" s="20"/>
    </row>
    <row r="1943" spans="1:13" x14ac:dyDescent="0.2">
      <c r="A1943" s="48" t="s">
        <v>147</v>
      </c>
      <c r="B1943" s="12" t="s">
        <v>24</v>
      </c>
      <c r="C1943" s="29" t="s">
        <v>66</v>
      </c>
      <c r="D1943" s="21">
        <v>14.094772547891161</v>
      </c>
      <c r="E1943" s="15" t="s">
        <v>148</v>
      </c>
      <c r="F1943" s="16" t="s">
        <v>16</v>
      </c>
      <c r="G1943" s="22">
        <v>1</v>
      </c>
      <c r="H1943" s="23">
        <v>1</v>
      </c>
      <c r="I1943" s="23">
        <v>1</v>
      </c>
      <c r="J1943" s="23">
        <v>2</v>
      </c>
      <c r="K1943" s="23">
        <v>3</v>
      </c>
      <c r="L1943" s="25">
        <f t="shared" si="59"/>
        <v>1.0195048044558224</v>
      </c>
      <c r="M1943" s="20"/>
    </row>
    <row r="1944" spans="1:13" x14ac:dyDescent="0.2">
      <c r="A1944" s="48" t="s">
        <v>147</v>
      </c>
      <c r="B1944" s="12" t="s">
        <v>25</v>
      </c>
      <c r="C1944" s="29" t="s">
        <v>66</v>
      </c>
      <c r="D1944" s="21">
        <v>12.19163404303478</v>
      </c>
      <c r="E1944" s="15" t="s">
        <v>148</v>
      </c>
      <c r="F1944" s="16" t="s">
        <v>16</v>
      </c>
      <c r="G1944" s="22">
        <v>1</v>
      </c>
      <c r="H1944" s="23">
        <v>1</v>
      </c>
      <c r="I1944" s="23">
        <v>1</v>
      </c>
      <c r="J1944" s="23">
        <v>2</v>
      </c>
      <c r="K1944" s="23">
        <v>3</v>
      </c>
      <c r="L1944" s="25">
        <f t="shared" si="59"/>
        <v>1.0195048044558224</v>
      </c>
      <c r="M1944" s="20"/>
    </row>
    <row r="1945" spans="1:13" x14ac:dyDescent="0.2">
      <c r="A1945" s="48" t="s">
        <v>147</v>
      </c>
      <c r="B1945" s="12" t="s">
        <v>26</v>
      </c>
      <c r="C1945" s="29" t="s">
        <v>66</v>
      </c>
      <c r="D1945" s="21">
        <v>2.856808523718259</v>
      </c>
      <c r="E1945" s="15" t="s">
        <v>148</v>
      </c>
      <c r="F1945" s="16" t="s">
        <v>16</v>
      </c>
      <c r="G1945" s="22">
        <v>1</v>
      </c>
      <c r="H1945" s="23">
        <v>1</v>
      </c>
      <c r="I1945" s="23">
        <v>1</v>
      </c>
      <c r="J1945" s="23">
        <v>2</v>
      </c>
      <c r="K1945" s="23">
        <v>3</v>
      </c>
      <c r="L1945" s="25">
        <f t="shared" si="59"/>
        <v>1.0195048044558224</v>
      </c>
      <c r="M1945" s="20"/>
    </row>
    <row r="1946" spans="1:13" x14ac:dyDescent="0.2">
      <c r="A1946" s="48" t="s">
        <v>147</v>
      </c>
      <c r="B1946" s="12" t="s">
        <v>27</v>
      </c>
      <c r="C1946" s="29" t="s">
        <v>66</v>
      </c>
      <c r="D1946" s="21">
        <v>8.3694779830818611</v>
      </c>
      <c r="E1946" s="15" t="s">
        <v>148</v>
      </c>
      <c r="F1946" s="16" t="s">
        <v>16</v>
      </c>
      <c r="G1946" s="22">
        <v>1</v>
      </c>
      <c r="H1946" s="23">
        <v>1</v>
      </c>
      <c r="I1946" s="23">
        <v>1</v>
      </c>
      <c r="J1946" s="23">
        <v>2</v>
      </c>
      <c r="K1946" s="23">
        <v>3</v>
      </c>
      <c r="L1946" s="25">
        <f t="shared" si="59"/>
        <v>1.0195048044558224</v>
      </c>
      <c r="M1946" s="20"/>
    </row>
    <row r="1947" spans="1:13" x14ac:dyDescent="0.2">
      <c r="A1947" s="48" t="s">
        <v>147</v>
      </c>
      <c r="B1947" s="12" t="s">
        <v>28</v>
      </c>
      <c r="C1947" s="29" t="s">
        <v>66</v>
      </c>
      <c r="D1947" s="21">
        <v>114.3606176332916</v>
      </c>
      <c r="E1947" s="15" t="s">
        <v>148</v>
      </c>
      <c r="F1947" s="16" t="s">
        <v>16</v>
      </c>
      <c r="G1947" s="22">
        <v>1</v>
      </c>
      <c r="H1947" s="23">
        <v>1</v>
      </c>
      <c r="I1947" s="23">
        <v>1</v>
      </c>
      <c r="J1947" s="23">
        <v>2</v>
      </c>
      <c r="K1947" s="23">
        <v>3</v>
      </c>
      <c r="L1947" s="25">
        <f t="shared" si="59"/>
        <v>1.0195048044558224</v>
      </c>
      <c r="M1947" s="20"/>
    </row>
    <row r="1948" spans="1:13" x14ac:dyDescent="0.2">
      <c r="A1948" s="48" t="s">
        <v>147</v>
      </c>
      <c r="B1948" s="12" t="s">
        <v>30</v>
      </c>
      <c r="C1948" s="29" t="s">
        <v>66</v>
      </c>
      <c r="D1948" s="21">
        <v>201.75728884351531</v>
      </c>
      <c r="E1948" s="15" t="s">
        <v>148</v>
      </c>
      <c r="F1948" s="16" t="s">
        <v>16</v>
      </c>
      <c r="G1948" s="22">
        <v>1</v>
      </c>
      <c r="H1948" s="23">
        <v>1</v>
      </c>
      <c r="I1948" s="23">
        <v>1</v>
      </c>
      <c r="J1948" s="23">
        <v>2</v>
      </c>
      <c r="K1948" s="23">
        <v>3</v>
      </c>
      <c r="L1948" s="24">
        <f t="shared" si="59"/>
        <v>1.0195048044558224</v>
      </c>
      <c r="M1948" s="20"/>
    </row>
    <row r="1949" spans="1:13" x14ac:dyDescent="0.2">
      <c r="A1949" s="48" t="s">
        <v>147</v>
      </c>
      <c r="B1949" s="12" t="s">
        <v>32</v>
      </c>
      <c r="C1949" s="29" t="s">
        <v>66</v>
      </c>
      <c r="D1949" s="21">
        <v>14.76275489759885</v>
      </c>
      <c r="E1949" s="15" t="s">
        <v>148</v>
      </c>
      <c r="F1949" s="16" t="s">
        <v>16</v>
      </c>
      <c r="G1949" s="22">
        <v>1</v>
      </c>
      <c r="H1949" s="23">
        <v>1</v>
      </c>
      <c r="I1949" s="23">
        <v>1</v>
      </c>
      <c r="J1949" s="23">
        <v>2</v>
      </c>
      <c r="K1949" s="23">
        <v>3</v>
      </c>
      <c r="L1949" s="25">
        <f t="shared" si="59"/>
        <v>1.0195048044558224</v>
      </c>
      <c r="M1949" s="20"/>
    </row>
    <row r="1950" spans="1:13" x14ac:dyDescent="0.2">
      <c r="A1950" s="48" t="s">
        <v>147</v>
      </c>
      <c r="B1950" s="12" t="s">
        <v>34</v>
      </c>
      <c r="C1950" s="29" t="s">
        <v>66</v>
      </c>
      <c r="D1950" s="21">
        <v>24.714901457028759</v>
      </c>
      <c r="E1950" s="15" t="s">
        <v>148</v>
      </c>
      <c r="F1950" s="16" t="s">
        <v>16</v>
      </c>
      <c r="G1950" s="22">
        <v>1</v>
      </c>
      <c r="H1950" s="23">
        <v>1</v>
      </c>
      <c r="I1950" s="23">
        <v>1</v>
      </c>
      <c r="J1950" s="23">
        <v>2</v>
      </c>
      <c r="K1950" s="23">
        <v>3</v>
      </c>
      <c r="L1950" s="25">
        <f t="shared" si="59"/>
        <v>1.0195048044558224</v>
      </c>
      <c r="M1950" s="20"/>
    </row>
    <row r="1951" spans="1:13" x14ac:dyDescent="0.2">
      <c r="A1951" s="48" t="s">
        <v>147</v>
      </c>
      <c r="B1951" s="12" t="s">
        <v>36</v>
      </c>
      <c r="C1951" s="29" t="s">
        <v>66</v>
      </c>
      <c r="D1951" s="21">
        <v>16.26548062961373</v>
      </c>
      <c r="E1951" s="15" t="s">
        <v>148</v>
      </c>
      <c r="F1951" s="16" t="s">
        <v>16</v>
      </c>
      <c r="G1951" s="22">
        <v>1</v>
      </c>
      <c r="H1951" s="23">
        <v>1</v>
      </c>
      <c r="I1951" s="23">
        <v>1</v>
      </c>
      <c r="J1951" s="23">
        <v>2</v>
      </c>
      <c r="K1951" s="23">
        <v>3</v>
      </c>
      <c r="L1951" s="25">
        <f t="shared" si="59"/>
        <v>1.0195048044558224</v>
      </c>
      <c r="M1951" s="20"/>
    </row>
    <row r="1952" spans="1:13" x14ac:dyDescent="0.2">
      <c r="A1952" s="48" t="s">
        <v>147</v>
      </c>
      <c r="B1952" s="12" t="s">
        <v>37</v>
      </c>
      <c r="C1952" s="29" t="s">
        <v>66</v>
      </c>
      <c r="D1952" s="21">
        <v>106.3202299684709</v>
      </c>
      <c r="E1952" s="15" t="s">
        <v>148</v>
      </c>
      <c r="F1952" s="16" t="s">
        <v>16</v>
      </c>
      <c r="G1952" s="22">
        <v>1</v>
      </c>
      <c r="H1952" s="23">
        <v>1</v>
      </c>
      <c r="I1952" s="23">
        <v>1</v>
      </c>
      <c r="J1952" s="23">
        <v>2</v>
      </c>
      <c r="K1952" s="23">
        <v>3</v>
      </c>
      <c r="L1952" s="24">
        <f t="shared" si="59"/>
        <v>1.0195048044558224</v>
      </c>
      <c r="M1952" s="20"/>
    </row>
    <row r="1953" spans="1:13" x14ac:dyDescent="0.2">
      <c r="A1953" s="48" t="s">
        <v>147</v>
      </c>
      <c r="B1953" s="12" t="s">
        <v>39</v>
      </c>
      <c r="C1953" s="29" t="s">
        <v>66</v>
      </c>
      <c r="D1953" s="21">
        <v>2.500104546543426</v>
      </c>
      <c r="E1953" s="15" t="s">
        <v>148</v>
      </c>
      <c r="F1953" s="16" t="s">
        <v>16</v>
      </c>
      <c r="G1953" s="22">
        <v>1</v>
      </c>
      <c r="H1953" s="23">
        <v>1</v>
      </c>
      <c r="I1953" s="23">
        <v>1</v>
      </c>
      <c r="J1953" s="23">
        <v>2</v>
      </c>
      <c r="K1953" s="23">
        <v>3</v>
      </c>
      <c r="L1953" s="25">
        <f t="shared" si="59"/>
        <v>1.0195048044558224</v>
      </c>
      <c r="M1953" s="20"/>
    </row>
    <row r="1954" spans="1:13" x14ac:dyDescent="0.2">
      <c r="A1954" s="48" t="s">
        <v>147</v>
      </c>
      <c r="B1954" s="12" t="s">
        <v>40</v>
      </c>
      <c r="C1954" s="29" t="s">
        <v>66</v>
      </c>
      <c r="D1954" s="21">
        <v>4.5905363335896174</v>
      </c>
      <c r="E1954" s="15" t="s">
        <v>148</v>
      </c>
      <c r="F1954" s="16" t="s">
        <v>16</v>
      </c>
      <c r="G1954" s="22">
        <v>1</v>
      </c>
      <c r="H1954" s="23">
        <v>1</v>
      </c>
      <c r="I1954" s="23">
        <v>1</v>
      </c>
      <c r="J1954" s="23">
        <v>2</v>
      </c>
      <c r="K1954" s="23">
        <v>3</v>
      </c>
      <c r="L1954" s="25">
        <f t="shared" si="59"/>
        <v>1.0195048044558224</v>
      </c>
      <c r="M1954" s="20"/>
    </row>
    <row r="1955" spans="1:13" x14ac:dyDescent="0.2">
      <c r="A1955" s="48" t="s">
        <v>147</v>
      </c>
      <c r="B1955" s="12" t="s">
        <v>41</v>
      </c>
      <c r="C1955" s="29" t="s">
        <v>66</v>
      </c>
      <c r="D1955" s="21">
        <v>1.3045950038944421</v>
      </c>
      <c r="E1955" s="15" t="s">
        <v>148</v>
      </c>
      <c r="F1955" s="16" t="s">
        <v>16</v>
      </c>
      <c r="G1955" s="22">
        <v>1</v>
      </c>
      <c r="H1955" s="23">
        <v>1</v>
      </c>
      <c r="I1955" s="23">
        <v>1</v>
      </c>
      <c r="J1955" s="23">
        <v>2</v>
      </c>
      <c r="K1955" s="23">
        <v>3</v>
      </c>
      <c r="L1955" s="25">
        <f t="shared" si="59"/>
        <v>1.0195048044558224</v>
      </c>
      <c r="M1955" s="20"/>
    </row>
    <row r="1956" spans="1:13" x14ac:dyDescent="0.2">
      <c r="A1956" s="48" t="s">
        <v>147</v>
      </c>
      <c r="B1956" s="12" t="s">
        <v>42</v>
      </c>
      <c r="C1956" s="29" t="s">
        <v>66</v>
      </c>
      <c r="D1956" s="21">
        <v>0.75270411133948723</v>
      </c>
      <c r="E1956" s="15" t="s">
        <v>148</v>
      </c>
      <c r="F1956" s="16" t="s">
        <v>16</v>
      </c>
      <c r="G1956" s="22">
        <v>1</v>
      </c>
      <c r="H1956" s="23">
        <v>1</v>
      </c>
      <c r="I1956" s="23">
        <v>1</v>
      </c>
      <c r="J1956" s="23">
        <v>2</v>
      </c>
      <c r="K1956" s="23">
        <v>3</v>
      </c>
      <c r="L1956" s="25">
        <f t="shared" si="59"/>
        <v>1.0195048044558224</v>
      </c>
      <c r="M1956" s="20"/>
    </row>
    <row r="1957" spans="1:13" x14ac:dyDescent="0.2">
      <c r="A1957" s="48" t="s">
        <v>147</v>
      </c>
      <c r="B1957" s="12" t="s">
        <v>43</v>
      </c>
      <c r="C1957" s="29" t="s">
        <v>66</v>
      </c>
      <c r="D1957" s="21">
        <v>34.848865630056792</v>
      </c>
      <c r="E1957" s="15" t="s">
        <v>148</v>
      </c>
      <c r="F1957" s="16" t="s">
        <v>16</v>
      </c>
      <c r="G1957" s="22">
        <v>1</v>
      </c>
      <c r="H1957" s="23">
        <v>1</v>
      </c>
      <c r="I1957" s="23">
        <v>1</v>
      </c>
      <c r="J1957" s="23">
        <v>2</v>
      </c>
      <c r="K1957" s="23">
        <v>3</v>
      </c>
      <c r="L1957" s="25">
        <f t="shared" si="59"/>
        <v>1.0195048044558224</v>
      </c>
      <c r="M1957" s="20"/>
    </row>
    <row r="1958" spans="1:13" x14ac:dyDescent="0.2">
      <c r="A1958" s="48" t="s">
        <v>147</v>
      </c>
      <c r="B1958" s="12" t="s">
        <v>45</v>
      </c>
      <c r="C1958" s="29" t="s">
        <v>66</v>
      </c>
      <c r="D1958" s="21">
        <v>13.19896045352384</v>
      </c>
      <c r="E1958" s="15" t="s">
        <v>148</v>
      </c>
      <c r="F1958" s="16" t="s">
        <v>16</v>
      </c>
      <c r="G1958" s="22">
        <v>1</v>
      </c>
      <c r="H1958" s="23">
        <v>1</v>
      </c>
      <c r="I1958" s="23">
        <v>1</v>
      </c>
      <c r="J1958" s="23">
        <v>2</v>
      </c>
      <c r="K1958" s="23">
        <v>3</v>
      </c>
      <c r="L1958" s="25">
        <f t="shared" si="59"/>
        <v>1.0195048044558224</v>
      </c>
      <c r="M1958" s="20"/>
    </row>
    <row r="1959" spans="1:13" x14ac:dyDescent="0.2">
      <c r="A1959" s="48" t="s">
        <v>147</v>
      </c>
      <c r="B1959" s="12" t="s">
        <v>46</v>
      </c>
      <c r="C1959" s="29" t="s">
        <v>66</v>
      </c>
      <c r="D1959" s="21">
        <v>60.063509373166447</v>
      </c>
      <c r="E1959" s="15" t="s">
        <v>148</v>
      </c>
      <c r="F1959" s="16" t="s">
        <v>16</v>
      </c>
      <c r="G1959" s="22">
        <v>1</v>
      </c>
      <c r="H1959" s="23">
        <v>1</v>
      </c>
      <c r="I1959" s="23">
        <v>1</v>
      </c>
      <c r="J1959" s="23">
        <v>2</v>
      </c>
      <c r="K1959" s="23">
        <v>3</v>
      </c>
      <c r="L1959" s="24">
        <f t="shared" si="59"/>
        <v>1.0195048044558224</v>
      </c>
      <c r="M1959" s="20"/>
    </row>
    <row r="1960" spans="1:13" x14ac:dyDescent="0.2">
      <c r="A1960" s="48" t="s">
        <v>147</v>
      </c>
      <c r="B1960" s="12" t="s">
        <v>48</v>
      </c>
      <c r="C1960" s="29" t="s">
        <v>66</v>
      </c>
      <c r="D1960" s="21">
        <v>22.127713206700861</v>
      </c>
      <c r="E1960" s="15" t="s">
        <v>148</v>
      </c>
      <c r="F1960" s="16" t="s">
        <v>16</v>
      </c>
      <c r="G1960" s="22">
        <v>1</v>
      </c>
      <c r="H1960" s="23">
        <v>1</v>
      </c>
      <c r="I1960" s="23">
        <v>1</v>
      </c>
      <c r="J1960" s="23">
        <v>2</v>
      </c>
      <c r="K1960" s="23">
        <v>3</v>
      </c>
      <c r="L1960" s="25">
        <f t="shared" si="59"/>
        <v>1.0195048044558224</v>
      </c>
      <c r="M1960" s="20"/>
    </row>
    <row r="1961" spans="1:13" x14ac:dyDescent="0.2">
      <c r="A1961" s="48" t="s">
        <v>147</v>
      </c>
      <c r="B1961" s="12" t="s">
        <v>50</v>
      </c>
      <c r="C1961" s="29" t="s">
        <v>66</v>
      </c>
      <c r="D1961" s="21">
        <v>25.712730570439479</v>
      </c>
      <c r="E1961" s="15" t="s">
        <v>148</v>
      </c>
      <c r="F1961" s="16" t="s">
        <v>16</v>
      </c>
      <c r="G1961" s="22">
        <v>1</v>
      </c>
      <c r="H1961" s="23">
        <v>1</v>
      </c>
      <c r="I1961" s="23">
        <v>1</v>
      </c>
      <c r="J1961" s="23">
        <v>2</v>
      </c>
      <c r="K1961" s="23">
        <v>3</v>
      </c>
      <c r="L1961" s="25">
        <f t="shared" si="59"/>
        <v>1.0195048044558224</v>
      </c>
      <c r="M1961" s="20"/>
    </row>
    <row r="1962" spans="1:13" x14ac:dyDescent="0.2">
      <c r="A1962" s="48" t="s">
        <v>147</v>
      </c>
      <c r="B1962" s="12" t="s">
        <v>52</v>
      </c>
      <c r="C1962" s="29" t="s">
        <v>66</v>
      </c>
      <c r="D1962" s="21">
        <v>6.8356268276686833</v>
      </c>
      <c r="E1962" s="15" t="s">
        <v>148</v>
      </c>
      <c r="F1962" s="16" t="s">
        <v>16</v>
      </c>
      <c r="G1962" s="22">
        <v>1</v>
      </c>
      <c r="H1962" s="23">
        <v>1</v>
      </c>
      <c r="I1962" s="23">
        <v>1</v>
      </c>
      <c r="J1962" s="23">
        <v>2</v>
      </c>
      <c r="K1962" s="23">
        <v>3</v>
      </c>
      <c r="L1962" s="25">
        <f t="shared" si="59"/>
        <v>1.0195048044558224</v>
      </c>
      <c r="M1962" s="20"/>
    </row>
    <row r="1963" spans="1:13" x14ac:dyDescent="0.2">
      <c r="A1963" s="48" t="s">
        <v>147</v>
      </c>
      <c r="B1963" s="12" t="s">
        <v>54</v>
      </c>
      <c r="C1963" s="29" t="s">
        <v>66</v>
      </c>
      <c r="D1963" s="21">
        <v>2.6461598607506209</v>
      </c>
      <c r="E1963" s="15" t="s">
        <v>148</v>
      </c>
      <c r="F1963" s="16" t="s">
        <v>16</v>
      </c>
      <c r="G1963" s="22">
        <v>1</v>
      </c>
      <c r="H1963" s="23">
        <v>1</v>
      </c>
      <c r="I1963" s="23">
        <v>1</v>
      </c>
      <c r="J1963" s="23">
        <v>2</v>
      </c>
      <c r="K1963" s="23">
        <v>3</v>
      </c>
      <c r="L1963" s="25">
        <f t="shared" si="59"/>
        <v>1.0195048044558224</v>
      </c>
      <c r="M1963" s="20"/>
    </row>
    <row r="1964" spans="1:13" x14ac:dyDescent="0.2">
      <c r="A1964" s="48" t="s">
        <v>147</v>
      </c>
      <c r="B1964" s="12" t="s">
        <v>55</v>
      </c>
      <c r="C1964" s="29" t="s">
        <v>66</v>
      </c>
      <c r="D1964" s="21">
        <v>81.132624018457278</v>
      </c>
      <c r="E1964" s="15" t="s">
        <v>148</v>
      </c>
      <c r="F1964" s="16" t="s">
        <v>16</v>
      </c>
      <c r="G1964" s="22">
        <v>1</v>
      </c>
      <c r="H1964" s="23">
        <v>1</v>
      </c>
      <c r="I1964" s="23">
        <v>1</v>
      </c>
      <c r="J1964" s="23">
        <v>2</v>
      </c>
      <c r="K1964" s="23">
        <v>3</v>
      </c>
      <c r="L1964" s="24">
        <f t="shared" si="59"/>
        <v>1.0195048044558224</v>
      </c>
      <c r="M1964" s="20"/>
    </row>
    <row r="1965" spans="1:13" x14ac:dyDescent="0.2">
      <c r="A1965" s="48" t="s">
        <v>147</v>
      </c>
      <c r="B1965" s="12" t="s">
        <v>57</v>
      </c>
      <c r="C1965" s="29" t="s">
        <v>66</v>
      </c>
      <c r="D1965" s="21">
        <v>13.231973428562339</v>
      </c>
      <c r="E1965" s="15" t="s">
        <v>148</v>
      </c>
      <c r="F1965" s="16" t="s">
        <v>16</v>
      </c>
      <c r="G1965" s="22">
        <v>1</v>
      </c>
      <c r="H1965" s="23">
        <v>1</v>
      </c>
      <c r="I1965" s="23">
        <v>1</v>
      </c>
      <c r="J1965" s="23">
        <v>2</v>
      </c>
      <c r="K1965" s="23">
        <v>3</v>
      </c>
      <c r="L1965" s="25">
        <f t="shared" si="59"/>
        <v>1.0195048044558224</v>
      </c>
      <c r="M1965" s="20"/>
    </row>
    <row r="1966" spans="1:13" x14ac:dyDescent="0.2">
      <c r="A1966" s="48" t="s">
        <v>147</v>
      </c>
      <c r="B1966" s="12" t="s">
        <v>59</v>
      </c>
      <c r="C1966" s="29" t="s">
        <v>66</v>
      </c>
      <c r="D1966" s="21">
        <v>19.910296699012701</v>
      </c>
      <c r="E1966" s="15" t="s">
        <v>148</v>
      </c>
      <c r="F1966" s="16" t="s">
        <v>16</v>
      </c>
      <c r="G1966" s="22">
        <v>1</v>
      </c>
      <c r="H1966" s="23">
        <v>1</v>
      </c>
      <c r="I1966" s="23">
        <v>1</v>
      </c>
      <c r="J1966" s="23">
        <v>2</v>
      </c>
      <c r="K1966" s="23">
        <v>3</v>
      </c>
      <c r="L1966" s="25">
        <f t="shared" si="59"/>
        <v>1.0195048044558224</v>
      </c>
      <c r="M1966" s="20"/>
    </row>
    <row r="1967" spans="1:13" x14ac:dyDescent="0.2">
      <c r="A1967" s="48" t="s">
        <v>147</v>
      </c>
      <c r="B1967" s="12" t="s">
        <v>60</v>
      </c>
      <c r="C1967" s="29" t="s">
        <v>66</v>
      </c>
      <c r="D1967" s="21">
        <v>105.14000599248619</v>
      </c>
      <c r="E1967" s="15" t="s">
        <v>148</v>
      </c>
      <c r="F1967" s="16" t="s">
        <v>16</v>
      </c>
      <c r="G1967" s="22">
        <v>1</v>
      </c>
      <c r="H1967" s="23">
        <v>2</v>
      </c>
      <c r="I1967" s="23">
        <v>1</v>
      </c>
      <c r="J1967" s="23">
        <v>2</v>
      </c>
      <c r="K1967" s="23">
        <v>3</v>
      </c>
      <c r="L1967" s="24">
        <f t="shared" si="59"/>
        <v>1.0248662490928169</v>
      </c>
      <c r="M1967" s="20"/>
    </row>
    <row r="1968" spans="1:13" x14ac:dyDescent="0.2">
      <c r="A1968" s="48" t="s">
        <v>147</v>
      </c>
      <c r="B1968" s="12" t="s">
        <v>13</v>
      </c>
      <c r="C1968" s="30" t="s">
        <v>94</v>
      </c>
      <c r="D1968" s="21">
        <v>1.3300347595809909</v>
      </c>
      <c r="E1968" s="15" t="s">
        <v>148</v>
      </c>
      <c r="F1968" s="16" t="s">
        <v>16</v>
      </c>
      <c r="G1968" s="22">
        <v>1</v>
      </c>
      <c r="H1968" s="23">
        <v>1</v>
      </c>
      <c r="I1968" s="23">
        <v>1</v>
      </c>
      <c r="J1968" s="23">
        <v>2</v>
      </c>
      <c r="K1968" s="23">
        <v>3</v>
      </c>
      <c r="L1968" s="25">
        <f t="shared" si="59"/>
        <v>1.0195048044558224</v>
      </c>
      <c r="M1968" s="20"/>
    </row>
    <row r="1969" spans="1:13" x14ac:dyDescent="0.2">
      <c r="A1969" s="48" t="s">
        <v>147</v>
      </c>
      <c r="B1969" s="12" t="s">
        <v>18</v>
      </c>
      <c r="C1969" s="30" t="s">
        <v>94</v>
      </c>
      <c r="D1969" s="21">
        <v>1.792756185386406</v>
      </c>
      <c r="E1969" s="15" t="s">
        <v>148</v>
      </c>
      <c r="F1969" s="16" t="s">
        <v>16</v>
      </c>
      <c r="G1969" s="22">
        <v>1</v>
      </c>
      <c r="H1969" s="23">
        <v>1</v>
      </c>
      <c r="I1969" s="23">
        <v>1</v>
      </c>
      <c r="J1969" s="23">
        <v>2</v>
      </c>
      <c r="K1969" s="23">
        <v>3</v>
      </c>
      <c r="L1969" s="25">
        <f t="shared" si="59"/>
        <v>1.0195048044558224</v>
      </c>
      <c r="M1969" s="20"/>
    </row>
    <row r="1970" spans="1:13" x14ac:dyDescent="0.2">
      <c r="A1970" s="48" t="s">
        <v>147</v>
      </c>
      <c r="B1970" s="12" t="s">
        <v>20</v>
      </c>
      <c r="C1970" s="30" t="s">
        <v>94</v>
      </c>
      <c r="D1970" s="21">
        <v>0.68025061428440181</v>
      </c>
      <c r="E1970" s="15" t="s">
        <v>148</v>
      </c>
      <c r="F1970" s="16" t="s">
        <v>16</v>
      </c>
      <c r="G1970" s="22">
        <v>1</v>
      </c>
      <c r="H1970" s="23">
        <v>1</v>
      </c>
      <c r="I1970" s="23">
        <v>1</v>
      </c>
      <c r="J1970" s="23">
        <v>2</v>
      </c>
      <c r="K1970" s="23">
        <v>3</v>
      </c>
      <c r="L1970" s="25">
        <f t="shared" si="59"/>
        <v>1.0195048044558224</v>
      </c>
      <c r="M1970" s="20"/>
    </row>
    <row r="1971" spans="1:13" x14ac:dyDescent="0.2">
      <c r="A1971" s="48" t="s">
        <v>147</v>
      </c>
      <c r="B1971" s="12" t="s">
        <v>22</v>
      </c>
      <c r="C1971" s="30" t="s">
        <v>94</v>
      </c>
      <c r="D1971" s="21">
        <v>0.29484449796066747</v>
      </c>
      <c r="E1971" s="15" t="s">
        <v>148</v>
      </c>
      <c r="F1971" s="16" t="s">
        <v>16</v>
      </c>
      <c r="G1971" s="22">
        <v>1</v>
      </c>
      <c r="H1971" s="23">
        <v>1</v>
      </c>
      <c r="I1971" s="23">
        <v>1</v>
      </c>
      <c r="J1971" s="23">
        <v>2</v>
      </c>
      <c r="K1971" s="23">
        <v>3</v>
      </c>
      <c r="L1971" s="25">
        <f t="shared" si="59"/>
        <v>1.0195048044558224</v>
      </c>
      <c r="M1971" s="20"/>
    </row>
    <row r="1972" spans="1:13" x14ac:dyDescent="0.2">
      <c r="A1972" s="48" t="s">
        <v>147</v>
      </c>
      <c r="B1972" s="12" t="s">
        <v>23</v>
      </c>
      <c r="C1972" s="30" t="s">
        <v>94</v>
      </c>
      <c r="D1972" s="21">
        <v>8.1509745421219831E-2</v>
      </c>
      <c r="E1972" s="15" t="s">
        <v>148</v>
      </c>
      <c r="F1972" s="16" t="s">
        <v>16</v>
      </c>
      <c r="G1972" s="22">
        <v>1</v>
      </c>
      <c r="H1972" s="23">
        <v>1</v>
      </c>
      <c r="I1972" s="23">
        <v>1</v>
      </c>
      <c r="J1972" s="23">
        <v>2</v>
      </c>
      <c r="K1972" s="23">
        <v>3</v>
      </c>
      <c r="L1972" s="25">
        <f t="shared" si="59"/>
        <v>1.0195048044558224</v>
      </c>
      <c r="M1972" s="20"/>
    </row>
    <row r="1973" spans="1:13" x14ac:dyDescent="0.2">
      <c r="A1973" s="48" t="s">
        <v>147</v>
      </c>
      <c r="B1973" s="12" t="s">
        <v>24</v>
      </c>
      <c r="C1973" s="30" t="s">
        <v>94</v>
      </c>
      <c r="D1973" s="21">
        <v>1.177374734088974</v>
      </c>
      <c r="E1973" s="15" t="s">
        <v>148</v>
      </c>
      <c r="F1973" s="16" t="s">
        <v>16</v>
      </c>
      <c r="G1973" s="22">
        <v>1</v>
      </c>
      <c r="H1973" s="23">
        <v>1</v>
      </c>
      <c r="I1973" s="23">
        <v>1</v>
      </c>
      <c r="J1973" s="23">
        <v>2</v>
      </c>
      <c r="K1973" s="23">
        <v>3</v>
      </c>
      <c r="L1973" s="25">
        <f t="shared" ref="L1973:L2004" si="60">IF( OR( ISBLANK(G1973),ISBLANK(H1973), ISBLANK(I1973), ISBLANK(J1973), ISBLANK(K1973) ), "", 1.5*SQRT( EXP(2.21*(G1973-1)) + EXP(2.21*(H1973-1)) + EXP(2.21*(I1973-1)) + EXP(2.21*(J1973-1)) + EXP(2.21*K1973) )/100*2.45 )</f>
        <v>1.0195048044558224</v>
      </c>
      <c r="M1973" s="20"/>
    </row>
    <row r="1974" spans="1:13" x14ac:dyDescent="0.2">
      <c r="A1974" s="48" t="s">
        <v>147</v>
      </c>
      <c r="B1974" s="12" t="s">
        <v>25</v>
      </c>
      <c r="C1974" s="30" t="s">
        <v>94</v>
      </c>
      <c r="D1974" s="21">
        <v>1.0184003921138689</v>
      </c>
      <c r="E1974" s="15" t="s">
        <v>148</v>
      </c>
      <c r="F1974" s="16" t="s">
        <v>16</v>
      </c>
      <c r="G1974" s="22">
        <v>1</v>
      </c>
      <c r="H1974" s="23">
        <v>1</v>
      </c>
      <c r="I1974" s="23">
        <v>1</v>
      </c>
      <c r="J1974" s="23">
        <v>2</v>
      </c>
      <c r="K1974" s="23">
        <v>3</v>
      </c>
      <c r="L1974" s="25">
        <f t="shared" si="60"/>
        <v>1.0195048044558224</v>
      </c>
      <c r="M1974" s="20"/>
    </row>
    <row r="1975" spans="1:13" x14ac:dyDescent="0.2">
      <c r="A1975" s="48" t="s">
        <v>147</v>
      </c>
      <c r="B1975" s="12" t="s">
        <v>26</v>
      </c>
      <c r="C1975" s="30" t="s">
        <v>94</v>
      </c>
      <c r="D1975" s="21">
        <v>0.23863699570371191</v>
      </c>
      <c r="E1975" s="15" t="s">
        <v>148</v>
      </c>
      <c r="F1975" s="16" t="s">
        <v>16</v>
      </c>
      <c r="G1975" s="22">
        <v>1</v>
      </c>
      <c r="H1975" s="23">
        <v>1</v>
      </c>
      <c r="I1975" s="23">
        <v>1</v>
      </c>
      <c r="J1975" s="23">
        <v>2</v>
      </c>
      <c r="K1975" s="23">
        <v>3</v>
      </c>
      <c r="L1975" s="25">
        <f t="shared" si="60"/>
        <v>1.0195048044558224</v>
      </c>
      <c r="M1975" s="20"/>
    </row>
    <row r="1976" spans="1:13" x14ac:dyDescent="0.2">
      <c r="A1976" s="48" t="s">
        <v>147</v>
      </c>
      <c r="B1976" s="12" t="s">
        <v>27</v>
      </c>
      <c r="C1976" s="30" t="s">
        <v>94</v>
      </c>
      <c r="D1976" s="21">
        <v>0.69912528785495509</v>
      </c>
      <c r="E1976" s="15" t="s">
        <v>148</v>
      </c>
      <c r="F1976" s="16" t="s">
        <v>16</v>
      </c>
      <c r="G1976" s="22">
        <v>1</v>
      </c>
      <c r="H1976" s="23">
        <v>1</v>
      </c>
      <c r="I1976" s="23">
        <v>1</v>
      </c>
      <c r="J1976" s="23">
        <v>2</v>
      </c>
      <c r="K1976" s="23">
        <v>3</v>
      </c>
      <c r="L1976" s="25">
        <f t="shared" si="60"/>
        <v>1.0195048044558224</v>
      </c>
      <c r="M1976" s="20"/>
    </row>
    <row r="1977" spans="1:13" x14ac:dyDescent="0.2">
      <c r="A1977" s="48" t="s">
        <v>147</v>
      </c>
      <c r="B1977" s="12" t="s">
        <v>28</v>
      </c>
      <c r="C1977" s="30" t="s">
        <v>94</v>
      </c>
      <c r="D1977" s="21">
        <v>9.5528538200066873</v>
      </c>
      <c r="E1977" s="15" t="s">
        <v>148</v>
      </c>
      <c r="F1977" s="16" t="s">
        <v>16</v>
      </c>
      <c r="G1977" s="22">
        <v>1</v>
      </c>
      <c r="H1977" s="23">
        <v>1</v>
      </c>
      <c r="I1977" s="23">
        <v>1</v>
      </c>
      <c r="J1977" s="23">
        <v>2</v>
      </c>
      <c r="K1977" s="23">
        <v>3</v>
      </c>
      <c r="L1977" s="25">
        <f t="shared" si="60"/>
        <v>1.0195048044558224</v>
      </c>
      <c r="M1977" s="20"/>
    </row>
    <row r="1978" spans="1:13" x14ac:dyDescent="0.2">
      <c r="A1978" s="48" t="s">
        <v>147</v>
      </c>
      <c r="B1978" s="12" t="s">
        <v>30</v>
      </c>
      <c r="C1978" s="30" t="s">
        <v>94</v>
      </c>
      <c r="D1978" s="21">
        <v>16.853335766541839</v>
      </c>
      <c r="E1978" s="15" t="s">
        <v>148</v>
      </c>
      <c r="F1978" s="16" t="s">
        <v>16</v>
      </c>
      <c r="G1978" s="22">
        <v>1</v>
      </c>
      <c r="H1978" s="23">
        <v>1</v>
      </c>
      <c r="I1978" s="23">
        <v>1</v>
      </c>
      <c r="J1978" s="23">
        <v>2</v>
      </c>
      <c r="K1978" s="23">
        <v>3</v>
      </c>
      <c r="L1978" s="24">
        <f t="shared" si="60"/>
        <v>1.0195048044558224</v>
      </c>
      <c r="M1978" s="20"/>
    </row>
    <row r="1979" spans="1:13" x14ac:dyDescent="0.2">
      <c r="A1979" s="48" t="s">
        <v>147</v>
      </c>
      <c r="B1979" s="12" t="s">
        <v>32</v>
      </c>
      <c r="C1979" s="30" t="s">
        <v>94</v>
      </c>
      <c r="D1979" s="21">
        <v>1.233173118822815</v>
      </c>
      <c r="E1979" s="15" t="s">
        <v>148</v>
      </c>
      <c r="F1979" s="16" t="s">
        <v>16</v>
      </c>
      <c r="G1979" s="22">
        <v>1</v>
      </c>
      <c r="H1979" s="23">
        <v>1</v>
      </c>
      <c r="I1979" s="23">
        <v>1</v>
      </c>
      <c r="J1979" s="23">
        <v>2</v>
      </c>
      <c r="K1979" s="23">
        <v>3</v>
      </c>
      <c r="L1979" s="25">
        <f t="shared" si="60"/>
        <v>1.0195048044558224</v>
      </c>
      <c r="M1979" s="20"/>
    </row>
    <row r="1980" spans="1:13" x14ac:dyDescent="0.2">
      <c r="A1980" s="48" t="s">
        <v>147</v>
      </c>
      <c r="B1980" s="12" t="s">
        <v>34</v>
      </c>
      <c r="C1980" s="30" t="s">
        <v>94</v>
      </c>
      <c r="D1980" s="21">
        <v>2.0645030228145198</v>
      </c>
      <c r="E1980" s="15" t="s">
        <v>148</v>
      </c>
      <c r="F1980" s="16" t="s">
        <v>16</v>
      </c>
      <c r="G1980" s="22">
        <v>1</v>
      </c>
      <c r="H1980" s="23">
        <v>1</v>
      </c>
      <c r="I1980" s="23">
        <v>1</v>
      </c>
      <c r="J1980" s="23">
        <v>2</v>
      </c>
      <c r="K1980" s="23">
        <v>3</v>
      </c>
      <c r="L1980" s="25">
        <f t="shared" si="60"/>
        <v>1.0195048044558224</v>
      </c>
      <c r="M1980" s="20"/>
    </row>
    <row r="1981" spans="1:13" x14ac:dyDescent="0.2">
      <c r="A1981" s="48" t="s">
        <v>147</v>
      </c>
      <c r="B1981" s="12" t="s">
        <v>36</v>
      </c>
      <c r="C1981" s="30" t="s">
        <v>94</v>
      </c>
      <c r="D1981" s="21">
        <v>1.35869989147048</v>
      </c>
      <c r="E1981" s="15" t="s">
        <v>148</v>
      </c>
      <c r="F1981" s="16" t="s">
        <v>16</v>
      </c>
      <c r="G1981" s="22">
        <v>1</v>
      </c>
      <c r="H1981" s="23">
        <v>1</v>
      </c>
      <c r="I1981" s="23">
        <v>1</v>
      </c>
      <c r="J1981" s="23">
        <v>2</v>
      </c>
      <c r="K1981" s="23">
        <v>3</v>
      </c>
      <c r="L1981" s="25">
        <f t="shared" si="60"/>
        <v>1.0195048044558224</v>
      </c>
      <c r="M1981" s="20"/>
    </row>
    <row r="1982" spans="1:13" x14ac:dyDescent="0.2">
      <c r="A1982" s="48" t="s">
        <v>147</v>
      </c>
      <c r="B1982" s="12" t="s">
        <v>37</v>
      </c>
      <c r="C1982" s="30" t="s">
        <v>94</v>
      </c>
      <c r="D1982" s="21">
        <v>8.8812183426213629</v>
      </c>
      <c r="E1982" s="15" t="s">
        <v>148</v>
      </c>
      <c r="F1982" s="16" t="s">
        <v>16</v>
      </c>
      <c r="G1982" s="22">
        <v>1</v>
      </c>
      <c r="H1982" s="23">
        <v>1</v>
      </c>
      <c r="I1982" s="23">
        <v>1</v>
      </c>
      <c r="J1982" s="23">
        <v>2</v>
      </c>
      <c r="K1982" s="23">
        <v>3</v>
      </c>
      <c r="L1982" s="24">
        <f t="shared" si="60"/>
        <v>1.0195048044558224</v>
      </c>
      <c r="M1982" s="20"/>
    </row>
    <row r="1983" spans="1:13" x14ac:dyDescent="0.2">
      <c r="A1983" s="48" t="s">
        <v>147</v>
      </c>
      <c r="B1983" s="12" t="s">
        <v>39</v>
      </c>
      <c r="C1983" s="30" t="s">
        <v>94</v>
      </c>
      <c r="D1983" s="21">
        <v>0.20884054110696609</v>
      </c>
      <c r="E1983" s="15" t="s">
        <v>148</v>
      </c>
      <c r="F1983" s="16" t="s">
        <v>16</v>
      </c>
      <c r="G1983" s="22">
        <v>1</v>
      </c>
      <c r="H1983" s="23">
        <v>1</v>
      </c>
      <c r="I1983" s="23">
        <v>1</v>
      </c>
      <c r="J1983" s="23">
        <v>2</v>
      </c>
      <c r="K1983" s="23">
        <v>3</v>
      </c>
      <c r="L1983" s="25">
        <f t="shared" si="60"/>
        <v>1.0195048044558224</v>
      </c>
      <c r="M1983" s="20"/>
    </row>
    <row r="1984" spans="1:13" x14ac:dyDescent="0.2">
      <c r="A1984" s="48" t="s">
        <v>147</v>
      </c>
      <c r="B1984" s="12" t="s">
        <v>40</v>
      </c>
      <c r="C1984" s="30" t="s">
        <v>94</v>
      </c>
      <c r="D1984" s="21">
        <v>0.3834600009841595</v>
      </c>
      <c r="E1984" s="15" t="s">
        <v>148</v>
      </c>
      <c r="F1984" s="16" t="s">
        <v>16</v>
      </c>
      <c r="G1984" s="22">
        <v>1</v>
      </c>
      <c r="H1984" s="23">
        <v>1</v>
      </c>
      <c r="I1984" s="23">
        <v>1</v>
      </c>
      <c r="J1984" s="23">
        <v>2</v>
      </c>
      <c r="K1984" s="23">
        <v>3</v>
      </c>
      <c r="L1984" s="25">
        <f t="shared" si="60"/>
        <v>1.0195048044558224</v>
      </c>
      <c r="M1984" s="20"/>
    </row>
    <row r="1985" spans="1:13" x14ac:dyDescent="0.2">
      <c r="A1985" s="48" t="s">
        <v>147</v>
      </c>
      <c r="B1985" s="12" t="s">
        <v>41</v>
      </c>
      <c r="C1985" s="30" t="s">
        <v>94</v>
      </c>
      <c r="D1985" s="21">
        <v>0.1089763733742434</v>
      </c>
      <c r="E1985" s="15" t="s">
        <v>148</v>
      </c>
      <c r="F1985" s="16" t="s">
        <v>16</v>
      </c>
      <c r="G1985" s="22">
        <v>1</v>
      </c>
      <c r="H1985" s="23">
        <v>1</v>
      </c>
      <c r="I1985" s="23">
        <v>1</v>
      </c>
      <c r="J1985" s="23">
        <v>2</v>
      </c>
      <c r="K1985" s="23">
        <v>3</v>
      </c>
      <c r="L1985" s="25">
        <f t="shared" si="60"/>
        <v>1.0195048044558224</v>
      </c>
      <c r="M1985" s="20"/>
    </row>
    <row r="1986" spans="1:13" x14ac:dyDescent="0.2">
      <c r="A1986" s="48" t="s">
        <v>147</v>
      </c>
      <c r="B1986" s="12" t="s">
        <v>42</v>
      </c>
      <c r="C1986" s="30" t="s">
        <v>94</v>
      </c>
      <c r="D1986" s="21">
        <v>6.2875424198924029E-2</v>
      </c>
      <c r="E1986" s="15" t="s">
        <v>148</v>
      </c>
      <c r="F1986" s="16" t="s">
        <v>16</v>
      </c>
      <c r="G1986" s="22">
        <v>1</v>
      </c>
      <c r="H1986" s="23">
        <v>1</v>
      </c>
      <c r="I1986" s="23">
        <v>1</v>
      </c>
      <c r="J1986" s="23">
        <v>2</v>
      </c>
      <c r="K1986" s="23">
        <v>3</v>
      </c>
      <c r="L1986" s="25">
        <f t="shared" si="60"/>
        <v>1.0195048044558224</v>
      </c>
      <c r="M1986" s="20"/>
    </row>
    <row r="1987" spans="1:13" x14ac:dyDescent="0.2">
      <c r="A1987" s="48" t="s">
        <v>147</v>
      </c>
      <c r="B1987" s="12" t="s">
        <v>43</v>
      </c>
      <c r="C1987" s="30" t="s">
        <v>94</v>
      </c>
      <c r="D1987" s="21">
        <v>2.9110206471994018</v>
      </c>
      <c r="E1987" s="15" t="s">
        <v>148</v>
      </c>
      <c r="F1987" s="16" t="s">
        <v>16</v>
      </c>
      <c r="G1987" s="22">
        <v>1</v>
      </c>
      <c r="H1987" s="23">
        <v>1</v>
      </c>
      <c r="I1987" s="23">
        <v>1</v>
      </c>
      <c r="J1987" s="23">
        <v>2</v>
      </c>
      <c r="K1987" s="23">
        <v>3</v>
      </c>
      <c r="L1987" s="25">
        <f t="shared" si="60"/>
        <v>1.0195048044558224</v>
      </c>
      <c r="M1987" s="20"/>
    </row>
    <row r="1988" spans="1:13" x14ac:dyDescent="0.2">
      <c r="A1988" s="48" t="s">
        <v>147</v>
      </c>
      <c r="B1988" s="12" t="s">
        <v>45</v>
      </c>
      <c r="C1988" s="30" t="s">
        <v>94</v>
      </c>
      <c r="D1988" s="21">
        <v>1.102545110353242</v>
      </c>
      <c r="E1988" s="15" t="s">
        <v>148</v>
      </c>
      <c r="F1988" s="16" t="s">
        <v>16</v>
      </c>
      <c r="G1988" s="22">
        <v>1</v>
      </c>
      <c r="H1988" s="23">
        <v>1</v>
      </c>
      <c r="I1988" s="23">
        <v>1</v>
      </c>
      <c r="J1988" s="23">
        <v>2</v>
      </c>
      <c r="K1988" s="23">
        <v>3</v>
      </c>
      <c r="L1988" s="25">
        <f t="shared" si="60"/>
        <v>1.0195048044558224</v>
      </c>
      <c r="M1988" s="20"/>
    </row>
    <row r="1989" spans="1:13" x14ac:dyDescent="0.2">
      <c r="A1989" s="48" t="s">
        <v>147</v>
      </c>
      <c r="B1989" s="12" t="s">
        <v>46</v>
      </c>
      <c r="C1989" s="30" t="s">
        <v>94</v>
      </c>
      <c r="D1989" s="21">
        <v>5.0172685040783476</v>
      </c>
      <c r="E1989" s="15" t="s">
        <v>148</v>
      </c>
      <c r="F1989" s="16" t="s">
        <v>16</v>
      </c>
      <c r="G1989" s="22">
        <v>1</v>
      </c>
      <c r="H1989" s="23">
        <v>1</v>
      </c>
      <c r="I1989" s="23">
        <v>1</v>
      </c>
      <c r="J1989" s="23">
        <v>2</v>
      </c>
      <c r="K1989" s="23">
        <v>3</v>
      </c>
      <c r="L1989" s="24">
        <f t="shared" si="60"/>
        <v>1.0195048044558224</v>
      </c>
      <c r="M1989" s="20"/>
    </row>
    <row r="1990" spans="1:13" x14ac:dyDescent="0.2">
      <c r="A1990" s="48" t="s">
        <v>147</v>
      </c>
      <c r="B1990" s="12" t="s">
        <v>48</v>
      </c>
      <c r="C1990" s="30" t="s">
        <v>94</v>
      </c>
      <c r="D1990" s="21">
        <v>1.8483881427823721</v>
      </c>
      <c r="E1990" s="15" t="s">
        <v>148</v>
      </c>
      <c r="F1990" s="16" t="s">
        <v>16</v>
      </c>
      <c r="G1990" s="22">
        <v>1</v>
      </c>
      <c r="H1990" s="23">
        <v>1</v>
      </c>
      <c r="I1990" s="23">
        <v>1</v>
      </c>
      <c r="J1990" s="23">
        <v>2</v>
      </c>
      <c r="K1990" s="23">
        <v>3</v>
      </c>
      <c r="L1990" s="25">
        <f t="shared" si="60"/>
        <v>1.0195048044558224</v>
      </c>
      <c r="M1990" s="20"/>
    </row>
    <row r="1991" spans="1:13" x14ac:dyDescent="0.2">
      <c r="A1991" s="48" t="s">
        <v>147</v>
      </c>
      <c r="B1991" s="12" t="s">
        <v>50</v>
      </c>
      <c r="C1991" s="30" t="s">
        <v>94</v>
      </c>
      <c r="D1991" s="21">
        <v>2.1478544059657132</v>
      </c>
      <c r="E1991" s="15" t="s">
        <v>148</v>
      </c>
      <c r="F1991" s="16" t="s">
        <v>16</v>
      </c>
      <c r="G1991" s="22">
        <v>1</v>
      </c>
      <c r="H1991" s="23">
        <v>1</v>
      </c>
      <c r="I1991" s="23">
        <v>1</v>
      </c>
      <c r="J1991" s="23">
        <v>2</v>
      </c>
      <c r="K1991" s="23">
        <v>3</v>
      </c>
      <c r="L1991" s="25">
        <f t="shared" si="60"/>
        <v>1.0195048044558224</v>
      </c>
      <c r="M1991" s="20"/>
    </row>
    <row r="1992" spans="1:13" x14ac:dyDescent="0.2">
      <c r="A1992" s="48" t="s">
        <v>147</v>
      </c>
      <c r="B1992" s="12" t="s">
        <v>52</v>
      </c>
      <c r="C1992" s="30" t="s">
        <v>94</v>
      </c>
      <c r="D1992" s="21">
        <v>0.57099852382946159</v>
      </c>
      <c r="E1992" s="15" t="s">
        <v>148</v>
      </c>
      <c r="F1992" s="16" t="s">
        <v>16</v>
      </c>
      <c r="G1992" s="22">
        <v>1</v>
      </c>
      <c r="H1992" s="23">
        <v>1</v>
      </c>
      <c r="I1992" s="23">
        <v>1</v>
      </c>
      <c r="J1992" s="23">
        <v>2</v>
      </c>
      <c r="K1992" s="23">
        <v>3</v>
      </c>
      <c r="L1992" s="25">
        <f t="shared" si="60"/>
        <v>1.0195048044558224</v>
      </c>
      <c r="M1992" s="20"/>
    </row>
    <row r="1993" spans="1:13" x14ac:dyDescent="0.2">
      <c r="A1993" s="48" t="s">
        <v>147</v>
      </c>
      <c r="B1993" s="12" t="s">
        <v>54</v>
      </c>
      <c r="C1993" s="30" t="s">
        <v>94</v>
      </c>
      <c r="D1993" s="21">
        <v>0.221040939243416</v>
      </c>
      <c r="E1993" s="15" t="s">
        <v>148</v>
      </c>
      <c r="F1993" s="16" t="s">
        <v>16</v>
      </c>
      <c r="G1993" s="22">
        <v>1</v>
      </c>
      <c r="H1993" s="23">
        <v>1</v>
      </c>
      <c r="I1993" s="23">
        <v>1</v>
      </c>
      <c r="J1993" s="23">
        <v>2</v>
      </c>
      <c r="K1993" s="23">
        <v>3</v>
      </c>
      <c r="L1993" s="25">
        <f t="shared" si="60"/>
        <v>1.0195048044558224</v>
      </c>
      <c r="M1993" s="20"/>
    </row>
    <row r="1994" spans="1:13" x14ac:dyDescent="0.2">
      <c r="A1994" s="48" t="s">
        <v>147</v>
      </c>
      <c r="B1994" s="12" t="s">
        <v>55</v>
      </c>
      <c r="C1994" s="30" t="s">
        <v>94</v>
      </c>
      <c r="D1994" s="21">
        <v>6.7772290262295796</v>
      </c>
      <c r="E1994" s="15" t="s">
        <v>148</v>
      </c>
      <c r="F1994" s="16" t="s">
        <v>16</v>
      </c>
      <c r="G1994" s="22">
        <v>1</v>
      </c>
      <c r="H1994" s="23">
        <v>1</v>
      </c>
      <c r="I1994" s="23">
        <v>1</v>
      </c>
      <c r="J1994" s="23">
        <v>2</v>
      </c>
      <c r="K1994" s="23">
        <v>3</v>
      </c>
      <c r="L1994" s="24">
        <f t="shared" si="60"/>
        <v>1.0195048044558224</v>
      </c>
      <c r="M1994" s="20"/>
    </row>
    <row r="1995" spans="1:13" x14ac:dyDescent="0.2">
      <c r="A1995" s="48" t="s">
        <v>147</v>
      </c>
      <c r="B1995" s="12" t="s">
        <v>57</v>
      </c>
      <c r="C1995" s="30" t="s">
        <v>94</v>
      </c>
      <c r="D1995" s="21">
        <v>1.105302774059796</v>
      </c>
      <c r="E1995" s="15" t="s">
        <v>148</v>
      </c>
      <c r="F1995" s="16" t="s">
        <v>16</v>
      </c>
      <c r="G1995" s="22">
        <v>1</v>
      </c>
      <c r="H1995" s="23">
        <v>1</v>
      </c>
      <c r="I1995" s="23">
        <v>1</v>
      </c>
      <c r="J1995" s="23">
        <v>2</v>
      </c>
      <c r="K1995" s="23">
        <v>3</v>
      </c>
      <c r="L1995" s="25">
        <f t="shared" si="60"/>
        <v>1.0195048044558224</v>
      </c>
      <c r="M1995" s="20"/>
    </row>
    <row r="1996" spans="1:13" x14ac:dyDescent="0.2">
      <c r="A1996" s="48" t="s">
        <v>147</v>
      </c>
      <c r="B1996" s="12" t="s">
        <v>59</v>
      </c>
      <c r="C1996" s="30" t="s">
        <v>94</v>
      </c>
      <c r="D1996" s="21">
        <v>1.66316130338265</v>
      </c>
      <c r="E1996" s="15" t="s">
        <v>148</v>
      </c>
      <c r="F1996" s="16" t="s">
        <v>16</v>
      </c>
      <c r="G1996" s="22">
        <v>1</v>
      </c>
      <c r="H1996" s="23">
        <v>1</v>
      </c>
      <c r="I1996" s="23">
        <v>1</v>
      </c>
      <c r="J1996" s="23">
        <v>2</v>
      </c>
      <c r="K1996" s="23">
        <v>3</v>
      </c>
      <c r="L1996" s="25">
        <f t="shared" si="60"/>
        <v>1.0195048044558224</v>
      </c>
      <c r="M1996" s="20"/>
    </row>
    <row r="1997" spans="1:13" x14ac:dyDescent="0.2">
      <c r="A1997" s="48" t="s">
        <v>147</v>
      </c>
      <c r="B1997" s="12" t="s">
        <v>60</v>
      </c>
      <c r="C1997" s="30" t="s">
        <v>94</v>
      </c>
      <c r="D1997" s="21">
        <v>8.7826310198980604</v>
      </c>
      <c r="E1997" s="15" t="s">
        <v>148</v>
      </c>
      <c r="F1997" s="16" t="s">
        <v>16</v>
      </c>
      <c r="G1997" s="22">
        <v>1</v>
      </c>
      <c r="H1997" s="23">
        <v>2</v>
      </c>
      <c r="I1997" s="23">
        <v>1</v>
      </c>
      <c r="J1997" s="23">
        <v>2</v>
      </c>
      <c r="K1997" s="23">
        <v>3</v>
      </c>
      <c r="L1997" s="24">
        <f t="shared" si="60"/>
        <v>1.0248662490928169</v>
      </c>
      <c r="M1997" s="20"/>
    </row>
    <row r="1998" spans="1:13" x14ac:dyDescent="0.2">
      <c r="A1998" s="48" t="s">
        <v>147</v>
      </c>
      <c r="B1998" s="12" t="s">
        <v>13</v>
      </c>
      <c r="C1998" s="31" t="s">
        <v>96</v>
      </c>
      <c r="D1998" s="21">
        <v>20.530578211818501</v>
      </c>
      <c r="E1998" s="15" t="s">
        <v>148</v>
      </c>
      <c r="F1998" s="16" t="s">
        <v>16</v>
      </c>
      <c r="G1998" s="22">
        <v>1</v>
      </c>
      <c r="H1998" s="23">
        <v>1</v>
      </c>
      <c r="I1998" s="23">
        <v>1</v>
      </c>
      <c r="J1998" s="23">
        <v>2</v>
      </c>
      <c r="K1998" s="23">
        <v>3</v>
      </c>
      <c r="L1998" s="25">
        <f t="shared" si="60"/>
        <v>1.0195048044558224</v>
      </c>
      <c r="M1998" s="20"/>
    </row>
    <row r="1999" spans="1:13" x14ac:dyDescent="0.2">
      <c r="A1999" s="48" t="s">
        <v>147</v>
      </c>
      <c r="B1999" s="12" t="s">
        <v>18</v>
      </c>
      <c r="C1999" s="31" t="s">
        <v>96</v>
      </c>
      <c r="D1999" s="21">
        <v>27.673202383366519</v>
      </c>
      <c r="E1999" s="15" t="s">
        <v>148</v>
      </c>
      <c r="F1999" s="16" t="s">
        <v>16</v>
      </c>
      <c r="G1999" s="22">
        <v>1</v>
      </c>
      <c r="H1999" s="23">
        <v>1</v>
      </c>
      <c r="I1999" s="23">
        <v>1</v>
      </c>
      <c r="J1999" s="23">
        <v>2</v>
      </c>
      <c r="K1999" s="23">
        <v>3</v>
      </c>
      <c r="L1999" s="25">
        <f t="shared" si="60"/>
        <v>1.0195048044558224</v>
      </c>
      <c r="M1999" s="20"/>
    </row>
    <row r="2000" spans="1:13" x14ac:dyDescent="0.2">
      <c r="A2000" s="48" t="s">
        <v>147</v>
      </c>
      <c r="B2000" s="12" t="s">
        <v>20</v>
      </c>
      <c r="C2000" s="31" t="s">
        <v>96</v>
      </c>
      <c r="D2000" s="21">
        <v>10.500431165124789</v>
      </c>
      <c r="E2000" s="15" t="s">
        <v>148</v>
      </c>
      <c r="F2000" s="16" t="s">
        <v>16</v>
      </c>
      <c r="G2000" s="22">
        <v>1</v>
      </c>
      <c r="H2000" s="23">
        <v>1</v>
      </c>
      <c r="I2000" s="23">
        <v>1</v>
      </c>
      <c r="J2000" s="23">
        <v>2</v>
      </c>
      <c r="K2000" s="23">
        <v>3</v>
      </c>
      <c r="L2000" s="25">
        <f t="shared" si="60"/>
        <v>1.0195048044558224</v>
      </c>
      <c r="M2000" s="20"/>
    </row>
    <row r="2001" spans="1:13" x14ac:dyDescent="0.2">
      <c r="A2001" s="48" t="s">
        <v>147</v>
      </c>
      <c r="B2001" s="12" t="s">
        <v>22</v>
      </c>
      <c r="C2001" s="31" t="s">
        <v>96</v>
      </c>
      <c r="D2001" s="21">
        <v>4.5512555082491692</v>
      </c>
      <c r="E2001" s="15" t="s">
        <v>148</v>
      </c>
      <c r="F2001" s="16" t="s">
        <v>16</v>
      </c>
      <c r="G2001" s="22">
        <v>1</v>
      </c>
      <c r="H2001" s="23">
        <v>1</v>
      </c>
      <c r="I2001" s="23">
        <v>1</v>
      </c>
      <c r="J2001" s="23">
        <v>2</v>
      </c>
      <c r="K2001" s="23">
        <v>3</v>
      </c>
      <c r="L2001" s="25">
        <f t="shared" si="60"/>
        <v>1.0195048044558224</v>
      </c>
      <c r="M2001" s="20"/>
    </row>
    <row r="2002" spans="1:13" x14ac:dyDescent="0.2">
      <c r="A2002" s="48" t="s">
        <v>147</v>
      </c>
      <c r="B2002" s="12" t="s">
        <v>23</v>
      </c>
      <c r="C2002" s="31" t="s">
        <v>96</v>
      </c>
      <c r="D2002" s="21">
        <v>1.25819433765999</v>
      </c>
      <c r="E2002" s="15" t="s">
        <v>148</v>
      </c>
      <c r="F2002" s="16" t="s">
        <v>16</v>
      </c>
      <c r="G2002" s="22">
        <v>1</v>
      </c>
      <c r="H2002" s="23">
        <v>1</v>
      </c>
      <c r="I2002" s="23">
        <v>1</v>
      </c>
      <c r="J2002" s="23">
        <v>2</v>
      </c>
      <c r="K2002" s="23">
        <v>3</v>
      </c>
      <c r="L2002" s="25">
        <f t="shared" si="60"/>
        <v>1.0195048044558224</v>
      </c>
      <c r="M2002" s="20"/>
    </row>
    <row r="2003" spans="1:13" x14ac:dyDescent="0.2">
      <c r="A2003" s="48" t="s">
        <v>147</v>
      </c>
      <c r="B2003" s="12" t="s">
        <v>24</v>
      </c>
      <c r="C2003" s="31" t="s">
        <v>96</v>
      </c>
      <c r="D2003" s="21">
        <v>18.174099502818859</v>
      </c>
      <c r="E2003" s="15" t="s">
        <v>148</v>
      </c>
      <c r="F2003" s="16" t="s">
        <v>16</v>
      </c>
      <c r="G2003" s="22">
        <v>1</v>
      </c>
      <c r="H2003" s="23">
        <v>1</v>
      </c>
      <c r="I2003" s="23">
        <v>1</v>
      </c>
      <c r="J2003" s="23">
        <v>2</v>
      </c>
      <c r="K2003" s="23">
        <v>3</v>
      </c>
      <c r="L2003" s="25">
        <f t="shared" si="60"/>
        <v>1.0195048044558224</v>
      </c>
      <c r="M2003" s="20"/>
    </row>
    <row r="2004" spans="1:13" x14ac:dyDescent="0.2">
      <c r="A2004" s="48" t="s">
        <v>147</v>
      </c>
      <c r="B2004" s="12" t="s">
        <v>25</v>
      </c>
      <c r="C2004" s="31" t="s">
        <v>96</v>
      </c>
      <c r="D2004" s="21">
        <v>15.7201522370944</v>
      </c>
      <c r="E2004" s="15" t="s">
        <v>148</v>
      </c>
      <c r="F2004" s="16" t="s">
        <v>16</v>
      </c>
      <c r="G2004" s="22">
        <v>1</v>
      </c>
      <c r="H2004" s="23">
        <v>1</v>
      </c>
      <c r="I2004" s="23">
        <v>1</v>
      </c>
      <c r="J2004" s="23">
        <v>2</v>
      </c>
      <c r="K2004" s="23">
        <v>3</v>
      </c>
      <c r="L2004" s="25">
        <f t="shared" si="60"/>
        <v>1.0195048044558224</v>
      </c>
      <c r="M2004" s="20"/>
    </row>
    <row r="2005" spans="1:13" x14ac:dyDescent="0.2">
      <c r="A2005" s="48" t="s">
        <v>147</v>
      </c>
      <c r="B2005" s="12" t="s">
        <v>26</v>
      </c>
      <c r="C2005" s="31" t="s">
        <v>96</v>
      </c>
      <c r="D2005" s="21">
        <v>3.6836296715071768</v>
      </c>
      <c r="E2005" s="15" t="s">
        <v>148</v>
      </c>
      <c r="F2005" s="16" t="s">
        <v>16</v>
      </c>
      <c r="G2005" s="22">
        <v>1</v>
      </c>
      <c r="H2005" s="23">
        <v>1</v>
      </c>
      <c r="I2005" s="23">
        <v>1</v>
      </c>
      <c r="J2005" s="23">
        <v>2</v>
      </c>
      <c r="K2005" s="23">
        <v>3</v>
      </c>
      <c r="L2005" s="25">
        <f t="shared" ref="L2005:L2036" si="61">IF( OR( ISBLANK(G2005),ISBLANK(H2005), ISBLANK(I2005), ISBLANK(J2005), ISBLANK(K2005) ), "", 1.5*SQRT( EXP(2.21*(G2005-1)) + EXP(2.21*(H2005-1)) + EXP(2.21*(I2005-1)) + EXP(2.21*(J2005-1)) + EXP(2.21*K2005) )/100*2.45 )</f>
        <v>1.0195048044558224</v>
      </c>
      <c r="M2005" s="20"/>
    </row>
    <row r="2006" spans="1:13" x14ac:dyDescent="0.2">
      <c r="A2006" s="48" t="s">
        <v>147</v>
      </c>
      <c r="B2006" s="12" t="s">
        <v>27</v>
      </c>
      <c r="C2006" s="31" t="s">
        <v>96</v>
      </c>
      <c r="D2006" s="21">
        <v>10.791782920536701</v>
      </c>
      <c r="E2006" s="15" t="s">
        <v>148</v>
      </c>
      <c r="F2006" s="16" t="s">
        <v>16</v>
      </c>
      <c r="G2006" s="22">
        <v>1</v>
      </c>
      <c r="H2006" s="23">
        <v>1</v>
      </c>
      <c r="I2006" s="23">
        <v>1</v>
      </c>
      <c r="J2006" s="23">
        <v>2</v>
      </c>
      <c r="K2006" s="23">
        <v>3</v>
      </c>
      <c r="L2006" s="25">
        <f t="shared" si="61"/>
        <v>1.0195048044558224</v>
      </c>
      <c r="M2006" s="20"/>
    </row>
    <row r="2007" spans="1:13" x14ac:dyDescent="0.2">
      <c r="A2007" s="48" t="s">
        <v>147</v>
      </c>
      <c r="B2007" s="12" t="s">
        <v>28</v>
      </c>
      <c r="C2007" s="31" t="s">
        <v>96</v>
      </c>
      <c r="D2007" s="21">
        <v>147.45901269490361</v>
      </c>
      <c r="E2007" s="15" t="s">
        <v>148</v>
      </c>
      <c r="F2007" s="16" t="s">
        <v>16</v>
      </c>
      <c r="G2007" s="22">
        <v>1</v>
      </c>
      <c r="H2007" s="23">
        <v>1</v>
      </c>
      <c r="I2007" s="23">
        <v>1</v>
      </c>
      <c r="J2007" s="23">
        <v>2</v>
      </c>
      <c r="K2007" s="23">
        <v>3</v>
      </c>
      <c r="L2007" s="25">
        <f t="shared" si="61"/>
        <v>1.0195048044558224</v>
      </c>
      <c r="M2007" s="20"/>
    </row>
    <row r="2008" spans="1:13" x14ac:dyDescent="0.2">
      <c r="A2008" s="48" t="s">
        <v>147</v>
      </c>
      <c r="B2008" s="12" t="s">
        <v>30</v>
      </c>
      <c r="C2008" s="31" t="s">
        <v>96</v>
      </c>
      <c r="D2008" s="21">
        <v>260.15013937983889</v>
      </c>
      <c r="E2008" s="15" t="s">
        <v>148</v>
      </c>
      <c r="F2008" s="16" t="s">
        <v>16</v>
      </c>
      <c r="G2008" s="22">
        <v>1</v>
      </c>
      <c r="H2008" s="23">
        <v>1</v>
      </c>
      <c r="I2008" s="23">
        <v>1</v>
      </c>
      <c r="J2008" s="23">
        <v>2</v>
      </c>
      <c r="K2008" s="23">
        <v>3</v>
      </c>
      <c r="L2008" s="24">
        <f t="shared" si="61"/>
        <v>1.0195048044558224</v>
      </c>
      <c r="M2008" s="20"/>
    </row>
    <row r="2009" spans="1:13" x14ac:dyDescent="0.2">
      <c r="A2009" s="48" t="s">
        <v>147</v>
      </c>
      <c r="B2009" s="12" t="s">
        <v>32</v>
      </c>
      <c r="C2009" s="31" t="s">
        <v>96</v>
      </c>
      <c r="D2009" s="21">
        <v>19.035410151746682</v>
      </c>
      <c r="E2009" s="15" t="s">
        <v>148</v>
      </c>
      <c r="F2009" s="16" t="s">
        <v>16</v>
      </c>
      <c r="G2009" s="22">
        <v>1</v>
      </c>
      <c r="H2009" s="23">
        <v>1</v>
      </c>
      <c r="I2009" s="23">
        <v>1</v>
      </c>
      <c r="J2009" s="23">
        <v>2</v>
      </c>
      <c r="K2009" s="23">
        <v>3</v>
      </c>
      <c r="L2009" s="25">
        <f t="shared" si="61"/>
        <v>1.0195048044558224</v>
      </c>
      <c r="M2009" s="20"/>
    </row>
    <row r="2010" spans="1:13" x14ac:dyDescent="0.2">
      <c r="A2010" s="48" t="s">
        <v>147</v>
      </c>
      <c r="B2010" s="12" t="s">
        <v>34</v>
      </c>
      <c r="C2010" s="31" t="s">
        <v>96</v>
      </c>
      <c r="D2010" s="21">
        <v>31.867919596163169</v>
      </c>
      <c r="E2010" s="15" t="s">
        <v>148</v>
      </c>
      <c r="F2010" s="16" t="s">
        <v>16</v>
      </c>
      <c r="G2010" s="22">
        <v>1</v>
      </c>
      <c r="H2010" s="23">
        <v>1</v>
      </c>
      <c r="I2010" s="23">
        <v>1</v>
      </c>
      <c r="J2010" s="23">
        <v>2</v>
      </c>
      <c r="K2010" s="23">
        <v>3</v>
      </c>
      <c r="L2010" s="25">
        <f t="shared" si="61"/>
        <v>1.0195048044558224</v>
      </c>
      <c r="M2010" s="20"/>
    </row>
    <row r="2011" spans="1:13" x14ac:dyDescent="0.2">
      <c r="A2011" s="48" t="s">
        <v>147</v>
      </c>
      <c r="B2011" s="12" t="s">
        <v>36</v>
      </c>
      <c r="C2011" s="31" t="s">
        <v>96</v>
      </c>
      <c r="D2011" s="21">
        <v>20.973056671851111</v>
      </c>
      <c r="E2011" s="15" t="s">
        <v>148</v>
      </c>
      <c r="F2011" s="16" t="s">
        <v>16</v>
      </c>
      <c r="G2011" s="22">
        <v>1</v>
      </c>
      <c r="H2011" s="23">
        <v>1</v>
      </c>
      <c r="I2011" s="23">
        <v>1</v>
      </c>
      <c r="J2011" s="23">
        <v>2</v>
      </c>
      <c r="K2011" s="23">
        <v>3</v>
      </c>
      <c r="L2011" s="25">
        <f t="shared" si="61"/>
        <v>1.0195048044558224</v>
      </c>
      <c r="M2011" s="20"/>
    </row>
    <row r="2012" spans="1:13" x14ac:dyDescent="0.2">
      <c r="A2012" s="48" t="s">
        <v>147</v>
      </c>
      <c r="B2012" s="12" t="s">
        <v>37</v>
      </c>
      <c r="C2012" s="31" t="s">
        <v>96</v>
      </c>
      <c r="D2012" s="21">
        <v>137.09156583010471</v>
      </c>
      <c r="E2012" s="15" t="s">
        <v>148</v>
      </c>
      <c r="F2012" s="16" t="s">
        <v>16</v>
      </c>
      <c r="G2012" s="22">
        <v>1</v>
      </c>
      <c r="H2012" s="23">
        <v>1</v>
      </c>
      <c r="I2012" s="23">
        <v>1</v>
      </c>
      <c r="J2012" s="23">
        <v>2</v>
      </c>
      <c r="K2012" s="23">
        <v>3</v>
      </c>
      <c r="L2012" s="24">
        <f t="shared" si="61"/>
        <v>1.0195048044558224</v>
      </c>
      <c r="M2012" s="20"/>
    </row>
    <row r="2013" spans="1:13" x14ac:dyDescent="0.2">
      <c r="A2013" s="48" t="s">
        <v>147</v>
      </c>
      <c r="B2013" s="12" t="s">
        <v>39</v>
      </c>
      <c r="C2013" s="31" t="s">
        <v>96</v>
      </c>
      <c r="D2013" s="21">
        <v>3.2236879766554511</v>
      </c>
      <c r="E2013" s="15" t="s">
        <v>148</v>
      </c>
      <c r="F2013" s="16" t="s">
        <v>16</v>
      </c>
      <c r="G2013" s="22">
        <v>1</v>
      </c>
      <c r="H2013" s="23">
        <v>1</v>
      </c>
      <c r="I2013" s="23">
        <v>1</v>
      </c>
      <c r="J2013" s="23">
        <v>2</v>
      </c>
      <c r="K2013" s="23">
        <v>3</v>
      </c>
      <c r="L2013" s="25">
        <f t="shared" si="61"/>
        <v>1.0195048044558224</v>
      </c>
      <c r="M2013" s="20"/>
    </row>
    <row r="2014" spans="1:13" x14ac:dyDescent="0.2">
      <c r="A2014" s="48" t="s">
        <v>147</v>
      </c>
      <c r="B2014" s="12" t="s">
        <v>40</v>
      </c>
      <c r="C2014" s="31" t="s">
        <v>96</v>
      </c>
      <c r="D2014" s="21">
        <v>5.9191351839477164</v>
      </c>
      <c r="E2014" s="15" t="s">
        <v>148</v>
      </c>
      <c r="F2014" s="16" t="s">
        <v>16</v>
      </c>
      <c r="G2014" s="22">
        <v>1</v>
      </c>
      <c r="H2014" s="23">
        <v>1</v>
      </c>
      <c r="I2014" s="23">
        <v>1</v>
      </c>
      <c r="J2014" s="23">
        <v>2</v>
      </c>
      <c r="K2014" s="23">
        <v>3</v>
      </c>
      <c r="L2014" s="25">
        <f t="shared" si="61"/>
        <v>1.0195048044558224</v>
      </c>
      <c r="M2014" s="20"/>
    </row>
    <row r="2015" spans="1:13" x14ac:dyDescent="0.2">
      <c r="A2015" s="48" t="s">
        <v>147</v>
      </c>
      <c r="B2015" s="12" t="s">
        <v>41</v>
      </c>
      <c r="C2015" s="31" t="s">
        <v>96</v>
      </c>
      <c r="D2015" s="21">
        <v>1.6821725452536931</v>
      </c>
      <c r="E2015" s="15" t="s">
        <v>148</v>
      </c>
      <c r="F2015" s="16" t="s">
        <v>16</v>
      </c>
      <c r="G2015" s="22">
        <v>1</v>
      </c>
      <c r="H2015" s="23">
        <v>1</v>
      </c>
      <c r="I2015" s="23">
        <v>1</v>
      </c>
      <c r="J2015" s="23">
        <v>2</v>
      </c>
      <c r="K2015" s="23">
        <v>3</v>
      </c>
      <c r="L2015" s="25">
        <f t="shared" si="61"/>
        <v>1.0195048044558224</v>
      </c>
      <c r="M2015" s="20"/>
    </row>
    <row r="2016" spans="1:13" x14ac:dyDescent="0.2">
      <c r="A2016" s="48" t="s">
        <v>147</v>
      </c>
      <c r="B2016" s="12" t="s">
        <v>42</v>
      </c>
      <c r="C2016" s="31" t="s">
        <v>96</v>
      </c>
      <c r="D2016" s="21">
        <v>0.97055269031009828</v>
      </c>
      <c r="E2016" s="15" t="s">
        <v>148</v>
      </c>
      <c r="F2016" s="16" t="s">
        <v>16</v>
      </c>
      <c r="G2016" s="22">
        <v>1</v>
      </c>
      <c r="H2016" s="23">
        <v>1</v>
      </c>
      <c r="I2016" s="23">
        <v>1</v>
      </c>
      <c r="J2016" s="23">
        <v>2</v>
      </c>
      <c r="K2016" s="23">
        <v>3</v>
      </c>
      <c r="L2016" s="25">
        <f t="shared" si="61"/>
        <v>1.0195048044558224</v>
      </c>
      <c r="M2016" s="20"/>
    </row>
    <row r="2017" spans="1:13" x14ac:dyDescent="0.2">
      <c r="A2017" s="48" t="s">
        <v>147</v>
      </c>
      <c r="B2017" s="12" t="s">
        <v>43</v>
      </c>
      <c r="C2017" s="31" t="s">
        <v>96</v>
      </c>
      <c r="D2017" s="21">
        <v>44.934868538604178</v>
      </c>
      <c r="E2017" s="15" t="s">
        <v>148</v>
      </c>
      <c r="F2017" s="16" t="s">
        <v>16</v>
      </c>
      <c r="G2017" s="22">
        <v>1</v>
      </c>
      <c r="H2017" s="23">
        <v>1</v>
      </c>
      <c r="I2017" s="23">
        <v>1</v>
      </c>
      <c r="J2017" s="23">
        <v>2</v>
      </c>
      <c r="K2017" s="23">
        <v>3</v>
      </c>
      <c r="L2017" s="25">
        <f t="shared" si="61"/>
        <v>1.0195048044558224</v>
      </c>
      <c r="M2017" s="20"/>
    </row>
    <row r="2018" spans="1:13" x14ac:dyDescent="0.2">
      <c r="A2018" s="48" t="s">
        <v>147</v>
      </c>
      <c r="B2018" s="12" t="s">
        <v>45</v>
      </c>
      <c r="C2018" s="31" t="s">
        <v>96</v>
      </c>
      <c r="D2018" s="21">
        <v>17.019020335450801</v>
      </c>
      <c r="E2018" s="15" t="s">
        <v>148</v>
      </c>
      <c r="F2018" s="16" t="s">
        <v>16</v>
      </c>
      <c r="G2018" s="22">
        <v>1</v>
      </c>
      <c r="H2018" s="23">
        <v>1</v>
      </c>
      <c r="I2018" s="23">
        <v>1</v>
      </c>
      <c r="J2018" s="23">
        <v>2</v>
      </c>
      <c r="K2018" s="23">
        <v>3</v>
      </c>
      <c r="L2018" s="25">
        <f t="shared" si="61"/>
        <v>1.0195048044558224</v>
      </c>
      <c r="M2018" s="20"/>
    </row>
    <row r="2019" spans="1:13" x14ac:dyDescent="0.2">
      <c r="A2019" s="48" t="s">
        <v>147</v>
      </c>
      <c r="B2019" s="12" t="s">
        <v>46</v>
      </c>
      <c r="C2019" s="31" t="s">
        <v>96</v>
      </c>
      <c r="D2019" s="21">
        <v>77.447166467382544</v>
      </c>
      <c r="E2019" s="15" t="s">
        <v>148</v>
      </c>
      <c r="F2019" s="16" t="s">
        <v>16</v>
      </c>
      <c r="G2019" s="22">
        <v>1</v>
      </c>
      <c r="H2019" s="23">
        <v>1</v>
      </c>
      <c r="I2019" s="23">
        <v>1</v>
      </c>
      <c r="J2019" s="23">
        <v>2</v>
      </c>
      <c r="K2019" s="23">
        <v>3</v>
      </c>
      <c r="L2019" s="24">
        <f t="shared" si="61"/>
        <v>1.0195048044558224</v>
      </c>
      <c r="M2019" s="20"/>
    </row>
    <row r="2020" spans="1:13" x14ac:dyDescent="0.2">
      <c r="A2020" s="48" t="s">
        <v>147</v>
      </c>
      <c r="B2020" s="12" t="s">
        <v>48</v>
      </c>
      <c r="C2020" s="31" t="s">
        <v>96</v>
      </c>
      <c r="D2020" s="21">
        <v>28.53194403967801</v>
      </c>
      <c r="E2020" s="15" t="s">
        <v>148</v>
      </c>
      <c r="F2020" s="16" t="s">
        <v>16</v>
      </c>
      <c r="G2020" s="22">
        <v>1</v>
      </c>
      <c r="H2020" s="23">
        <v>1</v>
      </c>
      <c r="I2020" s="23">
        <v>1</v>
      </c>
      <c r="J2020" s="23">
        <v>2</v>
      </c>
      <c r="K2020" s="23">
        <v>3</v>
      </c>
      <c r="L2020" s="25">
        <f t="shared" si="61"/>
        <v>1.0195048044558224</v>
      </c>
      <c r="M2020" s="20"/>
    </row>
    <row r="2021" spans="1:13" x14ac:dyDescent="0.2">
      <c r="A2021" s="48" t="s">
        <v>147</v>
      </c>
      <c r="B2021" s="12" t="s">
        <v>50</v>
      </c>
      <c r="C2021" s="31" t="s">
        <v>96</v>
      </c>
      <c r="D2021" s="21">
        <v>33.15454167767021</v>
      </c>
      <c r="E2021" s="15" t="s">
        <v>148</v>
      </c>
      <c r="F2021" s="16" t="s">
        <v>16</v>
      </c>
      <c r="G2021" s="22">
        <v>1</v>
      </c>
      <c r="H2021" s="23">
        <v>1</v>
      </c>
      <c r="I2021" s="23">
        <v>1</v>
      </c>
      <c r="J2021" s="23">
        <v>2</v>
      </c>
      <c r="K2021" s="23">
        <v>3</v>
      </c>
      <c r="L2021" s="25">
        <f t="shared" si="61"/>
        <v>1.0195048044558224</v>
      </c>
      <c r="M2021" s="20"/>
    </row>
    <row r="2022" spans="1:13" x14ac:dyDescent="0.2">
      <c r="A2022" s="48" t="s">
        <v>147</v>
      </c>
      <c r="B2022" s="12" t="s">
        <v>52</v>
      </c>
      <c r="C2022" s="31" t="s">
        <v>96</v>
      </c>
      <c r="D2022" s="21">
        <v>8.814002617500627</v>
      </c>
      <c r="E2022" s="15" t="s">
        <v>148</v>
      </c>
      <c r="F2022" s="16" t="s">
        <v>16</v>
      </c>
      <c r="G2022" s="22">
        <v>1</v>
      </c>
      <c r="H2022" s="23">
        <v>1</v>
      </c>
      <c r="I2022" s="23">
        <v>1</v>
      </c>
      <c r="J2022" s="23">
        <v>2</v>
      </c>
      <c r="K2022" s="23">
        <v>3</v>
      </c>
      <c r="L2022" s="25">
        <f t="shared" si="61"/>
        <v>1.0195048044558224</v>
      </c>
      <c r="M2022" s="20"/>
    </row>
    <row r="2023" spans="1:13" x14ac:dyDescent="0.2">
      <c r="A2023" s="48" t="s">
        <v>147</v>
      </c>
      <c r="B2023" s="12" t="s">
        <v>54</v>
      </c>
      <c r="C2023" s="31" t="s">
        <v>96</v>
      </c>
      <c r="D2023" s="21">
        <v>3.4120148052224128</v>
      </c>
      <c r="E2023" s="15" t="s">
        <v>148</v>
      </c>
      <c r="F2023" s="16" t="s">
        <v>16</v>
      </c>
      <c r="G2023" s="22">
        <v>1</v>
      </c>
      <c r="H2023" s="23">
        <v>1</v>
      </c>
      <c r="I2023" s="23">
        <v>1</v>
      </c>
      <c r="J2023" s="23">
        <v>2</v>
      </c>
      <c r="K2023" s="23">
        <v>3</v>
      </c>
      <c r="L2023" s="25">
        <f t="shared" si="61"/>
        <v>1.0195048044558224</v>
      </c>
      <c r="M2023" s="20"/>
    </row>
    <row r="2024" spans="1:13" x14ac:dyDescent="0.2">
      <c r="A2024" s="48" t="s">
        <v>147</v>
      </c>
      <c r="B2024" s="12" t="s">
        <v>55</v>
      </c>
      <c r="C2024" s="31" t="s">
        <v>96</v>
      </c>
      <c r="D2024" s="21">
        <v>104.6141310068071</v>
      </c>
      <c r="E2024" s="15" t="s">
        <v>148</v>
      </c>
      <c r="F2024" s="16" t="s">
        <v>16</v>
      </c>
      <c r="G2024" s="22">
        <v>1</v>
      </c>
      <c r="H2024" s="23">
        <v>1</v>
      </c>
      <c r="I2024" s="23">
        <v>1</v>
      </c>
      <c r="J2024" s="23">
        <v>2</v>
      </c>
      <c r="K2024" s="23">
        <v>3</v>
      </c>
      <c r="L2024" s="24">
        <f t="shared" si="61"/>
        <v>1.0195048044558224</v>
      </c>
      <c r="M2024" s="20"/>
    </row>
    <row r="2025" spans="1:13" x14ac:dyDescent="0.2">
      <c r="A2025" s="48" t="s">
        <v>147</v>
      </c>
      <c r="B2025" s="12" t="s">
        <v>57</v>
      </c>
      <c r="C2025" s="31" t="s">
        <v>96</v>
      </c>
      <c r="D2025" s="21">
        <v>17.061587967613381</v>
      </c>
      <c r="E2025" s="15" t="s">
        <v>148</v>
      </c>
      <c r="F2025" s="16" t="s">
        <v>16</v>
      </c>
      <c r="G2025" s="22">
        <v>1</v>
      </c>
      <c r="H2025" s="23">
        <v>1</v>
      </c>
      <c r="I2025" s="23">
        <v>1</v>
      </c>
      <c r="J2025" s="23">
        <v>2</v>
      </c>
      <c r="K2025" s="23">
        <v>3</v>
      </c>
      <c r="L2025" s="25">
        <f t="shared" si="61"/>
        <v>1.0195048044558224</v>
      </c>
      <c r="M2025" s="20"/>
    </row>
    <row r="2026" spans="1:13" x14ac:dyDescent="0.2">
      <c r="A2026" s="48" t="s">
        <v>147</v>
      </c>
      <c r="B2026" s="12" t="s">
        <v>59</v>
      </c>
      <c r="C2026" s="31" t="s">
        <v>96</v>
      </c>
      <c r="D2026" s="21">
        <v>25.672760032771329</v>
      </c>
      <c r="E2026" s="15" t="s">
        <v>148</v>
      </c>
      <c r="F2026" s="16" t="s">
        <v>16</v>
      </c>
      <c r="G2026" s="22">
        <v>1</v>
      </c>
      <c r="H2026" s="23">
        <v>1</v>
      </c>
      <c r="I2026" s="23">
        <v>1</v>
      </c>
      <c r="J2026" s="23">
        <v>2</v>
      </c>
      <c r="K2026" s="23">
        <v>3</v>
      </c>
      <c r="L2026" s="25">
        <f t="shared" si="61"/>
        <v>1.0195048044558224</v>
      </c>
      <c r="M2026" s="20"/>
    </row>
    <row r="2027" spans="1:13" x14ac:dyDescent="0.2">
      <c r="A2027" s="48" t="s">
        <v>147</v>
      </c>
      <c r="B2027" s="12" t="s">
        <v>60</v>
      </c>
      <c r="C2027" s="31" t="s">
        <v>96</v>
      </c>
      <c r="D2027" s="21">
        <v>135.5697599334662</v>
      </c>
      <c r="E2027" s="15" t="s">
        <v>148</v>
      </c>
      <c r="F2027" s="16" t="s">
        <v>16</v>
      </c>
      <c r="G2027" s="22">
        <v>1</v>
      </c>
      <c r="H2027" s="23">
        <v>2</v>
      </c>
      <c r="I2027" s="23">
        <v>1</v>
      </c>
      <c r="J2027" s="23">
        <v>2</v>
      </c>
      <c r="K2027" s="23">
        <v>3</v>
      </c>
      <c r="L2027" s="24">
        <f t="shared" si="61"/>
        <v>1.0248662490928169</v>
      </c>
      <c r="M2027" s="20"/>
    </row>
    <row r="2028" spans="1:13" x14ac:dyDescent="0.2">
      <c r="A2028" s="48" t="s">
        <v>147</v>
      </c>
      <c r="B2028" s="12" t="s">
        <v>13</v>
      </c>
      <c r="C2028" s="32" t="s">
        <v>98</v>
      </c>
      <c r="D2028" s="21">
        <v>1.942287149765356</v>
      </c>
      <c r="E2028" s="15" t="s">
        <v>148</v>
      </c>
      <c r="F2028" s="16" t="s">
        <v>16</v>
      </c>
      <c r="G2028" s="22">
        <v>1</v>
      </c>
      <c r="H2028" s="23">
        <v>1</v>
      </c>
      <c r="I2028" s="23">
        <v>1</v>
      </c>
      <c r="J2028" s="23">
        <v>2</v>
      </c>
      <c r="K2028" s="23">
        <v>3</v>
      </c>
      <c r="L2028" s="25">
        <f t="shared" si="61"/>
        <v>1.0195048044558224</v>
      </c>
      <c r="M2028" s="20"/>
    </row>
    <row r="2029" spans="1:13" x14ac:dyDescent="0.2">
      <c r="A2029" s="48" t="s">
        <v>147</v>
      </c>
      <c r="B2029" s="12" t="s">
        <v>18</v>
      </c>
      <c r="C2029" s="32" t="s">
        <v>98</v>
      </c>
      <c r="D2029" s="21">
        <v>2.618012256037086</v>
      </c>
      <c r="E2029" s="15" t="s">
        <v>148</v>
      </c>
      <c r="F2029" s="16" t="s">
        <v>16</v>
      </c>
      <c r="G2029" s="22">
        <v>1</v>
      </c>
      <c r="H2029" s="23">
        <v>1</v>
      </c>
      <c r="I2029" s="23">
        <v>1</v>
      </c>
      <c r="J2029" s="23">
        <v>2</v>
      </c>
      <c r="K2029" s="23">
        <v>3</v>
      </c>
      <c r="L2029" s="25">
        <f t="shared" si="61"/>
        <v>1.0195048044558224</v>
      </c>
      <c r="M2029" s="20"/>
    </row>
    <row r="2030" spans="1:13" x14ac:dyDescent="0.2">
      <c r="A2030" s="48" t="s">
        <v>147</v>
      </c>
      <c r="B2030" s="12" t="s">
        <v>20</v>
      </c>
      <c r="C2030" s="32" t="s">
        <v>98</v>
      </c>
      <c r="D2030" s="21">
        <v>0.99338909545553666</v>
      </c>
      <c r="E2030" s="15" t="s">
        <v>148</v>
      </c>
      <c r="F2030" s="16" t="s">
        <v>16</v>
      </c>
      <c r="G2030" s="22">
        <v>1</v>
      </c>
      <c r="H2030" s="23">
        <v>1</v>
      </c>
      <c r="I2030" s="23">
        <v>1</v>
      </c>
      <c r="J2030" s="23">
        <v>2</v>
      </c>
      <c r="K2030" s="23">
        <v>3</v>
      </c>
      <c r="L2030" s="25">
        <f t="shared" si="61"/>
        <v>1.0195048044558224</v>
      </c>
      <c r="M2030" s="20"/>
    </row>
    <row r="2031" spans="1:13" x14ac:dyDescent="0.2">
      <c r="A2031" s="48" t="s">
        <v>147</v>
      </c>
      <c r="B2031" s="12" t="s">
        <v>22</v>
      </c>
      <c r="C2031" s="32" t="s">
        <v>98</v>
      </c>
      <c r="D2031" s="21">
        <v>0.43056970913183851</v>
      </c>
      <c r="E2031" s="15" t="s">
        <v>148</v>
      </c>
      <c r="F2031" s="16" t="s">
        <v>16</v>
      </c>
      <c r="G2031" s="22">
        <v>1</v>
      </c>
      <c r="H2031" s="23">
        <v>1</v>
      </c>
      <c r="I2031" s="23">
        <v>1</v>
      </c>
      <c r="J2031" s="23">
        <v>2</v>
      </c>
      <c r="K2031" s="23">
        <v>3</v>
      </c>
      <c r="L2031" s="25">
        <f t="shared" si="61"/>
        <v>1.0195048044558224</v>
      </c>
      <c r="M2031" s="20"/>
    </row>
    <row r="2032" spans="1:13" x14ac:dyDescent="0.2">
      <c r="A2032" s="48" t="s">
        <v>147</v>
      </c>
      <c r="B2032" s="12" t="s">
        <v>23</v>
      </c>
      <c r="C2032" s="32" t="s">
        <v>98</v>
      </c>
      <c r="D2032" s="21">
        <v>0.11903097266582401</v>
      </c>
      <c r="E2032" s="15" t="s">
        <v>148</v>
      </c>
      <c r="F2032" s="16" t="s">
        <v>16</v>
      </c>
      <c r="G2032" s="22">
        <v>1</v>
      </c>
      <c r="H2032" s="23">
        <v>1</v>
      </c>
      <c r="I2032" s="23">
        <v>1</v>
      </c>
      <c r="J2032" s="23">
        <v>2</v>
      </c>
      <c r="K2032" s="23">
        <v>3</v>
      </c>
      <c r="L2032" s="25">
        <f t="shared" si="61"/>
        <v>1.0195048044558224</v>
      </c>
      <c r="M2032" s="20"/>
    </row>
    <row r="2033" spans="1:13" x14ac:dyDescent="0.2">
      <c r="A2033" s="48" t="s">
        <v>147</v>
      </c>
      <c r="B2033" s="12" t="s">
        <v>24</v>
      </c>
      <c r="C2033" s="32" t="s">
        <v>98</v>
      </c>
      <c r="D2033" s="21">
        <v>1.719353422913428</v>
      </c>
      <c r="E2033" s="15" t="s">
        <v>148</v>
      </c>
      <c r="F2033" s="16" t="s">
        <v>16</v>
      </c>
      <c r="G2033" s="22">
        <v>1</v>
      </c>
      <c r="H2033" s="23">
        <v>1</v>
      </c>
      <c r="I2033" s="23">
        <v>1</v>
      </c>
      <c r="J2033" s="23">
        <v>2</v>
      </c>
      <c r="K2033" s="23">
        <v>3</v>
      </c>
      <c r="L2033" s="25">
        <f t="shared" si="61"/>
        <v>1.0195048044558224</v>
      </c>
      <c r="M2033" s="20"/>
    </row>
    <row r="2034" spans="1:13" x14ac:dyDescent="0.2">
      <c r="A2034" s="48" t="s">
        <v>147</v>
      </c>
      <c r="B2034" s="12" t="s">
        <v>25</v>
      </c>
      <c r="C2034" s="32" t="s">
        <v>98</v>
      </c>
      <c r="D2034" s="21">
        <v>1.487198722191228</v>
      </c>
      <c r="E2034" s="15" t="s">
        <v>148</v>
      </c>
      <c r="F2034" s="16" t="s">
        <v>16</v>
      </c>
      <c r="G2034" s="22">
        <v>1</v>
      </c>
      <c r="H2034" s="23">
        <v>1</v>
      </c>
      <c r="I2034" s="23">
        <v>1</v>
      </c>
      <c r="J2034" s="23">
        <v>2</v>
      </c>
      <c r="K2034" s="23">
        <v>3</v>
      </c>
      <c r="L2034" s="25">
        <f t="shared" si="61"/>
        <v>1.0195048044558224</v>
      </c>
      <c r="M2034" s="20"/>
    </row>
    <row r="2035" spans="1:13" x14ac:dyDescent="0.2">
      <c r="A2035" s="48" t="s">
        <v>147</v>
      </c>
      <c r="B2035" s="12" t="s">
        <v>26</v>
      </c>
      <c r="C2035" s="32" t="s">
        <v>98</v>
      </c>
      <c r="D2035" s="21">
        <v>0.34848831346328851</v>
      </c>
      <c r="E2035" s="15" t="s">
        <v>148</v>
      </c>
      <c r="F2035" s="16" t="s">
        <v>16</v>
      </c>
      <c r="G2035" s="22">
        <v>1</v>
      </c>
      <c r="H2035" s="23">
        <v>1</v>
      </c>
      <c r="I2035" s="23">
        <v>1</v>
      </c>
      <c r="J2035" s="23">
        <v>2</v>
      </c>
      <c r="K2035" s="23">
        <v>3</v>
      </c>
      <c r="L2035" s="25">
        <f t="shared" si="61"/>
        <v>1.0195048044558224</v>
      </c>
      <c r="M2035" s="20"/>
    </row>
    <row r="2036" spans="1:13" x14ac:dyDescent="0.2">
      <c r="A2036" s="48" t="s">
        <v>147</v>
      </c>
      <c r="B2036" s="12" t="s">
        <v>27</v>
      </c>
      <c r="C2036" s="32" t="s">
        <v>98</v>
      </c>
      <c r="D2036" s="21">
        <v>1.0209523118812871</v>
      </c>
      <c r="E2036" s="15" t="s">
        <v>148</v>
      </c>
      <c r="F2036" s="16" t="s">
        <v>16</v>
      </c>
      <c r="G2036" s="22">
        <v>1</v>
      </c>
      <c r="H2036" s="23">
        <v>1</v>
      </c>
      <c r="I2036" s="23">
        <v>1</v>
      </c>
      <c r="J2036" s="23">
        <v>2</v>
      </c>
      <c r="K2036" s="23">
        <v>3</v>
      </c>
      <c r="L2036" s="25">
        <f t="shared" si="61"/>
        <v>1.0195048044558224</v>
      </c>
      <c r="M2036" s="20"/>
    </row>
    <row r="2037" spans="1:13" x14ac:dyDescent="0.2">
      <c r="A2037" s="48" t="s">
        <v>147</v>
      </c>
      <c r="B2037" s="12" t="s">
        <v>28</v>
      </c>
      <c r="C2037" s="32" t="s">
        <v>98</v>
      </c>
      <c r="D2037" s="21">
        <v>13.950300986142031</v>
      </c>
      <c r="E2037" s="15" t="s">
        <v>148</v>
      </c>
      <c r="F2037" s="16" t="s">
        <v>16</v>
      </c>
      <c r="G2037" s="22">
        <v>1</v>
      </c>
      <c r="H2037" s="23">
        <v>1</v>
      </c>
      <c r="I2037" s="23">
        <v>1</v>
      </c>
      <c r="J2037" s="23">
        <v>2</v>
      </c>
      <c r="K2037" s="23">
        <v>3</v>
      </c>
      <c r="L2037" s="25">
        <f t="shared" ref="L2037:L2057" si="62">IF( OR( ISBLANK(G2037),ISBLANK(H2037), ISBLANK(I2037), ISBLANK(J2037), ISBLANK(K2037) ), "", 1.5*SQRT( EXP(2.21*(G2037-1)) + EXP(2.21*(H2037-1)) + EXP(2.21*(I2037-1)) + EXP(2.21*(J2037-1)) + EXP(2.21*K2037) )/100*2.45 )</f>
        <v>1.0195048044558224</v>
      </c>
      <c r="M2037" s="20"/>
    </row>
    <row r="2038" spans="1:13" x14ac:dyDescent="0.2">
      <c r="A2038" s="48" t="s">
        <v>147</v>
      </c>
      <c r="B2038" s="12" t="s">
        <v>30</v>
      </c>
      <c r="C2038" s="32" t="s">
        <v>98</v>
      </c>
      <c r="D2038" s="21">
        <v>24.611400006077631</v>
      </c>
      <c r="E2038" s="15" t="s">
        <v>148</v>
      </c>
      <c r="F2038" s="16" t="s">
        <v>16</v>
      </c>
      <c r="G2038" s="22">
        <v>1</v>
      </c>
      <c r="H2038" s="23">
        <v>1</v>
      </c>
      <c r="I2038" s="23">
        <v>1</v>
      </c>
      <c r="J2038" s="23">
        <v>2</v>
      </c>
      <c r="K2038" s="23">
        <v>3</v>
      </c>
      <c r="L2038" s="24">
        <f t="shared" si="62"/>
        <v>1.0195048044558224</v>
      </c>
      <c r="M2038" s="20"/>
    </row>
    <row r="2039" spans="1:13" x14ac:dyDescent="0.2">
      <c r="A2039" s="48" t="s">
        <v>147</v>
      </c>
      <c r="B2039" s="12" t="s">
        <v>32</v>
      </c>
      <c r="C2039" s="32" t="s">
        <v>98</v>
      </c>
      <c r="D2039" s="21">
        <v>1.8008373727617359</v>
      </c>
      <c r="E2039" s="15" t="s">
        <v>148</v>
      </c>
      <c r="F2039" s="16" t="s">
        <v>16</v>
      </c>
      <c r="G2039" s="22">
        <v>1</v>
      </c>
      <c r="H2039" s="23">
        <v>1</v>
      </c>
      <c r="I2039" s="23">
        <v>1</v>
      </c>
      <c r="J2039" s="23">
        <v>2</v>
      </c>
      <c r="K2039" s="23">
        <v>3</v>
      </c>
      <c r="L2039" s="25">
        <f t="shared" si="62"/>
        <v>1.0195048044558224</v>
      </c>
      <c r="M2039" s="20"/>
    </row>
    <row r="2040" spans="1:13" x14ac:dyDescent="0.2">
      <c r="A2040" s="48" t="s">
        <v>147</v>
      </c>
      <c r="B2040" s="12" t="s">
        <v>34</v>
      </c>
      <c r="C2040" s="32" t="s">
        <v>98</v>
      </c>
      <c r="D2040" s="21">
        <v>3.0148518021646482</v>
      </c>
      <c r="E2040" s="15" t="s">
        <v>148</v>
      </c>
      <c r="F2040" s="16" t="s">
        <v>16</v>
      </c>
      <c r="G2040" s="22">
        <v>1</v>
      </c>
      <c r="H2040" s="23">
        <v>1</v>
      </c>
      <c r="I2040" s="23">
        <v>1</v>
      </c>
      <c r="J2040" s="23">
        <v>2</v>
      </c>
      <c r="K2040" s="23">
        <v>3</v>
      </c>
      <c r="L2040" s="25">
        <f t="shared" si="62"/>
        <v>1.0195048044558224</v>
      </c>
      <c r="M2040" s="20"/>
    </row>
    <row r="2041" spans="1:13" x14ac:dyDescent="0.2">
      <c r="A2041" s="48" t="s">
        <v>147</v>
      </c>
      <c r="B2041" s="12" t="s">
        <v>36</v>
      </c>
      <c r="C2041" s="32" t="s">
        <v>98</v>
      </c>
      <c r="D2041" s="21">
        <v>1.984147647706644</v>
      </c>
      <c r="E2041" s="15" t="s">
        <v>148</v>
      </c>
      <c r="F2041" s="16" t="s">
        <v>16</v>
      </c>
      <c r="G2041" s="22">
        <v>1</v>
      </c>
      <c r="H2041" s="23">
        <v>1</v>
      </c>
      <c r="I2041" s="23">
        <v>1</v>
      </c>
      <c r="J2041" s="23">
        <v>2</v>
      </c>
      <c r="K2041" s="23">
        <v>3</v>
      </c>
      <c r="L2041" s="25">
        <f t="shared" si="62"/>
        <v>1.0195048044558224</v>
      </c>
      <c r="M2041" s="20"/>
    </row>
    <row r="2042" spans="1:13" x14ac:dyDescent="0.2">
      <c r="A2042" s="48" t="s">
        <v>147</v>
      </c>
      <c r="B2042" s="12" t="s">
        <v>37</v>
      </c>
      <c r="C2042" s="32" t="s">
        <v>98</v>
      </c>
      <c r="D2042" s="21">
        <v>12.969492817291609</v>
      </c>
      <c r="E2042" s="15" t="s">
        <v>148</v>
      </c>
      <c r="F2042" s="16" t="s">
        <v>16</v>
      </c>
      <c r="G2042" s="22">
        <v>1</v>
      </c>
      <c r="H2042" s="23">
        <v>1</v>
      </c>
      <c r="I2042" s="23">
        <v>1</v>
      </c>
      <c r="J2042" s="23">
        <v>2</v>
      </c>
      <c r="K2042" s="23">
        <v>3</v>
      </c>
      <c r="L2042" s="24">
        <f t="shared" si="62"/>
        <v>1.0195048044558224</v>
      </c>
      <c r="M2042" s="20"/>
    </row>
    <row r="2043" spans="1:13" x14ac:dyDescent="0.2">
      <c r="A2043" s="48" t="s">
        <v>147</v>
      </c>
      <c r="B2043" s="12" t="s">
        <v>39</v>
      </c>
      <c r="C2043" s="32" t="s">
        <v>98</v>
      </c>
      <c r="D2043" s="21">
        <v>0.30497571316849742</v>
      </c>
      <c r="E2043" s="15" t="s">
        <v>148</v>
      </c>
      <c r="F2043" s="16" t="s">
        <v>16</v>
      </c>
      <c r="G2043" s="22">
        <v>1</v>
      </c>
      <c r="H2043" s="23">
        <v>1</v>
      </c>
      <c r="I2043" s="23">
        <v>1</v>
      </c>
      <c r="J2043" s="23">
        <v>2</v>
      </c>
      <c r="K2043" s="23">
        <v>3</v>
      </c>
      <c r="L2043" s="25">
        <f t="shared" si="62"/>
        <v>1.0195048044558224</v>
      </c>
      <c r="M2043" s="20"/>
    </row>
    <row r="2044" spans="1:13" x14ac:dyDescent="0.2">
      <c r="A2044" s="48" t="s">
        <v>147</v>
      </c>
      <c r="B2044" s="12" t="s">
        <v>40</v>
      </c>
      <c r="C2044" s="32" t="s">
        <v>98</v>
      </c>
      <c r="D2044" s="21">
        <v>0.55997741938351975</v>
      </c>
      <c r="E2044" s="15" t="s">
        <v>148</v>
      </c>
      <c r="F2044" s="16" t="s">
        <v>16</v>
      </c>
      <c r="G2044" s="22">
        <v>1</v>
      </c>
      <c r="H2044" s="23">
        <v>1</v>
      </c>
      <c r="I2044" s="23">
        <v>1</v>
      </c>
      <c r="J2044" s="23">
        <v>2</v>
      </c>
      <c r="K2044" s="23">
        <v>3</v>
      </c>
      <c r="L2044" s="25">
        <f t="shared" si="62"/>
        <v>1.0195048044558224</v>
      </c>
      <c r="M2044" s="20"/>
    </row>
    <row r="2045" spans="1:13" x14ac:dyDescent="0.2">
      <c r="A2045" s="48" t="s">
        <v>147</v>
      </c>
      <c r="B2045" s="12" t="s">
        <v>41</v>
      </c>
      <c r="C2045" s="32" t="s">
        <v>98</v>
      </c>
      <c r="D2045" s="21">
        <v>0.15914126161597911</v>
      </c>
      <c r="E2045" s="15" t="s">
        <v>148</v>
      </c>
      <c r="F2045" s="16" t="s">
        <v>16</v>
      </c>
      <c r="G2045" s="22">
        <v>1</v>
      </c>
      <c r="H2045" s="23">
        <v>1</v>
      </c>
      <c r="I2045" s="23">
        <v>1</v>
      </c>
      <c r="J2045" s="23">
        <v>2</v>
      </c>
      <c r="K2045" s="23">
        <v>3</v>
      </c>
      <c r="L2045" s="25">
        <f t="shared" si="62"/>
        <v>1.0195048044558224</v>
      </c>
      <c r="M2045" s="20"/>
    </row>
    <row r="2046" spans="1:13" x14ac:dyDescent="0.2">
      <c r="A2046" s="48" t="s">
        <v>147</v>
      </c>
      <c r="B2046" s="12" t="s">
        <v>42</v>
      </c>
      <c r="C2046" s="32" t="s">
        <v>98</v>
      </c>
      <c r="D2046" s="21">
        <v>9.1818749531093979E-2</v>
      </c>
      <c r="E2046" s="15" t="s">
        <v>148</v>
      </c>
      <c r="F2046" s="16" t="s">
        <v>16</v>
      </c>
      <c r="G2046" s="22">
        <v>1</v>
      </c>
      <c r="H2046" s="23">
        <v>1</v>
      </c>
      <c r="I2046" s="23">
        <v>1</v>
      </c>
      <c r="J2046" s="23">
        <v>2</v>
      </c>
      <c r="K2046" s="23">
        <v>3</v>
      </c>
      <c r="L2046" s="25">
        <f t="shared" si="62"/>
        <v>1.0195048044558224</v>
      </c>
      <c r="M2046" s="20"/>
    </row>
    <row r="2047" spans="1:13" x14ac:dyDescent="0.2">
      <c r="A2047" s="48" t="s">
        <v>147</v>
      </c>
      <c r="B2047" s="12" t="s">
        <v>43</v>
      </c>
      <c r="C2047" s="32" t="s">
        <v>98</v>
      </c>
      <c r="D2047" s="21">
        <v>4.2510452866196173</v>
      </c>
      <c r="E2047" s="15" t="s">
        <v>148</v>
      </c>
      <c r="F2047" s="16" t="s">
        <v>16</v>
      </c>
      <c r="G2047" s="22">
        <v>1</v>
      </c>
      <c r="H2047" s="23">
        <v>1</v>
      </c>
      <c r="I2047" s="23">
        <v>1</v>
      </c>
      <c r="J2047" s="23">
        <v>2</v>
      </c>
      <c r="K2047" s="23">
        <v>3</v>
      </c>
      <c r="L2047" s="25">
        <f t="shared" si="62"/>
        <v>1.0195048044558224</v>
      </c>
      <c r="M2047" s="20"/>
    </row>
    <row r="2048" spans="1:13" x14ac:dyDescent="0.2">
      <c r="A2048" s="48" t="s">
        <v>147</v>
      </c>
      <c r="B2048" s="12" t="s">
        <v>45</v>
      </c>
      <c r="C2048" s="32" t="s">
        <v>98</v>
      </c>
      <c r="D2048" s="21">
        <v>1.610077619738574</v>
      </c>
      <c r="E2048" s="15" t="s">
        <v>148</v>
      </c>
      <c r="F2048" s="16" t="s">
        <v>16</v>
      </c>
      <c r="G2048" s="22">
        <v>1</v>
      </c>
      <c r="H2048" s="23">
        <v>1</v>
      </c>
      <c r="I2048" s="23">
        <v>1</v>
      </c>
      <c r="J2048" s="23">
        <v>2</v>
      </c>
      <c r="K2048" s="23">
        <v>3</v>
      </c>
      <c r="L2048" s="25">
        <f t="shared" si="62"/>
        <v>1.0195048044558224</v>
      </c>
      <c r="M2048" s="20"/>
    </row>
    <row r="2049" spans="1:13" x14ac:dyDescent="0.2">
      <c r="A2049" s="48" t="s">
        <v>147</v>
      </c>
      <c r="B2049" s="12" t="s">
        <v>46</v>
      </c>
      <c r="C2049" s="32" t="s">
        <v>98</v>
      </c>
      <c r="D2049" s="21">
        <v>7.3268582435122527</v>
      </c>
      <c r="E2049" s="15" t="s">
        <v>148</v>
      </c>
      <c r="F2049" s="16" t="s">
        <v>16</v>
      </c>
      <c r="G2049" s="22">
        <v>1</v>
      </c>
      <c r="H2049" s="23">
        <v>1</v>
      </c>
      <c r="I2049" s="23">
        <v>1</v>
      </c>
      <c r="J2049" s="23">
        <v>2</v>
      </c>
      <c r="K2049" s="23">
        <v>3</v>
      </c>
      <c r="L2049" s="24">
        <f t="shared" si="62"/>
        <v>1.0195048044558224</v>
      </c>
      <c r="M2049" s="20"/>
    </row>
    <row r="2050" spans="1:13" x14ac:dyDescent="0.2">
      <c r="A2050" s="48" t="s">
        <v>147</v>
      </c>
      <c r="B2050" s="12" t="s">
        <v>48</v>
      </c>
      <c r="C2050" s="32" t="s">
        <v>98</v>
      </c>
      <c r="D2050" s="21">
        <v>2.6992531673652369</v>
      </c>
      <c r="E2050" s="15" t="s">
        <v>148</v>
      </c>
      <c r="F2050" s="16" t="s">
        <v>16</v>
      </c>
      <c r="G2050" s="22">
        <v>1</v>
      </c>
      <c r="H2050" s="23">
        <v>1</v>
      </c>
      <c r="I2050" s="23">
        <v>1</v>
      </c>
      <c r="J2050" s="23">
        <v>2</v>
      </c>
      <c r="K2050" s="23">
        <v>3</v>
      </c>
      <c r="L2050" s="25">
        <f t="shared" si="62"/>
        <v>1.0195048044558224</v>
      </c>
      <c r="M2050" s="20"/>
    </row>
    <row r="2051" spans="1:13" x14ac:dyDescent="0.2">
      <c r="A2051" s="48" t="s">
        <v>147</v>
      </c>
      <c r="B2051" s="12" t="s">
        <v>50</v>
      </c>
      <c r="C2051" s="32" t="s">
        <v>98</v>
      </c>
      <c r="D2051" s="21">
        <v>3.136572170180242</v>
      </c>
      <c r="E2051" s="15" t="s">
        <v>148</v>
      </c>
      <c r="F2051" s="16" t="s">
        <v>16</v>
      </c>
      <c r="G2051" s="22">
        <v>1</v>
      </c>
      <c r="H2051" s="23">
        <v>1</v>
      </c>
      <c r="I2051" s="23">
        <v>1</v>
      </c>
      <c r="J2051" s="23">
        <v>2</v>
      </c>
      <c r="K2051" s="23">
        <v>3</v>
      </c>
      <c r="L2051" s="25">
        <f t="shared" si="62"/>
        <v>1.0195048044558224</v>
      </c>
      <c r="M2051" s="20"/>
    </row>
    <row r="2052" spans="1:13" x14ac:dyDescent="0.2">
      <c r="A2052" s="48" t="s">
        <v>147</v>
      </c>
      <c r="B2052" s="12" t="s">
        <v>52</v>
      </c>
      <c r="C2052" s="32" t="s">
        <v>98</v>
      </c>
      <c r="D2052" s="21">
        <v>0.83384519643557198</v>
      </c>
      <c r="E2052" s="15" t="s">
        <v>148</v>
      </c>
      <c r="F2052" s="16" t="s">
        <v>16</v>
      </c>
      <c r="G2052" s="22">
        <v>1</v>
      </c>
      <c r="H2052" s="23">
        <v>1</v>
      </c>
      <c r="I2052" s="23">
        <v>1</v>
      </c>
      <c r="J2052" s="23">
        <v>2</v>
      </c>
      <c r="K2052" s="23">
        <v>3</v>
      </c>
      <c r="L2052" s="25">
        <f t="shared" si="62"/>
        <v>1.0195048044558224</v>
      </c>
      <c r="M2052" s="20"/>
    </row>
    <row r="2053" spans="1:13" x14ac:dyDescent="0.2">
      <c r="A2053" s="48" t="s">
        <v>147</v>
      </c>
      <c r="B2053" s="12" t="s">
        <v>54</v>
      </c>
      <c r="C2053" s="32" t="s">
        <v>98</v>
      </c>
      <c r="D2053" s="21">
        <v>0.32279229754852762</v>
      </c>
      <c r="E2053" s="15" t="s">
        <v>148</v>
      </c>
      <c r="F2053" s="16" t="s">
        <v>16</v>
      </c>
      <c r="G2053" s="22">
        <v>1</v>
      </c>
      <c r="H2053" s="23">
        <v>1</v>
      </c>
      <c r="I2053" s="23">
        <v>1</v>
      </c>
      <c r="J2053" s="23">
        <v>2</v>
      </c>
      <c r="K2053" s="23">
        <v>3</v>
      </c>
      <c r="L2053" s="25">
        <f t="shared" si="62"/>
        <v>1.0195048044558224</v>
      </c>
      <c r="M2053" s="20"/>
    </row>
    <row r="2054" spans="1:13" x14ac:dyDescent="0.2">
      <c r="A2054" s="48" t="s">
        <v>147</v>
      </c>
      <c r="B2054" s="12" t="s">
        <v>55</v>
      </c>
      <c r="C2054" s="32" t="s">
        <v>98</v>
      </c>
      <c r="D2054" s="21">
        <v>9.8969780705651687</v>
      </c>
      <c r="E2054" s="15" t="s">
        <v>148</v>
      </c>
      <c r="F2054" s="16" t="s">
        <v>16</v>
      </c>
      <c r="G2054" s="22">
        <v>1</v>
      </c>
      <c r="H2054" s="23">
        <v>1</v>
      </c>
      <c r="I2054" s="23">
        <v>1</v>
      </c>
      <c r="J2054" s="23">
        <v>2</v>
      </c>
      <c r="K2054" s="23">
        <v>3</v>
      </c>
      <c r="L2054" s="24">
        <f t="shared" si="62"/>
        <v>1.0195048044558224</v>
      </c>
      <c r="M2054" s="20"/>
    </row>
    <row r="2055" spans="1:13" x14ac:dyDescent="0.2">
      <c r="A2055" s="48" t="s">
        <v>147</v>
      </c>
      <c r="B2055" s="12" t="s">
        <v>57</v>
      </c>
      <c r="C2055" s="32" t="s">
        <v>98</v>
      </c>
      <c r="D2055" s="21">
        <v>1.61410471357355</v>
      </c>
      <c r="E2055" s="15" t="s">
        <v>148</v>
      </c>
      <c r="F2055" s="16" t="s">
        <v>16</v>
      </c>
      <c r="G2055" s="22">
        <v>1</v>
      </c>
      <c r="H2055" s="23">
        <v>1</v>
      </c>
      <c r="I2055" s="23">
        <v>1</v>
      </c>
      <c r="J2055" s="23">
        <v>2</v>
      </c>
      <c r="K2055" s="23">
        <v>3</v>
      </c>
      <c r="L2055" s="25">
        <f t="shared" si="62"/>
        <v>1.0195048044558224</v>
      </c>
      <c r="M2055" s="20"/>
    </row>
    <row r="2056" spans="1:13" x14ac:dyDescent="0.2">
      <c r="A2056" s="48" t="s">
        <v>147</v>
      </c>
      <c r="B2056" s="12" t="s">
        <v>59</v>
      </c>
      <c r="C2056" s="32" t="s">
        <v>98</v>
      </c>
      <c r="D2056" s="21">
        <v>2.4287612066355262</v>
      </c>
      <c r="E2056" s="15" t="s">
        <v>148</v>
      </c>
      <c r="F2056" s="16" t="s">
        <v>16</v>
      </c>
      <c r="G2056" s="22">
        <v>1</v>
      </c>
      <c r="H2056" s="23">
        <v>1</v>
      </c>
      <c r="I2056" s="23">
        <v>1</v>
      </c>
      <c r="J2056" s="23">
        <v>2</v>
      </c>
      <c r="K2056" s="23">
        <v>3</v>
      </c>
      <c r="L2056" s="25">
        <f t="shared" si="62"/>
        <v>1.0195048044558224</v>
      </c>
      <c r="M2056" s="20"/>
    </row>
    <row r="2057" spans="1:13" x14ac:dyDescent="0.2">
      <c r="A2057" s="49" t="s">
        <v>147</v>
      </c>
      <c r="B2057" s="34" t="s">
        <v>60</v>
      </c>
      <c r="C2057" s="35" t="s">
        <v>98</v>
      </c>
      <c r="D2057" s="36">
        <v>12.825522978401411</v>
      </c>
      <c r="E2057" s="37" t="s">
        <v>148</v>
      </c>
      <c r="F2057" s="38" t="s">
        <v>16</v>
      </c>
      <c r="G2057" s="39">
        <v>1</v>
      </c>
      <c r="H2057" s="40">
        <v>2</v>
      </c>
      <c r="I2057" s="40">
        <v>1</v>
      </c>
      <c r="J2057" s="40">
        <v>2</v>
      </c>
      <c r="K2057" s="40">
        <v>3</v>
      </c>
      <c r="L2057" s="41">
        <f t="shared" si="62"/>
        <v>1.0248662490928169</v>
      </c>
      <c r="M2057" s="42"/>
    </row>
    <row r="2058" spans="1:13" x14ac:dyDescent="0.2">
      <c r="A2058" s="48" t="s">
        <v>149</v>
      </c>
      <c r="B2058" s="22" t="s">
        <v>135</v>
      </c>
      <c r="C2058" s="13" t="s">
        <v>14</v>
      </c>
      <c r="D2058" s="14">
        <v>0</v>
      </c>
      <c r="E2058" s="15"/>
      <c r="F2058" s="16"/>
      <c r="G2058" s="17"/>
      <c r="H2058" s="18"/>
      <c r="I2058" s="18"/>
      <c r="J2058" s="18"/>
      <c r="K2058" s="18"/>
      <c r="L2058" s="19" t="str">
        <f>IF( OR( ISBLANK(G2058),ISBLANK(H2058), ISBLANK(I2058), ISBLANK(J2058), ISBLANK(K2058) ), "", 1.5*SQRT(   EXP(2.21*(G2058-1)) + EXP(2.21*(H2058-1)) + EXP(2.21*(I2058-1)) + EXP(2.21*(J2058-1)) + EXP(2.21*K2058)   )/100*2.45 )</f>
        <v/>
      </c>
      <c r="M2058" s="20"/>
    </row>
    <row r="2059" spans="1:13" x14ac:dyDescent="0.2">
      <c r="A2059" s="48" t="s">
        <v>149</v>
      </c>
      <c r="B2059" s="12" t="s">
        <v>13</v>
      </c>
      <c r="C2059" s="27" t="s">
        <v>62</v>
      </c>
      <c r="D2059" s="44">
        <v>1.4047480483222791E-3</v>
      </c>
      <c r="E2059" s="15" t="s">
        <v>148</v>
      </c>
      <c r="F2059" s="16" t="s">
        <v>16</v>
      </c>
      <c r="G2059" s="22">
        <v>1</v>
      </c>
      <c r="H2059" s="23">
        <v>1</v>
      </c>
      <c r="I2059" s="23">
        <v>1</v>
      </c>
      <c r="J2059" s="23">
        <v>2</v>
      </c>
      <c r="K2059" s="23">
        <v>3</v>
      </c>
      <c r="L2059" s="25">
        <f>IF( OR( ISBLANK(G2059),ISBLANK(H2059), ISBLANK(I2059), ISBLANK(J2059), ISBLANK(K2059) ), "", 1.5*SQRT(   EXP(2.21*(G2059-1)) + EXP(2.21*(H2059-1)) + EXP(2.21*(I2059-1)) + EXP(2.21*(J2059-1)) + EXP(2.21*K2059)   )/100*2.45 )</f>
        <v>1.0195048044558224</v>
      </c>
      <c r="M2059" s="20"/>
    </row>
    <row r="2060" spans="1:13" x14ac:dyDescent="0.2">
      <c r="A2060" s="48" t="s">
        <v>149</v>
      </c>
      <c r="B2060" s="12" t="s">
        <v>18</v>
      </c>
      <c r="C2060" s="27" t="s">
        <v>62</v>
      </c>
      <c r="D2060" s="44">
        <v>1.893462358331616E-3</v>
      </c>
      <c r="E2060" s="15" t="s">
        <v>148</v>
      </c>
      <c r="F2060" s="16" t="s">
        <v>16</v>
      </c>
      <c r="G2060" s="22">
        <v>1</v>
      </c>
      <c r="H2060" s="23">
        <v>1</v>
      </c>
      <c r="I2060" s="23">
        <v>1</v>
      </c>
      <c r="J2060" s="23">
        <v>2</v>
      </c>
      <c r="K2060" s="23">
        <v>3</v>
      </c>
      <c r="L2060" s="25">
        <f t="shared" ref="L2060:L2091" si="63">IF( OR( ISBLANK(G2060),ISBLANK(H2060), ISBLANK(I2060), ISBLANK(J2060), ISBLANK(K2060) ), "", 1.5*SQRT( EXP(2.21*(G2060-1)) + EXP(2.21*(H2060-1)) + EXP(2.21*(I2060-1)) + EXP(2.21*(J2060-1)) + EXP(2.21*K2060) )/100*2.45 )</f>
        <v>1.0195048044558224</v>
      </c>
      <c r="M2060" s="20"/>
    </row>
    <row r="2061" spans="1:13" x14ac:dyDescent="0.2">
      <c r="A2061" s="48" t="s">
        <v>149</v>
      </c>
      <c r="B2061" s="12" t="s">
        <v>20</v>
      </c>
      <c r="C2061" s="27" t="s">
        <v>62</v>
      </c>
      <c r="D2061" s="44">
        <v>7.1846296940922586E-4</v>
      </c>
      <c r="E2061" s="15" t="s">
        <v>148</v>
      </c>
      <c r="F2061" s="16" t="s">
        <v>16</v>
      </c>
      <c r="G2061" s="22">
        <v>1</v>
      </c>
      <c r="H2061" s="23">
        <v>1</v>
      </c>
      <c r="I2061" s="23">
        <v>1</v>
      </c>
      <c r="J2061" s="23">
        <v>2</v>
      </c>
      <c r="K2061" s="23">
        <v>3</v>
      </c>
      <c r="L2061" s="25">
        <f t="shared" si="63"/>
        <v>1.0195048044558224</v>
      </c>
      <c r="M2061" s="20"/>
    </row>
    <row r="2062" spans="1:13" x14ac:dyDescent="0.2">
      <c r="A2062" s="48" t="s">
        <v>149</v>
      </c>
      <c r="B2062" s="12" t="s">
        <v>22</v>
      </c>
      <c r="C2062" s="27" t="s">
        <v>62</v>
      </c>
      <c r="D2062" s="44">
        <v>3.1140707420255099E-4</v>
      </c>
      <c r="E2062" s="15" t="s">
        <v>148</v>
      </c>
      <c r="F2062" s="16" t="s">
        <v>16</v>
      </c>
      <c r="G2062" s="22">
        <v>1</v>
      </c>
      <c r="H2062" s="23">
        <v>1</v>
      </c>
      <c r="I2062" s="23">
        <v>1</v>
      </c>
      <c r="J2062" s="23">
        <v>2</v>
      </c>
      <c r="K2062" s="23">
        <v>3</v>
      </c>
      <c r="L2062" s="25">
        <f t="shared" si="63"/>
        <v>1.0195048044558224</v>
      </c>
      <c r="M2062" s="20"/>
    </row>
    <row r="2063" spans="1:13" x14ac:dyDescent="0.2">
      <c r="A2063" s="48" t="s">
        <v>149</v>
      </c>
      <c r="B2063" s="12" t="s">
        <v>23</v>
      </c>
      <c r="C2063" s="27" t="s">
        <v>62</v>
      </c>
      <c r="D2063" s="44">
        <v>8.6088468722258211E-5</v>
      </c>
      <c r="E2063" s="15" t="s">
        <v>148</v>
      </c>
      <c r="F2063" s="16" t="s">
        <v>16</v>
      </c>
      <c r="G2063" s="22">
        <v>1</v>
      </c>
      <c r="H2063" s="23">
        <v>1</v>
      </c>
      <c r="I2063" s="23">
        <v>1</v>
      </c>
      <c r="J2063" s="23">
        <v>2</v>
      </c>
      <c r="K2063" s="23">
        <v>3</v>
      </c>
      <c r="L2063" s="25">
        <f t="shared" si="63"/>
        <v>1.0195048044558224</v>
      </c>
      <c r="M2063" s="20"/>
    </row>
    <row r="2064" spans="1:13" x14ac:dyDescent="0.2">
      <c r="A2064" s="48" t="s">
        <v>149</v>
      </c>
      <c r="B2064" s="12" t="s">
        <v>24</v>
      </c>
      <c r="C2064" s="27" t="s">
        <v>62</v>
      </c>
      <c r="D2064" s="44">
        <v>1.2435125081817339E-3</v>
      </c>
      <c r="E2064" s="15" t="s">
        <v>148</v>
      </c>
      <c r="F2064" s="16" t="s">
        <v>16</v>
      </c>
      <c r="G2064" s="22">
        <v>1</v>
      </c>
      <c r="H2064" s="23">
        <v>1</v>
      </c>
      <c r="I2064" s="23">
        <v>1</v>
      </c>
      <c r="J2064" s="23">
        <v>2</v>
      </c>
      <c r="K2064" s="23">
        <v>3</v>
      </c>
      <c r="L2064" s="25">
        <f t="shared" si="63"/>
        <v>1.0195048044558224</v>
      </c>
      <c r="M2064" s="20"/>
    </row>
    <row r="2065" spans="1:13" x14ac:dyDescent="0.2">
      <c r="A2065" s="48" t="s">
        <v>149</v>
      </c>
      <c r="B2065" s="12" t="s">
        <v>25</v>
      </c>
      <c r="C2065" s="27" t="s">
        <v>62</v>
      </c>
      <c r="D2065" s="44">
        <v>1.0756079515420269E-3</v>
      </c>
      <c r="E2065" s="15" t="s">
        <v>148</v>
      </c>
      <c r="F2065" s="16" t="s">
        <v>16</v>
      </c>
      <c r="G2065" s="22">
        <v>1</v>
      </c>
      <c r="H2065" s="23">
        <v>1</v>
      </c>
      <c r="I2065" s="23">
        <v>1</v>
      </c>
      <c r="J2065" s="23">
        <v>2</v>
      </c>
      <c r="K2065" s="23">
        <v>3</v>
      </c>
      <c r="L2065" s="25">
        <f t="shared" si="63"/>
        <v>1.0195048044558224</v>
      </c>
      <c r="M2065" s="20"/>
    </row>
    <row r="2066" spans="1:13" x14ac:dyDescent="0.2">
      <c r="A2066" s="48" t="s">
        <v>149</v>
      </c>
      <c r="B2066" s="12" t="s">
        <v>26</v>
      </c>
      <c r="C2066" s="27" t="s">
        <v>62</v>
      </c>
      <c r="D2066" s="44">
        <v>2.5204217525705058E-4</v>
      </c>
      <c r="E2066" s="15" t="s">
        <v>148</v>
      </c>
      <c r="F2066" s="16" t="s">
        <v>16</v>
      </c>
      <c r="G2066" s="22">
        <v>1</v>
      </c>
      <c r="H2066" s="23">
        <v>1</v>
      </c>
      <c r="I2066" s="23">
        <v>1</v>
      </c>
      <c r="J2066" s="23">
        <v>2</v>
      </c>
      <c r="K2066" s="23">
        <v>3</v>
      </c>
      <c r="L2066" s="25">
        <f t="shared" si="63"/>
        <v>1.0195048044558224</v>
      </c>
      <c r="M2066" s="20"/>
    </row>
    <row r="2067" spans="1:13" x14ac:dyDescent="0.2">
      <c r="A2067" s="48" t="s">
        <v>149</v>
      </c>
      <c r="B2067" s="12" t="s">
        <v>27</v>
      </c>
      <c r="C2067" s="27" t="s">
        <v>62</v>
      </c>
      <c r="D2067" s="44">
        <v>7.3839790770310009E-4</v>
      </c>
      <c r="E2067" s="15" t="s">
        <v>148</v>
      </c>
      <c r="F2067" s="16" t="s">
        <v>16</v>
      </c>
      <c r="G2067" s="22">
        <v>1</v>
      </c>
      <c r="H2067" s="23">
        <v>1</v>
      </c>
      <c r="I2067" s="23">
        <v>1</v>
      </c>
      <c r="J2067" s="23">
        <v>2</v>
      </c>
      <c r="K2067" s="23">
        <v>3</v>
      </c>
      <c r="L2067" s="25">
        <f t="shared" si="63"/>
        <v>1.0195048044558224</v>
      </c>
      <c r="M2067" s="20"/>
    </row>
    <row r="2068" spans="1:13" x14ac:dyDescent="0.2">
      <c r="A2068" s="48" t="s">
        <v>149</v>
      </c>
      <c r="B2068" s="12" t="s">
        <v>28</v>
      </c>
      <c r="C2068" s="27" t="s">
        <v>62</v>
      </c>
      <c r="D2068" s="44">
        <v>1.008947522829403E-2</v>
      </c>
      <c r="E2068" s="15" t="s">
        <v>148</v>
      </c>
      <c r="F2068" s="16" t="s">
        <v>16</v>
      </c>
      <c r="G2068" s="22">
        <v>1</v>
      </c>
      <c r="H2068" s="23">
        <v>1</v>
      </c>
      <c r="I2068" s="23">
        <v>1</v>
      </c>
      <c r="J2068" s="23">
        <v>2</v>
      </c>
      <c r="K2068" s="23">
        <v>3</v>
      </c>
      <c r="L2068" s="25">
        <f t="shared" si="63"/>
        <v>1.0195048044558224</v>
      </c>
      <c r="M2068" s="20"/>
    </row>
    <row r="2069" spans="1:13" x14ac:dyDescent="0.2">
      <c r="A2069" s="48" t="s">
        <v>149</v>
      </c>
      <c r="B2069" s="12" t="s">
        <v>30</v>
      </c>
      <c r="C2069" s="27" t="s">
        <v>62</v>
      </c>
      <c r="D2069" s="44">
        <v>1.7800053987482321E-2</v>
      </c>
      <c r="E2069" s="15" t="s">
        <v>148</v>
      </c>
      <c r="F2069" s="16" t="s">
        <v>16</v>
      </c>
      <c r="G2069" s="22">
        <v>1</v>
      </c>
      <c r="H2069" s="23">
        <v>1</v>
      </c>
      <c r="I2069" s="23">
        <v>1</v>
      </c>
      <c r="J2069" s="23">
        <v>2</v>
      </c>
      <c r="K2069" s="23">
        <v>3</v>
      </c>
      <c r="L2069" s="24">
        <f t="shared" si="63"/>
        <v>1.0195048044558224</v>
      </c>
      <c r="M2069" s="20"/>
    </row>
    <row r="2070" spans="1:13" x14ac:dyDescent="0.2">
      <c r="A2070" s="48" t="s">
        <v>149</v>
      </c>
      <c r="B2070" s="12" t="s">
        <v>32</v>
      </c>
      <c r="C2070" s="27" t="s">
        <v>62</v>
      </c>
      <c r="D2070" s="44">
        <v>1.3024453078621669E-3</v>
      </c>
      <c r="E2070" s="15" t="s">
        <v>148</v>
      </c>
      <c r="F2070" s="16" t="s">
        <v>16</v>
      </c>
      <c r="G2070" s="22">
        <v>1</v>
      </c>
      <c r="H2070" s="23">
        <v>1</v>
      </c>
      <c r="I2070" s="23">
        <v>1</v>
      </c>
      <c r="J2070" s="23">
        <v>2</v>
      </c>
      <c r="K2070" s="23">
        <v>3</v>
      </c>
      <c r="L2070" s="25">
        <f t="shared" si="63"/>
        <v>1.0195048044558224</v>
      </c>
      <c r="M2070" s="20"/>
    </row>
    <row r="2071" spans="1:13" x14ac:dyDescent="0.2">
      <c r="A2071" s="48" t="s">
        <v>149</v>
      </c>
      <c r="B2071" s="12" t="s">
        <v>34</v>
      </c>
      <c r="C2071" s="27" t="s">
        <v>62</v>
      </c>
      <c r="D2071" s="44">
        <v>2.1804742854749011E-3</v>
      </c>
      <c r="E2071" s="15" t="s">
        <v>148</v>
      </c>
      <c r="F2071" s="16" t="s">
        <v>16</v>
      </c>
      <c r="G2071" s="22">
        <v>1</v>
      </c>
      <c r="H2071" s="23">
        <v>1</v>
      </c>
      <c r="I2071" s="23">
        <v>1</v>
      </c>
      <c r="J2071" s="23">
        <v>2</v>
      </c>
      <c r="K2071" s="23">
        <v>3</v>
      </c>
      <c r="L2071" s="25">
        <f t="shared" si="63"/>
        <v>1.0195048044558224</v>
      </c>
      <c r="M2071" s="20"/>
    </row>
    <row r="2072" spans="1:13" x14ac:dyDescent="0.2">
      <c r="A2072" s="48" t="s">
        <v>149</v>
      </c>
      <c r="B2072" s="12" t="s">
        <v>36</v>
      </c>
      <c r="C2072" s="27" t="s">
        <v>62</v>
      </c>
      <c r="D2072" s="44">
        <v>1.43502341352352E-3</v>
      </c>
      <c r="E2072" s="15" t="s">
        <v>148</v>
      </c>
      <c r="F2072" s="16" t="s">
        <v>16</v>
      </c>
      <c r="G2072" s="22">
        <v>1</v>
      </c>
      <c r="H2072" s="23">
        <v>1</v>
      </c>
      <c r="I2072" s="23">
        <v>1</v>
      </c>
      <c r="J2072" s="23">
        <v>2</v>
      </c>
      <c r="K2072" s="23">
        <v>3</v>
      </c>
      <c r="L2072" s="25">
        <f t="shared" si="63"/>
        <v>1.0195048044558224</v>
      </c>
      <c r="M2072" s="20"/>
    </row>
    <row r="2073" spans="1:13" x14ac:dyDescent="0.2">
      <c r="A2073" s="48" t="s">
        <v>149</v>
      </c>
      <c r="B2073" s="12" t="s">
        <v>37</v>
      </c>
      <c r="C2073" s="27" t="s">
        <v>62</v>
      </c>
      <c r="D2073" s="44">
        <v>9.3801113419409686E-3</v>
      </c>
      <c r="E2073" s="15" t="s">
        <v>148</v>
      </c>
      <c r="F2073" s="16" t="s">
        <v>16</v>
      </c>
      <c r="G2073" s="22">
        <v>1</v>
      </c>
      <c r="H2073" s="23">
        <v>1</v>
      </c>
      <c r="I2073" s="23">
        <v>1</v>
      </c>
      <c r="J2073" s="23">
        <v>2</v>
      </c>
      <c r="K2073" s="23">
        <v>3</v>
      </c>
      <c r="L2073" s="24">
        <f t="shared" si="63"/>
        <v>1.0195048044558224</v>
      </c>
      <c r="M2073" s="20"/>
    </row>
    <row r="2074" spans="1:13" x14ac:dyDescent="0.2">
      <c r="A2074" s="48" t="s">
        <v>149</v>
      </c>
      <c r="B2074" s="12" t="s">
        <v>39</v>
      </c>
      <c r="C2074" s="27" t="s">
        <v>62</v>
      </c>
      <c r="D2074" s="44">
        <v>2.205719364981114E-4</v>
      </c>
      <c r="E2074" s="15" t="s">
        <v>148</v>
      </c>
      <c r="F2074" s="16" t="s">
        <v>16</v>
      </c>
      <c r="G2074" s="22">
        <v>1</v>
      </c>
      <c r="H2074" s="23">
        <v>1</v>
      </c>
      <c r="I2074" s="23">
        <v>1</v>
      </c>
      <c r="J2074" s="23">
        <v>2</v>
      </c>
      <c r="K2074" s="23">
        <v>3</v>
      </c>
      <c r="L2074" s="25">
        <f t="shared" si="63"/>
        <v>1.0195048044558224</v>
      </c>
      <c r="M2074" s="20"/>
    </row>
    <row r="2075" spans="1:13" x14ac:dyDescent="0.2">
      <c r="A2075" s="48" t="s">
        <v>149</v>
      </c>
      <c r="B2075" s="12" t="s">
        <v>40</v>
      </c>
      <c r="C2075" s="27" t="s">
        <v>62</v>
      </c>
      <c r="D2075" s="44">
        <v>4.0500045890669501E-4</v>
      </c>
      <c r="E2075" s="15" t="s">
        <v>148</v>
      </c>
      <c r="F2075" s="16" t="s">
        <v>16</v>
      </c>
      <c r="G2075" s="22">
        <v>1</v>
      </c>
      <c r="H2075" s="23">
        <v>1</v>
      </c>
      <c r="I2075" s="23">
        <v>1</v>
      </c>
      <c r="J2075" s="23">
        <v>2</v>
      </c>
      <c r="K2075" s="23">
        <v>3</v>
      </c>
      <c r="L2075" s="25">
        <f t="shared" si="63"/>
        <v>1.0195048044558224</v>
      </c>
      <c r="M2075" s="20"/>
    </row>
    <row r="2076" spans="1:13" x14ac:dyDescent="0.2">
      <c r="A2076" s="48" t="s">
        <v>149</v>
      </c>
      <c r="B2076" s="12" t="s">
        <v>41</v>
      </c>
      <c r="C2076" s="27" t="s">
        <v>62</v>
      </c>
      <c r="D2076" s="44">
        <v>1.150980053024595E-4</v>
      </c>
      <c r="E2076" s="15" t="s">
        <v>148</v>
      </c>
      <c r="F2076" s="16" t="s">
        <v>16</v>
      </c>
      <c r="G2076" s="22">
        <v>1</v>
      </c>
      <c r="H2076" s="23">
        <v>1</v>
      </c>
      <c r="I2076" s="23">
        <v>1</v>
      </c>
      <c r="J2076" s="23">
        <v>2</v>
      </c>
      <c r="K2076" s="23">
        <v>3</v>
      </c>
      <c r="L2076" s="25">
        <f t="shared" si="63"/>
        <v>1.0195048044558224</v>
      </c>
      <c r="M2076" s="20"/>
    </row>
    <row r="2077" spans="1:13" x14ac:dyDescent="0.2">
      <c r="A2077" s="48" t="s">
        <v>149</v>
      </c>
      <c r="B2077" s="12" t="s">
        <v>42</v>
      </c>
      <c r="C2077" s="27" t="s">
        <v>62</v>
      </c>
      <c r="D2077" s="44">
        <v>6.6407384314301089E-5</v>
      </c>
      <c r="E2077" s="15" t="s">
        <v>148</v>
      </c>
      <c r="F2077" s="16" t="s">
        <v>16</v>
      </c>
      <c r="G2077" s="22">
        <v>1</v>
      </c>
      <c r="H2077" s="23">
        <v>1</v>
      </c>
      <c r="I2077" s="23">
        <v>1</v>
      </c>
      <c r="J2077" s="23">
        <v>2</v>
      </c>
      <c r="K2077" s="23">
        <v>3</v>
      </c>
      <c r="L2077" s="25">
        <f t="shared" si="63"/>
        <v>1.0195048044558224</v>
      </c>
      <c r="M2077" s="20"/>
    </row>
    <row r="2078" spans="1:13" x14ac:dyDescent="0.2">
      <c r="A2078" s="48" t="s">
        <v>149</v>
      </c>
      <c r="B2078" s="12" t="s">
        <v>43</v>
      </c>
      <c r="C2078" s="27" t="s">
        <v>62</v>
      </c>
      <c r="D2078" s="44">
        <v>3.074544137528766E-3</v>
      </c>
      <c r="E2078" s="15" t="s">
        <v>148</v>
      </c>
      <c r="F2078" s="16" t="s">
        <v>16</v>
      </c>
      <c r="G2078" s="22">
        <v>1</v>
      </c>
      <c r="H2078" s="23">
        <v>1</v>
      </c>
      <c r="I2078" s="23">
        <v>1</v>
      </c>
      <c r="J2078" s="23">
        <v>2</v>
      </c>
      <c r="K2078" s="23">
        <v>3</v>
      </c>
      <c r="L2078" s="25">
        <f t="shared" si="63"/>
        <v>1.0195048044558224</v>
      </c>
      <c r="M2078" s="20"/>
    </row>
    <row r="2079" spans="1:13" x14ac:dyDescent="0.2">
      <c r="A2079" s="48" t="s">
        <v>149</v>
      </c>
      <c r="B2079" s="12" t="s">
        <v>45</v>
      </c>
      <c r="C2079" s="27" t="s">
        <v>62</v>
      </c>
      <c r="D2079" s="44">
        <v>1.1644794098794201E-3</v>
      </c>
      <c r="E2079" s="15" t="s">
        <v>148</v>
      </c>
      <c r="F2079" s="16" t="s">
        <v>16</v>
      </c>
      <c r="G2079" s="22">
        <v>1</v>
      </c>
      <c r="H2079" s="23">
        <v>1</v>
      </c>
      <c r="I2079" s="23">
        <v>1</v>
      </c>
      <c r="J2079" s="23">
        <v>2</v>
      </c>
      <c r="K2079" s="23">
        <v>3</v>
      </c>
      <c r="L2079" s="25">
        <f t="shared" si="63"/>
        <v>1.0195048044558224</v>
      </c>
      <c r="M2079" s="20"/>
    </row>
    <row r="2080" spans="1:13" x14ac:dyDescent="0.2">
      <c r="A2080" s="48" t="s">
        <v>149</v>
      </c>
      <c r="B2080" s="12" t="s">
        <v>46</v>
      </c>
      <c r="C2080" s="27" t="s">
        <v>62</v>
      </c>
      <c r="D2080" s="44">
        <v>5.2991082287452938E-3</v>
      </c>
      <c r="E2080" s="15" t="s">
        <v>148</v>
      </c>
      <c r="F2080" s="16" t="s">
        <v>16</v>
      </c>
      <c r="G2080" s="22">
        <v>1</v>
      </c>
      <c r="H2080" s="23">
        <v>1</v>
      </c>
      <c r="I2080" s="23">
        <v>1</v>
      </c>
      <c r="J2080" s="23">
        <v>2</v>
      </c>
      <c r="K2080" s="23">
        <v>3</v>
      </c>
      <c r="L2080" s="24">
        <f t="shared" si="63"/>
        <v>1.0195048044558224</v>
      </c>
      <c r="M2080" s="20"/>
    </row>
    <row r="2081" spans="1:13" x14ac:dyDescent="0.2">
      <c r="A2081" s="48" t="s">
        <v>149</v>
      </c>
      <c r="B2081" s="12" t="s">
        <v>48</v>
      </c>
      <c r="C2081" s="27" t="s">
        <v>62</v>
      </c>
      <c r="D2081" s="44">
        <v>1.952219381795387E-3</v>
      </c>
      <c r="E2081" s="15" t="s">
        <v>148</v>
      </c>
      <c r="F2081" s="16" t="s">
        <v>16</v>
      </c>
      <c r="G2081" s="22">
        <v>1</v>
      </c>
      <c r="H2081" s="23">
        <v>1</v>
      </c>
      <c r="I2081" s="23">
        <v>1</v>
      </c>
      <c r="J2081" s="23">
        <v>2</v>
      </c>
      <c r="K2081" s="23">
        <v>3</v>
      </c>
      <c r="L2081" s="25">
        <f t="shared" si="63"/>
        <v>1.0195048044558224</v>
      </c>
      <c r="M2081" s="20"/>
    </row>
    <row r="2082" spans="1:13" x14ac:dyDescent="0.2">
      <c r="A2082" s="48" t="s">
        <v>149</v>
      </c>
      <c r="B2082" s="12" t="s">
        <v>50</v>
      </c>
      <c r="C2082" s="27" t="s">
        <v>62</v>
      </c>
      <c r="D2082" s="44">
        <v>2.2685078439688808E-3</v>
      </c>
      <c r="E2082" s="15" t="s">
        <v>148</v>
      </c>
      <c r="F2082" s="16" t="s">
        <v>16</v>
      </c>
      <c r="G2082" s="22">
        <v>1</v>
      </c>
      <c r="H2082" s="23">
        <v>1</v>
      </c>
      <c r="I2082" s="23">
        <v>1</v>
      </c>
      <c r="J2082" s="23">
        <v>2</v>
      </c>
      <c r="K2082" s="23">
        <v>3</v>
      </c>
      <c r="L2082" s="25">
        <f t="shared" si="63"/>
        <v>1.0195048044558224</v>
      </c>
      <c r="M2082" s="20"/>
    </row>
    <row r="2083" spans="1:13" x14ac:dyDescent="0.2">
      <c r="A2083" s="48" t="s">
        <v>149</v>
      </c>
      <c r="B2083" s="12" t="s">
        <v>52</v>
      </c>
      <c r="C2083" s="27" t="s">
        <v>62</v>
      </c>
      <c r="D2083" s="44">
        <v>6.0307375891215922E-4</v>
      </c>
      <c r="E2083" s="15" t="s">
        <v>148</v>
      </c>
      <c r="F2083" s="16" t="s">
        <v>16</v>
      </c>
      <c r="G2083" s="22">
        <v>1</v>
      </c>
      <c r="H2083" s="23">
        <v>1</v>
      </c>
      <c r="I2083" s="23">
        <v>1</v>
      </c>
      <c r="J2083" s="23">
        <v>2</v>
      </c>
      <c r="K2083" s="23">
        <v>3</v>
      </c>
      <c r="L2083" s="25">
        <f t="shared" si="63"/>
        <v>1.0195048044558224</v>
      </c>
      <c r="M2083" s="20"/>
    </row>
    <row r="2084" spans="1:13" x14ac:dyDescent="0.2">
      <c r="A2084" s="48" t="s">
        <v>149</v>
      </c>
      <c r="B2084" s="12" t="s">
        <v>54</v>
      </c>
      <c r="C2084" s="27" t="s">
        <v>62</v>
      </c>
      <c r="D2084" s="44">
        <v>2.3345767903038331E-4</v>
      </c>
      <c r="E2084" s="15" t="s">
        <v>148</v>
      </c>
      <c r="F2084" s="16" t="s">
        <v>16</v>
      </c>
      <c r="G2084" s="22">
        <v>1</v>
      </c>
      <c r="H2084" s="23">
        <v>1</v>
      </c>
      <c r="I2084" s="23">
        <v>1</v>
      </c>
      <c r="J2084" s="23">
        <v>2</v>
      </c>
      <c r="K2084" s="23">
        <v>3</v>
      </c>
      <c r="L2084" s="25">
        <f t="shared" si="63"/>
        <v>1.0195048044558224</v>
      </c>
      <c r="M2084" s="20"/>
    </row>
    <row r="2085" spans="1:13" x14ac:dyDescent="0.2">
      <c r="A2085" s="48" t="s">
        <v>149</v>
      </c>
      <c r="B2085" s="12" t="s">
        <v>55</v>
      </c>
      <c r="C2085" s="27" t="s">
        <v>62</v>
      </c>
      <c r="D2085" s="44">
        <v>7.1579326623225532E-3</v>
      </c>
      <c r="E2085" s="15" t="s">
        <v>148</v>
      </c>
      <c r="F2085" s="16" t="s">
        <v>16</v>
      </c>
      <c r="G2085" s="22">
        <v>1</v>
      </c>
      <c r="H2085" s="23">
        <v>1</v>
      </c>
      <c r="I2085" s="23">
        <v>1</v>
      </c>
      <c r="J2085" s="23">
        <v>2</v>
      </c>
      <c r="K2085" s="23">
        <v>3</v>
      </c>
      <c r="L2085" s="24">
        <f t="shared" si="63"/>
        <v>1.0195048044558224</v>
      </c>
      <c r="M2085" s="20"/>
    </row>
    <row r="2086" spans="1:13" x14ac:dyDescent="0.2">
      <c r="A2086" s="48" t="s">
        <v>149</v>
      </c>
      <c r="B2086" s="12" t="s">
        <v>57</v>
      </c>
      <c r="C2086" s="27" t="s">
        <v>62</v>
      </c>
      <c r="D2086" s="44">
        <v>1.167391982413186E-3</v>
      </c>
      <c r="E2086" s="15" t="s">
        <v>148</v>
      </c>
      <c r="F2086" s="16" t="s">
        <v>16</v>
      </c>
      <c r="G2086" s="22">
        <v>1</v>
      </c>
      <c r="H2086" s="23">
        <v>1</v>
      </c>
      <c r="I2086" s="23">
        <v>1</v>
      </c>
      <c r="J2086" s="23">
        <v>2</v>
      </c>
      <c r="K2086" s="23">
        <v>3</v>
      </c>
      <c r="L2086" s="25">
        <f t="shared" si="63"/>
        <v>1.0195048044558224</v>
      </c>
      <c r="M2086" s="20"/>
    </row>
    <row r="2087" spans="1:13" x14ac:dyDescent="0.2">
      <c r="A2087" s="48" t="s">
        <v>149</v>
      </c>
      <c r="B2087" s="12" t="s">
        <v>59</v>
      </c>
      <c r="C2087" s="27" t="s">
        <v>62</v>
      </c>
      <c r="D2087" s="44">
        <v>1.7565876215956491E-3</v>
      </c>
      <c r="E2087" s="15" t="s">
        <v>148</v>
      </c>
      <c r="F2087" s="16" t="s">
        <v>16</v>
      </c>
      <c r="G2087" s="22">
        <v>1</v>
      </c>
      <c r="H2087" s="23">
        <v>1</v>
      </c>
      <c r="I2087" s="23">
        <v>1</v>
      </c>
      <c r="J2087" s="23">
        <v>2</v>
      </c>
      <c r="K2087" s="23">
        <v>3</v>
      </c>
      <c r="L2087" s="25">
        <f t="shared" si="63"/>
        <v>1.0195048044558224</v>
      </c>
      <c r="M2087" s="20"/>
    </row>
    <row r="2088" spans="1:13" x14ac:dyDescent="0.2">
      <c r="A2088" s="48" t="s">
        <v>149</v>
      </c>
      <c r="B2088" s="12" t="s">
        <v>60</v>
      </c>
      <c r="C2088" s="27" t="s">
        <v>62</v>
      </c>
      <c r="D2088" s="44">
        <v>9.2759859811658053E-3</v>
      </c>
      <c r="E2088" s="15" t="s">
        <v>148</v>
      </c>
      <c r="F2088" s="16" t="s">
        <v>16</v>
      </c>
      <c r="G2088" s="22">
        <v>1</v>
      </c>
      <c r="H2088" s="23">
        <v>2</v>
      </c>
      <c r="I2088" s="23">
        <v>1</v>
      </c>
      <c r="J2088" s="23">
        <v>2</v>
      </c>
      <c r="K2088" s="23">
        <v>3</v>
      </c>
      <c r="L2088" s="24">
        <f t="shared" si="63"/>
        <v>1.0248662490928169</v>
      </c>
      <c r="M2088" s="20"/>
    </row>
    <row r="2089" spans="1:13" x14ac:dyDescent="0.2">
      <c r="A2089" s="48" t="s">
        <v>149</v>
      </c>
      <c r="B2089" s="12" t="s">
        <v>13</v>
      </c>
      <c r="C2089" s="28" t="s">
        <v>64</v>
      </c>
      <c r="D2089" s="44">
        <v>0.94751328440826577</v>
      </c>
      <c r="E2089" s="15" t="s">
        <v>148</v>
      </c>
      <c r="F2089" s="16" t="s">
        <v>16</v>
      </c>
      <c r="G2089" s="22">
        <v>1</v>
      </c>
      <c r="H2089" s="23">
        <v>1</v>
      </c>
      <c r="I2089" s="23">
        <v>1</v>
      </c>
      <c r="J2089" s="23">
        <v>2</v>
      </c>
      <c r="K2089" s="23">
        <v>3</v>
      </c>
      <c r="L2089" s="25">
        <f t="shared" si="63"/>
        <v>1.0195048044558224</v>
      </c>
      <c r="M2089" s="20"/>
    </row>
    <row r="2090" spans="1:13" x14ac:dyDescent="0.2">
      <c r="A2090" s="48" t="s">
        <v>149</v>
      </c>
      <c r="B2090" s="12" t="s">
        <v>18</v>
      </c>
      <c r="C2090" s="28" t="s">
        <v>64</v>
      </c>
      <c r="D2090" s="44">
        <v>1.277154818039377</v>
      </c>
      <c r="E2090" s="15" t="s">
        <v>148</v>
      </c>
      <c r="F2090" s="16" t="s">
        <v>16</v>
      </c>
      <c r="G2090" s="22">
        <v>1</v>
      </c>
      <c r="H2090" s="23">
        <v>1</v>
      </c>
      <c r="I2090" s="23">
        <v>1</v>
      </c>
      <c r="J2090" s="23">
        <v>2</v>
      </c>
      <c r="K2090" s="23">
        <v>3</v>
      </c>
      <c r="L2090" s="25">
        <f t="shared" si="63"/>
        <v>1.0195048044558224</v>
      </c>
      <c r="M2090" s="20"/>
    </row>
    <row r="2091" spans="1:13" x14ac:dyDescent="0.2">
      <c r="A2091" s="48" t="s">
        <v>149</v>
      </c>
      <c r="B2091" s="12" t="s">
        <v>20</v>
      </c>
      <c r="C2091" s="28" t="s">
        <v>64</v>
      </c>
      <c r="D2091" s="44">
        <v>0.48460875861951852</v>
      </c>
      <c r="E2091" s="15" t="s">
        <v>148</v>
      </c>
      <c r="F2091" s="16" t="s">
        <v>16</v>
      </c>
      <c r="G2091" s="22">
        <v>1</v>
      </c>
      <c r="H2091" s="23">
        <v>1</v>
      </c>
      <c r="I2091" s="23">
        <v>1</v>
      </c>
      <c r="J2091" s="23">
        <v>2</v>
      </c>
      <c r="K2091" s="23">
        <v>3</v>
      </c>
      <c r="L2091" s="25">
        <f t="shared" si="63"/>
        <v>1.0195048044558224</v>
      </c>
      <c r="M2091" s="20"/>
    </row>
    <row r="2092" spans="1:13" x14ac:dyDescent="0.2">
      <c r="A2092" s="48" t="s">
        <v>149</v>
      </c>
      <c r="B2092" s="12" t="s">
        <v>22</v>
      </c>
      <c r="C2092" s="28" t="s">
        <v>64</v>
      </c>
      <c r="D2092" s="44">
        <v>0.21004644926755869</v>
      </c>
      <c r="E2092" s="15" t="s">
        <v>148</v>
      </c>
      <c r="F2092" s="16" t="s">
        <v>16</v>
      </c>
      <c r="G2092" s="22">
        <v>1</v>
      </c>
      <c r="H2092" s="23">
        <v>1</v>
      </c>
      <c r="I2092" s="23">
        <v>1</v>
      </c>
      <c r="J2092" s="23">
        <v>2</v>
      </c>
      <c r="K2092" s="23">
        <v>3</v>
      </c>
      <c r="L2092" s="25">
        <f t="shared" ref="L2092:L2118" si="64">IF( OR( ISBLANK(G2092),ISBLANK(H2092), ISBLANK(I2092), ISBLANK(J2092), ISBLANK(K2092) ), "", 1.5*SQRT( EXP(2.21*(G2092-1)) + EXP(2.21*(H2092-1)) + EXP(2.21*(I2092-1)) + EXP(2.21*(J2092-1)) + EXP(2.21*K2092) )/100*2.45 )</f>
        <v>1.0195048044558224</v>
      </c>
      <c r="M2092" s="20"/>
    </row>
    <row r="2093" spans="1:13" x14ac:dyDescent="0.2">
      <c r="A2093" s="48" t="s">
        <v>149</v>
      </c>
      <c r="B2093" s="12" t="s">
        <v>23</v>
      </c>
      <c r="C2093" s="28" t="s">
        <v>64</v>
      </c>
      <c r="D2093" s="44">
        <v>5.8067329473157771E-2</v>
      </c>
      <c r="E2093" s="15" t="s">
        <v>148</v>
      </c>
      <c r="F2093" s="16" t="s">
        <v>16</v>
      </c>
      <c r="G2093" s="22">
        <v>1</v>
      </c>
      <c r="H2093" s="23">
        <v>1</v>
      </c>
      <c r="I2093" s="23">
        <v>1</v>
      </c>
      <c r="J2093" s="23">
        <v>2</v>
      </c>
      <c r="K2093" s="23">
        <v>3</v>
      </c>
      <c r="L2093" s="25">
        <f t="shared" si="64"/>
        <v>1.0195048044558224</v>
      </c>
      <c r="M2093" s="20"/>
    </row>
    <row r="2094" spans="1:13" x14ac:dyDescent="0.2">
      <c r="A2094" s="48" t="s">
        <v>149</v>
      </c>
      <c r="B2094" s="12" t="s">
        <v>24</v>
      </c>
      <c r="C2094" s="28" t="s">
        <v>64</v>
      </c>
      <c r="D2094" s="44">
        <v>0.83875868148543664</v>
      </c>
      <c r="E2094" s="15" t="s">
        <v>148</v>
      </c>
      <c r="F2094" s="16" t="s">
        <v>16</v>
      </c>
      <c r="G2094" s="22">
        <v>1</v>
      </c>
      <c r="H2094" s="23">
        <v>1</v>
      </c>
      <c r="I2094" s="23">
        <v>1</v>
      </c>
      <c r="J2094" s="23">
        <v>2</v>
      </c>
      <c r="K2094" s="23">
        <v>3</v>
      </c>
      <c r="L2094" s="25">
        <f t="shared" si="64"/>
        <v>1.0195048044558224</v>
      </c>
      <c r="M2094" s="20"/>
    </row>
    <row r="2095" spans="1:13" x14ac:dyDescent="0.2">
      <c r="A2095" s="48" t="s">
        <v>149</v>
      </c>
      <c r="B2095" s="12" t="s">
        <v>25</v>
      </c>
      <c r="C2095" s="28" t="s">
        <v>64</v>
      </c>
      <c r="D2095" s="44">
        <v>0.72550577601330613</v>
      </c>
      <c r="E2095" s="15" t="s">
        <v>148</v>
      </c>
      <c r="F2095" s="16" t="s">
        <v>16</v>
      </c>
      <c r="G2095" s="22">
        <v>1</v>
      </c>
      <c r="H2095" s="23">
        <v>1</v>
      </c>
      <c r="I2095" s="23">
        <v>1</v>
      </c>
      <c r="J2095" s="23">
        <v>2</v>
      </c>
      <c r="K2095" s="23">
        <v>3</v>
      </c>
      <c r="L2095" s="25">
        <f t="shared" si="64"/>
        <v>1.0195048044558224</v>
      </c>
      <c r="M2095" s="20"/>
    </row>
    <row r="2096" spans="1:13" x14ac:dyDescent="0.2">
      <c r="A2096" s="48" t="s">
        <v>149</v>
      </c>
      <c r="B2096" s="12" t="s">
        <v>26</v>
      </c>
      <c r="C2096" s="28" t="s">
        <v>64</v>
      </c>
      <c r="D2096" s="44">
        <v>0.1700043716539999</v>
      </c>
      <c r="E2096" s="15" t="s">
        <v>148</v>
      </c>
      <c r="F2096" s="16" t="s">
        <v>16</v>
      </c>
      <c r="G2096" s="22">
        <v>1</v>
      </c>
      <c r="H2096" s="23">
        <v>1</v>
      </c>
      <c r="I2096" s="23">
        <v>1</v>
      </c>
      <c r="J2096" s="23">
        <v>2</v>
      </c>
      <c r="K2096" s="23">
        <v>3</v>
      </c>
      <c r="L2096" s="25">
        <f t="shared" si="64"/>
        <v>1.0195048044558224</v>
      </c>
      <c r="M2096" s="20"/>
    </row>
    <row r="2097" spans="1:13" x14ac:dyDescent="0.2">
      <c r="A2097" s="48" t="s">
        <v>149</v>
      </c>
      <c r="B2097" s="12" t="s">
        <v>27</v>
      </c>
      <c r="C2097" s="28" t="s">
        <v>64</v>
      </c>
      <c r="D2097" s="44">
        <v>0.4980550267099878</v>
      </c>
      <c r="E2097" s="15" t="s">
        <v>148</v>
      </c>
      <c r="F2097" s="16" t="s">
        <v>16</v>
      </c>
      <c r="G2097" s="22">
        <v>1</v>
      </c>
      <c r="H2097" s="23">
        <v>1</v>
      </c>
      <c r="I2097" s="23">
        <v>1</v>
      </c>
      <c r="J2097" s="23">
        <v>2</v>
      </c>
      <c r="K2097" s="23">
        <v>3</v>
      </c>
      <c r="L2097" s="25">
        <f t="shared" si="64"/>
        <v>1.0195048044558224</v>
      </c>
      <c r="M2097" s="20"/>
    </row>
    <row r="2098" spans="1:13" x14ac:dyDescent="0.2">
      <c r="A2098" s="48" t="s">
        <v>149</v>
      </c>
      <c r="B2098" s="12" t="s">
        <v>28</v>
      </c>
      <c r="C2098" s="28" t="s">
        <v>64</v>
      </c>
      <c r="D2098" s="44">
        <v>6.8054280786752663</v>
      </c>
      <c r="E2098" s="15" t="s">
        <v>148</v>
      </c>
      <c r="F2098" s="16" t="s">
        <v>16</v>
      </c>
      <c r="G2098" s="22">
        <v>1</v>
      </c>
      <c r="H2098" s="23">
        <v>1</v>
      </c>
      <c r="I2098" s="23">
        <v>1</v>
      </c>
      <c r="J2098" s="23">
        <v>2</v>
      </c>
      <c r="K2098" s="23">
        <v>3</v>
      </c>
      <c r="L2098" s="25">
        <f t="shared" si="64"/>
        <v>1.0195048044558224</v>
      </c>
      <c r="M2098" s="20"/>
    </row>
    <row r="2099" spans="1:13" x14ac:dyDescent="0.2">
      <c r="A2099" s="48" t="s">
        <v>149</v>
      </c>
      <c r="B2099" s="12" t="s">
        <v>30</v>
      </c>
      <c r="C2099" s="28" t="s">
        <v>64</v>
      </c>
      <c r="D2099" s="44">
        <v>12.006272325109819</v>
      </c>
      <c r="E2099" s="15" t="s">
        <v>148</v>
      </c>
      <c r="F2099" s="16" t="s">
        <v>16</v>
      </c>
      <c r="G2099" s="22">
        <v>1</v>
      </c>
      <c r="H2099" s="23">
        <v>1</v>
      </c>
      <c r="I2099" s="23">
        <v>1</v>
      </c>
      <c r="J2099" s="23">
        <v>2</v>
      </c>
      <c r="K2099" s="23">
        <v>3</v>
      </c>
      <c r="L2099" s="24">
        <f t="shared" si="64"/>
        <v>1.0195048044558224</v>
      </c>
      <c r="M2099" s="20"/>
    </row>
    <row r="2100" spans="1:13" x14ac:dyDescent="0.2">
      <c r="A2100" s="48" t="s">
        <v>149</v>
      </c>
      <c r="B2100" s="12" t="s">
        <v>32</v>
      </c>
      <c r="C2100" s="28" t="s">
        <v>64</v>
      </c>
      <c r="D2100" s="44">
        <v>0.8785093048454562</v>
      </c>
      <c r="E2100" s="15" t="s">
        <v>148</v>
      </c>
      <c r="F2100" s="16" t="s">
        <v>16</v>
      </c>
      <c r="G2100" s="22">
        <v>1</v>
      </c>
      <c r="H2100" s="23">
        <v>1</v>
      </c>
      <c r="I2100" s="23">
        <v>1</v>
      </c>
      <c r="J2100" s="23">
        <v>2</v>
      </c>
      <c r="K2100" s="23">
        <v>3</v>
      </c>
      <c r="L2100" s="25">
        <f t="shared" si="64"/>
        <v>1.0195048044558224</v>
      </c>
      <c r="M2100" s="20"/>
    </row>
    <row r="2101" spans="1:13" x14ac:dyDescent="0.2">
      <c r="A2101" s="48" t="s">
        <v>149</v>
      </c>
      <c r="B2101" s="12" t="s">
        <v>34</v>
      </c>
      <c r="C2101" s="28" t="s">
        <v>64</v>
      </c>
      <c r="D2101" s="44">
        <v>1.4707465543487259</v>
      </c>
      <c r="E2101" s="15" t="s">
        <v>148</v>
      </c>
      <c r="F2101" s="16" t="s">
        <v>16</v>
      </c>
      <c r="G2101" s="22">
        <v>1</v>
      </c>
      <c r="H2101" s="23">
        <v>1</v>
      </c>
      <c r="I2101" s="23">
        <v>1</v>
      </c>
      <c r="J2101" s="23">
        <v>2</v>
      </c>
      <c r="K2101" s="23">
        <v>3</v>
      </c>
      <c r="L2101" s="25">
        <f t="shared" si="64"/>
        <v>1.0195048044558224</v>
      </c>
      <c r="M2101" s="20"/>
    </row>
    <row r="2102" spans="1:13" x14ac:dyDescent="0.2">
      <c r="A2102" s="48" t="s">
        <v>149</v>
      </c>
      <c r="B2102" s="12" t="s">
        <v>36</v>
      </c>
      <c r="C2102" s="28" t="s">
        <v>64</v>
      </c>
      <c r="D2102" s="44">
        <v>0.96793424940106187</v>
      </c>
      <c r="E2102" s="15" t="s">
        <v>148</v>
      </c>
      <c r="F2102" s="16" t="s">
        <v>16</v>
      </c>
      <c r="G2102" s="22">
        <v>1</v>
      </c>
      <c r="H2102" s="23">
        <v>1</v>
      </c>
      <c r="I2102" s="23">
        <v>1</v>
      </c>
      <c r="J2102" s="23">
        <v>2</v>
      </c>
      <c r="K2102" s="23">
        <v>3</v>
      </c>
      <c r="L2102" s="25">
        <f t="shared" si="64"/>
        <v>1.0195048044558224</v>
      </c>
      <c r="M2102" s="20"/>
    </row>
    <row r="2103" spans="1:13" x14ac:dyDescent="0.2">
      <c r="A2103" s="48" t="s">
        <v>149</v>
      </c>
      <c r="B2103" s="12" t="s">
        <v>37</v>
      </c>
      <c r="C2103" s="28" t="s">
        <v>64</v>
      </c>
      <c r="D2103" s="44">
        <v>6.3269567210522766</v>
      </c>
      <c r="E2103" s="15" t="s">
        <v>148</v>
      </c>
      <c r="F2103" s="16" t="s">
        <v>16</v>
      </c>
      <c r="G2103" s="22">
        <v>1</v>
      </c>
      <c r="H2103" s="23">
        <v>1</v>
      </c>
      <c r="I2103" s="23">
        <v>1</v>
      </c>
      <c r="J2103" s="23">
        <v>2</v>
      </c>
      <c r="K2103" s="23">
        <v>3</v>
      </c>
      <c r="L2103" s="24">
        <f t="shared" si="64"/>
        <v>1.0195048044558224</v>
      </c>
      <c r="M2103" s="20"/>
    </row>
    <row r="2104" spans="1:13" x14ac:dyDescent="0.2">
      <c r="A2104" s="48" t="s">
        <v>149</v>
      </c>
      <c r="B2104" s="12" t="s">
        <v>39</v>
      </c>
      <c r="C2104" s="28" t="s">
        <v>64</v>
      </c>
      <c r="D2104" s="44">
        <v>0.14877745532319761</v>
      </c>
      <c r="E2104" s="15" t="s">
        <v>148</v>
      </c>
      <c r="F2104" s="16" t="s">
        <v>16</v>
      </c>
      <c r="G2104" s="22">
        <v>1</v>
      </c>
      <c r="H2104" s="23">
        <v>1</v>
      </c>
      <c r="I2104" s="23">
        <v>1</v>
      </c>
      <c r="J2104" s="23">
        <v>2</v>
      </c>
      <c r="K2104" s="23">
        <v>3</v>
      </c>
      <c r="L2104" s="25">
        <f t="shared" si="64"/>
        <v>1.0195048044558224</v>
      </c>
      <c r="M2104" s="20"/>
    </row>
    <row r="2105" spans="1:13" x14ac:dyDescent="0.2">
      <c r="A2105" s="48" t="s">
        <v>149</v>
      </c>
      <c r="B2105" s="12" t="s">
        <v>40</v>
      </c>
      <c r="C2105" s="28" t="s">
        <v>64</v>
      </c>
      <c r="D2105" s="44">
        <v>0.27317590187354268</v>
      </c>
      <c r="E2105" s="15" t="s">
        <v>148</v>
      </c>
      <c r="F2105" s="16" t="s">
        <v>16</v>
      </c>
      <c r="G2105" s="22">
        <v>1</v>
      </c>
      <c r="H2105" s="23">
        <v>1</v>
      </c>
      <c r="I2105" s="23">
        <v>1</v>
      </c>
      <c r="J2105" s="23">
        <v>2</v>
      </c>
      <c r="K2105" s="23">
        <v>3</v>
      </c>
      <c r="L2105" s="25">
        <f t="shared" si="64"/>
        <v>1.0195048044558224</v>
      </c>
      <c r="M2105" s="20"/>
    </row>
    <row r="2106" spans="1:13" x14ac:dyDescent="0.2">
      <c r="A2106" s="48" t="s">
        <v>149</v>
      </c>
      <c r="B2106" s="12" t="s">
        <v>41</v>
      </c>
      <c r="C2106" s="28" t="s">
        <v>64</v>
      </c>
      <c r="D2106" s="44">
        <v>7.7634483395953011E-2</v>
      </c>
      <c r="E2106" s="15" t="s">
        <v>148</v>
      </c>
      <c r="F2106" s="16" t="s">
        <v>16</v>
      </c>
      <c r="G2106" s="22">
        <v>1</v>
      </c>
      <c r="H2106" s="23">
        <v>1</v>
      </c>
      <c r="I2106" s="23">
        <v>1</v>
      </c>
      <c r="J2106" s="23">
        <v>2</v>
      </c>
      <c r="K2106" s="23">
        <v>3</v>
      </c>
      <c r="L2106" s="25">
        <f t="shared" si="64"/>
        <v>1.0195048044558224</v>
      </c>
      <c r="M2106" s="20"/>
    </row>
    <row r="2107" spans="1:13" x14ac:dyDescent="0.2">
      <c r="A2107" s="48" t="s">
        <v>149</v>
      </c>
      <c r="B2107" s="12" t="s">
        <v>42</v>
      </c>
      <c r="C2107" s="28" t="s">
        <v>64</v>
      </c>
      <c r="D2107" s="44">
        <v>4.4792287767015819E-2</v>
      </c>
      <c r="E2107" s="15" t="s">
        <v>148</v>
      </c>
      <c r="F2107" s="16" t="s">
        <v>16</v>
      </c>
      <c r="G2107" s="22">
        <v>1</v>
      </c>
      <c r="H2107" s="23">
        <v>1</v>
      </c>
      <c r="I2107" s="23">
        <v>1</v>
      </c>
      <c r="J2107" s="23">
        <v>2</v>
      </c>
      <c r="K2107" s="23">
        <v>3</v>
      </c>
      <c r="L2107" s="25">
        <f t="shared" si="64"/>
        <v>1.0195048044558224</v>
      </c>
      <c r="M2107" s="20"/>
    </row>
    <row r="2108" spans="1:13" x14ac:dyDescent="0.2">
      <c r="A2108" s="48" t="s">
        <v>149</v>
      </c>
      <c r="B2108" s="12" t="s">
        <v>43</v>
      </c>
      <c r="C2108" s="28" t="s">
        <v>64</v>
      </c>
      <c r="D2108" s="44">
        <v>2.0738034961410512</v>
      </c>
      <c r="E2108" s="15" t="s">
        <v>148</v>
      </c>
      <c r="F2108" s="16" t="s">
        <v>16</v>
      </c>
      <c r="G2108" s="22">
        <v>1</v>
      </c>
      <c r="H2108" s="23">
        <v>1</v>
      </c>
      <c r="I2108" s="23">
        <v>1</v>
      </c>
      <c r="J2108" s="23">
        <v>2</v>
      </c>
      <c r="K2108" s="23">
        <v>3</v>
      </c>
      <c r="L2108" s="25">
        <f t="shared" si="64"/>
        <v>1.0195048044558224</v>
      </c>
      <c r="M2108" s="20"/>
    </row>
    <row r="2109" spans="1:13" x14ac:dyDescent="0.2">
      <c r="A2109" s="48" t="s">
        <v>149</v>
      </c>
      <c r="B2109" s="12" t="s">
        <v>45</v>
      </c>
      <c r="C2109" s="28" t="s">
        <v>64</v>
      </c>
      <c r="D2109" s="44">
        <v>0.78545025323111484</v>
      </c>
      <c r="E2109" s="15" t="s">
        <v>148</v>
      </c>
      <c r="F2109" s="16" t="s">
        <v>16</v>
      </c>
      <c r="G2109" s="22">
        <v>1</v>
      </c>
      <c r="H2109" s="23">
        <v>1</v>
      </c>
      <c r="I2109" s="23">
        <v>1</v>
      </c>
      <c r="J2109" s="23">
        <v>2</v>
      </c>
      <c r="K2109" s="23">
        <v>3</v>
      </c>
      <c r="L2109" s="25">
        <f t="shared" si="64"/>
        <v>1.0195048044558224</v>
      </c>
      <c r="M2109" s="20"/>
    </row>
    <row r="2110" spans="1:13" x14ac:dyDescent="0.2">
      <c r="A2110" s="48" t="s">
        <v>149</v>
      </c>
      <c r="B2110" s="12" t="s">
        <v>46</v>
      </c>
      <c r="C2110" s="28" t="s">
        <v>64</v>
      </c>
      <c r="D2110" s="44">
        <v>3.574288961105859</v>
      </c>
      <c r="E2110" s="15" t="s">
        <v>148</v>
      </c>
      <c r="F2110" s="16" t="s">
        <v>16</v>
      </c>
      <c r="G2110" s="22">
        <v>1</v>
      </c>
      <c r="H2110" s="23">
        <v>1</v>
      </c>
      <c r="I2110" s="23">
        <v>1</v>
      </c>
      <c r="J2110" s="23">
        <v>2</v>
      </c>
      <c r="K2110" s="23">
        <v>3</v>
      </c>
      <c r="L2110" s="24">
        <f t="shared" si="64"/>
        <v>1.0195048044558224</v>
      </c>
      <c r="M2110" s="20"/>
    </row>
    <row r="2111" spans="1:13" x14ac:dyDescent="0.2">
      <c r="A2111" s="48" t="s">
        <v>149</v>
      </c>
      <c r="B2111" s="12" t="s">
        <v>48</v>
      </c>
      <c r="C2111" s="28" t="s">
        <v>64</v>
      </c>
      <c r="D2111" s="44">
        <v>1.3167868789991359</v>
      </c>
      <c r="E2111" s="15" t="s">
        <v>148</v>
      </c>
      <c r="F2111" s="16" t="s">
        <v>16</v>
      </c>
      <c r="G2111" s="22">
        <v>1</v>
      </c>
      <c r="H2111" s="23">
        <v>1</v>
      </c>
      <c r="I2111" s="23">
        <v>1</v>
      </c>
      <c r="J2111" s="23">
        <v>2</v>
      </c>
      <c r="K2111" s="23">
        <v>3</v>
      </c>
      <c r="L2111" s="25">
        <f t="shared" si="64"/>
        <v>1.0195048044558224</v>
      </c>
      <c r="M2111" s="20"/>
    </row>
    <row r="2112" spans="1:13" x14ac:dyDescent="0.2">
      <c r="A2112" s="48" t="s">
        <v>149</v>
      </c>
      <c r="B2112" s="12" t="s">
        <v>50</v>
      </c>
      <c r="C2112" s="28" t="s">
        <v>64</v>
      </c>
      <c r="D2112" s="44">
        <v>1.5301258617244511</v>
      </c>
      <c r="E2112" s="15" t="s">
        <v>148</v>
      </c>
      <c r="F2112" s="16" t="s">
        <v>16</v>
      </c>
      <c r="G2112" s="22">
        <v>1</v>
      </c>
      <c r="H2112" s="23">
        <v>1</v>
      </c>
      <c r="I2112" s="23">
        <v>1</v>
      </c>
      <c r="J2112" s="23">
        <v>2</v>
      </c>
      <c r="K2112" s="23">
        <v>3</v>
      </c>
      <c r="L2112" s="25">
        <f t="shared" si="64"/>
        <v>1.0195048044558224</v>
      </c>
      <c r="M2112" s="20"/>
    </row>
    <row r="2113" spans="1:13" x14ac:dyDescent="0.2">
      <c r="A2113" s="48" t="s">
        <v>149</v>
      </c>
      <c r="B2113" s="12" t="s">
        <v>52</v>
      </c>
      <c r="C2113" s="28" t="s">
        <v>64</v>
      </c>
      <c r="D2113" s="44">
        <v>0.40677785509633452</v>
      </c>
      <c r="E2113" s="15" t="s">
        <v>148</v>
      </c>
      <c r="F2113" s="16" t="s">
        <v>16</v>
      </c>
      <c r="G2113" s="22">
        <v>1</v>
      </c>
      <c r="H2113" s="23">
        <v>1</v>
      </c>
      <c r="I2113" s="23">
        <v>1</v>
      </c>
      <c r="J2113" s="23">
        <v>2</v>
      </c>
      <c r="K2113" s="23">
        <v>3</v>
      </c>
      <c r="L2113" s="25">
        <f t="shared" si="64"/>
        <v>1.0195048044558224</v>
      </c>
      <c r="M2113" s="20"/>
    </row>
    <row r="2114" spans="1:13" x14ac:dyDescent="0.2">
      <c r="A2114" s="48" t="s">
        <v>149</v>
      </c>
      <c r="B2114" s="12" t="s">
        <v>54</v>
      </c>
      <c r="C2114" s="28" t="s">
        <v>64</v>
      </c>
      <c r="D2114" s="44">
        <v>0.15746898704902859</v>
      </c>
      <c r="E2114" s="15" t="s">
        <v>148</v>
      </c>
      <c r="F2114" s="16" t="s">
        <v>16</v>
      </c>
      <c r="G2114" s="22">
        <v>1</v>
      </c>
      <c r="H2114" s="23">
        <v>1</v>
      </c>
      <c r="I2114" s="23">
        <v>1</v>
      </c>
      <c r="J2114" s="23">
        <v>2</v>
      </c>
      <c r="K2114" s="23">
        <v>3</v>
      </c>
      <c r="L2114" s="25">
        <f t="shared" si="64"/>
        <v>1.0195048044558224</v>
      </c>
      <c r="M2114" s="20"/>
    </row>
    <row r="2115" spans="1:13" x14ac:dyDescent="0.2">
      <c r="A2115" s="48" t="s">
        <v>149</v>
      </c>
      <c r="B2115" s="12" t="s">
        <v>55</v>
      </c>
      <c r="C2115" s="28" t="s">
        <v>64</v>
      </c>
      <c r="D2115" s="44">
        <v>4.8280802344239708</v>
      </c>
      <c r="E2115" s="15" t="s">
        <v>148</v>
      </c>
      <c r="F2115" s="16" t="s">
        <v>16</v>
      </c>
      <c r="G2115" s="22">
        <v>1</v>
      </c>
      <c r="H2115" s="23">
        <v>1</v>
      </c>
      <c r="I2115" s="23">
        <v>1</v>
      </c>
      <c r="J2115" s="23">
        <v>2</v>
      </c>
      <c r="K2115" s="23">
        <v>3</v>
      </c>
      <c r="L2115" s="24">
        <f t="shared" si="64"/>
        <v>1.0195048044558224</v>
      </c>
      <c r="M2115" s="20"/>
    </row>
    <row r="2116" spans="1:13" x14ac:dyDescent="0.2">
      <c r="A2116" s="48" t="s">
        <v>149</v>
      </c>
      <c r="B2116" s="12" t="s">
        <v>57</v>
      </c>
      <c r="C2116" s="28" t="s">
        <v>64</v>
      </c>
      <c r="D2116" s="44">
        <v>0.78741480564380006</v>
      </c>
      <c r="E2116" s="15" t="s">
        <v>148</v>
      </c>
      <c r="F2116" s="16" t="s">
        <v>16</v>
      </c>
      <c r="G2116" s="22">
        <v>1</v>
      </c>
      <c r="H2116" s="23">
        <v>1</v>
      </c>
      <c r="I2116" s="23">
        <v>1</v>
      </c>
      <c r="J2116" s="23">
        <v>2</v>
      </c>
      <c r="K2116" s="23">
        <v>3</v>
      </c>
      <c r="L2116" s="25">
        <f t="shared" si="64"/>
        <v>1.0195048044558224</v>
      </c>
      <c r="M2116" s="20"/>
    </row>
    <row r="2117" spans="1:13" x14ac:dyDescent="0.2">
      <c r="A2117" s="48" t="s">
        <v>149</v>
      </c>
      <c r="B2117" s="12" t="s">
        <v>59</v>
      </c>
      <c r="C2117" s="28" t="s">
        <v>64</v>
      </c>
      <c r="D2117" s="44">
        <v>1.184831763017443</v>
      </c>
      <c r="E2117" s="15" t="s">
        <v>148</v>
      </c>
      <c r="F2117" s="16" t="s">
        <v>16</v>
      </c>
      <c r="G2117" s="22">
        <v>1</v>
      </c>
      <c r="H2117" s="23">
        <v>1</v>
      </c>
      <c r="I2117" s="23">
        <v>1</v>
      </c>
      <c r="J2117" s="23">
        <v>2</v>
      </c>
      <c r="K2117" s="23">
        <v>3</v>
      </c>
      <c r="L2117" s="25">
        <f t="shared" si="64"/>
        <v>1.0195048044558224</v>
      </c>
      <c r="M2117" s="20"/>
    </row>
    <row r="2118" spans="1:13" x14ac:dyDescent="0.2">
      <c r="A2118" s="48" t="s">
        <v>149</v>
      </c>
      <c r="B2118" s="12" t="s">
        <v>60</v>
      </c>
      <c r="C2118" s="28" t="s">
        <v>64</v>
      </c>
      <c r="D2118" s="44">
        <v>6.2567233701705289</v>
      </c>
      <c r="E2118" s="15" t="s">
        <v>148</v>
      </c>
      <c r="F2118" s="16" t="s">
        <v>16</v>
      </c>
      <c r="G2118" s="22">
        <v>1</v>
      </c>
      <c r="H2118" s="23">
        <v>2</v>
      </c>
      <c r="I2118" s="23">
        <v>1</v>
      </c>
      <c r="J2118" s="23">
        <v>2</v>
      </c>
      <c r="K2118" s="23">
        <v>3</v>
      </c>
      <c r="L2118" s="24">
        <f t="shared" si="64"/>
        <v>1.0248662490928169</v>
      </c>
      <c r="M2118" s="20"/>
    </row>
    <row r="2119" spans="1:13" x14ac:dyDescent="0.2">
      <c r="A2119" s="48" t="s">
        <v>149</v>
      </c>
      <c r="B2119" s="22" t="s">
        <v>135</v>
      </c>
      <c r="C2119" s="29" t="s">
        <v>66</v>
      </c>
      <c r="D2119" s="14">
        <v>0</v>
      </c>
      <c r="E2119" s="15"/>
      <c r="F2119" s="16"/>
      <c r="G2119" s="17"/>
      <c r="H2119" s="18"/>
      <c r="I2119" s="18"/>
      <c r="J2119" s="18"/>
      <c r="K2119" s="18"/>
      <c r="L2119" s="19" t="str">
        <f>IF( OR( ISBLANK(G2119),ISBLANK(H2119), ISBLANK(I2119), ISBLANK(J2119), ISBLANK(K2119) ), "", 1.5*SQRT(   EXP(2.21*(G2119-1)) + EXP(2.21*(H2119-1)) + EXP(2.21*(I2119-1)) + EXP(2.21*(J2119-1)) + EXP(2.21*K2119)   )/100*2.45 )</f>
        <v/>
      </c>
      <c r="M2119" s="20"/>
    </row>
    <row r="2120" spans="1:13" x14ac:dyDescent="0.2">
      <c r="A2120" s="48" t="s">
        <v>149</v>
      </c>
      <c r="B2120" s="22" t="s">
        <v>135</v>
      </c>
      <c r="C2120" s="30" t="s">
        <v>94</v>
      </c>
      <c r="D2120" s="14">
        <v>0</v>
      </c>
      <c r="E2120" s="15"/>
      <c r="F2120" s="16"/>
      <c r="G2120" s="17"/>
      <c r="H2120" s="18"/>
      <c r="I2120" s="18"/>
      <c r="J2120" s="18"/>
      <c r="K2120" s="18"/>
      <c r="L2120" s="19" t="str">
        <f>IF( OR( ISBLANK(G2120),ISBLANK(H2120), ISBLANK(I2120), ISBLANK(J2120), ISBLANK(K2120) ), "", 1.5*SQRT(   EXP(2.21*(G2120-1)) + EXP(2.21*(H2120-1)) + EXP(2.21*(I2120-1)) + EXP(2.21*(J2120-1)) + EXP(2.21*K2120)   )/100*2.45 )</f>
        <v/>
      </c>
      <c r="M2120" s="20"/>
    </row>
    <row r="2121" spans="1:13" x14ac:dyDescent="0.2">
      <c r="A2121" s="48" t="s">
        <v>149</v>
      </c>
      <c r="B2121" s="22" t="s">
        <v>135</v>
      </c>
      <c r="C2121" s="31" t="s">
        <v>96</v>
      </c>
      <c r="D2121" s="14">
        <v>0</v>
      </c>
      <c r="E2121" s="15"/>
      <c r="F2121" s="16"/>
      <c r="G2121" s="17"/>
      <c r="H2121" s="18"/>
      <c r="I2121" s="18"/>
      <c r="J2121" s="18"/>
      <c r="K2121" s="18"/>
      <c r="L2121" s="19" t="str">
        <f>IF( OR( ISBLANK(G2121),ISBLANK(H2121), ISBLANK(I2121), ISBLANK(J2121), ISBLANK(K2121) ), "", 1.5*SQRT(   EXP(2.21*(G2121-1)) + EXP(2.21*(H2121-1)) + EXP(2.21*(I2121-1)) + EXP(2.21*(J2121-1)) + EXP(2.21*K2121)   )/100*2.45 )</f>
        <v/>
      </c>
      <c r="M2121" s="20"/>
    </row>
    <row r="2122" spans="1:13" x14ac:dyDescent="0.2">
      <c r="A2122" s="48" t="s">
        <v>149</v>
      </c>
      <c r="B2122" s="12" t="s">
        <v>13</v>
      </c>
      <c r="C2122" s="32" t="s">
        <v>98</v>
      </c>
      <c r="D2122" s="44">
        <v>11.8701372304135</v>
      </c>
      <c r="E2122" s="15" t="s">
        <v>148</v>
      </c>
      <c r="F2122" s="16" t="s">
        <v>16</v>
      </c>
      <c r="G2122" s="22">
        <v>1</v>
      </c>
      <c r="H2122" s="23">
        <v>1</v>
      </c>
      <c r="I2122" s="23">
        <v>1</v>
      </c>
      <c r="J2122" s="23">
        <v>2</v>
      </c>
      <c r="K2122" s="23">
        <v>3</v>
      </c>
      <c r="L2122" s="25">
        <f t="shared" ref="L2122:L2151" si="65">IF( OR( ISBLANK(G2122),ISBLANK(H2122), ISBLANK(I2122), ISBLANK(J2122), ISBLANK(K2122) ), "", 1.5*SQRT( EXP(2.21*(G2122-1)) + EXP(2.21*(H2122-1)) + EXP(2.21*(I2122-1)) + EXP(2.21*(J2122-1)) + EXP(2.21*K2122) )/100*2.45 )</f>
        <v>1.0195048044558224</v>
      </c>
      <c r="M2122" s="20"/>
    </row>
    <row r="2123" spans="1:13" x14ac:dyDescent="0.2">
      <c r="A2123" s="48" t="s">
        <v>149</v>
      </c>
      <c r="B2123" s="12" t="s">
        <v>18</v>
      </c>
      <c r="C2123" s="32" t="s">
        <v>98</v>
      </c>
      <c r="D2123" s="44">
        <v>15.999778793686041</v>
      </c>
      <c r="E2123" s="15" t="s">
        <v>148</v>
      </c>
      <c r="F2123" s="16" t="s">
        <v>16</v>
      </c>
      <c r="G2123" s="22">
        <v>1</v>
      </c>
      <c r="H2123" s="23">
        <v>1</v>
      </c>
      <c r="I2123" s="23">
        <v>1</v>
      </c>
      <c r="J2123" s="23">
        <v>2</v>
      </c>
      <c r="K2123" s="23">
        <v>3</v>
      </c>
      <c r="L2123" s="25">
        <f t="shared" si="65"/>
        <v>1.0195048044558224</v>
      </c>
      <c r="M2123" s="20"/>
    </row>
    <row r="2124" spans="1:13" x14ac:dyDescent="0.2">
      <c r="A2124" s="48" t="s">
        <v>149</v>
      </c>
      <c r="B2124" s="12" t="s">
        <v>20</v>
      </c>
      <c r="C2124" s="32" t="s">
        <v>98</v>
      </c>
      <c r="D2124" s="44">
        <v>6.0710203883489022</v>
      </c>
      <c r="E2124" s="15" t="s">
        <v>148</v>
      </c>
      <c r="F2124" s="16" t="s">
        <v>16</v>
      </c>
      <c r="G2124" s="22">
        <v>1</v>
      </c>
      <c r="H2124" s="23">
        <v>1</v>
      </c>
      <c r="I2124" s="23">
        <v>1</v>
      </c>
      <c r="J2124" s="23">
        <v>2</v>
      </c>
      <c r="K2124" s="23">
        <v>3</v>
      </c>
      <c r="L2124" s="25">
        <f t="shared" si="65"/>
        <v>1.0195048044558224</v>
      </c>
      <c r="M2124" s="20"/>
    </row>
    <row r="2125" spans="1:13" x14ac:dyDescent="0.2">
      <c r="A2125" s="48" t="s">
        <v>149</v>
      </c>
      <c r="B2125" s="12" t="s">
        <v>22</v>
      </c>
      <c r="C2125" s="32" t="s">
        <v>98</v>
      </c>
      <c r="D2125" s="44">
        <v>2.6313933731537</v>
      </c>
      <c r="E2125" s="15" t="s">
        <v>148</v>
      </c>
      <c r="F2125" s="16" t="s">
        <v>16</v>
      </c>
      <c r="G2125" s="22">
        <v>1</v>
      </c>
      <c r="H2125" s="23">
        <v>1</v>
      </c>
      <c r="I2125" s="23">
        <v>1</v>
      </c>
      <c r="J2125" s="23">
        <v>2</v>
      </c>
      <c r="K2125" s="23">
        <v>3</v>
      </c>
      <c r="L2125" s="25">
        <f t="shared" si="65"/>
        <v>1.0195048044558224</v>
      </c>
      <c r="M2125" s="20"/>
    </row>
    <row r="2126" spans="1:13" x14ac:dyDescent="0.2">
      <c r="A2126" s="48" t="s">
        <v>149</v>
      </c>
      <c r="B2126" s="12" t="s">
        <v>23</v>
      </c>
      <c r="C2126" s="32" t="s">
        <v>98</v>
      </c>
      <c r="D2126" s="44">
        <v>0.72744855485638193</v>
      </c>
      <c r="E2126" s="15" t="s">
        <v>148</v>
      </c>
      <c r="F2126" s="16" t="s">
        <v>16</v>
      </c>
      <c r="G2126" s="22">
        <v>1</v>
      </c>
      <c r="H2126" s="23">
        <v>1</v>
      </c>
      <c r="I2126" s="23">
        <v>1</v>
      </c>
      <c r="J2126" s="23">
        <v>2</v>
      </c>
      <c r="K2126" s="23">
        <v>3</v>
      </c>
      <c r="L2126" s="25">
        <f t="shared" si="65"/>
        <v>1.0195048044558224</v>
      </c>
      <c r="M2126" s="20"/>
    </row>
    <row r="2127" spans="1:13" x14ac:dyDescent="0.2">
      <c r="A2127" s="48" t="s">
        <v>149</v>
      </c>
      <c r="B2127" s="12" t="s">
        <v>24</v>
      </c>
      <c r="C2127" s="32" t="s">
        <v>98</v>
      </c>
      <c r="D2127" s="44">
        <v>10.507695054271011</v>
      </c>
      <c r="E2127" s="15" t="s">
        <v>148</v>
      </c>
      <c r="F2127" s="16" t="s">
        <v>16</v>
      </c>
      <c r="G2127" s="22">
        <v>1</v>
      </c>
      <c r="H2127" s="23">
        <v>1</v>
      </c>
      <c r="I2127" s="23">
        <v>1</v>
      </c>
      <c r="J2127" s="23">
        <v>2</v>
      </c>
      <c r="K2127" s="23">
        <v>3</v>
      </c>
      <c r="L2127" s="25">
        <f t="shared" si="65"/>
        <v>1.0195048044558224</v>
      </c>
      <c r="M2127" s="20"/>
    </row>
    <row r="2128" spans="1:13" x14ac:dyDescent="0.2">
      <c r="A2128" s="48" t="s">
        <v>149</v>
      </c>
      <c r="B2128" s="12" t="s">
        <v>25</v>
      </c>
      <c r="C2128" s="32" t="s">
        <v>98</v>
      </c>
      <c r="D2128" s="44">
        <v>9.0888996116965171</v>
      </c>
      <c r="E2128" s="15" t="s">
        <v>148</v>
      </c>
      <c r="F2128" s="16" t="s">
        <v>16</v>
      </c>
      <c r="G2128" s="22">
        <v>1</v>
      </c>
      <c r="H2128" s="23">
        <v>1</v>
      </c>
      <c r="I2128" s="23">
        <v>1</v>
      </c>
      <c r="J2128" s="23">
        <v>2</v>
      </c>
      <c r="K2128" s="23">
        <v>3</v>
      </c>
      <c r="L2128" s="25">
        <f t="shared" si="65"/>
        <v>1.0195048044558224</v>
      </c>
      <c r="M2128" s="20"/>
    </row>
    <row r="2129" spans="1:13" x14ac:dyDescent="0.2">
      <c r="A2129" s="48" t="s">
        <v>149</v>
      </c>
      <c r="B2129" s="12" t="s">
        <v>26</v>
      </c>
      <c r="C2129" s="32" t="s">
        <v>98</v>
      </c>
      <c r="D2129" s="44">
        <v>2.129759291515843</v>
      </c>
      <c r="E2129" s="15" t="s">
        <v>148</v>
      </c>
      <c r="F2129" s="16" t="s">
        <v>16</v>
      </c>
      <c r="G2129" s="22">
        <v>1</v>
      </c>
      <c r="H2129" s="23">
        <v>1</v>
      </c>
      <c r="I2129" s="23">
        <v>1</v>
      </c>
      <c r="J2129" s="23">
        <v>2</v>
      </c>
      <c r="K2129" s="23">
        <v>3</v>
      </c>
      <c r="L2129" s="25">
        <f t="shared" si="65"/>
        <v>1.0195048044558224</v>
      </c>
      <c r="M2129" s="20"/>
    </row>
    <row r="2130" spans="1:13" x14ac:dyDescent="0.2">
      <c r="A2130" s="48" t="s">
        <v>149</v>
      </c>
      <c r="B2130" s="12" t="s">
        <v>27</v>
      </c>
      <c r="C2130" s="32" t="s">
        <v>98</v>
      </c>
      <c r="D2130" s="44">
        <v>6.2394708471416553</v>
      </c>
      <c r="E2130" s="15" t="s">
        <v>148</v>
      </c>
      <c r="F2130" s="16" t="s">
        <v>16</v>
      </c>
      <c r="G2130" s="22">
        <v>1</v>
      </c>
      <c r="H2130" s="23">
        <v>1</v>
      </c>
      <c r="I2130" s="23">
        <v>1</v>
      </c>
      <c r="J2130" s="23">
        <v>2</v>
      </c>
      <c r="K2130" s="23">
        <v>3</v>
      </c>
      <c r="L2130" s="25">
        <f t="shared" si="65"/>
        <v>1.0195048044558224</v>
      </c>
      <c r="M2130" s="20"/>
    </row>
    <row r="2131" spans="1:13" x14ac:dyDescent="0.2">
      <c r="A2131" s="48" t="s">
        <v>149</v>
      </c>
      <c r="B2131" s="12" t="s">
        <v>28</v>
      </c>
      <c r="C2131" s="32" t="s">
        <v>98</v>
      </c>
      <c r="D2131" s="44">
        <v>85.256182192773849</v>
      </c>
      <c r="E2131" s="15" t="s">
        <v>148</v>
      </c>
      <c r="F2131" s="16" t="s">
        <v>16</v>
      </c>
      <c r="G2131" s="22">
        <v>1</v>
      </c>
      <c r="H2131" s="23">
        <v>1</v>
      </c>
      <c r="I2131" s="23">
        <v>1</v>
      </c>
      <c r="J2131" s="23">
        <v>2</v>
      </c>
      <c r="K2131" s="23">
        <v>3</v>
      </c>
      <c r="L2131" s="25">
        <f t="shared" si="65"/>
        <v>1.0195048044558224</v>
      </c>
      <c r="M2131" s="20"/>
    </row>
    <row r="2132" spans="1:13" x14ac:dyDescent="0.2">
      <c r="A2132" s="48" t="s">
        <v>149</v>
      </c>
      <c r="B2132" s="12" t="s">
        <v>30</v>
      </c>
      <c r="C2132" s="32" t="s">
        <v>98</v>
      </c>
      <c r="D2132" s="44">
        <v>150.41066175000651</v>
      </c>
      <c r="E2132" s="15" t="s">
        <v>148</v>
      </c>
      <c r="F2132" s="16" t="s">
        <v>16</v>
      </c>
      <c r="G2132" s="22">
        <v>1</v>
      </c>
      <c r="H2132" s="23">
        <v>1</v>
      </c>
      <c r="I2132" s="23">
        <v>1</v>
      </c>
      <c r="J2132" s="23">
        <v>2</v>
      </c>
      <c r="K2132" s="23">
        <v>3</v>
      </c>
      <c r="L2132" s="24">
        <f t="shared" si="65"/>
        <v>1.0195048044558224</v>
      </c>
      <c r="M2132" s="20"/>
    </row>
    <row r="2133" spans="1:13" x14ac:dyDescent="0.2">
      <c r="A2133" s="48" t="s">
        <v>149</v>
      </c>
      <c r="B2133" s="12" t="s">
        <v>32</v>
      </c>
      <c r="C2133" s="32" t="s">
        <v>98</v>
      </c>
      <c r="D2133" s="44">
        <v>11.00567789212915</v>
      </c>
      <c r="E2133" s="15" t="s">
        <v>148</v>
      </c>
      <c r="F2133" s="16" t="s">
        <v>16</v>
      </c>
      <c r="G2133" s="22">
        <v>1</v>
      </c>
      <c r="H2133" s="23">
        <v>1</v>
      </c>
      <c r="I2133" s="23">
        <v>1</v>
      </c>
      <c r="J2133" s="23">
        <v>2</v>
      </c>
      <c r="K2133" s="23">
        <v>3</v>
      </c>
      <c r="L2133" s="25">
        <f t="shared" si="65"/>
        <v>1.0195048044558224</v>
      </c>
      <c r="M2133" s="20"/>
    </row>
    <row r="2134" spans="1:13" x14ac:dyDescent="0.2">
      <c r="A2134" s="48" t="s">
        <v>149</v>
      </c>
      <c r="B2134" s="12" t="s">
        <v>34</v>
      </c>
      <c r="C2134" s="32" t="s">
        <v>98</v>
      </c>
      <c r="D2134" s="44">
        <v>18.425032892472739</v>
      </c>
      <c r="E2134" s="15" t="s">
        <v>148</v>
      </c>
      <c r="F2134" s="16" t="s">
        <v>16</v>
      </c>
      <c r="G2134" s="22">
        <v>1</v>
      </c>
      <c r="H2134" s="23">
        <v>1</v>
      </c>
      <c r="I2134" s="23">
        <v>1</v>
      </c>
      <c r="J2134" s="23">
        <v>2</v>
      </c>
      <c r="K2134" s="23">
        <v>3</v>
      </c>
      <c r="L2134" s="25">
        <f t="shared" si="65"/>
        <v>1.0195048044558224</v>
      </c>
      <c r="M2134" s="20"/>
    </row>
    <row r="2135" spans="1:13" x14ac:dyDescent="0.2">
      <c r="A2135" s="48" t="s">
        <v>149</v>
      </c>
      <c r="B2135" s="12" t="s">
        <v>36</v>
      </c>
      <c r="C2135" s="32" t="s">
        <v>98</v>
      </c>
      <c r="D2135" s="44">
        <v>12.125964415985189</v>
      </c>
      <c r="E2135" s="15" t="s">
        <v>148</v>
      </c>
      <c r="F2135" s="16" t="s">
        <v>16</v>
      </c>
      <c r="G2135" s="22">
        <v>1</v>
      </c>
      <c r="H2135" s="23">
        <v>1</v>
      </c>
      <c r="I2135" s="23">
        <v>1</v>
      </c>
      <c r="J2135" s="23">
        <v>2</v>
      </c>
      <c r="K2135" s="23">
        <v>3</v>
      </c>
      <c r="L2135" s="25">
        <f t="shared" si="65"/>
        <v>1.0195048044558224</v>
      </c>
      <c r="M2135" s="20"/>
    </row>
    <row r="2136" spans="1:13" x14ac:dyDescent="0.2">
      <c r="A2136" s="48" t="s">
        <v>149</v>
      </c>
      <c r="B2136" s="12" t="s">
        <v>37</v>
      </c>
      <c r="C2136" s="32" t="s">
        <v>98</v>
      </c>
      <c r="D2136" s="44">
        <v>79.262049161326104</v>
      </c>
      <c r="E2136" s="15" t="s">
        <v>148</v>
      </c>
      <c r="F2136" s="16" t="s">
        <v>16</v>
      </c>
      <c r="G2136" s="22">
        <v>1</v>
      </c>
      <c r="H2136" s="23">
        <v>1</v>
      </c>
      <c r="I2136" s="23">
        <v>1</v>
      </c>
      <c r="J2136" s="23">
        <v>2</v>
      </c>
      <c r="K2136" s="23">
        <v>3</v>
      </c>
      <c r="L2136" s="24">
        <f t="shared" si="65"/>
        <v>1.0195048044558224</v>
      </c>
      <c r="M2136" s="20"/>
    </row>
    <row r="2137" spans="1:13" x14ac:dyDescent="0.2">
      <c r="A2137" s="48" t="s">
        <v>149</v>
      </c>
      <c r="B2137" s="12" t="s">
        <v>39</v>
      </c>
      <c r="C2137" s="32" t="s">
        <v>98</v>
      </c>
      <c r="D2137" s="44">
        <v>1.8638354105831501</v>
      </c>
      <c r="E2137" s="15" t="s">
        <v>148</v>
      </c>
      <c r="F2137" s="16" t="s">
        <v>16</v>
      </c>
      <c r="G2137" s="22">
        <v>1</v>
      </c>
      <c r="H2137" s="23">
        <v>1</v>
      </c>
      <c r="I2137" s="23">
        <v>1</v>
      </c>
      <c r="J2137" s="23">
        <v>2</v>
      </c>
      <c r="K2137" s="23">
        <v>3</v>
      </c>
      <c r="L2137" s="25">
        <f t="shared" si="65"/>
        <v>1.0195048044558224</v>
      </c>
      <c r="M2137" s="20"/>
    </row>
    <row r="2138" spans="1:13" x14ac:dyDescent="0.2">
      <c r="A2138" s="48" t="s">
        <v>149</v>
      </c>
      <c r="B2138" s="12" t="s">
        <v>40</v>
      </c>
      <c r="C2138" s="32" t="s">
        <v>98</v>
      </c>
      <c r="D2138" s="44">
        <v>3.422258554724106</v>
      </c>
      <c r="E2138" s="15" t="s">
        <v>148</v>
      </c>
      <c r="F2138" s="16" t="s">
        <v>16</v>
      </c>
      <c r="G2138" s="22">
        <v>1</v>
      </c>
      <c r="H2138" s="23">
        <v>1</v>
      </c>
      <c r="I2138" s="23">
        <v>1</v>
      </c>
      <c r="J2138" s="23">
        <v>2</v>
      </c>
      <c r="K2138" s="23">
        <v>3</v>
      </c>
      <c r="L2138" s="25">
        <f t="shared" si="65"/>
        <v>1.0195048044558224</v>
      </c>
      <c r="M2138" s="20"/>
    </row>
    <row r="2139" spans="1:13" x14ac:dyDescent="0.2">
      <c r="A2139" s="48" t="s">
        <v>149</v>
      </c>
      <c r="B2139" s="12" t="s">
        <v>41</v>
      </c>
      <c r="C2139" s="32" t="s">
        <v>98</v>
      </c>
      <c r="D2139" s="44">
        <v>0.9725794739624456</v>
      </c>
      <c r="E2139" s="15" t="s">
        <v>148</v>
      </c>
      <c r="F2139" s="16" t="s">
        <v>16</v>
      </c>
      <c r="G2139" s="22">
        <v>1</v>
      </c>
      <c r="H2139" s="23">
        <v>1</v>
      </c>
      <c r="I2139" s="23">
        <v>1</v>
      </c>
      <c r="J2139" s="23">
        <v>2</v>
      </c>
      <c r="K2139" s="23">
        <v>3</v>
      </c>
      <c r="L2139" s="25">
        <f t="shared" si="65"/>
        <v>1.0195048044558224</v>
      </c>
      <c r="M2139" s="20"/>
    </row>
    <row r="2140" spans="1:13" x14ac:dyDescent="0.2">
      <c r="A2140" s="48" t="s">
        <v>149</v>
      </c>
      <c r="B2140" s="12" t="s">
        <v>42</v>
      </c>
      <c r="C2140" s="32" t="s">
        <v>98</v>
      </c>
      <c r="D2140" s="44">
        <v>0.56114316433114397</v>
      </c>
      <c r="E2140" s="15" t="s">
        <v>148</v>
      </c>
      <c r="F2140" s="16" t="s">
        <v>16</v>
      </c>
      <c r="G2140" s="22">
        <v>1</v>
      </c>
      <c r="H2140" s="23">
        <v>1</v>
      </c>
      <c r="I2140" s="23">
        <v>1</v>
      </c>
      <c r="J2140" s="23">
        <v>2</v>
      </c>
      <c r="K2140" s="23">
        <v>3</v>
      </c>
      <c r="L2140" s="25">
        <f t="shared" si="65"/>
        <v>1.0195048044558224</v>
      </c>
      <c r="M2140" s="20"/>
    </row>
    <row r="2141" spans="1:13" x14ac:dyDescent="0.2">
      <c r="A2141" s="48" t="s">
        <v>149</v>
      </c>
      <c r="B2141" s="12" t="s">
        <v>43</v>
      </c>
      <c r="C2141" s="32" t="s">
        <v>98</v>
      </c>
      <c r="D2141" s="44">
        <v>25.979933467084599</v>
      </c>
      <c r="E2141" s="15" t="s">
        <v>148</v>
      </c>
      <c r="F2141" s="16" t="s">
        <v>16</v>
      </c>
      <c r="G2141" s="22">
        <v>1</v>
      </c>
      <c r="H2141" s="23">
        <v>1</v>
      </c>
      <c r="I2141" s="23">
        <v>1</v>
      </c>
      <c r="J2141" s="23">
        <v>2</v>
      </c>
      <c r="K2141" s="23">
        <v>3</v>
      </c>
      <c r="L2141" s="25">
        <f t="shared" si="65"/>
        <v>1.0195048044558224</v>
      </c>
      <c r="M2141" s="20"/>
    </row>
    <row r="2142" spans="1:13" x14ac:dyDescent="0.2">
      <c r="A2142" s="48" t="s">
        <v>149</v>
      </c>
      <c r="B2142" s="12" t="s">
        <v>45</v>
      </c>
      <c r="C2142" s="32" t="s">
        <v>98</v>
      </c>
      <c r="D2142" s="44">
        <v>9.8398644609388768</v>
      </c>
      <c r="E2142" s="15" t="s">
        <v>148</v>
      </c>
      <c r="F2142" s="16" t="s">
        <v>16</v>
      </c>
      <c r="G2142" s="22">
        <v>1</v>
      </c>
      <c r="H2142" s="23">
        <v>1</v>
      </c>
      <c r="I2142" s="23">
        <v>1</v>
      </c>
      <c r="J2142" s="23">
        <v>2</v>
      </c>
      <c r="K2142" s="23">
        <v>3</v>
      </c>
      <c r="L2142" s="25">
        <f t="shared" si="65"/>
        <v>1.0195048044558224</v>
      </c>
      <c r="M2142" s="20"/>
    </row>
    <row r="2143" spans="1:13" x14ac:dyDescent="0.2">
      <c r="A2143" s="48" t="s">
        <v>149</v>
      </c>
      <c r="B2143" s="12" t="s">
        <v>46</v>
      </c>
      <c r="C2143" s="32" t="s">
        <v>98</v>
      </c>
      <c r="D2143" s="44">
        <v>44.777525727225047</v>
      </c>
      <c r="E2143" s="15" t="s">
        <v>148</v>
      </c>
      <c r="F2143" s="16" t="s">
        <v>16</v>
      </c>
      <c r="G2143" s="22">
        <v>1</v>
      </c>
      <c r="H2143" s="23">
        <v>1</v>
      </c>
      <c r="I2143" s="23">
        <v>1</v>
      </c>
      <c r="J2143" s="23">
        <v>2</v>
      </c>
      <c r="K2143" s="23">
        <v>3</v>
      </c>
      <c r="L2143" s="24">
        <f t="shared" si="65"/>
        <v>1.0195048044558224</v>
      </c>
      <c r="M2143" s="20"/>
    </row>
    <row r="2144" spans="1:13" x14ac:dyDescent="0.2">
      <c r="A2144" s="48" t="s">
        <v>149</v>
      </c>
      <c r="B2144" s="12" t="s">
        <v>48</v>
      </c>
      <c r="C2144" s="32" t="s">
        <v>98</v>
      </c>
      <c r="D2144" s="44">
        <v>16.49627632048351</v>
      </c>
      <c r="E2144" s="15" t="s">
        <v>148</v>
      </c>
      <c r="F2144" s="16" t="s">
        <v>16</v>
      </c>
      <c r="G2144" s="22">
        <v>1</v>
      </c>
      <c r="H2144" s="23">
        <v>1</v>
      </c>
      <c r="I2144" s="23">
        <v>1</v>
      </c>
      <c r="J2144" s="23">
        <v>2</v>
      </c>
      <c r="K2144" s="23">
        <v>3</v>
      </c>
      <c r="L2144" s="25">
        <f t="shared" si="65"/>
        <v>1.0195048044558224</v>
      </c>
      <c r="M2144" s="20"/>
    </row>
    <row r="2145" spans="1:13" x14ac:dyDescent="0.2">
      <c r="A2145" s="48" t="s">
        <v>149</v>
      </c>
      <c r="B2145" s="12" t="s">
        <v>50</v>
      </c>
      <c r="C2145" s="32" t="s">
        <v>98</v>
      </c>
      <c r="D2145" s="44">
        <v>19.168917478362161</v>
      </c>
      <c r="E2145" s="15" t="s">
        <v>148</v>
      </c>
      <c r="F2145" s="16" t="s">
        <v>16</v>
      </c>
      <c r="G2145" s="22">
        <v>1</v>
      </c>
      <c r="H2145" s="23">
        <v>1</v>
      </c>
      <c r="I2145" s="23">
        <v>1</v>
      </c>
      <c r="J2145" s="23">
        <v>2</v>
      </c>
      <c r="K2145" s="23">
        <v>3</v>
      </c>
      <c r="L2145" s="25">
        <f t="shared" si="65"/>
        <v>1.0195048044558224</v>
      </c>
      <c r="M2145" s="20"/>
    </row>
    <row r="2146" spans="1:13" x14ac:dyDescent="0.2">
      <c r="A2146" s="48" t="s">
        <v>149</v>
      </c>
      <c r="B2146" s="12" t="s">
        <v>52</v>
      </c>
      <c r="C2146" s="32" t="s">
        <v>98</v>
      </c>
      <c r="D2146" s="44">
        <v>5.0959802271291759</v>
      </c>
      <c r="E2146" s="15" t="s">
        <v>148</v>
      </c>
      <c r="F2146" s="16" t="s">
        <v>16</v>
      </c>
      <c r="G2146" s="22">
        <v>1</v>
      </c>
      <c r="H2146" s="23">
        <v>1</v>
      </c>
      <c r="I2146" s="23">
        <v>1</v>
      </c>
      <c r="J2146" s="23">
        <v>2</v>
      </c>
      <c r="K2146" s="23">
        <v>3</v>
      </c>
      <c r="L2146" s="25">
        <f t="shared" si="65"/>
        <v>1.0195048044558224</v>
      </c>
      <c r="M2146" s="20"/>
    </row>
    <row r="2147" spans="1:13" x14ac:dyDescent="0.2">
      <c r="A2147" s="48" t="s">
        <v>149</v>
      </c>
      <c r="B2147" s="12" t="s">
        <v>54</v>
      </c>
      <c r="C2147" s="32" t="s">
        <v>98</v>
      </c>
      <c r="D2147" s="44">
        <v>1.9727200837859511</v>
      </c>
      <c r="E2147" s="15" t="s">
        <v>148</v>
      </c>
      <c r="F2147" s="16" t="s">
        <v>16</v>
      </c>
      <c r="G2147" s="22">
        <v>1</v>
      </c>
      <c r="H2147" s="23">
        <v>1</v>
      </c>
      <c r="I2147" s="23">
        <v>1</v>
      </c>
      <c r="J2147" s="23">
        <v>2</v>
      </c>
      <c r="K2147" s="23">
        <v>3</v>
      </c>
      <c r="L2147" s="25">
        <f t="shared" si="65"/>
        <v>1.0195048044558224</v>
      </c>
      <c r="M2147" s="20"/>
    </row>
    <row r="2148" spans="1:13" x14ac:dyDescent="0.2">
      <c r="A2148" s="48" t="s">
        <v>149</v>
      </c>
      <c r="B2148" s="12" t="s">
        <v>55</v>
      </c>
      <c r="C2148" s="32" t="s">
        <v>98</v>
      </c>
      <c r="D2148" s="44">
        <v>60.484613656736549</v>
      </c>
      <c r="E2148" s="15" t="s">
        <v>148</v>
      </c>
      <c r="F2148" s="16" t="s">
        <v>16</v>
      </c>
      <c r="G2148" s="22">
        <v>1</v>
      </c>
      <c r="H2148" s="23">
        <v>1</v>
      </c>
      <c r="I2148" s="23">
        <v>1</v>
      </c>
      <c r="J2148" s="23">
        <v>2</v>
      </c>
      <c r="K2148" s="23">
        <v>3</v>
      </c>
      <c r="L2148" s="24">
        <f t="shared" si="65"/>
        <v>1.0195048044558224</v>
      </c>
      <c r="M2148" s="20"/>
    </row>
    <row r="2149" spans="1:13" x14ac:dyDescent="0.2">
      <c r="A2149" s="48" t="s">
        <v>149</v>
      </c>
      <c r="B2149" s="12" t="s">
        <v>57</v>
      </c>
      <c r="C2149" s="32" t="s">
        <v>98</v>
      </c>
      <c r="D2149" s="44">
        <v>9.8644757324837151</v>
      </c>
      <c r="E2149" s="15" t="s">
        <v>148</v>
      </c>
      <c r="F2149" s="16" t="s">
        <v>16</v>
      </c>
      <c r="G2149" s="22">
        <v>1</v>
      </c>
      <c r="H2149" s="23">
        <v>1</v>
      </c>
      <c r="I2149" s="23">
        <v>1</v>
      </c>
      <c r="J2149" s="23">
        <v>2</v>
      </c>
      <c r="K2149" s="23">
        <v>3</v>
      </c>
      <c r="L2149" s="25">
        <f t="shared" si="65"/>
        <v>1.0195048044558224</v>
      </c>
      <c r="M2149" s="20"/>
    </row>
    <row r="2150" spans="1:13" x14ac:dyDescent="0.2">
      <c r="A2150" s="48" t="s">
        <v>149</v>
      </c>
      <c r="B2150" s="12" t="s">
        <v>59</v>
      </c>
      <c r="C2150" s="32" t="s">
        <v>98</v>
      </c>
      <c r="D2150" s="44">
        <v>14.84318568763184</v>
      </c>
      <c r="E2150" s="15" t="s">
        <v>148</v>
      </c>
      <c r="F2150" s="16" t="s">
        <v>16</v>
      </c>
      <c r="G2150" s="22">
        <v>1</v>
      </c>
      <c r="H2150" s="23">
        <v>1</v>
      </c>
      <c r="I2150" s="23">
        <v>1</v>
      </c>
      <c r="J2150" s="23">
        <v>2</v>
      </c>
      <c r="K2150" s="23">
        <v>3</v>
      </c>
      <c r="L2150" s="25">
        <f t="shared" si="65"/>
        <v>1.0195048044558224</v>
      </c>
      <c r="M2150" s="20"/>
    </row>
    <row r="2151" spans="1:13" x14ac:dyDescent="0.2">
      <c r="A2151" s="49" t="s">
        <v>149</v>
      </c>
      <c r="B2151" s="34" t="s">
        <v>60</v>
      </c>
      <c r="C2151" s="35" t="s">
        <v>98</v>
      </c>
      <c r="D2151" s="46">
        <v>78.382188660331892</v>
      </c>
      <c r="E2151" s="37" t="s">
        <v>148</v>
      </c>
      <c r="F2151" s="38" t="s">
        <v>16</v>
      </c>
      <c r="G2151" s="39">
        <v>1</v>
      </c>
      <c r="H2151" s="40">
        <v>2</v>
      </c>
      <c r="I2151" s="40">
        <v>1</v>
      </c>
      <c r="J2151" s="40">
        <v>2</v>
      </c>
      <c r="K2151" s="40">
        <v>3</v>
      </c>
      <c r="L2151" s="41">
        <f t="shared" si="65"/>
        <v>1.0248662490928169</v>
      </c>
      <c r="M2151" s="42"/>
    </row>
    <row r="2152" spans="1:13" x14ac:dyDescent="0.2">
      <c r="A2152" s="48" t="s">
        <v>150</v>
      </c>
      <c r="B2152" s="22" t="s">
        <v>135</v>
      </c>
      <c r="C2152" s="13" t="s">
        <v>14</v>
      </c>
      <c r="D2152" s="14">
        <v>0</v>
      </c>
      <c r="E2152" s="15"/>
      <c r="F2152" s="16"/>
      <c r="G2152" s="17"/>
      <c r="H2152" s="18"/>
      <c r="I2152" s="18"/>
      <c r="J2152" s="18"/>
      <c r="K2152" s="18"/>
      <c r="L2152" s="19" t="str">
        <f>IF( OR( ISBLANK(G2152),ISBLANK(H2152), ISBLANK(I2152), ISBLANK(J2152), ISBLANK(K2152) ), "", 1.5*SQRT(   EXP(2.21*(G2152-1)) + EXP(2.21*(H2152-1)) + EXP(2.21*(I2152-1)) + EXP(2.21*(J2152-1)) + EXP(2.21*K2152)   )/100*2.45 )</f>
        <v/>
      </c>
      <c r="M2152" s="20"/>
    </row>
    <row r="2153" spans="1:13" x14ac:dyDescent="0.2">
      <c r="A2153" s="48" t="s">
        <v>150</v>
      </c>
      <c r="B2153" s="12" t="s">
        <v>13</v>
      </c>
      <c r="C2153" s="27" t="s">
        <v>62</v>
      </c>
      <c r="D2153" s="44">
        <v>1.4047480483222791E-3</v>
      </c>
      <c r="E2153" s="15" t="s">
        <v>148</v>
      </c>
      <c r="F2153" s="16" t="s">
        <v>16</v>
      </c>
      <c r="G2153" s="22">
        <v>1</v>
      </c>
      <c r="H2153" s="23">
        <v>1</v>
      </c>
      <c r="I2153" s="23">
        <v>1</v>
      </c>
      <c r="J2153" s="23">
        <v>2</v>
      </c>
      <c r="K2153" s="23">
        <v>3</v>
      </c>
      <c r="L2153" s="25">
        <f t="shared" ref="L2153:L2184" si="66">IF( OR( ISBLANK(G2153),ISBLANK(H2153), ISBLANK(I2153), ISBLANK(J2153), ISBLANK(K2153) ), "", 1.5*SQRT( EXP(2.21*(G2153-1)) + EXP(2.21*(H2153-1)) + EXP(2.21*(I2153-1)) + EXP(2.21*(J2153-1)) + EXP(2.21*K2153) )/100*2.45 )</f>
        <v>1.0195048044558224</v>
      </c>
      <c r="M2153" s="20"/>
    </row>
    <row r="2154" spans="1:13" x14ac:dyDescent="0.2">
      <c r="A2154" s="48" t="s">
        <v>150</v>
      </c>
      <c r="B2154" s="12" t="s">
        <v>18</v>
      </c>
      <c r="C2154" s="27" t="s">
        <v>62</v>
      </c>
      <c r="D2154" s="44">
        <v>1.893462358331616E-3</v>
      </c>
      <c r="E2154" s="15" t="s">
        <v>148</v>
      </c>
      <c r="F2154" s="16" t="s">
        <v>16</v>
      </c>
      <c r="G2154" s="22">
        <v>1</v>
      </c>
      <c r="H2154" s="23">
        <v>1</v>
      </c>
      <c r="I2154" s="23">
        <v>1</v>
      </c>
      <c r="J2154" s="23">
        <v>2</v>
      </c>
      <c r="K2154" s="23">
        <v>3</v>
      </c>
      <c r="L2154" s="25">
        <f t="shared" si="66"/>
        <v>1.0195048044558224</v>
      </c>
      <c r="M2154" s="20"/>
    </row>
    <row r="2155" spans="1:13" x14ac:dyDescent="0.2">
      <c r="A2155" s="48" t="s">
        <v>150</v>
      </c>
      <c r="B2155" s="12" t="s">
        <v>20</v>
      </c>
      <c r="C2155" s="27" t="s">
        <v>62</v>
      </c>
      <c r="D2155" s="44">
        <v>7.1846296940922586E-4</v>
      </c>
      <c r="E2155" s="15" t="s">
        <v>148</v>
      </c>
      <c r="F2155" s="16" t="s">
        <v>16</v>
      </c>
      <c r="G2155" s="22">
        <v>1</v>
      </c>
      <c r="H2155" s="23">
        <v>1</v>
      </c>
      <c r="I2155" s="23">
        <v>1</v>
      </c>
      <c r="J2155" s="23">
        <v>2</v>
      </c>
      <c r="K2155" s="23">
        <v>3</v>
      </c>
      <c r="L2155" s="25">
        <f t="shared" si="66"/>
        <v>1.0195048044558224</v>
      </c>
      <c r="M2155" s="20"/>
    </row>
    <row r="2156" spans="1:13" x14ac:dyDescent="0.2">
      <c r="A2156" s="48" t="s">
        <v>150</v>
      </c>
      <c r="B2156" s="12" t="s">
        <v>22</v>
      </c>
      <c r="C2156" s="27" t="s">
        <v>62</v>
      </c>
      <c r="D2156" s="44">
        <v>3.1140707420255099E-4</v>
      </c>
      <c r="E2156" s="15" t="s">
        <v>148</v>
      </c>
      <c r="F2156" s="16" t="s">
        <v>16</v>
      </c>
      <c r="G2156" s="22">
        <v>1</v>
      </c>
      <c r="H2156" s="23">
        <v>1</v>
      </c>
      <c r="I2156" s="23">
        <v>1</v>
      </c>
      <c r="J2156" s="23">
        <v>2</v>
      </c>
      <c r="K2156" s="23">
        <v>3</v>
      </c>
      <c r="L2156" s="25">
        <f t="shared" si="66"/>
        <v>1.0195048044558224</v>
      </c>
      <c r="M2156" s="20"/>
    </row>
    <row r="2157" spans="1:13" x14ac:dyDescent="0.2">
      <c r="A2157" s="48" t="s">
        <v>150</v>
      </c>
      <c r="B2157" s="12" t="s">
        <v>23</v>
      </c>
      <c r="C2157" s="27" t="s">
        <v>62</v>
      </c>
      <c r="D2157" s="44">
        <v>8.6088468722258211E-5</v>
      </c>
      <c r="E2157" s="15" t="s">
        <v>148</v>
      </c>
      <c r="F2157" s="16" t="s">
        <v>16</v>
      </c>
      <c r="G2157" s="22">
        <v>1</v>
      </c>
      <c r="H2157" s="23">
        <v>1</v>
      </c>
      <c r="I2157" s="23">
        <v>1</v>
      </c>
      <c r="J2157" s="23">
        <v>2</v>
      </c>
      <c r="K2157" s="23">
        <v>3</v>
      </c>
      <c r="L2157" s="25">
        <f t="shared" si="66"/>
        <v>1.0195048044558224</v>
      </c>
      <c r="M2157" s="20"/>
    </row>
    <row r="2158" spans="1:13" x14ac:dyDescent="0.2">
      <c r="A2158" s="48" t="s">
        <v>150</v>
      </c>
      <c r="B2158" s="12" t="s">
        <v>24</v>
      </c>
      <c r="C2158" s="27" t="s">
        <v>62</v>
      </c>
      <c r="D2158" s="44">
        <v>1.2435125081817339E-3</v>
      </c>
      <c r="E2158" s="15" t="s">
        <v>148</v>
      </c>
      <c r="F2158" s="16" t="s">
        <v>16</v>
      </c>
      <c r="G2158" s="22">
        <v>1</v>
      </c>
      <c r="H2158" s="23">
        <v>1</v>
      </c>
      <c r="I2158" s="23">
        <v>1</v>
      </c>
      <c r="J2158" s="23">
        <v>2</v>
      </c>
      <c r="K2158" s="23">
        <v>3</v>
      </c>
      <c r="L2158" s="25">
        <f t="shared" si="66"/>
        <v>1.0195048044558224</v>
      </c>
      <c r="M2158" s="20"/>
    </row>
    <row r="2159" spans="1:13" x14ac:dyDescent="0.2">
      <c r="A2159" s="48" t="s">
        <v>150</v>
      </c>
      <c r="B2159" s="12" t="s">
        <v>25</v>
      </c>
      <c r="C2159" s="27" t="s">
        <v>62</v>
      </c>
      <c r="D2159" s="44">
        <v>1.0756079515420269E-3</v>
      </c>
      <c r="E2159" s="15" t="s">
        <v>148</v>
      </c>
      <c r="F2159" s="16" t="s">
        <v>16</v>
      </c>
      <c r="G2159" s="22">
        <v>1</v>
      </c>
      <c r="H2159" s="23">
        <v>1</v>
      </c>
      <c r="I2159" s="23">
        <v>1</v>
      </c>
      <c r="J2159" s="23">
        <v>2</v>
      </c>
      <c r="K2159" s="23">
        <v>3</v>
      </c>
      <c r="L2159" s="25">
        <f t="shared" si="66"/>
        <v>1.0195048044558224</v>
      </c>
      <c r="M2159" s="20"/>
    </row>
    <row r="2160" spans="1:13" x14ac:dyDescent="0.2">
      <c r="A2160" s="48" t="s">
        <v>150</v>
      </c>
      <c r="B2160" s="12" t="s">
        <v>26</v>
      </c>
      <c r="C2160" s="27" t="s">
        <v>62</v>
      </c>
      <c r="D2160" s="44">
        <v>2.5204217525705058E-4</v>
      </c>
      <c r="E2160" s="15" t="s">
        <v>148</v>
      </c>
      <c r="F2160" s="16" t="s">
        <v>16</v>
      </c>
      <c r="G2160" s="22">
        <v>1</v>
      </c>
      <c r="H2160" s="23">
        <v>1</v>
      </c>
      <c r="I2160" s="23">
        <v>1</v>
      </c>
      <c r="J2160" s="23">
        <v>2</v>
      </c>
      <c r="K2160" s="23">
        <v>3</v>
      </c>
      <c r="L2160" s="25">
        <f t="shared" si="66"/>
        <v>1.0195048044558224</v>
      </c>
      <c r="M2160" s="20"/>
    </row>
    <row r="2161" spans="1:13" x14ac:dyDescent="0.2">
      <c r="A2161" s="48" t="s">
        <v>150</v>
      </c>
      <c r="B2161" s="12" t="s">
        <v>27</v>
      </c>
      <c r="C2161" s="27" t="s">
        <v>62</v>
      </c>
      <c r="D2161" s="44">
        <v>7.3839790770310009E-4</v>
      </c>
      <c r="E2161" s="15" t="s">
        <v>148</v>
      </c>
      <c r="F2161" s="16" t="s">
        <v>16</v>
      </c>
      <c r="G2161" s="22">
        <v>1</v>
      </c>
      <c r="H2161" s="23">
        <v>1</v>
      </c>
      <c r="I2161" s="23">
        <v>1</v>
      </c>
      <c r="J2161" s="23">
        <v>2</v>
      </c>
      <c r="K2161" s="23">
        <v>3</v>
      </c>
      <c r="L2161" s="25">
        <f t="shared" si="66"/>
        <v>1.0195048044558224</v>
      </c>
      <c r="M2161" s="20"/>
    </row>
    <row r="2162" spans="1:13" x14ac:dyDescent="0.2">
      <c r="A2162" s="48" t="s">
        <v>150</v>
      </c>
      <c r="B2162" s="12" t="s">
        <v>28</v>
      </c>
      <c r="C2162" s="27" t="s">
        <v>62</v>
      </c>
      <c r="D2162" s="44">
        <v>1.008947522829403E-2</v>
      </c>
      <c r="E2162" s="15" t="s">
        <v>148</v>
      </c>
      <c r="F2162" s="16" t="s">
        <v>16</v>
      </c>
      <c r="G2162" s="22">
        <v>1</v>
      </c>
      <c r="H2162" s="23">
        <v>1</v>
      </c>
      <c r="I2162" s="23">
        <v>1</v>
      </c>
      <c r="J2162" s="23">
        <v>2</v>
      </c>
      <c r="K2162" s="23">
        <v>3</v>
      </c>
      <c r="L2162" s="25">
        <f t="shared" si="66"/>
        <v>1.0195048044558224</v>
      </c>
      <c r="M2162" s="20"/>
    </row>
    <row r="2163" spans="1:13" x14ac:dyDescent="0.2">
      <c r="A2163" s="48" t="s">
        <v>150</v>
      </c>
      <c r="B2163" s="12" t="s">
        <v>30</v>
      </c>
      <c r="C2163" s="27" t="s">
        <v>62</v>
      </c>
      <c r="D2163" s="44">
        <v>1.7800053987482321E-2</v>
      </c>
      <c r="E2163" s="15" t="s">
        <v>148</v>
      </c>
      <c r="F2163" s="16" t="s">
        <v>16</v>
      </c>
      <c r="G2163" s="22">
        <v>1</v>
      </c>
      <c r="H2163" s="23">
        <v>1</v>
      </c>
      <c r="I2163" s="23">
        <v>1</v>
      </c>
      <c r="J2163" s="23">
        <v>2</v>
      </c>
      <c r="K2163" s="23">
        <v>3</v>
      </c>
      <c r="L2163" s="24">
        <f t="shared" si="66"/>
        <v>1.0195048044558224</v>
      </c>
      <c r="M2163" s="20"/>
    </row>
    <row r="2164" spans="1:13" x14ac:dyDescent="0.2">
      <c r="A2164" s="48" t="s">
        <v>150</v>
      </c>
      <c r="B2164" s="12" t="s">
        <v>32</v>
      </c>
      <c r="C2164" s="27" t="s">
        <v>62</v>
      </c>
      <c r="D2164" s="44">
        <v>1.3024453078621669E-3</v>
      </c>
      <c r="E2164" s="15" t="s">
        <v>148</v>
      </c>
      <c r="F2164" s="16" t="s">
        <v>16</v>
      </c>
      <c r="G2164" s="22">
        <v>1</v>
      </c>
      <c r="H2164" s="23">
        <v>1</v>
      </c>
      <c r="I2164" s="23">
        <v>1</v>
      </c>
      <c r="J2164" s="23">
        <v>2</v>
      </c>
      <c r="K2164" s="23">
        <v>3</v>
      </c>
      <c r="L2164" s="25">
        <f t="shared" si="66"/>
        <v>1.0195048044558224</v>
      </c>
      <c r="M2164" s="20"/>
    </row>
    <row r="2165" spans="1:13" x14ac:dyDescent="0.2">
      <c r="A2165" s="48" t="s">
        <v>150</v>
      </c>
      <c r="B2165" s="12" t="s">
        <v>34</v>
      </c>
      <c r="C2165" s="27" t="s">
        <v>62</v>
      </c>
      <c r="D2165" s="44">
        <v>2.1804742854749011E-3</v>
      </c>
      <c r="E2165" s="15" t="s">
        <v>148</v>
      </c>
      <c r="F2165" s="16" t="s">
        <v>16</v>
      </c>
      <c r="G2165" s="22">
        <v>1</v>
      </c>
      <c r="H2165" s="23">
        <v>1</v>
      </c>
      <c r="I2165" s="23">
        <v>1</v>
      </c>
      <c r="J2165" s="23">
        <v>2</v>
      </c>
      <c r="K2165" s="23">
        <v>3</v>
      </c>
      <c r="L2165" s="25">
        <f t="shared" si="66"/>
        <v>1.0195048044558224</v>
      </c>
      <c r="M2165" s="20"/>
    </row>
    <row r="2166" spans="1:13" x14ac:dyDescent="0.2">
      <c r="A2166" s="48" t="s">
        <v>150</v>
      </c>
      <c r="B2166" s="12" t="s">
        <v>36</v>
      </c>
      <c r="C2166" s="27" t="s">
        <v>62</v>
      </c>
      <c r="D2166" s="44">
        <v>1.43502341352352E-3</v>
      </c>
      <c r="E2166" s="15" t="s">
        <v>148</v>
      </c>
      <c r="F2166" s="16" t="s">
        <v>16</v>
      </c>
      <c r="G2166" s="22">
        <v>1</v>
      </c>
      <c r="H2166" s="23">
        <v>1</v>
      </c>
      <c r="I2166" s="23">
        <v>1</v>
      </c>
      <c r="J2166" s="23">
        <v>2</v>
      </c>
      <c r="K2166" s="23">
        <v>3</v>
      </c>
      <c r="L2166" s="25">
        <f t="shared" si="66"/>
        <v>1.0195048044558224</v>
      </c>
      <c r="M2166" s="20"/>
    </row>
    <row r="2167" spans="1:13" x14ac:dyDescent="0.2">
      <c r="A2167" s="48" t="s">
        <v>150</v>
      </c>
      <c r="B2167" s="12" t="s">
        <v>37</v>
      </c>
      <c r="C2167" s="27" t="s">
        <v>62</v>
      </c>
      <c r="D2167" s="44">
        <v>9.3801113419409686E-3</v>
      </c>
      <c r="E2167" s="15" t="s">
        <v>148</v>
      </c>
      <c r="F2167" s="16" t="s">
        <v>16</v>
      </c>
      <c r="G2167" s="22">
        <v>1</v>
      </c>
      <c r="H2167" s="23">
        <v>1</v>
      </c>
      <c r="I2167" s="23">
        <v>1</v>
      </c>
      <c r="J2167" s="23">
        <v>2</v>
      </c>
      <c r="K2167" s="23">
        <v>3</v>
      </c>
      <c r="L2167" s="24">
        <f t="shared" si="66"/>
        <v>1.0195048044558224</v>
      </c>
      <c r="M2167" s="20"/>
    </row>
    <row r="2168" spans="1:13" x14ac:dyDescent="0.2">
      <c r="A2168" s="48" t="s">
        <v>150</v>
      </c>
      <c r="B2168" s="12" t="s">
        <v>39</v>
      </c>
      <c r="C2168" s="27" t="s">
        <v>62</v>
      </c>
      <c r="D2168" s="44">
        <v>2.205719364981114E-4</v>
      </c>
      <c r="E2168" s="15" t="s">
        <v>148</v>
      </c>
      <c r="F2168" s="16" t="s">
        <v>16</v>
      </c>
      <c r="G2168" s="22">
        <v>1</v>
      </c>
      <c r="H2168" s="23">
        <v>1</v>
      </c>
      <c r="I2168" s="23">
        <v>1</v>
      </c>
      <c r="J2168" s="23">
        <v>2</v>
      </c>
      <c r="K2168" s="23">
        <v>3</v>
      </c>
      <c r="L2168" s="25">
        <f t="shared" si="66"/>
        <v>1.0195048044558224</v>
      </c>
      <c r="M2168" s="20"/>
    </row>
    <row r="2169" spans="1:13" x14ac:dyDescent="0.2">
      <c r="A2169" s="48" t="s">
        <v>150</v>
      </c>
      <c r="B2169" s="12" t="s">
        <v>40</v>
      </c>
      <c r="C2169" s="27" t="s">
        <v>62</v>
      </c>
      <c r="D2169" s="44">
        <v>4.0500045890669501E-4</v>
      </c>
      <c r="E2169" s="15" t="s">
        <v>148</v>
      </c>
      <c r="F2169" s="16" t="s">
        <v>16</v>
      </c>
      <c r="G2169" s="22">
        <v>1</v>
      </c>
      <c r="H2169" s="23">
        <v>1</v>
      </c>
      <c r="I2169" s="23">
        <v>1</v>
      </c>
      <c r="J2169" s="23">
        <v>2</v>
      </c>
      <c r="K2169" s="23">
        <v>3</v>
      </c>
      <c r="L2169" s="25">
        <f t="shared" si="66"/>
        <v>1.0195048044558224</v>
      </c>
      <c r="M2169" s="20"/>
    </row>
    <row r="2170" spans="1:13" x14ac:dyDescent="0.2">
      <c r="A2170" s="48" t="s">
        <v>150</v>
      </c>
      <c r="B2170" s="12" t="s">
        <v>41</v>
      </c>
      <c r="C2170" s="27" t="s">
        <v>62</v>
      </c>
      <c r="D2170" s="44">
        <v>1.150980053024595E-4</v>
      </c>
      <c r="E2170" s="15" t="s">
        <v>148</v>
      </c>
      <c r="F2170" s="16" t="s">
        <v>16</v>
      </c>
      <c r="G2170" s="22">
        <v>1</v>
      </c>
      <c r="H2170" s="23">
        <v>1</v>
      </c>
      <c r="I2170" s="23">
        <v>1</v>
      </c>
      <c r="J2170" s="23">
        <v>2</v>
      </c>
      <c r="K2170" s="23">
        <v>3</v>
      </c>
      <c r="L2170" s="25">
        <f t="shared" si="66"/>
        <v>1.0195048044558224</v>
      </c>
      <c r="M2170" s="20"/>
    </row>
    <row r="2171" spans="1:13" x14ac:dyDescent="0.2">
      <c r="A2171" s="48" t="s">
        <v>150</v>
      </c>
      <c r="B2171" s="12" t="s">
        <v>42</v>
      </c>
      <c r="C2171" s="27" t="s">
        <v>62</v>
      </c>
      <c r="D2171" s="44">
        <v>6.6407384314301089E-5</v>
      </c>
      <c r="E2171" s="15" t="s">
        <v>148</v>
      </c>
      <c r="F2171" s="16" t="s">
        <v>16</v>
      </c>
      <c r="G2171" s="22">
        <v>1</v>
      </c>
      <c r="H2171" s="23">
        <v>1</v>
      </c>
      <c r="I2171" s="23">
        <v>1</v>
      </c>
      <c r="J2171" s="23">
        <v>2</v>
      </c>
      <c r="K2171" s="23">
        <v>3</v>
      </c>
      <c r="L2171" s="25">
        <f t="shared" si="66"/>
        <v>1.0195048044558224</v>
      </c>
      <c r="M2171" s="20"/>
    </row>
    <row r="2172" spans="1:13" x14ac:dyDescent="0.2">
      <c r="A2172" s="48" t="s">
        <v>150</v>
      </c>
      <c r="B2172" s="12" t="s">
        <v>43</v>
      </c>
      <c r="C2172" s="27" t="s">
        <v>62</v>
      </c>
      <c r="D2172" s="44">
        <v>3.074544137528766E-3</v>
      </c>
      <c r="E2172" s="15" t="s">
        <v>148</v>
      </c>
      <c r="F2172" s="16" t="s">
        <v>16</v>
      </c>
      <c r="G2172" s="22">
        <v>1</v>
      </c>
      <c r="H2172" s="23">
        <v>1</v>
      </c>
      <c r="I2172" s="23">
        <v>1</v>
      </c>
      <c r="J2172" s="23">
        <v>2</v>
      </c>
      <c r="K2172" s="23">
        <v>3</v>
      </c>
      <c r="L2172" s="25">
        <f t="shared" si="66"/>
        <v>1.0195048044558224</v>
      </c>
      <c r="M2172" s="20"/>
    </row>
    <row r="2173" spans="1:13" x14ac:dyDescent="0.2">
      <c r="A2173" s="48" t="s">
        <v>150</v>
      </c>
      <c r="B2173" s="12" t="s">
        <v>45</v>
      </c>
      <c r="C2173" s="27" t="s">
        <v>62</v>
      </c>
      <c r="D2173" s="44">
        <v>1.1644794098794201E-3</v>
      </c>
      <c r="E2173" s="15" t="s">
        <v>148</v>
      </c>
      <c r="F2173" s="16" t="s">
        <v>16</v>
      </c>
      <c r="G2173" s="22">
        <v>1</v>
      </c>
      <c r="H2173" s="23">
        <v>1</v>
      </c>
      <c r="I2173" s="23">
        <v>1</v>
      </c>
      <c r="J2173" s="23">
        <v>2</v>
      </c>
      <c r="K2173" s="23">
        <v>3</v>
      </c>
      <c r="L2173" s="25">
        <f t="shared" si="66"/>
        <v>1.0195048044558224</v>
      </c>
      <c r="M2173" s="20"/>
    </row>
    <row r="2174" spans="1:13" x14ac:dyDescent="0.2">
      <c r="A2174" s="48" t="s">
        <v>150</v>
      </c>
      <c r="B2174" s="12" t="s">
        <v>46</v>
      </c>
      <c r="C2174" s="27" t="s">
        <v>62</v>
      </c>
      <c r="D2174" s="44">
        <v>5.2991082287452938E-3</v>
      </c>
      <c r="E2174" s="15" t="s">
        <v>148</v>
      </c>
      <c r="F2174" s="16" t="s">
        <v>16</v>
      </c>
      <c r="G2174" s="22">
        <v>1</v>
      </c>
      <c r="H2174" s="23">
        <v>1</v>
      </c>
      <c r="I2174" s="23">
        <v>1</v>
      </c>
      <c r="J2174" s="23">
        <v>2</v>
      </c>
      <c r="K2174" s="23">
        <v>3</v>
      </c>
      <c r="L2174" s="24">
        <f t="shared" si="66"/>
        <v>1.0195048044558224</v>
      </c>
      <c r="M2174" s="20"/>
    </row>
    <row r="2175" spans="1:13" x14ac:dyDescent="0.2">
      <c r="A2175" s="48" t="s">
        <v>150</v>
      </c>
      <c r="B2175" s="12" t="s">
        <v>48</v>
      </c>
      <c r="C2175" s="27" t="s">
        <v>62</v>
      </c>
      <c r="D2175" s="44">
        <v>1.952219381795387E-3</v>
      </c>
      <c r="E2175" s="15" t="s">
        <v>148</v>
      </c>
      <c r="F2175" s="16" t="s">
        <v>16</v>
      </c>
      <c r="G2175" s="22">
        <v>1</v>
      </c>
      <c r="H2175" s="23">
        <v>1</v>
      </c>
      <c r="I2175" s="23">
        <v>1</v>
      </c>
      <c r="J2175" s="23">
        <v>2</v>
      </c>
      <c r="K2175" s="23">
        <v>3</v>
      </c>
      <c r="L2175" s="25">
        <f t="shared" si="66"/>
        <v>1.0195048044558224</v>
      </c>
      <c r="M2175" s="20"/>
    </row>
    <row r="2176" spans="1:13" x14ac:dyDescent="0.2">
      <c r="A2176" s="48" t="s">
        <v>150</v>
      </c>
      <c r="B2176" s="12" t="s">
        <v>50</v>
      </c>
      <c r="C2176" s="27" t="s">
        <v>62</v>
      </c>
      <c r="D2176" s="44">
        <v>2.2685078439688808E-3</v>
      </c>
      <c r="E2176" s="15" t="s">
        <v>148</v>
      </c>
      <c r="F2176" s="16" t="s">
        <v>16</v>
      </c>
      <c r="G2176" s="22">
        <v>1</v>
      </c>
      <c r="H2176" s="23">
        <v>1</v>
      </c>
      <c r="I2176" s="23">
        <v>1</v>
      </c>
      <c r="J2176" s="23">
        <v>2</v>
      </c>
      <c r="K2176" s="23">
        <v>3</v>
      </c>
      <c r="L2176" s="25">
        <f t="shared" si="66"/>
        <v>1.0195048044558224</v>
      </c>
      <c r="M2176" s="20"/>
    </row>
    <row r="2177" spans="1:13" x14ac:dyDescent="0.2">
      <c r="A2177" s="48" t="s">
        <v>150</v>
      </c>
      <c r="B2177" s="12" t="s">
        <v>52</v>
      </c>
      <c r="C2177" s="27" t="s">
        <v>62</v>
      </c>
      <c r="D2177" s="44">
        <v>6.0307375891215922E-4</v>
      </c>
      <c r="E2177" s="15" t="s">
        <v>148</v>
      </c>
      <c r="F2177" s="16" t="s">
        <v>16</v>
      </c>
      <c r="G2177" s="22">
        <v>1</v>
      </c>
      <c r="H2177" s="23">
        <v>1</v>
      </c>
      <c r="I2177" s="23">
        <v>1</v>
      </c>
      <c r="J2177" s="23">
        <v>2</v>
      </c>
      <c r="K2177" s="23">
        <v>3</v>
      </c>
      <c r="L2177" s="25">
        <f t="shared" si="66"/>
        <v>1.0195048044558224</v>
      </c>
      <c r="M2177" s="20"/>
    </row>
    <row r="2178" spans="1:13" x14ac:dyDescent="0.2">
      <c r="A2178" s="48" t="s">
        <v>150</v>
      </c>
      <c r="B2178" s="12" t="s">
        <v>54</v>
      </c>
      <c r="C2178" s="27" t="s">
        <v>62</v>
      </c>
      <c r="D2178" s="44">
        <v>2.3345767903038331E-4</v>
      </c>
      <c r="E2178" s="15" t="s">
        <v>148</v>
      </c>
      <c r="F2178" s="16" t="s">
        <v>16</v>
      </c>
      <c r="G2178" s="22">
        <v>1</v>
      </c>
      <c r="H2178" s="23">
        <v>1</v>
      </c>
      <c r="I2178" s="23">
        <v>1</v>
      </c>
      <c r="J2178" s="23">
        <v>2</v>
      </c>
      <c r="K2178" s="23">
        <v>3</v>
      </c>
      <c r="L2178" s="25">
        <f t="shared" si="66"/>
        <v>1.0195048044558224</v>
      </c>
      <c r="M2178" s="20"/>
    </row>
    <row r="2179" spans="1:13" x14ac:dyDescent="0.2">
      <c r="A2179" s="48" t="s">
        <v>150</v>
      </c>
      <c r="B2179" s="12" t="s">
        <v>55</v>
      </c>
      <c r="C2179" s="27" t="s">
        <v>62</v>
      </c>
      <c r="D2179" s="44">
        <v>7.1579326623225532E-3</v>
      </c>
      <c r="E2179" s="15" t="s">
        <v>148</v>
      </c>
      <c r="F2179" s="16" t="s">
        <v>16</v>
      </c>
      <c r="G2179" s="22">
        <v>1</v>
      </c>
      <c r="H2179" s="23">
        <v>1</v>
      </c>
      <c r="I2179" s="23">
        <v>1</v>
      </c>
      <c r="J2179" s="23">
        <v>2</v>
      </c>
      <c r="K2179" s="23">
        <v>3</v>
      </c>
      <c r="L2179" s="24">
        <f t="shared" si="66"/>
        <v>1.0195048044558224</v>
      </c>
      <c r="M2179" s="20"/>
    </row>
    <row r="2180" spans="1:13" x14ac:dyDescent="0.2">
      <c r="A2180" s="48" t="s">
        <v>150</v>
      </c>
      <c r="B2180" s="12" t="s">
        <v>57</v>
      </c>
      <c r="C2180" s="27" t="s">
        <v>62</v>
      </c>
      <c r="D2180" s="44">
        <v>1.167391982413186E-3</v>
      </c>
      <c r="E2180" s="15" t="s">
        <v>148</v>
      </c>
      <c r="F2180" s="16" t="s">
        <v>16</v>
      </c>
      <c r="G2180" s="22">
        <v>1</v>
      </c>
      <c r="H2180" s="23">
        <v>1</v>
      </c>
      <c r="I2180" s="23">
        <v>1</v>
      </c>
      <c r="J2180" s="23">
        <v>2</v>
      </c>
      <c r="K2180" s="23">
        <v>3</v>
      </c>
      <c r="L2180" s="25">
        <f t="shared" si="66"/>
        <v>1.0195048044558224</v>
      </c>
      <c r="M2180" s="20"/>
    </row>
    <row r="2181" spans="1:13" x14ac:dyDescent="0.2">
      <c r="A2181" s="48" t="s">
        <v>150</v>
      </c>
      <c r="B2181" s="12" t="s">
        <v>59</v>
      </c>
      <c r="C2181" s="27" t="s">
        <v>62</v>
      </c>
      <c r="D2181" s="44">
        <v>1.7565876215956491E-3</v>
      </c>
      <c r="E2181" s="15" t="s">
        <v>148</v>
      </c>
      <c r="F2181" s="16" t="s">
        <v>16</v>
      </c>
      <c r="G2181" s="22">
        <v>1</v>
      </c>
      <c r="H2181" s="23">
        <v>1</v>
      </c>
      <c r="I2181" s="23">
        <v>1</v>
      </c>
      <c r="J2181" s="23">
        <v>2</v>
      </c>
      <c r="K2181" s="23">
        <v>3</v>
      </c>
      <c r="L2181" s="25">
        <f t="shared" si="66"/>
        <v>1.0195048044558224</v>
      </c>
      <c r="M2181" s="20"/>
    </row>
    <row r="2182" spans="1:13" x14ac:dyDescent="0.2">
      <c r="A2182" s="48" t="s">
        <v>150</v>
      </c>
      <c r="B2182" s="12" t="s">
        <v>60</v>
      </c>
      <c r="C2182" s="27" t="s">
        <v>62</v>
      </c>
      <c r="D2182" s="44">
        <v>9.2759859811658053E-3</v>
      </c>
      <c r="E2182" s="15" t="s">
        <v>148</v>
      </c>
      <c r="F2182" s="16" t="s">
        <v>16</v>
      </c>
      <c r="G2182" s="22">
        <v>1</v>
      </c>
      <c r="H2182" s="23">
        <v>2</v>
      </c>
      <c r="I2182" s="23">
        <v>1</v>
      </c>
      <c r="J2182" s="23">
        <v>2</v>
      </c>
      <c r="K2182" s="23">
        <v>3</v>
      </c>
      <c r="L2182" s="24">
        <f t="shared" si="66"/>
        <v>1.0248662490928169</v>
      </c>
      <c r="M2182" s="20"/>
    </row>
    <row r="2183" spans="1:13" x14ac:dyDescent="0.2">
      <c r="A2183" s="48" t="s">
        <v>150</v>
      </c>
      <c r="B2183" s="12" t="s">
        <v>13</v>
      </c>
      <c r="C2183" s="28" t="s">
        <v>64</v>
      </c>
      <c r="D2183" s="44">
        <v>1.857318505248992</v>
      </c>
      <c r="E2183" s="15" t="s">
        <v>148</v>
      </c>
      <c r="F2183" s="16" t="s">
        <v>16</v>
      </c>
      <c r="G2183" s="22">
        <v>1</v>
      </c>
      <c r="H2183" s="23">
        <v>1</v>
      </c>
      <c r="I2183" s="23">
        <v>1</v>
      </c>
      <c r="J2183" s="23">
        <v>2</v>
      </c>
      <c r="K2183" s="23">
        <v>3</v>
      </c>
      <c r="L2183" s="25">
        <f t="shared" si="66"/>
        <v>1.0195048044558224</v>
      </c>
      <c r="M2183" s="20"/>
    </row>
    <row r="2184" spans="1:13" x14ac:dyDescent="0.2">
      <c r="A2184" s="48" t="s">
        <v>150</v>
      </c>
      <c r="B2184" s="12" t="s">
        <v>18</v>
      </c>
      <c r="C2184" s="28" t="s">
        <v>64</v>
      </c>
      <c r="D2184" s="44">
        <v>2.5034828710542461</v>
      </c>
      <c r="E2184" s="15" t="s">
        <v>148</v>
      </c>
      <c r="F2184" s="16" t="s">
        <v>16</v>
      </c>
      <c r="G2184" s="22">
        <v>1</v>
      </c>
      <c r="H2184" s="23">
        <v>1</v>
      </c>
      <c r="I2184" s="23">
        <v>1</v>
      </c>
      <c r="J2184" s="23">
        <v>2</v>
      </c>
      <c r="K2184" s="23">
        <v>3</v>
      </c>
      <c r="L2184" s="25">
        <f t="shared" si="66"/>
        <v>1.0195048044558224</v>
      </c>
      <c r="M2184" s="20"/>
    </row>
    <row r="2185" spans="1:13" x14ac:dyDescent="0.2">
      <c r="A2185" s="48" t="s">
        <v>150</v>
      </c>
      <c r="B2185" s="12" t="s">
        <v>20</v>
      </c>
      <c r="C2185" s="28" t="s">
        <v>64</v>
      </c>
      <c r="D2185" s="44">
        <v>0.94993160518259212</v>
      </c>
      <c r="E2185" s="15" t="s">
        <v>148</v>
      </c>
      <c r="F2185" s="16" t="s">
        <v>16</v>
      </c>
      <c r="G2185" s="22">
        <v>1</v>
      </c>
      <c r="H2185" s="23">
        <v>1</v>
      </c>
      <c r="I2185" s="23">
        <v>1</v>
      </c>
      <c r="J2185" s="23">
        <v>2</v>
      </c>
      <c r="K2185" s="23">
        <v>3</v>
      </c>
      <c r="L2185" s="25">
        <f t="shared" ref="L2185:L2212" si="67">IF( OR( ISBLANK(G2185),ISBLANK(H2185), ISBLANK(I2185), ISBLANK(J2185), ISBLANK(K2185) ), "", 1.5*SQRT( EXP(2.21*(G2185-1)) + EXP(2.21*(H2185-1)) + EXP(2.21*(I2185-1)) + EXP(2.21*(J2185-1)) + EXP(2.21*K2185) )/100*2.45 )</f>
        <v>1.0195048044558224</v>
      </c>
      <c r="M2185" s="20"/>
    </row>
    <row r="2186" spans="1:13" x14ac:dyDescent="0.2">
      <c r="A2186" s="48" t="s">
        <v>150</v>
      </c>
      <c r="B2186" s="12" t="s">
        <v>22</v>
      </c>
      <c r="C2186" s="28" t="s">
        <v>64</v>
      </c>
      <c r="D2186" s="44">
        <v>0.4117337071744776</v>
      </c>
      <c r="E2186" s="15" t="s">
        <v>148</v>
      </c>
      <c r="F2186" s="16" t="s">
        <v>16</v>
      </c>
      <c r="G2186" s="22">
        <v>1</v>
      </c>
      <c r="H2186" s="23">
        <v>1</v>
      </c>
      <c r="I2186" s="23">
        <v>1</v>
      </c>
      <c r="J2186" s="23">
        <v>2</v>
      </c>
      <c r="K2186" s="23">
        <v>3</v>
      </c>
      <c r="L2186" s="25">
        <f t="shared" si="67"/>
        <v>1.0195048044558224</v>
      </c>
      <c r="M2186" s="20"/>
    </row>
    <row r="2187" spans="1:13" x14ac:dyDescent="0.2">
      <c r="A2187" s="48" t="s">
        <v>150</v>
      </c>
      <c r="B2187" s="12" t="s">
        <v>23</v>
      </c>
      <c r="C2187" s="28" t="s">
        <v>64</v>
      </c>
      <c r="D2187" s="44">
        <v>0.1138237609494199</v>
      </c>
      <c r="E2187" s="15" t="s">
        <v>148</v>
      </c>
      <c r="F2187" s="16" t="s">
        <v>16</v>
      </c>
      <c r="G2187" s="22">
        <v>1</v>
      </c>
      <c r="H2187" s="23">
        <v>1</v>
      </c>
      <c r="I2187" s="23">
        <v>1</v>
      </c>
      <c r="J2187" s="23">
        <v>2</v>
      </c>
      <c r="K2187" s="23">
        <v>3</v>
      </c>
      <c r="L2187" s="25">
        <f t="shared" si="67"/>
        <v>1.0195048044558224</v>
      </c>
      <c r="M2187" s="20"/>
    </row>
    <row r="2188" spans="1:13" x14ac:dyDescent="0.2">
      <c r="A2188" s="48" t="s">
        <v>150</v>
      </c>
      <c r="B2188" s="12" t="s">
        <v>24</v>
      </c>
      <c r="C2188" s="28" t="s">
        <v>64</v>
      </c>
      <c r="D2188" s="44">
        <v>1.6441373922625679</v>
      </c>
      <c r="E2188" s="15" t="s">
        <v>148</v>
      </c>
      <c r="F2188" s="16" t="s">
        <v>16</v>
      </c>
      <c r="G2188" s="22">
        <v>1</v>
      </c>
      <c r="H2188" s="23">
        <v>1</v>
      </c>
      <c r="I2188" s="23">
        <v>1</v>
      </c>
      <c r="J2188" s="23">
        <v>2</v>
      </c>
      <c r="K2188" s="23">
        <v>3</v>
      </c>
      <c r="L2188" s="25">
        <f t="shared" si="67"/>
        <v>1.0195048044558224</v>
      </c>
      <c r="M2188" s="20"/>
    </row>
    <row r="2189" spans="1:13" x14ac:dyDescent="0.2">
      <c r="A2189" s="48" t="s">
        <v>150</v>
      </c>
      <c r="B2189" s="12" t="s">
        <v>25</v>
      </c>
      <c r="C2189" s="28" t="s">
        <v>64</v>
      </c>
      <c r="D2189" s="44">
        <v>1.422138692541997</v>
      </c>
      <c r="E2189" s="15" t="s">
        <v>148</v>
      </c>
      <c r="F2189" s="16" t="s">
        <v>16</v>
      </c>
      <c r="G2189" s="22">
        <v>1</v>
      </c>
      <c r="H2189" s="23">
        <v>1</v>
      </c>
      <c r="I2189" s="23">
        <v>1</v>
      </c>
      <c r="J2189" s="23">
        <v>2</v>
      </c>
      <c r="K2189" s="23">
        <v>3</v>
      </c>
      <c r="L2189" s="25">
        <f t="shared" si="67"/>
        <v>1.0195048044558224</v>
      </c>
      <c r="M2189" s="20"/>
    </row>
    <row r="2190" spans="1:13" x14ac:dyDescent="0.2">
      <c r="A2190" s="48" t="s">
        <v>150</v>
      </c>
      <c r="B2190" s="12" t="s">
        <v>26</v>
      </c>
      <c r="C2190" s="28" t="s">
        <v>64</v>
      </c>
      <c r="D2190" s="44">
        <v>0.33324310132853979</v>
      </c>
      <c r="E2190" s="15" t="s">
        <v>148</v>
      </c>
      <c r="F2190" s="16" t="s">
        <v>16</v>
      </c>
      <c r="G2190" s="22">
        <v>1</v>
      </c>
      <c r="H2190" s="23">
        <v>1</v>
      </c>
      <c r="I2190" s="23">
        <v>1</v>
      </c>
      <c r="J2190" s="23">
        <v>2</v>
      </c>
      <c r="K2190" s="23">
        <v>3</v>
      </c>
      <c r="L2190" s="25">
        <f t="shared" si="67"/>
        <v>1.0195048044558224</v>
      </c>
      <c r="M2190" s="20"/>
    </row>
    <row r="2191" spans="1:13" x14ac:dyDescent="0.2">
      <c r="A2191" s="48" t="s">
        <v>150</v>
      </c>
      <c r="B2191" s="12" t="s">
        <v>27</v>
      </c>
      <c r="C2191" s="28" t="s">
        <v>64</v>
      </c>
      <c r="D2191" s="44">
        <v>0.9762890219723358</v>
      </c>
      <c r="E2191" s="15" t="s">
        <v>148</v>
      </c>
      <c r="F2191" s="16" t="s">
        <v>16</v>
      </c>
      <c r="G2191" s="22">
        <v>1</v>
      </c>
      <c r="H2191" s="23">
        <v>1</v>
      </c>
      <c r="I2191" s="23">
        <v>1</v>
      </c>
      <c r="J2191" s="23">
        <v>2</v>
      </c>
      <c r="K2191" s="23">
        <v>3</v>
      </c>
      <c r="L2191" s="25">
        <f t="shared" si="67"/>
        <v>1.0195048044558224</v>
      </c>
      <c r="M2191" s="20"/>
    </row>
    <row r="2192" spans="1:13" x14ac:dyDescent="0.2">
      <c r="A2192" s="48" t="s">
        <v>150</v>
      </c>
      <c r="B2192" s="12" t="s">
        <v>28</v>
      </c>
      <c r="C2192" s="28" t="s">
        <v>64</v>
      </c>
      <c r="D2192" s="44">
        <v>13.34002141675345</v>
      </c>
      <c r="E2192" s="15" t="s">
        <v>148</v>
      </c>
      <c r="F2192" s="16" t="s">
        <v>16</v>
      </c>
      <c r="G2192" s="22">
        <v>1</v>
      </c>
      <c r="H2192" s="23">
        <v>1</v>
      </c>
      <c r="I2192" s="23">
        <v>1</v>
      </c>
      <c r="J2192" s="23">
        <v>2</v>
      </c>
      <c r="K2192" s="23">
        <v>3</v>
      </c>
      <c r="L2192" s="25">
        <f t="shared" si="67"/>
        <v>1.0195048044558224</v>
      </c>
      <c r="M2192" s="20"/>
    </row>
    <row r="2193" spans="1:13" x14ac:dyDescent="0.2">
      <c r="A2193" s="48" t="s">
        <v>150</v>
      </c>
      <c r="B2193" s="12" t="s">
        <v>30</v>
      </c>
      <c r="C2193" s="28" t="s">
        <v>64</v>
      </c>
      <c r="D2193" s="44">
        <v>23.534732584157521</v>
      </c>
      <c r="E2193" s="15" t="s">
        <v>148</v>
      </c>
      <c r="F2193" s="16" t="s">
        <v>16</v>
      </c>
      <c r="G2193" s="22">
        <v>1</v>
      </c>
      <c r="H2193" s="23">
        <v>1</v>
      </c>
      <c r="I2193" s="23">
        <v>1</v>
      </c>
      <c r="J2193" s="23">
        <v>2</v>
      </c>
      <c r="K2193" s="23">
        <v>3</v>
      </c>
      <c r="L2193" s="24">
        <f t="shared" si="67"/>
        <v>1.0195048044558224</v>
      </c>
      <c r="M2193" s="20"/>
    </row>
    <row r="2194" spans="1:13" x14ac:dyDescent="0.2">
      <c r="A2194" s="48" t="s">
        <v>150</v>
      </c>
      <c r="B2194" s="12" t="s">
        <v>32</v>
      </c>
      <c r="C2194" s="28" t="s">
        <v>64</v>
      </c>
      <c r="D2194" s="44">
        <v>1.7220566885686399</v>
      </c>
      <c r="E2194" s="15" t="s">
        <v>148</v>
      </c>
      <c r="F2194" s="16" t="s">
        <v>16</v>
      </c>
      <c r="G2194" s="22">
        <v>1</v>
      </c>
      <c r="H2194" s="23">
        <v>1</v>
      </c>
      <c r="I2194" s="23">
        <v>1</v>
      </c>
      <c r="J2194" s="23">
        <v>2</v>
      </c>
      <c r="K2194" s="23">
        <v>3</v>
      </c>
      <c r="L2194" s="25">
        <f t="shared" si="67"/>
        <v>1.0195048044558224</v>
      </c>
      <c r="M2194" s="20"/>
    </row>
    <row r="2195" spans="1:13" x14ac:dyDescent="0.2">
      <c r="A2195" s="48" t="s">
        <v>150</v>
      </c>
      <c r="B2195" s="12" t="s">
        <v>34</v>
      </c>
      <c r="C2195" s="28" t="s">
        <v>64</v>
      </c>
      <c r="D2195" s="44">
        <v>2.8829619983945971</v>
      </c>
      <c r="E2195" s="15" t="s">
        <v>148</v>
      </c>
      <c r="F2195" s="16" t="s">
        <v>16</v>
      </c>
      <c r="G2195" s="22">
        <v>1</v>
      </c>
      <c r="H2195" s="23">
        <v>1</v>
      </c>
      <c r="I2195" s="23">
        <v>1</v>
      </c>
      <c r="J2195" s="23">
        <v>2</v>
      </c>
      <c r="K2195" s="23">
        <v>3</v>
      </c>
      <c r="L2195" s="25">
        <f t="shared" si="67"/>
        <v>1.0195048044558224</v>
      </c>
      <c r="M2195" s="20"/>
    </row>
    <row r="2196" spans="1:13" x14ac:dyDescent="0.2">
      <c r="A2196" s="48" t="s">
        <v>150</v>
      </c>
      <c r="B2196" s="12" t="s">
        <v>36</v>
      </c>
      <c r="C2196" s="28" t="s">
        <v>64</v>
      </c>
      <c r="D2196" s="44">
        <v>1.897347744733322</v>
      </c>
      <c r="E2196" s="15" t="s">
        <v>148</v>
      </c>
      <c r="F2196" s="16" t="s">
        <v>16</v>
      </c>
      <c r="G2196" s="22">
        <v>1</v>
      </c>
      <c r="H2196" s="23">
        <v>1</v>
      </c>
      <c r="I2196" s="23">
        <v>1</v>
      </c>
      <c r="J2196" s="23">
        <v>2</v>
      </c>
      <c r="K2196" s="23">
        <v>3</v>
      </c>
      <c r="L2196" s="25">
        <f t="shared" si="67"/>
        <v>1.0195048044558224</v>
      </c>
      <c r="M2196" s="20"/>
    </row>
    <row r="2197" spans="1:13" x14ac:dyDescent="0.2">
      <c r="A2197" s="48" t="s">
        <v>150</v>
      </c>
      <c r="B2197" s="12" t="s">
        <v>37</v>
      </c>
      <c r="C2197" s="28" t="s">
        <v>64</v>
      </c>
      <c r="D2197" s="44">
        <v>12.40212036421066</v>
      </c>
      <c r="E2197" s="15" t="s">
        <v>148</v>
      </c>
      <c r="F2197" s="16" t="s">
        <v>16</v>
      </c>
      <c r="G2197" s="22">
        <v>1</v>
      </c>
      <c r="H2197" s="23">
        <v>1</v>
      </c>
      <c r="I2197" s="23">
        <v>1</v>
      </c>
      <c r="J2197" s="23">
        <v>2</v>
      </c>
      <c r="K2197" s="23">
        <v>3</v>
      </c>
      <c r="L2197" s="24">
        <f t="shared" si="67"/>
        <v>1.0195048044558224</v>
      </c>
      <c r="M2197" s="20"/>
    </row>
    <row r="2198" spans="1:13" x14ac:dyDescent="0.2">
      <c r="A2198" s="48" t="s">
        <v>150</v>
      </c>
      <c r="B2198" s="12" t="s">
        <v>39</v>
      </c>
      <c r="C2198" s="28" t="s">
        <v>64</v>
      </c>
      <c r="D2198" s="44">
        <v>0.29163403350930328</v>
      </c>
      <c r="E2198" s="15" t="s">
        <v>148</v>
      </c>
      <c r="F2198" s="16" t="s">
        <v>16</v>
      </c>
      <c r="G2198" s="22">
        <v>1</v>
      </c>
      <c r="H2198" s="23">
        <v>1</v>
      </c>
      <c r="I2198" s="23">
        <v>1</v>
      </c>
      <c r="J2198" s="23">
        <v>2</v>
      </c>
      <c r="K2198" s="23">
        <v>3</v>
      </c>
      <c r="L2198" s="25">
        <f t="shared" si="67"/>
        <v>1.0195048044558224</v>
      </c>
      <c r="M2198" s="20"/>
    </row>
    <row r="2199" spans="1:13" x14ac:dyDescent="0.2">
      <c r="A2199" s="48" t="s">
        <v>150</v>
      </c>
      <c r="B2199" s="12" t="s">
        <v>40</v>
      </c>
      <c r="C2199" s="28" t="s">
        <v>64</v>
      </c>
      <c r="D2199" s="44">
        <v>0.53548025773029206</v>
      </c>
      <c r="E2199" s="15" t="s">
        <v>148</v>
      </c>
      <c r="F2199" s="16" t="s">
        <v>16</v>
      </c>
      <c r="G2199" s="22">
        <v>1</v>
      </c>
      <c r="H2199" s="23">
        <v>1</v>
      </c>
      <c r="I2199" s="23">
        <v>1</v>
      </c>
      <c r="J2199" s="23">
        <v>2</v>
      </c>
      <c r="K2199" s="23">
        <v>3</v>
      </c>
      <c r="L2199" s="25">
        <f t="shared" si="67"/>
        <v>1.0195048044558224</v>
      </c>
      <c r="M2199" s="20"/>
    </row>
    <row r="2200" spans="1:13" x14ac:dyDescent="0.2">
      <c r="A2200" s="48" t="s">
        <v>150</v>
      </c>
      <c r="B2200" s="12" t="s">
        <v>41</v>
      </c>
      <c r="C2200" s="28" t="s">
        <v>64</v>
      </c>
      <c r="D2200" s="44">
        <v>0.15217935730241389</v>
      </c>
      <c r="E2200" s="15" t="s">
        <v>148</v>
      </c>
      <c r="F2200" s="16" t="s">
        <v>16</v>
      </c>
      <c r="G2200" s="22">
        <v>1</v>
      </c>
      <c r="H2200" s="23">
        <v>1</v>
      </c>
      <c r="I2200" s="23">
        <v>1</v>
      </c>
      <c r="J2200" s="23">
        <v>2</v>
      </c>
      <c r="K2200" s="23">
        <v>3</v>
      </c>
      <c r="L2200" s="25">
        <f t="shared" si="67"/>
        <v>1.0195048044558224</v>
      </c>
      <c r="M2200" s="20"/>
    </row>
    <row r="2201" spans="1:13" x14ac:dyDescent="0.2">
      <c r="A2201" s="48" t="s">
        <v>150</v>
      </c>
      <c r="B2201" s="12" t="s">
        <v>42</v>
      </c>
      <c r="C2201" s="28" t="s">
        <v>64</v>
      </c>
      <c r="D2201" s="44">
        <v>8.7801982654071173E-2</v>
      </c>
      <c r="E2201" s="15" t="s">
        <v>148</v>
      </c>
      <c r="F2201" s="16" t="s">
        <v>16</v>
      </c>
      <c r="G2201" s="22">
        <v>1</v>
      </c>
      <c r="H2201" s="23">
        <v>1</v>
      </c>
      <c r="I2201" s="23">
        <v>1</v>
      </c>
      <c r="J2201" s="23">
        <v>2</v>
      </c>
      <c r="K2201" s="23">
        <v>3</v>
      </c>
      <c r="L2201" s="25">
        <f t="shared" si="67"/>
        <v>1.0195048044558224</v>
      </c>
      <c r="M2201" s="20"/>
    </row>
    <row r="2202" spans="1:13" x14ac:dyDescent="0.2">
      <c r="A2202" s="48" t="s">
        <v>150</v>
      </c>
      <c r="B2202" s="12" t="s">
        <v>43</v>
      </c>
      <c r="C2202" s="28" t="s">
        <v>64</v>
      </c>
      <c r="D2202" s="44">
        <v>4.0650761029047473</v>
      </c>
      <c r="E2202" s="15" t="s">
        <v>148</v>
      </c>
      <c r="F2202" s="16" t="s">
        <v>16</v>
      </c>
      <c r="G2202" s="22">
        <v>1</v>
      </c>
      <c r="H2202" s="23">
        <v>1</v>
      </c>
      <c r="I2202" s="23">
        <v>1</v>
      </c>
      <c r="J2202" s="23">
        <v>2</v>
      </c>
      <c r="K2202" s="23">
        <v>3</v>
      </c>
      <c r="L2202" s="25">
        <f t="shared" si="67"/>
        <v>1.0195048044558224</v>
      </c>
      <c r="M2202" s="20"/>
    </row>
    <row r="2203" spans="1:13" x14ac:dyDescent="0.2">
      <c r="A2203" s="48" t="s">
        <v>150</v>
      </c>
      <c r="B2203" s="12" t="s">
        <v>45</v>
      </c>
      <c r="C2203" s="28" t="s">
        <v>64</v>
      </c>
      <c r="D2203" s="44">
        <v>1.5396420443748351</v>
      </c>
      <c r="E2203" s="15" t="s">
        <v>148</v>
      </c>
      <c r="F2203" s="16" t="s">
        <v>16</v>
      </c>
      <c r="G2203" s="22">
        <v>1</v>
      </c>
      <c r="H2203" s="23">
        <v>1</v>
      </c>
      <c r="I2203" s="23">
        <v>1</v>
      </c>
      <c r="J2203" s="23">
        <v>2</v>
      </c>
      <c r="K2203" s="23">
        <v>3</v>
      </c>
      <c r="L2203" s="25">
        <f t="shared" si="67"/>
        <v>1.0195048044558224</v>
      </c>
      <c r="M2203" s="20"/>
    </row>
    <row r="2204" spans="1:13" x14ac:dyDescent="0.2">
      <c r="A2204" s="48" t="s">
        <v>150</v>
      </c>
      <c r="B2204" s="12" t="s">
        <v>46</v>
      </c>
      <c r="C2204" s="28" t="s">
        <v>64</v>
      </c>
      <c r="D2204" s="44">
        <v>7.0063324069540549</v>
      </c>
      <c r="E2204" s="15" t="s">
        <v>148</v>
      </c>
      <c r="F2204" s="16" t="s">
        <v>16</v>
      </c>
      <c r="G2204" s="22">
        <v>1</v>
      </c>
      <c r="H2204" s="23">
        <v>1</v>
      </c>
      <c r="I2204" s="23">
        <v>1</v>
      </c>
      <c r="J2204" s="23">
        <v>2</v>
      </c>
      <c r="K2204" s="23">
        <v>3</v>
      </c>
      <c r="L2204" s="24">
        <f t="shared" si="67"/>
        <v>1.0195048044558224</v>
      </c>
      <c r="M2204" s="20"/>
    </row>
    <row r="2205" spans="1:13" x14ac:dyDescent="0.2">
      <c r="A2205" s="48" t="s">
        <v>150</v>
      </c>
      <c r="B2205" s="12" t="s">
        <v>48</v>
      </c>
      <c r="C2205" s="28" t="s">
        <v>64</v>
      </c>
      <c r="D2205" s="44">
        <v>2.581169760972299</v>
      </c>
      <c r="E2205" s="15" t="s">
        <v>148</v>
      </c>
      <c r="F2205" s="16" t="s">
        <v>16</v>
      </c>
      <c r="G2205" s="22">
        <v>1</v>
      </c>
      <c r="H2205" s="23">
        <v>1</v>
      </c>
      <c r="I2205" s="23">
        <v>1</v>
      </c>
      <c r="J2205" s="23">
        <v>2</v>
      </c>
      <c r="K2205" s="23">
        <v>3</v>
      </c>
      <c r="L2205" s="25">
        <f t="shared" si="67"/>
        <v>1.0195048044558224</v>
      </c>
      <c r="M2205" s="20"/>
    </row>
    <row r="2206" spans="1:13" x14ac:dyDescent="0.2">
      <c r="A2206" s="48" t="s">
        <v>150</v>
      </c>
      <c r="B2206" s="12" t="s">
        <v>50</v>
      </c>
      <c r="C2206" s="28" t="s">
        <v>64</v>
      </c>
      <c r="D2206" s="44">
        <v>2.999357502534338</v>
      </c>
      <c r="E2206" s="15" t="s">
        <v>148</v>
      </c>
      <c r="F2206" s="16" t="s">
        <v>16</v>
      </c>
      <c r="G2206" s="22">
        <v>1</v>
      </c>
      <c r="H2206" s="23">
        <v>1</v>
      </c>
      <c r="I2206" s="23">
        <v>1</v>
      </c>
      <c r="J2206" s="23">
        <v>2</v>
      </c>
      <c r="K2206" s="23">
        <v>3</v>
      </c>
      <c r="L2206" s="25">
        <f t="shared" si="67"/>
        <v>1.0195048044558224</v>
      </c>
      <c r="M2206" s="20"/>
    </row>
    <row r="2207" spans="1:13" x14ac:dyDescent="0.2">
      <c r="A2207" s="48" t="s">
        <v>150</v>
      </c>
      <c r="B2207" s="12" t="s">
        <v>52</v>
      </c>
      <c r="C2207" s="28" t="s">
        <v>64</v>
      </c>
      <c r="D2207" s="44">
        <v>0.79736722453210207</v>
      </c>
      <c r="E2207" s="15" t="s">
        <v>148</v>
      </c>
      <c r="F2207" s="16" t="s">
        <v>16</v>
      </c>
      <c r="G2207" s="22">
        <v>1</v>
      </c>
      <c r="H2207" s="23">
        <v>1</v>
      </c>
      <c r="I2207" s="23">
        <v>1</v>
      </c>
      <c r="J2207" s="23">
        <v>2</v>
      </c>
      <c r="K2207" s="23">
        <v>3</v>
      </c>
      <c r="L2207" s="25">
        <f t="shared" si="67"/>
        <v>1.0195048044558224</v>
      </c>
      <c r="M2207" s="20"/>
    </row>
    <row r="2208" spans="1:13" x14ac:dyDescent="0.2">
      <c r="A2208" s="48" t="s">
        <v>150</v>
      </c>
      <c r="B2208" s="12" t="s">
        <v>54</v>
      </c>
      <c r="C2208" s="28" t="s">
        <v>64</v>
      </c>
      <c r="D2208" s="44">
        <v>0.30867120119759178</v>
      </c>
      <c r="E2208" s="15" t="s">
        <v>148</v>
      </c>
      <c r="F2208" s="16" t="s">
        <v>16</v>
      </c>
      <c r="G2208" s="22">
        <v>1</v>
      </c>
      <c r="H2208" s="23">
        <v>1</v>
      </c>
      <c r="I2208" s="23">
        <v>1</v>
      </c>
      <c r="J2208" s="23">
        <v>2</v>
      </c>
      <c r="K2208" s="23">
        <v>3</v>
      </c>
      <c r="L2208" s="25">
        <f t="shared" si="67"/>
        <v>1.0195048044558224</v>
      </c>
      <c r="M2208" s="20"/>
    </row>
    <row r="2209" spans="1:13" x14ac:dyDescent="0.2">
      <c r="A2209" s="48" t="s">
        <v>150</v>
      </c>
      <c r="B2209" s="12" t="s">
        <v>55</v>
      </c>
      <c r="C2209" s="28" t="s">
        <v>64</v>
      </c>
      <c r="D2209" s="44">
        <v>9.4640179845317078</v>
      </c>
      <c r="E2209" s="15" t="s">
        <v>148</v>
      </c>
      <c r="F2209" s="16" t="s">
        <v>16</v>
      </c>
      <c r="G2209" s="22">
        <v>1</v>
      </c>
      <c r="H2209" s="23">
        <v>1</v>
      </c>
      <c r="I2209" s="23">
        <v>1</v>
      </c>
      <c r="J2209" s="23">
        <v>2</v>
      </c>
      <c r="K2209" s="23">
        <v>3</v>
      </c>
      <c r="L2209" s="24">
        <f t="shared" si="67"/>
        <v>1.0195048044558224</v>
      </c>
      <c r="M2209" s="20"/>
    </row>
    <row r="2210" spans="1:13" x14ac:dyDescent="0.2">
      <c r="A2210" s="48" t="s">
        <v>150</v>
      </c>
      <c r="B2210" s="12" t="s">
        <v>57</v>
      </c>
      <c r="C2210" s="28" t="s">
        <v>64</v>
      </c>
      <c r="D2210" s="44">
        <v>1.5434929661620591</v>
      </c>
      <c r="E2210" s="15" t="s">
        <v>148</v>
      </c>
      <c r="F2210" s="16" t="s">
        <v>16</v>
      </c>
      <c r="G2210" s="22">
        <v>1</v>
      </c>
      <c r="H2210" s="23">
        <v>1</v>
      </c>
      <c r="I2210" s="23">
        <v>1</v>
      </c>
      <c r="J2210" s="23">
        <v>2</v>
      </c>
      <c r="K2210" s="23">
        <v>3</v>
      </c>
      <c r="L2210" s="25">
        <f t="shared" si="67"/>
        <v>1.0195048044558224</v>
      </c>
      <c r="M2210" s="20"/>
    </row>
    <row r="2211" spans="1:13" x14ac:dyDescent="0.2">
      <c r="A2211" s="48" t="s">
        <v>150</v>
      </c>
      <c r="B2211" s="12" t="s">
        <v>59</v>
      </c>
      <c r="C2211" s="28" t="s">
        <v>64</v>
      </c>
      <c r="D2211" s="44">
        <v>2.3225109296841091</v>
      </c>
      <c r="E2211" s="15" t="s">
        <v>148</v>
      </c>
      <c r="F2211" s="16" t="s">
        <v>16</v>
      </c>
      <c r="G2211" s="22">
        <v>1</v>
      </c>
      <c r="H2211" s="23">
        <v>1</v>
      </c>
      <c r="I2211" s="23">
        <v>1</v>
      </c>
      <c r="J2211" s="23">
        <v>2</v>
      </c>
      <c r="K2211" s="23">
        <v>3</v>
      </c>
      <c r="L2211" s="25">
        <f t="shared" si="67"/>
        <v>1.0195048044558224</v>
      </c>
      <c r="M2211" s="20"/>
    </row>
    <row r="2212" spans="1:13" x14ac:dyDescent="0.2">
      <c r="A2212" s="48" t="s">
        <v>150</v>
      </c>
      <c r="B2212" s="12" t="s">
        <v>60</v>
      </c>
      <c r="C2212" s="28" t="s">
        <v>64</v>
      </c>
      <c r="D2212" s="44">
        <v>12.26444873002373</v>
      </c>
      <c r="E2212" s="15" t="s">
        <v>148</v>
      </c>
      <c r="F2212" s="16" t="s">
        <v>16</v>
      </c>
      <c r="G2212" s="22">
        <v>1</v>
      </c>
      <c r="H2212" s="23">
        <v>2</v>
      </c>
      <c r="I2212" s="23">
        <v>1</v>
      </c>
      <c r="J2212" s="23">
        <v>2</v>
      </c>
      <c r="K2212" s="23">
        <v>3</v>
      </c>
      <c r="L2212" s="24">
        <f t="shared" si="67"/>
        <v>1.0248662490928169</v>
      </c>
      <c r="M2212" s="20"/>
    </row>
    <row r="2213" spans="1:13" x14ac:dyDescent="0.2">
      <c r="A2213" s="48" t="s">
        <v>150</v>
      </c>
      <c r="B2213" s="22" t="s">
        <v>135</v>
      </c>
      <c r="C2213" s="29" t="s">
        <v>66</v>
      </c>
      <c r="D2213" s="14">
        <v>0</v>
      </c>
      <c r="E2213" s="15"/>
      <c r="F2213" s="16"/>
      <c r="G2213" s="17"/>
      <c r="H2213" s="18"/>
      <c r="I2213" s="18"/>
      <c r="J2213" s="18"/>
      <c r="K2213" s="18"/>
      <c r="L2213" s="19" t="str">
        <f>IF( OR( ISBLANK(G2213),ISBLANK(H2213), ISBLANK(I2213), ISBLANK(J2213), ISBLANK(K2213) ), "", 1.5*SQRT(   EXP(2.21*(G2213-1)) + EXP(2.21*(H2213-1)) + EXP(2.21*(I2213-1)) + EXP(2.21*(J2213-1)) + EXP(2.21*K2213)   )/100*2.45 )</f>
        <v/>
      </c>
      <c r="M2213" s="20"/>
    </row>
    <row r="2214" spans="1:13" x14ac:dyDescent="0.2">
      <c r="A2214" s="48" t="s">
        <v>150</v>
      </c>
      <c r="B2214" s="22" t="s">
        <v>135</v>
      </c>
      <c r="C2214" s="30" t="s">
        <v>94</v>
      </c>
      <c r="D2214" s="14">
        <v>0</v>
      </c>
      <c r="E2214" s="15"/>
      <c r="F2214" s="16"/>
      <c r="G2214" s="17"/>
      <c r="H2214" s="18"/>
      <c r="I2214" s="18"/>
      <c r="J2214" s="18"/>
      <c r="K2214" s="18"/>
      <c r="L2214" s="19" t="str">
        <f>IF( OR( ISBLANK(G2214),ISBLANK(H2214), ISBLANK(I2214), ISBLANK(J2214), ISBLANK(K2214) ), "", 1.5*SQRT(   EXP(2.21*(G2214-1)) + EXP(2.21*(H2214-1)) + EXP(2.21*(I2214-1)) + EXP(2.21*(J2214-1)) + EXP(2.21*K2214)   )/100*2.45 )</f>
        <v/>
      </c>
      <c r="M2214" s="20"/>
    </row>
    <row r="2215" spans="1:13" x14ac:dyDescent="0.2">
      <c r="A2215" s="48" t="s">
        <v>150</v>
      </c>
      <c r="B2215" s="22" t="s">
        <v>135</v>
      </c>
      <c r="C2215" s="31" t="s">
        <v>96</v>
      </c>
      <c r="D2215" s="14">
        <v>0</v>
      </c>
      <c r="E2215" s="15"/>
      <c r="F2215" s="16"/>
      <c r="G2215" s="17"/>
      <c r="H2215" s="18"/>
      <c r="I2215" s="18"/>
      <c r="J2215" s="18"/>
      <c r="K2215" s="18"/>
      <c r="L2215" s="19" t="str">
        <f>IF( OR( ISBLANK(G2215),ISBLANK(H2215), ISBLANK(I2215), ISBLANK(J2215), ISBLANK(K2215) ), "", 1.5*SQRT(   EXP(2.21*(G2215-1)) + EXP(2.21*(H2215-1)) + EXP(2.21*(I2215-1)) + EXP(2.21*(J2215-1)) + EXP(2.21*K2215)   )/100*2.45 )</f>
        <v/>
      </c>
      <c r="M2215" s="20"/>
    </row>
    <row r="2216" spans="1:13" x14ac:dyDescent="0.2">
      <c r="A2216" s="48" t="s">
        <v>150</v>
      </c>
      <c r="B2216" s="12" t="s">
        <v>13</v>
      </c>
      <c r="C2216" s="32" t="s">
        <v>98</v>
      </c>
      <c r="D2216" s="44">
        <v>4.7847677119131191</v>
      </c>
      <c r="E2216" s="15" t="s">
        <v>148</v>
      </c>
      <c r="F2216" s="16" t="s">
        <v>16</v>
      </c>
      <c r="G2216" s="22">
        <v>1</v>
      </c>
      <c r="H2216" s="23">
        <v>1</v>
      </c>
      <c r="I2216" s="23">
        <v>1</v>
      </c>
      <c r="J2216" s="23">
        <v>2</v>
      </c>
      <c r="K2216" s="23">
        <v>3</v>
      </c>
      <c r="L2216" s="25">
        <f t="shared" ref="L2216:L2247" si="68">IF( OR( ISBLANK(G2216),ISBLANK(H2216), ISBLANK(I2216), ISBLANK(J2216), ISBLANK(K2216) ), "", 1.5*SQRT( EXP(2.21*(G2216-1)) + EXP(2.21*(H2216-1)) + EXP(2.21*(I2216-1)) + EXP(2.21*(J2216-1)) + EXP(2.21*K2216) )/100*2.45 )</f>
        <v>1.0195048044558224</v>
      </c>
      <c r="M2216" s="20"/>
    </row>
    <row r="2217" spans="1:13" x14ac:dyDescent="0.2">
      <c r="A2217" s="48" t="s">
        <v>150</v>
      </c>
      <c r="B2217" s="12" t="s">
        <v>18</v>
      </c>
      <c r="C2217" s="32" t="s">
        <v>98</v>
      </c>
      <c r="D2217" s="44">
        <v>6.4493967916084829</v>
      </c>
      <c r="E2217" s="15" t="s">
        <v>148</v>
      </c>
      <c r="F2217" s="16" t="s">
        <v>16</v>
      </c>
      <c r="G2217" s="22">
        <v>1</v>
      </c>
      <c r="H2217" s="23">
        <v>1</v>
      </c>
      <c r="I2217" s="23">
        <v>1</v>
      </c>
      <c r="J2217" s="23">
        <v>2</v>
      </c>
      <c r="K2217" s="23">
        <v>3</v>
      </c>
      <c r="L2217" s="25">
        <f t="shared" si="68"/>
        <v>1.0195048044558224</v>
      </c>
      <c r="M2217" s="20"/>
    </row>
    <row r="2218" spans="1:13" x14ac:dyDescent="0.2">
      <c r="A2218" s="48" t="s">
        <v>150</v>
      </c>
      <c r="B2218" s="12" t="s">
        <v>20</v>
      </c>
      <c r="C2218" s="32" t="s">
        <v>98</v>
      </c>
      <c r="D2218" s="44">
        <v>2.447185046699428</v>
      </c>
      <c r="E2218" s="15" t="s">
        <v>148</v>
      </c>
      <c r="F2218" s="16" t="s">
        <v>16</v>
      </c>
      <c r="G2218" s="22">
        <v>1</v>
      </c>
      <c r="H2218" s="23">
        <v>1</v>
      </c>
      <c r="I2218" s="23">
        <v>1</v>
      </c>
      <c r="J2218" s="23">
        <v>2</v>
      </c>
      <c r="K2218" s="23">
        <v>3</v>
      </c>
      <c r="L2218" s="25">
        <f t="shared" si="68"/>
        <v>1.0195048044558224</v>
      </c>
      <c r="M2218" s="20"/>
    </row>
    <row r="2219" spans="1:13" x14ac:dyDescent="0.2">
      <c r="A2219" s="48" t="s">
        <v>150</v>
      </c>
      <c r="B2219" s="12" t="s">
        <v>22</v>
      </c>
      <c r="C2219" s="32" t="s">
        <v>98</v>
      </c>
      <c r="D2219" s="44">
        <v>1.0606959131819049</v>
      </c>
      <c r="E2219" s="15" t="s">
        <v>148</v>
      </c>
      <c r="F2219" s="16" t="s">
        <v>16</v>
      </c>
      <c r="G2219" s="22">
        <v>1</v>
      </c>
      <c r="H2219" s="23">
        <v>1</v>
      </c>
      <c r="I2219" s="23">
        <v>1</v>
      </c>
      <c r="J2219" s="23">
        <v>2</v>
      </c>
      <c r="K2219" s="23">
        <v>3</v>
      </c>
      <c r="L2219" s="25">
        <f t="shared" si="68"/>
        <v>1.0195048044558224</v>
      </c>
      <c r="M2219" s="20"/>
    </row>
    <row r="2220" spans="1:13" x14ac:dyDescent="0.2">
      <c r="A2220" s="48" t="s">
        <v>150</v>
      </c>
      <c r="B2220" s="12" t="s">
        <v>23</v>
      </c>
      <c r="C2220" s="32" t="s">
        <v>98</v>
      </c>
      <c r="D2220" s="44">
        <v>0.2932293274956036</v>
      </c>
      <c r="E2220" s="15" t="s">
        <v>148</v>
      </c>
      <c r="F2220" s="16" t="s">
        <v>16</v>
      </c>
      <c r="G2220" s="22">
        <v>1</v>
      </c>
      <c r="H2220" s="23">
        <v>1</v>
      </c>
      <c r="I2220" s="23">
        <v>1</v>
      </c>
      <c r="J2220" s="23">
        <v>2</v>
      </c>
      <c r="K2220" s="23">
        <v>3</v>
      </c>
      <c r="L2220" s="25">
        <f t="shared" si="68"/>
        <v>1.0195048044558224</v>
      </c>
      <c r="M2220" s="20"/>
    </row>
    <row r="2221" spans="1:13" x14ac:dyDescent="0.2">
      <c r="A2221" s="48" t="s">
        <v>150</v>
      </c>
      <c r="B2221" s="12" t="s">
        <v>24</v>
      </c>
      <c r="C2221" s="32" t="s">
        <v>98</v>
      </c>
      <c r="D2221" s="44">
        <v>4.2355769816617119</v>
      </c>
      <c r="E2221" s="15" t="s">
        <v>148</v>
      </c>
      <c r="F2221" s="16" t="s">
        <v>16</v>
      </c>
      <c r="G2221" s="22">
        <v>1</v>
      </c>
      <c r="H2221" s="23">
        <v>1</v>
      </c>
      <c r="I2221" s="23">
        <v>1</v>
      </c>
      <c r="J2221" s="23">
        <v>2</v>
      </c>
      <c r="K2221" s="23">
        <v>3</v>
      </c>
      <c r="L2221" s="25">
        <f t="shared" si="68"/>
        <v>1.0195048044558224</v>
      </c>
      <c r="M2221" s="20"/>
    </row>
    <row r="2222" spans="1:13" x14ac:dyDescent="0.2">
      <c r="A2222" s="48" t="s">
        <v>150</v>
      </c>
      <c r="B2222" s="12" t="s">
        <v>25</v>
      </c>
      <c r="C2222" s="32" t="s">
        <v>98</v>
      </c>
      <c r="D2222" s="44">
        <v>3.6636706513754671</v>
      </c>
      <c r="E2222" s="15" t="s">
        <v>148</v>
      </c>
      <c r="F2222" s="16" t="s">
        <v>16</v>
      </c>
      <c r="G2222" s="22">
        <v>1</v>
      </c>
      <c r="H2222" s="23">
        <v>1</v>
      </c>
      <c r="I2222" s="23">
        <v>1</v>
      </c>
      <c r="J2222" s="23">
        <v>2</v>
      </c>
      <c r="K2222" s="23">
        <v>3</v>
      </c>
      <c r="L2222" s="25">
        <f t="shared" si="68"/>
        <v>1.0195048044558224</v>
      </c>
      <c r="M2222" s="20"/>
    </row>
    <row r="2223" spans="1:13" x14ac:dyDescent="0.2">
      <c r="A2223" s="48" t="s">
        <v>150</v>
      </c>
      <c r="B2223" s="12" t="s">
        <v>26</v>
      </c>
      <c r="C2223" s="32" t="s">
        <v>98</v>
      </c>
      <c r="D2223" s="44">
        <v>0.85849079032399556</v>
      </c>
      <c r="E2223" s="15" t="s">
        <v>148</v>
      </c>
      <c r="F2223" s="16" t="s">
        <v>16</v>
      </c>
      <c r="G2223" s="22">
        <v>1</v>
      </c>
      <c r="H2223" s="23">
        <v>1</v>
      </c>
      <c r="I2223" s="23">
        <v>1</v>
      </c>
      <c r="J2223" s="23">
        <v>2</v>
      </c>
      <c r="K2223" s="23">
        <v>3</v>
      </c>
      <c r="L2223" s="25">
        <f t="shared" si="68"/>
        <v>1.0195048044558224</v>
      </c>
      <c r="M2223" s="20"/>
    </row>
    <row r="2224" spans="1:13" x14ac:dyDescent="0.2">
      <c r="A2224" s="48" t="s">
        <v>150</v>
      </c>
      <c r="B2224" s="12" t="s">
        <v>27</v>
      </c>
      <c r="C2224" s="32" t="s">
        <v>98</v>
      </c>
      <c r="D2224" s="44">
        <v>2.515086225990212</v>
      </c>
      <c r="E2224" s="15" t="s">
        <v>148</v>
      </c>
      <c r="F2224" s="16" t="s">
        <v>16</v>
      </c>
      <c r="G2224" s="22">
        <v>1</v>
      </c>
      <c r="H2224" s="23">
        <v>1</v>
      </c>
      <c r="I2224" s="23">
        <v>1</v>
      </c>
      <c r="J2224" s="23">
        <v>2</v>
      </c>
      <c r="K2224" s="23">
        <v>3</v>
      </c>
      <c r="L2224" s="25">
        <f t="shared" si="68"/>
        <v>1.0195048044558224</v>
      </c>
      <c r="M2224" s="20"/>
    </row>
    <row r="2225" spans="1:13" x14ac:dyDescent="0.2">
      <c r="A2225" s="48" t="s">
        <v>150</v>
      </c>
      <c r="B2225" s="12" t="s">
        <v>28</v>
      </c>
      <c r="C2225" s="32" t="s">
        <v>98</v>
      </c>
      <c r="D2225" s="44">
        <v>34.366159369393941</v>
      </c>
      <c r="E2225" s="15" t="s">
        <v>148</v>
      </c>
      <c r="F2225" s="16" t="s">
        <v>16</v>
      </c>
      <c r="G2225" s="22">
        <v>1</v>
      </c>
      <c r="H2225" s="23">
        <v>1</v>
      </c>
      <c r="I2225" s="23">
        <v>1</v>
      </c>
      <c r="J2225" s="23">
        <v>2</v>
      </c>
      <c r="K2225" s="23">
        <v>3</v>
      </c>
      <c r="L2225" s="25">
        <f t="shared" si="68"/>
        <v>1.0195048044558224</v>
      </c>
      <c r="M2225" s="20"/>
    </row>
    <row r="2226" spans="1:13" x14ac:dyDescent="0.2">
      <c r="A2226" s="48" t="s">
        <v>150</v>
      </c>
      <c r="B2226" s="12" t="s">
        <v>30</v>
      </c>
      <c r="C2226" s="32" t="s">
        <v>98</v>
      </c>
      <c r="D2226" s="44">
        <v>60.629465683426353</v>
      </c>
      <c r="E2226" s="15" t="s">
        <v>148</v>
      </c>
      <c r="F2226" s="16" t="s">
        <v>16</v>
      </c>
      <c r="G2226" s="22">
        <v>1</v>
      </c>
      <c r="H2226" s="23">
        <v>1</v>
      </c>
      <c r="I2226" s="23">
        <v>1</v>
      </c>
      <c r="J2226" s="23">
        <v>2</v>
      </c>
      <c r="K2226" s="23">
        <v>3</v>
      </c>
      <c r="L2226" s="24">
        <f t="shared" si="68"/>
        <v>1.0195048044558224</v>
      </c>
      <c r="M2226" s="20"/>
    </row>
    <row r="2227" spans="1:13" x14ac:dyDescent="0.2">
      <c r="A2227" s="48" t="s">
        <v>150</v>
      </c>
      <c r="B2227" s="12" t="s">
        <v>32</v>
      </c>
      <c r="C2227" s="32" t="s">
        <v>98</v>
      </c>
      <c r="D2227" s="44">
        <v>4.4363103141766453</v>
      </c>
      <c r="E2227" s="15" t="s">
        <v>148</v>
      </c>
      <c r="F2227" s="16" t="s">
        <v>16</v>
      </c>
      <c r="G2227" s="22">
        <v>1</v>
      </c>
      <c r="H2227" s="23">
        <v>1</v>
      </c>
      <c r="I2227" s="23">
        <v>1</v>
      </c>
      <c r="J2227" s="23">
        <v>2</v>
      </c>
      <c r="K2227" s="23">
        <v>3</v>
      </c>
      <c r="L2227" s="25">
        <f t="shared" si="68"/>
        <v>1.0195048044558224</v>
      </c>
      <c r="M2227" s="20"/>
    </row>
    <row r="2228" spans="1:13" x14ac:dyDescent="0.2">
      <c r="A2228" s="48" t="s">
        <v>150</v>
      </c>
      <c r="B2228" s="12" t="s">
        <v>34</v>
      </c>
      <c r="C2228" s="32" t="s">
        <v>98</v>
      </c>
      <c r="D2228" s="44">
        <v>7.4269994325726714</v>
      </c>
      <c r="E2228" s="15" t="s">
        <v>148</v>
      </c>
      <c r="F2228" s="16" t="s">
        <v>16</v>
      </c>
      <c r="G2228" s="22">
        <v>1</v>
      </c>
      <c r="H2228" s="23">
        <v>1</v>
      </c>
      <c r="I2228" s="23">
        <v>1</v>
      </c>
      <c r="J2228" s="23">
        <v>2</v>
      </c>
      <c r="K2228" s="23">
        <v>3</v>
      </c>
      <c r="L2228" s="25">
        <f t="shared" si="68"/>
        <v>1.0195048044558224</v>
      </c>
      <c r="M2228" s="20"/>
    </row>
    <row r="2229" spans="1:13" x14ac:dyDescent="0.2">
      <c r="A2229" s="48" t="s">
        <v>150</v>
      </c>
      <c r="B2229" s="12" t="s">
        <v>36</v>
      </c>
      <c r="C2229" s="32" t="s">
        <v>98</v>
      </c>
      <c r="D2229" s="44">
        <v>4.8878898269815743</v>
      </c>
      <c r="E2229" s="15" t="s">
        <v>148</v>
      </c>
      <c r="F2229" s="16" t="s">
        <v>16</v>
      </c>
      <c r="G2229" s="22">
        <v>1</v>
      </c>
      <c r="H2229" s="23">
        <v>1</v>
      </c>
      <c r="I2229" s="23">
        <v>1</v>
      </c>
      <c r="J2229" s="23">
        <v>2</v>
      </c>
      <c r="K2229" s="23">
        <v>3</v>
      </c>
      <c r="L2229" s="25">
        <f t="shared" si="68"/>
        <v>1.0195048044558224</v>
      </c>
      <c r="M2229" s="20"/>
    </row>
    <row r="2230" spans="1:13" x14ac:dyDescent="0.2">
      <c r="A2230" s="48" t="s">
        <v>150</v>
      </c>
      <c r="B2230" s="12" t="s">
        <v>37</v>
      </c>
      <c r="C2230" s="32" t="s">
        <v>98</v>
      </c>
      <c r="D2230" s="44">
        <v>31.94996706823855</v>
      </c>
      <c r="E2230" s="15" t="s">
        <v>148</v>
      </c>
      <c r="F2230" s="16" t="s">
        <v>16</v>
      </c>
      <c r="G2230" s="22">
        <v>1</v>
      </c>
      <c r="H2230" s="23">
        <v>1</v>
      </c>
      <c r="I2230" s="23">
        <v>1</v>
      </c>
      <c r="J2230" s="23">
        <v>2</v>
      </c>
      <c r="K2230" s="23">
        <v>3</v>
      </c>
      <c r="L2230" s="24">
        <f t="shared" si="68"/>
        <v>1.0195048044558224</v>
      </c>
      <c r="M2230" s="20"/>
    </row>
    <row r="2231" spans="1:13" x14ac:dyDescent="0.2">
      <c r="A2231" s="48" t="s">
        <v>150</v>
      </c>
      <c r="B2231" s="12" t="s">
        <v>39</v>
      </c>
      <c r="C2231" s="32" t="s">
        <v>98</v>
      </c>
      <c r="D2231" s="44">
        <v>0.7512987693207932</v>
      </c>
      <c r="E2231" s="15" t="s">
        <v>148</v>
      </c>
      <c r="F2231" s="16" t="s">
        <v>16</v>
      </c>
      <c r="G2231" s="22">
        <v>1</v>
      </c>
      <c r="H2231" s="23">
        <v>1</v>
      </c>
      <c r="I2231" s="23">
        <v>1</v>
      </c>
      <c r="J2231" s="23">
        <v>2</v>
      </c>
      <c r="K2231" s="23">
        <v>3</v>
      </c>
      <c r="L2231" s="25">
        <f t="shared" si="68"/>
        <v>1.0195048044558224</v>
      </c>
      <c r="M2231" s="20"/>
    </row>
    <row r="2232" spans="1:13" x14ac:dyDescent="0.2">
      <c r="A2232" s="48" t="s">
        <v>150</v>
      </c>
      <c r="B2232" s="12" t="s">
        <v>40</v>
      </c>
      <c r="C2232" s="32" t="s">
        <v>98</v>
      </c>
      <c r="D2232" s="44">
        <v>1.3794880308971751</v>
      </c>
      <c r="E2232" s="15" t="s">
        <v>148</v>
      </c>
      <c r="F2232" s="16" t="s">
        <v>16</v>
      </c>
      <c r="G2232" s="22">
        <v>1</v>
      </c>
      <c r="H2232" s="23">
        <v>1</v>
      </c>
      <c r="I2232" s="23">
        <v>1</v>
      </c>
      <c r="J2232" s="23">
        <v>2</v>
      </c>
      <c r="K2232" s="23">
        <v>3</v>
      </c>
      <c r="L2232" s="25">
        <f t="shared" si="68"/>
        <v>1.0195048044558224</v>
      </c>
      <c r="M2232" s="20"/>
    </row>
    <row r="2233" spans="1:13" x14ac:dyDescent="0.2">
      <c r="A2233" s="48" t="s">
        <v>150</v>
      </c>
      <c r="B2233" s="12" t="s">
        <v>41</v>
      </c>
      <c r="C2233" s="32" t="s">
        <v>98</v>
      </c>
      <c r="D2233" s="44">
        <v>0.39203985379054029</v>
      </c>
      <c r="E2233" s="15" t="s">
        <v>148</v>
      </c>
      <c r="F2233" s="16" t="s">
        <v>16</v>
      </c>
      <c r="G2233" s="22">
        <v>1</v>
      </c>
      <c r="H2233" s="23">
        <v>1</v>
      </c>
      <c r="I2233" s="23">
        <v>1</v>
      </c>
      <c r="J2233" s="23">
        <v>2</v>
      </c>
      <c r="K2233" s="23">
        <v>3</v>
      </c>
      <c r="L2233" s="25">
        <f t="shared" si="68"/>
        <v>1.0195048044558224</v>
      </c>
      <c r="M2233" s="20"/>
    </row>
    <row r="2234" spans="1:13" x14ac:dyDescent="0.2">
      <c r="A2234" s="48" t="s">
        <v>150</v>
      </c>
      <c r="B2234" s="12" t="s">
        <v>42</v>
      </c>
      <c r="C2234" s="32" t="s">
        <v>98</v>
      </c>
      <c r="D2234" s="44">
        <v>0.22619280993425259</v>
      </c>
      <c r="E2234" s="15" t="s">
        <v>148</v>
      </c>
      <c r="F2234" s="16" t="s">
        <v>16</v>
      </c>
      <c r="G2234" s="22">
        <v>1</v>
      </c>
      <c r="H2234" s="23">
        <v>1</v>
      </c>
      <c r="I2234" s="23">
        <v>1</v>
      </c>
      <c r="J2234" s="23">
        <v>2</v>
      </c>
      <c r="K2234" s="23">
        <v>3</v>
      </c>
      <c r="L2234" s="25">
        <f t="shared" si="68"/>
        <v>1.0195048044558224</v>
      </c>
      <c r="M2234" s="20"/>
    </row>
    <row r="2235" spans="1:13" x14ac:dyDescent="0.2">
      <c r="A2235" s="48" t="s">
        <v>150</v>
      </c>
      <c r="B2235" s="12" t="s">
        <v>43</v>
      </c>
      <c r="C2235" s="32" t="s">
        <v>98</v>
      </c>
      <c r="D2235" s="44">
        <v>10.472326005840729</v>
      </c>
      <c r="E2235" s="15" t="s">
        <v>148</v>
      </c>
      <c r="F2235" s="16" t="s">
        <v>16</v>
      </c>
      <c r="G2235" s="22">
        <v>1</v>
      </c>
      <c r="H2235" s="23">
        <v>1</v>
      </c>
      <c r="I2235" s="23">
        <v>1</v>
      </c>
      <c r="J2235" s="23">
        <v>2</v>
      </c>
      <c r="K2235" s="23">
        <v>3</v>
      </c>
      <c r="L2235" s="25">
        <f t="shared" si="68"/>
        <v>1.0195048044558224</v>
      </c>
      <c r="M2235" s="20"/>
    </row>
    <row r="2236" spans="1:13" x14ac:dyDescent="0.2">
      <c r="A2236" s="48" t="s">
        <v>150</v>
      </c>
      <c r="B2236" s="12" t="s">
        <v>45</v>
      </c>
      <c r="C2236" s="32" t="s">
        <v>98</v>
      </c>
      <c r="D2236" s="44">
        <v>3.9663792295231661</v>
      </c>
      <c r="E2236" s="15" t="s">
        <v>148</v>
      </c>
      <c r="F2236" s="16" t="s">
        <v>16</v>
      </c>
      <c r="G2236" s="22">
        <v>1</v>
      </c>
      <c r="H2236" s="23">
        <v>1</v>
      </c>
      <c r="I2236" s="23">
        <v>1</v>
      </c>
      <c r="J2236" s="23">
        <v>2</v>
      </c>
      <c r="K2236" s="23">
        <v>3</v>
      </c>
      <c r="L2236" s="25">
        <f t="shared" si="68"/>
        <v>1.0195048044558224</v>
      </c>
      <c r="M2236" s="20"/>
    </row>
    <row r="2237" spans="1:13" x14ac:dyDescent="0.2">
      <c r="A2237" s="48" t="s">
        <v>150</v>
      </c>
      <c r="B2237" s="12" t="s">
        <v>46</v>
      </c>
      <c r="C2237" s="32" t="s">
        <v>98</v>
      </c>
      <c r="D2237" s="44">
        <v>18.049501464063699</v>
      </c>
      <c r="E2237" s="15" t="s">
        <v>148</v>
      </c>
      <c r="F2237" s="16" t="s">
        <v>16</v>
      </c>
      <c r="G2237" s="22">
        <v>1</v>
      </c>
      <c r="H2237" s="23">
        <v>1</v>
      </c>
      <c r="I2237" s="23">
        <v>1</v>
      </c>
      <c r="J2237" s="23">
        <v>2</v>
      </c>
      <c r="K2237" s="23">
        <v>3</v>
      </c>
      <c r="L2237" s="24">
        <f t="shared" si="68"/>
        <v>1.0195048044558224</v>
      </c>
      <c r="M2237" s="20"/>
    </row>
    <row r="2238" spans="1:13" x14ac:dyDescent="0.2">
      <c r="A2238" s="48" t="s">
        <v>150</v>
      </c>
      <c r="B2238" s="12" t="s">
        <v>48</v>
      </c>
      <c r="C2238" s="32" t="s">
        <v>98</v>
      </c>
      <c r="D2238" s="44">
        <v>6.6495314058215751</v>
      </c>
      <c r="E2238" s="15" t="s">
        <v>148</v>
      </c>
      <c r="F2238" s="16" t="s">
        <v>16</v>
      </c>
      <c r="G2238" s="22">
        <v>1</v>
      </c>
      <c r="H2238" s="23">
        <v>1</v>
      </c>
      <c r="I2238" s="23">
        <v>1</v>
      </c>
      <c r="J2238" s="23">
        <v>2</v>
      </c>
      <c r="K2238" s="23">
        <v>3</v>
      </c>
      <c r="L2238" s="25">
        <f t="shared" si="68"/>
        <v>1.0195048044558224</v>
      </c>
      <c r="M2238" s="20"/>
    </row>
    <row r="2239" spans="1:13" x14ac:dyDescent="0.2">
      <c r="A2239" s="48" t="s">
        <v>150</v>
      </c>
      <c r="B2239" s="12" t="s">
        <v>50</v>
      </c>
      <c r="C2239" s="32" t="s">
        <v>98</v>
      </c>
      <c r="D2239" s="44">
        <v>7.7268540070281304</v>
      </c>
      <c r="E2239" s="15" t="s">
        <v>148</v>
      </c>
      <c r="F2239" s="16" t="s">
        <v>16</v>
      </c>
      <c r="G2239" s="22">
        <v>1</v>
      </c>
      <c r="H2239" s="23">
        <v>1</v>
      </c>
      <c r="I2239" s="23">
        <v>1</v>
      </c>
      <c r="J2239" s="23">
        <v>2</v>
      </c>
      <c r="K2239" s="23">
        <v>3</v>
      </c>
      <c r="L2239" s="25">
        <f t="shared" si="68"/>
        <v>1.0195048044558224</v>
      </c>
      <c r="M2239" s="20"/>
    </row>
    <row r="2240" spans="1:13" x14ac:dyDescent="0.2">
      <c r="A2240" s="48" t="s">
        <v>150</v>
      </c>
      <c r="B2240" s="12" t="s">
        <v>52</v>
      </c>
      <c r="C2240" s="32" t="s">
        <v>98</v>
      </c>
      <c r="D2240" s="44">
        <v>2.054153307414289</v>
      </c>
      <c r="E2240" s="15" t="s">
        <v>148</v>
      </c>
      <c r="F2240" s="16" t="s">
        <v>16</v>
      </c>
      <c r="G2240" s="22">
        <v>1</v>
      </c>
      <c r="H2240" s="23">
        <v>1</v>
      </c>
      <c r="I2240" s="23">
        <v>1</v>
      </c>
      <c r="J2240" s="23">
        <v>2</v>
      </c>
      <c r="K2240" s="23">
        <v>3</v>
      </c>
      <c r="L2240" s="25">
        <f t="shared" si="68"/>
        <v>1.0195048044558224</v>
      </c>
      <c r="M2240" s="20"/>
    </row>
    <row r="2241" spans="1:13" x14ac:dyDescent="0.2">
      <c r="A2241" s="48" t="s">
        <v>150</v>
      </c>
      <c r="B2241" s="12" t="s">
        <v>54</v>
      </c>
      <c r="C2241" s="32" t="s">
        <v>98</v>
      </c>
      <c r="D2241" s="44">
        <v>0.7951894050017444</v>
      </c>
      <c r="E2241" s="15" t="s">
        <v>148</v>
      </c>
      <c r="F2241" s="16" t="s">
        <v>16</v>
      </c>
      <c r="G2241" s="22">
        <v>1</v>
      </c>
      <c r="H2241" s="23">
        <v>1</v>
      </c>
      <c r="I2241" s="23">
        <v>1</v>
      </c>
      <c r="J2241" s="23">
        <v>2</v>
      </c>
      <c r="K2241" s="23">
        <v>3</v>
      </c>
      <c r="L2241" s="25">
        <f t="shared" si="68"/>
        <v>1.0195048044558224</v>
      </c>
      <c r="M2241" s="20"/>
    </row>
    <row r="2242" spans="1:13" x14ac:dyDescent="0.2">
      <c r="A2242" s="48" t="s">
        <v>150</v>
      </c>
      <c r="B2242" s="12" t="s">
        <v>55</v>
      </c>
      <c r="C2242" s="32" t="s">
        <v>98</v>
      </c>
      <c r="D2242" s="44">
        <v>24.38091665450872</v>
      </c>
      <c r="E2242" s="15" t="s">
        <v>148</v>
      </c>
      <c r="F2242" s="16" t="s">
        <v>16</v>
      </c>
      <c r="G2242" s="22">
        <v>1</v>
      </c>
      <c r="H2242" s="23">
        <v>1</v>
      </c>
      <c r="I2242" s="23">
        <v>1</v>
      </c>
      <c r="J2242" s="23">
        <v>2</v>
      </c>
      <c r="K2242" s="23">
        <v>3</v>
      </c>
      <c r="L2242" s="24">
        <f t="shared" si="68"/>
        <v>1.0195048044558224</v>
      </c>
      <c r="M2242" s="20"/>
    </row>
    <row r="2243" spans="1:13" x14ac:dyDescent="0.2">
      <c r="A2243" s="48" t="s">
        <v>150</v>
      </c>
      <c r="B2243" s="12" t="s">
        <v>57</v>
      </c>
      <c r="C2243" s="32" t="s">
        <v>98</v>
      </c>
      <c r="D2243" s="44">
        <v>3.9762998576634332</v>
      </c>
      <c r="E2243" s="15" t="s">
        <v>148</v>
      </c>
      <c r="F2243" s="16" t="s">
        <v>16</v>
      </c>
      <c r="G2243" s="22">
        <v>1</v>
      </c>
      <c r="H2243" s="23">
        <v>1</v>
      </c>
      <c r="I2243" s="23">
        <v>1</v>
      </c>
      <c r="J2243" s="23">
        <v>2</v>
      </c>
      <c r="K2243" s="23">
        <v>3</v>
      </c>
      <c r="L2243" s="25">
        <f t="shared" si="68"/>
        <v>1.0195048044558224</v>
      </c>
      <c r="M2243" s="20"/>
    </row>
    <row r="2244" spans="1:13" x14ac:dyDescent="0.2">
      <c r="A2244" s="48" t="s">
        <v>150</v>
      </c>
      <c r="B2244" s="12" t="s">
        <v>59</v>
      </c>
      <c r="C2244" s="32" t="s">
        <v>98</v>
      </c>
      <c r="D2244" s="44">
        <v>5.9831823542985054</v>
      </c>
      <c r="E2244" s="15" t="s">
        <v>148</v>
      </c>
      <c r="F2244" s="16" t="s">
        <v>16</v>
      </c>
      <c r="G2244" s="22">
        <v>1</v>
      </c>
      <c r="H2244" s="23">
        <v>1</v>
      </c>
      <c r="I2244" s="23">
        <v>1</v>
      </c>
      <c r="J2244" s="23">
        <v>2</v>
      </c>
      <c r="K2244" s="23">
        <v>3</v>
      </c>
      <c r="L2244" s="25">
        <f t="shared" si="68"/>
        <v>1.0195048044558224</v>
      </c>
      <c r="M2244" s="20"/>
    </row>
    <row r="2245" spans="1:13" x14ac:dyDescent="0.2">
      <c r="A2245" s="49" t="s">
        <v>150</v>
      </c>
      <c r="B2245" s="34" t="s">
        <v>60</v>
      </c>
      <c r="C2245" s="35" t="s">
        <v>98</v>
      </c>
      <c r="D2245" s="46">
        <v>31.59530157158715</v>
      </c>
      <c r="E2245" s="37" t="s">
        <v>148</v>
      </c>
      <c r="F2245" s="38" t="s">
        <v>16</v>
      </c>
      <c r="G2245" s="39">
        <v>1</v>
      </c>
      <c r="H2245" s="40">
        <v>2</v>
      </c>
      <c r="I2245" s="40">
        <v>1</v>
      </c>
      <c r="J2245" s="40">
        <v>2</v>
      </c>
      <c r="K2245" s="40">
        <v>3</v>
      </c>
      <c r="L2245" s="41">
        <f t="shared" si="68"/>
        <v>1.0248662490928169</v>
      </c>
      <c r="M2245" s="42"/>
    </row>
    <row r="2246" spans="1:13" x14ac:dyDescent="0.2">
      <c r="A2246" s="48" t="s">
        <v>151</v>
      </c>
      <c r="B2246" s="22" t="s">
        <v>135</v>
      </c>
      <c r="C2246" s="13" t="s">
        <v>14</v>
      </c>
      <c r="D2246" s="18">
        <v>0</v>
      </c>
      <c r="E2246" s="15"/>
      <c r="F2246" s="16"/>
      <c r="G2246" s="17"/>
      <c r="H2246" s="18"/>
      <c r="I2246" s="18"/>
      <c r="J2246" s="18"/>
      <c r="K2246" s="18"/>
      <c r="L2246" s="19" t="str">
        <f t="shared" si="68"/>
        <v/>
      </c>
      <c r="M2246" s="20"/>
    </row>
    <row r="2247" spans="1:13" x14ac:dyDescent="0.2">
      <c r="A2247" s="48" t="s">
        <v>151</v>
      </c>
      <c r="B2247" s="12" t="s">
        <v>13</v>
      </c>
      <c r="C2247" s="27" t="s">
        <v>62</v>
      </c>
      <c r="D2247" s="44">
        <v>1.2705092624470939</v>
      </c>
      <c r="E2247" s="15" t="s">
        <v>148</v>
      </c>
      <c r="F2247" s="16" t="s">
        <v>16</v>
      </c>
      <c r="G2247" s="22">
        <v>1</v>
      </c>
      <c r="H2247" s="23">
        <v>1</v>
      </c>
      <c r="I2247" s="23">
        <v>1</v>
      </c>
      <c r="J2247" s="23">
        <v>2</v>
      </c>
      <c r="K2247" s="23">
        <v>3</v>
      </c>
      <c r="L2247" s="25">
        <f t="shared" si="68"/>
        <v>1.0195048044558224</v>
      </c>
      <c r="M2247" s="20"/>
    </row>
    <row r="2248" spans="1:13" x14ac:dyDescent="0.2">
      <c r="A2248" s="48" t="s">
        <v>151</v>
      </c>
      <c r="B2248" s="12" t="s">
        <v>18</v>
      </c>
      <c r="C2248" s="27" t="s">
        <v>62</v>
      </c>
      <c r="D2248" s="44">
        <v>1.7125216633889391</v>
      </c>
      <c r="E2248" s="15" t="s">
        <v>148</v>
      </c>
      <c r="F2248" s="16" t="s">
        <v>16</v>
      </c>
      <c r="G2248" s="22">
        <v>1</v>
      </c>
      <c r="H2248" s="23">
        <v>1</v>
      </c>
      <c r="I2248" s="23">
        <v>1</v>
      </c>
      <c r="J2248" s="23">
        <v>2</v>
      </c>
      <c r="K2248" s="23">
        <v>3</v>
      </c>
      <c r="L2248" s="25">
        <f t="shared" ref="L2248:L2278" si="69">IF( OR( ISBLANK(G2248),ISBLANK(H2248), ISBLANK(I2248), ISBLANK(J2248), ISBLANK(K2248) ), "", 1.5*SQRT( EXP(2.21*(G2248-1)) + EXP(2.21*(H2248-1)) + EXP(2.21*(I2248-1)) + EXP(2.21*(J2248-1)) + EXP(2.21*K2248) )/100*2.45 )</f>
        <v>1.0195048044558224</v>
      </c>
      <c r="M2248" s="20"/>
    </row>
    <row r="2249" spans="1:13" x14ac:dyDescent="0.2">
      <c r="A2249" s="48" t="s">
        <v>151</v>
      </c>
      <c r="B2249" s="12" t="s">
        <v>20</v>
      </c>
      <c r="C2249" s="27" t="s">
        <v>62</v>
      </c>
      <c r="D2249" s="44">
        <v>0.64980610469603972</v>
      </c>
      <c r="E2249" s="15" t="s">
        <v>148</v>
      </c>
      <c r="F2249" s="16" t="s">
        <v>16</v>
      </c>
      <c r="G2249" s="22">
        <v>1</v>
      </c>
      <c r="H2249" s="23">
        <v>1</v>
      </c>
      <c r="I2249" s="23">
        <v>1</v>
      </c>
      <c r="J2249" s="23">
        <v>2</v>
      </c>
      <c r="K2249" s="23">
        <v>3</v>
      </c>
      <c r="L2249" s="25">
        <f t="shared" si="69"/>
        <v>1.0195048044558224</v>
      </c>
      <c r="M2249" s="20"/>
    </row>
    <row r="2250" spans="1:13" x14ac:dyDescent="0.2">
      <c r="A2250" s="48" t="s">
        <v>151</v>
      </c>
      <c r="B2250" s="12" t="s">
        <v>22</v>
      </c>
      <c r="C2250" s="27" t="s">
        <v>62</v>
      </c>
      <c r="D2250" s="44">
        <v>0.28164877868199822</v>
      </c>
      <c r="E2250" s="15" t="s">
        <v>148</v>
      </c>
      <c r="F2250" s="16" t="s">
        <v>16</v>
      </c>
      <c r="G2250" s="22">
        <v>1</v>
      </c>
      <c r="H2250" s="23">
        <v>1</v>
      </c>
      <c r="I2250" s="23">
        <v>1</v>
      </c>
      <c r="J2250" s="23">
        <v>2</v>
      </c>
      <c r="K2250" s="23">
        <v>3</v>
      </c>
      <c r="L2250" s="25">
        <f t="shared" si="69"/>
        <v>1.0195048044558224</v>
      </c>
      <c r="M2250" s="20"/>
    </row>
    <row r="2251" spans="1:13" x14ac:dyDescent="0.2">
      <c r="A2251" s="48" t="s">
        <v>151</v>
      </c>
      <c r="B2251" s="12" t="s">
        <v>23</v>
      </c>
      <c r="C2251" s="27" t="s">
        <v>62</v>
      </c>
      <c r="D2251" s="44">
        <v>7.7861789544499682E-2</v>
      </c>
      <c r="E2251" s="15" t="s">
        <v>148</v>
      </c>
      <c r="F2251" s="16" t="s">
        <v>16</v>
      </c>
      <c r="G2251" s="22">
        <v>1</v>
      </c>
      <c r="H2251" s="23">
        <v>1</v>
      </c>
      <c r="I2251" s="23">
        <v>1</v>
      </c>
      <c r="J2251" s="23">
        <v>2</v>
      </c>
      <c r="K2251" s="23">
        <v>3</v>
      </c>
      <c r="L2251" s="25">
        <f t="shared" si="69"/>
        <v>1.0195048044558224</v>
      </c>
      <c r="M2251" s="20"/>
    </row>
    <row r="2252" spans="1:13" x14ac:dyDescent="0.2">
      <c r="A2252" s="48" t="s">
        <v>151</v>
      </c>
      <c r="B2252" s="12" t="s">
        <v>24</v>
      </c>
      <c r="C2252" s="27" t="s">
        <v>62</v>
      </c>
      <c r="D2252" s="44">
        <v>1.1246815124609799</v>
      </c>
      <c r="E2252" s="15" t="s">
        <v>148</v>
      </c>
      <c r="F2252" s="16" t="s">
        <v>16</v>
      </c>
      <c r="G2252" s="22">
        <v>1</v>
      </c>
      <c r="H2252" s="23">
        <v>1</v>
      </c>
      <c r="I2252" s="23">
        <v>1</v>
      </c>
      <c r="J2252" s="23">
        <v>2</v>
      </c>
      <c r="K2252" s="23">
        <v>3</v>
      </c>
      <c r="L2252" s="25">
        <f t="shared" si="69"/>
        <v>1.0195048044558224</v>
      </c>
      <c r="M2252" s="20"/>
    </row>
    <row r="2253" spans="1:13" x14ac:dyDescent="0.2">
      <c r="A2253" s="48" t="s">
        <v>151</v>
      </c>
      <c r="B2253" s="12" t="s">
        <v>25</v>
      </c>
      <c r="C2253" s="27" t="s">
        <v>62</v>
      </c>
      <c r="D2253" s="44">
        <v>0.9728220422359819</v>
      </c>
      <c r="E2253" s="15" t="s">
        <v>148</v>
      </c>
      <c r="F2253" s="16" t="s">
        <v>16</v>
      </c>
      <c r="G2253" s="22">
        <v>1</v>
      </c>
      <c r="H2253" s="23">
        <v>1</v>
      </c>
      <c r="I2253" s="23">
        <v>1</v>
      </c>
      <c r="J2253" s="23">
        <v>2</v>
      </c>
      <c r="K2253" s="23">
        <v>3</v>
      </c>
      <c r="L2253" s="25">
        <f t="shared" si="69"/>
        <v>1.0195048044558224</v>
      </c>
      <c r="M2253" s="20"/>
    </row>
    <row r="2254" spans="1:13" x14ac:dyDescent="0.2">
      <c r="A2254" s="48" t="s">
        <v>151</v>
      </c>
      <c r="B2254" s="12" t="s">
        <v>26</v>
      </c>
      <c r="C2254" s="27" t="s">
        <v>62</v>
      </c>
      <c r="D2254" s="44">
        <v>0.22795683437598971</v>
      </c>
      <c r="E2254" s="15" t="s">
        <v>148</v>
      </c>
      <c r="F2254" s="16" t="s">
        <v>16</v>
      </c>
      <c r="G2254" s="22">
        <v>1</v>
      </c>
      <c r="H2254" s="23">
        <v>1</v>
      </c>
      <c r="I2254" s="23">
        <v>1</v>
      </c>
      <c r="J2254" s="23">
        <v>2</v>
      </c>
      <c r="K2254" s="23">
        <v>3</v>
      </c>
      <c r="L2254" s="25">
        <f t="shared" si="69"/>
        <v>1.0195048044558224</v>
      </c>
      <c r="M2254" s="20"/>
    </row>
    <row r="2255" spans="1:13" x14ac:dyDescent="0.2">
      <c r="A2255" s="48" t="s">
        <v>151</v>
      </c>
      <c r="B2255" s="12" t="s">
        <v>27</v>
      </c>
      <c r="C2255" s="27" t="s">
        <v>62</v>
      </c>
      <c r="D2255" s="44">
        <v>0.6678360452102321</v>
      </c>
      <c r="E2255" s="15" t="s">
        <v>148</v>
      </c>
      <c r="F2255" s="16" t="s">
        <v>16</v>
      </c>
      <c r="G2255" s="22">
        <v>1</v>
      </c>
      <c r="H2255" s="23">
        <v>1</v>
      </c>
      <c r="I2255" s="23">
        <v>1</v>
      </c>
      <c r="J2255" s="23">
        <v>2</v>
      </c>
      <c r="K2255" s="23">
        <v>3</v>
      </c>
      <c r="L2255" s="25">
        <f t="shared" si="69"/>
        <v>1.0195048044558224</v>
      </c>
      <c r="M2255" s="20"/>
    </row>
    <row r="2256" spans="1:13" x14ac:dyDescent="0.2">
      <c r="A2256" s="48" t="s">
        <v>151</v>
      </c>
      <c r="B2256" s="12" t="s">
        <v>28</v>
      </c>
      <c r="C2256" s="27" t="s">
        <v>62</v>
      </c>
      <c r="D2256" s="44">
        <v>9.1253173450483231</v>
      </c>
      <c r="E2256" s="15" t="s">
        <v>148</v>
      </c>
      <c r="F2256" s="16" t="s">
        <v>16</v>
      </c>
      <c r="G2256" s="22">
        <v>1</v>
      </c>
      <c r="H2256" s="23">
        <v>1</v>
      </c>
      <c r="I2256" s="23">
        <v>1</v>
      </c>
      <c r="J2256" s="23">
        <v>2</v>
      </c>
      <c r="K2256" s="23">
        <v>3</v>
      </c>
      <c r="L2256" s="25">
        <f t="shared" si="69"/>
        <v>1.0195048044558224</v>
      </c>
      <c r="M2256" s="20"/>
    </row>
    <row r="2257" spans="1:13" x14ac:dyDescent="0.2">
      <c r="A2257" s="48" t="s">
        <v>151</v>
      </c>
      <c r="B2257" s="12" t="s">
        <v>30</v>
      </c>
      <c r="C2257" s="27" t="s">
        <v>62</v>
      </c>
      <c r="D2257" s="44">
        <v>16.09906736668141</v>
      </c>
      <c r="E2257" s="15" t="s">
        <v>148</v>
      </c>
      <c r="F2257" s="16" t="s">
        <v>16</v>
      </c>
      <c r="G2257" s="22">
        <v>1</v>
      </c>
      <c r="H2257" s="23">
        <v>1</v>
      </c>
      <c r="I2257" s="23">
        <v>1</v>
      </c>
      <c r="J2257" s="23">
        <v>2</v>
      </c>
      <c r="K2257" s="23">
        <v>3</v>
      </c>
      <c r="L2257" s="24">
        <f t="shared" si="69"/>
        <v>1.0195048044558224</v>
      </c>
      <c r="M2257" s="20"/>
    </row>
    <row r="2258" spans="1:13" x14ac:dyDescent="0.2">
      <c r="A2258" s="48" t="s">
        <v>151</v>
      </c>
      <c r="B2258" s="12" t="s">
        <v>32</v>
      </c>
      <c r="C2258" s="27" t="s">
        <v>62</v>
      </c>
      <c r="D2258" s="44">
        <v>1.1779826492344769</v>
      </c>
      <c r="E2258" s="15" t="s">
        <v>148</v>
      </c>
      <c r="F2258" s="16" t="s">
        <v>16</v>
      </c>
      <c r="G2258" s="22">
        <v>1</v>
      </c>
      <c r="H2258" s="23">
        <v>1</v>
      </c>
      <c r="I2258" s="23">
        <v>1</v>
      </c>
      <c r="J2258" s="23">
        <v>2</v>
      </c>
      <c r="K2258" s="23">
        <v>3</v>
      </c>
      <c r="L2258" s="25">
        <f t="shared" si="69"/>
        <v>1.0195048044558224</v>
      </c>
      <c r="M2258" s="20"/>
    </row>
    <row r="2259" spans="1:13" x14ac:dyDescent="0.2">
      <c r="A2259" s="48" t="s">
        <v>151</v>
      </c>
      <c r="B2259" s="12" t="s">
        <v>34</v>
      </c>
      <c r="C2259" s="27" t="s">
        <v>62</v>
      </c>
      <c r="D2259" s="44">
        <v>1.972106513714124</v>
      </c>
      <c r="E2259" s="15" t="s">
        <v>148</v>
      </c>
      <c r="F2259" s="16" t="s">
        <v>16</v>
      </c>
      <c r="G2259" s="22">
        <v>1</v>
      </c>
      <c r="H2259" s="23">
        <v>1</v>
      </c>
      <c r="I2259" s="23">
        <v>1</v>
      </c>
      <c r="J2259" s="23">
        <v>2</v>
      </c>
      <c r="K2259" s="23">
        <v>3</v>
      </c>
      <c r="L2259" s="25">
        <f t="shared" si="69"/>
        <v>1.0195048044558224</v>
      </c>
      <c r="M2259" s="20"/>
    </row>
    <row r="2260" spans="1:13" x14ac:dyDescent="0.2">
      <c r="A2260" s="48" t="s">
        <v>151</v>
      </c>
      <c r="B2260" s="12" t="s">
        <v>36</v>
      </c>
      <c r="C2260" s="27" t="s">
        <v>62</v>
      </c>
      <c r="D2260" s="44">
        <v>1.297891490853166</v>
      </c>
      <c r="E2260" s="15" t="s">
        <v>148</v>
      </c>
      <c r="F2260" s="16" t="s">
        <v>16</v>
      </c>
      <c r="G2260" s="22">
        <v>1</v>
      </c>
      <c r="H2260" s="23">
        <v>1</v>
      </c>
      <c r="I2260" s="23">
        <v>1</v>
      </c>
      <c r="J2260" s="23">
        <v>2</v>
      </c>
      <c r="K2260" s="23">
        <v>3</v>
      </c>
      <c r="L2260" s="25">
        <f t="shared" si="69"/>
        <v>1.0195048044558224</v>
      </c>
      <c r="M2260" s="20"/>
    </row>
    <row r="2261" spans="1:13" x14ac:dyDescent="0.2">
      <c r="A2261" s="48" t="s">
        <v>151</v>
      </c>
      <c r="B2261" s="12" t="s">
        <v>37</v>
      </c>
      <c r="C2261" s="27" t="s">
        <v>62</v>
      </c>
      <c r="D2261" s="44">
        <v>8.4837408081501771</v>
      </c>
      <c r="E2261" s="15" t="s">
        <v>148</v>
      </c>
      <c r="F2261" s="16" t="s">
        <v>16</v>
      </c>
      <c r="G2261" s="22">
        <v>1</v>
      </c>
      <c r="H2261" s="23">
        <v>1</v>
      </c>
      <c r="I2261" s="23">
        <v>1</v>
      </c>
      <c r="J2261" s="23">
        <v>2</v>
      </c>
      <c r="K2261" s="23">
        <v>3</v>
      </c>
      <c r="L2261" s="24">
        <f t="shared" si="69"/>
        <v>1.0195048044558224</v>
      </c>
      <c r="M2261" s="20"/>
    </row>
    <row r="2262" spans="1:13" x14ac:dyDescent="0.2">
      <c r="A2262" s="48" t="s">
        <v>151</v>
      </c>
      <c r="B2262" s="12" t="s">
        <v>39</v>
      </c>
      <c r="C2262" s="27" t="s">
        <v>62</v>
      </c>
      <c r="D2262" s="44">
        <v>0.19949391543304709</v>
      </c>
      <c r="E2262" s="15" t="s">
        <v>148</v>
      </c>
      <c r="F2262" s="16" t="s">
        <v>16</v>
      </c>
      <c r="G2262" s="22">
        <v>1</v>
      </c>
      <c r="H2262" s="23">
        <v>1</v>
      </c>
      <c r="I2262" s="23">
        <v>1</v>
      </c>
      <c r="J2262" s="23">
        <v>2</v>
      </c>
      <c r="K2262" s="23">
        <v>3</v>
      </c>
      <c r="L2262" s="25">
        <f t="shared" si="69"/>
        <v>1.0195048044558224</v>
      </c>
      <c r="M2262" s="20"/>
    </row>
    <row r="2263" spans="1:13" x14ac:dyDescent="0.2">
      <c r="A2263" s="48" t="s">
        <v>151</v>
      </c>
      <c r="B2263" s="12" t="s">
        <v>40</v>
      </c>
      <c r="C2263" s="27" t="s">
        <v>62</v>
      </c>
      <c r="D2263" s="44">
        <v>0.36629830876136532</v>
      </c>
      <c r="E2263" s="15" t="s">
        <v>148</v>
      </c>
      <c r="F2263" s="16" t="s">
        <v>16</v>
      </c>
      <c r="G2263" s="22">
        <v>1</v>
      </c>
      <c r="H2263" s="23">
        <v>1</v>
      </c>
      <c r="I2263" s="23">
        <v>1</v>
      </c>
      <c r="J2263" s="23">
        <v>2</v>
      </c>
      <c r="K2263" s="23">
        <v>3</v>
      </c>
      <c r="L2263" s="25">
        <f t="shared" si="69"/>
        <v>1.0195048044558224</v>
      </c>
      <c r="M2263" s="20"/>
    </row>
    <row r="2264" spans="1:13" x14ac:dyDescent="0.2">
      <c r="A2264" s="48" t="s">
        <v>151</v>
      </c>
      <c r="B2264" s="12" t="s">
        <v>41</v>
      </c>
      <c r="C2264" s="27" t="s">
        <v>62</v>
      </c>
      <c r="D2264" s="44">
        <v>0.10409915286987501</v>
      </c>
      <c r="E2264" s="15" t="s">
        <v>148</v>
      </c>
      <c r="F2264" s="16" t="s">
        <v>16</v>
      </c>
      <c r="G2264" s="22">
        <v>1</v>
      </c>
      <c r="H2264" s="23">
        <v>1</v>
      </c>
      <c r="I2264" s="23">
        <v>1</v>
      </c>
      <c r="J2264" s="23">
        <v>2</v>
      </c>
      <c r="K2264" s="23">
        <v>3</v>
      </c>
      <c r="L2264" s="25">
        <f t="shared" si="69"/>
        <v>1.0195048044558224</v>
      </c>
      <c r="M2264" s="20"/>
    </row>
    <row r="2265" spans="1:13" x14ac:dyDescent="0.2">
      <c r="A2265" s="48" t="s">
        <v>151</v>
      </c>
      <c r="B2265" s="12" t="s">
        <v>42</v>
      </c>
      <c r="C2265" s="27" t="s">
        <v>62</v>
      </c>
      <c r="D2265" s="44">
        <v>6.0061444446902562E-2</v>
      </c>
      <c r="E2265" s="15" t="s">
        <v>148</v>
      </c>
      <c r="F2265" s="16" t="s">
        <v>16</v>
      </c>
      <c r="G2265" s="22">
        <v>1</v>
      </c>
      <c r="H2265" s="23">
        <v>1</v>
      </c>
      <c r="I2265" s="23">
        <v>1</v>
      </c>
      <c r="J2265" s="23">
        <v>2</v>
      </c>
      <c r="K2265" s="23">
        <v>3</v>
      </c>
      <c r="L2265" s="25">
        <f t="shared" si="69"/>
        <v>1.0195048044558224</v>
      </c>
      <c r="M2265" s="20"/>
    </row>
    <row r="2266" spans="1:13" x14ac:dyDescent="0.2">
      <c r="A2266" s="48" t="s">
        <v>151</v>
      </c>
      <c r="B2266" s="12" t="s">
        <v>43</v>
      </c>
      <c r="C2266" s="27" t="s">
        <v>62</v>
      </c>
      <c r="D2266" s="44">
        <v>2.780738374541976</v>
      </c>
      <c r="E2266" s="15" t="s">
        <v>148</v>
      </c>
      <c r="F2266" s="16" t="s">
        <v>16</v>
      </c>
      <c r="G2266" s="22">
        <v>1</v>
      </c>
      <c r="H2266" s="23">
        <v>1</v>
      </c>
      <c r="I2266" s="23">
        <v>1</v>
      </c>
      <c r="J2266" s="23">
        <v>2</v>
      </c>
      <c r="K2266" s="23">
        <v>3</v>
      </c>
      <c r="L2266" s="25">
        <f t="shared" si="69"/>
        <v>1.0195048044558224</v>
      </c>
      <c r="M2266" s="20"/>
    </row>
    <row r="2267" spans="1:13" x14ac:dyDescent="0.2">
      <c r="A2267" s="48" t="s">
        <v>151</v>
      </c>
      <c r="B2267" s="12" t="s">
        <v>45</v>
      </c>
      <c r="C2267" s="27" t="s">
        <v>62</v>
      </c>
      <c r="D2267" s="44">
        <v>1.0532008768032859</v>
      </c>
      <c r="E2267" s="15" t="s">
        <v>148</v>
      </c>
      <c r="F2267" s="16" t="s">
        <v>16</v>
      </c>
      <c r="G2267" s="22">
        <v>1</v>
      </c>
      <c r="H2267" s="23">
        <v>1</v>
      </c>
      <c r="I2267" s="23">
        <v>1</v>
      </c>
      <c r="J2267" s="23">
        <v>2</v>
      </c>
      <c r="K2267" s="23">
        <v>3</v>
      </c>
      <c r="L2267" s="25">
        <f t="shared" si="69"/>
        <v>1.0195048044558224</v>
      </c>
      <c r="M2267" s="20"/>
    </row>
    <row r="2268" spans="1:13" x14ac:dyDescent="0.2">
      <c r="A2268" s="48" t="s">
        <v>151</v>
      </c>
      <c r="B2268" s="12" t="s">
        <v>46</v>
      </c>
      <c r="C2268" s="27" t="s">
        <v>62</v>
      </c>
      <c r="D2268" s="44">
        <v>4.7927214388169874</v>
      </c>
      <c r="E2268" s="15" t="s">
        <v>148</v>
      </c>
      <c r="F2268" s="16" t="s">
        <v>16</v>
      </c>
      <c r="G2268" s="22">
        <v>1</v>
      </c>
      <c r="H2268" s="23">
        <v>1</v>
      </c>
      <c r="I2268" s="23">
        <v>1</v>
      </c>
      <c r="J2268" s="23">
        <v>2</v>
      </c>
      <c r="K2268" s="23">
        <v>3</v>
      </c>
      <c r="L2268" s="24">
        <f t="shared" si="69"/>
        <v>1.0195048044558224</v>
      </c>
      <c r="M2268" s="20"/>
    </row>
    <row r="2269" spans="1:13" x14ac:dyDescent="0.2">
      <c r="A2269" s="48" t="s">
        <v>151</v>
      </c>
      <c r="B2269" s="12" t="s">
        <v>48</v>
      </c>
      <c r="C2269" s="27" t="s">
        <v>62</v>
      </c>
      <c r="D2269" s="44">
        <v>1.7656638212539739</v>
      </c>
      <c r="E2269" s="15" t="s">
        <v>148</v>
      </c>
      <c r="F2269" s="16" t="s">
        <v>16</v>
      </c>
      <c r="G2269" s="22">
        <v>1</v>
      </c>
      <c r="H2269" s="23">
        <v>1</v>
      </c>
      <c r="I2269" s="23">
        <v>1</v>
      </c>
      <c r="J2269" s="23">
        <v>2</v>
      </c>
      <c r="K2269" s="23">
        <v>3</v>
      </c>
      <c r="L2269" s="25">
        <f t="shared" si="69"/>
        <v>1.0195048044558224</v>
      </c>
      <c r="M2269" s="20"/>
    </row>
    <row r="2270" spans="1:13" x14ac:dyDescent="0.2">
      <c r="A2270" s="48" t="s">
        <v>151</v>
      </c>
      <c r="B2270" s="12" t="s">
        <v>50</v>
      </c>
      <c r="C2270" s="27" t="s">
        <v>62</v>
      </c>
      <c r="D2270" s="44">
        <v>2.0517275187807349</v>
      </c>
      <c r="E2270" s="15" t="s">
        <v>148</v>
      </c>
      <c r="F2270" s="16" t="s">
        <v>16</v>
      </c>
      <c r="G2270" s="22">
        <v>1</v>
      </c>
      <c r="H2270" s="23">
        <v>1</v>
      </c>
      <c r="I2270" s="23">
        <v>1</v>
      </c>
      <c r="J2270" s="23">
        <v>2</v>
      </c>
      <c r="K2270" s="23">
        <v>3</v>
      </c>
      <c r="L2270" s="25">
        <f t="shared" si="69"/>
        <v>1.0195048044558224</v>
      </c>
      <c r="M2270" s="20"/>
    </row>
    <row r="2271" spans="1:13" x14ac:dyDescent="0.2">
      <c r="A2271" s="48" t="s">
        <v>151</v>
      </c>
      <c r="B2271" s="12" t="s">
        <v>52</v>
      </c>
      <c r="C2271" s="27" t="s">
        <v>62</v>
      </c>
      <c r="D2271" s="44">
        <v>0.54544357442018587</v>
      </c>
      <c r="E2271" s="15" t="s">
        <v>148</v>
      </c>
      <c r="F2271" s="16" t="s">
        <v>16</v>
      </c>
      <c r="G2271" s="22">
        <v>1</v>
      </c>
      <c r="H2271" s="23">
        <v>1</v>
      </c>
      <c r="I2271" s="23">
        <v>1</v>
      </c>
      <c r="J2271" s="23">
        <v>2</v>
      </c>
      <c r="K2271" s="23">
        <v>3</v>
      </c>
      <c r="L2271" s="25">
        <f t="shared" si="69"/>
        <v>1.0195048044558224</v>
      </c>
      <c r="M2271" s="20"/>
    </row>
    <row r="2272" spans="1:13" x14ac:dyDescent="0.2">
      <c r="A2272" s="48" t="s">
        <v>151</v>
      </c>
      <c r="B2272" s="12" t="s">
        <v>54</v>
      </c>
      <c r="C2272" s="27" t="s">
        <v>62</v>
      </c>
      <c r="D2272" s="44">
        <v>0.21114828666375479</v>
      </c>
      <c r="E2272" s="15" t="s">
        <v>148</v>
      </c>
      <c r="F2272" s="16" t="s">
        <v>16</v>
      </c>
      <c r="G2272" s="22">
        <v>1</v>
      </c>
      <c r="H2272" s="23">
        <v>1</v>
      </c>
      <c r="I2272" s="23">
        <v>1</v>
      </c>
      <c r="J2272" s="23">
        <v>2</v>
      </c>
      <c r="K2272" s="23">
        <v>3</v>
      </c>
      <c r="L2272" s="25">
        <f t="shared" si="69"/>
        <v>1.0195048044558224</v>
      </c>
      <c r="M2272" s="20"/>
    </row>
    <row r="2273" spans="1:13" x14ac:dyDescent="0.2">
      <c r="A2273" s="48" t="s">
        <v>151</v>
      </c>
      <c r="B2273" s="12" t="s">
        <v>55</v>
      </c>
      <c r="C2273" s="27" t="s">
        <v>62</v>
      </c>
      <c r="D2273" s="44">
        <v>6.4739152037369339</v>
      </c>
      <c r="E2273" s="15" t="s">
        <v>148</v>
      </c>
      <c r="F2273" s="16" t="s">
        <v>16</v>
      </c>
      <c r="G2273" s="22">
        <v>1</v>
      </c>
      <c r="H2273" s="23">
        <v>1</v>
      </c>
      <c r="I2273" s="23">
        <v>1</v>
      </c>
      <c r="J2273" s="23">
        <v>2</v>
      </c>
      <c r="K2273" s="23">
        <v>3</v>
      </c>
      <c r="L2273" s="24">
        <f t="shared" si="69"/>
        <v>1.0195048044558224</v>
      </c>
      <c r="M2273" s="20"/>
    </row>
    <row r="2274" spans="1:13" x14ac:dyDescent="0.2">
      <c r="A2274" s="48" t="s">
        <v>151</v>
      </c>
      <c r="B2274" s="12" t="s">
        <v>57</v>
      </c>
      <c r="C2274" s="27" t="s">
        <v>62</v>
      </c>
      <c r="D2274" s="44">
        <v>1.055835121703016</v>
      </c>
      <c r="E2274" s="15" t="s">
        <v>148</v>
      </c>
      <c r="F2274" s="16" t="s">
        <v>16</v>
      </c>
      <c r="G2274" s="22">
        <v>1</v>
      </c>
      <c r="H2274" s="23">
        <v>1</v>
      </c>
      <c r="I2274" s="23">
        <v>1</v>
      </c>
      <c r="J2274" s="23">
        <v>2</v>
      </c>
      <c r="K2274" s="23">
        <v>3</v>
      </c>
      <c r="L2274" s="25">
        <f t="shared" si="69"/>
        <v>1.0195048044558224</v>
      </c>
      <c r="M2274" s="20"/>
    </row>
    <row r="2275" spans="1:13" x14ac:dyDescent="0.2">
      <c r="A2275" s="48" t="s">
        <v>151</v>
      </c>
      <c r="B2275" s="12" t="s">
        <v>59</v>
      </c>
      <c r="C2275" s="27" t="s">
        <v>62</v>
      </c>
      <c r="D2275" s="44">
        <v>1.5887267800105671</v>
      </c>
      <c r="E2275" s="15" t="s">
        <v>148</v>
      </c>
      <c r="F2275" s="16" t="s">
        <v>16</v>
      </c>
      <c r="G2275" s="22">
        <v>1</v>
      </c>
      <c r="H2275" s="23">
        <v>1</v>
      </c>
      <c r="I2275" s="23">
        <v>1</v>
      </c>
      <c r="J2275" s="23">
        <v>2</v>
      </c>
      <c r="K2275" s="23">
        <v>3</v>
      </c>
      <c r="L2275" s="25">
        <f t="shared" si="69"/>
        <v>1.0195048044558224</v>
      </c>
      <c r="M2275" s="20"/>
    </row>
    <row r="2276" spans="1:13" x14ac:dyDescent="0.2">
      <c r="A2276" s="48" t="s">
        <v>151</v>
      </c>
      <c r="B2276" s="12" t="s">
        <v>60</v>
      </c>
      <c r="C2276" s="27" t="s">
        <v>62</v>
      </c>
      <c r="D2276" s="44">
        <v>8.3895657455982224</v>
      </c>
      <c r="E2276" s="15" t="s">
        <v>148</v>
      </c>
      <c r="F2276" s="16" t="s">
        <v>16</v>
      </c>
      <c r="G2276" s="22">
        <v>1</v>
      </c>
      <c r="H2276" s="23">
        <v>2</v>
      </c>
      <c r="I2276" s="23">
        <v>1</v>
      </c>
      <c r="J2276" s="23">
        <v>2</v>
      </c>
      <c r="K2276" s="23">
        <v>3</v>
      </c>
      <c r="L2276" s="24">
        <f t="shared" si="69"/>
        <v>1.0248662490928169</v>
      </c>
      <c r="M2276" s="20"/>
    </row>
    <row r="2277" spans="1:13" x14ac:dyDescent="0.2">
      <c r="A2277" s="48" t="s">
        <v>151</v>
      </c>
      <c r="B2277" s="12" t="s">
        <v>13</v>
      </c>
      <c r="C2277" s="28" t="s">
        <v>64</v>
      </c>
      <c r="D2277" s="44">
        <v>15.493090063605729</v>
      </c>
      <c r="E2277" s="15" t="s">
        <v>148</v>
      </c>
      <c r="F2277" s="16" t="s">
        <v>16</v>
      </c>
      <c r="G2277" s="22">
        <v>1</v>
      </c>
      <c r="H2277" s="23">
        <v>1</v>
      </c>
      <c r="I2277" s="23">
        <v>1</v>
      </c>
      <c r="J2277" s="23">
        <v>2</v>
      </c>
      <c r="K2277" s="23">
        <v>3</v>
      </c>
      <c r="L2277" s="25">
        <f t="shared" si="69"/>
        <v>1.0195048044558224</v>
      </c>
      <c r="M2277" s="20"/>
    </row>
    <row r="2278" spans="1:13" x14ac:dyDescent="0.2">
      <c r="A2278" s="48" t="s">
        <v>151</v>
      </c>
      <c r="B2278" s="12" t="s">
        <v>18</v>
      </c>
      <c r="C2278" s="28" t="s">
        <v>64</v>
      </c>
      <c r="D2278" s="44">
        <v>20.883163272385499</v>
      </c>
      <c r="E2278" s="15" t="s">
        <v>148</v>
      </c>
      <c r="F2278" s="16" t="s">
        <v>16</v>
      </c>
      <c r="G2278" s="22">
        <v>1</v>
      </c>
      <c r="H2278" s="23">
        <v>1</v>
      </c>
      <c r="I2278" s="23">
        <v>1</v>
      </c>
      <c r="J2278" s="23">
        <v>2</v>
      </c>
      <c r="K2278" s="23">
        <v>3</v>
      </c>
      <c r="L2278" s="25">
        <f t="shared" si="69"/>
        <v>1.0195048044558224</v>
      </c>
      <c r="M2278" s="20"/>
    </row>
    <row r="2279" spans="1:13" x14ac:dyDescent="0.2">
      <c r="A2279" s="48" t="s">
        <v>151</v>
      </c>
      <c r="B2279" s="12" t="s">
        <v>20</v>
      </c>
      <c r="C2279" s="28" t="s">
        <v>64</v>
      </c>
      <c r="D2279" s="44">
        <v>7.923991427300427</v>
      </c>
      <c r="E2279" s="15" t="s">
        <v>148</v>
      </c>
      <c r="F2279" s="16" t="s">
        <v>16</v>
      </c>
      <c r="G2279" s="22">
        <v>1</v>
      </c>
      <c r="H2279" s="23">
        <v>1</v>
      </c>
      <c r="I2279" s="23">
        <v>1</v>
      </c>
      <c r="J2279" s="23">
        <v>2</v>
      </c>
      <c r="K2279" s="23">
        <v>3</v>
      </c>
      <c r="L2279" s="25">
        <f>IF( OR( ISBLANK(G2279),ISBLANK(H2279), ISBLANK(I2279), ISBLANK(J2279), ISBLANK(K2279) ), "", 1.5*SQRT(   EXP(2.21*(G2279-1)) + EXP(2.21*(H2279-1)) + EXP(2.21*(I2279-1)) + EXP(2.21*(J2279-1)) + EXP(2.21*K2279)   )/100*2.45 )</f>
        <v>1.0195048044558224</v>
      </c>
      <c r="M2279" s="20"/>
    </row>
    <row r="2280" spans="1:13" x14ac:dyDescent="0.2">
      <c r="A2280" s="48" t="s">
        <v>151</v>
      </c>
      <c r="B2280" s="12" t="s">
        <v>22</v>
      </c>
      <c r="C2280" s="28" t="s">
        <v>64</v>
      </c>
      <c r="D2280" s="44">
        <v>3.4345360741566919</v>
      </c>
      <c r="E2280" s="15" t="s">
        <v>148</v>
      </c>
      <c r="F2280" s="16" t="s">
        <v>16</v>
      </c>
      <c r="G2280" s="22">
        <v>1</v>
      </c>
      <c r="H2280" s="23">
        <v>1</v>
      </c>
      <c r="I2280" s="23">
        <v>1</v>
      </c>
      <c r="J2280" s="23">
        <v>2</v>
      </c>
      <c r="K2280" s="23">
        <v>3</v>
      </c>
      <c r="L2280" s="25">
        <f t="shared" ref="L2280:L2306" si="70">IF( OR( ISBLANK(G2280),ISBLANK(H2280), ISBLANK(I2280), ISBLANK(J2280), ISBLANK(K2280) ), "", 1.5*SQRT( EXP(2.21*(G2280-1)) + EXP(2.21*(H2280-1)) + EXP(2.21*(I2280-1)) + EXP(2.21*(J2280-1)) + EXP(2.21*K2280) )/100*2.45 )</f>
        <v>1.0195048044558224</v>
      </c>
      <c r="M2280" s="20"/>
    </row>
    <row r="2281" spans="1:13" x14ac:dyDescent="0.2">
      <c r="A2281" s="48" t="s">
        <v>151</v>
      </c>
      <c r="B2281" s="12" t="s">
        <v>23</v>
      </c>
      <c r="C2281" s="28" t="s">
        <v>64</v>
      </c>
      <c r="D2281" s="44">
        <v>0.94947731085642673</v>
      </c>
      <c r="E2281" s="15" t="s">
        <v>148</v>
      </c>
      <c r="F2281" s="16" t="s">
        <v>16</v>
      </c>
      <c r="G2281" s="22">
        <v>1</v>
      </c>
      <c r="H2281" s="23">
        <v>1</v>
      </c>
      <c r="I2281" s="23">
        <v>1</v>
      </c>
      <c r="J2281" s="23">
        <v>2</v>
      </c>
      <c r="K2281" s="23">
        <v>3</v>
      </c>
      <c r="L2281" s="25">
        <f t="shared" si="70"/>
        <v>1.0195048044558224</v>
      </c>
      <c r="M2281" s="20"/>
    </row>
    <row r="2282" spans="1:13" x14ac:dyDescent="0.2">
      <c r="A2282" s="48" t="s">
        <v>151</v>
      </c>
      <c r="B2282" s="12" t="s">
        <v>24</v>
      </c>
      <c r="C2282" s="28" t="s">
        <v>64</v>
      </c>
      <c r="D2282" s="44">
        <v>13.714809077321361</v>
      </c>
      <c r="E2282" s="15" t="s">
        <v>148</v>
      </c>
      <c r="F2282" s="16" t="s">
        <v>16</v>
      </c>
      <c r="G2282" s="22">
        <v>1</v>
      </c>
      <c r="H2282" s="23">
        <v>1</v>
      </c>
      <c r="I2282" s="23">
        <v>1</v>
      </c>
      <c r="J2282" s="23">
        <v>2</v>
      </c>
      <c r="K2282" s="23">
        <v>3</v>
      </c>
      <c r="L2282" s="25">
        <f t="shared" si="70"/>
        <v>1.0195048044558224</v>
      </c>
      <c r="M2282" s="20"/>
    </row>
    <row r="2283" spans="1:13" x14ac:dyDescent="0.2">
      <c r="A2283" s="48" t="s">
        <v>151</v>
      </c>
      <c r="B2283" s="12" t="s">
        <v>25</v>
      </c>
      <c r="C2283" s="28" t="s">
        <v>64</v>
      </c>
      <c r="D2283" s="44">
        <v>11.86297492014589</v>
      </c>
      <c r="E2283" s="15" t="s">
        <v>148</v>
      </c>
      <c r="F2283" s="16" t="s">
        <v>16</v>
      </c>
      <c r="G2283" s="22">
        <v>1</v>
      </c>
      <c r="H2283" s="23">
        <v>1</v>
      </c>
      <c r="I2283" s="23">
        <v>1</v>
      </c>
      <c r="J2283" s="23">
        <v>2</v>
      </c>
      <c r="K2283" s="23">
        <v>3</v>
      </c>
      <c r="L2283" s="25">
        <f t="shared" si="70"/>
        <v>1.0195048044558224</v>
      </c>
      <c r="M2283" s="20"/>
    </row>
    <row r="2284" spans="1:13" x14ac:dyDescent="0.2">
      <c r="A2284" s="48" t="s">
        <v>151</v>
      </c>
      <c r="B2284" s="12" t="s">
        <v>26</v>
      </c>
      <c r="C2284" s="28" t="s">
        <v>64</v>
      </c>
      <c r="D2284" s="44">
        <v>2.7797953702433009</v>
      </c>
      <c r="E2284" s="15" t="s">
        <v>148</v>
      </c>
      <c r="F2284" s="16" t="s">
        <v>16</v>
      </c>
      <c r="G2284" s="22">
        <v>1</v>
      </c>
      <c r="H2284" s="23">
        <v>1</v>
      </c>
      <c r="I2284" s="23">
        <v>1</v>
      </c>
      <c r="J2284" s="23">
        <v>2</v>
      </c>
      <c r="K2284" s="23">
        <v>3</v>
      </c>
      <c r="L2284" s="25">
        <f t="shared" si="70"/>
        <v>1.0195048044558224</v>
      </c>
      <c r="M2284" s="20"/>
    </row>
    <row r="2285" spans="1:13" x14ac:dyDescent="0.2">
      <c r="A2285" s="48" t="s">
        <v>151</v>
      </c>
      <c r="B2285" s="12" t="s">
        <v>27</v>
      </c>
      <c r="C2285" s="28" t="s">
        <v>64</v>
      </c>
      <c r="D2285" s="44">
        <v>8.1438556191519744</v>
      </c>
      <c r="E2285" s="15" t="s">
        <v>148</v>
      </c>
      <c r="F2285" s="16" t="s">
        <v>16</v>
      </c>
      <c r="G2285" s="22">
        <v>1</v>
      </c>
      <c r="H2285" s="23">
        <v>1</v>
      </c>
      <c r="I2285" s="23">
        <v>1</v>
      </c>
      <c r="J2285" s="23">
        <v>2</v>
      </c>
      <c r="K2285" s="23">
        <v>3</v>
      </c>
      <c r="L2285" s="25">
        <f t="shared" si="70"/>
        <v>1.0195048044558224</v>
      </c>
      <c r="M2285" s="20"/>
    </row>
    <row r="2286" spans="1:13" x14ac:dyDescent="0.2">
      <c r="A2286" s="48" t="s">
        <v>151</v>
      </c>
      <c r="B2286" s="12" t="s">
        <v>28</v>
      </c>
      <c r="C2286" s="28" t="s">
        <v>64</v>
      </c>
      <c r="D2286" s="44">
        <v>111.277711752774</v>
      </c>
      <c r="E2286" s="15" t="s">
        <v>148</v>
      </c>
      <c r="F2286" s="16" t="s">
        <v>16</v>
      </c>
      <c r="G2286" s="22">
        <v>1</v>
      </c>
      <c r="H2286" s="23">
        <v>1</v>
      </c>
      <c r="I2286" s="23">
        <v>1</v>
      </c>
      <c r="J2286" s="23">
        <v>2</v>
      </c>
      <c r="K2286" s="23">
        <v>3</v>
      </c>
      <c r="L2286" s="25">
        <f t="shared" si="70"/>
        <v>1.0195048044558224</v>
      </c>
      <c r="M2286" s="20"/>
    </row>
    <row r="2287" spans="1:13" x14ac:dyDescent="0.2">
      <c r="A2287" s="48" t="s">
        <v>151</v>
      </c>
      <c r="B2287" s="12" t="s">
        <v>30</v>
      </c>
      <c r="C2287" s="28" t="s">
        <v>64</v>
      </c>
      <c r="D2287" s="44">
        <v>196.318364630921</v>
      </c>
      <c r="E2287" s="15" t="s">
        <v>148</v>
      </c>
      <c r="F2287" s="16" t="s">
        <v>16</v>
      </c>
      <c r="G2287" s="22">
        <v>1</v>
      </c>
      <c r="H2287" s="23">
        <v>1</v>
      </c>
      <c r="I2287" s="23">
        <v>1</v>
      </c>
      <c r="J2287" s="23">
        <v>2</v>
      </c>
      <c r="K2287" s="23">
        <v>3</v>
      </c>
      <c r="L2287" s="24">
        <f t="shared" si="70"/>
        <v>1.0195048044558224</v>
      </c>
      <c r="M2287" s="20"/>
    </row>
    <row r="2288" spans="1:13" x14ac:dyDescent="0.2">
      <c r="A2288" s="48" t="s">
        <v>151</v>
      </c>
      <c r="B2288" s="12" t="s">
        <v>32</v>
      </c>
      <c r="C2288" s="28" t="s">
        <v>64</v>
      </c>
      <c r="D2288" s="44">
        <v>14.364784120347659</v>
      </c>
      <c r="E2288" s="15" t="s">
        <v>148</v>
      </c>
      <c r="F2288" s="16" t="s">
        <v>16</v>
      </c>
      <c r="G2288" s="22">
        <v>1</v>
      </c>
      <c r="H2288" s="23">
        <v>1</v>
      </c>
      <c r="I2288" s="23">
        <v>1</v>
      </c>
      <c r="J2288" s="23">
        <v>2</v>
      </c>
      <c r="K2288" s="23">
        <v>3</v>
      </c>
      <c r="L2288" s="25">
        <f t="shared" si="70"/>
        <v>1.0195048044558224</v>
      </c>
      <c r="M2288" s="20"/>
    </row>
    <row r="2289" spans="1:13" x14ac:dyDescent="0.2">
      <c r="A2289" s="48" t="s">
        <v>151</v>
      </c>
      <c r="B2289" s="12" t="s">
        <v>34</v>
      </c>
      <c r="C2289" s="28" t="s">
        <v>64</v>
      </c>
      <c r="D2289" s="44">
        <v>24.048643119017601</v>
      </c>
      <c r="E2289" s="15" t="s">
        <v>148</v>
      </c>
      <c r="F2289" s="16" t="s">
        <v>16</v>
      </c>
      <c r="G2289" s="22">
        <v>1</v>
      </c>
      <c r="H2289" s="23">
        <v>1</v>
      </c>
      <c r="I2289" s="23">
        <v>1</v>
      </c>
      <c r="J2289" s="23">
        <v>2</v>
      </c>
      <c r="K2289" s="23">
        <v>3</v>
      </c>
      <c r="L2289" s="25">
        <f t="shared" si="70"/>
        <v>1.0195048044558224</v>
      </c>
      <c r="M2289" s="20"/>
    </row>
    <row r="2290" spans="1:13" x14ac:dyDescent="0.2">
      <c r="A2290" s="48" t="s">
        <v>151</v>
      </c>
      <c r="B2290" s="12" t="s">
        <v>36</v>
      </c>
      <c r="C2290" s="28" t="s">
        <v>64</v>
      </c>
      <c r="D2290" s="44">
        <v>15.826999735401751</v>
      </c>
      <c r="E2290" s="15" t="s">
        <v>148</v>
      </c>
      <c r="F2290" s="16" t="s">
        <v>16</v>
      </c>
      <c r="G2290" s="22">
        <v>1</v>
      </c>
      <c r="H2290" s="23">
        <v>1</v>
      </c>
      <c r="I2290" s="23">
        <v>1</v>
      </c>
      <c r="J2290" s="23">
        <v>2</v>
      </c>
      <c r="K2290" s="23">
        <v>3</v>
      </c>
      <c r="L2290" s="25">
        <f t="shared" si="70"/>
        <v>1.0195048044558224</v>
      </c>
      <c r="M2290" s="20"/>
    </row>
    <row r="2291" spans="1:13" x14ac:dyDescent="0.2">
      <c r="A2291" s="48" t="s">
        <v>151</v>
      </c>
      <c r="B2291" s="12" t="s">
        <v>37</v>
      </c>
      <c r="C2291" s="28" t="s">
        <v>64</v>
      </c>
      <c r="D2291" s="44">
        <v>103.45407491464969</v>
      </c>
      <c r="E2291" s="15" t="s">
        <v>148</v>
      </c>
      <c r="F2291" s="16" t="s">
        <v>16</v>
      </c>
      <c r="G2291" s="22">
        <v>1</v>
      </c>
      <c r="H2291" s="23">
        <v>1</v>
      </c>
      <c r="I2291" s="23">
        <v>1</v>
      </c>
      <c r="J2291" s="23">
        <v>2</v>
      </c>
      <c r="K2291" s="23">
        <v>3</v>
      </c>
      <c r="L2291" s="24">
        <f t="shared" si="70"/>
        <v>1.0195048044558224</v>
      </c>
      <c r="M2291" s="20"/>
    </row>
    <row r="2292" spans="1:13" x14ac:dyDescent="0.2">
      <c r="A2292" s="48" t="s">
        <v>151</v>
      </c>
      <c r="B2292" s="12" t="s">
        <v>39</v>
      </c>
      <c r="C2292" s="28" t="s">
        <v>64</v>
      </c>
      <c r="D2292" s="44">
        <v>2.4327073326427242</v>
      </c>
      <c r="E2292" s="15" t="s">
        <v>148</v>
      </c>
      <c r="F2292" s="16" t="s">
        <v>16</v>
      </c>
      <c r="G2292" s="22">
        <v>1</v>
      </c>
      <c r="H2292" s="23">
        <v>1</v>
      </c>
      <c r="I2292" s="23">
        <v>1</v>
      </c>
      <c r="J2292" s="23">
        <v>2</v>
      </c>
      <c r="K2292" s="23">
        <v>3</v>
      </c>
      <c r="L2292" s="25">
        <f t="shared" si="70"/>
        <v>1.0195048044558224</v>
      </c>
      <c r="M2292" s="20"/>
    </row>
    <row r="2293" spans="1:13" x14ac:dyDescent="0.2">
      <c r="A2293" s="48" t="s">
        <v>151</v>
      </c>
      <c r="B2293" s="12" t="s">
        <v>40</v>
      </c>
      <c r="C2293" s="28" t="s">
        <v>64</v>
      </c>
      <c r="D2293" s="44">
        <v>4.4667857649897416</v>
      </c>
      <c r="E2293" s="15" t="s">
        <v>148</v>
      </c>
      <c r="F2293" s="16" t="s">
        <v>16</v>
      </c>
      <c r="G2293" s="22">
        <v>1</v>
      </c>
      <c r="H2293" s="23">
        <v>1</v>
      </c>
      <c r="I2293" s="23">
        <v>1</v>
      </c>
      <c r="J2293" s="23">
        <v>2</v>
      </c>
      <c r="K2293" s="23">
        <v>3</v>
      </c>
      <c r="L2293" s="25">
        <f t="shared" si="70"/>
        <v>1.0195048044558224</v>
      </c>
      <c r="M2293" s="20"/>
    </row>
    <row r="2294" spans="1:13" x14ac:dyDescent="0.2">
      <c r="A2294" s="48" t="s">
        <v>151</v>
      </c>
      <c r="B2294" s="12" t="s">
        <v>41</v>
      </c>
      <c r="C2294" s="28" t="s">
        <v>64</v>
      </c>
      <c r="D2294" s="44">
        <v>1.269426047199081</v>
      </c>
      <c r="E2294" s="15" t="s">
        <v>148</v>
      </c>
      <c r="F2294" s="16" t="s">
        <v>16</v>
      </c>
      <c r="G2294" s="22">
        <v>1</v>
      </c>
      <c r="H2294" s="23">
        <v>1</v>
      </c>
      <c r="I2294" s="23">
        <v>1</v>
      </c>
      <c r="J2294" s="23">
        <v>2</v>
      </c>
      <c r="K2294" s="23">
        <v>3</v>
      </c>
      <c r="L2294" s="25">
        <f t="shared" si="70"/>
        <v>1.0195048044558224</v>
      </c>
      <c r="M2294" s="20"/>
    </row>
    <row r="2295" spans="1:13" x14ac:dyDescent="0.2">
      <c r="A2295" s="48" t="s">
        <v>151</v>
      </c>
      <c r="B2295" s="12" t="s">
        <v>42</v>
      </c>
      <c r="C2295" s="28" t="s">
        <v>64</v>
      </c>
      <c r="D2295" s="44">
        <v>0.73241289589170777</v>
      </c>
      <c r="E2295" s="15" t="s">
        <v>148</v>
      </c>
      <c r="F2295" s="16" t="s">
        <v>16</v>
      </c>
      <c r="G2295" s="22">
        <v>1</v>
      </c>
      <c r="H2295" s="23">
        <v>1</v>
      </c>
      <c r="I2295" s="23">
        <v>1</v>
      </c>
      <c r="J2295" s="23">
        <v>2</v>
      </c>
      <c r="K2295" s="23">
        <v>3</v>
      </c>
      <c r="L2295" s="25">
        <f t="shared" si="70"/>
        <v>1.0195048044558224</v>
      </c>
      <c r="M2295" s="20"/>
    </row>
    <row r="2296" spans="1:13" x14ac:dyDescent="0.2">
      <c r="A2296" s="48" t="s">
        <v>151</v>
      </c>
      <c r="B2296" s="12" t="s">
        <v>43</v>
      </c>
      <c r="C2296" s="28" t="s">
        <v>64</v>
      </c>
      <c r="D2296" s="44">
        <v>33.909418336017417</v>
      </c>
      <c r="E2296" s="15" t="s">
        <v>148</v>
      </c>
      <c r="F2296" s="16" t="s">
        <v>16</v>
      </c>
      <c r="G2296" s="22">
        <v>1</v>
      </c>
      <c r="H2296" s="23">
        <v>1</v>
      </c>
      <c r="I2296" s="23">
        <v>1</v>
      </c>
      <c r="J2296" s="23">
        <v>2</v>
      </c>
      <c r="K2296" s="23">
        <v>3</v>
      </c>
      <c r="L2296" s="25">
        <f t="shared" si="70"/>
        <v>1.0195048044558224</v>
      </c>
      <c r="M2296" s="20"/>
    </row>
    <row r="2297" spans="1:13" x14ac:dyDescent="0.2">
      <c r="A2297" s="48" t="s">
        <v>151</v>
      </c>
      <c r="B2297" s="12" t="s">
        <v>45</v>
      </c>
      <c r="C2297" s="28" t="s">
        <v>64</v>
      </c>
      <c r="D2297" s="44">
        <v>12.843146068808229</v>
      </c>
      <c r="E2297" s="15" t="s">
        <v>148</v>
      </c>
      <c r="F2297" s="16" t="s">
        <v>16</v>
      </c>
      <c r="G2297" s="22">
        <v>1</v>
      </c>
      <c r="H2297" s="23">
        <v>1</v>
      </c>
      <c r="I2297" s="23">
        <v>1</v>
      </c>
      <c r="J2297" s="23">
        <v>2</v>
      </c>
      <c r="K2297" s="23">
        <v>3</v>
      </c>
      <c r="L2297" s="25">
        <f t="shared" si="70"/>
        <v>1.0195048044558224</v>
      </c>
      <c r="M2297" s="20"/>
    </row>
    <row r="2298" spans="1:13" x14ac:dyDescent="0.2">
      <c r="A2298" s="48" t="s">
        <v>151</v>
      </c>
      <c r="B2298" s="12" t="s">
        <v>46</v>
      </c>
      <c r="C2298" s="28" t="s">
        <v>64</v>
      </c>
      <c r="D2298" s="44">
        <v>58.444331809393397</v>
      </c>
      <c r="E2298" s="15" t="s">
        <v>148</v>
      </c>
      <c r="F2298" s="16" t="s">
        <v>16</v>
      </c>
      <c r="G2298" s="22">
        <v>1</v>
      </c>
      <c r="H2298" s="23">
        <v>1</v>
      </c>
      <c r="I2298" s="23">
        <v>1</v>
      </c>
      <c r="J2298" s="23">
        <v>2</v>
      </c>
      <c r="K2298" s="23">
        <v>3</v>
      </c>
      <c r="L2298" s="24">
        <f t="shared" si="70"/>
        <v>1.0195048044558224</v>
      </c>
      <c r="M2298" s="20"/>
    </row>
    <row r="2299" spans="1:13" x14ac:dyDescent="0.2">
      <c r="A2299" s="48" t="s">
        <v>151</v>
      </c>
      <c r="B2299" s="12" t="s">
        <v>48</v>
      </c>
      <c r="C2299" s="28" t="s">
        <v>64</v>
      </c>
      <c r="D2299" s="44">
        <v>21.531199664022289</v>
      </c>
      <c r="E2299" s="15" t="s">
        <v>148</v>
      </c>
      <c r="F2299" s="16" t="s">
        <v>16</v>
      </c>
      <c r="G2299" s="22">
        <v>1</v>
      </c>
      <c r="H2299" s="23">
        <v>1</v>
      </c>
      <c r="I2299" s="23">
        <v>1</v>
      </c>
      <c r="J2299" s="23">
        <v>2</v>
      </c>
      <c r="K2299" s="23">
        <v>3</v>
      </c>
      <c r="L2299" s="25">
        <f t="shared" si="70"/>
        <v>1.0195048044558224</v>
      </c>
      <c r="M2299" s="20"/>
    </row>
    <row r="2300" spans="1:13" x14ac:dyDescent="0.2">
      <c r="A2300" s="48" t="s">
        <v>151</v>
      </c>
      <c r="B2300" s="12" t="s">
        <v>50</v>
      </c>
      <c r="C2300" s="28" t="s">
        <v>64</v>
      </c>
      <c r="D2300" s="44">
        <v>25.019572996440029</v>
      </c>
      <c r="E2300" s="15" t="s">
        <v>148</v>
      </c>
      <c r="F2300" s="16" t="s">
        <v>16</v>
      </c>
      <c r="G2300" s="22">
        <v>1</v>
      </c>
      <c r="H2300" s="23">
        <v>1</v>
      </c>
      <c r="I2300" s="23">
        <v>1</v>
      </c>
      <c r="J2300" s="23">
        <v>2</v>
      </c>
      <c r="K2300" s="23">
        <v>3</v>
      </c>
      <c r="L2300" s="25">
        <f t="shared" si="70"/>
        <v>1.0195048044558224</v>
      </c>
      <c r="M2300" s="20"/>
    </row>
    <row r="2301" spans="1:13" x14ac:dyDescent="0.2">
      <c r="A2301" s="48" t="s">
        <v>151</v>
      </c>
      <c r="B2301" s="12" t="s">
        <v>52</v>
      </c>
      <c r="C2301" s="28" t="s">
        <v>64</v>
      </c>
      <c r="D2301" s="44">
        <v>6.6513536523381882</v>
      </c>
      <c r="E2301" s="15" t="s">
        <v>148</v>
      </c>
      <c r="F2301" s="16" t="s">
        <v>16</v>
      </c>
      <c r="G2301" s="22">
        <v>1</v>
      </c>
      <c r="H2301" s="23">
        <v>1</v>
      </c>
      <c r="I2301" s="23">
        <v>1</v>
      </c>
      <c r="J2301" s="23">
        <v>2</v>
      </c>
      <c r="K2301" s="23">
        <v>3</v>
      </c>
      <c r="L2301" s="25">
        <f t="shared" si="70"/>
        <v>1.0195048044558224</v>
      </c>
      <c r="M2301" s="20"/>
    </row>
    <row r="2302" spans="1:13" x14ac:dyDescent="0.2">
      <c r="A2302" s="48" t="s">
        <v>151</v>
      </c>
      <c r="B2302" s="12" t="s">
        <v>54</v>
      </c>
      <c r="C2302" s="28" t="s">
        <v>64</v>
      </c>
      <c r="D2302" s="44">
        <v>2.5748253230021749</v>
      </c>
      <c r="E2302" s="15" t="s">
        <v>148</v>
      </c>
      <c r="F2302" s="16" t="s">
        <v>16</v>
      </c>
      <c r="G2302" s="22">
        <v>1</v>
      </c>
      <c r="H2302" s="23">
        <v>1</v>
      </c>
      <c r="I2302" s="23">
        <v>1</v>
      </c>
      <c r="J2302" s="23">
        <v>2</v>
      </c>
      <c r="K2302" s="23">
        <v>3</v>
      </c>
      <c r="L2302" s="25">
        <f t="shared" si="70"/>
        <v>1.0195048044558224</v>
      </c>
      <c r="M2302" s="20"/>
    </row>
    <row r="2303" spans="1:13" x14ac:dyDescent="0.2">
      <c r="A2303" s="48" t="s">
        <v>151</v>
      </c>
      <c r="B2303" s="12" t="s">
        <v>55</v>
      </c>
      <c r="C2303" s="28" t="s">
        <v>64</v>
      </c>
      <c r="D2303" s="44">
        <v>78.94547035608052</v>
      </c>
      <c r="E2303" s="15" t="s">
        <v>148</v>
      </c>
      <c r="F2303" s="16" t="s">
        <v>16</v>
      </c>
      <c r="G2303" s="22">
        <v>1</v>
      </c>
      <c r="H2303" s="23">
        <v>1</v>
      </c>
      <c r="I2303" s="23">
        <v>1</v>
      </c>
      <c r="J2303" s="23">
        <v>2</v>
      </c>
      <c r="K2303" s="23">
        <v>3</v>
      </c>
      <c r="L2303" s="24">
        <f t="shared" si="70"/>
        <v>1.0195048044558224</v>
      </c>
      <c r="M2303" s="20"/>
    </row>
    <row r="2304" spans="1:13" x14ac:dyDescent="0.2">
      <c r="A2304" s="48" t="s">
        <v>151</v>
      </c>
      <c r="B2304" s="12" t="s">
        <v>57</v>
      </c>
      <c r="C2304" s="28" t="s">
        <v>64</v>
      </c>
      <c r="D2304" s="44">
        <v>12.875269088047389</v>
      </c>
      <c r="E2304" s="15" t="s">
        <v>148</v>
      </c>
      <c r="F2304" s="16" t="s">
        <v>16</v>
      </c>
      <c r="G2304" s="22">
        <v>1</v>
      </c>
      <c r="H2304" s="23">
        <v>1</v>
      </c>
      <c r="I2304" s="23">
        <v>1</v>
      </c>
      <c r="J2304" s="23">
        <v>2</v>
      </c>
      <c r="K2304" s="23">
        <v>3</v>
      </c>
      <c r="L2304" s="25">
        <f t="shared" si="70"/>
        <v>1.0195048044558224</v>
      </c>
      <c r="M2304" s="20"/>
    </row>
    <row r="2305" spans="1:13" x14ac:dyDescent="0.2">
      <c r="A2305" s="48" t="s">
        <v>151</v>
      </c>
      <c r="B2305" s="12" t="s">
        <v>59</v>
      </c>
      <c r="C2305" s="28" t="s">
        <v>64</v>
      </c>
      <c r="D2305" s="44">
        <v>19.373559734430529</v>
      </c>
      <c r="E2305" s="15" t="s">
        <v>148</v>
      </c>
      <c r="F2305" s="16" t="s">
        <v>16</v>
      </c>
      <c r="G2305" s="22">
        <v>1</v>
      </c>
      <c r="H2305" s="23">
        <v>1</v>
      </c>
      <c r="I2305" s="23">
        <v>1</v>
      </c>
      <c r="J2305" s="23">
        <v>2</v>
      </c>
      <c r="K2305" s="23">
        <v>3</v>
      </c>
      <c r="L2305" s="25">
        <f t="shared" si="70"/>
        <v>1.0195048044558224</v>
      </c>
      <c r="M2305" s="20"/>
    </row>
    <row r="2306" spans="1:13" x14ac:dyDescent="0.2">
      <c r="A2306" s="48" t="s">
        <v>151</v>
      </c>
      <c r="B2306" s="12" t="s">
        <v>60</v>
      </c>
      <c r="C2306" s="28" t="s">
        <v>64</v>
      </c>
      <c r="D2306" s="44">
        <v>102.3056671312598</v>
      </c>
      <c r="E2306" s="15" t="s">
        <v>148</v>
      </c>
      <c r="F2306" s="16" t="s">
        <v>16</v>
      </c>
      <c r="G2306" s="22">
        <v>1</v>
      </c>
      <c r="H2306" s="23">
        <v>2</v>
      </c>
      <c r="I2306" s="23">
        <v>1</v>
      </c>
      <c r="J2306" s="23">
        <v>2</v>
      </c>
      <c r="K2306" s="23">
        <v>3</v>
      </c>
      <c r="L2306" s="24">
        <f t="shared" si="70"/>
        <v>1.0248662490928169</v>
      </c>
      <c r="M2306" s="20"/>
    </row>
    <row r="2307" spans="1:13" x14ac:dyDescent="0.2">
      <c r="A2307" s="48" t="s">
        <v>151</v>
      </c>
      <c r="B2307" s="22" t="s">
        <v>135</v>
      </c>
      <c r="C2307" s="29" t="s">
        <v>66</v>
      </c>
      <c r="D2307" s="14">
        <v>0</v>
      </c>
      <c r="E2307" s="15"/>
      <c r="F2307" s="16"/>
      <c r="G2307" s="17"/>
      <c r="H2307" s="18"/>
      <c r="I2307" s="18"/>
      <c r="J2307" s="18"/>
      <c r="K2307" s="18"/>
      <c r="L2307" s="19" t="str">
        <f>IF( OR( ISBLANK(G2307),ISBLANK(H2307), ISBLANK(I2307), ISBLANK(J2307), ISBLANK(K2307) ), "", 1.5*SQRT(   EXP(2.21*(G2307-1)) + EXP(2.21*(H2307-1)) + EXP(2.21*(I2307-1)) + EXP(2.21*(J2307-1)) + EXP(2.21*K2307)   )/100*2.45 )</f>
        <v/>
      </c>
      <c r="M2307" s="20"/>
    </row>
    <row r="2308" spans="1:13" x14ac:dyDescent="0.2">
      <c r="A2308" s="48" t="s">
        <v>151</v>
      </c>
      <c r="B2308" s="22" t="s">
        <v>135</v>
      </c>
      <c r="C2308" s="30" t="s">
        <v>94</v>
      </c>
      <c r="D2308" s="14">
        <v>0</v>
      </c>
      <c r="E2308" s="15"/>
      <c r="F2308" s="16"/>
      <c r="G2308" s="17"/>
      <c r="H2308" s="18"/>
      <c r="I2308" s="18"/>
      <c r="J2308" s="18"/>
      <c r="K2308" s="18"/>
      <c r="L2308" s="19" t="str">
        <f>IF( OR( ISBLANK(G2308),ISBLANK(H2308), ISBLANK(I2308), ISBLANK(J2308), ISBLANK(K2308) ), "", 1.5*SQRT(   EXP(2.21*(G2308-1)) + EXP(2.21*(H2308-1)) + EXP(2.21*(I2308-1)) + EXP(2.21*(J2308-1)) + EXP(2.21*K2308)   )/100*2.45 )</f>
        <v/>
      </c>
      <c r="M2308" s="20"/>
    </row>
    <row r="2309" spans="1:13" x14ac:dyDescent="0.2">
      <c r="A2309" s="48" t="s">
        <v>151</v>
      </c>
      <c r="B2309" s="22" t="s">
        <v>135</v>
      </c>
      <c r="C2309" s="31" t="s">
        <v>96</v>
      </c>
      <c r="D2309" s="14">
        <v>0</v>
      </c>
      <c r="E2309" s="15"/>
      <c r="F2309" s="16"/>
      <c r="G2309" s="17"/>
      <c r="H2309" s="18"/>
      <c r="I2309" s="18"/>
      <c r="J2309" s="18"/>
      <c r="K2309" s="18"/>
      <c r="L2309" s="19" t="str">
        <f>IF( OR( ISBLANK(G2309),ISBLANK(H2309), ISBLANK(I2309), ISBLANK(J2309), ISBLANK(K2309) ), "", 1.5*SQRT(   EXP(2.21*(G2309-1)) + EXP(2.21*(H2309-1)) + EXP(2.21*(I2309-1)) + EXP(2.21*(J2309-1)) + EXP(2.21*K2309)   )/100*2.45 )</f>
        <v/>
      </c>
      <c r="M2309" s="20"/>
    </row>
    <row r="2310" spans="1:13" x14ac:dyDescent="0.2">
      <c r="A2310" s="48" t="s">
        <v>151</v>
      </c>
      <c r="B2310" s="12" t="s">
        <v>13</v>
      </c>
      <c r="C2310" s="32" t="s">
        <v>98</v>
      </c>
      <c r="D2310" s="44">
        <v>20.530961987356239</v>
      </c>
      <c r="E2310" s="15" t="s">
        <v>148</v>
      </c>
      <c r="F2310" s="16" t="s">
        <v>16</v>
      </c>
      <c r="G2310" s="22">
        <v>1</v>
      </c>
      <c r="H2310" s="23">
        <v>1</v>
      </c>
      <c r="I2310" s="23">
        <v>1</v>
      </c>
      <c r="J2310" s="23">
        <v>2</v>
      </c>
      <c r="K2310" s="23">
        <v>3</v>
      </c>
      <c r="L2310" s="25">
        <f t="shared" ref="L2310:L2341" si="71">IF( OR( ISBLANK(G2310),ISBLANK(H2310), ISBLANK(I2310), ISBLANK(J2310), ISBLANK(K2310) ), "", 1.5*SQRT( EXP(2.21*(G2310-1)) + EXP(2.21*(H2310-1)) + EXP(2.21*(I2310-1)) + EXP(2.21*(J2310-1)) + EXP(2.21*K2310) )/100*2.45 )</f>
        <v>1.0195048044558224</v>
      </c>
      <c r="M2310" s="20"/>
    </row>
    <row r="2311" spans="1:13" x14ac:dyDescent="0.2">
      <c r="A2311" s="48" t="s">
        <v>151</v>
      </c>
      <c r="B2311" s="12" t="s">
        <v>18</v>
      </c>
      <c r="C2311" s="32" t="s">
        <v>98</v>
      </c>
      <c r="D2311" s="44">
        <v>27.673719675086989</v>
      </c>
      <c r="E2311" s="15" t="s">
        <v>148</v>
      </c>
      <c r="F2311" s="16" t="s">
        <v>16</v>
      </c>
      <c r="G2311" s="22">
        <v>1</v>
      </c>
      <c r="H2311" s="23">
        <v>1</v>
      </c>
      <c r="I2311" s="23">
        <v>1</v>
      </c>
      <c r="J2311" s="23">
        <v>2</v>
      </c>
      <c r="K2311" s="23">
        <v>3</v>
      </c>
      <c r="L2311" s="25">
        <f t="shared" si="71"/>
        <v>1.0195048044558224</v>
      </c>
      <c r="M2311" s="20"/>
    </row>
    <row r="2312" spans="1:13" x14ac:dyDescent="0.2">
      <c r="A2312" s="48" t="s">
        <v>151</v>
      </c>
      <c r="B2312" s="12" t="s">
        <v>20</v>
      </c>
      <c r="C2312" s="32" t="s">
        <v>98</v>
      </c>
      <c r="D2312" s="44">
        <v>10.500627448374839</v>
      </c>
      <c r="E2312" s="15" t="s">
        <v>148</v>
      </c>
      <c r="F2312" s="16" t="s">
        <v>16</v>
      </c>
      <c r="G2312" s="22">
        <v>1</v>
      </c>
      <c r="H2312" s="23">
        <v>1</v>
      </c>
      <c r="I2312" s="23">
        <v>1</v>
      </c>
      <c r="J2312" s="23">
        <v>2</v>
      </c>
      <c r="K2312" s="23">
        <v>3</v>
      </c>
      <c r="L2312" s="25">
        <f t="shared" si="71"/>
        <v>1.0195048044558224</v>
      </c>
      <c r="M2312" s="20"/>
    </row>
    <row r="2313" spans="1:13" x14ac:dyDescent="0.2">
      <c r="A2313" s="48" t="s">
        <v>151</v>
      </c>
      <c r="B2313" s="12" t="s">
        <v>22</v>
      </c>
      <c r="C2313" s="32" t="s">
        <v>98</v>
      </c>
      <c r="D2313" s="44">
        <v>4.5513405843007062</v>
      </c>
      <c r="E2313" s="15" t="s">
        <v>148</v>
      </c>
      <c r="F2313" s="16" t="s">
        <v>16</v>
      </c>
      <c r="G2313" s="22">
        <v>1</v>
      </c>
      <c r="H2313" s="23">
        <v>1</v>
      </c>
      <c r="I2313" s="23">
        <v>1</v>
      </c>
      <c r="J2313" s="23">
        <v>2</v>
      </c>
      <c r="K2313" s="23">
        <v>3</v>
      </c>
      <c r="L2313" s="25">
        <f t="shared" si="71"/>
        <v>1.0195048044558224</v>
      </c>
      <c r="M2313" s="20"/>
    </row>
    <row r="2314" spans="1:13" x14ac:dyDescent="0.2">
      <c r="A2314" s="48" t="s">
        <v>151</v>
      </c>
      <c r="B2314" s="12" t="s">
        <v>23</v>
      </c>
      <c r="C2314" s="32" t="s">
        <v>98</v>
      </c>
      <c r="D2314" s="44">
        <v>1.258217856929809</v>
      </c>
      <c r="E2314" s="15" t="s">
        <v>148</v>
      </c>
      <c r="F2314" s="16" t="s">
        <v>16</v>
      </c>
      <c r="G2314" s="22">
        <v>1</v>
      </c>
      <c r="H2314" s="23">
        <v>1</v>
      </c>
      <c r="I2314" s="23">
        <v>1</v>
      </c>
      <c r="J2314" s="23">
        <v>2</v>
      </c>
      <c r="K2314" s="23">
        <v>3</v>
      </c>
      <c r="L2314" s="25">
        <f t="shared" si="71"/>
        <v>1.0195048044558224</v>
      </c>
      <c r="M2314" s="20"/>
    </row>
    <row r="2315" spans="1:13" x14ac:dyDescent="0.2">
      <c r="A2315" s="48" t="s">
        <v>151</v>
      </c>
      <c r="B2315" s="12" t="s">
        <v>24</v>
      </c>
      <c r="C2315" s="32" t="s">
        <v>98</v>
      </c>
      <c r="D2315" s="44">
        <v>18.174439228994</v>
      </c>
      <c r="E2315" s="15" t="s">
        <v>148</v>
      </c>
      <c r="F2315" s="16" t="s">
        <v>16</v>
      </c>
      <c r="G2315" s="22">
        <v>1</v>
      </c>
      <c r="H2315" s="23">
        <v>1</v>
      </c>
      <c r="I2315" s="23">
        <v>1</v>
      </c>
      <c r="J2315" s="23">
        <v>2</v>
      </c>
      <c r="K2315" s="23">
        <v>3</v>
      </c>
      <c r="L2315" s="25">
        <f t="shared" si="71"/>
        <v>1.0195048044558224</v>
      </c>
      <c r="M2315" s="20"/>
    </row>
    <row r="2316" spans="1:13" x14ac:dyDescent="0.2">
      <c r="A2316" s="48" t="s">
        <v>151</v>
      </c>
      <c r="B2316" s="12" t="s">
        <v>25</v>
      </c>
      <c r="C2316" s="32" t="s">
        <v>98</v>
      </c>
      <c r="D2316" s="44">
        <v>15.72044609193939</v>
      </c>
      <c r="E2316" s="15" t="s">
        <v>148</v>
      </c>
      <c r="F2316" s="16" t="s">
        <v>16</v>
      </c>
      <c r="G2316" s="22">
        <v>1</v>
      </c>
      <c r="H2316" s="23">
        <v>1</v>
      </c>
      <c r="I2316" s="23">
        <v>1</v>
      </c>
      <c r="J2316" s="23">
        <v>2</v>
      </c>
      <c r="K2316" s="23">
        <v>3</v>
      </c>
      <c r="L2316" s="25">
        <f t="shared" si="71"/>
        <v>1.0195048044558224</v>
      </c>
      <c r="M2316" s="20"/>
    </row>
    <row r="2317" spans="1:13" x14ac:dyDescent="0.2">
      <c r="A2317" s="48" t="s">
        <v>151</v>
      </c>
      <c r="B2317" s="12" t="s">
        <v>26</v>
      </c>
      <c r="C2317" s="32" t="s">
        <v>98</v>
      </c>
      <c r="D2317" s="44">
        <v>3.6836985291371671</v>
      </c>
      <c r="E2317" s="15" t="s">
        <v>148</v>
      </c>
      <c r="F2317" s="16" t="s">
        <v>16</v>
      </c>
      <c r="G2317" s="22">
        <v>1</v>
      </c>
      <c r="H2317" s="23">
        <v>1</v>
      </c>
      <c r="I2317" s="23">
        <v>1</v>
      </c>
      <c r="J2317" s="23">
        <v>2</v>
      </c>
      <c r="K2317" s="23">
        <v>3</v>
      </c>
      <c r="L2317" s="25">
        <f t="shared" si="71"/>
        <v>1.0195048044558224</v>
      </c>
      <c r="M2317" s="20"/>
    </row>
    <row r="2318" spans="1:13" x14ac:dyDescent="0.2">
      <c r="A2318" s="48" t="s">
        <v>151</v>
      </c>
      <c r="B2318" s="12" t="s">
        <v>27</v>
      </c>
      <c r="C2318" s="32" t="s">
        <v>98</v>
      </c>
      <c r="D2318" s="44">
        <v>10.79198464998878</v>
      </c>
      <c r="E2318" s="15" t="s">
        <v>148</v>
      </c>
      <c r="F2318" s="16" t="s">
        <v>16</v>
      </c>
      <c r="G2318" s="22">
        <v>1</v>
      </c>
      <c r="H2318" s="23">
        <v>1</v>
      </c>
      <c r="I2318" s="23">
        <v>1</v>
      </c>
      <c r="J2318" s="23">
        <v>2</v>
      </c>
      <c r="K2318" s="23">
        <v>3</v>
      </c>
      <c r="L2318" s="25">
        <f t="shared" si="71"/>
        <v>1.0195048044558224</v>
      </c>
      <c r="M2318" s="20"/>
    </row>
    <row r="2319" spans="1:13" x14ac:dyDescent="0.2">
      <c r="A2319" s="48" t="s">
        <v>151</v>
      </c>
      <c r="B2319" s="12" t="s">
        <v>28</v>
      </c>
      <c r="C2319" s="32" t="s">
        <v>98</v>
      </c>
      <c r="D2319" s="44">
        <v>147.4617691278354</v>
      </c>
      <c r="E2319" s="15" t="s">
        <v>148</v>
      </c>
      <c r="F2319" s="16" t="s">
        <v>16</v>
      </c>
      <c r="G2319" s="22">
        <v>1</v>
      </c>
      <c r="H2319" s="23">
        <v>1</v>
      </c>
      <c r="I2319" s="23">
        <v>1</v>
      </c>
      <c r="J2319" s="23">
        <v>2</v>
      </c>
      <c r="K2319" s="23">
        <v>3</v>
      </c>
      <c r="L2319" s="25">
        <f t="shared" si="71"/>
        <v>1.0195048044558224</v>
      </c>
      <c r="M2319" s="20"/>
    </row>
    <row r="2320" spans="1:13" x14ac:dyDescent="0.2">
      <c r="A2320" s="48" t="s">
        <v>151</v>
      </c>
      <c r="B2320" s="12" t="s">
        <v>30</v>
      </c>
      <c r="C2320" s="32" t="s">
        <v>98</v>
      </c>
      <c r="D2320" s="44">
        <v>260.15500233394579</v>
      </c>
      <c r="E2320" s="15" t="s">
        <v>148</v>
      </c>
      <c r="F2320" s="16" t="s">
        <v>16</v>
      </c>
      <c r="G2320" s="22">
        <v>1</v>
      </c>
      <c r="H2320" s="23">
        <v>1</v>
      </c>
      <c r="I2320" s="23">
        <v>1</v>
      </c>
      <c r="J2320" s="23">
        <v>2</v>
      </c>
      <c r="K2320" s="23">
        <v>3</v>
      </c>
      <c r="L2320" s="24">
        <f t="shared" si="71"/>
        <v>1.0195048044558224</v>
      </c>
      <c r="M2320" s="20"/>
    </row>
    <row r="2321" spans="1:13" x14ac:dyDescent="0.2">
      <c r="A2321" s="48" t="s">
        <v>151</v>
      </c>
      <c r="B2321" s="12" t="s">
        <v>32</v>
      </c>
      <c r="C2321" s="32" t="s">
        <v>98</v>
      </c>
      <c r="D2321" s="44">
        <v>19.035765978294361</v>
      </c>
      <c r="E2321" s="15" t="s">
        <v>148</v>
      </c>
      <c r="F2321" s="16" t="s">
        <v>16</v>
      </c>
      <c r="G2321" s="22">
        <v>1</v>
      </c>
      <c r="H2321" s="23">
        <v>1</v>
      </c>
      <c r="I2321" s="23">
        <v>1</v>
      </c>
      <c r="J2321" s="23">
        <v>2</v>
      </c>
      <c r="K2321" s="23">
        <v>3</v>
      </c>
      <c r="L2321" s="25">
        <f t="shared" si="71"/>
        <v>1.0195048044558224</v>
      </c>
      <c r="M2321" s="20"/>
    </row>
    <row r="2322" spans="1:13" x14ac:dyDescent="0.2">
      <c r="A2322" s="48" t="s">
        <v>151</v>
      </c>
      <c r="B2322" s="12" t="s">
        <v>34</v>
      </c>
      <c r="C2322" s="32" t="s">
        <v>98</v>
      </c>
      <c r="D2322" s="44">
        <v>31.868515299209289</v>
      </c>
      <c r="E2322" s="15" t="s">
        <v>148</v>
      </c>
      <c r="F2322" s="16" t="s">
        <v>16</v>
      </c>
      <c r="G2322" s="22">
        <v>1</v>
      </c>
      <c r="H2322" s="23">
        <v>1</v>
      </c>
      <c r="I2322" s="23">
        <v>1</v>
      </c>
      <c r="J2322" s="23">
        <v>2</v>
      </c>
      <c r="K2322" s="23">
        <v>3</v>
      </c>
      <c r="L2322" s="25">
        <f t="shared" si="71"/>
        <v>1.0195048044558224</v>
      </c>
      <c r="M2322" s="20"/>
    </row>
    <row r="2323" spans="1:13" x14ac:dyDescent="0.2">
      <c r="A2323" s="48" t="s">
        <v>151</v>
      </c>
      <c r="B2323" s="12" t="s">
        <v>36</v>
      </c>
      <c r="C2323" s="32" t="s">
        <v>98</v>
      </c>
      <c r="D2323" s="44">
        <v>20.973448718583509</v>
      </c>
      <c r="E2323" s="15" t="s">
        <v>148</v>
      </c>
      <c r="F2323" s="16" t="s">
        <v>16</v>
      </c>
      <c r="G2323" s="22">
        <v>1</v>
      </c>
      <c r="H2323" s="23">
        <v>1</v>
      </c>
      <c r="I2323" s="23">
        <v>1</v>
      </c>
      <c r="J2323" s="23">
        <v>2</v>
      </c>
      <c r="K2323" s="23">
        <v>3</v>
      </c>
      <c r="L2323" s="25">
        <f t="shared" si="71"/>
        <v>1.0195048044558224</v>
      </c>
      <c r="M2323" s="20"/>
    </row>
    <row r="2324" spans="1:13" x14ac:dyDescent="0.2">
      <c r="A2324" s="48" t="s">
        <v>151</v>
      </c>
      <c r="B2324" s="12" t="s">
        <v>37</v>
      </c>
      <c r="C2324" s="32" t="s">
        <v>98</v>
      </c>
      <c r="D2324" s="44">
        <v>137.09412846564541</v>
      </c>
      <c r="E2324" s="15" t="s">
        <v>148</v>
      </c>
      <c r="F2324" s="16" t="s">
        <v>16</v>
      </c>
      <c r="G2324" s="22">
        <v>1</v>
      </c>
      <c r="H2324" s="23">
        <v>1</v>
      </c>
      <c r="I2324" s="23">
        <v>1</v>
      </c>
      <c r="J2324" s="23">
        <v>2</v>
      </c>
      <c r="K2324" s="23">
        <v>3</v>
      </c>
      <c r="L2324" s="24">
        <f t="shared" si="71"/>
        <v>1.0195048044558224</v>
      </c>
      <c r="M2324" s="20"/>
    </row>
    <row r="2325" spans="1:13" x14ac:dyDescent="0.2">
      <c r="A2325" s="48" t="s">
        <v>151</v>
      </c>
      <c r="B2325" s="12" t="s">
        <v>39</v>
      </c>
      <c r="C2325" s="32" t="s">
        <v>98</v>
      </c>
      <c r="D2325" s="44">
        <v>3.2237482366527068</v>
      </c>
      <c r="E2325" s="15" t="s">
        <v>148</v>
      </c>
      <c r="F2325" s="16" t="s">
        <v>16</v>
      </c>
      <c r="G2325" s="22">
        <v>1</v>
      </c>
      <c r="H2325" s="23">
        <v>1</v>
      </c>
      <c r="I2325" s="23">
        <v>1</v>
      </c>
      <c r="J2325" s="23">
        <v>2</v>
      </c>
      <c r="K2325" s="23">
        <v>3</v>
      </c>
      <c r="L2325" s="25">
        <f t="shared" si="71"/>
        <v>1.0195048044558224</v>
      </c>
      <c r="M2325" s="20"/>
    </row>
    <row r="2326" spans="1:13" x14ac:dyDescent="0.2">
      <c r="A2326" s="48" t="s">
        <v>151</v>
      </c>
      <c r="B2326" s="12" t="s">
        <v>40</v>
      </c>
      <c r="C2326" s="32" t="s">
        <v>98</v>
      </c>
      <c r="D2326" s="44">
        <v>5.9192458296034154</v>
      </c>
      <c r="E2326" s="15" t="s">
        <v>148</v>
      </c>
      <c r="F2326" s="16" t="s">
        <v>16</v>
      </c>
      <c r="G2326" s="22">
        <v>1</v>
      </c>
      <c r="H2326" s="23">
        <v>1</v>
      </c>
      <c r="I2326" s="23">
        <v>1</v>
      </c>
      <c r="J2326" s="23">
        <v>2</v>
      </c>
      <c r="K2326" s="23">
        <v>3</v>
      </c>
      <c r="L2326" s="25">
        <f t="shared" si="71"/>
        <v>1.0195048044558224</v>
      </c>
      <c r="M2326" s="20"/>
    </row>
    <row r="2327" spans="1:13" x14ac:dyDescent="0.2">
      <c r="A2327" s="48" t="s">
        <v>151</v>
      </c>
      <c r="B2327" s="12" t="s">
        <v>41</v>
      </c>
      <c r="C2327" s="32" t="s">
        <v>98</v>
      </c>
      <c r="D2327" s="44">
        <v>1.6822039898952641</v>
      </c>
      <c r="E2327" s="15" t="s">
        <v>148</v>
      </c>
      <c r="F2327" s="16" t="s">
        <v>16</v>
      </c>
      <c r="G2327" s="22">
        <v>1</v>
      </c>
      <c r="H2327" s="23">
        <v>1</v>
      </c>
      <c r="I2327" s="23">
        <v>1</v>
      </c>
      <c r="J2327" s="23">
        <v>2</v>
      </c>
      <c r="K2327" s="23">
        <v>3</v>
      </c>
      <c r="L2327" s="25">
        <f t="shared" si="71"/>
        <v>1.0195048044558224</v>
      </c>
      <c r="M2327" s="20"/>
    </row>
    <row r="2328" spans="1:13" x14ac:dyDescent="0.2">
      <c r="A2328" s="48" t="s">
        <v>151</v>
      </c>
      <c r="B2328" s="12" t="s">
        <v>42</v>
      </c>
      <c r="C2328" s="32" t="s">
        <v>98</v>
      </c>
      <c r="D2328" s="44">
        <v>0.97057083273048106</v>
      </c>
      <c r="E2328" s="15" t="s">
        <v>148</v>
      </c>
      <c r="F2328" s="16" t="s">
        <v>16</v>
      </c>
      <c r="G2328" s="22">
        <v>1</v>
      </c>
      <c r="H2328" s="23">
        <v>1</v>
      </c>
      <c r="I2328" s="23">
        <v>1</v>
      </c>
      <c r="J2328" s="23">
        <v>2</v>
      </c>
      <c r="K2328" s="23">
        <v>3</v>
      </c>
      <c r="L2328" s="25">
        <f t="shared" si="71"/>
        <v>1.0195048044558224</v>
      </c>
      <c r="M2328" s="20"/>
    </row>
    <row r="2329" spans="1:13" x14ac:dyDescent="0.2">
      <c r="A2329" s="48" t="s">
        <v>151</v>
      </c>
      <c r="B2329" s="12" t="s">
        <v>43</v>
      </c>
      <c r="C2329" s="32" t="s">
        <v>98</v>
      </c>
      <c r="D2329" s="44">
        <v>44.935708500497043</v>
      </c>
      <c r="E2329" s="15" t="s">
        <v>148</v>
      </c>
      <c r="F2329" s="16" t="s">
        <v>16</v>
      </c>
      <c r="G2329" s="22">
        <v>1</v>
      </c>
      <c r="H2329" s="23">
        <v>1</v>
      </c>
      <c r="I2329" s="23">
        <v>1</v>
      </c>
      <c r="J2329" s="23">
        <v>2</v>
      </c>
      <c r="K2329" s="23">
        <v>3</v>
      </c>
      <c r="L2329" s="25">
        <f t="shared" si="71"/>
        <v>1.0195048044558224</v>
      </c>
      <c r="M2329" s="20"/>
    </row>
    <row r="2330" spans="1:13" x14ac:dyDescent="0.2">
      <c r="A2330" s="48" t="s">
        <v>151</v>
      </c>
      <c r="B2330" s="12" t="s">
        <v>45</v>
      </c>
      <c r="C2330" s="32" t="s">
        <v>98</v>
      </c>
      <c r="D2330" s="44">
        <v>17.019338469875152</v>
      </c>
      <c r="E2330" s="15" t="s">
        <v>148</v>
      </c>
      <c r="F2330" s="16" t="s">
        <v>16</v>
      </c>
      <c r="G2330" s="22">
        <v>1</v>
      </c>
      <c r="H2330" s="23">
        <v>1</v>
      </c>
      <c r="I2330" s="23">
        <v>1</v>
      </c>
      <c r="J2330" s="23">
        <v>2</v>
      </c>
      <c r="K2330" s="23">
        <v>3</v>
      </c>
      <c r="L2330" s="25">
        <f t="shared" si="71"/>
        <v>1.0195048044558224</v>
      </c>
      <c r="M2330" s="20"/>
    </row>
    <row r="2331" spans="1:13" x14ac:dyDescent="0.2">
      <c r="A2331" s="48" t="s">
        <v>151</v>
      </c>
      <c r="B2331" s="12" t="s">
        <v>46</v>
      </c>
      <c r="C2331" s="32" t="s">
        <v>98</v>
      </c>
      <c r="D2331" s="44">
        <v>77.448614177605322</v>
      </c>
      <c r="E2331" s="15" t="s">
        <v>148</v>
      </c>
      <c r="F2331" s="16" t="s">
        <v>16</v>
      </c>
      <c r="G2331" s="22">
        <v>1</v>
      </c>
      <c r="H2331" s="23">
        <v>1</v>
      </c>
      <c r="I2331" s="23">
        <v>1</v>
      </c>
      <c r="J2331" s="23">
        <v>2</v>
      </c>
      <c r="K2331" s="23">
        <v>3</v>
      </c>
      <c r="L2331" s="24">
        <f t="shared" si="71"/>
        <v>1.0195048044558224</v>
      </c>
      <c r="M2331" s="20"/>
    </row>
    <row r="2332" spans="1:13" x14ac:dyDescent="0.2">
      <c r="A2332" s="48" t="s">
        <v>151</v>
      </c>
      <c r="B2332" s="12" t="s">
        <v>48</v>
      </c>
      <c r="C2332" s="32" t="s">
        <v>98</v>
      </c>
      <c r="D2332" s="44">
        <v>28.53247738374915</v>
      </c>
      <c r="E2332" s="15" t="s">
        <v>148</v>
      </c>
      <c r="F2332" s="16" t="s">
        <v>16</v>
      </c>
      <c r="G2332" s="22">
        <v>1</v>
      </c>
      <c r="H2332" s="23">
        <v>1</v>
      </c>
      <c r="I2332" s="23">
        <v>1</v>
      </c>
      <c r="J2332" s="23">
        <v>2</v>
      </c>
      <c r="K2332" s="23">
        <v>3</v>
      </c>
      <c r="L2332" s="25">
        <f t="shared" si="71"/>
        <v>1.0195048044558224</v>
      </c>
      <c r="M2332" s="20"/>
    </row>
    <row r="2333" spans="1:13" x14ac:dyDescent="0.2">
      <c r="A2333" s="48" t="s">
        <v>151</v>
      </c>
      <c r="B2333" s="12" t="s">
        <v>50</v>
      </c>
      <c r="C2333" s="32" t="s">
        <v>98</v>
      </c>
      <c r="D2333" s="44">
        <v>33.155161431382417</v>
      </c>
      <c r="E2333" s="15" t="s">
        <v>148</v>
      </c>
      <c r="F2333" s="16" t="s">
        <v>16</v>
      </c>
      <c r="G2333" s="22">
        <v>1</v>
      </c>
      <c r="H2333" s="23">
        <v>1</v>
      </c>
      <c r="I2333" s="23">
        <v>1</v>
      </c>
      <c r="J2333" s="23">
        <v>2</v>
      </c>
      <c r="K2333" s="23">
        <v>3</v>
      </c>
      <c r="L2333" s="25">
        <f t="shared" si="71"/>
        <v>1.0195048044558224</v>
      </c>
      <c r="M2333" s="20"/>
    </row>
    <row r="2334" spans="1:13" x14ac:dyDescent="0.2">
      <c r="A2334" s="48" t="s">
        <v>151</v>
      </c>
      <c r="B2334" s="12" t="s">
        <v>52</v>
      </c>
      <c r="C2334" s="32" t="s">
        <v>98</v>
      </c>
      <c r="D2334" s="44">
        <v>8.8141673765521844</v>
      </c>
      <c r="E2334" s="15" t="s">
        <v>148</v>
      </c>
      <c r="F2334" s="16" t="s">
        <v>16</v>
      </c>
      <c r="G2334" s="22">
        <v>1</v>
      </c>
      <c r="H2334" s="23">
        <v>1</v>
      </c>
      <c r="I2334" s="23">
        <v>1</v>
      </c>
      <c r="J2334" s="23">
        <v>2</v>
      </c>
      <c r="K2334" s="23">
        <v>3</v>
      </c>
      <c r="L2334" s="25">
        <f t="shared" si="71"/>
        <v>1.0195048044558224</v>
      </c>
      <c r="M2334" s="20"/>
    </row>
    <row r="2335" spans="1:13" x14ac:dyDescent="0.2">
      <c r="A2335" s="48" t="s">
        <v>151</v>
      </c>
      <c r="B2335" s="12" t="s">
        <v>54</v>
      </c>
      <c r="C2335" s="32" t="s">
        <v>98</v>
      </c>
      <c r="D2335" s="44">
        <v>3.4120785855895859</v>
      </c>
      <c r="E2335" s="15" t="s">
        <v>148</v>
      </c>
      <c r="F2335" s="16" t="s">
        <v>16</v>
      </c>
      <c r="G2335" s="22">
        <v>1</v>
      </c>
      <c r="H2335" s="23">
        <v>1</v>
      </c>
      <c r="I2335" s="23">
        <v>1</v>
      </c>
      <c r="J2335" s="23">
        <v>2</v>
      </c>
      <c r="K2335" s="23">
        <v>3</v>
      </c>
      <c r="L2335" s="25">
        <f t="shared" si="71"/>
        <v>1.0195048044558224</v>
      </c>
      <c r="M2335" s="20"/>
    </row>
    <row r="2336" spans="1:13" x14ac:dyDescent="0.2">
      <c r="A2336" s="48" t="s">
        <v>151</v>
      </c>
      <c r="B2336" s="12" t="s">
        <v>55</v>
      </c>
      <c r="C2336" s="32" t="s">
        <v>98</v>
      </c>
      <c r="D2336" s="44">
        <v>104.61608654570939</v>
      </c>
      <c r="E2336" s="15" t="s">
        <v>148</v>
      </c>
      <c r="F2336" s="16" t="s">
        <v>16</v>
      </c>
      <c r="G2336" s="22">
        <v>1</v>
      </c>
      <c r="H2336" s="23">
        <v>1</v>
      </c>
      <c r="I2336" s="23">
        <v>1</v>
      </c>
      <c r="J2336" s="23">
        <v>2</v>
      </c>
      <c r="K2336" s="23">
        <v>3</v>
      </c>
      <c r="L2336" s="24">
        <f t="shared" si="71"/>
        <v>1.0195048044558224</v>
      </c>
      <c r="M2336" s="20"/>
    </row>
    <row r="2337" spans="1:13" x14ac:dyDescent="0.2">
      <c r="A2337" s="48" t="s">
        <v>151</v>
      </c>
      <c r="B2337" s="12" t="s">
        <v>57</v>
      </c>
      <c r="C2337" s="32" t="s">
        <v>98</v>
      </c>
      <c r="D2337" s="44">
        <v>17.061906897749171</v>
      </c>
      <c r="E2337" s="15" t="s">
        <v>148</v>
      </c>
      <c r="F2337" s="16" t="s">
        <v>16</v>
      </c>
      <c r="G2337" s="22">
        <v>1</v>
      </c>
      <c r="H2337" s="23">
        <v>1</v>
      </c>
      <c r="I2337" s="23">
        <v>1</v>
      </c>
      <c r="J2337" s="23">
        <v>2</v>
      </c>
      <c r="K2337" s="23">
        <v>3</v>
      </c>
      <c r="L2337" s="25">
        <f t="shared" si="71"/>
        <v>1.0195048044558224</v>
      </c>
      <c r="M2337" s="20"/>
    </row>
    <row r="2338" spans="1:13" x14ac:dyDescent="0.2">
      <c r="A2338" s="48" t="s">
        <v>151</v>
      </c>
      <c r="B2338" s="12" t="s">
        <v>59</v>
      </c>
      <c r="C2338" s="32" t="s">
        <v>98</v>
      </c>
      <c r="D2338" s="44">
        <v>25.673239930472459</v>
      </c>
      <c r="E2338" s="15" t="s">
        <v>148</v>
      </c>
      <c r="F2338" s="16" t="s">
        <v>16</v>
      </c>
      <c r="G2338" s="22">
        <v>1</v>
      </c>
      <c r="H2338" s="23">
        <v>1</v>
      </c>
      <c r="I2338" s="23">
        <v>1</v>
      </c>
      <c r="J2338" s="23">
        <v>2</v>
      </c>
      <c r="K2338" s="23">
        <v>3</v>
      </c>
      <c r="L2338" s="25">
        <f t="shared" si="71"/>
        <v>1.0195048044558224</v>
      </c>
      <c r="M2338" s="20"/>
    </row>
    <row r="2339" spans="1:13" x14ac:dyDescent="0.2">
      <c r="A2339" s="49" t="s">
        <v>151</v>
      </c>
      <c r="B2339" s="34" t="s">
        <v>60</v>
      </c>
      <c r="C2339" s="35" t="s">
        <v>98</v>
      </c>
      <c r="D2339" s="46">
        <v>135.57229412207909</v>
      </c>
      <c r="E2339" s="37" t="s">
        <v>148</v>
      </c>
      <c r="F2339" s="38" t="s">
        <v>16</v>
      </c>
      <c r="G2339" s="39">
        <v>1</v>
      </c>
      <c r="H2339" s="40">
        <v>2</v>
      </c>
      <c r="I2339" s="40">
        <v>1</v>
      </c>
      <c r="J2339" s="40">
        <v>2</v>
      </c>
      <c r="K2339" s="40">
        <v>3</v>
      </c>
      <c r="L2339" s="41">
        <f t="shared" si="71"/>
        <v>1.0248662490928169</v>
      </c>
      <c r="M2339" s="42"/>
    </row>
    <row r="2340" spans="1:13" x14ac:dyDescent="0.2">
      <c r="A2340" s="53" t="s">
        <v>152</v>
      </c>
      <c r="B2340" s="54" t="s">
        <v>13</v>
      </c>
      <c r="C2340" s="55" t="s">
        <v>14</v>
      </c>
      <c r="D2340" s="44">
        <v>8.3514672238338894E-4</v>
      </c>
      <c r="E2340" s="15" t="s">
        <v>133</v>
      </c>
      <c r="F2340" s="57" t="s">
        <v>16</v>
      </c>
      <c r="G2340" s="58">
        <v>1</v>
      </c>
      <c r="H2340" s="58">
        <v>1</v>
      </c>
      <c r="I2340" s="58">
        <v>3</v>
      </c>
      <c r="J2340" s="58">
        <v>2</v>
      </c>
      <c r="K2340" s="59">
        <v>2</v>
      </c>
      <c r="L2340" s="60">
        <f t="shared" si="71"/>
        <v>0.48935255543384243</v>
      </c>
    </row>
    <row r="2341" spans="1:13" x14ac:dyDescent="0.2">
      <c r="A2341" s="53" t="s">
        <v>152</v>
      </c>
      <c r="B2341" s="54" t="s">
        <v>18</v>
      </c>
      <c r="C2341" s="55" t="s">
        <v>14</v>
      </c>
      <c r="D2341" s="44">
        <v>4.761243048312476E-2</v>
      </c>
      <c r="E2341" s="15" t="s">
        <v>133</v>
      </c>
      <c r="F2341" s="57" t="s">
        <v>16</v>
      </c>
      <c r="G2341" s="58">
        <v>1</v>
      </c>
      <c r="H2341" s="58">
        <v>1</v>
      </c>
      <c r="I2341" s="58">
        <v>3</v>
      </c>
      <c r="J2341" s="58">
        <v>2</v>
      </c>
      <c r="K2341" s="59">
        <v>2</v>
      </c>
      <c r="L2341" s="60">
        <f t="shared" si="71"/>
        <v>0.48935255543384243</v>
      </c>
    </row>
    <row r="2342" spans="1:13" x14ac:dyDescent="0.2">
      <c r="A2342" s="53" t="s">
        <v>152</v>
      </c>
      <c r="B2342" s="54" t="s">
        <v>20</v>
      </c>
      <c r="C2342" s="55" t="s">
        <v>14</v>
      </c>
      <c r="D2342" s="44">
        <v>1.502263594516685E-2</v>
      </c>
      <c r="E2342" s="15" t="s">
        <v>133</v>
      </c>
      <c r="F2342" s="57" t="s">
        <v>16</v>
      </c>
      <c r="G2342" s="58">
        <v>1</v>
      </c>
      <c r="H2342" s="58">
        <v>1</v>
      </c>
      <c r="I2342" s="58">
        <v>3</v>
      </c>
      <c r="J2342" s="58">
        <v>2</v>
      </c>
      <c r="K2342" s="59">
        <v>2</v>
      </c>
      <c r="L2342" s="60">
        <f t="shared" ref="L2342:L2372" si="72">IF( OR( ISBLANK(G2342),ISBLANK(H2342), ISBLANK(I2342), ISBLANK(J2342), ISBLANK(K2342) ), "", 1.5*SQRT( EXP(2.21*(G2342-1)) + EXP(2.21*(H2342-1)) + EXP(2.21*(I2342-1)) + EXP(2.21*(J2342-1)) + EXP(2.21*K2342) )/100*2.45 )</f>
        <v>0.48935255543384243</v>
      </c>
    </row>
    <row r="2343" spans="1:13" x14ac:dyDescent="0.2">
      <c r="A2343" s="53" t="s">
        <v>152</v>
      </c>
      <c r="B2343" s="54" t="s">
        <v>22</v>
      </c>
      <c r="C2343" s="55" t="s">
        <v>14</v>
      </c>
      <c r="D2343" s="44">
        <v>0.17102973545503011</v>
      </c>
      <c r="E2343" s="15" t="s">
        <v>133</v>
      </c>
      <c r="F2343" s="57" t="s">
        <v>16</v>
      </c>
      <c r="G2343" s="58">
        <v>1</v>
      </c>
      <c r="H2343" s="58">
        <v>1</v>
      </c>
      <c r="I2343" s="58">
        <v>3</v>
      </c>
      <c r="J2343" s="58">
        <v>2</v>
      </c>
      <c r="K2343" s="59">
        <v>2</v>
      </c>
      <c r="L2343" s="60">
        <f t="shared" si="72"/>
        <v>0.48935255543384243</v>
      </c>
    </row>
    <row r="2344" spans="1:13" x14ac:dyDescent="0.2">
      <c r="A2344" s="53" t="s">
        <v>152</v>
      </c>
      <c r="B2344" s="54" t="s">
        <v>23</v>
      </c>
      <c r="C2344" s="55" t="s">
        <v>14</v>
      </c>
      <c r="D2344" s="44">
        <v>3.2061211088293519E-3</v>
      </c>
      <c r="E2344" s="15" t="s">
        <v>133</v>
      </c>
      <c r="F2344" s="57" t="s">
        <v>16</v>
      </c>
      <c r="G2344" s="58">
        <v>1</v>
      </c>
      <c r="H2344" s="58">
        <v>1</v>
      </c>
      <c r="I2344" s="58">
        <v>3</v>
      </c>
      <c r="J2344" s="58">
        <v>2</v>
      </c>
      <c r="K2344" s="59">
        <v>2</v>
      </c>
      <c r="L2344" s="60">
        <f t="shared" si="72"/>
        <v>0.48935255543384243</v>
      </c>
    </row>
    <row r="2345" spans="1:13" x14ac:dyDescent="0.2">
      <c r="A2345" s="53" t="s">
        <v>152</v>
      </c>
      <c r="B2345" s="54" t="s">
        <v>24</v>
      </c>
      <c r="C2345" s="55" t="s">
        <v>14</v>
      </c>
      <c r="D2345" s="44">
        <v>8.897891793621885E-3</v>
      </c>
      <c r="E2345" s="15" t="s">
        <v>133</v>
      </c>
      <c r="F2345" s="57" t="s">
        <v>16</v>
      </c>
      <c r="G2345" s="58">
        <v>1</v>
      </c>
      <c r="H2345" s="58">
        <v>1</v>
      </c>
      <c r="I2345" s="58">
        <v>3</v>
      </c>
      <c r="J2345" s="58">
        <v>2</v>
      </c>
      <c r="K2345" s="59">
        <v>2</v>
      </c>
      <c r="L2345" s="60">
        <f t="shared" si="72"/>
        <v>0.48935255543384243</v>
      </c>
    </row>
    <row r="2346" spans="1:13" x14ac:dyDescent="0.2">
      <c r="A2346" s="53" t="s">
        <v>152</v>
      </c>
      <c r="B2346" s="54" t="s">
        <v>25</v>
      </c>
      <c r="C2346" s="55" t="s">
        <v>14</v>
      </c>
      <c r="D2346" s="44">
        <v>1.7485968014574449</v>
      </c>
      <c r="E2346" s="15" t="s">
        <v>133</v>
      </c>
      <c r="F2346" s="57" t="s">
        <v>16</v>
      </c>
      <c r="G2346" s="58">
        <v>1</v>
      </c>
      <c r="H2346" s="58">
        <v>1</v>
      </c>
      <c r="I2346" s="58">
        <v>3</v>
      </c>
      <c r="J2346" s="58">
        <v>2</v>
      </c>
      <c r="K2346" s="59">
        <v>2</v>
      </c>
      <c r="L2346" s="60">
        <f t="shared" si="72"/>
        <v>0.48935255543384243</v>
      </c>
    </row>
    <row r="2347" spans="1:13" x14ac:dyDescent="0.2">
      <c r="A2347" s="53" t="s">
        <v>152</v>
      </c>
      <c r="B2347" s="54" t="s">
        <v>26</v>
      </c>
      <c r="C2347" s="55" t="s">
        <v>14</v>
      </c>
      <c r="D2347" s="44">
        <v>0.17691385236065499</v>
      </c>
      <c r="E2347" s="15" t="s">
        <v>133</v>
      </c>
      <c r="F2347" s="57" t="s">
        <v>16</v>
      </c>
      <c r="G2347" s="58">
        <v>1</v>
      </c>
      <c r="H2347" s="58">
        <v>1</v>
      </c>
      <c r="I2347" s="58">
        <v>3</v>
      </c>
      <c r="J2347" s="58">
        <v>2</v>
      </c>
      <c r="K2347" s="59">
        <v>2</v>
      </c>
      <c r="L2347" s="60">
        <f t="shared" si="72"/>
        <v>0.48935255543384243</v>
      </c>
    </row>
    <row r="2348" spans="1:13" x14ac:dyDescent="0.2">
      <c r="A2348" s="53" t="s">
        <v>152</v>
      </c>
      <c r="B2348" s="54" t="s">
        <v>27</v>
      </c>
      <c r="C2348" s="55" t="s">
        <v>14</v>
      </c>
      <c r="D2348" s="44">
        <v>0.35450546685079348</v>
      </c>
      <c r="E2348" s="15" t="s">
        <v>133</v>
      </c>
      <c r="F2348" s="57" t="s">
        <v>16</v>
      </c>
      <c r="G2348" s="58">
        <v>1</v>
      </c>
      <c r="H2348" s="58">
        <v>1</v>
      </c>
      <c r="I2348" s="58">
        <v>3</v>
      </c>
      <c r="J2348" s="58">
        <v>2</v>
      </c>
      <c r="K2348" s="59">
        <v>2</v>
      </c>
      <c r="L2348" s="60">
        <f t="shared" si="72"/>
        <v>0.48935255543384243</v>
      </c>
    </row>
    <row r="2349" spans="1:13" x14ac:dyDescent="0.2">
      <c r="A2349" s="53" t="s">
        <v>152</v>
      </c>
      <c r="B2349" s="54" t="s">
        <v>28</v>
      </c>
      <c r="C2349" s="55" t="s">
        <v>14</v>
      </c>
      <c r="D2349" s="44">
        <v>1.164284194740693</v>
      </c>
      <c r="E2349" s="15" t="s">
        <v>133</v>
      </c>
      <c r="F2349" s="57" t="s">
        <v>16</v>
      </c>
      <c r="G2349" s="58">
        <v>1</v>
      </c>
      <c r="H2349" s="58">
        <v>1</v>
      </c>
      <c r="I2349" s="58">
        <v>3</v>
      </c>
      <c r="J2349" s="58">
        <v>2</v>
      </c>
      <c r="K2349" s="59">
        <v>2</v>
      </c>
      <c r="L2349" s="60">
        <f t="shared" si="72"/>
        <v>0.48935255543384243</v>
      </c>
    </row>
    <row r="2350" spans="1:13" x14ac:dyDescent="0.2">
      <c r="A2350" s="53" t="s">
        <v>152</v>
      </c>
      <c r="B2350" s="54" t="s">
        <v>30</v>
      </c>
      <c r="C2350" s="55" t="s">
        <v>14</v>
      </c>
      <c r="D2350" s="44">
        <v>0.50608593797040147</v>
      </c>
      <c r="E2350" s="15" t="s">
        <v>133</v>
      </c>
      <c r="F2350" s="57" t="s">
        <v>16</v>
      </c>
      <c r="G2350" s="58">
        <v>1</v>
      </c>
      <c r="H2350" s="58">
        <v>1</v>
      </c>
      <c r="I2350" s="58">
        <v>3</v>
      </c>
      <c r="J2350" s="58">
        <v>2</v>
      </c>
      <c r="K2350" s="59">
        <v>2</v>
      </c>
      <c r="L2350" s="60">
        <f t="shared" si="72"/>
        <v>0.48935255543384243</v>
      </c>
    </row>
    <row r="2351" spans="1:13" x14ac:dyDescent="0.2">
      <c r="A2351" s="53" t="s">
        <v>152</v>
      </c>
      <c r="B2351" s="54" t="s">
        <v>32</v>
      </c>
      <c r="C2351" s="55" t="s">
        <v>14</v>
      </c>
      <c r="D2351" s="44">
        <v>0.17055127989777669</v>
      </c>
      <c r="E2351" s="15" t="s">
        <v>133</v>
      </c>
      <c r="F2351" s="57" t="s">
        <v>16</v>
      </c>
      <c r="G2351" s="58">
        <v>1</v>
      </c>
      <c r="H2351" s="58">
        <v>1</v>
      </c>
      <c r="I2351" s="58">
        <v>3</v>
      </c>
      <c r="J2351" s="58">
        <v>2</v>
      </c>
      <c r="K2351" s="59">
        <v>2</v>
      </c>
      <c r="L2351" s="60">
        <f t="shared" si="72"/>
        <v>0.48935255543384243</v>
      </c>
    </row>
    <row r="2352" spans="1:13" x14ac:dyDescent="0.2">
      <c r="A2352" s="53" t="s">
        <v>152</v>
      </c>
      <c r="B2352" s="54" t="s">
        <v>34</v>
      </c>
      <c r="C2352" s="55" t="s">
        <v>14</v>
      </c>
      <c r="D2352" s="44">
        <v>1.3083456275528021E-2</v>
      </c>
      <c r="E2352" s="15" t="s">
        <v>133</v>
      </c>
      <c r="F2352" s="57" t="s">
        <v>16</v>
      </c>
      <c r="G2352" s="58">
        <v>1</v>
      </c>
      <c r="H2352" s="58">
        <v>1</v>
      </c>
      <c r="I2352" s="58">
        <v>3</v>
      </c>
      <c r="J2352" s="58">
        <v>2</v>
      </c>
      <c r="K2352" s="59">
        <v>2</v>
      </c>
      <c r="L2352" s="60">
        <f t="shared" si="72"/>
        <v>0.48935255543384243</v>
      </c>
    </row>
    <row r="2353" spans="1:12" x14ac:dyDescent="0.2">
      <c r="A2353" s="53" t="s">
        <v>152</v>
      </c>
      <c r="B2353" s="54" t="s">
        <v>36</v>
      </c>
      <c r="C2353" s="55" t="s">
        <v>14</v>
      </c>
      <c r="D2353" s="44">
        <v>0.49751375817077609</v>
      </c>
      <c r="E2353" s="15" t="s">
        <v>133</v>
      </c>
      <c r="F2353" s="57" t="s">
        <v>16</v>
      </c>
      <c r="G2353" s="58">
        <v>1</v>
      </c>
      <c r="H2353" s="58">
        <v>1</v>
      </c>
      <c r="I2353" s="58">
        <v>3</v>
      </c>
      <c r="J2353" s="58">
        <v>2</v>
      </c>
      <c r="K2353" s="59">
        <v>2</v>
      </c>
      <c r="L2353" s="60">
        <f t="shared" si="72"/>
        <v>0.48935255543384243</v>
      </c>
    </row>
    <row r="2354" spans="1:12" x14ac:dyDescent="0.2">
      <c r="A2354" s="53" t="s">
        <v>152</v>
      </c>
      <c r="B2354" s="54" t="s">
        <v>37</v>
      </c>
      <c r="C2354" s="55" t="s">
        <v>14</v>
      </c>
      <c r="D2354" s="44">
        <v>0.33784712446583393</v>
      </c>
      <c r="E2354" s="15" t="s">
        <v>133</v>
      </c>
      <c r="F2354" s="57" t="s">
        <v>16</v>
      </c>
      <c r="G2354" s="58">
        <v>1</v>
      </c>
      <c r="H2354" s="58">
        <v>1</v>
      </c>
      <c r="I2354" s="58">
        <v>3</v>
      </c>
      <c r="J2354" s="58">
        <v>2</v>
      </c>
      <c r="K2354" s="59">
        <v>2</v>
      </c>
      <c r="L2354" s="60">
        <f t="shared" si="72"/>
        <v>0.48935255543384243</v>
      </c>
    </row>
    <row r="2355" spans="1:12" x14ac:dyDescent="0.2">
      <c r="A2355" s="53" t="s">
        <v>152</v>
      </c>
      <c r="B2355" s="54" t="s">
        <v>39</v>
      </c>
      <c r="C2355" s="55" t="s">
        <v>14</v>
      </c>
      <c r="D2355" s="44">
        <v>0.15507242954564021</v>
      </c>
      <c r="E2355" s="15" t="s">
        <v>133</v>
      </c>
      <c r="F2355" s="57" t="s">
        <v>16</v>
      </c>
      <c r="G2355" s="58">
        <v>1</v>
      </c>
      <c r="H2355" s="58">
        <v>1</v>
      </c>
      <c r="I2355" s="58">
        <v>3</v>
      </c>
      <c r="J2355" s="58">
        <v>2</v>
      </c>
      <c r="K2355" s="59">
        <v>2</v>
      </c>
      <c r="L2355" s="60">
        <f t="shared" si="72"/>
        <v>0.48935255543384243</v>
      </c>
    </row>
    <row r="2356" spans="1:12" x14ac:dyDescent="0.2">
      <c r="A2356" s="53" t="s">
        <v>152</v>
      </c>
      <c r="B2356" s="54" t="s">
        <v>40</v>
      </c>
      <c r="C2356" s="55" t="s">
        <v>14</v>
      </c>
      <c r="D2356" s="44">
        <v>0.21711751969563831</v>
      </c>
      <c r="E2356" s="15" t="s">
        <v>133</v>
      </c>
      <c r="F2356" s="57" t="s">
        <v>16</v>
      </c>
      <c r="G2356" s="58">
        <v>1</v>
      </c>
      <c r="H2356" s="58">
        <v>1</v>
      </c>
      <c r="I2356" s="58">
        <v>3</v>
      </c>
      <c r="J2356" s="58">
        <v>2</v>
      </c>
      <c r="K2356" s="59">
        <v>2</v>
      </c>
      <c r="L2356" s="60">
        <f t="shared" si="72"/>
        <v>0.48935255543384243</v>
      </c>
    </row>
    <row r="2357" spans="1:12" x14ac:dyDescent="0.2">
      <c r="A2357" s="53" t="s">
        <v>152</v>
      </c>
      <c r="B2357" s="54" t="s">
        <v>41</v>
      </c>
      <c r="C2357" s="55" t="s">
        <v>14</v>
      </c>
      <c r="D2357" s="61">
        <v>0</v>
      </c>
      <c r="E2357" s="15"/>
      <c r="F2357" s="57" t="s">
        <v>16</v>
      </c>
      <c r="G2357" s="61"/>
      <c r="H2357" s="61"/>
      <c r="I2357" s="61"/>
      <c r="J2357" s="61"/>
      <c r="K2357" s="62"/>
      <c r="L2357" s="63" t="str">
        <f t="shared" si="72"/>
        <v/>
      </c>
    </row>
    <row r="2358" spans="1:12" x14ac:dyDescent="0.2">
      <c r="A2358" s="53" t="s">
        <v>152</v>
      </c>
      <c r="B2358" s="54" t="s">
        <v>42</v>
      </c>
      <c r="C2358" s="55" t="s">
        <v>14</v>
      </c>
      <c r="D2358" s="44">
        <v>5.0186257236170644E-3</v>
      </c>
      <c r="E2358" s="15" t="s">
        <v>133</v>
      </c>
      <c r="F2358" s="57" t="s">
        <v>16</v>
      </c>
      <c r="G2358" s="58">
        <v>1</v>
      </c>
      <c r="H2358" s="58">
        <v>1</v>
      </c>
      <c r="I2358" s="58">
        <v>3</v>
      </c>
      <c r="J2358" s="58">
        <v>2</v>
      </c>
      <c r="K2358" s="59">
        <v>2</v>
      </c>
      <c r="L2358" s="60">
        <f t="shared" si="72"/>
        <v>0.48935255543384243</v>
      </c>
    </row>
    <row r="2359" spans="1:12" x14ac:dyDescent="0.2">
      <c r="A2359" s="53" t="s">
        <v>152</v>
      </c>
      <c r="B2359" s="54" t="s">
        <v>43</v>
      </c>
      <c r="C2359" s="55" t="s">
        <v>14</v>
      </c>
      <c r="D2359" s="44">
        <v>0.73862597617868464</v>
      </c>
      <c r="E2359" s="15" t="s">
        <v>133</v>
      </c>
      <c r="F2359" s="57" t="s">
        <v>16</v>
      </c>
      <c r="G2359" s="58">
        <v>1</v>
      </c>
      <c r="H2359" s="58">
        <v>1</v>
      </c>
      <c r="I2359" s="58">
        <v>3</v>
      </c>
      <c r="J2359" s="58">
        <v>2</v>
      </c>
      <c r="K2359" s="59">
        <v>2</v>
      </c>
      <c r="L2359" s="60">
        <f t="shared" si="72"/>
        <v>0.48935255543384243</v>
      </c>
    </row>
    <row r="2360" spans="1:12" x14ac:dyDescent="0.2">
      <c r="A2360" s="53" t="s">
        <v>152</v>
      </c>
      <c r="B2360" s="54" t="s">
        <v>45</v>
      </c>
      <c r="C2360" s="55" t="s">
        <v>14</v>
      </c>
      <c r="D2360" s="44">
        <v>6.2644779017643604</v>
      </c>
      <c r="E2360" s="15" t="s">
        <v>133</v>
      </c>
      <c r="F2360" s="57" t="s">
        <v>16</v>
      </c>
      <c r="G2360" s="58">
        <v>1</v>
      </c>
      <c r="H2360" s="58">
        <v>1</v>
      </c>
      <c r="I2360" s="58">
        <v>3</v>
      </c>
      <c r="J2360" s="58">
        <v>2</v>
      </c>
      <c r="K2360" s="59">
        <v>2</v>
      </c>
      <c r="L2360" s="60">
        <f t="shared" si="72"/>
        <v>0.48935255543384243</v>
      </c>
    </row>
    <row r="2361" spans="1:12" x14ac:dyDescent="0.2">
      <c r="A2361" s="53" t="s">
        <v>152</v>
      </c>
      <c r="B2361" s="54" t="s">
        <v>46</v>
      </c>
      <c r="C2361" s="55" t="s">
        <v>14</v>
      </c>
      <c r="D2361" s="44">
        <v>0.47815799686239202</v>
      </c>
      <c r="E2361" s="15" t="s">
        <v>133</v>
      </c>
      <c r="F2361" s="57" t="s">
        <v>16</v>
      </c>
      <c r="G2361" s="58">
        <v>1</v>
      </c>
      <c r="H2361" s="58">
        <v>1</v>
      </c>
      <c r="I2361" s="58">
        <v>3</v>
      </c>
      <c r="J2361" s="58">
        <v>2</v>
      </c>
      <c r="K2361" s="59">
        <v>2</v>
      </c>
      <c r="L2361" s="60">
        <f t="shared" si="72"/>
        <v>0.48935255543384243</v>
      </c>
    </row>
    <row r="2362" spans="1:12" x14ac:dyDescent="0.2">
      <c r="A2362" s="53" t="s">
        <v>152</v>
      </c>
      <c r="B2362" s="54" t="s">
        <v>48</v>
      </c>
      <c r="C2362" s="55" t="s">
        <v>14</v>
      </c>
      <c r="D2362" s="44">
        <v>0.38165718203075061</v>
      </c>
      <c r="E2362" s="15" t="s">
        <v>133</v>
      </c>
      <c r="F2362" s="57" t="s">
        <v>16</v>
      </c>
      <c r="G2362" s="58">
        <v>1</v>
      </c>
      <c r="H2362" s="58">
        <v>1</v>
      </c>
      <c r="I2362" s="58">
        <v>3</v>
      </c>
      <c r="J2362" s="58">
        <v>2</v>
      </c>
      <c r="K2362" s="59">
        <v>2</v>
      </c>
      <c r="L2362" s="60">
        <f t="shared" si="72"/>
        <v>0.48935255543384243</v>
      </c>
    </row>
    <row r="2363" spans="1:12" x14ac:dyDescent="0.2">
      <c r="A2363" s="53" t="s">
        <v>152</v>
      </c>
      <c r="B2363" s="54" t="s">
        <v>50</v>
      </c>
      <c r="C2363" s="55" t="s">
        <v>14</v>
      </c>
      <c r="D2363" s="44">
        <v>1.9024355999874499E-2</v>
      </c>
      <c r="E2363" s="15" t="s">
        <v>133</v>
      </c>
      <c r="F2363" s="57" t="s">
        <v>16</v>
      </c>
      <c r="G2363" s="58">
        <v>1</v>
      </c>
      <c r="H2363" s="58">
        <v>1</v>
      </c>
      <c r="I2363" s="58">
        <v>3</v>
      </c>
      <c r="J2363" s="58">
        <v>2</v>
      </c>
      <c r="K2363" s="59">
        <v>2</v>
      </c>
      <c r="L2363" s="60">
        <f t="shared" si="72"/>
        <v>0.48935255543384243</v>
      </c>
    </row>
    <row r="2364" spans="1:12" x14ac:dyDescent="0.2">
      <c r="A2364" s="53" t="s">
        <v>152</v>
      </c>
      <c r="B2364" s="54" t="s">
        <v>52</v>
      </c>
      <c r="C2364" s="55" t="s">
        <v>14</v>
      </c>
      <c r="D2364" s="44">
        <v>4.1423277430216099E-3</v>
      </c>
      <c r="E2364" s="15" t="s">
        <v>133</v>
      </c>
      <c r="F2364" s="57" t="s">
        <v>16</v>
      </c>
      <c r="G2364" s="58">
        <v>1</v>
      </c>
      <c r="H2364" s="58">
        <v>1</v>
      </c>
      <c r="I2364" s="58">
        <v>3</v>
      </c>
      <c r="J2364" s="58">
        <v>2</v>
      </c>
      <c r="K2364" s="59">
        <v>2</v>
      </c>
      <c r="L2364" s="60">
        <f t="shared" si="72"/>
        <v>0.48935255543384243</v>
      </c>
    </row>
    <row r="2365" spans="1:12" x14ac:dyDescent="0.2">
      <c r="A2365" s="53" t="s">
        <v>152</v>
      </c>
      <c r="B2365" s="54" t="s">
        <v>54</v>
      </c>
      <c r="C2365" s="55" t="s">
        <v>14</v>
      </c>
      <c r="D2365" s="44">
        <v>7.4454523367225374E-4</v>
      </c>
      <c r="E2365" s="15" t="s">
        <v>133</v>
      </c>
      <c r="F2365" s="57" t="s">
        <v>16</v>
      </c>
      <c r="G2365" s="58">
        <v>1</v>
      </c>
      <c r="H2365" s="58">
        <v>1</v>
      </c>
      <c r="I2365" s="58">
        <v>3</v>
      </c>
      <c r="J2365" s="58">
        <v>2</v>
      </c>
      <c r="K2365" s="59">
        <v>2</v>
      </c>
      <c r="L2365" s="60">
        <f t="shared" si="72"/>
        <v>0.48935255543384243</v>
      </c>
    </row>
    <row r="2366" spans="1:12" x14ac:dyDescent="0.2">
      <c r="A2366" s="53" t="s">
        <v>152</v>
      </c>
      <c r="B2366" s="54" t="s">
        <v>55</v>
      </c>
      <c r="C2366" s="55" t="s">
        <v>14</v>
      </c>
      <c r="D2366" s="44">
        <v>1.9048036489742339</v>
      </c>
      <c r="E2366" s="15" t="s">
        <v>133</v>
      </c>
      <c r="F2366" s="57" t="s">
        <v>16</v>
      </c>
      <c r="G2366" s="58">
        <v>1</v>
      </c>
      <c r="H2366" s="58">
        <v>1</v>
      </c>
      <c r="I2366" s="58">
        <v>3</v>
      </c>
      <c r="J2366" s="58">
        <v>2</v>
      </c>
      <c r="K2366" s="59">
        <v>2</v>
      </c>
      <c r="L2366" s="60">
        <f t="shared" si="72"/>
        <v>0.48935255543384243</v>
      </c>
    </row>
    <row r="2367" spans="1:12" x14ac:dyDescent="0.2">
      <c r="A2367" s="53" t="s">
        <v>152</v>
      </c>
      <c r="B2367" s="54" t="s">
        <v>57</v>
      </c>
      <c r="C2367" s="55" t="s">
        <v>14</v>
      </c>
      <c r="D2367" s="44">
        <v>0.42865184493879432</v>
      </c>
      <c r="E2367" s="15" t="s">
        <v>133</v>
      </c>
      <c r="F2367" s="57" t="s">
        <v>16</v>
      </c>
      <c r="G2367" s="58">
        <v>1</v>
      </c>
      <c r="H2367" s="58">
        <v>1</v>
      </c>
      <c r="I2367" s="58">
        <v>3</v>
      </c>
      <c r="J2367" s="58">
        <v>2</v>
      </c>
      <c r="K2367" s="59">
        <v>2</v>
      </c>
      <c r="L2367" s="60">
        <f t="shared" si="72"/>
        <v>0.48935255543384243</v>
      </c>
    </row>
    <row r="2368" spans="1:12" x14ac:dyDescent="0.2">
      <c r="A2368" s="53" t="s">
        <v>152</v>
      </c>
      <c r="B2368" s="54" t="s">
        <v>59</v>
      </c>
      <c r="C2368" s="55" t="s">
        <v>14</v>
      </c>
      <c r="D2368" s="44">
        <v>3.5456034792112159E-3</v>
      </c>
      <c r="E2368" s="15" t="s">
        <v>133</v>
      </c>
      <c r="F2368" s="57" t="s">
        <v>16</v>
      </c>
      <c r="G2368" s="58">
        <v>1</v>
      </c>
      <c r="H2368" s="58">
        <v>1</v>
      </c>
      <c r="I2368" s="58">
        <v>3</v>
      </c>
      <c r="J2368" s="58">
        <v>2</v>
      </c>
      <c r="K2368" s="59">
        <v>2</v>
      </c>
      <c r="L2368" s="60">
        <f t="shared" si="72"/>
        <v>0.48935255543384243</v>
      </c>
    </row>
    <row r="2369" spans="1:13" x14ac:dyDescent="0.2">
      <c r="A2369" s="53" t="s">
        <v>152</v>
      </c>
      <c r="B2369" s="54" t="s">
        <v>60</v>
      </c>
      <c r="C2369" s="55" t="s">
        <v>14</v>
      </c>
      <c r="D2369" s="44">
        <v>1.49723060904171</v>
      </c>
      <c r="E2369" s="15" t="s">
        <v>133</v>
      </c>
      <c r="F2369" s="57" t="s">
        <v>16</v>
      </c>
      <c r="G2369" s="58">
        <v>1</v>
      </c>
      <c r="H2369" s="58">
        <v>1</v>
      </c>
      <c r="I2369" s="58">
        <v>3</v>
      </c>
      <c r="J2369" s="58">
        <v>2</v>
      </c>
      <c r="K2369" s="59">
        <v>2</v>
      </c>
      <c r="L2369" s="60">
        <f t="shared" si="72"/>
        <v>0.48935255543384243</v>
      </c>
    </row>
    <row r="2370" spans="1:13" x14ac:dyDescent="0.2">
      <c r="A2370" s="53" t="s">
        <v>152</v>
      </c>
      <c r="B2370" s="54" t="s">
        <v>13</v>
      </c>
      <c r="C2370" s="64" t="s">
        <v>62</v>
      </c>
      <c r="D2370" s="44">
        <v>8.3514672238338894E-4</v>
      </c>
      <c r="E2370" s="15" t="s">
        <v>133</v>
      </c>
      <c r="F2370" s="57" t="s">
        <v>16</v>
      </c>
      <c r="G2370" s="58">
        <v>1</v>
      </c>
      <c r="H2370" s="58">
        <v>1</v>
      </c>
      <c r="I2370" s="58">
        <v>3</v>
      </c>
      <c r="J2370" s="58">
        <v>2</v>
      </c>
      <c r="K2370" s="59">
        <v>2</v>
      </c>
      <c r="L2370" s="60">
        <f t="shared" si="72"/>
        <v>0.48935255543384243</v>
      </c>
      <c r="M2370" t="s">
        <v>146</v>
      </c>
    </row>
    <row r="2371" spans="1:13" x14ac:dyDescent="0.2">
      <c r="A2371" s="53" t="s">
        <v>152</v>
      </c>
      <c r="B2371" s="54" t="s">
        <v>18</v>
      </c>
      <c r="C2371" s="64" t="s">
        <v>62</v>
      </c>
      <c r="D2371" s="44">
        <v>4.761243048312476E-2</v>
      </c>
      <c r="E2371" s="15" t="s">
        <v>133</v>
      </c>
      <c r="F2371" s="57" t="s">
        <v>16</v>
      </c>
      <c r="G2371" s="58">
        <v>1</v>
      </c>
      <c r="H2371" s="58">
        <v>1</v>
      </c>
      <c r="I2371" s="58">
        <v>3</v>
      </c>
      <c r="J2371" s="58">
        <v>2</v>
      </c>
      <c r="K2371" s="59">
        <v>2</v>
      </c>
      <c r="L2371" s="60">
        <f t="shared" si="72"/>
        <v>0.48935255543384243</v>
      </c>
    </row>
    <row r="2372" spans="1:13" x14ac:dyDescent="0.2">
      <c r="A2372" s="53" t="s">
        <v>152</v>
      </c>
      <c r="B2372" s="54" t="s">
        <v>20</v>
      </c>
      <c r="C2372" s="64" t="s">
        <v>62</v>
      </c>
      <c r="D2372" s="44">
        <v>1.502263594516685E-2</v>
      </c>
      <c r="E2372" s="15" t="s">
        <v>133</v>
      </c>
      <c r="F2372" s="57" t="s">
        <v>16</v>
      </c>
      <c r="G2372" s="58">
        <v>1</v>
      </c>
      <c r="H2372" s="58">
        <v>1</v>
      </c>
      <c r="I2372" s="58">
        <v>3</v>
      </c>
      <c r="J2372" s="58">
        <v>2</v>
      </c>
      <c r="K2372" s="59">
        <v>2</v>
      </c>
      <c r="L2372" s="60">
        <f t="shared" si="72"/>
        <v>0.48935255543384243</v>
      </c>
    </row>
    <row r="2373" spans="1:13" x14ac:dyDescent="0.2">
      <c r="A2373" s="53" t="s">
        <v>152</v>
      </c>
      <c r="B2373" s="54" t="s">
        <v>22</v>
      </c>
      <c r="C2373" s="64" t="s">
        <v>62</v>
      </c>
      <c r="D2373" s="44">
        <v>0.17102973545503011</v>
      </c>
      <c r="E2373" s="15" t="s">
        <v>133</v>
      </c>
      <c r="F2373" s="57" t="s">
        <v>16</v>
      </c>
      <c r="G2373" s="58">
        <v>1</v>
      </c>
      <c r="H2373" s="58">
        <v>1</v>
      </c>
      <c r="I2373" s="58">
        <v>3</v>
      </c>
      <c r="J2373" s="58">
        <v>2</v>
      </c>
      <c r="K2373" s="59">
        <v>2</v>
      </c>
      <c r="L2373" s="60">
        <f>IF( OR( ISBLANK(G2373),ISBLANK(H2373), ISBLANK(I2373), ISBLANK(J2373), ISBLANK(K2373) ), "", 1.5*SQRT(   EXP(2.21*(G2373-1)) + EXP(2.21*(H2373-1)) + EXP(2.21*(I2373-1)) + EXP(2.21*(J2373-1)) + EXP(2.21*K2373)   )/100*2.45 )</f>
        <v>0.48935255543384243</v>
      </c>
    </row>
    <row r="2374" spans="1:13" x14ac:dyDescent="0.2">
      <c r="A2374" s="53" t="s">
        <v>152</v>
      </c>
      <c r="B2374" s="54" t="s">
        <v>23</v>
      </c>
      <c r="C2374" s="64" t="s">
        <v>62</v>
      </c>
      <c r="D2374" s="44">
        <v>3.2061211088293519E-3</v>
      </c>
      <c r="E2374" s="15" t="s">
        <v>133</v>
      </c>
      <c r="F2374" s="57" t="s">
        <v>16</v>
      </c>
      <c r="G2374" s="58">
        <v>1</v>
      </c>
      <c r="H2374" s="58">
        <v>1</v>
      </c>
      <c r="I2374" s="58">
        <v>3</v>
      </c>
      <c r="J2374" s="58">
        <v>2</v>
      </c>
      <c r="K2374" s="59">
        <v>2</v>
      </c>
      <c r="L2374" s="60">
        <f t="shared" ref="L2374:L2405" si="73">IF( OR( ISBLANK(G2374),ISBLANK(H2374), ISBLANK(I2374), ISBLANK(J2374), ISBLANK(K2374) ), "", 1.5*SQRT( EXP(2.21*(G2374-1)) + EXP(2.21*(H2374-1)) + EXP(2.21*(I2374-1)) + EXP(2.21*(J2374-1)) + EXP(2.21*K2374) )/100*2.45 )</f>
        <v>0.48935255543384243</v>
      </c>
    </row>
    <row r="2375" spans="1:13" x14ac:dyDescent="0.2">
      <c r="A2375" s="53" t="s">
        <v>152</v>
      </c>
      <c r="B2375" s="54" t="s">
        <v>24</v>
      </c>
      <c r="C2375" s="64" t="s">
        <v>62</v>
      </c>
      <c r="D2375" s="44">
        <v>8.897891793621885E-3</v>
      </c>
      <c r="E2375" s="15" t="s">
        <v>133</v>
      </c>
      <c r="F2375" s="57" t="s">
        <v>16</v>
      </c>
      <c r="G2375" s="58">
        <v>1</v>
      </c>
      <c r="H2375" s="58">
        <v>1</v>
      </c>
      <c r="I2375" s="58">
        <v>3</v>
      </c>
      <c r="J2375" s="58">
        <v>2</v>
      </c>
      <c r="K2375" s="59">
        <v>2</v>
      </c>
      <c r="L2375" s="60">
        <f t="shared" si="73"/>
        <v>0.48935255543384243</v>
      </c>
    </row>
    <row r="2376" spans="1:13" x14ac:dyDescent="0.2">
      <c r="A2376" s="53" t="s">
        <v>152</v>
      </c>
      <c r="B2376" s="54" t="s">
        <v>25</v>
      </c>
      <c r="C2376" s="64" t="s">
        <v>62</v>
      </c>
      <c r="D2376" s="44">
        <v>1.7485968014574449</v>
      </c>
      <c r="E2376" s="15" t="s">
        <v>133</v>
      </c>
      <c r="F2376" s="57" t="s">
        <v>16</v>
      </c>
      <c r="G2376" s="58">
        <v>1</v>
      </c>
      <c r="H2376" s="58">
        <v>1</v>
      </c>
      <c r="I2376" s="58">
        <v>3</v>
      </c>
      <c r="J2376" s="58">
        <v>2</v>
      </c>
      <c r="K2376" s="59">
        <v>2</v>
      </c>
      <c r="L2376" s="60">
        <f t="shared" si="73"/>
        <v>0.48935255543384243</v>
      </c>
    </row>
    <row r="2377" spans="1:13" x14ac:dyDescent="0.2">
      <c r="A2377" s="53" t="s">
        <v>152</v>
      </c>
      <c r="B2377" s="54" t="s">
        <v>26</v>
      </c>
      <c r="C2377" s="64" t="s">
        <v>62</v>
      </c>
      <c r="D2377" s="44">
        <v>0.17691385236065499</v>
      </c>
      <c r="E2377" s="15" t="s">
        <v>133</v>
      </c>
      <c r="F2377" s="57" t="s">
        <v>16</v>
      </c>
      <c r="G2377" s="58">
        <v>1</v>
      </c>
      <c r="H2377" s="58">
        <v>1</v>
      </c>
      <c r="I2377" s="58">
        <v>3</v>
      </c>
      <c r="J2377" s="58">
        <v>2</v>
      </c>
      <c r="K2377" s="59">
        <v>2</v>
      </c>
      <c r="L2377" s="60">
        <f t="shared" si="73"/>
        <v>0.48935255543384243</v>
      </c>
    </row>
    <row r="2378" spans="1:13" x14ac:dyDescent="0.2">
      <c r="A2378" s="53" t="s">
        <v>152</v>
      </c>
      <c r="B2378" s="54" t="s">
        <v>27</v>
      </c>
      <c r="C2378" s="64" t="s">
        <v>62</v>
      </c>
      <c r="D2378" s="44">
        <v>0.35450546685079348</v>
      </c>
      <c r="E2378" s="15" t="s">
        <v>133</v>
      </c>
      <c r="F2378" s="57" t="s">
        <v>16</v>
      </c>
      <c r="G2378" s="58">
        <v>1</v>
      </c>
      <c r="H2378" s="58">
        <v>1</v>
      </c>
      <c r="I2378" s="58">
        <v>3</v>
      </c>
      <c r="J2378" s="58">
        <v>2</v>
      </c>
      <c r="K2378" s="59">
        <v>2</v>
      </c>
      <c r="L2378" s="60">
        <f t="shared" si="73"/>
        <v>0.48935255543384243</v>
      </c>
    </row>
    <row r="2379" spans="1:13" x14ac:dyDescent="0.2">
      <c r="A2379" s="53" t="s">
        <v>152</v>
      </c>
      <c r="B2379" s="54" t="s">
        <v>28</v>
      </c>
      <c r="C2379" s="64" t="s">
        <v>62</v>
      </c>
      <c r="D2379" s="44">
        <v>1.164284194740693</v>
      </c>
      <c r="E2379" s="15" t="s">
        <v>133</v>
      </c>
      <c r="F2379" s="57" t="s">
        <v>16</v>
      </c>
      <c r="G2379" s="58">
        <v>1</v>
      </c>
      <c r="H2379" s="58">
        <v>1</v>
      </c>
      <c r="I2379" s="58">
        <v>3</v>
      </c>
      <c r="J2379" s="58">
        <v>2</v>
      </c>
      <c r="K2379" s="59">
        <v>2</v>
      </c>
      <c r="L2379" s="60">
        <f t="shared" si="73"/>
        <v>0.48935255543384243</v>
      </c>
    </row>
    <row r="2380" spans="1:13" x14ac:dyDescent="0.2">
      <c r="A2380" s="53" t="s">
        <v>152</v>
      </c>
      <c r="B2380" s="54" t="s">
        <v>30</v>
      </c>
      <c r="C2380" s="64" t="s">
        <v>62</v>
      </c>
      <c r="D2380" s="44">
        <v>0.50608593797040147</v>
      </c>
      <c r="E2380" s="15" t="s">
        <v>133</v>
      </c>
      <c r="F2380" s="57" t="s">
        <v>16</v>
      </c>
      <c r="G2380" s="58">
        <v>1</v>
      </c>
      <c r="H2380" s="58">
        <v>1</v>
      </c>
      <c r="I2380" s="58">
        <v>3</v>
      </c>
      <c r="J2380" s="58">
        <v>2</v>
      </c>
      <c r="K2380" s="59">
        <v>2</v>
      </c>
      <c r="L2380" s="60">
        <f t="shared" si="73"/>
        <v>0.48935255543384243</v>
      </c>
    </row>
    <row r="2381" spans="1:13" x14ac:dyDescent="0.2">
      <c r="A2381" s="53" t="s">
        <v>152</v>
      </c>
      <c r="B2381" s="54" t="s">
        <v>32</v>
      </c>
      <c r="C2381" s="64" t="s">
        <v>62</v>
      </c>
      <c r="D2381" s="44">
        <v>0.17055127989777669</v>
      </c>
      <c r="E2381" s="15" t="s">
        <v>133</v>
      </c>
      <c r="F2381" s="57" t="s">
        <v>16</v>
      </c>
      <c r="G2381" s="58">
        <v>1</v>
      </c>
      <c r="H2381" s="58">
        <v>1</v>
      </c>
      <c r="I2381" s="58">
        <v>3</v>
      </c>
      <c r="J2381" s="58">
        <v>2</v>
      </c>
      <c r="K2381" s="59">
        <v>2</v>
      </c>
      <c r="L2381" s="60">
        <f t="shared" si="73"/>
        <v>0.48935255543384243</v>
      </c>
    </row>
    <row r="2382" spans="1:13" x14ac:dyDescent="0.2">
      <c r="A2382" s="53" t="s">
        <v>152</v>
      </c>
      <c r="B2382" s="54" t="s">
        <v>34</v>
      </c>
      <c r="C2382" s="64" t="s">
        <v>62</v>
      </c>
      <c r="D2382" s="44">
        <v>1.3083456275528021E-2</v>
      </c>
      <c r="E2382" s="15" t="s">
        <v>133</v>
      </c>
      <c r="F2382" s="57" t="s">
        <v>16</v>
      </c>
      <c r="G2382" s="58">
        <v>1</v>
      </c>
      <c r="H2382" s="58">
        <v>1</v>
      </c>
      <c r="I2382" s="58">
        <v>3</v>
      </c>
      <c r="J2382" s="58">
        <v>2</v>
      </c>
      <c r="K2382" s="59">
        <v>2</v>
      </c>
      <c r="L2382" s="60">
        <f t="shared" si="73"/>
        <v>0.48935255543384243</v>
      </c>
    </row>
    <row r="2383" spans="1:13" x14ac:dyDescent="0.2">
      <c r="A2383" s="53" t="s">
        <v>152</v>
      </c>
      <c r="B2383" s="54" t="s">
        <v>36</v>
      </c>
      <c r="C2383" s="64" t="s">
        <v>62</v>
      </c>
      <c r="D2383" s="44">
        <v>0.49751375817077609</v>
      </c>
      <c r="E2383" s="15" t="s">
        <v>133</v>
      </c>
      <c r="F2383" s="57" t="s">
        <v>16</v>
      </c>
      <c r="G2383" s="58">
        <v>1</v>
      </c>
      <c r="H2383" s="58">
        <v>1</v>
      </c>
      <c r="I2383" s="58">
        <v>3</v>
      </c>
      <c r="J2383" s="58">
        <v>2</v>
      </c>
      <c r="K2383" s="59">
        <v>2</v>
      </c>
      <c r="L2383" s="60">
        <f t="shared" si="73"/>
        <v>0.48935255543384243</v>
      </c>
    </row>
    <row r="2384" spans="1:13" x14ac:dyDescent="0.2">
      <c r="A2384" s="53" t="s">
        <v>152</v>
      </c>
      <c r="B2384" s="54" t="s">
        <v>37</v>
      </c>
      <c r="C2384" s="64" t="s">
        <v>62</v>
      </c>
      <c r="D2384" s="44">
        <v>0.33784712446583393</v>
      </c>
      <c r="E2384" s="15" t="s">
        <v>133</v>
      </c>
      <c r="F2384" s="57" t="s">
        <v>16</v>
      </c>
      <c r="G2384" s="58">
        <v>1</v>
      </c>
      <c r="H2384" s="58">
        <v>1</v>
      </c>
      <c r="I2384" s="58">
        <v>3</v>
      </c>
      <c r="J2384" s="58">
        <v>2</v>
      </c>
      <c r="K2384" s="59">
        <v>2</v>
      </c>
      <c r="L2384" s="60">
        <f t="shared" si="73"/>
        <v>0.48935255543384243</v>
      </c>
    </row>
    <row r="2385" spans="1:12" x14ac:dyDescent="0.2">
      <c r="A2385" s="53" t="s">
        <v>152</v>
      </c>
      <c r="B2385" s="54" t="s">
        <v>39</v>
      </c>
      <c r="C2385" s="64" t="s">
        <v>62</v>
      </c>
      <c r="D2385" s="44">
        <v>0.15507242954564021</v>
      </c>
      <c r="E2385" s="15" t="s">
        <v>133</v>
      </c>
      <c r="F2385" s="57" t="s">
        <v>16</v>
      </c>
      <c r="G2385" s="58">
        <v>1</v>
      </c>
      <c r="H2385" s="58">
        <v>1</v>
      </c>
      <c r="I2385" s="58">
        <v>3</v>
      </c>
      <c r="J2385" s="58">
        <v>2</v>
      </c>
      <c r="K2385" s="59">
        <v>2</v>
      </c>
      <c r="L2385" s="60">
        <f t="shared" si="73"/>
        <v>0.48935255543384243</v>
      </c>
    </row>
    <row r="2386" spans="1:12" x14ac:dyDescent="0.2">
      <c r="A2386" s="53" t="s">
        <v>152</v>
      </c>
      <c r="B2386" s="54" t="s">
        <v>40</v>
      </c>
      <c r="C2386" s="64" t="s">
        <v>62</v>
      </c>
      <c r="D2386" s="44">
        <v>0.21711751969563831</v>
      </c>
      <c r="E2386" s="15" t="s">
        <v>133</v>
      </c>
      <c r="F2386" s="57" t="s">
        <v>16</v>
      </c>
      <c r="G2386" s="58">
        <v>1</v>
      </c>
      <c r="H2386" s="58">
        <v>1</v>
      </c>
      <c r="I2386" s="58">
        <v>3</v>
      </c>
      <c r="J2386" s="58">
        <v>2</v>
      </c>
      <c r="K2386" s="59">
        <v>2</v>
      </c>
      <c r="L2386" s="60">
        <f t="shared" si="73"/>
        <v>0.48935255543384243</v>
      </c>
    </row>
    <row r="2387" spans="1:12" x14ac:dyDescent="0.2">
      <c r="A2387" s="53" t="s">
        <v>152</v>
      </c>
      <c r="B2387" s="54" t="s">
        <v>41</v>
      </c>
      <c r="C2387" s="64" t="s">
        <v>62</v>
      </c>
      <c r="D2387" s="61">
        <v>0</v>
      </c>
      <c r="E2387" s="15"/>
      <c r="F2387" s="57" t="s">
        <v>16</v>
      </c>
      <c r="G2387" s="61"/>
      <c r="H2387" s="61"/>
      <c r="I2387" s="61"/>
      <c r="J2387" s="61"/>
      <c r="K2387" s="62"/>
      <c r="L2387" s="63" t="str">
        <f t="shared" si="73"/>
        <v/>
      </c>
    </row>
    <row r="2388" spans="1:12" x14ac:dyDescent="0.2">
      <c r="A2388" s="53" t="s">
        <v>152</v>
      </c>
      <c r="B2388" s="54" t="s">
        <v>42</v>
      </c>
      <c r="C2388" s="64" t="s">
        <v>62</v>
      </c>
      <c r="D2388" s="44">
        <v>5.0186257236170644E-3</v>
      </c>
      <c r="E2388" s="15" t="s">
        <v>133</v>
      </c>
      <c r="F2388" s="57" t="s">
        <v>16</v>
      </c>
      <c r="G2388" s="58">
        <v>1</v>
      </c>
      <c r="H2388" s="58">
        <v>1</v>
      </c>
      <c r="I2388" s="58">
        <v>3</v>
      </c>
      <c r="J2388" s="58">
        <v>2</v>
      </c>
      <c r="K2388" s="59">
        <v>2</v>
      </c>
      <c r="L2388" s="60">
        <f t="shared" si="73"/>
        <v>0.48935255543384243</v>
      </c>
    </row>
    <row r="2389" spans="1:12" x14ac:dyDescent="0.2">
      <c r="A2389" s="53" t="s">
        <v>152</v>
      </c>
      <c r="B2389" s="54" t="s">
        <v>43</v>
      </c>
      <c r="C2389" s="64" t="s">
        <v>62</v>
      </c>
      <c r="D2389" s="44">
        <v>0.73862597617868464</v>
      </c>
      <c r="E2389" s="15" t="s">
        <v>133</v>
      </c>
      <c r="F2389" s="57" t="s">
        <v>16</v>
      </c>
      <c r="G2389" s="58">
        <v>1</v>
      </c>
      <c r="H2389" s="58">
        <v>1</v>
      </c>
      <c r="I2389" s="58">
        <v>3</v>
      </c>
      <c r="J2389" s="58">
        <v>2</v>
      </c>
      <c r="K2389" s="59">
        <v>2</v>
      </c>
      <c r="L2389" s="60">
        <f t="shared" si="73"/>
        <v>0.48935255543384243</v>
      </c>
    </row>
    <row r="2390" spans="1:12" x14ac:dyDescent="0.2">
      <c r="A2390" s="53" t="s">
        <v>152</v>
      </c>
      <c r="B2390" s="54" t="s">
        <v>45</v>
      </c>
      <c r="C2390" s="64" t="s">
        <v>62</v>
      </c>
      <c r="D2390" s="44">
        <v>6.2644779017643604</v>
      </c>
      <c r="E2390" s="15" t="s">
        <v>133</v>
      </c>
      <c r="F2390" s="57" t="s">
        <v>16</v>
      </c>
      <c r="G2390" s="58">
        <v>1</v>
      </c>
      <c r="H2390" s="58">
        <v>1</v>
      </c>
      <c r="I2390" s="58">
        <v>3</v>
      </c>
      <c r="J2390" s="58">
        <v>2</v>
      </c>
      <c r="K2390" s="59">
        <v>2</v>
      </c>
      <c r="L2390" s="60">
        <f t="shared" si="73"/>
        <v>0.48935255543384243</v>
      </c>
    </row>
    <row r="2391" spans="1:12" x14ac:dyDescent="0.2">
      <c r="A2391" s="53" t="s">
        <v>152</v>
      </c>
      <c r="B2391" s="54" t="s">
        <v>46</v>
      </c>
      <c r="C2391" s="64" t="s">
        <v>62</v>
      </c>
      <c r="D2391" s="44">
        <v>0.47815799686239202</v>
      </c>
      <c r="E2391" s="15" t="s">
        <v>133</v>
      </c>
      <c r="F2391" s="57" t="s">
        <v>16</v>
      </c>
      <c r="G2391" s="58">
        <v>1</v>
      </c>
      <c r="H2391" s="58">
        <v>1</v>
      </c>
      <c r="I2391" s="58">
        <v>3</v>
      </c>
      <c r="J2391" s="58">
        <v>2</v>
      </c>
      <c r="K2391" s="59">
        <v>2</v>
      </c>
      <c r="L2391" s="60">
        <f t="shared" si="73"/>
        <v>0.48935255543384243</v>
      </c>
    </row>
    <row r="2392" spans="1:12" x14ac:dyDescent="0.2">
      <c r="A2392" s="53" t="s">
        <v>152</v>
      </c>
      <c r="B2392" s="54" t="s">
        <v>48</v>
      </c>
      <c r="C2392" s="64" t="s">
        <v>62</v>
      </c>
      <c r="D2392" s="44">
        <v>0.38165718203075061</v>
      </c>
      <c r="E2392" s="15" t="s">
        <v>133</v>
      </c>
      <c r="F2392" s="57" t="s">
        <v>16</v>
      </c>
      <c r="G2392" s="58">
        <v>1</v>
      </c>
      <c r="H2392" s="58">
        <v>1</v>
      </c>
      <c r="I2392" s="58">
        <v>3</v>
      </c>
      <c r="J2392" s="58">
        <v>2</v>
      </c>
      <c r="K2392" s="59">
        <v>2</v>
      </c>
      <c r="L2392" s="60">
        <f t="shared" si="73"/>
        <v>0.48935255543384243</v>
      </c>
    </row>
    <row r="2393" spans="1:12" x14ac:dyDescent="0.2">
      <c r="A2393" s="53" t="s">
        <v>152</v>
      </c>
      <c r="B2393" s="54" t="s">
        <v>50</v>
      </c>
      <c r="C2393" s="64" t="s">
        <v>62</v>
      </c>
      <c r="D2393" s="44">
        <v>1.9024355999874499E-2</v>
      </c>
      <c r="E2393" s="15" t="s">
        <v>133</v>
      </c>
      <c r="F2393" s="57" t="s">
        <v>16</v>
      </c>
      <c r="G2393" s="58">
        <v>1</v>
      </c>
      <c r="H2393" s="58">
        <v>1</v>
      </c>
      <c r="I2393" s="58">
        <v>3</v>
      </c>
      <c r="J2393" s="58">
        <v>2</v>
      </c>
      <c r="K2393" s="59">
        <v>2</v>
      </c>
      <c r="L2393" s="60">
        <f t="shared" si="73"/>
        <v>0.48935255543384243</v>
      </c>
    </row>
    <row r="2394" spans="1:12" x14ac:dyDescent="0.2">
      <c r="A2394" s="53" t="s">
        <v>152</v>
      </c>
      <c r="B2394" s="54" t="s">
        <v>52</v>
      </c>
      <c r="C2394" s="64" t="s">
        <v>62</v>
      </c>
      <c r="D2394" s="44">
        <v>4.1423277430216099E-3</v>
      </c>
      <c r="E2394" s="15" t="s">
        <v>133</v>
      </c>
      <c r="F2394" s="57" t="s">
        <v>16</v>
      </c>
      <c r="G2394" s="58">
        <v>1</v>
      </c>
      <c r="H2394" s="58">
        <v>1</v>
      </c>
      <c r="I2394" s="58">
        <v>3</v>
      </c>
      <c r="J2394" s="58">
        <v>2</v>
      </c>
      <c r="K2394" s="59">
        <v>2</v>
      </c>
      <c r="L2394" s="60">
        <f t="shared" si="73"/>
        <v>0.48935255543384243</v>
      </c>
    </row>
    <row r="2395" spans="1:12" x14ac:dyDescent="0.2">
      <c r="A2395" s="53" t="s">
        <v>152</v>
      </c>
      <c r="B2395" s="54" t="s">
        <v>54</v>
      </c>
      <c r="C2395" s="64" t="s">
        <v>62</v>
      </c>
      <c r="D2395" s="44">
        <v>7.4454523367225374E-4</v>
      </c>
      <c r="E2395" s="15" t="s">
        <v>133</v>
      </c>
      <c r="F2395" s="57" t="s">
        <v>16</v>
      </c>
      <c r="G2395" s="58">
        <v>1</v>
      </c>
      <c r="H2395" s="58">
        <v>1</v>
      </c>
      <c r="I2395" s="58">
        <v>3</v>
      </c>
      <c r="J2395" s="58">
        <v>2</v>
      </c>
      <c r="K2395" s="59">
        <v>2</v>
      </c>
      <c r="L2395" s="60">
        <f t="shared" si="73"/>
        <v>0.48935255543384243</v>
      </c>
    </row>
    <row r="2396" spans="1:12" x14ac:dyDescent="0.2">
      <c r="A2396" s="53" t="s">
        <v>152</v>
      </c>
      <c r="B2396" s="54" t="s">
        <v>55</v>
      </c>
      <c r="C2396" s="64" t="s">
        <v>62</v>
      </c>
      <c r="D2396" s="44">
        <v>1.9048036489742339</v>
      </c>
      <c r="E2396" s="15" t="s">
        <v>133</v>
      </c>
      <c r="F2396" s="57" t="s">
        <v>16</v>
      </c>
      <c r="G2396" s="58">
        <v>1</v>
      </c>
      <c r="H2396" s="58">
        <v>1</v>
      </c>
      <c r="I2396" s="58">
        <v>3</v>
      </c>
      <c r="J2396" s="58">
        <v>2</v>
      </c>
      <c r="K2396" s="59">
        <v>2</v>
      </c>
      <c r="L2396" s="60">
        <f t="shared" si="73"/>
        <v>0.48935255543384243</v>
      </c>
    </row>
    <row r="2397" spans="1:12" x14ac:dyDescent="0.2">
      <c r="A2397" s="53" t="s">
        <v>152</v>
      </c>
      <c r="B2397" s="54" t="s">
        <v>57</v>
      </c>
      <c r="C2397" s="64" t="s">
        <v>62</v>
      </c>
      <c r="D2397" s="44">
        <v>0.42865184493879432</v>
      </c>
      <c r="E2397" s="15" t="s">
        <v>133</v>
      </c>
      <c r="F2397" s="57" t="s">
        <v>16</v>
      </c>
      <c r="G2397" s="58">
        <v>1</v>
      </c>
      <c r="H2397" s="58">
        <v>1</v>
      </c>
      <c r="I2397" s="58">
        <v>3</v>
      </c>
      <c r="J2397" s="58">
        <v>2</v>
      </c>
      <c r="K2397" s="59">
        <v>2</v>
      </c>
      <c r="L2397" s="60">
        <f t="shared" si="73"/>
        <v>0.48935255543384243</v>
      </c>
    </row>
    <row r="2398" spans="1:12" x14ac:dyDescent="0.2">
      <c r="A2398" s="53" t="s">
        <v>152</v>
      </c>
      <c r="B2398" s="54" t="s">
        <v>59</v>
      </c>
      <c r="C2398" s="64" t="s">
        <v>62</v>
      </c>
      <c r="D2398" s="44">
        <v>3.5456034792112159E-3</v>
      </c>
      <c r="E2398" s="15" t="s">
        <v>133</v>
      </c>
      <c r="F2398" s="57" t="s">
        <v>16</v>
      </c>
      <c r="G2398" s="58">
        <v>1</v>
      </c>
      <c r="H2398" s="58">
        <v>1</v>
      </c>
      <c r="I2398" s="58">
        <v>3</v>
      </c>
      <c r="J2398" s="58">
        <v>2</v>
      </c>
      <c r="K2398" s="59">
        <v>2</v>
      </c>
      <c r="L2398" s="60">
        <f t="shared" si="73"/>
        <v>0.48935255543384243</v>
      </c>
    </row>
    <row r="2399" spans="1:12" x14ac:dyDescent="0.2">
      <c r="A2399" s="53" t="s">
        <v>152</v>
      </c>
      <c r="B2399" s="54" t="s">
        <v>60</v>
      </c>
      <c r="C2399" s="64" t="s">
        <v>62</v>
      </c>
      <c r="D2399" s="44">
        <v>1.49723060904171</v>
      </c>
      <c r="E2399" s="15" t="s">
        <v>133</v>
      </c>
      <c r="F2399" s="57" t="s">
        <v>16</v>
      </c>
      <c r="G2399" s="58">
        <v>1</v>
      </c>
      <c r="H2399" s="58">
        <v>1</v>
      </c>
      <c r="I2399" s="58">
        <v>3</v>
      </c>
      <c r="J2399" s="58">
        <v>2</v>
      </c>
      <c r="K2399" s="59">
        <v>2</v>
      </c>
      <c r="L2399" s="60">
        <f t="shared" si="73"/>
        <v>0.48935255543384243</v>
      </c>
    </row>
    <row r="2400" spans="1:12" x14ac:dyDescent="0.2">
      <c r="A2400" s="53" t="s">
        <v>152</v>
      </c>
      <c r="B2400" s="54" t="s">
        <v>13</v>
      </c>
      <c r="C2400" s="65" t="s">
        <v>64</v>
      </c>
      <c r="D2400" s="44">
        <v>3.6537669104273269E-4</v>
      </c>
      <c r="E2400" s="15" t="s">
        <v>133</v>
      </c>
      <c r="F2400" s="57" t="s">
        <v>16</v>
      </c>
      <c r="G2400" s="58">
        <v>1</v>
      </c>
      <c r="H2400" s="58">
        <v>1</v>
      </c>
      <c r="I2400" s="58">
        <v>3</v>
      </c>
      <c r="J2400" s="58">
        <v>2</v>
      </c>
      <c r="K2400" s="59">
        <v>2</v>
      </c>
      <c r="L2400" s="60">
        <f t="shared" si="73"/>
        <v>0.48935255543384243</v>
      </c>
    </row>
    <row r="2401" spans="1:12" x14ac:dyDescent="0.2">
      <c r="A2401" s="53" t="s">
        <v>152</v>
      </c>
      <c r="B2401" s="54" t="s">
        <v>18</v>
      </c>
      <c r="C2401" s="65" t="s">
        <v>64</v>
      </c>
      <c r="D2401" s="44">
        <v>2.083043833636709E-2</v>
      </c>
      <c r="E2401" s="15" t="s">
        <v>133</v>
      </c>
      <c r="F2401" s="57" t="s">
        <v>16</v>
      </c>
      <c r="G2401" s="58">
        <v>1</v>
      </c>
      <c r="H2401" s="58">
        <v>1</v>
      </c>
      <c r="I2401" s="58">
        <v>3</v>
      </c>
      <c r="J2401" s="58">
        <v>2</v>
      </c>
      <c r="K2401" s="59">
        <v>2</v>
      </c>
      <c r="L2401" s="60">
        <f t="shared" si="73"/>
        <v>0.48935255543384243</v>
      </c>
    </row>
    <row r="2402" spans="1:12" x14ac:dyDescent="0.2">
      <c r="A2402" s="53" t="s">
        <v>152</v>
      </c>
      <c r="B2402" s="54" t="s">
        <v>20</v>
      </c>
      <c r="C2402" s="65" t="s">
        <v>64</v>
      </c>
      <c r="D2402" s="44">
        <v>6.5724032260104977E-3</v>
      </c>
      <c r="E2402" s="15" t="s">
        <v>133</v>
      </c>
      <c r="F2402" s="57" t="s">
        <v>16</v>
      </c>
      <c r="G2402" s="58">
        <v>1</v>
      </c>
      <c r="H2402" s="58">
        <v>1</v>
      </c>
      <c r="I2402" s="58">
        <v>3</v>
      </c>
      <c r="J2402" s="58">
        <v>2</v>
      </c>
      <c r="K2402" s="59">
        <v>2</v>
      </c>
      <c r="L2402" s="60">
        <f t="shared" si="73"/>
        <v>0.48935255543384243</v>
      </c>
    </row>
    <row r="2403" spans="1:12" x14ac:dyDescent="0.2">
      <c r="A2403" s="53" t="s">
        <v>152</v>
      </c>
      <c r="B2403" s="54" t="s">
        <v>22</v>
      </c>
      <c r="C2403" s="65" t="s">
        <v>64</v>
      </c>
      <c r="D2403" s="44">
        <v>7.482550926157569E-2</v>
      </c>
      <c r="E2403" s="15" t="s">
        <v>133</v>
      </c>
      <c r="F2403" s="57" t="s">
        <v>16</v>
      </c>
      <c r="G2403" s="58">
        <v>1</v>
      </c>
      <c r="H2403" s="58">
        <v>1</v>
      </c>
      <c r="I2403" s="58">
        <v>3</v>
      </c>
      <c r="J2403" s="58">
        <v>2</v>
      </c>
      <c r="K2403" s="59">
        <v>2</v>
      </c>
      <c r="L2403" s="60">
        <f t="shared" si="73"/>
        <v>0.48935255543384243</v>
      </c>
    </row>
    <row r="2404" spans="1:12" x14ac:dyDescent="0.2">
      <c r="A2404" s="53" t="s">
        <v>152</v>
      </c>
      <c r="B2404" s="54" t="s">
        <v>23</v>
      </c>
      <c r="C2404" s="65" t="s">
        <v>64</v>
      </c>
      <c r="D2404" s="44">
        <v>1.4026779851128411E-3</v>
      </c>
      <c r="E2404" s="15" t="s">
        <v>133</v>
      </c>
      <c r="F2404" s="57" t="s">
        <v>16</v>
      </c>
      <c r="G2404" s="58">
        <v>1</v>
      </c>
      <c r="H2404" s="58">
        <v>1</v>
      </c>
      <c r="I2404" s="58">
        <v>3</v>
      </c>
      <c r="J2404" s="58">
        <v>2</v>
      </c>
      <c r="K2404" s="59">
        <v>2</v>
      </c>
      <c r="L2404" s="60">
        <f t="shared" si="73"/>
        <v>0.48935255543384243</v>
      </c>
    </row>
    <row r="2405" spans="1:12" x14ac:dyDescent="0.2">
      <c r="A2405" s="53" t="s">
        <v>152</v>
      </c>
      <c r="B2405" s="54" t="s">
        <v>24</v>
      </c>
      <c r="C2405" s="65" t="s">
        <v>64</v>
      </c>
      <c r="D2405" s="44">
        <v>3.8928276597095749E-3</v>
      </c>
      <c r="E2405" s="15" t="s">
        <v>133</v>
      </c>
      <c r="F2405" s="57" t="s">
        <v>16</v>
      </c>
      <c r="G2405" s="58">
        <v>1</v>
      </c>
      <c r="H2405" s="58">
        <v>1</v>
      </c>
      <c r="I2405" s="58">
        <v>3</v>
      </c>
      <c r="J2405" s="58">
        <v>2</v>
      </c>
      <c r="K2405" s="59">
        <v>2</v>
      </c>
      <c r="L2405" s="60">
        <f t="shared" si="73"/>
        <v>0.48935255543384243</v>
      </c>
    </row>
    <row r="2406" spans="1:12" x14ac:dyDescent="0.2">
      <c r="A2406" s="53" t="s">
        <v>152</v>
      </c>
      <c r="B2406" s="54" t="s">
        <v>25</v>
      </c>
      <c r="C2406" s="65" t="s">
        <v>64</v>
      </c>
      <c r="D2406" s="44">
        <v>0.76501110063763211</v>
      </c>
      <c r="E2406" s="15" t="s">
        <v>133</v>
      </c>
      <c r="F2406" s="57" t="s">
        <v>16</v>
      </c>
      <c r="G2406" s="58">
        <v>1</v>
      </c>
      <c r="H2406" s="58">
        <v>1</v>
      </c>
      <c r="I2406" s="58">
        <v>3</v>
      </c>
      <c r="J2406" s="58">
        <v>2</v>
      </c>
      <c r="K2406" s="59">
        <v>2</v>
      </c>
      <c r="L2406" s="60">
        <f t="shared" ref="L2406:L2436" si="74">IF( OR( ISBLANK(G2406),ISBLANK(H2406), ISBLANK(I2406), ISBLANK(J2406), ISBLANK(K2406) ), "", 1.5*SQRT( EXP(2.21*(G2406-1)) + EXP(2.21*(H2406-1)) + EXP(2.21*(I2406-1)) + EXP(2.21*(J2406-1)) + EXP(2.21*K2406) )/100*2.45 )</f>
        <v>0.48935255543384243</v>
      </c>
    </row>
    <row r="2407" spans="1:12" x14ac:dyDescent="0.2">
      <c r="A2407" s="53" t="s">
        <v>152</v>
      </c>
      <c r="B2407" s="54" t="s">
        <v>26</v>
      </c>
      <c r="C2407" s="65" t="s">
        <v>64</v>
      </c>
      <c r="D2407" s="44">
        <v>7.7399810407786568E-2</v>
      </c>
      <c r="E2407" s="15" t="s">
        <v>133</v>
      </c>
      <c r="F2407" s="57" t="s">
        <v>16</v>
      </c>
      <c r="G2407" s="58">
        <v>1</v>
      </c>
      <c r="H2407" s="58">
        <v>1</v>
      </c>
      <c r="I2407" s="58">
        <v>3</v>
      </c>
      <c r="J2407" s="58">
        <v>2</v>
      </c>
      <c r="K2407" s="59">
        <v>2</v>
      </c>
      <c r="L2407" s="60">
        <f t="shared" si="74"/>
        <v>0.48935255543384243</v>
      </c>
    </row>
    <row r="2408" spans="1:12" x14ac:dyDescent="0.2">
      <c r="A2408" s="53" t="s">
        <v>152</v>
      </c>
      <c r="B2408" s="54" t="s">
        <v>27</v>
      </c>
      <c r="C2408" s="65" t="s">
        <v>64</v>
      </c>
      <c r="D2408" s="44">
        <v>0.15509614174722211</v>
      </c>
      <c r="E2408" s="15" t="s">
        <v>133</v>
      </c>
      <c r="F2408" s="57" t="s">
        <v>16</v>
      </c>
      <c r="G2408" s="58">
        <v>1</v>
      </c>
      <c r="H2408" s="58">
        <v>1</v>
      </c>
      <c r="I2408" s="58">
        <v>3</v>
      </c>
      <c r="J2408" s="58">
        <v>2</v>
      </c>
      <c r="K2408" s="59">
        <v>2</v>
      </c>
      <c r="L2408" s="60">
        <f t="shared" si="74"/>
        <v>0.48935255543384243</v>
      </c>
    </row>
    <row r="2409" spans="1:12" x14ac:dyDescent="0.2">
      <c r="A2409" s="53" t="s">
        <v>152</v>
      </c>
      <c r="B2409" s="54" t="s">
        <v>28</v>
      </c>
      <c r="C2409" s="65" t="s">
        <v>64</v>
      </c>
      <c r="D2409" s="44">
        <v>0.50937433519905317</v>
      </c>
      <c r="E2409" s="15" t="s">
        <v>133</v>
      </c>
      <c r="F2409" s="57" t="s">
        <v>16</v>
      </c>
      <c r="G2409" s="58">
        <v>1</v>
      </c>
      <c r="H2409" s="58">
        <v>1</v>
      </c>
      <c r="I2409" s="58">
        <v>3</v>
      </c>
      <c r="J2409" s="58">
        <v>2</v>
      </c>
      <c r="K2409" s="59">
        <v>2</v>
      </c>
      <c r="L2409" s="60">
        <f t="shared" si="74"/>
        <v>0.48935255543384243</v>
      </c>
    </row>
    <row r="2410" spans="1:12" x14ac:dyDescent="0.2">
      <c r="A2410" s="53" t="s">
        <v>152</v>
      </c>
      <c r="B2410" s="54" t="s">
        <v>30</v>
      </c>
      <c r="C2410" s="65" t="s">
        <v>64</v>
      </c>
      <c r="D2410" s="44">
        <v>0.22141259786205059</v>
      </c>
      <c r="E2410" s="15" t="s">
        <v>133</v>
      </c>
      <c r="F2410" s="57" t="s">
        <v>16</v>
      </c>
      <c r="G2410" s="58">
        <v>1</v>
      </c>
      <c r="H2410" s="58">
        <v>1</v>
      </c>
      <c r="I2410" s="58">
        <v>3</v>
      </c>
      <c r="J2410" s="58">
        <v>2</v>
      </c>
      <c r="K2410" s="59">
        <v>2</v>
      </c>
      <c r="L2410" s="60">
        <f t="shared" si="74"/>
        <v>0.48935255543384243</v>
      </c>
    </row>
    <row r="2411" spans="1:12" x14ac:dyDescent="0.2">
      <c r="A2411" s="53" t="s">
        <v>152</v>
      </c>
      <c r="B2411" s="54" t="s">
        <v>32</v>
      </c>
      <c r="C2411" s="65" t="s">
        <v>64</v>
      </c>
      <c r="D2411" s="44">
        <v>7.4616184955277318E-2</v>
      </c>
      <c r="E2411" s="15" t="s">
        <v>133</v>
      </c>
      <c r="F2411" s="57" t="s">
        <v>16</v>
      </c>
      <c r="G2411" s="58">
        <v>1</v>
      </c>
      <c r="H2411" s="58">
        <v>1</v>
      </c>
      <c r="I2411" s="58">
        <v>3</v>
      </c>
      <c r="J2411" s="58">
        <v>2</v>
      </c>
      <c r="K2411" s="59">
        <v>2</v>
      </c>
      <c r="L2411" s="60">
        <f t="shared" si="74"/>
        <v>0.48935255543384243</v>
      </c>
    </row>
    <row r="2412" spans="1:12" x14ac:dyDescent="0.2">
      <c r="A2412" s="53" t="s">
        <v>152</v>
      </c>
      <c r="B2412" s="54" t="s">
        <v>34</v>
      </c>
      <c r="C2412" s="65" t="s">
        <v>64</v>
      </c>
      <c r="D2412" s="44">
        <v>5.724012120543508E-3</v>
      </c>
      <c r="E2412" s="15" t="s">
        <v>133</v>
      </c>
      <c r="F2412" s="57" t="s">
        <v>16</v>
      </c>
      <c r="G2412" s="58">
        <v>1</v>
      </c>
      <c r="H2412" s="58">
        <v>1</v>
      </c>
      <c r="I2412" s="58">
        <v>3</v>
      </c>
      <c r="J2412" s="58">
        <v>2</v>
      </c>
      <c r="K2412" s="59">
        <v>2</v>
      </c>
      <c r="L2412" s="60">
        <f t="shared" si="74"/>
        <v>0.48935255543384243</v>
      </c>
    </row>
    <row r="2413" spans="1:12" x14ac:dyDescent="0.2">
      <c r="A2413" s="53" t="s">
        <v>152</v>
      </c>
      <c r="B2413" s="54" t="s">
        <v>36</v>
      </c>
      <c r="C2413" s="65" t="s">
        <v>64</v>
      </c>
      <c r="D2413" s="44">
        <v>0.2176622691997146</v>
      </c>
      <c r="E2413" s="15" t="s">
        <v>133</v>
      </c>
      <c r="F2413" s="57" t="s">
        <v>16</v>
      </c>
      <c r="G2413" s="58">
        <v>1</v>
      </c>
      <c r="H2413" s="58">
        <v>1</v>
      </c>
      <c r="I2413" s="58">
        <v>3</v>
      </c>
      <c r="J2413" s="58">
        <v>2</v>
      </c>
      <c r="K2413" s="59">
        <v>2</v>
      </c>
      <c r="L2413" s="60">
        <f t="shared" si="74"/>
        <v>0.48935255543384243</v>
      </c>
    </row>
    <row r="2414" spans="1:12" x14ac:dyDescent="0.2">
      <c r="A2414" s="53" t="s">
        <v>152</v>
      </c>
      <c r="B2414" s="54" t="s">
        <v>37</v>
      </c>
      <c r="C2414" s="65" t="s">
        <v>64</v>
      </c>
      <c r="D2414" s="44">
        <v>0.14780811695380239</v>
      </c>
      <c r="E2414" s="15" t="s">
        <v>133</v>
      </c>
      <c r="F2414" s="57" t="s">
        <v>16</v>
      </c>
      <c r="G2414" s="58">
        <v>1</v>
      </c>
      <c r="H2414" s="58">
        <v>1</v>
      </c>
      <c r="I2414" s="58">
        <v>3</v>
      </c>
      <c r="J2414" s="58">
        <v>2</v>
      </c>
      <c r="K2414" s="59">
        <v>2</v>
      </c>
      <c r="L2414" s="60">
        <f t="shared" si="74"/>
        <v>0.48935255543384243</v>
      </c>
    </row>
    <row r="2415" spans="1:12" x14ac:dyDescent="0.2">
      <c r="A2415" s="53" t="s">
        <v>152</v>
      </c>
      <c r="B2415" s="54" t="s">
        <v>39</v>
      </c>
      <c r="C2415" s="65" t="s">
        <v>64</v>
      </c>
      <c r="D2415" s="44">
        <v>6.7844187926217589E-2</v>
      </c>
      <c r="E2415" s="15" t="s">
        <v>133</v>
      </c>
      <c r="F2415" s="57" t="s">
        <v>16</v>
      </c>
      <c r="G2415" s="58">
        <v>1</v>
      </c>
      <c r="H2415" s="58">
        <v>1</v>
      </c>
      <c r="I2415" s="58">
        <v>3</v>
      </c>
      <c r="J2415" s="58">
        <v>2</v>
      </c>
      <c r="K2415" s="59">
        <v>2</v>
      </c>
      <c r="L2415" s="60">
        <f t="shared" si="74"/>
        <v>0.48935255543384243</v>
      </c>
    </row>
    <row r="2416" spans="1:12" x14ac:dyDescent="0.2">
      <c r="A2416" s="53" t="s">
        <v>152</v>
      </c>
      <c r="B2416" s="54" t="s">
        <v>40</v>
      </c>
      <c r="C2416" s="65" t="s">
        <v>64</v>
      </c>
      <c r="D2416" s="44">
        <v>9.4988914866841773E-2</v>
      </c>
      <c r="E2416" s="15" t="s">
        <v>133</v>
      </c>
      <c r="F2416" s="57" t="s">
        <v>16</v>
      </c>
      <c r="G2416" s="58">
        <v>1</v>
      </c>
      <c r="H2416" s="58">
        <v>1</v>
      </c>
      <c r="I2416" s="58">
        <v>3</v>
      </c>
      <c r="J2416" s="58">
        <v>2</v>
      </c>
      <c r="K2416" s="59">
        <v>2</v>
      </c>
      <c r="L2416" s="60">
        <f t="shared" si="74"/>
        <v>0.48935255543384243</v>
      </c>
    </row>
    <row r="2417" spans="1:13" x14ac:dyDescent="0.2">
      <c r="A2417" s="53" t="s">
        <v>152</v>
      </c>
      <c r="B2417" s="54" t="s">
        <v>41</v>
      </c>
      <c r="C2417" s="65" t="s">
        <v>64</v>
      </c>
      <c r="D2417" s="61">
        <v>0</v>
      </c>
      <c r="E2417" s="15"/>
      <c r="F2417" s="57" t="s">
        <v>16</v>
      </c>
      <c r="G2417" s="61"/>
      <c r="H2417" s="61"/>
      <c r="I2417" s="61"/>
      <c r="J2417" s="61"/>
      <c r="K2417" s="62"/>
      <c r="L2417" s="63" t="str">
        <f t="shared" si="74"/>
        <v/>
      </c>
    </row>
    <row r="2418" spans="1:13" x14ac:dyDescent="0.2">
      <c r="A2418" s="53" t="s">
        <v>152</v>
      </c>
      <c r="B2418" s="54" t="s">
        <v>42</v>
      </c>
      <c r="C2418" s="65" t="s">
        <v>64</v>
      </c>
      <c r="D2418" s="44">
        <v>2.195648754082465E-3</v>
      </c>
      <c r="E2418" s="15" t="s">
        <v>133</v>
      </c>
      <c r="F2418" s="57" t="s">
        <v>16</v>
      </c>
      <c r="G2418" s="58">
        <v>1</v>
      </c>
      <c r="H2418" s="58">
        <v>1</v>
      </c>
      <c r="I2418" s="58">
        <v>3</v>
      </c>
      <c r="J2418" s="58">
        <v>2</v>
      </c>
      <c r="K2418" s="59">
        <v>2</v>
      </c>
      <c r="L2418" s="60">
        <f t="shared" si="74"/>
        <v>0.48935255543384243</v>
      </c>
    </row>
    <row r="2419" spans="1:13" x14ac:dyDescent="0.2">
      <c r="A2419" s="53" t="s">
        <v>152</v>
      </c>
      <c r="B2419" s="54" t="s">
        <v>43</v>
      </c>
      <c r="C2419" s="65" t="s">
        <v>64</v>
      </c>
      <c r="D2419" s="44">
        <v>0.3231488645781746</v>
      </c>
      <c r="E2419" s="15" t="s">
        <v>133</v>
      </c>
      <c r="F2419" s="57" t="s">
        <v>16</v>
      </c>
      <c r="G2419" s="58">
        <v>1</v>
      </c>
      <c r="H2419" s="58">
        <v>1</v>
      </c>
      <c r="I2419" s="58">
        <v>3</v>
      </c>
      <c r="J2419" s="58">
        <v>2</v>
      </c>
      <c r="K2419" s="59">
        <v>2</v>
      </c>
      <c r="L2419" s="60">
        <f t="shared" si="74"/>
        <v>0.48935255543384243</v>
      </c>
    </row>
    <row r="2420" spans="1:13" x14ac:dyDescent="0.2">
      <c r="A2420" s="53" t="s">
        <v>152</v>
      </c>
      <c r="B2420" s="54" t="s">
        <v>45</v>
      </c>
      <c r="C2420" s="65" t="s">
        <v>64</v>
      </c>
      <c r="D2420" s="44">
        <v>2.7407090820219082</v>
      </c>
      <c r="E2420" s="15" t="s">
        <v>133</v>
      </c>
      <c r="F2420" s="57" t="s">
        <v>16</v>
      </c>
      <c r="G2420" s="58">
        <v>1</v>
      </c>
      <c r="H2420" s="58">
        <v>1</v>
      </c>
      <c r="I2420" s="58">
        <v>3</v>
      </c>
      <c r="J2420" s="58">
        <v>2</v>
      </c>
      <c r="K2420" s="59">
        <v>2</v>
      </c>
      <c r="L2420" s="60">
        <f t="shared" si="74"/>
        <v>0.48935255543384243</v>
      </c>
    </row>
    <row r="2421" spans="1:13" x14ac:dyDescent="0.2">
      <c r="A2421" s="53" t="s">
        <v>152</v>
      </c>
      <c r="B2421" s="54" t="s">
        <v>46</v>
      </c>
      <c r="C2421" s="65" t="s">
        <v>64</v>
      </c>
      <c r="D2421" s="44">
        <v>0.2091941236272965</v>
      </c>
      <c r="E2421" s="15" t="s">
        <v>133</v>
      </c>
      <c r="F2421" s="57" t="s">
        <v>16</v>
      </c>
      <c r="G2421" s="58">
        <v>1</v>
      </c>
      <c r="H2421" s="58">
        <v>1</v>
      </c>
      <c r="I2421" s="58">
        <v>3</v>
      </c>
      <c r="J2421" s="58">
        <v>2</v>
      </c>
      <c r="K2421" s="59">
        <v>2</v>
      </c>
      <c r="L2421" s="60">
        <f t="shared" si="74"/>
        <v>0.48935255543384243</v>
      </c>
    </row>
    <row r="2422" spans="1:13" x14ac:dyDescent="0.2">
      <c r="A2422" s="53" t="s">
        <v>152</v>
      </c>
      <c r="B2422" s="54" t="s">
        <v>48</v>
      </c>
      <c r="C2422" s="65" t="s">
        <v>64</v>
      </c>
      <c r="D2422" s="44">
        <v>0.16697501713845339</v>
      </c>
      <c r="E2422" s="15" t="s">
        <v>133</v>
      </c>
      <c r="F2422" s="57" t="s">
        <v>16</v>
      </c>
      <c r="G2422" s="58">
        <v>1</v>
      </c>
      <c r="H2422" s="58">
        <v>1</v>
      </c>
      <c r="I2422" s="58">
        <v>3</v>
      </c>
      <c r="J2422" s="58">
        <v>2</v>
      </c>
      <c r="K2422" s="59">
        <v>2</v>
      </c>
      <c r="L2422" s="60">
        <f t="shared" si="74"/>
        <v>0.48935255543384243</v>
      </c>
    </row>
    <row r="2423" spans="1:13" x14ac:dyDescent="0.2">
      <c r="A2423" s="53" t="s">
        <v>152</v>
      </c>
      <c r="B2423" s="54" t="s">
        <v>50</v>
      </c>
      <c r="C2423" s="65" t="s">
        <v>64</v>
      </c>
      <c r="D2423" s="44">
        <v>8.3231557499450944E-3</v>
      </c>
      <c r="E2423" s="15" t="s">
        <v>133</v>
      </c>
      <c r="F2423" s="57" t="s">
        <v>16</v>
      </c>
      <c r="G2423" s="58">
        <v>1</v>
      </c>
      <c r="H2423" s="58">
        <v>1</v>
      </c>
      <c r="I2423" s="58">
        <v>3</v>
      </c>
      <c r="J2423" s="58">
        <v>2</v>
      </c>
      <c r="K2423" s="59">
        <v>2</v>
      </c>
      <c r="L2423" s="60">
        <f t="shared" si="74"/>
        <v>0.48935255543384243</v>
      </c>
    </row>
    <row r="2424" spans="1:13" x14ac:dyDescent="0.2">
      <c r="A2424" s="53" t="s">
        <v>152</v>
      </c>
      <c r="B2424" s="54" t="s">
        <v>52</v>
      </c>
      <c r="C2424" s="65" t="s">
        <v>64</v>
      </c>
      <c r="D2424" s="44">
        <v>1.812268387571954E-3</v>
      </c>
      <c r="E2424" s="15" t="s">
        <v>133</v>
      </c>
      <c r="F2424" s="57" t="s">
        <v>16</v>
      </c>
      <c r="G2424" s="58">
        <v>1</v>
      </c>
      <c r="H2424" s="58">
        <v>1</v>
      </c>
      <c r="I2424" s="58">
        <v>3</v>
      </c>
      <c r="J2424" s="58">
        <v>2</v>
      </c>
      <c r="K2424" s="59">
        <v>2</v>
      </c>
      <c r="L2424" s="60">
        <f t="shared" si="74"/>
        <v>0.48935255543384243</v>
      </c>
    </row>
    <row r="2425" spans="1:13" x14ac:dyDescent="0.2">
      <c r="A2425" s="53" t="s">
        <v>152</v>
      </c>
      <c r="B2425" s="54" t="s">
        <v>54</v>
      </c>
      <c r="C2425" s="65" t="s">
        <v>64</v>
      </c>
      <c r="D2425" s="44">
        <v>3.2573853973161103E-4</v>
      </c>
      <c r="E2425" s="15" t="s">
        <v>133</v>
      </c>
      <c r="F2425" s="57" t="s">
        <v>16</v>
      </c>
      <c r="G2425" s="58">
        <v>1</v>
      </c>
      <c r="H2425" s="58">
        <v>1</v>
      </c>
      <c r="I2425" s="58">
        <v>3</v>
      </c>
      <c r="J2425" s="58">
        <v>2</v>
      </c>
      <c r="K2425" s="59">
        <v>2</v>
      </c>
      <c r="L2425" s="60">
        <f t="shared" si="74"/>
        <v>0.48935255543384243</v>
      </c>
    </row>
    <row r="2426" spans="1:13" x14ac:dyDescent="0.2">
      <c r="A2426" s="53" t="s">
        <v>152</v>
      </c>
      <c r="B2426" s="54" t="s">
        <v>55</v>
      </c>
      <c r="C2426" s="65" t="s">
        <v>64</v>
      </c>
      <c r="D2426" s="44">
        <v>0.83335159642622736</v>
      </c>
      <c r="E2426" s="15" t="s">
        <v>133</v>
      </c>
      <c r="F2426" s="57" t="s">
        <v>16</v>
      </c>
      <c r="G2426" s="58">
        <v>1</v>
      </c>
      <c r="H2426" s="58">
        <v>1</v>
      </c>
      <c r="I2426" s="58">
        <v>3</v>
      </c>
      <c r="J2426" s="58">
        <v>2</v>
      </c>
      <c r="K2426" s="59">
        <v>2</v>
      </c>
      <c r="L2426" s="60">
        <f t="shared" si="74"/>
        <v>0.48935255543384243</v>
      </c>
    </row>
    <row r="2427" spans="1:13" x14ac:dyDescent="0.2">
      <c r="A2427" s="53" t="s">
        <v>152</v>
      </c>
      <c r="B2427" s="54" t="s">
        <v>57</v>
      </c>
      <c r="C2427" s="65" t="s">
        <v>64</v>
      </c>
      <c r="D2427" s="44">
        <v>0.18753518216072251</v>
      </c>
      <c r="E2427" s="15" t="s">
        <v>133</v>
      </c>
      <c r="F2427" s="57" t="s">
        <v>16</v>
      </c>
      <c r="G2427" s="58">
        <v>1</v>
      </c>
      <c r="H2427" s="58">
        <v>1</v>
      </c>
      <c r="I2427" s="58">
        <v>3</v>
      </c>
      <c r="J2427" s="58">
        <v>2</v>
      </c>
      <c r="K2427" s="59">
        <v>2</v>
      </c>
      <c r="L2427" s="60">
        <f t="shared" si="74"/>
        <v>0.48935255543384243</v>
      </c>
    </row>
    <row r="2428" spans="1:13" x14ac:dyDescent="0.2">
      <c r="A2428" s="53" t="s">
        <v>152</v>
      </c>
      <c r="B2428" s="54" t="s">
        <v>59</v>
      </c>
      <c r="C2428" s="65" t="s">
        <v>64</v>
      </c>
      <c r="D2428" s="44">
        <v>1.5512015221549071E-3</v>
      </c>
      <c r="E2428" s="15" t="s">
        <v>133</v>
      </c>
      <c r="F2428" s="57" t="s">
        <v>16</v>
      </c>
      <c r="G2428" s="58">
        <v>1</v>
      </c>
      <c r="H2428" s="58">
        <v>1</v>
      </c>
      <c r="I2428" s="58">
        <v>3</v>
      </c>
      <c r="J2428" s="58">
        <v>2</v>
      </c>
      <c r="K2428" s="59">
        <v>2</v>
      </c>
      <c r="L2428" s="60">
        <f t="shared" si="74"/>
        <v>0.48935255543384243</v>
      </c>
    </row>
    <row r="2429" spans="1:13" x14ac:dyDescent="0.2">
      <c r="A2429" s="53" t="s">
        <v>152</v>
      </c>
      <c r="B2429" s="54" t="s">
        <v>60</v>
      </c>
      <c r="C2429" s="65" t="s">
        <v>64</v>
      </c>
      <c r="D2429" s="44">
        <v>0.65503839145574827</v>
      </c>
      <c r="E2429" s="15" t="s">
        <v>133</v>
      </c>
      <c r="F2429" s="57" t="s">
        <v>16</v>
      </c>
      <c r="G2429" s="58">
        <v>1</v>
      </c>
      <c r="H2429" s="58">
        <v>1</v>
      </c>
      <c r="I2429" s="58">
        <v>3</v>
      </c>
      <c r="J2429" s="58">
        <v>2</v>
      </c>
      <c r="K2429" s="59">
        <v>2</v>
      </c>
      <c r="L2429" s="60">
        <f t="shared" si="74"/>
        <v>0.48935255543384243</v>
      </c>
    </row>
    <row r="2430" spans="1:13" x14ac:dyDescent="0.2">
      <c r="A2430" s="53" t="s">
        <v>152</v>
      </c>
      <c r="B2430" s="22" t="s">
        <v>135</v>
      </c>
      <c r="C2430" s="29" t="s">
        <v>66</v>
      </c>
      <c r="D2430" s="18">
        <v>0</v>
      </c>
      <c r="E2430" s="15"/>
      <c r="F2430" s="16"/>
      <c r="G2430" s="17"/>
      <c r="H2430" s="18"/>
      <c r="I2430" s="18"/>
      <c r="J2430" s="18"/>
      <c r="K2430" s="18"/>
      <c r="L2430" s="19" t="str">
        <f t="shared" si="74"/>
        <v/>
      </c>
      <c r="M2430" s="20"/>
    </row>
    <row r="2431" spans="1:13" x14ac:dyDescent="0.2">
      <c r="A2431" s="53" t="s">
        <v>152</v>
      </c>
      <c r="B2431" s="22" t="s">
        <v>135</v>
      </c>
      <c r="C2431" s="30" t="s">
        <v>94</v>
      </c>
      <c r="D2431" s="18">
        <v>0</v>
      </c>
      <c r="E2431" s="15"/>
      <c r="F2431" s="16"/>
      <c r="G2431" s="17"/>
      <c r="H2431" s="18"/>
      <c r="I2431" s="18"/>
      <c r="J2431" s="18"/>
      <c r="K2431" s="18"/>
      <c r="L2431" s="19" t="str">
        <f t="shared" si="74"/>
        <v/>
      </c>
      <c r="M2431" s="20"/>
    </row>
    <row r="2432" spans="1:13" x14ac:dyDescent="0.2">
      <c r="A2432" s="53" t="s">
        <v>152</v>
      </c>
      <c r="B2432" s="22" t="s">
        <v>135</v>
      </c>
      <c r="C2432" s="31" t="s">
        <v>96</v>
      </c>
      <c r="D2432" s="18">
        <v>0</v>
      </c>
      <c r="E2432" s="15"/>
      <c r="F2432" s="16"/>
      <c r="G2432" s="17"/>
      <c r="H2432" s="18"/>
      <c r="I2432" s="18"/>
      <c r="J2432" s="18"/>
      <c r="K2432" s="18"/>
      <c r="L2432" s="19" t="str">
        <f t="shared" si="74"/>
        <v/>
      </c>
      <c r="M2432" s="20"/>
    </row>
    <row r="2433" spans="1:13" x14ac:dyDescent="0.2">
      <c r="A2433" s="66" t="s">
        <v>152</v>
      </c>
      <c r="B2433" s="39" t="s">
        <v>135</v>
      </c>
      <c r="C2433" s="35" t="s">
        <v>98</v>
      </c>
      <c r="D2433" s="51">
        <v>0</v>
      </c>
      <c r="E2433" s="37"/>
      <c r="F2433" s="38"/>
      <c r="G2433" s="50"/>
      <c r="H2433" s="51"/>
      <c r="I2433" s="51"/>
      <c r="J2433" s="51"/>
      <c r="K2433" s="51"/>
      <c r="L2433" s="52" t="str">
        <f t="shared" si="74"/>
        <v/>
      </c>
      <c r="M2433" s="42"/>
    </row>
    <row r="2434" spans="1:13" x14ac:dyDescent="0.2">
      <c r="A2434" s="67" t="s">
        <v>153</v>
      </c>
      <c r="B2434" s="54" t="s">
        <v>13</v>
      </c>
      <c r="C2434" s="55" t="s">
        <v>14</v>
      </c>
      <c r="D2434" s="44">
        <v>3.3794685242766439E-3</v>
      </c>
      <c r="E2434" s="15" t="s">
        <v>133</v>
      </c>
      <c r="F2434" s="57" t="s">
        <v>16</v>
      </c>
      <c r="G2434" s="58">
        <v>1</v>
      </c>
      <c r="H2434" s="58">
        <v>1</v>
      </c>
      <c r="I2434" s="58">
        <v>3</v>
      </c>
      <c r="J2434" s="58">
        <v>2</v>
      </c>
      <c r="K2434" s="59">
        <v>2</v>
      </c>
      <c r="L2434" s="60">
        <f t="shared" si="74"/>
        <v>0.48935255543384243</v>
      </c>
    </row>
    <row r="2435" spans="1:13" x14ac:dyDescent="0.2">
      <c r="A2435" s="67" t="s">
        <v>153</v>
      </c>
      <c r="B2435" s="54" t="s">
        <v>18</v>
      </c>
      <c r="C2435" s="55" t="s">
        <v>14</v>
      </c>
      <c r="D2435" s="44">
        <v>1.555091946041696E-4</v>
      </c>
      <c r="E2435" s="15" t="s">
        <v>133</v>
      </c>
      <c r="F2435" s="57" t="s">
        <v>16</v>
      </c>
      <c r="G2435" s="58">
        <v>1</v>
      </c>
      <c r="H2435" s="58">
        <v>1</v>
      </c>
      <c r="I2435" s="58">
        <v>3</v>
      </c>
      <c r="J2435" s="58">
        <v>2</v>
      </c>
      <c r="K2435" s="59">
        <v>2</v>
      </c>
      <c r="L2435" s="60">
        <f t="shared" si="74"/>
        <v>0.48935255543384243</v>
      </c>
    </row>
    <row r="2436" spans="1:13" x14ac:dyDescent="0.2">
      <c r="A2436" s="67" t="s">
        <v>153</v>
      </c>
      <c r="B2436" s="54" t="s">
        <v>20</v>
      </c>
      <c r="C2436" s="55" t="s">
        <v>14</v>
      </c>
      <c r="D2436" s="44">
        <v>9.6755015764706416E-3</v>
      </c>
      <c r="E2436" s="15" t="s">
        <v>133</v>
      </c>
      <c r="F2436" s="57" t="s">
        <v>16</v>
      </c>
      <c r="G2436" s="58">
        <v>1</v>
      </c>
      <c r="H2436" s="58">
        <v>1</v>
      </c>
      <c r="I2436" s="58">
        <v>3</v>
      </c>
      <c r="J2436" s="58">
        <v>2</v>
      </c>
      <c r="K2436" s="59">
        <v>2</v>
      </c>
      <c r="L2436" s="60">
        <f t="shared" si="74"/>
        <v>0.48935255543384243</v>
      </c>
    </row>
    <row r="2437" spans="1:13" x14ac:dyDescent="0.2">
      <c r="A2437" s="67" t="s">
        <v>153</v>
      </c>
      <c r="B2437" s="54" t="s">
        <v>22</v>
      </c>
      <c r="C2437" s="55" t="s">
        <v>14</v>
      </c>
      <c r="D2437" s="44">
        <v>1.6159763999501899E-2</v>
      </c>
      <c r="E2437" s="15" t="s">
        <v>133</v>
      </c>
      <c r="F2437" s="57" t="s">
        <v>16</v>
      </c>
      <c r="G2437" s="58">
        <v>1</v>
      </c>
      <c r="H2437" s="58">
        <v>1</v>
      </c>
      <c r="I2437" s="58">
        <v>3</v>
      </c>
      <c r="J2437" s="58">
        <v>2</v>
      </c>
      <c r="K2437" s="59">
        <v>2</v>
      </c>
      <c r="L2437" s="60">
        <f>IF( OR( ISBLANK(G2437),ISBLANK(H2437), ISBLANK(I2437), ISBLANK(J2437), ISBLANK(K2437) ), "", 1.5*SQRT(   EXP(2.21*(G2437-1)) + EXP(2.21*(H2437-1)) + EXP(2.21*(I2437-1)) + EXP(2.21*(J2437-1)) + EXP(2.21*K2437)   )/100*2.45 )</f>
        <v>0.48935255543384243</v>
      </c>
    </row>
    <row r="2438" spans="1:13" x14ac:dyDescent="0.2">
      <c r="A2438" s="67" t="s">
        <v>153</v>
      </c>
      <c r="B2438" s="54" t="s">
        <v>23</v>
      </c>
      <c r="C2438" s="55" t="s">
        <v>14</v>
      </c>
      <c r="D2438" s="44">
        <v>5.4752629637045101E-3</v>
      </c>
      <c r="E2438" s="15" t="s">
        <v>133</v>
      </c>
      <c r="F2438" s="57" t="s">
        <v>16</v>
      </c>
      <c r="G2438" s="58">
        <v>1</v>
      </c>
      <c r="H2438" s="58">
        <v>1</v>
      </c>
      <c r="I2438" s="58">
        <v>3</v>
      </c>
      <c r="J2438" s="58">
        <v>2</v>
      </c>
      <c r="K2438" s="59">
        <v>2</v>
      </c>
      <c r="L2438" s="60">
        <f t="shared" ref="L2438:L2469" si="75">IF( OR( ISBLANK(G2438),ISBLANK(H2438), ISBLANK(I2438), ISBLANK(J2438), ISBLANK(K2438) ), "", 1.5*SQRT( EXP(2.21*(G2438-1)) + EXP(2.21*(H2438-1)) + EXP(2.21*(I2438-1)) + EXP(2.21*(J2438-1)) + EXP(2.21*K2438) )/100*2.45 )</f>
        <v>0.48935255543384243</v>
      </c>
    </row>
    <row r="2439" spans="1:13" x14ac:dyDescent="0.2">
      <c r="A2439" s="67" t="s">
        <v>153</v>
      </c>
      <c r="B2439" s="54" t="s">
        <v>24</v>
      </c>
      <c r="C2439" s="55" t="s">
        <v>14</v>
      </c>
      <c r="D2439" s="44">
        <v>1.517963195751035E-2</v>
      </c>
      <c r="E2439" s="15" t="s">
        <v>133</v>
      </c>
      <c r="F2439" s="57" t="s">
        <v>16</v>
      </c>
      <c r="G2439" s="58">
        <v>1</v>
      </c>
      <c r="H2439" s="58">
        <v>1</v>
      </c>
      <c r="I2439" s="58">
        <v>3</v>
      </c>
      <c r="J2439" s="58">
        <v>2</v>
      </c>
      <c r="K2439" s="59">
        <v>2</v>
      </c>
      <c r="L2439" s="60">
        <f t="shared" si="75"/>
        <v>0.48935255543384243</v>
      </c>
    </row>
    <row r="2440" spans="1:13" x14ac:dyDescent="0.2">
      <c r="A2440" s="67" t="s">
        <v>153</v>
      </c>
      <c r="B2440" s="54" t="s">
        <v>25</v>
      </c>
      <c r="C2440" s="55" t="s">
        <v>14</v>
      </c>
      <c r="D2440" s="44">
        <v>3.1718667257326062E-2</v>
      </c>
      <c r="E2440" s="15" t="s">
        <v>133</v>
      </c>
      <c r="F2440" s="57" t="s">
        <v>16</v>
      </c>
      <c r="G2440" s="58">
        <v>1</v>
      </c>
      <c r="H2440" s="58">
        <v>1</v>
      </c>
      <c r="I2440" s="58">
        <v>3</v>
      </c>
      <c r="J2440" s="58">
        <v>2</v>
      </c>
      <c r="K2440" s="59">
        <v>2</v>
      </c>
      <c r="L2440" s="60">
        <f t="shared" si="75"/>
        <v>0.48935255543384243</v>
      </c>
    </row>
    <row r="2441" spans="1:13" x14ac:dyDescent="0.2">
      <c r="A2441" s="67" t="s">
        <v>153</v>
      </c>
      <c r="B2441" s="54" t="s">
        <v>26</v>
      </c>
      <c r="C2441" s="55" t="s">
        <v>14</v>
      </c>
      <c r="D2441" s="44">
        <v>8.1114042343414128E-4</v>
      </c>
      <c r="E2441" s="15" t="s">
        <v>133</v>
      </c>
      <c r="F2441" s="57" t="s">
        <v>16</v>
      </c>
      <c r="G2441" s="58">
        <v>1</v>
      </c>
      <c r="H2441" s="58">
        <v>1</v>
      </c>
      <c r="I2441" s="58">
        <v>3</v>
      </c>
      <c r="J2441" s="58">
        <v>2</v>
      </c>
      <c r="K2441" s="59">
        <v>2</v>
      </c>
      <c r="L2441" s="60">
        <f t="shared" si="75"/>
        <v>0.48935255543384243</v>
      </c>
    </row>
    <row r="2442" spans="1:13" x14ac:dyDescent="0.2">
      <c r="A2442" s="67" t="s">
        <v>153</v>
      </c>
      <c r="B2442" s="54" t="s">
        <v>27</v>
      </c>
      <c r="C2442" s="55" t="s">
        <v>14</v>
      </c>
      <c r="D2442" s="44">
        <v>1.1200307920847389E-2</v>
      </c>
      <c r="E2442" s="15" t="s">
        <v>133</v>
      </c>
      <c r="F2442" s="57" t="s">
        <v>16</v>
      </c>
      <c r="G2442" s="58">
        <v>1</v>
      </c>
      <c r="H2442" s="58">
        <v>1</v>
      </c>
      <c r="I2442" s="58">
        <v>3</v>
      </c>
      <c r="J2442" s="58">
        <v>2</v>
      </c>
      <c r="K2442" s="59">
        <v>2</v>
      </c>
      <c r="L2442" s="60">
        <f t="shared" si="75"/>
        <v>0.48935255543384243</v>
      </c>
    </row>
    <row r="2443" spans="1:13" x14ac:dyDescent="0.2">
      <c r="A2443" s="67" t="s">
        <v>153</v>
      </c>
      <c r="B2443" s="54" t="s">
        <v>28</v>
      </c>
      <c r="C2443" s="55" t="s">
        <v>14</v>
      </c>
      <c r="D2443" s="44">
        <v>0.142168449944096</v>
      </c>
      <c r="E2443" s="15" t="s">
        <v>133</v>
      </c>
      <c r="F2443" s="57" t="s">
        <v>16</v>
      </c>
      <c r="G2443" s="58">
        <v>1</v>
      </c>
      <c r="H2443" s="58">
        <v>1</v>
      </c>
      <c r="I2443" s="58">
        <v>3</v>
      </c>
      <c r="J2443" s="58">
        <v>2</v>
      </c>
      <c r="K2443" s="59">
        <v>2</v>
      </c>
      <c r="L2443" s="60">
        <f t="shared" si="75"/>
        <v>0.48935255543384243</v>
      </c>
    </row>
    <row r="2444" spans="1:13" x14ac:dyDescent="0.2">
      <c r="A2444" s="67" t="s">
        <v>153</v>
      </c>
      <c r="B2444" s="54" t="s">
        <v>30</v>
      </c>
      <c r="C2444" s="55" t="s">
        <v>14</v>
      </c>
      <c r="D2444" s="44">
        <v>2.4001988514551681E-2</v>
      </c>
      <c r="E2444" s="15" t="s">
        <v>133</v>
      </c>
      <c r="F2444" s="57" t="s">
        <v>16</v>
      </c>
      <c r="G2444" s="58">
        <v>1</v>
      </c>
      <c r="H2444" s="58">
        <v>1</v>
      </c>
      <c r="I2444" s="58">
        <v>3</v>
      </c>
      <c r="J2444" s="58">
        <v>2</v>
      </c>
      <c r="K2444" s="59">
        <v>2</v>
      </c>
      <c r="L2444" s="60">
        <f t="shared" si="75"/>
        <v>0.48935255543384243</v>
      </c>
    </row>
    <row r="2445" spans="1:13" x14ac:dyDescent="0.2">
      <c r="A2445" s="67" t="s">
        <v>153</v>
      </c>
      <c r="B2445" s="54" t="s">
        <v>32</v>
      </c>
      <c r="C2445" s="55" t="s">
        <v>14</v>
      </c>
      <c r="D2445" s="44">
        <v>9.8020767600892816E-2</v>
      </c>
      <c r="E2445" s="15" t="s">
        <v>133</v>
      </c>
      <c r="F2445" s="57" t="s">
        <v>16</v>
      </c>
      <c r="G2445" s="58">
        <v>1</v>
      </c>
      <c r="H2445" s="58">
        <v>1</v>
      </c>
      <c r="I2445" s="58">
        <v>3</v>
      </c>
      <c r="J2445" s="58">
        <v>2</v>
      </c>
      <c r="K2445" s="59">
        <v>2</v>
      </c>
      <c r="L2445" s="60">
        <f t="shared" si="75"/>
        <v>0.48935255543384243</v>
      </c>
    </row>
    <row r="2446" spans="1:13" x14ac:dyDescent="0.2">
      <c r="A2446" s="67" t="s">
        <v>153</v>
      </c>
      <c r="B2446" s="54" t="s">
        <v>34</v>
      </c>
      <c r="C2446" s="55" t="s">
        <v>14</v>
      </c>
      <c r="D2446" s="44">
        <v>1.371745117477116E-2</v>
      </c>
      <c r="E2446" s="15" t="s">
        <v>133</v>
      </c>
      <c r="F2446" s="57" t="s">
        <v>16</v>
      </c>
      <c r="G2446" s="58">
        <v>1</v>
      </c>
      <c r="H2446" s="58">
        <v>1</v>
      </c>
      <c r="I2446" s="58">
        <v>3</v>
      </c>
      <c r="J2446" s="58">
        <v>2</v>
      </c>
      <c r="K2446" s="59">
        <v>2</v>
      </c>
      <c r="L2446" s="60">
        <f t="shared" si="75"/>
        <v>0.48935255543384243</v>
      </c>
    </row>
    <row r="2447" spans="1:13" x14ac:dyDescent="0.2">
      <c r="A2447" s="67" t="s">
        <v>153</v>
      </c>
      <c r="B2447" s="54" t="s">
        <v>36</v>
      </c>
      <c r="C2447" s="55" t="s">
        <v>14</v>
      </c>
      <c r="D2447" s="44">
        <v>2.8088904080113039E-2</v>
      </c>
      <c r="E2447" s="15" t="s">
        <v>133</v>
      </c>
      <c r="F2447" s="57" t="s">
        <v>16</v>
      </c>
      <c r="G2447" s="58">
        <v>1</v>
      </c>
      <c r="H2447" s="58">
        <v>1</v>
      </c>
      <c r="I2447" s="58">
        <v>3</v>
      </c>
      <c r="J2447" s="58">
        <v>2</v>
      </c>
      <c r="K2447" s="59">
        <v>2</v>
      </c>
      <c r="L2447" s="60">
        <f t="shared" si="75"/>
        <v>0.48935255543384243</v>
      </c>
    </row>
    <row r="2448" spans="1:13" x14ac:dyDescent="0.2">
      <c r="A2448" s="67" t="s">
        <v>153</v>
      </c>
      <c r="B2448" s="54" t="s">
        <v>37</v>
      </c>
      <c r="C2448" s="55" t="s">
        <v>14</v>
      </c>
      <c r="D2448" s="44">
        <v>9.3595894096363139E-2</v>
      </c>
      <c r="E2448" s="15" t="s">
        <v>133</v>
      </c>
      <c r="F2448" s="57" t="s">
        <v>16</v>
      </c>
      <c r="G2448" s="58">
        <v>1</v>
      </c>
      <c r="H2448" s="58">
        <v>1</v>
      </c>
      <c r="I2448" s="58">
        <v>3</v>
      </c>
      <c r="J2448" s="58">
        <v>2</v>
      </c>
      <c r="K2448" s="59">
        <v>2</v>
      </c>
      <c r="L2448" s="60">
        <f t="shared" si="75"/>
        <v>0.48935255543384243</v>
      </c>
    </row>
    <row r="2449" spans="1:13" x14ac:dyDescent="0.2">
      <c r="A2449" s="67" t="s">
        <v>153</v>
      </c>
      <c r="B2449" s="54" t="s">
        <v>39</v>
      </c>
      <c r="C2449" s="55" t="s">
        <v>14</v>
      </c>
      <c r="D2449" s="44">
        <v>5.3382809410890662E-4</v>
      </c>
      <c r="E2449" s="15" t="s">
        <v>133</v>
      </c>
      <c r="F2449" s="57" t="s">
        <v>16</v>
      </c>
      <c r="G2449" s="58">
        <v>1</v>
      </c>
      <c r="H2449" s="58">
        <v>1</v>
      </c>
      <c r="I2449" s="58">
        <v>3</v>
      </c>
      <c r="J2449" s="58">
        <v>2</v>
      </c>
      <c r="K2449" s="59">
        <v>2</v>
      </c>
      <c r="L2449" s="60">
        <f t="shared" si="75"/>
        <v>0.48935255543384243</v>
      </c>
    </row>
    <row r="2450" spans="1:13" x14ac:dyDescent="0.2">
      <c r="A2450" s="67" t="s">
        <v>153</v>
      </c>
      <c r="B2450" s="54" t="s">
        <v>40</v>
      </c>
      <c r="C2450" s="55" t="s">
        <v>14</v>
      </c>
      <c r="D2450" s="44">
        <v>3.3315054707198049E-3</v>
      </c>
      <c r="E2450" s="15" t="s">
        <v>133</v>
      </c>
      <c r="F2450" s="57" t="s">
        <v>16</v>
      </c>
      <c r="G2450" s="58">
        <v>1</v>
      </c>
      <c r="H2450" s="58">
        <v>1</v>
      </c>
      <c r="I2450" s="58">
        <v>3</v>
      </c>
      <c r="J2450" s="58">
        <v>2</v>
      </c>
      <c r="K2450" s="59">
        <v>2</v>
      </c>
      <c r="L2450" s="60">
        <f t="shared" si="75"/>
        <v>0.48935255543384243</v>
      </c>
    </row>
    <row r="2451" spans="1:13" x14ac:dyDescent="0.2">
      <c r="A2451" s="67" t="s">
        <v>153</v>
      </c>
      <c r="B2451" s="54" t="s">
        <v>41</v>
      </c>
      <c r="C2451" s="55" t="s">
        <v>14</v>
      </c>
      <c r="D2451" s="61">
        <v>0</v>
      </c>
      <c r="E2451" s="15"/>
      <c r="F2451" s="57" t="s">
        <v>16</v>
      </c>
      <c r="G2451" s="61"/>
      <c r="H2451" s="61"/>
      <c r="I2451" s="61"/>
      <c r="J2451" s="61"/>
      <c r="K2451" s="62"/>
      <c r="L2451" s="63" t="str">
        <f t="shared" si="75"/>
        <v/>
      </c>
    </row>
    <row r="2452" spans="1:13" x14ac:dyDescent="0.2">
      <c r="A2452" s="67" t="s">
        <v>153</v>
      </c>
      <c r="B2452" s="54" t="s">
        <v>42</v>
      </c>
      <c r="C2452" s="55" t="s">
        <v>14</v>
      </c>
      <c r="D2452" s="44">
        <v>1.4754415502853909E-2</v>
      </c>
      <c r="E2452" s="15" t="s">
        <v>133</v>
      </c>
      <c r="F2452" s="57" t="s">
        <v>16</v>
      </c>
      <c r="G2452" s="58">
        <v>1</v>
      </c>
      <c r="H2452" s="58">
        <v>1</v>
      </c>
      <c r="I2452" s="58">
        <v>3</v>
      </c>
      <c r="J2452" s="58">
        <v>2</v>
      </c>
      <c r="K2452" s="59">
        <v>2</v>
      </c>
      <c r="L2452" s="60">
        <f t="shared" si="75"/>
        <v>0.48935255543384243</v>
      </c>
    </row>
    <row r="2453" spans="1:13" x14ac:dyDescent="0.2">
      <c r="A2453" s="67" t="s">
        <v>153</v>
      </c>
      <c r="B2453" s="54" t="s">
        <v>43</v>
      </c>
      <c r="C2453" s="55" t="s">
        <v>14</v>
      </c>
      <c r="D2453" s="44">
        <v>2.9801216565962688E-2</v>
      </c>
      <c r="E2453" s="15" t="s">
        <v>133</v>
      </c>
      <c r="F2453" s="57" t="s">
        <v>16</v>
      </c>
      <c r="G2453" s="58">
        <v>1</v>
      </c>
      <c r="H2453" s="58">
        <v>1</v>
      </c>
      <c r="I2453" s="58">
        <v>3</v>
      </c>
      <c r="J2453" s="58">
        <v>2</v>
      </c>
      <c r="K2453" s="59">
        <v>2</v>
      </c>
      <c r="L2453" s="60">
        <f t="shared" si="75"/>
        <v>0.48935255543384243</v>
      </c>
    </row>
    <row r="2454" spans="1:13" x14ac:dyDescent="0.2">
      <c r="A2454" s="67" t="s">
        <v>153</v>
      </c>
      <c r="B2454" s="54" t="s">
        <v>45</v>
      </c>
      <c r="C2454" s="55" t="s">
        <v>14</v>
      </c>
      <c r="D2454" s="44">
        <v>1.1089606542885331</v>
      </c>
      <c r="E2454" s="15" t="s">
        <v>133</v>
      </c>
      <c r="F2454" s="57" t="s">
        <v>16</v>
      </c>
      <c r="G2454" s="58">
        <v>1</v>
      </c>
      <c r="H2454" s="58">
        <v>1</v>
      </c>
      <c r="I2454" s="58">
        <v>3</v>
      </c>
      <c r="J2454" s="58">
        <v>2</v>
      </c>
      <c r="K2454" s="59">
        <v>2</v>
      </c>
      <c r="L2454" s="60">
        <f t="shared" si="75"/>
        <v>0.48935255543384243</v>
      </c>
    </row>
    <row r="2455" spans="1:13" x14ac:dyDescent="0.2">
      <c r="A2455" s="67" t="s">
        <v>153</v>
      </c>
      <c r="B2455" s="54" t="s">
        <v>46</v>
      </c>
      <c r="C2455" s="55" t="s">
        <v>14</v>
      </c>
      <c r="D2455" s="44">
        <v>3.3793731353831118E-2</v>
      </c>
      <c r="E2455" s="15" t="s">
        <v>133</v>
      </c>
      <c r="F2455" s="57" t="s">
        <v>16</v>
      </c>
      <c r="G2455" s="58">
        <v>1</v>
      </c>
      <c r="H2455" s="58">
        <v>1</v>
      </c>
      <c r="I2455" s="58">
        <v>3</v>
      </c>
      <c r="J2455" s="58">
        <v>2</v>
      </c>
      <c r="K2455" s="59">
        <v>2</v>
      </c>
      <c r="L2455" s="60">
        <f t="shared" si="75"/>
        <v>0.48935255543384243</v>
      </c>
    </row>
    <row r="2456" spans="1:13" x14ac:dyDescent="0.2">
      <c r="A2456" s="67" t="s">
        <v>153</v>
      </c>
      <c r="B2456" s="54" t="s">
        <v>48</v>
      </c>
      <c r="C2456" s="55" t="s">
        <v>14</v>
      </c>
      <c r="D2456" s="44">
        <v>1.5333660466481691E-2</v>
      </c>
      <c r="E2456" s="15" t="s">
        <v>133</v>
      </c>
      <c r="F2456" s="57" t="s">
        <v>16</v>
      </c>
      <c r="G2456" s="58">
        <v>1</v>
      </c>
      <c r="H2456" s="58">
        <v>1</v>
      </c>
      <c r="I2456" s="58">
        <v>3</v>
      </c>
      <c r="J2456" s="58">
        <v>2</v>
      </c>
      <c r="K2456" s="59">
        <v>2</v>
      </c>
      <c r="L2456" s="60">
        <f t="shared" si="75"/>
        <v>0.48935255543384243</v>
      </c>
    </row>
    <row r="2457" spans="1:13" x14ac:dyDescent="0.2">
      <c r="A2457" s="67" t="s">
        <v>153</v>
      </c>
      <c r="B2457" s="54" t="s">
        <v>50</v>
      </c>
      <c r="C2457" s="55" t="s">
        <v>14</v>
      </c>
      <c r="D2457" s="44">
        <v>9.2048050069291013E-3</v>
      </c>
      <c r="E2457" s="15" t="s">
        <v>133</v>
      </c>
      <c r="F2457" s="57" t="s">
        <v>16</v>
      </c>
      <c r="G2457" s="58">
        <v>1</v>
      </c>
      <c r="H2457" s="58">
        <v>1</v>
      </c>
      <c r="I2457" s="58">
        <v>3</v>
      </c>
      <c r="J2457" s="58">
        <v>2</v>
      </c>
      <c r="K2457" s="59">
        <v>2</v>
      </c>
      <c r="L2457" s="60">
        <f t="shared" si="75"/>
        <v>0.48935255543384243</v>
      </c>
    </row>
    <row r="2458" spans="1:13" x14ac:dyDescent="0.2">
      <c r="A2458" s="67" t="s">
        <v>153</v>
      </c>
      <c r="B2458" s="54" t="s">
        <v>52</v>
      </c>
      <c r="C2458" s="55" t="s">
        <v>14</v>
      </c>
      <c r="D2458" s="44">
        <v>1.7083689512496329E-3</v>
      </c>
      <c r="E2458" s="15" t="s">
        <v>133</v>
      </c>
      <c r="F2458" s="57" t="s">
        <v>16</v>
      </c>
      <c r="G2458" s="58">
        <v>1</v>
      </c>
      <c r="H2458" s="58">
        <v>1</v>
      </c>
      <c r="I2458" s="58">
        <v>3</v>
      </c>
      <c r="J2458" s="58">
        <v>2</v>
      </c>
      <c r="K2458" s="59">
        <v>2</v>
      </c>
      <c r="L2458" s="60">
        <f t="shared" si="75"/>
        <v>0.48935255543384243</v>
      </c>
    </row>
    <row r="2459" spans="1:13" x14ac:dyDescent="0.2">
      <c r="A2459" s="67" t="s">
        <v>153</v>
      </c>
      <c r="B2459" s="54" t="s">
        <v>54</v>
      </c>
      <c r="C2459" s="55" t="s">
        <v>14</v>
      </c>
      <c r="D2459" s="44">
        <v>1.244519994712603E-3</v>
      </c>
      <c r="E2459" s="15" t="s">
        <v>133</v>
      </c>
      <c r="F2459" s="57" t="s">
        <v>16</v>
      </c>
      <c r="G2459" s="58">
        <v>1</v>
      </c>
      <c r="H2459" s="58">
        <v>1</v>
      </c>
      <c r="I2459" s="58">
        <v>3</v>
      </c>
      <c r="J2459" s="58">
        <v>2</v>
      </c>
      <c r="K2459" s="59">
        <v>2</v>
      </c>
      <c r="L2459" s="60">
        <f t="shared" si="75"/>
        <v>0.48935255543384243</v>
      </c>
    </row>
    <row r="2460" spans="1:13" x14ac:dyDescent="0.2">
      <c r="A2460" s="67" t="s">
        <v>153</v>
      </c>
      <c r="B2460" s="54" t="s">
        <v>55</v>
      </c>
      <c r="C2460" s="55" t="s">
        <v>14</v>
      </c>
      <c r="D2460" s="44">
        <v>0.20359565177552691</v>
      </c>
      <c r="E2460" s="15" t="s">
        <v>133</v>
      </c>
      <c r="F2460" s="57" t="s">
        <v>16</v>
      </c>
      <c r="G2460" s="58">
        <v>1</v>
      </c>
      <c r="H2460" s="58">
        <v>1</v>
      </c>
      <c r="I2460" s="58">
        <v>3</v>
      </c>
      <c r="J2460" s="58">
        <v>2</v>
      </c>
      <c r="K2460" s="59">
        <v>2</v>
      </c>
      <c r="L2460" s="60">
        <f t="shared" si="75"/>
        <v>0.48935255543384243</v>
      </c>
    </row>
    <row r="2461" spans="1:13" x14ac:dyDescent="0.2">
      <c r="A2461" s="67" t="s">
        <v>153</v>
      </c>
      <c r="B2461" s="54" t="s">
        <v>57</v>
      </c>
      <c r="C2461" s="55" t="s">
        <v>14</v>
      </c>
      <c r="D2461" s="44">
        <v>9.0703527989627192E-3</v>
      </c>
      <c r="E2461" s="15" t="s">
        <v>133</v>
      </c>
      <c r="F2461" s="57" t="s">
        <v>16</v>
      </c>
      <c r="G2461" s="58">
        <v>1</v>
      </c>
      <c r="H2461" s="58">
        <v>1</v>
      </c>
      <c r="I2461" s="58">
        <v>3</v>
      </c>
      <c r="J2461" s="58">
        <v>2</v>
      </c>
      <c r="K2461" s="59">
        <v>2</v>
      </c>
      <c r="L2461" s="60">
        <f t="shared" si="75"/>
        <v>0.48935255543384243</v>
      </c>
    </row>
    <row r="2462" spans="1:13" x14ac:dyDescent="0.2">
      <c r="A2462" s="67" t="s">
        <v>153</v>
      </c>
      <c r="B2462" s="54" t="s">
        <v>59</v>
      </c>
      <c r="C2462" s="55" t="s">
        <v>14</v>
      </c>
      <c r="D2462" s="44">
        <v>1.7545752717516381E-3</v>
      </c>
      <c r="E2462" s="15" t="s">
        <v>133</v>
      </c>
      <c r="F2462" s="57" t="s">
        <v>16</v>
      </c>
      <c r="G2462" s="58">
        <v>1</v>
      </c>
      <c r="H2462" s="58">
        <v>1</v>
      </c>
      <c r="I2462" s="58">
        <v>3</v>
      </c>
      <c r="J2462" s="58">
        <v>2</v>
      </c>
      <c r="K2462" s="59">
        <v>2</v>
      </c>
      <c r="L2462" s="60">
        <f t="shared" si="75"/>
        <v>0.48935255543384243</v>
      </c>
    </row>
    <row r="2463" spans="1:13" x14ac:dyDescent="0.2">
      <c r="A2463" s="67" t="s">
        <v>153</v>
      </c>
      <c r="B2463" s="54" t="s">
        <v>60</v>
      </c>
      <c r="C2463" s="55" t="s">
        <v>14</v>
      </c>
      <c r="D2463" s="44">
        <v>0.16393735023415201</v>
      </c>
      <c r="E2463" s="15" t="s">
        <v>133</v>
      </c>
      <c r="F2463" s="57" t="s">
        <v>16</v>
      </c>
      <c r="G2463" s="58">
        <v>1</v>
      </c>
      <c r="H2463" s="58">
        <v>1</v>
      </c>
      <c r="I2463" s="58">
        <v>3</v>
      </c>
      <c r="J2463" s="58">
        <v>2</v>
      </c>
      <c r="K2463" s="59">
        <v>2</v>
      </c>
      <c r="L2463" s="60">
        <f t="shared" si="75"/>
        <v>0.48935255543384243</v>
      </c>
    </row>
    <row r="2464" spans="1:13" x14ac:dyDescent="0.2">
      <c r="A2464" s="67" t="s">
        <v>153</v>
      </c>
      <c r="B2464" s="54" t="s">
        <v>13</v>
      </c>
      <c r="C2464" s="64" t="s">
        <v>62</v>
      </c>
      <c r="D2464" s="44">
        <v>3.3794685242766439E-3</v>
      </c>
      <c r="E2464" s="15" t="s">
        <v>133</v>
      </c>
      <c r="F2464" s="57" t="s">
        <v>16</v>
      </c>
      <c r="G2464" s="58">
        <v>1</v>
      </c>
      <c r="H2464" s="58">
        <v>1</v>
      </c>
      <c r="I2464" s="58">
        <v>3</v>
      </c>
      <c r="J2464" s="58">
        <v>2</v>
      </c>
      <c r="K2464" s="59">
        <v>2</v>
      </c>
      <c r="L2464" s="60">
        <f t="shared" si="75"/>
        <v>0.48935255543384243</v>
      </c>
      <c r="M2464" t="s">
        <v>146</v>
      </c>
    </row>
    <row r="2465" spans="1:12" x14ac:dyDescent="0.2">
      <c r="A2465" s="67" t="s">
        <v>153</v>
      </c>
      <c r="B2465" s="54" t="s">
        <v>18</v>
      </c>
      <c r="C2465" s="64" t="s">
        <v>62</v>
      </c>
      <c r="D2465" s="44">
        <v>1.555091946041696E-4</v>
      </c>
      <c r="E2465" s="15" t="s">
        <v>133</v>
      </c>
      <c r="F2465" s="57" t="s">
        <v>16</v>
      </c>
      <c r="G2465" s="58">
        <v>1</v>
      </c>
      <c r="H2465" s="58">
        <v>1</v>
      </c>
      <c r="I2465" s="58">
        <v>3</v>
      </c>
      <c r="J2465" s="58">
        <v>2</v>
      </c>
      <c r="K2465" s="59">
        <v>2</v>
      </c>
      <c r="L2465" s="60">
        <f t="shared" si="75"/>
        <v>0.48935255543384243</v>
      </c>
    </row>
    <row r="2466" spans="1:12" x14ac:dyDescent="0.2">
      <c r="A2466" s="67" t="s">
        <v>153</v>
      </c>
      <c r="B2466" s="54" t="s">
        <v>20</v>
      </c>
      <c r="C2466" s="64" t="s">
        <v>62</v>
      </c>
      <c r="D2466" s="44">
        <v>9.6755015764706416E-3</v>
      </c>
      <c r="E2466" s="15" t="s">
        <v>133</v>
      </c>
      <c r="F2466" s="57" t="s">
        <v>16</v>
      </c>
      <c r="G2466" s="58">
        <v>1</v>
      </c>
      <c r="H2466" s="58">
        <v>1</v>
      </c>
      <c r="I2466" s="58">
        <v>3</v>
      </c>
      <c r="J2466" s="58">
        <v>2</v>
      </c>
      <c r="K2466" s="59">
        <v>2</v>
      </c>
      <c r="L2466" s="60">
        <f t="shared" si="75"/>
        <v>0.48935255543384243</v>
      </c>
    </row>
    <row r="2467" spans="1:12" x14ac:dyDescent="0.2">
      <c r="A2467" s="67" t="s">
        <v>153</v>
      </c>
      <c r="B2467" s="54" t="s">
        <v>22</v>
      </c>
      <c r="C2467" s="64" t="s">
        <v>62</v>
      </c>
      <c r="D2467" s="44">
        <v>1.6159763999501899E-2</v>
      </c>
      <c r="E2467" s="15" t="s">
        <v>133</v>
      </c>
      <c r="F2467" s="57" t="s">
        <v>16</v>
      </c>
      <c r="G2467" s="58">
        <v>1</v>
      </c>
      <c r="H2467" s="58">
        <v>1</v>
      </c>
      <c r="I2467" s="58">
        <v>3</v>
      </c>
      <c r="J2467" s="58">
        <v>2</v>
      </c>
      <c r="K2467" s="59">
        <v>2</v>
      </c>
      <c r="L2467" s="60">
        <f t="shared" si="75"/>
        <v>0.48935255543384243</v>
      </c>
    </row>
    <row r="2468" spans="1:12" x14ac:dyDescent="0.2">
      <c r="A2468" s="67" t="s">
        <v>153</v>
      </c>
      <c r="B2468" s="54" t="s">
        <v>23</v>
      </c>
      <c r="C2468" s="64" t="s">
        <v>62</v>
      </c>
      <c r="D2468" s="44">
        <v>5.4752629637045101E-3</v>
      </c>
      <c r="E2468" s="15" t="s">
        <v>133</v>
      </c>
      <c r="F2468" s="57" t="s">
        <v>16</v>
      </c>
      <c r="G2468" s="58">
        <v>1</v>
      </c>
      <c r="H2468" s="58">
        <v>1</v>
      </c>
      <c r="I2468" s="58">
        <v>3</v>
      </c>
      <c r="J2468" s="58">
        <v>2</v>
      </c>
      <c r="K2468" s="59">
        <v>2</v>
      </c>
      <c r="L2468" s="60">
        <f t="shared" si="75"/>
        <v>0.48935255543384243</v>
      </c>
    </row>
    <row r="2469" spans="1:12" x14ac:dyDescent="0.2">
      <c r="A2469" s="67" t="s">
        <v>153</v>
      </c>
      <c r="B2469" s="54" t="s">
        <v>24</v>
      </c>
      <c r="C2469" s="64" t="s">
        <v>62</v>
      </c>
      <c r="D2469" s="44">
        <v>1.517963195751035E-2</v>
      </c>
      <c r="E2469" s="15" t="s">
        <v>133</v>
      </c>
      <c r="F2469" s="57" t="s">
        <v>16</v>
      </c>
      <c r="G2469" s="58">
        <v>1</v>
      </c>
      <c r="H2469" s="58">
        <v>1</v>
      </c>
      <c r="I2469" s="58">
        <v>3</v>
      </c>
      <c r="J2469" s="58">
        <v>2</v>
      </c>
      <c r="K2469" s="59">
        <v>2</v>
      </c>
      <c r="L2469" s="60">
        <f t="shared" si="75"/>
        <v>0.48935255543384243</v>
      </c>
    </row>
    <row r="2470" spans="1:12" x14ac:dyDescent="0.2">
      <c r="A2470" s="67" t="s">
        <v>153</v>
      </c>
      <c r="B2470" s="54" t="s">
        <v>25</v>
      </c>
      <c r="C2470" s="64" t="s">
        <v>62</v>
      </c>
      <c r="D2470" s="44">
        <v>3.1718667257326062E-2</v>
      </c>
      <c r="E2470" s="15" t="s">
        <v>133</v>
      </c>
      <c r="F2470" s="57" t="s">
        <v>16</v>
      </c>
      <c r="G2470" s="58">
        <v>1</v>
      </c>
      <c r="H2470" s="58">
        <v>1</v>
      </c>
      <c r="I2470" s="58">
        <v>3</v>
      </c>
      <c r="J2470" s="58">
        <v>2</v>
      </c>
      <c r="K2470" s="59">
        <v>2</v>
      </c>
      <c r="L2470" s="60">
        <f t="shared" ref="L2470:L2500" si="76">IF( OR( ISBLANK(G2470),ISBLANK(H2470), ISBLANK(I2470), ISBLANK(J2470), ISBLANK(K2470) ), "", 1.5*SQRT( EXP(2.21*(G2470-1)) + EXP(2.21*(H2470-1)) + EXP(2.21*(I2470-1)) + EXP(2.21*(J2470-1)) + EXP(2.21*K2470) )/100*2.45 )</f>
        <v>0.48935255543384243</v>
      </c>
    </row>
    <row r="2471" spans="1:12" x14ac:dyDescent="0.2">
      <c r="A2471" s="67" t="s">
        <v>153</v>
      </c>
      <c r="B2471" s="54" t="s">
        <v>26</v>
      </c>
      <c r="C2471" s="64" t="s">
        <v>62</v>
      </c>
      <c r="D2471" s="44">
        <v>8.1114042343414128E-4</v>
      </c>
      <c r="E2471" s="15" t="s">
        <v>133</v>
      </c>
      <c r="F2471" s="57" t="s">
        <v>16</v>
      </c>
      <c r="G2471" s="58">
        <v>1</v>
      </c>
      <c r="H2471" s="58">
        <v>1</v>
      </c>
      <c r="I2471" s="58">
        <v>3</v>
      </c>
      <c r="J2471" s="58">
        <v>2</v>
      </c>
      <c r="K2471" s="59">
        <v>2</v>
      </c>
      <c r="L2471" s="60">
        <f t="shared" si="76"/>
        <v>0.48935255543384243</v>
      </c>
    </row>
    <row r="2472" spans="1:12" x14ac:dyDescent="0.2">
      <c r="A2472" s="67" t="s">
        <v>153</v>
      </c>
      <c r="B2472" s="54" t="s">
        <v>27</v>
      </c>
      <c r="C2472" s="64" t="s">
        <v>62</v>
      </c>
      <c r="D2472" s="44">
        <v>1.1200307920847389E-2</v>
      </c>
      <c r="E2472" s="15" t="s">
        <v>133</v>
      </c>
      <c r="F2472" s="57" t="s">
        <v>16</v>
      </c>
      <c r="G2472" s="58">
        <v>1</v>
      </c>
      <c r="H2472" s="58">
        <v>1</v>
      </c>
      <c r="I2472" s="58">
        <v>3</v>
      </c>
      <c r="J2472" s="58">
        <v>2</v>
      </c>
      <c r="K2472" s="59">
        <v>2</v>
      </c>
      <c r="L2472" s="60">
        <f t="shared" si="76"/>
        <v>0.48935255543384243</v>
      </c>
    </row>
    <row r="2473" spans="1:12" x14ac:dyDescent="0.2">
      <c r="A2473" s="67" t="s">
        <v>153</v>
      </c>
      <c r="B2473" s="54" t="s">
        <v>28</v>
      </c>
      <c r="C2473" s="64" t="s">
        <v>62</v>
      </c>
      <c r="D2473" s="44">
        <v>0.142168449944096</v>
      </c>
      <c r="E2473" s="15" t="s">
        <v>133</v>
      </c>
      <c r="F2473" s="57" t="s">
        <v>16</v>
      </c>
      <c r="G2473" s="58">
        <v>1</v>
      </c>
      <c r="H2473" s="58">
        <v>1</v>
      </c>
      <c r="I2473" s="58">
        <v>3</v>
      </c>
      <c r="J2473" s="58">
        <v>2</v>
      </c>
      <c r="K2473" s="59">
        <v>2</v>
      </c>
      <c r="L2473" s="60">
        <f t="shared" si="76"/>
        <v>0.48935255543384243</v>
      </c>
    </row>
    <row r="2474" spans="1:12" x14ac:dyDescent="0.2">
      <c r="A2474" s="67" t="s">
        <v>153</v>
      </c>
      <c r="B2474" s="54" t="s">
        <v>30</v>
      </c>
      <c r="C2474" s="64" t="s">
        <v>62</v>
      </c>
      <c r="D2474" s="44">
        <v>2.4001988514551681E-2</v>
      </c>
      <c r="E2474" s="15" t="s">
        <v>133</v>
      </c>
      <c r="F2474" s="57" t="s">
        <v>16</v>
      </c>
      <c r="G2474" s="58">
        <v>1</v>
      </c>
      <c r="H2474" s="58">
        <v>1</v>
      </c>
      <c r="I2474" s="58">
        <v>3</v>
      </c>
      <c r="J2474" s="58">
        <v>2</v>
      </c>
      <c r="K2474" s="59">
        <v>2</v>
      </c>
      <c r="L2474" s="60">
        <f t="shared" si="76"/>
        <v>0.48935255543384243</v>
      </c>
    </row>
    <row r="2475" spans="1:12" x14ac:dyDescent="0.2">
      <c r="A2475" s="67" t="s">
        <v>153</v>
      </c>
      <c r="B2475" s="54" t="s">
        <v>32</v>
      </c>
      <c r="C2475" s="64" t="s">
        <v>62</v>
      </c>
      <c r="D2475" s="44">
        <v>9.8020767600892816E-2</v>
      </c>
      <c r="E2475" s="15" t="s">
        <v>133</v>
      </c>
      <c r="F2475" s="57" t="s">
        <v>16</v>
      </c>
      <c r="G2475" s="58">
        <v>1</v>
      </c>
      <c r="H2475" s="58">
        <v>1</v>
      </c>
      <c r="I2475" s="58">
        <v>3</v>
      </c>
      <c r="J2475" s="58">
        <v>2</v>
      </c>
      <c r="K2475" s="59">
        <v>2</v>
      </c>
      <c r="L2475" s="60">
        <f t="shared" si="76"/>
        <v>0.48935255543384243</v>
      </c>
    </row>
    <row r="2476" spans="1:12" x14ac:dyDescent="0.2">
      <c r="A2476" s="67" t="s">
        <v>153</v>
      </c>
      <c r="B2476" s="54" t="s">
        <v>34</v>
      </c>
      <c r="C2476" s="64" t="s">
        <v>62</v>
      </c>
      <c r="D2476" s="44">
        <v>1.371745117477116E-2</v>
      </c>
      <c r="E2476" s="15" t="s">
        <v>133</v>
      </c>
      <c r="F2476" s="57" t="s">
        <v>16</v>
      </c>
      <c r="G2476" s="58">
        <v>1</v>
      </c>
      <c r="H2476" s="58">
        <v>1</v>
      </c>
      <c r="I2476" s="58">
        <v>3</v>
      </c>
      <c r="J2476" s="58">
        <v>2</v>
      </c>
      <c r="K2476" s="59">
        <v>2</v>
      </c>
      <c r="L2476" s="60">
        <f t="shared" si="76"/>
        <v>0.48935255543384243</v>
      </c>
    </row>
    <row r="2477" spans="1:12" x14ac:dyDescent="0.2">
      <c r="A2477" s="67" t="s">
        <v>153</v>
      </c>
      <c r="B2477" s="54" t="s">
        <v>36</v>
      </c>
      <c r="C2477" s="64" t="s">
        <v>62</v>
      </c>
      <c r="D2477" s="44">
        <v>2.8088904080113039E-2</v>
      </c>
      <c r="E2477" s="15" t="s">
        <v>133</v>
      </c>
      <c r="F2477" s="57" t="s">
        <v>16</v>
      </c>
      <c r="G2477" s="58">
        <v>1</v>
      </c>
      <c r="H2477" s="58">
        <v>1</v>
      </c>
      <c r="I2477" s="58">
        <v>3</v>
      </c>
      <c r="J2477" s="58">
        <v>2</v>
      </c>
      <c r="K2477" s="59">
        <v>2</v>
      </c>
      <c r="L2477" s="60">
        <f t="shared" si="76"/>
        <v>0.48935255543384243</v>
      </c>
    </row>
    <row r="2478" spans="1:12" x14ac:dyDescent="0.2">
      <c r="A2478" s="67" t="s">
        <v>153</v>
      </c>
      <c r="B2478" s="54" t="s">
        <v>37</v>
      </c>
      <c r="C2478" s="64" t="s">
        <v>62</v>
      </c>
      <c r="D2478" s="44">
        <v>9.3595894096363139E-2</v>
      </c>
      <c r="E2478" s="15" t="s">
        <v>133</v>
      </c>
      <c r="F2478" s="57" t="s">
        <v>16</v>
      </c>
      <c r="G2478" s="58">
        <v>1</v>
      </c>
      <c r="H2478" s="58">
        <v>1</v>
      </c>
      <c r="I2478" s="58">
        <v>3</v>
      </c>
      <c r="J2478" s="58">
        <v>2</v>
      </c>
      <c r="K2478" s="59">
        <v>2</v>
      </c>
      <c r="L2478" s="60">
        <f t="shared" si="76"/>
        <v>0.48935255543384243</v>
      </c>
    </row>
    <row r="2479" spans="1:12" x14ac:dyDescent="0.2">
      <c r="A2479" s="67" t="s">
        <v>153</v>
      </c>
      <c r="B2479" s="54" t="s">
        <v>39</v>
      </c>
      <c r="C2479" s="64" t="s">
        <v>62</v>
      </c>
      <c r="D2479" s="44">
        <v>5.3382809410890662E-4</v>
      </c>
      <c r="E2479" s="15" t="s">
        <v>133</v>
      </c>
      <c r="F2479" s="57" t="s">
        <v>16</v>
      </c>
      <c r="G2479" s="58">
        <v>1</v>
      </c>
      <c r="H2479" s="58">
        <v>1</v>
      </c>
      <c r="I2479" s="58">
        <v>3</v>
      </c>
      <c r="J2479" s="58">
        <v>2</v>
      </c>
      <c r="K2479" s="59">
        <v>2</v>
      </c>
      <c r="L2479" s="60">
        <f t="shared" si="76"/>
        <v>0.48935255543384243</v>
      </c>
    </row>
    <row r="2480" spans="1:12" x14ac:dyDescent="0.2">
      <c r="A2480" s="67" t="s">
        <v>153</v>
      </c>
      <c r="B2480" s="54" t="s">
        <v>40</v>
      </c>
      <c r="C2480" s="64" t="s">
        <v>62</v>
      </c>
      <c r="D2480" s="44">
        <v>3.3315054707198049E-3</v>
      </c>
      <c r="E2480" s="15" t="s">
        <v>133</v>
      </c>
      <c r="F2480" s="57" t="s">
        <v>16</v>
      </c>
      <c r="G2480" s="58">
        <v>1</v>
      </c>
      <c r="H2480" s="58">
        <v>1</v>
      </c>
      <c r="I2480" s="58">
        <v>3</v>
      </c>
      <c r="J2480" s="58">
        <v>2</v>
      </c>
      <c r="K2480" s="59">
        <v>2</v>
      </c>
      <c r="L2480" s="60">
        <f t="shared" si="76"/>
        <v>0.48935255543384243</v>
      </c>
    </row>
    <row r="2481" spans="1:12" x14ac:dyDescent="0.2">
      <c r="A2481" s="67" t="s">
        <v>153</v>
      </c>
      <c r="B2481" s="54" t="s">
        <v>41</v>
      </c>
      <c r="C2481" s="64" t="s">
        <v>62</v>
      </c>
      <c r="D2481" s="61">
        <v>0</v>
      </c>
      <c r="E2481" s="15"/>
      <c r="F2481" s="57" t="s">
        <v>16</v>
      </c>
      <c r="G2481" s="61"/>
      <c r="H2481" s="61"/>
      <c r="I2481" s="61"/>
      <c r="J2481" s="61"/>
      <c r="K2481" s="62"/>
      <c r="L2481" s="63" t="str">
        <f t="shared" si="76"/>
        <v/>
      </c>
    </row>
    <row r="2482" spans="1:12" x14ac:dyDescent="0.2">
      <c r="A2482" s="67" t="s">
        <v>153</v>
      </c>
      <c r="B2482" s="54" t="s">
        <v>42</v>
      </c>
      <c r="C2482" s="64" t="s">
        <v>62</v>
      </c>
      <c r="D2482" s="44">
        <v>1.4754415502853909E-2</v>
      </c>
      <c r="E2482" s="15" t="s">
        <v>133</v>
      </c>
      <c r="F2482" s="57" t="s">
        <v>16</v>
      </c>
      <c r="G2482" s="58">
        <v>1</v>
      </c>
      <c r="H2482" s="58">
        <v>1</v>
      </c>
      <c r="I2482" s="58">
        <v>3</v>
      </c>
      <c r="J2482" s="58">
        <v>2</v>
      </c>
      <c r="K2482" s="59">
        <v>2</v>
      </c>
      <c r="L2482" s="60">
        <f t="shared" si="76"/>
        <v>0.48935255543384243</v>
      </c>
    </row>
    <row r="2483" spans="1:12" x14ac:dyDescent="0.2">
      <c r="A2483" s="67" t="s">
        <v>153</v>
      </c>
      <c r="B2483" s="54" t="s">
        <v>43</v>
      </c>
      <c r="C2483" s="64" t="s">
        <v>62</v>
      </c>
      <c r="D2483" s="44">
        <v>2.9801216565962688E-2</v>
      </c>
      <c r="E2483" s="15" t="s">
        <v>133</v>
      </c>
      <c r="F2483" s="57" t="s">
        <v>16</v>
      </c>
      <c r="G2483" s="58">
        <v>1</v>
      </c>
      <c r="H2483" s="58">
        <v>1</v>
      </c>
      <c r="I2483" s="58">
        <v>3</v>
      </c>
      <c r="J2483" s="58">
        <v>2</v>
      </c>
      <c r="K2483" s="59">
        <v>2</v>
      </c>
      <c r="L2483" s="60">
        <f t="shared" si="76"/>
        <v>0.48935255543384243</v>
      </c>
    </row>
    <row r="2484" spans="1:12" x14ac:dyDescent="0.2">
      <c r="A2484" s="67" t="s">
        <v>153</v>
      </c>
      <c r="B2484" s="54" t="s">
        <v>45</v>
      </c>
      <c r="C2484" s="64" t="s">
        <v>62</v>
      </c>
      <c r="D2484" s="44">
        <v>1.1089606542885331</v>
      </c>
      <c r="E2484" s="15" t="s">
        <v>133</v>
      </c>
      <c r="F2484" s="57" t="s">
        <v>16</v>
      </c>
      <c r="G2484" s="58">
        <v>1</v>
      </c>
      <c r="H2484" s="58">
        <v>1</v>
      </c>
      <c r="I2484" s="58">
        <v>3</v>
      </c>
      <c r="J2484" s="58">
        <v>2</v>
      </c>
      <c r="K2484" s="59">
        <v>2</v>
      </c>
      <c r="L2484" s="60">
        <f t="shared" si="76"/>
        <v>0.48935255543384243</v>
      </c>
    </row>
    <row r="2485" spans="1:12" x14ac:dyDescent="0.2">
      <c r="A2485" s="67" t="s">
        <v>153</v>
      </c>
      <c r="B2485" s="54" t="s">
        <v>46</v>
      </c>
      <c r="C2485" s="64" t="s">
        <v>62</v>
      </c>
      <c r="D2485" s="44">
        <v>3.3793731353831118E-2</v>
      </c>
      <c r="E2485" s="15" t="s">
        <v>133</v>
      </c>
      <c r="F2485" s="57" t="s">
        <v>16</v>
      </c>
      <c r="G2485" s="58">
        <v>1</v>
      </c>
      <c r="H2485" s="58">
        <v>1</v>
      </c>
      <c r="I2485" s="58">
        <v>3</v>
      </c>
      <c r="J2485" s="58">
        <v>2</v>
      </c>
      <c r="K2485" s="59">
        <v>2</v>
      </c>
      <c r="L2485" s="60">
        <f t="shared" si="76"/>
        <v>0.48935255543384243</v>
      </c>
    </row>
    <row r="2486" spans="1:12" x14ac:dyDescent="0.2">
      <c r="A2486" s="67" t="s">
        <v>153</v>
      </c>
      <c r="B2486" s="54" t="s">
        <v>48</v>
      </c>
      <c r="C2486" s="64" t="s">
        <v>62</v>
      </c>
      <c r="D2486" s="44">
        <v>1.5333660466481691E-2</v>
      </c>
      <c r="E2486" s="15" t="s">
        <v>133</v>
      </c>
      <c r="F2486" s="57" t="s">
        <v>16</v>
      </c>
      <c r="G2486" s="58">
        <v>1</v>
      </c>
      <c r="H2486" s="58">
        <v>1</v>
      </c>
      <c r="I2486" s="58">
        <v>3</v>
      </c>
      <c r="J2486" s="58">
        <v>2</v>
      </c>
      <c r="K2486" s="59">
        <v>2</v>
      </c>
      <c r="L2486" s="60">
        <f t="shared" si="76"/>
        <v>0.48935255543384243</v>
      </c>
    </row>
    <row r="2487" spans="1:12" x14ac:dyDescent="0.2">
      <c r="A2487" s="67" t="s">
        <v>153</v>
      </c>
      <c r="B2487" s="54" t="s">
        <v>50</v>
      </c>
      <c r="C2487" s="64" t="s">
        <v>62</v>
      </c>
      <c r="D2487" s="44">
        <v>9.2048050069291013E-3</v>
      </c>
      <c r="E2487" s="15" t="s">
        <v>133</v>
      </c>
      <c r="F2487" s="57" t="s">
        <v>16</v>
      </c>
      <c r="G2487" s="58">
        <v>1</v>
      </c>
      <c r="H2487" s="58">
        <v>1</v>
      </c>
      <c r="I2487" s="58">
        <v>3</v>
      </c>
      <c r="J2487" s="58">
        <v>2</v>
      </c>
      <c r="K2487" s="59">
        <v>2</v>
      </c>
      <c r="L2487" s="60">
        <f t="shared" si="76"/>
        <v>0.48935255543384243</v>
      </c>
    </row>
    <row r="2488" spans="1:12" x14ac:dyDescent="0.2">
      <c r="A2488" s="67" t="s">
        <v>153</v>
      </c>
      <c r="B2488" s="54" t="s">
        <v>52</v>
      </c>
      <c r="C2488" s="64" t="s">
        <v>62</v>
      </c>
      <c r="D2488" s="44">
        <v>1.7083689512496329E-3</v>
      </c>
      <c r="E2488" s="15" t="s">
        <v>133</v>
      </c>
      <c r="F2488" s="57" t="s">
        <v>16</v>
      </c>
      <c r="G2488" s="58">
        <v>1</v>
      </c>
      <c r="H2488" s="58">
        <v>1</v>
      </c>
      <c r="I2488" s="58">
        <v>3</v>
      </c>
      <c r="J2488" s="58">
        <v>2</v>
      </c>
      <c r="K2488" s="59">
        <v>2</v>
      </c>
      <c r="L2488" s="60">
        <f t="shared" si="76"/>
        <v>0.48935255543384243</v>
      </c>
    </row>
    <row r="2489" spans="1:12" x14ac:dyDescent="0.2">
      <c r="A2489" s="67" t="s">
        <v>153</v>
      </c>
      <c r="B2489" s="54" t="s">
        <v>54</v>
      </c>
      <c r="C2489" s="64" t="s">
        <v>62</v>
      </c>
      <c r="D2489" s="44">
        <v>1.244519994712603E-3</v>
      </c>
      <c r="E2489" s="15" t="s">
        <v>133</v>
      </c>
      <c r="F2489" s="57" t="s">
        <v>16</v>
      </c>
      <c r="G2489" s="58">
        <v>1</v>
      </c>
      <c r="H2489" s="58">
        <v>1</v>
      </c>
      <c r="I2489" s="58">
        <v>3</v>
      </c>
      <c r="J2489" s="58">
        <v>2</v>
      </c>
      <c r="K2489" s="59">
        <v>2</v>
      </c>
      <c r="L2489" s="60">
        <f t="shared" si="76"/>
        <v>0.48935255543384243</v>
      </c>
    </row>
    <row r="2490" spans="1:12" x14ac:dyDescent="0.2">
      <c r="A2490" s="67" t="s">
        <v>153</v>
      </c>
      <c r="B2490" s="54" t="s">
        <v>55</v>
      </c>
      <c r="C2490" s="64" t="s">
        <v>62</v>
      </c>
      <c r="D2490" s="44">
        <v>0.20359565177552691</v>
      </c>
      <c r="E2490" s="15" t="s">
        <v>133</v>
      </c>
      <c r="F2490" s="57" t="s">
        <v>16</v>
      </c>
      <c r="G2490" s="58">
        <v>1</v>
      </c>
      <c r="H2490" s="58">
        <v>1</v>
      </c>
      <c r="I2490" s="58">
        <v>3</v>
      </c>
      <c r="J2490" s="58">
        <v>2</v>
      </c>
      <c r="K2490" s="59">
        <v>2</v>
      </c>
      <c r="L2490" s="60">
        <f t="shared" si="76"/>
        <v>0.48935255543384243</v>
      </c>
    </row>
    <row r="2491" spans="1:12" x14ac:dyDescent="0.2">
      <c r="A2491" s="67" t="s">
        <v>153</v>
      </c>
      <c r="B2491" s="54" t="s">
        <v>57</v>
      </c>
      <c r="C2491" s="64" t="s">
        <v>62</v>
      </c>
      <c r="D2491" s="44">
        <v>9.0703527989627192E-3</v>
      </c>
      <c r="E2491" s="15" t="s">
        <v>133</v>
      </c>
      <c r="F2491" s="57" t="s">
        <v>16</v>
      </c>
      <c r="G2491" s="58">
        <v>1</v>
      </c>
      <c r="H2491" s="58">
        <v>1</v>
      </c>
      <c r="I2491" s="58">
        <v>3</v>
      </c>
      <c r="J2491" s="58">
        <v>2</v>
      </c>
      <c r="K2491" s="59">
        <v>2</v>
      </c>
      <c r="L2491" s="60">
        <f t="shared" si="76"/>
        <v>0.48935255543384243</v>
      </c>
    </row>
    <row r="2492" spans="1:12" x14ac:dyDescent="0.2">
      <c r="A2492" s="67" t="s">
        <v>153</v>
      </c>
      <c r="B2492" s="54" t="s">
        <v>59</v>
      </c>
      <c r="C2492" s="64" t="s">
        <v>62</v>
      </c>
      <c r="D2492" s="44">
        <v>1.7545752717516381E-3</v>
      </c>
      <c r="E2492" s="15" t="s">
        <v>133</v>
      </c>
      <c r="F2492" s="57" t="s">
        <v>16</v>
      </c>
      <c r="G2492" s="58">
        <v>1</v>
      </c>
      <c r="H2492" s="58">
        <v>1</v>
      </c>
      <c r="I2492" s="58">
        <v>3</v>
      </c>
      <c r="J2492" s="58">
        <v>2</v>
      </c>
      <c r="K2492" s="59">
        <v>2</v>
      </c>
      <c r="L2492" s="60">
        <f t="shared" si="76"/>
        <v>0.48935255543384243</v>
      </c>
    </row>
    <row r="2493" spans="1:12" x14ac:dyDescent="0.2">
      <c r="A2493" s="67" t="s">
        <v>153</v>
      </c>
      <c r="B2493" s="54" t="s">
        <v>60</v>
      </c>
      <c r="C2493" s="64" t="s">
        <v>62</v>
      </c>
      <c r="D2493" s="44">
        <v>0.16393735023415201</v>
      </c>
      <c r="E2493" s="15" t="s">
        <v>133</v>
      </c>
      <c r="F2493" s="57" t="s">
        <v>16</v>
      </c>
      <c r="G2493" s="58">
        <v>1</v>
      </c>
      <c r="H2493" s="58">
        <v>1</v>
      </c>
      <c r="I2493" s="58">
        <v>3</v>
      </c>
      <c r="J2493" s="58">
        <v>2</v>
      </c>
      <c r="K2493" s="59">
        <v>2</v>
      </c>
      <c r="L2493" s="60">
        <f t="shared" si="76"/>
        <v>0.48935255543384243</v>
      </c>
    </row>
    <row r="2494" spans="1:12" x14ac:dyDescent="0.2">
      <c r="A2494" s="67" t="s">
        <v>153</v>
      </c>
      <c r="B2494" s="54" t="s">
        <v>13</v>
      </c>
      <c r="C2494" s="65" t="s">
        <v>64</v>
      </c>
      <c r="D2494" s="44">
        <v>1.478517479371032E-3</v>
      </c>
      <c r="E2494" s="15" t="s">
        <v>133</v>
      </c>
      <c r="F2494" s="57" t="s">
        <v>16</v>
      </c>
      <c r="G2494" s="58">
        <v>1</v>
      </c>
      <c r="H2494" s="58">
        <v>1</v>
      </c>
      <c r="I2494" s="58">
        <v>3</v>
      </c>
      <c r="J2494" s="58">
        <v>2</v>
      </c>
      <c r="K2494" s="59">
        <v>2</v>
      </c>
      <c r="L2494" s="60">
        <f t="shared" si="76"/>
        <v>0.48935255543384243</v>
      </c>
    </row>
    <row r="2495" spans="1:12" x14ac:dyDescent="0.2">
      <c r="A2495" s="67" t="s">
        <v>153</v>
      </c>
      <c r="B2495" s="54" t="s">
        <v>18</v>
      </c>
      <c r="C2495" s="65" t="s">
        <v>64</v>
      </c>
      <c r="D2495" s="44">
        <v>6.8035272639324198E-5</v>
      </c>
      <c r="E2495" s="15" t="s">
        <v>133</v>
      </c>
      <c r="F2495" s="57" t="s">
        <v>16</v>
      </c>
      <c r="G2495" s="58">
        <v>1</v>
      </c>
      <c r="H2495" s="58">
        <v>1</v>
      </c>
      <c r="I2495" s="58">
        <v>3</v>
      </c>
      <c r="J2495" s="58">
        <v>2</v>
      </c>
      <c r="K2495" s="59">
        <v>2</v>
      </c>
      <c r="L2495" s="60">
        <f t="shared" si="76"/>
        <v>0.48935255543384243</v>
      </c>
    </row>
    <row r="2496" spans="1:12" x14ac:dyDescent="0.2">
      <c r="A2496" s="67" t="s">
        <v>153</v>
      </c>
      <c r="B2496" s="54" t="s">
        <v>20</v>
      </c>
      <c r="C2496" s="65" t="s">
        <v>64</v>
      </c>
      <c r="D2496" s="44">
        <v>4.2330319397059059E-3</v>
      </c>
      <c r="E2496" s="15" t="s">
        <v>133</v>
      </c>
      <c r="F2496" s="57" t="s">
        <v>16</v>
      </c>
      <c r="G2496" s="58">
        <v>1</v>
      </c>
      <c r="H2496" s="58">
        <v>1</v>
      </c>
      <c r="I2496" s="58">
        <v>3</v>
      </c>
      <c r="J2496" s="58">
        <v>2</v>
      </c>
      <c r="K2496" s="59">
        <v>2</v>
      </c>
      <c r="L2496" s="60">
        <f t="shared" si="76"/>
        <v>0.48935255543384243</v>
      </c>
    </row>
    <row r="2497" spans="1:12" x14ac:dyDescent="0.2">
      <c r="A2497" s="67" t="s">
        <v>153</v>
      </c>
      <c r="B2497" s="54" t="s">
        <v>22</v>
      </c>
      <c r="C2497" s="65" t="s">
        <v>64</v>
      </c>
      <c r="D2497" s="44">
        <v>7.0698967497820836E-3</v>
      </c>
      <c r="E2497" s="15" t="s">
        <v>133</v>
      </c>
      <c r="F2497" s="57" t="s">
        <v>16</v>
      </c>
      <c r="G2497" s="58">
        <v>1</v>
      </c>
      <c r="H2497" s="58">
        <v>1</v>
      </c>
      <c r="I2497" s="58">
        <v>3</v>
      </c>
      <c r="J2497" s="58">
        <v>2</v>
      </c>
      <c r="K2497" s="59">
        <v>2</v>
      </c>
      <c r="L2497" s="60">
        <f t="shared" si="76"/>
        <v>0.48935255543384243</v>
      </c>
    </row>
    <row r="2498" spans="1:12" x14ac:dyDescent="0.2">
      <c r="A2498" s="67" t="s">
        <v>153</v>
      </c>
      <c r="B2498" s="54" t="s">
        <v>23</v>
      </c>
      <c r="C2498" s="65" t="s">
        <v>64</v>
      </c>
      <c r="D2498" s="44">
        <v>2.395427546620723E-3</v>
      </c>
      <c r="E2498" s="15" t="s">
        <v>133</v>
      </c>
      <c r="F2498" s="57" t="s">
        <v>16</v>
      </c>
      <c r="G2498" s="58">
        <v>1</v>
      </c>
      <c r="H2498" s="58">
        <v>1</v>
      </c>
      <c r="I2498" s="58">
        <v>3</v>
      </c>
      <c r="J2498" s="58">
        <v>2</v>
      </c>
      <c r="K2498" s="59">
        <v>2</v>
      </c>
      <c r="L2498" s="60">
        <f t="shared" si="76"/>
        <v>0.48935255543384243</v>
      </c>
    </row>
    <row r="2499" spans="1:12" x14ac:dyDescent="0.2">
      <c r="A2499" s="67" t="s">
        <v>153</v>
      </c>
      <c r="B2499" s="54" t="s">
        <v>24</v>
      </c>
      <c r="C2499" s="65" t="s">
        <v>64</v>
      </c>
      <c r="D2499" s="44">
        <v>6.6410889814107806E-3</v>
      </c>
      <c r="E2499" s="15" t="s">
        <v>133</v>
      </c>
      <c r="F2499" s="57" t="s">
        <v>16</v>
      </c>
      <c r="G2499" s="58">
        <v>1</v>
      </c>
      <c r="H2499" s="58">
        <v>1</v>
      </c>
      <c r="I2499" s="58">
        <v>3</v>
      </c>
      <c r="J2499" s="58">
        <v>2</v>
      </c>
      <c r="K2499" s="59">
        <v>2</v>
      </c>
      <c r="L2499" s="60">
        <f t="shared" si="76"/>
        <v>0.48935255543384243</v>
      </c>
    </row>
    <row r="2500" spans="1:12" x14ac:dyDescent="0.2">
      <c r="A2500" s="67" t="s">
        <v>153</v>
      </c>
      <c r="B2500" s="54" t="s">
        <v>25</v>
      </c>
      <c r="C2500" s="65" t="s">
        <v>64</v>
      </c>
      <c r="D2500" s="44">
        <v>1.3876916925080149E-2</v>
      </c>
      <c r="E2500" s="15" t="s">
        <v>133</v>
      </c>
      <c r="F2500" s="57" t="s">
        <v>16</v>
      </c>
      <c r="G2500" s="58">
        <v>1</v>
      </c>
      <c r="H2500" s="58">
        <v>1</v>
      </c>
      <c r="I2500" s="58">
        <v>3</v>
      </c>
      <c r="J2500" s="58">
        <v>2</v>
      </c>
      <c r="K2500" s="59">
        <v>2</v>
      </c>
      <c r="L2500" s="60">
        <f t="shared" si="76"/>
        <v>0.48935255543384243</v>
      </c>
    </row>
    <row r="2501" spans="1:12" x14ac:dyDescent="0.2">
      <c r="A2501" s="67" t="s">
        <v>153</v>
      </c>
      <c r="B2501" s="54" t="s">
        <v>26</v>
      </c>
      <c r="C2501" s="65" t="s">
        <v>64</v>
      </c>
      <c r="D2501" s="44">
        <v>3.5487393525243682E-4</v>
      </c>
      <c r="E2501" s="15" t="s">
        <v>133</v>
      </c>
      <c r="F2501" s="57" t="s">
        <v>16</v>
      </c>
      <c r="G2501" s="58">
        <v>1</v>
      </c>
      <c r="H2501" s="58">
        <v>1</v>
      </c>
      <c r="I2501" s="58">
        <v>3</v>
      </c>
      <c r="J2501" s="58">
        <v>2</v>
      </c>
      <c r="K2501" s="59">
        <v>2</v>
      </c>
      <c r="L2501" s="60">
        <f>IF( OR( ISBLANK(G2501),ISBLANK(H2501), ISBLANK(I2501), ISBLANK(J2501), ISBLANK(K2501) ), "", 1.5*SQRT(   EXP(2.21*(G2501-1)) + EXP(2.21*(H2501-1)) + EXP(2.21*(I2501-1)) + EXP(2.21*(J2501-1)) + EXP(2.21*K2501)   )/100*2.45 )</f>
        <v>0.48935255543384243</v>
      </c>
    </row>
    <row r="2502" spans="1:12" x14ac:dyDescent="0.2">
      <c r="A2502" s="67" t="s">
        <v>153</v>
      </c>
      <c r="B2502" s="54" t="s">
        <v>27</v>
      </c>
      <c r="C2502" s="65" t="s">
        <v>64</v>
      </c>
      <c r="D2502" s="44">
        <v>4.9001347153707336E-3</v>
      </c>
      <c r="E2502" s="15" t="s">
        <v>133</v>
      </c>
      <c r="F2502" s="57" t="s">
        <v>16</v>
      </c>
      <c r="G2502" s="58">
        <v>1</v>
      </c>
      <c r="H2502" s="58">
        <v>1</v>
      </c>
      <c r="I2502" s="58">
        <v>3</v>
      </c>
      <c r="J2502" s="58">
        <v>2</v>
      </c>
      <c r="K2502" s="59">
        <v>2</v>
      </c>
      <c r="L2502" s="60">
        <f t="shared" ref="L2502:L2527" si="77">IF( OR( ISBLANK(G2502),ISBLANK(H2502), ISBLANK(I2502), ISBLANK(J2502), ISBLANK(K2502) ), "", 1.5*SQRT( EXP(2.21*(G2502-1)) + EXP(2.21*(H2502-1)) + EXP(2.21*(I2502-1)) + EXP(2.21*(J2502-1)) + EXP(2.21*K2502) )/100*2.45 )</f>
        <v>0.48935255543384243</v>
      </c>
    </row>
    <row r="2503" spans="1:12" x14ac:dyDescent="0.2">
      <c r="A2503" s="67" t="s">
        <v>153</v>
      </c>
      <c r="B2503" s="54" t="s">
        <v>28</v>
      </c>
      <c r="C2503" s="65" t="s">
        <v>64</v>
      </c>
      <c r="D2503" s="44">
        <v>6.2198696850542003E-2</v>
      </c>
      <c r="E2503" s="15" t="s">
        <v>133</v>
      </c>
      <c r="F2503" s="57" t="s">
        <v>16</v>
      </c>
      <c r="G2503" s="58">
        <v>1</v>
      </c>
      <c r="H2503" s="58">
        <v>1</v>
      </c>
      <c r="I2503" s="58">
        <v>3</v>
      </c>
      <c r="J2503" s="58">
        <v>2</v>
      </c>
      <c r="K2503" s="59">
        <v>2</v>
      </c>
      <c r="L2503" s="60">
        <f t="shared" si="77"/>
        <v>0.48935255543384243</v>
      </c>
    </row>
    <row r="2504" spans="1:12" x14ac:dyDescent="0.2">
      <c r="A2504" s="67" t="s">
        <v>153</v>
      </c>
      <c r="B2504" s="54" t="s">
        <v>30</v>
      </c>
      <c r="C2504" s="65" t="s">
        <v>64</v>
      </c>
      <c r="D2504" s="44">
        <v>1.050086997511636E-2</v>
      </c>
      <c r="E2504" s="15" t="s">
        <v>133</v>
      </c>
      <c r="F2504" s="57" t="s">
        <v>16</v>
      </c>
      <c r="G2504" s="58">
        <v>1</v>
      </c>
      <c r="H2504" s="58">
        <v>1</v>
      </c>
      <c r="I2504" s="58">
        <v>3</v>
      </c>
      <c r="J2504" s="58">
        <v>2</v>
      </c>
      <c r="K2504" s="59">
        <v>2</v>
      </c>
      <c r="L2504" s="60">
        <f t="shared" si="77"/>
        <v>0.48935255543384243</v>
      </c>
    </row>
    <row r="2505" spans="1:12" x14ac:dyDescent="0.2">
      <c r="A2505" s="67" t="s">
        <v>153</v>
      </c>
      <c r="B2505" s="54" t="s">
        <v>32</v>
      </c>
      <c r="C2505" s="65" t="s">
        <v>64</v>
      </c>
      <c r="D2505" s="44">
        <v>4.2884085825390612E-2</v>
      </c>
      <c r="E2505" s="15" t="s">
        <v>133</v>
      </c>
      <c r="F2505" s="57" t="s">
        <v>16</v>
      </c>
      <c r="G2505" s="58">
        <v>1</v>
      </c>
      <c r="H2505" s="58">
        <v>1</v>
      </c>
      <c r="I2505" s="58">
        <v>3</v>
      </c>
      <c r="J2505" s="58">
        <v>2</v>
      </c>
      <c r="K2505" s="59">
        <v>2</v>
      </c>
      <c r="L2505" s="60">
        <f t="shared" si="77"/>
        <v>0.48935255543384243</v>
      </c>
    </row>
    <row r="2506" spans="1:12" x14ac:dyDescent="0.2">
      <c r="A2506" s="67" t="s">
        <v>153</v>
      </c>
      <c r="B2506" s="54" t="s">
        <v>34</v>
      </c>
      <c r="C2506" s="65" t="s">
        <v>64</v>
      </c>
      <c r="D2506" s="44">
        <v>6.001384888962384E-3</v>
      </c>
      <c r="E2506" s="15" t="s">
        <v>133</v>
      </c>
      <c r="F2506" s="57" t="s">
        <v>16</v>
      </c>
      <c r="G2506" s="58">
        <v>1</v>
      </c>
      <c r="H2506" s="58">
        <v>1</v>
      </c>
      <c r="I2506" s="58">
        <v>3</v>
      </c>
      <c r="J2506" s="58">
        <v>2</v>
      </c>
      <c r="K2506" s="59">
        <v>2</v>
      </c>
      <c r="L2506" s="60">
        <f t="shared" si="77"/>
        <v>0.48935255543384243</v>
      </c>
    </row>
    <row r="2507" spans="1:12" x14ac:dyDescent="0.2">
      <c r="A2507" s="67" t="s">
        <v>153</v>
      </c>
      <c r="B2507" s="54" t="s">
        <v>36</v>
      </c>
      <c r="C2507" s="65" t="s">
        <v>64</v>
      </c>
      <c r="D2507" s="44">
        <v>1.2288895535049461E-2</v>
      </c>
      <c r="E2507" s="15" t="s">
        <v>133</v>
      </c>
      <c r="F2507" s="57" t="s">
        <v>16</v>
      </c>
      <c r="G2507" s="58">
        <v>1</v>
      </c>
      <c r="H2507" s="58">
        <v>1</v>
      </c>
      <c r="I2507" s="58">
        <v>3</v>
      </c>
      <c r="J2507" s="58">
        <v>2</v>
      </c>
      <c r="K2507" s="59">
        <v>2</v>
      </c>
      <c r="L2507" s="60">
        <f t="shared" si="77"/>
        <v>0.48935255543384243</v>
      </c>
    </row>
    <row r="2508" spans="1:12" x14ac:dyDescent="0.2">
      <c r="A2508" s="67" t="s">
        <v>153</v>
      </c>
      <c r="B2508" s="54" t="s">
        <v>37</v>
      </c>
      <c r="C2508" s="65" t="s">
        <v>64</v>
      </c>
      <c r="D2508" s="44">
        <v>4.0948203667158872E-2</v>
      </c>
      <c r="E2508" s="15" t="s">
        <v>133</v>
      </c>
      <c r="F2508" s="57" t="s">
        <v>16</v>
      </c>
      <c r="G2508" s="58">
        <v>1</v>
      </c>
      <c r="H2508" s="58">
        <v>1</v>
      </c>
      <c r="I2508" s="58">
        <v>3</v>
      </c>
      <c r="J2508" s="58">
        <v>2</v>
      </c>
      <c r="K2508" s="59">
        <v>2</v>
      </c>
      <c r="L2508" s="60">
        <f t="shared" si="77"/>
        <v>0.48935255543384243</v>
      </c>
    </row>
    <row r="2509" spans="1:12" x14ac:dyDescent="0.2">
      <c r="A2509" s="67" t="s">
        <v>153</v>
      </c>
      <c r="B2509" s="54" t="s">
        <v>39</v>
      </c>
      <c r="C2509" s="65" t="s">
        <v>64</v>
      </c>
      <c r="D2509" s="44">
        <v>2.3354979117264671E-4</v>
      </c>
      <c r="E2509" s="15" t="s">
        <v>133</v>
      </c>
      <c r="F2509" s="57" t="s">
        <v>16</v>
      </c>
      <c r="G2509" s="58">
        <v>1</v>
      </c>
      <c r="H2509" s="58">
        <v>1</v>
      </c>
      <c r="I2509" s="58">
        <v>3</v>
      </c>
      <c r="J2509" s="58">
        <v>2</v>
      </c>
      <c r="K2509" s="59">
        <v>2</v>
      </c>
      <c r="L2509" s="60">
        <f t="shared" si="77"/>
        <v>0.48935255543384243</v>
      </c>
    </row>
    <row r="2510" spans="1:12" x14ac:dyDescent="0.2">
      <c r="A2510" s="67" t="s">
        <v>153</v>
      </c>
      <c r="B2510" s="54" t="s">
        <v>40</v>
      </c>
      <c r="C2510" s="65" t="s">
        <v>64</v>
      </c>
      <c r="D2510" s="44">
        <v>1.4575336434399151E-3</v>
      </c>
      <c r="E2510" s="15" t="s">
        <v>133</v>
      </c>
      <c r="F2510" s="57" t="s">
        <v>16</v>
      </c>
      <c r="G2510" s="58">
        <v>1</v>
      </c>
      <c r="H2510" s="58">
        <v>1</v>
      </c>
      <c r="I2510" s="58">
        <v>3</v>
      </c>
      <c r="J2510" s="58">
        <v>2</v>
      </c>
      <c r="K2510" s="59">
        <v>2</v>
      </c>
      <c r="L2510" s="60">
        <f t="shared" si="77"/>
        <v>0.48935255543384243</v>
      </c>
    </row>
    <row r="2511" spans="1:12" x14ac:dyDescent="0.2">
      <c r="A2511" s="67" t="s">
        <v>153</v>
      </c>
      <c r="B2511" s="54" t="s">
        <v>41</v>
      </c>
      <c r="C2511" s="65" t="s">
        <v>64</v>
      </c>
      <c r="D2511" s="61">
        <v>0</v>
      </c>
      <c r="E2511" s="15"/>
      <c r="F2511" s="57" t="s">
        <v>16</v>
      </c>
      <c r="G2511" s="61"/>
      <c r="H2511" s="61"/>
      <c r="I2511" s="61"/>
      <c r="J2511" s="61"/>
      <c r="K2511" s="62"/>
      <c r="L2511" s="63" t="str">
        <f t="shared" si="77"/>
        <v/>
      </c>
    </row>
    <row r="2512" spans="1:12" x14ac:dyDescent="0.2">
      <c r="A2512" s="67" t="s">
        <v>153</v>
      </c>
      <c r="B2512" s="54" t="s">
        <v>42</v>
      </c>
      <c r="C2512" s="65" t="s">
        <v>64</v>
      </c>
      <c r="D2512" s="44">
        <v>6.4550567824985866E-3</v>
      </c>
      <c r="E2512" s="15" t="s">
        <v>133</v>
      </c>
      <c r="F2512" s="57" t="s">
        <v>16</v>
      </c>
      <c r="G2512" s="58">
        <v>1</v>
      </c>
      <c r="H2512" s="58">
        <v>1</v>
      </c>
      <c r="I2512" s="58">
        <v>3</v>
      </c>
      <c r="J2512" s="58">
        <v>2</v>
      </c>
      <c r="K2512" s="59">
        <v>2</v>
      </c>
      <c r="L2512" s="60">
        <f t="shared" si="77"/>
        <v>0.48935255543384243</v>
      </c>
    </row>
    <row r="2513" spans="1:13" x14ac:dyDescent="0.2">
      <c r="A2513" s="67" t="s">
        <v>153</v>
      </c>
      <c r="B2513" s="54" t="s">
        <v>43</v>
      </c>
      <c r="C2513" s="65" t="s">
        <v>64</v>
      </c>
      <c r="D2513" s="44">
        <v>1.303803224760868E-2</v>
      </c>
      <c r="E2513" s="15" t="s">
        <v>133</v>
      </c>
      <c r="F2513" s="57" t="s">
        <v>16</v>
      </c>
      <c r="G2513" s="58">
        <v>1</v>
      </c>
      <c r="H2513" s="58">
        <v>1</v>
      </c>
      <c r="I2513" s="58">
        <v>3</v>
      </c>
      <c r="J2513" s="58">
        <v>2</v>
      </c>
      <c r="K2513" s="59">
        <v>2</v>
      </c>
      <c r="L2513" s="60">
        <f t="shared" si="77"/>
        <v>0.48935255543384243</v>
      </c>
    </row>
    <row r="2514" spans="1:13" x14ac:dyDescent="0.2">
      <c r="A2514" s="67" t="s">
        <v>153</v>
      </c>
      <c r="B2514" s="54" t="s">
        <v>45</v>
      </c>
      <c r="C2514" s="65" t="s">
        <v>64</v>
      </c>
      <c r="D2514" s="44">
        <v>0.48517028625123332</v>
      </c>
      <c r="E2514" s="15" t="s">
        <v>133</v>
      </c>
      <c r="F2514" s="57" t="s">
        <v>16</v>
      </c>
      <c r="G2514" s="58">
        <v>1</v>
      </c>
      <c r="H2514" s="58">
        <v>1</v>
      </c>
      <c r="I2514" s="58">
        <v>3</v>
      </c>
      <c r="J2514" s="58">
        <v>2</v>
      </c>
      <c r="K2514" s="59">
        <v>2</v>
      </c>
      <c r="L2514" s="60">
        <f t="shared" si="77"/>
        <v>0.48935255543384243</v>
      </c>
    </row>
    <row r="2515" spans="1:13" x14ac:dyDescent="0.2">
      <c r="A2515" s="67" t="s">
        <v>153</v>
      </c>
      <c r="B2515" s="54" t="s">
        <v>46</v>
      </c>
      <c r="C2515" s="65" t="s">
        <v>64</v>
      </c>
      <c r="D2515" s="44">
        <v>1.478475746730111E-2</v>
      </c>
      <c r="E2515" s="15" t="s">
        <v>133</v>
      </c>
      <c r="F2515" s="57" t="s">
        <v>16</v>
      </c>
      <c r="G2515" s="58">
        <v>1</v>
      </c>
      <c r="H2515" s="58">
        <v>1</v>
      </c>
      <c r="I2515" s="58">
        <v>3</v>
      </c>
      <c r="J2515" s="58">
        <v>2</v>
      </c>
      <c r="K2515" s="59">
        <v>2</v>
      </c>
      <c r="L2515" s="60">
        <f t="shared" si="77"/>
        <v>0.48935255543384243</v>
      </c>
    </row>
    <row r="2516" spans="1:13" x14ac:dyDescent="0.2">
      <c r="A2516" s="67" t="s">
        <v>153</v>
      </c>
      <c r="B2516" s="54" t="s">
        <v>48</v>
      </c>
      <c r="C2516" s="65" t="s">
        <v>64</v>
      </c>
      <c r="D2516" s="44">
        <v>6.7084764540857383E-3</v>
      </c>
      <c r="E2516" s="15" t="s">
        <v>133</v>
      </c>
      <c r="F2516" s="57" t="s">
        <v>16</v>
      </c>
      <c r="G2516" s="58">
        <v>1</v>
      </c>
      <c r="H2516" s="58">
        <v>1</v>
      </c>
      <c r="I2516" s="58">
        <v>3</v>
      </c>
      <c r="J2516" s="58">
        <v>2</v>
      </c>
      <c r="K2516" s="59">
        <v>2</v>
      </c>
      <c r="L2516" s="60">
        <f t="shared" si="77"/>
        <v>0.48935255543384243</v>
      </c>
    </row>
    <row r="2517" spans="1:13" x14ac:dyDescent="0.2">
      <c r="A2517" s="67" t="s">
        <v>153</v>
      </c>
      <c r="B2517" s="54" t="s">
        <v>50</v>
      </c>
      <c r="C2517" s="65" t="s">
        <v>64</v>
      </c>
      <c r="D2517" s="44">
        <v>4.0271021905314824E-3</v>
      </c>
      <c r="E2517" s="15" t="s">
        <v>133</v>
      </c>
      <c r="F2517" s="57" t="s">
        <v>16</v>
      </c>
      <c r="G2517" s="58">
        <v>1</v>
      </c>
      <c r="H2517" s="58">
        <v>1</v>
      </c>
      <c r="I2517" s="58">
        <v>3</v>
      </c>
      <c r="J2517" s="58">
        <v>2</v>
      </c>
      <c r="K2517" s="59">
        <v>2</v>
      </c>
      <c r="L2517" s="60">
        <f t="shared" si="77"/>
        <v>0.48935255543384243</v>
      </c>
    </row>
    <row r="2518" spans="1:13" x14ac:dyDescent="0.2">
      <c r="A2518" s="67" t="s">
        <v>153</v>
      </c>
      <c r="B2518" s="54" t="s">
        <v>52</v>
      </c>
      <c r="C2518" s="65" t="s">
        <v>64</v>
      </c>
      <c r="D2518" s="44">
        <v>7.4741141617171462E-4</v>
      </c>
      <c r="E2518" s="15" t="s">
        <v>133</v>
      </c>
      <c r="F2518" s="57" t="s">
        <v>16</v>
      </c>
      <c r="G2518" s="58">
        <v>1</v>
      </c>
      <c r="H2518" s="58">
        <v>1</v>
      </c>
      <c r="I2518" s="58">
        <v>3</v>
      </c>
      <c r="J2518" s="58">
        <v>2</v>
      </c>
      <c r="K2518" s="59">
        <v>2</v>
      </c>
      <c r="L2518" s="60">
        <f t="shared" si="77"/>
        <v>0.48935255543384243</v>
      </c>
    </row>
    <row r="2519" spans="1:13" x14ac:dyDescent="0.2">
      <c r="A2519" s="67" t="s">
        <v>153</v>
      </c>
      <c r="B2519" s="54" t="s">
        <v>54</v>
      </c>
      <c r="C2519" s="65" t="s">
        <v>64</v>
      </c>
      <c r="D2519" s="44">
        <v>5.4447749768676411E-4</v>
      </c>
      <c r="E2519" s="15" t="s">
        <v>133</v>
      </c>
      <c r="F2519" s="57" t="s">
        <v>16</v>
      </c>
      <c r="G2519" s="58">
        <v>1</v>
      </c>
      <c r="H2519" s="58">
        <v>1</v>
      </c>
      <c r="I2519" s="58">
        <v>3</v>
      </c>
      <c r="J2519" s="58">
        <v>2</v>
      </c>
      <c r="K2519" s="59">
        <v>2</v>
      </c>
      <c r="L2519" s="60">
        <f t="shared" si="77"/>
        <v>0.48935255543384243</v>
      </c>
    </row>
    <row r="2520" spans="1:13" x14ac:dyDescent="0.2">
      <c r="A2520" s="67" t="s">
        <v>153</v>
      </c>
      <c r="B2520" s="54" t="s">
        <v>55</v>
      </c>
      <c r="C2520" s="65" t="s">
        <v>64</v>
      </c>
      <c r="D2520" s="44">
        <v>8.9073097651793012E-2</v>
      </c>
      <c r="E2520" s="15" t="s">
        <v>133</v>
      </c>
      <c r="F2520" s="57" t="s">
        <v>16</v>
      </c>
      <c r="G2520" s="58">
        <v>1</v>
      </c>
      <c r="H2520" s="58">
        <v>1</v>
      </c>
      <c r="I2520" s="58">
        <v>3</v>
      </c>
      <c r="J2520" s="58">
        <v>2</v>
      </c>
      <c r="K2520" s="59">
        <v>2</v>
      </c>
      <c r="L2520" s="60">
        <f t="shared" si="77"/>
        <v>0.48935255543384243</v>
      </c>
    </row>
    <row r="2521" spans="1:13" x14ac:dyDescent="0.2">
      <c r="A2521" s="67" t="s">
        <v>153</v>
      </c>
      <c r="B2521" s="54" t="s">
        <v>57</v>
      </c>
      <c r="C2521" s="65" t="s">
        <v>64</v>
      </c>
      <c r="D2521" s="44">
        <v>3.9682793495461914E-3</v>
      </c>
      <c r="E2521" s="15" t="s">
        <v>133</v>
      </c>
      <c r="F2521" s="57" t="s">
        <v>16</v>
      </c>
      <c r="G2521" s="58">
        <v>1</v>
      </c>
      <c r="H2521" s="58">
        <v>1</v>
      </c>
      <c r="I2521" s="58">
        <v>3</v>
      </c>
      <c r="J2521" s="58">
        <v>2</v>
      </c>
      <c r="K2521" s="59">
        <v>2</v>
      </c>
      <c r="L2521" s="60">
        <f t="shared" si="77"/>
        <v>0.48935255543384243</v>
      </c>
    </row>
    <row r="2522" spans="1:13" x14ac:dyDescent="0.2">
      <c r="A2522" s="67" t="s">
        <v>153</v>
      </c>
      <c r="B2522" s="54" t="s">
        <v>59</v>
      </c>
      <c r="C2522" s="65" t="s">
        <v>64</v>
      </c>
      <c r="D2522" s="44">
        <v>7.6762668139134156E-4</v>
      </c>
      <c r="E2522" s="15" t="s">
        <v>133</v>
      </c>
      <c r="F2522" s="57" t="s">
        <v>16</v>
      </c>
      <c r="G2522" s="58">
        <v>1</v>
      </c>
      <c r="H2522" s="58">
        <v>1</v>
      </c>
      <c r="I2522" s="58">
        <v>3</v>
      </c>
      <c r="J2522" s="58">
        <v>2</v>
      </c>
      <c r="K2522" s="59">
        <v>2</v>
      </c>
      <c r="L2522" s="60">
        <f t="shared" si="77"/>
        <v>0.48935255543384243</v>
      </c>
    </row>
    <row r="2523" spans="1:13" x14ac:dyDescent="0.2">
      <c r="A2523" s="67" t="s">
        <v>153</v>
      </c>
      <c r="B2523" s="54" t="s">
        <v>60</v>
      </c>
      <c r="C2523" s="65" t="s">
        <v>64</v>
      </c>
      <c r="D2523" s="44">
        <v>7.1722590727441513E-2</v>
      </c>
      <c r="E2523" s="15" t="s">
        <v>133</v>
      </c>
      <c r="F2523" s="57" t="s">
        <v>16</v>
      </c>
      <c r="G2523" s="58">
        <v>1</v>
      </c>
      <c r="H2523" s="58">
        <v>1</v>
      </c>
      <c r="I2523" s="58">
        <v>3</v>
      </c>
      <c r="J2523" s="58">
        <v>2</v>
      </c>
      <c r="K2523" s="59">
        <v>2</v>
      </c>
      <c r="L2523" s="60">
        <f t="shared" si="77"/>
        <v>0.48935255543384243</v>
      </c>
    </row>
    <row r="2524" spans="1:13" x14ac:dyDescent="0.2">
      <c r="A2524" s="67" t="s">
        <v>153</v>
      </c>
      <c r="B2524" s="22" t="s">
        <v>135</v>
      </c>
      <c r="C2524" s="29" t="s">
        <v>66</v>
      </c>
      <c r="D2524" s="18">
        <v>0</v>
      </c>
      <c r="E2524" s="15"/>
      <c r="F2524" s="16"/>
      <c r="G2524" s="17"/>
      <c r="H2524" s="18"/>
      <c r="I2524" s="18"/>
      <c r="J2524" s="18"/>
      <c r="K2524" s="18"/>
      <c r="L2524" s="19" t="str">
        <f t="shared" si="77"/>
        <v/>
      </c>
      <c r="M2524" s="20"/>
    </row>
    <row r="2525" spans="1:13" x14ac:dyDescent="0.2">
      <c r="A2525" s="67" t="s">
        <v>153</v>
      </c>
      <c r="B2525" s="22" t="s">
        <v>135</v>
      </c>
      <c r="C2525" s="30" t="s">
        <v>94</v>
      </c>
      <c r="D2525" s="18">
        <v>0</v>
      </c>
      <c r="E2525" s="15"/>
      <c r="F2525" s="16"/>
      <c r="G2525" s="17"/>
      <c r="H2525" s="18"/>
      <c r="I2525" s="18"/>
      <c r="J2525" s="18"/>
      <c r="K2525" s="18"/>
      <c r="L2525" s="19" t="str">
        <f t="shared" si="77"/>
        <v/>
      </c>
      <c r="M2525" s="20"/>
    </row>
    <row r="2526" spans="1:13" x14ac:dyDescent="0.2">
      <c r="A2526" s="67" t="s">
        <v>153</v>
      </c>
      <c r="B2526" s="22" t="s">
        <v>135</v>
      </c>
      <c r="C2526" s="31" t="s">
        <v>96</v>
      </c>
      <c r="D2526" s="18">
        <v>0</v>
      </c>
      <c r="E2526" s="15"/>
      <c r="F2526" s="16"/>
      <c r="G2526" s="17"/>
      <c r="H2526" s="18"/>
      <c r="I2526" s="18"/>
      <c r="J2526" s="18"/>
      <c r="K2526" s="18"/>
      <c r="L2526" s="19" t="str">
        <f t="shared" si="77"/>
        <v/>
      </c>
      <c r="M2526" s="20"/>
    </row>
    <row r="2527" spans="1:13" x14ac:dyDescent="0.2">
      <c r="A2527" s="68" t="s">
        <v>153</v>
      </c>
      <c r="B2527" s="39" t="s">
        <v>135</v>
      </c>
      <c r="C2527" s="35" t="s">
        <v>98</v>
      </c>
      <c r="D2527" s="51">
        <v>0</v>
      </c>
      <c r="E2527" s="37"/>
      <c r="F2527" s="38"/>
      <c r="G2527" s="50"/>
      <c r="H2527" s="51"/>
      <c r="I2527" s="51"/>
      <c r="J2527" s="51"/>
      <c r="K2527" s="51"/>
      <c r="L2527" s="52" t="str">
        <f t="shared" si="77"/>
        <v/>
      </c>
      <c r="M2527" s="42"/>
    </row>
    <row r="2530" spans="4:4" x14ac:dyDescent="0.2">
      <c r="D2530" s="657"/>
    </row>
    <row r="2531" spans="4:4" x14ac:dyDescent="0.2">
      <c r="D2531" s="657"/>
    </row>
  </sheetData>
  <autoFilter ref="A1:M2527" xr:uid="{00000000-0009-0000-0000-000001000000}"/>
  <conditionalFormatting sqref="G1:K421 G545:K545 G547:K552 G555:K556 G558:K563 G565:K566 G570:K570 G573:K575 G578:K579 G581:K581 G584:K584 G586:K586 G589:K593 G595:K596 G598:K600 G603:K605 G608:K609 G611:K612 G616:K616 G620:K623 G625:K625 G627:K628 G630:K630 G632:K635 G637:K643 G646:K646 G650:K665 G667:K671 G674:K683 G685:K703 G706:K706 G709:K715 G718:K720 G723:K737 G739:K740 G742:K745 G747:K750 G752:K1659 G1750:K1753 G1844:K2339 G2430:K2433 G2524:K2527">
    <cfRule type="dataBar" priority="1701">
      <dataBar>
        <cfvo type="min"/>
        <cfvo type="max"/>
        <color rgb="FFFFB628"/>
      </dataBar>
    </cfRule>
  </conditionalFormatting>
  <conditionalFormatting sqref="G2:K211 G1266:K1266 G1447:K1447 G1750:K1753 G1844:K1847 G2058:K2058 G2119:K2121 G2152:K2152 G2213:K2215 G2246:K2246 G2307:K2309">
    <cfRule type="dataBar" priority="1713">
      <dataBar>
        <cfvo type="min"/>
        <cfvo type="max"/>
        <color rgb="FFFFB628"/>
      </dataBar>
    </cfRule>
  </conditionalFormatting>
  <conditionalFormatting sqref="G212:K421">
    <cfRule type="dataBar" priority="1590">
      <dataBar>
        <cfvo type="min"/>
        <cfvo type="max"/>
        <color rgb="FFFFB628"/>
      </dataBar>
    </cfRule>
  </conditionalFormatting>
  <conditionalFormatting sqref="G422:K422 G425:K426 G428:K428 G433:K433 G436:K438 G440:K440 G442:K443 G445:K445 G447:K447 G450:K451">
    <cfRule type="dataBar" priority="105">
      <dataBar>
        <cfvo type="min"/>
        <cfvo type="max"/>
        <color rgb="FFFFB628"/>
      </dataBar>
    </cfRule>
  </conditionalFormatting>
  <conditionalFormatting sqref="G422:K422">
    <cfRule type="dataBar" priority="106">
      <dataBar>
        <cfvo type="min"/>
        <cfvo type="max"/>
        <color rgb="FFFFB628"/>
      </dataBar>
    </cfRule>
  </conditionalFormatting>
  <conditionalFormatting sqref="G423:K423 G430:K430 G441:K441 G444:K444 G448:K449">
    <cfRule type="dataBar" priority="87">
      <dataBar>
        <cfvo type="min"/>
        <cfvo type="max"/>
        <color rgb="FFFFB628"/>
      </dataBar>
    </cfRule>
    <cfRule type="dataBar" priority="89">
      <dataBar>
        <cfvo type="min"/>
        <cfvo type="max"/>
        <color rgb="FFFFB628"/>
      </dataBar>
    </cfRule>
  </conditionalFormatting>
  <conditionalFormatting sqref="G424:K424">
    <cfRule type="dataBar" priority="86">
      <dataBar>
        <cfvo type="min"/>
        <cfvo type="max"/>
        <color rgb="FFFFB628"/>
      </dataBar>
    </cfRule>
  </conditionalFormatting>
  <conditionalFormatting sqref="G427:K427">
    <cfRule type="dataBar" priority="85">
      <dataBar>
        <cfvo type="min"/>
        <cfvo type="max"/>
        <color rgb="FFFFB628"/>
      </dataBar>
    </cfRule>
  </conditionalFormatting>
  <conditionalFormatting sqref="G429:K429">
    <cfRule type="dataBar" priority="84">
      <dataBar>
        <cfvo type="min"/>
        <cfvo type="max"/>
        <color rgb="FFFFB628"/>
      </dataBar>
    </cfRule>
  </conditionalFormatting>
  <conditionalFormatting sqref="G431:K431">
    <cfRule type="dataBar" priority="82">
      <dataBar>
        <cfvo type="min"/>
        <cfvo type="max"/>
        <color rgb="FFFFB628"/>
      </dataBar>
    </cfRule>
    <cfRule type="dataBar" priority="83">
      <dataBar>
        <cfvo type="min"/>
        <cfvo type="max"/>
        <color rgb="FFFFB628"/>
      </dataBar>
    </cfRule>
  </conditionalFormatting>
  <conditionalFormatting sqref="G432:K432">
    <cfRule type="dataBar" priority="81">
      <dataBar>
        <cfvo type="min"/>
        <cfvo type="max"/>
        <color rgb="FFFFB628"/>
      </dataBar>
    </cfRule>
  </conditionalFormatting>
  <conditionalFormatting sqref="G434:K434">
    <cfRule type="dataBar" priority="79">
      <dataBar>
        <cfvo type="min"/>
        <cfvo type="max"/>
        <color rgb="FFFFB628"/>
      </dataBar>
    </cfRule>
  </conditionalFormatting>
  <conditionalFormatting sqref="G435:K435">
    <cfRule type="dataBar" priority="80">
      <dataBar>
        <cfvo type="min"/>
        <cfvo type="max"/>
        <color rgb="FFFFB628"/>
      </dataBar>
    </cfRule>
  </conditionalFormatting>
  <conditionalFormatting sqref="G439:K439">
    <cfRule type="dataBar" priority="77">
      <dataBar>
        <cfvo type="min"/>
        <cfvo type="max"/>
        <color rgb="FFFFB628"/>
      </dataBar>
    </cfRule>
    <cfRule type="dataBar" priority="76">
      <dataBar>
        <cfvo type="min"/>
        <cfvo type="max"/>
        <color rgb="FFFFB628"/>
      </dataBar>
    </cfRule>
  </conditionalFormatting>
  <conditionalFormatting sqref="G446:K446">
    <cfRule type="dataBar" priority="73">
      <dataBar>
        <cfvo type="min"/>
        <cfvo type="max"/>
        <color rgb="FFFFB628"/>
      </dataBar>
    </cfRule>
    <cfRule type="dataBar" priority="74">
      <dataBar>
        <cfvo type="min"/>
        <cfvo type="max"/>
        <color rgb="FFFFB628"/>
      </dataBar>
    </cfRule>
  </conditionalFormatting>
  <conditionalFormatting sqref="G452:K452 G455:K456 G458:K458 G461:K461 G463:K463 G466:K470 G472:K473 G475:K477 G480:K481">
    <cfRule type="dataBar" priority="312">
      <dataBar>
        <cfvo type="min"/>
        <cfvo type="max"/>
        <color rgb="FFFFB628"/>
      </dataBar>
    </cfRule>
  </conditionalFormatting>
  <conditionalFormatting sqref="G452:K452 G455:K456 G458:K458 G461:K461 G463:K463 G466:K470 G472:K473 G475:K477 G480:K482 G485:K486 G488:K489 G493:K493 G497:K500 G502:K502 G504:K505 G507:K507 G509:K511">
    <cfRule type="dataBar" priority="313">
      <dataBar>
        <cfvo type="min"/>
        <cfvo type="max"/>
        <color rgb="FFFFB628"/>
      </dataBar>
    </cfRule>
  </conditionalFormatting>
  <conditionalFormatting sqref="G453:K453 G457:K457 G459:K460 G462:K462 G464:K465 G471:K471 G479:K479">
    <cfRule type="dataBar" priority="130">
      <dataBar>
        <cfvo type="min"/>
        <cfvo type="max"/>
        <color rgb="FFFFB628"/>
      </dataBar>
    </cfRule>
    <cfRule type="dataBar" priority="128">
      <dataBar>
        <cfvo type="min"/>
        <cfvo type="max"/>
        <color rgb="FFFFB628"/>
      </dataBar>
    </cfRule>
  </conditionalFormatting>
  <conditionalFormatting sqref="G454:K454">
    <cfRule type="dataBar" priority="71">
      <dataBar>
        <cfvo type="min"/>
        <cfvo type="max"/>
        <color rgb="FFFFB628"/>
      </dataBar>
    </cfRule>
    <cfRule type="dataBar" priority="72">
      <dataBar>
        <cfvo type="min"/>
        <cfvo type="max"/>
        <color rgb="FFFFB628"/>
      </dataBar>
    </cfRule>
  </conditionalFormatting>
  <conditionalFormatting sqref="G474:K474">
    <cfRule type="dataBar" priority="68">
      <dataBar>
        <cfvo type="min"/>
        <cfvo type="max"/>
        <color rgb="FFFFB628"/>
      </dataBar>
    </cfRule>
    <cfRule type="dataBar" priority="69">
      <dataBar>
        <cfvo type="min"/>
        <cfvo type="max"/>
        <color rgb="FFFFB628"/>
      </dataBar>
    </cfRule>
  </conditionalFormatting>
  <conditionalFormatting sqref="G478:K478">
    <cfRule type="dataBar" priority="66">
      <dataBar>
        <cfvo type="min"/>
        <cfvo type="max"/>
        <color rgb="FFFFB628"/>
      </dataBar>
    </cfRule>
    <cfRule type="dataBar" priority="67">
      <dataBar>
        <cfvo type="min"/>
        <cfvo type="max"/>
        <color rgb="FFFFB628"/>
      </dataBar>
    </cfRule>
  </conditionalFormatting>
  <conditionalFormatting sqref="G482:K482 G485:K486 G488:K489 G493:K493 G497:K500 G502:K502 G504:K505 G507:K507 G509:K511">
    <cfRule type="dataBar" priority="296">
      <dataBar>
        <cfvo type="min"/>
        <cfvo type="max"/>
        <color rgb="FFFFB628"/>
      </dataBar>
    </cfRule>
  </conditionalFormatting>
  <conditionalFormatting sqref="G483:K483">
    <cfRule type="dataBar" priority="127">
      <dataBar>
        <cfvo type="min"/>
        <cfvo type="max"/>
        <color rgb="FFFFB628"/>
      </dataBar>
    </cfRule>
    <cfRule type="dataBar" priority="125">
      <dataBar>
        <cfvo type="min"/>
        <cfvo type="max"/>
        <color rgb="FFFFB628"/>
      </dataBar>
    </cfRule>
  </conditionalFormatting>
  <conditionalFormatting sqref="G484:K484">
    <cfRule type="dataBar" priority="124">
      <dataBar>
        <cfvo type="min"/>
        <cfvo type="max"/>
        <color rgb="FFFFB628"/>
      </dataBar>
    </cfRule>
    <cfRule type="dataBar" priority="122">
      <dataBar>
        <cfvo type="min"/>
        <cfvo type="max"/>
        <color rgb="FFFFB628"/>
      </dataBar>
    </cfRule>
  </conditionalFormatting>
  <conditionalFormatting sqref="G487:K487 G490:K490 G494:K495 G501:K501 G506:K506 G508:K508">
    <cfRule type="dataBar" priority="119">
      <dataBar>
        <cfvo type="min"/>
        <cfvo type="max"/>
        <color rgb="FFFFB628"/>
      </dataBar>
    </cfRule>
    <cfRule type="dataBar" priority="121">
      <dataBar>
        <cfvo type="min"/>
        <cfvo type="max"/>
        <color rgb="FFFFB628"/>
      </dataBar>
    </cfRule>
  </conditionalFormatting>
  <conditionalFormatting sqref="G491:K492">
    <cfRule type="dataBar" priority="62">
      <dataBar>
        <cfvo type="min"/>
        <cfvo type="max"/>
        <color rgb="FFFFB628"/>
      </dataBar>
    </cfRule>
    <cfRule type="dataBar" priority="61">
      <dataBar>
        <cfvo type="min"/>
        <cfvo type="max"/>
        <color rgb="FFFFB628"/>
      </dataBar>
    </cfRule>
  </conditionalFormatting>
  <conditionalFormatting sqref="G496:K496">
    <cfRule type="dataBar" priority="58">
      <dataBar>
        <cfvo type="min"/>
        <cfvo type="max"/>
        <color rgb="FFFFB628"/>
      </dataBar>
    </cfRule>
    <cfRule type="dataBar" priority="59">
      <dataBar>
        <cfvo type="min"/>
        <cfvo type="max"/>
        <color rgb="FFFFB628"/>
      </dataBar>
    </cfRule>
  </conditionalFormatting>
  <conditionalFormatting sqref="G503:K503">
    <cfRule type="dataBar" priority="55">
      <dataBar>
        <cfvo type="min"/>
        <cfvo type="max"/>
        <color rgb="FFFFB628"/>
      </dataBar>
    </cfRule>
    <cfRule type="dataBar" priority="56">
      <dataBar>
        <cfvo type="min"/>
        <cfvo type="max"/>
        <color rgb="FFFFB628"/>
      </dataBar>
    </cfRule>
  </conditionalFormatting>
  <conditionalFormatting sqref="G512:K512">
    <cfRule type="dataBar" priority="320">
      <dataBar>
        <cfvo type="min"/>
        <cfvo type="max"/>
        <color rgb="FFFFB628"/>
      </dataBar>
    </cfRule>
    <cfRule type="dataBar" priority="322">
      <dataBar>
        <cfvo type="min"/>
        <cfvo type="max"/>
        <color rgb="FFFFB628"/>
      </dataBar>
    </cfRule>
  </conditionalFormatting>
  <conditionalFormatting sqref="G513:K513">
    <cfRule type="dataBar" priority="319">
      <dataBar>
        <cfvo type="min"/>
        <cfvo type="max"/>
        <color rgb="FFFFB628"/>
      </dataBar>
    </cfRule>
    <cfRule type="dataBar" priority="317">
      <dataBar>
        <cfvo type="min"/>
        <cfvo type="max"/>
        <color rgb="FFFFB628"/>
      </dataBar>
    </cfRule>
  </conditionalFormatting>
  <conditionalFormatting sqref="G514:K514">
    <cfRule type="dataBar" priority="316">
      <dataBar>
        <cfvo type="min"/>
        <cfvo type="max"/>
        <color rgb="FFFFB628"/>
      </dataBar>
    </cfRule>
    <cfRule type="dataBar" priority="314">
      <dataBar>
        <cfvo type="min"/>
        <cfvo type="max"/>
        <color rgb="FFFFB628"/>
      </dataBar>
    </cfRule>
  </conditionalFormatting>
  <conditionalFormatting sqref="G515:K527 G529:K530 G532:K535 G537:K540 G542:K544">
    <cfRule type="dataBar" priority="278">
      <dataBar>
        <cfvo type="min"/>
        <cfvo type="max"/>
        <color rgb="FFFFB628"/>
      </dataBar>
    </cfRule>
    <cfRule type="dataBar" priority="279">
      <dataBar>
        <cfvo type="min"/>
        <cfvo type="max"/>
        <color rgb="FFFFB628"/>
      </dataBar>
    </cfRule>
  </conditionalFormatting>
  <conditionalFormatting sqref="G528:K528 G531:K531 G546:K546">
    <cfRule type="dataBar" priority="118">
      <dataBar>
        <cfvo type="min"/>
        <cfvo type="max"/>
        <color rgb="FFFFB628"/>
      </dataBar>
    </cfRule>
    <cfRule type="dataBar" priority="116">
      <dataBar>
        <cfvo type="min"/>
        <cfvo type="max"/>
        <color rgb="FFFFB628"/>
      </dataBar>
    </cfRule>
  </conditionalFormatting>
  <conditionalFormatting sqref="G536:K536">
    <cfRule type="dataBar" priority="53">
      <dataBar>
        <cfvo type="min"/>
        <cfvo type="max"/>
        <color rgb="FFFFB628"/>
      </dataBar>
    </cfRule>
    <cfRule type="dataBar" priority="54">
      <dataBar>
        <cfvo type="min"/>
        <cfvo type="max"/>
        <color rgb="FFFFB628"/>
      </dataBar>
    </cfRule>
  </conditionalFormatting>
  <conditionalFormatting sqref="G541:K541">
    <cfRule type="dataBar" priority="51">
      <dataBar>
        <cfvo type="min"/>
        <cfvo type="max"/>
        <color rgb="FFFFB628"/>
      </dataBar>
    </cfRule>
    <cfRule type="dataBar" priority="52">
      <dataBar>
        <cfvo type="min"/>
        <cfvo type="max"/>
        <color rgb="FFFFB628"/>
      </dataBar>
    </cfRule>
  </conditionalFormatting>
  <conditionalFormatting sqref="G545:K545 G547:K552 G555:K556 G558:K563 G565:K566 G570:K570 G573:K574">
    <cfRule type="dataBar" priority="257">
      <dataBar>
        <cfvo type="min"/>
        <cfvo type="max"/>
        <color rgb="FFFFB628"/>
      </dataBar>
    </cfRule>
  </conditionalFormatting>
  <conditionalFormatting sqref="G553:K554 G564:K564 G567:K567 G569:K569 G571:K571 G576:K576 G580:K580 G582:K583 G585:K585 G587:K588 G594:K594 G606:K607 G610:K610 G613:K613 G617:K618 G624:K624 G629:K629 G631:K631 G636:K636 G644:K644 G648:K648">
    <cfRule type="dataBar" priority="115">
      <dataBar>
        <cfvo type="min"/>
        <cfvo type="max"/>
        <color rgb="FFFFB628"/>
      </dataBar>
    </cfRule>
    <cfRule type="dataBar" priority="113">
      <dataBar>
        <cfvo type="min"/>
        <cfvo type="max"/>
        <color rgb="FFFFB628"/>
      </dataBar>
    </cfRule>
  </conditionalFormatting>
  <conditionalFormatting sqref="G557:K557">
    <cfRule type="dataBar" priority="48">
      <dataBar>
        <cfvo type="min"/>
        <cfvo type="max"/>
        <color rgb="FFFFB628"/>
      </dataBar>
    </cfRule>
    <cfRule type="dataBar" priority="49">
      <dataBar>
        <cfvo type="min"/>
        <cfvo type="max"/>
        <color rgb="FFFFB628"/>
      </dataBar>
    </cfRule>
  </conditionalFormatting>
  <conditionalFormatting sqref="G568:K568">
    <cfRule type="dataBar" priority="46">
      <dataBar>
        <cfvo type="min"/>
        <cfvo type="max"/>
        <color rgb="FFFFB628"/>
      </dataBar>
    </cfRule>
    <cfRule type="dataBar" priority="45">
      <dataBar>
        <cfvo type="min"/>
        <cfvo type="max"/>
        <color rgb="FFFFB628"/>
      </dataBar>
    </cfRule>
  </conditionalFormatting>
  <conditionalFormatting sqref="G572:K572">
    <cfRule type="dataBar" priority="43">
      <dataBar>
        <cfvo type="min"/>
        <cfvo type="max"/>
        <color rgb="FFFFB628"/>
      </dataBar>
    </cfRule>
    <cfRule type="dataBar" priority="42">
      <dataBar>
        <cfvo type="min"/>
        <cfvo type="max"/>
        <color rgb="FFFFB628"/>
      </dataBar>
    </cfRule>
  </conditionalFormatting>
  <conditionalFormatting sqref="G575:K575 G578:K579 G581:K581 G584:K584 G586:K586 G589:K593 G595:K596 G598:K600 G603:K604">
    <cfRule type="dataBar" priority="239">
      <dataBar>
        <cfvo type="min"/>
        <cfvo type="max"/>
        <color rgb="FFFFB628"/>
      </dataBar>
    </cfRule>
  </conditionalFormatting>
  <conditionalFormatting sqref="G577:K577">
    <cfRule type="dataBar" priority="41">
      <dataBar>
        <cfvo type="min"/>
        <cfvo type="max"/>
        <color rgb="FFFFB628"/>
      </dataBar>
    </cfRule>
    <cfRule type="dataBar" priority="40">
      <dataBar>
        <cfvo type="min"/>
        <cfvo type="max"/>
        <color rgb="FFFFB628"/>
      </dataBar>
    </cfRule>
  </conditionalFormatting>
  <conditionalFormatting sqref="G597:K597">
    <cfRule type="dataBar" priority="35">
      <dataBar>
        <cfvo type="min"/>
        <cfvo type="max"/>
        <color rgb="FFFFB628"/>
      </dataBar>
    </cfRule>
    <cfRule type="dataBar" priority="34">
      <dataBar>
        <cfvo type="min"/>
        <cfvo type="max"/>
        <color rgb="FFFFB628"/>
      </dataBar>
    </cfRule>
  </conditionalFormatting>
  <conditionalFormatting sqref="G601:K601">
    <cfRule type="dataBar" priority="2">
      <dataBar>
        <cfvo type="min"/>
        <cfvo type="max"/>
        <color rgb="FFFFB628"/>
      </dataBar>
    </cfRule>
    <cfRule type="dataBar" priority="1">
      <dataBar>
        <cfvo type="min"/>
        <cfvo type="max"/>
        <color rgb="FFFFB628"/>
      </dataBar>
    </cfRule>
  </conditionalFormatting>
  <conditionalFormatting sqref="G602:K602">
    <cfRule type="dataBar" priority="3">
      <dataBar>
        <cfvo type="min"/>
        <cfvo type="max"/>
        <color rgb="FFFFB628"/>
      </dataBar>
    </cfRule>
    <cfRule type="dataBar" priority="4">
      <dataBar>
        <cfvo type="min"/>
        <cfvo type="max"/>
        <color rgb="FFFFB628"/>
      </dataBar>
    </cfRule>
  </conditionalFormatting>
  <conditionalFormatting sqref="G605:K605 G608:K609 G611:K612 G616:K616 G620:K623 G625:K625 G627:K628 G630:K630 G632:K634">
    <cfRule type="dataBar" priority="223">
      <dataBar>
        <cfvo type="min"/>
        <cfvo type="max"/>
        <color rgb="FFFFB628"/>
      </dataBar>
    </cfRule>
  </conditionalFormatting>
  <conditionalFormatting sqref="G614:K615">
    <cfRule type="dataBar" priority="32">
      <dataBar>
        <cfvo type="min"/>
        <cfvo type="max"/>
        <color rgb="FFFFB628"/>
      </dataBar>
    </cfRule>
    <cfRule type="dataBar" priority="33">
      <dataBar>
        <cfvo type="min"/>
        <cfvo type="max"/>
        <color rgb="FFFFB628"/>
      </dataBar>
    </cfRule>
  </conditionalFormatting>
  <conditionalFormatting sqref="G619:K619">
    <cfRule type="dataBar" priority="30">
      <dataBar>
        <cfvo type="min"/>
        <cfvo type="max"/>
        <color rgb="FFFFB628"/>
      </dataBar>
    </cfRule>
    <cfRule type="dataBar" priority="31">
      <dataBar>
        <cfvo type="min"/>
        <cfvo type="max"/>
        <color rgb="FFFFB628"/>
      </dataBar>
    </cfRule>
  </conditionalFormatting>
  <conditionalFormatting sqref="G626:K626">
    <cfRule type="dataBar" priority="29">
      <dataBar>
        <cfvo type="min"/>
        <cfvo type="max"/>
        <color rgb="FFFFB628"/>
      </dataBar>
    </cfRule>
    <cfRule type="dataBar" priority="28">
      <dataBar>
        <cfvo type="min"/>
        <cfvo type="max"/>
        <color rgb="FFFFB628"/>
      </dataBar>
    </cfRule>
  </conditionalFormatting>
  <conditionalFormatting sqref="G635:K635 G637:K643 G646:K646 G650:K664">
    <cfRule type="dataBar" priority="206">
      <dataBar>
        <cfvo type="min"/>
        <cfvo type="max"/>
        <color rgb="FFFFB628"/>
      </dataBar>
    </cfRule>
  </conditionalFormatting>
  <conditionalFormatting sqref="G645:K645">
    <cfRule type="dataBar" priority="27">
      <dataBar>
        <cfvo type="min"/>
        <cfvo type="max"/>
        <color rgb="FFFFB628"/>
      </dataBar>
    </cfRule>
    <cfRule type="dataBar" priority="26">
      <dataBar>
        <cfvo type="min"/>
        <cfvo type="max"/>
        <color rgb="FFFFB628"/>
      </dataBar>
    </cfRule>
  </conditionalFormatting>
  <conditionalFormatting sqref="G647:K647">
    <cfRule type="dataBar" priority="24">
      <dataBar>
        <cfvo type="min"/>
        <cfvo type="max"/>
        <color rgb="FFFFB628"/>
      </dataBar>
    </cfRule>
    <cfRule type="dataBar" priority="23">
      <dataBar>
        <cfvo type="min"/>
        <cfvo type="max"/>
        <color rgb="FFFFB628"/>
      </dataBar>
    </cfRule>
  </conditionalFormatting>
  <conditionalFormatting sqref="G649:K649">
    <cfRule type="dataBar" priority="21">
      <dataBar>
        <cfvo type="min"/>
        <cfvo type="max"/>
        <color rgb="FFFFB628"/>
      </dataBar>
    </cfRule>
    <cfRule type="dataBar" priority="22">
      <dataBar>
        <cfvo type="min"/>
        <cfvo type="max"/>
        <color rgb="FFFFB628"/>
      </dataBar>
    </cfRule>
  </conditionalFormatting>
  <conditionalFormatting sqref="G665:K665 G667:K671 G674:K683 G685:K694">
    <cfRule type="dataBar" priority="186">
      <dataBar>
        <cfvo type="min"/>
        <cfvo type="max"/>
        <color rgb="FFFFB628"/>
      </dataBar>
    </cfRule>
  </conditionalFormatting>
  <conditionalFormatting sqref="G666:K666 G672:K673 G684:K684 G704:K705 G707:K707 G717:K717 G722:K722 G738:K738 G741:K741">
    <cfRule type="dataBar" priority="110">
      <dataBar>
        <cfvo type="min"/>
        <cfvo type="max"/>
        <color rgb="FFFFB628"/>
      </dataBar>
    </cfRule>
    <cfRule type="dataBar" priority="112">
      <dataBar>
        <cfvo type="min"/>
        <cfvo type="max"/>
        <color rgb="FFFFB628"/>
      </dataBar>
    </cfRule>
  </conditionalFormatting>
  <conditionalFormatting sqref="G695:K703 G706:K706 G709:K715 G718:K720 G723:K737 G739:K740 G742:K745 G747:K750 G752:K754">
    <cfRule type="dataBar" priority="166">
      <dataBar>
        <cfvo type="min"/>
        <cfvo type="max"/>
        <color rgb="FFFFB628"/>
      </dataBar>
    </cfRule>
  </conditionalFormatting>
  <conditionalFormatting sqref="G708:K708">
    <cfRule type="dataBar" priority="17">
      <dataBar>
        <cfvo type="min"/>
        <cfvo type="max"/>
        <color rgb="FFFFB628"/>
      </dataBar>
    </cfRule>
    <cfRule type="dataBar" priority="18">
      <dataBar>
        <cfvo type="min"/>
        <cfvo type="max"/>
        <color rgb="FFFFB628"/>
      </dataBar>
    </cfRule>
  </conditionalFormatting>
  <conditionalFormatting sqref="G716:K716">
    <cfRule type="dataBar" priority="14">
      <dataBar>
        <cfvo type="min"/>
        <cfvo type="max"/>
        <color rgb="FFFFB628"/>
      </dataBar>
    </cfRule>
    <cfRule type="dataBar" priority="15">
      <dataBar>
        <cfvo type="min"/>
        <cfvo type="max"/>
        <color rgb="FFFFB628"/>
      </dataBar>
    </cfRule>
  </conditionalFormatting>
  <conditionalFormatting sqref="G721:K721">
    <cfRule type="dataBar" priority="12">
      <dataBar>
        <cfvo type="min"/>
        <cfvo type="max"/>
        <color rgb="FFFFB628"/>
      </dataBar>
    </cfRule>
    <cfRule type="dataBar" priority="11">
      <dataBar>
        <cfvo type="min"/>
        <cfvo type="max"/>
        <color rgb="FFFFB628"/>
      </dataBar>
    </cfRule>
  </conditionalFormatting>
  <conditionalFormatting sqref="G746:K746">
    <cfRule type="dataBar" priority="9">
      <dataBar>
        <cfvo type="min"/>
        <cfvo type="max"/>
        <color rgb="FFFFB628"/>
      </dataBar>
    </cfRule>
    <cfRule type="dataBar" priority="8">
      <dataBar>
        <cfvo type="min"/>
        <cfvo type="max"/>
        <color rgb="FFFFB628"/>
      </dataBar>
    </cfRule>
  </conditionalFormatting>
  <conditionalFormatting sqref="G751:K751">
    <cfRule type="dataBar" priority="7">
      <dataBar>
        <cfvo type="min"/>
        <cfvo type="max"/>
        <color rgb="FFFFB628"/>
      </dataBar>
    </cfRule>
    <cfRule type="dataBar" priority="6">
      <dataBar>
        <cfvo type="min"/>
        <cfvo type="max"/>
        <color rgb="FFFFB628"/>
      </dataBar>
    </cfRule>
  </conditionalFormatting>
  <conditionalFormatting sqref="G755:K784">
    <cfRule type="dataBar" priority="1370">
      <dataBar>
        <cfvo type="min"/>
        <cfvo type="max"/>
        <color rgb="FFFFB628"/>
      </dataBar>
    </cfRule>
  </conditionalFormatting>
  <conditionalFormatting sqref="G785:K814">
    <cfRule type="dataBar" priority="1347">
      <dataBar>
        <cfvo type="min"/>
        <cfvo type="max"/>
        <color rgb="FFFFB628"/>
      </dataBar>
    </cfRule>
  </conditionalFormatting>
  <conditionalFormatting sqref="G815:K844">
    <cfRule type="dataBar" priority="1324">
      <dataBar>
        <cfvo type="min"/>
        <cfvo type="max"/>
        <color rgb="FFFFB628"/>
      </dataBar>
    </cfRule>
  </conditionalFormatting>
  <conditionalFormatting sqref="G845:K874">
    <cfRule type="dataBar" priority="1301">
      <dataBar>
        <cfvo type="min"/>
        <cfvo type="max"/>
        <color rgb="FFFFB628"/>
      </dataBar>
    </cfRule>
  </conditionalFormatting>
  <conditionalFormatting sqref="G875:K904">
    <cfRule type="dataBar" priority="1278">
      <dataBar>
        <cfvo type="min"/>
        <cfvo type="max"/>
        <color rgb="FFFFB628"/>
      </dataBar>
    </cfRule>
  </conditionalFormatting>
  <conditionalFormatting sqref="G905:K964">
    <cfRule type="dataBar" priority="1255">
      <dataBar>
        <cfvo type="min"/>
        <cfvo type="max"/>
        <color rgb="FFFFB628"/>
      </dataBar>
    </cfRule>
  </conditionalFormatting>
  <conditionalFormatting sqref="G965:K994">
    <cfRule type="dataBar" priority="1213">
      <dataBar>
        <cfvo type="min"/>
        <cfvo type="max"/>
        <color rgb="FFFFB628"/>
      </dataBar>
    </cfRule>
  </conditionalFormatting>
  <conditionalFormatting sqref="G995:K1024">
    <cfRule type="dataBar" priority="1190">
      <dataBar>
        <cfvo type="min"/>
        <cfvo type="max"/>
        <color rgb="FFFFB628"/>
      </dataBar>
    </cfRule>
  </conditionalFormatting>
  <conditionalFormatting sqref="G1025:K1054">
    <cfRule type="dataBar" priority="1167">
      <dataBar>
        <cfvo type="min"/>
        <cfvo type="max"/>
        <color rgb="FFFFB628"/>
      </dataBar>
    </cfRule>
  </conditionalFormatting>
  <conditionalFormatting sqref="G1055:K1084">
    <cfRule type="dataBar" priority="1144">
      <dataBar>
        <cfvo type="min"/>
        <cfvo type="max"/>
        <color rgb="FFFFB628"/>
      </dataBar>
    </cfRule>
  </conditionalFormatting>
  <conditionalFormatting sqref="G1085:K1114">
    <cfRule type="dataBar" priority="1121">
      <dataBar>
        <cfvo type="min"/>
        <cfvo type="max"/>
        <color rgb="FFFFB628"/>
      </dataBar>
    </cfRule>
  </conditionalFormatting>
  <conditionalFormatting sqref="G1115:K1144">
    <cfRule type="dataBar" priority="1703">
      <dataBar>
        <cfvo type="min"/>
        <cfvo type="max"/>
        <color rgb="FFFFB628"/>
      </dataBar>
    </cfRule>
  </conditionalFormatting>
  <conditionalFormatting sqref="G1145:K1145">
    <cfRule type="dataBar" priority="327">
      <dataBar>
        <cfvo type="min"/>
        <cfvo type="max"/>
        <color rgb="FFFFB628"/>
      </dataBar>
    </cfRule>
  </conditionalFormatting>
  <conditionalFormatting sqref="G1146:K1175">
    <cfRule type="dataBar" priority="1079">
      <dataBar>
        <cfvo type="min"/>
        <cfvo type="max"/>
        <color rgb="FFFFB628"/>
      </dataBar>
    </cfRule>
  </conditionalFormatting>
  <conditionalFormatting sqref="G1176:K1205">
    <cfRule type="dataBar" priority="1056">
      <dataBar>
        <cfvo type="min"/>
        <cfvo type="max"/>
        <color rgb="FFFFB628"/>
      </dataBar>
    </cfRule>
  </conditionalFormatting>
  <conditionalFormatting sqref="G1206:K1235">
    <cfRule type="dataBar" priority="1033">
      <dataBar>
        <cfvo type="min"/>
        <cfvo type="max"/>
        <color rgb="FFFFB628"/>
      </dataBar>
    </cfRule>
  </conditionalFormatting>
  <conditionalFormatting sqref="G1236:K1265">
    <cfRule type="dataBar" priority="1010">
      <dataBar>
        <cfvo type="min"/>
        <cfvo type="max"/>
        <color rgb="FFFFB628"/>
      </dataBar>
    </cfRule>
  </conditionalFormatting>
  <conditionalFormatting sqref="G1267:K1326">
    <cfRule type="dataBar" priority="987">
      <dataBar>
        <cfvo type="min"/>
        <cfvo type="max"/>
        <color rgb="FFFFB628"/>
      </dataBar>
    </cfRule>
  </conditionalFormatting>
  <conditionalFormatting sqref="G1327:K1356">
    <cfRule type="dataBar" priority="945">
      <dataBar>
        <cfvo type="min"/>
        <cfvo type="max"/>
        <color rgb="FFFFB628"/>
      </dataBar>
    </cfRule>
  </conditionalFormatting>
  <conditionalFormatting sqref="G1357:K1386">
    <cfRule type="dataBar" priority="922">
      <dataBar>
        <cfvo type="min"/>
        <cfvo type="max"/>
        <color rgb="FFFFB628"/>
      </dataBar>
    </cfRule>
  </conditionalFormatting>
  <conditionalFormatting sqref="G1387:K1416">
    <cfRule type="dataBar" priority="899">
      <dataBar>
        <cfvo type="min"/>
        <cfvo type="max"/>
        <color rgb="FFFFB628"/>
      </dataBar>
    </cfRule>
  </conditionalFormatting>
  <conditionalFormatting sqref="G1417:K1446">
    <cfRule type="dataBar" priority="876">
      <dataBar>
        <cfvo type="min"/>
        <cfvo type="max"/>
        <color rgb="FFFFB628"/>
      </dataBar>
    </cfRule>
  </conditionalFormatting>
  <conditionalFormatting sqref="G1448:K1507">
    <cfRule type="dataBar" priority="853">
      <dataBar>
        <cfvo type="min"/>
        <cfvo type="max"/>
        <color rgb="FFFFB628"/>
      </dataBar>
    </cfRule>
  </conditionalFormatting>
  <conditionalFormatting sqref="G1508:K1537">
    <cfRule type="dataBar" priority="811">
      <dataBar>
        <cfvo type="min"/>
        <cfvo type="max"/>
        <color rgb="FFFFB628"/>
      </dataBar>
    </cfRule>
  </conditionalFormatting>
  <conditionalFormatting sqref="G1538:K1567">
    <cfRule type="dataBar" priority="788">
      <dataBar>
        <cfvo type="min"/>
        <cfvo type="max"/>
        <color rgb="FFFFB628"/>
      </dataBar>
    </cfRule>
  </conditionalFormatting>
  <conditionalFormatting sqref="G1568:K1597">
    <cfRule type="dataBar" priority="765">
      <dataBar>
        <cfvo type="min"/>
        <cfvo type="max"/>
        <color rgb="FFFFB628"/>
      </dataBar>
    </cfRule>
  </conditionalFormatting>
  <conditionalFormatting sqref="G1598:K1627">
    <cfRule type="dataBar" priority="742">
      <dataBar>
        <cfvo type="min"/>
        <cfvo type="max"/>
        <color rgb="FFFFB628"/>
      </dataBar>
    </cfRule>
  </conditionalFormatting>
  <conditionalFormatting sqref="G1628:K1628 G1659:K1659">
    <cfRule type="dataBar" priority="1707">
      <dataBar>
        <cfvo type="min"/>
        <cfvo type="max"/>
        <color rgb="FFFFB628"/>
      </dataBar>
    </cfRule>
  </conditionalFormatting>
  <conditionalFormatting sqref="G1629:K1658">
    <cfRule type="dataBar" priority="1709">
      <dataBar>
        <cfvo type="min"/>
        <cfvo type="max"/>
        <color rgb="FFFFB628"/>
      </dataBar>
    </cfRule>
  </conditionalFormatting>
  <conditionalFormatting sqref="G1660:K1676 G1678:K1689">
    <cfRule type="dataBar" priority="1478">
      <dataBar>
        <cfvo type="min"/>
        <cfvo type="max"/>
        <color rgb="FFFFB628"/>
      </dataBar>
    </cfRule>
    <cfRule type="dataBar" priority="1477">
      <dataBar>
        <cfvo type="min"/>
        <cfvo type="max"/>
        <color rgb="FFFFB628"/>
      </dataBar>
    </cfRule>
  </conditionalFormatting>
  <conditionalFormatting sqref="G1677:K1677">
    <cfRule type="dataBar" priority="1473">
      <dataBar>
        <cfvo type="min"/>
        <cfvo type="max"/>
        <color rgb="FFFFB628"/>
      </dataBar>
    </cfRule>
    <cfRule type="dataBar" priority="1471">
      <dataBar>
        <cfvo type="min"/>
        <cfvo type="max"/>
        <color rgb="FFFFB628"/>
      </dataBar>
    </cfRule>
    <cfRule type="dataBar" priority="1472">
      <dataBar>
        <cfvo type="min"/>
        <cfvo type="max"/>
        <color rgb="FFFFB628"/>
      </dataBar>
    </cfRule>
  </conditionalFormatting>
  <conditionalFormatting sqref="G1690:K1706 G1708:K1719">
    <cfRule type="dataBar" priority="1467">
      <dataBar>
        <cfvo type="min"/>
        <cfvo type="max"/>
        <color rgb="FFFFB628"/>
      </dataBar>
    </cfRule>
    <cfRule type="dataBar" priority="1468">
      <dataBar>
        <cfvo type="min"/>
        <cfvo type="max"/>
        <color rgb="FFFFB628"/>
      </dataBar>
    </cfRule>
  </conditionalFormatting>
  <conditionalFormatting sqref="G1707:K1707">
    <cfRule type="dataBar" priority="1463">
      <dataBar>
        <cfvo type="min"/>
        <cfvo type="max"/>
        <color rgb="FFFFB628"/>
      </dataBar>
    </cfRule>
    <cfRule type="dataBar" priority="1464">
      <dataBar>
        <cfvo type="min"/>
        <cfvo type="max"/>
        <color rgb="FFFFB628"/>
      </dataBar>
    </cfRule>
    <cfRule type="dataBar" priority="1465">
      <dataBar>
        <cfvo type="min"/>
        <cfvo type="max"/>
        <color rgb="FFFFB628"/>
      </dataBar>
    </cfRule>
  </conditionalFormatting>
  <conditionalFormatting sqref="G1720:K1736 G1738:K1749">
    <cfRule type="dataBar" priority="1457">
      <dataBar>
        <cfvo type="min"/>
        <cfvo type="max"/>
        <color rgb="FFFFB628"/>
      </dataBar>
    </cfRule>
    <cfRule type="dataBar" priority="1458">
      <dataBar>
        <cfvo type="min"/>
        <cfvo type="max"/>
        <color rgb="FFFFB628"/>
      </dataBar>
    </cfRule>
  </conditionalFormatting>
  <conditionalFormatting sqref="G1737:K1737">
    <cfRule type="dataBar" priority="1451">
      <dataBar>
        <cfvo type="min"/>
        <cfvo type="max"/>
        <color rgb="FFFFB628"/>
      </dataBar>
    </cfRule>
    <cfRule type="dataBar" priority="1453">
      <dataBar>
        <cfvo type="min"/>
        <cfvo type="max"/>
        <color rgb="FFFFB628"/>
      </dataBar>
    </cfRule>
    <cfRule type="dataBar" priority="1452">
      <dataBar>
        <cfvo type="min"/>
        <cfvo type="max"/>
        <color rgb="FFFFB628"/>
      </dataBar>
    </cfRule>
  </conditionalFormatting>
  <conditionalFormatting sqref="G1754:K1770 G1772:K1783">
    <cfRule type="dataBar" priority="1448">
      <dataBar>
        <cfvo type="min"/>
        <cfvo type="max"/>
        <color rgb="FFFFB628"/>
      </dataBar>
    </cfRule>
    <cfRule type="dataBar" priority="1447">
      <dataBar>
        <cfvo type="min"/>
        <cfvo type="max"/>
        <color rgb="FFFFB628"/>
      </dataBar>
    </cfRule>
  </conditionalFormatting>
  <conditionalFormatting sqref="G1771:K1771">
    <cfRule type="dataBar" priority="1442">
      <dataBar>
        <cfvo type="min"/>
        <cfvo type="max"/>
        <color rgb="FFFFB628"/>
      </dataBar>
    </cfRule>
    <cfRule type="dataBar" priority="1441">
      <dataBar>
        <cfvo type="min"/>
        <cfvo type="max"/>
        <color rgb="FFFFB628"/>
      </dataBar>
    </cfRule>
    <cfRule type="dataBar" priority="1443">
      <dataBar>
        <cfvo type="min"/>
        <cfvo type="max"/>
        <color rgb="FFFFB628"/>
      </dataBar>
    </cfRule>
  </conditionalFormatting>
  <conditionalFormatting sqref="G1784:K1800 G1802:K1813">
    <cfRule type="dataBar" priority="1437">
      <dataBar>
        <cfvo type="min"/>
        <cfvo type="max"/>
        <color rgb="FFFFB628"/>
      </dataBar>
    </cfRule>
    <cfRule type="dataBar" priority="1438">
      <dataBar>
        <cfvo type="min"/>
        <cfvo type="max"/>
        <color rgb="FFFFB628"/>
      </dataBar>
    </cfRule>
  </conditionalFormatting>
  <conditionalFormatting sqref="G1801:K1801">
    <cfRule type="dataBar" priority="1433">
      <dataBar>
        <cfvo type="min"/>
        <cfvo type="max"/>
        <color rgb="FFFFB628"/>
      </dataBar>
    </cfRule>
    <cfRule type="dataBar" priority="1434">
      <dataBar>
        <cfvo type="min"/>
        <cfvo type="max"/>
        <color rgb="FFFFB628"/>
      </dataBar>
    </cfRule>
    <cfRule type="dataBar" priority="1435">
      <dataBar>
        <cfvo type="min"/>
        <cfvo type="max"/>
        <color rgb="FFFFB628"/>
      </dataBar>
    </cfRule>
  </conditionalFormatting>
  <conditionalFormatting sqref="G1814:K1830 G1832:K1843">
    <cfRule type="dataBar" priority="1428">
      <dataBar>
        <cfvo type="min"/>
        <cfvo type="max"/>
        <color rgb="FFFFB628"/>
      </dataBar>
    </cfRule>
    <cfRule type="dataBar" priority="1427">
      <dataBar>
        <cfvo type="min"/>
        <cfvo type="max"/>
        <color rgb="FFFFB628"/>
      </dataBar>
    </cfRule>
  </conditionalFormatting>
  <conditionalFormatting sqref="G1831:K1831">
    <cfRule type="dataBar" priority="1423">
      <dataBar>
        <cfvo type="min"/>
        <cfvo type="max"/>
        <color rgb="FFFFB628"/>
      </dataBar>
    </cfRule>
    <cfRule type="dataBar" priority="1421">
      <dataBar>
        <cfvo type="min"/>
        <cfvo type="max"/>
        <color rgb="FFFFB628"/>
      </dataBar>
    </cfRule>
    <cfRule type="dataBar" priority="1422">
      <dataBar>
        <cfvo type="min"/>
        <cfvo type="max"/>
        <color rgb="FFFFB628"/>
      </dataBar>
    </cfRule>
  </conditionalFormatting>
  <conditionalFormatting sqref="G1848:K1877">
    <cfRule type="dataBar" priority="700">
      <dataBar>
        <cfvo type="min"/>
        <cfvo type="max"/>
        <color rgb="FFFFB628"/>
      </dataBar>
    </cfRule>
  </conditionalFormatting>
  <conditionalFormatting sqref="G1878:K1907">
    <cfRule type="dataBar" priority="677">
      <dataBar>
        <cfvo type="min"/>
        <cfvo type="max"/>
        <color rgb="FFFFB628"/>
      </dataBar>
    </cfRule>
  </conditionalFormatting>
  <conditionalFormatting sqref="G1908:K1937">
    <cfRule type="dataBar" priority="654">
      <dataBar>
        <cfvo type="min"/>
        <cfvo type="max"/>
        <color rgb="FFFFB628"/>
      </dataBar>
    </cfRule>
  </conditionalFormatting>
  <conditionalFormatting sqref="G1938:K1967">
    <cfRule type="dataBar" priority="631">
      <dataBar>
        <cfvo type="min"/>
        <cfvo type="max"/>
        <color rgb="FFFFB628"/>
      </dataBar>
    </cfRule>
  </conditionalFormatting>
  <conditionalFormatting sqref="G1968:K1997">
    <cfRule type="dataBar" priority="608">
      <dataBar>
        <cfvo type="min"/>
        <cfvo type="max"/>
        <color rgb="FFFFB628"/>
      </dataBar>
    </cfRule>
  </conditionalFormatting>
  <conditionalFormatting sqref="G1998:K2057">
    <cfRule type="dataBar" priority="585">
      <dataBar>
        <cfvo type="min"/>
        <cfvo type="max"/>
        <color rgb="FFFFB628"/>
      </dataBar>
    </cfRule>
  </conditionalFormatting>
  <conditionalFormatting sqref="G2059:K2088">
    <cfRule type="dataBar" priority="540">
      <dataBar>
        <cfvo type="min"/>
        <cfvo type="max"/>
        <color rgb="FFFFB628"/>
      </dataBar>
    </cfRule>
  </conditionalFormatting>
  <conditionalFormatting sqref="G2089:K2118">
    <cfRule type="dataBar" priority="517">
      <dataBar>
        <cfvo type="min"/>
        <cfvo type="max"/>
        <color rgb="FFFFB628"/>
      </dataBar>
    </cfRule>
  </conditionalFormatting>
  <conditionalFormatting sqref="G2122:K2151">
    <cfRule type="dataBar" priority="1702">
      <dataBar>
        <cfvo type="min"/>
        <cfvo type="max"/>
        <color rgb="FFFFB628"/>
      </dataBar>
    </cfRule>
  </conditionalFormatting>
  <conditionalFormatting sqref="G2153:K2182">
    <cfRule type="dataBar" priority="468">
      <dataBar>
        <cfvo type="min"/>
        <cfvo type="max"/>
        <color rgb="FFFFB628"/>
      </dataBar>
    </cfRule>
  </conditionalFormatting>
  <conditionalFormatting sqref="G2183:K2212">
    <cfRule type="dataBar" priority="445">
      <dataBar>
        <cfvo type="min"/>
        <cfvo type="max"/>
        <color rgb="FFFFB628"/>
      </dataBar>
    </cfRule>
  </conditionalFormatting>
  <conditionalFormatting sqref="G2216:K2245">
    <cfRule type="dataBar" priority="472">
      <dataBar>
        <cfvo type="min"/>
        <cfvo type="max"/>
        <color rgb="FFFFB628"/>
      </dataBar>
    </cfRule>
  </conditionalFormatting>
  <conditionalFormatting sqref="G2247:K2276">
    <cfRule type="dataBar" priority="396">
      <dataBar>
        <cfvo type="min"/>
        <cfvo type="max"/>
        <color rgb="FFFFB628"/>
      </dataBar>
    </cfRule>
  </conditionalFormatting>
  <conditionalFormatting sqref="G2277:K2306">
    <cfRule type="dataBar" priority="373">
      <dataBar>
        <cfvo type="min"/>
        <cfvo type="max"/>
        <color rgb="FFFFB628"/>
      </dataBar>
    </cfRule>
  </conditionalFormatting>
  <conditionalFormatting sqref="G2310:K2339">
    <cfRule type="dataBar" priority="400">
      <dataBar>
        <cfvo type="min"/>
        <cfvo type="max"/>
        <color rgb="FFFFB628"/>
      </dataBar>
    </cfRule>
  </conditionalFormatting>
  <conditionalFormatting sqref="G2340:K2360 G2364:K2369">
    <cfRule type="dataBar" priority="1416">
      <dataBar>
        <cfvo type="min"/>
        <cfvo type="max"/>
        <color rgb="FFFFB628"/>
      </dataBar>
    </cfRule>
    <cfRule type="dataBar" priority="1415">
      <dataBar>
        <cfvo type="min"/>
        <cfvo type="max"/>
        <color rgb="FFFFB628"/>
      </dataBar>
    </cfRule>
  </conditionalFormatting>
  <conditionalFormatting sqref="G2361:K2361">
    <cfRule type="dataBar" priority="1412">
      <dataBar>
        <cfvo type="min"/>
        <cfvo type="max"/>
        <color rgb="FFFFB628"/>
      </dataBar>
    </cfRule>
    <cfRule type="dataBar" priority="1413">
      <dataBar>
        <cfvo type="min"/>
        <cfvo type="max"/>
        <color rgb="FFFFB628"/>
      </dataBar>
    </cfRule>
    <cfRule type="dataBar" priority="1411">
      <dataBar>
        <cfvo type="min"/>
        <cfvo type="max"/>
        <color rgb="FFFFB628"/>
      </dataBar>
    </cfRule>
  </conditionalFormatting>
  <conditionalFormatting sqref="G2362:K2362">
    <cfRule type="dataBar" priority="1406">
      <dataBar>
        <cfvo type="min"/>
        <cfvo type="max"/>
        <color rgb="FFFFB628"/>
      </dataBar>
    </cfRule>
    <cfRule type="dataBar" priority="1407">
      <dataBar>
        <cfvo type="min"/>
        <cfvo type="max"/>
        <color rgb="FFFFB628"/>
      </dataBar>
    </cfRule>
    <cfRule type="dataBar" priority="1408">
      <dataBar>
        <cfvo type="min"/>
        <cfvo type="max"/>
        <color rgb="FFFFB628"/>
      </dataBar>
    </cfRule>
  </conditionalFormatting>
  <conditionalFormatting sqref="G2363:K2363">
    <cfRule type="dataBar" priority="1404">
      <dataBar>
        <cfvo type="min"/>
        <cfvo type="max"/>
        <color rgb="FFFFB628"/>
      </dataBar>
    </cfRule>
    <cfRule type="dataBar" priority="1403">
      <dataBar>
        <cfvo type="min"/>
        <cfvo type="max"/>
        <color rgb="FFFFB628"/>
      </dataBar>
    </cfRule>
    <cfRule type="dataBar" priority="1405">
      <dataBar>
        <cfvo type="min"/>
        <cfvo type="max"/>
        <color rgb="FFFFB628"/>
      </dataBar>
    </cfRule>
  </conditionalFormatting>
  <conditionalFormatting sqref="G2370:K2399">
    <cfRule type="dataBar" priority="1400">
      <dataBar>
        <cfvo type="min"/>
        <cfvo type="max"/>
        <color rgb="FFFFB628"/>
      </dataBar>
    </cfRule>
    <cfRule type="dataBar" priority="1399">
      <dataBar>
        <cfvo type="min"/>
        <cfvo type="max"/>
        <color rgb="FFFFB628"/>
      </dataBar>
    </cfRule>
  </conditionalFormatting>
  <conditionalFormatting sqref="G2400:K2429">
    <cfRule type="dataBar" priority="1396">
      <dataBar>
        <cfvo type="min"/>
        <cfvo type="max"/>
        <color rgb="FFFFB628"/>
      </dataBar>
    </cfRule>
    <cfRule type="dataBar" priority="1395">
      <dataBar>
        <cfvo type="min"/>
        <cfvo type="max"/>
        <color rgb="FFFFB628"/>
      </dataBar>
    </cfRule>
  </conditionalFormatting>
  <conditionalFormatting sqref="G2430:K2433 G2524:K2527">
    <cfRule type="dataBar" priority="1419">
      <dataBar>
        <cfvo type="min"/>
        <cfvo type="max"/>
        <color rgb="FFFFB628"/>
      </dataBar>
    </cfRule>
  </conditionalFormatting>
  <conditionalFormatting sqref="G2434:K2454 G2458:K2463">
    <cfRule type="dataBar" priority="1392">
      <dataBar>
        <cfvo type="min"/>
        <cfvo type="max"/>
        <color rgb="FFFFB628"/>
      </dataBar>
    </cfRule>
    <cfRule type="dataBar" priority="1391">
      <dataBar>
        <cfvo type="min"/>
        <cfvo type="max"/>
        <color rgb="FFFFB628"/>
      </dataBar>
    </cfRule>
  </conditionalFormatting>
  <conditionalFormatting sqref="G2455:K2455">
    <cfRule type="dataBar" priority="1389">
      <dataBar>
        <cfvo type="min"/>
        <cfvo type="max"/>
        <color rgb="FFFFB628"/>
      </dataBar>
    </cfRule>
    <cfRule type="dataBar" priority="1388">
      <dataBar>
        <cfvo type="min"/>
        <cfvo type="max"/>
        <color rgb="FFFFB628"/>
      </dataBar>
    </cfRule>
    <cfRule type="dataBar" priority="1387">
      <dataBar>
        <cfvo type="min"/>
        <cfvo type="max"/>
        <color rgb="FFFFB628"/>
      </dataBar>
    </cfRule>
  </conditionalFormatting>
  <conditionalFormatting sqref="G2456:K2456">
    <cfRule type="dataBar" priority="1384">
      <dataBar>
        <cfvo type="min"/>
        <cfvo type="max"/>
        <color rgb="FFFFB628"/>
      </dataBar>
    </cfRule>
    <cfRule type="dataBar" priority="1382">
      <dataBar>
        <cfvo type="min"/>
        <cfvo type="max"/>
        <color rgb="FFFFB628"/>
      </dataBar>
    </cfRule>
    <cfRule type="dataBar" priority="1383">
      <dataBar>
        <cfvo type="min"/>
        <cfvo type="max"/>
        <color rgb="FFFFB628"/>
      </dataBar>
    </cfRule>
  </conditionalFormatting>
  <conditionalFormatting sqref="G2457:K2457">
    <cfRule type="dataBar" priority="1381">
      <dataBar>
        <cfvo type="min"/>
        <cfvo type="max"/>
        <color rgb="FFFFB628"/>
      </dataBar>
    </cfRule>
    <cfRule type="dataBar" priority="1380">
      <dataBar>
        <cfvo type="min"/>
        <cfvo type="max"/>
        <color rgb="FFFFB628"/>
      </dataBar>
    </cfRule>
    <cfRule type="dataBar" priority="1379">
      <dataBar>
        <cfvo type="min"/>
        <cfvo type="max"/>
        <color rgb="FFFFB628"/>
      </dataBar>
    </cfRule>
  </conditionalFormatting>
  <conditionalFormatting sqref="G2464:K2493">
    <cfRule type="dataBar" priority="1376">
      <dataBar>
        <cfvo type="min"/>
        <cfvo type="max"/>
        <color rgb="FFFFB628"/>
      </dataBar>
    </cfRule>
    <cfRule type="dataBar" priority="1375">
      <dataBar>
        <cfvo type="min"/>
        <cfvo type="max"/>
        <color rgb="FFFFB628"/>
      </dataBar>
    </cfRule>
  </conditionalFormatting>
  <conditionalFormatting sqref="G2494:K2523">
    <cfRule type="dataBar" priority="1372">
      <dataBar>
        <cfvo type="min"/>
        <cfvo type="max"/>
        <color rgb="FFFFB628"/>
      </dataBar>
    </cfRule>
    <cfRule type="dataBar" priority="1371">
      <dataBar>
        <cfvo type="min"/>
        <cfvo type="max"/>
        <color rgb="FFFFB628"/>
      </dataBar>
    </cfRule>
  </conditionalFormatting>
  <conditionalFormatting sqref="L1:L2527">
    <cfRule type="dataBar" priority="2619">
      <dataBar>
        <cfvo type="min"/>
        <cfvo type="max"/>
        <color rgb="FF00B0F0"/>
      </dataBar>
    </cfRule>
    <cfRule type="dataBar" priority="2617">
      <dataBar>
        <cfvo type="min"/>
        <cfvo type="max"/>
        <color theme="7" tint="0.39997558519241921"/>
      </dataBar>
    </cfRule>
    <cfRule type="dataBar" priority="2618">
      <dataBar>
        <cfvo type="min"/>
        <cfvo type="max"/>
        <color rgb="FF00B0F0"/>
      </dataBar>
    </cfRule>
  </conditionalFormatting>
  <conditionalFormatting sqref="L3:L4 L10:L14 L16 L21 L23:L26 L28:L29 L31">
    <cfRule type="dataBar" priority="1700">
      <dataBar>
        <cfvo type="min"/>
        <cfvo type="max"/>
        <color rgb="FF638EC6"/>
      </dataBar>
    </cfRule>
    <cfRule type="dataBar" priority="1699">
      <dataBar>
        <cfvo type="min"/>
        <cfvo type="max"/>
        <color rgb="FF00B0F0"/>
      </dataBar>
    </cfRule>
    <cfRule type="dataBar" priority="1698">
      <dataBar>
        <cfvo type="min"/>
        <cfvo type="max"/>
        <color rgb="FF3FCDFF"/>
      </dataBar>
    </cfRule>
  </conditionalFormatting>
  <conditionalFormatting sqref="L5:L9">
    <cfRule type="dataBar" priority="1697">
      <dataBar>
        <cfvo type="min"/>
        <cfvo type="max"/>
        <color rgb="FF3FCDFF"/>
      </dataBar>
    </cfRule>
  </conditionalFormatting>
  <conditionalFormatting sqref="L15">
    <cfRule type="dataBar" priority="1696">
      <dataBar>
        <cfvo type="min"/>
        <cfvo type="max"/>
        <color rgb="FF3FCDFF"/>
      </dataBar>
    </cfRule>
  </conditionalFormatting>
  <conditionalFormatting sqref="L17:L20">
    <cfRule type="dataBar" priority="1695">
      <dataBar>
        <cfvo type="min"/>
        <cfvo type="max"/>
        <color rgb="FF3FCDFF"/>
      </dataBar>
    </cfRule>
  </conditionalFormatting>
  <conditionalFormatting sqref="L22">
    <cfRule type="dataBar" priority="1694">
      <dataBar>
        <cfvo type="min"/>
        <cfvo type="max"/>
        <color rgb="FF3FCDFF"/>
      </dataBar>
    </cfRule>
  </conditionalFormatting>
  <conditionalFormatting sqref="L27">
    <cfRule type="dataBar" priority="1693">
      <dataBar>
        <cfvo type="min"/>
        <cfvo type="max"/>
        <color rgb="FF3FCDFF"/>
      </dataBar>
    </cfRule>
  </conditionalFormatting>
  <conditionalFormatting sqref="L30">
    <cfRule type="dataBar" priority="1692">
      <dataBar>
        <cfvo type="min"/>
        <cfvo type="max"/>
        <color rgb="FF3FCDFF"/>
      </dataBar>
    </cfRule>
  </conditionalFormatting>
  <conditionalFormatting sqref="L32">
    <cfRule type="dataBar" priority="1687">
      <dataBar>
        <cfvo type="min"/>
        <cfvo type="max"/>
        <color rgb="FF3FCDFF"/>
      </dataBar>
    </cfRule>
  </conditionalFormatting>
  <conditionalFormatting sqref="L33:L34 L39:L42 L44 L46 L51 L53:L56 L58:L59 L61">
    <cfRule type="dataBar" priority="1691">
      <dataBar>
        <cfvo type="min"/>
        <cfvo type="max"/>
        <color rgb="FF638EC6"/>
      </dataBar>
    </cfRule>
    <cfRule type="dataBar" priority="1690">
      <dataBar>
        <cfvo type="min"/>
        <cfvo type="max"/>
        <color rgb="FF00B0F0"/>
      </dataBar>
    </cfRule>
    <cfRule type="dataBar" priority="1689">
      <dataBar>
        <cfvo type="min"/>
        <cfvo type="max"/>
        <color rgb="FF3FCDFF"/>
      </dataBar>
    </cfRule>
  </conditionalFormatting>
  <conditionalFormatting sqref="L35:L36">
    <cfRule type="dataBar" priority="1686">
      <dataBar>
        <cfvo type="min"/>
        <cfvo type="max"/>
        <color rgb="FF3FCDFF"/>
      </dataBar>
    </cfRule>
  </conditionalFormatting>
  <conditionalFormatting sqref="L37">
    <cfRule type="dataBar" priority="1679">
      <dataBar>
        <cfvo type="min"/>
        <cfvo type="max"/>
        <color rgb="FF638EC6"/>
      </dataBar>
    </cfRule>
    <cfRule type="dataBar" priority="1677">
      <dataBar>
        <cfvo type="min"/>
        <cfvo type="max"/>
        <color rgb="FF3FCDFF"/>
      </dataBar>
    </cfRule>
    <cfRule type="dataBar" priority="1678">
      <dataBar>
        <cfvo type="min"/>
        <cfvo type="max"/>
        <color rgb="FF00B0F0"/>
      </dataBar>
    </cfRule>
  </conditionalFormatting>
  <conditionalFormatting sqref="L38">
    <cfRule type="dataBar" priority="1685">
      <dataBar>
        <cfvo type="min"/>
        <cfvo type="max"/>
        <color rgb="FF3FCDFF"/>
      </dataBar>
    </cfRule>
  </conditionalFormatting>
  <conditionalFormatting sqref="L43">
    <cfRule type="dataBar" priority="1684">
      <dataBar>
        <cfvo type="min"/>
        <cfvo type="max"/>
        <color rgb="FF3FCDFF"/>
      </dataBar>
    </cfRule>
  </conditionalFormatting>
  <conditionalFormatting sqref="L45">
    <cfRule type="dataBar" priority="1688">
      <dataBar>
        <cfvo type="min"/>
        <cfvo type="max"/>
        <color rgb="FF3FCDFF"/>
      </dataBar>
    </cfRule>
  </conditionalFormatting>
  <conditionalFormatting sqref="L47:L50">
    <cfRule type="dataBar" priority="1683">
      <dataBar>
        <cfvo type="min"/>
        <cfvo type="max"/>
        <color rgb="FF3FCDFF"/>
      </dataBar>
    </cfRule>
  </conditionalFormatting>
  <conditionalFormatting sqref="L52">
    <cfRule type="dataBar" priority="1682">
      <dataBar>
        <cfvo type="min"/>
        <cfvo type="max"/>
        <color rgb="FF3FCDFF"/>
      </dataBar>
    </cfRule>
  </conditionalFormatting>
  <conditionalFormatting sqref="L57">
    <cfRule type="dataBar" priority="1681">
      <dataBar>
        <cfvo type="min"/>
        <cfvo type="max"/>
        <color rgb="FF3FCDFF"/>
      </dataBar>
    </cfRule>
  </conditionalFormatting>
  <conditionalFormatting sqref="L60">
    <cfRule type="dataBar" priority="1680">
      <dataBar>
        <cfvo type="min"/>
        <cfvo type="max"/>
        <color rgb="FF3FCDFF"/>
      </dataBar>
    </cfRule>
  </conditionalFormatting>
  <conditionalFormatting sqref="L62">
    <cfRule type="dataBar" priority="1668">
      <dataBar>
        <cfvo type="min"/>
        <cfvo type="max"/>
        <color rgb="FF3FCDFF"/>
      </dataBar>
    </cfRule>
  </conditionalFormatting>
  <conditionalFormatting sqref="L63:L64 L69:L72 L74 L76 L81 L83:L86 L88:L89 L91">
    <cfRule type="dataBar" priority="1676">
      <dataBar>
        <cfvo type="min"/>
        <cfvo type="max"/>
        <color rgb="FF638EC6"/>
      </dataBar>
    </cfRule>
    <cfRule type="dataBar" priority="1675">
      <dataBar>
        <cfvo type="min"/>
        <cfvo type="max"/>
        <color rgb="FF00B0F0"/>
      </dataBar>
    </cfRule>
    <cfRule type="dataBar" priority="1674">
      <dataBar>
        <cfvo type="min"/>
        <cfvo type="max"/>
        <color rgb="FF3FCDFF"/>
      </dataBar>
    </cfRule>
  </conditionalFormatting>
  <conditionalFormatting sqref="L65:L66">
    <cfRule type="dataBar" priority="1667">
      <dataBar>
        <cfvo type="min"/>
        <cfvo type="max"/>
        <color rgb="FF3FCDFF"/>
      </dataBar>
    </cfRule>
  </conditionalFormatting>
  <conditionalFormatting sqref="L67">
    <cfRule type="dataBar" priority="1671">
      <dataBar>
        <cfvo type="min"/>
        <cfvo type="max"/>
        <color rgb="FF638EC6"/>
      </dataBar>
    </cfRule>
    <cfRule type="dataBar" priority="1670">
      <dataBar>
        <cfvo type="min"/>
        <cfvo type="max"/>
        <color rgb="FF00B0F0"/>
      </dataBar>
    </cfRule>
    <cfRule type="dataBar" priority="1669">
      <dataBar>
        <cfvo type="min"/>
        <cfvo type="max"/>
        <color rgb="FF3FCDFF"/>
      </dataBar>
    </cfRule>
  </conditionalFormatting>
  <conditionalFormatting sqref="L68">
    <cfRule type="dataBar" priority="1666">
      <dataBar>
        <cfvo type="min"/>
        <cfvo type="max"/>
        <color rgb="FF3FCDFF"/>
      </dataBar>
    </cfRule>
  </conditionalFormatting>
  <conditionalFormatting sqref="L73">
    <cfRule type="dataBar" priority="1665">
      <dataBar>
        <cfvo type="min"/>
        <cfvo type="max"/>
        <color rgb="FF3FCDFF"/>
      </dataBar>
    </cfRule>
  </conditionalFormatting>
  <conditionalFormatting sqref="L75">
    <cfRule type="dataBar" priority="1673">
      <dataBar>
        <cfvo type="min"/>
        <cfvo type="max"/>
        <color rgb="FF3FCDFF"/>
      </dataBar>
    </cfRule>
  </conditionalFormatting>
  <conditionalFormatting sqref="L77">
    <cfRule type="dataBar" priority="1672">
      <dataBar>
        <cfvo type="min"/>
        <cfvo type="max"/>
        <color rgb="FF3FCDFF"/>
      </dataBar>
    </cfRule>
  </conditionalFormatting>
  <conditionalFormatting sqref="L78:L80">
    <cfRule type="dataBar" priority="1664">
      <dataBar>
        <cfvo type="min"/>
        <cfvo type="max"/>
        <color rgb="FF3FCDFF"/>
      </dataBar>
    </cfRule>
  </conditionalFormatting>
  <conditionalFormatting sqref="L82">
    <cfRule type="dataBar" priority="1663">
      <dataBar>
        <cfvo type="min"/>
        <cfvo type="max"/>
        <color rgb="FF3FCDFF"/>
      </dataBar>
    </cfRule>
  </conditionalFormatting>
  <conditionalFormatting sqref="L87">
    <cfRule type="dataBar" priority="1662">
      <dataBar>
        <cfvo type="min"/>
        <cfvo type="max"/>
        <color rgb="FF3FCDFF"/>
      </dataBar>
    </cfRule>
  </conditionalFormatting>
  <conditionalFormatting sqref="L90">
    <cfRule type="dataBar" priority="1661">
      <dataBar>
        <cfvo type="min"/>
        <cfvo type="max"/>
        <color rgb="FF3FCDFF"/>
      </dataBar>
    </cfRule>
  </conditionalFormatting>
  <conditionalFormatting sqref="L92">
    <cfRule type="dataBar" priority="1653">
      <dataBar>
        <cfvo type="min"/>
        <cfvo type="max"/>
        <color rgb="FF3FCDFF"/>
      </dataBar>
    </cfRule>
  </conditionalFormatting>
  <conditionalFormatting sqref="L94">
    <cfRule type="dataBar" priority="1644">
      <dataBar>
        <cfvo type="min"/>
        <cfvo type="max"/>
        <color rgb="FF3FCDFF"/>
      </dataBar>
    </cfRule>
  </conditionalFormatting>
  <conditionalFormatting sqref="L95:L96">
    <cfRule type="dataBar" priority="1652">
      <dataBar>
        <cfvo type="min"/>
        <cfvo type="max"/>
        <color rgb="FF3FCDFF"/>
      </dataBar>
    </cfRule>
  </conditionalFormatting>
  <conditionalFormatting sqref="L97">
    <cfRule type="dataBar" priority="1655">
      <dataBar>
        <cfvo type="min"/>
        <cfvo type="max"/>
        <color rgb="FF00B0F0"/>
      </dataBar>
    </cfRule>
    <cfRule type="dataBar" priority="1654">
      <dataBar>
        <cfvo type="min"/>
        <cfvo type="max"/>
        <color rgb="FF3FCDFF"/>
      </dataBar>
    </cfRule>
    <cfRule type="dataBar" priority="1656">
      <dataBar>
        <cfvo type="min"/>
        <cfvo type="max"/>
        <color rgb="FF638EC6"/>
      </dataBar>
    </cfRule>
  </conditionalFormatting>
  <conditionalFormatting sqref="L98">
    <cfRule type="dataBar" priority="1651">
      <dataBar>
        <cfvo type="min"/>
        <cfvo type="max"/>
        <color rgb="FF3FCDFF"/>
      </dataBar>
    </cfRule>
  </conditionalFormatting>
  <conditionalFormatting sqref="L99:L102 L93 L104 L106 L111 L113:L116 L118:L119 L121">
    <cfRule type="dataBar" priority="1660">
      <dataBar>
        <cfvo type="min"/>
        <cfvo type="max"/>
        <color rgb="FF638EC6"/>
      </dataBar>
    </cfRule>
    <cfRule type="dataBar" priority="1658">
      <dataBar>
        <cfvo type="min"/>
        <cfvo type="max"/>
        <color rgb="FF3FCDFF"/>
      </dataBar>
    </cfRule>
    <cfRule type="dataBar" priority="1659">
      <dataBar>
        <cfvo type="min"/>
        <cfvo type="max"/>
        <color rgb="FF00B0F0"/>
      </dataBar>
    </cfRule>
  </conditionalFormatting>
  <conditionalFormatting sqref="L103">
    <cfRule type="dataBar" priority="1650">
      <dataBar>
        <cfvo type="min"/>
        <cfvo type="max"/>
        <color rgb="FF3FCDFF"/>
      </dataBar>
    </cfRule>
  </conditionalFormatting>
  <conditionalFormatting sqref="L105">
    <cfRule type="dataBar" priority="1657">
      <dataBar>
        <cfvo type="min"/>
        <cfvo type="max"/>
        <color rgb="FF3FCDFF"/>
      </dataBar>
    </cfRule>
  </conditionalFormatting>
  <conditionalFormatting sqref="L107">
    <cfRule type="dataBar" priority="1645">
      <dataBar>
        <cfvo type="min"/>
        <cfvo type="max"/>
        <color rgb="FF3FCDFF"/>
      </dataBar>
    </cfRule>
  </conditionalFormatting>
  <conditionalFormatting sqref="L108:L110">
    <cfRule type="dataBar" priority="1649">
      <dataBar>
        <cfvo type="min"/>
        <cfvo type="max"/>
        <color rgb="FF3FCDFF"/>
      </dataBar>
    </cfRule>
  </conditionalFormatting>
  <conditionalFormatting sqref="L112">
    <cfRule type="dataBar" priority="1648">
      <dataBar>
        <cfvo type="min"/>
        <cfvo type="max"/>
        <color rgb="FF3FCDFF"/>
      </dataBar>
    </cfRule>
  </conditionalFormatting>
  <conditionalFormatting sqref="L117">
    <cfRule type="dataBar" priority="1647">
      <dataBar>
        <cfvo type="min"/>
        <cfvo type="max"/>
        <color rgb="FF3FCDFF"/>
      </dataBar>
    </cfRule>
  </conditionalFormatting>
  <conditionalFormatting sqref="L120">
    <cfRule type="dataBar" priority="1646">
      <dataBar>
        <cfvo type="min"/>
        <cfvo type="max"/>
        <color rgb="FF3FCDFF"/>
      </dataBar>
    </cfRule>
  </conditionalFormatting>
  <conditionalFormatting sqref="L122">
    <cfRule type="dataBar" priority="1639">
      <dataBar>
        <cfvo type="min"/>
        <cfvo type="max"/>
        <color rgb="FF3FCDFF"/>
      </dataBar>
    </cfRule>
  </conditionalFormatting>
  <conditionalFormatting sqref="L124:L128">
    <cfRule type="dataBar" priority="1638">
      <dataBar>
        <cfvo type="min"/>
        <cfvo type="max"/>
        <color rgb="FF3FCDFF"/>
      </dataBar>
    </cfRule>
  </conditionalFormatting>
  <conditionalFormatting sqref="L129:L132 L123 L134 L136 L141 L143 L145:L146 L148 L151">
    <cfRule type="dataBar" priority="1643">
      <dataBar>
        <cfvo type="min"/>
        <cfvo type="max"/>
        <color rgb="FF638EC6"/>
      </dataBar>
    </cfRule>
    <cfRule type="dataBar" priority="1642">
      <dataBar>
        <cfvo type="min"/>
        <cfvo type="max"/>
        <color rgb="FF00B0F0"/>
      </dataBar>
    </cfRule>
    <cfRule type="dataBar" priority="1641">
      <dataBar>
        <cfvo type="min"/>
        <cfvo type="max"/>
        <color rgb="FF3FCDFF"/>
      </dataBar>
    </cfRule>
  </conditionalFormatting>
  <conditionalFormatting sqref="L133">
    <cfRule type="dataBar" priority="1637">
      <dataBar>
        <cfvo type="min"/>
        <cfvo type="max"/>
        <color rgb="FF3FCDFF"/>
      </dataBar>
    </cfRule>
  </conditionalFormatting>
  <conditionalFormatting sqref="L135">
    <cfRule type="dataBar" priority="1640">
      <dataBar>
        <cfvo type="min"/>
        <cfvo type="max"/>
        <color rgb="FF3FCDFF"/>
      </dataBar>
    </cfRule>
  </conditionalFormatting>
  <conditionalFormatting sqref="L137:L140">
    <cfRule type="dataBar" priority="1636">
      <dataBar>
        <cfvo type="min"/>
        <cfvo type="max"/>
        <color rgb="FF3FCDFF"/>
      </dataBar>
    </cfRule>
  </conditionalFormatting>
  <conditionalFormatting sqref="L142">
    <cfRule type="dataBar" priority="1635">
      <dataBar>
        <cfvo type="min"/>
        <cfvo type="max"/>
        <color rgb="FF3FCDFF"/>
      </dataBar>
    </cfRule>
  </conditionalFormatting>
  <conditionalFormatting sqref="L144">
    <cfRule type="dataBar" priority="1634">
      <dataBar>
        <cfvo type="min"/>
        <cfvo type="max"/>
        <color rgb="FF3FCDFF"/>
      </dataBar>
    </cfRule>
  </conditionalFormatting>
  <conditionalFormatting sqref="L147">
    <cfRule type="dataBar" priority="1633">
      <dataBar>
        <cfvo type="min"/>
        <cfvo type="max"/>
        <color rgb="FF3FCDFF"/>
      </dataBar>
    </cfRule>
  </conditionalFormatting>
  <conditionalFormatting sqref="L149">
    <cfRule type="dataBar" priority="108">
      <dataBar>
        <cfvo type="min"/>
        <cfvo type="max"/>
        <color rgb="FF3FCDFF"/>
      </dataBar>
    </cfRule>
  </conditionalFormatting>
  <conditionalFormatting sqref="L150">
    <cfRule type="dataBar" priority="1632">
      <dataBar>
        <cfvo type="min"/>
        <cfvo type="max"/>
        <color rgb="FF3FCDFF"/>
      </dataBar>
    </cfRule>
  </conditionalFormatting>
  <conditionalFormatting sqref="L152">
    <cfRule type="dataBar" priority="1622">
      <dataBar>
        <cfvo type="min"/>
        <cfvo type="max"/>
        <color rgb="FF3FCDFF"/>
      </dataBar>
    </cfRule>
  </conditionalFormatting>
  <conditionalFormatting sqref="L153">
    <cfRule type="dataBar" priority="1621">
      <dataBar>
        <cfvo type="min"/>
        <cfvo type="max"/>
        <color rgb="FF3FCDFF"/>
      </dataBar>
    </cfRule>
  </conditionalFormatting>
  <conditionalFormatting sqref="L154:L155 L158">
    <cfRule type="dataBar" priority="1627">
      <dataBar>
        <cfvo type="min"/>
        <cfvo type="max"/>
        <color rgb="FF3FCDFF"/>
      </dataBar>
    </cfRule>
  </conditionalFormatting>
  <conditionalFormatting sqref="L156">
    <cfRule type="dataBar" priority="1620">
      <dataBar>
        <cfvo type="min"/>
        <cfvo type="max"/>
        <color rgb="FF3FCDFF"/>
      </dataBar>
    </cfRule>
  </conditionalFormatting>
  <conditionalFormatting sqref="L157">
    <cfRule type="dataBar" priority="1619">
      <dataBar>
        <cfvo type="min"/>
        <cfvo type="max"/>
        <color rgb="FF3FCDFF"/>
      </dataBar>
    </cfRule>
  </conditionalFormatting>
  <conditionalFormatting sqref="L159:L162 L164 L166 L173 L175:L176 L178:L179 L181">
    <cfRule type="dataBar" priority="1630">
      <dataBar>
        <cfvo type="min"/>
        <cfvo type="max"/>
        <color rgb="FF00B0F0"/>
      </dataBar>
    </cfRule>
    <cfRule type="dataBar" priority="1629">
      <dataBar>
        <cfvo type="min"/>
        <cfvo type="max"/>
        <color rgb="FF3FCDFF"/>
      </dataBar>
    </cfRule>
    <cfRule type="dataBar" priority="1631">
      <dataBar>
        <cfvo type="min"/>
        <cfvo type="max"/>
        <color rgb="FF638EC6"/>
      </dataBar>
    </cfRule>
  </conditionalFormatting>
  <conditionalFormatting sqref="L163">
    <cfRule type="dataBar" priority="1626">
      <dataBar>
        <cfvo type="min"/>
        <cfvo type="max"/>
        <color rgb="FF3FCDFF"/>
      </dataBar>
    </cfRule>
  </conditionalFormatting>
  <conditionalFormatting sqref="L165">
    <cfRule type="dataBar" priority="1628">
      <dataBar>
        <cfvo type="min"/>
        <cfvo type="max"/>
        <color rgb="FF3FCDFF"/>
      </dataBar>
    </cfRule>
  </conditionalFormatting>
  <conditionalFormatting sqref="L167">
    <cfRule type="dataBar" priority="1618">
      <dataBar>
        <cfvo type="min"/>
        <cfvo type="max"/>
        <color rgb="FF3FCDFF"/>
      </dataBar>
    </cfRule>
  </conditionalFormatting>
  <conditionalFormatting sqref="L168">
    <cfRule type="dataBar" priority="1625">
      <dataBar>
        <cfvo type="min"/>
        <cfvo type="max"/>
        <color rgb="FF3FCDFF"/>
      </dataBar>
    </cfRule>
  </conditionalFormatting>
  <conditionalFormatting sqref="L169:L170">
    <cfRule type="dataBar" priority="1617">
      <dataBar>
        <cfvo type="min"/>
        <cfvo type="max"/>
        <color rgb="FF3FCDFF"/>
      </dataBar>
    </cfRule>
  </conditionalFormatting>
  <conditionalFormatting sqref="L171">
    <cfRule type="dataBar" priority="1616">
      <dataBar>
        <cfvo type="min"/>
        <cfvo type="max"/>
        <color rgb="FF3FCDFF"/>
      </dataBar>
    </cfRule>
  </conditionalFormatting>
  <conditionalFormatting sqref="L172">
    <cfRule type="dataBar" priority="1615">
      <dataBar>
        <cfvo type="min"/>
        <cfvo type="max"/>
        <color rgb="FF3FCDFF"/>
      </dataBar>
    </cfRule>
  </conditionalFormatting>
  <conditionalFormatting sqref="L174">
    <cfRule type="dataBar" priority="1624">
      <dataBar>
        <cfvo type="min"/>
        <cfvo type="max"/>
        <color rgb="FF3FCDFF"/>
      </dataBar>
    </cfRule>
  </conditionalFormatting>
  <conditionalFormatting sqref="L177">
    <cfRule type="dataBar" priority="1614">
      <dataBar>
        <cfvo type="min"/>
        <cfvo type="max"/>
        <color rgb="FF3FCDFF"/>
      </dataBar>
    </cfRule>
  </conditionalFormatting>
  <conditionalFormatting sqref="L180">
    <cfRule type="dataBar" priority="1623">
      <dataBar>
        <cfvo type="min"/>
        <cfvo type="max"/>
        <color rgb="FF3FCDFF"/>
      </dataBar>
    </cfRule>
  </conditionalFormatting>
  <conditionalFormatting sqref="L182">
    <cfRule type="dataBar" priority="1604">
      <dataBar>
        <cfvo type="min"/>
        <cfvo type="max"/>
        <color rgb="FF3FCDFF"/>
      </dataBar>
    </cfRule>
  </conditionalFormatting>
  <conditionalFormatting sqref="L183:L184">
    <cfRule type="dataBar" priority="1603">
      <dataBar>
        <cfvo type="min"/>
        <cfvo type="max"/>
        <color rgb="FF3FCDFF"/>
      </dataBar>
    </cfRule>
  </conditionalFormatting>
  <conditionalFormatting sqref="L185">
    <cfRule type="dataBar" priority="1609">
      <dataBar>
        <cfvo type="min"/>
        <cfvo type="max"/>
        <color rgb="FF3FCDFF"/>
      </dataBar>
    </cfRule>
  </conditionalFormatting>
  <conditionalFormatting sqref="L186">
    <cfRule type="dataBar" priority="1602">
      <dataBar>
        <cfvo type="min"/>
        <cfvo type="max"/>
        <color rgb="FF3FCDFF"/>
      </dataBar>
    </cfRule>
  </conditionalFormatting>
  <conditionalFormatting sqref="L187">
    <cfRule type="dataBar" priority="1605">
      <dataBar>
        <cfvo type="min"/>
        <cfvo type="max"/>
        <color rgb="FF3FCDFF"/>
      </dataBar>
    </cfRule>
  </conditionalFormatting>
  <conditionalFormatting sqref="L188:L189">
    <cfRule type="dataBar" priority="1601">
      <dataBar>
        <cfvo type="min"/>
        <cfvo type="max"/>
        <color rgb="FF3FCDFF"/>
      </dataBar>
    </cfRule>
  </conditionalFormatting>
  <conditionalFormatting sqref="L190">
    <cfRule type="dataBar" priority="1600">
      <dataBar>
        <cfvo type="min"/>
        <cfvo type="max"/>
        <color rgb="FF3FCDFF"/>
      </dataBar>
    </cfRule>
  </conditionalFormatting>
  <conditionalFormatting sqref="L191">
    <cfRule type="dataBar" priority="1599">
      <dataBar>
        <cfvo type="min"/>
        <cfvo type="max"/>
        <color rgb="FF3FCDFF"/>
      </dataBar>
    </cfRule>
  </conditionalFormatting>
  <conditionalFormatting sqref="L193">
    <cfRule type="dataBar" priority="1598">
      <dataBar>
        <cfvo type="min"/>
        <cfvo type="max"/>
        <color rgb="FF3FCDFF"/>
      </dataBar>
    </cfRule>
  </conditionalFormatting>
  <conditionalFormatting sqref="L194">
    <cfRule type="dataBar" priority="1597">
      <dataBar>
        <cfvo type="min"/>
        <cfvo type="max"/>
        <color rgb="FF3FCDFF"/>
      </dataBar>
    </cfRule>
  </conditionalFormatting>
  <conditionalFormatting sqref="L195">
    <cfRule type="dataBar" priority="1610">
      <dataBar>
        <cfvo type="min"/>
        <cfvo type="max"/>
        <color rgb="FF3FCDFF"/>
      </dataBar>
    </cfRule>
  </conditionalFormatting>
  <conditionalFormatting sqref="L196 L192 L203 L208 L211">
    <cfRule type="dataBar" priority="1613">
      <dataBar>
        <cfvo type="min"/>
        <cfvo type="max"/>
        <color rgb="FF638EC6"/>
      </dataBar>
    </cfRule>
    <cfRule type="dataBar" priority="1612">
      <dataBar>
        <cfvo type="min"/>
        <cfvo type="max"/>
        <color rgb="FF00B0F0"/>
      </dataBar>
    </cfRule>
    <cfRule type="dataBar" priority="1611">
      <dataBar>
        <cfvo type="min"/>
        <cfvo type="max"/>
        <color rgb="FF3FCDFF"/>
      </dataBar>
    </cfRule>
  </conditionalFormatting>
  <conditionalFormatting sqref="L197">
    <cfRule type="dataBar" priority="1596">
      <dataBar>
        <cfvo type="min"/>
        <cfvo type="max"/>
        <color rgb="FF3FCDFF"/>
      </dataBar>
    </cfRule>
  </conditionalFormatting>
  <conditionalFormatting sqref="L198">
    <cfRule type="dataBar" priority="1608">
      <dataBar>
        <cfvo type="min"/>
        <cfvo type="max"/>
        <color rgb="FF3FCDFF"/>
      </dataBar>
    </cfRule>
  </conditionalFormatting>
  <conditionalFormatting sqref="L199:L202">
    <cfRule type="dataBar" priority="1595">
      <dataBar>
        <cfvo type="min"/>
        <cfvo type="max"/>
        <color rgb="FF3FCDFF"/>
      </dataBar>
    </cfRule>
  </conditionalFormatting>
  <conditionalFormatting sqref="L204">
    <cfRule type="dataBar" priority="1607">
      <dataBar>
        <cfvo type="min"/>
        <cfvo type="max"/>
        <color rgb="FF3FCDFF"/>
      </dataBar>
    </cfRule>
  </conditionalFormatting>
  <conditionalFormatting sqref="L205:L206">
    <cfRule type="dataBar" priority="1594">
      <dataBar>
        <cfvo type="min"/>
        <cfvo type="max"/>
        <color rgb="FF3FCDFF"/>
      </dataBar>
    </cfRule>
  </conditionalFormatting>
  <conditionalFormatting sqref="L207">
    <cfRule type="dataBar" priority="1593">
      <dataBar>
        <cfvo type="min"/>
        <cfvo type="max"/>
        <color rgb="FF3FCDFF"/>
      </dataBar>
    </cfRule>
  </conditionalFormatting>
  <conditionalFormatting sqref="L209">
    <cfRule type="dataBar" priority="1592">
      <dataBar>
        <cfvo type="min"/>
        <cfvo type="max"/>
        <color rgb="FF3FCDFF"/>
      </dataBar>
    </cfRule>
  </conditionalFormatting>
  <conditionalFormatting sqref="L210">
    <cfRule type="dataBar" priority="1606">
      <dataBar>
        <cfvo type="min"/>
        <cfvo type="max"/>
        <color rgb="FF3FCDFF"/>
      </dataBar>
    </cfRule>
  </conditionalFormatting>
  <conditionalFormatting sqref="L212">
    <cfRule type="dataBar" priority="1591">
      <dataBar>
        <cfvo type="min"/>
        <cfvo type="max"/>
        <color rgb="FF3FCDFF"/>
      </dataBar>
    </cfRule>
  </conditionalFormatting>
  <conditionalFormatting sqref="L213:L214 L220:L224 L226 L231 L233:L236 L238:L239 L241">
    <cfRule type="dataBar" priority="1589">
      <dataBar>
        <cfvo type="min"/>
        <cfvo type="max"/>
        <color rgb="FF638EC6"/>
      </dataBar>
    </cfRule>
    <cfRule type="dataBar" priority="1588">
      <dataBar>
        <cfvo type="min"/>
        <cfvo type="max"/>
        <color rgb="FF00B0F0"/>
      </dataBar>
    </cfRule>
    <cfRule type="dataBar" priority="1587">
      <dataBar>
        <cfvo type="min"/>
        <cfvo type="max"/>
        <color rgb="FF3FCDFF"/>
      </dataBar>
    </cfRule>
  </conditionalFormatting>
  <conditionalFormatting sqref="L215:L219">
    <cfRule type="dataBar" priority="1586">
      <dataBar>
        <cfvo type="min"/>
        <cfvo type="max"/>
        <color rgb="FF3FCDFF"/>
      </dataBar>
    </cfRule>
  </conditionalFormatting>
  <conditionalFormatting sqref="L225">
    <cfRule type="dataBar" priority="1585">
      <dataBar>
        <cfvo type="min"/>
        <cfvo type="max"/>
        <color rgb="FF3FCDFF"/>
      </dataBar>
    </cfRule>
  </conditionalFormatting>
  <conditionalFormatting sqref="L227:L230">
    <cfRule type="dataBar" priority="1584">
      <dataBar>
        <cfvo type="min"/>
        <cfvo type="max"/>
        <color rgb="FF3FCDFF"/>
      </dataBar>
    </cfRule>
  </conditionalFormatting>
  <conditionalFormatting sqref="L232">
    <cfRule type="dataBar" priority="1583">
      <dataBar>
        <cfvo type="min"/>
        <cfvo type="max"/>
        <color rgb="FF3FCDFF"/>
      </dataBar>
    </cfRule>
  </conditionalFormatting>
  <conditionalFormatting sqref="L237">
    <cfRule type="dataBar" priority="1582">
      <dataBar>
        <cfvo type="min"/>
        <cfvo type="max"/>
        <color rgb="FF3FCDFF"/>
      </dataBar>
    </cfRule>
  </conditionalFormatting>
  <conditionalFormatting sqref="L240">
    <cfRule type="dataBar" priority="1581">
      <dataBar>
        <cfvo type="min"/>
        <cfvo type="max"/>
        <color rgb="FF3FCDFF"/>
      </dataBar>
    </cfRule>
  </conditionalFormatting>
  <conditionalFormatting sqref="L242">
    <cfRule type="dataBar" priority="1576">
      <dataBar>
        <cfvo type="min"/>
        <cfvo type="max"/>
        <color rgb="FF3FCDFF"/>
      </dataBar>
    </cfRule>
  </conditionalFormatting>
  <conditionalFormatting sqref="L243:L244 L249:L252 L254 L256 L261 L263:L266 L268:L269 L271">
    <cfRule type="dataBar" priority="1579">
      <dataBar>
        <cfvo type="min"/>
        <cfvo type="max"/>
        <color rgb="FF00B0F0"/>
      </dataBar>
    </cfRule>
    <cfRule type="dataBar" priority="1578">
      <dataBar>
        <cfvo type="min"/>
        <cfvo type="max"/>
        <color rgb="FF3FCDFF"/>
      </dataBar>
    </cfRule>
    <cfRule type="dataBar" priority="1580">
      <dataBar>
        <cfvo type="min"/>
        <cfvo type="max"/>
        <color rgb="FF638EC6"/>
      </dataBar>
    </cfRule>
  </conditionalFormatting>
  <conditionalFormatting sqref="L245:L246">
    <cfRule type="dataBar" priority="1575">
      <dataBar>
        <cfvo type="min"/>
        <cfvo type="max"/>
        <color rgb="FF3FCDFF"/>
      </dataBar>
    </cfRule>
  </conditionalFormatting>
  <conditionalFormatting sqref="L247">
    <cfRule type="dataBar" priority="1566">
      <dataBar>
        <cfvo type="min"/>
        <cfvo type="max"/>
        <color rgb="FF3FCDFF"/>
      </dataBar>
    </cfRule>
    <cfRule type="dataBar" priority="1568">
      <dataBar>
        <cfvo type="min"/>
        <cfvo type="max"/>
        <color rgb="FF638EC6"/>
      </dataBar>
    </cfRule>
    <cfRule type="dataBar" priority="1567">
      <dataBar>
        <cfvo type="min"/>
        <cfvo type="max"/>
        <color rgb="FF00B0F0"/>
      </dataBar>
    </cfRule>
  </conditionalFormatting>
  <conditionalFormatting sqref="L248">
    <cfRule type="dataBar" priority="1574">
      <dataBar>
        <cfvo type="min"/>
        <cfvo type="max"/>
        <color rgb="FF3FCDFF"/>
      </dataBar>
    </cfRule>
  </conditionalFormatting>
  <conditionalFormatting sqref="L253">
    <cfRule type="dataBar" priority="1573">
      <dataBar>
        <cfvo type="min"/>
        <cfvo type="max"/>
        <color rgb="FF3FCDFF"/>
      </dataBar>
    </cfRule>
  </conditionalFormatting>
  <conditionalFormatting sqref="L255">
    <cfRule type="dataBar" priority="1577">
      <dataBar>
        <cfvo type="min"/>
        <cfvo type="max"/>
        <color rgb="FF3FCDFF"/>
      </dataBar>
    </cfRule>
  </conditionalFormatting>
  <conditionalFormatting sqref="L257:L260">
    <cfRule type="dataBar" priority="1572">
      <dataBar>
        <cfvo type="min"/>
        <cfvo type="max"/>
        <color rgb="FF3FCDFF"/>
      </dataBar>
    </cfRule>
  </conditionalFormatting>
  <conditionalFormatting sqref="L262">
    <cfRule type="dataBar" priority="1571">
      <dataBar>
        <cfvo type="min"/>
        <cfvo type="max"/>
        <color rgb="FF3FCDFF"/>
      </dataBar>
    </cfRule>
  </conditionalFormatting>
  <conditionalFormatting sqref="L267">
    <cfRule type="dataBar" priority="1570">
      <dataBar>
        <cfvo type="min"/>
        <cfvo type="max"/>
        <color rgb="FF3FCDFF"/>
      </dataBar>
    </cfRule>
  </conditionalFormatting>
  <conditionalFormatting sqref="L270">
    <cfRule type="dataBar" priority="1569">
      <dataBar>
        <cfvo type="min"/>
        <cfvo type="max"/>
        <color rgb="FF3FCDFF"/>
      </dataBar>
    </cfRule>
  </conditionalFormatting>
  <conditionalFormatting sqref="L272">
    <cfRule type="dataBar" priority="1557">
      <dataBar>
        <cfvo type="min"/>
        <cfvo type="max"/>
        <color rgb="FF3FCDFF"/>
      </dataBar>
    </cfRule>
  </conditionalFormatting>
  <conditionalFormatting sqref="L273:L274 L279:L282 L284 L286 L291 L293:L296 L298:L299 L301">
    <cfRule type="dataBar" priority="1565">
      <dataBar>
        <cfvo type="min"/>
        <cfvo type="max"/>
        <color rgb="FF638EC6"/>
      </dataBar>
    </cfRule>
    <cfRule type="dataBar" priority="1563">
      <dataBar>
        <cfvo type="min"/>
        <cfvo type="max"/>
        <color rgb="FF3FCDFF"/>
      </dataBar>
    </cfRule>
    <cfRule type="dataBar" priority="1564">
      <dataBar>
        <cfvo type="min"/>
        <cfvo type="max"/>
        <color rgb="FF00B0F0"/>
      </dataBar>
    </cfRule>
  </conditionalFormatting>
  <conditionalFormatting sqref="L275:L276">
    <cfRule type="dataBar" priority="1556">
      <dataBar>
        <cfvo type="min"/>
        <cfvo type="max"/>
        <color rgb="FF3FCDFF"/>
      </dataBar>
    </cfRule>
  </conditionalFormatting>
  <conditionalFormatting sqref="L277">
    <cfRule type="dataBar" priority="1558">
      <dataBar>
        <cfvo type="min"/>
        <cfvo type="max"/>
        <color rgb="FF3FCDFF"/>
      </dataBar>
    </cfRule>
    <cfRule type="dataBar" priority="1559">
      <dataBar>
        <cfvo type="min"/>
        <cfvo type="max"/>
        <color rgb="FF00B0F0"/>
      </dataBar>
    </cfRule>
    <cfRule type="dataBar" priority="1560">
      <dataBar>
        <cfvo type="min"/>
        <cfvo type="max"/>
        <color rgb="FF638EC6"/>
      </dataBar>
    </cfRule>
  </conditionalFormatting>
  <conditionalFormatting sqref="L278">
    <cfRule type="dataBar" priority="1555">
      <dataBar>
        <cfvo type="min"/>
        <cfvo type="max"/>
        <color rgb="FF3FCDFF"/>
      </dataBar>
    </cfRule>
  </conditionalFormatting>
  <conditionalFormatting sqref="L283">
    <cfRule type="dataBar" priority="1554">
      <dataBar>
        <cfvo type="min"/>
        <cfvo type="max"/>
        <color rgb="FF3FCDFF"/>
      </dataBar>
    </cfRule>
  </conditionalFormatting>
  <conditionalFormatting sqref="L285">
    <cfRule type="dataBar" priority="1562">
      <dataBar>
        <cfvo type="min"/>
        <cfvo type="max"/>
        <color rgb="FF3FCDFF"/>
      </dataBar>
    </cfRule>
  </conditionalFormatting>
  <conditionalFormatting sqref="L287">
    <cfRule type="dataBar" priority="1561">
      <dataBar>
        <cfvo type="min"/>
        <cfvo type="max"/>
        <color rgb="FF3FCDFF"/>
      </dataBar>
    </cfRule>
  </conditionalFormatting>
  <conditionalFormatting sqref="L288:L290">
    <cfRule type="dataBar" priority="1553">
      <dataBar>
        <cfvo type="min"/>
        <cfvo type="max"/>
        <color rgb="FF3FCDFF"/>
      </dataBar>
    </cfRule>
  </conditionalFormatting>
  <conditionalFormatting sqref="L292">
    <cfRule type="dataBar" priority="1552">
      <dataBar>
        <cfvo type="min"/>
        <cfvo type="max"/>
        <color rgb="FF3FCDFF"/>
      </dataBar>
    </cfRule>
  </conditionalFormatting>
  <conditionalFormatting sqref="L297">
    <cfRule type="dataBar" priority="1551">
      <dataBar>
        <cfvo type="min"/>
        <cfvo type="max"/>
        <color rgb="FF3FCDFF"/>
      </dataBar>
    </cfRule>
  </conditionalFormatting>
  <conditionalFormatting sqref="L300">
    <cfRule type="dataBar" priority="1550">
      <dataBar>
        <cfvo type="min"/>
        <cfvo type="max"/>
        <color rgb="FF3FCDFF"/>
      </dataBar>
    </cfRule>
  </conditionalFormatting>
  <conditionalFormatting sqref="L302">
    <cfRule type="dataBar" priority="1542">
      <dataBar>
        <cfvo type="min"/>
        <cfvo type="max"/>
        <color rgb="FF3FCDFF"/>
      </dataBar>
    </cfRule>
  </conditionalFormatting>
  <conditionalFormatting sqref="L304">
    <cfRule type="dataBar" priority="1533">
      <dataBar>
        <cfvo type="min"/>
        <cfvo type="max"/>
        <color rgb="FF3FCDFF"/>
      </dataBar>
    </cfRule>
  </conditionalFormatting>
  <conditionalFormatting sqref="L305:L307">
    <cfRule type="dataBar" priority="1541">
      <dataBar>
        <cfvo type="min"/>
        <cfvo type="max"/>
        <color rgb="FF3FCDFF"/>
      </dataBar>
    </cfRule>
  </conditionalFormatting>
  <conditionalFormatting sqref="L308">
    <cfRule type="dataBar" priority="1540">
      <dataBar>
        <cfvo type="min"/>
        <cfvo type="max"/>
        <color rgb="FF3FCDFF"/>
      </dataBar>
    </cfRule>
  </conditionalFormatting>
  <conditionalFormatting sqref="L309:L312 L303 L314 L316 L321 L323:L326 L328:L329 L331">
    <cfRule type="dataBar" priority="1547">
      <dataBar>
        <cfvo type="min"/>
        <cfvo type="max"/>
        <color rgb="FF3FCDFF"/>
      </dataBar>
    </cfRule>
    <cfRule type="dataBar" priority="1548">
      <dataBar>
        <cfvo type="min"/>
        <cfvo type="max"/>
        <color rgb="FF00B0F0"/>
      </dataBar>
    </cfRule>
    <cfRule type="dataBar" priority="1549">
      <dataBar>
        <cfvo type="min"/>
        <cfvo type="max"/>
        <color rgb="FF638EC6"/>
      </dataBar>
    </cfRule>
  </conditionalFormatting>
  <conditionalFormatting sqref="L313">
    <cfRule type="dataBar" priority="1539">
      <dataBar>
        <cfvo type="min"/>
        <cfvo type="max"/>
        <color rgb="FF3FCDFF"/>
      </dataBar>
    </cfRule>
  </conditionalFormatting>
  <conditionalFormatting sqref="L315">
    <cfRule type="dataBar" priority="1546">
      <dataBar>
        <cfvo type="min"/>
        <cfvo type="max"/>
        <color rgb="FF3FCDFF"/>
      </dataBar>
    </cfRule>
  </conditionalFormatting>
  <conditionalFormatting sqref="L317">
    <cfRule type="dataBar" priority="1534">
      <dataBar>
        <cfvo type="min"/>
        <cfvo type="max"/>
        <color rgb="FF3FCDFF"/>
      </dataBar>
    </cfRule>
  </conditionalFormatting>
  <conditionalFormatting sqref="L318:L320">
    <cfRule type="dataBar" priority="1538">
      <dataBar>
        <cfvo type="min"/>
        <cfvo type="max"/>
        <color rgb="FF3FCDFF"/>
      </dataBar>
    </cfRule>
  </conditionalFormatting>
  <conditionalFormatting sqref="L322">
    <cfRule type="dataBar" priority="1537">
      <dataBar>
        <cfvo type="min"/>
        <cfvo type="max"/>
        <color rgb="FF3FCDFF"/>
      </dataBar>
    </cfRule>
  </conditionalFormatting>
  <conditionalFormatting sqref="L327">
    <cfRule type="dataBar" priority="1536">
      <dataBar>
        <cfvo type="min"/>
        <cfvo type="max"/>
        <color rgb="FF3FCDFF"/>
      </dataBar>
    </cfRule>
  </conditionalFormatting>
  <conditionalFormatting sqref="L330">
    <cfRule type="dataBar" priority="1535">
      <dataBar>
        <cfvo type="min"/>
        <cfvo type="max"/>
        <color rgb="FF3FCDFF"/>
      </dataBar>
    </cfRule>
  </conditionalFormatting>
  <conditionalFormatting sqref="L332">
    <cfRule type="dataBar" priority="1528">
      <dataBar>
        <cfvo type="min"/>
        <cfvo type="max"/>
        <color rgb="FF3FCDFF"/>
      </dataBar>
    </cfRule>
  </conditionalFormatting>
  <conditionalFormatting sqref="L334:L338">
    <cfRule type="dataBar" priority="1527">
      <dataBar>
        <cfvo type="min"/>
        <cfvo type="max"/>
        <color rgb="FF3FCDFF"/>
      </dataBar>
    </cfRule>
  </conditionalFormatting>
  <conditionalFormatting sqref="L339:L342 L333 L344 L346 L351 L353 L355:L356 L358 L361">
    <cfRule type="dataBar" priority="1532">
      <dataBar>
        <cfvo type="min"/>
        <cfvo type="max"/>
        <color rgb="FF638EC6"/>
      </dataBar>
    </cfRule>
    <cfRule type="dataBar" priority="1531">
      <dataBar>
        <cfvo type="min"/>
        <cfvo type="max"/>
        <color rgb="FF00B0F0"/>
      </dataBar>
    </cfRule>
    <cfRule type="dataBar" priority="1530">
      <dataBar>
        <cfvo type="min"/>
        <cfvo type="max"/>
        <color rgb="FF3FCDFF"/>
      </dataBar>
    </cfRule>
  </conditionalFormatting>
  <conditionalFormatting sqref="L343">
    <cfRule type="dataBar" priority="1526">
      <dataBar>
        <cfvo type="min"/>
        <cfvo type="max"/>
        <color rgb="FF3FCDFF"/>
      </dataBar>
    </cfRule>
  </conditionalFormatting>
  <conditionalFormatting sqref="L345">
    <cfRule type="dataBar" priority="1529">
      <dataBar>
        <cfvo type="min"/>
        <cfvo type="max"/>
        <color rgb="FF3FCDFF"/>
      </dataBar>
    </cfRule>
  </conditionalFormatting>
  <conditionalFormatting sqref="L347:L350">
    <cfRule type="dataBar" priority="1525">
      <dataBar>
        <cfvo type="min"/>
        <cfvo type="max"/>
        <color rgb="FF3FCDFF"/>
      </dataBar>
    </cfRule>
  </conditionalFormatting>
  <conditionalFormatting sqref="L352">
    <cfRule type="dataBar" priority="1524">
      <dataBar>
        <cfvo type="min"/>
        <cfvo type="max"/>
        <color rgb="FF3FCDFF"/>
      </dataBar>
    </cfRule>
  </conditionalFormatting>
  <conditionalFormatting sqref="L354">
    <cfRule type="dataBar" priority="1523">
      <dataBar>
        <cfvo type="min"/>
        <cfvo type="max"/>
        <color rgb="FF3FCDFF"/>
      </dataBar>
    </cfRule>
  </conditionalFormatting>
  <conditionalFormatting sqref="L357">
    <cfRule type="dataBar" priority="1522">
      <dataBar>
        <cfvo type="min"/>
        <cfvo type="max"/>
        <color rgb="FF3FCDFF"/>
      </dataBar>
    </cfRule>
  </conditionalFormatting>
  <conditionalFormatting sqref="L359">
    <cfRule type="dataBar" priority="107">
      <dataBar>
        <cfvo type="min"/>
        <cfvo type="max"/>
        <color rgb="FF3FCDFF"/>
      </dataBar>
    </cfRule>
  </conditionalFormatting>
  <conditionalFormatting sqref="L360">
    <cfRule type="dataBar" priority="1521">
      <dataBar>
        <cfvo type="min"/>
        <cfvo type="max"/>
        <color rgb="FF3FCDFF"/>
      </dataBar>
    </cfRule>
  </conditionalFormatting>
  <conditionalFormatting sqref="L362">
    <cfRule type="dataBar" priority="1511">
      <dataBar>
        <cfvo type="min"/>
        <cfvo type="max"/>
        <color rgb="FF3FCDFF"/>
      </dataBar>
    </cfRule>
  </conditionalFormatting>
  <conditionalFormatting sqref="L363">
    <cfRule type="dataBar" priority="1510">
      <dataBar>
        <cfvo type="min"/>
        <cfvo type="max"/>
        <color rgb="FF3FCDFF"/>
      </dataBar>
    </cfRule>
  </conditionalFormatting>
  <conditionalFormatting sqref="L364:L365 L368">
    <cfRule type="dataBar" priority="1516">
      <dataBar>
        <cfvo type="min"/>
        <cfvo type="max"/>
        <color rgb="FF3FCDFF"/>
      </dataBar>
    </cfRule>
  </conditionalFormatting>
  <conditionalFormatting sqref="L366">
    <cfRule type="dataBar" priority="1509">
      <dataBar>
        <cfvo type="min"/>
        <cfvo type="max"/>
        <color rgb="FF3FCDFF"/>
      </dataBar>
    </cfRule>
  </conditionalFormatting>
  <conditionalFormatting sqref="L367">
    <cfRule type="dataBar" priority="1508">
      <dataBar>
        <cfvo type="min"/>
        <cfvo type="max"/>
        <color rgb="FF3FCDFF"/>
      </dataBar>
    </cfRule>
  </conditionalFormatting>
  <conditionalFormatting sqref="L369:L372 L374 L376 L383 L385:L386 L388:L389 L391">
    <cfRule type="dataBar" priority="1519">
      <dataBar>
        <cfvo type="min"/>
        <cfvo type="max"/>
        <color rgb="FF00B0F0"/>
      </dataBar>
    </cfRule>
    <cfRule type="dataBar" priority="1518">
      <dataBar>
        <cfvo type="min"/>
        <cfvo type="max"/>
        <color rgb="FF3FCDFF"/>
      </dataBar>
    </cfRule>
    <cfRule type="dataBar" priority="1520">
      <dataBar>
        <cfvo type="min"/>
        <cfvo type="max"/>
        <color rgb="FF638EC6"/>
      </dataBar>
    </cfRule>
  </conditionalFormatting>
  <conditionalFormatting sqref="L373">
    <cfRule type="dataBar" priority="1515">
      <dataBar>
        <cfvo type="min"/>
        <cfvo type="max"/>
        <color rgb="FF3FCDFF"/>
      </dataBar>
    </cfRule>
  </conditionalFormatting>
  <conditionalFormatting sqref="L375">
    <cfRule type="dataBar" priority="1517">
      <dataBar>
        <cfvo type="min"/>
        <cfvo type="max"/>
        <color rgb="FF3FCDFF"/>
      </dataBar>
    </cfRule>
  </conditionalFormatting>
  <conditionalFormatting sqref="L377">
    <cfRule type="dataBar" priority="1507">
      <dataBar>
        <cfvo type="min"/>
        <cfvo type="max"/>
        <color rgb="FF3FCDFF"/>
      </dataBar>
    </cfRule>
  </conditionalFormatting>
  <conditionalFormatting sqref="L378">
    <cfRule type="dataBar" priority="1514">
      <dataBar>
        <cfvo type="min"/>
        <cfvo type="max"/>
        <color rgb="FF3FCDFF"/>
      </dataBar>
    </cfRule>
  </conditionalFormatting>
  <conditionalFormatting sqref="L379:L380">
    <cfRule type="dataBar" priority="1506">
      <dataBar>
        <cfvo type="min"/>
        <cfvo type="max"/>
        <color rgb="FF3FCDFF"/>
      </dataBar>
    </cfRule>
  </conditionalFormatting>
  <conditionalFormatting sqref="L381">
    <cfRule type="dataBar" priority="1505">
      <dataBar>
        <cfvo type="min"/>
        <cfvo type="max"/>
        <color rgb="FF3FCDFF"/>
      </dataBar>
    </cfRule>
  </conditionalFormatting>
  <conditionalFormatting sqref="L382">
    <cfRule type="dataBar" priority="1504">
      <dataBar>
        <cfvo type="min"/>
        <cfvo type="max"/>
        <color rgb="FF3FCDFF"/>
      </dataBar>
    </cfRule>
  </conditionalFormatting>
  <conditionalFormatting sqref="L384">
    <cfRule type="dataBar" priority="1513">
      <dataBar>
        <cfvo type="min"/>
        <cfvo type="max"/>
        <color rgb="FF3FCDFF"/>
      </dataBar>
    </cfRule>
  </conditionalFormatting>
  <conditionalFormatting sqref="L387">
    <cfRule type="dataBar" priority="1503">
      <dataBar>
        <cfvo type="min"/>
        <cfvo type="max"/>
        <color rgb="FF3FCDFF"/>
      </dataBar>
    </cfRule>
  </conditionalFormatting>
  <conditionalFormatting sqref="L390">
    <cfRule type="dataBar" priority="1512">
      <dataBar>
        <cfvo type="min"/>
        <cfvo type="max"/>
        <color rgb="FF3FCDFF"/>
      </dataBar>
    </cfRule>
  </conditionalFormatting>
  <conditionalFormatting sqref="L392">
    <cfRule type="dataBar" priority="1493">
      <dataBar>
        <cfvo type="min"/>
        <cfvo type="max"/>
        <color rgb="FF3FCDFF"/>
      </dataBar>
    </cfRule>
  </conditionalFormatting>
  <conditionalFormatting sqref="L393:L394">
    <cfRule type="dataBar" priority="1492">
      <dataBar>
        <cfvo type="min"/>
        <cfvo type="max"/>
        <color rgb="FF3FCDFF"/>
      </dataBar>
    </cfRule>
  </conditionalFormatting>
  <conditionalFormatting sqref="L395">
    <cfRule type="dataBar" priority="1498">
      <dataBar>
        <cfvo type="min"/>
        <cfvo type="max"/>
        <color rgb="FF3FCDFF"/>
      </dataBar>
    </cfRule>
  </conditionalFormatting>
  <conditionalFormatting sqref="L396">
    <cfRule type="dataBar" priority="1491">
      <dataBar>
        <cfvo type="min"/>
        <cfvo type="max"/>
        <color rgb="FF3FCDFF"/>
      </dataBar>
    </cfRule>
  </conditionalFormatting>
  <conditionalFormatting sqref="L397">
    <cfRule type="dataBar" priority="1494">
      <dataBar>
        <cfvo type="min"/>
        <cfvo type="max"/>
        <color rgb="FF3FCDFF"/>
      </dataBar>
    </cfRule>
  </conditionalFormatting>
  <conditionalFormatting sqref="L398:L399">
    <cfRule type="dataBar" priority="1490">
      <dataBar>
        <cfvo type="min"/>
        <cfvo type="max"/>
        <color rgb="FF3FCDFF"/>
      </dataBar>
    </cfRule>
  </conditionalFormatting>
  <conditionalFormatting sqref="L400">
    <cfRule type="dataBar" priority="1489">
      <dataBar>
        <cfvo type="min"/>
        <cfvo type="max"/>
        <color rgb="FF3FCDFF"/>
      </dataBar>
    </cfRule>
  </conditionalFormatting>
  <conditionalFormatting sqref="L401">
    <cfRule type="dataBar" priority="1488">
      <dataBar>
        <cfvo type="min"/>
        <cfvo type="max"/>
        <color rgb="FF3FCDFF"/>
      </dataBar>
    </cfRule>
  </conditionalFormatting>
  <conditionalFormatting sqref="L403">
    <cfRule type="dataBar" priority="1487">
      <dataBar>
        <cfvo type="min"/>
        <cfvo type="max"/>
        <color rgb="FF3FCDFF"/>
      </dataBar>
    </cfRule>
  </conditionalFormatting>
  <conditionalFormatting sqref="L404">
    <cfRule type="dataBar" priority="1486">
      <dataBar>
        <cfvo type="min"/>
        <cfvo type="max"/>
        <color rgb="FF3FCDFF"/>
      </dataBar>
    </cfRule>
  </conditionalFormatting>
  <conditionalFormatting sqref="L405">
    <cfRule type="dataBar" priority="1499">
      <dataBar>
        <cfvo type="min"/>
        <cfvo type="max"/>
        <color rgb="FF3FCDFF"/>
      </dataBar>
    </cfRule>
  </conditionalFormatting>
  <conditionalFormatting sqref="L406 L402 L413 L418 L421">
    <cfRule type="dataBar" priority="1500">
      <dataBar>
        <cfvo type="min"/>
        <cfvo type="max"/>
        <color rgb="FF3FCDFF"/>
      </dataBar>
    </cfRule>
    <cfRule type="dataBar" priority="1501">
      <dataBar>
        <cfvo type="min"/>
        <cfvo type="max"/>
        <color rgb="FF00B0F0"/>
      </dataBar>
    </cfRule>
    <cfRule type="dataBar" priority="1502">
      <dataBar>
        <cfvo type="min"/>
        <cfvo type="max"/>
        <color rgb="FF638EC6"/>
      </dataBar>
    </cfRule>
  </conditionalFormatting>
  <conditionalFormatting sqref="L407">
    <cfRule type="dataBar" priority="1485">
      <dataBar>
        <cfvo type="min"/>
        <cfvo type="max"/>
        <color rgb="FF3FCDFF"/>
      </dataBar>
    </cfRule>
  </conditionalFormatting>
  <conditionalFormatting sqref="L408">
    <cfRule type="dataBar" priority="1497">
      <dataBar>
        <cfvo type="min"/>
        <cfvo type="max"/>
        <color rgb="FF3FCDFF"/>
      </dataBar>
    </cfRule>
  </conditionalFormatting>
  <conditionalFormatting sqref="L409:L412">
    <cfRule type="dataBar" priority="1484">
      <dataBar>
        <cfvo type="min"/>
        <cfvo type="max"/>
        <color rgb="FF3FCDFF"/>
      </dataBar>
    </cfRule>
  </conditionalFormatting>
  <conditionalFormatting sqref="L414">
    <cfRule type="dataBar" priority="1496">
      <dataBar>
        <cfvo type="min"/>
        <cfvo type="max"/>
        <color rgb="FF3FCDFF"/>
      </dataBar>
    </cfRule>
  </conditionalFormatting>
  <conditionalFormatting sqref="L415:L416">
    <cfRule type="dataBar" priority="1483">
      <dataBar>
        <cfvo type="min"/>
        <cfvo type="max"/>
        <color rgb="FF3FCDFF"/>
      </dataBar>
    </cfRule>
  </conditionalFormatting>
  <conditionalFormatting sqref="L417">
    <cfRule type="dataBar" priority="1482">
      <dataBar>
        <cfvo type="min"/>
        <cfvo type="max"/>
        <color rgb="FF3FCDFF"/>
      </dataBar>
    </cfRule>
  </conditionalFormatting>
  <conditionalFormatting sqref="L419">
    <cfRule type="dataBar" priority="1481">
      <dataBar>
        <cfvo type="min"/>
        <cfvo type="max"/>
        <color rgb="FF3FCDFF"/>
      </dataBar>
    </cfRule>
  </conditionalFormatting>
  <conditionalFormatting sqref="L420">
    <cfRule type="dataBar" priority="1495">
      <dataBar>
        <cfvo type="min"/>
        <cfvo type="max"/>
        <color rgb="FF3FCDFF"/>
      </dataBar>
    </cfRule>
  </conditionalFormatting>
  <conditionalFormatting sqref="L422">
    <cfRule type="dataBar" priority="98">
      <dataBar>
        <cfvo type="min"/>
        <cfvo type="max"/>
        <color rgb="FF3FCDFF"/>
      </dataBar>
    </cfRule>
  </conditionalFormatting>
  <conditionalFormatting sqref="L424:L425">
    <cfRule type="dataBar" priority="101">
      <dataBar>
        <cfvo type="min"/>
        <cfvo type="max"/>
        <color rgb="FF3FCDFF"/>
      </dataBar>
    </cfRule>
  </conditionalFormatting>
  <conditionalFormatting sqref="L426">
    <cfRule type="dataBar" priority="97">
      <dataBar>
        <cfvo type="min"/>
        <cfvo type="max"/>
        <color rgb="FF3FCDFF"/>
      </dataBar>
    </cfRule>
  </conditionalFormatting>
  <conditionalFormatting sqref="L427 L423 L429:L431 L434:L435 L441 L444 L448:L449">
    <cfRule type="dataBar" priority="88">
      <dataBar>
        <cfvo type="min"/>
        <cfvo type="max"/>
        <color rgb="FF3FCDFF"/>
      </dataBar>
    </cfRule>
  </conditionalFormatting>
  <conditionalFormatting sqref="L428">
    <cfRule type="dataBar" priority="96">
      <dataBar>
        <cfvo type="min"/>
        <cfvo type="max"/>
        <color rgb="FF3FCDFF"/>
      </dataBar>
    </cfRule>
  </conditionalFormatting>
  <conditionalFormatting sqref="L432:L433">
    <cfRule type="dataBar" priority="94">
      <dataBar>
        <cfvo type="min"/>
        <cfvo type="max"/>
        <color rgb="FF3FCDFF"/>
      </dataBar>
    </cfRule>
  </conditionalFormatting>
  <conditionalFormatting sqref="L437">
    <cfRule type="dataBar" priority="93">
      <dataBar>
        <cfvo type="min"/>
        <cfvo type="max"/>
        <color rgb="FF3FCDFF"/>
      </dataBar>
    </cfRule>
  </conditionalFormatting>
  <conditionalFormatting sqref="L438">
    <cfRule type="dataBar" priority="100">
      <dataBar>
        <cfvo type="min"/>
        <cfvo type="max"/>
        <color rgb="FF3FCDFF"/>
      </dataBar>
    </cfRule>
  </conditionalFormatting>
  <conditionalFormatting sqref="L439">
    <cfRule type="dataBar" priority="78">
      <dataBar>
        <cfvo type="min"/>
        <cfvo type="max"/>
        <color rgb="FF3FCDFF"/>
      </dataBar>
    </cfRule>
  </conditionalFormatting>
  <conditionalFormatting sqref="L442 L440">
    <cfRule type="dataBar" priority="92">
      <dataBar>
        <cfvo type="min"/>
        <cfvo type="max"/>
        <color rgb="FF3FCDFF"/>
      </dataBar>
    </cfRule>
  </conditionalFormatting>
  <conditionalFormatting sqref="L443 L436 L451">
    <cfRule type="dataBar" priority="102">
      <dataBar>
        <cfvo type="min"/>
        <cfvo type="max"/>
        <color rgb="FF3FCDFF"/>
      </dataBar>
    </cfRule>
    <cfRule type="dataBar" priority="103">
      <dataBar>
        <cfvo type="min"/>
        <cfvo type="max"/>
        <color rgb="FF00B0F0"/>
      </dataBar>
    </cfRule>
    <cfRule type="dataBar" priority="104">
      <dataBar>
        <cfvo type="min"/>
        <cfvo type="max"/>
        <color rgb="FF638EC6"/>
      </dataBar>
    </cfRule>
  </conditionalFormatting>
  <conditionalFormatting sqref="L445">
    <cfRule type="dataBar" priority="91">
      <dataBar>
        <cfvo type="min"/>
        <cfvo type="max"/>
        <color rgb="FF3FCDFF"/>
      </dataBar>
    </cfRule>
  </conditionalFormatting>
  <conditionalFormatting sqref="L446">
    <cfRule type="dataBar" priority="75">
      <dataBar>
        <cfvo type="min"/>
        <cfvo type="max"/>
        <color rgb="FF3FCDFF"/>
      </dataBar>
    </cfRule>
  </conditionalFormatting>
  <conditionalFormatting sqref="L447">
    <cfRule type="dataBar" priority="90">
      <dataBar>
        <cfvo type="min"/>
        <cfvo type="max"/>
        <color rgb="FF3FCDFF"/>
      </dataBar>
    </cfRule>
  </conditionalFormatting>
  <conditionalFormatting sqref="L450">
    <cfRule type="dataBar" priority="99">
      <dataBar>
        <cfvo type="min"/>
        <cfvo type="max"/>
        <color rgb="FF3FCDFF"/>
      </dataBar>
    </cfRule>
  </conditionalFormatting>
  <conditionalFormatting sqref="L452">
    <cfRule type="dataBar" priority="305">
      <dataBar>
        <cfvo type="min"/>
        <cfvo type="max"/>
        <color rgb="FF3FCDFF"/>
      </dataBar>
    </cfRule>
  </conditionalFormatting>
  <conditionalFormatting sqref="L454">
    <cfRule type="dataBar" priority="70">
      <dataBar>
        <cfvo type="min"/>
        <cfvo type="max"/>
        <color rgb="FF3FCDFF"/>
      </dataBar>
    </cfRule>
  </conditionalFormatting>
  <conditionalFormatting sqref="L455">
    <cfRule type="dataBar" priority="308">
      <dataBar>
        <cfvo type="min"/>
        <cfvo type="max"/>
        <color rgb="FF3FCDFF"/>
      </dataBar>
    </cfRule>
  </conditionalFormatting>
  <conditionalFormatting sqref="L456">
    <cfRule type="dataBar" priority="304">
      <dataBar>
        <cfvo type="min"/>
        <cfvo type="max"/>
        <color rgb="FF3FCDFF"/>
      </dataBar>
    </cfRule>
  </conditionalFormatting>
  <conditionalFormatting sqref="L457 L453 L459:L460 L462 L464:L465 L471 L479">
    <cfRule type="dataBar" priority="129">
      <dataBar>
        <cfvo type="min"/>
        <cfvo type="max"/>
        <color rgb="FF3FCDFF"/>
      </dataBar>
    </cfRule>
  </conditionalFormatting>
  <conditionalFormatting sqref="L458">
    <cfRule type="dataBar" priority="303">
      <dataBar>
        <cfvo type="min"/>
        <cfvo type="max"/>
        <color rgb="FF3FCDFF"/>
      </dataBar>
    </cfRule>
  </conditionalFormatting>
  <conditionalFormatting sqref="L461">
    <cfRule type="dataBar" priority="302">
      <dataBar>
        <cfvo type="min"/>
        <cfvo type="max"/>
        <color rgb="FF3FCDFF"/>
      </dataBar>
    </cfRule>
  </conditionalFormatting>
  <conditionalFormatting sqref="L463">
    <cfRule type="dataBar" priority="301">
      <dataBar>
        <cfvo type="min"/>
        <cfvo type="max"/>
        <color rgb="FF3FCDFF"/>
      </dataBar>
    </cfRule>
  </conditionalFormatting>
  <conditionalFormatting sqref="L467">
    <cfRule type="dataBar" priority="300">
      <dataBar>
        <cfvo type="min"/>
        <cfvo type="max"/>
        <color rgb="FF3FCDFF"/>
      </dataBar>
    </cfRule>
  </conditionalFormatting>
  <conditionalFormatting sqref="L468">
    <cfRule type="dataBar" priority="307">
      <dataBar>
        <cfvo type="min"/>
        <cfvo type="max"/>
        <color rgb="FF3FCDFF"/>
      </dataBar>
    </cfRule>
  </conditionalFormatting>
  <conditionalFormatting sqref="L469:L470 L472">
    <cfRule type="dataBar" priority="299">
      <dataBar>
        <cfvo type="min"/>
        <cfvo type="max"/>
        <color rgb="FF3FCDFF"/>
      </dataBar>
    </cfRule>
  </conditionalFormatting>
  <conditionalFormatting sqref="L473:L474 L466 L481">
    <cfRule type="dataBar" priority="311">
      <dataBar>
        <cfvo type="min"/>
        <cfvo type="max"/>
        <color rgb="FF638EC6"/>
      </dataBar>
    </cfRule>
    <cfRule type="dataBar" priority="310">
      <dataBar>
        <cfvo type="min"/>
        <cfvo type="max"/>
        <color rgb="FF00B0F0"/>
      </dataBar>
    </cfRule>
    <cfRule type="dataBar" priority="309">
      <dataBar>
        <cfvo type="min"/>
        <cfvo type="max"/>
        <color rgb="FF3FCDFF"/>
      </dataBar>
    </cfRule>
  </conditionalFormatting>
  <conditionalFormatting sqref="L475:L476">
    <cfRule type="dataBar" priority="298">
      <dataBar>
        <cfvo type="min"/>
        <cfvo type="max"/>
        <color rgb="FF3FCDFF"/>
      </dataBar>
    </cfRule>
  </conditionalFormatting>
  <conditionalFormatting sqref="L477">
    <cfRule type="dataBar" priority="297">
      <dataBar>
        <cfvo type="min"/>
        <cfvo type="max"/>
        <color rgb="FF3FCDFF"/>
      </dataBar>
    </cfRule>
  </conditionalFormatting>
  <conditionalFormatting sqref="L478">
    <cfRule type="dataBar" priority="65">
      <dataBar>
        <cfvo type="min"/>
        <cfvo type="max"/>
        <color rgb="FF638EC6"/>
      </dataBar>
    </cfRule>
    <cfRule type="dataBar" priority="63">
      <dataBar>
        <cfvo type="min"/>
        <cfvo type="max"/>
        <color rgb="FF3FCDFF"/>
      </dataBar>
    </cfRule>
    <cfRule type="dataBar" priority="64">
      <dataBar>
        <cfvo type="min"/>
        <cfvo type="max"/>
        <color rgb="FF00B0F0"/>
      </dataBar>
    </cfRule>
  </conditionalFormatting>
  <conditionalFormatting sqref="L480">
    <cfRule type="dataBar" priority="306">
      <dataBar>
        <cfvo type="min"/>
        <cfvo type="max"/>
        <color rgb="FF3FCDFF"/>
      </dataBar>
    </cfRule>
  </conditionalFormatting>
  <conditionalFormatting sqref="L482">
    <cfRule type="dataBar" priority="288">
      <dataBar>
        <cfvo type="min"/>
        <cfvo type="max"/>
        <color rgb="FF3FCDFF"/>
      </dataBar>
    </cfRule>
  </conditionalFormatting>
  <conditionalFormatting sqref="L483">
    <cfRule type="dataBar" priority="126">
      <dataBar>
        <cfvo type="min"/>
        <cfvo type="max"/>
        <color rgb="FF3FCDFF"/>
      </dataBar>
    </cfRule>
  </conditionalFormatting>
  <conditionalFormatting sqref="L484">
    <cfRule type="dataBar" priority="123">
      <dataBar>
        <cfvo type="min"/>
        <cfvo type="max"/>
        <color rgb="FF3FCDFF"/>
      </dataBar>
    </cfRule>
  </conditionalFormatting>
  <conditionalFormatting sqref="L485">
    <cfRule type="dataBar" priority="292">
      <dataBar>
        <cfvo type="min"/>
        <cfvo type="max"/>
        <color rgb="FF3FCDFF"/>
      </dataBar>
    </cfRule>
  </conditionalFormatting>
  <conditionalFormatting sqref="L486">
    <cfRule type="dataBar" priority="287">
      <dataBar>
        <cfvo type="min"/>
        <cfvo type="max"/>
        <color rgb="FF3FCDFF"/>
      </dataBar>
    </cfRule>
  </conditionalFormatting>
  <conditionalFormatting sqref="L488:L489">
    <cfRule type="dataBar" priority="286">
      <dataBar>
        <cfvo type="min"/>
        <cfvo type="max"/>
        <color rgb="FF3FCDFF"/>
      </dataBar>
    </cfRule>
  </conditionalFormatting>
  <conditionalFormatting sqref="L490 L487 L494:L495 L501 L506 L508">
    <cfRule type="dataBar" priority="120">
      <dataBar>
        <cfvo type="min"/>
        <cfvo type="max"/>
        <color rgb="FF3FCDFF"/>
      </dataBar>
    </cfRule>
  </conditionalFormatting>
  <conditionalFormatting sqref="L491:L492">
    <cfRule type="dataBar" priority="60">
      <dataBar>
        <cfvo type="min"/>
        <cfvo type="max"/>
        <color rgb="FF3FCDFF"/>
      </dataBar>
    </cfRule>
  </conditionalFormatting>
  <conditionalFormatting sqref="L493">
    <cfRule type="dataBar" priority="285">
      <dataBar>
        <cfvo type="min"/>
        <cfvo type="max"/>
        <color rgb="FF3FCDFF"/>
      </dataBar>
    </cfRule>
  </conditionalFormatting>
  <conditionalFormatting sqref="L496">
    <cfRule type="dataBar" priority="57">
      <dataBar>
        <cfvo type="min"/>
        <cfvo type="max"/>
        <color rgb="FF3FCDFF"/>
      </dataBar>
    </cfRule>
  </conditionalFormatting>
  <conditionalFormatting sqref="L497">
    <cfRule type="dataBar" priority="284">
      <dataBar>
        <cfvo type="min"/>
        <cfvo type="max"/>
        <color rgb="FF3FCDFF"/>
      </dataBar>
    </cfRule>
  </conditionalFormatting>
  <conditionalFormatting sqref="L498">
    <cfRule type="dataBar" priority="291">
      <dataBar>
        <cfvo type="min"/>
        <cfvo type="max"/>
        <color rgb="FF3FCDFF"/>
      </dataBar>
    </cfRule>
  </conditionalFormatting>
  <conditionalFormatting sqref="L499:L500 L502:L503">
    <cfRule type="dataBar" priority="283">
      <dataBar>
        <cfvo type="min"/>
        <cfvo type="max"/>
        <color rgb="FF3FCDFF"/>
      </dataBar>
    </cfRule>
  </conditionalFormatting>
  <conditionalFormatting sqref="L504">
    <cfRule type="dataBar" priority="290">
      <dataBar>
        <cfvo type="min"/>
        <cfvo type="max"/>
        <color rgb="FF3FCDFF"/>
      </dataBar>
    </cfRule>
  </conditionalFormatting>
  <conditionalFormatting sqref="L505">
    <cfRule type="dataBar" priority="282">
      <dataBar>
        <cfvo type="min"/>
        <cfvo type="max"/>
        <color rgb="FF3FCDFF"/>
      </dataBar>
    </cfRule>
  </conditionalFormatting>
  <conditionalFormatting sqref="L507">
    <cfRule type="dataBar" priority="281">
      <dataBar>
        <cfvo type="min"/>
        <cfvo type="max"/>
        <color rgb="FF3FCDFF"/>
      </dataBar>
    </cfRule>
  </conditionalFormatting>
  <conditionalFormatting sqref="L509">
    <cfRule type="dataBar" priority="280">
      <dataBar>
        <cfvo type="min"/>
        <cfvo type="max"/>
        <color rgb="FF3FCDFF"/>
      </dataBar>
    </cfRule>
  </conditionalFormatting>
  <conditionalFormatting sqref="L510">
    <cfRule type="dataBar" priority="289">
      <dataBar>
        <cfvo type="min"/>
        <cfvo type="max"/>
        <color rgb="FF3FCDFF"/>
      </dataBar>
    </cfRule>
  </conditionalFormatting>
  <conditionalFormatting sqref="L511">
    <cfRule type="dataBar" priority="293">
      <dataBar>
        <cfvo type="min"/>
        <cfvo type="max"/>
        <color rgb="FF3FCDFF"/>
      </dataBar>
    </cfRule>
    <cfRule type="dataBar" priority="294">
      <dataBar>
        <cfvo type="min"/>
        <cfvo type="max"/>
        <color rgb="FF00B0F0"/>
      </dataBar>
    </cfRule>
    <cfRule type="dataBar" priority="295">
      <dataBar>
        <cfvo type="min"/>
        <cfvo type="max"/>
        <color rgb="FF638EC6"/>
      </dataBar>
    </cfRule>
  </conditionalFormatting>
  <conditionalFormatting sqref="L512">
    <cfRule type="dataBar" priority="321">
      <dataBar>
        <cfvo type="min"/>
        <cfvo type="max"/>
        <color rgb="FF3FCDFF"/>
      </dataBar>
    </cfRule>
  </conditionalFormatting>
  <conditionalFormatting sqref="L513">
    <cfRule type="dataBar" priority="318">
      <dataBar>
        <cfvo type="min"/>
        <cfvo type="max"/>
        <color rgb="FF3FCDFF"/>
      </dataBar>
    </cfRule>
  </conditionalFormatting>
  <conditionalFormatting sqref="L514">
    <cfRule type="dataBar" priority="315">
      <dataBar>
        <cfvo type="min"/>
        <cfvo type="max"/>
        <color rgb="FF3FCDFF"/>
      </dataBar>
    </cfRule>
  </conditionalFormatting>
  <conditionalFormatting sqref="L515">
    <cfRule type="dataBar" priority="270">
      <dataBar>
        <cfvo type="min"/>
        <cfvo type="max"/>
        <color rgb="FF3FCDFF"/>
      </dataBar>
    </cfRule>
  </conditionalFormatting>
  <conditionalFormatting sqref="L516:L517">
    <cfRule type="dataBar" priority="269">
      <dataBar>
        <cfvo type="min"/>
        <cfvo type="max"/>
        <color rgb="FF3FCDFF"/>
      </dataBar>
    </cfRule>
  </conditionalFormatting>
  <conditionalFormatting sqref="L518">
    <cfRule type="dataBar" priority="274">
      <dataBar>
        <cfvo type="min"/>
        <cfvo type="max"/>
        <color rgb="FF3FCDFF"/>
      </dataBar>
    </cfRule>
  </conditionalFormatting>
  <conditionalFormatting sqref="L519">
    <cfRule type="dataBar" priority="268">
      <dataBar>
        <cfvo type="min"/>
        <cfvo type="max"/>
        <color rgb="FF3FCDFF"/>
      </dataBar>
    </cfRule>
  </conditionalFormatting>
  <conditionalFormatting sqref="L520">
    <cfRule type="dataBar" priority="271">
      <dataBar>
        <cfvo type="min"/>
        <cfvo type="max"/>
        <color rgb="FF3FCDFF"/>
      </dataBar>
    </cfRule>
  </conditionalFormatting>
  <conditionalFormatting sqref="L521:L522">
    <cfRule type="dataBar" priority="267">
      <dataBar>
        <cfvo type="min"/>
        <cfvo type="max"/>
        <color rgb="FF3FCDFF"/>
      </dataBar>
    </cfRule>
  </conditionalFormatting>
  <conditionalFormatting sqref="L523">
    <cfRule type="dataBar" priority="266">
      <dataBar>
        <cfvo type="min"/>
        <cfvo type="max"/>
        <color rgb="FF3FCDFF"/>
      </dataBar>
    </cfRule>
  </conditionalFormatting>
  <conditionalFormatting sqref="L524">
    <cfRule type="dataBar" priority="265">
      <dataBar>
        <cfvo type="min"/>
        <cfvo type="max"/>
        <color rgb="FF3FCDFF"/>
      </dataBar>
    </cfRule>
  </conditionalFormatting>
  <conditionalFormatting sqref="L526">
    <cfRule type="dataBar" priority="264">
      <dataBar>
        <cfvo type="min"/>
        <cfvo type="max"/>
        <color rgb="FF3FCDFF"/>
      </dataBar>
    </cfRule>
  </conditionalFormatting>
  <conditionalFormatting sqref="L527">
    <cfRule type="dataBar" priority="263">
      <dataBar>
        <cfvo type="min"/>
        <cfvo type="max"/>
        <color rgb="FF3FCDFF"/>
      </dataBar>
    </cfRule>
  </conditionalFormatting>
  <conditionalFormatting sqref="L529 L525 L544">
    <cfRule type="dataBar" priority="276">
      <dataBar>
        <cfvo type="min"/>
        <cfvo type="max"/>
        <color rgb="FF00B0F0"/>
      </dataBar>
    </cfRule>
    <cfRule type="dataBar" priority="275">
      <dataBar>
        <cfvo type="min"/>
        <cfvo type="max"/>
        <color rgb="FF3FCDFF"/>
      </dataBar>
    </cfRule>
    <cfRule type="dataBar" priority="277">
      <dataBar>
        <cfvo type="min"/>
        <cfvo type="max"/>
        <color rgb="FF638EC6"/>
      </dataBar>
    </cfRule>
  </conditionalFormatting>
  <conditionalFormatting sqref="L530">
    <cfRule type="dataBar" priority="262">
      <dataBar>
        <cfvo type="min"/>
        <cfvo type="max"/>
        <color rgb="FF3FCDFF"/>
      </dataBar>
    </cfRule>
  </conditionalFormatting>
  <conditionalFormatting sqref="L531 L528 L546">
    <cfRule type="dataBar" priority="117">
      <dataBar>
        <cfvo type="min"/>
        <cfvo type="max"/>
        <color rgb="FF3FCDFF"/>
      </dataBar>
    </cfRule>
  </conditionalFormatting>
  <conditionalFormatting sqref="L532:L536">
    <cfRule type="dataBar" priority="261">
      <dataBar>
        <cfvo type="min"/>
        <cfvo type="max"/>
        <color rgb="FF3FCDFF"/>
      </dataBar>
    </cfRule>
  </conditionalFormatting>
  <conditionalFormatting sqref="L537">
    <cfRule type="dataBar" priority="273">
      <dataBar>
        <cfvo type="min"/>
        <cfvo type="max"/>
        <color rgb="FF3FCDFF"/>
      </dataBar>
    </cfRule>
  </conditionalFormatting>
  <conditionalFormatting sqref="L538:L539">
    <cfRule type="dataBar" priority="260">
      <dataBar>
        <cfvo type="min"/>
        <cfvo type="max"/>
        <color rgb="FF3FCDFF"/>
      </dataBar>
    </cfRule>
  </conditionalFormatting>
  <conditionalFormatting sqref="L540">
    <cfRule type="dataBar" priority="259">
      <dataBar>
        <cfvo type="min"/>
        <cfvo type="max"/>
        <color rgb="FF3FCDFF"/>
      </dataBar>
    </cfRule>
  </conditionalFormatting>
  <conditionalFormatting sqref="L541">
    <cfRule type="dataBar" priority="50">
      <dataBar>
        <cfvo type="min"/>
        <cfvo type="max"/>
        <color rgb="FF3FCDFF"/>
      </dataBar>
    </cfRule>
  </conditionalFormatting>
  <conditionalFormatting sqref="L542">
    <cfRule type="dataBar" priority="258">
      <dataBar>
        <cfvo type="min"/>
        <cfvo type="max"/>
        <color rgb="FF3FCDFF"/>
      </dataBar>
    </cfRule>
  </conditionalFormatting>
  <conditionalFormatting sqref="L543">
    <cfRule type="dataBar" priority="272">
      <dataBar>
        <cfvo type="min"/>
        <cfvo type="max"/>
        <color rgb="FF3FCDFF"/>
      </dataBar>
    </cfRule>
  </conditionalFormatting>
  <conditionalFormatting sqref="L545">
    <cfRule type="dataBar" priority="248">
      <dataBar>
        <cfvo type="min"/>
        <cfvo type="max"/>
        <color rgb="FF3FCDFF"/>
      </dataBar>
    </cfRule>
  </conditionalFormatting>
  <conditionalFormatting sqref="L547">
    <cfRule type="dataBar" priority="247">
      <dataBar>
        <cfvo type="min"/>
        <cfvo type="max"/>
        <color rgb="FF3FCDFF"/>
      </dataBar>
    </cfRule>
  </conditionalFormatting>
  <conditionalFormatting sqref="L548">
    <cfRule type="dataBar" priority="252">
      <dataBar>
        <cfvo type="min"/>
        <cfvo type="max"/>
        <color rgb="FF3FCDFF"/>
      </dataBar>
    </cfRule>
  </conditionalFormatting>
  <conditionalFormatting sqref="L549">
    <cfRule type="dataBar" priority="246">
      <dataBar>
        <cfvo type="min"/>
        <cfvo type="max"/>
        <color rgb="FF3FCDFF"/>
      </dataBar>
    </cfRule>
  </conditionalFormatting>
  <conditionalFormatting sqref="L550">
    <cfRule type="dataBar" priority="249">
      <dataBar>
        <cfvo type="min"/>
        <cfvo type="max"/>
        <color rgb="FF3FCDFF"/>
      </dataBar>
    </cfRule>
  </conditionalFormatting>
  <conditionalFormatting sqref="L551:L552">
    <cfRule type="dataBar" priority="245">
      <dataBar>
        <cfvo type="min"/>
        <cfvo type="max"/>
        <color rgb="FF3FCDFF"/>
      </dataBar>
    </cfRule>
  </conditionalFormatting>
  <conditionalFormatting sqref="L553:L554 L564 L567 L569 L571:L572 L576 L580 L582:L583 L585 L587:L588 L594 L602 L606:L607 L610 L613:L615 L617:L618 L624 L629 L631 L636 L644 L648">
    <cfRule type="dataBar" priority="114">
      <dataBar>
        <cfvo type="min"/>
        <cfvo type="max"/>
        <color rgb="FF3FCDFF"/>
      </dataBar>
    </cfRule>
  </conditionalFormatting>
  <conditionalFormatting sqref="L556">
    <cfRule type="dataBar" priority="244">
      <dataBar>
        <cfvo type="min"/>
        <cfvo type="max"/>
        <color rgb="FF3FCDFF"/>
      </dataBar>
    </cfRule>
  </conditionalFormatting>
  <conditionalFormatting sqref="L557">
    <cfRule type="dataBar" priority="47">
      <dataBar>
        <cfvo type="min"/>
        <cfvo type="max"/>
        <color rgb="FF3FCDFF"/>
      </dataBar>
    </cfRule>
  </conditionalFormatting>
  <conditionalFormatting sqref="L558">
    <cfRule type="dataBar" priority="253">
      <dataBar>
        <cfvo type="min"/>
        <cfvo type="max"/>
        <color rgb="FF3FCDFF"/>
      </dataBar>
    </cfRule>
  </conditionalFormatting>
  <conditionalFormatting sqref="L559 L555 L566 L574">
    <cfRule type="dataBar" priority="254">
      <dataBar>
        <cfvo type="min"/>
        <cfvo type="max"/>
        <color rgb="FF3FCDFF"/>
      </dataBar>
    </cfRule>
    <cfRule type="dataBar" priority="255">
      <dataBar>
        <cfvo type="min"/>
        <cfvo type="max"/>
        <color rgb="FF00B0F0"/>
      </dataBar>
    </cfRule>
    <cfRule type="dataBar" priority="256">
      <dataBar>
        <cfvo type="min"/>
        <cfvo type="max"/>
        <color rgb="FF638EC6"/>
      </dataBar>
    </cfRule>
  </conditionalFormatting>
  <conditionalFormatting sqref="L560">
    <cfRule type="dataBar" priority="243">
      <dataBar>
        <cfvo type="min"/>
        <cfvo type="max"/>
        <color rgb="FF3FCDFF"/>
      </dataBar>
    </cfRule>
  </conditionalFormatting>
  <conditionalFormatting sqref="L561">
    <cfRule type="dataBar" priority="251">
      <dataBar>
        <cfvo type="min"/>
        <cfvo type="max"/>
        <color rgb="FF3FCDFF"/>
      </dataBar>
    </cfRule>
  </conditionalFormatting>
  <conditionalFormatting sqref="L562:L563 L565">
    <cfRule type="dataBar" priority="242">
      <dataBar>
        <cfvo type="min"/>
        <cfvo type="max"/>
        <color rgb="FF3FCDFF"/>
      </dataBar>
    </cfRule>
  </conditionalFormatting>
  <conditionalFormatting sqref="L568">
    <cfRule type="dataBar" priority="44">
      <dataBar>
        <cfvo type="min"/>
        <cfvo type="max"/>
        <color rgb="FF3FCDFF"/>
      </dataBar>
    </cfRule>
  </conditionalFormatting>
  <conditionalFormatting sqref="L570">
    <cfRule type="dataBar" priority="241">
      <dataBar>
        <cfvo type="min"/>
        <cfvo type="max"/>
        <color rgb="FF3FCDFF"/>
      </dataBar>
    </cfRule>
  </conditionalFormatting>
  <conditionalFormatting sqref="L573">
    <cfRule type="dataBar" priority="250">
      <dataBar>
        <cfvo type="min"/>
        <cfvo type="max"/>
        <color rgb="FF3FCDFF"/>
      </dataBar>
    </cfRule>
  </conditionalFormatting>
  <conditionalFormatting sqref="L575">
    <cfRule type="dataBar" priority="232">
      <dataBar>
        <cfvo type="min"/>
        <cfvo type="max"/>
        <color rgb="FF3FCDFF"/>
      </dataBar>
    </cfRule>
  </conditionalFormatting>
  <conditionalFormatting sqref="L577">
    <cfRule type="dataBar" priority="39">
      <dataBar>
        <cfvo type="min"/>
        <cfvo type="max"/>
        <color rgb="FF3FCDFF"/>
      </dataBar>
    </cfRule>
  </conditionalFormatting>
  <conditionalFormatting sqref="L578">
    <cfRule type="dataBar" priority="235">
      <dataBar>
        <cfvo type="min"/>
        <cfvo type="max"/>
        <color rgb="FF3FCDFF"/>
      </dataBar>
    </cfRule>
  </conditionalFormatting>
  <conditionalFormatting sqref="L579">
    <cfRule type="dataBar" priority="231">
      <dataBar>
        <cfvo type="min"/>
        <cfvo type="max"/>
        <color rgb="FF3FCDFF"/>
      </dataBar>
    </cfRule>
  </conditionalFormatting>
  <conditionalFormatting sqref="L581">
    <cfRule type="dataBar" priority="230">
      <dataBar>
        <cfvo type="min"/>
        <cfvo type="max"/>
        <color rgb="FF3FCDFF"/>
      </dataBar>
    </cfRule>
  </conditionalFormatting>
  <conditionalFormatting sqref="L584">
    <cfRule type="dataBar" priority="229">
      <dataBar>
        <cfvo type="min"/>
        <cfvo type="max"/>
        <color rgb="FF3FCDFF"/>
      </dataBar>
    </cfRule>
  </conditionalFormatting>
  <conditionalFormatting sqref="L586">
    <cfRule type="dataBar" priority="228">
      <dataBar>
        <cfvo type="min"/>
        <cfvo type="max"/>
        <color rgb="FF3FCDFF"/>
      </dataBar>
    </cfRule>
  </conditionalFormatting>
  <conditionalFormatting sqref="L590">
    <cfRule type="dataBar" priority="227">
      <dataBar>
        <cfvo type="min"/>
        <cfvo type="max"/>
        <color rgb="FF3FCDFF"/>
      </dataBar>
    </cfRule>
  </conditionalFormatting>
  <conditionalFormatting sqref="L591">
    <cfRule type="dataBar" priority="234">
      <dataBar>
        <cfvo type="min"/>
        <cfvo type="max"/>
        <color rgb="FF3FCDFF"/>
      </dataBar>
    </cfRule>
  </conditionalFormatting>
  <conditionalFormatting sqref="L592:L593 L595">
    <cfRule type="dataBar" priority="226">
      <dataBar>
        <cfvo type="min"/>
        <cfvo type="max"/>
        <color rgb="FF3FCDFF"/>
      </dataBar>
    </cfRule>
  </conditionalFormatting>
  <conditionalFormatting sqref="L596 L589 L604">
    <cfRule type="dataBar" priority="238">
      <dataBar>
        <cfvo type="min"/>
        <cfvo type="max"/>
        <color rgb="FF638EC6"/>
      </dataBar>
    </cfRule>
    <cfRule type="dataBar" priority="237">
      <dataBar>
        <cfvo type="min"/>
        <cfvo type="max"/>
        <color rgb="FF00B0F0"/>
      </dataBar>
    </cfRule>
    <cfRule type="dataBar" priority="236">
      <dataBar>
        <cfvo type="min"/>
        <cfvo type="max"/>
        <color rgb="FF3FCDFF"/>
      </dataBar>
    </cfRule>
  </conditionalFormatting>
  <conditionalFormatting sqref="L597:L599">
    <cfRule type="dataBar" priority="225">
      <dataBar>
        <cfvo type="min"/>
        <cfvo type="max"/>
        <color rgb="FF3FCDFF"/>
      </dataBar>
    </cfRule>
  </conditionalFormatting>
  <conditionalFormatting sqref="L600:L601">
    <cfRule type="dataBar" priority="224">
      <dataBar>
        <cfvo type="min"/>
        <cfvo type="max"/>
        <color rgb="FF3FCDFF"/>
      </dataBar>
    </cfRule>
  </conditionalFormatting>
  <conditionalFormatting sqref="L603">
    <cfRule type="dataBar" priority="233">
      <dataBar>
        <cfvo type="min"/>
        <cfvo type="max"/>
        <color rgb="FF3FCDFF"/>
      </dataBar>
    </cfRule>
  </conditionalFormatting>
  <conditionalFormatting sqref="L605">
    <cfRule type="dataBar" priority="215">
      <dataBar>
        <cfvo type="min"/>
        <cfvo type="max"/>
        <color rgb="FF3FCDFF"/>
      </dataBar>
    </cfRule>
  </conditionalFormatting>
  <conditionalFormatting sqref="L608">
    <cfRule type="dataBar" priority="219">
      <dataBar>
        <cfvo type="min"/>
        <cfvo type="max"/>
        <color rgb="FF3FCDFF"/>
      </dataBar>
    </cfRule>
  </conditionalFormatting>
  <conditionalFormatting sqref="L609">
    <cfRule type="dataBar" priority="214">
      <dataBar>
        <cfvo type="min"/>
        <cfvo type="max"/>
        <color rgb="FF3FCDFF"/>
      </dataBar>
    </cfRule>
  </conditionalFormatting>
  <conditionalFormatting sqref="L611:L612">
    <cfRule type="dataBar" priority="213">
      <dataBar>
        <cfvo type="min"/>
        <cfvo type="max"/>
        <color rgb="FF3FCDFF"/>
      </dataBar>
    </cfRule>
  </conditionalFormatting>
  <conditionalFormatting sqref="L616">
    <cfRule type="dataBar" priority="212">
      <dataBar>
        <cfvo type="min"/>
        <cfvo type="max"/>
        <color rgb="FF3FCDFF"/>
      </dataBar>
    </cfRule>
  </conditionalFormatting>
  <conditionalFormatting sqref="L619:L620">
    <cfRule type="dataBar" priority="211">
      <dataBar>
        <cfvo type="min"/>
        <cfvo type="max"/>
        <color rgb="FF3FCDFF"/>
      </dataBar>
    </cfRule>
  </conditionalFormatting>
  <conditionalFormatting sqref="L621">
    <cfRule type="dataBar" priority="218">
      <dataBar>
        <cfvo type="min"/>
        <cfvo type="max"/>
        <color rgb="FF3FCDFF"/>
      </dataBar>
    </cfRule>
  </conditionalFormatting>
  <conditionalFormatting sqref="L622:L623 L625:L626">
    <cfRule type="dataBar" priority="210">
      <dataBar>
        <cfvo type="min"/>
        <cfvo type="max"/>
        <color rgb="FF3FCDFF"/>
      </dataBar>
    </cfRule>
  </conditionalFormatting>
  <conditionalFormatting sqref="L627">
    <cfRule type="dataBar" priority="217">
      <dataBar>
        <cfvo type="min"/>
        <cfvo type="max"/>
        <color rgb="FF3FCDFF"/>
      </dataBar>
    </cfRule>
  </conditionalFormatting>
  <conditionalFormatting sqref="L628">
    <cfRule type="dataBar" priority="209">
      <dataBar>
        <cfvo type="min"/>
        <cfvo type="max"/>
        <color rgb="FF3FCDFF"/>
      </dataBar>
    </cfRule>
  </conditionalFormatting>
  <conditionalFormatting sqref="L630">
    <cfRule type="dataBar" priority="208">
      <dataBar>
        <cfvo type="min"/>
        <cfvo type="max"/>
        <color rgb="FF3FCDFF"/>
      </dataBar>
    </cfRule>
  </conditionalFormatting>
  <conditionalFormatting sqref="L632">
    <cfRule type="dataBar" priority="207">
      <dataBar>
        <cfvo type="min"/>
        <cfvo type="max"/>
        <color rgb="FF3FCDFF"/>
      </dataBar>
    </cfRule>
  </conditionalFormatting>
  <conditionalFormatting sqref="L633">
    <cfRule type="dataBar" priority="216">
      <dataBar>
        <cfvo type="min"/>
        <cfvo type="max"/>
        <color rgb="FF3FCDFF"/>
      </dataBar>
    </cfRule>
  </conditionalFormatting>
  <conditionalFormatting sqref="L634">
    <cfRule type="dataBar" priority="221">
      <dataBar>
        <cfvo type="min"/>
        <cfvo type="max"/>
        <color rgb="FF00B0F0"/>
      </dataBar>
    </cfRule>
    <cfRule type="dataBar" priority="220">
      <dataBar>
        <cfvo type="min"/>
        <cfvo type="max"/>
        <color rgb="FF3FCDFF"/>
      </dataBar>
    </cfRule>
    <cfRule type="dataBar" priority="222">
      <dataBar>
        <cfvo type="min"/>
        <cfvo type="max"/>
        <color rgb="FF638EC6"/>
      </dataBar>
    </cfRule>
  </conditionalFormatting>
  <conditionalFormatting sqref="L635">
    <cfRule type="dataBar" priority="197">
      <dataBar>
        <cfvo type="min"/>
        <cfvo type="max"/>
        <color rgb="FF3FCDFF"/>
      </dataBar>
    </cfRule>
  </conditionalFormatting>
  <conditionalFormatting sqref="L637">
    <cfRule type="dataBar" priority="196">
      <dataBar>
        <cfvo type="min"/>
        <cfvo type="max"/>
        <color rgb="FF3FCDFF"/>
      </dataBar>
    </cfRule>
  </conditionalFormatting>
  <conditionalFormatting sqref="L638">
    <cfRule type="dataBar" priority="202">
      <dataBar>
        <cfvo type="min"/>
        <cfvo type="max"/>
        <color rgb="FF3FCDFF"/>
      </dataBar>
    </cfRule>
  </conditionalFormatting>
  <conditionalFormatting sqref="L639">
    <cfRule type="dataBar" priority="195">
      <dataBar>
        <cfvo type="min"/>
        <cfvo type="max"/>
        <color rgb="FF3FCDFF"/>
      </dataBar>
    </cfRule>
  </conditionalFormatting>
  <conditionalFormatting sqref="L640">
    <cfRule type="dataBar" priority="198">
      <dataBar>
        <cfvo type="min"/>
        <cfvo type="max"/>
        <color rgb="FF3FCDFF"/>
      </dataBar>
    </cfRule>
  </conditionalFormatting>
  <conditionalFormatting sqref="L641:L642">
    <cfRule type="dataBar" priority="194">
      <dataBar>
        <cfvo type="min"/>
        <cfvo type="max"/>
        <color rgb="FF3FCDFF"/>
      </dataBar>
    </cfRule>
  </conditionalFormatting>
  <conditionalFormatting sqref="L643">
    <cfRule type="dataBar" priority="193">
      <dataBar>
        <cfvo type="min"/>
        <cfvo type="max"/>
        <color rgb="FF3FCDFF"/>
      </dataBar>
    </cfRule>
  </conditionalFormatting>
  <conditionalFormatting sqref="L645">
    <cfRule type="dataBar" priority="25">
      <dataBar>
        <cfvo type="min"/>
        <cfvo type="max"/>
        <color rgb="FF3FCDFF"/>
      </dataBar>
    </cfRule>
  </conditionalFormatting>
  <conditionalFormatting sqref="L646:L647">
    <cfRule type="dataBar" priority="192">
      <dataBar>
        <cfvo type="min"/>
        <cfvo type="max"/>
        <color rgb="FF3FCDFF"/>
      </dataBar>
    </cfRule>
  </conditionalFormatting>
  <conditionalFormatting sqref="L649">
    <cfRule type="dataBar" priority="20">
      <dataBar>
        <cfvo type="min"/>
        <cfvo type="max"/>
        <color rgb="FF3FCDFF"/>
      </dataBar>
    </cfRule>
  </conditionalFormatting>
  <conditionalFormatting sqref="L650">
    <cfRule type="dataBar" priority="191">
      <dataBar>
        <cfvo type="min"/>
        <cfvo type="max"/>
        <color rgb="FF3FCDFF"/>
      </dataBar>
    </cfRule>
  </conditionalFormatting>
  <conditionalFormatting sqref="L651">
    <cfRule type="dataBar" priority="201">
      <dataBar>
        <cfvo type="min"/>
        <cfvo type="max"/>
        <color rgb="FF3FCDFF"/>
      </dataBar>
    </cfRule>
  </conditionalFormatting>
  <conditionalFormatting sqref="L652:L655">
    <cfRule type="dataBar" priority="190">
      <dataBar>
        <cfvo type="min"/>
        <cfvo type="max"/>
        <color rgb="FF3FCDFF"/>
      </dataBar>
    </cfRule>
  </conditionalFormatting>
  <conditionalFormatting sqref="L656:L662">
    <cfRule type="dataBar" priority="19">
      <dataBar>
        <cfvo type="min"/>
        <cfvo type="max"/>
        <color rgb="FF3FCDFF"/>
      </dataBar>
    </cfRule>
  </conditionalFormatting>
  <conditionalFormatting sqref="L663">
    <cfRule type="dataBar" priority="199">
      <dataBar>
        <cfvo type="min"/>
        <cfvo type="max"/>
        <color rgb="FF3FCDFF"/>
      </dataBar>
    </cfRule>
  </conditionalFormatting>
  <conditionalFormatting sqref="L664">
    <cfRule type="dataBar" priority="203">
      <dataBar>
        <cfvo type="min"/>
        <cfvo type="max"/>
        <color rgb="FF3FCDFF"/>
      </dataBar>
    </cfRule>
    <cfRule type="dataBar" priority="204">
      <dataBar>
        <cfvo type="min"/>
        <cfvo type="max"/>
        <color rgb="FF00B0F0"/>
      </dataBar>
    </cfRule>
    <cfRule type="dataBar" priority="205">
      <dataBar>
        <cfvo type="min"/>
        <cfvo type="max"/>
        <color rgb="FF638EC6"/>
      </dataBar>
    </cfRule>
  </conditionalFormatting>
  <conditionalFormatting sqref="L665">
    <cfRule type="dataBar" priority="176">
      <dataBar>
        <cfvo type="min"/>
        <cfvo type="max"/>
        <color rgb="FF3FCDFF"/>
      </dataBar>
    </cfRule>
  </conditionalFormatting>
  <conditionalFormatting sqref="L667">
    <cfRule type="dataBar" priority="175">
      <dataBar>
        <cfvo type="min"/>
        <cfvo type="max"/>
        <color rgb="FF3FCDFF"/>
      </dataBar>
    </cfRule>
  </conditionalFormatting>
  <conditionalFormatting sqref="L668">
    <cfRule type="dataBar" priority="181">
      <dataBar>
        <cfvo type="min"/>
        <cfvo type="max"/>
        <color rgb="FF3FCDFF"/>
      </dataBar>
    </cfRule>
  </conditionalFormatting>
  <conditionalFormatting sqref="L669">
    <cfRule type="dataBar" priority="174">
      <dataBar>
        <cfvo type="min"/>
        <cfvo type="max"/>
        <color rgb="FF3FCDFF"/>
      </dataBar>
    </cfRule>
  </conditionalFormatting>
  <conditionalFormatting sqref="L670">
    <cfRule type="dataBar" priority="177">
      <dataBar>
        <cfvo type="min"/>
        <cfvo type="max"/>
        <color rgb="FF3FCDFF"/>
      </dataBar>
    </cfRule>
  </conditionalFormatting>
  <conditionalFormatting sqref="L671">
    <cfRule type="dataBar" priority="173">
      <dataBar>
        <cfvo type="min"/>
        <cfvo type="max"/>
        <color rgb="FF3FCDFF"/>
      </dataBar>
    </cfRule>
  </conditionalFormatting>
  <conditionalFormatting sqref="L672:L673 L666 L675 L677 L684 L686 L688:L689 L704:L705 L707 L717 L722 L738 L741">
    <cfRule type="dataBar" priority="111">
      <dataBar>
        <cfvo type="min"/>
        <cfvo type="max"/>
        <color rgb="FF3FCDFF"/>
      </dataBar>
    </cfRule>
  </conditionalFormatting>
  <conditionalFormatting sqref="L674">
    <cfRule type="dataBar" priority="172">
      <dataBar>
        <cfvo type="min"/>
        <cfvo type="max"/>
        <color rgb="FF3FCDFF"/>
      </dataBar>
    </cfRule>
  </conditionalFormatting>
  <conditionalFormatting sqref="L676">
    <cfRule type="dataBar" priority="171">
      <dataBar>
        <cfvo type="min"/>
        <cfvo type="max"/>
        <color rgb="FF3FCDFF"/>
      </dataBar>
    </cfRule>
  </conditionalFormatting>
  <conditionalFormatting sqref="L678">
    <cfRule type="dataBar" priority="182">
      <dataBar>
        <cfvo type="min"/>
        <cfvo type="max"/>
        <color rgb="FF3FCDFF"/>
      </dataBar>
    </cfRule>
  </conditionalFormatting>
  <conditionalFormatting sqref="L680">
    <cfRule type="dataBar" priority="170">
      <dataBar>
        <cfvo type="min"/>
        <cfvo type="max"/>
        <color rgb="FF3FCDFF"/>
      </dataBar>
    </cfRule>
  </conditionalFormatting>
  <conditionalFormatting sqref="L681">
    <cfRule type="dataBar" priority="180">
      <dataBar>
        <cfvo type="min"/>
        <cfvo type="max"/>
        <color rgb="FF3FCDFF"/>
      </dataBar>
    </cfRule>
  </conditionalFormatting>
  <conditionalFormatting sqref="L682:L683 L685">
    <cfRule type="dataBar" priority="169">
      <dataBar>
        <cfvo type="min"/>
        <cfvo type="max"/>
        <color rgb="FF3FCDFF"/>
      </dataBar>
    </cfRule>
  </conditionalFormatting>
  <conditionalFormatting sqref="L687">
    <cfRule type="dataBar" priority="179">
      <dataBar>
        <cfvo type="min"/>
        <cfvo type="max"/>
        <color rgb="FF3FCDFF"/>
      </dataBar>
    </cfRule>
  </conditionalFormatting>
  <conditionalFormatting sqref="L690">
    <cfRule type="dataBar" priority="168">
      <dataBar>
        <cfvo type="min"/>
        <cfvo type="max"/>
        <color rgb="FF3FCDFF"/>
      </dataBar>
    </cfRule>
  </conditionalFormatting>
  <conditionalFormatting sqref="L691 L679 L694">
    <cfRule type="dataBar" priority="184">
      <dataBar>
        <cfvo type="min"/>
        <cfvo type="max"/>
        <color rgb="FF00B0F0"/>
      </dataBar>
    </cfRule>
    <cfRule type="dataBar" priority="185">
      <dataBar>
        <cfvo type="min"/>
        <cfvo type="max"/>
        <color rgb="FF638EC6"/>
      </dataBar>
    </cfRule>
    <cfRule type="dataBar" priority="183">
      <dataBar>
        <cfvo type="min"/>
        <cfvo type="max"/>
        <color rgb="FF3FCDFF"/>
      </dataBar>
    </cfRule>
  </conditionalFormatting>
  <conditionalFormatting sqref="L692">
    <cfRule type="dataBar" priority="167">
      <dataBar>
        <cfvo type="min"/>
        <cfvo type="max"/>
        <color rgb="FF3FCDFF"/>
      </dataBar>
    </cfRule>
  </conditionalFormatting>
  <conditionalFormatting sqref="L693">
    <cfRule type="dataBar" priority="178">
      <dataBar>
        <cfvo type="min"/>
        <cfvo type="max"/>
        <color rgb="FF3FCDFF"/>
      </dataBar>
    </cfRule>
  </conditionalFormatting>
  <conditionalFormatting sqref="L695">
    <cfRule type="dataBar" priority="158">
      <dataBar>
        <cfvo type="min"/>
        <cfvo type="max"/>
        <color rgb="FF3FCDFF"/>
      </dataBar>
    </cfRule>
  </conditionalFormatting>
  <conditionalFormatting sqref="L696:L697">
    <cfRule type="dataBar" priority="157">
      <dataBar>
        <cfvo type="min"/>
        <cfvo type="max"/>
        <color rgb="FF3FCDFF"/>
      </dataBar>
    </cfRule>
  </conditionalFormatting>
  <conditionalFormatting sqref="L698">
    <cfRule type="dataBar" priority="162">
      <dataBar>
        <cfvo type="min"/>
        <cfvo type="max"/>
        <color rgb="FF3FCDFF"/>
      </dataBar>
    </cfRule>
  </conditionalFormatting>
  <conditionalFormatting sqref="L699">
    <cfRule type="dataBar" priority="156">
      <dataBar>
        <cfvo type="min"/>
        <cfvo type="max"/>
        <color rgb="FF3FCDFF"/>
      </dataBar>
    </cfRule>
  </conditionalFormatting>
  <conditionalFormatting sqref="L700">
    <cfRule type="dataBar" priority="159">
      <dataBar>
        <cfvo type="min"/>
        <cfvo type="max"/>
        <color rgb="FF3FCDFF"/>
      </dataBar>
    </cfRule>
  </conditionalFormatting>
  <conditionalFormatting sqref="L701:L702">
    <cfRule type="dataBar" priority="155">
      <dataBar>
        <cfvo type="min"/>
        <cfvo type="max"/>
        <color rgb="FF3FCDFF"/>
      </dataBar>
    </cfRule>
  </conditionalFormatting>
  <conditionalFormatting sqref="L703">
    <cfRule type="dataBar" priority="154">
      <dataBar>
        <cfvo type="min"/>
        <cfvo type="max"/>
        <color rgb="FF3FCDFF"/>
      </dataBar>
    </cfRule>
  </conditionalFormatting>
  <conditionalFormatting sqref="L706">
    <cfRule type="dataBar" priority="153">
      <dataBar>
        <cfvo type="min"/>
        <cfvo type="max"/>
        <color rgb="FF3FCDFF"/>
      </dataBar>
    </cfRule>
  </conditionalFormatting>
  <conditionalFormatting sqref="L708">
    <cfRule type="dataBar" priority="16">
      <dataBar>
        <cfvo type="min"/>
        <cfvo type="max"/>
        <color rgb="FF3FCDFF"/>
      </dataBar>
    </cfRule>
  </conditionalFormatting>
  <conditionalFormatting sqref="L710">
    <cfRule type="dataBar" priority="152">
      <dataBar>
        <cfvo type="min"/>
        <cfvo type="max"/>
        <color rgb="FF3FCDFF"/>
      </dataBar>
    </cfRule>
  </conditionalFormatting>
  <conditionalFormatting sqref="L711">
    <cfRule type="dataBar" priority="161">
      <dataBar>
        <cfvo type="min"/>
        <cfvo type="max"/>
        <color rgb="FF3FCDFF"/>
      </dataBar>
    </cfRule>
  </conditionalFormatting>
  <conditionalFormatting sqref="L712:L715">
    <cfRule type="dataBar" priority="151">
      <dataBar>
        <cfvo type="min"/>
        <cfvo type="max"/>
        <color rgb="FF3FCDFF"/>
      </dataBar>
    </cfRule>
  </conditionalFormatting>
  <conditionalFormatting sqref="L716">
    <cfRule type="dataBar" priority="13">
      <dataBar>
        <cfvo type="min"/>
        <cfvo type="max"/>
        <color rgb="FF3FCDFF"/>
      </dataBar>
    </cfRule>
  </conditionalFormatting>
  <conditionalFormatting sqref="L718:L719">
    <cfRule type="dataBar" priority="150">
      <dataBar>
        <cfvo type="min"/>
        <cfvo type="max"/>
        <color rgb="FF3FCDFF"/>
      </dataBar>
    </cfRule>
  </conditionalFormatting>
  <conditionalFormatting sqref="L720">
    <cfRule type="dataBar" priority="149">
      <dataBar>
        <cfvo type="min"/>
        <cfvo type="max"/>
        <color rgb="FF3FCDFF"/>
      </dataBar>
    </cfRule>
  </conditionalFormatting>
  <conditionalFormatting sqref="L721">
    <cfRule type="dataBar" priority="10">
      <dataBar>
        <cfvo type="min"/>
        <cfvo type="max"/>
        <color rgb="FF3FCDFF"/>
      </dataBar>
    </cfRule>
  </conditionalFormatting>
  <conditionalFormatting sqref="L723">
    <cfRule type="dataBar" priority="160">
      <dataBar>
        <cfvo type="min"/>
        <cfvo type="max"/>
        <color rgb="FF3FCDFF"/>
      </dataBar>
    </cfRule>
  </conditionalFormatting>
  <conditionalFormatting sqref="L724 L709 L735 L739 L754">
    <cfRule type="dataBar" priority="165">
      <dataBar>
        <cfvo type="min"/>
        <cfvo type="max"/>
        <color rgb="FF638EC6"/>
      </dataBar>
    </cfRule>
    <cfRule type="dataBar" priority="164">
      <dataBar>
        <cfvo type="min"/>
        <cfvo type="max"/>
        <color rgb="FF00B0F0"/>
      </dataBar>
    </cfRule>
    <cfRule type="dataBar" priority="163">
      <dataBar>
        <cfvo type="min"/>
        <cfvo type="max"/>
        <color rgb="FF3FCDFF"/>
      </dataBar>
    </cfRule>
  </conditionalFormatting>
  <conditionalFormatting sqref="L725">
    <cfRule type="dataBar" priority="144">
      <dataBar>
        <cfvo type="min"/>
        <cfvo type="max"/>
        <color rgb="FF3FCDFF"/>
      </dataBar>
    </cfRule>
  </conditionalFormatting>
  <conditionalFormatting sqref="L726:L727">
    <cfRule type="dataBar" priority="143">
      <dataBar>
        <cfvo type="min"/>
        <cfvo type="max"/>
        <color rgb="FF3FCDFF"/>
      </dataBar>
    </cfRule>
  </conditionalFormatting>
  <conditionalFormatting sqref="L728">
    <cfRule type="dataBar" priority="148">
      <dataBar>
        <cfvo type="min"/>
        <cfvo type="max"/>
        <color rgb="FF3FCDFF"/>
      </dataBar>
    </cfRule>
  </conditionalFormatting>
  <conditionalFormatting sqref="L729">
    <cfRule type="dataBar" priority="142">
      <dataBar>
        <cfvo type="min"/>
        <cfvo type="max"/>
        <color rgb="FF3FCDFF"/>
      </dataBar>
    </cfRule>
  </conditionalFormatting>
  <conditionalFormatting sqref="L730">
    <cfRule type="dataBar" priority="145">
      <dataBar>
        <cfvo type="min"/>
        <cfvo type="max"/>
        <color rgb="FF3FCDFF"/>
      </dataBar>
    </cfRule>
  </conditionalFormatting>
  <conditionalFormatting sqref="L731:L732">
    <cfRule type="dataBar" priority="141">
      <dataBar>
        <cfvo type="min"/>
        <cfvo type="max"/>
        <color rgb="FF3FCDFF"/>
      </dataBar>
    </cfRule>
  </conditionalFormatting>
  <conditionalFormatting sqref="L733">
    <cfRule type="dataBar" priority="140">
      <dataBar>
        <cfvo type="min"/>
        <cfvo type="max"/>
        <color rgb="FF3FCDFF"/>
      </dataBar>
    </cfRule>
  </conditionalFormatting>
  <conditionalFormatting sqref="L734">
    <cfRule type="dataBar" priority="139">
      <dataBar>
        <cfvo type="min"/>
        <cfvo type="max"/>
        <color rgb="FF3FCDFF"/>
      </dataBar>
    </cfRule>
  </conditionalFormatting>
  <conditionalFormatting sqref="L736">
    <cfRule type="dataBar" priority="138">
      <dataBar>
        <cfvo type="min"/>
        <cfvo type="max"/>
        <color rgb="FF3FCDFF"/>
      </dataBar>
    </cfRule>
  </conditionalFormatting>
  <conditionalFormatting sqref="L737">
    <cfRule type="dataBar" priority="137">
      <dataBar>
        <cfvo type="min"/>
        <cfvo type="max"/>
        <color rgb="FF3FCDFF"/>
      </dataBar>
    </cfRule>
  </conditionalFormatting>
  <conditionalFormatting sqref="L740">
    <cfRule type="dataBar" priority="136">
      <dataBar>
        <cfvo type="min"/>
        <cfvo type="max"/>
        <color rgb="FF3FCDFF"/>
      </dataBar>
    </cfRule>
  </conditionalFormatting>
  <conditionalFormatting sqref="L742:L746">
    <cfRule type="dataBar" priority="135">
      <dataBar>
        <cfvo type="min"/>
        <cfvo type="max"/>
        <color rgb="FF3FCDFF"/>
      </dataBar>
    </cfRule>
  </conditionalFormatting>
  <conditionalFormatting sqref="L747">
    <cfRule type="dataBar" priority="147">
      <dataBar>
        <cfvo type="min"/>
        <cfvo type="max"/>
        <color rgb="FF3FCDFF"/>
      </dataBar>
    </cfRule>
  </conditionalFormatting>
  <conditionalFormatting sqref="L748:L749">
    <cfRule type="dataBar" priority="134">
      <dataBar>
        <cfvo type="min"/>
        <cfvo type="max"/>
        <color rgb="FF3FCDFF"/>
      </dataBar>
    </cfRule>
  </conditionalFormatting>
  <conditionalFormatting sqref="L750">
    <cfRule type="dataBar" priority="133">
      <dataBar>
        <cfvo type="min"/>
        <cfvo type="max"/>
        <color rgb="FF3FCDFF"/>
      </dataBar>
    </cfRule>
  </conditionalFormatting>
  <conditionalFormatting sqref="L751">
    <cfRule type="dataBar" priority="5">
      <dataBar>
        <cfvo type="min"/>
        <cfvo type="max"/>
        <color rgb="FF3FCDFF"/>
      </dataBar>
    </cfRule>
  </conditionalFormatting>
  <conditionalFormatting sqref="L752">
    <cfRule type="dataBar" priority="132">
      <dataBar>
        <cfvo type="min"/>
        <cfvo type="max"/>
        <color rgb="FF3FCDFF"/>
      </dataBar>
    </cfRule>
  </conditionalFormatting>
  <conditionalFormatting sqref="L753">
    <cfRule type="dataBar" priority="146">
      <dataBar>
        <cfvo type="min"/>
        <cfvo type="max"/>
        <color rgb="FF3FCDFF"/>
      </dataBar>
    </cfRule>
  </conditionalFormatting>
  <conditionalFormatting sqref="L755">
    <cfRule type="dataBar" priority="1360">
      <dataBar>
        <cfvo type="min"/>
        <cfvo type="max"/>
        <color rgb="FF3FCDFF"/>
      </dataBar>
    </cfRule>
  </conditionalFormatting>
  <conditionalFormatting sqref="L756:L757">
    <cfRule type="dataBar" priority="1359">
      <dataBar>
        <cfvo type="min"/>
        <cfvo type="max"/>
        <color rgb="FF3FCDFF"/>
      </dataBar>
    </cfRule>
  </conditionalFormatting>
  <conditionalFormatting sqref="L758">
    <cfRule type="dataBar" priority="1365">
      <dataBar>
        <cfvo type="min"/>
        <cfvo type="max"/>
        <color rgb="FF3FCDFF"/>
      </dataBar>
    </cfRule>
  </conditionalFormatting>
  <conditionalFormatting sqref="L759">
    <cfRule type="dataBar" priority="1358">
      <dataBar>
        <cfvo type="min"/>
        <cfvo type="max"/>
        <color rgb="FF3FCDFF"/>
      </dataBar>
    </cfRule>
  </conditionalFormatting>
  <conditionalFormatting sqref="L760">
    <cfRule type="dataBar" priority="1361">
      <dataBar>
        <cfvo type="min"/>
        <cfvo type="max"/>
        <color rgb="FF3FCDFF"/>
      </dataBar>
    </cfRule>
  </conditionalFormatting>
  <conditionalFormatting sqref="L761:L762">
    <cfRule type="dataBar" priority="1357">
      <dataBar>
        <cfvo type="min"/>
        <cfvo type="max"/>
        <color rgb="FF3FCDFF"/>
      </dataBar>
    </cfRule>
  </conditionalFormatting>
  <conditionalFormatting sqref="L763">
    <cfRule type="dataBar" priority="1356">
      <dataBar>
        <cfvo type="min"/>
        <cfvo type="max"/>
        <color rgb="FF3FCDFF"/>
      </dataBar>
    </cfRule>
  </conditionalFormatting>
  <conditionalFormatting sqref="L764">
    <cfRule type="dataBar" priority="1355">
      <dataBar>
        <cfvo type="min"/>
        <cfvo type="max"/>
        <color rgb="FF3FCDFF"/>
      </dataBar>
    </cfRule>
  </conditionalFormatting>
  <conditionalFormatting sqref="L766">
    <cfRule type="dataBar" priority="1354">
      <dataBar>
        <cfvo type="min"/>
        <cfvo type="max"/>
        <color rgb="FF3FCDFF"/>
      </dataBar>
    </cfRule>
  </conditionalFormatting>
  <conditionalFormatting sqref="L767">
    <cfRule type="dataBar" priority="1353">
      <dataBar>
        <cfvo type="min"/>
        <cfvo type="max"/>
        <color rgb="FF3FCDFF"/>
      </dataBar>
    </cfRule>
  </conditionalFormatting>
  <conditionalFormatting sqref="L768">
    <cfRule type="dataBar" priority="1366">
      <dataBar>
        <cfvo type="min"/>
        <cfvo type="max"/>
        <color rgb="FF3FCDFF"/>
      </dataBar>
    </cfRule>
  </conditionalFormatting>
  <conditionalFormatting sqref="L769 L765 L776 L781 L784">
    <cfRule type="dataBar" priority="1369">
      <dataBar>
        <cfvo type="min"/>
        <cfvo type="max"/>
        <color rgb="FF638EC6"/>
      </dataBar>
    </cfRule>
    <cfRule type="dataBar" priority="1368">
      <dataBar>
        <cfvo type="min"/>
        <cfvo type="max"/>
        <color rgb="FF00B0F0"/>
      </dataBar>
    </cfRule>
    <cfRule type="dataBar" priority="1367">
      <dataBar>
        <cfvo type="min"/>
        <cfvo type="max"/>
        <color rgb="FF3FCDFF"/>
      </dataBar>
    </cfRule>
  </conditionalFormatting>
  <conditionalFormatting sqref="L770">
    <cfRule type="dataBar" priority="1352">
      <dataBar>
        <cfvo type="min"/>
        <cfvo type="max"/>
        <color rgb="FF3FCDFF"/>
      </dataBar>
    </cfRule>
  </conditionalFormatting>
  <conditionalFormatting sqref="L771">
    <cfRule type="dataBar" priority="1364">
      <dataBar>
        <cfvo type="min"/>
        <cfvo type="max"/>
        <color rgb="FF3FCDFF"/>
      </dataBar>
    </cfRule>
  </conditionalFormatting>
  <conditionalFormatting sqref="L772:L775">
    <cfRule type="dataBar" priority="1351">
      <dataBar>
        <cfvo type="min"/>
        <cfvo type="max"/>
        <color rgb="FF3FCDFF"/>
      </dataBar>
    </cfRule>
  </conditionalFormatting>
  <conditionalFormatting sqref="L777">
    <cfRule type="dataBar" priority="1363">
      <dataBar>
        <cfvo type="min"/>
        <cfvo type="max"/>
        <color rgb="FF3FCDFF"/>
      </dataBar>
    </cfRule>
  </conditionalFormatting>
  <conditionalFormatting sqref="L778:L779">
    <cfRule type="dataBar" priority="1350">
      <dataBar>
        <cfvo type="min"/>
        <cfvo type="max"/>
        <color rgb="FF3FCDFF"/>
      </dataBar>
    </cfRule>
  </conditionalFormatting>
  <conditionalFormatting sqref="L780">
    <cfRule type="dataBar" priority="1349">
      <dataBar>
        <cfvo type="min"/>
        <cfvo type="max"/>
        <color rgb="FF3FCDFF"/>
      </dataBar>
    </cfRule>
  </conditionalFormatting>
  <conditionalFormatting sqref="L782">
    <cfRule type="dataBar" priority="1348">
      <dataBar>
        <cfvo type="min"/>
        <cfvo type="max"/>
        <color rgb="FF3FCDFF"/>
      </dataBar>
    </cfRule>
  </conditionalFormatting>
  <conditionalFormatting sqref="L783">
    <cfRule type="dataBar" priority="1362">
      <dataBar>
        <cfvo type="min"/>
        <cfvo type="max"/>
        <color rgb="FF3FCDFF"/>
      </dataBar>
    </cfRule>
  </conditionalFormatting>
  <conditionalFormatting sqref="L785">
    <cfRule type="dataBar" priority="1337">
      <dataBar>
        <cfvo type="min"/>
        <cfvo type="max"/>
        <color rgb="FF3FCDFF"/>
      </dataBar>
    </cfRule>
  </conditionalFormatting>
  <conditionalFormatting sqref="L786:L787">
    <cfRule type="dataBar" priority="1336">
      <dataBar>
        <cfvo type="min"/>
        <cfvo type="max"/>
        <color rgb="FF3FCDFF"/>
      </dataBar>
    </cfRule>
  </conditionalFormatting>
  <conditionalFormatting sqref="L788">
    <cfRule type="dataBar" priority="1342">
      <dataBar>
        <cfvo type="min"/>
        <cfvo type="max"/>
        <color rgb="FF3FCDFF"/>
      </dataBar>
    </cfRule>
  </conditionalFormatting>
  <conditionalFormatting sqref="L789">
    <cfRule type="dataBar" priority="1335">
      <dataBar>
        <cfvo type="min"/>
        <cfvo type="max"/>
        <color rgb="FF3FCDFF"/>
      </dataBar>
    </cfRule>
  </conditionalFormatting>
  <conditionalFormatting sqref="L790">
    <cfRule type="dataBar" priority="1338">
      <dataBar>
        <cfvo type="min"/>
        <cfvo type="max"/>
        <color rgb="FF3FCDFF"/>
      </dataBar>
    </cfRule>
  </conditionalFormatting>
  <conditionalFormatting sqref="L791:L792">
    <cfRule type="dataBar" priority="1334">
      <dataBar>
        <cfvo type="min"/>
        <cfvo type="max"/>
        <color rgb="FF3FCDFF"/>
      </dataBar>
    </cfRule>
  </conditionalFormatting>
  <conditionalFormatting sqref="L793">
    <cfRule type="dataBar" priority="1333">
      <dataBar>
        <cfvo type="min"/>
        <cfvo type="max"/>
        <color rgb="FF3FCDFF"/>
      </dataBar>
    </cfRule>
  </conditionalFormatting>
  <conditionalFormatting sqref="L794">
    <cfRule type="dataBar" priority="1332">
      <dataBar>
        <cfvo type="min"/>
        <cfvo type="max"/>
        <color rgb="FF3FCDFF"/>
      </dataBar>
    </cfRule>
  </conditionalFormatting>
  <conditionalFormatting sqref="L796">
    <cfRule type="dataBar" priority="1331">
      <dataBar>
        <cfvo type="min"/>
        <cfvo type="max"/>
        <color rgb="FF3FCDFF"/>
      </dataBar>
    </cfRule>
  </conditionalFormatting>
  <conditionalFormatting sqref="L797">
    <cfRule type="dataBar" priority="1330">
      <dataBar>
        <cfvo type="min"/>
        <cfvo type="max"/>
        <color rgb="FF3FCDFF"/>
      </dataBar>
    </cfRule>
  </conditionalFormatting>
  <conditionalFormatting sqref="L798">
    <cfRule type="dataBar" priority="1343">
      <dataBar>
        <cfvo type="min"/>
        <cfvo type="max"/>
        <color rgb="FF3FCDFF"/>
      </dataBar>
    </cfRule>
  </conditionalFormatting>
  <conditionalFormatting sqref="L799 L795 L806 L811 L814">
    <cfRule type="dataBar" priority="1345">
      <dataBar>
        <cfvo type="min"/>
        <cfvo type="max"/>
        <color rgb="FF00B0F0"/>
      </dataBar>
    </cfRule>
    <cfRule type="dataBar" priority="1344">
      <dataBar>
        <cfvo type="min"/>
        <cfvo type="max"/>
        <color rgb="FF3FCDFF"/>
      </dataBar>
    </cfRule>
    <cfRule type="dataBar" priority="1346">
      <dataBar>
        <cfvo type="min"/>
        <cfvo type="max"/>
        <color rgb="FF638EC6"/>
      </dataBar>
    </cfRule>
  </conditionalFormatting>
  <conditionalFormatting sqref="L800">
    <cfRule type="dataBar" priority="1329">
      <dataBar>
        <cfvo type="min"/>
        <cfvo type="max"/>
        <color rgb="FF3FCDFF"/>
      </dataBar>
    </cfRule>
  </conditionalFormatting>
  <conditionalFormatting sqref="L801">
    <cfRule type="dataBar" priority="1341">
      <dataBar>
        <cfvo type="min"/>
        <cfvo type="max"/>
        <color rgb="FF3FCDFF"/>
      </dataBar>
    </cfRule>
  </conditionalFormatting>
  <conditionalFormatting sqref="L802:L805">
    <cfRule type="dataBar" priority="1328">
      <dataBar>
        <cfvo type="min"/>
        <cfvo type="max"/>
        <color rgb="FF3FCDFF"/>
      </dataBar>
    </cfRule>
  </conditionalFormatting>
  <conditionalFormatting sqref="L807">
    <cfRule type="dataBar" priority="1340">
      <dataBar>
        <cfvo type="min"/>
        <cfvo type="max"/>
        <color rgb="FF3FCDFF"/>
      </dataBar>
    </cfRule>
  </conditionalFormatting>
  <conditionalFormatting sqref="L808:L809">
    <cfRule type="dataBar" priority="1327">
      <dataBar>
        <cfvo type="min"/>
        <cfvo type="max"/>
        <color rgb="FF3FCDFF"/>
      </dataBar>
    </cfRule>
  </conditionalFormatting>
  <conditionalFormatting sqref="L810">
    <cfRule type="dataBar" priority="1326">
      <dataBar>
        <cfvo type="min"/>
        <cfvo type="max"/>
        <color rgb="FF3FCDFF"/>
      </dataBar>
    </cfRule>
  </conditionalFormatting>
  <conditionalFormatting sqref="L812">
    <cfRule type="dataBar" priority="1325">
      <dataBar>
        <cfvo type="min"/>
        <cfvo type="max"/>
        <color rgb="FF3FCDFF"/>
      </dataBar>
    </cfRule>
  </conditionalFormatting>
  <conditionalFormatting sqref="L813">
    <cfRule type="dataBar" priority="1339">
      <dataBar>
        <cfvo type="min"/>
        <cfvo type="max"/>
        <color rgb="FF3FCDFF"/>
      </dataBar>
    </cfRule>
  </conditionalFormatting>
  <conditionalFormatting sqref="L815">
    <cfRule type="dataBar" priority="1314">
      <dataBar>
        <cfvo type="min"/>
        <cfvo type="max"/>
        <color rgb="FF3FCDFF"/>
      </dataBar>
    </cfRule>
  </conditionalFormatting>
  <conditionalFormatting sqref="L816:L817">
    <cfRule type="dataBar" priority="1313">
      <dataBar>
        <cfvo type="min"/>
        <cfvo type="max"/>
        <color rgb="FF3FCDFF"/>
      </dataBar>
    </cfRule>
  </conditionalFormatting>
  <conditionalFormatting sqref="L818">
    <cfRule type="dataBar" priority="1319">
      <dataBar>
        <cfvo type="min"/>
        <cfvo type="max"/>
        <color rgb="FF3FCDFF"/>
      </dataBar>
    </cfRule>
  </conditionalFormatting>
  <conditionalFormatting sqref="L819">
    <cfRule type="dataBar" priority="1312">
      <dataBar>
        <cfvo type="min"/>
        <cfvo type="max"/>
        <color rgb="FF3FCDFF"/>
      </dataBar>
    </cfRule>
  </conditionalFormatting>
  <conditionalFormatting sqref="L820">
    <cfRule type="dataBar" priority="1315">
      <dataBar>
        <cfvo type="min"/>
        <cfvo type="max"/>
        <color rgb="FF3FCDFF"/>
      </dataBar>
    </cfRule>
  </conditionalFormatting>
  <conditionalFormatting sqref="L821:L822">
    <cfRule type="dataBar" priority="1311">
      <dataBar>
        <cfvo type="min"/>
        <cfvo type="max"/>
        <color rgb="FF3FCDFF"/>
      </dataBar>
    </cfRule>
  </conditionalFormatting>
  <conditionalFormatting sqref="L823">
    <cfRule type="dataBar" priority="1310">
      <dataBar>
        <cfvo type="min"/>
        <cfvo type="max"/>
        <color rgb="FF3FCDFF"/>
      </dataBar>
    </cfRule>
  </conditionalFormatting>
  <conditionalFormatting sqref="L824">
    <cfRule type="dataBar" priority="1309">
      <dataBar>
        <cfvo type="min"/>
        <cfvo type="max"/>
        <color rgb="FF3FCDFF"/>
      </dataBar>
    </cfRule>
  </conditionalFormatting>
  <conditionalFormatting sqref="L826">
    <cfRule type="dataBar" priority="1308">
      <dataBar>
        <cfvo type="min"/>
        <cfvo type="max"/>
        <color rgb="FF3FCDFF"/>
      </dataBar>
    </cfRule>
  </conditionalFormatting>
  <conditionalFormatting sqref="L827">
    <cfRule type="dataBar" priority="1307">
      <dataBar>
        <cfvo type="min"/>
        <cfvo type="max"/>
        <color rgb="FF3FCDFF"/>
      </dataBar>
    </cfRule>
  </conditionalFormatting>
  <conditionalFormatting sqref="L828">
    <cfRule type="dataBar" priority="1320">
      <dataBar>
        <cfvo type="min"/>
        <cfvo type="max"/>
        <color rgb="FF3FCDFF"/>
      </dataBar>
    </cfRule>
  </conditionalFormatting>
  <conditionalFormatting sqref="L829 L825 L836 L841 L844">
    <cfRule type="dataBar" priority="1321">
      <dataBar>
        <cfvo type="min"/>
        <cfvo type="max"/>
        <color rgb="FF3FCDFF"/>
      </dataBar>
    </cfRule>
    <cfRule type="dataBar" priority="1323">
      <dataBar>
        <cfvo type="min"/>
        <cfvo type="max"/>
        <color rgb="FF638EC6"/>
      </dataBar>
    </cfRule>
    <cfRule type="dataBar" priority="1322">
      <dataBar>
        <cfvo type="min"/>
        <cfvo type="max"/>
        <color rgb="FF00B0F0"/>
      </dataBar>
    </cfRule>
  </conditionalFormatting>
  <conditionalFormatting sqref="L830">
    <cfRule type="dataBar" priority="1306">
      <dataBar>
        <cfvo type="min"/>
        <cfvo type="max"/>
        <color rgb="FF3FCDFF"/>
      </dataBar>
    </cfRule>
  </conditionalFormatting>
  <conditionalFormatting sqref="L831">
    <cfRule type="dataBar" priority="1318">
      <dataBar>
        <cfvo type="min"/>
        <cfvo type="max"/>
        <color rgb="FF3FCDFF"/>
      </dataBar>
    </cfRule>
  </conditionalFormatting>
  <conditionalFormatting sqref="L832:L835">
    <cfRule type="dataBar" priority="1305">
      <dataBar>
        <cfvo type="min"/>
        <cfvo type="max"/>
        <color rgb="FF3FCDFF"/>
      </dataBar>
    </cfRule>
  </conditionalFormatting>
  <conditionalFormatting sqref="L837">
    <cfRule type="dataBar" priority="1317">
      <dataBar>
        <cfvo type="min"/>
        <cfvo type="max"/>
        <color rgb="FF3FCDFF"/>
      </dataBar>
    </cfRule>
  </conditionalFormatting>
  <conditionalFormatting sqref="L838:L839">
    <cfRule type="dataBar" priority="1304">
      <dataBar>
        <cfvo type="min"/>
        <cfvo type="max"/>
        <color rgb="FF3FCDFF"/>
      </dataBar>
    </cfRule>
  </conditionalFormatting>
  <conditionalFormatting sqref="L840">
    <cfRule type="dataBar" priority="1303">
      <dataBar>
        <cfvo type="min"/>
        <cfvo type="max"/>
        <color rgb="FF3FCDFF"/>
      </dataBar>
    </cfRule>
  </conditionalFormatting>
  <conditionalFormatting sqref="L842">
    <cfRule type="dataBar" priority="1302">
      <dataBar>
        <cfvo type="min"/>
        <cfvo type="max"/>
        <color rgb="FF3FCDFF"/>
      </dataBar>
    </cfRule>
  </conditionalFormatting>
  <conditionalFormatting sqref="L843">
    <cfRule type="dataBar" priority="1316">
      <dataBar>
        <cfvo type="min"/>
        <cfvo type="max"/>
        <color rgb="FF3FCDFF"/>
      </dataBar>
    </cfRule>
  </conditionalFormatting>
  <conditionalFormatting sqref="L845">
    <cfRule type="dataBar" priority="1291">
      <dataBar>
        <cfvo type="min"/>
        <cfvo type="max"/>
        <color rgb="FF3FCDFF"/>
      </dataBar>
    </cfRule>
  </conditionalFormatting>
  <conditionalFormatting sqref="L846:L847">
    <cfRule type="dataBar" priority="1290">
      <dataBar>
        <cfvo type="min"/>
        <cfvo type="max"/>
        <color rgb="FF3FCDFF"/>
      </dataBar>
    </cfRule>
  </conditionalFormatting>
  <conditionalFormatting sqref="L848">
    <cfRule type="dataBar" priority="1296">
      <dataBar>
        <cfvo type="min"/>
        <cfvo type="max"/>
        <color rgb="FF3FCDFF"/>
      </dataBar>
    </cfRule>
  </conditionalFormatting>
  <conditionalFormatting sqref="L849">
    <cfRule type="dataBar" priority="1289">
      <dataBar>
        <cfvo type="min"/>
        <cfvo type="max"/>
        <color rgb="FF3FCDFF"/>
      </dataBar>
    </cfRule>
  </conditionalFormatting>
  <conditionalFormatting sqref="L850">
    <cfRule type="dataBar" priority="1292">
      <dataBar>
        <cfvo type="min"/>
        <cfvo type="max"/>
        <color rgb="FF3FCDFF"/>
      </dataBar>
    </cfRule>
  </conditionalFormatting>
  <conditionalFormatting sqref="L851:L852">
    <cfRule type="dataBar" priority="1288">
      <dataBar>
        <cfvo type="min"/>
        <cfvo type="max"/>
        <color rgb="FF3FCDFF"/>
      </dataBar>
    </cfRule>
  </conditionalFormatting>
  <conditionalFormatting sqref="L853">
    <cfRule type="dataBar" priority="1287">
      <dataBar>
        <cfvo type="min"/>
        <cfvo type="max"/>
        <color rgb="FF3FCDFF"/>
      </dataBar>
    </cfRule>
  </conditionalFormatting>
  <conditionalFormatting sqref="L854">
    <cfRule type="dataBar" priority="1286">
      <dataBar>
        <cfvo type="min"/>
        <cfvo type="max"/>
        <color rgb="FF3FCDFF"/>
      </dataBar>
    </cfRule>
  </conditionalFormatting>
  <conditionalFormatting sqref="L856">
    <cfRule type="dataBar" priority="1285">
      <dataBar>
        <cfvo type="min"/>
        <cfvo type="max"/>
        <color rgb="FF3FCDFF"/>
      </dataBar>
    </cfRule>
  </conditionalFormatting>
  <conditionalFormatting sqref="L857">
    <cfRule type="dataBar" priority="1284">
      <dataBar>
        <cfvo type="min"/>
        <cfvo type="max"/>
        <color rgb="FF3FCDFF"/>
      </dataBar>
    </cfRule>
  </conditionalFormatting>
  <conditionalFormatting sqref="L858">
    <cfRule type="dataBar" priority="1297">
      <dataBar>
        <cfvo type="min"/>
        <cfvo type="max"/>
        <color rgb="FF3FCDFF"/>
      </dataBar>
    </cfRule>
  </conditionalFormatting>
  <conditionalFormatting sqref="L859 L855 L866 L871 L874">
    <cfRule type="dataBar" priority="1300">
      <dataBar>
        <cfvo type="min"/>
        <cfvo type="max"/>
        <color rgb="FF638EC6"/>
      </dataBar>
    </cfRule>
    <cfRule type="dataBar" priority="1299">
      <dataBar>
        <cfvo type="min"/>
        <cfvo type="max"/>
        <color rgb="FF00B0F0"/>
      </dataBar>
    </cfRule>
    <cfRule type="dataBar" priority="1298">
      <dataBar>
        <cfvo type="min"/>
        <cfvo type="max"/>
        <color rgb="FF3FCDFF"/>
      </dataBar>
    </cfRule>
  </conditionalFormatting>
  <conditionalFormatting sqref="L860">
    <cfRule type="dataBar" priority="1283">
      <dataBar>
        <cfvo type="min"/>
        <cfvo type="max"/>
        <color rgb="FF3FCDFF"/>
      </dataBar>
    </cfRule>
  </conditionalFormatting>
  <conditionalFormatting sqref="L861">
    <cfRule type="dataBar" priority="1295">
      <dataBar>
        <cfvo type="min"/>
        <cfvo type="max"/>
        <color rgb="FF3FCDFF"/>
      </dataBar>
    </cfRule>
  </conditionalFormatting>
  <conditionalFormatting sqref="L862:L865">
    <cfRule type="dataBar" priority="1282">
      <dataBar>
        <cfvo type="min"/>
        <cfvo type="max"/>
        <color rgb="FF3FCDFF"/>
      </dataBar>
    </cfRule>
  </conditionalFormatting>
  <conditionalFormatting sqref="L867">
    <cfRule type="dataBar" priority="1294">
      <dataBar>
        <cfvo type="min"/>
        <cfvo type="max"/>
        <color rgb="FF3FCDFF"/>
      </dataBar>
    </cfRule>
  </conditionalFormatting>
  <conditionalFormatting sqref="L868:L869">
    <cfRule type="dataBar" priority="1281">
      <dataBar>
        <cfvo type="min"/>
        <cfvo type="max"/>
        <color rgb="FF3FCDFF"/>
      </dataBar>
    </cfRule>
  </conditionalFormatting>
  <conditionalFormatting sqref="L870">
    <cfRule type="dataBar" priority="1280">
      <dataBar>
        <cfvo type="min"/>
        <cfvo type="max"/>
        <color rgb="FF3FCDFF"/>
      </dataBar>
    </cfRule>
  </conditionalFormatting>
  <conditionalFormatting sqref="L872">
    <cfRule type="dataBar" priority="1279">
      <dataBar>
        <cfvo type="min"/>
        <cfvo type="max"/>
        <color rgb="FF3FCDFF"/>
      </dataBar>
    </cfRule>
  </conditionalFormatting>
  <conditionalFormatting sqref="L873">
    <cfRule type="dataBar" priority="1293">
      <dataBar>
        <cfvo type="min"/>
        <cfvo type="max"/>
        <color rgb="FF3FCDFF"/>
      </dataBar>
    </cfRule>
  </conditionalFormatting>
  <conditionalFormatting sqref="L875">
    <cfRule type="dataBar" priority="1268">
      <dataBar>
        <cfvo type="min"/>
        <cfvo type="max"/>
        <color rgb="FF3FCDFF"/>
      </dataBar>
    </cfRule>
  </conditionalFormatting>
  <conditionalFormatting sqref="L876:L877">
    <cfRule type="dataBar" priority="1267">
      <dataBar>
        <cfvo type="min"/>
        <cfvo type="max"/>
        <color rgb="FF3FCDFF"/>
      </dataBar>
    </cfRule>
  </conditionalFormatting>
  <conditionalFormatting sqref="L878">
    <cfRule type="dataBar" priority="1273">
      <dataBar>
        <cfvo type="min"/>
        <cfvo type="max"/>
        <color rgb="FF3FCDFF"/>
      </dataBar>
    </cfRule>
  </conditionalFormatting>
  <conditionalFormatting sqref="L879">
    <cfRule type="dataBar" priority="1266">
      <dataBar>
        <cfvo type="min"/>
        <cfvo type="max"/>
        <color rgb="FF3FCDFF"/>
      </dataBar>
    </cfRule>
  </conditionalFormatting>
  <conditionalFormatting sqref="L880">
    <cfRule type="dataBar" priority="1269">
      <dataBar>
        <cfvo type="min"/>
        <cfvo type="max"/>
        <color rgb="FF3FCDFF"/>
      </dataBar>
    </cfRule>
  </conditionalFormatting>
  <conditionalFormatting sqref="L881:L882">
    <cfRule type="dataBar" priority="1265">
      <dataBar>
        <cfvo type="min"/>
        <cfvo type="max"/>
        <color rgb="FF3FCDFF"/>
      </dataBar>
    </cfRule>
  </conditionalFormatting>
  <conditionalFormatting sqref="L883">
    <cfRule type="dataBar" priority="1264">
      <dataBar>
        <cfvo type="min"/>
        <cfvo type="max"/>
        <color rgb="FF3FCDFF"/>
      </dataBar>
    </cfRule>
  </conditionalFormatting>
  <conditionalFormatting sqref="L884">
    <cfRule type="dataBar" priority="1263">
      <dataBar>
        <cfvo type="min"/>
        <cfvo type="max"/>
        <color rgb="FF3FCDFF"/>
      </dataBar>
    </cfRule>
  </conditionalFormatting>
  <conditionalFormatting sqref="L886">
    <cfRule type="dataBar" priority="1262">
      <dataBar>
        <cfvo type="min"/>
        <cfvo type="max"/>
        <color rgb="FF3FCDFF"/>
      </dataBar>
    </cfRule>
  </conditionalFormatting>
  <conditionalFormatting sqref="L887">
    <cfRule type="dataBar" priority="1261">
      <dataBar>
        <cfvo type="min"/>
        <cfvo type="max"/>
        <color rgb="FF3FCDFF"/>
      </dataBar>
    </cfRule>
  </conditionalFormatting>
  <conditionalFormatting sqref="L888">
    <cfRule type="dataBar" priority="1274">
      <dataBar>
        <cfvo type="min"/>
        <cfvo type="max"/>
        <color rgb="FF3FCDFF"/>
      </dataBar>
    </cfRule>
  </conditionalFormatting>
  <conditionalFormatting sqref="L889 L885 L896 L901 L904">
    <cfRule type="dataBar" priority="1277">
      <dataBar>
        <cfvo type="min"/>
        <cfvo type="max"/>
        <color rgb="FF638EC6"/>
      </dataBar>
    </cfRule>
    <cfRule type="dataBar" priority="1275">
      <dataBar>
        <cfvo type="min"/>
        <cfvo type="max"/>
        <color rgb="FF3FCDFF"/>
      </dataBar>
    </cfRule>
    <cfRule type="dataBar" priority="1276">
      <dataBar>
        <cfvo type="min"/>
        <cfvo type="max"/>
        <color rgb="FF00B0F0"/>
      </dataBar>
    </cfRule>
  </conditionalFormatting>
  <conditionalFormatting sqref="L890">
    <cfRule type="dataBar" priority="1260">
      <dataBar>
        <cfvo type="min"/>
        <cfvo type="max"/>
        <color rgb="FF3FCDFF"/>
      </dataBar>
    </cfRule>
  </conditionalFormatting>
  <conditionalFormatting sqref="L891">
    <cfRule type="dataBar" priority="1272">
      <dataBar>
        <cfvo type="min"/>
        <cfvo type="max"/>
        <color rgb="FF3FCDFF"/>
      </dataBar>
    </cfRule>
  </conditionalFormatting>
  <conditionalFormatting sqref="L892:L895">
    <cfRule type="dataBar" priority="1259">
      <dataBar>
        <cfvo type="min"/>
        <cfvo type="max"/>
        <color rgb="FF3FCDFF"/>
      </dataBar>
    </cfRule>
  </conditionalFormatting>
  <conditionalFormatting sqref="L897">
    <cfRule type="dataBar" priority="1271">
      <dataBar>
        <cfvo type="min"/>
        <cfvo type="max"/>
        <color rgb="FF3FCDFF"/>
      </dataBar>
    </cfRule>
  </conditionalFormatting>
  <conditionalFormatting sqref="L898:L899">
    <cfRule type="dataBar" priority="1258">
      <dataBar>
        <cfvo type="min"/>
        <cfvo type="max"/>
        <color rgb="FF3FCDFF"/>
      </dataBar>
    </cfRule>
  </conditionalFormatting>
  <conditionalFormatting sqref="L900">
    <cfRule type="dataBar" priority="1257">
      <dataBar>
        <cfvo type="min"/>
        <cfvo type="max"/>
        <color rgb="FF3FCDFF"/>
      </dataBar>
    </cfRule>
  </conditionalFormatting>
  <conditionalFormatting sqref="L902">
    <cfRule type="dataBar" priority="1256">
      <dataBar>
        <cfvo type="min"/>
        <cfvo type="max"/>
        <color rgb="FF3FCDFF"/>
      </dataBar>
    </cfRule>
  </conditionalFormatting>
  <conditionalFormatting sqref="L903">
    <cfRule type="dataBar" priority="1270">
      <dataBar>
        <cfvo type="min"/>
        <cfvo type="max"/>
        <color rgb="FF3FCDFF"/>
      </dataBar>
    </cfRule>
  </conditionalFormatting>
  <conditionalFormatting sqref="L905">
    <cfRule type="dataBar" priority="1245">
      <dataBar>
        <cfvo type="min"/>
        <cfvo type="max"/>
        <color rgb="FF3FCDFF"/>
      </dataBar>
    </cfRule>
  </conditionalFormatting>
  <conditionalFormatting sqref="L906:L907">
    <cfRule type="dataBar" priority="1244">
      <dataBar>
        <cfvo type="min"/>
        <cfvo type="max"/>
        <color rgb="FF3FCDFF"/>
      </dataBar>
    </cfRule>
  </conditionalFormatting>
  <conditionalFormatting sqref="L908">
    <cfRule type="dataBar" priority="1250">
      <dataBar>
        <cfvo type="min"/>
        <cfvo type="max"/>
        <color rgb="FF3FCDFF"/>
      </dataBar>
    </cfRule>
  </conditionalFormatting>
  <conditionalFormatting sqref="L909">
    <cfRule type="dataBar" priority="1243">
      <dataBar>
        <cfvo type="min"/>
        <cfvo type="max"/>
        <color rgb="FF3FCDFF"/>
      </dataBar>
    </cfRule>
  </conditionalFormatting>
  <conditionalFormatting sqref="L910">
    <cfRule type="dataBar" priority="1246">
      <dataBar>
        <cfvo type="min"/>
        <cfvo type="max"/>
        <color rgb="FF3FCDFF"/>
      </dataBar>
    </cfRule>
  </conditionalFormatting>
  <conditionalFormatting sqref="L911:L912">
    <cfRule type="dataBar" priority="1242">
      <dataBar>
        <cfvo type="min"/>
        <cfvo type="max"/>
        <color rgb="FF3FCDFF"/>
      </dataBar>
    </cfRule>
  </conditionalFormatting>
  <conditionalFormatting sqref="L913">
    <cfRule type="dataBar" priority="1241">
      <dataBar>
        <cfvo type="min"/>
        <cfvo type="max"/>
        <color rgb="FF3FCDFF"/>
      </dataBar>
    </cfRule>
  </conditionalFormatting>
  <conditionalFormatting sqref="L914">
    <cfRule type="dataBar" priority="1240">
      <dataBar>
        <cfvo type="min"/>
        <cfvo type="max"/>
        <color rgb="FF3FCDFF"/>
      </dataBar>
    </cfRule>
  </conditionalFormatting>
  <conditionalFormatting sqref="L916">
    <cfRule type="dataBar" priority="1239">
      <dataBar>
        <cfvo type="min"/>
        <cfvo type="max"/>
        <color rgb="FF3FCDFF"/>
      </dataBar>
    </cfRule>
  </conditionalFormatting>
  <conditionalFormatting sqref="L917">
    <cfRule type="dataBar" priority="1238">
      <dataBar>
        <cfvo type="min"/>
        <cfvo type="max"/>
        <color rgb="FF3FCDFF"/>
      </dataBar>
    </cfRule>
  </conditionalFormatting>
  <conditionalFormatting sqref="L918">
    <cfRule type="dataBar" priority="1251">
      <dataBar>
        <cfvo type="min"/>
        <cfvo type="max"/>
        <color rgb="FF3FCDFF"/>
      </dataBar>
    </cfRule>
  </conditionalFormatting>
  <conditionalFormatting sqref="L919 L915 L926 L931 L934 L945 L949 L956 L961 L964">
    <cfRule type="dataBar" priority="1253">
      <dataBar>
        <cfvo type="min"/>
        <cfvo type="max"/>
        <color rgb="FF00B0F0"/>
      </dataBar>
    </cfRule>
    <cfRule type="dataBar" priority="1254">
      <dataBar>
        <cfvo type="min"/>
        <cfvo type="max"/>
        <color rgb="FF638EC6"/>
      </dataBar>
    </cfRule>
    <cfRule type="dataBar" priority="1252">
      <dataBar>
        <cfvo type="min"/>
        <cfvo type="max"/>
        <color rgb="FF3FCDFF"/>
      </dataBar>
    </cfRule>
  </conditionalFormatting>
  <conditionalFormatting sqref="L920">
    <cfRule type="dataBar" priority="1237">
      <dataBar>
        <cfvo type="min"/>
        <cfvo type="max"/>
        <color rgb="FF3FCDFF"/>
      </dataBar>
    </cfRule>
  </conditionalFormatting>
  <conditionalFormatting sqref="L921">
    <cfRule type="dataBar" priority="1249">
      <dataBar>
        <cfvo type="min"/>
        <cfvo type="max"/>
        <color rgb="FF3FCDFF"/>
      </dataBar>
    </cfRule>
  </conditionalFormatting>
  <conditionalFormatting sqref="L922:L925">
    <cfRule type="dataBar" priority="1236">
      <dataBar>
        <cfvo type="min"/>
        <cfvo type="max"/>
        <color rgb="FF3FCDFF"/>
      </dataBar>
    </cfRule>
  </conditionalFormatting>
  <conditionalFormatting sqref="L927">
    <cfRule type="dataBar" priority="1248">
      <dataBar>
        <cfvo type="min"/>
        <cfvo type="max"/>
        <color rgb="FF3FCDFF"/>
      </dataBar>
    </cfRule>
  </conditionalFormatting>
  <conditionalFormatting sqref="L928:L929">
    <cfRule type="dataBar" priority="1235">
      <dataBar>
        <cfvo type="min"/>
        <cfvo type="max"/>
        <color rgb="FF3FCDFF"/>
      </dataBar>
    </cfRule>
  </conditionalFormatting>
  <conditionalFormatting sqref="L930">
    <cfRule type="dataBar" priority="1234">
      <dataBar>
        <cfvo type="min"/>
        <cfvo type="max"/>
        <color rgb="FF3FCDFF"/>
      </dataBar>
    </cfRule>
  </conditionalFormatting>
  <conditionalFormatting sqref="L932">
    <cfRule type="dataBar" priority="1233">
      <dataBar>
        <cfvo type="min"/>
        <cfvo type="max"/>
        <color rgb="FF3FCDFF"/>
      </dataBar>
    </cfRule>
  </conditionalFormatting>
  <conditionalFormatting sqref="L933">
    <cfRule type="dataBar" priority="1247">
      <dataBar>
        <cfvo type="min"/>
        <cfvo type="max"/>
        <color rgb="FF3FCDFF"/>
      </dataBar>
    </cfRule>
  </conditionalFormatting>
  <conditionalFormatting sqref="L935">
    <cfRule type="dataBar" priority="1226">
      <dataBar>
        <cfvo type="min"/>
        <cfvo type="max"/>
        <color rgb="FF3FCDFF"/>
      </dataBar>
    </cfRule>
  </conditionalFormatting>
  <conditionalFormatting sqref="L936:L937">
    <cfRule type="dataBar" priority="1225">
      <dataBar>
        <cfvo type="min"/>
        <cfvo type="max"/>
        <color rgb="FF3FCDFF"/>
      </dataBar>
    </cfRule>
  </conditionalFormatting>
  <conditionalFormatting sqref="L938">
    <cfRule type="dataBar" priority="1231">
      <dataBar>
        <cfvo type="min"/>
        <cfvo type="max"/>
        <color rgb="FF3FCDFF"/>
      </dataBar>
    </cfRule>
  </conditionalFormatting>
  <conditionalFormatting sqref="L939">
    <cfRule type="dataBar" priority="1224">
      <dataBar>
        <cfvo type="min"/>
        <cfvo type="max"/>
        <color rgb="FF3FCDFF"/>
      </dataBar>
    </cfRule>
  </conditionalFormatting>
  <conditionalFormatting sqref="L940">
    <cfRule type="dataBar" priority="1227">
      <dataBar>
        <cfvo type="min"/>
        <cfvo type="max"/>
        <color rgb="FF3FCDFF"/>
      </dataBar>
    </cfRule>
  </conditionalFormatting>
  <conditionalFormatting sqref="L941:L942">
    <cfRule type="dataBar" priority="1223">
      <dataBar>
        <cfvo type="min"/>
        <cfvo type="max"/>
        <color rgb="FF3FCDFF"/>
      </dataBar>
    </cfRule>
  </conditionalFormatting>
  <conditionalFormatting sqref="L943">
    <cfRule type="dataBar" priority="1222">
      <dataBar>
        <cfvo type="min"/>
        <cfvo type="max"/>
        <color rgb="FF3FCDFF"/>
      </dataBar>
    </cfRule>
  </conditionalFormatting>
  <conditionalFormatting sqref="L944">
    <cfRule type="dataBar" priority="1221">
      <dataBar>
        <cfvo type="min"/>
        <cfvo type="max"/>
        <color rgb="FF3FCDFF"/>
      </dataBar>
    </cfRule>
  </conditionalFormatting>
  <conditionalFormatting sqref="L946">
    <cfRule type="dataBar" priority="1220">
      <dataBar>
        <cfvo type="min"/>
        <cfvo type="max"/>
        <color rgb="FF3FCDFF"/>
      </dataBar>
    </cfRule>
  </conditionalFormatting>
  <conditionalFormatting sqref="L947">
    <cfRule type="dataBar" priority="1219">
      <dataBar>
        <cfvo type="min"/>
        <cfvo type="max"/>
        <color rgb="FF3FCDFF"/>
      </dataBar>
    </cfRule>
  </conditionalFormatting>
  <conditionalFormatting sqref="L948">
    <cfRule type="dataBar" priority="1232">
      <dataBar>
        <cfvo type="min"/>
        <cfvo type="max"/>
        <color rgb="FF3FCDFF"/>
      </dataBar>
    </cfRule>
  </conditionalFormatting>
  <conditionalFormatting sqref="L950">
    <cfRule type="dataBar" priority="1218">
      <dataBar>
        <cfvo type="min"/>
        <cfvo type="max"/>
        <color rgb="FF3FCDFF"/>
      </dataBar>
    </cfRule>
  </conditionalFormatting>
  <conditionalFormatting sqref="L951">
    <cfRule type="dataBar" priority="1230">
      <dataBar>
        <cfvo type="min"/>
        <cfvo type="max"/>
        <color rgb="FF3FCDFF"/>
      </dataBar>
    </cfRule>
  </conditionalFormatting>
  <conditionalFormatting sqref="L952:L955">
    <cfRule type="dataBar" priority="1217">
      <dataBar>
        <cfvo type="min"/>
        <cfvo type="max"/>
        <color rgb="FF3FCDFF"/>
      </dataBar>
    </cfRule>
  </conditionalFormatting>
  <conditionalFormatting sqref="L957">
    <cfRule type="dataBar" priority="1229">
      <dataBar>
        <cfvo type="min"/>
        <cfvo type="max"/>
        <color rgb="FF3FCDFF"/>
      </dataBar>
    </cfRule>
  </conditionalFormatting>
  <conditionalFormatting sqref="L958:L959">
    <cfRule type="dataBar" priority="1216">
      <dataBar>
        <cfvo type="min"/>
        <cfvo type="max"/>
        <color rgb="FF3FCDFF"/>
      </dataBar>
    </cfRule>
  </conditionalFormatting>
  <conditionalFormatting sqref="L960">
    <cfRule type="dataBar" priority="1215">
      <dataBar>
        <cfvo type="min"/>
        <cfvo type="max"/>
        <color rgb="FF3FCDFF"/>
      </dataBar>
    </cfRule>
  </conditionalFormatting>
  <conditionalFormatting sqref="L962">
    <cfRule type="dataBar" priority="1214">
      <dataBar>
        <cfvo type="min"/>
        <cfvo type="max"/>
        <color rgb="FF3FCDFF"/>
      </dataBar>
    </cfRule>
  </conditionalFormatting>
  <conditionalFormatting sqref="L963">
    <cfRule type="dataBar" priority="1228">
      <dataBar>
        <cfvo type="min"/>
        <cfvo type="max"/>
        <color rgb="FF3FCDFF"/>
      </dataBar>
    </cfRule>
  </conditionalFormatting>
  <conditionalFormatting sqref="L965">
    <cfRule type="dataBar" priority="1203">
      <dataBar>
        <cfvo type="min"/>
        <cfvo type="max"/>
        <color rgb="FF3FCDFF"/>
      </dataBar>
    </cfRule>
  </conditionalFormatting>
  <conditionalFormatting sqref="L966:L967">
    <cfRule type="dataBar" priority="1202">
      <dataBar>
        <cfvo type="min"/>
        <cfvo type="max"/>
        <color rgb="FF3FCDFF"/>
      </dataBar>
    </cfRule>
  </conditionalFormatting>
  <conditionalFormatting sqref="L968">
    <cfRule type="dataBar" priority="1208">
      <dataBar>
        <cfvo type="min"/>
        <cfvo type="max"/>
        <color rgb="FF3FCDFF"/>
      </dataBar>
    </cfRule>
  </conditionalFormatting>
  <conditionalFormatting sqref="L969">
    <cfRule type="dataBar" priority="1201">
      <dataBar>
        <cfvo type="min"/>
        <cfvo type="max"/>
        <color rgb="FF3FCDFF"/>
      </dataBar>
    </cfRule>
  </conditionalFormatting>
  <conditionalFormatting sqref="L970">
    <cfRule type="dataBar" priority="1204">
      <dataBar>
        <cfvo type="min"/>
        <cfvo type="max"/>
        <color rgb="FF3FCDFF"/>
      </dataBar>
    </cfRule>
  </conditionalFormatting>
  <conditionalFormatting sqref="L971:L972">
    <cfRule type="dataBar" priority="1200">
      <dataBar>
        <cfvo type="min"/>
        <cfvo type="max"/>
        <color rgb="FF3FCDFF"/>
      </dataBar>
    </cfRule>
  </conditionalFormatting>
  <conditionalFormatting sqref="L973">
    <cfRule type="dataBar" priority="1199">
      <dataBar>
        <cfvo type="min"/>
        <cfvo type="max"/>
        <color rgb="FF3FCDFF"/>
      </dataBar>
    </cfRule>
  </conditionalFormatting>
  <conditionalFormatting sqref="L974">
    <cfRule type="dataBar" priority="1198">
      <dataBar>
        <cfvo type="min"/>
        <cfvo type="max"/>
        <color rgb="FF3FCDFF"/>
      </dataBar>
    </cfRule>
  </conditionalFormatting>
  <conditionalFormatting sqref="L976">
    <cfRule type="dataBar" priority="1197">
      <dataBar>
        <cfvo type="min"/>
        <cfvo type="max"/>
        <color rgb="FF3FCDFF"/>
      </dataBar>
    </cfRule>
  </conditionalFormatting>
  <conditionalFormatting sqref="L977">
    <cfRule type="dataBar" priority="1196">
      <dataBar>
        <cfvo type="min"/>
        <cfvo type="max"/>
        <color rgb="FF3FCDFF"/>
      </dataBar>
    </cfRule>
  </conditionalFormatting>
  <conditionalFormatting sqref="L978">
    <cfRule type="dataBar" priority="1209">
      <dataBar>
        <cfvo type="min"/>
        <cfvo type="max"/>
        <color rgb="FF3FCDFF"/>
      </dataBar>
    </cfRule>
  </conditionalFormatting>
  <conditionalFormatting sqref="L979 L975 L986 L991 L994">
    <cfRule type="dataBar" priority="1210">
      <dataBar>
        <cfvo type="min"/>
        <cfvo type="max"/>
        <color rgb="FF3FCDFF"/>
      </dataBar>
    </cfRule>
    <cfRule type="dataBar" priority="1211">
      <dataBar>
        <cfvo type="min"/>
        <cfvo type="max"/>
        <color rgb="FF00B0F0"/>
      </dataBar>
    </cfRule>
    <cfRule type="dataBar" priority="1212">
      <dataBar>
        <cfvo type="min"/>
        <cfvo type="max"/>
        <color rgb="FF638EC6"/>
      </dataBar>
    </cfRule>
  </conditionalFormatting>
  <conditionalFormatting sqref="L980">
    <cfRule type="dataBar" priority="1195">
      <dataBar>
        <cfvo type="min"/>
        <cfvo type="max"/>
        <color rgb="FF3FCDFF"/>
      </dataBar>
    </cfRule>
  </conditionalFormatting>
  <conditionalFormatting sqref="L981">
    <cfRule type="dataBar" priority="1207">
      <dataBar>
        <cfvo type="min"/>
        <cfvo type="max"/>
        <color rgb="FF3FCDFF"/>
      </dataBar>
    </cfRule>
  </conditionalFormatting>
  <conditionalFormatting sqref="L982:L985">
    <cfRule type="dataBar" priority="1194">
      <dataBar>
        <cfvo type="min"/>
        <cfvo type="max"/>
        <color rgb="FF3FCDFF"/>
      </dataBar>
    </cfRule>
  </conditionalFormatting>
  <conditionalFormatting sqref="L987">
    <cfRule type="dataBar" priority="1206">
      <dataBar>
        <cfvo type="min"/>
        <cfvo type="max"/>
        <color rgb="FF3FCDFF"/>
      </dataBar>
    </cfRule>
  </conditionalFormatting>
  <conditionalFormatting sqref="L988:L989">
    <cfRule type="dataBar" priority="1193">
      <dataBar>
        <cfvo type="min"/>
        <cfvo type="max"/>
        <color rgb="FF3FCDFF"/>
      </dataBar>
    </cfRule>
  </conditionalFormatting>
  <conditionalFormatting sqref="L990">
    <cfRule type="dataBar" priority="1192">
      <dataBar>
        <cfvo type="min"/>
        <cfvo type="max"/>
        <color rgb="FF3FCDFF"/>
      </dataBar>
    </cfRule>
  </conditionalFormatting>
  <conditionalFormatting sqref="L992">
    <cfRule type="dataBar" priority="1191">
      <dataBar>
        <cfvo type="min"/>
        <cfvo type="max"/>
        <color rgb="FF3FCDFF"/>
      </dataBar>
    </cfRule>
  </conditionalFormatting>
  <conditionalFormatting sqref="L993">
    <cfRule type="dataBar" priority="1205">
      <dataBar>
        <cfvo type="min"/>
        <cfvo type="max"/>
        <color rgb="FF3FCDFF"/>
      </dataBar>
    </cfRule>
  </conditionalFormatting>
  <conditionalFormatting sqref="L995">
    <cfRule type="dataBar" priority="1180">
      <dataBar>
        <cfvo type="min"/>
        <cfvo type="max"/>
        <color rgb="FF3FCDFF"/>
      </dataBar>
    </cfRule>
  </conditionalFormatting>
  <conditionalFormatting sqref="L996:L997">
    <cfRule type="dataBar" priority="1179">
      <dataBar>
        <cfvo type="min"/>
        <cfvo type="max"/>
        <color rgb="FF3FCDFF"/>
      </dataBar>
    </cfRule>
  </conditionalFormatting>
  <conditionalFormatting sqref="L998">
    <cfRule type="dataBar" priority="1185">
      <dataBar>
        <cfvo type="min"/>
        <cfvo type="max"/>
        <color rgb="FF3FCDFF"/>
      </dataBar>
    </cfRule>
  </conditionalFormatting>
  <conditionalFormatting sqref="L999">
    <cfRule type="dataBar" priority="1178">
      <dataBar>
        <cfvo type="min"/>
        <cfvo type="max"/>
        <color rgb="FF3FCDFF"/>
      </dataBar>
    </cfRule>
  </conditionalFormatting>
  <conditionalFormatting sqref="L1000">
    <cfRule type="dataBar" priority="1181">
      <dataBar>
        <cfvo type="min"/>
        <cfvo type="max"/>
        <color rgb="FF3FCDFF"/>
      </dataBar>
    </cfRule>
  </conditionalFormatting>
  <conditionalFormatting sqref="L1001:L1002">
    <cfRule type="dataBar" priority="1177">
      <dataBar>
        <cfvo type="min"/>
        <cfvo type="max"/>
        <color rgb="FF3FCDFF"/>
      </dataBar>
    </cfRule>
  </conditionalFormatting>
  <conditionalFormatting sqref="L1003">
    <cfRule type="dataBar" priority="1176">
      <dataBar>
        <cfvo type="min"/>
        <cfvo type="max"/>
        <color rgb="FF3FCDFF"/>
      </dataBar>
    </cfRule>
  </conditionalFormatting>
  <conditionalFormatting sqref="L1004">
    <cfRule type="dataBar" priority="1175">
      <dataBar>
        <cfvo type="min"/>
        <cfvo type="max"/>
        <color rgb="FF3FCDFF"/>
      </dataBar>
    </cfRule>
  </conditionalFormatting>
  <conditionalFormatting sqref="L1006">
    <cfRule type="dataBar" priority="1174">
      <dataBar>
        <cfvo type="min"/>
        <cfvo type="max"/>
        <color rgb="FF3FCDFF"/>
      </dataBar>
    </cfRule>
  </conditionalFormatting>
  <conditionalFormatting sqref="L1007">
    <cfRule type="dataBar" priority="1173">
      <dataBar>
        <cfvo type="min"/>
        <cfvo type="max"/>
        <color rgb="FF3FCDFF"/>
      </dataBar>
    </cfRule>
  </conditionalFormatting>
  <conditionalFormatting sqref="L1008">
    <cfRule type="dataBar" priority="1186">
      <dataBar>
        <cfvo type="min"/>
        <cfvo type="max"/>
        <color rgb="FF3FCDFF"/>
      </dataBar>
    </cfRule>
  </conditionalFormatting>
  <conditionalFormatting sqref="L1009 L1005 L1016 L1021 L1024">
    <cfRule type="dataBar" priority="1189">
      <dataBar>
        <cfvo type="min"/>
        <cfvo type="max"/>
        <color rgb="FF638EC6"/>
      </dataBar>
    </cfRule>
    <cfRule type="dataBar" priority="1187">
      <dataBar>
        <cfvo type="min"/>
        <cfvo type="max"/>
        <color rgb="FF3FCDFF"/>
      </dataBar>
    </cfRule>
    <cfRule type="dataBar" priority="1188">
      <dataBar>
        <cfvo type="min"/>
        <cfvo type="max"/>
        <color rgb="FF00B0F0"/>
      </dataBar>
    </cfRule>
  </conditionalFormatting>
  <conditionalFormatting sqref="L1010">
    <cfRule type="dataBar" priority="1172">
      <dataBar>
        <cfvo type="min"/>
        <cfvo type="max"/>
        <color rgb="FF3FCDFF"/>
      </dataBar>
    </cfRule>
  </conditionalFormatting>
  <conditionalFormatting sqref="L1011">
    <cfRule type="dataBar" priority="1184">
      <dataBar>
        <cfvo type="min"/>
        <cfvo type="max"/>
        <color rgb="FF3FCDFF"/>
      </dataBar>
    </cfRule>
  </conditionalFormatting>
  <conditionalFormatting sqref="L1012:L1015">
    <cfRule type="dataBar" priority="1171">
      <dataBar>
        <cfvo type="min"/>
        <cfvo type="max"/>
        <color rgb="FF3FCDFF"/>
      </dataBar>
    </cfRule>
  </conditionalFormatting>
  <conditionalFormatting sqref="L1017">
    <cfRule type="dataBar" priority="1183">
      <dataBar>
        <cfvo type="min"/>
        <cfvo type="max"/>
        <color rgb="FF3FCDFF"/>
      </dataBar>
    </cfRule>
  </conditionalFormatting>
  <conditionalFormatting sqref="L1018:L1019">
    <cfRule type="dataBar" priority="1170">
      <dataBar>
        <cfvo type="min"/>
        <cfvo type="max"/>
        <color rgb="FF3FCDFF"/>
      </dataBar>
    </cfRule>
  </conditionalFormatting>
  <conditionalFormatting sqref="L1020">
    <cfRule type="dataBar" priority="1169">
      <dataBar>
        <cfvo type="min"/>
        <cfvo type="max"/>
        <color rgb="FF3FCDFF"/>
      </dataBar>
    </cfRule>
  </conditionalFormatting>
  <conditionalFormatting sqref="L1022">
    <cfRule type="dataBar" priority="1168">
      <dataBar>
        <cfvo type="min"/>
        <cfvo type="max"/>
        <color rgb="FF3FCDFF"/>
      </dataBar>
    </cfRule>
  </conditionalFormatting>
  <conditionalFormatting sqref="L1023">
    <cfRule type="dataBar" priority="1182">
      <dataBar>
        <cfvo type="min"/>
        <cfvo type="max"/>
        <color rgb="FF3FCDFF"/>
      </dataBar>
    </cfRule>
  </conditionalFormatting>
  <conditionalFormatting sqref="L1025">
    <cfRule type="dataBar" priority="1157">
      <dataBar>
        <cfvo type="min"/>
        <cfvo type="max"/>
        <color rgb="FF3FCDFF"/>
      </dataBar>
    </cfRule>
  </conditionalFormatting>
  <conditionalFormatting sqref="L1026:L1027">
    <cfRule type="dataBar" priority="1156">
      <dataBar>
        <cfvo type="min"/>
        <cfvo type="max"/>
        <color rgb="FF3FCDFF"/>
      </dataBar>
    </cfRule>
  </conditionalFormatting>
  <conditionalFormatting sqref="L1028">
    <cfRule type="dataBar" priority="1162">
      <dataBar>
        <cfvo type="min"/>
        <cfvo type="max"/>
        <color rgb="FF3FCDFF"/>
      </dataBar>
    </cfRule>
  </conditionalFormatting>
  <conditionalFormatting sqref="L1029">
    <cfRule type="dataBar" priority="1155">
      <dataBar>
        <cfvo type="min"/>
        <cfvo type="max"/>
        <color rgb="FF3FCDFF"/>
      </dataBar>
    </cfRule>
  </conditionalFormatting>
  <conditionalFormatting sqref="L1030">
    <cfRule type="dataBar" priority="1158">
      <dataBar>
        <cfvo type="min"/>
        <cfvo type="max"/>
        <color rgb="FF3FCDFF"/>
      </dataBar>
    </cfRule>
  </conditionalFormatting>
  <conditionalFormatting sqref="L1031:L1032">
    <cfRule type="dataBar" priority="1154">
      <dataBar>
        <cfvo type="min"/>
        <cfvo type="max"/>
        <color rgb="FF3FCDFF"/>
      </dataBar>
    </cfRule>
  </conditionalFormatting>
  <conditionalFormatting sqref="L1033">
    <cfRule type="dataBar" priority="1153">
      <dataBar>
        <cfvo type="min"/>
        <cfvo type="max"/>
        <color rgb="FF3FCDFF"/>
      </dataBar>
    </cfRule>
  </conditionalFormatting>
  <conditionalFormatting sqref="L1034">
    <cfRule type="dataBar" priority="1152">
      <dataBar>
        <cfvo type="min"/>
        <cfvo type="max"/>
        <color rgb="FF3FCDFF"/>
      </dataBar>
    </cfRule>
  </conditionalFormatting>
  <conditionalFormatting sqref="L1036">
    <cfRule type="dataBar" priority="1151">
      <dataBar>
        <cfvo type="min"/>
        <cfvo type="max"/>
        <color rgb="FF3FCDFF"/>
      </dataBar>
    </cfRule>
  </conditionalFormatting>
  <conditionalFormatting sqref="L1037">
    <cfRule type="dataBar" priority="1150">
      <dataBar>
        <cfvo type="min"/>
        <cfvo type="max"/>
        <color rgb="FF3FCDFF"/>
      </dataBar>
    </cfRule>
  </conditionalFormatting>
  <conditionalFormatting sqref="L1038">
    <cfRule type="dataBar" priority="1163">
      <dataBar>
        <cfvo type="min"/>
        <cfvo type="max"/>
        <color rgb="FF3FCDFF"/>
      </dataBar>
    </cfRule>
  </conditionalFormatting>
  <conditionalFormatting sqref="L1039 L1035 L1046 L1051 L1054">
    <cfRule type="dataBar" priority="1166">
      <dataBar>
        <cfvo type="min"/>
        <cfvo type="max"/>
        <color rgb="FF638EC6"/>
      </dataBar>
    </cfRule>
    <cfRule type="dataBar" priority="1165">
      <dataBar>
        <cfvo type="min"/>
        <cfvo type="max"/>
        <color rgb="FF00B0F0"/>
      </dataBar>
    </cfRule>
    <cfRule type="dataBar" priority="1164">
      <dataBar>
        <cfvo type="min"/>
        <cfvo type="max"/>
        <color rgb="FF3FCDFF"/>
      </dataBar>
    </cfRule>
  </conditionalFormatting>
  <conditionalFormatting sqref="L1040">
    <cfRule type="dataBar" priority="1149">
      <dataBar>
        <cfvo type="min"/>
        <cfvo type="max"/>
        <color rgb="FF3FCDFF"/>
      </dataBar>
    </cfRule>
  </conditionalFormatting>
  <conditionalFormatting sqref="L1041">
    <cfRule type="dataBar" priority="1161">
      <dataBar>
        <cfvo type="min"/>
        <cfvo type="max"/>
        <color rgb="FF3FCDFF"/>
      </dataBar>
    </cfRule>
  </conditionalFormatting>
  <conditionalFormatting sqref="L1042:L1045">
    <cfRule type="dataBar" priority="1148">
      <dataBar>
        <cfvo type="min"/>
        <cfvo type="max"/>
        <color rgb="FF3FCDFF"/>
      </dataBar>
    </cfRule>
  </conditionalFormatting>
  <conditionalFormatting sqref="L1047">
    <cfRule type="dataBar" priority="1160">
      <dataBar>
        <cfvo type="min"/>
        <cfvo type="max"/>
        <color rgb="FF3FCDFF"/>
      </dataBar>
    </cfRule>
  </conditionalFormatting>
  <conditionalFormatting sqref="L1048:L1049">
    <cfRule type="dataBar" priority="1147">
      <dataBar>
        <cfvo type="min"/>
        <cfvo type="max"/>
        <color rgb="FF3FCDFF"/>
      </dataBar>
    </cfRule>
  </conditionalFormatting>
  <conditionalFormatting sqref="L1050">
    <cfRule type="dataBar" priority="1146">
      <dataBar>
        <cfvo type="min"/>
        <cfvo type="max"/>
        <color rgb="FF3FCDFF"/>
      </dataBar>
    </cfRule>
  </conditionalFormatting>
  <conditionalFormatting sqref="L1052">
    <cfRule type="dataBar" priority="1145">
      <dataBar>
        <cfvo type="min"/>
        <cfvo type="max"/>
        <color rgb="FF3FCDFF"/>
      </dataBar>
    </cfRule>
  </conditionalFormatting>
  <conditionalFormatting sqref="L1053">
    <cfRule type="dataBar" priority="1159">
      <dataBar>
        <cfvo type="min"/>
        <cfvo type="max"/>
        <color rgb="FF3FCDFF"/>
      </dataBar>
    </cfRule>
  </conditionalFormatting>
  <conditionalFormatting sqref="L1055">
    <cfRule type="dataBar" priority="1134">
      <dataBar>
        <cfvo type="min"/>
        <cfvo type="max"/>
        <color rgb="FF3FCDFF"/>
      </dataBar>
    </cfRule>
  </conditionalFormatting>
  <conditionalFormatting sqref="L1056:L1057">
    <cfRule type="dataBar" priority="1133">
      <dataBar>
        <cfvo type="min"/>
        <cfvo type="max"/>
        <color rgb="FF3FCDFF"/>
      </dataBar>
    </cfRule>
  </conditionalFormatting>
  <conditionalFormatting sqref="L1058">
    <cfRule type="dataBar" priority="1139">
      <dataBar>
        <cfvo type="min"/>
        <cfvo type="max"/>
        <color rgb="FF3FCDFF"/>
      </dataBar>
    </cfRule>
  </conditionalFormatting>
  <conditionalFormatting sqref="L1059">
    <cfRule type="dataBar" priority="1132">
      <dataBar>
        <cfvo type="min"/>
        <cfvo type="max"/>
        <color rgb="FF3FCDFF"/>
      </dataBar>
    </cfRule>
  </conditionalFormatting>
  <conditionalFormatting sqref="L1060">
    <cfRule type="dataBar" priority="1135">
      <dataBar>
        <cfvo type="min"/>
        <cfvo type="max"/>
        <color rgb="FF3FCDFF"/>
      </dataBar>
    </cfRule>
  </conditionalFormatting>
  <conditionalFormatting sqref="L1061:L1062">
    <cfRule type="dataBar" priority="1131">
      <dataBar>
        <cfvo type="min"/>
        <cfvo type="max"/>
        <color rgb="FF3FCDFF"/>
      </dataBar>
    </cfRule>
  </conditionalFormatting>
  <conditionalFormatting sqref="L1063">
    <cfRule type="dataBar" priority="1130">
      <dataBar>
        <cfvo type="min"/>
        <cfvo type="max"/>
        <color rgb="FF3FCDFF"/>
      </dataBar>
    </cfRule>
  </conditionalFormatting>
  <conditionalFormatting sqref="L1064">
    <cfRule type="dataBar" priority="1129">
      <dataBar>
        <cfvo type="min"/>
        <cfvo type="max"/>
        <color rgb="FF3FCDFF"/>
      </dataBar>
    </cfRule>
  </conditionalFormatting>
  <conditionalFormatting sqref="L1066">
    <cfRule type="dataBar" priority="1128">
      <dataBar>
        <cfvo type="min"/>
        <cfvo type="max"/>
        <color rgb="FF3FCDFF"/>
      </dataBar>
    </cfRule>
  </conditionalFormatting>
  <conditionalFormatting sqref="L1067">
    <cfRule type="dataBar" priority="1127">
      <dataBar>
        <cfvo type="min"/>
        <cfvo type="max"/>
        <color rgb="FF3FCDFF"/>
      </dataBar>
    </cfRule>
  </conditionalFormatting>
  <conditionalFormatting sqref="L1068">
    <cfRule type="dataBar" priority="1140">
      <dataBar>
        <cfvo type="min"/>
        <cfvo type="max"/>
        <color rgb="FF3FCDFF"/>
      </dataBar>
    </cfRule>
  </conditionalFormatting>
  <conditionalFormatting sqref="L1069 L1065 L1076 L1081 L1084">
    <cfRule type="dataBar" priority="1142">
      <dataBar>
        <cfvo type="min"/>
        <cfvo type="max"/>
        <color rgb="FF00B0F0"/>
      </dataBar>
    </cfRule>
    <cfRule type="dataBar" priority="1143">
      <dataBar>
        <cfvo type="min"/>
        <cfvo type="max"/>
        <color rgb="FF638EC6"/>
      </dataBar>
    </cfRule>
    <cfRule type="dataBar" priority="1141">
      <dataBar>
        <cfvo type="min"/>
        <cfvo type="max"/>
        <color rgb="FF3FCDFF"/>
      </dataBar>
    </cfRule>
  </conditionalFormatting>
  <conditionalFormatting sqref="L1070">
    <cfRule type="dataBar" priority="1126">
      <dataBar>
        <cfvo type="min"/>
        <cfvo type="max"/>
        <color rgb="FF3FCDFF"/>
      </dataBar>
    </cfRule>
  </conditionalFormatting>
  <conditionalFormatting sqref="L1071">
    <cfRule type="dataBar" priority="1138">
      <dataBar>
        <cfvo type="min"/>
        <cfvo type="max"/>
        <color rgb="FF3FCDFF"/>
      </dataBar>
    </cfRule>
  </conditionalFormatting>
  <conditionalFormatting sqref="L1072:L1075">
    <cfRule type="dataBar" priority="1125">
      <dataBar>
        <cfvo type="min"/>
        <cfvo type="max"/>
        <color rgb="FF3FCDFF"/>
      </dataBar>
    </cfRule>
  </conditionalFormatting>
  <conditionalFormatting sqref="L1077">
    <cfRule type="dataBar" priority="1137">
      <dataBar>
        <cfvo type="min"/>
        <cfvo type="max"/>
        <color rgb="FF3FCDFF"/>
      </dataBar>
    </cfRule>
  </conditionalFormatting>
  <conditionalFormatting sqref="L1078:L1079">
    <cfRule type="dataBar" priority="1124">
      <dataBar>
        <cfvo type="min"/>
        <cfvo type="max"/>
        <color rgb="FF3FCDFF"/>
      </dataBar>
    </cfRule>
  </conditionalFormatting>
  <conditionalFormatting sqref="L1080">
    <cfRule type="dataBar" priority="1123">
      <dataBar>
        <cfvo type="min"/>
        <cfvo type="max"/>
        <color rgb="FF3FCDFF"/>
      </dataBar>
    </cfRule>
  </conditionalFormatting>
  <conditionalFormatting sqref="L1082">
    <cfRule type="dataBar" priority="1122">
      <dataBar>
        <cfvo type="min"/>
        <cfvo type="max"/>
        <color rgb="FF3FCDFF"/>
      </dataBar>
    </cfRule>
  </conditionalFormatting>
  <conditionalFormatting sqref="L1083">
    <cfRule type="dataBar" priority="1136">
      <dataBar>
        <cfvo type="min"/>
        <cfvo type="max"/>
        <color rgb="FF3FCDFF"/>
      </dataBar>
    </cfRule>
  </conditionalFormatting>
  <conditionalFormatting sqref="L1085">
    <cfRule type="dataBar" priority="1111">
      <dataBar>
        <cfvo type="min"/>
        <cfvo type="max"/>
        <color rgb="FF3FCDFF"/>
      </dataBar>
    </cfRule>
  </conditionalFormatting>
  <conditionalFormatting sqref="L1086:L1087">
    <cfRule type="dataBar" priority="1110">
      <dataBar>
        <cfvo type="min"/>
        <cfvo type="max"/>
        <color rgb="FF3FCDFF"/>
      </dataBar>
    </cfRule>
  </conditionalFormatting>
  <conditionalFormatting sqref="L1088">
    <cfRule type="dataBar" priority="1116">
      <dataBar>
        <cfvo type="min"/>
        <cfvo type="max"/>
        <color rgb="FF3FCDFF"/>
      </dataBar>
    </cfRule>
  </conditionalFormatting>
  <conditionalFormatting sqref="L1089">
    <cfRule type="dataBar" priority="1109">
      <dataBar>
        <cfvo type="min"/>
        <cfvo type="max"/>
        <color rgb="FF3FCDFF"/>
      </dataBar>
    </cfRule>
  </conditionalFormatting>
  <conditionalFormatting sqref="L1090">
    <cfRule type="dataBar" priority="1112">
      <dataBar>
        <cfvo type="min"/>
        <cfvo type="max"/>
        <color rgb="FF3FCDFF"/>
      </dataBar>
    </cfRule>
  </conditionalFormatting>
  <conditionalFormatting sqref="L1091:L1092">
    <cfRule type="dataBar" priority="1108">
      <dataBar>
        <cfvo type="min"/>
        <cfvo type="max"/>
        <color rgb="FF3FCDFF"/>
      </dataBar>
    </cfRule>
  </conditionalFormatting>
  <conditionalFormatting sqref="L1093">
    <cfRule type="dataBar" priority="1107">
      <dataBar>
        <cfvo type="min"/>
        <cfvo type="max"/>
        <color rgb="FF3FCDFF"/>
      </dataBar>
    </cfRule>
  </conditionalFormatting>
  <conditionalFormatting sqref="L1094">
    <cfRule type="dataBar" priority="1106">
      <dataBar>
        <cfvo type="min"/>
        <cfvo type="max"/>
        <color rgb="FF3FCDFF"/>
      </dataBar>
    </cfRule>
  </conditionalFormatting>
  <conditionalFormatting sqref="L1096">
    <cfRule type="dataBar" priority="1105">
      <dataBar>
        <cfvo type="min"/>
        <cfvo type="max"/>
        <color rgb="FF3FCDFF"/>
      </dataBar>
    </cfRule>
  </conditionalFormatting>
  <conditionalFormatting sqref="L1097">
    <cfRule type="dataBar" priority="1104">
      <dataBar>
        <cfvo type="min"/>
        <cfvo type="max"/>
        <color rgb="FF3FCDFF"/>
      </dataBar>
    </cfRule>
  </conditionalFormatting>
  <conditionalFormatting sqref="L1098">
    <cfRule type="dataBar" priority="1117">
      <dataBar>
        <cfvo type="min"/>
        <cfvo type="max"/>
        <color rgb="FF3FCDFF"/>
      </dataBar>
    </cfRule>
  </conditionalFormatting>
  <conditionalFormatting sqref="L1099 L1095 L1106 L1111 L1114">
    <cfRule type="dataBar" priority="1120">
      <dataBar>
        <cfvo type="min"/>
        <cfvo type="max"/>
        <color rgb="FF638EC6"/>
      </dataBar>
    </cfRule>
    <cfRule type="dataBar" priority="1118">
      <dataBar>
        <cfvo type="min"/>
        <cfvo type="max"/>
        <color rgb="FF3FCDFF"/>
      </dataBar>
    </cfRule>
    <cfRule type="dataBar" priority="1119">
      <dataBar>
        <cfvo type="min"/>
        <cfvo type="max"/>
        <color rgb="FF00B0F0"/>
      </dataBar>
    </cfRule>
  </conditionalFormatting>
  <conditionalFormatting sqref="L1100">
    <cfRule type="dataBar" priority="1103">
      <dataBar>
        <cfvo type="min"/>
        <cfvo type="max"/>
        <color rgb="FF3FCDFF"/>
      </dataBar>
    </cfRule>
  </conditionalFormatting>
  <conditionalFormatting sqref="L1101">
    <cfRule type="dataBar" priority="1115">
      <dataBar>
        <cfvo type="min"/>
        <cfvo type="max"/>
        <color rgb="FF3FCDFF"/>
      </dataBar>
    </cfRule>
  </conditionalFormatting>
  <conditionalFormatting sqref="L1102:L1105">
    <cfRule type="dataBar" priority="1102">
      <dataBar>
        <cfvo type="min"/>
        <cfvo type="max"/>
        <color rgb="FF3FCDFF"/>
      </dataBar>
    </cfRule>
  </conditionalFormatting>
  <conditionalFormatting sqref="L1107">
    <cfRule type="dataBar" priority="1114">
      <dataBar>
        <cfvo type="min"/>
        <cfvo type="max"/>
        <color rgb="FF3FCDFF"/>
      </dataBar>
    </cfRule>
  </conditionalFormatting>
  <conditionalFormatting sqref="L1108:L1109">
    <cfRule type="dataBar" priority="1101">
      <dataBar>
        <cfvo type="min"/>
        <cfvo type="max"/>
        <color rgb="FF3FCDFF"/>
      </dataBar>
    </cfRule>
  </conditionalFormatting>
  <conditionalFormatting sqref="L1110">
    <cfRule type="dataBar" priority="1100">
      <dataBar>
        <cfvo type="min"/>
        <cfvo type="max"/>
        <color rgb="FF3FCDFF"/>
      </dataBar>
    </cfRule>
  </conditionalFormatting>
  <conditionalFormatting sqref="L1112">
    <cfRule type="dataBar" priority="1099">
      <dataBar>
        <cfvo type="min"/>
        <cfvo type="max"/>
        <color rgb="FF3FCDFF"/>
      </dataBar>
    </cfRule>
  </conditionalFormatting>
  <conditionalFormatting sqref="L1113">
    <cfRule type="dataBar" priority="1113">
      <dataBar>
        <cfvo type="min"/>
        <cfvo type="max"/>
        <color rgb="FF3FCDFF"/>
      </dataBar>
    </cfRule>
  </conditionalFormatting>
  <conditionalFormatting sqref="L1115">
    <cfRule type="dataBar" priority="1092">
      <dataBar>
        <cfvo type="min"/>
        <cfvo type="max"/>
        <color rgb="FF3FCDFF"/>
      </dataBar>
    </cfRule>
  </conditionalFormatting>
  <conditionalFormatting sqref="L1116:L1117">
    <cfRule type="dataBar" priority="1091">
      <dataBar>
        <cfvo type="min"/>
        <cfvo type="max"/>
        <color rgb="FF3FCDFF"/>
      </dataBar>
    </cfRule>
  </conditionalFormatting>
  <conditionalFormatting sqref="L1118">
    <cfRule type="dataBar" priority="1097">
      <dataBar>
        <cfvo type="min"/>
        <cfvo type="max"/>
        <color rgb="FF3FCDFF"/>
      </dataBar>
    </cfRule>
  </conditionalFormatting>
  <conditionalFormatting sqref="L1119">
    <cfRule type="dataBar" priority="1090">
      <dataBar>
        <cfvo type="min"/>
        <cfvo type="max"/>
        <color rgb="FF3FCDFF"/>
      </dataBar>
    </cfRule>
  </conditionalFormatting>
  <conditionalFormatting sqref="L1120">
    <cfRule type="dataBar" priority="1093">
      <dataBar>
        <cfvo type="min"/>
        <cfvo type="max"/>
        <color rgb="FF3FCDFF"/>
      </dataBar>
    </cfRule>
  </conditionalFormatting>
  <conditionalFormatting sqref="L1121:L1122">
    <cfRule type="dataBar" priority="1089">
      <dataBar>
        <cfvo type="min"/>
        <cfvo type="max"/>
        <color rgb="FF3FCDFF"/>
      </dataBar>
    </cfRule>
  </conditionalFormatting>
  <conditionalFormatting sqref="L1123">
    <cfRule type="dataBar" priority="1088">
      <dataBar>
        <cfvo type="min"/>
        <cfvo type="max"/>
        <color rgb="FF3FCDFF"/>
      </dataBar>
    </cfRule>
  </conditionalFormatting>
  <conditionalFormatting sqref="L1124">
    <cfRule type="dataBar" priority="1087">
      <dataBar>
        <cfvo type="min"/>
        <cfvo type="max"/>
        <color rgb="FF3FCDFF"/>
      </dataBar>
    </cfRule>
  </conditionalFormatting>
  <conditionalFormatting sqref="L1126">
    <cfRule type="dataBar" priority="1086">
      <dataBar>
        <cfvo type="min"/>
        <cfvo type="max"/>
        <color rgb="FF3FCDFF"/>
      </dataBar>
    </cfRule>
  </conditionalFormatting>
  <conditionalFormatting sqref="L1127">
    <cfRule type="dataBar" priority="1085">
      <dataBar>
        <cfvo type="min"/>
        <cfvo type="max"/>
        <color rgb="FF3FCDFF"/>
      </dataBar>
    </cfRule>
  </conditionalFormatting>
  <conditionalFormatting sqref="L1128">
    <cfRule type="dataBar" priority="1098">
      <dataBar>
        <cfvo type="min"/>
        <cfvo type="max"/>
        <color rgb="FF3FCDFF"/>
      </dataBar>
    </cfRule>
  </conditionalFormatting>
  <conditionalFormatting sqref="L1129 L1125 L1136 L1141 L1144">
    <cfRule type="dataBar" priority="1706">
      <dataBar>
        <cfvo type="min"/>
        <cfvo type="max"/>
        <color rgb="FF638EC6"/>
      </dataBar>
    </cfRule>
    <cfRule type="dataBar" priority="1705">
      <dataBar>
        <cfvo type="min"/>
        <cfvo type="max"/>
        <color rgb="FF00B0F0"/>
      </dataBar>
    </cfRule>
    <cfRule type="dataBar" priority="1704">
      <dataBar>
        <cfvo type="min"/>
        <cfvo type="max"/>
        <color rgb="FF3FCDFF"/>
      </dataBar>
    </cfRule>
  </conditionalFormatting>
  <conditionalFormatting sqref="L1130">
    <cfRule type="dataBar" priority="1084">
      <dataBar>
        <cfvo type="min"/>
        <cfvo type="max"/>
        <color rgb="FF3FCDFF"/>
      </dataBar>
    </cfRule>
  </conditionalFormatting>
  <conditionalFormatting sqref="L1131">
    <cfRule type="dataBar" priority="1096">
      <dataBar>
        <cfvo type="min"/>
        <cfvo type="max"/>
        <color rgb="FF3FCDFF"/>
      </dataBar>
    </cfRule>
  </conditionalFormatting>
  <conditionalFormatting sqref="L1132:L1135">
    <cfRule type="dataBar" priority="1083">
      <dataBar>
        <cfvo type="min"/>
        <cfvo type="max"/>
        <color rgb="FF3FCDFF"/>
      </dataBar>
    </cfRule>
  </conditionalFormatting>
  <conditionalFormatting sqref="L1137">
    <cfRule type="dataBar" priority="1095">
      <dataBar>
        <cfvo type="min"/>
        <cfvo type="max"/>
        <color rgb="FF3FCDFF"/>
      </dataBar>
    </cfRule>
  </conditionalFormatting>
  <conditionalFormatting sqref="L1138:L1139">
    <cfRule type="dataBar" priority="1082">
      <dataBar>
        <cfvo type="min"/>
        <cfvo type="max"/>
        <color rgb="FF3FCDFF"/>
      </dataBar>
    </cfRule>
  </conditionalFormatting>
  <conditionalFormatting sqref="L1140">
    <cfRule type="dataBar" priority="1081">
      <dataBar>
        <cfvo type="min"/>
        <cfvo type="max"/>
        <color rgb="FF3FCDFF"/>
      </dataBar>
    </cfRule>
  </conditionalFormatting>
  <conditionalFormatting sqref="L1142">
    <cfRule type="dataBar" priority="1080">
      <dataBar>
        <cfvo type="min"/>
        <cfvo type="max"/>
        <color rgb="FF3FCDFF"/>
      </dataBar>
    </cfRule>
  </conditionalFormatting>
  <conditionalFormatting sqref="L1143">
    <cfRule type="dataBar" priority="1094">
      <dataBar>
        <cfvo type="min"/>
        <cfvo type="max"/>
        <color rgb="FF3FCDFF"/>
      </dataBar>
    </cfRule>
  </conditionalFormatting>
  <conditionalFormatting sqref="L1145">
    <cfRule type="dataBar" priority="328">
      <dataBar>
        <cfvo type="min"/>
        <cfvo type="max"/>
        <color rgb="FF3FCDFF"/>
      </dataBar>
    </cfRule>
  </conditionalFormatting>
  <conditionalFormatting sqref="L1146">
    <cfRule type="dataBar" priority="1069">
      <dataBar>
        <cfvo type="min"/>
        <cfvo type="max"/>
        <color rgb="FF3FCDFF"/>
      </dataBar>
    </cfRule>
  </conditionalFormatting>
  <conditionalFormatting sqref="L1147:L1148">
    <cfRule type="dataBar" priority="1068">
      <dataBar>
        <cfvo type="min"/>
        <cfvo type="max"/>
        <color rgb="FF3FCDFF"/>
      </dataBar>
    </cfRule>
  </conditionalFormatting>
  <conditionalFormatting sqref="L1149">
    <cfRule type="dataBar" priority="1074">
      <dataBar>
        <cfvo type="min"/>
        <cfvo type="max"/>
        <color rgb="FF3FCDFF"/>
      </dataBar>
    </cfRule>
  </conditionalFormatting>
  <conditionalFormatting sqref="L1150">
    <cfRule type="dataBar" priority="1067">
      <dataBar>
        <cfvo type="min"/>
        <cfvo type="max"/>
        <color rgb="FF3FCDFF"/>
      </dataBar>
    </cfRule>
  </conditionalFormatting>
  <conditionalFormatting sqref="L1151">
    <cfRule type="dataBar" priority="1070">
      <dataBar>
        <cfvo type="min"/>
        <cfvo type="max"/>
        <color rgb="FF3FCDFF"/>
      </dataBar>
    </cfRule>
  </conditionalFormatting>
  <conditionalFormatting sqref="L1152:L1153">
    <cfRule type="dataBar" priority="1066">
      <dataBar>
        <cfvo type="min"/>
        <cfvo type="max"/>
        <color rgb="FF3FCDFF"/>
      </dataBar>
    </cfRule>
  </conditionalFormatting>
  <conditionalFormatting sqref="L1154">
    <cfRule type="dataBar" priority="1065">
      <dataBar>
        <cfvo type="min"/>
        <cfvo type="max"/>
        <color rgb="FF3FCDFF"/>
      </dataBar>
    </cfRule>
  </conditionalFormatting>
  <conditionalFormatting sqref="L1155">
    <cfRule type="dataBar" priority="1064">
      <dataBar>
        <cfvo type="min"/>
        <cfvo type="max"/>
        <color rgb="FF3FCDFF"/>
      </dataBar>
    </cfRule>
  </conditionalFormatting>
  <conditionalFormatting sqref="L1157">
    <cfRule type="dataBar" priority="1063">
      <dataBar>
        <cfvo type="min"/>
        <cfvo type="max"/>
        <color rgb="FF3FCDFF"/>
      </dataBar>
    </cfRule>
  </conditionalFormatting>
  <conditionalFormatting sqref="L1158">
    <cfRule type="dataBar" priority="1062">
      <dataBar>
        <cfvo type="min"/>
        <cfvo type="max"/>
        <color rgb="FF3FCDFF"/>
      </dataBar>
    </cfRule>
  </conditionalFormatting>
  <conditionalFormatting sqref="L1159">
    <cfRule type="dataBar" priority="1075">
      <dataBar>
        <cfvo type="min"/>
        <cfvo type="max"/>
        <color rgb="FF3FCDFF"/>
      </dataBar>
    </cfRule>
  </conditionalFormatting>
  <conditionalFormatting sqref="L1160 L1156 L1167 L1172 L1175">
    <cfRule type="dataBar" priority="1076">
      <dataBar>
        <cfvo type="min"/>
        <cfvo type="max"/>
        <color rgb="FF3FCDFF"/>
      </dataBar>
    </cfRule>
    <cfRule type="dataBar" priority="1078">
      <dataBar>
        <cfvo type="min"/>
        <cfvo type="max"/>
        <color rgb="FF638EC6"/>
      </dataBar>
    </cfRule>
    <cfRule type="dataBar" priority="1077">
      <dataBar>
        <cfvo type="min"/>
        <cfvo type="max"/>
        <color rgb="FF00B0F0"/>
      </dataBar>
    </cfRule>
  </conditionalFormatting>
  <conditionalFormatting sqref="L1161">
    <cfRule type="dataBar" priority="1061">
      <dataBar>
        <cfvo type="min"/>
        <cfvo type="max"/>
        <color rgb="FF3FCDFF"/>
      </dataBar>
    </cfRule>
  </conditionalFormatting>
  <conditionalFormatting sqref="L1162">
    <cfRule type="dataBar" priority="1073">
      <dataBar>
        <cfvo type="min"/>
        <cfvo type="max"/>
        <color rgb="FF3FCDFF"/>
      </dataBar>
    </cfRule>
  </conditionalFormatting>
  <conditionalFormatting sqref="L1163:L1166">
    <cfRule type="dataBar" priority="1060">
      <dataBar>
        <cfvo type="min"/>
        <cfvo type="max"/>
        <color rgb="FF3FCDFF"/>
      </dataBar>
    </cfRule>
  </conditionalFormatting>
  <conditionalFormatting sqref="L1168">
    <cfRule type="dataBar" priority="1072">
      <dataBar>
        <cfvo type="min"/>
        <cfvo type="max"/>
        <color rgb="FF3FCDFF"/>
      </dataBar>
    </cfRule>
  </conditionalFormatting>
  <conditionalFormatting sqref="L1169:L1170">
    <cfRule type="dataBar" priority="1059">
      <dataBar>
        <cfvo type="min"/>
        <cfvo type="max"/>
        <color rgb="FF3FCDFF"/>
      </dataBar>
    </cfRule>
  </conditionalFormatting>
  <conditionalFormatting sqref="L1171">
    <cfRule type="dataBar" priority="1058">
      <dataBar>
        <cfvo type="min"/>
        <cfvo type="max"/>
        <color rgb="FF3FCDFF"/>
      </dataBar>
    </cfRule>
  </conditionalFormatting>
  <conditionalFormatting sqref="L1173">
    <cfRule type="dataBar" priority="1057">
      <dataBar>
        <cfvo type="min"/>
        <cfvo type="max"/>
        <color rgb="FF3FCDFF"/>
      </dataBar>
    </cfRule>
  </conditionalFormatting>
  <conditionalFormatting sqref="L1174">
    <cfRule type="dataBar" priority="1071">
      <dataBar>
        <cfvo type="min"/>
        <cfvo type="max"/>
        <color rgb="FF3FCDFF"/>
      </dataBar>
    </cfRule>
  </conditionalFormatting>
  <conditionalFormatting sqref="L1176">
    <cfRule type="dataBar" priority="1046">
      <dataBar>
        <cfvo type="min"/>
        <cfvo type="max"/>
        <color rgb="FF3FCDFF"/>
      </dataBar>
    </cfRule>
  </conditionalFormatting>
  <conditionalFormatting sqref="L1177:L1178">
    <cfRule type="dataBar" priority="1045">
      <dataBar>
        <cfvo type="min"/>
        <cfvo type="max"/>
        <color rgb="FF3FCDFF"/>
      </dataBar>
    </cfRule>
  </conditionalFormatting>
  <conditionalFormatting sqref="L1179">
    <cfRule type="dataBar" priority="1051">
      <dataBar>
        <cfvo type="min"/>
        <cfvo type="max"/>
        <color rgb="FF3FCDFF"/>
      </dataBar>
    </cfRule>
  </conditionalFormatting>
  <conditionalFormatting sqref="L1180">
    <cfRule type="dataBar" priority="1044">
      <dataBar>
        <cfvo type="min"/>
        <cfvo type="max"/>
        <color rgb="FF3FCDFF"/>
      </dataBar>
    </cfRule>
  </conditionalFormatting>
  <conditionalFormatting sqref="L1181">
    <cfRule type="dataBar" priority="1047">
      <dataBar>
        <cfvo type="min"/>
        <cfvo type="max"/>
        <color rgb="FF3FCDFF"/>
      </dataBar>
    </cfRule>
  </conditionalFormatting>
  <conditionalFormatting sqref="L1182:L1183">
    <cfRule type="dataBar" priority="1043">
      <dataBar>
        <cfvo type="min"/>
        <cfvo type="max"/>
        <color rgb="FF3FCDFF"/>
      </dataBar>
    </cfRule>
  </conditionalFormatting>
  <conditionalFormatting sqref="L1184">
    <cfRule type="dataBar" priority="1042">
      <dataBar>
        <cfvo type="min"/>
        <cfvo type="max"/>
        <color rgb="FF3FCDFF"/>
      </dataBar>
    </cfRule>
  </conditionalFormatting>
  <conditionalFormatting sqref="L1185">
    <cfRule type="dataBar" priority="1041">
      <dataBar>
        <cfvo type="min"/>
        <cfvo type="max"/>
        <color rgb="FF3FCDFF"/>
      </dataBar>
    </cfRule>
  </conditionalFormatting>
  <conditionalFormatting sqref="L1187">
    <cfRule type="dataBar" priority="1040">
      <dataBar>
        <cfvo type="min"/>
        <cfvo type="max"/>
        <color rgb="FF3FCDFF"/>
      </dataBar>
    </cfRule>
  </conditionalFormatting>
  <conditionalFormatting sqref="L1188">
    <cfRule type="dataBar" priority="1039">
      <dataBar>
        <cfvo type="min"/>
        <cfvo type="max"/>
        <color rgb="FF3FCDFF"/>
      </dataBar>
    </cfRule>
  </conditionalFormatting>
  <conditionalFormatting sqref="L1189">
    <cfRule type="dataBar" priority="1052">
      <dataBar>
        <cfvo type="min"/>
        <cfvo type="max"/>
        <color rgb="FF3FCDFF"/>
      </dataBar>
    </cfRule>
  </conditionalFormatting>
  <conditionalFormatting sqref="L1190 L1186 L1197 L1202 L1205">
    <cfRule type="dataBar" priority="1055">
      <dataBar>
        <cfvo type="min"/>
        <cfvo type="max"/>
        <color rgb="FF638EC6"/>
      </dataBar>
    </cfRule>
    <cfRule type="dataBar" priority="1054">
      <dataBar>
        <cfvo type="min"/>
        <cfvo type="max"/>
        <color rgb="FF00B0F0"/>
      </dataBar>
    </cfRule>
    <cfRule type="dataBar" priority="1053">
      <dataBar>
        <cfvo type="min"/>
        <cfvo type="max"/>
        <color rgb="FF3FCDFF"/>
      </dataBar>
    </cfRule>
  </conditionalFormatting>
  <conditionalFormatting sqref="L1191">
    <cfRule type="dataBar" priority="1038">
      <dataBar>
        <cfvo type="min"/>
        <cfvo type="max"/>
        <color rgb="FF3FCDFF"/>
      </dataBar>
    </cfRule>
  </conditionalFormatting>
  <conditionalFormatting sqref="L1192">
    <cfRule type="dataBar" priority="1050">
      <dataBar>
        <cfvo type="min"/>
        <cfvo type="max"/>
        <color rgb="FF3FCDFF"/>
      </dataBar>
    </cfRule>
  </conditionalFormatting>
  <conditionalFormatting sqref="L1193:L1196">
    <cfRule type="dataBar" priority="1037">
      <dataBar>
        <cfvo type="min"/>
        <cfvo type="max"/>
        <color rgb="FF3FCDFF"/>
      </dataBar>
    </cfRule>
  </conditionalFormatting>
  <conditionalFormatting sqref="L1198">
    <cfRule type="dataBar" priority="1049">
      <dataBar>
        <cfvo type="min"/>
        <cfvo type="max"/>
        <color rgb="FF3FCDFF"/>
      </dataBar>
    </cfRule>
  </conditionalFormatting>
  <conditionalFormatting sqref="L1199:L1200">
    <cfRule type="dataBar" priority="1036">
      <dataBar>
        <cfvo type="min"/>
        <cfvo type="max"/>
        <color rgb="FF3FCDFF"/>
      </dataBar>
    </cfRule>
  </conditionalFormatting>
  <conditionalFormatting sqref="L1201">
    <cfRule type="dataBar" priority="1035">
      <dataBar>
        <cfvo type="min"/>
        <cfvo type="max"/>
        <color rgb="FF3FCDFF"/>
      </dataBar>
    </cfRule>
  </conditionalFormatting>
  <conditionalFormatting sqref="L1203">
    <cfRule type="dataBar" priority="1034">
      <dataBar>
        <cfvo type="min"/>
        <cfvo type="max"/>
        <color rgb="FF3FCDFF"/>
      </dataBar>
    </cfRule>
  </conditionalFormatting>
  <conditionalFormatting sqref="L1204">
    <cfRule type="dataBar" priority="1048">
      <dataBar>
        <cfvo type="min"/>
        <cfvo type="max"/>
        <color rgb="FF3FCDFF"/>
      </dataBar>
    </cfRule>
  </conditionalFormatting>
  <conditionalFormatting sqref="L1206">
    <cfRule type="dataBar" priority="1023">
      <dataBar>
        <cfvo type="min"/>
        <cfvo type="max"/>
        <color rgb="FF3FCDFF"/>
      </dataBar>
    </cfRule>
  </conditionalFormatting>
  <conditionalFormatting sqref="L1207:L1208">
    <cfRule type="dataBar" priority="1022">
      <dataBar>
        <cfvo type="min"/>
        <cfvo type="max"/>
        <color rgb="FF3FCDFF"/>
      </dataBar>
    </cfRule>
  </conditionalFormatting>
  <conditionalFormatting sqref="L1209">
    <cfRule type="dataBar" priority="1028">
      <dataBar>
        <cfvo type="min"/>
        <cfvo type="max"/>
        <color rgb="FF3FCDFF"/>
      </dataBar>
    </cfRule>
  </conditionalFormatting>
  <conditionalFormatting sqref="L1210">
    <cfRule type="dataBar" priority="1021">
      <dataBar>
        <cfvo type="min"/>
        <cfvo type="max"/>
        <color rgb="FF3FCDFF"/>
      </dataBar>
    </cfRule>
  </conditionalFormatting>
  <conditionalFormatting sqref="L1211">
    <cfRule type="dataBar" priority="1024">
      <dataBar>
        <cfvo type="min"/>
        <cfvo type="max"/>
        <color rgb="FF3FCDFF"/>
      </dataBar>
    </cfRule>
  </conditionalFormatting>
  <conditionalFormatting sqref="L1212:L1213">
    <cfRule type="dataBar" priority="1020">
      <dataBar>
        <cfvo type="min"/>
        <cfvo type="max"/>
        <color rgb="FF3FCDFF"/>
      </dataBar>
    </cfRule>
  </conditionalFormatting>
  <conditionalFormatting sqref="L1214">
    <cfRule type="dataBar" priority="1019">
      <dataBar>
        <cfvo type="min"/>
        <cfvo type="max"/>
        <color rgb="FF3FCDFF"/>
      </dataBar>
    </cfRule>
  </conditionalFormatting>
  <conditionalFormatting sqref="L1215">
    <cfRule type="dataBar" priority="1018">
      <dataBar>
        <cfvo type="min"/>
        <cfvo type="max"/>
        <color rgb="FF3FCDFF"/>
      </dataBar>
    </cfRule>
  </conditionalFormatting>
  <conditionalFormatting sqref="L1217">
    <cfRule type="dataBar" priority="1017">
      <dataBar>
        <cfvo type="min"/>
        <cfvo type="max"/>
        <color rgb="FF3FCDFF"/>
      </dataBar>
    </cfRule>
  </conditionalFormatting>
  <conditionalFormatting sqref="L1218">
    <cfRule type="dataBar" priority="1016">
      <dataBar>
        <cfvo type="min"/>
        <cfvo type="max"/>
        <color rgb="FF3FCDFF"/>
      </dataBar>
    </cfRule>
  </conditionalFormatting>
  <conditionalFormatting sqref="L1219">
    <cfRule type="dataBar" priority="1029">
      <dataBar>
        <cfvo type="min"/>
        <cfvo type="max"/>
        <color rgb="FF3FCDFF"/>
      </dataBar>
    </cfRule>
  </conditionalFormatting>
  <conditionalFormatting sqref="L1220 L1216 L1227 L1232 L1235">
    <cfRule type="dataBar" priority="1030">
      <dataBar>
        <cfvo type="min"/>
        <cfvo type="max"/>
        <color rgb="FF3FCDFF"/>
      </dataBar>
    </cfRule>
    <cfRule type="dataBar" priority="1031">
      <dataBar>
        <cfvo type="min"/>
        <cfvo type="max"/>
        <color rgb="FF00B0F0"/>
      </dataBar>
    </cfRule>
    <cfRule type="dataBar" priority="1032">
      <dataBar>
        <cfvo type="min"/>
        <cfvo type="max"/>
        <color rgb="FF638EC6"/>
      </dataBar>
    </cfRule>
  </conditionalFormatting>
  <conditionalFormatting sqref="L1221">
    <cfRule type="dataBar" priority="1015">
      <dataBar>
        <cfvo type="min"/>
        <cfvo type="max"/>
        <color rgb="FF3FCDFF"/>
      </dataBar>
    </cfRule>
  </conditionalFormatting>
  <conditionalFormatting sqref="L1222">
    <cfRule type="dataBar" priority="1027">
      <dataBar>
        <cfvo type="min"/>
        <cfvo type="max"/>
        <color rgb="FF3FCDFF"/>
      </dataBar>
    </cfRule>
  </conditionalFormatting>
  <conditionalFormatting sqref="L1223:L1226">
    <cfRule type="dataBar" priority="1014">
      <dataBar>
        <cfvo type="min"/>
        <cfvo type="max"/>
        <color rgb="FF3FCDFF"/>
      </dataBar>
    </cfRule>
  </conditionalFormatting>
  <conditionalFormatting sqref="L1228">
    <cfRule type="dataBar" priority="1026">
      <dataBar>
        <cfvo type="min"/>
        <cfvo type="max"/>
        <color rgb="FF3FCDFF"/>
      </dataBar>
    </cfRule>
  </conditionalFormatting>
  <conditionalFormatting sqref="L1229:L1230">
    <cfRule type="dataBar" priority="1013">
      <dataBar>
        <cfvo type="min"/>
        <cfvo type="max"/>
        <color rgb="FF3FCDFF"/>
      </dataBar>
    </cfRule>
  </conditionalFormatting>
  <conditionalFormatting sqref="L1231">
    <cfRule type="dataBar" priority="1012">
      <dataBar>
        <cfvo type="min"/>
        <cfvo type="max"/>
        <color rgb="FF3FCDFF"/>
      </dataBar>
    </cfRule>
  </conditionalFormatting>
  <conditionalFormatting sqref="L1233">
    <cfRule type="dataBar" priority="1011">
      <dataBar>
        <cfvo type="min"/>
        <cfvo type="max"/>
        <color rgb="FF3FCDFF"/>
      </dataBar>
    </cfRule>
  </conditionalFormatting>
  <conditionalFormatting sqref="L1234">
    <cfRule type="dataBar" priority="1025">
      <dataBar>
        <cfvo type="min"/>
        <cfvo type="max"/>
        <color rgb="FF3FCDFF"/>
      </dataBar>
    </cfRule>
  </conditionalFormatting>
  <conditionalFormatting sqref="L1236">
    <cfRule type="dataBar" priority="1000">
      <dataBar>
        <cfvo type="min"/>
        <cfvo type="max"/>
        <color rgb="FF3FCDFF"/>
      </dataBar>
    </cfRule>
  </conditionalFormatting>
  <conditionalFormatting sqref="L1237:L1238">
    <cfRule type="dataBar" priority="999">
      <dataBar>
        <cfvo type="min"/>
        <cfvo type="max"/>
        <color rgb="FF3FCDFF"/>
      </dataBar>
    </cfRule>
  </conditionalFormatting>
  <conditionalFormatting sqref="L1239">
    <cfRule type="dataBar" priority="1005">
      <dataBar>
        <cfvo type="min"/>
        <cfvo type="max"/>
        <color rgb="FF3FCDFF"/>
      </dataBar>
    </cfRule>
  </conditionalFormatting>
  <conditionalFormatting sqref="L1240">
    <cfRule type="dataBar" priority="998">
      <dataBar>
        <cfvo type="min"/>
        <cfvo type="max"/>
        <color rgb="FF3FCDFF"/>
      </dataBar>
    </cfRule>
  </conditionalFormatting>
  <conditionalFormatting sqref="L1241">
    <cfRule type="dataBar" priority="1001">
      <dataBar>
        <cfvo type="min"/>
        <cfvo type="max"/>
        <color rgb="FF3FCDFF"/>
      </dataBar>
    </cfRule>
  </conditionalFormatting>
  <conditionalFormatting sqref="L1242:L1243">
    <cfRule type="dataBar" priority="997">
      <dataBar>
        <cfvo type="min"/>
        <cfvo type="max"/>
        <color rgb="FF3FCDFF"/>
      </dataBar>
    </cfRule>
  </conditionalFormatting>
  <conditionalFormatting sqref="L1244">
    <cfRule type="dataBar" priority="996">
      <dataBar>
        <cfvo type="min"/>
        <cfvo type="max"/>
        <color rgb="FF3FCDFF"/>
      </dataBar>
    </cfRule>
  </conditionalFormatting>
  <conditionalFormatting sqref="L1245">
    <cfRule type="dataBar" priority="995">
      <dataBar>
        <cfvo type="min"/>
        <cfvo type="max"/>
        <color rgb="FF3FCDFF"/>
      </dataBar>
    </cfRule>
  </conditionalFormatting>
  <conditionalFormatting sqref="L1247">
    <cfRule type="dataBar" priority="994">
      <dataBar>
        <cfvo type="min"/>
        <cfvo type="max"/>
        <color rgb="FF3FCDFF"/>
      </dataBar>
    </cfRule>
  </conditionalFormatting>
  <conditionalFormatting sqref="L1248">
    <cfRule type="dataBar" priority="993">
      <dataBar>
        <cfvo type="min"/>
        <cfvo type="max"/>
        <color rgb="FF3FCDFF"/>
      </dataBar>
    </cfRule>
  </conditionalFormatting>
  <conditionalFormatting sqref="L1249">
    <cfRule type="dataBar" priority="1006">
      <dataBar>
        <cfvo type="min"/>
        <cfvo type="max"/>
        <color rgb="FF3FCDFF"/>
      </dataBar>
    </cfRule>
  </conditionalFormatting>
  <conditionalFormatting sqref="L1250 L1246 L1257 L1262 L1265">
    <cfRule type="dataBar" priority="1009">
      <dataBar>
        <cfvo type="min"/>
        <cfvo type="max"/>
        <color rgb="FF638EC6"/>
      </dataBar>
    </cfRule>
    <cfRule type="dataBar" priority="1008">
      <dataBar>
        <cfvo type="min"/>
        <cfvo type="max"/>
        <color rgb="FF00B0F0"/>
      </dataBar>
    </cfRule>
    <cfRule type="dataBar" priority="1007">
      <dataBar>
        <cfvo type="min"/>
        <cfvo type="max"/>
        <color rgb="FF3FCDFF"/>
      </dataBar>
    </cfRule>
  </conditionalFormatting>
  <conditionalFormatting sqref="L1251">
    <cfRule type="dataBar" priority="992">
      <dataBar>
        <cfvo type="min"/>
        <cfvo type="max"/>
        <color rgb="FF3FCDFF"/>
      </dataBar>
    </cfRule>
  </conditionalFormatting>
  <conditionalFormatting sqref="L1252">
    <cfRule type="dataBar" priority="1004">
      <dataBar>
        <cfvo type="min"/>
        <cfvo type="max"/>
        <color rgb="FF3FCDFF"/>
      </dataBar>
    </cfRule>
  </conditionalFormatting>
  <conditionalFormatting sqref="L1253:L1256">
    <cfRule type="dataBar" priority="991">
      <dataBar>
        <cfvo type="min"/>
        <cfvo type="max"/>
        <color rgb="FF3FCDFF"/>
      </dataBar>
    </cfRule>
  </conditionalFormatting>
  <conditionalFormatting sqref="L1258">
    <cfRule type="dataBar" priority="1003">
      <dataBar>
        <cfvo type="min"/>
        <cfvo type="max"/>
        <color rgb="FF3FCDFF"/>
      </dataBar>
    </cfRule>
  </conditionalFormatting>
  <conditionalFormatting sqref="L1259:L1260">
    <cfRule type="dataBar" priority="990">
      <dataBar>
        <cfvo type="min"/>
        <cfvo type="max"/>
        <color rgb="FF3FCDFF"/>
      </dataBar>
    </cfRule>
  </conditionalFormatting>
  <conditionalFormatting sqref="L1261">
    <cfRule type="dataBar" priority="989">
      <dataBar>
        <cfvo type="min"/>
        <cfvo type="max"/>
        <color rgb="FF3FCDFF"/>
      </dataBar>
    </cfRule>
  </conditionalFormatting>
  <conditionalFormatting sqref="L1263">
    <cfRule type="dataBar" priority="988">
      <dataBar>
        <cfvo type="min"/>
        <cfvo type="max"/>
        <color rgb="FF3FCDFF"/>
      </dataBar>
    </cfRule>
  </conditionalFormatting>
  <conditionalFormatting sqref="L1264">
    <cfRule type="dataBar" priority="1002">
      <dataBar>
        <cfvo type="min"/>
        <cfvo type="max"/>
        <color rgb="FF3FCDFF"/>
      </dataBar>
    </cfRule>
  </conditionalFormatting>
  <conditionalFormatting sqref="L1266 L2 L1447 L1750:L1753 L1844:L1847 L2058 L2119:L2121 L2152 L2213:L2215 L2246 L2307:L2309">
    <cfRule type="dataBar" priority="1714">
      <dataBar>
        <cfvo type="min"/>
        <cfvo type="max"/>
        <color rgb="FF3FCDFF"/>
      </dataBar>
    </cfRule>
  </conditionalFormatting>
  <conditionalFormatting sqref="L1267">
    <cfRule type="dataBar" priority="977">
      <dataBar>
        <cfvo type="min"/>
        <cfvo type="max"/>
        <color rgb="FF3FCDFF"/>
      </dataBar>
    </cfRule>
  </conditionalFormatting>
  <conditionalFormatting sqref="L1268:L1269">
    <cfRule type="dataBar" priority="976">
      <dataBar>
        <cfvo type="min"/>
        <cfvo type="max"/>
        <color rgb="FF3FCDFF"/>
      </dataBar>
    </cfRule>
  </conditionalFormatting>
  <conditionalFormatting sqref="L1270">
    <cfRule type="dataBar" priority="982">
      <dataBar>
        <cfvo type="min"/>
        <cfvo type="max"/>
        <color rgb="FF3FCDFF"/>
      </dataBar>
    </cfRule>
  </conditionalFormatting>
  <conditionalFormatting sqref="L1271">
    <cfRule type="dataBar" priority="975">
      <dataBar>
        <cfvo type="min"/>
        <cfvo type="max"/>
        <color rgb="FF3FCDFF"/>
      </dataBar>
    </cfRule>
  </conditionalFormatting>
  <conditionalFormatting sqref="L1272">
    <cfRule type="dataBar" priority="978">
      <dataBar>
        <cfvo type="min"/>
        <cfvo type="max"/>
        <color rgb="FF3FCDFF"/>
      </dataBar>
    </cfRule>
  </conditionalFormatting>
  <conditionalFormatting sqref="L1273:L1274">
    <cfRule type="dataBar" priority="974">
      <dataBar>
        <cfvo type="min"/>
        <cfvo type="max"/>
        <color rgb="FF3FCDFF"/>
      </dataBar>
    </cfRule>
  </conditionalFormatting>
  <conditionalFormatting sqref="L1275">
    <cfRule type="dataBar" priority="973">
      <dataBar>
        <cfvo type="min"/>
        <cfvo type="max"/>
        <color rgb="FF3FCDFF"/>
      </dataBar>
    </cfRule>
  </conditionalFormatting>
  <conditionalFormatting sqref="L1276">
    <cfRule type="dataBar" priority="972">
      <dataBar>
        <cfvo type="min"/>
        <cfvo type="max"/>
        <color rgb="FF3FCDFF"/>
      </dataBar>
    </cfRule>
  </conditionalFormatting>
  <conditionalFormatting sqref="L1278">
    <cfRule type="dataBar" priority="971">
      <dataBar>
        <cfvo type="min"/>
        <cfvo type="max"/>
        <color rgb="FF3FCDFF"/>
      </dataBar>
    </cfRule>
  </conditionalFormatting>
  <conditionalFormatting sqref="L1279">
    <cfRule type="dataBar" priority="970">
      <dataBar>
        <cfvo type="min"/>
        <cfvo type="max"/>
        <color rgb="FF3FCDFF"/>
      </dataBar>
    </cfRule>
  </conditionalFormatting>
  <conditionalFormatting sqref="L1280">
    <cfRule type="dataBar" priority="983">
      <dataBar>
        <cfvo type="min"/>
        <cfvo type="max"/>
        <color rgb="FF3FCDFF"/>
      </dataBar>
    </cfRule>
  </conditionalFormatting>
  <conditionalFormatting sqref="L1281 L1277 L1288 L1293 L1296 L1307 L1311 L1318 L1323 L1326">
    <cfRule type="dataBar" priority="986">
      <dataBar>
        <cfvo type="min"/>
        <cfvo type="max"/>
        <color rgb="FF638EC6"/>
      </dataBar>
    </cfRule>
    <cfRule type="dataBar" priority="985">
      <dataBar>
        <cfvo type="min"/>
        <cfvo type="max"/>
        <color rgb="FF00B0F0"/>
      </dataBar>
    </cfRule>
    <cfRule type="dataBar" priority="984">
      <dataBar>
        <cfvo type="min"/>
        <cfvo type="max"/>
        <color rgb="FF3FCDFF"/>
      </dataBar>
    </cfRule>
  </conditionalFormatting>
  <conditionalFormatting sqref="L1282">
    <cfRule type="dataBar" priority="969">
      <dataBar>
        <cfvo type="min"/>
        <cfvo type="max"/>
        <color rgb="FF3FCDFF"/>
      </dataBar>
    </cfRule>
  </conditionalFormatting>
  <conditionalFormatting sqref="L1283">
    <cfRule type="dataBar" priority="981">
      <dataBar>
        <cfvo type="min"/>
        <cfvo type="max"/>
        <color rgb="FF3FCDFF"/>
      </dataBar>
    </cfRule>
  </conditionalFormatting>
  <conditionalFormatting sqref="L1284:L1287">
    <cfRule type="dataBar" priority="968">
      <dataBar>
        <cfvo type="min"/>
        <cfvo type="max"/>
        <color rgb="FF3FCDFF"/>
      </dataBar>
    </cfRule>
  </conditionalFormatting>
  <conditionalFormatting sqref="L1289">
    <cfRule type="dataBar" priority="980">
      <dataBar>
        <cfvo type="min"/>
        <cfvo type="max"/>
        <color rgb="FF3FCDFF"/>
      </dataBar>
    </cfRule>
  </conditionalFormatting>
  <conditionalFormatting sqref="L1290:L1291">
    <cfRule type="dataBar" priority="967">
      <dataBar>
        <cfvo type="min"/>
        <cfvo type="max"/>
        <color rgb="FF3FCDFF"/>
      </dataBar>
    </cfRule>
  </conditionalFormatting>
  <conditionalFormatting sqref="L1292">
    <cfRule type="dataBar" priority="966">
      <dataBar>
        <cfvo type="min"/>
        <cfvo type="max"/>
        <color rgb="FF3FCDFF"/>
      </dataBar>
    </cfRule>
  </conditionalFormatting>
  <conditionalFormatting sqref="L1294">
    <cfRule type="dataBar" priority="965">
      <dataBar>
        <cfvo type="min"/>
        <cfvo type="max"/>
        <color rgb="FF3FCDFF"/>
      </dataBar>
    </cfRule>
  </conditionalFormatting>
  <conditionalFormatting sqref="L1295">
    <cfRule type="dataBar" priority="979">
      <dataBar>
        <cfvo type="min"/>
        <cfvo type="max"/>
        <color rgb="FF3FCDFF"/>
      </dataBar>
    </cfRule>
  </conditionalFormatting>
  <conditionalFormatting sqref="L1297">
    <cfRule type="dataBar" priority="958">
      <dataBar>
        <cfvo type="min"/>
        <cfvo type="max"/>
        <color rgb="FF3FCDFF"/>
      </dataBar>
    </cfRule>
  </conditionalFormatting>
  <conditionalFormatting sqref="L1298:L1299">
    <cfRule type="dataBar" priority="957">
      <dataBar>
        <cfvo type="min"/>
        <cfvo type="max"/>
        <color rgb="FF3FCDFF"/>
      </dataBar>
    </cfRule>
  </conditionalFormatting>
  <conditionalFormatting sqref="L1300">
    <cfRule type="dataBar" priority="963">
      <dataBar>
        <cfvo type="min"/>
        <cfvo type="max"/>
        <color rgb="FF3FCDFF"/>
      </dataBar>
    </cfRule>
  </conditionalFormatting>
  <conditionalFormatting sqref="L1301">
    <cfRule type="dataBar" priority="956">
      <dataBar>
        <cfvo type="min"/>
        <cfvo type="max"/>
        <color rgb="FF3FCDFF"/>
      </dataBar>
    </cfRule>
  </conditionalFormatting>
  <conditionalFormatting sqref="L1302">
    <cfRule type="dataBar" priority="959">
      <dataBar>
        <cfvo type="min"/>
        <cfvo type="max"/>
        <color rgb="FF3FCDFF"/>
      </dataBar>
    </cfRule>
  </conditionalFormatting>
  <conditionalFormatting sqref="L1303:L1304">
    <cfRule type="dataBar" priority="955">
      <dataBar>
        <cfvo type="min"/>
        <cfvo type="max"/>
        <color rgb="FF3FCDFF"/>
      </dataBar>
    </cfRule>
  </conditionalFormatting>
  <conditionalFormatting sqref="L1305">
    <cfRule type="dataBar" priority="954">
      <dataBar>
        <cfvo type="min"/>
        <cfvo type="max"/>
        <color rgb="FF3FCDFF"/>
      </dataBar>
    </cfRule>
  </conditionalFormatting>
  <conditionalFormatting sqref="L1306">
    <cfRule type="dataBar" priority="953">
      <dataBar>
        <cfvo type="min"/>
        <cfvo type="max"/>
        <color rgb="FF3FCDFF"/>
      </dataBar>
    </cfRule>
  </conditionalFormatting>
  <conditionalFormatting sqref="L1308">
    <cfRule type="dataBar" priority="952">
      <dataBar>
        <cfvo type="min"/>
        <cfvo type="max"/>
        <color rgb="FF3FCDFF"/>
      </dataBar>
    </cfRule>
  </conditionalFormatting>
  <conditionalFormatting sqref="L1309">
    <cfRule type="dataBar" priority="951">
      <dataBar>
        <cfvo type="min"/>
        <cfvo type="max"/>
        <color rgb="FF3FCDFF"/>
      </dataBar>
    </cfRule>
  </conditionalFormatting>
  <conditionalFormatting sqref="L1310">
    <cfRule type="dataBar" priority="964">
      <dataBar>
        <cfvo type="min"/>
        <cfvo type="max"/>
        <color rgb="FF3FCDFF"/>
      </dataBar>
    </cfRule>
  </conditionalFormatting>
  <conditionalFormatting sqref="L1312">
    <cfRule type="dataBar" priority="950">
      <dataBar>
        <cfvo type="min"/>
        <cfvo type="max"/>
        <color rgb="FF3FCDFF"/>
      </dataBar>
    </cfRule>
  </conditionalFormatting>
  <conditionalFormatting sqref="L1313">
    <cfRule type="dataBar" priority="962">
      <dataBar>
        <cfvo type="min"/>
        <cfvo type="max"/>
        <color rgb="FF3FCDFF"/>
      </dataBar>
    </cfRule>
  </conditionalFormatting>
  <conditionalFormatting sqref="L1314:L1317">
    <cfRule type="dataBar" priority="949">
      <dataBar>
        <cfvo type="min"/>
        <cfvo type="max"/>
        <color rgb="FF3FCDFF"/>
      </dataBar>
    </cfRule>
  </conditionalFormatting>
  <conditionalFormatting sqref="L1319">
    <cfRule type="dataBar" priority="961">
      <dataBar>
        <cfvo type="min"/>
        <cfvo type="max"/>
        <color rgb="FF3FCDFF"/>
      </dataBar>
    </cfRule>
  </conditionalFormatting>
  <conditionalFormatting sqref="L1320:L1321">
    <cfRule type="dataBar" priority="948">
      <dataBar>
        <cfvo type="min"/>
        <cfvo type="max"/>
        <color rgb="FF3FCDFF"/>
      </dataBar>
    </cfRule>
  </conditionalFormatting>
  <conditionalFormatting sqref="L1322">
    <cfRule type="dataBar" priority="947">
      <dataBar>
        <cfvo type="min"/>
        <cfvo type="max"/>
        <color rgb="FF3FCDFF"/>
      </dataBar>
    </cfRule>
  </conditionalFormatting>
  <conditionalFormatting sqref="L1324">
    <cfRule type="dataBar" priority="946">
      <dataBar>
        <cfvo type="min"/>
        <cfvo type="max"/>
        <color rgb="FF3FCDFF"/>
      </dataBar>
    </cfRule>
  </conditionalFormatting>
  <conditionalFormatting sqref="L1325">
    <cfRule type="dataBar" priority="960">
      <dataBar>
        <cfvo type="min"/>
        <cfvo type="max"/>
        <color rgb="FF3FCDFF"/>
      </dataBar>
    </cfRule>
  </conditionalFormatting>
  <conditionalFormatting sqref="L1327">
    <cfRule type="dataBar" priority="935">
      <dataBar>
        <cfvo type="min"/>
        <cfvo type="max"/>
        <color rgb="FF3FCDFF"/>
      </dataBar>
    </cfRule>
  </conditionalFormatting>
  <conditionalFormatting sqref="L1328:L1329">
    <cfRule type="dataBar" priority="934">
      <dataBar>
        <cfvo type="min"/>
        <cfvo type="max"/>
        <color rgb="FF3FCDFF"/>
      </dataBar>
    </cfRule>
  </conditionalFormatting>
  <conditionalFormatting sqref="L1330">
    <cfRule type="dataBar" priority="940">
      <dataBar>
        <cfvo type="min"/>
        <cfvo type="max"/>
        <color rgb="FF3FCDFF"/>
      </dataBar>
    </cfRule>
  </conditionalFormatting>
  <conditionalFormatting sqref="L1331">
    <cfRule type="dataBar" priority="933">
      <dataBar>
        <cfvo type="min"/>
        <cfvo type="max"/>
        <color rgb="FF3FCDFF"/>
      </dataBar>
    </cfRule>
  </conditionalFormatting>
  <conditionalFormatting sqref="L1332">
    <cfRule type="dataBar" priority="936">
      <dataBar>
        <cfvo type="min"/>
        <cfvo type="max"/>
        <color rgb="FF3FCDFF"/>
      </dataBar>
    </cfRule>
  </conditionalFormatting>
  <conditionalFormatting sqref="L1333:L1334">
    <cfRule type="dataBar" priority="932">
      <dataBar>
        <cfvo type="min"/>
        <cfvo type="max"/>
        <color rgb="FF3FCDFF"/>
      </dataBar>
    </cfRule>
  </conditionalFormatting>
  <conditionalFormatting sqref="L1335">
    <cfRule type="dataBar" priority="931">
      <dataBar>
        <cfvo type="min"/>
        <cfvo type="max"/>
        <color rgb="FF3FCDFF"/>
      </dataBar>
    </cfRule>
  </conditionalFormatting>
  <conditionalFormatting sqref="L1336">
    <cfRule type="dataBar" priority="930">
      <dataBar>
        <cfvo type="min"/>
        <cfvo type="max"/>
        <color rgb="FF3FCDFF"/>
      </dataBar>
    </cfRule>
  </conditionalFormatting>
  <conditionalFormatting sqref="L1338">
    <cfRule type="dataBar" priority="929">
      <dataBar>
        <cfvo type="min"/>
        <cfvo type="max"/>
        <color rgb="FF3FCDFF"/>
      </dataBar>
    </cfRule>
  </conditionalFormatting>
  <conditionalFormatting sqref="L1339">
    <cfRule type="dataBar" priority="928">
      <dataBar>
        <cfvo type="min"/>
        <cfvo type="max"/>
        <color rgb="FF3FCDFF"/>
      </dataBar>
    </cfRule>
  </conditionalFormatting>
  <conditionalFormatting sqref="L1340">
    <cfRule type="dataBar" priority="941">
      <dataBar>
        <cfvo type="min"/>
        <cfvo type="max"/>
        <color rgb="FF3FCDFF"/>
      </dataBar>
    </cfRule>
  </conditionalFormatting>
  <conditionalFormatting sqref="L1341 L1337 L1348 L1353 L1356">
    <cfRule type="dataBar" priority="942">
      <dataBar>
        <cfvo type="min"/>
        <cfvo type="max"/>
        <color rgb="FF3FCDFF"/>
      </dataBar>
    </cfRule>
    <cfRule type="dataBar" priority="943">
      <dataBar>
        <cfvo type="min"/>
        <cfvo type="max"/>
        <color rgb="FF00B0F0"/>
      </dataBar>
    </cfRule>
    <cfRule type="dataBar" priority="944">
      <dataBar>
        <cfvo type="min"/>
        <cfvo type="max"/>
        <color rgb="FF638EC6"/>
      </dataBar>
    </cfRule>
  </conditionalFormatting>
  <conditionalFormatting sqref="L1342">
    <cfRule type="dataBar" priority="927">
      <dataBar>
        <cfvo type="min"/>
        <cfvo type="max"/>
        <color rgb="FF3FCDFF"/>
      </dataBar>
    </cfRule>
  </conditionalFormatting>
  <conditionalFormatting sqref="L1343">
    <cfRule type="dataBar" priority="939">
      <dataBar>
        <cfvo type="min"/>
        <cfvo type="max"/>
        <color rgb="FF3FCDFF"/>
      </dataBar>
    </cfRule>
  </conditionalFormatting>
  <conditionalFormatting sqref="L1344:L1347">
    <cfRule type="dataBar" priority="926">
      <dataBar>
        <cfvo type="min"/>
        <cfvo type="max"/>
        <color rgb="FF3FCDFF"/>
      </dataBar>
    </cfRule>
  </conditionalFormatting>
  <conditionalFormatting sqref="L1349">
    <cfRule type="dataBar" priority="938">
      <dataBar>
        <cfvo type="min"/>
        <cfvo type="max"/>
        <color rgb="FF3FCDFF"/>
      </dataBar>
    </cfRule>
  </conditionalFormatting>
  <conditionalFormatting sqref="L1350:L1351">
    <cfRule type="dataBar" priority="925">
      <dataBar>
        <cfvo type="min"/>
        <cfvo type="max"/>
        <color rgb="FF3FCDFF"/>
      </dataBar>
    </cfRule>
  </conditionalFormatting>
  <conditionalFormatting sqref="L1352">
    <cfRule type="dataBar" priority="924">
      <dataBar>
        <cfvo type="min"/>
        <cfvo type="max"/>
        <color rgb="FF3FCDFF"/>
      </dataBar>
    </cfRule>
  </conditionalFormatting>
  <conditionalFormatting sqref="L1354">
    <cfRule type="dataBar" priority="923">
      <dataBar>
        <cfvo type="min"/>
        <cfvo type="max"/>
        <color rgb="FF3FCDFF"/>
      </dataBar>
    </cfRule>
  </conditionalFormatting>
  <conditionalFormatting sqref="L1355">
    <cfRule type="dataBar" priority="937">
      <dataBar>
        <cfvo type="min"/>
        <cfvo type="max"/>
        <color rgb="FF3FCDFF"/>
      </dataBar>
    </cfRule>
  </conditionalFormatting>
  <conditionalFormatting sqref="L1357">
    <cfRule type="dataBar" priority="912">
      <dataBar>
        <cfvo type="min"/>
        <cfvo type="max"/>
        <color rgb="FF3FCDFF"/>
      </dataBar>
    </cfRule>
  </conditionalFormatting>
  <conditionalFormatting sqref="L1358:L1359">
    <cfRule type="dataBar" priority="911">
      <dataBar>
        <cfvo type="min"/>
        <cfvo type="max"/>
        <color rgb="FF3FCDFF"/>
      </dataBar>
    </cfRule>
  </conditionalFormatting>
  <conditionalFormatting sqref="L1360">
    <cfRule type="dataBar" priority="917">
      <dataBar>
        <cfvo type="min"/>
        <cfvo type="max"/>
        <color rgb="FF3FCDFF"/>
      </dataBar>
    </cfRule>
  </conditionalFormatting>
  <conditionalFormatting sqref="L1361">
    <cfRule type="dataBar" priority="910">
      <dataBar>
        <cfvo type="min"/>
        <cfvo type="max"/>
        <color rgb="FF3FCDFF"/>
      </dataBar>
    </cfRule>
  </conditionalFormatting>
  <conditionalFormatting sqref="L1362">
    <cfRule type="dataBar" priority="913">
      <dataBar>
        <cfvo type="min"/>
        <cfvo type="max"/>
        <color rgb="FF3FCDFF"/>
      </dataBar>
    </cfRule>
  </conditionalFormatting>
  <conditionalFormatting sqref="L1363:L1364">
    <cfRule type="dataBar" priority="909">
      <dataBar>
        <cfvo type="min"/>
        <cfvo type="max"/>
        <color rgb="FF3FCDFF"/>
      </dataBar>
    </cfRule>
  </conditionalFormatting>
  <conditionalFormatting sqref="L1365">
    <cfRule type="dataBar" priority="908">
      <dataBar>
        <cfvo type="min"/>
        <cfvo type="max"/>
        <color rgb="FF3FCDFF"/>
      </dataBar>
    </cfRule>
  </conditionalFormatting>
  <conditionalFormatting sqref="L1366">
    <cfRule type="dataBar" priority="907">
      <dataBar>
        <cfvo type="min"/>
        <cfvo type="max"/>
        <color rgb="FF3FCDFF"/>
      </dataBar>
    </cfRule>
  </conditionalFormatting>
  <conditionalFormatting sqref="L1368">
    <cfRule type="dataBar" priority="906">
      <dataBar>
        <cfvo type="min"/>
        <cfvo type="max"/>
        <color rgb="FF3FCDFF"/>
      </dataBar>
    </cfRule>
  </conditionalFormatting>
  <conditionalFormatting sqref="L1369">
    <cfRule type="dataBar" priority="905">
      <dataBar>
        <cfvo type="min"/>
        <cfvo type="max"/>
        <color rgb="FF3FCDFF"/>
      </dataBar>
    </cfRule>
  </conditionalFormatting>
  <conditionalFormatting sqref="L1370">
    <cfRule type="dataBar" priority="918">
      <dataBar>
        <cfvo type="min"/>
        <cfvo type="max"/>
        <color rgb="FF3FCDFF"/>
      </dataBar>
    </cfRule>
  </conditionalFormatting>
  <conditionalFormatting sqref="L1371 L1367 L1378 L1383 L1386">
    <cfRule type="dataBar" priority="921">
      <dataBar>
        <cfvo type="min"/>
        <cfvo type="max"/>
        <color rgb="FF638EC6"/>
      </dataBar>
    </cfRule>
    <cfRule type="dataBar" priority="920">
      <dataBar>
        <cfvo type="min"/>
        <cfvo type="max"/>
        <color rgb="FF00B0F0"/>
      </dataBar>
    </cfRule>
    <cfRule type="dataBar" priority="919">
      <dataBar>
        <cfvo type="min"/>
        <cfvo type="max"/>
        <color rgb="FF3FCDFF"/>
      </dataBar>
    </cfRule>
  </conditionalFormatting>
  <conditionalFormatting sqref="L1372">
    <cfRule type="dataBar" priority="904">
      <dataBar>
        <cfvo type="min"/>
        <cfvo type="max"/>
        <color rgb="FF3FCDFF"/>
      </dataBar>
    </cfRule>
  </conditionalFormatting>
  <conditionalFormatting sqref="L1373">
    <cfRule type="dataBar" priority="916">
      <dataBar>
        <cfvo type="min"/>
        <cfvo type="max"/>
        <color rgb="FF3FCDFF"/>
      </dataBar>
    </cfRule>
  </conditionalFormatting>
  <conditionalFormatting sqref="L1374:L1377">
    <cfRule type="dataBar" priority="903">
      <dataBar>
        <cfvo type="min"/>
        <cfvo type="max"/>
        <color rgb="FF3FCDFF"/>
      </dataBar>
    </cfRule>
  </conditionalFormatting>
  <conditionalFormatting sqref="L1379">
    <cfRule type="dataBar" priority="915">
      <dataBar>
        <cfvo type="min"/>
        <cfvo type="max"/>
        <color rgb="FF3FCDFF"/>
      </dataBar>
    </cfRule>
  </conditionalFormatting>
  <conditionalFormatting sqref="L1380:L1381">
    <cfRule type="dataBar" priority="902">
      <dataBar>
        <cfvo type="min"/>
        <cfvo type="max"/>
        <color rgb="FF3FCDFF"/>
      </dataBar>
    </cfRule>
  </conditionalFormatting>
  <conditionalFormatting sqref="L1382">
    <cfRule type="dataBar" priority="901">
      <dataBar>
        <cfvo type="min"/>
        <cfvo type="max"/>
        <color rgb="FF3FCDFF"/>
      </dataBar>
    </cfRule>
  </conditionalFormatting>
  <conditionalFormatting sqref="L1384">
    <cfRule type="dataBar" priority="900">
      <dataBar>
        <cfvo type="min"/>
        <cfvo type="max"/>
        <color rgb="FF3FCDFF"/>
      </dataBar>
    </cfRule>
  </conditionalFormatting>
  <conditionalFormatting sqref="L1385">
    <cfRule type="dataBar" priority="914">
      <dataBar>
        <cfvo type="min"/>
        <cfvo type="max"/>
        <color rgb="FF3FCDFF"/>
      </dataBar>
    </cfRule>
  </conditionalFormatting>
  <conditionalFormatting sqref="L1387">
    <cfRule type="dataBar" priority="889">
      <dataBar>
        <cfvo type="min"/>
        <cfvo type="max"/>
        <color rgb="FF3FCDFF"/>
      </dataBar>
    </cfRule>
  </conditionalFormatting>
  <conditionalFormatting sqref="L1388:L1389">
    <cfRule type="dataBar" priority="888">
      <dataBar>
        <cfvo type="min"/>
        <cfvo type="max"/>
        <color rgb="FF3FCDFF"/>
      </dataBar>
    </cfRule>
  </conditionalFormatting>
  <conditionalFormatting sqref="L1390">
    <cfRule type="dataBar" priority="894">
      <dataBar>
        <cfvo type="min"/>
        <cfvo type="max"/>
        <color rgb="FF3FCDFF"/>
      </dataBar>
    </cfRule>
  </conditionalFormatting>
  <conditionalFormatting sqref="L1391">
    <cfRule type="dataBar" priority="887">
      <dataBar>
        <cfvo type="min"/>
        <cfvo type="max"/>
        <color rgb="FF3FCDFF"/>
      </dataBar>
    </cfRule>
  </conditionalFormatting>
  <conditionalFormatting sqref="L1392">
    <cfRule type="dataBar" priority="890">
      <dataBar>
        <cfvo type="min"/>
        <cfvo type="max"/>
        <color rgb="FF3FCDFF"/>
      </dataBar>
    </cfRule>
  </conditionalFormatting>
  <conditionalFormatting sqref="L1393:L1394">
    <cfRule type="dataBar" priority="886">
      <dataBar>
        <cfvo type="min"/>
        <cfvo type="max"/>
        <color rgb="FF3FCDFF"/>
      </dataBar>
    </cfRule>
  </conditionalFormatting>
  <conditionalFormatting sqref="L1395">
    <cfRule type="dataBar" priority="885">
      <dataBar>
        <cfvo type="min"/>
        <cfvo type="max"/>
        <color rgb="FF3FCDFF"/>
      </dataBar>
    </cfRule>
  </conditionalFormatting>
  <conditionalFormatting sqref="L1396">
    <cfRule type="dataBar" priority="884">
      <dataBar>
        <cfvo type="min"/>
        <cfvo type="max"/>
        <color rgb="FF3FCDFF"/>
      </dataBar>
    </cfRule>
  </conditionalFormatting>
  <conditionalFormatting sqref="L1398">
    <cfRule type="dataBar" priority="883">
      <dataBar>
        <cfvo type="min"/>
        <cfvo type="max"/>
        <color rgb="FF3FCDFF"/>
      </dataBar>
    </cfRule>
  </conditionalFormatting>
  <conditionalFormatting sqref="L1399">
    <cfRule type="dataBar" priority="882">
      <dataBar>
        <cfvo type="min"/>
        <cfvo type="max"/>
        <color rgb="FF3FCDFF"/>
      </dataBar>
    </cfRule>
  </conditionalFormatting>
  <conditionalFormatting sqref="L1400">
    <cfRule type="dataBar" priority="895">
      <dataBar>
        <cfvo type="min"/>
        <cfvo type="max"/>
        <color rgb="FF3FCDFF"/>
      </dataBar>
    </cfRule>
  </conditionalFormatting>
  <conditionalFormatting sqref="L1401 L1397 L1408 L1413 L1416">
    <cfRule type="dataBar" priority="896">
      <dataBar>
        <cfvo type="min"/>
        <cfvo type="max"/>
        <color rgb="FF3FCDFF"/>
      </dataBar>
    </cfRule>
    <cfRule type="dataBar" priority="897">
      <dataBar>
        <cfvo type="min"/>
        <cfvo type="max"/>
        <color rgb="FF00B0F0"/>
      </dataBar>
    </cfRule>
    <cfRule type="dataBar" priority="898">
      <dataBar>
        <cfvo type="min"/>
        <cfvo type="max"/>
        <color rgb="FF638EC6"/>
      </dataBar>
    </cfRule>
  </conditionalFormatting>
  <conditionalFormatting sqref="L1402">
    <cfRule type="dataBar" priority="881">
      <dataBar>
        <cfvo type="min"/>
        <cfvo type="max"/>
        <color rgb="FF3FCDFF"/>
      </dataBar>
    </cfRule>
  </conditionalFormatting>
  <conditionalFormatting sqref="L1403">
    <cfRule type="dataBar" priority="893">
      <dataBar>
        <cfvo type="min"/>
        <cfvo type="max"/>
        <color rgb="FF3FCDFF"/>
      </dataBar>
    </cfRule>
  </conditionalFormatting>
  <conditionalFormatting sqref="L1404:L1407">
    <cfRule type="dataBar" priority="880">
      <dataBar>
        <cfvo type="min"/>
        <cfvo type="max"/>
        <color rgb="FF3FCDFF"/>
      </dataBar>
    </cfRule>
  </conditionalFormatting>
  <conditionalFormatting sqref="L1409">
    <cfRule type="dataBar" priority="892">
      <dataBar>
        <cfvo type="min"/>
        <cfvo type="max"/>
        <color rgb="FF3FCDFF"/>
      </dataBar>
    </cfRule>
  </conditionalFormatting>
  <conditionalFormatting sqref="L1410:L1411">
    <cfRule type="dataBar" priority="879">
      <dataBar>
        <cfvo type="min"/>
        <cfvo type="max"/>
        <color rgb="FF3FCDFF"/>
      </dataBar>
    </cfRule>
  </conditionalFormatting>
  <conditionalFormatting sqref="L1412">
    <cfRule type="dataBar" priority="878">
      <dataBar>
        <cfvo type="min"/>
        <cfvo type="max"/>
        <color rgb="FF3FCDFF"/>
      </dataBar>
    </cfRule>
  </conditionalFormatting>
  <conditionalFormatting sqref="L1414">
    <cfRule type="dataBar" priority="877">
      <dataBar>
        <cfvo type="min"/>
        <cfvo type="max"/>
        <color rgb="FF3FCDFF"/>
      </dataBar>
    </cfRule>
  </conditionalFormatting>
  <conditionalFormatting sqref="L1415">
    <cfRule type="dataBar" priority="891">
      <dataBar>
        <cfvo type="min"/>
        <cfvo type="max"/>
        <color rgb="FF3FCDFF"/>
      </dataBar>
    </cfRule>
  </conditionalFormatting>
  <conditionalFormatting sqref="L1417">
    <cfRule type="dataBar" priority="866">
      <dataBar>
        <cfvo type="min"/>
        <cfvo type="max"/>
        <color rgb="FF3FCDFF"/>
      </dataBar>
    </cfRule>
  </conditionalFormatting>
  <conditionalFormatting sqref="L1418:L1419">
    <cfRule type="dataBar" priority="865">
      <dataBar>
        <cfvo type="min"/>
        <cfvo type="max"/>
        <color rgb="FF3FCDFF"/>
      </dataBar>
    </cfRule>
  </conditionalFormatting>
  <conditionalFormatting sqref="L1420">
    <cfRule type="dataBar" priority="871">
      <dataBar>
        <cfvo type="min"/>
        <cfvo type="max"/>
        <color rgb="FF3FCDFF"/>
      </dataBar>
    </cfRule>
  </conditionalFormatting>
  <conditionalFormatting sqref="L1421">
    <cfRule type="dataBar" priority="864">
      <dataBar>
        <cfvo type="min"/>
        <cfvo type="max"/>
        <color rgb="FF3FCDFF"/>
      </dataBar>
    </cfRule>
  </conditionalFormatting>
  <conditionalFormatting sqref="L1422">
    <cfRule type="dataBar" priority="867">
      <dataBar>
        <cfvo type="min"/>
        <cfvo type="max"/>
        <color rgb="FF3FCDFF"/>
      </dataBar>
    </cfRule>
  </conditionalFormatting>
  <conditionalFormatting sqref="L1423:L1424">
    <cfRule type="dataBar" priority="863">
      <dataBar>
        <cfvo type="min"/>
        <cfvo type="max"/>
        <color rgb="FF3FCDFF"/>
      </dataBar>
    </cfRule>
  </conditionalFormatting>
  <conditionalFormatting sqref="L1425">
    <cfRule type="dataBar" priority="862">
      <dataBar>
        <cfvo type="min"/>
        <cfvo type="max"/>
        <color rgb="FF3FCDFF"/>
      </dataBar>
    </cfRule>
  </conditionalFormatting>
  <conditionalFormatting sqref="L1426">
    <cfRule type="dataBar" priority="861">
      <dataBar>
        <cfvo type="min"/>
        <cfvo type="max"/>
        <color rgb="FF3FCDFF"/>
      </dataBar>
    </cfRule>
  </conditionalFormatting>
  <conditionalFormatting sqref="L1428">
    <cfRule type="dataBar" priority="860">
      <dataBar>
        <cfvo type="min"/>
        <cfvo type="max"/>
        <color rgb="FF3FCDFF"/>
      </dataBar>
    </cfRule>
  </conditionalFormatting>
  <conditionalFormatting sqref="L1429">
    <cfRule type="dataBar" priority="859">
      <dataBar>
        <cfvo type="min"/>
        <cfvo type="max"/>
        <color rgb="FF3FCDFF"/>
      </dataBar>
    </cfRule>
  </conditionalFormatting>
  <conditionalFormatting sqref="L1430">
    <cfRule type="dataBar" priority="872">
      <dataBar>
        <cfvo type="min"/>
        <cfvo type="max"/>
        <color rgb="FF3FCDFF"/>
      </dataBar>
    </cfRule>
  </conditionalFormatting>
  <conditionalFormatting sqref="L1431 L1427 L1438 L1443 L1446">
    <cfRule type="dataBar" priority="875">
      <dataBar>
        <cfvo type="min"/>
        <cfvo type="max"/>
        <color rgb="FF638EC6"/>
      </dataBar>
    </cfRule>
    <cfRule type="dataBar" priority="873">
      <dataBar>
        <cfvo type="min"/>
        <cfvo type="max"/>
        <color rgb="FF3FCDFF"/>
      </dataBar>
    </cfRule>
    <cfRule type="dataBar" priority="874">
      <dataBar>
        <cfvo type="min"/>
        <cfvo type="max"/>
        <color rgb="FF00B0F0"/>
      </dataBar>
    </cfRule>
  </conditionalFormatting>
  <conditionalFormatting sqref="L1432">
    <cfRule type="dataBar" priority="858">
      <dataBar>
        <cfvo type="min"/>
        <cfvo type="max"/>
        <color rgb="FF3FCDFF"/>
      </dataBar>
    </cfRule>
  </conditionalFormatting>
  <conditionalFormatting sqref="L1433">
    <cfRule type="dataBar" priority="870">
      <dataBar>
        <cfvo type="min"/>
        <cfvo type="max"/>
        <color rgb="FF3FCDFF"/>
      </dataBar>
    </cfRule>
  </conditionalFormatting>
  <conditionalFormatting sqref="L1434:L1437">
    <cfRule type="dataBar" priority="857">
      <dataBar>
        <cfvo type="min"/>
        <cfvo type="max"/>
        <color rgb="FF3FCDFF"/>
      </dataBar>
    </cfRule>
  </conditionalFormatting>
  <conditionalFormatting sqref="L1439">
    <cfRule type="dataBar" priority="869">
      <dataBar>
        <cfvo type="min"/>
        <cfvo type="max"/>
        <color rgb="FF3FCDFF"/>
      </dataBar>
    </cfRule>
  </conditionalFormatting>
  <conditionalFormatting sqref="L1440:L1441">
    <cfRule type="dataBar" priority="856">
      <dataBar>
        <cfvo type="min"/>
        <cfvo type="max"/>
        <color rgb="FF3FCDFF"/>
      </dataBar>
    </cfRule>
  </conditionalFormatting>
  <conditionalFormatting sqref="L1442">
    <cfRule type="dataBar" priority="855">
      <dataBar>
        <cfvo type="min"/>
        <cfvo type="max"/>
        <color rgb="FF3FCDFF"/>
      </dataBar>
    </cfRule>
  </conditionalFormatting>
  <conditionalFormatting sqref="L1444">
    <cfRule type="dataBar" priority="854">
      <dataBar>
        <cfvo type="min"/>
        <cfvo type="max"/>
        <color rgb="FF3FCDFF"/>
      </dataBar>
    </cfRule>
  </conditionalFormatting>
  <conditionalFormatting sqref="L1445">
    <cfRule type="dataBar" priority="868">
      <dataBar>
        <cfvo type="min"/>
        <cfvo type="max"/>
        <color rgb="FF3FCDFF"/>
      </dataBar>
    </cfRule>
  </conditionalFormatting>
  <conditionalFormatting sqref="L1448">
    <cfRule type="dataBar" priority="843">
      <dataBar>
        <cfvo type="min"/>
        <cfvo type="max"/>
        <color rgb="FF3FCDFF"/>
      </dataBar>
    </cfRule>
  </conditionalFormatting>
  <conditionalFormatting sqref="L1449:L1450">
    <cfRule type="dataBar" priority="842">
      <dataBar>
        <cfvo type="min"/>
        <cfvo type="max"/>
        <color rgb="FF3FCDFF"/>
      </dataBar>
    </cfRule>
  </conditionalFormatting>
  <conditionalFormatting sqref="L1451">
    <cfRule type="dataBar" priority="848">
      <dataBar>
        <cfvo type="min"/>
        <cfvo type="max"/>
        <color rgb="FF3FCDFF"/>
      </dataBar>
    </cfRule>
  </conditionalFormatting>
  <conditionalFormatting sqref="L1452">
    <cfRule type="dataBar" priority="841">
      <dataBar>
        <cfvo type="min"/>
        <cfvo type="max"/>
        <color rgb="FF3FCDFF"/>
      </dataBar>
    </cfRule>
  </conditionalFormatting>
  <conditionalFormatting sqref="L1453">
    <cfRule type="dataBar" priority="844">
      <dataBar>
        <cfvo type="min"/>
        <cfvo type="max"/>
        <color rgb="FF3FCDFF"/>
      </dataBar>
    </cfRule>
  </conditionalFormatting>
  <conditionalFormatting sqref="L1454:L1455">
    <cfRule type="dataBar" priority="840">
      <dataBar>
        <cfvo type="min"/>
        <cfvo type="max"/>
        <color rgb="FF3FCDFF"/>
      </dataBar>
    </cfRule>
  </conditionalFormatting>
  <conditionalFormatting sqref="L1456">
    <cfRule type="dataBar" priority="839">
      <dataBar>
        <cfvo type="min"/>
        <cfvo type="max"/>
        <color rgb="FF3FCDFF"/>
      </dataBar>
    </cfRule>
  </conditionalFormatting>
  <conditionalFormatting sqref="L1457">
    <cfRule type="dataBar" priority="838">
      <dataBar>
        <cfvo type="min"/>
        <cfvo type="max"/>
        <color rgb="FF3FCDFF"/>
      </dataBar>
    </cfRule>
  </conditionalFormatting>
  <conditionalFormatting sqref="L1459">
    <cfRule type="dataBar" priority="837">
      <dataBar>
        <cfvo type="min"/>
        <cfvo type="max"/>
        <color rgb="FF3FCDFF"/>
      </dataBar>
    </cfRule>
  </conditionalFormatting>
  <conditionalFormatting sqref="L1460">
    <cfRule type="dataBar" priority="836">
      <dataBar>
        <cfvo type="min"/>
        <cfvo type="max"/>
        <color rgb="FF3FCDFF"/>
      </dataBar>
    </cfRule>
  </conditionalFormatting>
  <conditionalFormatting sqref="L1461">
    <cfRule type="dataBar" priority="849">
      <dataBar>
        <cfvo type="min"/>
        <cfvo type="max"/>
        <color rgb="FF3FCDFF"/>
      </dataBar>
    </cfRule>
  </conditionalFormatting>
  <conditionalFormatting sqref="L1462 L1458 L1469 L1474 L1477 L1488 L1492 L1499 L1504 L1507">
    <cfRule type="dataBar" priority="851">
      <dataBar>
        <cfvo type="min"/>
        <cfvo type="max"/>
        <color rgb="FF00B0F0"/>
      </dataBar>
    </cfRule>
    <cfRule type="dataBar" priority="850">
      <dataBar>
        <cfvo type="min"/>
        <cfvo type="max"/>
        <color rgb="FF3FCDFF"/>
      </dataBar>
    </cfRule>
    <cfRule type="dataBar" priority="852">
      <dataBar>
        <cfvo type="min"/>
        <cfvo type="max"/>
        <color rgb="FF638EC6"/>
      </dataBar>
    </cfRule>
  </conditionalFormatting>
  <conditionalFormatting sqref="L1463">
    <cfRule type="dataBar" priority="835">
      <dataBar>
        <cfvo type="min"/>
        <cfvo type="max"/>
        <color rgb="FF3FCDFF"/>
      </dataBar>
    </cfRule>
  </conditionalFormatting>
  <conditionalFormatting sqref="L1464">
    <cfRule type="dataBar" priority="847">
      <dataBar>
        <cfvo type="min"/>
        <cfvo type="max"/>
        <color rgb="FF3FCDFF"/>
      </dataBar>
    </cfRule>
  </conditionalFormatting>
  <conditionalFormatting sqref="L1465:L1468">
    <cfRule type="dataBar" priority="834">
      <dataBar>
        <cfvo type="min"/>
        <cfvo type="max"/>
        <color rgb="FF3FCDFF"/>
      </dataBar>
    </cfRule>
  </conditionalFormatting>
  <conditionalFormatting sqref="L1470">
    <cfRule type="dataBar" priority="846">
      <dataBar>
        <cfvo type="min"/>
        <cfvo type="max"/>
        <color rgb="FF3FCDFF"/>
      </dataBar>
    </cfRule>
  </conditionalFormatting>
  <conditionalFormatting sqref="L1471:L1472">
    <cfRule type="dataBar" priority="833">
      <dataBar>
        <cfvo type="min"/>
        <cfvo type="max"/>
        <color rgb="FF3FCDFF"/>
      </dataBar>
    </cfRule>
  </conditionalFormatting>
  <conditionalFormatting sqref="L1473">
    <cfRule type="dataBar" priority="832">
      <dataBar>
        <cfvo type="min"/>
        <cfvo type="max"/>
        <color rgb="FF3FCDFF"/>
      </dataBar>
    </cfRule>
  </conditionalFormatting>
  <conditionalFormatting sqref="L1475">
    <cfRule type="dataBar" priority="831">
      <dataBar>
        <cfvo type="min"/>
        <cfvo type="max"/>
        <color rgb="FF3FCDFF"/>
      </dataBar>
    </cfRule>
  </conditionalFormatting>
  <conditionalFormatting sqref="L1476">
    <cfRule type="dataBar" priority="845">
      <dataBar>
        <cfvo type="min"/>
        <cfvo type="max"/>
        <color rgb="FF3FCDFF"/>
      </dataBar>
    </cfRule>
  </conditionalFormatting>
  <conditionalFormatting sqref="L1478">
    <cfRule type="dataBar" priority="824">
      <dataBar>
        <cfvo type="min"/>
        <cfvo type="max"/>
        <color rgb="FF3FCDFF"/>
      </dataBar>
    </cfRule>
  </conditionalFormatting>
  <conditionalFormatting sqref="L1479:L1480">
    <cfRule type="dataBar" priority="823">
      <dataBar>
        <cfvo type="min"/>
        <cfvo type="max"/>
        <color rgb="FF3FCDFF"/>
      </dataBar>
    </cfRule>
  </conditionalFormatting>
  <conditionalFormatting sqref="L1481">
    <cfRule type="dataBar" priority="829">
      <dataBar>
        <cfvo type="min"/>
        <cfvo type="max"/>
        <color rgb="FF3FCDFF"/>
      </dataBar>
    </cfRule>
  </conditionalFormatting>
  <conditionalFormatting sqref="L1482">
    <cfRule type="dataBar" priority="822">
      <dataBar>
        <cfvo type="min"/>
        <cfvo type="max"/>
        <color rgb="FF3FCDFF"/>
      </dataBar>
    </cfRule>
  </conditionalFormatting>
  <conditionalFormatting sqref="L1483">
    <cfRule type="dataBar" priority="825">
      <dataBar>
        <cfvo type="min"/>
        <cfvo type="max"/>
        <color rgb="FF3FCDFF"/>
      </dataBar>
    </cfRule>
  </conditionalFormatting>
  <conditionalFormatting sqref="L1484:L1485">
    <cfRule type="dataBar" priority="821">
      <dataBar>
        <cfvo type="min"/>
        <cfvo type="max"/>
        <color rgb="FF3FCDFF"/>
      </dataBar>
    </cfRule>
  </conditionalFormatting>
  <conditionalFormatting sqref="L1486">
    <cfRule type="dataBar" priority="820">
      <dataBar>
        <cfvo type="min"/>
        <cfvo type="max"/>
        <color rgb="FF3FCDFF"/>
      </dataBar>
    </cfRule>
  </conditionalFormatting>
  <conditionalFormatting sqref="L1487">
    <cfRule type="dataBar" priority="819">
      <dataBar>
        <cfvo type="min"/>
        <cfvo type="max"/>
        <color rgb="FF3FCDFF"/>
      </dataBar>
    </cfRule>
  </conditionalFormatting>
  <conditionalFormatting sqref="L1489">
    <cfRule type="dataBar" priority="818">
      <dataBar>
        <cfvo type="min"/>
        <cfvo type="max"/>
        <color rgb="FF3FCDFF"/>
      </dataBar>
    </cfRule>
  </conditionalFormatting>
  <conditionalFormatting sqref="L1490">
    <cfRule type="dataBar" priority="817">
      <dataBar>
        <cfvo type="min"/>
        <cfvo type="max"/>
        <color rgb="FF3FCDFF"/>
      </dataBar>
    </cfRule>
  </conditionalFormatting>
  <conditionalFormatting sqref="L1491">
    <cfRule type="dataBar" priority="830">
      <dataBar>
        <cfvo type="min"/>
        <cfvo type="max"/>
        <color rgb="FF3FCDFF"/>
      </dataBar>
    </cfRule>
  </conditionalFormatting>
  <conditionalFormatting sqref="L1493">
    <cfRule type="dataBar" priority="816">
      <dataBar>
        <cfvo type="min"/>
        <cfvo type="max"/>
        <color rgb="FF3FCDFF"/>
      </dataBar>
    </cfRule>
  </conditionalFormatting>
  <conditionalFormatting sqref="L1494">
    <cfRule type="dataBar" priority="828">
      <dataBar>
        <cfvo type="min"/>
        <cfvo type="max"/>
        <color rgb="FF3FCDFF"/>
      </dataBar>
    </cfRule>
  </conditionalFormatting>
  <conditionalFormatting sqref="L1495:L1498">
    <cfRule type="dataBar" priority="815">
      <dataBar>
        <cfvo type="min"/>
        <cfvo type="max"/>
        <color rgb="FF3FCDFF"/>
      </dataBar>
    </cfRule>
  </conditionalFormatting>
  <conditionalFormatting sqref="L1500">
    <cfRule type="dataBar" priority="827">
      <dataBar>
        <cfvo type="min"/>
        <cfvo type="max"/>
        <color rgb="FF3FCDFF"/>
      </dataBar>
    </cfRule>
  </conditionalFormatting>
  <conditionalFormatting sqref="L1501:L1502">
    <cfRule type="dataBar" priority="814">
      <dataBar>
        <cfvo type="min"/>
        <cfvo type="max"/>
        <color rgb="FF3FCDFF"/>
      </dataBar>
    </cfRule>
  </conditionalFormatting>
  <conditionalFormatting sqref="L1503">
    <cfRule type="dataBar" priority="813">
      <dataBar>
        <cfvo type="min"/>
        <cfvo type="max"/>
        <color rgb="FF3FCDFF"/>
      </dataBar>
    </cfRule>
  </conditionalFormatting>
  <conditionalFormatting sqref="L1505">
    <cfRule type="dataBar" priority="812">
      <dataBar>
        <cfvo type="min"/>
        <cfvo type="max"/>
        <color rgb="FF3FCDFF"/>
      </dataBar>
    </cfRule>
  </conditionalFormatting>
  <conditionalFormatting sqref="L1506">
    <cfRule type="dataBar" priority="826">
      <dataBar>
        <cfvo type="min"/>
        <cfvo type="max"/>
        <color rgb="FF3FCDFF"/>
      </dataBar>
    </cfRule>
  </conditionalFormatting>
  <conditionalFormatting sqref="L1508">
    <cfRule type="dataBar" priority="801">
      <dataBar>
        <cfvo type="min"/>
        <cfvo type="max"/>
        <color rgb="FF3FCDFF"/>
      </dataBar>
    </cfRule>
  </conditionalFormatting>
  <conditionalFormatting sqref="L1509:L1510">
    <cfRule type="dataBar" priority="800">
      <dataBar>
        <cfvo type="min"/>
        <cfvo type="max"/>
        <color rgb="FF3FCDFF"/>
      </dataBar>
    </cfRule>
  </conditionalFormatting>
  <conditionalFormatting sqref="L1511">
    <cfRule type="dataBar" priority="806">
      <dataBar>
        <cfvo type="min"/>
        <cfvo type="max"/>
        <color rgb="FF3FCDFF"/>
      </dataBar>
    </cfRule>
  </conditionalFormatting>
  <conditionalFormatting sqref="L1512">
    <cfRule type="dataBar" priority="799">
      <dataBar>
        <cfvo type="min"/>
        <cfvo type="max"/>
        <color rgb="FF3FCDFF"/>
      </dataBar>
    </cfRule>
  </conditionalFormatting>
  <conditionalFormatting sqref="L1513">
    <cfRule type="dataBar" priority="802">
      <dataBar>
        <cfvo type="min"/>
        <cfvo type="max"/>
        <color rgb="FF3FCDFF"/>
      </dataBar>
    </cfRule>
  </conditionalFormatting>
  <conditionalFormatting sqref="L1514:L1515">
    <cfRule type="dataBar" priority="798">
      <dataBar>
        <cfvo type="min"/>
        <cfvo type="max"/>
        <color rgb="FF3FCDFF"/>
      </dataBar>
    </cfRule>
  </conditionalFormatting>
  <conditionalFormatting sqref="L1516">
    <cfRule type="dataBar" priority="797">
      <dataBar>
        <cfvo type="min"/>
        <cfvo type="max"/>
        <color rgb="FF3FCDFF"/>
      </dataBar>
    </cfRule>
  </conditionalFormatting>
  <conditionalFormatting sqref="L1517">
    <cfRule type="dataBar" priority="796">
      <dataBar>
        <cfvo type="min"/>
        <cfvo type="max"/>
        <color rgb="FF3FCDFF"/>
      </dataBar>
    </cfRule>
  </conditionalFormatting>
  <conditionalFormatting sqref="L1519">
    <cfRule type="dataBar" priority="795">
      <dataBar>
        <cfvo type="min"/>
        <cfvo type="max"/>
        <color rgb="FF3FCDFF"/>
      </dataBar>
    </cfRule>
  </conditionalFormatting>
  <conditionalFormatting sqref="L1520">
    <cfRule type="dataBar" priority="794">
      <dataBar>
        <cfvo type="min"/>
        <cfvo type="max"/>
        <color rgb="FF3FCDFF"/>
      </dataBar>
    </cfRule>
  </conditionalFormatting>
  <conditionalFormatting sqref="L1521">
    <cfRule type="dataBar" priority="807">
      <dataBar>
        <cfvo type="min"/>
        <cfvo type="max"/>
        <color rgb="FF3FCDFF"/>
      </dataBar>
    </cfRule>
  </conditionalFormatting>
  <conditionalFormatting sqref="L1522 L1518 L1529 L1534 L1537">
    <cfRule type="dataBar" priority="809">
      <dataBar>
        <cfvo type="min"/>
        <cfvo type="max"/>
        <color rgb="FF00B0F0"/>
      </dataBar>
    </cfRule>
    <cfRule type="dataBar" priority="808">
      <dataBar>
        <cfvo type="min"/>
        <cfvo type="max"/>
        <color rgb="FF3FCDFF"/>
      </dataBar>
    </cfRule>
    <cfRule type="dataBar" priority="810">
      <dataBar>
        <cfvo type="min"/>
        <cfvo type="max"/>
        <color rgb="FF638EC6"/>
      </dataBar>
    </cfRule>
  </conditionalFormatting>
  <conditionalFormatting sqref="L1523">
    <cfRule type="dataBar" priority="793">
      <dataBar>
        <cfvo type="min"/>
        <cfvo type="max"/>
        <color rgb="FF3FCDFF"/>
      </dataBar>
    </cfRule>
  </conditionalFormatting>
  <conditionalFormatting sqref="L1524">
    <cfRule type="dataBar" priority="805">
      <dataBar>
        <cfvo type="min"/>
        <cfvo type="max"/>
        <color rgb="FF3FCDFF"/>
      </dataBar>
    </cfRule>
  </conditionalFormatting>
  <conditionalFormatting sqref="L1525:L1528">
    <cfRule type="dataBar" priority="792">
      <dataBar>
        <cfvo type="min"/>
        <cfvo type="max"/>
        <color rgb="FF3FCDFF"/>
      </dataBar>
    </cfRule>
  </conditionalFormatting>
  <conditionalFormatting sqref="L1530">
    <cfRule type="dataBar" priority="804">
      <dataBar>
        <cfvo type="min"/>
        <cfvo type="max"/>
        <color rgb="FF3FCDFF"/>
      </dataBar>
    </cfRule>
  </conditionalFormatting>
  <conditionalFormatting sqref="L1531:L1532">
    <cfRule type="dataBar" priority="791">
      <dataBar>
        <cfvo type="min"/>
        <cfvo type="max"/>
        <color rgb="FF3FCDFF"/>
      </dataBar>
    </cfRule>
  </conditionalFormatting>
  <conditionalFormatting sqref="L1533">
    <cfRule type="dataBar" priority="790">
      <dataBar>
        <cfvo type="min"/>
        <cfvo type="max"/>
        <color rgb="FF3FCDFF"/>
      </dataBar>
    </cfRule>
  </conditionalFormatting>
  <conditionalFormatting sqref="L1535">
    <cfRule type="dataBar" priority="789">
      <dataBar>
        <cfvo type="min"/>
        <cfvo type="max"/>
        <color rgb="FF3FCDFF"/>
      </dataBar>
    </cfRule>
  </conditionalFormatting>
  <conditionalFormatting sqref="L1536">
    <cfRule type="dataBar" priority="803">
      <dataBar>
        <cfvo type="min"/>
        <cfvo type="max"/>
        <color rgb="FF3FCDFF"/>
      </dataBar>
    </cfRule>
  </conditionalFormatting>
  <conditionalFormatting sqref="L1538">
    <cfRule type="dataBar" priority="778">
      <dataBar>
        <cfvo type="min"/>
        <cfvo type="max"/>
        <color rgb="FF3FCDFF"/>
      </dataBar>
    </cfRule>
  </conditionalFormatting>
  <conditionalFormatting sqref="L1539:L1540">
    <cfRule type="dataBar" priority="777">
      <dataBar>
        <cfvo type="min"/>
        <cfvo type="max"/>
        <color rgb="FF3FCDFF"/>
      </dataBar>
    </cfRule>
  </conditionalFormatting>
  <conditionalFormatting sqref="L1541">
    <cfRule type="dataBar" priority="783">
      <dataBar>
        <cfvo type="min"/>
        <cfvo type="max"/>
        <color rgb="FF3FCDFF"/>
      </dataBar>
    </cfRule>
  </conditionalFormatting>
  <conditionalFormatting sqref="L1542">
    <cfRule type="dataBar" priority="776">
      <dataBar>
        <cfvo type="min"/>
        <cfvo type="max"/>
        <color rgb="FF3FCDFF"/>
      </dataBar>
    </cfRule>
  </conditionalFormatting>
  <conditionalFormatting sqref="L1543">
    <cfRule type="dataBar" priority="779">
      <dataBar>
        <cfvo type="min"/>
        <cfvo type="max"/>
        <color rgb="FF3FCDFF"/>
      </dataBar>
    </cfRule>
  </conditionalFormatting>
  <conditionalFormatting sqref="L1544:L1545">
    <cfRule type="dataBar" priority="775">
      <dataBar>
        <cfvo type="min"/>
        <cfvo type="max"/>
        <color rgb="FF3FCDFF"/>
      </dataBar>
    </cfRule>
  </conditionalFormatting>
  <conditionalFormatting sqref="L1546">
    <cfRule type="dataBar" priority="774">
      <dataBar>
        <cfvo type="min"/>
        <cfvo type="max"/>
        <color rgb="FF3FCDFF"/>
      </dataBar>
    </cfRule>
  </conditionalFormatting>
  <conditionalFormatting sqref="L1547">
    <cfRule type="dataBar" priority="773">
      <dataBar>
        <cfvo type="min"/>
        <cfvo type="max"/>
        <color rgb="FF3FCDFF"/>
      </dataBar>
    </cfRule>
  </conditionalFormatting>
  <conditionalFormatting sqref="L1549">
    <cfRule type="dataBar" priority="772">
      <dataBar>
        <cfvo type="min"/>
        <cfvo type="max"/>
        <color rgb="FF3FCDFF"/>
      </dataBar>
    </cfRule>
  </conditionalFormatting>
  <conditionalFormatting sqref="L1550">
    <cfRule type="dataBar" priority="771">
      <dataBar>
        <cfvo type="min"/>
        <cfvo type="max"/>
        <color rgb="FF3FCDFF"/>
      </dataBar>
    </cfRule>
  </conditionalFormatting>
  <conditionalFormatting sqref="L1551">
    <cfRule type="dataBar" priority="784">
      <dataBar>
        <cfvo type="min"/>
        <cfvo type="max"/>
        <color rgb="FF3FCDFF"/>
      </dataBar>
    </cfRule>
  </conditionalFormatting>
  <conditionalFormatting sqref="L1552 L1548 L1559 L1564 L1567">
    <cfRule type="dataBar" priority="785">
      <dataBar>
        <cfvo type="min"/>
        <cfvo type="max"/>
        <color rgb="FF3FCDFF"/>
      </dataBar>
    </cfRule>
    <cfRule type="dataBar" priority="786">
      <dataBar>
        <cfvo type="min"/>
        <cfvo type="max"/>
        <color rgb="FF00B0F0"/>
      </dataBar>
    </cfRule>
    <cfRule type="dataBar" priority="787">
      <dataBar>
        <cfvo type="min"/>
        <cfvo type="max"/>
        <color rgb="FF638EC6"/>
      </dataBar>
    </cfRule>
  </conditionalFormatting>
  <conditionalFormatting sqref="L1553">
    <cfRule type="dataBar" priority="770">
      <dataBar>
        <cfvo type="min"/>
        <cfvo type="max"/>
        <color rgb="FF3FCDFF"/>
      </dataBar>
    </cfRule>
  </conditionalFormatting>
  <conditionalFormatting sqref="L1554">
    <cfRule type="dataBar" priority="782">
      <dataBar>
        <cfvo type="min"/>
        <cfvo type="max"/>
        <color rgb="FF3FCDFF"/>
      </dataBar>
    </cfRule>
  </conditionalFormatting>
  <conditionalFormatting sqref="L1555:L1558">
    <cfRule type="dataBar" priority="769">
      <dataBar>
        <cfvo type="min"/>
        <cfvo type="max"/>
        <color rgb="FF3FCDFF"/>
      </dataBar>
    </cfRule>
  </conditionalFormatting>
  <conditionalFormatting sqref="L1560">
    <cfRule type="dataBar" priority="781">
      <dataBar>
        <cfvo type="min"/>
        <cfvo type="max"/>
        <color rgb="FF3FCDFF"/>
      </dataBar>
    </cfRule>
  </conditionalFormatting>
  <conditionalFormatting sqref="L1561:L1562">
    <cfRule type="dataBar" priority="768">
      <dataBar>
        <cfvo type="min"/>
        <cfvo type="max"/>
        <color rgb="FF3FCDFF"/>
      </dataBar>
    </cfRule>
  </conditionalFormatting>
  <conditionalFormatting sqref="L1563">
    <cfRule type="dataBar" priority="767">
      <dataBar>
        <cfvo type="min"/>
        <cfvo type="max"/>
        <color rgb="FF3FCDFF"/>
      </dataBar>
    </cfRule>
  </conditionalFormatting>
  <conditionalFormatting sqref="L1565">
    <cfRule type="dataBar" priority="766">
      <dataBar>
        <cfvo type="min"/>
        <cfvo type="max"/>
        <color rgb="FF3FCDFF"/>
      </dataBar>
    </cfRule>
  </conditionalFormatting>
  <conditionalFormatting sqref="L1566">
    <cfRule type="dataBar" priority="780">
      <dataBar>
        <cfvo type="min"/>
        <cfvo type="max"/>
        <color rgb="FF3FCDFF"/>
      </dataBar>
    </cfRule>
  </conditionalFormatting>
  <conditionalFormatting sqref="L1568">
    <cfRule type="dataBar" priority="755">
      <dataBar>
        <cfvo type="min"/>
        <cfvo type="max"/>
        <color rgb="FF3FCDFF"/>
      </dataBar>
    </cfRule>
  </conditionalFormatting>
  <conditionalFormatting sqref="L1569:L1570">
    <cfRule type="dataBar" priority="754">
      <dataBar>
        <cfvo type="min"/>
        <cfvo type="max"/>
        <color rgb="FF3FCDFF"/>
      </dataBar>
    </cfRule>
  </conditionalFormatting>
  <conditionalFormatting sqref="L1571">
    <cfRule type="dataBar" priority="760">
      <dataBar>
        <cfvo type="min"/>
        <cfvo type="max"/>
        <color rgb="FF3FCDFF"/>
      </dataBar>
    </cfRule>
  </conditionalFormatting>
  <conditionalFormatting sqref="L1572">
    <cfRule type="dataBar" priority="753">
      <dataBar>
        <cfvo type="min"/>
        <cfvo type="max"/>
        <color rgb="FF3FCDFF"/>
      </dataBar>
    </cfRule>
  </conditionalFormatting>
  <conditionalFormatting sqref="L1573">
    <cfRule type="dataBar" priority="756">
      <dataBar>
        <cfvo type="min"/>
        <cfvo type="max"/>
        <color rgb="FF3FCDFF"/>
      </dataBar>
    </cfRule>
  </conditionalFormatting>
  <conditionalFormatting sqref="L1574:L1575">
    <cfRule type="dataBar" priority="752">
      <dataBar>
        <cfvo type="min"/>
        <cfvo type="max"/>
        <color rgb="FF3FCDFF"/>
      </dataBar>
    </cfRule>
  </conditionalFormatting>
  <conditionalFormatting sqref="L1576">
    <cfRule type="dataBar" priority="751">
      <dataBar>
        <cfvo type="min"/>
        <cfvo type="max"/>
        <color rgb="FF3FCDFF"/>
      </dataBar>
    </cfRule>
  </conditionalFormatting>
  <conditionalFormatting sqref="L1577">
    <cfRule type="dataBar" priority="750">
      <dataBar>
        <cfvo type="min"/>
        <cfvo type="max"/>
        <color rgb="FF3FCDFF"/>
      </dataBar>
    </cfRule>
  </conditionalFormatting>
  <conditionalFormatting sqref="L1579">
    <cfRule type="dataBar" priority="749">
      <dataBar>
        <cfvo type="min"/>
        <cfvo type="max"/>
        <color rgb="FF3FCDFF"/>
      </dataBar>
    </cfRule>
  </conditionalFormatting>
  <conditionalFormatting sqref="L1580">
    <cfRule type="dataBar" priority="748">
      <dataBar>
        <cfvo type="min"/>
        <cfvo type="max"/>
        <color rgb="FF3FCDFF"/>
      </dataBar>
    </cfRule>
  </conditionalFormatting>
  <conditionalFormatting sqref="L1581">
    <cfRule type="dataBar" priority="761">
      <dataBar>
        <cfvo type="min"/>
        <cfvo type="max"/>
        <color rgb="FF3FCDFF"/>
      </dataBar>
    </cfRule>
  </conditionalFormatting>
  <conditionalFormatting sqref="L1582 L1578 L1589 L1594 L1597">
    <cfRule type="dataBar" priority="762">
      <dataBar>
        <cfvo type="min"/>
        <cfvo type="max"/>
        <color rgb="FF3FCDFF"/>
      </dataBar>
    </cfRule>
    <cfRule type="dataBar" priority="764">
      <dataBar>
        <cfvo type="min"/>
        <cfvo type="max"/>
        <color rgb="FF638EC6"/>
      </dataBar>
    </cfRule>
    <cfRule type="dataBar" priority="763">
      <dataBar>
        <cfvo type="min"/>
        <cfvo type="max"/>
        <color rgb="FF00B0F0"/>
      </dataBar>
    </cfRule>
  </conditionalFormatting>
  <conditionalFormatting sqref="L1583">
    <cfRule type="dataBar" priority="747">
      <dataBar>
        <cfvo type="min"/>
        <cfvo type="max"/>
        <color rgb="FF3FCDFF"/>
      </dataBar>
    </cfRule>
  </conditionalFormatting>
  <conditionalFormatting sqref="L1584">
    <cfRule type="dataBar" priority="759">
      <dataBar>
        <cfvo type="min"/>
        <cfvo type="max"/>
        <color rgb="FF3FCDFF"/>
      </dataBar>
    </cfRule>
  </conditionalFormatting>
  <conditionalFormatting sqref="L1585:L1588">
    <cfRule type="dataBar" priority="746">
      <dataBar>
        <cfvo type="min"/>
        <cfvo type="max"/>
        <color rgb="FF3FCDFF"/>
      </dataBar>
    </cfRule>
  </conditionalFormatting>
  <conditionalFormatting sqref="L1590">
    <cfRule type="dataBar" priority="758">
      <dataBar>
        <cfvo type="min"/>
        <cfvo type="max"/>
        <color rgb="FF3FCDFF"/>
      </dataBar>
    </cfRule>
  </conditionalFormatting>
  <conditionalFormatting sqref="L1591:L1592">
    <cfRule type="dataBar" priority="745">
      <dataBar>
        <cfvo type="min"/>
        <cfvo type="max"/>
        <color rgb="FF3FCDFF"/>
      </dataBar>
    </cfRule>
  </conditionalFormatting>
  <conditionalFormatting sqref="L1593">
    <cfRule type="dataBar" priority="744">
      <dataBar>
        <cfvo type="min"/>
        <cfvo type="max"/>
        <color rgb="FF3FCDFF"/>
      </dataBar>
    </cfRule>
  </conditionalFormatting>
  <conditionalFormatting sqref="L1595">
    <cfRule type="dataBar" priority="743">
      <dataBar>
        <cfvo type="min"/>
        <cfvo type="max"/>
        <color rgb="FF3FCDFF"/>
      </dataBar>
    </cfRule>
  </conditionalFormatting>
  <conditionalFormatting sqref="L1596">
    <cfRule type="dataBar" priority="757">
      <dataBar>
        <cfvo type="min"/>
        <cfvo type="max"/>
        <color rgb="FF3FCDFF"/>
      </dataBar>
    </cfRule>
  </conditionalFormatting>
  <conditionalFormatting sqref="L1598">
    <cfRule type="dataBar" priority="732">
      <dataBar>
        <cfvo type="min"/>
        <cfvo type="max"/>
        <color rgb="FF3FCDFF"/>
      </dataBar>
    </cfRule>
  </conditionalFormatting>
  <conditionalFormatting sqref="L1599:L1600">
    <cfRule type="dataBar" priority="731">
      <dataBar>
        <cfvo type="min"/>
        <cfvo type="max"/>
        <color rgb="FF3FCDFF"/>
      </dataBar>
    </cfRule>
  </conditionalFormatting>
  <conditionalFormatting sqref="L1601">
    <cfRule type="dataBar" priority="737">
      <dataBar>
        <cfvo type="min"/>
        <cfvo type="max"/>
        <color rgb="FF3FCDFF"/>
      </dataBar>
    </cfRule>
  </conditionalFormatting>
  <conditionalFormatting sqref="L1602">
    <cfRule type="dataBar" priority="730">
      <dataBar>
        <cfvo type="min"/>
        <cfvo type="max"/>
        <color rgb="FF3FCDFF"/>
      </dataBar>
    </cfRule>
  </conditionalFormatting>
  <conditionalFormatting sqref="L1603">
    <cfRule type="dataBar" priority="733">
      <dataBar>
        <cfvo type="min"/>
        <cfvo type="max"/>
        <color rgb="FF3FCDFF"/>
      </dataBar>
    </cfRule>
  </conditionalFormatting>
  <conditionalFormatting sqref="L1604:L1605">
    <cfRule type="dataBar" priority="729">
      <dataBar>
        <cfvo type="min"/>
        <cfvo type="max"/>
        <color rgb="FF3FCDFF"/>
      </dataBar>
    </cfRule>
  </conditionalFormatting>
  <conditionalFormatting sqref="L1606">
    <cfRule type="dataBar" priority="728">
      <dataBar>
        <cfvo type="min"/>
        <cfvo type="max"/>
        <color rgb="FF3FCDFF"/>
      </dataBar>
    </cfRule>
  </conditionalFormatting>
  <conditionalFormatting sqref="L1607">
    <cfRule type="dataBar" priority="727">
      <dataBar>
        <cfvo type="min"/>
        <cfvo type="max"/>
        <color rgb="FF3FCDFF"/>
      </dataBar>
    </cfRule>
  </conditionalFormatting>
  <conditionalFormatting sqref="L1609">
    <cfRule type="dataBar" priority="726">
      <dataBar>
        <cfvo type="min"/>
        <cfvo type="max"/>
        <color rgb="FF3FCDFF"/>
      </dataBar>
    </cfRule>
  </conditionalFormatting>
  <conditionalFormatting sqref="L1610">
    <cfRule type="dataBar" priority="725">
      <dataBar>
        <cfvo type="min"/>
        <cfvo type="max"/>
        <color rgb="FF3FCDFF"/>
      </dataBar>
    </cfRule>
  </conditionalFormatting>
  <conditionalFormatting sqref="L1611">
    <cfRule type="dataBar" priority="738">
      <dataBar>
        <cfvo type="min"/>
        <cfvo type="max"/>
        <color rgb="FF3FCDFF"/>
      </dataBar>
    </cfRule>
  </conditionalFormatting>
  <conditionalFormatting sqref="L1612 L1608 L1619 L1624 L1627">
    <cfRule type="dataBar" priority="739">
      <dataBar>
        <cfvo type="min"/>
        <cfvo type="max"/>
        <color rgb="FF3FCDFF"/>
      </dataBar>
    </cfRule>
    <cfRule type="dataBar" priority="740">
      <dataBar>
        <cfvo type="min"/>
        <cfvo type="max"/>
        <color rgb="FF00B0F0"/>
      </dataBar>
    </cfRule>
    <cfRule type="dataBar" priority="741">
      <dataBar>
        <cfvo type="min"/>
        <cfvo type="max"/>
        <color rgb="FF638EC6"/>
      </dataBar>
    </cfRule>
  </conditionalFormatting>
  <conditionalFormatting sqref="L1613">
    <cfRule type="dataBar" priority="724">
      <dataBar>
        <cfvo type="min"/>
        <cfvo type="max"/>
        <color rgb="FF3FCDFF"/>
      </dataBar>
    </cfRule>
  </conditionalFormatting>
  <conditionalFormatting sqref="L1614">
    <cfRule type="dataBar" priority="736">
      <dataBar>
        <cfvo type="min"/>
        <cfvo type="max"/>
        <color rgb="FF3FCDFF"/>
      </dataBar>
    </cfRule>
  </conditionalFormatting>
  <conditionalFormatting sqref="L1615:L1618">
    <cfRule type="dataBar" priority="723">
      <dataBar>
        <cfvo type="min"/>
        <cfvo type="max"/>
        <color rgb="FF3FCDFF"/>
      </dataBar>
    </cfRule>
  </conditionalFormatting>
  <conditionalFormatting sqref="L1620">
    <cfRule type="dataBar" priority="735">
      <dataBar>
        <cfvo type="min"/>
        <cfvo type="max"/>
        <color rgb="FF3FCDFF"/>
      </dataBar>
    </cfRule>
  </conditionalFormatting>
  <conditionalFormatting sqref="L1621:L1622">
    <cfRule type="dataBar" priority="722">
      <dataBar>
        <cfvo type="min"/>
        <cfvo type="max"/>
        <color rgb="FF3FCDFF"/>
      </dataBar>
    </cfRule>
  </conditionalFormatting>
  <conditionalFormatting sqref="L1623">
    <cfRule type="dataBar" priority="721">
      <dataBar>
        <cfvo type="min"/>
        <cfvo type="max"/>
        <color rgb="FF3FCDFF"/>
      </dataBar>
    </cfRule>
  </conditionalFormatting>
  <conditionalFormatting sqref="L1625">
    <cfRule type="dataBar" priority="720">
      <dataBar>
        <cfvo type="min"/>
        <cfvo type="max"/>
        <color rgb="FF3FCDFF"/>
      </dataBar>
    </cfRule>
  </conditionalFormatting>
  <conditionalFormatting sqref="L1626">
    <cfRule type="dataBar" priority="734">
      <dataBar>
        <cfvo type="min"/>
        <cfvo type="max"/>
        <color rgb="FF3FCDFF"/>
      </dataBar>
    </cfRule>
  </conditionalFormatting>
  <conditionalFormatting sqref="L1629">
    <cfRule type="dataBar" priority="713">
      <dataBar>
        <cfvo type="min"/>
        <cfvo type="max"/>
        <color rgb="FF3FCDFF"/>
      </dataBar>
    </cfRule>
  </conditionalFormatting>
  <conditionalFormatting sqref="L1630:L1631">
    <cfRule type="dataBar" priority="712">
      <dataBar>
        <cfvo type="min"/>
        <cfvo type="max"/>
        <color rgb="FF3FCDFF"/>
      </dataBar>
    </cfRule>
  </conditionalFormatting>
  <conditionalFormatting sqref="L1632">
    <cfRule type="dataBar" priority="718">
      <dataBar>
        <cfvo type="min"/>
        <cfvo type="max"/>
        <color rgb="FF3FCDFF"/>
      </dataBar>
    </cfRule>
  </conditionalFormatting>
  <conditionalFormatting sqref="L1633">
    <cfRule type="dataBar" priority="711">
      <dataBar>
        <cfvo type="min"/>
        <cfvo type="max"/>
        <color rgb="FF3FCDFF"/>
      </dataBar>
    </cfRule>
  </conditionalFormatting>
  <conditionalFormatting sqref="L1634">
    <cfRule type="dataBar" priority="714">
      <dataBar>
        <cfvo type="min"/>
        <cfvo type="max"/>
        <color rgb="FF3FCDFF"/>
      </dataBar>
    </cfRule>
  </conditionalFormatting>
  <conditionalFormatting sqref="L1635:L1636">
    <cfRule type="dataBar" priority="710">
      <dataBar>
        <cfvo type="min"/>
        <cfvo type="max"/>
        <color rgb="FF3FCDFF"/>
      </dataBar>
    </cfRule>
  </conditionalFormatting>
  <conditionalFormatting sqref="L1637">
    <cfRule type="dataBar" priority="709">
      <dataBar>
        <cfvo type="min"/>
        <cfvo type="max"/>
        <color rgb="FF3FCDFF"/>
      </dataBar>
    </cfRule>
  </conditionalFormatting>
  <conditionalFormatting sqref="L1638">
    <cfRule type="dataBar" priority="708">
      <dataBar>
        <cfvo type="min"/>
        <cfvo type="max"/>
        <color rgb="FF3FCDFF"/>
      </dataBar>
    </cfRule>
  </conditionalFormatting>
  <conditionalFormatting sqref="L1640">
    <cfRule type="dataBar" priority="707">
      <dataBar>
        <cfvo type="min"/>
        <cfvo type="max"/>
        <color rgb="FF3FCDFF"/>
      </dataBar>
    </cfRule>
  </conditionalFormatting>
  <conditionalFormatting sqref="L1641">
    <cfRule type="dataBar" priority="706">
      <dataBar>
        <cfvo type="min"/>
        <cfvo type="max"/>
        <color rgb="FF3FCDFF"/>
      </dataBar>
    </cfRule>
  </conditionalFormatting>
  <conditionalFormatting sqref="L1642">
    <cfRule type="dataBar" priority="719">
      <dataBar>
        <cfvo type="min"/>
        <cfvo type="max"/>
        <color rgb="FF3FCDFF"/>
      </dataBar>
    </cfRule>
  </conditionalFormatting>
  <conditionalFormatting sqref="L1643 L1639 L1650 L1655 L1658">
    <cfRule type="dataBar" priority="1712">
      <dataBar>
        <cfvo type="min"/>
        <cfvo type="max"/>
        <color rgb="FF638EC6"/>
      </dataBar>
    </cfRule>
    <cfRule type="dataBar" priority="1711">
      <dataBar>
        <cfvo type="min"/>
        <cfvo type="max"/>
        <color rgb="FF00B0F0"/>
      </dataBar>
    </cfRule>
    <cfRule type="dataBar" priority="1710">
      <dataBar>
        <cfvo type="min"/>
        <cfvo type="max"/>
        <color rgb="FF3FCDFF"/>
      </dataBar>
    </cfRule>
  </conditionalFormatting>
  <conditionalFormatting sqref="L1644">
    <cfRule type="dataBar" priority="705">
      <dataBar>
        <cfvo type="min"/>
        <cfvo type="max"/>
        <color rgb="FF3FCDFF"/>
      </dataBar>
    </cfRule>
  </conditionalFormatting>
  <conditionalFormatting sqref="L1645">
    <cfRule type="dataBar" priority="717">
      <dataBar>
        <cfvo type="min"/>
        <cfvo type="max"/>
        <color rgb="FF3FCDFF"/>
      </dataBar>
    </cfRule>
  </conditionalFormatting>
  <conditionalFormatting sqref="L1646:L1649">
    <cfRule type="dataBar" priority="704">
      <dataBar>
        <cfvo type="min"/>
        <cfvo type="max"/>
        <color rgb="FF3FCDFF"/>
      </dataBar>
    </cfRule>
  </conditionalFormatting>
  <conditionalFormatting sqref="L1651">
    <cfRule type="dataBar" priority="716">
      <dataBar>
        <cfvo type="min"/>
        <cfvo type="max"/>
        <color rgb="FF3FCDFF"/>
      </dataBar>
    </cfRule>
  </conditionalFormatting>
  <conditionalFormatting sqref="L1652:L1653">
    <cfRule type="dataBar" priority="703">
      <dataBar>
        <cfvo type="min"/>
        <cfvo type="max"/>
        <color rgb="FF3FCDFF"/>
      </dataBar>
    </cfRule>
  </conditionalFormatting>
  <conditionalFormatting sqref="L1654">
    <cfRule type="dataBar" priority="702">
      <dataBar>
        <cfvo type="min"/>
        <cfvo type="max"/>
        <color rgb="FF3FCDFF"/>
      </dataBar>
    </cfRule>
  </conditionalFormatting>
  <conditionalFormatting sqref="L1656">
    <cfRule type="dataBar" priority="701">
      <dataBar>
        <cfvo type="min"/>
        <cfvo type="max"/>
        <color rgb="FF3FCDFF"/>
      </dataBar>
    </cfRule>
  </conditionalFormatting>
  <conditionalFormatting sqref="L1657">
    <cfRule type="dataBar" priority="715">
      <dataBar>
        <cfvo type="min"/>
        <cfvo type="max"/>
        <color rgb="FF3FCDFF"/>
      </dataBar>
    </cfRule>
  </conditionalFormatting>
  <conditionalFormatting sqref="L1659 L1628">
    <cfRule type="dataBar" priority="1708">
      <dataBar>
        <cfvo type="min"/>
        <cfvo type="max"/>
        <color rgb="FF3FCDFF"/>
      </dataBar>
    </cfRule>
  </conditionalFormatting>
  <conditionalFormatting sqref="L1660:L1676 L1678:L1689">
    <cfRule type="dataBar" priority="1480">
      <dataBar>
        <cfvo type="min"/>
        <cfvo type="max"/>
        <color rgb="FF3FCDFF"/>
      </dataBar>
    </cfRule>
    <cfRule type="dataBar" priority="1479">
      <dataBar>
        <cfvo type="min"/>
        <cfvo type="max"/>
        <color rgb="FF00B0F0"/>
      </dataBar>
    </cfRule>
  </conditionalFormatting>
  <conditionalFormatting sqref="L1677">
    <cfRule type="dataBar" priority="1476">
      <dataBar>
        <cfvo type="min"/>
        <cfvo type="max"/>
        <color rgb="FF3FCDFF"/>
      </dataBar>
    </cfRule>
    <cfRule type="dataBar" priority="1475">
      <dataBar>
        <cfvo type="min"/>
        <cfvo type="max"/>
        <color rgb="FF638EC6"/>
      </dataBar>
    </cfRule>
    <cfRule type="dataBar" priority="1474">
      <dataBar>
        <cfvo type="min"/>
        <cfvo type="max"/>
        <color rgb="FF00B0F0"/>
      </dataBar>
    </cfRule>
  </conditionalFormatting>
  <conditionalFormatting sqref="L1690:L1706 L1708:L1719">
    <cfRule type="dataBar" priority="1470">
      <dataBar>
        <cfvo type="min"/>
        <cfvo type="max"/>
        <color rgb="FF3FCDFF"/>
      </dataBar>
    </cfRule>
    <cfRule type="dataBar" priority="1469">
      <dataBar>
        <cfvo type="min"/>
        <cfvo type="max"/>
        <color rgb="FF00B0F0"/>
      </dataBar>
    </cfRule>
  </conditionalFormatting>
  <conditionalFormatting sqref="L1707">
    <cfRule type="dataBar" priority="1461">
      <dataBar>
        <cfvo type="min"/>
        <cfvo type="max"/>
        <color rgb="FF00B0F0"/>
      </dataBar>
    </cfRule>
    <cfRule type="dataBar" priority="1462">
      <dataBar>
        <cfvo type="min"/>
        <cfvo type="max"/>
        <color rgb="FF638EC6"/>
      </dataBar>
    </cfRule>
    <cfRule type="dataBar" priority="1466">
      <dataBar>
        <cfvo type="min"/>
        <cfvo type="max"/>
        <color rgb="FF3FCDFF"/>
      </dataBar>
    </cfRule>
  </conditionalFormatting>
  <conditionalFormatting sqref="L1720:L1736 L1738:L1749">
    <cfRule type="dataBar" priority="1459">
      <dataBar>
        <cfvo type="min"/>
        <cfvo type="max"/>
        <color rgb="FF00B0F0"/>
      </dataBar>
    </cfRule>
    <cfRule type="dataBar" priority="1460">
      <dataBar>
        <cfvo type="min"/>
        <cfvo type="max"/>
        <color rgb="FF3FCDFF"/>
      </dataBar>
    </cfRule>
  </conditionalFormatting>
  <conditionalFormatting sqref="L1737">
    <cfRule type="dataBar" priority="1456">
      <dataBar>
        <cfvo type="min"/>
        <cfvo type="max"/>
        <color rgb="FF3FCDFF"/>
      </dataBar>
    </cfRule>
    <cfRule type="dataBar" priority="1455">
      <dataBar>
        <cfvo type="min"/>
        <cfvo type="max"/>
        <color rgb="FF638EC6"/>
      </dataBar>
    </cfRule>
    <cfRule type="dataBar" priority="1454">
      <dataBar>
        <cfvo type="min"/>
        <cfvo type="max"/>
        <color rgb="FF00B0F0"/>
      </dataBar>
    </cfRule>
  </conditionalFormatting>
  <conditionalFormatting sqref="L1754:L1770 L1772:L1783">
    <cfRule type="dataBar" priority="1450">
      <dataBar>
        <cfvo type="min"/>
        <cfvo type="max"/>
        <color rgb="FF3FCDFF"/>
      </dataBar>
    </cfRule>
    <cfRule type="dataBar" priority="1449">
      <dataBar>
        <cfvo type="min"/>
        <cfvo type="max"/>
        <color rgb="FF00B0F0"/>
      </dataBar>
    </cfRule>
  </conditionalFormatting>
  <conditionalFormatting sqref="L1771">
    <cfRule type="dataBar" priority="1446">
      <dataBar>
        <cfvo type="min"/>
        <cfvo type="max"/>
        <color rgb="FF3FCDFF"/>
      </dataBar>
    </cfRule>
    <cfRule type="dataBar" priority="1445">
      <dataBar>
        <cfvo type="min"/>
        <cfvo type="max"/>
        <color rgb="FF638EC6"/>
      </dataBar>
    </cfRule>
    <cfRule type="dataBar" priority="1444">
      <dataBar>
        <cfvo type="min"/>
        <cfvo type="max"/>
        <color rgb="FF00B0F0"/>
      </dataBar>
    </cfRule>
  </conditionalFormatting>
  <conditionalFormatting sqref="L1784:L1800 L1802:L1813">
    <cfRule type="dataBar" priority="1440">
      <dataBar>
        <cfvo type="min"/>
        <cfvo type="max"/>
        <color rgb="FF3FCDFF"/>
      </dataBar>
    </cfRule>
    <cfRule type="dataBar" priority="1439">
      <dataBar>
        <cfvo type="min"/>
        <cfvo type="max"/>
        <color rgb="FF00B0F0"/>
      </dataBar>
    </cfRule>
  </conditionalFormatting>
  <conditionalFormatting sqref="L1801">
    <cfRule type="dataBar" priority="1436">
      <dataBar>
        <cfvo type="min"/>
        <cfvo type="max"/>
        <color rgb="FF3FCDFF"/>
      </dataBar>
    </cfRule>
    <cfRule type="dataBar" priority="1432">
      <dataBar>
        <cfvo type="min"/>
        <cfvo type="max"/>
        <color rgb="FF638EC6"/>
      </dataBar>
    </cfRule>
    <cfRule type="dataBar" priority="1431">
      <dataBar>
        <cfvo type="min"/>
        <cfvo type="max"/>
        <color rgb="FF00B0F0"/>
      </dataBar>
    </cfRule>
  </conditionalFormatting>
  <conditionalFormatting sqref="L1814:L1830 L1832:L1843">
    <cfRule type="dataBar" priority="1430">
      <dataBar>
        <cfvo type="min"/>
        <cfvo type="max"/>
        <color rgb="FF3FCDFF"/>
      </dataBar>
    </cfRule>
    <cfRule type="dataBar" priority="1429">
      <dataBar>
        <cfvo type="min"/>
        <cfvo type="max"/>
        <color rgb="FF00B0F0"/>
      </dataBar>
    </cfRule>
  </conditionalFormatting>
  <conditionalFormatting sqref="L1831">
    <cfRule type="dataBar" priority="1425">
      <dataBar>
        <cfvo type="min"/>
        <cfvo type="max"/>
        <color rgb="FF638EC6"/>
      </dataBar>
    </cfRule>
    <cfRule type="dataBar" priority="1424">
      <dataBar>
        <cfvo type="min"/>
        <cfvo type="max"/>
        <color rgb="FF00B0F0"/>
      </dataBar>
    </cfRule>
    <cfRule type="dataBar" priority="1426">
      <dataBar>
        <cfvo type="min"/>
        <cfvo type="max"/>
        <color rgb="FF3FCDFF"/>
      </dataBar>
    </cfRule>
  </conditionalFormatting>
  <conditionalFormatting sqref="L1848">
    <cfRule type="dataBar" priority="690">
      <dataBar>
        <cfvo type="min"/>
        <cfvo type="max"/>
        <color rgb="FF3FCDFF"/>
      </dataBar>
    </cfRule>
  </conditionalFormatting>
  <conditionalFormatting sqref="L1849:L1850">
    <cfRule type="dataBar" priority="689">
      <dataBar>
        <cfvo type="min"/>
        <cfvo type="max"/>
        <color rgb="FF3FCDFF"/>
      </dataBar>
    </cfRule>
  </conditionalFormatting>
  <conditionalFormatting sqref="L1851">
    <cfRule type="dataBar" priority="695">
      <dataBar>
        <cfvo type="min"/>
        <cfvo type="max"/>
        <color rgb="FF3FCDFF"/>
      </dataBar>
    </cfRule>
  </conditionalFormatting>
  <conditionalFormatting sqref="L1852">
    <cfRule type="dataBar" priority="688">
      <dataBar>
        <cfvo type="min"/>
        <cfvo type="max"/>
        <color rgb="FF3FCDFF"/>
      </dataBar>
    </cfRule>
  </conditionalFormatting>
  <conditionalFormatting sqref="L1853">
    <cfRule type="dataBar" priority="691">
      <dataBar>
        <cfvo type="min"/>
        <cfvo type="max"/>
        <color rgb="FF3FCDFF"/>
      </dataBar>
    </cfRule>
  </conditionalFormatting>
  <conditionalFormatting sqref="L1854:L1855">
    <cfRule type="dataBar" priority="687">
      <dataBar>
        <cfvo type="min"/>
        <cfvo type="max"/>
        <color rgb="FF3FCDFF"/>
      </dataBar>
    </cfRule>
  </conditionalFormatting>
  <conditionalFormatting sqref="L1856">
    <cfRule type="dataBar" priority="686">
      <dataBar>
        <cfvo type="min"/>
        <cfvo type="max"/>
        <color rgb="FF3FCDFF"/>
      </dataBar>
    </cfRule>
  </conditionalFormatting>
  <conditionalFormatting sqref="L1857">
    <cfRule type="dataBar" priority="685">
      <dataBar>
        <cfvo type="min"/>
        <cfvo type="max"/>
        <color rgb="FF3FCDFF"/>
      </dataBar>
    </cfRule>
  </conditionalFormatting>
  <conditionalFormatting sqref="L1859">
    <cfRule type="dataBar" priority="684">
      <dataBar>
        <cfvo type="min"/>
        <cfvo type="max"/>
        <color rgb="FF3FCDFF"/>
      </dataBar>
    </cfRule>
  </conditionalFormatting>
  <conditionalFormatting sqref="L1860">
    <cfRule type="dataBar" priority="683">
      <dataBar>
        <cfvo type="min"/>
        <cfvo type="max"/>
        <color rgb="FF3FCDFF"/>
      </dataBar>
    </cfRule>
  </conditionalFormatting>
  <conditionalFormatting sqref="L1861">
    <cfRule type="dataBar" priority="696">
      <dataBar>
        <cfvo type="min"/>
        <cfvo type="max"/>
        <color rgb="FF3FCDFF"/>
      </dataBar>
    </cfRule>
  </conditionalFormatting>
  <conditionalFormatting sqref="L1862 L1858 L1869 L1874 L1877">
    <cfRule type="dataBar" priority="698">
      <dataBar>
        <cfvo type="min"/>
        <cfvo type="max"/>
        <color rgb="FF00B0F0"/>
      </dataBar>
    </cfRule>
    <cfRule type="dataBar" priority="699">
      <dataBar>
        <cfvo type="min"/>
        <cfvo type="max"/>
        <color rgb="FF638EC6"/>
      </dataBar>
    </cfRule>
    <cfRule type="dataBar" priority="697">
      <dataBar>
        <cfvo type="min"/>
        <cfvo type="max"/>
        <color rgb="FF3FCDFF"/>
      </dataBar>
    </cfRule>
  </conditionalFormatting>
  <conditionalFormatting sqref="L1863">
    <cfRule type="dataBar" priority="682">
      <dataBar>
        <cfvo type="min"/>
        <cfvo type="max"/>
        <color rgb="FF3FCDFF"/>
      </dataBar>
    </cfRule>
  </conditionalFormatting>
  <conditionalFormatting sqref="L1864">
    <cfRule type="dataBar" priority="694">
      <dataBar>
        <cfvo type="min"/>
        <cfvo type="max"/>
        <color rgb="FF3FCDFF"/>
      </dataBar>
    </cfRule>
  </conditionalFormatting>
  <conditionalFormatting sqref="L1865:L1868">
    <cfRule type="dataBar" priority="681">
      <dataBar>
        <cfvo type="min"/>
        <cfvo type="max"/>
        <color rgb="FF3FCDFF"/>
      </dataBar>
    </cfRule>
  </conditionalFormatting>
  <conditionalFormatting sqref="L1870">
    <cfRule type="dataBar" priority="693">
      <dataBar>
        <cfvo type="min"/>
        <cfvo type="max"/>
        <color rgb="FF3FCDFF"/>
      </dataBar>
    </cfRule>
  </conditionalFormatting>
  <conditionalFormatting sqref="L1871:L1872">
    <cfRule type="dataBar" priority="680">
      <dataBar>
        <cfvo type="min"/>
        <cfvo type="max"/>
        <color rgb="FF3FCDFF"/>
      </dataBar>
    </cfRule>
  </conditionalFormatting>
  <conditionalFormatting sqref="L1873">
    <cfRule type="dataBar" priority="679">
      <dataBar>
        <cfvo type="min"/>
        <cfvo type="max"/>
        <color rgb="FF3FCDFF"/>
      </dataBar>
    </cfRule>
  </conditionalFormatting>
  <conditionalFormatting sqref="L1875">
    <cfRule type="dataBar" priority="678">
      <dataBar>
        <cfvo type="min"/>
        <cfvo type="max"/>
        <color rgb="FF3FCDFF"/>
      </dataBar>
    </cfRule>
  </conditionalFormatting>
  <conditionalFormatting sqref="L1876">
    <cfRule type="dataBar" priority="692">
      <dataBar>
        <cfvo type="min"/>
        <cfvo type="max"/>
        <color rgb="FF3FCDFF"/>
      </dataBar>
    </cfRule>
  </conditionalFormatting>
  <conditionalFormatting sqref="L1878">
    <cfRule type="dataBar" priority="667">
      <dataBar>
        <cfvo type="min"/>
        <cfvo type="max"/>
        <color rgb="FF3FCDFF"/>
      </dataBar>
    </cfRule>
  </conditionalFormatting>
  <conditionalFormatting sqref="L1879:L1880">
    <cfRule type="dataBar" priority="666">
      <dataBar>
        <cfvo type="min"/>
        <cfvo type="max"/>
        <color rgb="FF3FCDFF"/>
      </dataBar>
    </cfRule>
  </conditionalFormatting>
  <conditionalFormatting sqref="L1881">
    <cfRule type="dataBar" priority="672">
      <dataBar>
        <cfvo type="min"/>
        <cfvo type="max"/>
        <color rgb="FF3FCDFF"/>
      </dataBar>
    </cfRule>
  </conditionalFormatting>
  <conditionalFormatting sqref="L1882">
    <cfRule type="dataBar" priority="665">
      <dataBar>
        <cfvo type="min"/>
        <cfvo type="max"/>
        <color rgb="FF3FCDFF"/>
      </dataBar>
    </cfRule>
  </conditionalFormatting>
  <conditionalFormatting sqref="L1883">
    <cfRule type="dataBar" priority="668">
      <dataBar>
        <cfvo type="min"/>
        <cfvo type="max"/>
        <color rgb="FF3FCDFF"/>
      </dataBar>
    </cfRule>
  </conditionalFormatting>
  <conditionalFormatting sqref="L1884:L1885">
    <cfRule type="dataBar" priority="664">
      <dataBar>
        <cfvo type="min"/>
        <cfvo type="max"/>
        <color rgb="FF3FCDFF"/>
      </dataBar>
    </cfRule>
  </conditionalFormatting>
  <conditionalFormatting sqref="L1886">
    <cfRule type="dataBar" priority="663">
      <dataBar>
        <cfvo type="min"/>
        <cfvo type="max"/>
        <color rgb="FF3FCDFF"/>
      </dataBar>
    </cfRule>
  </conditionalFormatting>
  <conditionalFormatting sqref="L1887">
    <cfRule type="dataBar" priority="662">
      <dataBar>
        <cfvo type="min"/>
        <cfvo type="max"/>
        <color rgb="FF3FCDFF"/>
      </dataBar>
    </cfRule>
  </conditionalFormatting>
  <conditionalFormatting sqref="L1889">
    <cfRule type="dataBar" priority="661">
      <dataBar>
        <cfvo type="min"/>
        <cfvo type="max"/>
        <color rgb="FF3FCDFF"/>
      </dataBar>
    </cfRule>
  </conditionalFormatting>
  <conditionalFormatting sqref="L1890">
    <cfRule type="dataBar" priority="660">
      <dataBar>
        <cfvo type="min"/>
        <cfvo type="max"/>
        <color rgb="FF3FCDFF"/>
      </dataBar>
    </cfRule>
  </conditionalFormatting>
  <conditionalFormatting sqref="L1891">
    <cfRule type="dataBar" priority="673">
      <dataBar>
        <cfvo type="min"/>
        <cfvo type="max"/>
        <color rgb="FF3FCDFF"/>
      </dataBar>
    </cfRule>
  </conditionalFormatting>
  <conditionalFormatting sqref="L1892 L1888 L1899 L1904 L1907">
    <cfRule type="dataBar" priority="674">
      <dataBar>
        <cfvo type="min"/>
        <cfvo type="max"/>
        <color rgb="FF3FCDFF"/>
      </dataBar>
    </cfRule>
    <cfRule type="dataBar" priority="675">
      <dataBar>
        <cfvo type="min"/>
        <cfvo type="max"/>
        <color rgb="FF00B0F0"/>
      </dataBar>
    </cfRule>
    <cfRule type="dataBar" priority="676">
      <dataBar>
        <cfvo type="min"/>
        <cfvo type="max"/>
        <color rgb="FF638EC6"/>
      </dataBar>
    </cfRule>
  </conditionalFormatting>
  <conditionalFormatting sqref="L1893">
    <cfRule type="dataBar" priority="659">
      <dataBar>
        <cfvo type="min"/>
        <cfvo type="max"/>
        <color rgb="FF3FCDFF"/>
      </dataBar>
    </cfRule>
  </conditionalFormatting>
  <conditionalFormatting sqref="L1894">
    <cfRule type="dataBar" priority="671">
      <dataBar>
        <cfvo type="min"/>
        <cfvo type="max"/>
        <color rgb="FF3FCDFF"/>
      </dataBar>
    </cfRule>
  </conditionalFormatting>
  <conditionalFormatting sqref="L1895:L1898">
    <cfRule type="dataBar" priority="658">
      <dataBar>
        <cfvo type="min"/>
        <cfvo type="max"/>
        <color rgb="FF3FCDFF"/>
      </dataBar>
    </cfRule>
  </conditionalFormatting>
  <conditionalFormatting sqref="L1900">
    <cfRule type="dataBar" priority="670">
      <dataBar>
        <cfvo type="min"/>
        <cfvo type="max"/>
        <color rgb="FF3FCDFF"/>
      </dataBar>
    </cfRule>
  </conditionalFormatting>
  <conditionalFormatting sqref="L1901:L1902">
    <cfRule type="dataBar" priority="657">
      <dataBar>
        <cfvo type="min"/>
        <cfvo type="max"/>
        <color rgb="FF3FCDFF"/>
      </dataBar>
    </cfRule>
  </conditionalFormatting>
  <conditionalFormatting sqref="L1903">
    <cfRule type="dataBar" priority="656">
      <dataBar>
        <cfvo type="min"/>
        <cfvo type="max"/>
        <color rgb="FF3FCDFF"/>
      </dataBar>
    </cfRule>
  </conditionalFormatting>
  <conditionalFormatting sqref="L1905">
    <cfRule type="dataBar" priority="655">
      <dataBar>
        <cfvo type="min"/>
        <cfvo type="max"/>
        <color rgb="FF3FCDFF"/>
      </dataBar>
    </cfRule>
  </conditionalFormatting>
  <conditionalFormatting sqref="L1906">
    <cfRule type="dataBar" priority="669">
      <dataBar>
        <cfvo type="min"/>
        <cfvo type="max"/>
        <color rgb="FF3FCDFF"/>
      </dataBar>
    </cfRule>
  </conditionalFormatting>
  <conditionalFormatting sqref="L1908">
    <cfRule type="dataBar" priority="644">
      <dataBar>
        <cfvo type="min"/>
        <cfvo type="max"/>
        <color rgb="FF3FCDFF"/>
      </dataBar>
    </cfRule>
  </conditionalFormatting>
  <conditionalFormatting sqref="L1909:L1910">
    <cfRule type="dataBar" priority="643">
      <dataBar>
        <cfvo type="min"/>
        <cfvo type="max"/>
        <color rgb="FF3FCDFF"/>
      </dataBar>
    </cfRule>
  </conditionalFormatting>
  <conditionalFormatting sqref="L1911">
    <cfRule type="dataBar" priority="649">
      <dataBar>
        <cfvo type="min"/>
        <cfvo type="max"/>
        <color rgb="FF3FCDFF"/>
      </dataBar>
    </cfRule>
  </conditionalFormatting>
  <conditionalFormatting sqref="L1912">
    <cfRule type="dataBar" priority="642">
      <dataBar>
        <cfvo type="min"/>
        <cfvo type="max"/>
        <color rgb="FF3FCDFF"/>
      </dataBar>
    </cfRule>
  </conditionalFormatting>
  <conditionalFormatting sqref="L1913">
    <cfRule type="dataBar" priority="645">
      <dataBar>
        <cfvo type="min"/>
        <cfvo type="max"/>
        <color rgb="FF3FCDFF"/>
      </dataBar>
    </cfRule>
  </conditionalFormatting>
  <conditionalFormatting sqref="L1914:L1915">
    <cfRule type="dataBar" priority="641">
      <dataBar>
        <cfvo type="min"/>
        <cfvo type="max"/>
        <color rgb="FF3FCDFF"/>
      </dataBar>
    </cfRule>
  </conditionalFormatting>
  <conditionalFormatting sqref="L1916">
    <cfRule type="dataBar" priority="640">
      <dataBar>
        <cfvo type="min"/>
        <cfvo type="max"/>
        <color rgb="FF3FCDFF"/>
      </dataBar>
    </cfRule>
  </conditionalFormatting>
  <conditionalFormatting sqref="L1917">
    <cfRule type="dataBar" priority="639">
      <dataBar>
        <cfvo type="min"/>
        <cfvo type="max"/>
        <color rgb="FF3FCDFF"/>
      </dataBar>
    </cfRule>
  </conditionalFormatting>
  <conditionalFormatting sqref="L1919">
    <cfRule type="dataBar" priority="638">
      <dataBar>
        <cfvo type="min"/>
        <cfvo type="max"/>
        <color rgb="FF3FCDFF"/>
      </dataBar>
    </cfRule>
  </conditionalFormatting>
  <conditionalFormatting sqref="L1920">
    <cfRule type="dataBar" priority="637">
      <dataBar>
        <cfvo type="min"/>
        <cfvo type="max"/>
        <color rgb="FF3FCDFF"/>
      </dataBar>
    </cfRule>
  </conditionalFormatting>
  <conditionalFormatting sqref="L1921">
    <cfRule type="dataBar" priority="650">
      <dataBar>
        <cfvo type="min"/>
        <cfvo type="max"/>
        <color rgb="FF3FCDFF"/>
      </dataBar>
    </cfRule>
  </conditionalFormatting>
  <conditionalFormatting sqref="L1922 L1918 L1929 L1934 L1937">
    <cfRule type="dataBar" priority="652">
      <dataBar>
        <cfvo type="min"/>
        <cfvo type="max"/>
        <color rgb="FF00B0F0"/>
      </dataBar>
    </cfRule>
    <cfRule type="dataBar" priority="651">
      <dataBar>
        <cfvo type="min"/>
        <cfvo type="max"/>
        <color rgb="FF3FCDFF"/>
      </dataBar>
    </cfRule>
    <cfRule type="dataBar" priority="653">
      <dataBar>
        <cfvo type="min"/>
        <cfvo type="max"/>
        <color rgb="FF638EC6"/>
      </dataBar>
    </cfRule>
  </conditionalFormatting>
  <conditionalFormatting sqref="L1923">
    <cfRule type="dataBar" priority="636">
      <dataBar>
        <cfvo type="min"/>
        <cfvo type="max"/>
        <color rgb="FF3FCDFF"/>
      </dataBar>
    </cfRule>
  </conditionalFormatting>
  <conditionalFormatting sqref="L1924">
    <cfRule type="dataBar" priority="648">
      <dataBar>
        <cfvo type="min"/>
        <cfvo type="max"/>
        <color rgb="FF3FCDFF"/>
      </dataBar>
    </cfRule>
  </conditionalFormatting>
  <conditionalFormatting sqref="L1925:L1928">
    <cfRule type="dataBar" priority="635">
      <dataBar>
        <cfvo type="min"/>
        <cfvo type="max"/>
        <color rgb="FF3FCDFF"/>
      </dataBar>
    </cfRule>
  </conditionalFormatting>
  <conditionalFormatting sqref="L1930">
    <cfRule type="dataBar" priority="647">
      <dataBar>
        <cfvo type="min"/>
        <cfvo type="max"/>
        <color rgb="FF3FCDFF"/>
      </dataBar>
    </cfRule>
  </conditionalFormatting>
  <conditionalFormatting sqref="L1931:L1932">
    <cfRule type="dataBar" priority="634">
      <dataBar>
        <cfvo type="min"/>
        <cfvo type="max"/>
        <color rgb="FF3FCDFF"/>
      </dataBar>
    </cfRule>
  </conditionalFormatting>
  <conditionalFormatting sqref="L1933">
    <cfRule type="dataBar" priority="633">
      <dataBar>
        <cfvo type="min"/>
        <cfvo type="max"/>
        <color rgb="FF3FCDFF"/>
      </dataBar>
    </cfRule>
  </conditionalFormatting>
  <conditionalFormatting sqref="L1935">
    <cfRule type="dataBar" priority="632">
      <dataBar>
        <cfvo type="min"/>
        <cfvo type="max"/>
        <color rgb="FF3FCDFF"/>
      </dataBar>
    </cfRule>
  </conditionalFormatting>
  <conditionalFormatting sqref="L1936">
    <cfRule type="dataBar" priority="646">
      <dataBar>
        <cfvo type="min"/>
        <cfvo type="max"/>
        <color rgb="FF3FCDFF"/>
      </dataBar>
    </cfRule>
  </conditionalFormatting>
  <conditionalFormatting sqref="L1938">
    <cfRule type="dataBar" priority="621">
      <dataBar>
        <cfvo type="min"/>
        <cfvo type="max"/>
        <color rgb="FF3FCDFF"/>
      </dataBar>
    </cfRule>
  </conditionalFormatting>
  <conditionalFormatting sqref="L1939:L1940">
    <cfRule type="dataBar" priority="620">
      <dataBar>
        <cfvo type="min"/>
        <cfvo type="max"/>
        <color rgb="FF3FCDFF"/>
      </dataBar>
    </cfRule>
  </conditionalFormatting>
  <conditionalFormatting sqref="L1941">
    <cfRule type="dataBar" priority="626">
      <dataBar>
        <cfvo type="min"/>
        <cfvo type="max"/>
        <color rgb="FF3FCDFF"/>
      </dataBar>
    </cfRule>
  </conditionalFormatting>
  <conditionalFormatting sqref="L1942">
    <cfRule type="dataBar" priority="619">
      <dataBar>
        <cfvo type="min"/>
        <cfvo type="max"/>
        <color rgb="FF3FCDFF"/>
      </dataBar>
    </cfRule>
  </conditionalFormatting>
  <conditionalFormatting sqref="L1943">
    <cfRule type="dataBar" priority="622">
      <dataBar>
        <cfvo type="min"/>
        <cfvo type="max"/>
        <color rgb="FF3FCDFF"/>
      </dataBar>
    </cfRule>
  </conditionalFormatting>
  <conditionalFormatting sqref="L1944:L1945">
    <cfRule type="dataBar" priority="618">
      <dataBar>
        <cfvo type="min"/>
        <cfvo type="max"/>
        <color rgb="FF3FCDFF"/>
      </dataBar>
    </cfRule>
  </conditionalFormatting>
  <conditionalFormatting sqref="L1946">
    <cfRule type="dataBar" priority="617">
      <dataBar>
        <cfvo type="min"/>
        <cfvo type="max"/>
        <color rgb="FF3FCDFF"/>
      </dataBar>
    </cfRule>
  </conditionalFormatting>
  <conditionalFormatting sqref="L1947">
    <cfRule type="dataBar" priority="616">
      <dataBar>
        <cfvo type="min"/>
        <cfvo type="max"/>
        <color rgb="FF3FCDFF"/>
      </dataBar>
    </cfRule>
  </conditionalFormatting>
  <conditionalFormatting sqref="L1949">
    <cfRule type="dataBar" priority="615">
      <dataBar>
        <cfvo type="min"/>
        <cfvo type="max"/>
        <color rgb="FF3FCDFF"/>
      </dataBar>
    </cfRule>
  </conditionalFormatting>
  <conditionalFormatting sqref="L1950">
    <cfRule type="dataBar" priority="614">
      <dataBar>
        <cfvo type="min"/>
        <cfvo type="max"/>
        <color rgb="FF3FCDFF"/>
      </dataBar>
    </cfRule>
  </conditionalFormatting>
  <conditionalFormatting sqref="L1951">
    <cfRule type="dataBar" priority="627">
      <dataBar>
        <cfvo type="min"/>
        <cfvo type="max"/>
        <color rgb="FF3FCDFF"/>
      </dataBar>
    </cfRule>
  </conditionalFormatting>
  <conditionalFormatting sqref="L1952 L1948 L1959 L1964 L1967">
    <cfRule type="dataBar" priority="630">
      <dataBar>
        <cfvo type="min"/>
        <cfvo type="max"/>
        <color rgb="FF638EC6"/>
      </dataBar>
    </cfRule>
    <cfRule type="dataBar" priority="629">
      <dataBar>
        <cfvo type="min"/>
        <cfvo type="max"/>
        <color rgb="FF00B0F0"/>
      </dataBar>
    </cfRule>
    <cfRule type="dataBar" priority="628">
      <dataBar>
        <cfvo type="min"/>
        <cfvo type="max"/>
        <color rgb="FF3FCDFF"/>
      </dataBar>
    </cfRule>
  </conditionalFormatting>
  <conditionalFormatting sqref="L1953">
    <cfRule type="dataBar" priority="613">
      <dataBar>
        <cfvo type="min"/>
        <cfvo type="max"/>
        <color rgb="FF3FCDFF"/>
      </dataBar>
    </cfRule>
  </conditionalFormatting>
  <conditionalFormatting sqref="L1954">
    <cfRule type="dataBar" priority="625">
      <dataBar>
        <cfvo type="min"/>
        <cfvo type="max"/>
        <color rgb="FF3FCDFF"/>
      </dataBar>
    </cfRule>
  </conditionalFormatting>
  <conditionalFormatting sqref="L1955:L1958">
    <cfRule type="dataBar" priority="612">
      <dataBar>
        <cfvo type="min"/>
        <cfvo type="max"/>
        <color rgb="FF3FCDFF"/>
      </dataBar>
    </cfRule>
  </conditionalFormatting>
  <conditionalFormatting sqref="L1960">
    <cfRule type="dataBar" priority="624">
      <dataBar>
        <cfvo type="min"/>
        <cfvo type="max"/>
        <color rgb="FF3FCDFF"/>
      </dataBar>
    </cfRule>
  </conditionalFormatting>
  <conditionalFormatting sqref="L1961:L1962">
    <cfRule type="dataBar" priority="611">
      <dataBar>
        <cfvo type="min"/>
        <cfvo type="max"/>
        <color rgb="FF3FCDFF"/>
      </dataBar>
    </cfRule>
  </conditionalFormatting>
  <conditionalFormatting sqref="L1963">
    <cfRule type="dataBar" priority="610">
      <dataBar>
        <cfvo type="min"/>
        <cfvo type="max"/>
        <color rgb="FF3FCDFF"/>
      </dataBar>
    </cfRule>
  </conditionalFormatting>
  <conditionalFormatting sqref="L1965">
    <cfRule type="dataBar" priority="609">
      <dataBar>
        <cfvo type="min"/>
        <cfvo type="max"/>
        <color rgb="FF3FCDFF"/>
      </dataBar>
    </cfRule>
  </conditionalFormatting>
  <conditionalFormatting sqref="L1966">
    <cfRule type="dataBar" priority="623">
      <dataBar>
        <cfvo type="min"/>
        <cfvo type="max"/>
        <color rgb="FF3FCDFF"/>
      </dataBar>
    </cfRule>
  </conditionalFormatting>
  <conditionalFormatting sqref="L1968">
    <cfRule type="dataBar" priority="598">
      <dataBar>
        <cfvo type="min"/>
        <cfvo type="max"/>
        <color rgb="FF3FCDFF"/>
      </dataBar>
    </cfRule>
  </conditionalFormatting>
  <conditionalFormatting sqref="L1969:L1970">
    <cfRule type="dataBar" priority="597">
      <dataBar>
        <cfvo type="min"/>
        <cfvo type="max"/>
        <color rgb="FF3FCDFF"/>
      </dataBar>
    </cfRule>
  </conditionalFormatting>
  <conditionalFormatting sqref="L1971">
    <cfRule type="dataBar" priority="603">
      <dataBar>
        <cfvo type="min"/>
        <cfvo type="max"/>
        <color rgb="FF3FCDFF"/>
      </dataBar>
    </cfRule>
  </conditionalFormatting>
  <conditionalFormatting sqref="L1972">
    <cfRule type="dataBar" priority="596">
      <dataBar>
        <cfvo type="min"/>
        <cfvo type="max"/>
        <color rgb="FF3FCDFF"/>
      </dataBar>
    </cfRule>
  </conditionalFormatting>
  <conditionalFormatting sqref="L1973">
    <cfRule type="dataBar" priority="599">
      <dataBar>
        <cfvo type="min"/>
        <cfvo type="max"/>
        <color rgb="FF3FCDFF"/>
      </dataBar>
    </cfRule>
  </conditionalFormatting>
  <conditionalFormatting sqref="L1974:L1975">
    <cfRule type="dataBar" priority="595">
      <dataBar>
        <cfvo type="min"/>
        <cfvo type="max"/>
        <color rgb="FF3FCDFF"/>
      </dataBar>
    </cfRule>
  </conditionalFormatting>
  <conditionalFormatting sqref="L1976">
    <cfRule type="dataBar" priority="594">
      <dataBar>
        <cfvo type="min"/>
        <cfvo type="max"/>
        <color rgb="FF3FCDFF"/>
      </dataBar>
    </cfRule>
  </conditionalFormatting>
  <conditionalFormatting sqref="L1977">
    <cfRule type="dataBar" priority="593">
      <dataBar>
        <cfvo type="min"/>
        <cfvo type="max"/>
        <color rgb="FF3FCDFF"/>
      </dataBar>
    </cfRule>
  </conditionalFormatting>
  <conditionalFormatting sqref="L1979">
    <cfRule type="dataBar" priority="592">
      <dataBar>
        <cfvo type="min"/>
        <cfvo type="max"/>
        <color rgb="FF3FCDFF"/>
      </dataBar>
    </cfRule>
  </conditionalFormatting>
  <conditionalFormatting sqref="L1980">
    <cfRule type="dataBar" priority="591">
      <dataBar>
        <cfvo type="min"/>
        <cfvo type="max"/>
        <color rgb="FF3FCDFF"/>
      </dataBar>
    </cfRule>
  </conditionalFormatting>
  <conditionalFormatting sqref="L1981">
    <cfRule type="dataBar" priority="604">
      <dataBar>
        <cfvo type="min"/>
        <cfvo type="max"/>
        <color rgb="FF3FCDFF"/>
      </dataBar>
    </cfRule>
  </conditionalFormatting>
  <conditionalFormatting sqref="L1982 L1978 L1989 L1994 L1997">
    <cfRule type="dataBar" priority="607">
      <dataBar>
        <cfvo type="min"/>
        <cfvo type="max"/>
        <color rgb="FF638EC6"/>
      </dataBar>
    </cfRule>
    <cfRule type="dataBar" priority="605">
      <dataBar>
        <cfvo type="min"/>
        <cfvo type="max"/>
        <color rgb="FF3FCDFF"/>
      </dataBar>
    </cfRule>
    <cfRule type="dataBar" priority="606">
      <dataBar>
        <cfvo type="min"/>
        <cfvo type="max"/>
        <color rgb="FF00B0F0"/>
      </dataBar>
    </cfRule>
  </conditionalFormatting>
  <conditionalFormatting sqref="L1983">
    <cfRule type="dataBar" priority="590">
      <dataBar>
        <cfvo type="min"/>
        <cfvo type="max"/>
        <color rgb="FF3FCDFF"/>
      </dataBar>
    </cfRule>
  </conditionalFormatting>
  <conditionalFormatting sqref="L1984">
    <cfRule type="dataBar" priority="602">
      <dataBar>
        <cfvo type="min"/>
        <cfvo type="max"/>
        <color rgb="FF3FCDFF"/>
      </dataBar>
    </cfRule>
  </conditionalFormatting>
  <conditionalFormatting sqref="L1985:L1988">
    <cfRule type="dataBar" priority="589">
      <dataBar>
        <cfvo type="min"/>
        <cfvo type="max"/>
        <color rgb="FF3FCDFF"/>
      </dataBar>
    </cfRule>
  </conditionalFormatting>
  <conditionalFormatting sqref="L1990">
    <cfRule type="dataBar" priority="601">
      <dataBar>
        <cfvo type="min"/>
        <cfvo type="max"/>
        <color rgb="FF3FCDFF"/>
      </dataBar>
    </cfRule>
  </conditionalFormatting>
  <conditionalFormatting sqref="L1991:L1992">
    <cfRule type="dataBar" priority="588">
      <dataBar>
        <cfvo type="min"/>
        <cfvo type="max"/>
        <color rgb="FF3FCDFF"/>
      </dataBar>
    </cfRule>
  </conditionalFormatting>
  <conditionalFormatting sqref="L1993">
    <cfRule type="dataBar" priority="587">
      <dataBar>
        <cfvo type="min"/>
        <cfvo type="max"/>
        <color rgb="FF3FCDFF"/>
      </dataBar>
    </cfRule>
  </conditionalFormatting>
  <conditionalFormatting sqref="L1995">
    <cfRule type="dataBar" priority="586">
      <dataBar>
        <cfvo type="min"/>
        <cfvo type="max"/>
        <color rgb="FF3FCDFF"/>
      </dataBar>
    </cfRule>
  </conditionalFormatting>
  <conditionalFormatting sqref="L1996">
    <cfRule type="dataBar" priority="600">
      <dataBar>
        <cfvo type="min"/>
        <cfvo type="max"/>
        <color rgb="FF3FCDFF"/>
      </dataBar>
    </cfRule>
  </conditionalFormatting>
  <conditionalFormatting sqref="L1998">
    <cfRule type="dataBar" priority="575">
      <dataBar>
        <cfvo type="min"/>
        <cfvo type="max"/>
        <color rgb="FF3FCDFF"/>
      </dataBar>
    </cfRule>
  </conditionalFormatting>
  <conditionalFormatting sqref="L1999:L2000">
    <cfRule type="dataBar" priority="574">
      <dataBar>
        <cfvo type="min"/>
        <cfvo type="max"/>
        <color rgb="FF3FCDFF"/>
      </dataBar>
    </cfRule>
  </conditionalFormatting>
  <conditionalFormatting sqref="L2001">
    <cfRule type="dataBar" priority="580">
      <dataBar>
        <cfvo type="min"/>
        <cfvo type="max"/>
        <color rgb="FF3FCDFF"/>
      </dataBar>
    </cfRule>
  </conditionalFormatting>
  <conditionalFormatting sqref="L2002">
    <cfRule type="dataBar" priority="573">
      <dataBar>
        <cfvo type="min"/>
        <cfvo type="max"/>
        <color rgb="FF3FCDFF"/>
      </dataBar>
    </cfRule>
  </conditionalFormatting>
  <conditionalFormatting sqref="L2003">
    <cfRule type="dataBar" priority="576">
      <dataBar>
        <cfvo type="min"/>
        <cfvo type="max"/>
        <color rgb="FF3FCDFF"/>
      </dataBar>
    </cfRule>
  </conditionalFormatting>
  <conditionalFormatting sqref="L2004:L2005">
    <cfRule type="dataBar" priority="572">
      <dataBar>
        <cfvo type="min"/>
        <cfvo type="max"/>
        <color rgb="FF3FCDFF"/>
      </dataBar>
    </cfRule>
  </conditionalFormatting>
  <conditionalFormatting sqref="L2006">
    <cfRule type="dataBar" priority="571">
      <dataBar>
        <cfvo type="min"/>
        <cfvo type="max"/>
        <color rgb="FF3FCDFF"/>
      </dataBar>
    </cfRule>
  </conditionalFormatting>
  <conditionalFormatting sqref="L2007">
    <cfRule type="dataBar" priority="570">
      <dataBar>
        <cfvo type="min"/>
        <cfvo type="max"/>
        <color rgb="FF3FCDFF"/>
      </dataBar>
    </cfRule>
  </conditionalFormatting>
  <conditionalFormatting sqref="L2009">
    <cfRule type="dataBar" priority="569">
      <dataBar>
        <cfvo type="min"/>
        <cfvo type="max"/>
        <color rgb="FF3FCDFF"/>
      </dataBar>
    </cfRule>
  </conditionalFormatting>
  <conditionalFormatting sqref="L2010">
    <cfRule type="dataBar" priority="568">
      <dataBar>
        <cfvo type="min"/>
        <cfvo type="max"/>
        <color rgb="FF3FCDFF"/>
      </dataBar>
    </cfRule>
  </conditionalFormatting>
  <conditionalFormatting sqref="L2011">
    <cfRule type="dataBar" priority="581">
      <dataBar>
        <cfvo type="min"/>
        <cfvo type="max"/>
        <color rgb="FF3FCDFF"/>
      </dataBar>
    </cfRule>
  </conditionalFormatting>
  <conditionalFormatting sqref="L2012 L2008 L2019 L2024 L2027 L2038 L2042 L2049 L2054 L2057">
    <cfRule type="dataBar" priority="582">
      <dataBar>
        <cfvo type="min"/>
        <cfvo type="max"/>
        <color rgb="FF3FCDFF"/>
      </dataBar>
    </cfRule>
    <cfRule type="dataBar" priority="583">
      <dataBar>
        <cfvo type="min"/>
        <cfvo type="max"/>
        <color rgb="FF00B0F0"/>
      </dataBar>
    </cfRule>
    <cfRule type="dataBar" priority="584">
      <dataBar>
        <cfvo type="min"/>
        <cfvo type="max"/>
        <color rgb="FF638EC6"/>
      </dataBar>
    </cfRule>
  </conditionalFormatting>
  <conditionalFormatting sqref="L2013">
    <cfRule type="dataBar" priority="567">
      <dataBar>
        <cfvo type="min"/>
        <cfvo type="max"/>
        <color rgb="FF3FCDFF"/>
      </dataBar>
    </cfRule>
  </conditionalFormatting>
  <conditionalFormatting sqref="L2014">
    <cfRule type="dataBar" priority="579">
      <dataBar>
        <cfvo type="min"/>
        <cfvo type="max"/>
        <color rgb="FF3FCDFF"/>
      </dataBar>
    </cfRule>
  </conditionalFormatting>
  <conditionalFormatting sqref="L2015:L2018">
    <cfRule type="dataBar" priority="566">
      <dataBar>
        <cfvo type="min"/>
        <cfvo type="max"/>
        <color rgb="FF3FCDFF"/>
      </dataBar>
    </cfRule>
  </conditionalFormatting>
  <conditionalFormatting sqref="L2020">
    <cfRule type="dataBar" priority="578">
      <dataBar>
        <cfvo type="min"/>
        <cfvo type="max"/>
        <color rgb="FF3FCDFF"/>
      </dataBar>
    </cfRule>
  </conditionalFormatting>
  <conditionalFormatting sqref="L2021:L2022">
    <cfRule type="dataBar" priority="565">
      <dataBar>
        <cfvo type="min"/>
        <cfvo type="max"/>
        <color rgb="FF3FCDFF"/>
      </dataBar>
    </cfRule>
  </conditionalFormatting>
  <conditionalFormatting sqref="L2023">
    <cfRule type="dataBar" priority="564">
      <dataBar>
        <cfvo type="min"/>
        <cfvo type="max"/>
        <color rgb="FF3FCDFF"/>
      </dataBar>
    </cfRule>
  </conditionalFormatting>
  <conditionalFormatting sqref="L2025">
    <cfRule type="dataBar" priority="563">
      <dataBar>
        <cfvo type="min"/>
        <cfvo type="max"/>
        <color rgb="FF3FCDFF"/>
      </dataBar>
    </cfRule>
  </conditionalFormatting>
  <conditionalFormatting sqref="L2026">
    <cfRule type="dataBar" priority="577">
      <dataBar>
        <cfvo type="min"/>
        <cfvo type="max"/>
        <color rgb="FF3FCDFF"/>
      </dataBar>
    </cfRule>
  </conditionalFormatting>
  <conditionalFormatting sqref="L2028">
    <cfRule type="dataBar" priority="556">
      <dataBar>
        <cfvo type="min"/>
        <cfvo type="max"/>
        <color rgb="FF3FCDFF"/>
      </dataBar>
    </cfRule>
  </conditionalFormatting>
  <conditionalFormatting sqref="L2029:L2030">
    <cfRule type="dataBar" priority="555">
      <dataBar>
        <cfvo type="min"/>
        <cfvo type="max"/>
        <color rgb="FF3FCDFF"/>
      </dataBar>
    </cfRule>
  </conditionalFormatting>
  <conditionalFormatting sqref="L2031">
    <cfRule type="dataBar" priority="561">
      <dataBar>
        <cfvo type="min"/>
        <cfvo type="max"/>
        <color rgb="FF3FCDFF"/>
      </dataBar>
    </cfRule>
  </conditionalFormatting>
  <conditionalFormatting sqref="L2032">
    <cfRule type="dataBar" priority="554">
      <dataBar>
        <cfvo type="min"/>
        <cfvo type="max"/>
        <color rgb="FF3FCDFF"/>
      </dataBar>
    </cfRule>
  </conditionalFormatting>
  <conditionalFormatting sqref="L2033">
    <cfRule type="dataBar" priority="557">
      <dataBar>
        <cfvo type="min"/>
        <cfvo type="max"/>
        <color rgb="FF3FCDFF"/>
      </dataBar>
    </cfRule>
  </conditionalFormatting>
  <conditionalFormatting sqref="L2034:L2035">
    <cfRule type="dataBar" priority="553">
      <dataBar>
        <cfvo type="min"/>
        <cfvo type="max"/>
        <color rgb="FF3FCDFF"/>
      </dataBar>
    </cfRule>
  </conditionalFormatting>
  <conditionalFormatting sqref="L2036">
    <cfRule type="dataBar" priority="552">
      <dataBar>
        <cfvo type="min"/>
        <cfvo type="max"/>
        <color rgb="FF3FCDFF"/>
      </dataBar>
    </cfRule>
  </conditionalFormatting>
  <conditionalFormatting sqref="L2037">
    <cfRule type="dataBar" priority="551">
      <dataBar>
        <cfvo type="min"/>
        <cfvo type="max"/>
        <color rgb="FF3FCDFF"/>
      </dataBar>
    </cfRule>
  </conditionalFormatting>
  <conditionalFormatting sqref="L2039">
    <cfRule type="dataBar" priority="550">
      <dataBar>
        <cfvo type="min"/>
        <cfvo type="max"/>
        <color rgb="FF3FCDFF"/>
      </dataBar>
    </cfRule>
  </conditionalFormatting>
  <conditionalFormatting sqref="L2040">
    <cfRule type="dataBar" priority="549">
      <dataBar>
        <cfvo type="min"/>
        <cfvo type="max"/>
        <color rgb="FF3FCDFF"/>
      </dataBar>
    </cfRule>
  </conditionalFormatting>
  <conditionalFormatting sqref="L2041">
    <cfRule type="dataBar" priority="562">
      <dataBar>
        <cfvo type="min"/>
        <cfvo type="max"/>
        <color rgb="FF3FCDFF"/>
      </dataBar>
    </cfRule>
  </conditionalFormatting>
  <conditionalFormatting sqref="L2043">
    <cfRule type="dataBar" priority="548">
      <dataBar>
        <cfvo type="min"/>
        <cfvo type="max"/>
        <color rgb="FF3FCDFF"/>
      </dataBar>
    </cfRule>
  </conditionalFormatting>
  <conditionalFormatting sqref="L2044">
    <cfRule type="dataBar" priority="560">
      <dataBar>
        <cfvo type="min"/>
        <cfvo type="max"/>
        <color rgb="FF3FCDFF"/>
      </dataBar>
    </cfRule>
  </conditionalFormatting>
  <conditionalFormatting sqref="L2045:L2048">
    <cfRule type="dataBar" priority="547">
      <dataBar>
        <cfvo type="min"/>
        <cfvo type="max"/>
        <color rgb="FF3FCDFF"/>
      </dataBar>
    </cfRule>
  </conditionalFormatting>
  <conditionalFormatting sqref="L2050">
    <cfRule type="dataBar" priority="559">
      <dataBar>
        <cfvo type="min"/>
        <cfvo type="max"/>
        <color rgb="FF3FCDFF"/>
      </dataBar>
    </cfRule>
  </conditionalFormatting>
  <conditionalFormatting sqref="L2051:L2052">
    <cfRule type="dataBar" priority="546">
      <dataBar>
        <cfvo type="min"/>
        <cfvo type="max"/>
        <color rgb="FF3FCDFF"/>
      </dataBar>
    </cfRule>
  </conditionalFormatting>
  <conditionalFormatting sqref="L2053">
    <cfRule type="dataBar" priority="545">
      <dataBar>
        <cfvo type="min"/>
        <cfvo type="max"/>
        <color rgb="FF3FCDFF"/>
      </dataBar>
    </cfRule>
  </conditionalFormatting>
  <conditionalFormatting sqref="L2055">
    <cfRule type="dataBar" priority="544">
      <dataBar>
        <cfvo type="min"/>
        <cfvo type="max"/>
        <color rgb="FF3FCDFF"/>
      </dataBar>
    </cfRule>
  </conditionalFormatting>
  <conditionalFormatting sqref="L2056">
    <cfRule type="dataBar" priority="558">
      <dataBar>
        <cfvo type="min"/>
        <cfvo type="max"/>
        <color rgb="FF3FCDFF"/>
      </dataBar>
    </cfRule>
  </conditionalFormatting>
  <conditionalFormatting sqref="L2059">
    <cfRule type="dataBar" priority="530">
      <dataBar>
        <cfvo type="min"/>
        <cfvo type="max"/>
        <color rgb="FF3FCDFF"/>
      </dataBar>
    </cfRule>
  </conditionalFormatting>
  <conditionalFormatting sqref="L2060:L2061">
    <cfRule type="dataBar" priority="529">
      <dataBar>
        <cfvo type="min"/>
        <cfvo type="max"/>
        <color rgb="FF3FCDFF"/>
      </dataBar>
    </cfRule>
  </conditionalFormatting>
  <conditionalFormatting sqref="L2062">
    <cfRule type="dataBar" priority="535">
      <dataBar>
        <cfvo type="min"/>
        <cfvo type="max"/>
        <color rgb="FF3FCDFF"/>
      </dataBar>
    </cfRule>
  </conditionalFormatting>
  <conditionalFormatting sqref="L2063">
    <cfRule type="dataBar" priority="528">
      <dataBar>
        <cfvo type="min"/>
        <cfvo type="max"/>
        <color rgb="FF3FCDFF"/>
      </dataBar>
    </cfRule>
  </conditionalFormatting>
  <conditionalFormatting sqref="L2064">
    <cfRule type="dataBar" priority="531">
      <dataBar>
        <cfvo type="min"/>
        <cfvo type="max"/>
        <color rgb="FF3FCDFF"/>
      </dataBar>
    </cfRule>
  </conditionalFormatting>
  <conditionalFormatting sqref="L2065:L2066">
    <cfRule type="dataBar" priority="527">
      <dataBar>
        <cfvo type="min"/>
        <cfvo type="max"/>
        <color rgb="FF3FCDFF"/>
      </dataBar>
    </cfRule>
  </conditionalFormatting>
  <conditionalFormatting sqref="L2067">
    <cfRule type="dataBar" priority="526">
      <dataBar>
        <cfvo type="min"/>
        <cfvo type="max"/>
        <color rgb="FF3FCDFF"/>
      </dataBar>
    </cfRule>
  </conditionalFormatting>
  <conditionalFormatting sqref="L2068">
    <cfRule type="dataBar" priority="525">
      <dataBar>
        <cfvo type="min"/>
        <cfvo type="max"/>
        <color rgb="FF3FCDFF"/>
      </dataBar>
    </cfRule>
  </conditionalFormatting>
  <conditionalFormatting sqref="L2070">
    <cfRule type="dataBar" priority="524">
      <dataBar>
        <cfvo type="min"/>
        <cfvo type="max"/>
        <color rgb="FF3FCDFF"/>
      </dataBar>
    </cfRule>
  </conditionalFormatting>
  <conditionalFormatting sqref="L2071">
    <cfRule type="dataBar" priority="523">
      <dataBar>
        <cfvo type="min"/>
        <cfvo type="max"/>
        <color rgb="FF3FCDFF"/>
      </dataBar>
    </cfRule>
  </conditionalFormatting>
  <conditionalFormatting sqref="L2072">
    <cfRule type="dataBar" priority="536">
      <dataBar>
        <cfvo type="min"/>
        <cfvo type="max"/>
        <color rgb="FF3FCDFF"/>
      </dataBar>
    </cfRule>
  </conditionalFormatting>
  <conditionalFormatting sqref="L2073">
    <cfRule type="dataBar" priority="539">
      <dataBar>
        <cfvo type="min"/>
        <cfvo type="max"/>
        <color rgb="FF638EC6"/>
      </dataBar>
    </cfRule>
    <cfRule type="dataBar" priority="538">
      <dataBar>
        <cfvo type="min"/>
        <cfvo type="max"/>
        <color rgb="FF00B0F0"/>
      </dataBar>
    </cfRule>
    <cfRule type="dataBar" priority="537">
      <dataBar>
        <cfvo type="min"/>
        <cfvo type="max"/>
        <color rgb="FF3FCDFF"/>
      </dataBar>
    </cfRule>
  </conditionalFormatting>
  <conditionalFormatting sqref="L2074">
    <cfRule type="dataBar" priority="522">
      <dataBar>
        <cfvo type="min"/>
        <cfvo type="max"/>
        <color rgb="FF3FCDFF"/>
      </dataBar>
    </cfRule>
  </conditionalFormatting>
  <conditionalFormatting sqref="L2075">
    <cfRule type="dataBar" priority="534">
      <dataBar>
        <cfvo type="min"/>
        <cfvo type="max"/>
        <color rgb="FF3FCDFF"/>
      </dataBar>
    </cfRule>
  </conditionalFormatting>
  <conditionalFormatting sqref="L2076:L2079">
    <cfRule type="dataBar" priority="521">
      <dataBar>
        <cfvo type="min"/>
        <cfvo type="max"/>
        <color rgb="FF3FCDFF"/>
      </dataBar>
    </cfRule>
  </conditionalFormatting>
  <conditionalFormatting sqref="L2080 L2069 L2085 L2088">
    <cfRule type="dataBar" priority="543">
      <dataBar>
        <cfvo type="min"/>
        <cfvo type="max"/>
        <color rgb="FF638EC6"/>
      </dataBar>
    </cfRule>
    <cfRule type="dataBar" priority="542">
      <dataBar>
        <cfvo type="min"/>
        <cfvo type="max"/>
        <color rgb="FF00B0F0"/>
      </dataBar>
    </cfRule>
    <cfRule type="dataBar" priority="541">
      <dataBar>
        <cfvo type="min"/>
        <cfvo type="max"/>
        <color rgb="FF3FCDFF"/>
      </dataBar>
    </cfRule>
  </conditionalFormatting>
  <conditionalFormatting sqref="L2081">
    <cfRule type="dataBar" priority="533">
      <dataBar>
        <cfvo type="min"/>
        <cfvo type="max"/>
        <color rgb="FF3FCDFF"/>
      </dataBar>
    </cfRule>
  </conditionalFormatting>
  <conditionalFormatting sqref="L2082:L2083">
    <cfRule type="dataBar" priority="520">
      <dataBar>
        <cfvo type="min"/>
        <cfvo type="max"/>
        <color rgb="FF3FCDFF"/>
      </dataBar>
    </cfRule>
  </conditionalFormatting>
  <conditionalFormatting sqref="L2084">
    <cfRule type="dataBar" priority="519">
      <dataBar>
        <cfvo type="min"/>
        <cfvo type="max"/>
        <color rgb="FF3FCDFF"/>
      </dataBar>
    </cfRule>
  </conditionalFormatting>
  <conditionalFormatting sqref="L2086">
    <cfRule type="dataBar" priority="518">
      <dataBar>
        <cfvo type="min"/>
        <cfvo type="max"/>
        <color rgb="FF3FCDFF"/>
      </dataBar>
    </cfRule>
  </conditionalFormatting>
  <conditionalFormatting sqref="L2087">
    <cfRule type="dataBar" priority="532">
      <dataBar>
        <cfvo type="min"/>
        <cfvo type="max"/>
        <color rgb="FF3FCDFF"/>
      </dataBar>
    </cfRule>
  </conditionalFormatting>
  <conditionalFormatting sqref="L2089">
    <cfRule type="dataBar" priority="507">
      <dataBar>
        <cfvo type="min"/>
        <cfvo type="max"/>
        <color rgb="FF3FCDFF"/>
      </dataBar>
    </cfRule>
  </conditionalFormatting>
  <conditionalFormatting sqref="L2090:L2091">
    <cfRule type="dataBar" priority="506">
      <dataBar>
        <cfvo type="min"/>
        <cfvo type="max"/>
        <color rgb="FF3FCDFF"/>
      </dataBar>
    </cfRule>
  </conditionalFormatting>
  <conditionalFormatting sqref="L2092">
    <cfRule type="dataBar" priority="512">
      <dataBar>
        <cfvo type="min"/>
        <cfvo type="max"/>
        <color rgb="FF3FCDFF"/>
      </dataBar>
    </cfRule>
  </conditionalFormatting>
  <conditionalFormatting sqref="L2093">
    <cfRule type="dataBar" priority="505">
      <dataBar>
        <cfvo type="min"/>
        <cfvo type="max"/>
        <color rgb="FF3FCDFF"/>
      </dataBar>
    </cfRule>
  </conditionalFormatting>
  <conditionalFormatting sqref="L2094">
    <cfRule type="dataBar" priority="508">
      <dataBar>
        <cfvo type="min"/>
        <cfvo type="max"/>
        <color rgb="FF3FCDFF"/>
      </dataBar>
    </cfRule>
  </conditionalFormatting>
  <conditionalFormatting sqref="L2095:L2096">
    <cfRule type="dataBar" priority="504">
      <dataBar>
        <cfvo type="min"/>
        <cfvo type="max"/>
        <color rgb="FF3FCDFF"/>
      </dataBar>
    </cfRule>
  </conditionalFormatting>
  <conditionalFormatting sqref="L2097">
    <cfRule type="dataBar" priority="503">
      <dataBar>
        <cfvo type="min"/>
        <cfvo type="max"/>
        <color rgb="FF3FCDFF"/>
      </dataBar>
    </cfRule>
  </conditionalFormatting>
  <conditionalFormatting sqref="L2098">
    <cfRule type="dataBar" priority="502">
      <dataBar>
        <cfvo type="min"/>
        <cfvo type="max"/>
        <color rgb="FF3FCDFF"/>
      </dataBar>
    </cfRule>
  </conditionalFormatting>
  <conditionalFormatting sqref="L2100">
    <cfRule type="dataBar" priority="501">
      <dataBar>
        <cfvo type="min"/>
        <cfvo type="max"/>
        <color rgb="FF3FCDFF"/>
      </dataBar>
    </cfRule>
  </conditionalFormatting>
  <conditionalFormatting sqref="L2101">
    <cfRule type="dataBar" priority="500">
      <dataBar>
        <cfvo type="min"/>
        <cfvo type="max"/>
        <color rgb="FF3FCDFF"/>
      </dataBar>
    </cfRule>
  </conditionalFormatting>
  <conditionalFormatting sqref="L2102">
    <cfRule type="dataBar" priority="513">
      <dataBar>
        <cfvo type="min"/>
        <cfvo type="max"/>
        <color rgb="FF3FCDFF"/>
      </dataBar>
    </cfRule>
  </conditionalFormatting>
  <conditionalFormatting sqref="L2103 L2099 L2110 L2115 L2118">
    <cfRule type="dataBar" priority="515">
      <dataBar>
        <cfvo type="min"/>
        <cfvo type="max"/>
        <color rgb="FF00B0F0"/>
      </dataBar>
    </cfRule>
    <cfRule type="dataBar" priority="514">
      <dataBar>
        <cfvo type="min"/>
        <cfvo type="max"/>
        <color rgb="FF3FCDFF"/>
      </dataBar>
    </cfRule>
    <cfRule type="dataBar" priority="516">
      <dataBar>
        <cfvo type="min"/>
        <cfvo type="max"/>
        <color rgb="FF638EC6"/>
      </dataBar>
    </cfRule>
  </conditionalFormatting>
  <conditionalFormatting sqref="L2104">
    <cfRule type="dataBar" priority="499">
      <dataBar>
        <cfvo type="min"/>
        <cfvo type="max"/>
        <color rgb="FF3FCDFF"/>
      </dataBar>
    </cfRule>
  </conditionalFormatting>
  <conditionalFormatting sqref="L2105">
    <cfRule type="dataBar" priority="511">
      <dataBar>
        <cfvo type="min"/>
        <cfvo type="max"/>
        <color rgb="FF3FCDFF"/>
      </dataBar>
    </cfRule>
  </conditionalFormatting>
  <conditionalFormatting sqref="L2106:L2109">
    <cfRule type="dataBar" priority="498">
      <dataBar>
        <cfvo type="min"/>
        <cfvo type="max"/>
        <color rgb="FF3FCDFF"/>
      </dataBar>
    </cfRule>
  </conditionalFormatting>
  <conditionalFormatting sqref="L2111">
    <cfRule type="dataBar" priority="510">
      <dataBar>
        <cfvo type="min"/>
        <cfvo type="max"/>
        <color rgb="FF3FCDFF"/>
      </dataBar>
    </cfRule>
  </conditionalFormatting>
  <conditionalFormatting sqref="L2112:L2113">
    <cfRule type="dataBar" priority="497">
      <dataBar>
        <cfvo type="min"/>
        <cfvo type="max"/>
        <color rgb="FF3FCDFF"/>
      </dataBar>
    </cfRule>
  </conditionalFormatting>
  <conditionalFormatting sqref="L2114">
    <cfRule type="dataBar" priority="496">
      <dataBar>
        <cfvo type="min"/>
        <cfvo type="max"/>
        <color rgb="FF3FCDFF"/>
      </dataBar>
    </cfRule>
  </conditionalFormatting>
  <conditionalFormatting sqref="L2116">
    <cfRule type="dataBar" priority="495">
      <dataBar>
        <cfvo type="min"/>
        <cfvo type="max"/>
        <color rgb="FF3FCDFF"/>
      </dataBar>
    </cfRule>
  </conditionalFormatting>
  <conditionalFormatting sqref="L2117">
    <cfRule type="dataBar" priority="509">
      <dataBar>
        <cfvo type="min"/>
        <cfvo type="max"/>
        <color rgb="FF3FCDFF"/>
      </dataBar>
    </cfRule>
  </conditionalFormatting>
  <conditionalFormatting sqref="L2122">
    <cfRule type="dataBar" priority="485">
      <dataBar>
        <cfvo type="min"/>
        <cfvo type="max"/>
        <color rgb="FF3FCDFF"/>
      </dataBar>
    </cfRule>
  </conditionalFormatting>
  <conditionalFormatting sqref="L2123:L2124">
    <cfRule type="dataBar" priority="484">
      <dataBar>
        <cfvo type="min"/>
        <cfvo type="max"/>
        <color rgb="FF3FCDFF"/>
      </dataBar>
    </cfRule>
  </conditionalFormatting>
  <conditionalFormatting sqref="L2125">
    <cfRule type="dataBar" priority="490">
      <dataBar>
        <cfvo type="min"/>
        <cfvo type="max"/>
        <color rgb="FF3FCDFF"/>
      </dataBar>
    </cfRule>
  </conditionalFormatting>
  <conditionalFormatting sqref="L2126">
    <cfRule type="dataBar" priority="483">
      <dataBar>
        <cfvo type="min"/>
        <cfvo type="max"/>
        <color rgb="FF3FCDFF"/>
      </dataBar>
    </cfRule>
  </conditionalFormatting>
  <conditionalFormatting sqref="L2127">
    <cfRule type="dataBar" priority="486">
      <dataBar>
        <cfvo type="min"/>
        <cfvo type="max"/>
        <color rgb="FF3FCDFF"/>
      </dataBar>
    </cfRule>
  </conditionalFormatting>
  <conditionalFormatting sqref="L2128:L2129">
    <cfRule type="dataBar" priority="482">
      <dataBar>
        <cfvo type="min"/>
        <cfvo type="max"/>
        <color rgb="FF3FCDFF"/>
      </dataBar>
    </cfRule>
  </conditionalFormatting>
  <conditionalFormatting sqref="L2130">
    <cfRule type="dataBar" priority="481">
      <dataBar>
        <cfvo type="min"/>
        <cfvo type="max"/>
        <color rgb="FF3FCDFF"/>
      </dataBar>
    </cfRule>
  </conditionalFormatting>
  <conditionalFormatting sqref="L2131">
    <cfRule type="dataBar" priority="480">
      <dataBar>
        <cfvo type="min"/>
        <cfvo type="max"/>
        <color rgb="FF3FCDFF"/>
      </dataBar>
    </cfRule>
  </conditionalFormatting>
  <conditionalFormatting sqref="L2133">
    <cfRule type="dataBar" priority="479">
      <dataBar>
        <cfvo type="min"/>
        <cfvo type="max"/>
        <color rgb="FF3FCDFF"/>
      </dataBar>
    </cfRule>
  </conditionalFormatting>
  <conditionalFormatting sqref="L2134">
    <cfRule type="dataBar" priority="478">
      <dataBar>
        <cfvo type="min"/>
        <cfvo type="max"/>
        <color rgb="FF3FCDFF"/>
      </dataBar>
    </cfRule>
  </conditionalFormatting>
  <conditionalFormatting sqref="L2135">
    <cfRule type="dataBar" priority="491">
      <dataBar>
        <cfvo type="min"/>
        <cfvo type="max"/>
        <color rgb="FF3FCDFF"/>
      </dataBar>
    </cfRule>
  </conditionalFormatting>
  <conditionalFormatting sqref="L2136 L2132 L2143 L2148 L2151">
    <cfRule type="dataBar" priority="494">
      <dataBar>
        <cfvo type="min"/>
        <cfvo type="max"/>
        <color rgb="FF638EC6"/>
      </dataBar>
    </cfRule>
    <cfRule type="dataBar" priority="493">
      <dataBar>
        <cfvo type="min"/>
        <cfvo type="max"/>
        <color rgb="FF00B0F0"/>
      </dataBar>
    </cfRule>
    <cfRule type="dataBar" priority="492">
      <dataBar>
        <cfvo type="min"/>
        <cfvo type="max"/>
        <color rgb="FF3FCDFF"/>
      </dataBar>
    </cfRule>
  </conditionalFormatting>
  <conditionalFormatting sqref="L2137">
    <cfRule type="dataBar" priority="477">
      <dataBar>
        <cfvo type="min"/>
        <cfvo type="max"/>
        <color rgb="FF3FCDFF"/>
      </dataBar>
    </cfRule>
  </conditionalFormatting>
  <conditionalFormatting sqref="L2138">
    <cfRule type="dataBar" priority="489">
      <dataBar>
        <cfvo type="min"/>
        <cfvo type="max"/>
        <color rgb="FF3FCDFF"/>
      </dataBar>
    </cfRule>
  </conditionalFormatting>
  <conditionalFormatting sqref="L2139:L2142">
    <cfRule type="dataBar" priority="476">
      <dataBar>
        <cfvo type="min"/>
        <cfvo type="max"/>
        <color rgb="FF3FCDFF"/>
      </dataBar>
    </cfRule>
  </conditionalFormatting>
  <conditionalFormatting sqref="L2144">
    <cfRule type="dataBar" priority="488">
      <dataBar>
        <cfvo type="min"/>
        <cfvo type="max"/>
        <color rgb="FF3FCDFF"/>
      </dataBar>
    </cfRule>
  </conditionalFormatting>
  <conditionalFormatting sqref="L2145:L2146">
    <cfRule type="dataBar" priority="475">
      <dataBar>
        <cfvo type="min"/>
        <cfvo type="max"/>
        <color rgb="FF3FCDFF"/>
      </dataBar>
    </cfRule>
  </conditionalFormatting>
  <conditionalFormatting sqref="L2147">
    <cfRule type="dataBar" priority="474">
      <dataBar>
        <cfvo type="min"/>
        <cfvo type="max"/>
        <color rgb="FF3FCDFF"/>
      </dataBar>
    </cfRule>
  </conditionalFormatting>
  <conditionalFormatting sqref="L2149">
    <cfRule type="dataBar" priority="473">
      <dataBar>
        <cfvo type="min"/>
        <cfvo type="max"/>
        <color rgb="FF3FCDFF"/>
      </dataBar>
    </cfRule>
  </conditionalFormatting>
  <conditionalFormatting sqref="L2150">
    <cfRule type="dataBar" priority="487">
      <dataBar>
        <cfvo type="min"/>
        <cfvo type="max"/>
        <color rgb="FF3FCDFF"/>
      </dataBar>
    </cfRule>
  </conditionalFormatting>
  <conditionalFormatting sqref="L2153">
    <cfRule type="dataBar" priority="458">
      <dataBar>
        <cfvo type="min"/>
        <cfvo type="max"/>
        <color rgb="FF3FCDFF"/>
      </dataBar>
    </cfRule>
  </conditionalFormatting>
  <conditionalFormatting sqref="L2154:L2155">
    <cfRule type="dataBar" priority="457">
      <dataBar>
        <cfvo type="min"/>
        <cfvo type="max"/>
        <color rgb="FF3FCDFF"/>
      </dataBar>
    </cfRule>
  </conditionalFormatting>
  <conditionalFormatting sqref="L2156">
    <cfRule type="dataBar" priority="463">
      <dataBar>
        <cfvo type="min"/>
        <cfvo type="max"/>
        <color rgb="FF3FCDFF"/>
      </dataBar>
    </cfRule>
  </conditionalFormatting>
  <conditionalFormatting sqref="L2157">
    <cfRule type="dataBar" priority="456">
      <dataBar>
        <cfvo type="min"/>
        <cfvo type="max"/>
        <color rgb="FF3FCDFF"/>
      </dataBar>
    </cfRule>
  </conditionalFormatting>
  <conditionalFormatting sqref="L2158">
    <cfRule type="dataBar" priority="459">
      <dataBar>
        <cfvo type="min"/>
        <cfvo type="max"/>
        <color rgb="FF3FCDFF"/>
      </dataBar>
    </cfRule>
  </conditionalFormatting>
  <conditionalFormatting sqref="L2159:L2160">
    <cfRule type="dataBar" priority="455">
      <dataBar>
        <cfvo type="min"/>
        <cfvo type="max"/>
        <color rgb="FF3FCDFF"/>
      </dataBar>
    </cfRule>
  </conditionalFormatting>
  <conditionalFormatting sqref="L2161">
    <cfRule type="dataBar" priority="454">
      <dataBar>
        <cfvo type="min"/>
        <cfvo type="max"/>
        <color rgb="FF3FCDFF"/>
      </dataBar>
    </cfRule>
  </conditionalFormatting>
  <conditionalFormatting sqref="L2162">
    <cfRule type="dataBar" priority="453">
      <dataBar>
        <cfvo type="min"/>
        <cfvo type="max"/>
        <color rgb="FF3FCDFF"/>
      </dataBar>
    </cfRule>
  </conditionalFormatting>
  <conditionalFormatting sqref="L2164">
    <cfRule type="dataBar" priority="452">
      <dataBar>
        <cfvo type="min"/>
        <cfvo type="max"/>
        <color rgb="FF3FCDFF"/>
      </dataBar>
    </cfRule>
  </conditionalFormatting>
  <conditionalFormatting sqref="L2165">
    <cfRule type="dataBar" priority="451">
      <dataBar>
        <cfvo type="min"/>
        <cfvo type="max"/>
        <color rgb="FF3FCDFF"/>
      </dataBar>
    </cfRule>
  </conditionalFormatting>
  <conditionalFormatting sqref="L2166">
    <cfRule type="dataBar" priority="464">
      <dataBar>
        <cfvo type="min"/>
        <cfvo type="max"/>
        <color rgb="FF3FCDFF"/>
      </dataBar>
    </cfRule>
  </conditionalFormatting>
  <conditionalFormatting sqref="L2167">
    <cfRule type="dataBar" priority="467">
      <dataBar>
        <cfvo type="min"/>
        <cfvo type="max"/>
        <color rgb="FF638EC6"/>
      </dataBar>
    </cfRule>
    <cfRule type="dataBar" priority="465">
      <dataBar>
        <cfvo type="min"/>
        <cfvo type="max"/>
        <color rgb="FF3FCDFF"/>
      </dataBar>
    </cfRule>
    <cfRule type="dataBar" priority="466">
      <dataBar>
        <cfvo type="min"/>
        <cfvo type="max"/>
        <color rgb="FF00B0F0"/>
      </dataBar>
    </cfRule>
  </conditionalFormatting>
  <conditionalFormatting sqref="L2168">
    <cfRule type="dataBar" priority="450">
      <dataBar>
        <cfvo type="min"/>
        <cfvo type="max"/>
        <color rgb="FF3FCDFF"/>
      </dataBar>
    </cfRule>
  </conditionalFormatting>
  <conditionalFormatting sqref="L2169">
    <cfRule type="dataBar" priority="462">
      <dataBar>
        <cfvo type="min"/>
        <cfvo type="max"/>
        <color rgb="FF3FCDFF"/>
      </dataBar>
    </cfRule>
  </conditionalFormatting>
  <conditionalFormatting sqref="L2170:L2173">
    <cfRule type="dataBar" priority="449">
      <dataBar>
        <cfvo type="min"/>
        <cfvo type="max"/>
        <color rgb="FF3FCDFF"/>
      </dataBar>
    </cfRule>
  </conditionalFormatting>
  <conditionalFormatting sqref="L2174 L2163 L2179 L2182">
    <cfRule type="dataBar" priority="469">
      <dataBar>
        <cfvo type="min"/>
        <cfvo type="max"/>
        <color rgb="FF3FCDFF"/>
      </dataBar>
    </cfRule>
    <cfRule type="dataBar" priority="470">
      <dataBar>
        <cfvo type="min"/>
        <cfvo type="max"/>
        <color rgb="FF00B0F0"/>
      </dataBar>
    </cfRule>
    <cfRule type="dataBar" priority="471">
      <dataBar>
        <cfvo type="min"/>
        <cfvo type="max"/>
        <color rgb="FF638EC6"/>
      </dataBar>
    </cfRule>
  </conditionalFormatting>
  <conditionalFormatting sqref="L2175">
    <cfRule type="dataBar" priority="461">
      <dataBar>
        <cfvo type="min"/>
        <cfvo type="max"/>
        <color rgb="FF3FCDFF"/>
      </dataBar>
    </cfRule>
  </conditionalFormatting>
  <conditionalFormatting sqref="L2176:L2177">
    <cfRule type="dataBar" priority="448">
      <dataBar>
        <cfvo type="min"/>
        <cfvo type="max"/>
        <color rgb="FF3FCDFF"/>
      </dataBar>
    </cfRule>
  </conditionalFormatting>
  <conditionalFormatting sqref="L2178">
    <cfRule type="dataBar" priority="447">
      <dataBar>
        <cfvo type="min"/>
        <cfvo type="max"/>
        <color rgb="FF3FCDFF"/>
      </dataBar>
    </cfRule>
  </conditionalFormatting>
  <conditionalFormatting sqref="L2180">
    <cfRule type="dataBar" priority="446">
      <dataBar>
        <cfvo type="min"/>
        <cfvo type="max"/>
        <color rgb="FF3FCDFF"/>
      </dataBar>
    </cfRule>
  </conditionalFormatting>
  <conditionalFormatting sqref="L2181">
    <cfRule type="dataBar" priority="460">
      <dataBar>
        <cfvo type="min"/>
        <cfvo type="max"/>
        <color rgb="FF3FCDFF"/>
      </dataBar>
    </cfRule>
  </conditionalFormatting>
  <conditionalFormatting sqref="L2183">
    <cfRule type="dataBar" priority="435">
      <dataBar>
        <cfvo type="min"/>
        <cfvo type="max"/>
        <color rgb="FF3FCDFF"/>
      </dataBar>
    </cfRule>
  </conditionalFormatting>
  <conditionalFormatting sqref="L2184:L2185">
    <cfRule type="dataBar" priority="434">
      <dataBar>
        <cfvo type="min"/>
        <cfvo type="max"/>
        <color rgb="FF3FCDFF"/>
      </dataBar>
    </cfRule>
  </conditionalFormatting>
  <conditionalFormatting sqref="L2186">
    <cfRule type="dataBar" priority="440">
      <dataBar>
        <cfvo type="min"/>
        <cfvo type="max"/>
        <color rgb="FF3FCDFF"/>
      </dataBar>
    </cfRule>
  </conditionalFormatting>
  <conditionalFormatting sqref="L2187">
    <cfRule type="dataBar" priority="433">
      <dataBar>
        <cfvo type="min"/>
        <cfvo type="max"/>
        <color rgb="FF3FCDFF"/>
      </dataBar>
    </cfRule>
  </conditionalFormatting>
  <conditionalFormatting sqref="L2188">
    <cfRule type="dataBar" priority="436">
      <dataBar>
        <cfvo type="min"/>
        <cfvo type="max"/>
        <color rgb="FF3FCDFF"/>
      </dataBar>
    </cfRule>
  </conditionalFormatting>
  <conditionalFormatting sqref="L2189:L2190">
    <cfRule type="dataBar" priority="432">
      <dataBar>
        <cfvo type="min"/>
        <cfvo type="max"/>
        <color rgb="FF3FCDFF"/>
      </dataBar>
    </cfRule>
  </conditionalFormatting>
  <conditionalFormatting sqref="L2191">
    <cfRule type="dataBar" priority="431">
      <dataBar>
        <cfvo type="min"/>
        <cfvo type="max"/>
        <color rgb="FF3FCDFF"/>
      </dataBar>
    </cfRule>
  </conditionalFormatting>
  <conditionalFormatting sqref="L2192">
    <cfRule type="dataBar" priority="430">
      <dataBar>
        <cfvo type="min"/>
        <cfvo type="max"/>
        <color rgb="FF3FCDFF"/>
      </dataBar>
    </cfRule>
  </conditionalFormatting>
  <conditionalFormatting sqref="L2194">
    <cfRule type="dataBar" priority="429">
      <dataBar>
        <cfvo type="min"/>
        <cfvo type="max"/>
        <color rgb="FF3FCDFF"/>
      </dataBar>
    </cfRule>
  </conditionalFormatting>
  <conditionalFormatting sqref="L2195">
    <cfRule type="dataBar" priority="428">
      <dataBar>
        <cfvo type="min"/>
        <cfvo type="max"/>
        <color rgb="FF3FCDFF"/>
      </dataBar>
    </cfRule>
  </conditionalFormatting>
  <conditionalFormatting sqref="L2196">
    <cfRule type="dataBar" priority="441">
      <dataBar>
        <cfvo type="min"/>
        <cfvo type="max"/>
        <color rgb="FF3FCDFF"/>
      </dataBar>
    </cfRule>
  </conditionalFormatting>
  <conditionalFormatting sqref="L2197 L2193 L2204 L2209 L2212">
    <cfRule type="dataBar" priority="444">
      <dataBar>
        <cfvo type="min"/>
        <cfvo type="max"/>
        <color rgb="FF638EC6"/>
      </dataBar>
    </cfRule>
    <cfRule type="dataBar" priority="443">
      <dataBar>
        <cfvo type="min"/>
        <cfvo type="max"/>
        <color rgb="FF00B0F0"/>
      </dataBar>
    </cfRule>
    <cfRule type="dataBar" priority="442">
      <dataBar>
        <cfvo type="min"/>
        <cfvo type="max"/>
        <color rgb="FF3FCDFF"/>
      </dataBar>
    </cfRule>
  </conditionalFormatting>
  <conditionalFormatting sqref="L2198">
    <cfRule type="dataBar" priority="427">
      <dataBar>
        <cfvo type="min"/>
        <cfvo type="max"/>
        <color rgb="FF3FCDFF"/>
      </dataBar>
    </cfRule>
  </conditionalFormatting>
  <conditionalFormatting sqref="L2199">
    <cfRule type="dataBar" priority="439">
      <dataBar>
        <cfvo type="min"/>
        <cfvo type="max"/>
        <color rgb="FF3FCDFF"/>
      </dataBar>
    </cfRule>
  </conditionalFormatting>
  <conditionalFormatting sqref="L2200:L2203">
    <cfRule type="dataBar" priority="426">
      <dataBar>
        <cfvo type="min"/>
        <cfvo type="max"/>
        <color rgb="FF3FCDFF"/>
      </dataBar>
    </cfRule>
  </conditionalFormatting>
  <conditionalFormatting sqref="L2205">
    <cfRule type="dataBar" priority="438">
      <dataBar>
        <cfvo type="min"/>
        <cfvo type="max"/>
        <color rgb="FF3FCDFF"/>
      </dataBar>
    </cfRule>
  </conditionalFormatting>
  <conditionalFormatting sqref="L2206:L2207">
    <cfRule type="dataBar" priority="425">
      <dataBar>
        <cfvo type="min"/>
        <cfvo type="max"/>
        <color rgb="FF3FCDFF"/>
      </dataBar>
    </cfRule>
  </conditionalFormatting>
  <conditionalFormatting sqref="L2208">
    <cfRule type="dataBar" priority="424">
      <dataBar>
        <cfvo type="min"/>
        <cfvo type="max"/>
        <color rgb="FF3FCDFF"/>
      </dataBar>
    </cfRule>
  </conditionalFormatting>
  <conditionalFormatting sqref="L2210">
    <cfRule type="dataBar" priority="423">
      <dataBar>
        <cfvo type="min"/>
        <cfvo type="max"/>
        <color rgb="FF3FCDFF"/>
      </dataBar>
    </cfRule>
  </conditionalFormatting>
  <conditionalFormatting sqref="L2211">
    <cfRule type="dataBar" priority="437">
      <dataBar>
        <cfvo type="min"/>
        <cfvo type="max"/>
        <color rgb="FF3FCDFF"/>
      </dataBar>
    </cfRule>
  </conditionalFormatting>
  <conditionalFormatting sqref="L2216">
    <cfRule type="dataBar" priority="413">
      <dataBar>
        <cfvo type="min"/>
        <cfvo type="max"/>
        <color rgb="FF3FCDFF"/>
      </dataBar>
    </cfRule>
  </conditionalFormatting>
  <conditionalFormatting sqref="L2217:L2218">
    <cfRule type="dataBar" priority="412">
      <dataBar>
        <cfvo type="min"/>
        <cfvo type="max"/>
        <color rgb="FF3FCDFF"/>
      </dataBar>
    </cfRule>
  </conditionalFormatting>
  <conditionalFormatting sqref="L2219">
    <cfRule type="dataBar" priority="418">
      <dataBar>
        <cfvo type="min"/>
        <cfvo type="max"/>
        <color rgb="FF3FCDFF"/>
      </dataBar>
    </cfRule>
  </conditionalFormatting>
  <conditionalFormatting sqref="L2220">
    <cfRule type="dataBar" priority="411">
      <dataBar>
        <cfvo type="min"/>
        <cfvo type="max"/>
        <color rgb="FF3FCDFF"/>
      </dataBar>
    </cfRule>
  </conditionalFormatting>
  <conditionalFormatting sqref="L2221">
    <cfRule type="dataBar" priority="414">
      <dataBar>
        <cfvo type="min"/>
        <cfvo type="max"/>
        <color rgb="FF3FCDFF"/>
      </dataBar>
    </cfRule>
  </conditionalFormatting>
  <conditionalFormatting sqref="L2222:L2223">
    <cfRule type="dataBar" priority="410">
      <dataBar>
        <cfvo type="min"/>
        <cfvo type="max"/>
        <color rgb="FF3FCDFF"/>
      </dataBar>
    </cfRule>
  </conditionalFormatting>
  <conditionalFormatting sqref="L2224">
    <cfRule type="dataBar" priority="409">
      <dataBar>
        <cfvo type="min"/>
        <cfvo type="max"/>
        <color rgb="FF3FCDFF"/>
      </dataBar>
    </cfRule>
  </conditionalFormatting>
  <conditionalFormatting sqref="L2225">
    <cfRule type="dataBar" priority="408">
      <dataBar>
        <cfvo type="min"/>
        <cfvo type="max"/>
        <color rgb="FF3FCDFF"/>
      </dataBar>
    </cfRule>
  </conditionalFormatting>
  <conditionalFormatting sqref="L2227">
    <cfRule type="dataBar" priority="407">
      <dataBar>
        <cfvo type="min"/>
        <cfvo type="max"/>
        <color rgb="FF3FCDFF"/>
      </dataBar>
    </cfRule>
  </conditionalFormatting>
  <conditionalFormatting sqref="L2228">
    <cfRule type="dataBar" priority="406">
      <dataBar>
        <cfvo type="min"/>
        <cfvo type="max"/>
        <color rgb="FF3FCDFF"/>
      </dataBar>
    </cfRule>
  </conditionalFormatting>
  <conditionalFormatting sqref="L2229">
    <cfRule type="dataBar" priority="419">
      <dataBar>
        <cfvo type="min"/>
        <cfvo type="max"/>
        <color rgb="FF3FCDFF"/>
      </dataBar>
    </cfRule>
  </conditionalFormatting>
  <conditionalFormatting sqref="L2230 L2226 L2237 L2242 L2245">
    <cfRule type="dataBar" priority="422">
      <dataBar>
        <cfvo type="min"/>
        <cfvo type="max"/>
        <color rgb="FF638EC6"/>
      </dataBar>
    </cfRule>
    <cfRule type="dataBar" priority="421">
      <dataBar>
        <cfvo type="min"/>
        <cfvo type="max"/>
        <color rgb="FF00B0F0"/>
      </dataBar>
    </cfRule>
    <cfRule type="dataBar" priority="420">
      <dataBar>
        <cfvo type="min"/>
        <cfvo type="max"/>
        <color rgb="FF3FCDFF"/>
      </dataBar>
    </cfRule>
  </conditionalFormatting>
  <conditionalFormatting sqref="L2231">
    <cfRule type="dataBar" priority="405">
      <dataBar>
        <cfvo type="min"/>
        <cfvo type="max"/>
        <color rgb="FF3FCDFF"/>
      </dataBar>
    </cfRule>
  </conditionalFormatting>
  <conditionalFormatting sqref="L2232">
    <cfRule type="dataBar" priority="417">
      <dataBar>
        <cfvo type="min"/>
        <cfvo type="max"/>
        <color rgb="FF3FCDFF"/>
      </dataBar>
    </cfRule>
  </conditionalFormatting>
  <conditionalFormatting sqref="L2233:L2236">
    <cfRule type="dataBar" priority="404">
      <dataBar>
        <cfvo type="min"/>
        <cfvo type="max"/>
        <color rgb="FF3FCDFF"/>
      </dataBar>
    </cfRule>
  </conditionalFormatting>
  <conditionalFormatting sqref="L2238">
    <cfRule type="dataBar" priority="416">
      <dataBar>
        <cfvo type="min"/>
        <cfvo type="max"/>
        <color rgb="FF3FCDFF"/>
      </dataBar>
    </cfRule>
  </conditionalFormatting>
  <conditionalFormatting sqref="L2239:L2240">
    <cfRule type="dataBar" priority="403">
      <dataBar>
        <cfvo type="min"/>
        <cfvo type="max"/>
        <color rgb="FF3FCDFF"/>
      </dataBar>
    </cfRule>
  </conditionalFormatting>
  <conditionalFormatting sqref="L2241">
    <cfRule type="dataBar" priority="402">
      <dataBar>
        <cfvo type="min"/>
        <cfvo type="max"/>
        <color rgb="FF3FCDFF"/>
      </dataBar>
    </cfRule>
  </conditionalFormatting>
  <conditionalFormatting sqref="L2243">
    <cfRule type="dataBar" priority="401">
      <dataBar>
        <cfvo type="min"/>
        <cfvo type="max"/>
        <color rgb="FF3FCDFF"/>
      </dataBar>
    </cfRule>
  </conditionalFormatting>
  <conditionalFormatting sqref="L2244">
    <cfRule type="dataBar" priority="415">
      <dataBar>
        <cfvo type="min"/>
        <cfvo type="max"/>
        <color rgb="FF3FCDFF"/>
      </dataBar>
    </cfRule>
  </conditionalFormatting>
  <conditionalFormatting sqref="L2247">
    <cfRule type="dataBar" priority="386">
      <dataBar>
        <cfvo type="min"/>
        <cfvo type="max"/>
        <color rgb="FF3FCDFF"/>
      </dataBar>
    </cfRule>
  </conditionalFormatting>
  <conditionalFormatting sqref="L2248:L2249">
    <cfRule type="dataBar" priority="385">
      <dataBar>
        <cfvo type="min"/>
        <cfvo type="max"/>
        <color rgb="FF3FCDFF"/>
      </dataBar>
    </cfRule>
  </conditionalFormatting>
  <conditionalFormatting sqref="L2250">
    <cfRule type="dataBar" priority="391">
      <dataBar>
        <cfvo type="min"/>
        <cfvo type="max"/>
        <color rgb="FF3FCDFF"/>
      </dataBar>
    </cfRule>
  </conditionalFormatting>
  <conditionalFormatting sqref="L2251">
    <cfRule type="dataBar" priority="384">
      <dataBar>
        <cfvo type="min"/>
        <cfvo type="max"/>
        <color rgb="FF3FCDFF"/>
      </dataBar>
    </cfRule>
  </conditionalFormatting>
  <conditionalFormatting sqref="L2252">
    <cfRule type="dataBar" priority="387">
      <dataBar>
        <cfvo type="min"/>
        <cfvo type="max"/>
        <color rgb="FF3FCDFF"/>
      </dataBar>
    </cfRule>
  </conditionalFormatting>
  <conditionalFormatting sqref="L2253:L2254">
    <cfRule type="dataBar" priority="383">
      <dataBar>
        <cfvo type="min"/>
        <cfvo type="max"/>
        <color rgb="FF3FCDFF"/>
      </dataBar>
    </cfRule>
  </conditionalFormatting>
  <conditionalFormatting sqref="L2255">
    <cfRule type="dataBar" priority="382">
      <dataBar>
        <cfvo type="min"/>
        <cfvo type="max"/>
        <color rgb="FF3FCDFF"/>
      </dataBar>
    </cfRule>
  </conditionalFormatting>
  <conditionalFormatting sqref="L2256">
    <cfRule type="dataBar" priority="381">
      <dataBar>
        <cfvo type="min"/>
        <cfvo type="max"/>
        <color rgb="FF3FCDFF"/>
      </dataBar>
    </cfRule>
  </conditionalFormatting>
  <conditionalFormatting sqref="L2258">
    <cfRule type="dataBar" priority="380">
      <dataBar>
        <cfvo type="min"/>
        <cfvo type="max"/>
        <color rgb="FF3FCDFF"/>
      </dataBar>
    </cfRule>
  </conditionalFormatting>
  <conditionalFormatting sqref="L2259">
    <cfRule type="dataBar" priority="379">
      <dataBar>
        <cfvo type="min"/>
        <cfvo type="max"/>
        <color rgb="FF3FCDFF"/>
      </dataBar>
    </cfRule>
  </conditionalFormatting>
  <conditionalFormatting sqref="L2260">
    <cfRule type="dataBar" priority="392">
      <dataBar>
        <cfvo type="min"/>
        <cfvo type="max"/>
        <color rgb="FF3FCDFF"/>
      </dataBar>
    </cfRule>
  </conditionalFormatting>
  <conditionalFormatting sqref="L2261">
    <cfRule type="dataBar" priority="395">
      <dataBar>
        <cfvo type="min"/>
        <cfvo type="max"/>
        <color rgb="FF638EC6"/>
      </dataBar>
    </cfRule>
    <cfRule type="dataBar" priority="394">
      <dataBar>
        <cfvo type="min"/>
        <cfvo type="max"/>
        <color rgb="FF00B0F0"/>
      </dataBar>
    </cfRule>
    <cfRule type="dataBar" priority="393">
      <dataBar>
        <cfvo type="min"/>
        <cfvo type="max"/>
        <color rgb="FF3FCDFF"/>
      </dataBar>
    </cfRule>
  </conditionalFormatting>
  <conditionalFormatting sqref="L2262">
    <cfRule type="dataBar" priority="378">
      <dataBar>
        <cfvo type="min"/>
        <cfvo type="max"/>
        <color rgb="FF3FCDFF"/>
      </dataBar>
    </cfRule>
  </conditionalFormatting>
  <conditionalFormatting sqref="L2263">
    <cfRule type="dataBar" priority="390">
      <dataBar>
        <cfvo type="min"/>
        <cfvo type="max"/>
        <color rgb="FF3FCDFF"/>
      </dataBar>
    </cfRule>
  </conditionalFormatting>
  <conditionalFormatting sqref="L2264:L2267">
    <cfRule type="dataBar" priority="377">
      <dataBar>
        <cfvo type="min"/>
        <cfvo type="max"/>
        <color rgb="FF3FCDFF"/>
      </dataBar>
    </cfRule>
  </conditionalFormatting>
  <conditionalFormatting sqref="L2268 L2257 L2273 L2276">
    <cfRule type="dataBar" priority="399">
      <dataBar>
        <cfvo type="min"/>
        <cfvo type="max"/>
        <color rgb="FF638EC6"/>
      </dataBar>
    </cfRule>
    <cfRule type="dataBar" priority="398">
      <dataBar>
        <cfvo type="min"/>
        <cfvo type="max"/>
        <color rgb="FF00B0F0"/>
      </dataBar>
    </cfRule>
    <cfRule type="dataBar" priority="397">
      <dataBar>
        <cfvo type="min"/>
        <cfvo type="max"/>
        <color rgb="FF3FCDFF"/>
      </dataBar>
    </cfRule>
  </conditionalFormatting>
  <conditionalFormatting sqref="L2269">
    <cfRule type="dataBar" priority="389">
      <dataBar>
        <cfvo type="min"/>
        <cfvo type="max"/>
        <color rgb="FF3FCDFF"/>
      </dataBar>
    </cfRule>
  </conditionalFormatting>
  <conditionalFormatting sqref="L2270:L2271">
    <cfRule type="dataBar" priority="376">
      <dataBar>
        <cfvo type="min"/>
        <cfvo type="max"/>
        <color rgb="FF3FCDFF"/>
      </dataBar>
    </cfRule>
  </conditionalFormatting>
  <conditionalFormatting sqref="L2272">
    <cfRule type="dataBar" priority="375">
      <dataBar>
        <cfvo type="min"/>
        <cfvo type="max"/>
        <color rgb="FF3FCDFF"/>
      </dataBar>
    </cfRule>
  </conditionalFormatting>
  <conditionalFormatting sqref="L2274">
    <cfRule type="dataBar" priority="374">
      <dataBar>
        <cfvo type="min"/>
        <cfvo type="max"/>
        <color rgb="FF3FCDFF"/>
      </dataBar>
    </cfRule>
  </conditionalFormatting>
  <conditionalFormatting sqref="L2275">
    <cfRule type="dataBar" priority="388">
      <dataBar>
        <cfvo type="min"/>
        <cfvo type="max"/>
        <color rgb="FF3FCDFF"/>
      </dataBar>
    </cfRule>
  </conditionalFormatting>
  <conditionalFormatting sqref="L2277">
    <cfRule type="dataBar" priority="363">
      <dataBar>
        <cfvo type="min"/>
        <cfvo type="max"/>
        <color rgb="FF3FCDFF"/>
      </dataBar>
    </cfRule>
  </conditionalFormatting>
  <conditionalFormatting sqref="L2278:L2279">
    <cfRule type="dataBar" priority="362">
      <dataBar>
        <cfvo type="min"/>
        <cfvo type="max"/>
        <color rgb="FF3FCDFF"/>
      </dataBar>
    </cfRule>
  </conditionalFormatting>
  <conditionalFormatting sqref="L2280">
    <cfRule type="dataBar" priority="368">
      <dataBar>
        <cfvo type="min"/>
        <cfvo type="max"/>
        <color rgb="FF3FCDFF"/>
      </dataBar>
    </cfRule>
  </conditionalFormatting>
  <conditionalFormatting sqref="L2281">
    <cfRule type="dataBar" priority="361">
      <dataBar>
        <cfvo type="min"/>
        <cfvo type="max"/>
        <color rgb="FF3FCDFF"/>
      </dataBar>
    </cfRule>
  </conditionalFormatting>
  <conditionalFormatting sqref="L2282">
    <cfRule type="dataBar" priority="364">
      <dataBar>
        <cfvo type="min"/>
        <cfvo type="max"/>
        <color rgb="FF3FCDFF"/>
      </dataBar>
    </cfRule>
  </conditionalFormatting>
  <conditionalFormatting sqref="L2283:L2284">
    <cfRule type="dataBar" priority="360">
      <dataBar>
        <cfvo type="min"/>
        <cfvo type="max"/>
        <color rgb="FF3FCDFF"/>
      </dataBar>
    </cfRule>
  </conditionalFormatting>
  <conditionalFormatting sqref="L2285">
    <cfRule type="dataBar" priority="359">
      <dataBar>
        <cfvo type="min"/>
        <cfvo type="max"/>
        <color rgb="FF3FCDFF"/>
      </dataBar>
    </cfRule>
  </conditionalFormatting>
  <conditionalFormatting sqref="L2286">
    <cfRule type="dataBar" priority="358">
      <dataBar>
        <cfvo type="min"/>
        <cfvo type="max"/>
        <color rgb="FF3FCDFF"/>
      </dataBar>
    </cfRule>
  </conditionalFormatting>
  <conditionalFormatting sqref="L2288">
    <cfRule type="dataBar" priority="357">
      <dataBar>
        <cfvo type="min"/>
        <cfvo type="max"/>
        <color rgb="FF3FCDFF"/>
      </dataBar>
    </cfRule>
  </conditionalFormatting>
  <conditionalFormatting sqref="L2289">
    <cfRule type="dataBar" priority="356">
      <dataBar>
        <cfvo type="min"/>
        <cfvo type="max"/>
        <color rgb="FF3FCDFF"/>
      </dataBar>
    </cfRule>
  </conditionalFormatting>
  <conditionalFormatting sqref="L2290">
    <cfRule type="dataBar" priority="369">
      <dataBar>
        <cfvo type="min"/>
        <cfvo type="max"/>
        <color rgb="FF3FCDFF"/>
      </dataBar>
    </cfRule>
  </conditionalFormatting>
  <conditionalFormatting sqref="L2291 L2287 L2298 L2303 L2306">
    <cfRule type="dataBar" priority="372">
      <dataBar>
        <cfvo type="min"/>
        <cfvo type="max"/>
        <color rgb="FF638EC6"/>
      </dataBar>
    </cfRule>
    <cfRule type="dataBar" priority="371">
      <dataBar>
        <cfvo type="min"/>
        <cfvo type="max"/>
        <color rgb="FF00B0F0"/>
      </dataBar>
    </cfRule>
    <cfRule type="dataBar" priority="370">
      <dataBar>
        <cfvo type="min"/>
        <cfvo type="max"/>
        <color rgb="FF3FCDFF"/>
      </dataBar>
    </cfRule>
  </conditionalFormatting>
  <conditionalFormatting sqref="L2292">
    <cfRule type="dataBar" priority="355">
      <dataBar>
        <cfvo type="min"/>
        <cfvo type="max"/>
        <color rgb="FF3FCDFF"/>
      </dataBar>
    </cfRule>
  </conditionalFormatting>
  <conditionalFormatting sqref="L2293">
    <cfRule type="dataBar" priority="367">
      <dataBar>
        <cfvo type="min"/>
        <cfvo type="max"/>
        <color rgb="FF3FCDFF"/>
      </dataBar>
    </cfRule>
  </conditionalFormatting>
  <conditionalFormatting sqref="L2294:L2297">
    <cfRule type="dataBar" priority="354">
      <dataBar>
        <cfvo type="min"/>
        <cfvo type="max"/>
        <color rgb="FF3FCDFF"/>
      </dataBar>
    </cfRule>
  </conditionalFormatting>
  <conditionalFormatting sqref="L2299">
    <cfRule type="dataBar" priority="366">
      <dataBar>
        <cfvo type="min"/>
        <cfvo type="max"/>
        <color rgb="FF3FCDFF"/>
      </dataBar>
    </cfRule>
  </conditionalFormatting>
  <conditionalFormatting sqref="L2300:L2301">
    <cfRule type="dataBar" priority="353">
      <dataBar>
        <cfvo type="min"/>
        <cfvo type="max"/>
        <color rgb="FF3FCDFF"/>
      </dataBar>
    </cfRule>
  </conditionalFormatting>
  <conditionalFormatting sqref="L2302">
    <cfRule type="dataBar" priority="352">
      <dataBar>
        <cfvo type="min"/>
        <cfvo type="max"/>
        <color rgb="FF3FCDFF"/>
      </dataBar>
    </cfRule>
  </conditionalFormatting>
  <conditionalFormatting sqref="L2304">
    <cfRule type="dataBar" priority="351">
      <dataBar>
        <cfvo type="min"/>
        <cfvo type="max"/>
        <color rgb="FF3FCDFF"/>
      </dataBar>
    </cfRule>
  </conditionalFormatting>
  <conditionalFormatting sqref="L2305">
    <cfRule type="dataBar" priority="365">
      <dataBar>
        <cfvo type="min"/>
        <cfvo type="max"/>
        <color rgb="FF3FCDFF"/>
      </dataBar>
    </cfRule>
  </conditionalFormatting>
  <conditionalFormatting sqref="L2310">
    <cfRule type="dataBar" priority="341">
      <dataBar>
        <cfvo type="min"/>
        <cfvo type="max"/>
        <color rgb="FF3FCDFF"/>
      </dataBar>
    </cfRule>
  </conditionalFormatting>
  <conditionalFormatting sqref="L2311:L2312">
    <cfRule type="dataBar" priority="340">
      <dataBar>
        <cfvo type="min"/>
        <cfvo type="max"/>
        <color rgb="FF3FCDFF"/>
      </dataBar>
    </cfRule>
  </conditionalFormatting>
  <conditionalFormatting sqref="L2313">
    <cfRule type="dataBar" priority="346">
      <dataBar>
        <cfvo type="min"/>
        <cfvo type="max"/>
        <color rgb="FF3FCDFF"/>
      </dataBar>
    </cfRule>
  </conditionalFormatting>
  <conditionalFormatting sqref="L2314">
    <cfRule type="dataBar" priority="339">
      <dataBar>
        <cfvo type="min"/>
        <cfvo type="max"/>
        <color rgb="FF3FCDFF"/>
      </dataBar>
    </cfRule>
  </conditionalFormatting>
  <conditionalFormatting sqref="L2315">
    <cfRule type="dataBar" priority="342">
      <dataBar>
        <cfvo type="min"/>
        <cfvo type="max"/>
        <color rgb="FF3FCDFF"/>
      </dataBar>
    </cfRule>
  </conditionalFormatting>
  <conditionalFormatting sqref="L2316:L2317">
    <cfRule type="dataBar" priority="338">
      <dataBar>
        <cfvo type="min"/>
        <cfvo type="max"/>
        <color rgb="FF3FCDFF"/>
      </dataBar>
    </cfRule>
  </conditionalFormatting>
  <conditionalFormatting sqref="L2318">
    <cfRule type="dataBar" priority="337">
      <dataBar>
        <cfvo type="min"/>
        <cfvo type="max"/>
        <color rgb="FF3FCDFF"/>
      </dataBar>
    </cfRule>
  </conditionalFormatting>
  <conditionalFormatting sqref="L2319">
    <cfRule type="dataBar" priority="336">
      <dataBar>
        <cfvo type="min"/>
        <cfvo type="max"/>
        <color rgb="FF3FCDFF"/>
      </dataBar>
    </cfRule>
  </conditionalFormatting>
  <conditionalFormatting sqref="L2321">
    <cfRule type="dataBar" priority="335">
      <dataBar>
        <cfvo type="min"/>
        <cfvo type="max"/>
        <color rgb="FF3FCDFF"/>
      </dataBar>
    </cfRule>
  </conditionalFormatting>
  <conditionalFormatting sqref="L2322">
    <cfRule type="dataBar" priority="334">
      <dataBar>
        <cfvo type="min"/>
        <cfvo type="max"/>
        <color rgb="FF3FCDFF"/>
      </dataBar>
    </cfRule>
  </conditionalFormatting>
  <conditionalFormatting sqref="L2323">
    <cfRule type="dataBar" priority="347">
      <dataBar>
        <cfvo type="min"/>
        <cfvo type="max"/>
        <color rgb="FF3FCDFF"/>
      </dataBar>
    </cfRule>
  </conditionalFormatting>
  <conditionalFormatting sqref="L2324 L2320 L2331 L2336 L2339">
    <cfRule type="dataBar" priority="350">
      <dataBar>
        <cfvo type="min"/>
        <cfvo type="max"/>
        <color rgb="FF638EC6"/>
      </dataBar>
    </cfRule>
    <cfRule type="dataBar" priority="349">
      <dataBar>
        <cfvo type="min"/>
        <cfvo type="max"/>
        <color rgb="FF00B0F0"/>
      </dataBar>
    </cfRule>
    <cfRule type="dataBar" priority="348">
      <dataBar>
        <cfvo type="min"/>
        <cfvo type="max"/>
        <color rgb="FF3FCDFF"/>
      </dataBar>
    </cfRule>
  </conditionalFormatting>
  <conditionalFormatting sqref="L2325">
    <cfRule type="dataBar" priority="333">
      <dataBar>
        <cfvo type="min"/>
        <cfvo type="max"/>
        <color rgb="FF3FCDFF"/>
      </dataBar>
    </cfRule>
  </conditionalFormatting>
  <conditionalFormatting sqref="L2326">
    <cfRule type="dataBar" priority="345">
      <dataBar>
        <cfvo type="min"/>
        <cfvo type="max"/>
        <color rgb="FF3FCDFF"/>
      </dataBar>
    </cfRule>
  </conditionalFormatting>
  <conditionalFormatting sqref="L2327:L2330">
    <cfRule type="dataBar" priority="332">
      <dataBar>
        <cfvo type="min"/>
        <cfvo type="max"/>
        <color rgb="FF3FCDFF"/>
      </dataBar>
    </cfRule>
  </conditionalFormatting>
  <conditionalFormatting sqref="L2332">
    <cfRule type="dataBar" priority="344">
      <dataBar>
        <cfvo type="min"/>
        <cfvo type="max"/>
        <color rgb="FF3FCDFF"/>
      </dataBar>
    </cfRule>
  </conditionalFormatting>
  <conditionalFormatting sqref="L2333:L2334">
    <cfRule type="dataBar" priority="331">
      <dataBar>
        <cfvo type="min"/>
        <cfvo type="max"/>
        <color rgb="FF3FCDFF"/>
      </dataBar>
    </cfRule>
  </conditionalFormatting>
  <conditionalFormatting sqref="L2335">
    <cfRule type="dataBar" priority="330">
      <dataBar>
        <cfvo type="min"/>
        <cfvo type="max"/>
        <color rgb="FF3FCDFF"/>
      </dataBar>
    </cfRule>
  </conditionalFormatting>
  <conditionalFormatting sqref="L2337">
    <cfRule type="dataBar" priority="329">
      <dataBar>
        <cfvo type="min"/>
        <cfvo type="max"/>
        <color rgb="FF3FCDFF"/>
      </dataBar>
    </cfRule>
  </conditionalFormatting>
  <conditionalFormatting sqref="L2338">
    <cfRule type="dataBar" priority="343">
      <dataBar>
        <cfvo type="min"/>
        <cfvo type="max"/>
        <color rgb="FF3FCDFF"/>
      </dataBar>
    </cfRule>
  </conditionalFormatting>
  <conditionalFormatting sqref="L2340:L2360 L2364:L2369">
    <cfRule type="dataBar" priority="1418">
      <dataBar>
        <cfvo type="min"/>
        <cfvo type="max"/>
        <color rgb="FF3FCDFF"/>
      </dataBar>
    </cfRule>
    <cfRule type="dataBar" priority="1417">
      <dataBar>
        <cfvo type="min"/>
        <cfvo type="max"/>
        <color rgb="FF00B0F0"/>
      </dataBar>
    </cfRule>
  </conditionalFormatting>
  <conditionalFormatting sqref="L2361:L2363">
    <cfRule type="dataBar" priority="1409">
      <dataBar>
        <cfvo type="min"/>
        <cfvo type="max"/>
        <color rgb="FF00B0F0"/>
      </dataBar>
    </cfRule>
    <cfRule type="dataBar" priority="1410">
      <dataBar>
        <cfvo type="min"/>
        <cfvo type="max"/>
        <color rgb="FF638EC6"/>
      </dataBar>
    </cfRule>
    <cfRule type="dataBar" priority="1414">
      <dataBar>
        <cfvo type="min"/>
        <cfvo type="max"/>
        <color rgb="FF3FCDFF"/>
      </dataBar>
    </cfRule>
  </conditionalFormatting>
  <conditionalFormatting sqref="L2370:L2399">
    <cfRule type="dataBar" priority="1401">
      <dataBar>
        <cfvo type="min"/>
        <cfvo type="max"/>
        <color rgb="FF00B0F0"/>
      </dataBar>
    </cfRule>
    <cfRule type="dataBar" priority="1402">
      <dataBar>
        <cfvo type="min"/>
        <cfvo type="max"/>
        <color rgb="FF3FCDFF"/>
      </dataBar>
    </cfRule>
  </conditionalFormatting>
  <conditionalFormatting sqref="L2400:L2429">
    <cfRule type="dataBar" priority="1397">
      <dataBar>
        <cfvo type="min"/>
        <cfvo type="max"/>
        <color rgb="FF00B0F0"/>
      </dataBar>
    </cfRule>
    <cfRule type="dataBar" priority="1398">
      <dataBar>
        <cfvo type="min"/>
        <cfvo type="max"/>
        <color rgb="FF3FCDFF"/>
      </dataBar>
    </cfRule>
  </conditionalFormatting>
  <conditionalFormatting sqref="L2430:L2433 L2524:L2527">
    <cfRule type="dataBar" priority="1420">
      <dataBar>
        <cfvo type="min"/>
        <cfvo type="max"/>
        <color rgb="FF3FCDFF"/>
      </dataBar>
    </cfRule>
  </conditionalFormatting>
  <conditionalFormatting sqref="L2434:L2454 L2458:L2463">
    <cfRule type="dataBar" priority="1393">
      <dataBar>
        <cfvo type="min"/>
        <cfvo type="max"/>
        <color rgb="FF00B0F0"/>
      </dataBar>
    </cfRule>
    <cfRule type="dataBar" priority="1394">
      <dataBar>
        <cfvo type="min"/>
        <cfvo type="max"/>
        <color rgb="FF3FCDFF"/>
      </dataBar>
    </cfRule>
  </conditionalFormatting>
  <conditionalFormatting sqref="L2455:L2457">
    <cfRule type="dataBar" priority="1386">
      <dataBar>
        <cfvo type="min"/>
        <cfvo type="max"/>
        <color rgb="FF638EC6"/>
      </dataBar>
    </cfRule>
    <cfRule type="dataBar" priority="1385">
      <dataBar>
        <cfvo type="min"/>
        <cfvo type="max"/>
        <color rgb="FF00B0F0"/>
      </dataBar>
    </cfRule>
    <cfRule type="dataBar" priority="1390">
      <dataBar>
        <cfvo type="min"/>
        <cfvo type="max"/>
        <color rgb="FF3FCDFF"/>
      </dataBar>
    </cfRule>
  </conditionalFormatting>
  <conditionalFormatting sqref="L2464:L2493">
    <cfRule type="dataBar" priority="1377">
      <dataBar>
        <cfvo type="min"/>
        <cfvo type="max"/>
        <color rgb="FF00B0F0"/>
      </dataBar>
    </cfRule>
    <cfRule type="dataBar" priority="1378">
      <dataBar>
        <cfvo type="min"/>
        <cfvo type="max"/>
        <color rgb="FF3FCDFF"/>
      </dataBar>
    </cfRule>
  </conditionalFormatting>
  <conditionalFormatting sqref="L2494:L2523">
    <cfRule type="dataBar" priority="1374">
      <dataBar>
        <cfvo type="min"/>
        <cfvo type="max"/>
        <color rgb="FF3FCDFF"/>
      </dataBar>
    </cfRule>
    <cfRule type="dataBar" priority="1373">
      <dataBar>
        <cfvo type="min"/>
        <cfvo type="max"/>
        <color rgb="FF00B0F0"/>
      </dataBar>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8" tint="0.79998168889431442"/>
  </sheetPr>
  <dimension ref="A1:N445"/>
  <sheetViews>
    <sheetView zoomScale="118" workbookViewId="0">
      <pane ySplit="1" topLeftCell="A2" activePane="bottomLeft" state="frozen"/>
      <selection activeCell="B7" sqref="B7"/>
      <selection pane="bottomLeft" activeCell="B21" sqref="B21"/>
    </sheetView>
  </sheetViews>
  <sheetFormatPr baseColWidth="10" defaultRowHeight="16" x14ac:dyDescent="0.2"/>
  <cols>
    <col min="1" max="1" width="21.1640625" bestFit="1" customWidth="1"/>
    <col min="2" max="2" width="26.6640625" bestFit="1" customWidth="1"/>
    <col min="6" max="6" width="42.83203125" customWidth="1"/>
    <col min="7" max="7" width="4" customWidth="1"/>
    <col min="14" max="14" width="99.6640625" bestFit="1" customWidth="1"/>
  </cols>
  <sheetData>
    <row r="1" spans="1:14" x14ac:dyDescent="0.2">
      <c r="A1" s="69" t="s">
        <v>185</v>
      </c>
      <c r="B1" s="69" t="s">
        <v>186</v>
      </c>
      <c r="C1" s="70" t="s">
        <v>1</v>
      </c>
      <c r="D1" s="71" t="s">
        <v>2</v>
      </c>
      <c r="E1" s="72" t="s">
        <v>3</v>
      </c>
      <c r="F1" s="73" t="s">
        <v>4</v>
      </c>
      <c r="G1" s="74" t="s">
        <v>16</v>
      </c>
      <c r="H1" s="75" t="s">
        <v>5</v>
      </c>
      <c r="I1" s="75" t="s">
        <v>6</v>
      </c>
      <c r="J1" s="75" t="s">
        <v>7</v>
      </c>
      <c r="K1" s="75" t="s">
        <v>8</v>
      </c>
      <c r="L1" s="76" t="s">
        <v>9</v>
      </c>
      <c r="M1" s="77" t="s">
        <v>10</v>
      </c>
      <c r="N1" s="78" t="s">
        <v>158</v>
      </c>
    </row>
    <row r="2" spans="1:14" x14ac:dyDescent="0.2">
      <c r="A2" s="79" t="s">
        <v>12</v>
      </c>
      <c r="B2" s="80" t="s">
        <v>187</v>
      </c>
      <c r="C2" s="81" t="s">
        <v>135</v>
      </c>
      <c r="D2" s="82" t="s">
        <v>135</v>
      </c>
      <c r="E2" s="83" t="s">
        <v>188</v>
      </c>
      <c r="F2" s="84"/>
      <c r="G2" s="85" t="s">
        <v>16</v>
      </c>
      <c r="H2" s="83"/>
      <c r="I2" s="83"/>
      <c r="J2" s="83"/>
      <c r="K2" s="83"/>
      <c r="L2" s="86"/>
      <c r="M2" s="87" t="str">
        <f>IF( OR( ISBLANK(H2),ISBLANK(I2), ISBLANK(J2), ISBLANK(K2), ISBLANK(L2) ), "", 1.5*SQRT(   EXP(2.21*(H2-1)) + EXP(2.21*(I2-1)) + EXP(2.21*(J2-1)) + EXP(2.21*(K2-1)) + EXP(2.21*L2)   )/100*2.45 )</f>
        <v/>
      </c>
      <c r="N2" s="88"/>
    </row>
    <row r="3" spans="1:14" x14ac:dyDescent="0.2">
      <c r="A3" s="89" t="s">
        <v>12</v>
      </c>
      <c r="B3" s="90" t="s">
        <v>189</v>
      </c>
      <c r="C3" s="91" t="s">
        <v>135</v>
      </c>
      <c r="D3" s="92" t="s">
        <v>135</v>
      </c>
      <c r="E3" s="93">
        <f>60/10150</f>
        <v>5.9113300492610842E-3</v>
      </c>
      <c r="F3" s="94" t="s">
        <v>190</v>
      </c>
      <c r="G3" s="95" t="s">
        <v>16</v>
      </c>
      <c r="H3" s="23">
        <v>2</v>
      </c>
      <c r="I3" s="23">
        <v>3</v>
      </c>
      <c r="J3" s="23">
        <v>3</v>
      </c>
      <c r="K3" s="23">
        <v>1</v>
      </c>
      <c r="L3" s="96">
        <v>2</v>
      </c>
      <c r="M3" s="97">
        <f>IF( OR( ISBLANK(H3),ISBLANK(I3), ISBLANK(J3), ISBLANK(K3), ISBLANK(L3) ), "", 1.5*SQRT(   EXP(2.21*(H3-1)) + EXP(2.21*(I3-1)) + EXP(2.21*(J3-1)) + EXP(2.21*(K3-1)) + EXP(2.21*L3)   )/100*2.45 )</f>
        <v>0.59189702474662764</v>
      </c>
      <c r="N3" s="94"/>
    </row>
    <row r="4" spans="1:14" x14ac:dyDescent="0.2">
      <c r="A4" s="98" t="s">
        <v>12</v>
      </c>
      <c r="B4" s="99" t="s">
        <v>189</v>
      </c>
      <c r="C4" s="100" t="s">
        <v>135</v>
      </c>
      <c r="D4" s="101" t="s">
        <v>135</v>
      </c>
      <c r="E4" s="102">
        <v>1.9239999999999999E-4</v>
      </c>
      <c r="F4" s="103" t="s">
        <v>191</v>
      </c>
      <c r="G4" s="104" t="s">
        <v>16</v>
      </c>
      <c r="H4" s="105">
        <v>2</v>
      </c>
      <c r="I4" s="105">
        <v>2</v>
      </c>
      <c r="J4" s="105">
        <v>3</v>
      </c>
      <c r="K4" s="105">
        <v>2</v>
      </c>
      <c r="L4" s="106">
        <v>2</v>
      </c>
      <c r="M4" s="97">
        <f>IF( OR( ISBLANK(H4),ISBLANK(I4), ISBLANK(J4), ISBLANK(K4), ISBLANK(L4) ), "", 1.5*SQRT(   EXP(2.21*(H4-1)) + EXP(2.21*(I4-1)) + EXP(2.21*(J4-1)) + EXP(2.21*(K4-1)) + EXP(2.21*L4)   )/100*2.45 )</f>
        <v>0.51126068492676302</v>
      </c>
      <c r="N4" s="107"/>
    </row>
    <row r="5" spans="1:14" x14ac:dyDescent="0.2">
      <c r="A5" s="79" t="s">
        <v>100</v>
      </c>
      <c r="B5" s="80" t="s">
        <v>187</v>
      </c>
      <c r="C5" s="81" t="s">
        <v>135</v>
      </c>
      <c r="D5" s="82" t="s">
        <v>135</v>
      </c>
      <c r="E5" s="83" t="s">
        <v>188</v>
      </c>
      <c r="F5" s="84"/>
      <c r="G5" s="85"/>
      <c r="H5" s="83"/>
      <c r="I5" s="83"/>
      <c r="J5" s="83"/>
      <c r="K5" s="83"/>
      <c r="L5" s="86"/>
      <c r="M5" s="87" t="str">
        <f>IF( OR( ISBLANK(H5),ISBLANK(I5), ISBLANK(J5), ISBLANK(K5), ISBLANK(L5) ), "", 1.5*SQRT(   EXP(2.21*(H5-1)) + EXP(2.21*(I5-1)) + EXP(2.21*(J5-1)) + EXP(2.21*(K5-1)) + EXP(2.21*L5)   )/100*2.45 )</f>
        <v/>
      </c>
      <c r="N5" s="88"/>
    </row>
    <row r="6" spans="1:14" x14ac:dyDescent="0.2">
      <c r="A6" s="108" t="s">
        <v>100</v>
      </c>
      <c r="B6" s="90" t="s">
        <v>189</v>
      </c>
      <c r="C6" s="91" t="s">
        <v>135</v>
      </c>
      <c r="D6" s="109" t="s">
        <v>135</v>
      </c>
      <c r="E6" s="93">
        <v>5.8999999999999999E-3</v>
      </c>
      <c r="F6" s="110" t="s">
        <v>190</v>
      </c>
      <c r="G6" s="111" t="s">
        <v>16</v>
      </c>
      <c r="H6" s="112">
        <v>2</v>
      </c>
      <c r="I6" s="112">
        <v>3</v>
      </c>
      <c r="J6" s="112">
        <v>3</v>
      </c>
      <c r="K6" s="112">
        <v>2</v>
      </c>
      <c r="L6" s="96">
        <v>2</v>
      </c>
      <c r="M6" s="24">
        <f t="shared" ref="M6:M21" si="0">IF( OR( ISBLANK(H6),ISBLANK(I6), ISBLANK(J6), ISBLANK(K6), ISBLANK(L6) ), "", 1.5*SQRT( EXP(2.21*(H6-1)) + EXP(2.21*(I6-1)) + EXP(2.21*(J6-1)) + EXP(2.21*(K6-1)) + EXP(2.21*L6) )/100*2.45 )</f>
        <v>0.60108474454521421</v>
      </c>
      <c r="N6" s="94"/>
    </row>
    <row r="7" spans="1:14" x14ac:dyDescent="0.2">
      <c r="A7" s="98" t="s">
        <v>100</v>
      </c>
      <c r="B7" s="99" t="s">
        <v>189</v>
      </c>
      <c r="C7" s="100" t="s">
        <v>135</v>
      </c>
      <c r="D7" s="101" t="s">
        <v>135</v>
      </c>
      <c r="E7" s="102">
        <v>9.4499999999999998E-4</v>
      </c>
      <c r="F7" s="103" t="s">
        <v>191</v>
      </c>
      <c r="G7" s="104" t="s">
        <v>16</v>
      </c>
      <c r="H7" s="105">
        <v>2</v>
      </c>
      <c r="I7" s="105">
        <v>2</v>
      </c>
      <c r="J7" s="105">
        <v>3</v>
      </c>
      <c r="K7" s="105">
        <v>2</v>
      </c>
      <c r="L7" s="106">
        <v>2</v>
      </c>
      <c r="M7" s="97">
        <f t="shared" si="0"/>
        <v>0.51126068492676302</v>
      </c>
      <c r="N7" s="107"/>
    </row>
    <row r="8" spans="1:14" x14ac:dyDescent="0.2">
      <c r="A8" s="113" t="s">
        <v>187</v>
      </c>
      <c r="B8" s="113" t="s">
        <v>192</v>
      </c>
      <c r="C8" s="114" t="s">
        <v>135</v>
      </c>
      <c r="D8" s="115" t="s">
        <v>14</v>
      </c>
      <c r="E8" s="116">
        <v>0</v>
      </c>
      <c r="F8" s="117"/>
      <c r="G8" s="95" t="s">
        <v>16</v>
      </c>
      <c r="H8" s="116"/>
      <c r="I8" s="116"/>
      <c r="J8" s="116"/>
      <c r="K8" s="116"/>
      <c r="L8" s="118"/>
      <c r="M8" s="119" t="str">
        <f t="shared" si="0"/>
        <v/>
      </c>
      <c r="N8" s="120"/>
    </row>
    <row r="9" spans="1:14" x14ac:dyDescent="0.2">
      <c r="A9" s="113" t="s">
        <v>187</v>
      </c>
      <c r="B9" s="113" t="s">
        <v>192</v>
      </c>
      <c r="C9" s="114" t="s">
        <v>135</v>
      </c>
      <c r="D9" s="121" t="s">
        <v>62</v>
      </c>
      <c r="E9" s="122">
        <v>0.01</v>
      </c>
      <c r="F9" s="117" t="s">
        <v>193</v>
      </c>
      <c r="G9" s="95" t="s">
        <v>16</v>
      </c>
      <c r="H9" s="112">
        <v>2</v>
      </c>
      <c r="I9" s="112">
        <v>3</v>
      </c>
      <c r="J9" s="112">
        <v>1</v>
      </c>
      <c r="K9" s="112">
        <v>3</v>
      </c>
      <c r="L9" s="96">
        <v>2</v>
      </c>
      <c r="M9" s="123">
        <f t="shared" si="0"/>
        <v>0.59189702474662764</v>
      </c>
      <c r="N9" s="120" t="s">
        <v>194</v>
      </c>
    </row>
    <row r="10" spans="1:14" x14ac:dyDescent="0.2">
      <c r="A10" s="113" t="s">
        <v>187</v>
      </c>
      <c r="B10" s="113" t="s">
        <v>192</v>
      </c>
      <c r="C10" s="114" t="s">
        <v>135</v>
      </c>
      <c r="D10" s="124" t="s">
        <v>64</v>
      </c>
      <c r="E10" s="122">
        <v>0.2</v>
      </c>
      <c r="F10" s="117" t="s">
        <v>193</v>
      </c>
      <c r="G10" s="95" t="s">
        <v>16</v>
      </c>
      <c r="H10" s="112">
        <v>2</v>
      </c>
      <c r="I10" s="112">
        <v>3</v>
      </c>
      <c r="J10" s="112">
        <v>1</v>
      </c>
      <c r="K10" s="112">
        <v>3</v>
      </c>
      <c r="L10" s="96">
        <v>2</v>
      </c>
      <c r="M10" s="123">
        <f t="shared" si="0"/>
        <v>0.59189702474662764</v>
      </c>
      <c r="N10" s="120" t="s">
        <v>194</v>
      </c>
    </row>
    <row r="11" spans="1:14" x14ac:dyDescent="0.2">
      <c r="A11" s="113" t="s">
        <v>187</v>
      </c>
      <c r="B11" s="113" t="s">
        <v>192</v>
      </c>
      <c r="C11" s="114" t="s">
        <v>135</v>
      </c>
      <c r="D11" s="125" t="s">
        <v>66</v>
      </c>
      <c r="E11" s="116">
        <v>0</v>
      </c>
      <c r="F11" s="117"/>
      <c r="G11" s="95" t="s">
        <v>16</v>
      </c>
      <c r="H11" s="116"/>
      <c r="I11" s="116"/>
      <c r="J11" s="116"/>
      <c r="K11" s="116"/>
      <c r="L11" s="118"/>
      <c r="M11" s="119" t="str">
        <f t="shared" si="0"/>
        <v/>
      </c>
      <c r="N11" s="120"/>
    </row>
    <row r="12" spans="1:14" x14ac:dyDescent="0.2">
      <c r="A12" s="113" t="s">
        <v>187</v>
      </c>
      <c r="B12" s="113" t="s">
        <v>192</v>
      </c>
      <c r="C12" s="114" t="s">
        <v>135</v>
      </c>
      <c r="D12" s="126" t="s">
        <v>94</v>
      </c>
      <c r="E12" s="116">
        <v>0</v>
      </c>
      <c r="F12" s="117"/>
      <c r="G12" s="95" t="s">
        <v>16</v>
      </c>
      <c r="H12" s="116"/>
      <c r="I12" s="116"/>
      <c r="J12" s="116"/>
      <c r="K12" s="116"/>
      <c r="L12" s="118"/>
      <c r="M12" s="119" t="str">
        <f t="shared" si="0"/>
        <v/>
      </c>
      <c r="N12" s="120"/>
    </row>
    <row r="13" spans="1:14" x14ac:dyDescent="0.2">
      <c r="A13" s="113" t="s">
        <v>187</v>
      </c>
      <c r="B13" s="113" t="s">
        <v>192</v>
      </c>
      <c r="C13" s="114" t="s">
        <v>135</v>
      </c>
      <c r="D13" s="127" t="s">
        <v>96</v>
      </c>
      <c r="E13" s="116">
        <v>0</v>
      </c>
      <c r="F13" s="117"/>
      <c r="G13" s="95" t="s">
        <v>16</v>
      </c>
      <c r="H13" s="116"/>
      <c r="I13" s="116"/>
      <c r="J13" s="116"/>
      <c r="K13" s="116"/>
      <c r="L13" s="118"/>
      <c r="M13" s="119" t="str">
        <f t="shared" si="0"/>
        <v/>
      </c>
      <c r="N13" s="120"/>
    </row>
    <row r="14" spans="1:14" x14ac:dyDescent="0.2">
      <c r="A14" s="113" t="s">
        <v>187</v>
      </c>
      <c r="B14" s="113" t="s">
        <v>192</v>
      </c>
      <c r="C14" s="114" t="s">
        <v>135</v>
      </c>
      <c r="D14" s="128" t="s">
        <v>98</v>
      </c>
      <c r="E14" s="122">
        <v>0.1275</v>
      </c>
      <c r="F14" s="117" t="s">
        <v>195</v>
      </c>
      <c r="G14" s="95" t="s">
        <v>16</v>
      </c>
      <c r="H14" s="112">
        <v>2</v>
      </c>
      <c r="I14" s="112">
        <v>2</v>
      </c>
      <c r="J14" s="112">
        <v>1</v>
      </c>
      <c r="K14" s="112">
        <v>1</v>
      </c>
      <c r="L14" s="96">
        <v>2</v>
      </c>
      <c r="M14" s="123">
        <f t="shared" si="0"/>
        <v>0.37356464144298934</v>
      </c>
      <c r="N14" s="120"/>
    </row>
    <row r="15" spans="1:14" x14ac:dyDescent="0.2">
      <c r="A15" s="98" t="s">
        <v>187</v>
      </c>
      <c r="B15" s="129" t="s">
        <v>136</v>
      </c>
      <c r="C15" s="100" t="s">
        <v>135</v>
      </c>
      <c r="D15" s="101" t="s">
        <v>135</v>
      </c>
      <c r="E15" s="130" t="s">
        <v>188</v>
      </c>
      <c r="F15" s="103"/>
      <c r="G15" s="104" t="s">
        <v>16</v>
      </c>
      <c r="H15" s="130"/>
      <c r="I15" s="130"/>
      <c r="J15" s="130"/>
      <c r="K15" s="130"/>
      <c r="L15" s="131"/>
      <c r="M15" s="132" t="str">
        <f t="shared" si="0"/>
        <v/>
      </c>
      <c r="N15" s="107"/>
    </row>
    <row r="16" spans="1:14" x14ac:dyDescent="0.2">
      <c r="A16" s="133" t="s">
        <v>192</v>
      </c>
      <c r="B16" s="134" t="s">
        <v>132</v>
      </c>
      <c r="C16" s="114" t="s">
        <v>135</v>
      </c>
      <c r="D16" s="92" t="s">
        <v>135</v>
      </c>
      <c r="E16" s="116" t="s">
        <v>188</v>
      </c>
      <c r="F16" s="117"/>
      <c r="G16" s="95" t="s">
        <v>16</v>
      </c>
      <c r="H16" s="116"/>
      <c r="I16" s="116"/>
      <c r="J16" s="116"/>
      <c r="K16" s="116"/>
      <c r="L16" s="118"/>
      <c r="M16" s="119" t="str">
        <f t="shared" si="0"/>
        <v/>
      </c>
      <c r="N16" s="120"/>
    </row>
    <row r="17" spans="1:14" x14ac:dyDescent="0.2">
      <c r="A17" s="89" t="s">
        <v>192</v>
      </c>
      <c r="B17" s="90" t="s">
        <v>196</v>
      </c>
      <c r="C17" s="91" t="s">
        <v>135</v>
      </c>
      <c r="D17" s="92" t="s">
        <v>135</v>
      </c>
      <c r="E17" s="93">
        <v>0.03</v>
      </c>
      <c r="F17" s="94" t="s">
        <v>197</v>
      </c>
      <c r="G17" s="95" t="s">
        <v>16</v>
      </c>
      <c r="H17" s="23">
        <v>2</v>
      </c>
      <c r="I17" s="23">
        <v>2</v>
      </c>
      <c r="J17" s="23">
        <v>3</v>
      </c>
      <c r="K17" s="23">
        <v>3</v>
      </c>
      <c r="L17" s="96">
        <v>2</v>
      </c>
      <c r="M17" s="123">
        <f t="shared" si="0"/>
        <v>0.60108474454521421</v>
      </c>
      <c r="N17" s="94"/>
    </row>
    <row r="18" spans="1:14" x14ac:dyDescent="0.2">
      <c r="A18" s="98" t="s">
        <v>192</v>
      </c>
      <c r="B18" s="99" t="s">
        <v>196</v>
      </c>
      <c r="C18" s="100" t="s">
        <v>135</v>
      </c>
      <c r="D18" s="101" t="s">
        <v>135</v>
      </c>
      <c r="E18" s="102">
        <v>1.9239999999999999E-4</v>
      </c>
      <c r="F18" s="103" t="s">
        <v>191</v>
      </c>
      <c r="G18" s="104" t="s">
        <v>16</v>
      </c>
      <c r="H18" s="105">
        <v>2</v>
      </c>
      <c r="I18" s="105">
        <v>2</v>
      </c>
      <c r="J18" s="105">
        <v>3</v>
      </c>
      <c r="K18" s="105">
        <v>2</v>
      </c>
      <c r="L18" s="106">
        <v>2</v>
      </c>
      <c r="M18" s="97">
        <f t="shared" si="0"/>
        <v>0.51126068492676302</v>
      </c>
      <c r="N18" s="107"/>
    </row>
    <row r="19" spans="1:14" x14ac:dyDescent="0.2">
      <c r="A19" s="135" t="s">
        <v>136</v>
      </c>
      <c r="B19" s="136" t="s">
        <v>189</v>
      </c>
      <c r="C19" s="137" t="s">
        <v>135</v>
      </c>
      <c r="D19" s="82" t="s">
        <v>135</v>
      </c>
      <c r="E19" s="138">
        <v>6.6299999999999998E-2</v>
      </c>
      <c r="F19" s="139" t="s">
        <v>190</v>
      </c>
      <c r="G19" s="85" t="s">
        <v>16</v>
      </c>
      <c r="H19" s="140">
        <v>2</v>
      </c>
      <c r="I19" s="140">
        <v>3</v>
      </c>
      <c r="J19" s="140">
        <v>3</v>
      </c>
      <c r="K19" s="140">
        <v>1</v>
      </c>
      <c r="L19" s="106">
        <v>2</v>
      </c>
      <c r="M19" s="141">
        <f t="shared" si="0"/>
        <v>0.59189702474662764</v>
      </c>
      <c r="N19" s="139"/>
    </row>
    <row r="20" spans="1:14" x14ac:dyDescent="0.2">
      <c r="A20" s="142" t="s">
        <v>136</v>
      </c>
      <c r="B20" s="143" t="s">
        <v>189</v>
      </c>
      <c r="C20" s="137" t="s">
        <v>135</v>
      </c>
      <c r="D20" s="92" t="s">
        <v>135</v>
      </c>
      <c r="E20" s="122">
        <v>5.669999999999999E-4</v>
      </c>
      <c r="F20" s="117" t="s">
        <v>191</v>
      </c>
      <c r="G20" s="95" t="s">
        <v>16</v>
      </c>
      <c r="H20" s="112">
        <v>2</v>
      </c>
      <c r="I20" s="112">
        <v>2</v>
      </c>
      <c r="J20" s="112">
        <v>3</v>
      </c>
      <c r="K20" s="112">
        <v>2</v>
      </c>
      <c r="L20" s="96">
        <v>2</v>
      </c>
      <c r="M20" s="123">
        <f t="shared" si="0"/>
        <v>0.51126068492676302</v>
      </c>
      <c r="N20" s="120"/>
    </row>
    <row r="21" spans="1:14" x14ac:dyDescent="0.2">
      <c r="A21" s="144" t="s">
        <v>136</v>
      </c>
      <c r="B21" s="145" t="s">
        <v>198</v>
      </c>
      <c r="C21" s="100" t="s">
        <v>135</v>
      </c>
      <c r="D21" s="101" t="s">
        <v>135</v>
      </c>
      <c r="E21" s="130" t="s">
        <v>188</v>
      </c>
      <c r="F21" s="103"/>
      <c r="G21" s="104" t="s">
        <v>16</v>
      </c>
      <c r="H21" s="130"/>
      <c r="I21" s="130"/>
      <c r="J21" s="130"/>
      <c r="K21" s="130"/>
      <c r="L21" s="131"/>
      <c r="M21" s="132" t="str">
        <f t="shared" si="0"/>
        <v/>
      </c>
      <c r="N21" s="107" t="s">
        <v>199</v>
      </c>
    </row>
    <row r="22" spans="1:14" x14ac:dyDescent="0.2">
      <c r="A22" s="135" t="s">
        <v>132</v>
      </c>
      <c r="B22" s="136" t="s">
        <v>196</v>
      </c>
      <c r="C22" s="146" t="s">
        <v>135</v>
      </c>
      <c r="D22" s="82" t="s">
        <v>135</v>
      </c>
      <c r="E22" s="138">
        <v>0.1</v>
      </c>
      <c r="F22" s="139" t="s">
        <v>197</v>
      </c>
      <c r="G22" s="85" t="s">
        <v>16</v>
      </c>
      <c r="H22" s="140">
        <v>2</v>
      </c>
      <c r="I22" s="140">
        <v>3</v>
      </c>
      <c r="J22" s="140">
        <v>3</v>
      </c>
      <c r="K22" s="140">
        <v>3</v>
      </c>
      <c r="L22" s="147">
        <v>2</v>
      </c>
      <c r="M22" s="141">
        <f>IF( OR( ISBLANK(H22),ISBLANK(I22), ISBLANK(J22), ISBLANK(K22), ISBLANK(L22) ), "", 1.5*SQRT(   EXP(2.21*(H22-1)) + EXP(2.21*(I22-1)) + EXP(2.21*(J22-1)) + EXP(2.21*(K22-1)) + EXP(2.21*L22)   )/100*2.45 )</f>
        <v>0.67913051197703389</v>
      </c>
      <c r="N22" s="139"/>
    </row>
    <row r="23" spans="1:14" x14ac:dyDescent="0.2">
      <c r="A23" s="129" t="s">
        <v>132</v>
      </c>
      <c r="B23" s="145" t="s">
        <v>198</v>
      </c>
      <c r="C23" s="100" t="s">
        <v>135</v>
      </c>
      <c r="D23" s="101" t="s">
        <v>135</v>
      </c>
      <c r="E23" s="130" t="s">
        <v>188</v>
      </c>
      <c r="F23" s="103"/>
      <c r="G23" s="104" t="s">
        <v>16</v>
      </c>
      <c r="H23" s="130"/>
      <c r="I23" s="130"/>
      <c r="J23" s="130"/>
      <c r="K23" s="130"/>
      <c r="L23" s="131"/>
      <c r="M23" s="132" t="str">
        <f>IF( OR( ISBLANK(H23),ISBLANK(I23), ISBLANK(J23), ISBLANK(K23), ISBLANK(L23) ), "", 1.5*SQRT(   EXP(2.21*(H23-1)) + EXP(2.21*(I23-1)) + EXP(2.21*(J23-1)) + EXP(2.21*(K23-1)) + EXP(2.21*L23)   )/100*2.45 )</f>
        <v/>
      </c>
      <c r="N23" s="107" t="s">
        <v>199</v>
      </c>
    </row>
    <row r="24" spans="1:14" x14ac:dyDescent="0.2">
      <c r="A24" s="148" t="s">
        <v>137</v>
      </c>
      <c r="B24" s="149" t="s">
        <v>200</v>
      </c>
      <c r="C24" s="137" t="s">
        <v>135</v>
      </c>
      <c r="D24" s="115" t="s">
        <v>14</v>
      </c>
      <c r="E24" s="150">
        <v>0.25393341343652143</v>
      </c>
      <c r="F24" s="117" t="s">
        <v>201</v>
      </c>
      <c r="G24" s="95" t="s">
        <v>16</v>
      </c>
      <c r="H24" s="112">
        <v>2</v>
      </c>
      <c r="I24" s="112">
        <v>2</v>
      </c>
      <c r="J24" s="112">
        <v>1</v>
      </c>
      <c r="K24" s="112">
        <v>1</v>
      </c>
      <c r="L24" s="96">
        <v>1</v>
      </c>
      <c r="M24" s="123">
        <f t="shared" ref="M24:M55" si="1">IF( OR( ISBLANK(H24),ISBLANK(I24), ISBLANK(J24), ISBLANK(K24), ISBLANK(L24) ), "", 1.5*SQRT( EXP(2.21*(H24-1)) + EXP(2.21*(I24-1)) + EXP(2.21*(J24-1)) + EXP(2.21*(K24-1)) + EXP(2.21*L24) )/100*2.45 )</f>
        <v>0.19908580854301616</v>
      </c>
      <c r="N24" s="120"/>
    </row>
    <row r="25" spans="1:14" x14ac:dyDescent="0.2">
      <c r="A25" s="148" t="s">
        <v>137</v>
      </c>
      <c r="B25" s="149" t="s">
        <v>200</v>
      </c>
      <c r="C25" s="137" t="s">
        <v>135</v>
      </c>
      <c r="D25" s="121" t="s">
        <v>62</v>
      </c>
      <c r="E25" s="150">
        <v>0.10021048847202051</v>
      </c>
      <c r="F25" s="117" t="s">
        <v>201</v>
      </c>
      <c r="G25" s="95" t="s">
        <v>16</v>
      </c>
      <c r="H25" s="112">
        <v>2</v>
      </c>
      <c r="I25" s="112">
        <v>2</v>
      </c>
      <c r="J25" s="112">
        <v>1</v>
      </c>
      <c r="K25" s="112">
        <v>1</v>
      </c>
      <c r="L25" s="96">
        <v>1</v>
      </c>
      <c r="M25" s="123">
        <f t="shared" si="1"/>
        <v>0.19908580854301616</v>
      </c>
      <c r="N25" s="120"/>
    </row>
    <row r="26" spans="1:14" x14ac:dyDescent="0.2">
      <c r="A26" s="148" t="s">
        <v>137</v>
      </c>
      <c r="B26" s="149" t="s">
        <v>200</v>
      </c>
      <c r="C26" s="137" t="s">
        <v>135</v>
      </c>
      <c r="D26" s="124" t="s">
        <v>64</v>
      </c>
      <c r="E26" s="150">
        <v>0.27828891234025099</v>
      </c>
      <c r="F26" s="117" t="s">
        <v>202</v>
      </c>
      <c r="G26" s="95" t="s">
        <v>16</v>
      </c>
      <c r="H26" s="112">
        <v>2</v>
      </c>
      <c r="I26" s="112">
        <v>2</v>
      </c>
      <c r="J26" s="112">
        <v>1</v>
      </c>
      <c r="K26" s="112">
        <v>1</v>
      </c>
      <c r="L26" s="96">
        <v>1</v>
      </c>
      <c r="M26" s="123">
        <f t="shared" si="1"/>
        <v>0.19908580854301616</v>
      </c>
      <c r="N26" s="120"/>
    </row>
    <row r="27" spans="1:14" x14ac:dyDescent="0.2">
      <c r="A27" s="148" t="s">
        <v>137</v>
      </c>
      <c r="B27" s="149" t="s">
        <v>200</v>
      </c>
      <c r="C27" s="137" t="s">
        <v>135</v>
      </c>
      <c r="D27" s="125" t="s">
        <v>66</v>
      </c>
      <c r="E27" s="150">
        <v>4.9958654906284448E-2</v>
      </c>
      <c r="F27" s="117" t="s">
        <v>203</v>
      </c>
      <c r="G27" s="95" t="s">
        <v>16</v>
      </c>
      <c r="H27" s="112">
        <v>2</v>
      </c>
      <c r="I27" s="112">
        <v>2</v>
      </c>
      <c r="J27" s="112">
        <v>1</v>
      </c>
      <c r="K27" s="112">
        <v>1</v>
      </c>
      <c r="L27" s="96">
        <v>1</v>
      </c>
      <c r="M27" s="123">
        <f t="shared" si="1"/>
        <v>0.19908580854301616</v>
      </c>
      <c r="N27" s="120"/>
    </row>
    <row r="28" spans="1:14" x14ac:dyDescent="0.2">
      <c r="A28" s="148" t="s">
        <v>137</v>
      </c>
      <c r="B28" s="149" t="s">
        <v>200</v>
      </c>
      <c r="C28" s="137" t="s">
        <v>135</v>
      </c>
      <c r="D28" s="126" t="s">
        <v>94</v>
      </c>
      <c r="E28" s="151">
        <v>0</v>
      </c>
      <c r="F28" s="117" t="s">
        <v>204</v>
      </c>
      <c r="G28" s="95" t="s">
        <v>16</v>
      </c>
      <c r="H28" s="116"/>
      <c r="I28" s="116"/>
      <c r="J28" s="116"/>
      <c r="K28" s="116"/>
      <c r="L28" s="118"/>
      <c r="M28" s="119" t="str">
        <f t="shared" si="1"/>
        <v/>
      </c>
      <c r="N28" s="120"/>
    </row>
    <row r="29" spans="1:14" x14ac:dyDescent="0.2">
      <c r="A29" s="148" t="s">
        <v>137</v>
      </c>
      <c r="B29" s="149" t="s">
        <v>200</v>
      </c>
      <c r="C29" s="137" t="s">
        <v>135</v>
      </c>
      <c r="D29" s="127" t="s">
        <v>96</v>
      </c>
      <c r="E29" s="150">
        <v>0.36478599221789881</v>
      </c>
      <c r="F29" s="117" t="s">
        <v>205</v>
      </c>
      <c r="G29" s="95" t="s">
        <v>16</v>
      </c>
      <c r="H29" s="112">
        <v>2</v>
      </c>
      <c r="I29" s="112">
        <v>2</v>
      </c>
      <c r="J29" s="112">
        <v>1</v>
      </c>
      <c r="K29" s="112">
        <v>1</v>
      </c>
      <c r="L29" s="96">
        <v>1</v>
      </c>
      <c r="M29" s="123">
        <f t="shared" si="1"/>
        <v>0.19908580854301616</v>
      </c>
      <c r="N29" s="120"/>
    </row>
    <row r="30" spans="1:14" x14ac:dyDescent="0.2">
      <c r="A30" s="148" t="s">
        <v>137</v>
      </c>
      <c r="B30" s="149" t="s">
        <v>200</v>
      </c>
      <c r="C30" s="137" t="s">
        <v>135</v>
      </c>
      <c r="D30" s="128" t="s">
        <v>98</v>
      </c>
      <c r="E30" s="150">
        <v>3.2179998429501748E-2</v>
      </c>
      <c r="F30" s="117" t="s">
        <v>206</v>
      </c>
      <c r="G30" s="95" t="s">
        <v>16</v>
      </c>
      <c r="H30" s="112">
        <v>2</v>
      </c>
      <c r="I30" s="112">
        <v>2</v>
      </c>
      <c r="J30" s="112">
        <v>1</v>
      </c>
      <c r="K30" s="112">
        <v>1</v>
      </c>
      <c r="L30" s="96">
        <v>1</v>
      </c>
      <c r="M30" s="123">
        <f t="shared" si="1"/>
        <v>0.19908580854301616</v>
      </c>
      <c r="N30" s="120"/>
    </row>
    <row r="31" spans="1:14" x14ac:dyDescent="0.2">
      <c r="A31" s="53" t="s">
        <v>137</v>
      </c>
      <c r="B31" s="149" t="s">
        <v>207</v>
      </c>
      <c r="C31" s="137" t="s">
        <v>135</v>
      </c>
      <c r="D31" s="115" t="s">
        <v>14</v>
      </c>
      <c r="E31" s="152">
        <v>2.0776370190260841E-2</v>
      </c>
      <c r="F31" s="117" t="s">
        <v>208</v>
      </c>
      <c r="G31" s="95" t="s">
        <v>16</v>
      </c>
      <c r="H31" s="112">
        <v>2</v>
      </c>
      <c r="I31" s="112">
        <v>2</v>
      </c>
      <c r="J31" s="112">
        <v>1</v>
      </c>
      <c r="K31" s="112">
        <v>1</v>
      </c>
      <c r="L31" s="96">
        <v>1</v>
      </c>
      <c r="M31" s="123">
        <f t="shared" si="1"/>
        <v>0.19908580854301616</v>
      </c>
      <c r="N31" s="120"/>
    </row>
    <row r="32" spans="1:14" x14ac:dyDescent="0.2">
      <c r="A32" s="148" t="s">
        <v>137</v>
      </c>
      <c r="B32" s="149" t="s">
        <v>207</v>
      </c>
      <c r="C32" s="137" t="s">
        <v>135</v>
      </c>
      <c r="D32" s="121" t="s">
        <v>62</v>
      </c>
      <c r="E32" s="152">
        <v>2.5405475950653091E-2</v>
      </c>
      <c r="F32" s="117" t="s">
        <v>209</v>
      </c>
      <c r="G32" s="95" t="s">
        <v>16</v>
      </c>
      <c r="H32" s="112">
        <v>2</v>
      </c>
      <c r="I32" s="112">
        <v>2</v>
      </c>
      <c r="J32" s="112">
        <v>1</v>
      </c>
      <c r="K32" s="112">
        <v>1</v>
      </c>
      <c r="L32" s="96">
        <v>1</v>
      </c>
      <c r="M32" s="123">
        <f t="shared" si="1"/>
        <v>0.19908580854301616</v>
      </c>
      <c r="N32" s="120"/>
    </row>
    <row r="33" spans="1:14" x14ac:dyDescent="0.2">
      <c r="A33" s="148" t="s">
        <v>137</v>
      </c>
      <c r="B33" s="149" t="s">
        <v>207</v>
      </c>
      <c r="C33" s="137" t="s">
        <v>135</v>
      </c>
      <c r="D33" s="124" t="s">
        <v>64</v>
      </c>
      <c r="E33" s="153">
        <v>0</v>
      </c>
      <c r="F33" s="117" t="s">
        <v>210</v>
      </c>
      <c r="G33" s="95" t="s">
        <v>16</v>
      </c>
      <c r="H33" s="116"/>
      <c r="I33" s="116"/>
      <c r="J33" s="116"/>
      <c r="K33" s="116"/>
      <c r="L33" s="118"/>
      <c r="M33" s="119" t="str">
        <f t="shared" si="1"/>
        <v/>
      </c>
      <c r="N33" s="120"/>
    </row>
    <row r="34" spans="1:14" x14ac:dyDescent="0.2">
      <c r="A34" s="148" t="s">
        <v>137</v>
      </c>
      <c r="B34" s="149" t="s">
        <v>207</v>
      </c>
      <c r="C34" s="137" t="s">
        <v>135</v>
      </c>
      <c r="D34" s="125" t="s">
        <v>66</v>
      </c>
      <c r="E34" s="153">
        <v>0</v>
      </c>
      <c r="F34" s="117" t="s">
        <v>211</v>
      </c>
      <c r="G34" s="95" t="s">
        <v>16</v>
      </c>
      <c r="H34" s="116"/>
      <c r="I34" s="116"/>
      <c r="J34" s="116"/>
      <c r="K34" s="116"/>
      <c r="L34" s="118"/>
      <c r="M34" s="119" t="str">
        <f t="shared" si="1"/>
        <v/>
      </c>
      <c r="N34" s="120"/>
    </row>
    <row r="35" spans="1:14" x14ac:dyDescent="0.2">
      <c r="A35" s="148" t="s">
        <v>137</v>
      </c>
      <c r="B35" s="149" t="s">
        <v>207</v>
      </c>
      <c r="C35" s="137" t="s">
        <v>135</v>
      </c>
      <c r="D35" s="126" t="s">
        <v>94</v>
      </c>
      <c r="E35" s="153">
        <v>0</v>
      </c>
      <c r="F35" s="117" t="s">
        <v>212</v>
      </c>
      <c r="G35" s="95" t="s">
        <v>16</v>
      </c>
      <c r="H35" s="116"/>
      <c r="I35" s="116"/>
      <c r="J35" s="116"/>
      <c r="K35" s="116"/>
      <c r="L35" s="118"/>
      <c r="M35" s="119" t="str">
        <f t="shared" si="1"/>
        <v/>
      </c>
      <c r="N35" s="120"/>
    </row>
    <row r="36" spans="1:14" x14ac:dyDescent="0.2">
      <c r="A36" s="148" t="s">
        <v>137</v>
      </c>
      <c r="B36" s="149" t="s">
        <v>207</v>
      </c>
      <c r="C36" s="137" t="s">
        <v>135</v>
      </c>
      <c r="D36" s="127" t="s">
        <v>96</v>
      </c>
      <c r="E36" s="153">
        <v>0</v>
      </c>
      <c r="F36" s="117" t="s">
        <v>213</v>
      </c>
      <c r="G36" s="95" t="s">
        <v>16</v>
      </c>
      <c r="H36" s="116"/>
      <c r="I36" s="116"/>
      <c r="J36" s="116"/>
      <c r="K36" s="116"/>
      <c r="L36" s="118"/>
      <c r="M36" s="119" t="str">
        <f t="shared" si="1"/>
        <v/>
      </c>
      <c r="N36" s="120"/>
    </row>
    <row r="37" spans="1:14" x14ac:dyDescent="0.2">
      <c r="A37" s="148" t="s">
        <v>137</v>
      </c>
      <c r="B37" s="149" t="s">
        <v>207</v>
      </c>
      <c r="C37" s="137" t="s">
        <v>135</v>
      </c>
      <c r="D37" s="128" t="s">
        <v>98</v>
      </c>
      <c r="E37" s="153">
        <v>0</v>
      </c>
      <c r="F37" s="117" t="s">
        <v>214</v>
      </c>
      <c r="G37" s="95" t="s">
        <v>16</v>
      </c>
      <c r="H37" s="116"/>
      <c r="I37" s="116"/>
      <c r="J37" s="116"/>
      <c r="K37" s="116"/>
      <c r="L37" s="118"/>
      <c r="M37" s="119" t="str">
        <f t="shared" si="1"/>
        <v/>
      </c>
      <c r="N37" s="120"/>
    </row>
    <row r="38" spans="1:14" x14ac:dyDescent="0.2">
      <c r="A38" s="53" t="s">
        <v>137</v>
      </c>
      <c r="B38" s="149" t="s">
        <v>215</v>
      </c>
      <c r="C38" s="137" t="s">
        <v>135</v>
      </c>
      <c r="D38" s="115" t="s">
        <v>14</v>
      </c>
      <c r="E38" s="153">
        <v>0</v>
      </c>
      <c r="F38" s="117" t="s">
        <v>216</v>
      </c>
      <c r="G38" s="95" t="s">
        <v>16</v>
      </c>
      <c r="H38" s="116"/>
      <c r="I38" s="116"/>
      <c r="J38" s="116"/>
      <c r="K38" s="116"/>
      <c r="L38" s="118"/>
      <c r="M38" s="119" t="str">
        <f t="shared" si="1"/>
        <v/>
      </c>
      <c r="N38" s="120"/>
    </row>
    <row r="39" spans="1:14" x14ac:dyDescent="0.2">
      <c r="A39" s="148" t="s">
        <v>137</v>
      </c>
      <c r="B39" s="149" t="s">
        <v>215</v>
      </c>
      <c r="C39" s="137" t="s">
        <v>135</v>
      </c>
      <c r="D39" s="121" t="s">
        <v>62</v>
      </c>
      <c r="E39" s="152">
        <v>0.37825930859861268</v>
      </c>
      <c r="F39" s="117" t="s">
        <v>217</v>
      </c>
      <c r="G39" s="95" t="s">
        <v>16</v>
      </c>
      <c r="H39" s="112">
        <v>2</v>
      </c>
      <c r="I39" s="112">
        <v>2</v>
      </c>
      <c r="J39" s="112">
        <v>1</v>
      </c>
      <c r="K39" s="112">
        <v>1</v>
      </c>
      <c r="L39" s="96">
        <v>1</v>
      </c>
      <c r="M39" s="123">
        <f t="shared" si="1"/>
        <v>0.19908580854301616</v>
      </c>
      <c r="N39" s="120"/>
    </row>
    <row r="40" spans="1:14" x14ac:dyDescent="0.2">
      <c r="A40" s="148" t="s">
        <v>137</v>
      </c>
      <c r="B40" s="149" t="s">
        <v>215</v>
      </c>
      <c r="C40" s="137" t="s">
        <v>135</v>
      </c>
      <c r="D40" s="124" t="s">
        <v>64</v>
      </c>
      <c r="E40" s="152">
        <v>4.3008286452584261E-2</v>
      </c>
      <c r="F40" s="117" t="s">
        <v>218</v>
      </c>
      <c r="G40" s="95" t="s">
        <v>16</v>
      </c>
      <c r="H40" s="112">
        <v>2</v>
      </c>
      <c r="I40" s="112">
        <v>2</v>
      </c>
      <c r="J40" s="112">
        <v>1</v>
      </c>
      <c r="K40" s="112">
        <v>1</v>
      </c>
      <c r="L40" s="96">
        <v>1</v>
      </c>
      <c r="M40" s="123">
        <f t="shared" si="1"/>
        <v>0.19908580854301616</v>
      </c>
      <c r="N40" s="120"/>
    </row>
    <row r="41" spans="1:14" x14ac:dyDescent="0.2">
      <c r="A41" s="148" t="s">
        <v>137</v>
      </c>
      <c r="B41" s="149" t="s">
        <v>215</v>
      </c>
      <c r="C41" s="137" t="s">
        <v>135</v>
      </c>
      <c r="D41" s="125" t="s">
        <v>66</v>
      </c>
      <c r="E41" s="153">
        <v>0</v>
      </c>
      <c r="F41" s="117" t="s">
        <v>219</v>
      </c>
      <c r="G41" s="95" t="s">
        <v>16</v>
      </c>
      <c r="H41" s="116"/>
      <c r="I41" s="116"/>
      <c r="J41" s="116"/>
      <c r="K41" s="116"/>
      <c r="L41" s="118"/>
      <c r="M41" s="119" t="str">
        <f t="shared" si="1"/>
        <v/>
      </c>
      <c r="N41" s="120"/>
    </row>
    <row r="42" spans="1:14" x14ac:dyDescent="0.2">
      <c r="A42" s="148" t="s">
        <v>137</v>
      </c>
      <c r="B42" s="149" t="s">
        <v>215</v>
      </c>
      <c r="C42" s="137" t="s">
        <v>135</v>
      </c>
      <c r="D42" s="126" t="s">
        <v>94</v>
      </c>
      <c r="E42" s="153">
        <v>0</v>
      </c>
      <c r="F42" s="117" t="s">
        <v>220</v>
      </c>
      <c r="G42" s="95" t="s">
        <v>16</v>
      </c>
      <c r="H42" s="116"/>
      <c r="I42" s="116"/>
      <c r="J42" s="116"/>
      <c r="K42" s="116"/>
      <c r="L42" s="118"/>
      <c r="M42" s="119" t="str">
        <f t="shared" si="1"/>
        <v/>
      </c>
      <c r="N42" s="120"/>
    </row>
    <row r="43" spans="1:14" x14ac:dyDescent="0.2">
      <c r="A43" s="148" t="s">
        <v>137</v>
      </c>
      <c r="B43" s="149" t="s">
        <v>215</v>
      </c>
      <c r="C43" s="137" t="s">
        <v>135</v>
      </c>
      <c r="D43" s="127" t="s">
        <v>96</v>
      </c>
      <c r="E43" s="153">
        <v>0</v>
      </c>
      <c r="F43" s="117" t="s">
        <v>221</v>
      </c>
      <c r="G43" s="95" t="s">
        <v>16</v>
      </c>
      <c r="H43" s="116"/>
      <c r="I43" s="116"/>
      <c r="J43" s="116"/>
      <c r="K43" s="116"/>
      <c r="L43" s="118"/>
      <c r="M43" s="119" t="str">
        <f t="shared" si="1"/>
        <v/>
      </c>
      <c r="N43" s="120"/>
    </row>
    <row r="44" spans="1:14" x14ac:dyDescent="0.2">
      <c r="A44" s="148" t="s">
        <v>137</v>
      </c>
      <c r="B44" s="149" t="s">
        <v>215</v>
      </c>
      <c r="C44" s="137" t="s">
        <v>135</v>
      </c>
      <c r="D44" s="128" t="s">
        <v>98</v>
      </c>
      <c r="E44" s="152">
        <v>0.52559568716394089</v>
      </c>
      <c r="F44" s="117" t="s">
        <v>222</v>
      </c>
      <c r="G44" s="95" t="s">
        <v>16</v>
      </c>
      <c r="H44" s="112">
        <v>2</v>
      </c>
      <c r="I44" s="112">
        <v>2</v>
      </c>
      <c r="J44" s="112">
        <v>1</v>
      </c>
      <c r="K44" s="112">
        <v>1</v>
      </c>
      <c r="L44" s="96">
        <v>1</v>
      </c>
      <c r="M44" s="123">
        <f t="shared" si="1"/>
        <v>0.19908580854301616</v>
      </c>
      <c r="N44" s="120"/>
    </row>
    <row r="45" spans="1:14" x14ac:dyDescent="0.2">
      <c r="A45" s="53" t="s">
        <v>137</v>
      </c>
      <c r="B45" s="149" t="s">
        <v>223</v>
      </c>
      <c r="C45" s="137" t="s">
        <v>135</v>
      </c>
      <c r="D45" s="115" t="s">
        <v>14</v>
      </c>
      <c r="E45" s="152">
        <v>5.5403653840695559E-2</v>
      </c>
      <c r="F45" s="117" t="s">
        <v>224</v>
      </c>
      <c r="G45" s="95" t="s">
        <v>16</v>
      </c>
      <c r="H45" s="112">
        <v>2</v>
      </c>
      <c r="I45" s="112">
        <v>2</v>
      </c>
      <c r="J45" s="112">
        <v>1</v>
      </c>
      <c r="K45" s="112">
        <v>1</v>
      </c>
      <c r="L45" s="96">
        <v>1</v>
      </c>
      <c r="M45" s="123">
        <f t="shared" si="1"/>
        <v>0.19908580854301616</v>
      </c>
      <c r="N45" s="120"/>
    </row>
    <row r="46" spans="1:14" x14ac:dyDescent="0.2">
      <c r="A46" s="148" t="s">
        <v>137</v>
      </c>
      <c r="B46" s="149" t="s">
        <v>223</v>
      </c>
      <c r="C46" s="137" t="s">
        <v>135</v>
      </c>
      <c r="D46" s="121" t="s">
        <v>62</v>
      </c>
      <c r="E46" s="152">
        <v>9.0330581157877649E-2</v>
      </c>
      <c r="F46" s="117" t="s">
        <v>225</v>
      </c>
      <c r="G46" s="95" t="s">
        <v>16</v>
      </c>
      <c r="H46" s="112">
        <v>2</v>
      </c>
      <c r="I46" s="112">
        <v>2</v>
      </c>
      <c r="J46" s="112">
        <v>1</v>
      </c>
      <c r="K46" s="112">
        <v>1</v>
      </c>
      <c r="L46" s="96">
        <v>1</v>
      </c>
      <c r="M46" s="123">
        <f t="shared" si="1"/>
        <v>0.19908580854301616</v>
      </c>
      <c r="N46" s="120"/>
    </row>
    <row r="47" spans="1:14" x14ac:dyDescent="0.2">
      <c r="A47" s="148" t="s">
        <v>137</v>
      </c>
      <c r="B47" s="149" t="s">
        <v>223</v>
      </c>
      <c r="C47" s="137" t="s">
        <v>135</v>
      </c>
      <c r="D47" s="124" t="s">
        <v>64</v>
      </c>
      <c r="E47" s="152">
        <v>0.40731377169800392</v>
      </c>
      <c r="F47" s="117" t="s">
        <v>226</v>
      </c>
      <c r="G47" s="95" t="s">
        <v>16</v>
      </c>
      <c r="H47" s="112">
        <v>2</v>
      </c>
      <c r="I47" s="112">
        <v>2</v>
      </c>
      <c r="J47" s="112">
        <v>1</v>
      </c>
      <c r="K47" s="112">
        <v>1</v>
      </c>
      <c r="L47" s="96">
        <v>1</v>
      </c>
      <c r="M47" s="123">
        <f t="shared" si="1"/>
        <v>0.19908580854301616</v>
      </c>
      <c r="N47" s="120"/>
    </row>
    <row r="48" spans="1:14" x14ac:dyDescent="0.2">
      <c r="A48" s="148" t="s">
        <v>137</v>
      </c>
      <c r="B48" s="149" t="s">
        <v>223</v>
      </c>
      <c r="C48" s="137" t="s">
        <v>135</v>
      </c>
      <c r="D48" s="125" t="s">
        <v>66</v>
      </c>
      <c r="E48" s="152">
        <v>0.63779975192943772</v>
      </c>
      <c r="F48" s="117" t="s">
        <v>227</v>
      </c>
      <c r="G48" s="95" t="s">
        <v>16</v>
      </c>
      <c r="H48" s="112">
        <v>2</v>
      </c>
      <c r="I48" s="112">
        <v>2</v>
      </c>
      <c r="J48" s="112">
        <v>1</v>
      </c>
      <c r="K48" s="112">
        <v>1</v>
      </c>
      <c r="L48" s="96">
        <v>1</v>
      </c>
      <c r="M48" s="123">
        <f t="shared" si="1"/>
        <v>0.19908580854301616</v>
      </c>
      <c r="N48" s="120"/>
    </row>
    <row r="49" spans="1:14" x14ac:dyDescent="0.2">
      <c r="A49" s="148" t="s">
        <v>137</v>
      </c>
      <c r="B49" s="149" t="s">
        <v>223</v>
      </c>
      <c r="C49" s="137" t="s">
        <v>135</v>
      </c>
      <c r="D49" s="126" t="s">
        <v>94</v>
      </c>
      <c r="E49" s="152">
        <v>0.4309619490141906</v>
      </c>
      <c r="F49" s="117" t="s">
        <v>228</v>
      </c>
      <c r="G49" s="95" t="s">
        <v>16</v>
      </c>
      <c r="H49" s="112">
        <v>2</v>
      </c>
      <c r="I49" s="112">
        <v>2</v>
      </c>
      <c r="J49" s="112">
        <v>1</v>
      </c>
      <c r="K49" s="112">
        <v>1</v>
      </c>
      <c r="L49" s="96">
        <v>1</v>
      </c>
      <c r="M49" s="123">
        <f t="shared" si="1"/>
        <v>0.19908580854301616</v>
      </c>
      <c r="N49" s="120"/>
    </row>
    <row r="50" spans="1:14" x14ac:dyDescent="0.2">
      <c r="A50" s="148" t="s">
        <v>137</v>
      </c>
      <c r="B50" s="149" t="s">
        <v>223</v>
      </c>
      <c r="C50" s="137" t="s">
        <v>135</v>
      </c>
      <c r="D50" s="127" t="s">
        <v>96</v>
      </c>
      <c r="E50" s="152">
        <v>0.607976653696498</v>
      </c>
      <c r="F50" s="117" t="s">
        <v>229</v>
      </c>
      <c r="G50" s="95" t="s">
        <v>16</v>
      </c>
      <c r="H50" s="112">
        <v>2</v>
      </c>
      <c r="I50" s="112">
        <v>2</v>
      </c>
      <c r="J50" s="112">
        <v>1</v>
      </c>
      <c r="K50" s="112">
        <v>1</v>
      </c>
      <c r="L50" s="96">
        <v>1</v>
      </c>
      <c r="M50" s="123">
        <f t="shared" si="1"/>
        <v>0.19908580854301616</v>
      </c>
      <c r="N50" s="120"/>
    </row>
    <row r="51" spans="1:14" x14ac:dyDescent="0.2">
      <c r="A51" s="148" t="s">
        <v>137</v>
      </c>
      <c r="B51" s="149" t="s">
        <v>223</v>
      </c>
      <c r="C51" s="137" t="s">
        <v>135</v>
      </c>
      <c r="D51" s="128" t="s">
        <v>98</v>
      </c>
      <c r="E51" s="152">
        <v>0.22411070334831579</v>
      </c>
      <c r="F51" s="117" t="s">
        <v>230</v>
      </c>
      <c r="G51" s="95" t="s">
        <v>16</v>
      </c>
      <c r="H51" s="112">
        <v>2</v>
      </c>
      <c r="I51" s="112">
        <v>2</v>
      </c>
      <c r="J51" s="112">
        <v>1</v>
      </c>
      <c r="K51" s="112">
        <v>1</v>
      </c>
      <c r="L51" s="96">
        <v>1</v>
      </c>
      <c r="M51" s="123">
        <f t="shared" si="1"/>
        <v>0.19908580854301616</v>
      </c>
      <c r="N51" s="120"/>
    </row>
    <row r="52" spans="1:14" x14ac:dyDescent="0.2">
      <c r="A52" s="53" t="s">
        <v>137</v>
      </c>
      <c r="B52" s="149" t="s">
        <v>231</v>
      </c>
      <c r="C52" s="137" t="s">
        <v>135</v>
      </c>
      <c r="D52" s="115" t="s">
        <v>14</v>
      </c>
      <c r="E52" s="152">
        <v>4.7993415139502532E-2</v>
      </c>
      <c r="F52" s="117" t="s">
        <v>232</v>
      </c>
      <c r="G52" s="95" t="s">
        <v>16</v>
      </c>
      <c r="H52" s="112">
        <v>2</v>
      </c>
      <c r="I52" s="112">
        <v>2</v>
      </c>
      <c r="J52" s="112">
        <v>1</v>
      </c>
      <c r="K52" s="112">
        <v>1</v>
      </c>
      <c r="L52" s="96">
        <v>1</v>
      </c>
      <c r="M52" s="123">
        <f t="shared" si="1"/>
        <v>0.19908580854301616</v>
      </c>
      <c r="N52" s="120"/>
    </row>
    <row r="53" spans="1:14" x14ac:dyDescent="0.2">
      <c r="A53" s="148" t="s">
        <v>137</v>
      </c>
      <c r="B53" s="149" t="s">
        <v>231</v>
      </c>
      <c r="C53" s="137" t="s">
        <v>135</v>
      </c>
      <c r="D53" s="121" t="s">
        <v>62</v>
      </c>
      <c r="E53" s="152">
        <v>2.9639721942428609E-4</v>
      </c>
      <c r="F53" s="117" t="s">
        <v>233</v>
      </c>
      <c r="G53" s="95" t="s">
        <v>16</v>
      </c>
      <c r="H53" s="112">
        <v>2</v>
      </c>
      <c r="I53" s="112">
        <v>2</v>
      </c>
      <c r="J53" s="112">
        <v>1</v>
      </c>
      <c r="K53" s="112">
        <v>1</v>
      </c>
      <c r="L53" s="96">
        <v>1</v>
      </c>
      <c r="M53" s="123">
        <f t="shared" si="1"/>
        <v>0.19908580854301616</v>
      </c>
      <c r="N53" s="120"/>
    </row>
    <row r="54" spans="1:14" x14ac:dyDescent="0.2">
      <c r="A54" s="148" t="s">
        <v>137</v>
      </c>
      <c r="B54" s="149" t="s">
        <v>231</v>
      </c>
      <c r="C54" s="137" t="s">
        <v>135</v>
      </c>
      <c r="D54" s="124" t="s">
        <v>64</v>
      </c>
      <c r="E54" s="152">
        <v>2.529899203093192E-2</v>
      </c>
      <c r="F54" s="117" t="s">
        <v>234</v>
      </c>
      <c r="G54" s="95" t="s">
        <v>16</v>
      </c>
      <c r="H54" s="112">
        <v>2</v>
      </c>
      <c r="I54" s="112">
        <v>2</v>
      </c>
      <c r="J54" s="112">
        <v>1</v>
      </c>
      <c r="K54" s="112">
        <v>1</v>
      </c>
      <c r="L54" s="96">
        <v>1</v>
      </c>
      <c r="M54" s="123">
        <f t="shared" si="1"/>
        <v>0.19908580854301616</v>
      </c>
      <c r="N54" s="120"/>
    </row>
    <row r="55" spans="1:14" x14ac:dyDescent="0.2">
      <c r="A55" s="148" t="s">
        <v>137</v>
      </c>
      <c r="B55" s="149" t="s">
        <v>231</v>
      </c>
      <c r="C55" s="137" t="s">
        <v>135</v>
      </c>
      <c r="D55" s="125" t="s">
        <v>66</v>
      </c>
      <c r="E55" s="153">
        <v>0</v>
      </c>
      <c r="F55" s="117" t="s">
        <v>235</v>
      </c>
      <c r="G55" s="95" t="s">
        <v>16</v>
      </c>
      <c r="H55" s="116"/>
      <c r="I55" s="116"/>
      <c r="J55" s="116"/>
      <c r="K55" s="116"/>
      <c r="L55" s="118"/>
      <c r="M55" s="119" t="str">
        <f t="shared" si="1"/>
        <v/>
      </c>
      <c r="N55" s="120"/>
    </row>
    <row r="56" spans="1:14" x14ac:dyDescent="0.2">
      <c r="A56" s="148" t="s">
        <v>137</v>
      </c>
      <c r="B56" s="149" t="s">
        <v>231</v>
      </c>
      <c r="C56" s="137" t="s">
        <v>135</v>
      </c>
      <c r="D56" s="126" t="s">
        <v>94</v>
      </c>
      <c r="E56" s="153">
        <v>0</v>
      </c>
      <c r="F56" s="117" t="s">
        <v>236</v>
      </c>
      <c r="G56" s="95" t="s">
        <v>16</v>
      </c>
      <c r="H56" s="116"/>
      <c r="I56" s="116"/>
      <c r="J56" s="116"/>
      <c r="K56" s="116"/>
      <c r="L56" s="118"/>
      <c r="M56" s="119" t="str">
        <f t="shared" ref="M56:M86" si="2">IF( OR( ISBLANK(H56),ISBLANK(I56), ISBLANK(J56), ISBLANK(K56), ISBLANK(L56) ), "", 1.5*SQRT( EXP(2.21*(H56-1)) + EXP(2.21*(I56-1)) + EXP(2.21*(J56-1)) + EXP(2.21*(K56-1)) + EXP(2.21*L56) )/100*2.45 )</f>
        <v/>
      </c>
      <c r="N56" s="120"/>
    </row>
    <row r="57" spans="1:14" x14ac:dyDescent="0.2">
      <c r="A57" s="148" t="s">
        <v>137</v>
      </c>
      <c r="B57" s="149" t="s">
        <v>231</v>
      </c>
      <c r="C57" s="137" t="s">
        <v>135</v>
      </c>
      <c r="D57" s="127" t="s">
        <v>96</v>
      </c>
      <c r="E57" s="153">
        <v>0</v>
      </c>
      <c r="F57" s="117" t="s">
        <v>237</v>
      </c>
      <c r="G57" s="95" t="s">
        <v>238</v>
      </c>
      <c r="H57" s="116"/>
      <c r="I57" s="116"/>
      <c r="J57" s="116"/>
      <c r="K57" s="116"/>
      <c r="L57" s="118"/>
      <c r="M57" s="119" t="str">
        <f t="shared" si="2"/>
        <v/>
      </c>
      <c r="N57" s="120"/>
    </row>
    <row r="58" spans="1:14" x14ac:dyDescent="0.2">
      <c r="A58" s="148" t="s">
        <v>137</v>
      </c>
      <c r="B58" s="149" t="s">
        <v>231</v>
      </c>
      <c r="C58" s="137" t="s">
        <v>135</v>
      </c>
      <c r="D58" s="128" t="s">
        <v>98</v>
      </c>
      <c r="E58" s="153">
        <v>0</v>
      </c>
      <c r="F58" s="117" t="s">
        <v>239</v>
      </c>
      <c r="G58" s="95" t="s">
        <v>16</v>
      </c>
      <c r="H58" s="116"/>
      <c r="I58" s="116"/>
      <c r="J58" s="116"/>
      <c r="K58" s="116"/>
      <c r="L58" s="118"/>
      <c r="M58" s="119" t="str">
        <f t="shared" si="2"/>
        <v/>
      </c>
      <c r="N58" s="120"/>
    </row>
    <row r="59" spans="1:14" x14ac:dyDescent="0.2">
      <c r="A59" s="53" t="s">
        <v>137</v>
      </c>
      <c r="B59" s="149" t="s">
        <v>240</v>
      </c>
      <c r="C59" s="137" t="s">
        <v>135</v>
      </c>
      <c r="D59" s="115" t="s">
        <v>14</v>
      </c>
      <c r="E59" s="153">
        <v>0</v>
      </c>
      <c r="F59" s="117" t="s">
        <v>241</v>
      </c>
      <c r="G59" s="95" t="s">
        <v>16</v>
      </c>
      <c r="H59" s="116"/>
      <c r="I59" s="116"/>
      <c r="J59" s="116"/>
      <c r="K59" s="116"/>
      <c r="L59" s="118"/>
      <c r="M59" s="119" t="str">
        <f t="shared" si="2"/>
        <v/>
      </c>
      <c r="N59" s="120"/>
    </row>
    <row r="60" spans="1:14" x14ac:dyDescent="0.2">
      <c r="A60" s="148" t="s">
        <v>137</v>
      </c>
      <c r="B60" s="149" t="s">
        <v>240</v>
      </c>
      <c r="C60" s="137" t="s">
        <v>135</v>
      </c>
      <c r="D60" s="121" t="s">
        <v>62</v>
      </c>
      <c r="E60" s="152">
        <v>8.4684919835510304E-3</v>
      </c>
      <c r="F60" s="117" t="s">
        <v>242</v>
      </c>
      <c r="G60" s="95" t="s">
        <v>16</v>
      </c>
      <c r="H60" s="112">
        <v>2</v>
      </c>
      <c r="I60" s="112">
        <v>2</v>
      </c>
      <c r="J60" s="112">
        <v>1</v>
      </c>
      <c r="K60" s="112">
        <v>1</v>
      </c>
      <c r="L60" s="96">
        <v>1</v>
      </c>
      <c r="M60" s="123">
        <f t="shared" si="2"/>
        <v>0.19908580854301616</v>
      </c>
      <c r="N60" s="120"/>
    </row>
    <row r="61" spans="1:14" x14ac:dyDescent="0.2">
      <c r="A61" s="148" t="s">
        <v>137</v>
      </c>
      <c r="B61" s="149" t="s">
        <v>240</v>
      </c>
      <c r="C61" s="137" t="s">
        <v>135</v>
      </c>
      <c r="D61" s="124" t="s">
        <v>64</v>
      </c>
      <c r="E61" s="153">
        <v>0</v>
      </c>
      <c r="F61" s="117" t="s">
        <v>243</v>
      </c>
      <c r="G61" s="95" t="s">
        <v>16</v>
      </c>
      <c r="H61" s="116"/>
      <c r="I61" s="116"/>
      <c r="J61" s="116"/>
      <c r="K61" s="116"/>
      <c r="L61" s="118"/>
      <c r="M61" s="119" t="str">
        <f t="shared" si="2"/>
        <v/>
      </c>
      <c r="N61" s="120"/>
    </row>
    <row r="62" spans="1:14" x14ac:dyDescent="0.2">
      <c r="A62" s="148" t="s">
        <v>137</v>
      </c>
      <c r="B62" s="149" t="s">
        <v>240</v>
      </c>
      <c r="C62" s="137" t="s">
        <v>135</v>
      </c>
      <c r="D62" s="125" t="s">
        <v>66</v>
      </c>
      <c r="E62" s="153">
        <v>0</v>
      </c>
      <c r="F62" s="117" t="s">
        <v>244</v>
      </c>
      <c r="G62" s="95" t="s">
        <v>16</v>
      </c>
      <c r="H62" s="116"/>
      <c r="I62" s="116"/>
      <c r="J62" s="116"/>
      <c r="K62" s="116"/>
      <c r="L62" s="118"/>
      <c r="M62" s="119" t="str">
        <f t="shared" si="2"/>
        <v/>
      </c>
      <c r="N62" s="120"/>
    </row>
    <row r="63" spans="1:14" x14ac:dyDescent="0.2">
      <c r="A63" s="148" t="s">
        <v>137</v>
      </c>
      <c r="B63" s="149" t="s">
        <v>240</v>
      </c>
      <c r="C63" s="137" t="s">
        <v>135</v>
      </c>
      <c r="D63" s="126" t="s">
        <v>94</v>
      </c>
      <c r="E63" s="153">
        <v>0</v>
      </c>
      <c r="F63" s="117" t="s">
        <v>245</v>
      </c>
      <c r="G63" s="95" t="s">
        <v>16</v>
      </c>
      <c r="H63" s="116"/>
      <c r="I63" s="116"/>
      <c r="J63" s="116"/>
      <c r="K63" s="116"/>
      <c r="L63" s="118"/>
      <c r="M63" s="119" t="str">
        <f t="shared" si="2"/>
        <v/>
      </c>
      <c r="N63" s="120"/>
    </row>
    <row r="64" spans="1:14" x14ac:dyDescent="0.2">
      <c r="A64" s="148" t="s">
        <v>137</v>
      </c>
      <c r="B64" s="149" t="s">
        <v>240</v>
      </c>
      <c r="C64" s="137" t="s">
        <v>135</v>
      </c>
      <c r="D64" s="127" t="s">
        <v>96</v>
      </c>
      <c r="E64" s="153">
        <v>0</v>
      </c>
      <c r="F64" s="117" t="s">
        <v>246</v>
      </c>
      <c r="G64" s="95" t="s">
        <v>16</v>
      </c>
      <c r="H64" s="116"/>
      <c r="I64" s="116"/>
      <c r="J64" s="116"/>
      <c r="K64" s="116"/>
      <c r="L64" s="118"/>
      <c r="M64" s="119" t="str">
        <f t="shared" si="2"/>
        <v/>
      </c>
      <c r="N64" s="120"/>
    </row>
    <row r="65" spans="1:14" x14ac:dyDescent="0.2">
      <c r="A65" s="148" t="s">
        <v>137</v>
      </c>
      <c r="B65" s="149" t="s">
        <v>240</v>
      </c>
      <c r="C65" s="137" t="s">
        <v>135</v>
      </c>
      <c r="D65" s="128" t="s">
        <v>98</v>
      </c>
      <c r="E65" s="153">
        <v>0</v>
      </c>
      <c r="F65" s="117" t="s">
        <v>247</v>
      </c>
      <c r="G65" s="95" t="s">
        <v>238</v>
      </c>
      <c r="H65" s="116"/>
      <c r="I65" s="116"/>
      <c r="J65" s="116"/>
      <c r="K65" s="116"/>
      <c r="L65" s="118"/>
      <c r="M65" s="119" t="str">
        <f t="shared" si="2"/>
        <v/>
      </c>
      <c r="N65" s="120"/>
    </row>
    <row r="66" spans="1:14" x14ac:dyDescent="0.2">
      <c r="A66" s="53" t="s">
        <v>137</v>
      </c>
      <c r="B66" s="149" t="s">
        <v>248</v>
      </c>
      <c r="C66" s="137" t="s">
        <v>135</v>
      </c>
      <c r="D66" s="115" t="s">
        <v>14</v>
      </c>
      <c r="E66" s="152">
        <v>0.12341163893014941</v>
      </c>
      <c r="F66" s="117" t="s">
        <v>249</v>
      </c>
      <c r="G66" s="95" t="s">
        <v>16</v>
      </c>
      <c r="H66" s="112">
        <v>2</v>
      </c>
      <c r="I66" s="112">
        <v>2</v>
      </c>
      <c r="J66" s="112">
        <v>1</v>
      </c>
      <c r="K66" s="112">
        <v>1</v>
      </c>
      <c r="L66" s="96">
        <v>1</v>
      </c>
      <c r="M66" s="123">
        <f t="shared" si="2"/>
        <v>0.19908580854301616</v>
      </c>
      <c r="N66" s="120"/>
    </row>
    <row r="67" spans="1:14" x14ac:dyDescent="0.2">
      <c r="A67" s="148" t="s">
        <v>137</v>
      </c>
      <c r="B67" s="149" t="s">
        <v>248</v>
      </c>
      <c r="C67" s="137" t="s">
        <v>135</v>
      </c>
      <c r="D67" s="121" t="s">
        <v>62</v>
      </c>
      <c r="E67" s="152">
        <v>3.5849949397032698E-3</v>
      </c>
      <c r="F67" s="117" t="s">
        <v>250</v>
      </c>
      <c r="G67" s="95" t="s">
        <v>16</v>
      </c>
      <c r="H67" s="112">
        <v>2</v>
      </c>
      <c r="I67" s="112">
        <v>2</v>
      </c>
      <c r="J67" s="112">
        <v>1</v>
      </c>
      <c r="K67" s="112">
        <v>1</v>
      </c>
      <c r="L67" s="96">
        <v>1</v>
      </c>
      <c r="M67" s="123">
        <f t="shared" si="2"/>
        <v>0.19908580854301616</v>
      </c>
      <c r="N67" s="120"/>
    </row>
    <row r="68" spans="1:14" x14ac:dyDescent="0.2">
      <c r="A68" s="148" t="s">
        <v>137</v>
      </c>
      <c r="B68" s="149" t="s">
        <v>248</v>
      </c>
      <c r="C68" s="137" t="s">
        <v>135</v>
      </c>
      <c r="D68" s="124" t="s">
        <v>64</v>
      </c>
      <c r="E68" s="153">
        <v>0</v>
      </c>
      <c r="F68" s="117" t="s">
        <v>251</v>
      </c>
      <c r="G68" s="95" t="s">
        <v>238</v>
      </c>
      <c r="H68" s="116"/>
      <c r="I68" s="116"/>
      <c r="J68" s="116"/>
      <c r="K68" s="116"/>
      <c r="L68" s="118"/>
      <c r="M68" s="119" t="str">
        <f t="shared" si="2"/>
        <v/>
      </c>
      <c r="N68" s="120"/>
    </row>
    <row r="69" spans="1:14" x14ac:dyDescent="0.2">
      <c r="A69" s="148" t="s">
        <v>137</v>
      </c>
      <c r="B69" s="149" t="s">
        <v>248</v>
      </c>
      <c r="C69" s="137" t="s">
        <v>135</v>
      </c>
      <c r="D69" s="125" t="s">
        <v>66</v>
      </c>
      <c r="E69" s="153">
        <v>0</v>
      </c>
      <c r="F69" s="117" t="s">
        <v>252</v>
      </c>
      <c r="G69" s="95" t="s">
        <v>16</v>
      </c>
      <c r="H69" s="116"/>
      <c r="I69" s="116"/>
      <c r="J69" s="116"/>
      <c r="K69" s="116"/>
      <c r="L69" s="118"/>
      <c r="M69" s="119" t="str">
        <f t="shared" si="2"/>
        <v/>
      </c>
      <c r="N69" s="120"/>
    </row>
    <row r="70" spans="1:14" x14ac:dyDescent="0.2">
      <c r="A70" s="148" t="s">
        <v>137</v>
      </c>
      <c r="B70" s="149" t="s">
        <v>248</v>
      </c>
      <c r="C70" s="137" t="s">
        <v>135</v>
      </c>
      <c r="D70" s="126" t="s">
        <v>94</v>
      </c>
      <c r="E70" s="153">
        <v>0</v>
      </c>
      <c r="F70" s="117" t="s">
        <v>253</v>
      </c>
      <c r="G70" s="95" t="s">
        <v>16</v>
      </c>
      <c r="H70" s="116"/>
      <c r="I70" s="116"/>
      <c r="J70" s="116"/>
      <c r="K70" s="116"/>
      <c r="L70" s="118"/>
      <c r="M70" s="119" t="str">
        <f t="shared" si="2"/>
        <v/>
      </c>
      <c r="N70" s="120"/>
    </row>
    <row r="71" spans="1:14" x14ac:dyDescent="0.2">
      <c r="A71" s="148" t="s">
        <v>137</v>
      </c>
      <c r="B71" s="149" t="s">
        <v>248</v>
      </c>
      <c r="C71" s="137" t="s">
        <v>135</v>
      </c>
      <c r="D71" s="127" t="s">
        <v>96</v>
      </c>
      <c r="E71" s="153">
        <v>0</v>
      </c>
      <c r="F71" s="117" t="s">
        <v>254</v>
      </c>
      <c r="G71" s="95" t="s">
        <v>16</v>
      </c>
      <c r="H71" s="116"/>
      <c r="I71" s="116"/>
      <c r="J71" s="116"/>
      <c r="K71" s="116"/>
      <c r="L71" s="118"/>
      <c r="M71" s="119" t="str">
        <f t="shared" si="2"/>
        <v/>
      </c>
      <c r="N71" s="120"/>
    </row>
    <row r="72" spans="1:14" x14ac:dyDescent="0.2">
      <c r="A72" s="148" t="s">
        <v>137</v>
      </c>
      <c r="B72" s="149" t="s">
        <v>248</v>
      </c>
      <c r="C72" s="137" t="s">
        <v>135</v>
      </c>
      <c r="D72" s="128" t="s">
        <v>98</v>
      </c>
      <c r="E72" s="153">
        <v>0</v>
      </c>
      <c r="F72" s="117" t="s">
        <v>255</v>
      </c>
      <c r="G72" s="95" t="s">
        <v>16</v>
      </c>
      <c r="H72" s="116"/>
      <c r="I72" s="116"/>
      <c r="J72" s="116"/>
      <c r="K72" s="116"/>
      <c r="L72" s="118"/>
      <c r="M72" s="119" t="str">
        <f t="shared" si="2"/>
        <v/>
      </c>
      <c r="N72" s="120"/>
    </row>
    <row r="73" spans="1:14" x14ac:dyDescent="0.2">
      <c r="A73" s="53" t="s">
        <v>137</v>
      </c>
      <c r="B73" s="149" t="s">
        <v>256</v>
      </c>
      <c r="C73" s="137" t="s">
        <v>135</v>
      </c>
      <c r="D73" s="115" t="s">
        <v>14</v>
      </c>
      <c r="E73" s="152">
        <v>0.49825705903197159</v>
      </c>
      <c r="F73" s="117" t="s">
        <v>257</v>
      </c>
      <c r="G73" s="95" t="s">
        <v>16</v>
      </c>
      <c r="H73" s="112">
        <v>2</v>
      </c>
      <c r="I73" s="112">
        <v>2</v>
      </c>
      <c r="J73" s="112">
        <v>1</v>
      </c>
      <c r="K73" s="112">
        <v>1</v>
      </c>
      <c r="L73" s="96">
        <v>1</v>
      </c>
      <c r="M73" s="123">
        <f t="shared" si="2"/>
        <v>0.19908580854301616</v>
      </c>
      <c r="N73" s="120"/>
    </row>
    <row r="74" spans="1:14" x14ac:dyDescent="0.2">
      <c r="A74" s="148" t="s">
        <v>137</v>
      </c>
      <c r="B74" s="149" t="s">
        <v>256</v>
      </c>
      <c r="C74" s="137" t="s">
        <v>135</v>
      </c>
      <c r="D74" s="121" t="s">
        <v>62</v>
      </c>
      <c r="E74" s="152">
        <v>2.223999090133855E-2</v>
      </c>
      <c r="F74" s="117" t="s">
        <v>258</v>
      </c>
      <c r="G74" s="95" t="s">
        <v>16</v>
      </c>
      <c r="H74" s="112">
        <v>2</v>
      </c>
      <c r="I74" s="112">
        <v>2</v>
      </c>
      <c r="J74" s="112">
        <v>1</v>
      </c>
      <c r="K74" s="112">
        <v>1</v>
      </c>
      <c r="L74" s="96">
        <v>1</v>
      </c>
      <c r="M74" s="123">
        <f t="shared" si="2"/>
        <v>0.19908580854301616</v>
      </c>
      <c r="N74" s="120"/>
    </row>
    <row r="75" spans="1:14" x14ac:dyDescent="0.2">
      <c r="A75" s="148" t="s">
        <v>137</v>
      </c>
      <c r="B75" s="149" t="s">
        <v>256</v>
      </c>
      <c r="C75" s="137" t="s">
        <v>135</v>
      </c>
      <c r="D75" s="124" t="s">
        <v>64</v>
      </c>
      <c r="E75" s="152">
        <v>6.1353052254648509E-2</v>
      </c>
      <c r="F75" s="117" t="s">
        <v>259</v>
      </c>
      <c r="G75" s="95" t="s">
        <v>16</v>
      </c>
      <c r="H75" s="112">
        <v>2</v>
      </c>
      <c r="I75" s="112">
        <v>2</v>
      </c>
      <c r="J75" s="112">
        <v>1</v>
      </c>
      <c r="K75" s="112">
        <v>1</v>
      </c>
      <c r="L75" s="96">
        <v>1</v>
      </c>
      <c r="M75" s="123">
        <f t="shared" si="2"/>
        <v>0.19908580854301616</v>
      </c>
      <c r="N75" s="120"/>
    </row>
    <row r="76" spans="1:14" x14ac:dyDescent="0.2">
      <c r="A76" s="148" t="s">
        <v>137</v>
      </c>
      <c r="B76" s="149" t="s">
        <v>256</v>
      </c>
      <c r="C76" s="137" t="s">
        <v>135</v>
      </c>
      <c r="D76" s="125" t="s">
        <v>66</v>
      </c>
      <c r="E76" s="153">
        <v>0</v>
      </c>
      <c r="F76" s="117" t="s">
        <v>260</v>
      </c>
      <c r="G76" s="95" t="s">
        <v>238</v>
      </c>
      <c r="H76" s="116"/>
      <c r="I76" s="116"/>
      <c r="J76" s="116"/>
      <c r="K76" s="116"/>
      <c r="L76" s="118"/>
      <c r="M76" s="119" t="str">
        <f t="shared" si="2"/>
        <v/>
      </c>
      <c r="N76" s="120"/>
    </row>
    <row r="77" spans="1:14" x14ac:dyDescent="0.2">
      <c r="A77" s="148" t="s">
        <v>137</v>
      </c>
      <c r="B77" s="149" t="s">
        <v>256</v>
      </c>
      <c r="C77" s="137" t="s">
        <v>135</v>
      </c>
      <c r="D77" s="126" t="s">
        <v>94</v>
      </c>
      <c r="E77" s="153">
        <v>0</v>
      </c>
      <c r="F77" s="117" t="s">
        <v>261</v>
      </c>
      <c r="G77" s="95" t="s">
        <v>16</v>
      </c>
      <c r="H77" s="116"/>
      <c r="I77" s="116"/>
      <c r="J77" s="116"/>
      <c r="K77" s="116"/>
      <c r="L77" s="118"/>
      <c r="M77" s="119" t="str">
        <f t="shared" si="2"/>
        <v/>
      </c>
      <c r="N77" s="120"/>
    </row>
    <row r="78" spans="1:14" x14ac:dyDescent="0.2">
      <c r="A78" s="148" t="s">
        <v>137</v>
      </c>
      <c r="B78" s="149" t="s">
        <v>256</v>
      </c>
      <c r="C78" s="137" t="s">
        <v>135</v>
      </c>
      <c r="D78" s="127" t="s">
        <v>96</v>
      </c>
      <c r="E78" s="152">
        <v>1.580739299610895E-3</v>
      </c>
      <c r="F78" s="117" t="s">
        <v>262</v>
      </c>
      <c r="G78" s="95" t="s">
        <v>16</v>
      </c>
      <c r="H78" s="112">
        <v>2</v>
      </c>
      <c r="I78" s="112">
        <v>2</v>
      </c>
      <c r="J78" s="112">
        <v>1</v>
      </c>
      <c r="K78" s="112">
        <v>1</v>
      </c>
      <c r="L78" s="96">
        <v>1</v>
      </c>
      <c r="M78" s="123">
        <f t="shared" si="2"/>
        <v>0.19908580854301616</v>
      </c>
      <c r="N78" s="120"/>
    </row>
    <row r="79" spans="1:14" x14ac:dyDescent="0.2">
      <c r="A79" s="148" t="s">
        <v>137</v>
      </c>
      <c r="B79" s="149" t="s">
        <v>256</v>
      </c>
      <c r="C79" s="137" t="s">
        <v>135</v>
      </c>
      <c r="D79" s="128" t="s">
        <v>98</v>
      </c>
      <c r="E79" s="152">
        <v>4.0595847891227383E-3</v>
      </c>
      <c r="F79" s="117" t="s">
        <v>263</v>
      </c>
      <c r="G79" s="95" t="s">
        <v>238</v>
      </c>
      <c r="H79" s="112">
        <v>2</v>
      </c>
      <c r="I79" s="112">
        <v>2</v>
      </c>
      <c r="J79" s="112">
        <v>1</v>
      </c>
      <c r="K79" s="112">
        <v>1</v>
      </c>
      <c r="L79" s="96">
        <v>1</v>
      </c>
      <c r="M79" s="123">
        <f t="shared" si="2"/>
        <v>0.19908580854301616</v>
      </c>
      <c r="N79" s="120"/>
    </row>
    <row r="80" spans="1:14" x14ac:dyDescent="0.2">
      <c r="A80" s="53" t="s">
        <v>137</v>
      </c>
      <c r="B80" s="149" t="s">
        <v>264</v>
      </c>
      <c r="C80" s="137" t="s">
        <v>135</v>
      </c>
      <c r="D80" s="115" t="s">
        <v>14</v>
      </c>
      <c r="E80" s="152">
        <v>2.244494308985495E-4</v>
      </c>
      <c r="F80" s="117" t="s">
        <v>265</v>
      </c>
      <c r="G80" s="95" t="s">
        <v>16</v>
      </c>
      <c r="H80" s="112">
        <v>2</v>
      </c>
      <c r="I80" s="112">
        <v>2</v>
      </c>
      <c r="J80" s="112">
        <v>1</v>
      </c>
      <c r="K80" s="112">
        <v>1</v>
      </c>
      <c r="L80" s="96">
        <v>1</v>
      </c>
      <c r="M80" s="123">
        <f t="shared" si="2"/>
        <v>0.19908580854301616</v>
      </c>
      <c r="N80" s="120"/>
    </row>
    <row r="81" spans="1:14" x14ac:dyDescent="0.2">
      <c r="A81" s="148" t="s">
        <v>137</v>
      </c>
      <c r="B81" s="149" t="s">
        <v>264</v>
      </c>
      <c r="C81" s="137" t="s">
        <v>135</v>
      </c>
      <c r="D81" s="121" t="s">
        <v>62</v>
      </c>
      <c r="E81" s="153">
        <v>0</v>
      </c>
      <c r="F81" s="117" t="s">
        <v>266</v>
      </c>
      <c r="G81" s="95" t="s">
        <v>16</v>
      </c>
      <c r="H81" s="116"/>
      <c r="I81" s="116"/>
      <c r="J81" s="116"/>
      <c r="K81" s="116"/>
      <c r="L81" s="118"/>
      <c r="M81" s="119" t="str">
        <f t="shared" si="2"/>
        <v/>
      </c>
      <c r="N81" s="120"/>
    </row>
    <row r="82" spans="1:14" x14ac:dyDescent="0.2">
      <c r="A82" s="148" t="s">
        <v>137</v>
      </c>
      <c r="B82" s="149" t="s">
        <v>264</v>
      </c>
      <c r="C82" s="137" t="s">
        <v>135</v>
      </c>
      <c r="D82" s="124" t="s">
        <v>64</v>
      </c>
      <c r="E82" s="152">
        <v>2.58E-2</v>
      </c>
      <c r="F82" s="117" t="s">
        <v>267</v>
      </c>
      <c r="G82" s="95" t="s">
        <v>16</v>
      </c>
      <c r="H82" s="112">
        <v>2</v>
      </c>
      <c r="I82" s="112">
        <v>2</v>
      </c>
      <c r="J82" s="112">
        <v>1</v>
      </c>
      <c r="K82" s="112">
        <v>1</v>
      </c>
      <c r="L82" s="96">
        <v>1</v>
      </c>
      <c r="M82" s="123">
        <f t="shared" si="2"/>
        <v>0.19908580854301616</v>
      </c>
      <c r="N82" s="120"/>
    </row>
    <row r="83" spans="1:14" x14ac:dyDescent="0.2">
      <c r="A83" s="148" t="s">
        <v>137</v>
      </c>
      <c r="B83" s="149" t="s">
        <v>264</v>
      </c>
      <c r="C83" s="137" t="s">
        <v>135</v>
      </c>
      <c r="D83" s="125" t="s">
        <v>66</v>
      </c>
      <c r="E83" s="153">
        <v>0</v>
      </c>
      <c r="F83" s="117" t="s">
        <v>268</v>
      </c>
      <c r="G83" s="95" t="s">
        <v>16</v>
      </c>
      <c r="H83" s="116"/>
      <c r="I83" s="116"/>
      <c r="J83" s="116"/>
      <c r="K83" s="116"/>
      <c r="L83" s="118"/>
      <c r="M83" s="119" t="str">
        <f t="shared" si="2"/>
        <v/>
      </c>
      <c r="N83" s="120"/>
    </row>
    <row r="84" spans="1:14" x14ac:dyDescent="0.2">
      <c r="A84" s="53" t="s">
        <v>137</v>
      </c>
      <c r="B84" s="149" t="s">
        <v>264</v>
      </c>
      <c r="C84" s="137" t="s">
        <v>135</v>
      </c>
      <c r="D84" s="126" t="s">
        <v>94</v>
      </c>
      <c r="E84" s="153">
        <v>0</v>
      </c>
      <c r="F84" s="117" t="s">
        <v>269</v>
      </c>
      <c r="G84" s="95" t="s">
        <v>16</v>
      </c>
      <c r="H84" s="116"/>
      <c r="I84" s="116"/>
      <c r="J84" s="116"/>
      <c r="K84" s="116"/>
      <c r="L84" s="118"/>
      <c r="M84" s="119" t="str">
        <f t="shared" si="2"/>
        <v/>
      </c>
      <c r="N84" s="120"/>
    </row>
    <row r="85" spans="1:14" x14ac:dyDescent="0.2">
      <c r="A85" s="148" t="s">
        <v>137</v>
      </c>
      <c r="B85" s="149" t="s">
        <v>264</v>
      </c>
      <c r="C85" s="137" t="s">
        <v>135</v>
      </c>
      <c r="D85" s="127" t="s">
        <v>96</v>
      </c>
      <c r="E85" s="153">
        <v>0</v>
      </c>
      <c r="F85" s="117" t="s">
        <v>270</v>
      </c>
      <c r="G85" s="95" t="s">
        <v>16</v>
      </c>
      <c r="H85" s="116"/>
      <c r="I85" s="116"/>
      <c r="J85" s="116"/>
      <c r="K85" s="116"/>
      <c r="L85" s="118"/>
      <c r="M85" s="119" t="str">
        <f t="shared" si="2"/>
        <v/>
      </c>
      <c r="N85" s="150"/>
    </row>
    <row r="86" spans="1:14" x14ac:dyDescent="0.2">
      <c r="A86" s="148" t="s">
        <v>137</v>
      </c>
      <c r="B86" s="149" t="s">
        <v>264</v>
      </c>
      <c r="C86" s="137" t="s">
        <v>135</v>
      </c>
      <c r="D86" s="128" t="s">
        <v>98</v>
      </c>
      <c r="E86" s="153">
        <v>0</v>
      </c>
      <c r="F86" s="117" t="s">
        <v>271</v>
      </c>
      <c r="G86" s="95" t="s">
        <v>16</v>
      </c>
      <c r="H86" s="116"/>
      <c r="I86" s="116"/>
      <c r="J86" s="116"/>
      <c r="K86" s="116"/>
      <c r="L86" s="118"/>
      <c r="M86" s="119" t="str">
        <f t="shared" si="2"/>
        <v/>
      </c>
      <c r="N86" s="150"/>
    </row>
    <row r="87" spans="1:14" x14ac:dyDescent="0.2">
      <c r="A87" s="53" t="s">
        <v>137</v>
      </c>
      <c r="B87" s="149" t="s">
        <v>272</v>
      </c>
      <c r="C87" s="137" t="s">
        <v>135</v>
      </c>
      <c r="D87" s="115" t="s">
        <v>14</v>
      </c>
      <c r="E87" s="153">
        <v>0</v>
      </c>
      <c r="F87" s="117" t="s">
        <v>273</v>
      </c>
      <c r="G87" s="95" t="s">
        <v>238</v>
      </c>
      <c r="H87" s="116"/>
      <c r="I87" s="116"/>
      <c r="J87" s="116"/>
      <c r="K87" s="116"/>
      <c r="L87" s="118"/>
      <c r="M87" s="119" t="str">
        <f>IF( OR( ISBLANK(H87),ISBLANK(I87), ISBLANK(J87), ISBLANK(K87), ISBLANK(L87) ), "", 1.5*SQRT(   EXP(2.21*(H87-1)) + EXP(2.21*(I87-1)) + EXP(2.21*(J87-1)) + EXP(2.21*(K87-1)) + EXP(2.21*L87)   )/100*2.45 )</f>
        <v/>
      </c>
      <c r="N87" s="150"/>
    </row>
    <row r="88" spans="1:14" x14ac:dyDescent="0.2">
      <c r="A88" s="148" t="s">
        <v>137</v>
      </c>
      <c r="B88" s="149" t="s">
        <v>272</v>
      </c>
      <c r="C88" s="137" t="s">
        <v>135</v>
      </c>
      <c r="D88" s="121" t="s">
        <v>62</v>
      </c>
      <c r="E88" s="152">
        <v>0.37120427077681889</v>
      </c>
      <c r="F88" s="117" t="s">
        <v>274</v>
      </c>
      <c r="G88" s="95" t="s">
        <v>16</v>
      </c>
      <c r="H88" s="112">
        <v>2</v>
      </c>
      <c r="I88" s="112">
        <v>2</v>
      </c>
      <c r="J88" s="112">
        <v>1</v>
      </c>
      <c r="K88" s="112">
        <v>1</v>
      </c>
      <c r="L88" s="96">
        <v>1</v>
      </c>
      <c r="M88" s="123">
        <f t="shared" ref="M88:M119" si="3">IF( OR( ISBLANK(H88),ISBLANK(I88), ISBLANK(J88), ISBLANK(K88), ISBLANK(L88) ), "", 1.5*SQRT( EXP(2.21*(H88-1)) + EXP(2.21*(I88-1)) + EXP(2.21*(J88-1)) + EXP(2.21*(K88-1)) + EXP(2.21*L88) )/100*2.45 )</f>
        <v>0.19908580854301616</v>
      </c>
      <c r="N88" s="150"/>
    </row>
    <row r="89" spans="1:14" x14ac:dyDescent="0.2">
      <c r="A89" s="148" t="s">
        <v>137</v>
      </c>
      <c r="B89" s="149" t="s">
        <v>272</v>
      </c>
      <c r="C89" s="137" t="s">
        <v>135</v>
      </c>
      <c r="D89" s="124" t="s">
        <v>64</v>
      </c>
      <c r="E89" s="152">
        <v>0.1589369852235801</v>
      </c>
      <c r="F89" s="117" t="s">
        <v>275</v>
      </c>
      <c r="G89" s="95" t="s">
        <v>16</v>
      </c>
      <c r="H89" s="112">
        <v>2</v>
      </c>
      <c r="I89" s="112">
        <v>2</v>
      </c>
      <c r="J89" s="112">
        <v>1</v>
      </c>
      <c r="K89" s="112">
        <v>1</v>
      </c>
      <c r="L89" s="96">
        <v>1</v>
      </c>
      <c r="M89" s="123">
        <f t="shared" si="3"/>
        <v>0.19908580854301616</v>
      </c>
      <c r="N89" s="150"/>
    </row>
    <row r="90" spans="1:14" x14ac:dyDescent="0.2">
      <c r="A90" s="148" t="s">
        <v>137</v>
      </c>
      <c r="B90" s="149" t="s">
        <v>272</v>
      </c>
      <c r="C90" s="137" t="s">
        <v>135</v>
      </c>
      <c r="D90" s="125" t="s">
        <v>66</v>
      </c>
      <c r="E90" s="152">
        <v>0.31224159316427791</v>
      </c>
      <c r="F90" s="117" t="s">
        <v>276</v>
      </c>
      <c r="G90" s="95" t="s">
        <v>238</v>
      </c>
      <c r="H90" s="112">
        <v>2</v>
      </c>
      <c r="I90" s="112">
        <v>2</v>
      </c>
      <c r="J90" s="112">
        <v>1</v>
      </c>
      <c r="K90" s="112">
        <v>1</v>
      </c>
      <c r="L90" s="96">
        <v>1</v>
      </c>
      <c r="M90" s="123">
        <f t="shared" si="3"/>
        <v>0.19908580854301616</v>
      </c>
      <c r="N90" s="150"/>
    </row>
    <row r="91" spans="1:14" x14ac:dyDescent="0.2">
      <c r="A91" s="148" t="s">
        <v>137</v>
      </c>
      <c r="B91" s="149" t="s">
        <v>272</v>
      </c>
      <c r="C91" s="137" t="s">
        <v>135</v>
      </c>
      <c r="D91" s="126" t="s">
        <v>94</v>
      </c>
      <c r="E91" s="152">
        <v>0.56903805098580929</v>
      </c>
      <c r="F91" s="117" t="s">
        <v>277</v>
      </c>
      <c r="G91" s="95" t="s">
        <v>16</v>
      </c>
      <c r="H91" s="112">
        <v>2</v>
      </c>
      <c r="I91" s="112">
        <v>2</v>
      </c>
      <c r="J91" s="112">
        <v>1</v>
      </c>
      <c r="K91" s="112">
        <v>1</v>
      </c>
      <c r="L91" s="96">
        <v>1</v>
      </c>
      <c r="M91" s="123">
        <f t="shared" si="3"/>
        <v>0.19908580854301616</v>
      </c>
      <c r="N91" s="150"/>
    </row>
    <row r="92" spans="1:14" x14ac:dyDescent="0.2">
      <c r="A92" s="148" t="s">
        <v>137</v>
      </c>
      <c r="B92" s="149" t="s">
        <v>272</v>
      </c>
      <c r="C92" s="137" t="s">
        <v>135</v>
      </c>
      <c r="D92" s="127" t="s">
        <v>96</v>
      </c>
      <c r="E92" s="152">
        <v>2.565661478599221E-2</v>
      </c>
      <c r="F92" s="117" t="s">
        <v>278</v>
      </c>
      <c r="G92" s="95" t="s">
        <v>16</v>
      </c>
      <c r="H92" s="112">
        <v>2</v>
      </c>
      <c r="I92" s="112">
        <v>2</v>
      </c>
      <c r="J92" s="112">
        <v>1</v>
      </c>
      <c r="K92" s="112">
        <v>1</v>
      </c>
      <c r="L92" s="96">
        <v>1</v>
      </c>
      <c r="M92" s="123">
        <f t="shared" si="3"/>
        <v>0.19908580854301616</v>
      </c>
      <c r="N92" s="150"/>
    </row>
    <row r="93" spans="1:14" x14ac:dyDescent="0.2">
      <c r="A93" s="66" t="s">
        <v>137</v>
      </c>
      <c r="B93" s="154" t="s">
        <v>272</v>
      </c>
      <c r="C93" s="155" t="s">
        <v>135</v>
      </c>
      <c r="D93" s="156" t="s">
        <v>98</v>
      </c>
      <c r="E93" s="157">
        <v>0.21405402626911901</v>
      </c>
      <c r="F93" s="103" t="s">
        <v>205</v>
      </c>
      <c r="G93" s="104" t="s">
        <v>16</v>
      </c>
      <c r="H93" s="105">
        <v>2</v>
      </c>
      <c r="I93" s="105">
        <v>2</v>
      </c>
      <c r="J93" s="105">
        <v>1</v>
      </c>
      <c r="K93" s="105">
        <v>1</v>
      </c>
      <c r="L93" s="106">
        <v>1</v>
      </c>
      <c r="M93" s="97">
        <f t="shared" si="3"/>
        <v>0.19908580854301616</v>
      </c>
      <c r="N93" s="150"/>
    </row>
    <row r="94" spans="1:14" x14ac:dyDescent="0.2">
      <c r="A94" s="53" t="s">
        <v>140</v>
      </c>
      <c r="B94" s="149" t="s">
        <v>279</v>
      </c>
      <c r="C94" s="137" t="s">
        <v>135</v>
      </c>
      <c r="D94" s="115" t="s">
        <v>14</v>
      </c>
      <c r="E94" s="158">
        <v>0.99999435999999997</v>
      </c>
      <c r="F94" s="120" t="s">
        <v>280</v>
      </c>
      <c r="G94" s="95" t="s">
        <v>16</v>
      </c>
      <c r="H94" s="112">
        <v>2</v>
      </c>
      <c r="I94" s="112">
        <v>2</v>
      </c>
      <c r="J94" s="112">
        <v>1</v>
      </c>
      <c r="K94" s="112">
        <v>1</v>
      </c>
      <c r="L94" s="96">
        <v>1</v>
      </c>
      <c r="M94" s="123">
        <f t="shared" si="3"/>
        <v>0.19908580854301616</v>
      </c>
      <c r="N94" s="120"/>
    </row>
    <row r="95" spans="1:14" x14ac:dyDescent="0.2">
      <c r="A95" s="53" t="s">
        <v>140</v>
      </c>
      <c r="B95" s="149" t="s">
        <v>279</v>
      </c>
      <c r="C95" s="137" t="s">
        <v>135</v>
      </c>
      <c r="D95" s="121" t="s">
        <v>62</v>
      </c>
      <c r="E95" s="160">
        <v>1</v>
      </c>
      <c r="F95" s="120" t="s">
        <v>281</v>
      </c>
      <c r="G95" s="95" t="s">
        <v>16</v>
      </c>
      <c r="H95" s="116"/>
      <c r="I95" s="116"/>
      <c r="J95" s="116"/>
      <c r="K95" s="116"/>
      <c r="L95" s="118"/>
      <c r="M95" s="123" t="str">
        <f t="shared" si="3"/>
        <v/>
      </c>
      <c r="N95" s="120"/>
    </row>
    <row r="96" spans="1:14" x14ac:dyDescent="0.2">
      <c r="A96" s="53" t="s">
        <v>140</v>
      </c>
      <c r="B96" s="149" t="s">
        <v>279</v>
      </c>
      <c r="C96" s="137" t="s">
        <v>135</v>
      </c>
      <c r="D96" s="124" t="s">
        <v>64</v>
      </c>
      <c r="E96" s="159">
        <v>0.99295321000000003</v>
      </c>
      <c r="F96" s="120" t="s">
        <v>282</v>
      </c>
      <c r="G96" s="95" t="s">
        <v>16</v>
      </c>
      <c r="H96" s="112">
        <v>2</v>
      </c>
      <c r="I96" s="112">
        <v>2</v>
      </c>
      <c r="J96" s="112">
        <v>1</v>
      </c>
      <c r="K96" s="112">
        <v>1</v>
      </c>
      <c r="L96" s="96">
        <v>1</v>
      </c>
      <c r="M96" s="119">
        <f t="shared" si="3"/>
        <v>0.19908580854301616</v>
      </c>
      <c r="N96" s="120"/>
    </row>
    <row r="97" spans="1:14" x14ac:dyDescent="0.2">
      <c r="A97" s="53" t="s">
        <v>140</v>
      </c>
      <c r="B97" s="149" t="s">
        <v>279</v>
      </c>
      <c r="C97" s="137" t="s">
        <v>135</v>
      </c>
      <c r="D97" s="125" t="s">
        <v>66</v>
      </c>
      <c r="E97" s="160">
        <v>0</v>
      </c>
      <c r="F97" s="120" t="s">
        <v>283</v>
      </c>
      <c r="G97" s="95" t="s">
        <v>16</v>
      </c>
      <c r="H97" s="116"/>
      <c r="I97" s="116"/>
      <c r="J97" s="116"/>
      <c r="K97" s="116"/>
      <c r="L97" s="118"/>
      <c r="M97" s="119" t="str">
        <f t="shared" si="3"/>
        <v/>
      </c>
      <c r="N97" s="120"/>
    </row>
    <row r="98" spans="1:14" x14ac:dyDescent="0.2">
      <c r="A98" s="161" t="s">
        <v>140</v>
      </c>
      <c r="B98" s="149" t="s">
        <v>279</v>
      </c>
      <c r="C98" s="137" t="s">
        <v>135</v>
      </c>
      <c r="D98" s="126" t="s">
        <v>94</v>
      </c>
      <c r="E98" s="160">
        <v>0</v>
      </c>
      <c r="F98" s="120" t="s">
        <v>284</v>
      </c>
      <c r="G98" s="95" t="s">
        <v>16</v>
      </c>
      <c r="H98" s="116"/>
      <c r="I98" s="116"/>
      <c r="J98" s="116"/>
      <c r="K98" s="116"/>
      <c r="L98" s="118"/>
      <c r="M98" s="119" t="str">
        <f t="shared" si="3"/>
        <v/>
      </c>
      <c r="N98" s="120"/>
    </row>
    <row r="99" spans="1:14" x14ac:dyDescent="0.2">
      <c r="A99" s="161" t="s">
        <v>140</v>
      </c>
      <c r="B99" s="149" t="s">
        <v>279</v>
      </c>
      <c r="C99" s="137" t="s">
        <v>135</v>
      </c>
      <c r="D99" s="127" t="s">
        <v>96</v>
      </c>
      <c r="E99" s="159">
        <v>0.30263705000000002</v>
      </c>
      <c r="F99" s="120" t="s">
        <v>285</v>
      </c>
      <c r="G99" s="95" t="s">
        <v>16</v>
      </c>
      <c r="H99" s="112">
        <v>2</v>
      </c>
      <c r="I99" s="112">
        <v>2</v>
      </c>
      <c r="J99" s="112">
        <v>1</v>
      </c>
      <c r="K99" s="112">
        <v>1</v>
      </c>
      <c r="L99" s="96">
        <v>1</v>
      </c>
      <c r="M99" s="123">
        <f t="shared" si="3"/>
        <v>0.19908580854301616</v>
      </c>
      <c r="N99" s="120"/>
    </row>
    <row r="100" spans="1:14" x14ac:dyDescent="0.2">
      <c r="A100" s="161" t="s">
        <v>140</v>
      </c>
      <c r="B100" s="149" t="s">
        <v>279</v>
      </c>
      <c r="C100" s="137" t="s">
        <v>135</v>
      </c>
      <c r="D100" s="128" t="s">
        <v>98</v>
      </c>
      <c r="E100" s="160">
        <v>0</v>
      </c>
      <c r="F100" s="120" t="s">
        <v>286</v>
      </c>
      <c r="G100" s="95" t="s">
        <v>16</v>
      </c>
      <c r="H100" s="116"/>
      <c r="I100" s="116"/>
      <c r="J100" s="116"/>
      <c r="K100" s="116"/>
      <c r="L100" s="118"/>
      <c r="M100" s="119" t="str">
        <f t="shared" si="3"/>
        <v/>
      </c>
      <c r="N100" s="120"/>
    </row>
    <row r="101" spans="1:14" x14ac:dyDescent="0.2">
      <c r="A101" s="53" t="s">
        <v>140</v>
      </c>
      <c r="B101" s="149" t="s">
        <v>287</v>
      </c>
      <c r="C101" s="137" t="s">
        <v>135</v>
      </c>
      <c r="D101" s="115" t="s">
        <v>14</v>
      </c>
      <c r="E101" s="162">
        <v>0</v>
      </c>
      <c r="F101" s="120" t="s">
        <v>288</v>
      </c>
      <c r="G101" s="95" t="s">
        <v>16</v>
      </c>
      <c r="H101" s="116"/>
      <c r="I101" s="116"/>
      <c r="J101" s="116"/>
      <c r="K101" s="116"/>
      <c r="L101" s="118"/>
      <c r="M101" s="119" t="str">
        <f t="shared" si="3"/>
        <v/>
      </c>
      <c r="N101" s="120"/>
    </row>
    <row r="102" spans="1:14" x14ac:dyDescent="0.2">
      <c r="A102" s="148" t="s">
        <v>140</v>
      </c>
      <c r="B102" s="149" t="s">
        <v>287</v>
      </c>
      <c r="C102" s="137" t="s">
        <v>135</v>
      </c>
      <c r="D102" s="121" t="s">
        <v>62</v>
      </c>
      <c r="E102" s="160">
        <v>0</v>
      </c>
      <c r="F102" s="120" t="s">
        <v>289</v>
      </c>
      <c r="G102" s="95" t="s">
        <v>16</v>
      </c>
      <c r="H102" s="116"/>
      <c r="I102" s="116"/>
      <c r="J102" s="116"/>
      <c r="K102" s="116"/>
      <c r="L102" s="118"/>
      <c r="M102" s="119" t="str">
        <f t="shared" si="3"/>
        <v/>
      </c>
      <c r="N102" s="120"/>
    </row>
    <row r="103" spans="1:14" x14ac:dyDescent="0.2">
      <c r="A103" s="148" t="s">
        <v>140</v>
      </c>
      <c r="B103" s="149" t="s">
        <v>287</v>
      </c>
      <c r="C103" s="137" t="s">
        <v>135</v>
      </c>
      <c r="D103" s="124" t="s">
        <v>64</v>
      </c>
      <c r="E103" s="160">
        <v>0</v>
      </c>
      <c r="F103" s="120" t="s">
        <v>290</v>
      </c>
      <c r="G103" s="95" t="s">
        <v>16</v>
      </c>
      <c r="H103" s="116"/>
      <c r="I103" s="116"/>
      <c r="J103" s="116"/>
      <c r="K103" s="116"/>
      <c r="L103" s="118"/>
      <c r="M103" s="119" t="str">
        <f t="shared" si="3"/>
        <v/>
      </c>
      <c r="N103" s="120"/>
    </row>
    <row r="104" spans="1:14" x14ac:dyDescent="0.2">
      <c r="A104" s="148" t="s">
        <v>140</v>
      </c>
      <c r="B104" s="149" t="s">
        <v>287</v>
      </c>
      <c r="C104" s="137" t="s">
        <v>135</v>
      </c>
      <c r="D104" s="125" t="s">
        <v>66</v>
      </c>
      <c r="E104" s="160">
        <v>0</v>
      </c>
      <c r="F104" s="120" t="s">
        <v>291</v>
      </c>
      <c r="G104" s="95" t="s">
        <v>16</v>
      </c>
      <c r="H104" s="116"/>
      <c r="I104" s="116"/>
      <c r="J104" s="116"/>
      <c r="K104" s="116"/>
      <c r="L104" s="118"/>
      <c r="M104" s="119" t="str">
        <f t="shared" si="3"/>
        <v/>
      </c>
      <c r="N104" s="120"/>
    </row>
    <row r="105" spans="1:14" x14ac:dyDescent="0.2">
      <c r="A105" s="148" t="s">
        <v>140</v>
      </c>
      <c r="B105" s="149" t="s">
        <v>287</v>
      </c>
      <c r="C105" s="137" t="s">
        <v>135</v>
      </c>
      <c r="D105" s="126" t="s">
        <v>94</v>
      </c>
      <c r="E105" s="159">
        <v>0.99782844999999998</v>
      </c>
      <c r="F105" s="120" t="s">
        <v>292</v>
      </c>
      <c r="G105" s="95" t="s">
        <v>16</v>
      </c>
      <c r="H105" s="112">
        <v>2</v>
      </c>
      <c r="I105" s="112">
        <v>2</v>
      </c>
      <c r="J105" s="112">
        <v>1</v>
      </c>
      <c r="K105" s="112">
        <v>1</v>
      </c>
      <c r="L105" s="96">
        <v>1</v>
      </c>
      <c r="M105" s="123">
        <f t="shared" si="3"/>
        <v>0.19908580854301616</v>
      </c>
      <c r="N105" s="120"/>
    </row>
    <row r="106" spans="1:14" x14ac:dyDescent="0.2">
      <c r="A106" s="148" t="s">
        <v>140</v>
      </c>
      <c r="B106" s="149" t="s">
        <v>287</v>
      </c>
      <c r="C106" s="137" t="s">
        <v>135</v>
      </c>
      <c r="D106" s="127" t="s">
        <v>96</v>
      </c>
      <c r="E106" s="160">
        <v>0</v>
      </c>
      <c r="F106" s="120" t="s">
        <v>293</v>
      </c>
      <c r="G106" s="95" t="s">
        <v>16</v>
      </c>
      <c r="H106" s="116"/>
      <c r="I106" s="116"/>
      <c r="J106" s="116"/>
      <c r="K106" s="116"/>
      <c r="L106" s="118"/>
      <c r="M106" s="119" t="str">
        <f t="shared" si="3"/>
        <v/>
      </c>
      <c r="N106" s="120"/>
    </row>
    <row r="107" spans="1:14" x14ac:dyDescent="0.2">
      <c r="A107" s="148" t="s">
        <v>140</v>
      </c>
      <c r="B107" s="149" t="s">
        <v>287</v>
      </c>
      <c r="C107" s="137" t="s">
        <v>135</v>
      </c>
      <c r="D107" s="128" t="s">
        <v>98</v>
      </c>
      <c r="E107" s="160">
        <v>0</v>
      </c>
      <c r="F107" s="120" t="s">
        <v>294</v>
      </c>
      <c r="G107" s="95" t="s">
        <v>16</v>
      </c>
      <c r="H107" s="116"/>
      <c r="I107" s="116"/>
      <c r="J107" s="116"/>
      <c r="K107" s="116"/>
      <c r="L107" s="118"/>
      <c r="M107" s="119" t="str">
        <f t="shared" si="3"/>
        <v/>
      </c>
      <c r="N107" s="120"/>
    </row>
    <row r="108" spans="1:14" x14ac:dyDescent="0.2">
      <c r="A108" s="53" t="s">
        <v>140</v>
      </c>
      <c r="B108" s="149" t="s">
        <v>295</v>
      </c>
      <c r="C108" s="137" t="s">
        <v>135</v>
      </c>
      <c r="D108" s="115" t="s">
        <v>14</v>
      </c>
      <c r="E108" s="162">
        <v>0</v>
      </c>
      <c r="F108" s="120" t="s">
        <v>296</v>
      </c>
      <c r="G108" s="95" t="s">
        <v>16</v>
      </c>
      <c r="H108" s="116"/>
      <c r="I108" s="116"/>
      <c r="J108" s="116"/>
      <c r="K108" s="116"/>
      <c r="L108" s="118"/>
      <c r="M108" s="119" t="str">
        <f t="shared" si="3"/>
        <v/>
      </c>
      <c r="N108" s="120"/>
    </row>
    <row r="109" spans="1:14" x14ac:dyDescent="0.2">
      <c r="A109" s="161" t="s">
        <v>140</v>
      </c>
      <c r="B109" s="149" t="s">
        <v>295</v>
      </c>
      <c r="C109" s="137" t="s">
        <v>135</v>
      </c>
      <c r="D109" s="121" t="s">
        <v>62</v>
      </c>
      <c r="E109" s="160">
        <v>0</v>
      </c>
      <c r="F109" s="120" t="s">
        <v>297</v>
      </c>
      <c r="G109" s="95" t="s">
        <v>16</v>
      </c>
      <c r="H109" s="116"/>
      <c r="I109" s="116"/>
      <c r="J109" s="116"/>
      <c r="K109" s="116"/>
      <c r="L109" s="118"/>
      <c r="M109" s="119" t="str">
        <f t="shared" si="3"/>
        <v/>
      </c>
      <c r="N109" s="120"/>
    </row>
    <row r="110" spans="1:14" x14ac:dyDescent="0.2">
      <c r="A110" s="161" t="s">
        <v>140</v>
      </c>
      <c r="B110" s="149" t="s">
        <v>295</v>
      </c>
      <c r="C110" s="137" t="s">
        <v>135</v>
      </c>
      <c r="D110" s="124" t="s">
        <v>64</v>
      </c>
      <c r="E110" s="160">
        <v>0</v>
      </c>
      <c r="F110" s="120" t="s">
        <v>298</v>
      </c>
      <c r="G110" s="95" t="s">
        <v>16</v>
      </c>
      <c r="H110" s="116"/>
      <c r="I110" s="116"/>
      <c r="J110" s="116"/>
      <c r="K110" s="116"/>
      <c r="L110" s="118"/>
      <c r="M110" s="119" t="str">
        <f t="shared" si="3"/>
        <v/>
      </c>
      <c r="N110" s="120"/>
    </row>
    <row r="111" spans="1:14" x14ac:dyDescent="0.2">
      <c r="A111" s="161" t="s">
        <v>140</v>
      </c>
      <c r="B111" s="149" t="s">
        <v>295</v>
      </c>
      <c r="C111" s="137" t="s">
        <v>135</v>
      </c>
      <c r="D111" s="125" t="s">
        <v>66</v>
      </c>
      <c r="E111" s="160">
        <v>0</v>
      </c>
      <c r="F111" s="120" t="s">
        <v>299</v>
      </c>
      <c r="G111" s="95" t="s">
        <v>16</v>
      </c>
      <c r="H111" s="116"/>
      <c r="I111" s="116"/>
      <c r="J111" s="116"/>
      <c r="K111" s="116"/>
      <c r="L111" s="118"/>
      <c r="M111" s="119" t="str">
        <f t="shared" si="3"/>
        <v/>
      </c>
      <c r="N111" s="120"/>
    </row>
    <row r="112" spans="1:14" x14ac:dyDescent="0.2">
      <c r="A112" s="161" t="s">
        <v>140</v>
      </c>
      <c r="B112" s="149" t="s">
        <v>295</v>
      </c>
      <c r="C112" s="137" t="s">
        <v>135</v>
      </c>
      <c r="D112" s="126" t="s">
        <v>94</v>
      </c>
      <c r="E112" s="160">
        <v>0</v>
      </c>
      <c r="F112" s="120" t="s">
        <v>300</v>
      </c>
      <c r="G112" s="95" t="s">
        <v>16</v>
      </c>
      <c r="H112" s="116"/>
      <c r="I112" s="116"/>
      <c r="J112" s="116"/>
      <c r="K112" s="116"/>
      <c r="L112" s="118"/>
      <c r="M112" s="119" t="str">
        <f t="shared" si="3"/>
        <v/>
      </c>
      <c r="N112" s="120"/>
    </row>
    <row r="113" spans="1:14" x14ac:dyDescent="0.2">
      <c r="A113" s="161" t="s">
        <v>140</v>
      </c>
      <c r="B113" s="149" t="s">
        <v>295</v>
      </c>
      <c r="C113" s="137" t="s">
        <v>135</v>
      </c>
      <c r="D113" s="127" t="s">
        <v>96</v>
      </c>
      <c r="E113" s="159">
        <v>0.24281212999999999</v>
      </c>
      <c r="F113" s="120" t="s">
        <v>301</v>
      </c>
      <c r="G113" s="95" t="s">
        <v>16</v>
      </c>
      <c r="H113" s="112">
        <v>2</v>
      </c>
      <c r="I113" s="112">
        <v>2</v>
      </c>
      <c r="J113" s="112">
        <v>1</v>
      </c>
      <c r="K113" s="112">
        <v>1</v>
      </c>
      <c r="L113" s="96">
        <v>1</v>
      </c>
      <c r="M113" s="123">
        <f t="shared" si="3"/>
        <v>0.19908580854301616</v>
      </c>
      <c r="N113" s="120"/>
    </row>
    <row r="114" spans="1:14" x14ac:dyDescent="0.2">
      <c r="A114" s="161" t="s">
        <v>140</v>
      </c>
      <c r="B114" s="149" t="s">
        <v>295</v>
      </c>
      <c r="C114" s="137" t="s">
        <v>135</v>
      </c>
      <c r="D114" s="128" t="s">
        <v>98</v>
      </c>
      <c r="E114" s="160">
        <v>0</v>
      </c>
      <c r="F114" s="120" t="s">
        <v>302</v>
      </c>
      <c r="G114" s="95" t="s">
        <v>16</v>
      </c>
      <c r="H114" s="116"/>
      <c r="I114" s="116"/>
      <c r="J114" s="116"/>
      <c r="K114" s="116"/>
      <c r="L114" s="118"/>
      <c r="M114" s="119" t="str">
        <f t="shared" si="3"/>
        <v/>
      </c>
      <c r="N114" s="120"/>
    </row>
    <row r="115" spans="1:14" x14ac:dyDescent="0.2">
      <c r="A115" s="53" t="s">
        <v>140</v>
      </c>
      <c r="B115" s="149" t="s">
        <v>303</v>
      </c>
      <c r="C115" s="137" t="s">
        <v>135</v>
      </c>
      <c r="D115" s="115" t="s">
        <v>14</v>
      </c>
      <c r="E115" s="158">
        <v>5.6366000000000004E-6</v>
      </c>
      <c r="F115" s="120" t="s">
        <v>304</v>
      </c>
      <c r="G115" s="95" t="s">
        <v>16</v>
      </c>
      <c r="H115" s="112">
        <v>2</v>
      </c>
      <c r="I115" s="112">
        <v>2</v>
      </c>
      <c r="J115" s="112">
        <v>1</v>
      </c>
      <c r="K115" s="112">
        <v>1</v>
      </c>
      <c r="L115" s="96">
        <v>1</v>
      </c>
      <c r="M115" s="119">
        <f t="shared" si="3"/>
        <v>0.19908580854301616</v>
      </c>
      <c r="N115" s="120"/>
    </row>
    <row r="116" spans="1:14" x14ac:dyDescent="0.2">
      <c r="A116" s="148" t="s">
        <v>140</v>
      </c>
      <c r="B116" s="149" t="s">
        <v>303</v>
      </c>
      <c r="C116" s="137" t="s">
        <v>135</v>
      </c>
      <c r="D116" s="121" t="s">
        <v>62</v>
      </c>
      <c r="E116" s="160">
        <v>0</v>
      </c>
      <c r="F116" s="120" t="s">
        <v>305</v>
      </c>
      <c r="G116" s="95" t="s">
        <v>238</v>
      </c>
      <c r="H116" s="116"/>
      <c r="I116" s="116"/>
      <c r="J116" s="116"/>
      <c r="K116" s="116"/>
      <c r="L116" s="118"/>
      <c r="M116" s="119" t="str">
        <f t="shared" si="3"/>
        <v/>
      </c>
      <c r="N116" s="120"/>
    </row>
    <row r="117" spans="1:14" x14ac:dyDescent="0.2">
      <c r="A117" s="148" t="s">
        <v>140</v>
      </c>
      <c r="B117" s="149" t="s">
        <v>303</v>
      </c>
      <c r="C117" s="137" t="s">
        <v>135</v>
      </c>
      <c r="D117" s="124" t="s">
        <v>64</v>
      </c>
      <c r="E117" s="159">
        <v>7.0467899999999998E-3</v>
      </c>
      <c r="F117" s="120" t="s">
        <v>306</v>
      </c>
      <c r="G117" s="95" t="s">
        <v>16</v>
      </c>
      <c r="H117" s="112">
        <v>2</v>
      </c>
      <c r="I117" s="112">
        <v>2</v>
      </c>
      <c r="J117" s="112">
        <v>1</v>
      </c>
      <c r="K117" s="112">
        <v>1</v>
      </c>
      <c r="L117" s="96">
        <v>1</v>
      </c>
      <c r="M117" s="119">
        <f t="shared" si="3"/>
        <v>0.19908580854301616</v>
      </c>
      <c r="N117" s="120"/>
    </row>
    <row r="118" spans="1:14" x14ac:dyDescent="0.2">
      <c r="A118" s="148" t="s">
        <v>140</v>
      </c>
      <c r="B118" s="149" t="s">
        <v>303</v>
      </c>
      <c r="C118" s="137" t="s">
        <v>135</v>
      </c>
      <c r="D118" s="125" t="s">
        <v>66</v>
      </c>
      <c r="E118" s="160">
        <v>0</v>
      </c>
      <c r="F118" s="120" t="s">
        <v>307</v>
      </c>
      <c r="G118" s="95" t="s">
        <v>16</v>
      </c>
      <c r="H118" s="116"/>
      <c r="I118" s="116"/>
      <c r="J118" s="116"/>
      <c r="K118" s="116"/>
      <c r="L118" s="118"/>
      <c r="M118" s="119" t="str">
        <f t="shared" si="3"/>
        <v/>
      </c>
      <c r="N118" s="120"/>
    </row>
    <row r="119" spans="1:14" x14ac:dyDescent="0.2">
      <c r="A119" s="148" t="s">
        <v>140</v>
      </c>
      <c r="B119" s="149" t="s">
        <v>303</v>
      </c>
      <c r="C119" s="137" t="s">
        <v>135</v>
      </c>
      <c r="D119" s="126" t="s">
        <v>94</v>
      </c>
      <c r="E119" s="159">
        <v>2.17155E-3</v>
      </c>
      <c r="F119" s="120" t="s">
        <v>308</v>
      </c>
      <c r="G119" s="95" t="s">
        <v>16</v>
      </c>
      <c r="H119" s="112">
        <v>2</v>
      </c>
      <c r="I119" s="112">
        <v>2</v>
      </c>
      <c r="J119" s="112">
        <v>1</v>
      </c>
      <c r="K119" s="112">
        <v>1</v>
      </c>
      <c r="L119" s="96">
        <v>1</v>
      </c>
      <c r="M119" s="119">
        <f t="shared" si="3"/>
        <v>0.19908580854301616</v>
      </c>
      <c r="N119" s="120"/>
    </row>
    <row r="120" spans="1:14" x14ac:dyDescent="0.2">
      <c r="A120" s="148" t="s">
        <v>140</v>
      </c>
      <c r="B120" s="149" t="s">
        <v>303</v>
      </c>
      <c r="C120" s="137" t="s">
        <v>135</v>
      </c>
      <c r="D120" s="127" t="s">
        <v>96</v>
      </c>
      <c r="E120" s="159">
        <v>0.40763477999999997</v>
      </c>
      <c r="F120" s="120" t="s">
        <v>309</v>
      </c>
      <c r="G120" s="95" t="s">
        <v>16</v>
      </c>
      <c r="H120" s="112">
        <v>2</v>
      </c>
      <c r="I120" s="112">
        <v>2</v>
      </c>
      <c r="J120" s="112">
        <v>1</v>
      </c>
      <c r="K120" s="112">
        <v>1</v>
      </c>
      <c r="L120" s="96">
        <v>1</v>
      </c>
      <c r="M120" s="123">
        <f t="shared" ref="M120:M150" si="4">IF( OR( ISBLANK(H120),ISBLANK(I120), ISBLANK(J120), ISBLANK(K120), ISBLANK(L120) ), "", 1.5*SQRT( EXP(2.21*(H120-1)) + EXP(2.21*(I120-1)) + EXP(2.21*(J120-1)) + EXP(2.21*(K120-1)) + EXP(2.21*L120) )/100*2.45 )</f>
        <v>0.19908580854301616</v>
      </c>
      <c r="N120" s="120"/>
    </row>
    <row r="121" spans="1:14" x14ac:dyDescent="0.2">
      <c r="A121" s="148" t="s">
        <v>140</v>
      </c>
      <c r="B121" s="149" t="s">
        <v>303</v>
      </c>
      <c r="C121" s="137" t="s">
        <v>135</v>
      </c>
      <c r="D121" s="128" t="s">
        <v>98</v>
      </c>
      <c r="E121" s="160">
        <v>0</v>
      </c>
      <c r="F121" s="120" t="s">
        <v>310</v>
      </c>
      <c r="G121" s="95" t="s">
        <v>16</v>
      </c>
      <c r="H121" s="116"/>
      <c r="I121" s="116"/>
      <c r="J121" s="116"/>
      <c r="K121" s="116"/>
      <c r="L121" s="118"/>
      <c r="M121" s="119" t="str">
        <f t="shared" si="4"/>
        <v/>
      </c>
      <c r="N121" s="120"/>
    </row>
    <row r="122" spans="1:14" x14ac:dyDescent="0.2">
      <c r="A122" s="53" t="s">
        <v>140</v>
      </c>
      <c r="B122" s="149" t="s">
        <v>311</v>
      </c>
      <c r="C122" s="137" t="s">
        <v>135</v>
      </c>
      <c r="D122" s="115" t="s">
        <v>14</v>
      </c>
      <c r="E122" s="162">
        <v>0</v>
      </c>
      <c r="F122" s="120" t="s">
        <v>312</v>
      </c>
      <c r="G122" s="95" t="s">
        <v>16</v>
      </c>
      <c r="H122" s="116"/>
      <c r="I122" s="116"/>
      <c r="J122" s="116"/>
      <c r="K122" s="116"/>
      <c r="L122" s="118"/>
      <c r="M122" s="119" t="str">
        <f t="shared" si="4"/>
        <v/>
      </c>
      <c r="N122" s="120"/>
    </row>
    <row r="123" spans="1:14" x14ac:dyDescent="0.2">
      <c r="A123" s="148" t="s">
        <v>140</v>
      </c>
      <c r="B123" s="149" t="s">
        <v>311</v>
      </c>
      <c r="C123" s="137" t="s">
        <v>135</v>
      </c>
      <c r="D123" s="121" t="s">
        <v>62</v>
      </c>
      <c r="E123" s="160">
        <v>0</v>
      </c>
      <c r="F123" s="120" t="s">
        <v>313</v>
      </c>
      <c r="G123" s="95" t="s">
        <v>16</v>
      </c>
      <c r="H123" s="116"/>
      <c r="I123" s="116"/>
      <c r="J123" s="116"/>
      <c r="K123" s="116"/>
      <c r="L123" s="118"/>
      <c r="M123" s="119" t="str">
        <f t="shared" si="4"/>
        <v/>
      </c>
      <c r="N123" s="120"/>
    </row>
    <row r="124" spans="1:14" x14ac:dyDescent="0.2">
      <c r="A124" s="148" t="s">
        <v>140</v>
      </c>
      <c r="B124" s="149" t="s">
        <v>311</v>
      </c>
      <c r="C124" s="137" t="s">
        <v>135</v>
      </c>
      <c r="D124" s="124" t="s">
        <v>64</v>
      </c>
      <c r="E124" s="160">
        <v>0</v>
      </c>
      <c r="F124" s="120" t="s">
        <v>314</v>
      </c>
      <c r="G124" s="95" t="s">
        <v>16</v>
      </c>
      <c r="H124" s="116"/>
      <c r="I124" s="116"/>
      <c r="J124" s="116"/>
      <c r="K124" s="116"/>
      <c r="L124" s="118"/>
      <c r="M124" s="119" t="str">
        <f t="shared" si="4"/>
        <v/>
      </c>
      <c r="N124" s="120"/>
    </row>
    <row r="125" spans="1:14" x14ac:dyDescent="0.2">
      <c r="A125" s="148" t="s">
        <v>140</v>
      </c>
      <c r="B125" s="149" t="s">
        <v>311</v>
      </c>
      <c r="C125" s="137" t="s">
        <v>135</v>
      </c>
      <c r="D125" s="125" t="s">
        <v>66</v>
      </c>
      <c r="E125" s="160">
        <v>0</v>
      </c>
      <c r="F125" s="120" t="s">
        <v>315</v>
      </c>
      <c r="G125" s="95" t="s">
        <v>16</v>
      </c>
      <c r="H125" s="116"/>
      <c r="I125" s="116"/>
      <c r="J125" s="116"/>
      <c r="K125" s="116"/>
      <c r="L125" s="118"/>
      <c r="M125" s="119" t="str">
        <f t="shared" si="4"/>
        <v/>
      </c>
      <c r="N125" s="120"/>
    </row>
    <row r="126" spans="1:14" x14ac:dyDescent="0.2">
      <c r="A126" s="148" t="s">
        <v>140</v>
      </c>
      <c r="B126" s="149" t="s">
        <v>311</v>
      </c>
      <c r="C126" s="137" t="s">
        <v>135</v>
      </c>
      <c r="D126" s="126" t="s">
        <v>94</v>
      </c>
      <c r="E126" s="160">
        <v>0</v>
      </c>
      <c r="F126" s="120" t="s">
        <v>316</v>
      </c>
      <c r="G126" s="95" t="s">
        <v>16</v>
      </c>
      <c r="H126" s="116"/>
      <c r="I126" s="116"/>
      <c r="J126" s="116"/>
      <c r="K126" s="116"/>
      <c r="L126" s="118"/>
      <c r="M126" s="119" t="str">
        <f t="shared" si="4"/>
        <v/>
      </c>
      <c r="N126" s="120"/>
    </row>
    <row r="127" spans="1:14" x14ac:dyDescent="0.2">
      <c r="A127" s="148" t="s">
        <v>140</v>
      </c>
      <c r="B127" s="149" t="s">
        <v>311</v>
      </c>
      <c r="C127" s="137" t="s">
        <v>135</v>
      </c>
      <c r="D127" s="127" t="s">
        <v>96</v>
      </c>
      <c r="E127" s="159">
        <v>4.6916039999999999E-2</v>
      </c>
      <c r="F127" s="120" t="s">
        <v>317</v>
      </c>
      <c r="G127" s="95" t="s">
        <v>16</v>
      </c>
      <c r="H127" s="112">
        <v>2</v>
      </c>
      <c r="I127" s="112">
        <v>2</v>
      </c>
      <c r="J127" s="112">
        <v>1</v>
      </c>
      <c r="K127" s="112">
        <v>1</v>
      </c>
      <c r="L127" s="96">
        <v>1</v>
      </c>
      <c r="M127" s="123">
        <f t="shared" si="4"/>
        <v>0.19908580854301616</v>
      </c>
      <c r="N127" s="120"/>
    </row>
    <row r="128" spans="1:14" x14ac:dyDescent="0.2">
      <c r="A128" s="163" t="s">
        <v>140</v>
      </c>
      <c r="B128" s="154" t="s">
        <v>311</v>
      </c>
      <c r="C128" s="155" t="s">
        <v>135</v>
      </c>
      <c r="D128" s="156" t="s">
        <v>98</v>
      </c>
      <c r="E128" s="160">
        <v>0</v>
      </c>
      <c r="F128" s="103" t="s">
        <v>318</v>
      </c>
      <c r="G128" s="104" t="s">
        <v>16</v>
      </c>
      <c r="H128" s="130"/>
      <c r="I128" s="130"/>
      <c r="J128" s="130"/>
      <c r="K128" s="130"/>
      <c r="L128" s="131"/>
      <c r="M128" s="132" t="str">
        <f t="shared" si="4"/>
        <v/>
      </c>
      <c r="N128" s="107"/>
    </row>
    <row r="129" spans="1:14" x14ac:dyDescent="0.2">
      <c r="A129" s="164" t="s">
        <v>141</v>
      </c>
      <c r="B129" s="165" t="s">
        <v>319</v>
      </c>
      <c r="C129" s="155" t="s">
        <v>135</v>
      </c>
      <c r="D129" s="166" t="s">
        <v>135</v>
      </c>
      <c r="E129" s="167">
        <v>1</v>
      </c>
      <c r="F129" s="168"/>
      <c r="G129" s="169" t="s">
        <v>16</v>
      </c>
      <c r="H129" s="170"/>
      <c r="I129" s="170"/>
      <c r="J129" s="170"/>
      <c r="K129" s="170"/>
      <c r="L129" s="171"/>
      <c r="M129" s="172" t="str">
        <f t="shared" si="4"/>
        <v/>
      </c>
      <c r="N129" s="173"/>
    </row>
    <row r="130" spans="1:14" x14ac:dyDescent="0.2">
      <c r="A130" s="164" t="s">
        <v>142</v>
      </c>
      <c r="B130" s="165" t="s">
        <v>320</v>
      </c>
      <c r="C130" s="155" t="s">
        <v>135</v>
      </c>
      <c r="D130" s="166" t="s">
        <v>135</v>
      </c>
      <c r="E130" s="167">
        <v>1</v>
      </c>
      <c r="F130" s="168"/>
      <c r="G130" s="169" t="s">
        <v>16</v>
      </c>
      <c r="H130" s="170"/>
      <c r="I130" s="170"/>
      <c r="J130" s="170"/>
      <c r="K130" s="170"/>
      <c r="L130" s="171"/>
      <c r="M130" s="172" t="str">
        <f t="shared" si="4"/>
        <v/>
      </c>
      <c r="N130" s="173"/>
    </row>
    <row r="131" spans="1:14" x14ac:dyDescent="0.2">
      <c r="A131" s="53" t="s">
        <v>143</v>
      </c>
      <c r="B131" s="174" t="s">
        <v>321</v>
      </c>
      <c r="C131" s="137" t="s">
        <v>135</v>
      </c>
      <c r="D131" s="115" t="s">
        <v>14</v>
      </c>
      <c r="E131" s="112">
        <v>0.96191877821438287</v>
      </c>
      <c r="F131" s="120" t="s">
        <v>322</v>
      </c>
      <c r="G131" s="95" t="s">
        <v>16</v>
      </c>
      <c r="H131" s="112">
        <v>2</v>
      </c>
      <c r="I131" s="112">
        <v>2</v>
      </c>
      <c r="J131" s="112">
        <v>1</v>
      </c>
      <c r="K131" s="112">
        <v>1</v>
      </c>
      <c r="L131" s="96">
        <v>1</v>
      </c>
      <c r="M131" s="123">
        <f t="shared" si="4"/>
        <v>0.19908580854301616</v>
      </c>
      <c r="N131" s="120"/>
    </row>
    <row r="132" spans="1:14" x14ac:dyDescent="0.2">
      <c r="A132" s="53" t="s">
        <v>143</v>
      </c>
      <c r="B132" s="174" t="s">
        <v>321</v>
      </c>
      <c r="C132" s="137" t="s">
        <v>135</v>
      </c>
      <c r="D132" s="121" t="s">
        <v>62</v>
      </c>
      <c r="E132" s="116">
        <v>0</v>
      </c>
      <c r="F132" s="120" t="s">
        <v>323</v>
      </c>
      <c r="G132" s="95" t="s">
        <v>16</v>
      </c>
      <c r="H132" s="116"/>
      <c r="I132" s="116"/>
      <c r="J132" s="116"/>
      <c r="K132" s="116"/>
      <c r="L132" s="118"/>
      <c r="M132" s="119" t="str">
        <f t="shared" si="4"/>
        <v/>
      </c>
      <c r="N132" s="120"/>
    </row>
    <row r="133" spans="1:14" x14ac:dyDescent="0.2">
      <c r="A133" s="53" t="s">
        <v>143</v>
      </c>
      <c r="B133" s="174" t="s">
        <v>321</v>
      </c>
      <c r="C133" s="137" t="s">
        <v>135</v>
      </c>
      <c r="D133" s="124" t="s">
        <v>64</v>
      </c>
      <c r="E133" s="116">
        <v>0</v>
      </c>
      <c r="F133" s="120" t="s">
        <v>324</v>
      </c>
      <c r="G133" s="95" t="s">
        <v>16</v>
      </c>
      <c r="H133" s="116"/>
      <c r="I133" s="116"/>
      <c r="J133" s="116"/>
      <c r="K133" s="116"/>
      <c r="L133" s="118"/>
      <c r="M133" s="119" t="str">
        <f t="shared" si="4"/>
        <v/>
      </c>
      <c r="N133" s="120"/>
    </row>
    <row r="134" spans="1:14" x14ac:dyDescent="0.2">
      <c r="A134" s="53" t="s">
        <v>143</v>
      </c>
      <c r="B134" s="174" t="s">
        <v>321</v>
      </c>
      <c r="C134" s="137" t="s">
        <v>135</v>
      </c>
      <c r="D134" s="125" t="s">
        <v>66</v>
      </c>
      <c r="E134" s="116">
        <v>0</v>
      </c>
      <c r="F134" s="120" t="s">
        <v>325</v>
      </c>
      <c r="G134" s="95" t="s">
        <v>16</v>
      </c>
      <c r="H134" s="116"/>
      <c r="I134" s="116"/>
      <c r="J134" s="116"/>
      <c r="K134" s="116"/>
      <c r="L134" s="118"/>
      <c r="M134" s="119" t="str">
        <f t="shared" si="4"/>
        <v/>
      </c>
      <c r="N134" s="120"/>
    </row>
    <row r="135" spans="1:14" x14ac:dyDescent="0.2">
      <c r="A135" s="53" t="s">
        <v>143</v>
      </c>
      <c r="B135" s="174" t="s">
        <v>321</v>
      </c>
      <c r="C135" s="137" t="s">
        <v>135</v>
      </c>
      <c r="D135" s="126" t="s">
        <v>94</v>
      </c>
      <c r="E135" s="116">
        <v>0</v>
      </c>
      <c r="F135" s="120" t="s">
        <v>326</v>
      </c>
      <c r="G135" s="95" t="s">
        <v>16</v>
      </c>
      <c r="H135" s="116"/>
      <c r="I135" s="116"/>
      <c r="J135" s="116"/>
      <c r="K135" s="116"/>
      <c r="L135" s="118"/>
      <c r="M135" s="119" t="str">
        <f t="shared" si="4"/>
        <v/>
      </c>
      <c r="N135" s="120"/>
    </row>
    <row r="136" spans="1:14" x14ac:dyDescent="0.2">
      <c r="A136" s="53" t="s">
        <v>143</v>
      </c>
      <c r="B136" s="174" t="s">
        <v>321</v>
      </c>
      <c r="C136" s="137" t="s">
        <v>135</v>
      </c>
      <c r="D136" s="127" t="s">
        <v>96</v>
      </c>
      <c r="E136" s="112">
        <v>0.25203776088049229</v>
      </c>
      <c r="F136" s="120" t="s">
        <v>327</v>
      </c>
      <c r="G136" s="95" t="s">
        <v>16</v>
      </c>
      <c r="H136" s="112">
        <v>2</v>
      </c>
      <c r="I136" s="112">
        <v>2</v>
      </c>
      <c r="J136" s="112">
        <v>1</v>
      </c>
      <c r="K136" s="112">
        <v>1</v>
      </c>
      <c r="L136" s="96">
        <v>1</v>
      </c>
      <c r="M136" s="123">
        <f t="shared" si="4"/>
        <v>0.19908580854301616</v>
      </c>
      <c r="N136" s="120"/>
    </row>
    <row r="137" spans="1:14" x14ac:dyDescent="0.2">
      <c r="A137" s="53" t="s">
        <v>143</v>
      </c>
      <c r="B137" s="174" t="s">
        <v>321</v>
      </c>
      <c r="C137" s="137" t="s">
        <v>135</v>
      </c>
      <c r="D137" s="128" t="s">
        <v>98</v>
      </c>
      <c r="E137" s="116">
        <v>0</v>
      </c>
      <c r="F137" s="120" t="s">
        <v>328</v>
      </c>
      <c r="G137" s="95" t="s">
        <v>16</v>
      </c>
      <c r="H137" s="116"/>
      <c r="I137" s="116"/>
      <c r="J137" s="116"/>
      <c r="K137" s="116"/>
      <c r="L137" s="118"/>
      <c r="M137" s="119" t="str">
        <f t="shared" si="4"/>
        <v/>
      </c>
      <c r="N137" s="120"/>
    </row>
    <row r="138" spans="1:14" x14ac:dyDescent="0.2">
      <c r="A138" s="53" t="s">
        <v>143</v>
      </c>
      <c r="B138" s="174" t="s">
        <v>329</v>
      </c>
      <c r="C138" s="137" t="s">
        <v>135</v>
      </c>
      <c r="D138" s="115" t="s">
        <v>14</v>
      </c>
      <c r="E138" s="112">
        <v>9.2356061069517274E-3</v>
      </c>
      <c r="F138" s="120" t="s">
        <v>330</v>
      </c>
      <c r="G138" s="95" t="s">
        <v>16</v>
      </c>
      <c r="H138" s="112">
        <v>2</v>
      </c>
      <c r="I138" s="112">
        <v>2</v>
      </c>
      <c r="J138" s="112">
        <v>1</v>
      </c>
      <c r="K138" s="112">
        <v>1</v>
      </c>
      <c r="L138" s="96">
        <v>1</v>
      </c>
      <c r="M138" s="123">
        <f t="shared" si="4"/>
        <v>0.19908580854301616</v>
      </c>
      <c r="N138" s="120"/>
    </row>
    <row r="139" spans="1:14" x14ac:dyDescent="0.2">
      <c r="A139" s="148" t="s">
        <v>143</v>
      </c>
      <c r="B139" s="174" t="s">
        <v>329</v>
      </c>
      <c r="C139" s="137" t="s">
        <v>135</v>
      </c>
      <c r="D139" s="121" t="s">
        <v>62</v>
      </c>
      <c r="E139" s="112">
        <v>0.83187588300558279</v>
      </c>
      <c r="F139" s="120" t="s">
        <v>331</v>
      </c>
      <c r="G139" s="95" t="s">
        <v>16</v>
      </c>
      <c r="H139" s="112">
        <v>2</v>
      </c>
      <c r="I139" s="112">
        <v>2</v>
      </c>
      <c r="J139" s="112">
        <v>1</v>
      </c>
      <c r="K139" s="112">
        <v>1</v>
      </c>
      <c r="L139" s="96">
        <v>1</v>
      </c>
      <c r="M139" s="123">
        <f t="shared" si="4"/>
        <v>0.19908580854301616</v>
      </c>
      <c r="N139" s="120"/>
    </row>
    <row r="140" spans="1:14" x14ac:dyDescent="0.2">
      <c r="A140" s="148" t="s">
        <v>143</v>
      </c>
      <c r="B140" s="174" t="s">
        <v>329</v>
      </c>
      <c r="C140" s="137" t="s">
        <v>135</v>
      </c>
      <c r="D140" s="124" t="s">
        <v>64</v>
      </c>
      <c r="E140" s="112">
        <v>0.88675706496344819</v>
      </c>
      <c r="F140" s="120" t="s">
        <v>332</v>
      </c>
      <c r="G140" s="95" t="s">
        <v>16</v>
      </c>
      <c r="H140" s="112">
        <v>2</v>
      </c>
      <c r="I140" s="112">
        <v>2</v>
      </c>
      <c r="J140" s="112">
        <v>1</v>
      </c>
      <c r="K140" s="112">
        <v>1</v>
      </c>
      <c r="L140" s="96">
        <v>1</v>
      </c>
      <c r="M140" s="123">
        <f t="shared" si="4"/>
        <v>0.19908580854301616</v>
      </c>
      <c r="N140" s="120"/>
    </row>
    <row r="141" spans="1:14" x14ac:dyDescent="0.2">
      <c r="A141" s="148" t="s">
        <v>143</v>
      </c>
      <c r="B141" s="174" t="s">
        <v>329</v>
      </c>
      <c r="C141" s="137" t="s">
        <v>135</v>
      </c>
      <c r="D141" s="125" t="s">
        <v>66</v>
      </c>
      <c r="E141" s="116">
        <v>0</v>
      </c>
      <c r="F141" s="120" t="s">
        <v>333</v>
      </c>
      <c r="G141" s="95" t="s">
        <v>16</v>
      </c>
      <c r="H141" s="116"/>
      <c r="I141" s="116"/>
      <c r="J141" s="116"/>
      <c r="K141" s="116"/>
      <c r="L141" s="118"/>
      <c r="M141" s="119" t="str">
        <f t="shared" si="4"/>
        <v/>
      </c>
      <c r="N141" s="120"/>
    </row>
    <row r="142" spans="1:14" x14ac:dyDescent="0.2">
      <c r="A142" s="148" t="s">
        <v>143</v>
      </c>
      <c r="B142" s="174" t="s">
        <v>329</v>
      </c>
      <c r="C142" s="137" t="s">
        <v>135</v>
      </c>
      <c r="D142" s="126" t="s">
        <v>94</v>
      </c>
      <c r="E142" s="116">
        <v>0</v>
      </c>
      <c r="F142" s="120" t="s">
        <v>334</v>
      </c>
      <c r="G142" s="95" t="s">
        <v>16</v>
      </c>
      <c r="H142" s="116"/>
      <c r="I142" s="116"/>
      <c r="J142" s="116"/>
      <c r="K142" s="116"/>
      <c r="L142" s="118"/>
      <c r="M142" s="119" t="str">
        <f t="shared" si="4"/>
        <v/>
      </c>
      <c r="N142" s="120"/>
    </row>
    <row r="143" spans="1:14" x14ac:dyDescent="0.2">
      <c r="A143" s="148" t="s">
        <v>143</v>
      </c>
      <c r="B143" s="174" t="s">
        <v>329</v>
      </c>
      <c r="C143" s="137" t="s">
        <v>135</v>
      </c>
      <c r="D143" s="127" t="s">
        <v>96</v>
      </c>
      <c r="E143" s="112">
        <v>0.38705798992361312</v>
      </c>
      <c r="F143" s="120" t="s">
        <v>335</v>
      </c>
      <c r="G143" s="95" t="s">
        <v>16</v>
      </c>
      <c r="H143" s="112">
        <v>2</v>
      </c>
      <c r="I143" s="112">
        <v>2</v>
      </c>
      <c r="J143" s="112">
        <v>1</v>
      </c>
      <c r="K143" s="112">
        <v>1</v>
      </c>
      <c r="L143" s="96">
        <v>1</v>
      </c>
      <c r="M143" s="123">
        <f t="shared" si="4"/>
        <v>0.19908580854301616</v>
      </c>
      <c r="N143" s="120"/>
    </row>
    <row r="144" spans="1:14" x14ac:dyDescent="0.2">
      <c r="A144" s="148" t="s">
        <v>143</v>
      </c>
      <c r="B144" s="174" t="s">
        <v>329</v>
      </c>
      <c r="C144" s="137" t="s">
        <v>135</v>
      </c>
      <c r="D144" s="128" t="s">
        <v>98</v>
      </c>
      <c r="E144" s="116">
        <v>0</v>
      </c>
      <c r="F144" s="120" t="s">
        <v>336</v>
      </c>
      <c r="G144" s="95" t="s">
        <v>16</v>
      </c>
      <c r="H144" s="116"/>
      <c r="I144" s="116"/>
      <c r="J144" s="116"/>
      <c r="K144" s="116"/>
      <c r="L144" s="118"/>
      <c r="M144" s="119" t="str">
        <f t="shared" si="4"/>
        <v/>
      </c>
      <c r="N144" s="120"/>
    </row>
    <row r="145" spans="1:14" x14ac:dyDescent="0.2">
      <c r="A145" s="53" t="s">
        <v>143</v>
      </c>
      <c r="B145" s="174" t="s">
        <v>337</v>
      </c>
      <c r="C145" s="137" t="s">
        <v>135</v>
      </c>
      <c r="D145" s="115" t="s">
        <v>14</v>
      </c>
      <c r="E145" s="112">
        <v>2.8845615678665379E-2</v>
      </c>
      <c r="F145" s="120" t="s">
        <v>338</v>
      </c>
      <c r="G145" s="95" t="s">
        <v>16</v>
      </c>
      <c r="H145" s="112">
        <v>2</v>
      </c>
      <c r="I145" s="112">
        <v>2</v>
      </c>
      <c r="J145" s="112">
        <v>1</v>
      </c>
      <c r="K145" s="112">
        <v>1</v>
      </c>
      <c r="L145" s="96">
        <v>1</v>
      </c>
      <c r="M145" s="123">
        <f t="shared" si="4"/>
        <v>0.19908580854301616</v>
      </c>
      <c r="N145" s="120"/>
    </row>
    <row r="146" spans="1:14" x14ac:dyDescent="0.2">
      <c r="A146" s="53" t="s">
        <v>143</v>
      </c>
      <c r="B146" s="174" t="s">
        <v>337</v>
      </c>
      <c r="C146" s="137" t="s">
        <v>135</v>
      </c>
      <c r="D146" s="121" t="s">
        <v>62</v>
      </c>
      <c r="E146" s="112">
        <v>0.16812411699441721</v>
      </c>
      <c r="F146" s="120" t="s">
        <v>339</v>
      </c>
      <c r="G146" s="95" t="s">
        <v>16</v>
      </c>
      <c r="H146" s="112">
        <v>2</v>
      </c>
      <c r="I146" s="112">
        <v>2</v>
      </c>
      <c r="J146" s="112">
        <v>1</v>
      </c>
      <c r="K146" s="112">
        <v>1</v>
      </c>
      <c r="L146" s="96">
        <v>1</v>
      </c>
      <c r="M146" s="123">
        <f t="shared" si="4"/>
        <v>0.19908580854301616</v>
      </c>
      <c r="N146" s="120"/>
    </row>
    <row r="147" spans="1:14" x14ac:dyDescent="0.2">
      <c r="A147" s="53" t="s">
        <v>143</v>
      </c>
      <c r="B147" s="174" t="s">
        <v>337</v>
      </c>
      <c r="C147" s="137" t="s">
        <v>135</v>
      </c>
      <c r="D147" s="124" t="s">
        <v>64</v>
      </c>
      <c r="E147" s="112">
        <v>0.1132429350365519</v>
      </c>
      <c r="F147" s="120" t="s">
        <v>340</v>
      </c>
      <c r="G147" s="95" t="s">
        <v>16</v>
      </c>
      <c r="H147" s="112">
        <v>2</v>
      </c>
      <c r="I147" s="112">
        <v>2</v>
      </c>
      <c r="J147" s="112">
        <v>1</v>
      </c>
      <c r="K147" s="112">
        <v>1</v>
      </c>
      <c r="L147" s="96">
        <v>1</v>
      </c>
      <c r="M147" s="123">
        <f t="shared" si="4"/>
        <v>0.19908580854301616</v>
      </c>
      <c r="N147" s="120"/>
    </row>
    <row r="148" spans="1:14" x14ac:dyDescent="0.2">
      <c r="A148" s="53" t="s">
        <v>143</v>
      </c>
      <c r="B148" s="174" t="s">
        <v>337</v>
      </c>
      <c r="C148" s="137" t="s">
        <v>135</v>
      </c>
      <c r="D148" s="125" t="s">
        <v>66</v>
      </c>
      <c r="E148" s="116">
        <v>1</v>
      </c>
      <c r="F148" s="120" t="s">
        <v>341</v>
      </c>
      <c r="G148" s="95" t="s">
        <v>16</v>
      </c>
      <c r="H148" s="116"/>
      <c r="I148" s="116"/>
      <c r="J148" s="116"/>
      <c r="K148" s="116"/>
      <c r="L148" s="118"/>
      <c r="M148" s="123" t="str">
        <f t="shared" si="4"/>
        <v/>
      </c>
      <c r="N148" s="120"/>
    </row>
    <row r="149" spans="1:14" x14ac:dyDescent="0.2">
      <c r="A149" s="53" t="s">
        <v>143</v>
      </c>
      <c r="B149" s="174" t="s">
        <v>337</v>
      </c>
      <c r="C149" s="137" t="s">
        <v>135</v>
      </c>
      <c r="D149" s="126" t="s">
        <v>94</v>
      </c>
      <c r="E149" s="116">
        <v>0</v>
      </c>
      <c r="F149" s="120" t="s">
        <v>342</v>
      </c>
      <c r="G149" s="95" t="s">
        <v>16</v>
      </c>
      <c r="H149" s="116"/>
      <c r="I149" s="116"/>
      <c r="J149" s="116"/>
      <c r="K149" s="116"/>
      <c r="L149" s="118"/>
      <c r="M149" s="119" t="str">
        <f t="shared" si="4"/>
        <v/>
      </c>
      <c r="N149" s="120"/>
    </row>
    <row r="150" spans="1:14" x14ac:dyDescent="0.2">
      <c r="A150" s="53" t="s">
        <v>143</v>
      </c>
      <c r="B150" s="174" t="s">
        <v>337</v>
      </c>
      <c r="C150" s="137" t="s">
        <v>135</v>
      </c>
      <c r="D150" s="127" t="s">
        <v>96</v>
      </c>
      <c r="E150" s="112">
        <v>0.36090424919589448</v>
      </c>
      <c r="F150" s="120" t="s">
        <v>343</v>
      </c>
      <c r="G150" s="95" t="s">
        <v>16</v>
      </c>
      <c r="H150" s="112">
        <v>2</v>
      </c>
      <c r="I150" s="112">
        <v>2</v>
      </c>
      <c r="J150" s="112">
        <v>1</v>
      </c>
      <c r="K150" s="112">
        <v>1</v>
      </c>
      <c r="L150" s="96">
        <v>1</v>
      </c>
      <c r="M150" s="123">
        <f t="shared" si="4"/>
        <v>0.19908580854301616</v>
      </c>
      <c r="N150" s="120"/>
    </row>
    <row r="151" spans="1:14" x14ac:dyDescent="0.2">
      <c r="A151" s="66" t="s">
        <v>143</v>
      </c>
      <c r="B151" s="175" t="s">
        <v>337</v>
      </c>
      <c r="C151" s="155" t="s">
        <v>135</v>
      </c>
      <c r="D151" s="156" t="s">
        <v>98</v>
      </c>
      <c r="E151" s="130">
        <v>0</v>
      </c>
      <c r="F151" s="103" t="s">
        <v>344</v>
      </c>
      <c r="G151" s="104" t="s">
        <v>16</v>
      </c>
      <c r="H151" s="130"/>
      <c r="I151" s="130"/>
      <c r="J151" s="130"/>
      <c r="K151" s="130"/>
      <c r="L151" s="131"/>
      <c r="M151" s="132" t="str">
        <f>IF( OR( ISBLANK(H151),ISBLANK(I151), ISBLANK(J151), ISBLANK(K151), ISBLANK(L151) ), "", 1.5*SQRT(   EXP(2.21*(H151-1)) + EXP(2.21*(I151-1)) + EXP(2.21*(J151-1)) + EXP(2.21*(K151-1)) + EXP(2.21*L151)   )/100*2.45 )</f>
        <v/>
      </c>
      <c r="N151" s="176"/>
    </row>
    <row r="152" spans="1:14" hidden="1" x14ac:dyDescent="0.2">
      <c r="A152" s="53" t="s">
        <v>144</v>
      </c>
      <c r="B152" s="584" t="s">
        <v>345</v>
      </c>
      <c r="C152" s="585" t="s">
        <v>13</v>
      </c>
      <c r="D152" s="190" t="s">
        <v>135</v>
      </c>
      <c r="E152" s="116">
        <v>0</v>
      </c>
      <c r="F152" s="117" t="s">
        <v>346</v>
      </c>
      <c r="G152" s="95" t="s">
        <v>16</v>
      </c>
      <c r="H152" s="116"/>
      <c r="I152" s="116"/>
      <c r="J152" s="116"/>
      <c r="K152" s="116"/>
      <c r="L152" s="118"/>
      <c r="M152" s="119" t="str">
        <f>IF( OR( ISBLANK(H152),ISBLANK(I152), ISBLANK(J152), ISBLANK(K152), ISBLANK(L152) ), "", 1.5*SQRT(   EXP(2.21*(H152-1)) + EXP(2.21*(I152-1)) + EXP(2.21*(J152-1)) + EXP(2.21*(K152-1)) + EXP(2.21*L152)   )/100*2.45 )</f>
        <v/>
      </c>
      <c r="N152" s="586"/>
    </row>
    <row r="153" spans="1:14" hidden="1" x14ac:dyDescent="0.2">
      <c r="A153" s="53" t="s">
        <v>144</v>
      </c>
      <c r="B153" s="584" t="s">
        <v>347</v>
      </c>
      <c r="C153" s="585" t="s">
        <v>13</v>
      </c>
      <c r="D153" s="190" t="s">
        <v>135</v>
      </c>
      <c r="E153" s="116">
        <v>1</v>
      </c>
      <c r="F153" s="117" t="s">
        <v>346</v>
      </c>
      <c r="G153" s="95" t="s">
        <v>16</v>
      </c>
      <c r="H153" s="116"/>
      <c r="I153" s="116"/>
      <c r="J153" s="116"/>
      <c r="K153" s="116"/>
      <c r="L153" s="118"/>
      <c r="M153" s="119" t="str">
        <f>IF( OR( ISBLANK(H153),ISBLANK(I153), ISBLANK(J153), ISBLANK(K153), ISBLANK(L153) ), "", 1.5*SQRT(   EXP(2.21*(H153-1)) + EXP(2.21*(I153-1)) + EXP(2.21*(J153-1)) + EXP(2.21*(K153-1)) + EXP(2.21*L153)   )/100*2.45 )</f>
        <v/>
      </c>
      <c r="N153" s="586"/>
    </row>
    <row r="154" spans="1:14" hidden="1" x14ac:dyDescent="0.2">
      <c r="A154" s="53" t="s">
        <v>144</v>
      </c>
      <c r="B154" s="584" t="s">
        <v>348</v>
      </c>
      <c r="C154" s="585" t="str">
        <f>C153</f>
        <v>AT</v>
      </c>
      <c r="D154" s="190" t="str">
        <f>D153</f>
        <v>any</v>
      </c>
      <c r="E154" s="116">
        <v>0</v>
      </c>
      <c r="F154" s="117" t="s">
        <v>346</v>
      </c>
      <c r="G154" s="95" t="s">
        <v>16</v>
      </c>
      <c r="H154" s="116"/>
      <c r="I154" s="116"/>
      <c r="J154" s="116"/>
      <c r="K154" s="116"/>
      <c r="L154" s="118"/>
      <c r="M154" s="119" t="str">
        <f t="shared" ref="M154:M184" si="5">IF( OR( ISBLANK(H154),ISBLANK(I154), ISBLANK(J154), ISBLANK(K154), ISBLANK(L154) ), "", 1.5*SQRT( EXP(2.21*(H154-1)) + EXP(2.21*(I154-1)) + EXP(2.21*(J154-1)) + EXP(2.21*(K154-1)) + EXP(2.21*L154) )/100*2.45 )</f>
        <v/>
      </c>
      <c r="N154" s="586"/>
    </row>
    <row r="155" spans="1:14" hidden="1" x14ac:dyDescent="0.2">
      <c r="A155" s="53" t="s">
        <v>144</v>
      </c>
      <c r="B155" s="584" t="s">
        <v>345</v>
      </c>
      <c r="C155" s="585" t="s">
        <v>18</v>
      </c>
      <c r="D155" s="190" t="s">
        <v>135</v>
      </c>
      <c r="E155" s="587">
        <v>0.9858172378193627</v>
      </c>
      <c r="F155" s="117" t="s">
        <v>346</v>
      </c>
      <c r="G155" s="95" t="s">
        <v>16</v>
      </c>
      <c r="H155" s="586">
        <v>1</v>
      </c>
      <c r="I155" s="586">
        <v>1</v>
      </c>
      <c r="J155" s="586">
        <v>3</v>
      </c>
      <c r="K155" s="586">
        <v>2</v>
      </c>
      <c r="L155" s="588">
        <v>2</v>
      </c>
      <c r="M155" s="192">
        <f t="shared" si="5"/>
        <v>0.48935255543384243</v>
      </c>
      <c r="N155" s="586"/>
    </row>
    <row r="156" spans="1:14" hidden="1" x14ac:dyDescent="0.2">
      <c r="A156" s="53" t="s">
        <v>144</v>
      </c>
      <c r="B156" s="584" t="s">
        <v>347</v>
      </c>
      <c r="C156" s="585" t="s">
        <v>18</v>
      </c>
      <c r="D156" s="190" t="s">
        <v>135</v>
      </c>
      <c r="E156" s="587">
        <v>1.4182762180637271E-2</v>
      </c>
      <c r="F156" s="117" t="s">
        <v>346</v>
      </c>
      <c r="G156" s="95" t="s">
        <v>16</v>
      </c>
      <c r="H156" s="586">
        <v>1</v>
      </c>
      <c r="I156" s="586">
        <v>1</v>
      </c>
      <c r="J156" s="586">
        <v>3</v>
      </c>
      <c r="K156" s="586">
        <v>2</v>
      </c>
      <c r="L156" s="588">
        <v>2</v>
      </c>
      <c r="M156" s="192">
        <f t="shared" si="5"/>
        <v>0.48935255543384243</v>
      </c>
      <c r="N156" s="586"/>
    </row>
    <row r="157" spans="1:14" hidden="1" x14ac:dyDescent="0.2">
      <c r="A157" s="53" t="s">
        <v>144</v>
      </c>
      <c r="B157" s="584" t="s">
        <v>348</v>
      </c>
      <c r="C157" s="585" t="str">
        <f>C156</f>
        <v>BE</v>
      </c>
      <c r="D157" s="190" t="str">
        <f>D156</f>
        <v>any</v>
      </c>
      <c r="E157" s="116">
        <v>0</v>
      </c>
      <c r="F157" s="117" t="s">
        <v>346</v>
      </c>
      <c r="G157" s="95" t="s">
        <v>16</v>
      </c>
      <c r="H157" s="116"/>
      <c r="I157" s="116"/>
      <c r="J157" s="116"/>
      <c r="K157" s="116"/>
      <c r="L157" s="118"/>
      <c r="M157" s="119" t="str">
        <f t="shared" si="5"/>
        <v/>
      </c>
      <c r="N157" s="586"/>
    </row>
    <row r="158" spans="1:14" hidden="1" x14ac:dyDescent="0.2">
      <c r="A158" s="53" t="s">
        <v>144</v>
      </c>
      <c r="B158" s="584" t="s">
        <v>345</v>
      </c>
      <c r="C158" s="585" t="s">
        <v>20</v>
      </c>
      <c r="D158" s="190" t="s">
        <v>135</v>
      </c>
      <c r="E158" s="587">
        <v>0.9891516687217381</v>
      </c>
      <c r="F158" s="117" t="s">
        <v>346</v>
      </c>
      <c r="G158" s="95" t="s">
        <v>16</v>
      </c>
      <c r="H158" s="586">
        <v>1</v>
      </c>
      <c r="I158" s="586">
        <v>1</v>
      </c>
      <c r="J158" s="586">
        <v>3</v>
      </c>
      <c r="K158" s="586">
        <v>2</v>
      </c>
      <c r="L158" s="588">
        <v>2</v>
      </c>
      <c r="M158" s="192">
        <f t="shared" si="5"/>
        <v>0.48935255543384243</v>
      </c>
      <c r="N158" s="586"/>
    </row>
    <row r="159" spans="1:14" hidden="1" x14ac:dyDescent="0.2">
      <c r="A159" s="53" t="s">
        <v>144</v>
      </c>
      <c r="B159" s="584" t="s">
        <v>347</v>
      </c>
      <c r="C159" s="585" t="s">
        <v>20</v>
      </c>
      <c r="D159" s="190" t="s">
        <v>135</v>
      </c>
      <c r="E159" s="587">
        <v>1.0848331278261869E-2</v>
      </c>
      <c r="F159" s="117" t="s">
        <v>346</v>
      </c>
      <c r="G159" s="95" t="s">
        <v>16</v>
      </c>
      <c r="H159" s="586">
        <v>1</v>
      </c>
      <c r="I159" s="586">
        <v>1</v>
      </c>
      <c r="J159" s="586">
        <v>3</v>
      </c>
      <c r="K159" s="586">
        <v>2</v>
      </c>
      <c r="L159" s="588">
        <v>2</v>
      </c>
      <c r="M159" s="192">
        <f t="shared" si="5"/>
        <v>0.48935255543384243</v>
      </c>
      <c r="N159" s="586"/>
    </row>
    <row r="160" spans="1:14" hidden="1" x14ac:dyDescent="0.2">
      <c r="A160" s="53" t="s">
        <v>144</v>
      </c>
      <c r="B160" s="584" t="s">
        <v>348</v>
      </c>
      <c r="C160" s="585" t="str">
        <f>C159</f>
        <v>BG</v>
      </c>
      <c r="D160" s="190" t="str">
        <f>D159</f>
        <v>any</v>
      </c>
      <c r="E160" s="116">
        <v>0</v>
      </c>
      <c r="F160" s="117" t="s">
        <v>346</v>
      </c>
      <c r="G160" s="95" t="s">
        <v>16</v>
      </c>
      <c r="H160" s="116"/>
      <c r="I160" s="116"/>
      <c r="J160" s="116"/>
      <c r="K160" s="116"/>
      <c r="L160" s="118"/>
      <c r="M160" s="119" t="str">
        <f t="shared" si="5"/>
        <v/>
      </c>
      <c r="N160" s="586"/>
    </row>
    <row r="161" spans="1:14" hidden="1" x14ac:dyDescent="0.2">
      <c r="A161" s="53" t="s">
        <v>144</v>
      </c>
      <c r="B161" s="584" t="s">
        <v>345</v>
      </c>
      <c r="C161" s="585" t="s">
        <v>22</v>
      </c>
      <c r="D161" s="190" t="s">
        <v>135</v>
      </c>
      <c r="E161" s="587">
        <v>0.99420800531097231</v>
      </c>
      <c r="F161" s="117" t="s">
        <v>346</v>
      </c>
      <c r="G161" s="95" t="s">
        <v>16</v>
      </c>
      <c r="H161" s="586">
        <v>1</v>
      </c>
      <c r="I161" s="586">
        <v>1</v>
      </c>
      <c r="J161" s="586">
        <v>3</v>
      </c>
      <c r="K161" s="586">
        <v>2</v>
      </c>
      <c r="L161" s="588">
        <v>2</v>
      </c>
      <c r="M161" s="192">
        <f t="shared" si="5"/>
        <v>0.48935255543384243</v>
      </c>
      <c r="N161" s="586"/>
    </row>
    <row r="162" spans="1:14" hidden="1" x14ac:dyDescent="0.2">
      <c r="A162" s="53" t="s">
        <v>144</v>
      </c>
      <c r="B162" s="584" t="s">
        <v>347</v>
      </c>
      <c r="C162" s="585" t="s">
        <v>22</v>
      </c>
      <c r="D162" s="190" t="s">
        <v>135</v>
      </c>
      <c r="E162" s="587">
        <v>5.7919946890275754E-3</v>
      </c>
      <c r="F162" s="117" t="s">
        <v>346</v>
      </c>
      <c r="G162" s="95" t="s">
        <v>16</v>
      </c>
      <c r="H162" s="586">
        <v>1</v>
      </c>
      <c r="I162" s="586">
        <v>1</v>
      </c>
      <c r="J162" s="586">
        <v>3</v>
      </c>
      <c r="K162" s="586">
        <v>2</v>
      </c>
      <c r="L162" s="588">
        <v>2</v>
      </c>
      <c r="M162" s="192">
        <f t="shared" si="5"/>
        <v>0.48935255543384243</v>
      </c>
      <c r="N162" s="586"/>
    </row>
    <row r="163" spans="1:14" hidden="1" x14ac:dyDescent="0.2">
      <c r="A163" s="53" t="s">
        <v>144</v>
      </c>
      <c r="B163" s="584" t="s">
        <v>348</v>
      </c>
      <c r="C163" s="585" t="str">
        <f>C162</f>
        <v>HR</v>
      </c>
      <c r="D163" s="190" t="str">
        <f>D162</f>
        <v>any</v>
      </c>
      <c r="E163" s="116">
        <v>0</v>
      </c>
      <c r="F163" s="117" t="s">
        <v>346</v>
      </c>
      <c r="G163" s="95" t="s">
        <v>16</v>
      </c>
      <c r="H163" s="116"/>
      <c r="I163" s="116"/>
      <c r="J163" s="116"/>
      <c r="K163" s="116"/>
      <c r="L163" s="118"/>
      <c r="M163" s="119" t="str">
        <f t="shared" si="5"/>
        <v/>
      </c>
      <c r="N163" s="586"/>
    </row>
    <row r="164" spans="1:14" hidden="1" x14ac:dyDescent="0.2">
      <c r="A164" s="53" t="s">
        <v>144</v>
      </c>
      <c r="B164" s="584" t="s">
        <v>345</v>
      </c>
      <c r="C164" s="585" t="s">
        <v>23</v>
      </c>
      <c r="D164" s="190" t="s">
        <v>135</v>
      </c>
      <c r="E164" s="587">
        <v>0.98511513812779694</v>
      </c>
      <c r="F164" s="117" t="s">
        <v>346</v>
      </c>
      <c r="G164" s="95" t="s">
        <v>16</v>
      </c>
      <c r="H164" s="586">
        <v>1</v>
      </c>
      <c r="I164" s="586">
        <v>1</v>
      </c>
      <c r="J164" s="586">
        <v>3</v>
      </c>
      <c r="K164" s="586">
        <v>2</v>
      </c>
      <c r="L164" s="588">
        <v>2</v>
      </c>
      <c r="M164" s="192">
        <f t="shared" si="5"/>
        <v>0.48935255543384243</v>
      </c>
      <c r="N164" s="586"/>
    </row>
    <row r="165" spans="1:14" hidden="1" x14ac:dyDescent="0.2">
      <c r="A165" s="53" t="s">
        <v>144</v>
      </c>
      <c r="B165" s="584" t="s">
        <v>347</v>
      </c>
      <c r="C165" s="585" t="s">
        <v>23</v>
      </c>
      <c r="D165" s="190" t="s">
        <v>135</v>
      </c>
      <c r="E165" s="587">
        <v>1.488486187220304E-2</v>
      </c>
      <c r="F165" s="117" t="s">
        <v>346</v>
      </c>
      <c r="G165" s="95" t="s">
        <v>16</v>
      </c>
      <c r="H165" s="586">
        <v>1</v>
      </c>
      <c r="I165" s="586">
        <v>1</v>
      </c>
      <c r="J165" s="586">
        <v>3</v>
      </c>
      <c r="K165" s="586">
        <v>2</v>
      </c>
      <c r="L165" s="588">
        <v>2</v>
      </c>
      <c r="M165" s="192">
        <f t="shared" si="5"/>
        <v>0.48935255543384243</v>
      </c>
      <c r="N165" s="586"/>
    </row>
    <row r="166" spans="1:14" hidden="1" x14ac:dyDescent="0.2">
      <c r="A166" s="53" t="s">
        <v>144</v>
      </c>
      <c r="B166" s="584" t="s">
        <v>348</v>
      </c>
      <c r="C166" s="585" t="str">
        <f>C165</f>
        <v>CY</v>
      </c>
      <c r="D166" s="190" t="str">
        <f>D165</f>
        <v>any</v>
      </c>
      <c r="E166" s="116">
        <v>0</v>
      </c>
      <c r="F166" s="117" t="s">
        <v>346</v>
      </c>
      <c r="G166" s="95" t="s">
        <v>16</v>
      </c>
      <c r="H166" s="116"/>
      <c r="I166" s="116"/>
      <c r="J166" s="116"/>
      <c r="K166" s="116"/>
      <c r="L166" s="118"/>
      <c r="M166" s="119" t="str">
        <f t="shared" si="5"/>
        <v/>
      </c>
      <c r="N166" s="586"/>
    </row>
    <row r="167" spans="1:14" hidden="1" x14ac:dyDescent="0.2">
      <c r="A167" s="53" t="s">
        <v>144</v>
      </c>
      <c r="B167" s="584" t="s">
        <v>345</v>
      </c>
      <c r="C167" s="585" t="s">
        <v>24</v>
      </c>
      <c r="D167" s="190" t="s">
        <v>135</v>
      </c>
      <c r="E167" s="116">
        <v>0</v>
      </c>
      <c r="F167" s="117" t="s">
        <v>346</v>
      </c>
      <c r="G167" s="95" t="s">
        <v>16</v>
      </c>
      <c r="H167" s="116"/>
      <c r="I167" s="116"/>
      <c r="J167" s="116"/>
      <c r="K167" s="116"/>
      <c r="L167" s="118"/>
      <c r="M167" s="119" t="str">
        <f t="shared" si="5"/>
        <v/>
      </c>
      <c r="N167" s="586"/>
    </row>
    <row r="168" spans="1:14" hidden="1" x14ac:dyDescent="0.2">
      <c r="A168" s="53" t="s">
        <v>144</v>
      </c>
      <c r="B168" s="584" t="s">
        <v>347</v>
      </c>
      <c r="C168" s="585" t="s">
        <v>24</v>
      </c>
      <c r="D168" s="190" t="s">
        <v>135</v>
      </c>
      <c r="E168" s="116">
        <v>1</v>
      </c>
      <c r="F168" s="117" t="s">
        <v>346</v>
      </c>
      <c r="G168" s="95" t="s">
        <v>16</v>
      </c>
      <c r="H168" s="116"/>
      <c r="I168" s="116"/>
      <c r="J168" s="116"/>
      <c r="K168" s="116"/>
      <c r="L168" s="118"/>
      <c r="M168" s="119" t="str">
        <f t="shared" si="5"/>
        <v/>
      </c>
      <c r="N168" s="586"/>
    </row>
    <row r="169" spans="1:14" hidden="1" x14ac:dyDescent="0.2">
      <c r="A169" s="53" t="s">
        <v>144</v>
      </c>
      <c r="B169" s="584" t="s">
        <v>348</v>
      </c>
      <c r="C169" s="585" t="str">
        <f>C168</f>
        <v>CZ</v>
      </c>
      <c r="D169" s="190" t="str">
        <f>D168</f>
        <v>any</v>
      </c>
      <c r="E169" s="116">
        <v>0</v>
      </c>
      <c r="F169" s="117" t="s">
        <v>346</v>
      </c>
      <c r="G169" s="95" t="s">
        <v>16</v>
      </c>
      <c r="H169" s="116"/>
      <c r="I169" s="116"/>
      <c r="J169" s="116"/>
      <c r="K169" s="116"/>
      <c r="L169" s="118"/>
      <c r="M169" s="119" t="str">
        <f t="shared" si="5"/>
        <v/>
      </c>
      <c r="N169" s="586"/>
    </row>
    <row r="170" spans="1:14" hidden="1" x14ac:dyDescent="0.2">
      <c r="A170" s="53" t="s">
        <v>144</v>
      </c>
      <c r="B170" s="584" t="s">
        <v>345</v>
      </c>
      <c r="C170" s="585" t="s">
        <v>25</v>
      </c>
      <c r="D170" s="190" t="s">
        <v>135</v>
      </c>
      <c r="E170" s="587">
        <v>0.99994541603895115</v>
      </c>
      <c r="F170" s="117" t="s">
        <v>346</v>
      </c>
      <c r="G170" s="95" t="s">
        <v>16</v>
      </c>
      <c r="H170" s="586">
        <v>1</v>
      </c>
      <c r="I170" s="586">
        <v>1</v>
      </c>
      <c r="J170" s="586">
        <v>3</v>
      </c>
      <c r="K170" s="586">
        <v>2</v>
      </c>
      <c r="L170" s="588">
        <v>2</v>
      </c>
      <c r="M170" s="192">
        <f t="shared" si="5"/>
        <v>0.48935255543384243</v>
      </c>
      <c r="N170" s="586"/>
    </row>
    <row r="171" spans="1:14" hidden="1" x14ac:dyDescent="0.2">
      <c r="A171" s="53" t="s">
        <v>144</v>
      </c>
      <c r="B171" s="584" t="s">
        <v>347</v>
      </c>
      <c r="C171" s="585" t="s">
        <v>25</v>
      </c>
      <c r="D171" s="190" t="s">
        <v>135</v>
      </c>
      <c r="E171" s="587">
        <v>5.4583961048885393E-5</v>
      </c>
      <c r="F171" s="117" t="s">
        <v>346</v>
      </c>
      <c r="G171" s="95" t="s">
        <v>16</v>
      </c>
      <c r="H171" s="586">
        <v>1</v>
      </c>
      <c r="I171" s="586">
        <v>1</v>
      </c>
      <c r="J171" s="586">
        <v>3</v>
      </c>
      <c r="K171" s="586">
        <v>2</v>
      </c>
      <c r="L171" s="588">
        <v>2</v>
      </c>
      <c r="M171" s="192">
        <f t="shared" si="5"/>
        <v>0.48935255543384243</v>
      </c>
      <c r="N171" s="586"/>
    </row>
    <row r="172" spans="1:14" hidden="1" x14ac:dyDescent="0.2">
      <c r="A172" s="53" t="s">
        <v>144</v>
      </c>
      <c r="B172" s="584" t="s">
        <v>348</v>
      </c>
      <c r="C172" s="585" t="str">
        <f>C171</f>
        <v>DK</v>
      </c>
      <c r="D172" s="190" t="str">
        <f>D171</f>
        <v>any</v>
      </c>
      <c r="E172" s="116">
        <v>0</v>
      </c>
      <c r="F172" s="117" t="s">
        <v>346</v>
      </c>
      <c r="G172" s="95" t="s">
        <v>16</v>
      </c>
      <c r="H172" s="116"/>
      <c r="I172" s="116"/>
      <c r="J172" s="116"/>
      <c r="K172" s="116"/>
      <c r="L172" s="118"/>
      <c r="M172" s="119" t="str">
        <f t="shared" si="5"/>
        <v/>
      </c>
      <c r="N172" s="586"/>
    </row>
    <row r="173" spans="1:14" hidden="1" x14ac:dyDescent="0.2">
      <c r="A173" s="53" t="s">
        <v>144</v>
      </c>
      <c r="B173" s="584" t="s">
        <v>345</v>
      </c>
      <c r="C173" s="585" t="s">
        <v>26</v>
      </c>
      <c r="D173" s="190" t="s">
        <v>135</v>
      </c>
      <c r="E173" s="587">
        <v>0.94989010281137198</v>
      </c>
      <c r="F173" s="117" t="s">
        <v>346</v>
      </c>
      <c r="G173" s="95" t="s">
        <v>16</v>
      </c>
      <c r="H173" s="586">
        <v>1</v>
      </c>
      <c r="I173" s="586">
        <v>1</v>
      </c>
      <c r="J173" s="586">
        <v>3</v>
      </c>
      <c r="K173" s="586">
        <v>2</v>
      </c>
      <c r="L173" s="588">
        <v>2</v>
      </c>
      <c r="M173" s="192">
        <f t="shared" si="5"/>
        <v>0.48935255543384243</v>
      </c>
      <c r="N173" s="586"/>
    </row>
    <row r="174" spans="1:14" hidden="1" x14ac:dyDescent="0.2">
      <c r="A174" s="53" t="s">
        <v>144</v>
      </c>
      <c r="B174" s="584" t="s">
        <v>347</v>
      </c>
      <c r="C174" s="585" t="s">
        <v>26</v>
      </c>
      <c r="D174" s="190" t="s">
        <v>135</v>
      </c>
      <c r="E174" s="587">
        <v>5.010989718862785E-2</v>
      </c>
      <c r="F174" s="117" t="s">
        <v>346</v>
      </c>
      <c r="G174" s="95" t="s">
        <v>16</v>
      </c>
      <c r="H174" s="586">
        <v>1</v>
      </c>
      <c r="I174" s="586">
        <v>1</v>
      </c>
      <c r="J174" s="586">
        <v>3</v>
      </c>
      <c r="K174" s="586">
        <v>2</v>
      </c>
      <c r="L174" s="588">
        <v>2</v>
      </c>
      <c r="M174" s="192">
        <f t="shared" si="5"/>
        <v>0.48935255543384243</v>
      </c>
      <c r="N174" s="586"/>
    </row>
    <row r="175" spans="1:14" hidden="1" x14ac:dyDescent="0.2">
      <c r="A175" s="53" t="s">
        <v>144</v>
      </c>
      <c r="B175" s="584" t="s">
        <v>348</v>
      </c>
      <c r="C175" s="585" t="str">
        <f>C174</f>
        <v>EE</v>
      </c>
      <c r="D175" s="190" t="str">
        <f>D174</f>
        <v>any</v>
      </c>
      <c r="E175" s="116">
        <v>0</v>
      </c>
      <c r="F175" s="117" t="s">
        <v>346</v>
      </c>
      <c r="G175" s="95" t="s">
        <v>16</v>
      </c>
      <c r="H175" s="116"/>
      <c r="I175" s="116"/>
      <c r="J175" s="116"/>
      <c r="K175" s="116"/>
      <c r="L175" s="118"/>
      <c r="M175" s="119" t="str">
        <f t="shared" si="5"/>
        <v/>
      </c>
      <c r="N175" s="586"/>
    </row>
    <row r="176" spans="1:14" hidden="1" x14ac:dyDescent="0.2">
      <c r="A176" s="53" t="s">
        <v>144</v>
      </c>
      <c r="B176" s="584" t="s">
        <v>345</v>
      </c>
      <c r="C176" s="585" t="s">
        <v>27</v>
      </c>
      <c r="D176" s="190" t="s">
        <v>135</v>
      </c>
      <c r="E176" s="587">
        <v>0.79493703262457172</v>
      </c>
      <c r="F176" s="117" t="s">
        <v>346</v>
      </c>
      <c r="G176" s="95" t="s">
        <v>16</v>
      </c>
      <c r="H176" s="586">
        <v>1</v>
      </c>
      <c r="I176" s="586">
        <v>1</v>
      </c>
      <c r="J176" s="586">
        <v>3</v>
      </c>
      <c r="K176" s="586">
        <v>2</v>
      </c>
      <c r="L176" s="588">
        <v>2</v>
      </c>
      <c r="M176" s="192">
        <f t="shared" si="5"/>
        <v>0.48935255543384243</v>
      </c>
      <c r="N176" s="586"/>
    </row>
    <row r="177" spans="1:14" hidden="1" x14ac:dyDescent="0.2">
      <c r="A177" s="53" t="s">
        <v>144</v>
      </c>
      <c r="B177" s="584" t="s">
        <v>347</v>
      </c>
      <c r="C177" s="585" t="s">
        <v>27</v>
      </c>
      <c r="D177" s="190" t="s">
        <v>135</v>
      </c>
      <c r="E177" s="587">
        <v>0.20506296737542831</v>
      </c>
      <c r="F177" s="117" t="s">
        <v>346</v>
      </c>
      <c r="G177" s="95" t="s">
        <v>16</v>
      </c>
      <c r="H177" s="586">
        <v>1</v>
      </c>
      <c r="I177" s="586">
        <v>1</v>
      </c>
      <c r="J177" s="586">
        <v>3</v>
      </c>
      <c r="K177" s="586">
        <v>2</v>
      </c>
      <c r="L177" s="588">
        <v>2</v>
      </c>
      <c r="M177" s="192">
        <f t="shared" si="5"/>
        <v>0.48935255543384243</v>
      </c>
      <c r="N177" s="586"/>
    </row>
    <row r="178" spans="1:14" hidden="1" x14ac:dyDescent="0.2">
      <c r="A178" s="53" t="s">
        <v>144</v>
      </c>
      <c r="B178" s="584" t="s">
        <v>348</v>
      </c>
      <c r="C178" s="585" t="str">
        <f>C177</f>
        <v>FI</v>
      </c>
      <c r="D178" s="190" t="str">
        <f>D177</f>
        <v>any</v>
      </c>
      <c r="E178" s="116">
        <v>0</v>
      </c>
      <c r="F178" s="117" t="s">
        <v>346</v>
      </c>
      <c r="G178" s="95" t="s">
        <v>16</v>
      </c>
      <c r="H178" s="116"/>
      <c r="I178" s="116"/>
      <c r="J178" s="116"/>
      <c r="K178" s="116"/>
      <c r="L178" s="118"/>
      <c r="M178" s="119" t="str">
        <f t="shared" si="5"/>
        <v/>
      </c>
      <c r="N178" s="586"/>
    </row>
    <row r="179" spans="1:14" hidden="1" x14ac:dyDescent="0.2">
      <c r="A179" s="53" t="s">
        <v>144</v>
      </c>
      <c r="B179" s="584" t="s">
        <v>345</v>
      </c>
      <c r="C179" s="585" t="s">
        <v>28</v>
      </c>
      <c r="D179" s="190" t="s">
        <v>135</v>
      </c>
      <c r="E179" s="587">
        <v>0.99771392068867049</v>
      </c>
      <c r="F179" s="117" t="s">
        <v>346</v>
      </c>
      <c r="G179" s="95" t="s">
        <v>16</v>
      </c>
      <c r="H179" s="586">
        <v>1</v>
      </c>
      <c r="I179" s="586">
        <v>1</v>
      </c>
      <c r="J179" s="586">
        <v>3</v>
      </c>
      <c r="K179" s="586">
        <v>2</v>
      </c>
      <c r="L179" s="588">
        <v>2</v>
      </c>
      <c r="M179" s="192">
        <f t="shared" si="5"/>
        <v>0.48935255543384243</v>
      </c>
      <c r="N179" s="586"/>
    </row>
    <row r="180" spans="1:14" hidden="1" x14ac:dyDescent="0.2">
      <c r="A180" s="53" t="s">
        <v>144</v>
      </c>
      <c r="B180" s="584" t="s">
        <v>347</v>
      </c>
      <c r="C180" s="585" t="s">
        <v>28</v>
      </c>
      <c r="D180" s="190" t="s">
        <v>135</v>
      </c>
      <c r="E180" s="587">
        <v>2.286079311329613E-3</v>
      </c>
      <c r="F180" s="117" t="s">
        <v>346</v>
      </c>
      <c r="G180" s="95" t="s">
        <v>16</v>
      </c>
      <c r="H180" s="586">
        <v>1</v>
      </c>
      <c r="I180" s="586">
        <v>1</v>
      </c>
      <c r="J180" s="586">
        <v>3</v>
      </c>
      <c r="K180" s="586">
        <v>2</v>
      </c>
      <c r="L180" s="588">
        <v>2</v>
      </c>
      <c r="M180" s="192">
        <f t="shared" si="5"/>
        <v>0.48935255543384243</v>
      </c>
      <c r="N180" s="586"/>
    </row>
    <row r="181" spans="1:14" hidden="1" x14ac:dyDescent="0.2">
      <c r="A181" s="53" t="s">
        <v>144</v>
      </c>
      <c r="B181" s="584" t="s">
        <v>348</v>
      </c>
      <c r="C181" s="585" t="str">
        <f>C180</f>
        <v>FR</v>
      </c>
      <c r="D181" s="190" t="str">
        <f>D180</f>
        <v>any</v>
      </c>
      <c r="E181" s="116">
        <v>0</v>
      </c>
      <c r="F181" s="117" t="s">
        <v>346</v>
      </c>
      <c r="G181" s="95" t="s">
        <v>16</v>
      </c>
      <c r="H181" s="116"/>
      <c r="I181" s="116"/>
      <c r="J181" s="116"/>
      <c r="K181" s="116"/>
      <c r="L181" s="118"/>
      <c r="M181" s="119" t="str">
        <f t="shared" si="5"/>
        <v/>
      </c>
      <c r="N181" s="586"/>
    </row>
    <row r="182" spans="1:14" hidden="1" x14ac:dyDescent="0.2">
      <c r="A182" s="53" t="s">
        <v>144</v>
      </c>
      <c r="B182" s="584" t="s">
        <v>345</v>
      </c>
      <c r="C182" s="585" t="s">
        <v>30</v>
      </c>
      <c r="D182" s="190" t="s">
        <v>135</v>
      </c>
      <c r="E182" s="587">
        <v>0.92010403359610893</v>
      </c>
      <c r="F182" s="117" t="s">
        <v>346</v>
      </c>
      <c r="G182" s="95" t="s">
        <v>16</v>
      </c>
      <c r="H182" s="586">
        <v>1</v>
      </c>
      <c r="I182" s="586">
        <v>1</v>
      </c>
      <c r="J182" s="586">
        <v>3</v>
      </c>
      <c r="K182" s="586">
        <v>2</v>
      </c>
      <c r="L182" s="588">
        <v>2</v>
      </c>
      <c r="M182" s="192">
        <f t="shared" si="5"/>
        <v>0.48935255543384243</v>
      </c>
      <c r="N182" s="586"/>
    </row>
    <row r="183" spans="1:14" hidden="1" x14ac:dyDescent="0.2">
      <c r="A183" s="53" t="s">
        <v>144</v>
      </c>
      <c r="B183" s="584" t="s">
        <v>347</v>
      </c>
      <c r="C183" s="585" t="s">
        <v>30</v>
      </c>
      <c r="D183" s="190" t="s">
        <v>135</v>
      </c>
      <c r="E183" s="587">
        <v>7.9895966403891114E-2</v>
      </c>
      <c r="F183" s="117" t="s">
        <v>346</v>
      </c>
      <c r="G183" s="95" t="s">
        <v>16</v>
      </c>
      <c r="H183" s="586">
        <v>1</v>
      </c>
      <c r="I183" s="586">
        <v>1</v>
      </c>
      <c r="J183" s="586">
        <v>3</v>
      </c>
      <c r="K183" s="586">
        <v>2</v>
      </c>
      <c r="L183" s="588">
        <v>2</v>
      </c>
      <c r="M183" s="192">
        <f t="shared" si="5"/>
        <v>0.48935255543384243</v>
      </c>
      <c r="N183" s="586"/>
    </row>
    <row r="184" spans="1:14" hidden="1" x14ac:dyDescent="0.2">
      <c r="A184" s="53" t="s">
        <v>144</v>
      </c>
      <c r="B184" s="584" t="s">
        <v>348</v>
      </c>
      <c r="C184" s="585" t="str">
        <f>C183</f>
        <v>DE</v>
      </c>
      <c r="D184" s="190" t="str">
        <f>D183</f>
        <v>any</v>
      </c>
      <c r="E184" s="116">
        <v>0</v>
      </c>
      <c r="F184" s="117" t="s">
        <v>346</v>
      </c>
      <c r="G184" s="95" t="s">
        <v>16</v>
      </c>
      <c r="H184" s="116"/>
      <c r="I184" s="116"/>
      <c r="J184" s="116"/>
      <c r="K184" s="116"/>
      <c r="L184" s="118"/>
      <c r="M184" s="119" t="str">
        <f t="shared" si="5"/>
        <v/>
      </c>
      <c r="N184" s="586"/>
    </row>
    <row r="185" spans="1:14" hidden="1" x14ac:dyDescent="0.2">
      <c r="A185" s="53" t="s">
        <v>144</v>
      </c>
      <c r="B185" s="584" t="s">
        <v>345</v>
      </c>
      <c r="C185" s="585" t="s">
        <v>32</v>
      </c>
      <c r="D185" s="190" t="s">
        <v>135</v>
      </c>
      <c r="E185" s="587">
        <v>0.98684873262565431</v>
      </c>
      <c r="F185" s="117" t="s">
        <v>346</v>
      </c>
      <c r="G185" s="95" t="s">
        <v>16</v>
      </c>
      <c r="H185" s="586">
        <v>1</v>
      </c>
      <c r="I185" s="586">
        <v>1</v>
      </c>
      <c r="J185" s="586">
        <v>3</v>
      </c>
      <c r="K185" s="586">
        <v>2</v>
      </c>
      <c r="L185" s="588">
        <v>2</v>
      </c>
      <c r="M185" s="192">
        <f>IF( OR( ISBLANK(H185),ISBLANK(I185), ISBLANK(J185), ISBLANK(K185), ISBLANK(L185) ), "", 1.5*SQRT(   EXP(2.21*(H185-1)) + EXP(2.21*(I185-1)) + EXP(2.21*(J185-1)) + EXP(2.21*(K185-1)) + EXP(2.21*L185)   )/100*2.45 )</f>
        <v>0.48935255543384243</v>
      </c>
      <c r="N185" s="586"/>
    </row>
    <row r="186" spans="1:14" hidden="1" x14ac:dyDescent="0.2">
      <c r="A186" s="53" t="s">
        <v>144</v>
      </c>
      <c r="B186" s="584" t="s">
        <v>347</v>
      </c>
      <c r="C186" s="585" t="s">
        <v>32</v>
      </c>
      <c r="D186" s="190" t="s">
        <v>135</v>
      </c>
      <c r="E186" s="587">
        <v>1.3151267374345689E-2</v>
      </c>
      <c r="F186" s="117" t="s">
        <v>346</v>
      </c>
      <c r="G186" s="95" t="s">
        <v>16</v>
      </c>
      <c r="H186" s="586">
        <v>1</v>
      </c>
      <c r="I186" s="586">
        <v>1</v>
      </c>
      <c r="J186" s="586">
        <v>3</v>
      </c>
      <c r="K186" s="586">
        <v>2</v>
      </c>
      <c r="L186" s="588">
        <v>2</v>
      </c>
      <c r="M186" s="192">
        <f t="shared" ref="M186:M215" si="6">IF( OR( ISBLANK(H186),ISBLANK(I186), ISBLANK(J186), ISBLANK(K186), ISBLANK(L186) ), "", 1.5*SQRT( EXP(2.21*(H186-1)) + EXP(2.21*(I186-1)) + EXP(2.21*(J186-1)) + EXP(2.21*(K186-1)) + EXP(2.21*L186) )/100*2.45 )</f>
        <v>0.48935255543384243</v>
      </c>
      <c r="N186" s="586"/>
    </row>
    <row r="187" spans="1:14" hidden="1" x14ac:dyDescent="0.2">
      <c r="A187" s="53" t="s">
        <v>144</v>
      </c>
      <c r="B187" s="584" t="s">
        <v>348</v>
      </c>
      <c r="C187" s="585" t="str">
        <f>C186</f>
        <v>EL</v>
      </c>
      <c r="D187" s="190" t="str">
        <f>D186</f>
        <v>any</v>
      </c>
      <c r="E187" s="116">
        <v>0</v>
      </c>
      <c r="F187" s="117" t="s">
        <v>346</v>
      </c>
      <c r="G187" s="95" t="s">
        <v>16</v>
      </c>
      <c r="H187" s="116"/>
      <c r="I187" s="116"/>
      <c r="J187" s="116"/>
      <c r="K187" s="116"/>
      <c r="L187" s="118"/>
      <c r="M187" s="119" t="str">
        <f t="shared" si="6"/>
        <v/>
      </c>
      <c r="N187" s="586"/>
    </row>
    <row r="188" spans="1:14" hidden="1" x14ac:dyDescent="0.2">
      <c r="A188" s="53" t="s">
        <v>144</v>
      </c>
      <c r="B188" s="584" t="s">
        <v>345</v>
      </c>
      <c r="C188" s="585" t="s">
        <v>34</v>
      </c>
      <c r="D188" s="190" t="s">
        <v>135</v>
      </c>
      <c r="E188" s="116">
        <v>0</v>
      </c>
      <c r="F188" s="117" t="s">
        <v>346</v>
      </c>
      <c r="G188" s="95" t="s">
        <v>16</v>
      </c>
      <c r="H188" s="116"/>
      <c r="I188" s="116"/>
      <c r="J188" s="116"/>
      <c r="K188" s="116"/>
      <c r="L188" s="118"/>
      <c r="M188" s="119" t="str">
        <f t="shared" si="6"/>
        <v/>
      </c>
      <c r="N188" s="586"/>
    </row>
    <row r="189" spans="1:14" hidden="1" x14ac:dyDescent="0.2">
      <c r="A189" s="53" t="s">
        <v>144</v>
      </c>
      <c r="B189" s="584" t="s">
        <v>347</v>
      </c>
      <c r="C189" s="585" t="s">
        <v>34</v>
      </c>
      <c r="D189" s="190" t="s">
        <v>135</v>
      </c>
      <c r="E189" s="116">
        <v>1</v>
      </c>
      <c r="F189" s="117" t="s">
        <v>346</v>
      </c>
      <c r="G189" s="95" t="s">
        <v>16</v>
      </c>
      <c r="H189" s="116"/>
      <c r="I189" s="116"/>
      <c r="J189" s="116"/>
      <c r="K189" s="116"/>
      <c r="L189" s="118"/>
      <c r="M189" s="119" t="str">
        <f t="shared" si="6"/>
        <v/>
      </c>
      <c r="N189" s="586"/>
    </row>
    <row r="190" spans="1:14" hidden="1" x14ac:dyDescent="0.2">
      <c r="A190" s="53" t="s">
        <v>144</v>
      </c>
      <c r="B190" s="584" t="s">
        <v>348</v>
      </c>
      <c r="C190" s="585" t="str">
        <f>C189</f>
        <v>HU</v>
      </c>
      <c r="D190" s="190" t="str">
        <f>D189</f>
        <v>any</v>
      </c>
      <c r="E190" s="116">
        <v>0</v>
      </c>
      <c r="F190" s="117" t="s">
        <v>346</v>
      </c>
      <c r="G190" s="95" t="s">
        <v>16</v>
      </c>
      <c r="H190" s="116"/>
      <c r="I190" s="116"/>
      <c r="J190" s="116"/>
      <c r="K190" s="116"/>
      <c r="L190" s="118"/>
      <c r="M190" s="119" t="str">
        <f t="shared" si="6"/>
        <v/>
      </c>
      <c r="N190" s="586"/>
    </row>
    <row r="191" spans="1:14" hidden="1" x14ac:dyDescent="0.2">
      <c r="A191" s="53" t="s">
        <v>144</v>
      </c>
      <c r="B191" s="584" t="s">
        <v>345</v>
      </c>
      <c r="C191" s="585" t="s">
        <v>36</v>
      </c>
      <c r="D191" s="190" t="s">
        <v>135</v>
      </c>
      <c r="E191" s="587">
        <v>0.99959233017472671</v>
      </c>
      <c r="F191" s="117" t="s">
        <v>346</v>
      </c>
      <c r="G191" s="95" t="s">
        <v>16</v>
      </c>
      <c r="H191" s="586">
        <v>1</v>
      </c>
      <c r="I191" s="586">
        <v>1</v>
      </c>
      <c r="J191" s="586">
        <v>3</v>
      </c>
      <c r="K191" s="586">
        <v>2</v>
      </c>
      <c r="L191" s="588">
        <v>2</v>
      </c>
      <c r="M191" s="192">
        <f t="shared" si="6"/>
        <v>0.48935255543384243</v>
      </c>
      <c r="N191" s="586"/>
    </row>
    <row r="192" spans="1:14" hidden="1" x14ac:dyDescent="0.2">
      <c r="A192" s="53" t="s">
        <v>144</v>
      </c>
      <c r="B192" s="584" t="s">
        <v>347</v>
      </c>
      <c r="C192" s="585" t="s">
        <v>36</v>
      </c>
      <c r="D192" s="190" t="s">
        <v>135</v>
      </c>
      <c r="E192" s="587">
        <v>4.0766982527328839E-4</v>
      </c>
      <c r="F192" s="117" t="s">
        <v>346</v>
      </c>
      <c r="G192" s="95" t="s">
        <v>16</v>
      </c>
      <c r="H192" s="586">
        <v>1</v>
      </c>
      <c r="I192" s="586">
        <v>1</v>
      </c>
      <c r="J192" s="586">
        <v>3</v>
      </c>
      <c r="K192" s="586">
        <v>2</v>
      </c>
      <c r="L192" s="588">
        <v>2</v>
      </c>
      <c r="M192" s="192">
        <f t="shared" si="6"/>
        <v>0.48935255543384243</v>
      </c>
      <c r="N192" s="586"/>
    </row>
    <row r="193" spans="1:14" hidden="1" x14ac:dyDescent="0.2">
      <c r="A193" s="53" t="s">
        <v>144</v>
      </c>
      <c r="B193" s="584" t="s">
        <v>348</v>
      </c>
      <c r="C193" s="585" t="str">
        <f>C192</f>
        <v>IE</v>
      </c>
      <c r="D193" s="190" t="str">
        <f>D192</f>
        <v>any</v>
      </c>
      <c r="E193" s="116">
        <v>0</v>
      </c>
      <c r="F193" s="117" t="s">
        <v>346</v>
      </c>
      <c r="G193" s="95" t="s">
        <v>16</v>
      </c>
      <c r="H193" s="116"/>
      <c r="I193" s="116"/>
      <c r="J193" s="116"/>
      <c r="K193" s="116"/>
      <c r="L193" s="118"/>
      <c r="M193" s="119" t="str">
        <f t="shared" si="6"/>
        <v/>
      </c>
      <c r="N193" s="586"/>
    </row>
    <row r="194" spans="1:14" hidden="1" x14ac:dyDescent="0.2">
      <c r="A194" s="53" t="s">
        <v>144</v>
      </c>
      <c r="B194" s="584" t="s">
        <v>345</v>
      </c>
      <c r="C194" s="585" t="s">
        <v>37</v>
      </c>
      <c r="D194" s="190" t="s">
        <v>135</v>
      </c>
      <c r="E194" s="587">
        <v>0.9731615082237941</v>
      </c>
      <c r="F194" s="117" t="s">
        <v>346</v>
      </c>
      <c r="G194" s="95" t="s">
        <v>16</v>
      </c>
      <c r="H194" s="586">
        <v>1</v>
      </c>
      <c r="I194" s="586">
        <v>1</v>
      </c>
      <c r="J194" s="586">
        <v>3</v>
      </c>
      <c r="K194" s="586">
        <v>2</v>
      </c>
      <c r="L194" s="588">
        <v>2</v>
      </c>
      <c r="M194" s="192">
        <f t="shared" si="6"/>
        <v>0.48935255543384243</v>
      </c>
      <c r="N194" s="586"/>
    </row>
    <row r="195" spans="1:14" hidden="1" x14ac:dyDescent="0.2">
      <c r="A195" s="53" t="s">
        <v>144</v>
      </c>
      <c r="B195" s="584" t="s">
        <v>347</v>
      </c>
      <c r="C195" s="585" t="s">
        <v>37</v>
      </c>
      <c r="D195" s="190" t="s">
        <v>135</v>
      </c>
      <c r="E195" s="587">
        <v>2.6838491776205849E-2</v>
      </c>
      <c r="F195" s="117" t="s">
        <v>346</v>
      </c>
      <c r="G195" s="95" t="s">
        <v>16</v>
      </c>
      <c r="H195" s="586">
        <v>1</v>
      </c>
      <c r="I195" s="586">
        <v>1</v>
      </c>
      <c r="J195" s="586">
        <v>3</v>
      </c>
      <c r="K195" s="586">
        <v>2</v>
      </c>
      <c r="L195" s="588">
        <v>2</v>
      </c>
      <c r="M195" s="192">
        <f t="shared" si="6"/>
        <v>0.48935255543384243</v>
      </c>
      <c r="N195" s="586"/>
    </row>
    <row r="196" spans="1:14" hidden="1" x14ac:dyDescent="0.2">
      <c r="A196" s="53" t="s">
        <v>144</v>
      </c>
      <c r="B196" s="584" t="s">
        <v>348</v>
      </c>
      <c r="C196" s="585" t="str">
        <f>C195</f>
        <v>IT</v>
      </c>
      <c r="D196" s="190" t="str">
        <f>D195</f>
        <v>any</v>
      </c>
      <c r="E196" s="116">
        <v>0</v>
      </c>
      <c r="F196" s="117" t="s">
        <v>346</v>
      </c>
      <c r="G196" s="95" t="s">
        <v>16</v>
      </c>
      <c r="H196" s="116"/>
      <c r="I196" s="116"/>
      <c r="J196" s="116"/>
      <c r="K196" s="116"/>
      <c r="L196" s="118"/>
      <c r="M196" s="119" t="str">
        <f t="shared" si="6"/>
        <v/>
      </c>
      <c r="N196" s="586"/>
    </row>
    <row r="197" spans="1:14" hidden="1" x14ac:dyDescent="0.2">
      <c r="A197" s="53" t="s">
        <v>144</v>
      </c>
      <c r="B197" s="584" t="s">
        <v>345</v>
      </c>
      <c r="C197" s="585" t="s">
        <v>39</v>
      </c>
      <c r="D197" s="190" t="s">
        <v>135</v>
      </c>
      <c r="E197" s="587">
        <v>0.99647632676299069</v>
      </c>
      <c r="F197" s="117" t="s">
        <v>346</v>
      </c>
      <c r="G197" s="95" t="s">
        <v>16</v>
      </c>
      <c r="H197" s="586">
        <v>1</v>
      </c>
      <c r="I197" s="586">
        <v>1</v>
      </c>
      <c r="J197" s="586">
        <v>3</v>
      </c>
      <c r="K197" s="586">
        <v>2</v>
      </c>
      <c r="L197" s="588">
        <v>2</v>
      </c>
      <c r="M197" s="192">
        <f t="shared" si="6"/>
        <v>0.48935255543384243</v>
      </c>
      <c r="N197" s="586"/>
    </row>
    <row r="198" spans="1:14" hidden="1" x14ac:dyDescent="0.2">
      <c r="A198" s="53" t="s">
        <v>144</v>
      </c>
      <c r="B198" s="584" t="s">
        <v>347</v>
      </c>
      <c r="C198" s="585" t="s">
        <v>39</v>
      </c>
      <c r="D198" s="190" t="s">
        <v>135</v>
      </c>
      <c r="E198" s="587">
        <v>3.5236732370093398E-3</v>
      </c>
      <c r="F198" s="117" t="s">
        <v>346</v>
      </c>
      <c r="G198" s="95" t="s">
        <v>16</v>
      </c>
      <c r="H198" s="586">
        <v>1</v>
      </c>
      <c r="I198" s="586">
        <v>1</v>
      </c>
      <c r="J198" s="586">
        <v>3</v>
      </c>
      <c r="K198" s="586">
        <v>2</v>
      </c>
      <c r="L198" s="588">
        <v>2</v>
      </c>
      <c r="M198" s="192">
        <f t="shared" si="6"/>
        <v>0.48935255543384243</v>
      </c>
      <c r="N198" s="586"/>
    </row>
    <row r="199" spans="1:14" hidden="1" x14ac:dyDescent="0.2">
      <c r="A199" s="53" t="s">
        <v>144</v>
      </c>
      <c r="B199" s="584" t="s">
        <v>348</v>
      </c>
      <c r="C199" s="585" t="str">
        <f>C198</f>
        <v>LV</v>
      </c>
      <c r="D199" s="190" t="str">
        <f>D198</f>
        <v>any</v>
      </c>
      <c r="E199" s="116">
        <v>0</v>
      </c>
      <c r="F199" s="117" t="s">
        <v>346</v>
      </c>
      <c r="G199" s="95" t="s">
        <v>16</v>
      </c>
      <c r="H199" s="116"/>
      <c r="I199" s="116"/>
      <c r="J199" s="116"/>
      <c r="K199" s="116"/>
      <c r="L199" s="118"/>
      <c r="M199" s="119" t="str">
        <f t="shared" si="6"/>
        <v/>
      </c>
      <c r="N199" s="586"/>
    </row>
    <row r="200" spans="1:14" hidden="1" x14ac:dyDescent="0.2">
      <c r="A200" s="53" t="s">
        <v>144</v>
      </c>
      <c r="B200" s="584" t="s">
        <v>345</v>
      </c>
      <c r="C200" s="585" t="s">
        <v>40</v>
      </c>
      <c r="D200" s="190" t="s">
        <v>135</v>
      </c>
      <c r="E200" s="587">
        <v>0.98526407261437099</v>
      </c>
      <c r="F200" s="117" t="s">
        <v>346</v>
      </c>
      <c r="G200" s="95" t="s">
        <v>16</v>
      </c>
      <c r="H200" s="586">
        <v>1</v>
      </c>
      <c r="I200" s="586">
        <v>1</v>
      </c>
      <c r="J200" s="586">
        <v>3</v>
      </c>
      <c r="K200" s="586">
        <v>2</v>
      </c>
      <c r="L200" s="588">
        <v>2</v>
      </c>
      <c r="M200" s="192">
        <f t="shared" si="6"/>
        <v>0.48935255543384243</v>
      </c>
      <c r="N200" s="586"/>
    </row>
    <row r="201" spans="1:14" hidden="1" x14ac:dyDescent="0.2">
      <c r="A201" s="53" t="s">
        <v>144</v>
      </c>
      <c r="B201" s="584" t="s">
        <v>347</v>
      </c>
      <c r="C201" s="585" t="s">
        <v>40</v>
      </c>
      <c r="D201" s="190" t="s">
        <v>135</v>
      </c>
      <c r="E201" s="587">
        <v>1.473592738562911E-2</v>
      </c>
      <c r="F201" s="117" t="s">
        <v>346</v>
      </c>
      <c r="G201" s="95" t="s">
        <v>16</v>
      </c>
      <c r="H201" s="586">
        <v>1</v>
      </c>
      <c r="I201" s="586">
        <v>1</v>
      </c>
      <c r="J201" s="586">
        <v>3</v>
      </c>
      <c r="K201" s="586">
        <v>2</v>
      </c>
      <c r="L201" s="588">
        <v>2</v>
      </c>
      <c r="M201" s="192">
        <f t="shared" si="6"/>
        <v>0.48935255543384243</v>
      </c>
      <c r="N201" s="586"/>
    </row>
    <row r="202" spans="1:14" hidden="1" x14ac:dyDescent="0.2">
      <c r="A202" s="53" t="s">
        <v>144</v>
      </c>
      <c r="B202" s="584" t="s">
        <v>348</v>
      </c>
      <c r="C202" s="585" t="str">
        <f>C201</f>
        <v>LT</v>
      </c>
      <c r="D202" s="190" t="str">
        <f>D201</f>
        <v>any</v>
      </c>
      <c r="E202" s="116">
        <v>0</v>
      </c>
      <c r="F202" s="117" t="s">
        <v>346</v>
      </c>
      <c r="G202" s="95" t="s">
        <v>16</v>
      </c>
      <c r="H202" s="116"/>
      <c r="I202" s="116"/>
      <c r="J202" s="116"/>
      <c r="K202" s="116"/>
      <c r="L202" s="118"/>
      <c r="M202" s="119" t="str">
        <f t="shared" si="6"/>
        <v/>
      </c>
      <c r="N202" s="586"/>
    </row>
    <row r="203" spans="1:14" hidden="1" x14ac:dyDescent="0.2">
      <c r="A203" s="53" t="s">
        <v>144</v>
      </c>
      <c r="B203" s="584" t="s">
        <v>345</v>
      </c>
      <c r="C203" s="585" t="s">
        <v>41</v>
      </c>
      <c r="D203" s="190" t="s">
        <v>135</v>
      </c>
      <c r="E203" s="116">
        <v>0</v>
      </c>
      <c r="F203" s="117" t="s">
        <v>346</v>
      </c>
      <c r="G203" s="95" t="s">
        <v>16</v>
      </c>
      <c r="H203" s="116"/>
      <c r="I203" s="116"/>
      <c r="J203" s="116"/>
      <c r="K203" s="116"/>
      <c r="L203" s="118"/>
      <c r="M203" s="119" t="str">
        <f t="shared" si="6"/>
        <v/>
      </c>
      <c r="N203" s="586"/>
    </row>
    <row r="204" spans="1:14" hidden="1" x14ac:dyDescent="0.2">
      <c r="A204" s="53" t="s">
        <v>144</v>
      </c>
      <c r="B204" s="584" t="s">
        <v>347</v>
      </c>
      <c r="C204" s="585" t="s">
        <v>41</v>
      </c>
      <c r="D204" s="190" t="s">
        <v>135</v>
      </c>
      <c r="E204" s="116">
        <v>1</v>
      </c>
      <c r="F204" s="117" t="s">
        <v>346</v>
      </c>
      <c r="G204" s="95" t="s">
        <v>16</v>
      </c>
      <c r="H204" s="116"/>
      <c r="I204" s="116"/>
      <c r="J204" s="116"/>
      <c r="K204" s="116"/>
      <c r="L204" s="118"/>
      <c r="M204" s="119" t="str">
        <f t="shared" si="6"/>
        <v/>
      </c>
      <c r="N204" s="586"/>
    </row>
    <row r="205" spans="1:14" hidden="1" x14ac:dyDescent="0.2">
      <c r="A205" s="53" t="s">
        <v>144</v>
      </c>
      <c r="B205" s="584" t="s">
        <v>348</v>
      </c>
      <c r="C205" s="585" t="str">
        <f>C204</f>
        <v>LU</v>
      </c>
      <c r="D205" s="190" t="str">
        <f>D204</f>
        <v>any</v>
      </c>
      <c r="E205" s="116">
        <v>0</v>
      </c>
      <c r="F205" s="117" t="str">
        <f>F204</f>
        <v>FAO. (2025). Global Capture Production. FAO. https://www.fao.org/fishery/en/collection/capture?lang=en; FAO. (2025). Global Aquaculture Production. FAO. https://www.fao.org/fishery/en/collection/aquaculture?lang=en</v>
      </c>
      <c r="G205" s="95" t="s">
        <v>16</v>
      </c>
      <c r="H205" s="116"/>
      <c r="I205" s="116"/>
      <c r="J205" s="116"/>
      <c r="K205" s="116"/>
      <c r="L205" s="118"/>
      <c r="M205" s="119" t="str">
        <f t="shared" si="6"/>
        <v/>
      </c>
      <c r="N205" s="586"/>
    </row>
    <row r="206" spans="1:14" hidden="1" x14ac:dyDescent="0.2">
      <c r="A206" s="53" t="s">
        <v>144</v>
      </c>
      <c r="B206" s="584" t="s">
        <v>345</v>
      </c>
      <c r="C206" s="585" t="s">
        <v>42</v>
      </c>
      <c r="D206" s="190" t="s">
        <v>135</v>
      </c>
      <c r="E206" s="116">
        <v>1</v>
      </c>
      <c r="F206" s="117" t="s">
        <v>346</v>
      </c>
      <c r="G206" s="95" t="s">
        <v>16</v>
      </c>
      <c r="H206" s="116"/>
      <c r="I206" s="116"/>
      <c r="J206" s="116"/>
      <c r="K206" s="116"/>
      <c r="L206" s="118"/>
      <c r="M206" s="119" t="str">
        <f t="shared" si="6"/>
        <v/>
      </c>
      <c r="N206" s="586"/>
    </row>
    <row r="207" spans="1:14" hidden="1" x14ac:dyDescent="0.2">
      <c r="A207" s="53" t="s">
        <v>144</v>
      </c>
      <c r="B207" s="584" t="s">
        <v>347</v>
      </c>
      <c r="C207" s="585" t="s">
        <v>42</v>
      </c>
      <c r="D207" s="190" t="s">
        <v>135</v>
      </c>
      <c r="E207" s="116">
        <v>0</v>
      </c>
      <c r="F207" s="117" t="s">
        <v>346</v>
      </c>
      <c r="G207" s="95" t="s">
        <v>16</v>
      </c>
      <c r="H207" s="116"/>
      <c r="I207" s="116"/>
      <c r="J207" s="116"/>
      <c r="K207" s="116"/>
      <c r="L207" s="118"/>
      <c r="M207" s="119" t="str">
        <f t="shared" si="6"/>
        <v/>
      </c>
      <c r="N207" s="586"/>
    </row>
    <row r="208" spans="1:14" hidden="1" x14ac:dyDescent="0.2">
      <c r="A208" s="53" t="s">
        <v>144</v>
      </c>
      <c r="B208" s="584" t="s">
        <v>348</v>
      </c>
      <c r="C208" s="585" t="str">
        <f>C207</f>
        <v>MT</v>
      </c>
      <c r="D208" s="190" t="str">
        <f>D207</f>
        <v>any</v>
      </c>
      <c r="E208" s="116">
        <v>0</v>
      </c>
      <c r="F208" s="117" t="s">
        <v>346</v>
      </c>
      <c r="G208" s="95" t="s">
        <v>16</v>
      </c>
      <c r="H208" s="116"/>
      <c r="I208" s="116"/>
      <c r="J208" s="116"/>
      <c r="K208" s="116"/>
      <c r="L208" s="118"/>
      <c r="M208" s="119" t="str">
        <f t="shared" si="6"/>
        <v/>
      </c>
      <c r="N208" s="586"/>
    </row>
    <row r="209" spans="1:14" hidden="1" x14ac:dyDescent="0.2">
      <c r="A209" s="53" t="s">
        <v>144</v>
      </c>
      <c r="B209" s="584" t="s">
        <v>345</v>
      </c>
      <c r="C209" s="585" t="s">
        <v>43</v>
      </c>
      <c r="D209" s="190" t="s">
        <v>135</v>
      </c>
      <c r="E209" s="587">
        <v>0.99575188844711038</v>
      </c>
      <c r="F209" s="117" t="s">
        <v>346</v>
      </c>
      <c r="G209" s="95" t="s">
        <v>16</v>
      </c>
      <c r="H209" s="586">
        <v>1</v>
      </c>
      <c r="I209" s="586">
        <v>1</v>
      </c>
      <c r="J209" s="586">
        <v>3</v>
      </c>
      <c r="K209" s="586">
        <v>2</v>
      </c>
      <c r="L209" s="588">
        <v>2</v>
      </c>
      <c r="M209" s="192">
        <f t="shared" si="6"/>
        <v>0.48935255543384243</v>
      </c>
      <c r="N209" s="586"/>
    </row>
    <row r="210" spans="1:14" hidden="1" x14ac:dyDescent="0.2">
      <c r="A210" s="53" t="s">
        <v>144</v>
      </c>
      <c r="B210" s="584" t="s">
        <v>347</v>
      </c>
      <c r="C210" s="585" t="s">
        <v>43</v>
      </c>
      <c r="D210" s="190" t="s">
        <v>135</v>
      </c>
      <c r="E210" s="587">
        <v>4.2481115528895863E-3</v>
      </c>
      <c r="F210" s="117" t="s">
        <v>346</v>
      </c>
      <c r="G210" s="95" t="s">
        <v>16</v>
      </c>
      <c r="H210" s="586">
        <v>1</v>
      </c>
      <c r="I210" s="586">
        <v>1</v>
      </c>
      <c r="J210" s="586">
        <v>3</v>
      </c>
      <c r="K210" s="586">
        <v>2</v>
      </c>
      <c r="L210" s="588">
        <v>2</v>
      </c>
      <c r="M210" s="192">
        <f t="shared" si="6"/>
        <v>0.48935255543384243</v>
      </c>
      <c r="N210" s="586"/>
    </row>
    <row r="211" spans="1:14" hidden="1" x14ac:dyDescent="0.2">
      <c r="A211" s="53" t="s">
        <v>144</v>
      </c>
      <c r="B211" s="584" t="s">
        <v>348</v>
      </c>
      <c r="C211" s="585" t="str">
        <f>C210</f>
        <v>NL</v>
      </c>
      <c r="D211" s="190" t="str">
        <f>D210</f>
        <v>any</v>
      </c>
      <c r="E211" s="116">
        <v>0</v>
      </c>
      <c r="F211" s="117" t="s">
        <v>346</v>
      </c>
      <c r="G211" s="95" t="s">
        <v>16</v>
      </c>
      <c r="H211" s="116"/>
      <c r="I211" s="116"/>
      <c r="J211" s="116"/>
      <c r="K211" s="116"/>
      <c r="L211" s="118"/>
      <c r="M211" s="119" t="str">
        <f t="shared" si="6"/>
        <v/>
      </c>
      <c r="N211" s="586"/>
    </row>
    <row r="212" spans="1:14" hidden="1" x14ac:dyDescent="0.2">
      <c r="A212" s="53" t="s">
        <v>144</v>
      </c>
      <c r="B212" s="584" t="s">
        <v>345</v>
      </c>
      <c r="C212" s="585" t="s">
        <v>45</v>
      </c>
      <c r="D212" s="190" t="s">
        <v>135</v>
      </c>
      <c r="E212" s="587">
        <v>0.99986516174698048</v>
      </c>
      <c r="F212" s="117" t="s">
        <v>346</v>
      </c>
      <c r="G212" s="95" t="s">
        <v>16</v>
      </c>
      <c r="H212" s="586">
        <v>1</v>
      </c>
      <c r="I212" s="586">
        <v>1</v>
      </c>
      <c r="J212" s="586">
        <v>3</v>
      </c>
      <c r="K212" s="586">
        <v>2</v>
      </c>
      <c r="L212" s="588">
        <v>2</v>
      </c>
      <c r="M212" s="192">
        <f t="shared" si="6"/>
        <v>0.48935255543384243</v>
      </c>
      <c r="N212" s="586"/>
    </row>
    <row r="213" spans="1:14" hidden="1" x14ac:dyDescent="0.2">
      <c r="A213" s="53" t="s">
        <v>144</v>
      </c>
      <c r="B213" s="584" t="s">
        <v>347</v>
      </c>
      <c r="C213" s="585" t="s">
        <v>45</v>
      </c>
      <c r="D213" s="190" t="s">
        <v>135</v>
      </c>
      <c r="E213" s="587">
        <v>1.3483825301955041E-4</v>
      </c>
      <c r="F213" s="117" t="s">
        <v>346</v>
      </c>
      <c r="G213" s="95" t="s">
        <v>16</v>
      </c>
      <c r="H213" s="586">
        <v>1</v>
      </c>
      <c r="I213" s="586">
        <v>1</v>
      </c>
      <c r="J213" s="586">
        <v>3</v>
      </c>
      <c r="K213" s="586">
        <v>2</v>
      </c>
      <c r="L213" s="588">
        <v>2</v>
      </c>
      <c r="M213" s="192">
        <f t="shared" si="6"/>
        <v>0.48935255543384243</v>
      </c>
      <c r="N213" s="586"/>
    </row>
    <row r="214" spans="1:14" hidden="1" x14ac:dyDescent="0.2">
      <c r="A214" s="53" t="s">
        <v>144</v>
      </c>
      <c r="B214" s="584" t="s">
        <v>348</v>
      </c>
      <c r="C214" s="585" t="str">
        <f>C213</f>
        <v>NO</v>
      </c>
      <c r="D214" s="190" t="str">
        <f>D213</f>
        <v>any</v>
      </c>
      <c r="E214" s="116">
        <v>0</v>
      </c>
      <c r="F214" s="117" t="s">
        <v>346</v>
      </c>
      <c r="G214" s="95" t="s">
        <v>16</v>
      </c>
      <c r="H214" s="116"/>
      <c r="I214" s="116"/>
      <c r="J214" s="116"/>
      <c r="K214" s="116"/>
      <c r="L214" s="118"/>
      <c r="M214" s="119" t="str">
        <f t="shared" si="6"/>
        <v/>
      </c>
      <c r="N214" s="586"/>
    </row>
    <row r="215" spans="1:14" hidden="1" x14ac:dyDescent="0.2">
      <c r="A215" s="53" t="s">
        <v>144</v>
      </c>
      <c r="B215" s="584" t="s">
        <v>345</v>
      </c>
      <c r="C215" s="585" t="s">
        <v>46</v>
      </c>
      <c r="D215" s="190" t="s">
        <v>135</v>
      </c>
      <c r="E215" s="587">
        <v>0.93817564898451966</v>
      </c>
      <c r="F215" s="117" t="s">
        <v>346</v>
      </c>
      <c r="G215" s="95" t="s">
        <v>16</v>
      </c>
      <c r="H215" s="586">
        <v>1</v>
      </c>
      <c r="I215" s="586">
        <v>1</v>
      </c>
      <c r="J215" s="586">
        <v>3</v>
      </c>
      <c r="K215" s="586">
        <v>2</v>
      </c>
      <c r="L215" s="588">
        <v>2</v>
      </c>
      <c r="M215" s="192">
        <f t="shared" si="6"/>
        <v>0.48935255543384243</v>
      </c>
      <c r="N215" s="586"/>
    </row>
    <row r="216" spans="1:14" hidden="1" x14ac:dyDescent="0.2">
      <c r="A216" s="53" t="s">
        <v>144</v>
      </c>
      <c r="B216" s="584" t="s">
        <v>347</v>
      </c>
      <c r="C216" s="585" t="s">
        <v>46</v>
      </c>
      <c r="D216" s="190" t="s">
        <v>135</v>
      </c>
      <c r="E216" s="587">
        <v>6.1824351015480311E-2</v>
      </c>
      <c r="F216" s="117" t="s">
        <v>346</v>
      </c>
      <c r="G216" s="95" t="s">
        <v>16</v>
      </c>
      <c r="H216" s="586">
        <v>1</v>
      </c>
      <c r="I216" s="586">
        <v>1</v>
      </c>
      <c r="J216" s="586">
        <v>3</v>
      </c>
      <c r="K216" s="586">
        <v>2</v>
      </c>
      <c r="L216" s="588">
        <v>2</v>
      </c>
      <c r="M216" s="192">
        <f>IF( OR( ISBLANK(H216),ISBLANK(I216), ISBLANK(J216), ISBLANK(K216), ISBLANK(L216) ), "", 1.5*SQRT(   EXP(2.21*(H216-1)) + EXP(2.21*(I216-1)) + EXP(2.21*(J216-1)) + EXP(2.21*(K216-1)) + EXP(2.21*L216)   )/100*2.45 )</f>
        <v>0.48935255543384243</v>
      </c>
      <c r="N216" s="586"/>
    </row>
    <row r="217" spans="1:14" hidden="1" x14ac:dyDescent="0.2">
      <c r="A217" s="53" t="s">
        <v>144</v>
      </c>
      <c r="B217" s="584" t="s">
        <v>348</v>
      </c>
      <c r="C217" s="585" t="str">
        <f>C216</f>
        <v>PL</v>
      </c>
      <c r="D217" s="190" t="str">
        <f>D216</f>
        <v>any</v>
      </c>
      <c r="E217" s="116">
        <v>0</v>
      </c>
      <c r="F217" s="117" t="s">
        <v>346</v>
      </c>
      <c r="G217" s="95" t="s">
        <v>16</v>
      </c>
      <c r="H217" s="116"/>
      <c r="I217" s="116"/>
      <c r="J217" s="116"/>
      <c r="K217" s="116"/>
      <c r="L217" s="118"/>
      <c r="M217" s="119" t="str">
        <f>IF( OR( ISBLANK(H217),ISBLANK(I217), ISBLANK(J217), ISBLANK(K217), ISBLANK(L217) ), "", 1.5*SQRT(   EXP(2.21*(H217-1)) + EXP(2.21*(I217-1)) + EXP(2.21*(J217-1)) + EXP(2.21*(K217-1)) + EXP(2.21*L217)   )/100*2.45 )</f>
        <v/>
      </c>
      <c r="N217" s="586"/>
    </row>
    <row r="218" spans="1:14" hidden="1" x14ac:dyDescent="0.2">
      <c r="A218" s="53" t="s">
        <v>144</v>
      </c>
      <c r="B218" s="584" t="s">
        <v>345</v>
      </c>
      <c r="C218" s="585" t="s">
        <v>48</v>
      </c>
      <c r="D218" s="190" t="s">
        <v>135</v>
      </c>
      <c r="E218" s="589">
        <v>0.99999374796648699</v>
      </c>
      <c r="F218" s="117" t="s">
        <v>346</v>
      </c>
      <c r="G218" s="95" t="s">
        <v>16</v>
      </c>
      <c r="H218" s="586">
        <v>1</v>
      </c>
      <c r="I218" s="586">
        <v>1</v>
      </c>
      <c r="J218" s="586">
        <v>3</v>
      </c>
      <c r="K218" s="586">
        <v>2</v>
      </c>
      <c r="L218" s="588">
        <v>2</v>
      </c>
      <c r="M218" s="192">
        <f>IF( OR( ISBLANK(H218),ISBLANK(I218), ISBLANK(J218), ISBLANK(K218), ISBLANK(L218) ), "", 1.5*SQRT( EXP(2.21*(H218-1)) + EXP(2.21*(I218-1)) + EXP(2.21*(J218-1)) + EXP(2.21*(K218-1)) + EXP(2.21*L218) )/100*2.45 )</f>
        <v>0.48935255543384243</v>
      </c>
      <c r="N218" s="586"/>
    </row>
    <row r="219" spans="1:14" hidden="1" x14ac:dyDescent="0.2">
      <c r="A219" s="53" t="s">
        <v>144</v>
      </c>
      <c r="B219" s="584" t="s">
        <v>347</v>
      </c>
      <c r="C219" s="585" t="s">
        <v>48</v>
      </c>
      <c r="D219" s="190" t="s">
        <v>135</v>
      </c>
      <c r="E219" s="716">
        <v>6.2520335129753043E-6</v>
      </c>
      <c r="F219" s="117" t="s">
        <v>346</v>
      </c>
      <c r="G219" s="95" t="s">
        <v>16</v>
      </c>
      <c r="H219" s="586">
        <v>1</v>
      </c>
      <c r="I219" s="586">
        <v>1</v>
      </c>
      <c r="J219" s="586">
        <v>3</v>
      </c>
      <c r="K219" s="586">
        <v>2</v>
      </c>
      <c r="L219" s="588">
        <v>2</v>
      </c>
      <c r="M219" s="192">
        <f>IF( OR( ISBLANK(H219),ISBLANK(I219), ISBLANK(J219), ISBLANK(K219), ISBLANK(L219) ), "", 1.5*SQRT( EXP(2.21*(H219-1)) + EXP(2.21*(I219-1)) + EXP(2.21*(J219-1)) + EXP(2.21*(K219-1)) + EXP(2.21*L219) )/100*2.45 )</f>
        <v>0.48935255543384243</v>
      </c>
      <c r="N219" s="586"/>
    </row>
    <row r="220" spans="1:14" hidden="1" x14ac:dyDescent="0.2">
      <c r="A220" s="53" t="s">
        <v>144</v>
      </c>
      <c r="B220" s="584" t="s">
        <v>348</v>
      </c>
      <c r="C220" s="585" t="str">
        <f>C219</f>
        <v>PT</v>
      </c>
      <c r="D220" s="190" t="str">
        <f>D219</f>
        <v>any</v>
      </c>
      <c r="E220" s="116">
        <v>0</v>
      </c>
      <c r="F220" s="117" t="s">
        <v>346</v>
      </c>
      <c r="G220" s="95" t="s">
        <v>16</v>
      </c>
      <c r="H220" s="116"/>
      <c r="I220" s="116"/>
      <c r="J220" s="116"/>
      <c r="K220" s="116"/>
      <c r="L220" s="118"/>
      <c r="M220" s="119" t="str">
        <f>IF( OR( ISBLANK(H220),ISBLANK(I220), ISBLANK(J220), ISBLANK(K220), ISBLANK(L220) ), "", 1.5*SQRT(   EXP(2.21*(H220-1)) + EXP(2.21*(I220-1)) + EXP(2.21*(J220-1)) + EXP(2.21*(K220-1)) + EXP(2.21*L220)   )/100*2.45 )</f>
        <v/>
      </c>
      <c r="N220" s="586"/>
    </row>
    <row r="221" spans="1:14" hidden="1" x14ac:dyDescent="0.2">
      <c r="A221" s="53" t="s">
        <v>144</v>
      </c>
      <c r="B221" s="584" t="s">
        <v>345</v>
      </c>
      <c r="C221" s="585" t="s">
        <v>50</v>
      </c>
      <c r="D221" s="190" t="s">
        <v>135</v>
      </c>
      <c r="E221" s="587">
        <v>0.55975757819006433</v>
      </c>
      <c r="F221" s="117" t="s">
        <v>346</v>
      </c>
      <c r="G221" s="95" t="s">
        <v>16</v>
      </c>
      <c r="H221" s="586">
        <v>1</v>
      </c>
      <c r="I221" s="586">
        <v>1</v>
      </c>
      <c r="J221" s="586">
        <v>3</v>
      </c>
      <c r="K221" s="586">
        <v>2</v>
      </c>
      <c r="L221" s="588">
        <v>2</v>
      </c>
      <c r="M221" s="192">
        <f>IF( OR( ISBLANK(H221),ISBLANK(I221), ISBLANK(J221), ISBLANK(K221), ISBLANK(L221) ), "", 1.5*SQRT( EXP(2.21*(H221-1)) + EXP(2.21*(I221-1)) + EXP(2.21*(J221-1)) + EXP(2.21*(K221-1)) + EXP(2.21*L221) )/100*2.45 )</f>
        <v>0.48935255543384243</v>
      </c>
      <c r="N221" s="586"/>
    </row>
    <row r="222" spans="1:14" hidden="1" x14ac:dyDescent="0.2">
      <c r="A222" s="53" t="s">
        <v>144</v>
      </c>
      <c r="B222" s="584" t="s">
        <v>347</v>
      </c>
      <c r="C222" s="585" t="s">
        <v>50</v>
      </c>
      <c r="D222" s="190" t="s">
        <v>135</v>
      </c>
      <c r="E222" s="587">
        <v>0.44024242180993572</v>
      </c>
      <c r="F222" s="117" t="s">
        <v>346</v>
      </c>
      <c r="G222" s="95" t="s">
        <v>16</v>
      </c>
      <c r="H222" s="586">
        <v>1</v>
      </c>
      <c r="I222" s="586">
        <v>1</v>
      </c>
      <c r="J222" s="586">
        <v>3</v>
      </c>
      <c r="K222" s="586">
        <v>2</v>
      </c>
      <c r="L222" s="588">
        <v>2</v>
      </c>
      <c r="M222" s="192">
        <f>IF( OR( ISBLANK(H222),ISBLANK(I222), ISBLANK(J222), ISBLANK(K222), ISBLANK(L222) ), "", 1.5*SQRT( EXP(2.21*(H222-1)) + EXP(2.21*(I222-1)) + EXP(2.21*(J222-1)) + EXP(2.21*(K222-1)) + EXP(2.21*L222) )/100*2.45 )</f>
        <v>0.48935255543384243</v>
      </c>
      <c r="N222" s="586"/>
    </row>
    <row r="223" spans="1:14" hidden="1" x14ac:dyDescent="0.2">
      <c r="A223" s="53" t="s">
        <v>144</v>
      </c>
      <c r="B223" s="584" t="s">
        <v>348</v>
      </c>
      <c r="C223" s="585" t="str">
        <f>C222</f>
        <v>RO</v>
      </c>
      <c r="D223" s="190" t="str">
        <f>D222</f>
        <v>any</v>
      </c>
      <c r="E223" s="116">
        <v>0</v>
      </c>
      <c r="F223" s="117" t="s">
        <v>346</v>
      </c>
      <c r="G223" s="95" t="s">
        <v>16</v>
      </c>
      <c r="H223" s="116"/>
      <c r="I223" s="116"/>
      <c r="J223" s="116"/>
      <c r="K223" s="116"/>
      <c r="L223" s="118"/>
      <c r="M223" s="119" t="str">
        <f>IF( OR( ISBLANK(H223),ISBLANK(I223), ISBLANK(J223), ISBLANK(K223), ISBLANK(L223) ), "", 1.5*SQRT(   EXP(2.21*(H223-1)) + EXP(2.21*(I223-1)) + EXP(2.21*(J223-1)) + EXP(2.21*(K223-1)) + EXP(2.21*L223)   )/100*2.45 )</f>
        <v/>
      </c>
      <c r="N223" s="586"/>
    </row>
    <row r="224" spans="1:14" hidden="1" x14ac:dyDescent="0.2">
      <c r="A224" s="53" t="s">
        <v>144</v>
      </c>
      <c r="B224" s="584" t="s">
        <v>345</v>
      </c>
      <c r="C224" s="585" t="s">
        <v>52</v>
      </c>
      <c r="D224" s="190" t="s">
        <v>135</v>
      </c>
      <c r="E224" s="116">
        <v>0</v>
      </c>
      <c r="F224" s="117" t="s">
        <v>346</v>
      </c>
      <c r="G224" s="95" t="s">
        <v>16</v>
      </c>
      <c r="H224" s="116"/>
      <c r="I224" s="116"/>
      <c r="J224" s="116"/>
      <c r="K224" s="116"/>
      <c r="L224" s="118"/>
      <c r="M224" s="119" t="str">
        <f>IF( OR( ISBLANK(H224),ISBLANK(I224), ISBLANK(J224), ISBLANK(K224), ISBLANK(L224) ), "", 1.5*SQRT( EXP(2.21*(H224-1)) + EXP(2.21*(I224-1)) + EXP(2.21*(J224-1)) + EXP(2.21*(K224-1)) + EXP(2.21*L224) )/100*2.45 )</f>
        <v/>
      </c>
      <c r="N224" s="586"/>
    </row>
    <row r="225" spans="1:14" hidden="1" x14ac:dyDescent="0.2">
      <c r="A225" s="53" t="s">
        <v>144</v>
      </c>
      <c r="B225" s="584" t="s">
        <v>347</v>
      </c>
      <c r="C225" s="585" t="s">
        <v>52</v>
      </c>
      <c r="D225" s="190" t="s">
        <v>135</v>
      </c>
      <c r="E225" s="853">
        <v>1</v>
      </c>
      <c r="F225" s="854" t="s">
        <v>346</v>
      </c>
      <c r="G225" s="602" t="s">
        <v>16</v>
      </c>
      <c r="H225" s="853"/>
      <c r="I225" s="853"/>
      <c r="J225" s="853"/>
      <c r="K225" s="853"/>
      <c r="L225" s="855"/>
      <c r="M225" s="856"/>
      <c r="N225" s="586"/>
    </row>
    <row r="226" spans="1:14" hidden="1" x14ac:dyDescent="0.2">
      <c r="A226" s="53" t="s">
        <v>144</v>
      </c>
      <c r="B226" s="584" t="s">
        <v>348</v>
      </c>
      <c r="C226" s="585" t="str">
        <f>C225</f>
        <v>SK</v>
      </c>
      <c r="D226" s="190" t="str">
        <f>D225</f>
        <v>any</v>
      </c>
      <c r="E226" s="116">
        <v>0</v>
      </c>
      <c r="F226" s="117" t="s">
        <v>346</v>
      </c>
      <c r="G226" s="95" t="s">
        <v>16</v>
      </c>
      <c r="H226" s="116"/>
      <c r="I226" s="116"/>
      <c r="J226" s="116"/>
      <c r="K226" s="116"/>
      <c r="L226" s="118"/>
      <c r="M226" s="119" t="str">
        <f>IF( OR( ISBLANK(H226),ISBLANK(I226), ISBLANK(J226), ISBLANK(K226), ISBLANK(L226) ), "", 1.5*SQRT(   EXP(2.21*(H226-1)) + EXP(2.21*(I226-1)) + EXP(2.21*(J226-1)) + EXP(2.21*(K226-1)) + EXP(2.21*L226)   )/100*2.45 )</f>
        <v/>
      </c>
      <c r="N226" s="586"/>
    </row>
    <row r="227" spans="1:14" hidden="1" x14ac:dyDescent="0.2">
      <c r="A227" s="53" t="s">
        <v>144</v>
      </c>
      <c r="B227" s="584" t="s">
        <v>345</v>
      </c>
      <c r="C227" s="585" t="s">
        <v>54</v>
      </c>
      <c r="D227" s="190" t="s">
        <v>135</v>
      </c>
      <c r="E227" s="587">
        <v>0.50252219337884185</v>
      </c>
      <c r="F227" s="117" t="s">
        <v>346</v>
      </c>
      <c r="G227" s="95" t="s">
        <v>16</v>
      </c>
      <c r="H227" s="586">
        <v>1</v>
      </c>
      <c r="I227" s="586">
        <v>1</v>
      </c>
      <c r="J227" s="586">
        <v>3</v>
      </c>
      <c r="K227" s="586">
        <v>2</v>
      </c>
      <c r="L227" s="588">
        <v>2</v>
      </c>
      <c r="M227" s="192">
        <f>IF( OR( ISBLANK(H227),ISBLANK(I227), ISBLANK(J227), ISBLANK(K227), ISBLANK(L227) ), "", 1.5*SQRT( EXP(2.21*(H227-1)) + EXP(2.21*(I227-1)) + EXP(2.21*(J227-1)) + EXP(2.21*(K227-1)) + EXP(2.21*L227) )/100*2.45 )</f>
        <v>0.48935255543384243</v>
      </c>
      <c r="N227" s="586"/>
    </row>
    <row r="228" spans="1:14" hidden="1" x14ac:dyDescent="0.2">
      <c r="A228" s="53" t="s">
        <v>144</v>
      </c>
      <c r="B228" s="584" t="s">
        <v>347</v>
      </c>
      <c r="C228" s="585" t="s">
        <v>54</v>
      </c>
      <c r="D228" s="190" t="s">
        <v>135</v>
      </c>
      <c r="E228" s="587">
        <v>0.49747780662115831</v>
      </c>
      <c r="F228" s="117" t="s">
        <v>346</v>
      </c>
      <c r="G228" s="95" t="s">
        <v>16</v>
      </c>
      <c r="H228" s="586">
        <v>1</v>
      </c>
      <c r="I228" s="586">
        <v>1</v>
      </c>
      <c r="J228" s="586">
        <v>3</v>
      </c>
      <c r="K228" s="586">
        <v>2</v>
      </c>
      <c r="L228" s="588">
        <v>2</v>
      </c>
      <c r="M228" s="192">
        <f>IF( OR( ISBLANK(H228),ISBLANK(I228), ISBLANK(J228), ISBLANK(K228), ISBLANK(L228) ), "", 1.5*SQRT( EXP(2.21*(H228-1)) + EXP(2.21*(I228-1)) + EXP(2.21*(J228-1)) + EXP(2.21*(K228-1)) + EXP(2.21*L228) )/100*2.45 )</f>
        <v>0.48935255543384243</v>
      </c>
      <c r="N228" s="586"/>
    </row>
    <row r="229" spans="1:14" hidden="1" x14ac:dyDescent="0.2">
      <c r="A229" s="53" t="s">
        <v>144</v>
      </c>
      <c r="B229" s="584" t="s">
        <v>348</v>
      </c>
      <c r="C229" s="585" t="str">
        <f>C228</f>
        <v>SI</v>
      </c>
      <c r="D229" s="190" t="str">
        <f>D228</f>
        <v>any</v>
      </c>
      <c r="E229" s="116">
        <v>0</v>
      </c>
      <c r="F229" s="117" t="s">
        <v>346</v>
      </c>
      <c r="G229" s="95" t="s">
        <v>16</v>
      </c>
      <c r="H229" s="116"/>
      <c r="I229" s="116"/>
      <c r="J229" s="116"/>
      <c r="K229" s="116"/>
      <c r="L229" s="118"/>
      <c r="M229" s="119" t="str">
        <f>IF( OR( ISBLANK(H229),ISBLANK(I229), ISBLANK(J229), ISBLANK(K229), ISBLANK(L229) ), "", 1.5*SQRT(   EXP(2.21*(H229-1)) + EXP(2.21*(I229-1)) + EXP(2.21*(J229-1)) + EXP(2.21*(K229-1)) + EXP(2.21*L229)   )/100*2.45 )</f>
        <v/>
      </c>
      <c r="N229" s="586"/>
    </row>
    <row r="230" spans="1:14" hidden="1" x14ac:dyDescent="0.2">
      <c r="A230" s="53" t="s">
        <v>144</v>
      </c>
      <c r="B230" s="584" t="s">
        <v>345</v>
      </c>
      <c r="C230" s="585" t="s">
        <v>55</v>
      </c>
      <c r="D230" s="190" t="s">
        <v>135</v>
      </c>
      <c r="E230" s="587">
        <v>0.99980644270367247</v>
      </c>
      <c r="F230" s="117" t="s">
        <v>346</v>
      </c>
      <c r="G230" s="95" t="s">
        <v>16</v>
      </c>
      <c r="H230" s="586">
        <v>1</v>
      </c>
      <c r="I230" s="586">
        <v>1</v>
      </c>
      <c r="J230" s="586">
        <v>3</v>
      </c>
      <c r="K230" s="586">
        <v>2</v>
      </c>
      <c r="L230" s="588">
        <v>2</v>
      </c>
      <c r="M230" s="192">
        <f>IF( OR( ISBLANK(H230),ISBLANK(I230), ISBLANK(J230), ISBLANK(K230), ISBLANK(L230) ), "", 1.5*SQRT( EXP(2.21*(H230-1)) + EXP(2.21*(I230-1)) + EXP(2.21*(J230-1)) + EXP(2.21*(K230-1)) + EXP(2.21*L230) )/100*2.45 )</f>
        <v>0.48935255543384243</v>
      </c>
      <c r="N230" s="586"/>
    </row>
    <row r="231" spans="1:14" hidden="1" x14ac:dyDescent="0.2">
      <c r="A231" s="53" t="s">
        <v>144</v>
      </c>
      <c r="B231" s="584" t="s">
        <v>347</v>
      </c>
      <c r="C231" s="585" t="s">
        <v>55</v>
      </c>
      <c r="D231" s="190" t="s">
        <v>135</v>
      </c>
      <c r="E231" s="587">
        <v>1.935572963275771E-4</v>
      </c>
      <c r="F231" s="117" t="s">
        <v>346</v>
      </c>
      <c r="G231" s="95" t="s">
        <v>16</v>
      </c>
      <c r="H231" s="586">
        <v>1</v>
      </c>
      <c r="I231" s="586">
        <v>1</v>
      </c>
      <c r="J231" s="586">
        <v>3</v>
      </c>
      <c r="K231" s="586">
        <v>2</v>
      </c>
      <c r="L231" s="588">
        <v>2</v>
      </c>
      <c r="M231" s="192">
        <f>IF( OR( ISBLANK(H231),ISBLANK(I231), ISBLANK(J231), ISBLANK(K231), ISBLANK(L231) ), "", 1.5*SQRT( EXP(2.21*(H231-1)) + EXP(2.21*(I231-1)) + EXP(2.21*(J231-1)) + EXP(2.21*(K231-1)) + EXP(2.21*L231) )/100*2.45 )</f>
        <v>0.48935255543384243</v>
      </c>
      <c r="N231" s="586"/>
    </row>
    <row r="232" spans="1:14" hidden="1" x14ac:dyDescent="0.2">
      <c r="A232" s="53" t="s">
        <v>144</v>
      </c>
      <c r="B232" s="584" t="s">
        <v>348</v>
      </c>
      <c r="C232" s="585" t="str">
        <f>C231</f>
        <v>ES</v>
      </c>
      <c r="D232" s="190" t="str">
        <f>D231</f>
        <v>any</v>
      </c>
      <c r="E232" s="116">
        <v>0</v>
      </c>
      <c r="F232" s="117" t="s">
        <v>346</v>
      </c>
      <c r="G232" s="95" t="s">
        <v>16</v>
      </c>
      <c r="H232" s="116"/>
      <c r="I232" s="116"/>
      <c r="J232" s="116"/>
      <c r="K232" s="116"/>
      <c r="L232" s="118"/>
      <c r="M232" s="119" t="str">
        <f>IF( OR( ISBLANK(H232),ISBLANK(I232), ISBLANK(J232), ISBLANK(K232), ISBLANK(L232) ), "", 1.5*SQRT(   EXP(2.21*(H232-1)) + EXP(2.21*(I232-1)) + EXP(2.21*(J232-1)) + EXP(2.21*(K232-1)) + EXP(2.21*L232)   )/100*2.45 )</f>
        <v/>
      </c>
      <c r="N232" s="586"/>
    </row>
    <row r="233" spans="1:14" hidden="1" x14ac:dyDescent="0.2">
      <c r="A233" s="53" t="s">
        <v>144</v>
      </c>
      <c r="B233" s="584" t="s">
        <v>345</v>
      </c>
      <c r="C233" s="585" t="s">
        <v>57</v>
      </c>
      <c r="D233" s="190" t="s">
        <v>135</v>
      </c>
      <c r="E233" s="587">
        <v>0.95257256536663915</v>
      </c>
      <c r="F233" s="117" t="s">
        <v>346</v>
      </c>
      <c r="G233" s="95" t="s">
        <v>16</v>
      </c>
      <c r="H233" s="586">
        <v>1</v>
      </c>
      <c r="I233" s="586">
        <v>1</v>
      </c>
      <c r="J233" s="586">
        <v>3</v>
      </c>
      <c r="K233" s="586">
        <v>2</v>
      </c>
      <c r="L233" s="588">
        <v>2</v>
      </c>
      <c r="M233" s="192">
        <f>IF( OR( ISBLANK(H233),ISBLANK(I233), ISBLANK(J233), ISBLANK(K233), ISBLANK(L233) ), "", 1.5*SQRT( EXP(2.21*(H233-1)) + EXP(2.21*(I233-1)) + EXP(2.21*(J233-1)) + EXP(2.21*(K233-1)) + EXP(2.21*L233) )/100*2.45 )</f>
        <v>0.48935255543384243</v>
      </c>
      <c r="N233" s="586"/>
    </row>
    <row r="234" spans="1:14" hidden="1" x14ac:dyDescent="0.2">
      <c r="A234" s="53" t="s">
        <v>144</v>
      </c>
      <c r="B234" s="584" t="s">
        <v>347</v>
      </c>
      <c r="C234" s="585" t="s">
        <v>57</v>
      </c>
      <c r="D234" s="190" t="s">
        <v>135</v>
      </c>
      <c r="E234" s="587">
        <v>4.7427434633360882E-2</v>
      </c>
      <c r="F234" s="117" t="s">
        <v>346</v>
      </c>
      <c r="G234" s="95" t="s">
        <v>16</v>
      </c>
      <c r="H234" s="586">
        <v>1</v>
      </c>
      <c r="I234" s="586">
        <v>1</v>
      </c>
      <c r="J234" s="586">
        <v>3</v>
      </c>
      <c r="K234" s="586">
        <v>2</v>
      </c>
      <c r="L234" s="588">
        <v>2</v>
      </c>
      <c r="M234" s="192">
        <f>IF( OR( ISBLANK(H234),ISBLANK(I234), ISBLANK(J234), ISBLANK(K234), ISBLANK(L234) ), "", 1.5*SQRT( EXP(2.21*(H234-1)) + EXP(2.21*(I234-1)) + EXP(2.21*(J234-1)) + EXP(2.21*(K234-1)) + EXP(2.21*L234) )/100*2.45 )</f>
        <v>0.48935255543384243</v>
      </c>
      <c r="N234" s="586"/>
    </row>
    <row r="235" spans="1:14" hidden="1" x14ac:dyDescent="0.2">
      <c r="A235" s="53" t="s">
        <v>144</v>
      </c>
      <c r="B235" s="584" t="s">
        <v>348</v>
      </c>
      <c r="C235" s="585" t="str">
        <f>C234</f>
        <v>SE</v>
      </c>
      <c r="D235" s="190" t="str">
        <f>D234</f>
        <v>any</v>
      </c>
      <c r="E235" s="116">
        <v>0</v>
      </c>
      <c r="F235" s="117" t="s">
        <v>346</v>
      </c>
      <c r="G235" s="95" t="s">
        <v>16</v>
      </c>
      <c r="H235" s="116"/>
      <c r="I235" s="116"/>
      <c r="J235" s="116"/>
      <c r="K235" s="116"/>
      <c r="L235" s="118"/>
      <c r="M235" s="119" t="str">
        <f>IF( OR( ISBLANK(H235),ISBLANK(I235), ISBLANK(J235), ISBLANK(K235), ISBLANK(L235) ), "", 1.5*SQRT(   EXP(2.21*(H235-1)) + EXP(2.21*(I235-1)) + EXP(2.21*(J235-1)) + EXP(2.21*(K235-1)) + EXP(2.21*L235)   )/100*2.45 )</f>
        <v/>
      </c>
      <c r="N235" s="586"/>
    </row>
    <row r="236" spans="1:14" x14ac:dyDescent="0.2">
      <c r="A236" s="53" t="s">
        <v>144</v>
      </c>
      <c r="B236" s="584" t="s">
        <v>345</v>
      </c>
      <c r="C236" s="585" t="s">
        <v>59</v>
      </c>
      <c r="D236" s="190" t="s">
        <v>135</v>
      </c>
      <c r="E236" s="116">
        <v>0</v>
      </c>
      <c r="F236" s="117" t="s">
        <v>346</v>
      </c>
      <c r="G236" s="95" t="s">
        <v>16</v>
      </c>
      <c r="H236" s="116"/>
      <c r="I236" s="116"/>
      <c r="J236" s="116"/>
      <c r="K236" s="116"/>
      <c r="L236" s="118"/>
      <c r="M236" s="119" t="str">
        <f>IF( OR( ISBLANK(H236),ISBLANK(I236), ISBLANK(J236), ISBLANK(K236), ISBLANK(L236) ), "", 1.5*SQRT( EXP(2.21*(H236-1)) + EXP(2.21*(I236-1)) + EXP(2.21*(J236-1)) + EXP(2.21*(K236-1)) + EXP(2.21*L236) )/100*2.45 )</f>
        <v/>
      </c>
      <c r="N236" s="586"/>
    </row>
    <row r="237" spans="1:14" x14ac:dyDescent="0.2">
      <c r="A237" s="53" t="s">
        <v>144</v>
      </c>
      <c r="B237" s="584" t="s">
        <v>347</v>
      </c>
      <c r="C237" s="585" t="s">
        <v>59</v>
      </c>
      <c r="D237" s="190" t="s">
        <v>135</v>
      </c>
      <c r="E237" s="853">
        <v>1</v>
      </c>
      <c r="F237" s="854" t="s">
        <v>346</v>
      </c>
      <c r="G237" s="602" t="s">
        <v>16</v>
      </c>
      <c r="H237" s="853"/>
      <c r="I237" s="853"/>
      <c r="J237" s="853"/>
      <c r="K237" s="853"/>
      <c r="L237" s="855"/>
      <c r="M237" s="856"/>
      <c r="N237" s="586"/>
    </row>
    <row r="238" spans="1:14" x14ac:dyDescent="0.2">
      <c r="A238" s="53" t="s">
        <v>144</v>
      </c>
      <c r="B238" s="584" t="s">
        <v>348</v>
      </c>
      <c r="C238" s="585" t="str">
        <f>C237</f>
        <v>CH</v>
      </c>
      <c r="D238" s="190" t="str">
        <f>D237</f>
        <v>any</v>
      </c>
      <c r="E238" s="116">
        <v>0</v>
      </c>
      <c r="F238" s="117" t="s">
        <v>346</v>
      </c>
      <c r="G238" s="95" t="s">
        <v>16</v>
      </c>
      <c r="H238" s="116"/>
      <c r="I238" s="116"/>
      <c r="J238" s="116"/>
      <c r="K238" s="116"/>
      <c r="L238" s="118"/>
      <c r="M238" s="119" t="str">
        <f>IF( OR( ISBLANK(H238),ISBLANK(I238), ISBLANK(J238), ISBLANK(K238), ISBLANK(L238) ), "", 1.5*SQRT(   EXP(2.21*(H238-1)) + EXP(2.21*(I238-1)) + EXP(2.21*(J238-1)) + EXP(2.21*(K238-1)) + EXP(2.21*L238)   )/100*2.45 )</f>
        <v/>
      </c>
      <c r="N238" s="586"/>
    </row>
    <row r="239" spans="1:14" hidden="1" x14ac:dyDescent="0.2">
      <c r="A239" s="53" t="s">
        <v>144</v>
      </c>
      <c r="B239" s="584" t="s">
        <v>345</v>
      </c>
      <c r="C239" s="585" t="s">
        <v>60</v>
      </c>
      <c r="D239" s="190" t="s">
        <v>135</v>
      </c>
      <c r="E239" s="587">
        <v>0.99830085333159302</v>
      </c>
      <c r="F239" s="117" t="s">
        <v>346</v>
      </c>
      <c r="G239" s="95" t="s">
        <v>16</v>
      </c>
      <c r="H239" s="586">
        <v>1</v>
      </c>
      <c r="I239" s="586">
        <v>1</v>
      </c>
      <c r="J239" s="586">
        <v>3</v>
      </c>
      <c r="K239" s="586">
        <v>2</v>
      </c>
      <c r="L239" s="588">
        <v>2</v>
      </c>
      <c r="M239" s="192">
        <f>IF( OR( ISBLANK(H239),ISBLANK(I239), ISBLANK(J239), ISBLANK(K239), ISBLANK(L239) ), "", 1.5*SQRT( EXP(2.21*(H239-1)) + EXP(2.21*(I239-1)) + EXP(2.21*(J239-1)) + EXP(2.21*(K239-1)) + EXP(2.21*L239) )/100*2.45 )</f>
        <v>0.48935255543384243</v>
      </c>
      <c r="N239" s="586"/>
    </row>
    <row r="240" spans="1:14" hidden="1" x14ac:dyDescent="0.2">
      <c r="A240" s="53" t="s">
        <v>144</v>
      </c>
      <c r="B240" s="584" t="s">
        <v>347</v>
      </c>
      <c r="C240" s="585" t="s">
        <v>60</v>
      </c>
      <c r="D240" s="190" t="s">
        <v>135</v>
      </c>
      <c r="E240" s="587">
        <v>1.69914666840707E-3</v>
      </c>
      <c r="F240" s="117" t="s">
        <v>346</v>
      </c>
      <c r="G240" s="95" t="s">
        <v>16</v>
      </c>
      <c r="H240" s="586">
        <v>1</v>
      </c>
      <c r="I240" s="586">
        <v>1</v>
      </c>
      <c r="J240" s="586">
        <v>3</v>
      </c>
      <c r="K240" s="586">
        <v>2</v>
      </c>
      <c r="L240" s="588">
        <v>2</v>
      </c>
      <c r="M240" s="192">
        <f>IF( OR( ISBLANK(H240),ISBLANK(I240), ISBLANK(J240), ISBLANK(K240), ISBLANK(L240) ), "", 1.5*SQRT( EXP(2.21*(H240-1)) + EXP(2.21*(I240-1)) + EXP(2.21*(J240-1)) + EXP(2.21*(K240-1)) + EXP(2.21*L240) )/100*2.45 )</f>
        <v>0.48935255543384243</v>
      </c>
      <c r="N240" s="586"/>
    </row>
    <row r="241" spans="1:14" hidden="1" x14ac:dyDescent="0.2">
      <c r="A241" s="66" t="s">
        <v>144</v>
      </c>
      <c r="B241" s="590" t="s">
        <v>348</v>
      </c>
      <c r="C241" s="736" t="s">
        <v>60</v>
      </c>
      <c r="D241" s="591" t="s">
        <v>135</v>
      </c>
      <c r="E241" s="130">
        <v>0</v>
      </c>
      <c r="F241" s="103" t="s">
        <v>346</v>
      </c>
      <c r="G241" s="104" t="s">
        <v>16</v>
      </c>
      <c r="H241" s="130"/>
      <c r="I241" s="130"/>
      <c r="J241" s="130"/>
      <c r="K241" s="130"/>
      <c r="L241" s="131"/>
      <c r="M241" s="132" t="str">
        <f>IF( OR( ISBLANK(H241),ISBLANK(I241), ISBLANK(J241), ISBLANK(K241), ISBLANK(L241) ), "", 1.5*SQRT(   EXP(2.21*(H241-1)) + EXP(2.21*(I241-1)) + EXP(2.21*(J241-1)) + EXP(2.21*(K241-1)) + EXP(2.21*L241)   )/100*2.45 )</f>
        <v/>
      </c>
      <c r="N241" s="592"/>
    </row>
    <row r="242" spans="1:14" x14ac:dyDescent="0.2">
      <c r="A242" s="53" t="s">
        <v>145</v>
      </c>
      <c r="B242" s="584" t="s">
        <v>345</v>
      </c>
      <c r="C242" s="222" t="s">
        <v>135</v>
      </c>
      <c r="D242" s="190" t="s">
        <v>135</v>
      </c>
      <c r="E242" s="116">
        <v>0</v>
      </c>
      <c r="F242" s="117"/>
      <c r="G242" s="95" t="s">
        <v>16</v>
      </c>
      <c r="H242" s="116"/>
      <c r="I242" s="116"/>
      <c r="J242" s="116"/>
      <c r="K242" s="116"/>
      <c r="L242" s="118"/>
      <c r="M242" s="119" t="str">
        <f>IF( OR( ISBLANK(H242),ISBLANK(I242), ISBLANK(J242), ISBLANK(K242), ISBLANK(L242) ), "", 1.5*SQRT( EXP(2.21*(H242-1)) + EXP(2.21*(I242-1)) + EXP(2.21*(J242-1)) + EXP(2.21*(K242-1)) + EXP(2.21*L242) )/100*2.45 )</f>
        <v/>
      </c>
      <c r="N242" s="586"/>
    </row>
    <row r="243" spans="1:14" x14ac:dyDescent="0.2">
      <c r="A243" s="53" t="s">
        <v>145</v>
      </c>
      <c r="B243" s="584" t="s">
        <v>347</v>
      </c>
      <c r="C243" s="222" t="s">
        <v>135</v>
      </c>
      <c r="D243" s="190" t="s">
        <v>135</v>
      </c>
      <c r="E243" s="116">
        <v>0</v>
      </c>
      <c r="F243" s="117"/>
      <c r="G243" s="95" t="s">
        <v>16</v>
      </c>
      <c r="H243" s="116"/>
      <c r="I243" s="116"/>
      <c r="J243" s="116"/>
      <c r="K243" s="116"/>
      <c r="L243" s="118"/>
      <c r="M243" s="119" t="str">
        <f>IF( OR( ISBLANK(H243),ISBLANK(I243), ISBLANK(J243), ISBLANK(K243), ISBLANK(L243) ), "", 1.5*SQRT( EXP(2.21*(H243-1)) + EXP(2.21*(I243-1)) + EXP(2.21*(J243-1)) + EXP(2.21*(K243-1)) + EXP(2.21*L243) )/100*2.45 )</f>
        <v/>
      </c>
      <c r="N243" s="586"/>
    </row>
    <row r="244" spans="1:14" x14ac:dyDescent="0.2">
      <c r="A244" s="66" t="s">
        <v>145</v>
      </c>
      <c r="B244" s="590" t="s">
        <v>348</v>
      </c>
      <c r="C244" s="238" t="s">
        <v>135</v>
      </c>
      <c r="D244" s="591" t="str">
        <f>D243</f>
        <v>any</v>
      </c>
      <c r="E244" s="130">
        <v>1</v>
      </c>
      <c r="F244" s="103"/>
      <c r="G244" s="104" t="s">
        <v>16</v>
      </c>
      <c r="H244" s="130"/>
      <c r="I244" s="130"/>
      <c r="J244" s="130"/>
      <c r="K244" s="130"/>
      <c r="L244" s="131"/>
      <c r="M244" s="132" t="str">
        <f>IF( OR( ISBLANK(H244),ISBLANK(I244), ISBLANK(J244), ISBLANK(K244), ISBLANK(L244) ), "", 1.5*SQRT(   EXP(2.21*(H244-1)) + EXP(2.21*(I244-1)) + EXP(2.21*(J244-1)) + EXP(2.21*(K244-1)) + EXP(2.21*L244)   )/100*2.45 )</f>
        <v/>
      </c>
      <c r="N244" s="592"/>
    </row>
    <row r="245" spans="1:14" x14ac:dyDescent="0.2">
      <c r="A245" s="53" t="s">
        <v>147</v>
      </c>
      <c r="B245" s="174" t="s">
        <v>349</v>
      </c>
      <c r="C245" s="137" t="s">
        <v>135</v>
      </c>
      <c r="D245" s="115" t="s">
        <v>14</v>
      </c>
      <c r="E245" s="150">
        <v>9.5868124818025119E-2</v>
      </c>
      <c r="F245" s="117" t="s">
        <v>341</v>
      </c>
      <c r="G245" s="95" t="s">
        <v>16</v>
      </c>
      <c r="H245" s="112">
        <v>2</v>
      </c>
      <c r="I245" s="112">
        <v>2</v>
      </c>
      <c r="J245" s="112">
        <v>1</v>
      </c>
      <c r="K245" s="112">
        <v>1</v>
      </c>
      <c r="L245" s="96">
        <v>1</v>
      </c>
      <c r="M245" s="123">
        <f>IF( OR( ISBLANK(H245),ISBLANK(I245), ISBLANK(J245), ISBLANK(K245), ISBLANK(L245) ), "", 1.5*SQRT(   EXP(2.21*(H245-1)) + EXP(2.21*(I245-1)) + EXP(2.21*(J245-1)) + EXP(2.21*(K245-1)) + EXP(2.21*L245)   )/100*2.45 )</f>
        <v>0.19908580854301616</v>
      </c>
      <c r="N245" s="120"/>
    </row>
    <row r="246" spans="1:14" x14ac:dyDescent="0.2">
      <c r="A246" s="53" t="s">
        <v>147</v>
      </c>
      <c r="B246" s="174" t="s">
        <v>349</v>
      </c>
      <c r="C246" s="137" t="s">
        <v>135</v>
      </c>
      <c r="D246" s="121" t="s">
        <v>62</v>
      </c>
      <c r="E246" s="150">
        <v>0.23437295865459221</v>
      </c>
      <c r="F246" s="117" t="s">
        <v>341</v>
      </c>
      <c r="G246" s="95" t="s">
        <v>16</v>
      </c>
      <c r="H246" s="112">
        <v>2</v>
      </c>
      <c r="I246" s="112">
        <v>2</v>
      </c>
      <c r="J246" s="112">
        <v>1</v>
      </c>
      <c r="K246" s="112">
        <v>1</v>
      </c>
      <c r="L246" s="96">
        <v>1</v>
      </c>
      <c r="M246" s="123">
        <f t="shared" ref="M246:M289" si="7">IF( OR( ISBLANK(H246),ISBLANK(I246), ISBLANK(J246), ISBLANK(K246), ISBLANK(L246) ), "", 1.5*SQRT( EXP(2.21*(H246-1)) + EXP(2.21*(I246-1)) + EXP(2.21*(J246-1)) + EXP(2.21*(K246-1)) + EXP(2.21*L246) )/100*2.45 )</f>
        <v>0.19908580854301616</v>
      </c>
      <c r="N246" s="120"/>
    </row>
    <row r="247" spans="1:14" x14ac:dyDescent="0.2">
      <c r="A247" s="53" t="s">
        <v>147</v>
      </c>
      <c r="B247" s="174" t="s">
        <v>349</v>
      </c>
      <c r="C247" s="137" t="s">
        <v>135</v>
      </c>
      <c r="D247" s="124" t="s">
        <v>64</v>
      </c>
      <c r="E247" s="177">
        <v>0.1135681594234583</v>
      </c>
      <c r="F247" s="117" t="s">
        <v>341</v>
      </c>
      <c r="G247" s="95" t="s">
        <v>16</v>
      </c>
      <c r="H247" s="112">
        <v>2</v>
      </c>
      <c r="I247" s="112">
        <v>2</v>
      </c>
      <c r="J247" s="112">
        <v>1</v>
      </c>
      <c r="K247" s="112">
        <v>1</v>
      </c>
      <c r="L247" s="96">
        <v>1</v>
      </c>
      <c r="M247" s="123">
        <f t="shared" si="7"/>
        <v>0.19908580854301616</v>
      </c>
      <c r="N247" s="120"/>
    </row>
    <row r="248" spans="1:14" x14ac:dyDescent="0.2">
      <c r="A248" s="53" t="s">
        <v>147</v>
      </c>
      <c r="B248" s="174" t="s">
        <v>349</v>
      </c>
      <c r="C248" s="137" t="s">
        <v>135</v>
      </c>
      <c r="D248" s="125" t="s">
        <v>66</v>
      </c>
      <c r="E248" s="177">
        <v>0.1858922204365982</v>
      </c>
      <c r="F248" s="117" t="s">
        <v>341</v>
      </c>
      <c r="G248" s="95" t="s">
        <v>16</v>
      </c>
      <c r="H248" s="112">
        <v>2</v>
      </c>
      <c r="I248" s="112">
        <v>2</v>
      </c>
      <c r="J248" s="112">
        <v>1</v>
      </c>
      <c r="K248" s="112">
        <v>1</v>
      </c>
      <c r="L248" s="96">
        <v>1</v>
      </c>
      <c r="M248" s="123">
        <f t="shared" si="7"/>
        <v>0.19908580854301616</v>
      </c>
      <c r="N248" s="120"/>
    </row>
    <row r="249" spans="1:14" x14ac:dyDescent="0.2">
      <c r="A249" s="53" t="s">
        <v>147</v>
      </c>
      <c r="B249" s="174" t="s">
        <v>349</v>
      </c>
      <c r="C249" s="137" t="s">
        <v>135</v>
      </c>
      <c r="D249" s="126" t="s">
        <v>94</v>
      </c>
      <c r="E249" s="150">
        <v>0.4813622694907323</v>
      </c>
      <c r="F249" s="117" t="s">
        <v>341</v>
      </c>
      <c r="G249" s="95" t="s">
        <v>16</v>
      </c>
      <c r="H249" s="112">
        <v>2</v>
      </c>
      <c r="I249" s="112">
        <v>2</v>
      </c>
      <c r="J249" s="112">
        <v>1</v>
      </c>
      <c r="K249" s="112">
        <v>1</v>
      </c>
      <c r="L249" s="96">
        <v>1</v>
      </c>
      <c r="M249" s="123">
        <f t="shared" si="7"/>
        <v>0.19908580854301616</v>
      </c>
      <c r="N249" s="120"/>
    </row>
    <row r="250" spans="1:14" x14ac:dyDescent="0.2">
      <c r="A250" s="53" t="s">
        <v>147</v>
      </c>
      <c r="B250" s="174" t="s">
        <v>349</v>
      </c>
      <c r="C250" s="137" t="s">
        <v>135</v>
      </c>
      <c r="D250" s="127" t="s">
        <v>96</v>
      </c>
      <c r="E250" s="150">
        <v>0.13075002266112351</v>
      </c>
      <c r="F250" s="117" t="s">
        <v>341</v>
      </c>
      <c r="G250" s="95" t="s">
        <v>16</v>
      </c>
      <c r="H250" s="112">
        <v>2</v>
      </c>
      <c r="I250" s="112">
        <v>2</v>
      </c>
      <c r="J250" s="112">
        <v>1</v>
      </c>
      <c r="K250" s="112">
        <v>1</v>
      </c>
      <c r="L250" s="96">
        <v>1</v>
      </c>
      <c r="M250" s="123">
        <f t="shared" si="7"/>
        <v>0.19908580854301616</v>
      </c>
      <c r="N250" s="120"/>
    </row>
    <row r="251" spans="1:14" x14ac:dyDescent="0.2">
      <c r="A251" s="53" t="s">
        <v>147</v>
      </c>
      <c r="B251" s="174" t="s">
        <v>349</v>
      </c>
      <c r="C251" s="137" t="s">
        <v>135</v>
      </c>
      <c r="D251" s="128" t="s">
        <v>98</v>
      </c>
      <c r="E251" s="150">
        <v>6.7571986033567705E-2</v>
      </c>
      <c r="F251" s="117" t="s">
        <v>342</v>
      </c>
      <c r="G251" s="95" t="s">
        <v>16</v>
      </c>
      <c r="H251" s="112">
        <v>2</v>
      </c>
      <c r="I251" s="112">
        <v>2</v>
      </c>
      <c r="J251" s="112">
        <v>1</v>
      </c>
      <c r="K251" s="112">
        <v>1</v>
      </c>
      <c r="L251" s="96">
        <v>1</v>
      </c>
      <c r="M251" s="123">
        <f t="shared" si="7"/>
        <v>0.19908580854301616</v>
      </c>
      <c r="N251" s="120"/>
    </row>
    <row r="252" spans="1:14" x14ac:dyDescent="0.2">
      <c r="A252" s="53" t="s">
        <v>147</v>
      </c>
      <c r="B252" s="174" t="s">
        <v>350</v>
      </c>
      <c r="C252" s="137" t="s">
        <v>135</v>
      </c>
      <c r="D252" s="92" t="s">
        <v>135</v>
      </c>
      <c r="E252" s="178">
        <v>0</v>
      </c>
      <c r="F252" s="117"/>
      <c r="G252" s="95" t="s">
        <v>16</v>
      </c>
      <c r="H252" s="116"/>
      <c r="I252" s="116"/>
      <c r="J252" s="116"/>
      <c r="K252" s="116"/>
      <c r="L252" s="118"/>
      <c r="M252" s="119" t="str">
        <f t="shared" si="7"/>
        <v/>
      </c>
      <c r="N252" s="120" t="s">
        <v>351</v>
      </c>
    </row>
    <row r="253" spans="1:14" x14ac:dyDescent="0.2">
      <c r="A253" s="53" t="s">
        <v>147</v>
      </c>
      <c r="B253" s="174" t="s">
        <v>352</v>
      </c>
      <c r="C253" s="137" t="s">
        <v>135</v>
      </c>
      <c r="D253" s="115" t="s">
        <v>14</v>
      </c>
      <c r="E253" s="152">
        <v>8.5504078908289691E-2</v>
      </c>
      <c r="F253" s="117" t="s">
        <v>343</v>
      </c>
      <c r="G253" s="95" t="s">
        <v>16</v>
      </c>
      <c r="H253" s="112">
        <v>2</v>
      </c>
      <c r="I253" s="112">
        <v>2</v>
      </c>
      <c r="J253" s="112">
        <v>1</v>
      </c>
      <c r="K253" s="112">
        <v>1</v>
      </c>
      <c r="L253" s="96">
        <v>1</v>
      </c>
      <c r="M253" s="123">
        <f t="shared" si="7"/>
        <v>0.19908580854301616</v>
      </c>
      <c r="N253" s="120"/>
    </row>
    <row r="254" spans="1:14" x14ac:dyDescent="0.2">
      <c r="A254" s="148" t="s">
        <v>147</v>
      </c>
      <c r="B254" s="174" t="s">
        <v>352</v>
      </c>
      <c r="C254" s="137" t="s">
        <v>135</v>
      </c>
      <c r="D254" s="121" t="s">
        <v>62</v>
      </c>
      <c r="E254" s="152">
        <v>6.3975981160527801E-2</v>
      </c>
      <c r="F254" s="117" t="s">
        <v>344</v>
      </c>
      <c r="G254" s="95" t="s">
        <v>16</v>
      </c>
      <c r="H254" s="112">
        <v>2</v>
      </c>
      <c r="I254" s="112">
        <v>2</v>
      </c>
      <c r="J254" s="112">
        <v>1</v>
      </c>
      <c r="K254" s="112">
        <v>1</v>
      </c>
      <c r="L254" s="96">
        <v>1</v>
      </c>
      <c r="M254" s="123">
        <f t="shared" si="7"/>
        <v>0.19908580854301616</v>
      </c>
      <c r="N254" s="120"/>
    </row>
    <row r="255" spans="1:14" x14ac:dyDescent="0.2">
      <c r="A255" s="148" t="s">
        <v>147</v>
      </c>
      <c r="B255" s="174" t="s">
        <v>352</v>
      </c>
      <c r="C255" s="137" t="s">
        <v>135</v>
      </c>
      <c r="D255" s="124" t="s">
        <v>64</v>
      </c>
      <c r="E255" s="152">
        <v>9.8739336366038821E-2</v>
      </c>
      <c r="F255" s="117" t="s">
        <v>353</v>
      </c>
      <c r="G255" s="95" t="s">
        <v>16</v>
      </c>
      <c r="H255" s="112">
        <v>2</v>
      </c>
      <c r="I255" s="112">
        <v>2</v>
      </c>
      <c r="J255" s="112">
        <v>1</v>
      </c>
      <c r="K255" s="112">
        <v>1</v>
      </c>
      <c r="L255" s="96">
        <v>1</v>
      </c>
      <c r="M255" s="123">
        <f t="shared" si="7"/>
        <v>0.19908580854301616</v>
      </c>
      <c r="N255" s="120"/>
    </row>
    <row r="256" spans="1:14" x14ac:dyDescent="0.2">
      <c r="A256" s="148" t="s">
        <v>147</v>
      </c>
      <c r="B256" s="174" t="s">
        <v>352</v>
      </c>
      <c r="C256" s="137" t="s">
        <v>135</v>
      </c>
      <c r="D256" s="125" t="s">
        <v>66</v>
      </c>
      <c r="E256" s="152">
        <v>8.4697634781129225E-2</v>
      </c>
      <c r="F256" s="117" t="s">
        <v>354</v>
      </c>
      <c r="G256" s="95" t="s">
        <v>16</v>
      </c>
      <c r="H256" s="112">
        <v>2</v>
      </c>
      <c r="I256" s="112">
        <v>2</v>
      </c>
      <c r="J256" s="112">
        <v>1</v>
      </c>
      <c r="K256" s="112">
        <v>1</v>
      </c>
      <c r="L256" s="96">
        <v>1</v>
      </c>
      <c r="M256" s="123">
        <f t="shared" si="7"/>
        <v>0.19908580854301616</v>
      </c>
      <c r="N256" s="120"/>
    </row>
    <row r="257" spans="1:14" x14ac:dyDescent="0.2">
      <c r="A257" s="148" t="s">
        <v>147</v>
      </c>
      <c r="B257" s="174" t="s">
        <v>352</v>
      </c>
      <c r="C257" s="137" t="s">
        <v>135</v>
      </c>
      <c r="D257" s="126" t="s">
        <v>94</v>
      </c>
      <c r="E257" s="152">
        <v>5.0351575062708917E-3</v>
      </c>
      <c r="F257" s="117" t="s">
        <v>355</v>
      </c>
      <c r="G257" s="95" t="s">
        <v>16</v>
      </c>
      <c r="H257" s="112">
        <v>2</v>
      </c>
      <c r="I257" s="112">
        <v>2</v>
      </c>
      <c r="J257" s="112">
        <v>1</v>
      </c>
      <c r="K257" s="112">
        <v>1</v>
      </c>
      <c r="L257" s="96">
        <v>1</v>
      </c>
      <c r="M257" s="123">
        <f t="shared" si="7"/>
        <v>0.19908580854301616</v>
      </c>
      <c r="N257" s="120"/>
    </row>
    <row r="258" spans="1:14" x14ac:dyDescent="0.2">
      <c r="A258" s="148" t="s">
        <v>147</v>
      </c>
      <c r="B258" s="174" t="s">
        <v>352</v>
      </c>
      <c r="C258" s="137" t="s">
        <v>135</v>
      </c>
      <c r="D258" s="127" t="s">
        <v>96</v>
      </c>
      <c r="E258" s="152">
        <v>0.110864137897093</v>
      </c>
      <c r="F258" s="117" t="s">
        <v>356</v>
      </c>
      <c r="G258" s="95" t="s">
        <v>16</v>
      </c>
      <c r="H258" s="112">
        <v>2</v>
      </c>
      <c r="I258" s="112">
        <v>2</v>
      </c>
      <c r="J258" s="112">
        <v>1</v>
      </c>
      <c r="K258" s="112">
        <v>1</v>
      </c>
      <c r="L258" s="96">
        <v>1</v>
      </c>
      <c r="M258" s="123">
        <f t="shared" si="7"/>
        <v>0.19908580854301616</v>
      </c>
      <c r="N258" s="120"/>
    </row>
    <row r="259" spans="1:14" x14ac:dyDescent="0.2">
      <c r="A259" s="148" t="s">
        <v>147</v>
      </c>
      <c r="B259" s="174" t="s">
        <v>352</v>
      </c>
      <c r="C259" s="137" t="s">
        <v>135</v>
      </c>
      <c r="D259" s="128" t="s">
        <v>98</v>
      </c>
      <c r="E259" s="152">
        <v>7.503596578747275E-2</v>
      </c>
      <c r="F259" s="117" t="s">
        <v>357</v>
      </c>
      <c r="G259" s="95" t="s">
        <v>16</v>
      </c>
      <c r="H259" s="112">
        <v>2</v>
      </c>
      <c r="I259" s="112">
        <v>2</v>
      </c>
      <c r="J259" s="112">
        <v>1</v>
      </c>
      <c r="K259" s="112">
        <v>1</v>
      </c>
      <c r="L259" s="96">
        <v>1</v>
      </c>
      <c r="M259" s="123">
        <f t="shared" si="7"/>
        <v>0.19908580854301616</v>
      </c>
      <c r="N259" s="120"/>
    </row>
    <row r="260" spans="1:14" x14ac:dyDescent="0.2">
      <c r="A260" s="53" t="s">
        <v>147</v>
      </c>
      <c r="B260" s="174" t="s">
        <v>358</v>
      </c>
      <c r="C260" s="137" t="s">
        <v>135</v>
      </c>
      <c r="D260" s="115" t="s">
        <v>14</v>
      </c>
      <c r="E260" s="151">
        <v>0</v>
      </c>
      <c r="F260" s="117"/>
      <c r="G260" s="95" t="s">
        <v>16</v>
      </c>
      <c r="H260" s="116"/>
      <c r="I260" s="116"/>
      <c r="J260" s="116"/>
      <c r="K260" s="116"/>
      <c r="L260" s="118"/>
      <c r="M260" s="119" t="str">
        <f t="shared" si="7"/>
        <v/>
      </c>
      <c r="N260" s="120"/>
    </row>
    <row r="261" spans="1:14" x14ac:dyDescent="0.2">
      <c r="A261" s="53" t="s">
        <v>147</v>
      </c>
      <c r="B261" s="174" t="s">
        <v>358</v>
      </c>
      <c r="C261" s="137" t="s">
        <v>135</v>
      </c>
      <c r="D261" s="121" t="s">
        <v>62</v>
      </c>
      <c r="E261" s="151">
        <v>0</v>
      </c>
      <c r="F261" s="117"/>
      <c r="G261" s="95" t="s">
        <v>16</v>
      </c>
      <c r="H261" s="116"/>
      <c r="I261" s="116"/>
      <c r="J261" s="116"/>
      <c r="K261" s="116"/>
      <c r="L261" s="118"/>
      <c r="M261" s="119" t="str">
        <f t="shared" si="7"/>
        <v/>
      </c>
      <c r="N261" s="120"/>
    </row>
    <row r="262" spans="1:14" x14ac:dyDescent="0.2">
      <c r="A262" s="53" t="s">
        <v>147</v>
      </c>
      <c r="B262" s="174" t="s">
        <v>358</v>
      </c>
      <c r="C262" s="137" t="s">
        <v>135</v>
      </c>
      <c r="D262" s="124" t="s">
        <v>64</v>
      </c>
      <c r="E262" s="151">
        <v>0</v>
      </c>
      <c r="F262" s="117"/>
      <c r="G262" s="95" t="s">
        <v>16</v>
      </c>
      <c r="H262" s="116"/>
      <c r="I262" s="116"/>
      <c r="J262" s="116"/>
      <c r="K262" s="116"/>
      <c r="L262" s="118"/>
      <c r="M262" s="119" t="str">
        <f t="shared" si="7"/>
        <v/>
      </c>
      <c r="N262" s="120"/>
    </row>
    <row r="263" spans="1:14" x14ac:dyDescent="0.2">
      <c r="A263" s="53" t="s">
        <v>147</v>
      </c>
      <c r="B263" s="174" t="s">
        <v>358</v>
      </c>
      <c r="C263" s="137" t="s">
        <v>135</v>
      </c>
      <c r="D263" s="125" t="s">
        <v>66</v>
      </c>
      <c r="E263" s="151">
        <v>0</v>
      </c>
      <c r="F263" s="117"/>
      <c r="G263" s="95" t="s">
        <v>16</v>
      </c>
      <c r="H263" s="116"/>
      <c r="I263" s="116"/>
      <c r="J263" s="116"/>
      <c r="K263" s="116"/>
      <c r="L263" s="118"/>
      <c r="M263" s="119" t="str">
        <f t="shared" si="7"/>
        <v/>
      </c>
      <c r="N263" s="120"/>
    </row>
    <row r="264" spans="1:14" x14ac:dyDescent="0.2">
      <c r="A264" s="53" t="s">
        <v>147</v>
      </c>
      <c r="B264" s="174" t="s">
        <v>358</v>
      </c>
      <c r="C264" s="137" t="s">
        <v>135</v>
      </c>
      <c r="D264" s="126" t="s">
        <v>94</v>
      </c>
      <c r="E264" s="151">
        <v>0</v>
      </c>
      <c r="F264" s="117"/>
      <c r="G264" s="95" t="s">
        <v>16</v>
      </c>
      <c r="H264" s="116"/>
      <c r="I264" s="116"/>
      <c r="J264" s="116"/>
      <c r="K264" s="116"/>
      <c r="L264" s="118"/>
      <c r="M264" s="119" t="str">
        <f t="shared" si="7"/>
        <v/>
      </c>
      <c r="N264" s="120"/>
    </row>
    <row r="265" spans="1:14" x14ac:dyDescent="0.2">
      <c r="A265" s="53" t="s">
        <v>147</v>
      </c>
      <c r="B265" s="174" t="s">
        <v>358</v>
      </c>
      <c r="C265" s="137" t="s">
        <v>135</v>
      </c>
      <c r="D265" s="127" t="s">
        <v>96</v>
      </c>
      <c r="E265" s="152">
        <v>0.16420000000000001</v>
      </c>
      <c r="F265" s="117" t="s">
        <v>193</v>
      </c>
      <c r="G265" s="95" t="s">
        <v>16</v>
      </c>
      <c r="H265" s="112">
        <v>2</v>
      </c>
      <c r="I265" s="112">
        <v>3</v>
      </c>
      <c r="J265" s="112">
        <v>1</v>
      </c>
      <c r="K265" s="112">
        <v>1</v>
      </c>
      <c r="L265" s="96">
        <v>2</v>
      </c>
      <c r="M265" s="123">
        <f t="shared" si="7"/>
        <v>0.48935255543384243</v>
      </c>
      <c r="N265" s="120"/>
    </row>
    <row r="266" spans="1:14" x14ac:dyDescent="0.2">
      <c r="A266" s="53" t="s">
        <v>147</v>
      </c>
      <c r="B266" s="174" t="s">
        <v>358</v>
      </c>
      <c r="C266" s="137" t="s">
        <v>135</v>
      </c>
      <c r="D266" s="128" t="s">
        <v>98</v>
      </c>
      <c r="E266" s="151">
        <v>0</v>
      </c>
      <c r="F266" s="117"/>
      <c r="G266" s="95" t="s">
        <v>16</v>
      </c>
      <c r="H266" s="116"/>
      <c r="I266" s="116"/>
      <c r="J266" s="116"/>
      <c r="K266" s="116"/>
      <c r="L266" s="118"/>
      <c r="M266" s="119" t="str">
        <f t="shared" si="7"/>
        <v/>
      </c>
      <c r="N266" s="120"/>
    </row>
    <row r="267" spans="1:14" x14ac:dyDescent="0.2">
      <c r="A267" s="53" t="s">
        <v>147</v>
      </c>
      <c r="B267" s="179" t="s">
        <v>359</v>
      </c>
      <c r="C267" s="180" t="s">
        <v>135</v>
      </c>
      <c r="D267" s="181" t="s">
        <v>14</v>
      </c>
      <c r="E267" s="18">
        <v>0</v>
      </c>
      <c r="F267" s="110" t="s">
        <v>360</v>
      </c>
      <c r="G267" s="182" t="s">
        <v>16</v>
      </c>
      <c r="H267" s="18"/>
      <c r="I267" s="18"/>
      <c r="J267" s="18"/>
      <c r="K267" s="18"/>
      <c r="L267" s="183"/>
      <c r="M267" s="184" t="str">
        <f t="shared" si="7"/>
        <v/>
      </c>
      <c r="N267" s="185"/>
    </row>
    <row r="268" spans="1:14" x14ac:dyDescent="0.2">
      <c r="A268" s="53" t="s">
        <v>147</v>
      </c>
      <c r="B268" s="179" t="s">
        <v>359</v>
      </c>
      <c r="C268" s="180" t="s">
        <v>135</v>
      </c>
      <c r="D268" s="186" t="s">
        <v>62</v>
      </c>
      <c r="E268" s="187">
        <v>2.5101610439999999E-4</v>
      </c>
      <c r="F268" s="188" t="s">
        <v>360</v>
      </c>
      <c r="G268" s="189"/>
      <c r="H268" s="190">
        <v>2</v>
      </c>
      <c r="I268" s="190">
        <v>2</v>
      </c>
      <c r="J268" s="190">
        <v>3</v>
      </c>
      <c r="K268" s="190">
        <v>3</v>
      </c>
      <c r="L268" s="191">
        <v>3</v>
      </c>
      <c r="M268" s="192">
        <f t="shared" si="7"/>
        <v>1.1278755061256258</v>
      </c>
      <c r="N268" s="185"/>
    </row>
    <row r="269" spans="1:14" x14ac:dyDescent="0.2">
      <c r="A269" s="53" t="s">
        <v>147</v>
      </c>
      <c r="B269" s="179" t="s">
        <v>359</v>
      </c>
      <c r="C269" s="180" t="s">
        <v>135</v>
      </c>
      <c r="D269" s="193" t="s">
        <v>64</v>
      </c>
      <c r="E269" s="187">
        <v>2.5955140000000001E-7</v>
      </c>
      <c r="F269" s="188" t="s">
        <v>360</v>
      </c>
      <c r="G269" s="189"/>
      <c r="H269" s="190">
        <v>2</v>
      </c>
      <c r="I269" s="190">
        <v>2</v>
      </c>
      <c r="J269" s="190">
        <v>3</v>
      </c>
      <c r="K269" s="190">
        <v>3</v>
      </c>
      <c r="L269" s="191">
        <v>3</v>
      </c>
      <c r="M269" s="192">
        <f t="shared" si="7"/>
        <v>1.1278755061256258</v>
      </c>
      <c r="N269" s="185"/>
    </row>
    <row r="270" spans="1:14" x14ac:dyDescent="0.2">
      <c r="A270" s="53" t="s">
        <v>147</v>
      </c>
      <c r="B270" s="179" t="s">
        <v>359</v>
      </c>
      <c r="C270" s="180" t="s">
        <v>135</v>
      </c>
      <c r="D270" s="194" t="s">
        <v>66</v>
      </c>
      <c r="E270" s="18">
        <v>0</v>
      </c>
      <c r="F270" s="110" t="s">
        <v>360</v>
      </c>
      <c r="G270" s="182" t="s">
        <v>16</v>
      </c>
      <c r="H270" s="18"/>
      <c r="I270" s="18"/>
      <c r="J270" s="18"/>
      <c r="K270" s="18"/>
      <c r="L270" s="183"/>
      <c r="M270" s="184" t="str">
        <f t="shared" si="7"/>
        <v/>
      </c>
      <c r="N270" s="185"/>
    </row>
    <row r="271" spans="1:14" x14ac:dyDescent="0.2">
      <c r="A271" s="53" t="s">
        <v>147</v>
      </c>
      <c r="B271" s="179" t="s">
        <v>359</v>
      </c>
      <c r="C271" s="180" t="s">
        <v>135</v>
      </c>
      <c r="D271" s="195" t="s">
        <v>94</v>
      </c>
      <c r="E271" s="18">
        <v>0</v>
      </c>
      <c r="F271" s="110" t="s">
        <v>360</v>
      </c>
      <c r="G271" s="182" t="s">
        <v>16</v>
      </c>
      <c r="H271" s="18"/>
      <c r="I271" s="18"/>
      <c r="J271" s="18"/>
      <c r="K271" s="18"/>
      <c r="L271" s="183"/>
      <c r="M271" s="184" t="str">
        <f t="shared" si="7"/>
        <v/>
      </c>
      <c r="N271" s="185"/>
    </row>
    <row r="272" spans="1:14" x14ac:dyDescent="0.2">
      <c r="A272" s="53" t="s">
        <v>147</v>
      </c>
      <c r="B272" s="179" t="s">
        <v>359</v>
      </c>
      <c r="C272" s="180" t="s">
        <v>135</v>
      </c>
      <c r="D272" s="196" t="s">
        <v>96</v>
      </c>
      <c r="E272" s="18">
        <v>0</v>
      </c>
      <c r="F272" s="110" t="s">
        <v>360</v>
      </c>
      <c r="G272" s="182" t="s">
        <v>16</v>
      </c>
      <c r="H272" s="18"/>
      <c r="I272" s="18"/>
      <c r="J272" s="18"/>
      <c r="K272" s="18"/>
      <c r="L272" s="183"/>
      <c r="M272" s="184" t="str">
        <f t="shared" si="7"/>
        <v/>
      </c>
      <c r="N272" s="185"/>
    </row>
    <row r="273" spans="1:14" x14ac:dyDescent="0.2">
      <c r="A273" s="53" t="s">
        <v>147</v>
      </c>
      <c r="B273" s="179" t="s">
        <v>359</v>
      </c>
      <c r="C273" s="180" t="s">
        <v>135</v>
      </c>
      <c r="D273" s="197" t="s">
        <v>98</v>
      </c>
      <c r="E273" s="187">
        <v>1.0826287900000001E-5</v>
      </c>
      <c r="F273" s="188" t="s">
        <v>360</v>
      </c>
      <c r="G273" s="189" t="s">
        <v>16</v>
      </c>
      <c r="H273" s="190">
        <v>2</v>
      </c>
      <c r="I273" s="190">
        <v>2</v>
      </c>
      <c r="J273" s="190">
        <v>3</v>
      </c>
      <c r="K273" s="190">
        <v>3</v>
      </c>
      <c r="L273" s="191">
        <v>3</v>
      </c>
      <c r="M273" s="25">
        <f t="shared" si="7"/>
        <v>1.1278755061256258</v>
      </c>
      <c r="N273" s="185"/>
    </row>
    <row r="274" spans="1:14" x14ac:dyDescent="0.2">
      <c r="A274" s="148" t="s">
        <v>147</v>
      </c>
      <c r="B274" s="174" t="s">
        <v>361</v>
      </c>
      <c r="C274" s="137" t="s">
        <v>135</v>
      </c>
      <c r="D274" s="115" t="s">
        <v>14</v>
      </c>
      <c r="E274" s="198">
        <v>6.2833739999999997E-5</v>
      </c>
      <c r="F274" s="188" t="s">
        <v>360</v>
      </c>
      <c r="G274" s="95" t="s">
        <v>16</v>
      </c>
      <c r="H274" s="112">
        <v>2</v>
      </c>
      <c r="I274" s="112">
        <v>2</v>
      </c>
      <c r="J274" s="112">
        <v>3</v>
      </c>
      <c r="K274" s="112">
        <v>2</v>
      </c>
      <c r="L274" s="96">
        <v>2</v>
      </c>
      <c r="M274" s="123">
        <f t="shared" si="7"/>
        <v>0.51126068492676302</v>
      </c>
      <c r="N274" s="120"/>
    </row>
    <row r="275" spans="1:14" x14ac:dyDescent="0.2">
      <c r="A275" s="148" t="s">
        <v>147</v>
      </c>
      <c r="B275" s="174" t="s">
        <v>361</v>
      </c>
      <c r="C275" s="137" t="s">
        <v>135</v>
      </c>
      <c r="D275" s="121" t="s">
        <v>62</v>
      </c>
      <c r="E275" s="199">
        <v>0</v>
      </c>
      <c r="F275" s="117"/>
      <c r="G275" s="95"/>
      <c r="H275" s="116"/>
      <c r="I275" s="116"/>
      <c r="J275" s="116"/>
      <c r="K275" s="116"/>
      <c r="L275" s="118"/>
      <c r="M275" s="119" t="str">
        <f t="shared" si="7"/>
        <v/>
      </c>
      <c r="N275" s="120"/>
    </row>
    <row r="276" spans="1:14" x14ac:dyDescent="0.2">
      <c r="A276" s="148" t="s">
        <v>147</v>
      </c>
      <c r="B276" s="174" t="s">
        <v>361</v>
      </c>
      <c r="C276" s="137" t="s">
        <v>135</v>
      </c>
      <c r="D276" s="124" t="s">
        <v>64</v>
      </c>
      <c r="E276" s="199">
        <v>0</v>
      </c>
      <c r="F276" s="117"/>
      <c r="G276" s="95"/>
      <c r="H276" s="116"/>
      <c r="I276" s="116"/>
      <c r="J276" s="116"/>
      <c r="K276" s="116"/>
      <c r="L276" s="118"/>
      <c r="M276" s="119" t="str">
        <f t="shared" si="7"/>
        <v/>
      </c>
      <c r="N276" s="120"/>
    </row>
    <row r="277" spans="1:14" x14ac:dyDescent="0.2">
      <c r="A277" s="148" t="s">
        <v>147</v>
      </c>
      <c r="B277" s="174" t="s">
        <v>361</v>
      </c>
      <c r="C277" s="137" t="s">
        <v>135</v>
      </c>
      <c r="D277" s="125" t="s">
        <v>66</v>
      </c>
      <c r="E277" s="199">
        <v>0</v>
      </c>
      <c r="F277" s="117"/>
      <c r="G277" s="95"/>
      <c r="H277" s="116"/>
      <c r="I277" s="116"/>
      <c r="J277" s="116"/>
      <c r="K277" s="116"/>
      <c r="L277" s="118"/>
      <c r="M277" s="119" t="str">
        <f t="shared" si="7"/>
        <v/>
      </c>
      <c r="N277" s="120"/>
    </row>
    <row r="278" spans="1:14" x14ac:dyDescent="0.2">
      <c r="A278" s="148" t="s">
        <v>147</v>
      </c>
      <c r="B278" s="174" t="s">
        <v>361</v>
      </c>
      <c r="C278" s="137" t="s">
        <v>135</v>
      </c>
      <c r="D278" s="126" t="s">
        <v>94</v>
      </c>
      <c r="E278" s="199">
        <v>0</v>
      </c>
      <c r="F278" s="117"/>
      <c r="G278" s="95"/>
      <c r="H278" s="116"/>
      <c r="I278" s="116"/>
      <c r="J278" s="116"/>
      <c r="K278" s="116"/>
      <c r="L278" s="118"/>
      <c r="M278" s="119" t="str">
        <f t="shared" si="7"/>
        <v/>
      </c>
      <c r="N278" s="120"/>
    </row>
    <row r="279" spans="1:14" x14ac:dyDescent="0.2">
      <c r="A279" s="148" t="s">
        <v>147</v>
      </c>
      <c r="B279" s="174" t="s">
        <v>361</v>
      </c>
      <c r="C279" s="137" t="s">
        <v>135</v>
      </c>
      <c r="D279" s="127" t="s">
        <v>96</v>
      </c>
      <c r="E279" s="199">
        <v>0</v>
      </c>
      <c r="F279" s="117"/>
      <c r="G279" s="95"/>
      <c r="H279" s="116"/>
      <c r="I279" s="116"/>
      <c r="J279" s="116"/>
      <c r="K279" s="116"/>
      <c r="L279" s="118"/>
      <c r="M279" s="119" t="str">
        <f t="shared" si="7"/>
        <v/>
      </c>
      <c r="N279" s="120"/>
    </row>
    <row r="280" spans="1:14" x14ac:dyDescent="0.2">
      <c r="A280" s="148" t="s">
        <v>147</v>
      </c>
      <c r="B280" s="174" t="s">
        <v>361</v>
      </c>
      <c r="C280" s="137" t="s">
        <v>135</v>
      </c>
      <c r="D280" s="128" t="s">
        <v>98</v>
      </c>
      <c r="E280" s="199">
        <v>0</v>
      </c>
      <c r="F280" s="117"/>
      <c r="G280" s="95"/>
      <c r="H280" s="116"/>
      <c r="I280" s="116"/>
      <c r="J280" s="116"/>
      <c r="K280" s="116"/>
      <c r="L280" s="118"/>
      <c r="M280" s="119" t="str">
        <f t="shared" si="7"/>
        <v/>
      </c>
      <c r="N280" s="120"/>
    </row>
    <row r="281" spans="1:14" x14ac:dyDescent="0.2">
      <c r="A281" s="53" t="s">
        <v>147</v>
      </c>
      <c r="B281" s="174" t="s">
        <v>362</v>
      </c>
      <c r="C281" s="137" t="s">
        <v>135</v>
      </c>
      <c r="D281" s="115" t="s">
        <v>14</v>
      </c>
      <c r="E281" s="151" t="s">
        <v>188</v>
      </c>
      <c r="F281" s="117"/>
      <c r="G281" s="95" t="s">
        <v>16</v>
      </c>
      <c r="H281" s="116"/>
      <c r="I281" s="116"/>
      <c r="J281" s="116"/>
      <c r="K281" s="116"/>
      <c r="L281" s="118"/>
      <c r="M281" s="119" t="str">
        <f t="shared" si="7"/>
        <v/>
      </c>
      <c r="N281" s="120"/>
    </row>
    <row r="282" spans="1:14" x14ac:dyDescent="0.2">
      <c r="A282" s="53" t="s">
        <v>147</v>
      </c>
      <c r="B282" s="174" t="s">
        <v>362</v>
      </c>
      <c r="C282" s="137" t="s">
        <v>135</v>
      </c>
      <c r="D282" s="121" t="s">
        <v>62</v>
      </c>
      <c r="E282" s="151" t="s">
        <v>188</v>
      </c>
      <c r="F282" s="117"/>
      <c r="G282" s="95" t="s">
        <v>16</v>
      </c>
      <c r="H282" s="116"/>
      <c r="I282" s="116"/>
      <c r="J282" s="116"/>
      <c r="K282" s="116"/>
      <c r="L282" s="118"/>
      <c r="M282" s="119" t="str">
        <f t="shared" si="7"/>
        <v/>
      </c>
      <c r="N282" s="120"/>
    </row>
    <row r="283" spans="1:14" x14ac:dyDescent="0.2">
      <c r="A283" s="53" t="s">
        <v>147</v>
      </c>
      <c r="B283" s="174" t="s">
        <v>362</v>
      </c>
      <c r="C283" s="137" t="s">
        <v>135</v>
      </c>
      <c r="D283" s="124" t="s">
        <v>64</v>
      </c>
      <c r="E283" s="151" t="s">
        <v>188</v>
      </c>
      <c r="F283" s="117"/>
      <c r="G283" s="95" t="s">
        <v>16</v>
      </c>
      <c r="H283" s="116"/>
      <c r="I283" s="116"/>
      <c r="J283" s="116"/>
      <c r="K283" s="116"/>
      <c r="L283" s="118"/>
      <c r="M283" s="119" t="str">
        <f t="shared" si="7"/>
        <v/>
      </c>
      <c r="N283" s="120"/>
    </row>
    <row r="284" spans="1:14" x14ac:dyDescent="0.2">
      <c r="A284" s="53" t="s">
        <v>147</v>
      </c>
      <c r="B284" s="174" t="s">
        <v>362</v>
      </c>
      <c r="C284" s="137" t="s">
        <v>135</v>
      </c>
      <c r="D284" s="125" t="s">
        <v>66</v>
      </c>
      <c r="E284" s="151" t="s">
        <v>188</v>
      </c>
      <c r="F284" s="117"/>
      <c r="G284" s="95" t="s">
        <v>16</v>
      </c>
      <c r="H284" s="116"/>
      <c r="I284" s="116"/>
      <c r="J284" s="116"/>
      <c r="K284" s="116"/>
      <c r="L284" s="118"/>
      <c r="M284" s="119" t="str">
        <f t="shared" si="7"/>
        <v/>
      </c>
      <c r="N284" s="120"/>
    </row>
    <row r="285" spans="1:14" x14ac:dyDescent="0.2">
      <c r="A285" s="53" t="s">
        <v>147</v>
      </c>
      <c r="B285" s="174" t="s">
        <v>362</v>
      </c>
      <c r="C285" s="137" t="s">
        <v>135</v>
      </c>
      <c r="D285" s="126" t="s">
        <v>94</v>
      </c>
      <c r="E285" s="151" t="s">
        <v>188</v>
      </c>
      <c r="F285" s="117"/>
      <c r="G285" s="95" t="s">
        <v>16</v>
      </c>
      <c r="H285" s="116"/>
      <c r="I285" s="116"/>
      <c r="J285" s="116"/>
      <c r="K285" s="116"/>
      <c r="L285" s="118"/>
      <c r="M285" s="119" t="str">
        <f t="shared" si="7"/>
        <v/>
      </c>
      <c r="N285" s="120"/>
    </row>
    <row r="286" spans="1:14" x14ac:dyDescent="0.2">
      <c r="A286" s="53" t="s">
        <v>147</v>
      </c>
      <c r="B286" s="174" t="s">
        <v>362</v>
      </c>
      <c r="C286" s="137" t="s">
        <v>135</v>
      </c>
      <c r="D286" s="127" t="s">
        <v>96</v>
      </c>
      <c r="E286" s="151" t="s">
        <v>188</v>
      </c>
      <c r="F286" s="117"/>
      <c r="G286" s="95" t="s">
        <v>16</v>
      </c>
      <c r="H286" s="116"/>
      <c r="I286" s="116"/>
      <c r="J286" s="116"/>
      <c r="K286" s="116"/>
      <c r="L286" s="118"/>
      <c r="M286" s="119" t="str">
        <f t="shared" si="7"/>
        <v/>
      </c>
      <c r="N286" s="120"/>
    </row>
    <row r="287" spans="1:14" x14ac:dyDescent="0.2">
      <c r="A287" s="53" t="s">
        <v>147</v>
      </c>
      <c r="B287" s="174" t="s">
        <v>362</v>
      </c>
      <c r="C287" s="155" t="s">
        <v>135</v>
      </c>
      <c r="D287" s="128" t="s">
        <v>98</v>
      </c>
      <c r="E287" s="151" t="s">
        <v>188</v>
      </c>
      <c r="F287" s="117"/>
      <c r="G287" s="95" t="s">
        <v>16</v>
      </c>
      <c r="H287" s="116"/>
      <c r="I287" s="116"/>
      <c r="J287" s="116"/>
      <c r="K287" s="116"/>
      <c r="L287" s="118"/>
      <c r="M287" s="119" t="str">
        <f t="shared" si="7"/>
        <v/>
      </c>
      <c r="N287" s="120"/>
    </row>
    <row r="288" spans="1:14" x14ac:dyDescent="0.2">
      <c r="A288" s="164" t="s">
        <v>149</v>
      </c>
      <c r="B288" s="165" t="s">
        <v>363</v>
      </c>
      <c r="C288" s="155" t="s">
        <v>135</v>
      </c>
      <c r="D288" s="166" t="s">
        <v>135</v>
      </c>
      <c r="E288" s="167">
        <v>1</v>
      </c>
      <c r="F288" s="168"/>
      <c r="G288" s="169"/>
      <c r="H288" s="170"/>
      <c r="I288" s="170"/>
      <c r="J288" s="170"/>
      <c r="K288" s="170"/>
      <c r="L288" s="171"/>
      <c r="M288" s="172" t="str">
        <f t="shared" si="7"/>
        <v/>
      </c>
      <c r="N288" s="173"/>
    </row>
    <row r="289" spans="1:14" x14ac:dyDescent="0.2">
      <c r="A289" s="164" t="s">
        <v>150</v>
      </c>
      <c r="B289" s="165" t="s">
        <v>364</v>
      </c>
      <c r="C289" s="155" t="s">
        <v>135</v>
      </c>
      <c r="D289" s="166" t="s">
        <v>135</v>
      </c>
      <c r="E289" s="167">
        <v>1</v>
      </c>
      <c r="F289" s="168"/>
      <c r="G289" s="169"/>
      <c r="H289" s="170"/>
      <c r="I289" s="170"/>
      <c r="J289" s="170"/>
      <c r="K289" s="170"/>
      <c r="L289" s="171"/>
      <c r="M289" s="172" t="str">
        <f t="shared" si="7"/>
        <v/>
      </c>
      <c r="N289" s="173"/>
    </row>
    <row r="290" spans="1:14" x14ac:dyDescent="0.2">
      <c r="A290" s="200" t="s">
        <v>151</v>
      </c>
      <c r="B290" s="201" t="s">
        <v>365</v>
      </c>
      <c r="C290" s="137" t="s">
        <v>135</v>
      </c>
      <c r="D290" s="202" t="s">
        <v>14</v>
      </c>
      <c r="E290" s="203">
        <v>0</v>
      </c>
      <c r="F290" s="84"/>
      <c r="G290" s="85" t="s">
        <v>16</v>
      </c>
      <c r="H290" s="83"/>
      <c r="I290" s="83"/>
      <c r="J290" s="83"/>
      <c r="K290" s="83"/>
      <c r="L290" s="86"/>
      <c r="M290" s="87"/>
      <c r="N290" s="88"/>
    </row>
    <row r="291" spans="1:14" x14ac:dyDescent="0.2">
      <c r="A291" s="148" t="s">
        <v>151</v>
      </c>
      <c r="B291" s="174" t="s">
        <v>365</v>
      </c>
      <c r="C291" s="137" t="s">
        <v>135</v>
      </c>
      <c r="D291" s="121" t="s">
        <v>62</v>
      </c>
      <c r="E291" s="152">
        <v>0.29180256577516861</v>
      </c>
      <c r="F291" s="117" t="s">
        <v>366</v>
      </c>
      <c r="G291" s="95" t="s">
        <v>16</v>
      </c>
      <c r="H291" s="112">
        <v>2</v>
      </c>
      <c r="I291" s="112">
        <v>3</v>
      </c>
      <c r="J291" s="112">
        <v>3</v>
      </c>
      <c r="K291" s="112">
        <v>1</v>
      </c>
      <c r="L291" s="96">
        <v>2</v>
      </c>
      <c r="M291" s="123">
        <f>IF( OR( ISBLANK(H291),ISBLANK(I291), ISBLANK(J291), ISBLANK(K291), ISBLANK(L291) ), "", 1.5*SQRT(   EXP(2.21*(H291-1)) + EXP(2.21*(I291-1)) + EXP(2.21*(J291-1)) + EXP(2.21*(K291-1)) + EXP(2.21*L291)   )/100*2.45 )</f>
        <v>0.59189702474662764</v>
      </c>
      <c r="N291" s="120"/>
    </row>
    <row r="292" spans="1:14" x14ac:dyDescent="0.2">
      <c r="A292" s="148" t="s">
        <v>151</v>
      </c>
      <c r="B292" s="174" t="s">
        <v>365</v>
      </c>
      <c r="C292" s="137" t="s">
        <v>135</v>
      </c>
      <c r="D292" s="124" t="s">
        <v>64</v>
      </c>
      <c r="E292" s="150">
        <v>0.29180256577516861</v>
      </c>
      <c r="F292" s="117" t="s">
        <v>366</v>
      </c>
      <c r="G292" s="95" t="s">
        <v>16</v>
      </c>
      <c r="H292" s="112">
        <v>2</v>
      </c>
      <c r="I292" s="112">
        <v>3</v>
      </c>
      <c r="J292" s="112">
        <v>1</v>
      </c>
      <c r="K292" s="112">
        <v>1</v>
      </c>
      <c r="L292" s="96">
        <v>2</v>
      </c>
      <c r="M292" s="123">
        <f>IF( OR( ISBLANK(H292),ISBLANK(I292), ISBLANK(J292), ISBLANK(K292), ISBLANK(L292) ), "", 1.5*SQRT(   EXP(2.21*(H292-1)) + EXP(2.21*(I292-1)) + EXP(2.21*(J292-1)) + EXP(2.21*(K292-1)) + EXP(2.21*L292)   )/100*2.45 )</f>
        <v>0.48935255543384243</v>
      </c>
      <c r="N292" s="120"/>
    </row>
    <row r="293" spans="1:14" x14ac:dyDescent="0.2">
      <c r="A293" s="148" t="s">
        <v>151</v>
      </c>
      <c r="B293" s="174" t="s">
        <v>365</v>
      </c>
      <c r="C293" s="137" t="s">
        <v>135</v>
      </c>
      <c r="D293" s="125" t="s">
        <v>66</v>
      </c>
      <c r="E293" s="151">
        <v>0</v>
      </c>
      <c r="F293" s="117"/>
      <c r="G293" s="95" t="s">
        <v>16</v>
      </c>
      <c r="H293" s="116"/>
      <c r="I293" s="116"/>
      <c r="J293" s="116"/>
      <c r="K293" s="116"/>
      <c r="L293" s="118"/>
      <c r="M293" s="119"/>
      <c r="N293" s="120"/>
    </row>
    <row r="294" spans="1:14" x14ac:dyDescent="0.2">
      <c r="A294" s="148" t="s">
        <v>151</v>
      </c>
      <c r="B294" s="174" t="s">
        <v>365</v>
      </c>
      <c r="C294" s="137" t="s">
        <v>135</v>
      </c>
      <c r="D294" s="126" t="s">
        <v>94</v>
      </c>
      <c r="E294" s="151">
        <v>0</v>
      </c>
      <c r="F294" s="117"/>
      <c r="G294" s="95" t="s">
        <v>16</v>
      </c>
      <c r="H294" s="116"/>
      <c r="I294" s="116"/>
      <c r="J294" s="116"/>
      <c r="K294" s="116"/>
      <c r="L294" s="118"/>
      <c r="M294" s="119"/>
      <c r="N294" s="120"/>
    </row>
    <row r="295" spans="1:14" x14ac:dyDescent="0.2">
      <c r="A295" s="148" t="s">
        <v>151</v>
      </c>
      <c r="B295" s="174" t="s">
        <v>365</v>
      </c>
      <c r="C295" s="137" t="s">
        <v>135</v>
      </c>
      <c r="D295" s="127" t="s">
        <v>96</v>
      </c>
      <c r="E295" s="151">
        <v>0</v>
      </c>
      <c r="F295" s="117"/>
      <c r="G295" s="95" t="s">
        <v>16</v>
      </c>
      <c r="H295" s="116"/>
      <c r="I295" s="116"/>
      <c r="J295" s="116"/>
      <c r="K295" s="116"/>
      <c r="L295" s="118"/>
      <c r="M295" s="119"/>
      <c r="N295" s="120"/>
    </row>
    <row r="296" spans="1:14" x14ac:dyDescent="0.2">
      <c r="A296" s="148" t="s">
        <v>151</v>
      </c>
      <c r="B296" s="174" t="s">
        <v>365</v>
      </c>
      <c r="C296" s="137" t="s">
        <v>135</v>
      </c>
      <c r="D296" s="128" t="s">
        <v>98</v>
      </c>
      <c r="E296" s="150">
        <v>6.4000000000000001E-2</v>
      </c>
      <c r="F296" s="117" t="s">
        <v>367</v>
      </c>
      <c r="G296" s="95" t="s">
        <v>16</v>
      </c>
      <c r="H296" s="112">
        <v>4</v>
      </c>
      <c r="I296" s="112">
        <v>3</v>
      </c>
      <c r="J296" s="112">
        <v>3</v>
      </c>
      <c r="K296" s="112">
        <v>1</v>
      </c>
      <c r="L296" s="96">
        <v>2</v>
      </c>
      <c r="M296" s="123">
        <f>IF( OR( ISBLANK(H296),ISBLANK(I296), ISBLANK(J296), ISBLANK(K296), ISBLANK(L296) ), "", 1.5*SQRT(   EXP(2.21*(H296-1)) + EXP(2.21*(I296-1)) + EXP(2.21*(J296-1)) + EXP(2.21*(K296-1)) + EXP(2.21*L296)   )/100*2.45 )</f>
        <v>1.1666438005107913</v>
      </c>
      <c r="N296" s="120"/>
    </row>
    <row r="297" spans="1:14" x14ac:dyDescent="0.2">
      <c r="A297" s="148" t="s">
        <v>151</v>
      </c>
      <c r="B297" s="174" t="s">
        <v>365</v>
      </c>
      <c r="C297" s="137" t="s">
        <v>135</v>
      </c>
      <c r="D297" s="128" t="s">
        <v>98</v>
      </c>
      <c r="E297" s="150">
        <v>7.0000000000000007E-2</v>
      </c>
      <c r="F297" s="117" t="s">
        <v>368</v>
      </c>
      <c r="G297" s="95" t="s">
        <v>16</v>
      </c>
      <c r="H297" s="112">
        <v>4</v>
      </c>
      <c r="I297" s="112">
        <v>3</v>
      </c>
      <c r="J297" s="112">
        <v>3</v>
      </c>
      <c r="K297" s="112">
        <v>1</v>
      </c>
      <c r="L297" s="96">
        <v>2</v>
      </c>
      <c r="M297" s="123">
        <f>IF( OR( ISBLANK(H297),ISBLANK(I297), ISBLANK(J297), ISBLANK(K297), ISBLANK(L297) ), "", 1.5*SQRT(   EXP(2.21*(H297-1)) + EXP(2.21*(I297-1)) + EXP(2.21*(J297-1)) + EXP(2.21*(K297-1)) + EXP(2.21*L297)   )/100*2.45 )</f>
        <v>1.1666438005107913</v>
      </c>
      <c r="N297" s="120"/>
    </row>
    <row r="298" spans="1:14" x14ac:dyDescent="0.2">
      <c r="A298" s="148" t="s">
        <v>151</v>
      </c>
      <c r="B298" s="174" t="s">
        <v>369</v>
      </c>
      <c r="C298" s="137" t="s">
        <v>135</v>
      </c>
      <c r="D298" s="92" t="s">
        <v>135</v>
      </c>
      <c r="E298" s="204">
        <v>0</v>
      </c>
      <c r="F298" s="117"/>
      <c r="G298" s="95"/>
      <c r="H298" s="116"/>
      <c r="I298" s="116"/>
      <c r="J298" s="116"/>
      <c r="K298" s="116"/>
      <c r="L298" s="118"/>
      <c r="M298" s="119"/>
      <c r="N298" s="120" t="s">
        <v>351</v>
      </c>
    </row>
    <row r="299" spans="1:14" x14ac:dyDescent="0.2">
      <c r="A299" s="148" t="s">
        <v>151</v>
      </c>
      <c r="B299" s="174" t="s">
        <v>370</v>
      </c>
      <c r="C299" s="137" t="s">
        <v>135</v>
      </c>
      <c r="D299" s="92" t="s">
        <v>135</v>
      </c>
      <c r="E299" s="204">
        <v>0</v>
      </c>
      <c r="F299" s="117"/>
      <c r="G299" s="95"/>
      <c r="H299" s="116"/>
      <c r="I299" s="116"/>
      <c r="J299" s="116"/>
      <c r="K299" s="116"/>
      <c r="L299" s="118"/>
      <c r="M299" s="119"/>
      <c r="N299" s="120" t="s">
        <v>351</v>
      </c>
    </row>
    <row r="300" spans="1:14" x14ac:dyDescent="0.2">
      <c r="A300" s="148" t="s">
        <v>151</v>
      </c>
      <c r="B300" s="174" t="s">
        <v>371</v>
      </c>
      <c r="C300" s="137" t="s">
        <v>135</v>
      </c>
      <c r="D300" s="92" t="s">
        <v>135</v>
      </c>
      <c r="E300" s="204">
        <v>0</v>
      </c>
      <c r="F300" s="117"/>
      <c r="G300" s="95"/>
      <c r="H300" s="116"/>
      <c r="I300" s="116"/>
      <c r="J300" s="116"/>
      <c r="K300" s="116"/>
      <c r="L300" s="118"/>
      <c r="M300" s="119"/>
      <c r="N300" s="120" t="s">
        <v>351</v>
      </c>
    </row>
    <row r="301" spans="1:14" x14ac:dyDescent="0.2">
      <c r="A301" s="148" t="s">
        <v>151</v>
      </c>
      <c r="B301" s="174" t="s">
        <v>372</v>
      </c>
      <c r="C301" s="137" t="s">
        <v>135</v>
      </c>
      <c r="D301" s="92" t="s">
        <v>135</v>
      </c>
      <c r="E301" s="204">
        <v>0</v>
      </c>
      <c r="F301" s="117"/>
      <c r="G301" s="95"/>
      <c r="H301" s="116"/>
      <c r="I301" s="116"/>
      <c r="J301" s="116"/>
      <c r="K301" s="116"/>
      <c r="L301" s="118"/>
      <c r="M301" s="119"/>
      <c r="N301" s="120" t="s">
        <v>351</v>
      </c>
    </row>
    <row r="302" spans="1:14" x14ac:dyDescent="0.2">
      <c r="A302" s="148" t="s">
        <v>151</v>
      </c>
      <c r="B302" s="174" t="s">
        <v>373</v>
      </c>
      <c r="C302" s="137" t="s">
        <v>135</v>
      </c>
      <c r="D302" s="92" t="s">
        <v>135</v>
      </c>
      <c r="E302" s="204">
        <v>0</v>
      </c>
      <c r="F302" s="117"/>
      <c r="G302" s="95"/>
      <c r="H302" s="116"/>
      <c r="I302" s="116"/>
      <c r="J302" s="116"/>
      <c r="K302" s="116"/>
      <c r="L302" s="118"/>
      <c r="M302" s="119"/>
      <c r="N302" s="120" t="s">
        <v>351</v>
      </c>
    </row>
    <row r="303" spans="1:14" x14ac:dyDescent="0.2">
      <c r="A303" s="53" t="s">
        <v>151</v>
      </c>
      <c r="B303" s="174" t="s">
        <v>374</v>
      </c>
      <c r="C303" s="137" t="s">
        <v>135</v>
      </c>
      <c r="D303" s="115" t="s">
        <v>14</v>
      </c>
      <c r="E303" s="151">
        <v>0</v>
      </c>
      <c r="F303" s="120" t="s">
        <v>338</v>
      </c>
      <c r="G303" s="95" t="s">
        <v>16</v>
      </c>
      <c r="H303" s="116"/>
      <c r="I303" s="116"/>
      <c r="J303" s="116"/>
      <c r="K303" s="116"/>
      <c r="L303" s="118"/>
      <c r="M303" s="119"/>
      <c r="N303" s="120"/>
    </row>
    <row r="304" spans="1:14" x14ac:dyDescent="0.2">
      <c r="A304" s="53" t="s">
        <v>151</v>
      </c>
      <c r="B304" s="174" t="s">
        <v>374</v>
      </c>
      <c r="C304" s="137" t="s">
        <v>135</v>
      </c>
      <c r="D304" s="121" t="s">
        <v>62</v>
      </c>
      <c r="E304" s="150">
        <v>0.3490470993802583</v>
      </c>
      <c r="F304" s="120" t="s">
        <v>338</v>
      </c>
      <c r="G304" s="95" t="s">
        <v>16</v>
      </c>
      <c r="H304" s="112">
        <v>2</v>
      </c>
      <c r="I304" s="112">
        <v>2</v>
      </c>
      <c r="J304" s="112">
        <v>1</v>
      </c>
      <c r="K304" s="112">
        <v>1</v>
      </c>
      <c r="L304" s="96">
        <v>1</v>
      </c>
      <c r="M304" s="123">
        <f>IF( OR( ISBLANK(H304),ISBLANK(I304), ISBLANK(J304), ISBLANK(K304), ISBLANK(L304) ), "", 1.5*SQRT(   EXP(2.21*(H304-1)) + EXP(2.21*(I304-1)) + EXP(2.21*(J304-1)) + EXP(2.21*(K304-1)) + EXP(2.21*L304)   )/100*2.45 )</f>
        <v>0.19908580854301616</v>
      </c>
      <c r="N304" s="120"/>
    </row>
    <row r="305" spans="1:14" x14ac:dyDescent="0.2">
      <c r="A305" s="53" t="s">
        <v>151</v>
      </c>
      <c r="B305" s="174" t="s">
        <v>374</v>
      </c>
      <c r="C305" s="137" t="s">
        <v>135</v>
      </c>
      <c r="D305" s="124" t="s">
        <v>64</v>
      </c>
      <c r="E305" s="150">
        <v>0.16671269844928591</v>
      </c>
      <c r="F305" s="120" t="s">
        <v>338</v>
      </c>
      <c r="G305" s="95" t="s">
        <v>16</v>
      </c>
      <c r="H305" s="112">
        <v>2</v>
      </c>
      <c r="I305" s="112">
        <v>2</v>
      </c>
      <c r="J305" s="112">
        <v>1</v>
      </c>
      <c r="K305" s="112">
        <v>1</v>
      </c>
      <c r="L305" s="96">
        <v>1</v>
      </c>
      <c r="M305" s="123">
        <f>IF( OR( ISBLANK(H305),ISBLANK(I305), ISBLANK(J305), ISBLANK(K305), ISBLANK(L305) ), "", 1.5*SQRT(   EXP(2.21*(H305-1)) + EXP(2.21*(I305-1)) + EXP(2.21*(J305-1)) + EXP(2.21*(K305-1)) + EXP(2.21*L305)   )/100*2.45 )</f>
        <v>0.19908580854301616</v>
      </c>
      <c r="N305" s="120"/>
    </row>
    <row r="306" spans="1:14" x14ac:dyDescent="0.2">
      <c r="A306" s="53" t="s">
        <v>151</v>
      </c>
      <c r="B306" s="174" t="s">
        <v>374</v>
      </c>
      <c r="C306" s="137" t="s">
        <v>135</v>
      </c>
      <c r="D306" s="125" t="s">
        <v>66</v>
      </c>
      <c r="E306" s="151">
        <v>0</v>
      </c>
      <c r="F306" s="120" t="s">
        <v>338</v>
      </c>
      <c r="G306" s="95" t="s">
        <v>16</v>
      </c>
      <c r="H306" s="116"/>
      <c r="I306" s="116"/>
      <c r="J306" s="116"/>
      <c r="K306" s="116"/>
      <c r="L306" s="118"/>
      <c r="M306" s="119"/>
      <c r="N306" s="120"/>
    </row>
    <row r="307" spans="1:14" x14ac:dyDescent="0.2">
      <c r="A307" s="53" t="s">
        <v>151</v>
      </c>
      <c r="B307" s="174" t="s">
        <v>374</v>
      </c>
      <c r="C307" s="137" t="s">
        <v>135</v>
      </c>
      <c r="D307" s="126" t="s">
        <v>94</v>
      </c>
      <c r="E307" s="151">
        <v>0</v>
      </c>
      <c r="F307" s="120" t="s">
        <v>338</v>
      </c>
      <c r="G307" s="95" t="s">
        <v>16</v>
      </c>
      <c r="H307" s="116"/>
      <c r="I307" s="116"/>
      <c r="J307" s="116"/>
      <c r="K307" s="116"/>
      <c r="L307" s="118"/>
      <c r="M307" s="119"/>
      <c r="N307" s="120"/>
    </row>
    <row r="308" spans="1:14" x14ac:dyDescent="0.2">
      <c r="A308" s="53" t="s">
        <v>151</v>
      </c>
      <c r="B308" s="174" t="s">
        <v>374</v>
      </c>
      <c r="C308" s="137" t="s">
        <v>135</v>
      </c>
      <c r="D308" s="127" t="s">
        <v>96</v>
      </c>
      <c r="E308" s="151">
        <v>0</v>
      </c>
      <c r="F308" s="120" t="s">
        <v>338</v>
      </c>
      <c r="G308" s="95" t="s">
        <v>16</v>
      </c>
      <c r="H308" s="116"/>
      <c r="I308" s="116"/>
      <c r="J308" s="116"/>
      <c r="K308" s="116"/>
      <c r="L308" s="118"/>
      <c r="M308" s="119"/>
      <c r="N308" s="120"/>
    </row>
    <row r="309" spans="1:14" x14ac:dyDescent="0.2">
      <c r="A309" s="53" t="s">
        <v>151</v>
      </c>
      <c r="B309" s="174" t="s">
        <v>374</v>
      </c>
      <c r="C309" s="137" t="s">
        <v>135</v>
      </c>
      <c r="D309" s="128" t="s">
        <v>98</v>
      </c>
      <c r="E309" s="150">
        <v>1.9666426036461199E-2</v>
      </c>
      <c r="F309" s="120" t="s">
        <v>338</v>
      </c>
      <c r="G309" s="95" t="s">
        <v>16</v>
      </c>
      <c r="H309" s="112">
        <v>2</v>
      </c>
      <c r="I309" s="112">
        <v>2</v>
      </c>
      <c r="J309" s="112">
        <v>1</v>
      </c>
      <c r="K309" s="112">
        <v>1</v>
      </c>
      <c r="L309" s="96">
        <v>1</v>
      </c>
      <c r="M309" s="123">
        <f>IF( OR( ISBLANK(H309),ISBLANK(I309), ISBLANK(J309), ISBLANK(K309), ISBLANK(L309) ), "", 1.5*SQRT(   EXP(2.21*(H309-1)) + EXP(2.21*(I309-1)) + EXP(2.21*(J309-1)) + EXP(2.21*(K309-1)) + EXP(2.21*L309)   )/100*2.45 )</f>
        <v>0.19908580854301616</v>
      </c>
      <c r="N309" s="120"/>
    </row>
    <row r="310" spans="1:14" x14ac:dyDescent="0.2">
      <c r="A310" s="53" t="s">
        <v>151</v>
      </c>
      <c r="B310" s="174" t="s">
        <v>375</v>
      </c>
      <c r="C310" s="137" t="s">
        <v>135</v>
      </c>
      <c r="D310" s="115" t="s">
        <v>14</v>
      </c>
      <c r="E310" s="151">
        <v>0</v>
      </c>
      <c r="F310" s="120" t="s">
        <v>338</v>
      </c>
      <c r="G310" s="95" t="s">
        <v>16</v>
      </c>
      <c r="H310" s="116"/>
      <c r="I310" s="116"/>
      <c r="J310" s="116"/>
      <c r="K310" s="116"/>
      <c r="L310" s="118"/>
      <c r="M310" s="119"/>
      <c r="N310" s="120"/>
    </row>
    <row r="311" spans="1:14" x14ac:dyDescent="0.2">
      <c r="A311" s="148" t="s">
        <v>151</v>
      </c>
      <c r="B311" s="174" t="s">
        <v>375</v>
      </c>
      <c r="C311" s="137" t="s">
        <v>135</v>
      </c>
      <c r="D311" s="121" t="s">
        <v>62</v>
      </c>
      <c r="E311" s="150">
        <v>0.20662840193269111</v>
      </c>
      <c r="F311" s="120" t="s">
        <v>338</v>
      </c>
      <c r="G311" s="95" t="s">
        <v>16</v>
      </c>
      <c r="H311" s="112">
        <v>2</v>
      </c>
      <c r="I311" s="112">
        <v>2</v>
      </c>
      <c r="J311" s="112">
        <v>1</v>
      </c>
      <c r="K311" s="112">
        <v>1</v>
      </c>
      <c r="L311" s="96">
        <v>1</v>
      </c>
      <c r="M311" s="123">
        <f>IF( OR( ISBLANK(H311),ISBLANK(I311), ISBLANK(J311), ISBLANK(K311), ISBLANK(L311) ), "", 1.5*SQRT(   EXP(2.21*(H311-1)) + EXP(2.21*(I311-1)) + EXP(2.21*(J311-1)) + EXP(2.21*(K311-1)) + EXP(2.21*L311)   )/100*2.45 )</f>
        <v>0.19908580854301616</v>
      </c>
      <c r="N311" s="120"/>
    </row>
    <row r="312" spans="1:14" x14ac:dyDescent="0.2">
      <c r="A312" s="148" t="s">
        <v>151</v>
      </c>
      <c r="B312" s="174" t="s">
        <v>375</v>
      </c>
      <c r="C312" s="137" t="s">
        <v>135</v>
      </c>
      <c r="D312" s="124" t="s">
        <v>64</v>
      </c>
      <c r="E312" s="150">
        <v>0.21057333283413179</v>
      </c>
      <c r="F312" s="120" t="s">
        <v>338</v>
      </c>
      <c r="G312" s="95" t="s">
        <v>16</v>
      </c>
      <c r="H312" s="112">
        <v>2</v>
      </c>
      <c r="I312" s="112">
        <v>2</v>
      </c>
      <c r="J312" s="112">
        <v>1</v>
      </c>
      <c r="K312" s="112">
        <v>1</v>
      </c>
      <c r="L312" s="96">
        <v>1</v>
      </c>
      <c r="M312" s="123">
        <f>IF( OR( ISBLANK(H312),ISBLANK(I312), ISBLANK(J312), ISBLANK(K312), ISBLANK(L312) ), "", 1.5*SQRT(   EXP(2.21*(H312-1)) + EXP(2.21*(I312-1)) + EXP(2.21*(J312-1)) + EXP(2.21*(K312-1)) + EXP(2.21*L312)   )/100*2.45 )</f>
        <v>0.19908580854301616</v>
      </c>
      <c r="N312" s="120"/>
    </row>
    <row r="313" spans="1:14" x14ac:dyDescent="0.2">
      <c r="A313" s="148" t="s">
        <v>151</v>
      </c>
      <c r="B313" s="174" t="s">
        <v>375</v>
      </c>
      <c r="C313" s="137" t="s">
        <v>135</v>
      </c>
      <c r="D313" s="125" t="s">
        <v>66</v>
      </c>
      <c r="E313" s="151">
        <v>0</v>
      </c>
      <c r="F313" s="120" t="s">
        <v>338</v>
      </c>
      <c r="G313" s="95" t="s">
        <v>16</v>
      </c>
      <c r="H313" s="116"/>
      <c r="I313" s="116"/>
      <c r="J313" s="116"/>
      <c r="K313" s="116"/>
      <c r="L313" s="118"/>
      <c r="M313" s="119"/>
      <c r="N313" s="120"/>
    </row>
    <row r="314" spans="1:14" x14ac:dyDescent="0.2">
      <c r="A314" s="148" t="s">
        <v>151</v>
      </c>
      <c r="B314" s="174" t="s">
        <v>375</v>
      </c>
      <c r="C314" s="137" t="s">
        <v>135</v>
      </c>
      <c r="D314" s="126" t="s">
        <v>94</v>
      </c>
      <c r="E314" s="151">
        <v>0</v>
      </c>
      <c r="F314" s="120" t="s">
        <v>338</v>
      </c>
      <c r="G314" s="95" t="s">
        <v>16</v>
      </c>
      <c r="H314" s="116"/>
      <c r="I314" s="116"/>
      <c r="J314" s="116"/>
      <c r="K314" s="116"/>
      <c r="L314" s="118"/>
      <c r="M314" s="119"/>
      <c r="N314" s="120"/>
    </row>
    <row r="315" spans="1:14" x14ac:dyDescent="0.2">
      <c r="A315" s="148" t="s">
        <v>151</v>
      </c>
      <c r="B315" s="174" t="s">
        <v>375</v>
      </c>
      <c r="C315" s="137" t="s">
        <v>135</v>
      </c>
      <c r="D315" s="127" t="s">
        <v>96</v>
      </c>
      <c r="E315" s="151">
        <v>0</v>
      </c>
      <c r="F315" s="120" t="s">
        <v>338</v>
      </c>
      <c r="G315" s="95" t="s">
        <v>16</v>
      </c>
      <c r="H315" s="116"/>
      <c r="I315" s="116"/>
      <c r="J315" s="116"/>
      <c r="K315" s="116"/>
      <c r="L315" s="118"/>
      <c r="M315" s="119"/>
      <c r="N315" s="120"/>
    </row>
    <row r="316" spans="1:14" x14ac:dyDescent="0.2">
      <c r="A316" s="148" t="s">
        <v>151</v>
      </c>
      <c r="B316" s="174" t="s">
        <v>375</v>
      </c>
      <c r="C316" s="137" t="s">
        <v>135</v>
      </c>
      <c r="D316" s="128" t="s">
        <v>98</v>
      </c>
      <c r="E316" s="150">
        <v>0.20101342755219831</v>
      </c>
      <c r="F316" s="120" t="s">
        <v>338</v>
      </c>
      <c r="G316" s="95" t="s">
        <v>16</v>
      </c>
      <c r="H316" s="112">
        <v>2</v>
      </c>
      <c r="I316" s="112">
        <v>2</v>
      </c>
      <c r="J316" s="112">
        <v>1</v>
      </c>
      <c r="K316" s="112">
        <v>1</v>
      </c>
      <c r="L316" s="96">
        <v>1</v>
      </c>
      <c r="M316" s="123">
        <f>IF( OR( ISBLANK(H316),ISBLANK(I316), ISBLANK(J316), ISBLANK(K316), ISBLANK(L316) ), "", 1.5*SQRT(   EXP(2.21*(H316-1)) + EXP(2.21*(I316-1)) + EXP(2.21*(J316-1)) + EXP(2.21*(K316-1)) + EXP(2.21*L316)   )/100*2.45 )</f>
        <v>0.19908580854301616</v>
      </c>
      <c r="N316" s="120"/>
    </row>
    <row r="317" spans="1:14" x14ac:dyDescent="0.2">
      <c r="A317" s="53" t="s">
        <v>151</v>
      </c>
      <c r="B317" s="174" t="s">
        <v>376</v>
      </c>
      <c r="C317" s="137" t="s">
        <v>135</v>
      </c>
      <c r="D317" s="115" t="s">
        <v>14</v>
      </c>
      <c r="E317" s="151">
        <v>0</v>
      </c>
      <c r="F317" s="117"/>
      <c r="G317" s="95" t="s">
        <v>16</v>
      </c>
      <c r="H317" s="116"/>
      <c r="I317" s="116"/>
      <c r="J317" s="116"/>
      <c r="K317" s="116"/>
      <c r="L317" s="118"/>
      <c r="M317" s="119"/>
      <c r="N317" s="120"/>
    </row>
    <row r="318" spans="1:14" x14ac:dyDescent="0.2">
      <c r="A318" s="148" t="s">
        <v>151</v>
      </c>
      <c r="B318" s="174" t="s">
        <v>376</v>
      </c>
      <c r="C318" s="137" t="s">
        <v>135</v>
      </c>
      <c r="D318" s="121" t="s">
        <v>62</v>
      </c>
      <c r="E318" s="177">
        <v>2.2436942813655141E-2</v>
      </c>
      <c r="F318" s="117" t="s">
        <v>368</v>
      </c>
      <c r="G318" s="95" t="s">
        <v>16</v>
      </c>
      <c r="H318" s="112">
        <v>4</v>
      </c>
      <c r="I318" s="112">
        <v>3</v>
      </c>
      <c r="J318" s="112">
        <v>3</v>
      </c>
      <c r="K318" s="112">
        <v>1</v>
      </c>
      <c r="L318" s="96">
        <v>2</v>
      </c>
      <c r="M318" s="123">
        <f>IF( OR( ISBLANK(H318),ISBLANK(I318), ISBLANK(J318), ISBLANK(K318), ISBLANK(L318) ), "", 1.5*SQRT(   EXP(2.21*(H318-1)) + EXP(2.21*(I318-1)) + EXP(2.21*(J318-1)) + EXP(2.21*(K318-1)) + EXP(2.21*L318)   )/100*2.45 )</f>
        <v>1.1666438005107913</v>
      </c>
      <c r="N318" s="120" t="s">
        <v>377</v>
      </c>
    </row>
    <row r="319" spans="1:14" x14ac:dyDescent="0.2">
      <c r="A319" s="148" t="s">
        <v>151</v>
      </c>
      <c r="B319" s="174" t="s">
        <v>376</v>
      </c>
      <c r="C319" s="137" t="s">
        <v>135</v>
      </c>
      <c r="D319" s="124" t="s">
        <v>64</v>
      </c>
      <c r="E319" s="177">
        <v>2.2436942813655141E-2</v>
      </c>
      <c r="F319" s="117" t="s">
        <v>368</v>
      </c>
      <c r="G319" s="95" t="s">
        <v>16</v>
      </c>
      <c r="H319" s="112">
        <v>4</v>
      </c>
      <c r="I319" s="112">
        <v>3</v>
      </c>
      <c r="J319" s="112">
        <v>3</v>
      </c>
      <c r="K319" s="112">
        <v>1</v>
      </c>
      <c r="L319" s="96">
        <v>2</v>
      </c>
      <c r="M319" s="123">
        <f>IF( OR( ISBLANK(H319),ISBLANK(I319), ISBLANK(J319), ISBLANK(K319), ISBLANK(L319) ), "", 1.5*SQRT(   EXP(2.21*(H319-1)) + EXP(2.21*(I319-1)) + EXP(2.21*(J319-1)) + EXP(2.21*(K319-1)) + EXP(2.21*L319)   )/100*2.45 )</f>
        <v>1.1666438005107913</v>
      </c>
      <c r="N319" s="120" t="s">
        <v>377</v>
      </c>
    </row>
    <row r="320" spans="1:14" x14ac:dyDescent="0.2">
      <c r="A320" s="148" t="s">
        <v>151</v>
      </c>
      <c r="B320" s="174" t="s">
        <v>376</v>
      </c>
      <c r="C320" s="137" t="s">
        <v>135</v>
      </c>
      <c r="D320" s="125" t="s">
        <v>66</v>
      </c>
      <c r="E320" s="151">
        <v>0</v>
      </c>
      <c r="F320" s="117"/>
      <c r="G320" s="95" t="s">
        <v>16</v>
      </c>
      <c r="H320" s="116"/>
      <c r="I320" s="116"/>
      <c r="J320" s="116"/>
      <c r="K320" s="116"/>
      <c r="L320" s="118"/>
      <c r="M320" s="119"/>
      <c r="N320" s="120"/>
    </row>
    <row r="321" spans="1:14" x14ac:dyDescent="0.2">
      <c r="A321" s="148" t="s">
        <v>151</v>
      </c>
      <c r="B321" s="174" t="s">
        <v>376</v>
      </c>
      <c r="C321" s="137" t="s">
        <v>135</v>
      </c>
      <c r="D321" s="126" t="s">
        <v>94</v>
      </c>
      <c r="E321" s="151">
        <v>0</v>
      </c>
      <c r="F321" s="117"/>
      <c r="G321" s="95" t="s">
        <v>16</v>
      </c>
      <c r="H321" s="116"/>
      <c r="I321" s="116"/>
      <c r="J321" s="116"/>
      <c r="K321" s="116"/>
      <c r="L321" s="118"/>
      <c r="M321" s="119"/>
      <c r="N321" s="120"/>
    </row>
    <row r="322" spans="1:14" x14ac:dyDescent="0.2">
      <c r="A322" s="148" t="s">
        <v>151</v>
      </c>
      <c r="B322" s="174" t="s">
        <v>376</v>
      </c>
      <c r="C322" s="137" t="s">
        <v>135</v>
      </c>
      <c r="D322" s="127" t="s">
        <v>96</v>
      </c>
      <c r="E322" s="151">
        <v>0</v>
      </c>
      <c r="F322" s="117"/>
      <c r="G322" s="95" t="s">
        <v>16</v>
      </c>
      <c r="H322" s="116"/>
      <c r="I322" s="116"/>
      <c r="J322" s="116"/>
      <c r="K322" s="116"/>
      <c r="L322" s="118"/>
      <c r="M322" s="119"/>
      <c r="N322" s="120"/>
    </row>
    <row r="323" spans="1:14" x14ac:dyDescent="0.2">
      <c r="A323" s="148" t="s">
        <v>151</v>
      </c>
      <c r="B323" s="174" t="s">
        <v>376</v>
      </c>
      <c r="C323" s="137" t="s">
        <v>135</v>
      </c>
      <c r="D323" s="128" t="s">
        <v>98</v>
      </c>
      <c r="E323" s="150">
        <v>0.01</v>
      </c>
      <c r="F323" s="117" t="s">
        <v>368</v>
      </c>
      <c r="G323" s="95" t="s">
        <v>16</v>
      </c>
      <c r="H323" s="112">
        <v>4</v>
      </c>
      <c r="I323" s="112">
        <v>3</v>
      </c>
      <c r="J323" s="112">
        <v>3</v>
      </c>
      <c r="K323" s="112">
        <v>1</v>
      </c>
      <c r="L323" s="96">
        <v>2</v>
      </c>
      <c r="M323" s="123">
        <f>IF( OR( ISBLANK(H323),ISBLANK(I323), ISBLANK(J323), ISBLANK(K323), ISBLANK(L323) ), "", 1.5*SQRT(   EXP(2.21*(H323-1)) + EXP(2.21*(I323-1)) + EXP(2.21*(J323-1)) + EXP(2.21*(K323-1)) + EXP(2.21*L323)   )/100*2.45 )</f>
        <v>1.1666438005107913</v>
      </c>
      <c r="N323" s="120"/>
    </row>
    <row r="324" spans="1:14" x14ac:dyDescent="0.2">
      <c r="A324" s="53" t="s">
        <v>151</v>
      </c>
      <c r="B324" s="174" t="s">
        <v>378</v>
      </c>
      <c r="C324" s="137" t="s">
        <v>135</v>
      </c>
      <c r="D324" s="115" t="s">
        <v>14</v>
      </c>
      <c r="E324" s="151">
        <v>0</v>
      </c>
      <c r="F324" s="120" t="s">
        <v>338</v>
      </c>
      <c r="G324" s="95" t="s">
        <v>16</v>
      </c>
      <c r="H324" s="116"/>
      <c r="I324" s="116"/>
      <c r="J324" s="116"/>
      <c r="K324" s="116"/>
      <c r="L324" s="118"/>
      <c r="M324" s="119"/>
      <c r="N324" s="120"/>
    </row>
    <row r="325" spans="1:14" x14ac:dyDescent="0.2">
      <c r="A325" s="148" t="s">
        <v>151</v>
      </c>
      <c r="B325" s="174" t="s">
        <v>378</v>
      </c>
      <c r="C325" s="137" t="s">
        <v>135</v>
      </c>
      <c r="D325" s="121" t="s">
        <v>62</v>
      </c>
      <c r="E325" s="150">
        <v>0.18918079017941439</v>
      </c>
      <c r="F325" s="120" t="s">
        <v>338</v>
      </c>
      <c r="G325" s="95" t="s">
        <v>16</v>
      </c>
      <c r="H325" s="112">
        <v>2</v>
      </c>
      <c r="I325" s="112">
        <v>2</v>
      </c>
      <c r="J325" s="112">
        <v>1</v>
      </c>
      <c r="K325" s="112">
        <v>1</v>
      </c>
      <c r="L325" s="96">
        <v>1</v>
      </c>
      <c r="M325" s="123">
        <f>IF( OR( ISBLANK(H325),ISBLANK(I325), ISBLANK(J325), ISBLANK(K325), ISBLANK(L325) ), "", 1.5*SQRT(   EXP(2.21*(H325-1)) + EXP(2.21*(I325-1)) + EXP(2.21*(J325-1)) + EXP(2.21*(K325-1)) + EXP(2.21*L325)   )/100*2.45 )</f>
        <v>0.19908580854301616</v>
      </c>
      <c r="N325" s="120"/>
    </row>
    <row r="326" spans="1:14" x14ac:dyDescent="0.2">
      <c r="A326" s="148" t="s">
        <v>151</v>
      </c>
      <c r="B326" s="174" t="s">
        <v>378</v>
      </c>
      <c r="C326" s="137" t="s">
        <v>135</v>
      </c>
      <c r="D326" s="124" t="s">
        <v>64</v>
      </c>
      <c r="E326" s="150">
        <v>0.19411925228178281</v>
      </c>
      <c r="F326" s="120" t="s">
        <v>338</v>
      </c>
      <c r="G326" s="95" t="s">
        <v>16</v>
      </c>
      <c r="H326" s="112">
        <v>2</v>
      </c>
      <c r="I326" s="112">
        <v>2</v>
      </c>
      <c r="J326" s="112">
        <v>1</v>
      </c>
      <c r="K326" s="112">
        <v>1</v>
      </c>
      <c r="L326" s="96">
        <v>1</v>
      </c>
      <c r="M326" s="123">
        <f>IF( OR( ISBLANK(H326),ISBLANK(I326), ISBLANK(J326), ISBLANK(K326), ISBLANK(L326) ), "", 1.5*SQRT(   EXP(2.21*(H326-1)) + EXP(2.21*(I326-1)) + EXP(2.21*(J326-1)) + EXP(2.21*(K326-1)) + EXP(2.21*L326)   )/100*2.45 )</f>
        <v>0.19908580854301616</v>
      </c>
      <c r="N326" s="120"/>
    </row>
    <row r="327" spans="1:14" x14ac:dyDescent="0.2">
      <c r="A327" s="148" t="s">
        <v>151</v>
      </c>
      <c r="B327" s="174" t="s">
        <v>378</v>
      </c>
      <c r="C327" s="137" t="s">
        <v>135</v>
      </c>
      <c r="D327" s="125" t="s">
        <v>66</v>
      </c>
      <c r="E327" s="151">
        <v>0</v>
      </c>
      <c r="F327" s="120" t="s">
        <v>338</v>
      </c>
      <c r="G327" s="95" t="s">
        <v>16</v>
      </c>
      <c r="H327" s="116"/>
      <c r="I327" s="116"/>
      <c r="J327" s="116"/>
      <c r="K327" s="116"/>
      <c r="L327" s="118"/>
      <c r="M327" s="119"/>
      <c r="N327" s="120"/>
    </row>
    <row r="328" spans="1:14" x14ac:dyDescent="0.2">
      <c r="A328" s="148" t="s">
        <v>151</v>
      </c>
      <c r="B328" s="174" t="s">
        <v>378</v>
      </c>
      <c r="C328" s="137" t="s">
        <v>135</v>
      </c>
      <c r="D328" s="126" t="s">
        <v>94</v>
      </c>
      <c r="E328" s="151">
        <v>0</v>
      </c>
      <c r="F328" s="120" t="s">
        <v>338</v>
      </c>
      <c r="G328" s="95" t="s">
        <v>16</v>
      </c>
      <c r="H328" s="116"/>
      <c r="I328" s="116"/>
      <c r="J328" s="116"/>
      <c r="K328" s="116"/>
      <c r="L328" s="118"/>
      <c r="M328" s="119"/>
      <c r="N328" s="120"/>
    </row>
    <row r="329" spans="1:14" x14ac:dyDescent="0.2">
      <c r="A329" s="148" t="s">
        <v>151</v>
      </c>
      <c r="B329" s="174" t="s">
        <v>378</v>
      </c>
      <c r="C329" s="137" t="s">
        <v>135</v>
      </c>
      <c r="D329" s="127" t="s">
        <v>96</v>
      </c>
      <c r="E329" s="151">
        <v>0</v>
      </c>
      <c r="F329" s="120" t="s">
        <v>338</v>
      </c>
      <c r="G329" s="95" t="s">
        <v>16</v>
      </c>
      <c r="H329" s="116"/>
      <c r="I329" s="116"/>
      <c r="J329" s="116"/>
      <c r="K329" s="116"/>
      <c r="L329" s="118"/>
      <c r="M329" s="119"/>
      <c r="N329" s="120"/>
    </row>
    <row r="330" spans="1:14" x14ac:dyDescent="0.2">
      <c r="A330" s="148" t="s">
        <v>151</v>
      </c>
      <c r="B330" s="174" t="s">
        <v>378</v>
      </c>
      <c r="C330" s="137" t="s">
        <v>135</v>
      </c>
      <c r="D330" s="128" t="s">
        <v>98</v>
      </c>
      <c r="E330" s="150">
        <v>0.187517133300515</v>
      </c>
      <c r="F330" s="120" t="s">
        <v>338</v>
      </c>
      <c r="G330" s="95" t="s">
        <v>16</v>
      </c>
      <c r="H330" s="112">
        <v>2</v>
      </c>
      <c r="I330" s="112">
        <v>2</v>
      </c>
      <c r="J330" s="112">
        <v>1</v>
      </c>
      <c r="K330" s="112">
        <v>1</v>
      </c>
      <c r="L330" s="96">
        <v>1</v>
      </c>
      <c r="M330" s="123">
        <f>IF( OR( ISBLANK(H330),ISBLANK(I330), ISBLANK(J330), ISBLANK(K330), ISBLANK(L330) ), "", 1.5*SQRT(   EXP(2.21*(H330-1)) + EXP(2.21*(I330-1)) + EXP(2.21*(J330-1)) + EXP(2.21*(K330-1)) + EXP(2.21*L330)   )/100*2.45 )</f>
        <v>0.19908580854301616</v>
      </c>
      <c r="N330" s="120"/>
    </row>
    <row r="331" spans="1:14" x14ac:dyDescent="0.2">
      <c r="A331" s="53" t="s">
        <v>151</v>
      </c>
      <c r="B331" s="174" t="s">
        <v>379</v>
      </c>
      <c r="C331" s="137" t="s">
        <v>135</v>
      </c>
      <c r="D331" s="115" t="s">
        <v>14</v>
      </c>
      <c r="E331" s="151">
        <v>0</v>
      </c>
      <c r="F331" s="120" t="s">
        <v>338</v>
      </c>
      <c r="G331" s="95" t="s">
        <v>16</v>
      </c>
      <c r="H331" s="116"/>
      <c r="I331" s="116"/>
      <c r="J331" s="116"/>
      <c r="K331" s="116"/>
      <c r="L331" s="118"/>
      <c r="M331" s="119"/>
      <c r="N331" s="120"/>
    </row>
    <row r="332" spans="1:14" x14ac:dyDescent="0.2">
      <c r="A332" s="53" t="s">
        <v>151</v>
      </c>
      <c r="B332" s="174" t="s">
        <v>379</v>
      </c>
      <c r="C332" s="137" t="s">
        <v>135</v>
      </c>
      <c r="D332" s="121" t="s">
        <v>62</v>
      </c>
      <c r="E332" s="150">
        <v>2.1247866694531228E-2</v>
      </c>
      <c r="F332" s="120" t="s">
        <v>335</v>
      </c>
      <c r="G332" s="95" t="s">
        <v>16</v>
      </c>
      <c r="H332" s="112">
        <v>2</v>
      </c>
      <c r="I332" s="112">
        <v>2</v>
      </c>
      <c r="J332" s="112">
        <v>1</v>
      </c>
      <c r="K332" s="112">
        <v>1</v>
      </c>
      <c r="L332" s="96">
        <v>1</v>
      </c>
      <c r="M332" s="123">
        <f>IF( OR( ISBLANK(H332),ISBLANK(I332), ISBLANK(J332), ISBLANK(K332), ISBLANK(L332) ), "", 1.5*SQRT(   EXP(2.21*(H332-1)) + EXP(2.21*(I332-1)) + EXP(2.21*(J332-1)) + EXP(2.21*(K332-1)) + EXP(2.21*L332)   )/100*2.45 )</f>
        <v>0.19908580854301616</v>
      </c>
      <c r="N332" s="120"/>
    </row>
    <row r="333" spans="1:14" x14ac:dyDescent="0.2">
      <c r="A333" s="53" t="s">
        <v>151</v>
      </c>
      <c r="B333" s="174" t="s">
        <v>379</v>
      </c>
      <c r="C333" s="137" t="s">
        <v>135</v>
      </c>
      <c r="D333" s="124" t="s">
        <v>64</v>
      </c>
      <c r="E333" s="150">
        <v>4.6233032199805943E-2</v>
      </c>
      <c r="F333" s="120" t="s">
        <v>336</v>
      </c>
      <c r="G333" s="95" t="s">
        <v>16</v>
      </c>
      <c r="H333" s="112">
        <v>2</v>
      </c>
      <c r="I333" s="112">
        <v>2</v>
      </c>
      <c r="J333" s="112">
        <v>1</v>
      </c>
      <c r="K333" s="112">
        <v>1</v>
      </c>
      <c r="L333" s="96">
        <v>1</v>
      </c>
      <c r="M333" s="123">
        <f>IF( OR( ISBLANK(H333),ISBLANK(I333), ISBLANK(J333), ISBLANK(K333), ISBLANK(L333) ), "", 1.5*SQRT(   EXP(2.21*(H333-1)) + EXP(2.21*(I333-1)) + EXP(2.21*(J333-1)) + EXP(2.21*(K333-1)) + EXP(2.21*L333)   )/100*2.45 )</f>
        <v>0.19908580854301616</v>
      </c>
      <c r="N333" s="120"/>
    </row>
    <row r="334" spans="1:14" x14ac:dyDescent="0.2">
      <c r="A334" s="53" t="s">
        <v>151</v>
      </c>
      <c r="B334" s="174" t="s">
        <v>379</v>
      </c>
      <c r="C334" s="137" t="s">
        <v>135</v>
      </c>
      <c r="D334" s="125" t="s">
        <v>66</v>
      </c>
      <c r="E334" s="151">
        <v>0</v>
      </c>
      <c r="F334" s="120" t="s">
        <v>338</v>
      </c>
      <c r="G334" s="95" t="s">
        <v>16</v>
      </c>
      <c r="H334" s="116"/>
      <c r="I334" s="116"/>
      <c r="J334" s="116"/>
      <c r="K334" s="116"/>
      <c r="L334" s="118"/>
      <c r="M334" s="119"/>
      <c r="N334" s="120"/>
    </row>
    <row r="335" spans="1:14" x14ac:dyDescent="0.2">
      <c r="A335" s="53" t="s">
        <v>151</v>
      </c>
      <c r="B335" s="174" t="s">
        <v>379</v>
      </c>
      <c r="C335" s="137" t="s">
        <v>135</v>
      </c>
      <c r="D335" s="126" t="s">
        <v>94</v>
      </c>
      <c r="E335" s="151">
        <v>0</v>
      </c>
      <c r="F335" s="120" t="s">
        <v>338</v>
      </c>
      <c r="G335" s="95" t="s">
        <v>16</v>
      </c>
      <c r="H335" s="116"/>
      <c r="I335" s="116"/>
      <c r="J335" s="116"/>
      <c r="K335" s="116"/>
      <c r="L335" s="118"/>
      <c r="M335" s="119"/>
      <c r="N335" s="120"/>
    </row>
    <row r="336" spans="1:14" x14ac:dyDescent="0.2">
      <c r="A336" s="53" t="s">
        <v>151</v>
      </c>
      <c r="B336" s="174" t="s">
        <v>379</v>
      </c>
      <c r="C336" s="137" t="s">
        <v>135</v>
      </c>
      <c r="D336" s="127" t="s">
        <v>96</v>
      </c>
      <c r="E336" s="151">
        <v>0</v>
      </c>
      <c r="F336" s="120" t="s">
        <v>338</v>
      </c>
      <c r="G336" s="95" t="s">
        <v>16</v>
      </c>
      <c r="H336" s="116"/>
      <c r="I336" s="116"/>
      <c r="J336" s="116"/>
      <c r="K336" s="116"/>
      <c r="L336" s="118"/>
      <c r="M336" s="119"/>
      <c r="N336" s="120"/>
    </row>
    <row r="337" spans="1:14" x14ac:dyDescent="0.2">
      <c r="A337" s="53" t="s">
        <v>151</v>
      </c>
      <c r="B337" s="174" t="s">
        <v>379</v>
      </c>
      <c r="C337" s="137" t="s">
        <v>135</v>
      </c>
      <c r="D337" s="128" t="s">
        <v>98</v>
      </c>
      <c r="E337" s="150">
        <v>0.1432235823304823</v>
      </c>
      <c r="F337" s="120" t="s">
        <v>339</v>
      </c>
      <c r="G337" s="95" t="s">
        <v>16</v>
      </c>
      <c r="H337" s="112">
        <v>2</v>
      </c>
      <c r="I337" s="112">
        <v>2</v>
      </c>
      <c r="J337" s="112">
        <v>1</v>
      </c>
      <c r="K337" s="112">
        <v>1</v>
      </c>
      <c r="L337" s="96">
        <v>1</v>
      </c>
      <c r="M337" s="123">
        <f>IF( OR( ISBLANK(H337),ISBLANK(I337), ISBLANK(J337), ISBLANK(K337), ISBLANK(L337) ), "", 1.5*SQRT(   EXP(2.21*(H337-1)) + EXP(2.21*(I337-1)) + EXP(2.21*(J337-1)) + EXP(2.21*(K337-1)) + EXP(2.21*L337)   )/100*2.45 )</f>
        <v>0.19908580854301616</v>
      </c>
      <c r="N337" s="120"/>
    </row>
    <row r="338" spans="1:14" x14ac:dyDescent="0.2">
      <c r="A338" s="53" t="s">
        <v>151</v>
      </c>
      <c r="B338" s="174" t="s">
        <v>380</v>
      </c>
      <c r="C338" s="137" t="s">
        <v>135</v>
      </c>
      <c r="D338" s="115" t="s">
        <v>14</v>
      </c>
      <c r="E338" s="151">
        <v>0</v>
      </c>
      <c r="F338" s="117"/>
      <c r="G338" s="95" t="s">
        <v>16</v>
      </c>
      <c r="H338" s="116"/>
      <c r="I338" s="116"/>
      <c r="J338" s="116"/>
      <c r="K338" s="116"/>
      <c r="L338" s="118"/>
      <c r="M338" s="119"/>
      <c r="N338" s="120"/>
    </row>
    <row r="339" spans="1:14" x14ac:dyDescent="0.2">
      <c r="A339" s="148" t="s">
        <v>151</v>
      </c>
      <c r="B339" s="174" t="s">
        <v>380</v>
      </c>
      <c r="C339" s="137" t="s">
        <v>135</v>
      </c>
      <c r="D339" s="121" t="s">
        <v>62</v>
      </c>
      <c r="E339" s="177">
        <v>0.1666233685786091</v>
      </c>
      <c r="F339" s="117" t="s">
        <v>368</v>
      </c>
      <c r="G339" s="95" t="s">
        <v>16</v>
      </c>
      <c r="H339" s="112">
        <v>4</v>
      </c>
      <c r="I339" s="112">
        <v>3</v>
      </c>
      <c r="J339" s="112">
        <v>3</v>
      </c>
      <c r="K339" s="112">
        <v>1</v>
      </c>
      <c r="L339" s="96">
        <v>2</v>
      </c>
      <c r="M339" s="123">
        <f>IF( OR( ISBLANK(H339),ISBLANK(I339), ISBLANK(J339), ISBLANK(K339), ISBLANK(L339) ), "", 1.5*SQRT(   EXP(2.21*(H339-1)) + EXP(2.21*(I339-1)) + EXP(2.21*(J339-1)) + EXP(2.21*(K339-1)) + EXP(2.21*L339)   )/100*2.45 )</f>
        <v>1.1666438005107913</v>
      </c>
      <c r="N339" s="120" t="s">
        <v>381</v>
      </c>
    </row>
    <row r="340" spans="1:14" x14ac:dyDescent="0.2">
      <c r="A340" s="148" t="s">
        <v>151</v>
      </c>
      <c r="B340" s="174" t="s">
        <v>380</v>
      </c>
      <c r="C340" s="137" t="s">
        <v>135</v>
      </c>
      <c r="D340" s="124" t="s">
        <v>64</v>
      </c>
      <c r="E340" s="177">
        <v>0.1666233685786091</v>
      </c>
      <c r="F340" s="117" t="s">
        <v>368</v>
      </c>
      <c r="G340" s="95" t="s">
        <v>16</v>
      </c>
      <c r="H340" s="112">
        <v>4</v>
      </c>
      <c r="I340" s="112">
        <v>3</v>
      </c>
      <c r="J340" s="112">
        <v>3</v>
      </c>
      <c r="K340" s="112">
        <v>1</v>
      </c>
      <c r="L340" s="96">
        <v>2</v>
      </c>
      <c r="M340" s="123">
        <f>IF( OR( ISBLANK(H340),ISBLANK(I340), ISBLANK(J340), ISBLANK(K340), ISBLANK(L340) ), "", 1.5*SQRT(   EXP(2.21*(H340-1)) + EXP(2.21*(I340-1)) + EXP(2.21*(J340-1)) + EXP(2.21*(K340-1)) + EXP(2.21*L340)   )/100*2.45 )</f>
        <v>1.1666438005107913</v>
      </c>
      <c r="N340" s="120" t="s">
        <v>381</v>
      </c>
    </row>
    <row r="341" spans="1:14" x14ac:dyDescent="0.2">
      <c r="A341" s="148" t="s">
        <v>151</v>
      </c>
      <c r="B341" s="174" t="s">
        <v>380</v>
      </c>
      <c r="C341" s="137" t="s">
        <v>135</v>
      </c>
      <c r="D341" s="125" t="s">
        <v>66</v>
      </c>
      <c r="E341" s="151">
        <v>0</v>
      </c>
      <c r="F341" s="117"/>
      <c r="G341" s="95" t="s">
        <v>16</v>
      </c>
      <c r="H341" s="116"/>
      <c r="I341" s="116"/>
      <c r="J341" s="116"/>
      <c r="K341" s="116"/>
      <c r="L341" s="118"/>
      <c r="M341" s="119"/>
      <c r="N341" s="120"/>
    </row>
    <row r="342" spans="1:14" x14ac:dyDescent="0.2">
      <c r="A342" s="148" t="s">
        <v>151</v>
      </c>
      <c r="B342" s="174" t="s">
        <v>380</v>
      </c>
      <c r="C342" s="137" t="s">
        <v>135</v>
      </c>
      <c r="D342" s="126" t="s">
        <v>94</v>
      </c>
      <c r="E342" s="151">
        <v>0</v>
      </c>
      <c r="F342" s="117"/>
      <c r="G342" s="95" t="s">
        <v>16</v>
      </c>
      <c r="H342" s="116"/>
      <c r="I342" s="116"/>
      <c r="J342" s="116"/>
      <c r="K342" s="116"/>
      <c r="L342" s="118"/>
      <c r="M342" s="119"/>
      <c r="N342" s="120"/>
    </row>
    <row r="343" spans="1:14" x14ac:dyDescent="0.2">
      <c r="A343" s="148" t="s">
        <v>151</v>
      </c>
      <c r="B343" s="174" t="s">
        <v>380</v>
      </c>
      <c r="C343" s="137" t="s">
        <v>135</v>
      </c>
      <c r="D343" s="127" t="s">
        <v>96</v>
      </c>
      <c r="E343" s="151">
        <v>0</v>
      </c>
      <c r="F343" s="117"/>
      <c r="G343" s="95" t="s">
        <v>16</v>
      </c>
      <c r="H343" s="116"/>
      <c r="I343" s="116"/>
      <c r="J343" s="116"/>
      <c r="K343" s="116"/>
      <c r="L343" s="118"/>
      <c r="M343" s="119"/>
      <c r="N343" s="120"/>
    </row>
    <row r="344" spans="1:14" x14ac:dyDescent="0.2">
      <c r="A344" s="148" t="s">
        <v>151</v>
      </c>
      <c r="B344" s="174" t="s">
        <v>380</v>
      </c>
      <c r="C344" s="137" t="s">
        <v>135</v>
      </c>
      <c r="D344" s="128" t="s">
        <v>98</v>
      </c>
      <c r="E344" s="150">
        <v>0.21099999999999999</v>
      </c>
      <c r="F344" s="117" t="s">
        <v>367</v>
      </c>
      <c r="G344" s="95" t="s">
        <v>16</v>
      </c>
      <c r="H344" s="112">
        <v>4</v>
      </c>
      <c r="I344" s="112">
        <v>3</v>
      </c>
      <c r="J344" s="112">
        <v>3</v>
      </c>
      <c r="K344" s="112">
        <v>1</v>
      </c>
      <c r="L344" s="96">
        <v>2</v>
      </c>
      <c r="M344" s="123">
        <f>IF( OR( ISBLANK(H344),ISBLANK(I344), ISBLANK(J344), ISBLANK(K344), ISBLANK(L344) ), "", 1.5*SQRT(   EXP(2.21*(H344-1)) + EXP(2.21*(I344-1)) + EXP(2.21*(J344-1)) + EXP(2.21*(K344-1)) + EXP(2.21*L344)   )/100*2.45 )</f>
        <v>1.1666438005107913</v>
      </c>
      <c r="N344" s="120"/>
    </row>
    <row r="345" spans="1:14" x14ac:dyDescent="0.2">
      <c r="A345" s="148" t="s">
        <v>151</v>
      </c>
      <c r="B345" s="174" t="s">
        <v>380</v>
      </c>
      <c r="C345" s="137" t="s">
        <v>135</v>
      </c>
      <c r="D345" s="128" t="s">
        <v>98</v>
      </c>
      <c r="E345" s="150">
        <v>0.26</v>
      </c>
      <c r="F345" s="117" t="s">
        <v>368</v>
      </c>
      <c r="G345" s="95" t="s">
        <v>16</v>
      </c>
      <c r="H345" s="112">
        <v>4</v>
      </c>
      <c r="I345" s="112">
        <v>3</v>
      </c>
      <c r="J345" s="112">
        <v>3</v>
      </c>
      <c r="K345" s="112">
        <v>1</v>
      </c>
      <c r="L345" s="96">
        <v>2</v>
      </c>
      <c r="M345" s="123">
        <f t="shared" ref="M345:M376" si="8">IF( OR( ISBLANK(H345),ISBLANK(I345), ISBLANK(J345), ISBLANK(K345), ISBLANK(L345) ), "", 1.5*SQRT( EXP(2.21*(H345-1)) + EXP(2.21*(I345-1)) + EXP(2.21*(J345-1)) + EXP(2.21*(K345-1)) + EXP(2.21*L345) )/100*2.45 )</f>
        <v>1.1666438005107913</v>
      </c>
      <c r="N345" s="120"/>
    </row>
    <row r="346" spans="1:14" x14ac:dyDescent="0.2">
      <c r="A346" s="53" t="s">
        <v>151</v>
      </c>
      <c r="B346" s="174" t="s">
        <v>382</v>
      </c>
      <c r="C346" s="137" t="s">
        <v>135</v>
      </c>
      <c r="D346" s="115" t="s">
        <v>14</v>
      </c>
      <c r="E346" s="151">
        <v>0</v>
      </c>
      <c r="F346" s="117"/>
      <c r="G346" s="95" t="s">
        <v>16</v>
      </c>
      <c r="H346" s="116"/>
      <c r="I346" s="116"/>
      <c r="J346" s="116"/>
      <c r="K346" s="116"/>
      <c r="L346" s="118"/>
      <c r="M346" s="119" t="str">
        <f t="shared" si="8"/>
        <v/>
      </c>
      <c r="N346" s="120"/>
    </row>
    <row r="347" spans="1:14" x14ac:dyDescent="0.2">
      <c r="A347" s="53" t="s">
        <v>151</v>
      </c>
      <c r="B347" s="174" t="s">
        <v>382</v>
      </c>
      <c r="C347" s="137" t="s">
        <v>135</v>
      </c>
      <c r="D347" s="121" t="s">
        <v>62</v>
      </c>
      <c r="E347" s="205" t="s">
        <v>188</v>
      </c>
      <c r="F347" s="117"/>
      <c r="G347" s="95" t="s">
        <v>16</v>
      </c>
      <c r="H347" s="116"/>
      <c r="I347" s="116"/>
      <c r="J347" s="116"/>
      <c r="K347" s="116"/>
      <c r="L347" s="118"/>
      <c r="M347" s="119" t="str">
        <f t="shared" si="8"/>
        <v/>
      </c>
      <c r="N347" s="120"/>
    </row>
    <row r="348" spans="1:14" x14ac:dyDescent="0.2">
      <c r="A348" s="53" t="s">
        <v>151</v>
      </c>
      <c r="B348" s="174" t="s">
        <v>382</v>
      </c>
      <c r="C348" s="137" t="s">
        <v>135</v>
      </c>
      <c r="D348" s="124" t="s">
        <v>64</v>
      </c>
      <c r="E348" s="205" t="s">
        <v>188</v>
      </c>
      <c r="F348" s="117"/>
      <c r="G348" s="95" t="s">
        <v>16</v>
      </c>
      <c r="H348" s="116"/>
      <c r="I348" s="116"/>
      <c r="J348" s="116"/>
      <c r="K348" s="116"/>
      <c r="L348" s="118"/>
      <c r="M348" s="119" t="str">
        <f t="shared" si="8"/>
        <v/>
      </c>
      <c r="N348" s="120"/>
    </row>
    <row r="349" spans="1:14" x14ac:dyDescent="0.2">
      <c r="A349" s="53" t="s">
        <v>151</v>
      </c>
      <c r="B349" s="174" t="s">
        <v>382</v>
      </c>
      <c r="C349" s="137" t="s">
        <v>135</v>
      </c>
      <c r="D349" s="125" t="s">
        <v>66</v>
      </c>
      <c r="E349" s="151">
        <v>0</v>
      </c>
      <c r="F349" s="117"/>
      <c r="G349" s="95" t="s">
        <v>16</v>
      </c>
      <c r="H349" s="116"/>
      <c r="I349" s="116"/>
      <c r="J349" s="116"/>
      <c r="K349" s="116"/>
      <c r="L349" s="118"/>
      <c r="M349" s="119" t="str">
        <f t="shared" si="8"/>
        <v/>
      </c>
      <c r="N349" s="120"/>
    </row>
    <row r="350" spans="1:14" x14ac:dyDescent="0.2">
      <c r="A350" s="53" t="s">
        <v>151</v>
      </c>
      <c r="B350" s="174" t="s">
        <v>382</v>
      </c>
      <c r="C350" s="137" t="s">
        <v>135</v>
      </c>
      <c r="D350" s="126" t="s">
        <v>94</v>
      </c>
      <c r="E350" s="151">
        <v>0</v>
      </c>
      <c r="F350" s="117"/>
      <c r="G350" s="95" t="s">
        <v>16</v>
      </c>
      <c r="H350" s="116"/>
      <c r="I350" s="116"/>
      <c r="J350" s="116"/>
      <c r="K350" s="116"/>
      <c r="L350" s="118"/>
      <c r="M350" s="119" t="str">
        <f t="shared" si="8"/>
        <v/>
      </c>
      <c r="N350" s="120"/>
    </row>
    <row r="351" spans="1:14" x14ac:dyDescent="0.2">
      <c r="A351" s="53" t="s">
        <v>151</v>
      </c>
      <c r="B351" s="206" t="s">
        <v>382</v>
      </c>
      <c r="C351" s="137" t="s">
        <v>135</v>
      </c>
      <c r="D351" s="127" t="s">
        <v>96</v>
      </c>
      <c r="E351" s="151">
        <v>0</v>
      </c>
      <c r="F351" s="117"/>
      <c r="G351" s="95" t="s">
        <v>16</v>
      </c>
      <c r="H351" s="116"/>
      <c r="I351" s="116"/>
      <c r="J351" s="116"/>
      <c r="K351" s="116"/>
      <c r="L351" s="118"/>
      <c r="M351" s="119" t="str">
        <f t="shared" si="8"/>
        <v/>
      </c>
      <c r="N351" s="120"/>
    </row>
    <row r="352" spans="1:14" x14ac:dyDescent="0.2">
      <c r="A352" s="66" t="s">
        <v>151</v>
      </c>
      <c r="B352" s="207" t="s">
        <v>382</v>
      </c>
      <c r="C352" s="155" t="s">
        <v>135</v>
      </c>
      <c r="D352" s="156" t="s">
        <v>98</v>
      </c>
      <c r="E352" s="208" t="s">
        <v>188</v>
      </c>
      <c r="F352" s="103"/>
      <c r="G352" s="104" t="s">
        <v>16</v>
      </c>
      <c r="H352" s="130"/>
      <c r="I352" s="130"/>
      <c r="J352" s="130"/>
      <c r="K352" s="130"/>
      <c r="L352" s="131"/>
      <c r="M352" s="132" t="str">
        <f t="shared" si="8"/>
        <v/>
      </c>
      <c r="N352" s="107"/>
    </row>
    <row r="353" spans="1:14" hidden="1" x14ac:dyDescent="0.2">
      <c r="A353" s="53" t="s">
        <v>152</v>
      </c>
      <c r="B353" s="584" t="s">
        <v>345</v>
      </c>
      <c r="C353" s="585" t="s">
        <v>13</v>
      </c>
      <c r="D353" s="190" t="s">
        <v>135</v>
      </c>
      <c r="E353" s="116">
        <v>0</v>
      </c>
      <c r="F353" s="117" t="s">
        <v>346</v>
      </c>
      <c r="G353" s="95" t="s">
        <v>16</v>
      </c>
      <c r="H353" s="116"/>
      <c r="I353" s="116"/>
      <c r="J353" s="116"/>
      <c r="K353" s="116"/>
      <c r="L353" s="118"/>
      <c r="M353" s="119" t="str">
        <f t="shared" si="8"/>
        <v/>
      </c>
      <c r="N353" s="586"/>
    </row>
    <row r="354" spans="1:14" hidden="1" x14ac:dyDescent="0.2">
      <c r="A354" s="53" t="s">
        <v>152</v>
      </c>
      <c r="B354" s="584" t="s">
        <v>347</v>
      </c>
      <c r="C354" s="585" t="s">
        <v>13</v>
      </c>
      <c r="D354" s="190" t="s">
        <v>135</v>
      </c>
      <c r="E354" s="116">
        <v>1</v>
      </c>
      <c r="F354" s="117" t="s">
        <v>346</v>
      </c>
      <c r="G354" s="95" t="s">
        <v>16</v>
      </c>
      <c r="H354" s="116"/>
      <c r="I354" s="116"/>
      <c r="J354" s="116"/>
      <c r="K354" s="116"/>
      <c r="L354" s="118"/>
      <c r="M354" s="119" t="str">
        <f t="shared" si="8"/>
        <v/>
      </c>
      <c r="N354" s="586"/>
    </row>
    <row r="355" spans="1:14" hidden="1" x14ac:dyDescent="0.2">
      <c r="A355" s="53" t="s">
        <v>152</v>
      </c>
      <c r="B355" s="584" t="s">
        <v>348</v>
      </c>
      <c r="C355" s="585" t="str">
        <f>C354</f>
        <v>AT</v>
      </c>
      <c r="D355" s="190" t="str">
        <f>D354</f>
        <v>any</v>
      </c>
      <c r="E355" s="116">
        <v>0</v>
      </c>
      <c r="F355" s="117" t="s">
        <v>346</v>
      </c>
      <c r="G355" s="95" t="s">
        <v>16</v>
      </c>
      <c r="H355" s="116"/>
      <c r="I355" s="116"/>
      <c r="J355" s="116"/>
      <c r="K355" s="116"/>
      <c r="L355" s="118"/>
      <c r="M355" s="119" t="str">
        <f t="shared" si="8"/>
        <v/>
      </c>
      <c r="N355" s="586"/>
    </row>
    <row r="356" spans="1:14" hidden="1" x14ac:dyDescent="0.2">
      <c r="A356" s="53" t="s">
        <v>152</v>
      </c>
      <c r="B356" s="584" t="s">
        <v>345</v>
      </c>
      <c r="C356" s="585" t="s">
        <v>18</v>
      </c>
      <c r="D356" s="190" t="s">
        <v>135</v>
      </c>
      <c r="E356" s="587">
        <v>0.9858172378193627</v>
      </c>
      <c r="F356" s="117" t="s">
        <v>346</v>
      </c>
      <c r="G356" s="95" t="s">
        <v>16</v>
      </c>
      <c r="H356" s="586">
        <v>1</v>
      </c>
      <c r="I356" s="586">
        <v>1</v>
      </c>
      <c r="J356" s="586">
        <v>3</v>
      </c>
      <c r="K356" s="586">
        <v>2</v>
      </c>
      <c r="L356" s="588">
        <v>2</v>
      </c>
      <c r="M356" s="192">
        <f t="shared" si="8"/>
        <v>0.48935255543384243</v>
      </c>
      <c r="N356" s="586"/>
    </row>
    <row r="357" spans="1:14" hidden="1" x14ac:dyDescent="0.2">
      <c r="A357" s="53" t="s">
        <v>152</v>
      </c>
      <c r="B357" s="584" t="s">
        <v>347</v>
      </c>
      <c r="C357" s="585" t="s">
        <v>18</v>
      </c>
      <c r="D357" s="190" t="s">
        <v>135</v>
      </c>
      <c r="E357" s="587">
        <v>1.4182762180637271E-2</v>
      </c>
      <c r="F357" s="117" t="s">
        <v>346</v>
      </c>
      <c r="G357" s="95" t="s">
        <v>16</v>
      </c>
      <c r="H357" s="586">
        <v>1</v>
      </c>
      <c r="I357" s="586">
        <v>1</v>
      </c>
      <c r="J357" s="586">
        <v>3</v>
      </c>
      <c r="K357" s="586">
        <v>2</v>
      </c>
      <c r="L357" s="588">
        <v>2</v>
      </c>
      <c r="M357" s="192">
        <f t="shared" si="8"/>
        <v>0.48935255543384243</v>
      </c>
      <c r="N357" s="586"/>
    </row>
    <row r="358" spans="1:14" hidden="1" x14ac:dyDescent="0.2">
      <c r="A358" s="53" t="s">
        <v>152</v>
      </c>
      <c r="B358" s="584" t="s">
        <v>348</v>
      </c>
      <c r="C358" s="585" t="str">
        <f>C357</f>
        <v>BE</v>
      </c>
      <c r="D358" s="190" t="str">
        <f>D357</f>
        <v>any</v>
      </c>
      <c r="E358" s="116">
        <v>0</v>
      </c>
      <c r="F358" s="117" t="s">
        <v>346</v>
      </c>
      <c r="G358" s="95" t="s">
        <v>16</v>
      </c>
      <c r="H358" s="116"/>
      <c r="I358" s="116"/>
      <c r="J358" s="116"/>
      <c r="K358" s="116"/>
      <c r="L358" s="118"/>
      <c r="M358" s="119" t="str">
        <f t="shared" si="8"/>
        <v/>
      </c>
      <c r="N358" s="586"/>
    </row>
    <row r="359" spans="1:14" hidden="1" x14ac:dyDescent="0.2">
      <c r="A359" s="53" t="s">
        <v>152</v>
      </c>
      <c r="B359" s="584" t="s">
        <v>345</v>
      </c>
      <c r="C359" s="585" t="s">
        <v>20</v>
      </c>
      <c r="D359" s="190" t="s">
        <v>135</v>
      </c>
      <c r="E359" s="587">
        <v>0.9891516687217381</v>
      </c>
      <c r="F359" s="117" t="s">
        <v>346</v>
      </c>
      <c r="G359" s="95" t="s">
        <v>16</v>
      </c>
      <c r="H359" s="586">
        <v>1</v>
      </c>
      <c r="I359" s="586">
        <v>1</v>
      </c>
      <c r="J359" s="586">
        <v>3</v>
      </c>
      <c r="K359" s="586">
        <v>2</v>
      </c>
      <c r="L359" s="588">
        <v>2</v>
      </c>
      <c r="M359" s="192">
        <f t="shared" si="8"/>
        <v>0.48935255543384243</v>
      </c>
      <c r="N359" s="586"/>
    </row>
    <row r="360" spans="1:14" hidden="1" x14ac:dyDescent="0.2">
      <c r="A360" s="53" t="s">
        <v>152</v>
      </c>
      <c r="B360" s="584" t="s">
        <v>347</v>
      </c>
      <c r="C360" s="585" t="s">
        <v>20</v>
      </c>
      <c r="D360" s="190" t="s">
        <v>135</v>
      </c>
      <c r="E360" s="587">
        <v>1.0848331278261869E-2</v>
      </c>
      <c r="F360" s="117" t="s">
        <v>346</v>
      </c>
      <c r="G360" s="95" t="s">
        <v>16</v>
      </c>
      <c r="H360" s="586">
        <v>1</v>
      </c>
      <c r="I360" s="586">
        <v>1</v>
      </c>
      <c r="J360" s="586">
        <v>3</v>
      </c>
      <c r="K360" s="586">
        <v>2</v>
      </c>
      <c r="L360" s="588">
        <v>2</v>
      </c>
      <c r="M360" s="192">
        <f t="shared" si="8"/>
        <v>0.48935255543384243</v>
      </c>
      <c r="N360" s="586"/>
    </row>
    <row r="361" spans="1:14" hidden="1" x14ac:dyDescent="0.2">
      <c r="A361" s="53" t="s">
        <v>152</v>
      </c>
      <c r="B361" s="584" t="s">
        <v>348</v>
      </c>
      <c r="C361" s="585" t="str">
        <f>C360</f>
        <v>BG</v>
      </c>
      <c r="D361" s="190" t="str">
        <f>D360</f>
        <v>any</v>
      </c>
      <c r="E361" s="116">
        <v>0</v>
      </c>
      <c r="F361" s="117" t="s">
        <v>346</v>
      </c>
      <c r="G361" s="95" t="s">
        <v>16</v>
      </c>
      <c r="H361" s="116"/>
      <c r="I361" s="116"/>
      <c r="J361" s="116"/>
      <c r="K361" s="116"/>
      <c r="L361" s="118"/>
      <c r="M361" s="119" t="str">
        <f t="shared" si="8"/>
        <v/>
      </c>
      <c r="N361" s="586"/>
    </row>
    <row r="362" spans="1:14" hidden="1" x14ac:dyDescent="0.2">
      <c r="A362" s="53" t="s">
        <v>152</v>
      </c>
      <c r="B362" s="584" t="s">
        <v>345</v>
      </c>
      <c r="C362" s="585" t="s">
        <v>22</v>
      </c>
      <c r="D362" s="190" t="s">
        <v>135</v>
      </c>
      <c r="E362" s="587">
        <v>0.99420800531097231</v>
      </c>
      <c r="F362" s="117" t="s">
        <v>346</v>
      </c>
      <c r="G362" s="95" t="s">
        <v>16</v>
      </c>
      <c r="H362" s="586">
        <v>1</v>
      </c>
      <c r="I362" s="586">
        <v>1</v>
      </c>
      <c r="J362" s="586">
        <v>3</v>
      </c>
      <c r="K362" s="586">
        <v>2</v>
      </c>
      <c r="L362" s="588">
        <v>2</v>
      </c>
      <c r="M362" s="192">
        <f t="shared" si="8"/>
        <v>0.48935255543384243</v>
      </c>
      <c r="N362" s="586"/>
    </row>
    <row r="363" spans="1:14" hidden="1" x14ac:dyDescent="0.2">
      <c r="A363" s="53" t="s">
        <v>152</v>
      </c>
      <c r="B363" s="584" t="s">
        <v>347</v>
      </c>
      <c r="C363" s="585" t="s">
        <v>22</v>
      </c>
      <c r="D363" s="190" t="s">
        <v>135</v>
      </c>
      <c r="E363" s="587">
        <v>5.7919946890275754E-3</v>
      </c>
      <c r="F363" s="117" t="s">
        <v>346</v>
      </c>
      <c r="G363" s="95" t="s">
        <v>16</v>
      </c>
      <c r="H363" s="586">
        <v>1</v>
      </c>
      <c r="I363" s="586">
        <v>1</v>
      </c>
      <c r="J363" s="586">
        <v>3</v>
      </c>
      <c r="K363" s="586">
        <v>2</v>
      </c>
      <c r="L363" s="588">
        <v>2</v>
      </c>
      <c r="M363" s="192">
        <f t="shared" si="8"/>
        <v>0.48935255543384243</v>
      </c>
      <c r="N363" s="586"/>
    </row>
    <row r="364" spans="1:14" hidden="1" x14ac:dyDescent="0.2">
      <c r="A364" s="53" t="s">
        <v>152</v>
      </c>
      <c r="B364" s="584" t="s">
        <v>348</v>
      </c>
      <c r="C364" s="585" t="str">
        <f>C363</f>
        <v>HR</v>
      </c>
      <c r="D364" s="190" t="str">
        <f>D363</f>
        <v>any</v>
      </c>
      <c r="E364" s="116">
        <v>0</v>
      </c>
      <c r="F364" s="117" t="s">
        <v>346</v>
      </c>
      <c r="G364" s="95" t="s">
        <v>16</v>
      </c>
      <c r="H364" s="116"/>
      <c r="I364" s="116"/>
      <c r="J364" s="116"/>
      <c r="K364" s="116"/>
      <c r="L364" s="118"/>
      <c r="M364" s="119" t="str">
        <f t="shared" si="8"/>
        <v/>
      </c>
      <c r="N364" s="586"/>
    </row>
    <row r="365" spans="1:14" hidden="1" x14ac:dyDescent="0.2">
      <c r="A365" s="53" t="s">
        <v>152</v>
      </c>
      <c r="B365" s="584" t="s">
        <v>345</v>
      </c>
      <c r="C365" s="585" t="s">
        <v>23</v>
      </c>
      <c r="D365" s="190" t="s">
        <v>135</v>
      </c>
      <c r="E365" s="587">
        <v>0.98511513812779694</v>
      </c>
      <c r="F365" s="117" t="s">
        <v>346</v>
      </c>
      <c r="G365" s="95" t="s">
        <v>16</v>
      </c>
      <c r="H365" s="586">
        <v>1</v>
      </c>
      <c r="I365" s="586">
        <v>1</v>
      </c>
      <c r="J365" s="586">
        <v>3</v>
      </c>
      <c r="K365" s="586">
        <v>2</v>
      </c>
      <c r="L365" s="588">
        <v>2</v>
      </c>
      <c r="M365" s="192">
        <f t="shared" si="8"/>
        <v>0.48935255543384243</v>
      </c>
      <c r="N365" s="586"/>
    </row>
    <row r="366" spans="1:14" hidden="1" x14ac:dyDescent="0.2">
      <c r="A366" s="53" t="s">
        <v>152</v>
      </c>
      <c r="B366" s="584" t="s">
        <v>347</v>
      </c>
      <c r="C366" s="585" t="s">
        <v>23</v>
      </c>
      <c r="D366" s="190" t="s">
        <v>135</v>
      </c>
      <c r="E366" s="587">
        <v>1.488486187220304E-2</v>
      </c>
      <c r="F366" s="117" t="s">
        <v>346</v>
      </c>
      <c r="G366" s="95" t="s">
        <v>16</v>
      </c>
      <c r="H366" s="586">
        <v>1</v>
      </c>
      <c r="I366" s="586">
        <v>1</v>
      </c>
      <c r="J366" s="586">
        <v>3</v>
      </c>
      <c r="K366" s="586">
        <v>2</v>
      </c>
      <c r="L366" s="588">
        <v>2</v>
      </c>
      <c r="M366" s="192">
        <f t="shared" si="8"/>
        <v>0.48935255543384243</v>
      </c>
      <c r="N366" s="586"/>
    </row>
    <row r="367" spans="1:14" hidden="1" x14ac:dyDescent="0.2">
      <c r="A367" s="53" t="s">
        <v>152</v>
      </c>
      <c r="B367" s="584" t="s">
        <v>348</v>
      </c>
      <c r="C367" s="585" t="str">
        <f>C366</f>
        <v>CY</v>
      </c>
      <c r="D367" s="190" t="str">
        <f>D366</f>
        <v>any</v>
      </c>
      <c r="E367" s="116">
        <v>0</v>
      </c>
      <c r="F367" s="117" t="s">
        <v>346</v>
      </c>
      <c r="G367" s="95" t="s">
        <v>16</v>
      </c>
      <c r="H367" s="116"/>
      <c r="I367" s="116"/>
      <c r="J367" s="116"/>
      <c r="K367" s="116"/>
      <c r="L367" s="118"/>
      <c r="M367" s="119" t="str">
        <f t="shared" si="8"/>
        <v/>
      </c>
      <c r="N367" s="586"/>
    </row>
    <row r="368" spans="1:14" hidden="1" x14ac:dyDescent="0.2">
      <c r="A368" s="53" t="s">
        <v>152</v>
      </c>
      <c r="B368" s="584" t="s">
        <v>345</v>
      </c>
      <c r="C368" s="585" t="s">
        <v>24</v>
      </c>
      <c r="D368" s="190" t="s">
        <v>135</v>
      </c>
      <c r="E368" s="116">
        <v>0</v>
      </c>
      <c r="F368" s="117" t="s">
        <v>346</v>
      </c>
      <c r="G368" s="95" t="s">
        <v>16</v>
      </c>
      <c r="H368" s="116"/>
      <c r="I368" s="116"/>
      <c r="J368" s="116"/>
      <c r="K368" s="116"/>
      <c r="L368" s="118"/>
      <c r="M368" s="119" t="str">
        <f t="shared" si="8"/>
        <v/>
      </c>
      <c r="N368" s="586"/>
    </row>
    <row r="369" spans="1:14" hidden="1" x14ac:dyDescent="0.2">
      <c r="A369" s="53" t="s">
        <v>152</v>
      </c>
      <c r="B369" s="584" t="s">
        <v>347</v>
      </c>
      <c r="C369" s="585" t="s">
        <v>24</v>
      </c>
      <c r="D369" s="190" t="s">
        <v>135</v>
      </c>
      <c r="E369" s="116">
        <v>1</v>
      </c>
      <c r="F369" s="117" t="s">
        <v>346</v>
      </c>
      <c r="G369" s="95" t="s">
        <v>16</v>
      </c>
      <c r="H369" s="116"/>
      <c r="I369" s="116"/>
      <c r="J369" s="116"/>
      <c r="K369" s="116"/>
      <c r="L369" s="118"/>
      <c r="M369" s="119" t="str">
        <f t="shared" si="8"/>
        <v/>
      </c>
      <c r="N369" s="586"/>
    </row>
    <row r="370" spans="1:14" hidden="1" x14ac:dyDescent="0.2">
      <c r="A370" s="53" t="s">
        <v>152</v>
      </c>
      <c r="B370" s="584" t="s">
        <v>348</v>
      </c>
      <c r="C370" s="585" t="str">
        <f>C369</f>
        <v>CZ</v>
      </c>
      <c r="D370" s="190" t="str">
        <f>D369</f>
        <v>any</v>
      </c>
      <c r="E370" s="116">
        <v>0</v>
      </c>
      <c r="F370" s="117" t="s">
        <v>346</v>
      </c>
      <c r="G370" s="95" t="s">
        <v>16</v>
      </c>
      <c r="H370" s="116"/>
      <c r="I370" s="116"/>
      <c r="J370" s="116"/>
      <c r="K370" s="116"/>
      <c r="L370" s="118"/>
      <c r="M370" s="119" t="str">
        <f t="shared" si="8"/>
        <v/>
      </c>
      <c r="N370" s="586"/>
    </row>
    <row r="371" spans="1:14" hidden="1" x14ac:dyDescent="0.2">
      <c r="A371" s="53" t="s">
        <v>152</v>
      </c>
      <c r="B371" s="584" t="s">
        <v>345</v>
      </c>
      <c r="C371" s="585" t="s">
        <v>25</v>
      </c>
      <c r="D371" s="190" t="s">
        <v>135</v>
      </c>
      <c r="E371" s="587">
        <v>0.99994541603895115</v>
      </c>
      <c r="F371" s="117" t="s">
        <v>346</v>
      </c>
      <c r="G371" s="95" t="s">
        <v>16</v>
      </c>
      <c r="H371" s="586">
        <v>1</v>
      </c>
      <c r="I371" s="586">
        <v>1</v>
      </c>
      <c r="J371" s="586">
        <v>3</v>
      </c>
      <c r="K371" s="586">
        <v>2</v>
      </c>
      <c r="L371" s="588">
        <v>2</v>
      </c>
      <c r="M371" s="192">
        <f t="shared" si="8"/>
        <v>0.48935255543384243</v>
      </c>
      <c r="N371" s="586"/>
    </row>
    <row r="372" spans="1:14" hidden="1" x14ac:dyDescent="0.2">
      <c r="A372" s="53" t="s">
        <v>152</v>
      </c>
      <c r="B372" s="584" t="s">
        <v>347</v>
      </c>
      <c r="C372" s="585" t="s">
        <v>25</v>
      </c>
      <c r="D372" s="190" t="s">
        <v>135</v>
      </c>
      <c r="E372" s="587">
        <v>5.4583961048885393E-5</v>
      </c>
      <c r="F372" s="117" t="s">
        <v>346</v>
      </c>
      <c r="G372" s="95" t="s">
        <v>16</v>
      </c>
      <c r="H372" s="586">
        <v>1</v>
      </c>
      <c r="I372" s="586">
        <v>1</v>
      </c>
      <c r="J372" s="586">
        <v>3</v>
      </c>
      <c r="K372" s="586">
        <v>2</v>
      </c>
      <c r="L372" s="588">
        <v>2</v>
      </c>
      <c r="M372" s="192">
        <f t="shared" si="8"/>
        <v>0.48935255543384243</v>
      </c>
      <c r="N372" s="586"/>
    </row>
    <row r="373" spans="1:14" hidden="1" x14ac:dyDescent="0.2">
      <c r="A373" s="53" t="s">
        <v>152</v>
      </c>
      <c r="B373" s="584" t="s">
        <v>348</v>
      </c>
      <c r="C373" s="585" t="str">
        <f>C372</f>
        <v>DK</v>
      </c>
      <c r="D373" s="190" t="str">
        <f>D372</f>
        <v>any</v>
      </c>
      <c r="E373" s="116">
        <v>0</v>
      </c>
      <c r="F373" s="117" t="s">
        <v>346</v>
      </c>
      <c r="G373" s="95" t="s">
        <v>16</v>
      </c>
      <c r="H373" s="116"/>
      <c r="I373" s="116"/>
      <c r="J373" s="116"/>
      <c r="K373" s="116"/>
      <c r="L373" s="118"/>
      <c r="M373" s="119" t="str">
        <f t="shared" si="8"/>
        <v/>
      </c>
      <c r="N373" s="586"/>
    </row>
    <row r="374" spans="1:14" hidden="1" x14ac:dyDescent="0.2">
      <c r="A374" s="53" t="s">
        <v>152</v>
      </c>
      <c r="B374" s="584" t="s">
        <v>345</v>
      </c>
      <c r="C374" s="585" t="s">
        <v>26</v>
      </c>
      <c r="D374" s="190" t="s">
        <v>135</v>
      </c>
      <c r="E374" s="587">
        <v>0.94989010281137198</v>
      </c>
      <c r="F374" s="117" t="s">
        <v>346</v>
      </c>
      <c r="G374" s="95" t="s">
        <v>16</v>
      </c>
      <c r="H374" s="586">
        <v>1</v>
      </c>
      <c r="I374" s="586">
        <v>1</v>
      </c>
      <c r="J374" s="586">
        <v>3</v>
      </c>
      <c r="K374" s="586">
        <v>2</v>
      </c>
      <c r="L374" s="588">
        <v>2</v>
      </c>
      <c r="M374" s="192">
        <f t="shared" si="8"/>
        <v>0.48935255543384243</v>
      </c>
      <c r="N374" s="586"/>
    </row>
    <row r="375" spans="1:14" hidden="1" x14ac:dyDescent="0.2">
      <c r="A375" s="53" t="s">
        <v>152</v>
      </c>
      <c r="B375" s="584" t="s">
        <v>347</v>
      </c>
      <c r="C375" s="585" t="s">
        <v>26</v>
      </c>
      <c r="D375" s="190" t="s">
        <v>135</v>
      </c>
      <c r="E375" s="587">
        <v>5.010989718862785E-2</v>
      </c>
      <c r="F375" s="117" t="s">
        <v>346</v>
      </c>
      <c r="G375" s="95" t="s">
        <v>16</v>
      </c>
      <c r="H375" s="586">
        <v>1</v>
      </c>
      <c r="I375" s="586">
        <v>1</v>
      </c>
      <c r="J375" s="586">
        <v>3</v>
      </c>
      <c r="K375" s="586">
        <v>2</v>
      </c>
      <c r="L375" s="588">
        <v>2</v>
      </c>
      <c r="M375" s="192">
        <f t="shared" si="8"/>
        <v>0.48935255543384243</v>
      </c>
      <c r="N375" s="586"/>
    </row>
    <row r="376" spans="1:14" hidden="1" x14ac:dyDescent="0.2">
      <c r="A376" s="53" t="s">
        <v>152</v>
      </c>
      <c r="B376" s="584" t="s">
        <v>348</v>
      </c>
      <c r="C376" s="585" t="str">
        <f>C375</f>
        <v>EE</v>
      </c>
      <c r="D376" s="190" t="str">
        <f>D375</f>
        <v>any</v>
      </c>
      <c r="E376" s="116">
        <v>0</v>
      </c>
      <c r="F376" s="117" t="s">
        <v>346</v>
      </c>
      <c r="G376" s="95" t="s">
        <v>16</v>
      </c>
      <c r="H376" s="116"/>
      <c r="I376" s="116"/>
      <c r="J376" s="116"/>
      <c r="K376" s="116"/>
      <c r="L376" s="118"/>
      <c r="M376" s="119" t="str">
        <f t="shared" si="8"/>
        <v/>
      </c>
      <c r="N376" s="586"/>
    </row>
    <row r="377" spans="1:14" hidden="1" x14ac:dyDescent="0.2">
      <c r="A377" s="53" t="s">
        <v>152</v>
      </c>
      <c r="B377" s="584" t="s">
        <v>345</v>
      </c>
      <c r="C377" s="585" t="s">
        <v>27</v>
      </c>
      <c r="D377" s="190" t="s">
        <v>135</v>
      </c>
      <c r="E377" s="587">
        <v>0.79493703262457172</v>
      </c>
      <c r="F377" s="117" t="s">
        <v>346</v>
      </c>
      <c r="G377" s="95" t="s">
        <v>16</v>
      </c>
      <c r="H377" s="586">
        <v>1</v>
      </c>
      <c r="I377" s="586">
        <v>1</v>
      </c>
      <c r="J377" s="586">
        <v>3</v>
      </c>
      <c r="K377" s="586">
        <v>2</v>
      </c>
      <c r="L377" s="588">
        <v>2</v>
      </c>
      <c r="M377" s="192">
        <f t="shared" ref="M377:M407" si="9">IF( OR( ISBLANK(H377),ISBLANK(I377), ISBLANK(J377), ISBLANK(K377), ISBLANK(L377) ), "", 1.5*SQRT( EXP(2.21*(H377-1)) + EXP(2.21*(I377-1)) + EXP(2.21*(J377-1)) + EXP(2.21*(K377-1)) + EXP(2.21*L377) )/100*2.45 )</f>
        <v>0.48935255543384243</v>
      </c>
      <c r="N377" s="586"/>
    </row>
    <row r="378" spans="1:14" hidden="1" x14ac:dyDescent="0.2">
      <c r="A378" s="53" t="s">
        <v>152</v>
      </c>
      <c r="B378" s="584" t="s">
        <v>347</v>
      </c>
      <c r="C378" s="585" t="s">
        <v>27</v>
      </c>
      <c r="D378" s="190" t="s">
        <v>135</v>
      </c>
      <c r="E378" s="587">
        <v>0.20506296737542831</v>
      </c>
      <c r="F378" s="117" t="s">
        <v>346</v>
      </c>
      <c r="G378" s="95" t="s">
        <v>16</v>
      </c>
      <c r="H378" s="586">
        <v>1</v>
      </c>
      <c r="I378" s="586">
        <v>1</v>
      </c>
      <c r="J378" s="586">
        <v>3</v>
      </c>
      <c r="K378" s="586">
        <v>2</v>
      </c>
      <c r="L378" s="588">
        <v>2</v>
      </c>
      <c r="M378" s="192">
        <f t="shared" si="9"/>
        <v>0.48935255543384243</v>
      </c>
      <c r="N378" s="586"/>
    </row>
    <row r="379" spans="1:14" hidden="1" x14ac:dyDescent="0.2">
      <c r="A379" s="53" t="s">
        <v>152</v>
      </c>
      <c r="B379" s="584" t="s">
        <v>348</v>
      </c>
      <c r="C379" s="585" t="str">
        <f>C378</f>
        <v>FI</v>
      </c>
      <c r="D379" s="190" t="str">
        <f>D378</f>
        <v>any</v>
      </c>
      <c r="E379" s="116">
        <v>0</v>
      </c>
      <c r="F379" s="117" t="s">
        <v>346</v>
      </c>
      <c r="G379" s="95" t="s">
        <v>16</v>
      </c>
      <c r="H379" s="116"/>
      <c r="I379" s="116"/>
      <c r="J379" s="116"/>
      <c r="K379" s="116"/>
      <c r="L379" s="118"/>
      <c r="M379" s="119" t="str">
        <f t="shared" si="9"/>
        <v/>
      </c>
      <c r="N379" s="586"/>
    </row>
    <row r="380" spans="1:14" hidden="1" x14ac:dyDescent="0.2">
      <c r="A380" s="53" t="s">
        <v>152</v>
      </c>
      <c r="B380" s="584" t="s">
        <v>345</v>
      </c>
      <c r="C380" s="585" t="s">
        <v>28</v>
      </c>
      <c r="D380" s="190" t="s">
        <v>135</v>
      </c>
      <c r="E380" s="587">
        <v>0.99771392068867049</v>
      </c>
      <c r="F380" s="117" t="s">
        <v>346</v>
      </c>
      <c r="G380" s="95" t="s">
        <v>16</v>
      </c>
      <c r="H380" s="586">
        <v>1</v>
      </c>
      <c r="I380" s="586">
        <v>1</v>
      </c>
      <c r="J380" s="586">
        <v>3</v>
      </c>
      <c r="K380" s="586">
        <v>2</v>
      </c>
      <c r="L380" s="588">
        <v>2</v>
      </c>
      <c r="M380" s="192">
        <f t="shared" si="9"/>
        <v>0.48935255543384243</v>
      </c>
      <c r="N380" s="586"/>
    </row>
    <row r="381" spans="1:14" hidden="1" x14ac:dyDescent="0.2">
      <c r="A381" s="53" t="s">
        <v>152</v>
      </c>
      <c r="B381" s="584" t="s">
        <v>347</v>
      </c>
      <c r="C381" s="585" t="s">
        <v>28</v>
      </c>
      <c r="D381" s="190" t="s">
        <v>135</v>
      </c>
      <c r="E381" s="587">
        <v>2.286079311329613E-3</v>
      </c>
      <c r="F381" s="117" t="s">
        <v>346</v>
      </c>
      <c r="G381" s="95" t="s">
        <v>16</v>
      </c>
      <c r="H381" s="586">
        <v>1</v>
      </c>
      <c r="I381" s="586">
        <v>1</v>
      </c>
      <c r="J381" s="586">
        <v>3</v>
      </c>
      <c r="K381" s="586">
        <v>2</v>
      </c>
      <c r="L381" s="588">
        <v>2</v>
      </c>
      <c r="M381" s="192">
        <f t="shared" si="9"/>
        <v>0.48935255543384243</v>
      </c>
      <c r="N381" s="586"/>
    </row>
    <row r="382" spans="1:14" hidden="1" x14ac:dyDescent="0.2">
      <c r="A382" s="53" t="s">
        <v>152</v>
      </c>
      <c r="B382" s="584" t="s">
        <v>348</v>
      </c>
      <c r="C382" s="585" t="str">
        <f>C381</f>
        <v>FR</v>
      </c>
      <c r="D382" s="190" t="str">
        <f>D381</f>
        <v>any</v>
      </c>
      <c r="E382" s="116">
        <v>0</v>
      </c>
      <c r="F382" s="117" t="s">
        <v>346</v>
      </c>
      <c r="G382" s="95" t="s">
        <v>16</v>
      </c>
      <c r="H382" s="116"/>
      <c r="I382" s="116"/>
      <c r="J382" s="116"/>
      <c r="K382" s="116"/>
      <c r="L382" s="118"/>
      <c r="M382" s="119" t="str">
        <f t="shared" si="9"/>
        <v/>
      </c>
      <c r="N382" s="586"/>
    </row>
    <row r="383" spans="1:14" hidden="1" x14ac:dyDescent="0.2">
      <c r="A383" s="53" t="s">
        <v>152</v>
      </c>
      <c r="B383" s="584" t="s">
        <v>345</v>
      </c>
      <c r="C383" s="585" t="s">
        <v>30</v>
      </c>
      <c r="D383" s="190" t="s">
        <v>135</v>
      </c>
      <c r="E383" s="587">
        <v>0.92010403359610893</v>
      </c>
      <c r="F383" s="117" t="s">
        <v>346</v>
      </c>
      <c r="G383" s="95" t="s">
        <v>16</v>
      </c>
      <c r="H383" s="586">
        <v>1</v>
      </c>
      <c r="I383" s="586">
        <v>1</v>
      </c>
      <c r="J383" s="586">
        <v>3</v>
      </c>
      <c r="K383" s="586">
        <v>2</v>
      </c>
      <c r="L383" s="588">
        <v>2</v>
      </c>
      <c r="M383" s="192">
        <f t="shared" si="9"/>
        <v>0.48935255543384243</v>
      </c>
      <c r="N383" s="586"/>
    </row>
    <row r="384" spans="1:14" hidden="1" x14ac:dyDescent="0.2">
      <c r="A384" s="53" t="s">
        <v>152</v>
      </c>
      <c r="B384" s="584" t="s">
        <v>347</v>
      </c>
      <c r="C384" s="585" t="s">
        <v>30</v>
      </c>
      <c r="D384" s="190" t="s">
        <v>135</v>
      </c>
      <c r="E384" s="587">
        <v>7.9895966403891114E-2</v>
      </c>
      <c r="F384" s="117" t="s">
        <v>346</v>
      </c>
      <c r="G384" s="95" t="s">
        <v>16</v>
      </c>
      <c r="H384" s="586">
        <v>1</v>
      </c>
      <c r="I384" s="586">
        <v>1</v>
      </c>
      <c r="J384" s="586">
        <v>3</v>
      </c>
      <c r="K384" s="586">
        <v>2</v>
      </c>
      <c r="L384" s="588">
        <v>2</v>
      </c>
      <c r="M384" s="192">
        <f t="shared" si="9"/>
        <v>0.48935255543384243</v>
      </c>
      <c r="N384" s="586"/>
    </row>
    <row r="385" spans="1:14" hidden="1" x14ac:dyDescent="0.2">
      <c r="A385" s="53" t="s">
        <v>152</v>
      </c>
      <c r="B385" s="584" t="s">
        <v>348</v>
      </c>
      <c r="C385" s="585" t="str">
        <f>C384</f>
        <v>DE</v>
      </c>
      <c r="D385" s="190" t="str">
        <f>D384</f>
        <v>any</v>
      </c>
      <c r="E385" s="116">
        <v>0</v>
      </c>
      <c r="F385" s="117" t="s">
        <v>346</v>
      </c>
      <c r="G385" s="95" t="s">
        <v>16</v>
      </c>
      <c r="H385" s="116"/>
      <c r="I385" s="116"/>
      <c r="J385" s="116"/>
      <c r="K385" s="116"/>
      <c r="L385" s="118"/>
      <c r="M385" s="119" t="str">
        <f t="shared" si="9"/>
        <v/>
      </c>
      <c r="N385" s="586"/>
    </row>
    <row r="386" spans="1:14" hidden="1" x14ac:dyDescent="0.2">
      <c r="A386" s="53" t="s">
        <v>152</v>
      </c>
      <c r="B386" s="584" t="s">
        <v>345</v>
      </c>
      <c r="C386" s="585" t="s">
        <v>32</v>
      </c>
      <c r="D386" s="190" t="s">
        <v>135</v>
      </c>
      <c r="E386" s="587">
        <v>0.98684873262565431</v>
      </c>
      <c r="F386" s="117" t="s">
        <v>346</v>
      </c>
      <c r="G386" s="95" t="s">
        <v>16</v>
      </c>
      <c r="H386" s="586">
        <v>1</v>
      </c>
      <c r="I386" s="586">
        <v>1</v>
      </c>
      <c r="J386" s="586">
        <v>3</v>
      </c>
      <c r="K386" s="586">
        <v>2</v>
      </c>
      <c r="L386" s="588">
        <v>2</v>
      </c>
      <c r="M386" s="192">
        <f t="shared" si="9"/>
        <v>0.48935255543384243</v>
      </c>
      <c r="N386" s="586"/>
    </row>
    <row r="387" spans="1:14" hidden="1" x14ac:dyDescent="0.2">
      <c r="A387" s="53" t="s">
        <v>152</v>
      </c>
      <c r="B387" s="584" t="s">
        <v>347</v>
      </c>
      <c r="C387" s="585" t="s">
        <v>32</v>
      </c>
      <c r="D387" s="190" t="s">
        <v>135</v>
      </c>
      <c r="E387" s="587">
        <v>1.3151267374345689E-2</v>
      </c>
      <c r="F387" s="117" t="s">
        <v>346</v>
      </c>
      <c r="G387" s="95" t="s">
        <v>16</v>
      </c>
      <c r="H387" s="586">
        <v>1</v>
      </c>
      <c r="I387" s="586">
        <v>1</v>
      </c>
      <c r="J387" s="586">
        <v>3</v>
      </c>
      <c r="K387" s="586">
        <v>2</v>
      </c>
      <c r="L387" s="588">
        <v>2</v>
      </c>
      <c r="M387" s="192">
        <f t="shared" si="9"/>
        <v>0.48935255543384243</v>
      </c>
      <c r="N387" s="586"/>
    </row>
    <row r="388" spans="1:14" hidden="1" x14ac:dyDescent="0.2">
      <c r="A388" s="53" t="s">
        <v>152</v>
      </c>
      <c r="B388" s="584" t="s">
        <v>348</v>
      </c>
      <c r="C388" s="585" t="str">
        <f>C387</f>
        <v>EL</v>
      </c>
      <c r="D388" s="190" t="str">
        <f>D387</f>
        <v>any</v>
      </c>
      <c r="E388" s="116">
        <v>0</v>
      </c>
      <c r="F388" s="117" t="s">
        <v>346</v>
      </c>
      <c r="G388" s="95" t="s">
        <v>16</v>
      </c>
      <c r="H388" s="116"/>
      <c r="I388" s="116"/>
      <c r="J388" s="116"/>
      <c r="K388" s="116"/>
      <c r="L388" s="118"/>
      <c r="M388" s="119" t="str">
        <f t="shared" si="9"/>
        <v/>
      </c>
      <c r="N388" s="586"/>
    </row>
    <row r="389" spans="1:14" hidden="1" x14ac:dyDescent="0.2">
      <c r="A389" s="53" t="s">
        <v>152</v>
      </c>
      <c r="B389" s="584" t="s">
        <v>345</v>
      </c>
      <c r="C389" s="585" t="s">
        <v>34</v>
      </c>
      <c r="D389" s="190" t="s">
        <v>135</v>
      </c>
      <c r="E389" s="116">
        <v>0</v>
      </c>
      <c r="F389" s="117" t="s">
        <v>346</v>
      </c>
      <c r="G389" s="95" t="s">
        <v>16</v>
      </c>
      <c r="H389" s="116"/>
      <c r="I389" s="116"/>
      <c r="J389" s="116"/>
      <c r="K389" s="116"/>
      <c r="L389" s="118"/>
      <c r="M389" s="119" t="str">
        <f t="shared" si="9"/>
        <v/>
      </c>
      <c r="N389" s="586"/>
    </row>
    <row r="390" spans="1:14" hidden="1" x14ac:dyDescent="0.2">
      <c r="A390" s="53" t="s">
        <v>152</v>
      </c>
      <c r="B390" s="584" t="s">
        <v>347</v>
      </c>
      <c r="C390" s="585" t="s">
        <v>34</v>
      </c>
      <c r="D390" s="190" t="s">
        <v>135</v>
      </c>
      <c r="E390" s="116">
        <v>1</v>
      </c>
      <c r="F390" s="117" t="s">
        <v>346</v>
      </c>
      <c r="G390" s="95" t="s">
        <v>16</v>
      </c>
      <c r="H390" s="116"/>
      <c r="I390" s="116"/>
      <c r="J390" s="116"/>
      <c r="K390" s="116"/>
      <c r="L390" s="118"/>
      <c r="M390" s="119" t="str">
        <f t="shared" si="9"/>
        <v/>
      </c>
      <c r="N390" s="586"/>
    </row>
    <row r="391" spans="1:14" hidden="1" x14ac:dyDescent="0.2">
      <c r="A391" s="53" t="s">
        <v>152</v>
      </c>
      <c r="B391" s="584" t="s">
        <v>348</v>
      </c>
      <c r="C391" s="585" t="str">
        <f>C390</f>
        <v>HU</v>
      </c>
      <c r="D391" s="190" t="str">
        <f>D390</f>
        <v>any</v>
      </c>
      <c r="E391" s="116">
        <v>0</v>
      </c>
      <c r="F391" s="117" t="s">
        <v>346</v>
      </c>
      <c r="G391" s="95" t="s">
        <v>16</v>
      </c>
      <c r="H391" s="116"/>
      <c r="I391" s="116"/>
      <c r="J391" s="116"/>
      <c r="K391" s="116"/>
      <c r="L391" s="118"/>
      <c r="M391" s="119" t="str">
        <f t="shared" si="9"/>
        <v/>
      </c>
      <c r="N391" s="586"/>
    </row>
    <row r="392" spans="1:14" hidden="1" x14ac:dyDescent="0.2">
      <c r="A392" s="53" t="s">
        <v>152</v>
      </c>
      <c r="B392" s="584" t="s">
        <v>345</v>
      </c>
      <c r="C392" s="585" t="s">
        <v>36</v>
      </c>
      <c r="D392" s="190" t="s">
        <v>135</v>
      </c>
      <c r="E392" s="587">
        <v>0.99959233017472671</v>
      </c>
      <c r="F392" s="117" t="s">
        <v>346</v>
      </c>
      <c r="G392" s="95" t="s">
        <v>16</v>
      </c>
      <c r="H392" s="586">
        <v>1</v>
      </c>
      <c r="I392" s="586">
        <v>1</v>
      </c>
      <c r="J392" s="586">
        <v>3</v>
      </c>
      <c r="K392" s="586">
        <v>2</v>
      </c>
      <c r="L392" s="588">
        <v>2</v>
      </c>
      <c r="M392" s="192">
        <f t="shared" si="9"/>
        <v>0.48935255543384243</v>
      </c>
      <c r="N392" s="586"/>
    </row>
    <row r="393" spans="1:14" hidden="1" x14ac:dyDescent="0.2">
      <c r="A393" s="53" t="s">
        <v>152</v>
      </c>
      <c r="B393" s="584" t="s">
        <v>347</v>
      </c>
      <c r="C393" s="585" t="s">
        <v>36</v>
      </c>
      <c r="D393" s="190" t="s">
        <v>135</v>
      </c>
      <c r="E393" s="587">
        <v>4.0766982527328839E-4</v>
      </c>
      <c r="F393" s="117" t="s">
        <v>346</v>
      </c>
      <c r="G393" s="95" t="s">
        <v>16</v>
      </c>
      <c r="H393" s="586">
        <v>1</v>
      </c>
      <c r="I393" s="586">
        <v>1</v>
      </c>
      <c r="J393" s="586">
        <v>3</v>
      </c>
      <c r="K393" s="586">
        <v>2</v>
      </c>
      <c r="L393" s="588">
        <v>2</v>
      </c>
      <c r="M393" s="192">
        <f t="shared" si="9"/>
        <v>0.48935255543384243</v>
      </c>
      <c r="N393" s="586"/>
    </row>
    <row r="394" spans="1:14" hidden="1" x14ac:dyDescent="0.2">
      <c r="A394" s="53" t="s">
        <v>152</v>
      </c>
      <c r="B394" s="584" t="s">
        <v>348</v>
      </c>
      <c r="C394" s="585" t="str">
        <f>C393</f>
        <v>IE</v>
      </c>
      <c r="D394" s="190" t="str">
        <f>D393</f>
        <v>any</v>
      </c>
      <c r="E394" s="116">
        <v>0</v>
      </c>
      <c r="F394" s="117" t="s">
        <v>346</v>
      </c>
      <c r="G394" s="95" t="s">
        <v>16</v>
      </c>
      <c r="H394" s="116"/>
      <c r="I394" s="116"/>
      <c r="J394" s="116"/>
      <c r="K394" s="116"/>
      <c r="L394" s="118"/>
      <c r="M394" s="119" t="str">
        <f t="shared" si="9"/>
        <v/>
      </c>
      <c r="N394" s="586"/>
    </row>
    <row r="395" spans="1:14" hidden="1" x14ac:dyDescent="0.2">
      <c r="A395" s="53" t="s">
        <v>152</v>
      </c>
      <c r="B395" s="584" t="s">
        <v>345</v>
      </c>
      <c r="C395" s="585" t="s">
        <v>37</v>
      </c>
      <c r="D395" s="190" t="s">
        <v>135</v>
      </c>
      <c r="E395" s="587">
        <v>0.9731615082237941</v>
      </c>
      <c r="F395" s="117" t="s">
        <v>346</v>
      </c>
      <c r="G395" s="95" t="s">
        <v>16</v>
      </c>
      <c r="H395" s="586">
        <v>1</v>
      </c>
      <c r="I395" s="586">
        <v>1</v>
      </c>
      <c r="J395" s="586">
        <v>3</v>
      </c>
      <c r="K395" s="586">
        <v>2</v>
      </c>
      <c r="L395" s="588">
        <v>2</v>
      </c>
      <c r="M395" s="192">
        <f t="shared" si="9"/>
        <v>0.48935255543384243</v>
      </c>
      <c r="N395" s="586"/>
    </row>
    <row r="396" spans="1:14" hidden="1" x14ac:dyDescent="0.2">
      <c r="A396" s="53" t="s">
        <v>152</v>
      </c>
      <c r="B396" s="584" t="s">
        <v>347</v>
      </c>
      <c r="C396" s="585" t="s">
        <v>37</v>
      </c>
      <c r="D396" s="190" t="s">
        <v>135</v>
      </c>
      <c r="E396" s="587">
        <v>2.6838491776205849E-2</v>
      </c>
      <c r="F396" s="117" t="s">
        <v>346</v>
      </c>
      <c r="G396" s="95" t="s">
        <v>16</v>
      </c>
      <c r="H396" s="586">
        <v>1</v>
      </c>
      <c r="I396" s="586">
        <v>1</v>
      </c>
      <c r="J396" s="586">
        <v>3</v>
      </c>
      <c r="K396" s="586">
        <v>2</v>
      </c>
      <c r="L396" s="588">
        <v>2</v>
      </c>
      <c r="M396" s="192">
        <f t="shared" si="9"/>
        <v>0.48935255543384243</v>
      </c>
      <c r="N396" s="586"/>
    </row>
    <row r="397" spans="1:14" hidden="1" x14ac:dyDescent="0.2">
      <c r="A397" s="53" t="s">
        <v>152</v>
      </c>
      <c r="B397" s="584" t="s">
        <v>348</v>
      </c>
      <c r="C397" s="585" t="str">
        <f>C396</f>
        <v>IT</v>
      </c>
      <c r="D397" s="190" t="str">
        <f>D396</f>
        <v>any</v>
      </c>
      <c r="E397" s="116">
        <v>0</v>
      </c>
      <c r="F397" s="117" t="s">
        <v>346</v>
      </c>
      <c r="G397" s="95" t="s">
        <v>16</v>
      </c>
      <c r="H397" s="116"/>
      <c r="I397" s="116"/>
      <c r="J397" s="116"/>
      <c r="K397" s="116"/>
      <c r="L397" s="118"/>
      <c r="M397" s="119" t="str">
        <f t="shared" si="9"/>
        <v/>
      </c>
      <c r="N397" s="586"/>
    </row>
    <row r="398" spans="1:14" hidden="1" x14ac:dyDescent="0.2">
      <c r="A398" s="53" t="s">
        <v>152</v>
      </c>
      <c r="B398" s="584" t="s">
        <v>345</v>
      </c>
      <c r="C398" s="585" t="s">
        <v>39</v>
      </c>
      <c r="D398" s="190" t="s">
        <v>135</v>
      </c>
      <c r="E398" s="587">
        <v>0.99647632676299069</v>
      </c>
      <c r="F398" s="117" t="s">
        <v>346</v>
      </c>
      <c r="G398" s="95" t="s">
        <v>16</v>
      </c>
      <c r="H398" s="586">
        <v>1</v>
      </c>
      <c r="I398" s="586">
        <v>1</v>
      </c>
      <c r="J398" s="586">
        <v>3</v>
      </c>
      <c r="K398" s="586">
        <v>2</v>
      </c>
      <c r="L398" s="588">
        <v>2</v>
      </c>
      <c r="M398" s="192">
        <f t="shared" si="9"/>
        <v>0.48935255543384243</v>
      </c>
      <c r="N398" s="586"/>
    </row>
    <row r="399" spans="1:14" hidden="1" x14ac:dyDescent="0.2">
      <c r="A399" s="53" t="s">
        <v>152</v>
      </c>
      <c r="B399" s="584" t="s">
        <v>347</v>
      </c>
      <c r="C399" s="585" t="s">
        <v>39</v>
      </c>
      <c r="D399" s="190" t="s">
        <v>135</v>
      </c>
      <c r="E399" s="587">
        <v>3.5236732370093398E-3</v>
      </c>
      <c r="F399" s="117" t="s">
        <v>346</v>
      </c>
      <c r="G399" s="95" t="s">
        <v>16</v>
      </c>
      <c r="H399" s="586">
        <v>1</v>
      </c>
      <c r="I399" s="586">
        <v>1</v>
      </c>
      <c r="J399" s="586">
        <v>3</v>
      </c>
      <c r="K399" s="586">
        <v>2</v>
      </c>
      <c r="L399" s="588">
        <v>2</v>
      </c>
      <c r="M399" s="192">
        <f t="shared" si="9"/>
        <v>0.48935255543384243</v>
      </c>
      <c r="N399" s="586"/>
    </row>
    <row r="400" spans="1:14" hidden="1" x14ac:dyDescent="0.2">
      <c r="A400" s="53" t="s">
        <v>152</v>
      </c>
      <c r="B400" s="584" t="s">
        <v>348</v>
      </c>
      <c r="C400" s="585" t="str">
        <f>C399</f>
        <v>LV</v>
      </c>
      <c r="D400" s="190" t="str">
        <f>D399</f>
        <v>any</v>
      </c>
      <c r="E400" s="116">
        <v>0</v>
      </c>
      <c r="F400" s="117" t="s">
        <v>346</v>
      </c>
      <c r="G400" s="95" t="s">
        <v>16</v>
      </c>
      <c r="H400" s="116"/>
      <c r="I400" s="116"/>
      <c r="J400" s="116"/>
      <c r="K400" s="116"/>
      <c r="L400" s="118"/>
      <c r="M400" s="119" t="str">
        <f t="shared" si="9"/>
        <v/>
      </c>
      <c r="N400" s="586"/>
    </row>
    <row r="401" spans="1:14" hidden="1" x14ac:dyDescent="0.2">
      <c r="A401" s="53" t="s">
        <v>152</v>
      </c>
      <c r="B401" s="584" t="s">
        <v>345</v>
      </c>
      <c r="C401" s="585" t="s">
        <v>40</v>
      </c>
      <c r="D401" s="190" t="s">
        <v>135</v>
      </c>
      <c r="E401" s="587">
        <v>0.98526407261437099</v>
      </c>
      <c r="F401" s="117" t="s">
        <v>346</v>
      </c>
      <c r="G401" s="95" t="s">
        <v>16</v>
      </c>
      <c r="H401" s="586">
        <v>1</v>
      </c>
      <c r="I401" s="586">
        <v>1</v>
      </c>
      <c r="J401" s="586">
        <v>3</v>
      </c>
      <c r="K401" s="586">
        <v>2</v>
      </c>
      <c r="L401" s="588">
        <v>2</v>
      </c>
      <c r="M401" s="192">
        <f t="shared" si="9"/>
        <v>0.48935255543384243</v>
      </c>
      <c r="N401" s="586"/>
    </row>
    <row r="402" spans="1:14" hidden="1" x14ac:dyDescent="0.2">
      <c r="A402" s="53" t="s">
        <v>152</v>
      </c>
      <c r="B402" s="584" t="s">
        <v>347</v>
      </c>
      <c r="C402" s="585" t="s">
        <v>40</v>
      </c>
      <c r="D402" s="190" t="s">
        <v>135</v>
      </c>
      <c r="E402" s="587">
        <v>1.473592738562911E-2</v>
      </c>
      <c r="F402" s="117" t="s">
        <v>346</v>
      </c>
      <c r="G402" s="95" t="s">
        <v>16</v>
      </c>
      <c r="H402" s="586">
        <v>1</v>
      </c>
      <c r="I402" s="586">
        <v>1</v>
      </c>
      <c r="J402" s="586">
        <v>3</v>
      </c>
      <c r="K402" s="586">
        <v>2</v>
      </c>
      <c r="L402" s="588">
        <v>2</v>
      </c>
      <c r="M402" s="192">
        <f t="shared" si="9"/>
        <v>0.48935255543384243</v>
      </c>
      <c r="N402" s="586"/>
    </row>
    <row r="403" spans="1:14" hidden="1" x14ac:dyDescent="0.2">
      <c r="A403" s="53" t="s">
        <v>152</v>
      </c>
      <c r="B403" s="584" t="s">
        <v>348</v>
      </c>
      <c r="C403" s="585" t="str">
        <f>C402</f>
        <v>LT</v>
      </c>
      <c r="D403" s="190" t="str">
        <f>D402</f>
        <v>any</v>
      </c>
      <c r="E403" s="116">
        <v>0</v>
      </c>
      <c r="F403" s="117" t="s">
        <v>346</v>
      </c>
      <c r="G403" s="95" t="s">
        <v>16</v>
      </c>
      <c r="H403" s="116"/>
      <c r="I403" s="116"/>
      <c r="J403" s="116"/>
      <c r="K403" s="116"/>
      <c r="L403" s="118"/>
      <c r="M403" s="119" t="str">
        <f t="shared" si="9"/>
        <v/>
      </c>
      <c r="N403" s="586"/>
    </row>
    <row r="404" spans="1:14" hidden="1" x14ac:dyDescent="0.2">
      <c r="A404" s="53" t="s">
        <v>152</v>
      </c>
      <c r="B404" s="584" t="s">
        <v>345</v>
      </c>
      <c r="C404" s="585" t="s">
        <v>41</v>
      </c>
      <c r="D404" s="190" t="s">
        <v>135</v>
      </c>
      <c r="E404" s="116">
        <v>0</v>
      </c>
      <c r="F404" s="117" t="s">
        <v>346</v>
      </c>
      <c r="G404" s="95" t="s">
        <v>16</v>
      </c>
      <c r="H404" s="116"/>
      <c r="I404" s="116"/>
      <c r="J404" s="116"/>
      <c r="K404" s="116"/>
      <c r="L404" s="118"/>
      <c r="M404" s="119" t="str">
        <f t="shared" si="9"/>
        <v/>
      </c>
      <c r="N404" s="586"/>
    </row>
    <row r="405" spans="1:14" hidden="1" x14ac:dyDescent="0.2">
      <c r="A405" s="53" t="s">
        <v>152</v>
      </c>
      <c r="B405" s="584" t="s">
        <v>347</v>
      </c>
      <c r="C405" s="585" t="s">
        <v>41</v>
      </c>
      <c r="D405" s="190" t="s">
        <v>135</v>
      </c>
      <c r="E405" s="116">
        <v>1</v>
      </c>
      <c r="F405" s="117" t="s">
        <v>346</v>
      </c>
      <c r="G405" s="95" t="s">
        <v>16</v>
      </c>
      <c r="H405" s="116"/>
      <c r="I405" s="116"/>
      <c r="J405" s="116"/>
      <c r="K405" s="116"/>
      <c r="L405" s="118"/>
      <c r="M405" s="119" t="str">
        <f t="shared" si="9"/>
        <v/>
      </c>
      <c r="N405" s="586"/>
    </row>
    <row r="406" spans="1:14" hidden="1" x14ac:dyDescent="0.2">
      <c r="A406" s="53" t="s">
        <v>152</v>
      </c>
      <c r="B406" s="584" t="s">
        <v>348</v>
      </c>
      <c r="C406" s="585" t="str">
        <f>C405</f>
        <v>LU</v>
      </c>
      <c r="D406" s="190" t="str">
        <f>D405</f>
        <v>any</v>
      </c>
      <c r="E406" s="116">
        <v>0</v>
      </c>
      <c r="F406" s="117" t="str">
        <f>F405</f>
        <v>FAO. (2025). Global Capture Production. FAO. https://www.fao.org/fishery/en/collection/capture?lang=en; FAO. (2025). Global Aquaculture Production. FAO. https://www.fao.org/fishery/en/collection/aquaculture?lang=en</v>
      </c>
      <c r="G406" s="95" t="s">
        <v>16</v>
      </c>
      <c r="H406" s="116"/>
      <c r="I406" s="116"/>
      <c r="J406" s="116"/>
      <c r="K406" s="116"/>
      <c r="L406" s="118"/>
      <c r="M406" s="119" t="str">
        <f t="shared" si="9"/>
        <v/>
      </c>
      <c r="N406" s="586"/>
    </row>
    <row r="407" spans="1:14" hidden="1" x14ac:dyDescent="0.2">
      <c r="A407" s="53" t="s">
        <v>152</v>
      </c>
      <c r="B407" s="584" t="s">
        <v>345</v>
      </c>
      <c r="C407" s="585" t="s">
        <v>42</v>
      </c>
      <c r="D407" s="190" t="s">
        <v>135</v>
      </c>
      <c r="E407" s="116">
        <v>1</v>
      </c>
      <c r="F407" s="117" t="s">
        <v>346</v>
      </c>
      <c r="G407" s="95" t="s">
        <v>16</v>
      </c>
      <c r="H407" s="116"/>
      <c r="I407" s="116"/>
      <c r="J407" s="116"/>
      <c r="K407" s="116"/>
      <c r="L407" s="118"/>
      <c r="M407" s="119" t="str">
        <f t="shared" si="9"/>
        <v/>
      </c>
      <c r="N407" s="586"/>
    </row>
    <row r="408" spans="1:14" hidden="1" x14ac:dyDescent="0.2">
      <c r="A408" s="53" t="s">
        <v>152</v>
      </c>
      <c r="B408" s="584" t="s">
        <v>347</v>
      </c>
      <c r="C408" s="585" t="s">
        <v>42</v>
      </c>
      <c r="D408" s="190" t="s">
        <v>135</v>
      </c>
      <c r="E408" s="116">
        <v>0</v>
      </c>
      <c r="F408" s="117" t="s">
        <v>346</v>
      </c>
      <c r="G408" s="95" t="s">
        <v>16</v>
      </c>
      <c r="H408" s="116"/>
      <c r="I408" s="116"/>
      <c r="J408" s="116"/>
      <c r="K408" s="116"/>
      <c r="L408" s="118"/>
      <c r="M408" s="119" t="str">
        <f>IF( OR( ISBLANK(H408),ISBLANK(I408), ISBLANK(J408), ISBLANK(K408), ISBLANK(L408) ), "", 1.5*SQRT(   EXP(2.21*(H408-1)) + EXP(2.21*(I408-1)) + EXP(2.21*(J408-1)) + EXP(2.21*(K408-1)) + EXP(2.21*L408)   )/100*2.45 )</f>
        <v/>
      </c>
      <c r="N408" s="586"/>
    </row>
    <row r="409" spans="1:14" hidden="1" x14ac:dyDescent="0.2">
      <c r="A409" s="53" t="s">
        <v>152</v>
      </c>
      <c r="B409" s="584" t="s">
        <v>348</v>
      </c>
      <c r="C409" s="585" t="str">
        <f>C408</f>
        <v>MT</v>
      </c>
      <c r="D409" s="190" t="str">
        <f>D408</f>
        <v>any</v>
      </c>
      <c r="E409" s="116">
        <v>0</v>
      </c>
      <c r="F409" s="117" t="s">
        <v>346</v>
      </c>
      <c r="G409" s="95" t="s">
        <v>16</v>
      </c>
      <c r="H409" s="116"/>
      <c r="I409" s="116"/>
      <c r="J409" s="116"/>
      <c r="K409" s="116"/>
      <c r="L409" s="118"/>
      <c r="M409" s="119" t="str">
        <f t="shared" ref="M409:M425" si="10">IF( OR( ISBLANK(H409),ISBLANK(I409), ISBLANK(J409), ISBLANK(K409), ISBLANK(L409) ), "", 1.5*SQRT( EXP(2.21*(H409-1)) + EXP(2.21*(I409-1)) + EXP(2.21*(J409-1)) + EXP(2.21*(K409-1)) + EXP(2.21*L409) )/100*2.45 )</f>
        <v/>
      </c>
      <c r="N409" s="586"/>
    </row>
    <row r="410" spans="1:14" hidden="1" x14ac:dyDescent="0.2">
      <c r="A410" s="53" t="s">
        <v>152</v>
      </c>
      <c r="B410" s="584" t="s">
        <v>345</v>
      </c>
      <c r="C410" s="585" t="s">
        <v>43</v>
      </c>
      <c r="D410" s="190" t="s">
        <v>135</v>
      </c>
      <c r="E410" s="587">
        <v>0.99575188844711038</v>
      </c>
      <c r="F410" s="117" t="s">
        <v>346</v>
      </c>
      <c r="G410" s="95" t="s">
        <v>16</v>
      </c>
      <c r="H410" s="586">
        <v>1</v>
      </c>
      <c r="I410" s="586">
        <v>1</v>
      </c>
      <c r="J410" s="586">
        <v>3</v>
      </c>
      <c r="K410" s="586">
        <v>2</v>
      </c>
      <c r="L410" s="588">
        <v>2</v>
      </c>
      <c r="M410" s="192">
        <f t="shared" si="10"/>
        <v>0.48935255543384243</v>
      </c>
      <c r="N410" s="586"/>
    </row>
    <row r="411" spans="1:14" hidden="1" x14ac:dyDescent="0.2">
      <c r="A411" s="53" t="s">
        <v>152</v>
      </c>
      <c r="B411" s="584" t="s">
        <v>347</v>
      </c>
      <c r="C411" s="585" t="s">
        <v>43</v>
      </c>
      <c r="D411" s="190" t="s">
        <v>135</v>
      </c>
      <c r="E411" s="587">
        <v>4.2481115528895863E-3</v>
      </c>
      <c r="F411" s="117" t="s">
        <v>346</v>
      </c>
      <c r="G411" s="95" t="s">
        <v>16</v>
      </c>
      <c r="H411" s="586">
        <v>1</v>
      </c>
      <c r="I411" s="586">
        <v>1</v>
      </c>
      <c r="J411" s="586">
        <v>3</v>
      </c>
      <c r="K411" s="586">
        <v>2</v>
      </c>
      <c r="L411" s="588">
        <v>2</v>
      </c>
      <c r="M411" s="192">
        <f t="shared" si="10"/>
        <v>0.48935255543384243</v>
      </c>
      <c r="N411" s="586"/>
    </row>
    <row r="412" spans="1:14" hidden="1" x14ac:dyDescent="0.2">
      <c r="A412" s="53" t="s">
        <v>152</v>
      </c>
      <c r="B412" s="584" t="s">
        <v>348</v>
      </c>
      <c r="C412" s="585" t="str">
        <f>C411</f>
        <v>NL</v>
      </c>
      <c r="D412" s="190" t="str">
        <f>D411</f>
        <v>any</v>
      </c>
      <c r="E412" s="116">
        <v>0</v>
      </c>
      <c r="F412" s="117" t="s">
        <v>346</v>
      </c>
      <c r="G412" s="95" t="s">
        <v>16</v>
      </c>
      <c r="H412" s="116"/>
      <c r="I412" s="116"/>
      <c r="J412" s="116"/>
      <c r="K412" s="116"/>
      <c r="L412" s="118"/>
      <c r="M412" s="119" t="str">
        <f t="shared" si="10"/>
        <v/>
      </c>
      <c r="N412" s="586"/>
    </row>
    <row r="413" spans="1:14" hidden="1" x14ac:dyDescent="0.2">
      <c r="A413" s="53" t="s">
        <v>152</v>
      </c>
      <c r="B413" s="584" t="s">
        <v>345</v>
      </c>
      <c r="C413" s="585" t="s">
        <v>45</v>
      </c>
      <c r="D413" s="190" t="s">
        <v>135</v>
      </c>
      <c r="E413" s="587">
        <v>0.99986516174698048</v>
      </c>
      <c r="F413" s="117" t="s">
        <v>346</v>
      </c>
      <c r="G413" s="95" t="s">
        <v>16</v>
      </c>
      <c r="H413" s="586">
        <v>1</v>
      </c>
      <c r="I413" s="586">
        <v>1</v>
      </c>
      <c r="J413" s="586">
        <v>3</v>
      </c>
      <c r="K413" s="586">
        <v>2</v>
      </c>
      <c r="L413" s="588">
        <v>2</v>
      </c>
      <c r="M413" s="192">
        <f t="shared" si="10"/>
        <v>0.48935255543384243</v>
      </c>
      <c r="N413" s="586"/>
    </row>
    <row r="414" spans="1:14" hidden="1" x14ac:dyDescent="0.2">
      <c r="A414" s="53" t="s">
        <v>152</v>
      </c>
      <c r="B414" s="584" t="s">
        <v>347</v>
      </c>
      <c r="C414" s="585" t="s">
        <v>45</v>
      </c>
      <c r="D414" s="190" t="s">
        <v>135</v>
      </c>
      <c r="E414" s="587">
        <v>1.3483825301955041E-4</v>
      </c>
      <c r="F414" s="117" t="s">
        <v>346</v>
      </c>
      <c r="G414" s="95" t="s">
        <v>16</v>
      </c>
      <c r="H414" s="586">
        <v>1</v>
      </c>
      <c r="I414" s="586">
        <v>1</v>
      </c>
      <c r="J414" s="586">
        <v>3</v>
      </c>
      <c r="K414" s="586">
        <v>2</v>
      </c>
      <c r="L414" s="588">
        <v>2</v>
      </c>
      <c r="M414" s="192">
        <f t="shared" si="10"/>
        <v>0.48935255543384243</v>
      </c>
      <c r="N414" s="586"/>
    </row>
    <row r="415" spans="1:14" hidden="1" x14ac:dyDescent="0.2">
      <c r="A415" s="53" t="s">
        <v>152</v>
      </c>
      <c r="B415" s="584" t="s">
        <v>348</v>
      </c>
      <c r="C415" s="585" t="str">
        <f>C414</f>
        <v>NO</v>
      </c>
      <c r="D415" s="190" t="str">
        <f>D414</f>
        <v>any</v>
      </c>
      <c r="E415" s="116">
        <v>0</v>
      </c>
      <c r="F415" s="117" t="s">
        <v>346</v>
      </c>
      <c r="G415" s="95" t="s">
        <v>16</v>
      </c>
      <c r="H415" s="116"/>
      <c r="I415" s="116"/>
      <c r="J415" s="116"/>
      <c r="K415" s="116"/>
      <c r="L415" s="118"/>
      <c r="M415" s="119" t="str">
        <f t="shared" si="10"/>
        <v/>
      </c>
      <c r="N415" s="586"/>
    </row>
    <row r="416" spans="1:14" hidden="1" x14ac:dyDescent="0.2">
      <c r="A416" s="53" t="s">
        <v>152</v>
      </c>
      <c r="B416" s="584" t="s">
        <v>345</v>
      </c>
      <c r="C416" s="585" t="s">
        <v>46</v>
      </c>
      <c r="D416" s="190" t="s">
        <v>135</v>
      </c>
      <c r="E416" s="587">
        <v>0.93817564898451966</v>
      </c>
      <c r="F416" s="117" t="s">
        <v>346</v>
      </c>
      <c r="G416" s="95" t="s">
        <v>16</v>
      </c>
      <c r="H416" s="586">
        <v>1</v>
      </c>
      <c r="I416" s="586">
        <v>1</v>
      </c>
      <c r="J416" s="586">
        <v>3</v>
      </c>
      <c r="K416" s="586">
        <v>2</v>
      </c>
      <c r="L416" s="588">
        <v>2</v>
      </c>
      <c r="M416" s="192">
        <f t="shared" si="10"/>
        <v>0.48935255543384243</v>
      </c>
      <c r="N416" s="586"/>
    </row>
    <row r="417" spans="1:14" hidden="1" x14ac:dyDescent="0.2">
      <c r="A417" s="53" t="s">
        <v>152</v>
      </c>
      <c r="B417" s="584" t="s">
        <v>347</v>
      </c>
      <c r="C417" s="585" t="s">
        <v>46</v>
      </c>
      <c r="D417" s="190" t="s">
        <v>135</v>
      </c>
      <c r="E417" s="587">
        <v>6.1824351015480311E-2</v>
      </c>
      <c r="F417" s="117" t="s">
        <v>346</v>
      </c>
      <c r="G417" s="95" t="s">
        <v>16</v>
      </c>
      <c r="H417" s="586">
        <v>1</v>
      </c>
      <c r="I417" s="586">
        <v>1</v>
      </c>
      <c r="J417" s="586">
        <v>3</v>
      </c>
      <c r="K417" s="586">
        <v>2</v>
      </c>
      <c r="L417" s="588">
        <v>2</v>
      </c>
      <c r="M417" s="192">
        <f t="shared" si="10"/>
        <v>0.48935255543384243</v>
      </c>
      <c r="N417" s="586"/>
    </row>
    <row r="418" spans="1:14" hidden="1" x14ac:dyDescent="0.2">
      <c r="A418" s="53" t="s">
        <v>152</v>
      </c>
      <c r="B418" s="584" t="s">
        <v>348</v>
      </c>
      <c r="C418" s="585" t="str">
        <f>C417</f>
        <v>PL</v>
      </c>
      <c r="D418" s="190" t="str">
        <f>D417</f>
        <v>any</v>
      </c>
      <c r="E418" s="116">
        <v>0</v>
      </c>
      <c r="F418" s="117" t="s">
        <v>346</v>
      </c>
      <c r="G418" s="95" t="s">
        <v>16</v>
      </c>
      <c r="H418" s="116"/>
      <c r="I418" s="116"/>
      <c r="J418" s="116"/>
      <c r="K418" s="116"/>
      <c r="L418" s="118"/>
      <c r="M418" s="119" t="str">
        <f t="shared" si="10"/>
        <v/>
      </c>
      <c r="N418" s="586"/>
    </row>
    <row r="419" spans="1:14" hidden="1" x14ac:dyDescent="0.2">
      <c r="A419" s="53" t="s">
        <v>152</v>
      </c>
      <c r="B419" s="584" t="s">
        <v>345</v>
      </c>
      <c r="C419" s="585" t="s">
        <v>48</v>
      </c>
      <c r="D419" s="190" t="s">
        <v>135</v>
      </c>
      <c r="E419" s="589">
        <v>0.99999374796648699</v>
      </c>
      <c r="F419" s="117" t="s">
        <v>346</v>
      </c>
      <c r="G419" s="95" t="s">
        <v>16</v>
      </c>
      <c r="H419" s="586">
        <v>1</v>
      </c>
      <c r="I419" s="586">
        <v>1</v>
      </c>
      <c r="J419" s="586">
        <v>3</v>
      </c>
      <c r="K419" s="586">
        <v>2</v>
      </c>
      <c r="L419" s="588">
        <v>2</v>
      </c>
      <c r="M419" s="192">
        <f t="shared" si="10"/>
        <v>0.48935255543384243</v>
      </c>
      <c r="N419" s="586"/>
    </row>
    <row r="420" spans="1:14" hidden="1" x14ac:dyDescent="0.2">
      <c r="A420" s="53" t="s">
        <v>152</v>
      </c>
      <c r="B420" s="584" t="s">
        <v>347</v>
      </c>
      <c r="C420" s="585" t="s">
        <v>48</v>
      </c>
      <c r="D420" s="190" t="s">
        <v>135</v>
      </c>
      <c r="E420" s="716">
        <v>6.2520335129753043E-6</v>
      </c>
      <c r="F420" s="117" t="s">
        <v>346</v>
      </c>
      <c r="G420" s="95" t="s">
        <v>16</v>
      </c>
      <c r="H420" s="586">
        <v>1</v>
      </c>
      <c r="I420" s="586">
        <v>1</v>
      </c>
      <c r="J420" s="586">
        <v>3</v>
      </c>
      <c r="K420" s="586">
        <v>2</v>
      </c>
      <c r="L420" s="588">
        <v>2</v>
      </c>
      <c r="M420" s="192">
        <f t="shared" si="10"/>
        <v>0.48935255543384243</v>
      </c>
      <c r="N420" s="586"/>
    </row>
    <row r="421" spans="1:14" hidden="1" x14ac:dyDescent="0.2">
      <c r="A421" s="53" t="s">
        <v>152</v>
      </c>
      <c r="B421" s="584" t="s">
        <v>348</v>
      </c>
      <c r="C421" s="585" t="str">
        <f>C420</f>
        <v>PT</v>
      </c>
      <c r="D421" s="190" t="str">
        <f>D420</f>
        <v>any</v>
      </c>
      <c r="E421" s="116">
        <v>0</v>
      </c>
      <c r="F421" s="117" t="s">
        <v>346</v>
      </c>
      <c r="G421" s="95" t="s">
        <v>16</v>
      </c>
      <c r="H421" s="116"/>
      <c r="I421" s="116"/>
      <c r="J421" s="116"/>
      <c r="K421" s="116"/>
      <c r="L421" s="118"/>
      <c r="M421" s="119" t="str">
        <f t="shared" si="10"/>
        <v/>
      </c>
      <c r="N421" s="586"/>
    </row>
    <row r="422" spans="1:14" hidden="1" x14ac:dyDescent="0.2">
      <c r="A422" s="53" t="s">
        <v>152</v>
      </c>
      <c r="B422" s="584" t="s">
        <v>345</v>
      </c>
      <c r="C422" s="585" t="s">
        <v>50</v>
      </c>
      <c r="D422" s="190" t="s">
        <v>135</v>
      </c>
      <c r="E422" s="587">
        <v>0.55975757819006433</v>
      </c>
      <c r="F422" s="117" t="s">
        <v>346</v>
      </c>
      <c r="G422" s="95" t="s">
        <v>16</v>
      </c>
      <c r="H422" s="586">
        <v>1</v>
      </c>
      <c r="I422" s="586">
        <v>1</v>
      </c>
      <c r="J422" s="586">
        <v>3</v>
      </c>
      <c r="K422" s="586">
        <v>2</v>
      </c>
      <c r="L422" s="588">
        <v>2</v>
      </c>
      <c r="M422" s="192">
        <f t="shared" si="10"/>
        <v>0.48935255543384243</v>
      </c>
      <c r="N422" s="586"/>
    </row>
    <row r="423" spans="1:14" hidden="1" x14ac:dyDescent="0.2">
      <c r="A423" s="53" t="s">
        <v>152</v>
      </c>
      <c r="B423" s="584" t="s">
        <v>347</v>
      </c>
      <c r="C423" s="585" t="s">
        <v>50</v>
      </c>
      <c r="D423" s="190" t="s">
        <v>135</v>
      </c>
      <c r="E423" s="587">
        <v>0.44024242180993572</v>
      </c>
      <c r="F423" s="117" t="s">
        <v>346</v>
      </c>
      <c r="G423" s="95" t="s">
        <v>16</v>
      </c>
      <c r="H423" s="586">
        <v>1</v>
      </c>
      <c r="I423" s="586">
        <v>1</v>
      </c>
      <c r="J423" s="586">
        <v>3</v>
      </c>
      <c r="K423" s="586">
        <v>2</v>
      </c>
      <c r="L423" s="588">
        <v>2</v>
      </c>
      <c r="M423" s="192">
        <f t="shared" si="10"/>
        <v>0.48935255543384243</v>
      </c>
      <c r="N423" s="586"/>
    </row>
    <row r="424" spans="1:14" hidden="1" x14ac:dyDescent="0.2">
      <c r="A424" s="53" t="s">
        <v>152</v>
      </c>
      <c r="B424" s="584" t="s">
        <v>348</v>
      </c>
      <c r="C424" s="585" t="str">
        <f>C423</f>
        <v>RO</v>
      </c>
      <c r="D424" s="190" t="str">
        <f>D423</f>
        <v>any</v>
      </c>
      <c r="E424" s="116">
        <v>0</v>
      </c>
      <c r="F424" s="117" t="s">
        <v>346</v>
      </c>
      <c r="G424" s="95" t="s">
        <v>16</v>
      </c>
      <c r="H424" s="116"/>
      <c r="I424" s="116"/>
      <c r="J424" s="116"/>
      <c r="K424" s="116"/>
      <c r="L424" s="118"/>
      <c r="M424" s="119" t="str">
        <f t="shared" si="10"/>
        <v/>
      </c>
      <c r="N424" s="586"/>
    </row>
    <row r="425" spans="1:14" hidden="1" x14ac:dyDescent="0.2">
      <c r="A425" s="53" t="s">
        <v>152</v>
      </c>
      <c r="B425" s="584" t="s">
        <v>345</v>
      </c>
      <c r="C425" s="585" t="s">
        <v>52</v>
      </c>
      <c r="D425" s="190" t="s">
        <v>135</v>
      </c>
      <c r="E425" s="116">
        <v>0</v>
      </c>
      <c r="F425" s="117" t="s">
        <v>346</v>
      </c>
      <c r="G425" s="95" t="s">
        <v>16</v>
      </c>
      <c r="H425" s="116"/>
      <c r="I425" s="116"/>
      <c r="J425" s="116"/>
      <c r="K425" s="116"/>
      <c r="L425" s="118"/>
      <c r="M425" s="119" t="str">
        <f t="shared" si="10"/>
        <v/>
      </c>
      <c r="N425" s="586"/>
    </row>
    <row r="426" spans="1:14" hidden="1" x14ac:dyDescent="0.2">
      <c r="A426" s="53" t="s">
        <v>152</v>
      </c>
      <c r="B426" s="584" t="s">
        <v>347</v>
      </c>
      <c r="C426" s="585" t="s">
        <v>52</v>
      </c>
      <c r="D426" s="190" t="s">
        <v>135</v>
      </c>
      <c r="E426" s="853">
        <v>1</v>
      </c>
      <c r="F426" s="854" t="s">
        <v>346</v>
      </c>
      <c r="G426" s="602" t="s">
        <v>16</v>
      </c>
      <c r="H426" s="853"/>
      <c r="I426" s="853"/>
      <c r="J426" s="853"/>
      <c r="K426" s="853"/>
      <c r="L426" s="855"/>
      <c r="M426" s="856"/>
      <c r="N426" s="586"/>
    </row>
    <row r="427" spans="1:14" hidden="1" x14ac:dyDescent="0.2">
      <c r="A427" s="53" t="s">
        <v>152</v>
      </c>
      <c r="B427" s="584" t="s">
        <v>348</v>
      </c>
      <c r="C427" s="585" t="str">
        <f>C426</f>
        <v>SK</v>
      </c>
      <c r="D427" s="190" t="str">
        <f>D426</f>
        <v>any</v>
      </c>
      <c r="E427" s="116">
        <v>0</v>
      </c>
      <c r="F427" s="117" t="s">
        <v>346</v>
      </c>
      <c r="G427" s="95" t="s">
        <v>16</v>
      </c>
      <c r="H427" s="116"/>
      <c r="I427" s="116"/>
      <c r="J427" s="116"/>
      <c r="K427" s="116"/>
      <c r="L427" s="118"/>
      <c r="M427" s="119" t="str">
        <f>IF( OR( ISBLANK(H427),ISBLANK(I427), ISBLANK(J427), ISBLANK(K427), ISBLANK(L427) ), "", 1.5*SQRT(   EXP(2.21*(H427-1)) + EXP(2.21*(I427-1)) + EXP(2.21*(J427-1)) + EXP(2.21*(K427-1)) + EXP(2.21*L427)   )/100*2.45 )</f>
        <v/>
      </c>
      <c r="N427" s="586"/>
    </row>
    <row r="428" spans="1:14" hidden="1" x14ac:dyDescent="0.2">
      <c r="A428" s="53" t="s">
        <v>152</v>
      </c>
      <c r="B428" s="584" t="s">
        <v>345</v>
      </c>
      <c r="C428" s="585" t="s">
        <v>54</v>
      </c>
      <c r="D428" s="190" t="s">
        <v>135</v>
      </c>
      <c r="E428" s="587">
        <v>0.50252219337884185</v>
      </c>
      <c r="F428" s="117" t="s">
        <v>346</v>
      </c>
      <c r="G428" s="95" t="s">
        <v>16</v>
      </c>
      <c r="H428" s="586">
        <v>1</v>
      </c>
      <c r="I428" s="586">
        <v>1</v>
      </c>
      <c r="J428" s="586">
        <v>3</v>
      </c>
      <c r="K428" s="586">
        <v>2</v>
      </c>
      <c r="L428" s="588">
        <v>2</v>
      </c>
      <c r="M428" s="192">
        <f t="shared" ref="M428:M437" si="11">IF( OR( ISBLANK(H428),ISBLANK(I428), ISBLANK(J428), ISBLANK(K428), ISBLANK(L428) ), "", 1.5*SQRT( EXP(2.21*(H428-1)) + EXP(2.21*(I428-1)) + EXP(2.21*(J428-1)) + EXP(2.21*(K428-1)) + EXP(2.21*L428) )/100*2.45 )</f>
        <v>0.48935255543384243</v>
      </c>
      <c r="N428" s="586"/>
    </row>
    <row r="429" spans="1:14" hidden="1" x14ac:dyDescent="0.2">
      <c r="A429" s="53" t="s">
        <v>152</v>
      </c>
      <c r="B429" s="584" t="s">
        <v>347</v>
      </c>
      <c r="C429" s="585" t="s">
        <v>54</v>
      </c>
      <c r="D429" s="190" t="s">
        <v>135</v>
      </c>
      <c r="E429" s="587">
        <v>0.49747780662115831</v>
      </c>
      <c r="F429" s="117" t="s">
        <v>346</v>
      </c>
      <c r="G429" s="95" t="s">
        <v>16</v>
      </c>
      <c r="H429" s="586">
        <v>1</v>
      </c>
      <c r="I429" s="586">
        <v>1</v>
      </c>
      <c r="J429" s="586">
        <v>3</v>
      </c>
      <c r="K429" s="586">
        <v>2</v>
      </c>
      <c r="L429" s="588">
        <v>2</v>
      </c>
      <c r="M429" s="192">
        <f t="shared" si="11"/>
        <v>0.48935255543384243</v>
      </c>
      <c r="N429" s="586"/>
    </row>
    <row r="430" spans="1:14" hidden="1" x14ac:dyDescent="0.2">
      <c r="A430" s="53" t="s">
        <v>152</v>
      </c>
      <c r="B430" s="584" t="s">
        <v>348</v>
      </c>
      <c r="C430" s="585" t="str">
        <f>C429</f>
        <v>SI</v>
      </c>
      <c r="D430" s="190" t="str">
        <f>D429</f>
        <v>any</v>
      </c>
      <c r="E430" s="116">
        <v>0</v>
      </c>
      <c r="F430" s="117" t="s">
        <v>346</v>
      </c>
      <c r="G430" s="95" t="s">
        <v>16</v>
      </c>
      <c r="H430" s="116"/>
      <c r="I430" s="116"/>
      <c r="J430" s="116"/>
      <c r="K430" s="116"/>
      <c r="L430" s="118"/>
      <c r="M430" s="119" t="str">
        <f t="shared" si="11"/>
        <v/>
      </c>
      <c r="N430" s="586"/>
    </row>
    <row r="431" spans="1:14" hidden="1" x14ac:dyDescent="0.2">
      <c r="A431" s="53" t="s">
        <v>152</v>
      </c>
      <c r="B431" s="584" t="s">
        <v>345</v>
      </c>
      <c r="C431" s="585" t="s">
        <v>55</v>
      </c>
      <c r="D431" s="190" t="s">
        <v>135</v>
      </c>
      <c r="E431" s="587">
        <v>0.99980644270367247</v>
      </c>
      <c r="F431" s="117" t="s">
        <v>346</v>
      </c>
      <c r="G431" s="95" t="s">
        <v>16</v>
      </c>
      <c r="H431" s="586">
        <v>1</v>
      </c>
      <c r="I431" s="586">
        <v>1</v>
      </c>
      <c r="J431" s="586">
        <v>3</v>
      </c>
      <c r="K431" s="586">
        <v>2</v>
      </c>
      <c r="L431" s="588">
        <v>2</v>
      </c>
      <c r="M431" s="192">
        <f t="shared" si="11"/>
        <v>0.48935255543384243</v>
      </c>
      <c r="N431" s="586"/>
    </row>
    <row r="432" spans="1:14" hidden="1" x14ac:dyDescent="0.2">
      <c r="A432" s="53" t="s">
        <v>152</v>
      </c>
      <c r="B432" s="584" t="s">
        <v>347</v>
      </c>
      <c r="C432" s="585" t="s">
        <v>55</v>
      </c>
      <c r="D432" s="190" t="s">
        <v>135</v>
      </c>
      <c r="E432" s="587">
        <v>1.935572963275771E-4</v>
      </c>
      <c r="F432" s="117" t="s">
        <v>346</v>
      </c>
      <c r="G432" s="95" t="s">
        <v>16</v>
      </c>
      <c r="H432" s="586">
        <v>1</v>
      </c>
      <c r="I432" s="586">
        <v>1</v>
      </c>
      <c r="J432" s="586">
        <v>3</v>
      </c>
      <c r="K432" s="586">
        <v>2</v>
      </c>
      <c r="L432" s="588">
        <v>2</v>
      </c>
      <c r="M432" s="192">
        <f t="shared" si="11"/>
        <v>0.48935255543384243</v>
      </c>
      <c r="N432" s="586"/>
    </row>
    <row r="433" spans="1:14" hidden="1" x14ac:dyDescent="0.2">
      <c r="A433" s="53" t="s">
        <v>152</v>
      </c>
      <c r="B433" s="584" t="s">
        <v>348</v>
      </c>
      <c r="C433" s="585" t="str">
        <f>C432</f>
        <v>ES</v>
      </c>
      <c r="D433" s="190" t="str">
        <f>D432</f>
        <v>any</v>
      </c>
      <c r="E433" s="116">
        <v>0</v>
      </c>
      <c r="F433" s="117" t="s">
        <v>346</v>
      </c>
      <c r="G433" s="95" t="s">
        <v>16</v>
      </c>
      <c r="H433" s="116"/>
      <c r="I433" s="116"/>
      <c r="J433" s="116"/>
      <c r="K433" s="116"/>
      <c r="L433" s="118"/>
      <c r="M433" s="119" t="str">
        <f t="shared" si="11"/>
        <v/>
      </c>
      <c r="N433" s="586"/>
    </row>
    <row r="434" spans="1:14" hidden="1" x14ac:dyDescent="0.2">
      <c r="A434" s="53" t="s">
        <v>152</v>
      </c>
      <c r="B434" s="584" t="s">
        <v>345</v>
      </c>
      <c r="C434" s="585" t="s">
        <v>57</v>
      </c>
      <c r="D434" s="190" t="s">
        <v>135</v>
      </c>
      <c r="E434" s="587">
        <v>0.95257256536663915</v>
      </c>
      <c r="F434" s="117" t="s">
        <v>346</v>
      </c>
      <c r="G434" s="95" t="s">
        <v>16</v>
      </c>
      <c r="H434" s="586">
        <v>1</v>
      </c>
      <c r="I434" s="586">
        <v>1</v>
      </c>
      <c r="J434" s="586">
        <v>3</v>
      </c>
      <c r="K434" s="586">
        <v>2</v>
      </c>
      <c r="L434" s="588">
        <v>2</v>
      </c>
      <c r="M434" s="192">
        <f t="shared" si="11"/>
        <v>0.48935255543384243</v>
      </c>
      <c r="N434" s="586"/>
    </row>
    <row r="435" spans="1:14" hidden="1" x14ac:dyDescent="0.2">
      <c r="A435" s="53" t="s">
        <v>152</v>
      </c>
      <c r="B435" s="584" t="s">
        <v>347</v>
      </c>
      <c r="C435" s="585" t="s">
        <v>57</v>
      </c>
      <c r="D435" s="190" t="s">
        <v>135</v>
      </c>
      <c r="E435" s="587">
        <v>4.7427434633360882E-2</v>
      </c>
      <c r="F435" s="117" t="s">
        <v>346</v>
      </c>
      <c r="G435" s="95" t="s">
        <v>16</v>
      </c>
      <c r="H435" s="586">
        <v>1</v>
      </c>
      <c r="I435" s="586">
        <v>1</v>
      </c>
      <c r="J435" s="586">
        <v>3</v>
      </c>
      <c r="K435" s="586">
        <v>2</v>
      </c>
      <c r="L435" s="588">
        <v>2</v>
      </c>
      <c r="M435" s="192">
        <f t="shared" si="11"/>
        <v>0.48935255543384243</v>
      </c>
      <c r="N435" s="586"/>
    </row>
    <row r="436" spans="1:14" hidden="1" x14ac:dyDescent="0.2">
      <c r="A436" s="53" t="s">
        <v>152</v>
      </c>
      <c r="B436" s="584" t="s">
        <v>348</v>
      </c>
      <c r="C436" s="585" t="str">
        <f>C435</f>
        <v>SE</v>
      </c>
      <c r="D436" s="190" t="str">
        <f>D435</f>
        <v>any</v>
      </c>
      <c r="E436" s="116">
        <v>0</v>
      </c>
      <c r="F436" s="117" t="s">
        <v>346</v>
      </c>
      <c r="G436" s="95" t="s">
        <v>16</v>
      </c>
      <c r="H436" s="116"/>
      <c r="I436" s="116"/>
      <c r="J436" s="116"/>
      <c r="K436" s="116"/>
      <c r="L436" s="118"/>
      <c r="M436" s="119" t="str">
        <f t="shared" si="11"/>
        <v/>
      </c>
      <c r="N436" s="586"/>
    </row>
    <row r="437" spans="1:14" x14ac:dyDescent="0.2">
      <c r="A437" s="53" t="s">
        <v>152</v>
      </c>
      <c r="B437" s="584" t="s">
        <v>345</v>
      </c>
      <c r="C437" s="585" t="s">
        <v>59</v>
      </c>
      <c r="D437" s="190" t="s">
        <v>135</v>
      </c>
      <c r="E437" s="116">
        <v>0</v>
      </c>
      <c r="F437" s="117" t="s">
        <v>346</v>
      </c>
      <c r="G437" s="95" t="s">
        <v>16</v>
      </c>
      <c r="H437" s="116"/>
      <c r="I437" s="116"/>
      <c r="J437" s="116"/>
      <c r="K437" s="116"/>
      <c r="L437" s="118"/>
      <c r="M437" s="119" t="str">
        <f t="shared" si="11"/>
        <v/>
      </c>
      <c r="N437" s="586"/>
    </row>
    <row r="438" spans="1:14" x14ac:dyDescent="0.2">
      <c r="A438" s="53" t="s">
        <v>152</v>
      </c>
      <c r="B438" s="584" t="s">
        <v>347</v>
      </c>
      <c r="C438" s="585" t="s">
        <v>59</v>
      </c>
      <c r="D438" s="190" t="s">
        <v>135</v>
      </c>
      <c r="E438" s="853">
        <v>1</v>
      </c>
      <c r="F438" s="854" t="s">
        <v>346</v>
      </c>
      <c r="G438" s="602" t="s">
        <v>16</v>
      </c>
      <c r="H438" s="853"/>
      <c r="I438" s="853"/>
      <c r="J438" s="853"/>
      <c r="K438" s="853"/>
      <c r="L438" s="855"/>
      <c r="M438" s="856"/>
      <c r="N438" s="586"/>
    </row>
    <row r="439" spans="1:14" x14ac:dyDescent="0.2">
      <c r="A439" s="53" t="s">
        <v>152</v>
      </c>
      <c r="B439" s="584" t="s">
        <v>348</v>
      </c>
      <c r="C439" s="585" t="str">
        <f>C438</f>
        <v>CH</v>
      </c>
      <c r="D439" s="190" t="str">
        <f>D438</f>
        <v>any</v>
      </c>
      <c r="E439" s="116">
        <v>0</v>
      </c>
      <c r="F439" s="117" t="s">
        <v>346</v>
      </c>
      <c r="G439" s="95" t="s">
        <v>16</v>
      </c>
      <c r="H439" s="116"/>
      <c r="I439" s="116"/>
      <c r="J439" s="116"/>
      <c r="K439" s="116"/>
      <c r="L439" s="118"/>
      <c r="M439" s="119" t="str">
        <f>IF( OR( ISBLANK(H439),ISBLANK(I439), ISBLANK(J439), ISBLANK(K439), ISBLANK(L439) ), "", 1.5*SQRT(   EXP(2.21*(H439-1)) + EXP(2.21*(I439-1)) + EXP(2.21*(J439-1)) + EXP(2.21*(K439-1)) + EXP(2.21*L439)   )/100*2.45 )</f>
        <v/>
      </c>
      <c r="N439" s="586"/>
    </row>
    <row r="440" spans="1:14" hidden="1" x14ac:dyDescent="0.2">
      <c r="A440" s="53" t="s">
        <v>152</v>
      </c>
      <c r="B440" s="584" t="s">
        <v>345</v>
      </c>
      <c r="C440" s="585" t="s">
        <v>60</v>
      </c>
      <c r="D440" s="190" t="s">
        <v>135</v>
      </c>
      <c r="E440" s="587">
        <v>0.99830085333159302</v>
      </c>
      <c r="F440" s="117" t="s">
        <v>346</v>
      </c>
      <c r="G440" s="95" t="s">
        <v>16</v>
      </c>
      <c r="H440" s="586">
        <v>1</v>
      </c>
      <c r="I440" s="586">
        <v>1</v>
      </c>
      <c r="J440" s="586">
        <v>3</v>
      </c>
      <c r="K440" s="586">
        <v>2</v>
      </c>
      <c r="L440" s="588">
        <v>2</v>
      </c>
      <c r="M440" s="192">
        <f>IF( OR( ISBLANK(H440),ISBLANK(I440), ISBLANK(J440), ISBLANK(K440), ISBLANK(L440) ), "", 1.5*SQRT( EXP(2.21*(H440-1)) + EXP(2.21*(I440-1)) + EXP(2.21*(J440-1)) + EXP(2.21*(K440-1)) + EXP(2.21*L440) )/100*2.45 )</f>
        <v>0.48935255543384243</v>
      </c>
      <c r="N440" s="586"/>
    </row>
    <row r="441" spans="1:14" hidden="1" x14ac:dyDescent="0.2">
      <c r="A441" s="53" t="s">
        <v>152</v>
      </c>
      <c r="B441" s="584" t="s">
        <v>347</v>
      </c>
      <c r="C441" s="585" t="s">
        <v>60</v>
      </c>
      <c r="D441" s="190" t="s">
        <v>135</v>
      </c>
      <c r="E441" s="587">
        <v>1.69914666840707E-3</v>
      </c>
      <c r="F441" s="117" t="s">
        <v>346</v>
      </c>
      <c r="G441" s="95" t="s">
        <v>16</v>
      </c>
      <c r="H441" s="586">
        <v>1</v>
      </c>
      <c r="I441" s="586">
        <v>1</v>
      </c>
      <c r="J441" s="586">
        <v>3</v>
      </c>
      <c r="K441" s="586">
        <v>2</v>
      </c>
      <c r="L441" s="588">
        <v>2</v>
      </c>
      <c r="M441" s="192">
        <f>IF( OR( ISBLANK(H441),ISBLANK(I441), ISBLANK(J441), ISBLANK(K441), ISBLANK(L441) ), "", 1.5*SQRT( EXP(2.21*(H441-1)) + EXP(2.21*(I441-1)) + EXP(2.21*(J441-1)) + EXP(2.21*(K441-1)) + EXP(2.21*L441) )/100*2.45 )</f>
        <v>0.48935255543384243</v>
      </c>
      <c r="N441" s="586"/>
    </row>
    <row r="442" spans="1:14" hidden="1" x14ac:dyDescent="0.2">
      <c r="A442" s="66" t="s">
        <v>152</v>
      </c>
      <c r="B442" s="590" t="s">
        <v>348</v>
      </c>
      <c r="C442" s="736" t="s">
        <v>60</v>
      </c>
      <c r="D442" s="591" t="s">
        <v>135</v>
      </c>
      <c r="E442" s="130">
        <v>0</v>
      </c>
      <c r="F442" s="103" t="s">
        <v>346</v>
      </c>
      <c r="G442" s="104" t="s">
        <v>16</v>
      </c>
      <c r="H442" s="130"/>
      <c r="I442" s="130"/>
      <c r="J442" s="130"/>
      <c r="K442" s="130"/>
      <c r="L442" s="131"/>
      <c r="M442" s="132" t="str">
        <f>IF( OR( ISBLANK(H442),ISBLANK(I442), ISBLANK(J442), ISBLANK(K442), ISBLANK(L442) ), "", 1.5*SQRT( EXP(2.21*(H442-1)) + EXP(2.21*(I442-1)) + EXP(2.21*(J442-1)) + EXP(2.21*(K442-1)) + EXP(2.21*L442) )/100*2.45 )</f>
        <v/>
      </c>
      <c r="N442" s="592"/>
    </row>
    <row r="443" spans="1:14" x14ac:dyDescent="0.2">
      <c r="A443" s="53" t="s">
        <v>153</v>
      </c>
      <c r="B443" s="584" t="s">
        <v>345</v>
      </c>
      <c r="C443" s="222" t="s">
        <v>135</v>
      </c>
      <c r="D443" s="190" t="s">
        <v>135</v>
      </c>
      <c r="E443" s="116">
        <v>0</v>
      </c>
      <c r="F443" s="117"/>
      <c r="G443" s="95" t="s">
        <v>16</v>
      </c>
      <c r="H443" s="116"/>
      <c r="I443" s="116"/>
      <c r="J443" s="116"/>
      <c r="K443" s="116"/>
      <c r="L443" s="118"/>
      <c r="M443" s="119" t="str">
        <f>IF( OR( ISBLANK(H443),ISBLANK(I443), ISBLANK(J443), ISBLANK(K443), ISBLANK(L443) ), "", 1.5*SQRT(   EXP(2.21*(H443-1)) + EXP(2.21*(I443-1)) + EXP(2.21*(J443-1)) + EXP(2.21*(K443-1)) + EXP(2.21*L443)   )/100*2.45 )</f>
        <v/>
      </c>
      <c r="N443" s="586"/>
    </row>
    <row r="444" spans="1:14" x14ac:dyDescent="0.2">
      <c r="A444" s="53" t="s">
        <v>153</v>
      </c>
      <c r="B444" s="584" t="s">
        <v>347</v>
      </c>
      <c r="C444" s="222" t="s">
        <v>135</v>
      </c>
      <c r="D444" s="190" t="s">
        <v>135</v>
      </c>
      <c r="E444" s="116">
        <v>0</v>
      </c>
      <c r="F444" s="117"/>
      <c r="G444" s="95" t="s">
        <v>16</v>
      </c>
      <c r="H444" s="116"/>
      <c r="I444" s="116"/>
      <c r="J444" s="116"/>
      <c r="K444" s="116"/>
      <c r="L444" s="118"/>
      <c r="M444" s="119" t="str">
        <f>IF( OR( ISBLANK(H444),ISBLANK(I444), ISBLANK(J444), ISBLANK(K444), ISBLANK(L444) ), "", 1.5*SQRT( EXP(2.21*(H444-1)) + EXP(2.21*(I444-1)) + EXP(2.21*(J444-1)) + EXP(2.21*(K444-1)) + EXP(2.21*L444) )/100*2.45 )</f>
        <v/>
      </c>
      <c r="N444" s="586"/>
    </row>
    <row r="445" spans="1:14" x14ac:dyDescent="0.2">
      <c r="A445" s="66" t="s">
        <v>153</v>
      </c>
      <c r="B445" s="590" t="s">
        <v>348</v>
      </c>
      <c r="C445" s="238" t="s">
        <v>135</v>
      </c>
      <c r="D445" s="591" t="str">
        <f>D444</f>
        <v>any</v>
      </c>
      <c r="E445" s="130">
        <v>1</v>
      </c>
      <c r="F445" s="103"/>
      <c r="G445" s="104" t="s">
        <v>16</v>
      </c>
      <c r="H445" s="130"/>
      <c r="I445" s="130"/>
      <c r="J445" s="130"/>
      <c r="K445" s="130"/>
      <c r="L445" s="131"/>
      <c r="M445" s="132" t="str">
        <f>IF( OR( ISBLANK(H445),ISBLANK(I445), ISBLANK(J445), ISBLANK(K445), ISBLANK(L445) ), "", 1.5*SQRT( EXP(2.21*(H445-1)) + EXP(2.21*(I445-1)) + EXP(2.21*(J445-1)) + EXP(2.21*(K445-1)) + EXP(2.21*L445) )/100*2.45 )</f>
        <v/>
      </c>
      <c r="N445" s="592"/>
    </row>
  </sheetData>
  <autoFilter ref="A1:N445" xr:uid="{00000000-0009-0000-0000-000002000000}">
    <filterColumn colId="2">
      <filters>
        <filter val="any"/>
        <filter val="CH"/>
      </filters>
    </filterColumn>
  </autoFilter>
  <conditionalFormatting sqref="H3:K3">
    <cfRule type="dataBar" priority="810">
      <dataBar>
        <cfvo type="min"/>
        <cfvo type="max"/>
        <color rgb="FFFFB628"/>
      </dataBar>
    </cfRule>
  </conditionalFormatting>
  <conditionalFormatting sqref="H17:K17">
    <cfRule type="dataBar" priority="807">
      <dataBar>
        <cfvo type="min"/>
        <cfvo type="max"/>
        <color rgb="FFFFB628"/>
      </dataBar>
    </cfRule>
  </conditionalFormatting>
  <conditionalFormatting sqref="H2:L2 H4:L5 H7:L16 H18:L18 H20:L21 H23:L151 H245:L266 H274:L352">
    <cfRule type="dataBar" priority="899">
      <dataBar>
        <cfvo type="min"/>
        <cfvo type="max"/>
        <color rgb="FFFFB628"/>
      </dataBar>
    </cfRule>
  </conditionalFormatting>
  <conditionalFormatting sqref="H2:L2 H4:L5 H7:L16 H18:L18">
    <cfRule type="dataBar" priority="898">
      <dataBar>
        <cfvo type="min"/>
        <cfvo type="max"/>
        <color rgb="FFFFB628"/>
      </dataBar>
    </cfRule>
  </conditionalFormatting>
  <conditionalFormatting sqref="H2:L151 H245:L266 H274:L352">
    <cfRule type="dataBar" priority="893">
      <dataBar>
        <cfvo type="min"/>
        <cfvo type="max"/>
        <color rgb="FFFFB628"/>
      </dataBar>
    </cfRule>
  </conditionalFormatting>
  <conditionalFormatting sqref="H6:L6">
    <cfRule type="dataBar" priority="812">
      <dataBar>
        <cfvo type="min"/>
        <cfvo type="max"/>
        <color rgb="FFFFB628"/>
      </dataBar>
    </cfRule>
    <cfRule type="dataBar" priority="811">
      <dataBar>
        <cfvo type="min"/>
        <cfvo type="max"/>
        <color rgb="FFFFB628"/>
      </dataBar>
    </cfRule>
  </conditionalFormatting>
  <conditionalFormatting sqref="H19:L19">
    <cfRule type="dataBar" priority="804">
      <dataBar>
        <cfvo type="min"/>
        <cfvo type="max"/>
        <color rgb="FFFFB628"/>
      </dataBar>
    </cfRule>
  </conditionalFormatting>
  <conditionalFormatting sqref="H20:L20">
    <cfRule type="dataBar" priority="901">
      <dataBar>
        <cfvo type="min"/>
        <cfvo type="max"/>
        <color rgb="FFFFB628"/>
      </dataBar>
    </cfRule>
    <cfRule type="dataBar" priority="857">
      <dataBar>
        <cfvo type="min"/>
        <cfvo type="max"/>
        <color rgb="FFFFB628"/>
      </dataBar>
    </cfRule>
  </conditionalFormatting>
  <conditionalFormatting sqref="H21:L21 H23:L23">
    <cfRule type="dataBar" priority="800">
      <dataBar>
        <cfvo type="min"/>
        <cfvo type="max"/>
        <color rgb="FFFFB628"/>
      </dataBar>
    </cfRule>
  </conditionalFormatting>
  <conditionalFormatting sqref="H22:L22">
    <cfRule type="dataBar" priority="803">
      <dataBar>
        <cfvo type="min"/>
        <cfvo type="max"/>
        <color rgb="FFFFB628"/>
      </dataBar>
    </cfRule>
  </conditionalFormatting>
  <conditionalFormatting sqref="H24:L93">
    <cfRule type="dataBar" priority="855">
      <dataBar>
        <cfvo type="min"/>
        <cfvo type="max"/>
        <color rgb="FFFFB628"/>
      </dataBar>
    </cfRule>
  </conditionalFormatting>
  <conditionalFormatting sqref="H94:L103 H105:L151">
    <cfRule type="dataBar" priority="859">
      <dataBar>
        <cfvo type="min"/>
        <cfvo type="max"/>
        <color rgb="FFFFB628"/>
      </dataBar>
    </cfRule>
  </conditionalFormatting>
  <conditionalFormatting sqref="H104:L104">
    <cfRule type="dataBar" priority="854">
      <dataBar>
        <cfvo type="min"/>
        <cfvo type="max"/>
        <color rgb="FFFFB628"/>
      </dataBar>
    </cfRule>
  </conditionalFormatting>
  <conditionalFormatting sqref="H152:L152">
    <cfRule type="dataBar" priority="649">
      <dataBar>
        <cfvo type="min"/>
        <cfvo type="max"/>
        <color rgb="FFFFB628"/>
      </dataBar>
    </cfRule>
    <cfRule type="dataBar" priority="651">
      <dataBar>
        <cfvo type="min"/>
        <cfvo type="max"/>
        <color rgb="FFFFB628"/>
      </dataBar>
    </cfRule>
    <cfRule type="dataBar" priority="650">
      <dataBar>
        <cfvo type="min"/>
        <cfvo type="max"/>
        <color rgb="FFFFB628"/>
      </dataBar>
    </cfRule>
  </conditionalFormatting>
  <conditionalFormatting sqref="H153:L153">
    <cfRule type="dataBar" priority="285">
      <dataBar>
        <cfvo type="min"/>
        <cfvo type="max"/>
        <color rgb="FFFFB628"/>
      </dataBar>
    </cfRule>
    <cfRule type="dataBar" priority="286">
      <dataBar>
        <cfvo type="min"/>
        <cfvo type="max"/>
        <color rgb="FFFFB628"/>
      </dataBar>
    </cfRule>
    <cfRule type="dataBar" priority="287">
      <dataBar>
        <cfvo type="min"/>
        <cfvo type="max"/>
        <color rgb="FFFFB628"/>
      </dataBar>
    </cfRule>
  </conditionalFormatting>
  <conditionalFormatting sqref="H154:L154">
    <cfRule type="dataBar" priority="449">
      <dataBar>
        <cfvo type="min"/>
        <cfvo type="max"/>
        <color rgb="FFFFB628"/>
      </dataBar>
    </cfRule>
    <cfRule type="dataBar" priority="451">
      <dataBar>
        <cfvo type="min"/>
        <cfvo type="max"/>
        <color rgb="FFFFB628"/>
      </dataBar>
    </cfRule>
    <cfRule type="dataBar" priority="450">
      <dataBar>
        <cfvo type="min"/>
        <cfvo type="max"/>
        <color rgb="FFFFB628"/>
      </dataBar>
    </cfRule>
  </conditionalFormatting>
  <conditionalFormatting sqref="H155:L156 H158:L159 H161:L162 H164:L165 H170:L171 H173:L174 H176:L177 H179:L180 H182:L183 H185:L186 H191:L192 H194:L195 H197:L198 H200:L201">
    <cfRule type="dataBar" priority="653">
      <dataBar>
        <cfvo type="min"/>
        <cfvo type="max"/>
        <color rgb="FFFFB628"/>
      </dataBar>
    </cfRule>
    <cfRule type="dataBar" priority="654">
      <dataBar>
        <cfvo type="min"/>
        <cfvo type="max"/>
        <color rgb="FFFFB628"/>
      </dataBar>
    </cfRule>
  </conditionalFormatting>
  <conditionalFormatting sqref="H157:L157">
    <cfRule type="dataBar" priority="445">
      <dataBar>
        <cfvo type="min"/>
        <cfvo type="max"/>
        <color rgb="FFFFB628"/>
      </dataBar>
    </cfRule>
    <cfRule type="dataBar" priority="444">
      <dataBar>
        <cfvo type="min"/>
        <cfvo type="max"/>
        <color rgb="FFFFB628"/>
      </dataBar>
    </cfRule>
    <cfRule type="dataBar" priority="443">
      <dataBar>
        <cfvo type="min"/>
        <cfvo type="max"/>
        <color rgb="FFFFB628"/>
      </dataBar>
    </cfRule>
  </conditionalFormatting>
  <conditionalFormatting sqref="H160:L160">
    <cfRule type="dataBar" priority="437">
      <dataBar>
        <cfvo type="min"/>
        <cfvo type="max"/>
        <color rgb="FFFFB628"/>
      </dataBar>
    </cfRule>
    <cfRule type="dataBar" priority="439">
      <dataBar>
        <cfvo type="min"/>
        <cfvo type="max"/>
        <color rgb="FFFFB628"/>
      </dataBar>
    </cfRule>
    <cfRule type="dataBar" priority="438">
      <dataBar>
        <cfvo type="min"/>
        <cfvo type="max"/>
        <color rgb="FFFFB628"/>
      </dataBar>
    </cfRule>
  </conditionalFormatting>
  <conditionalFormatting sqref="H163:L163">
    <cfRule type="dataBar" priority="433">
      <dataBar>
        <cfvo type="min"/>
        <cfvo type="max"/>
        <color rgb="FFFFB628"/>
      </dataBar>
    </cfRule>
    <cfRule type="dataBar" priority="432">
      <dataBar>
        <cfvo type="min"/>
        <cfvo type="max"/>
        <color rgb="FFFFB628"/>
      </dataBar>
    </cfRule>
    <cfRule type="dataBar" priority="431">
      <dataBar>
        <cfvo type="min"/>
        <cfvo type="max"/>
        <color rgb="FFFFB628"/>
      </dataBar>
    </cfRule>
  </conditionalFormatting>
  <conditionalFormatting sqref="H166:L166">
    <cfRule type="dataBar" priority="427">
      <dataBar>
        <cfvo type="min"/>
        <cfvo type="max"/>
        <color rgb="FFFFB628"/>
      </dataBar>
    </cfRule>
    <cfRule type="dataBar" priority="426">
      <dataBar>
        <cfvo type="min"/>
        <cfvo type="max"/>
        <color rgb="FFFFB628"/>
      </dataBar>
    </cfRule>
    <cfRule type="dataBar" priority="425">
      <dataBar>
        <cfvo type="min"/>
        <cfvo type="max"/>
        <color rgb="FFFFB628"/>
      </dataBar>
    </cfRule>
  </conditionalFormatting>
  <conditionalFormatting sqref="H167:L167">
    <cfRule type="dataBar" priority="643">
      <dataBar>
        <cfvo type="min"/>
        <cfvo type="max"/>
        <color rgb="FFFFB628"/>
      </dataBar>
    </cfRule>
    <cfRule type="dataBar" priority="644">
      <dataBar>
        <cfvo type="min"/>
        <cfvo type="max"/>
        <color rgb="FFFFB628"/>
      </dataBar>
    </cfRule>
    <cfRule type="dataBar" priority="645">
      <dataBar>
        <cfvo type="min"/>
        <cfvo type="max"/>
        <color rgb="FFFFB628"/>
      </dataBar>
    </cfRule>
  </conditionalFormatting>
  <conditionalFormatting sqref="H168:L168">
    <cfRule type="dataBar" priority="280">
      <dataBar>
        <cfvo type="min"/>
        <cfvo type="max"/>
        <color rgb="FFFFB628"/>
      </dataBar>
    </cfRule>
    <cfRule type="dataBar" priority="281">
      <dataBar>
        <cfvo type="min"/>
        <cfvo type="max"/>
        <color rgb="FFFFB628"/>
      </dataBar>
    </cfRule>
    <cfRule type="dataBar" priority="279">
      <dataBar>
        <cfvo type="min"/>
        <cfvo type="max"/>
        <color rgb="FFFFB628"/>
      </dataBar>
    </cfRule>
  </conditionalFormatting>
  <conditionalFormatting sqref="H169:L169">
    <cfRule type="dataBar" priority="419">
      <dataBar>
        <cfvo type="min"/>
        <cfvo type="max"/>
        <color rgb="FFFFB628"/>
      </dataBar>
    </cfRule>
    <cfRule type="dataBar" priority="420">
      <dataBar>
        <cfvo type="min"/>
        <cfvo type="max"/>
        <color rgb="FFFFB628"/>
      </dataBar>
    </cfRule>
    <cfRule type="dataBar" priority="421">
      <dataBar>
        <cfvo type="min"/>
        <cfvo type="max"/>
        <color rgb="FFFFB628"/>
      </dataBar>
    </cfRule>
  </conditionalFormatting>
  <conditionalFormatting sqref="H172:L172">
    <cfRule type="dataBar" priority="413">
      <dataBar>
        <cfvo type="min"/>
        <cfvo type="max"/>
        <color rgb="FFFFB628"/>
      </dataBar>
    </cfRule>
    <cfRule type="dataBar" priority="414">
      <dataBar>
        <cfvo type="min"/>
        <cfvo type="max"/>
        <color rgb="FFFFB628"/>
      </dataBar>
    </cfRule>
    <cfRule type="dataBar" priority="415">
      <dataBar>
        <cfvo type="min"/>
        <cfvo type="max"/>
        <color rgb="FFFFB628"/>
      </dataBar>
    </cfRule>
  </conditionalFormatting>
  <conditionalFormatting sqref="H175:L175">
    <cfRule type="dataBar" priority="407">
      <dataBar>
        <cfvo type="min"/>
        <cfvo type="max"/>
        <color rgb="FFFFB628"/>
      </dataBar>
    </cfRule>
    <cfRule type="dataBar" priority="408">
      <dataBar>
        <cfvo type="min"/>
        <cfvo type="max"/>
        <color rgb="FFFFB628"/>
      </dataBar>
    </cfRule>
    <cfRule type="dataBar" priority="409">
      <dataBar>
        <cfvo type="min"/>
        <cfvo type="max"/>
        <color rgb="FFFFB628"/>
      </dataBar>
    </cfRule>
  </conditionalFormatting>
  <conditionalFormatting sqref="H178:L178">
    <cfRule type="dataBar" priority="401">
      <dataBar>
        <cfvo type="min"/>
        <cfvo type="max"/>
        <color rgb="FFFFB628"/>
      </dataBar>
    </cfRule>
    <cfRule type="dataBar" priority="402">
      <dataBar>
        <cfvo type="min"/>
        <cfvo type="max"/>
        <color rgb="FFFFB628"/>
      </dataBar>
    </cfRule>
    <cfRule type="dataBar" priority="403">
      <dataBar>
        <cfvo type="min"/>
        <cfvo type="max"/>
        <color rgb="FFFFB628"/>
      </dataBar>
    </cfRule>
  </conditionalFormatting>
  <conditionalFormatting sqref="H181:L181">
    <cfRule type="dataBar" priority="397">
      <dataBar>
        <cfvo type="min"/>
        <cfvo type="max"/>
        <color rgb="FFFFB628"/>
      </dataBar>
    </cfRule>
    <cfRule type="dataBar" priority="396">
      <dataBar>
        <cfvo type="min"/>
        <cfvo type="max"/>
        <color rgb="FFFFB628"/>
      </dataBar>
    </cfRule>
    <cfRule type="dataBar" priority="395">
      <dataBar>
        <cfvo type="min"/>
        <cfvo type="max"/>
        <color rgb="FFFFB628"/>
      </dataBar>
    </cfRule>
  </conditionalFormatting>
  <conditionalFormatting sqref="H184:L184">
    <cfRule type="dataBar" priority="390">
      <dataBar>
        <cfvo type="min"/>
        <cfvo type="max"/>
        <color rgb="FFFFB628"/>
      </dataBar>
    </cfRule>
    <cfRule type="dataBar" priority="389">
      <dataBar>
        <cfvo type="min"/>
        <cfvo type="max"/>
        <color rgb="FFFFB628"/>
      </dataBar>
    </cfRule>
    <cfRule type="dataBar" priority="391">
      <dataBar>
        <cfvo type="min"/>
        <cfvo type="max"/>
        <color rgb="FFFFB628"/>
      </dataBar>
    </cfRule>
  </conditionalFormatting>
  <conditionalFormatting sqref="H187:L187">
    <cfRule type="dataBar" priority="383">
      <dataBar>
        <cfvo type="min"/>
        <cfvo type="max"/>
        <color rgb="FFFFB628"/>
      </dataBar>
    </cfRule>
    <cfRule type="dataBar" priority="384">
      <dataBar>
        <cfvo type="min"/>
        <cfvo type="max"/>
        <color rgb="FFFFB628"/>
      </dataBar>
    </cfRule>
    <cfRule type="dataBar" priority="385">
      <dataBar>
        <cfvo type="min"/>
        <cfvo type="max"/>
        <color rgb="FFFFB628"/>
      </dataBar>
    </cfRule>
  </conditionalFormatting>
  <conditionalFormatting sqref="H188:L188">
    <cfRule type="dataBar" priority="639">
      <dataBar>
        <cfvo type="min"/>
        <cfvo type="max"/>
        <color rgb="FFFFB628"/>
      </dataBar>
    </cfRule>
    <cfRule type="dataBar" priority="638">
      <dataBar>
        <cfvo type="min"/>
        <cfvo type="max"/>
        <color rgb="FFFFB628"/>
      </dataBar>
    </cfRule>
    <cfRule type="dataBar" priority="637">
      <dataBar>
        <cfvo type="min"/>
        <cfvo type="max"/>
        <color rgb="FFFFB628"/>
      </dataBar>
    </cfRule>
  </conditionalFormatting>
  <conditionalFormatting sqref="H189:L189">
    <cfRule type="dataBar" priority="275">
      <dataBar>
        <cfvo type="min"/>
        <cfvo type="max"/>
        <color rgb="FFFFB628"/>
      </dataBar>
    </cfRule>
    <cfRule type="dataBar" priority="274">
      <dataBar>
        <cfvo type="min"/>
        <cfvo type="max"/>
        <color rgb="FFFFB628"/>
      </dataBar>
    </cfRule>
    <cfRule type="dataBar" priority="273">
      <dataBar>
        <cfvo type="min"/>
        <cfvo type="max"/>
        <color rgb="FFFFB628"/>
      </dataBar>
    </cfRule>
  </conditionalFormatting>
  <conditionalFormatting sqref="H190:L190">
    <cfRule type="dataBar" priority="377">
      <dataBar>
        <cfvo type="min"/>
        <cfvo type="max"/>
        <color rgb="FFFFB628"/>
      </dataBar>
    </cfRule>
    <cfRule type="dataBar" priority="378">
      <dataBar>
        <cfvo type="min"/>
        <cfvo type="max"/>
        <color rgb="FFFFB628"/>
      </dataBar>
    </cfRule>
    <cfRule type="dataBar" priority="379">
      <dataBar>
        <cfvo type="min"/>
        <cfvo type="max"/>
        <color rgb="FFFFB628"/>
      </dataBar>
    </cfRule>
  </conditionalFormatting>
  <conditionalFormatting sqref="H193:L193">
    <cfRule type="dataBar" priority="371">
      <dataBar>
        <cfvo type="min"/>
        <cfvo type="max"/>
        <color rgb="FFFFB628"/>
      </dataBar>
    </cfRule>
    <cfRule type="dataBar" priority="372">
      <dataBar>
        <cfvo type="min"/>
        <cfvo type="max"/>
        <color rgb="FFFFB628"/>
      </dataBar>
    </cfRule>
    <cfRule type="dataBar" priority="373">
      <dataBar>
        <cfvo type="min"/>
        <cfvo type="max"/>
        <color rgb="FFFFB628"/>
      </dataBar>
    </cfRule>
  </conditionalFormatting>
  <conditionalFormatting sqref="H196:L196">
    <cfRule type="dataBar" priority="367">
      <dataBar>
        <cfvo type="min"/>
        <cfvo type="max"/>
        <color rgb="FFFFB628"/>
      </dataBar>
    </cfRule>
    <cfRule type="dataBar" priority="366">
      <dataBar>
        <cfvo type="min"/>
        <cfvo type="max"/>
        <color rgb="FFFFB628"/>
      </dataBar>
    </cfRule>
    <cfRule type="dataBar" priority="365">
      <dataBar>
        <cfvo type="min"/>
        <cfvo type="max"/>
        <color rgb="FFFFB628"/>
      </dataBar>
    </cfRule>
  </conditionalFormatting>
  <conditionalFormatting sqref="H199:L199">
    <cfRule type="dataBar" priority="361">
      <dataBar>
        <cfvo type="min"/>
        <cfvo type="max"/>
        <color rgb="FFFFB628"/>
      </dataBar>
    </cfRule>
    <cfRule type="dataBar" priority="360">
      <dataBar>
        <cfvo type="min"/>
        <cfvo type="max"/>
        <color rgb="FFFFB628"/>
      </dataBar>
    </cfRule>
    <cfRule type="dataBar" priority="359">
      <dataBar>
        <cfvo type="min"/>
        <cfvo type="max"/>
        <color rgb="FFFFB628"/>
      </dataBar>
    </cfRule>
  </conditionalFormatting>
  <conditionalFormatting sqref="H202:L202">
    <cfRule type="dataBar" priority="355">
      <dataBar>
        <cfvo type="min"/>
        <cfvo type="max"/>
        <color rgb="FFFFB628"/>
      </dataBar>
    </cfRule>
    <cfRule type="dataBar" priority="353">
      <dataBar>
        <cfvo type="min"/>
        <cfvo type="max"/>
        <color rgb="FFFFB628"/>
      </dataBar>
    </cfRule>
    <cfRule type="dataBar" priority="354">
      <dataBar>
        <cfvo type="min"/>
        <cfvo type="max"/>
        <color rgb="FFFFB628"/>
      </dataBar>
    </cfRule>
  </conditionalFormatting>
  <conditionalFormatting sqref="H203:L203">
    <cfRule type="dataBar" priority="633">
      <dataBar>
        <cfvo type="min"/>
        <cfvo type="max"/>
        <color rgb="FFFFB628"/>
      </dataBar>
    </cfRule>
    <cfRule type="dataBar" priority="632">
      <dataBar>
        <cfvo type="min"/>
        <cfvo type="max"/>
        <color rgb="FFFFB628"/>
      </dataBar>
    </cfRule>
    <cfRule type="dataBar" priority="631">
      <dataBar>
        <cfvo type="min"/>
        <cfvo type="max"/>
        <color rgb="FFFFB628"/>
      </dataBar>
    </cfRule>
  </conditionalFormatting>
  <conditionalFormatting sqref="H204:L204">
    <cfRule type="dataBar" priority="627">
      <dataBar>
        <cfvo type="min"/>
        <cfvo type="max"/>
        <color rgb="FFFFB628"/>
      </dataBar>
    </cfRule>
    <cfRule type="dataBar" priority="626">
      <dataBar>
        <cfvo type="min"/>
        <cfvo type="max"/>
        <color rgb="FFFFB628"/>
      </dataBar>
    </cfRule>
    <cfRule type="dataBar" priority="625">
      <dataBar>
        <cfvo type="min"/>
        <cfvo type="max"/>
        <color rgb="FFFFB628"/>
      </dataBar>
    </cfRule>
  </conditionalFormatting>
  <conditionalFormatting sqref="H205:L205">
    <cfRule type="dataBar" priority="514">
      <dataBar>
        <cfvo type="min"/>
        <cfvo type="max"/>
        <color rgb="FFFFB628"/>
      </dataBar>
    </cfRule>
    <cfRule type="dataBar" priority="512">
      <dataBar>
        <cfvo type="min"/>
        <cfvo type="max"/>
        <color rgb="FFFFB628"/>
      </dataBar>
    </cfRule>
    <cfRule type="dataBar" priority="513">
      <dataBar>
        <cfvo type="min"/>
        <cfvo type="max"/>
        <color rgb="FFFFB628"/>
      </dataBar>
    </cfRule>
  </conditionalFormatting>
  <conditionalFormatting sqref="H206:L206">
    <cfRule type="dataBar" priority="269">
      <dataBar>
        <cfvo type="min"/>
        <cfvo type="max"/>
        <color rgb="FFFFB628"/>
      </dataBar>
    </cfRule>
    <cfRule type="dataBar" priority="268">
      <dataBar>
        <cfvo type="min"/>
        <cfvo type="max"/>
        <color rgb="FFFFB628"/>
      </dataBar>
    </cfRule>
    <cfRule type="dataBar" priority="267">
      <dataBar>
        <cfvo type="min"/>
        <cfvo type="max"/>
        <color rgb="FFFFB628"/>
      </dataBar>
    </cfRule>
  </conditionalFormatting>
  <conditionalFormatting sqref="H207:L207">
    <cfRule type="dataBar" priority="621">
      <dataBar>
        <cfvo type="min"/>
        <cfvo type="max"/>
        <color rgb="FFFFB628"/>
      </dataBar>
    </cfRule>
    <cfRule type="dataBar" priority="620">
      <dataBar>
        <cfvo type="min"/>
        <cfvo type="max"/>
        <color rgb="FFFFB628"/>
      </dataBar>
    </cfRule>
    <cfRule type="dataBar" priority="619">
      <dataBar>
        <cfvo type="min"/>
        <cfvo type="max"/>
        <color rgb="FFFFB628"/>
      </dataBar>
    </cfRule>
  </conditionalFormatting>
  <conditionalFormatting sqref="H208:L208">
    <cfRule type="dataBar" priority="263">
      <dataBar>
        <cfvo type="min"/>
        <cfvo type="max"/>
        <color rgb="FFFFB628"/>
      </dataBar>
    </cfRule>
    <cfRule type="dataBar" priority="262">
      <dataBar>
        <cfvo type="min"/>
        <cfvo type="max"/>
        <color rgb="FFFFB628"/>
      </dataBar>
    </cfRule>
    <cfRule type="dataBar" priority="261">
      <dataBar>
        <cfvo type="min"/>
        <cfvo type="max"/>
        <color rgb="FFFFB628"/>
      </dataBar>
    </cfRule>
  </conditionalFormatting>
  <conditionalFormatting sqref="H209:L210 H212:L213 H215:L216 H218:L218">
    <cfRule type="dataBar" priority="601">
      <dataBar>
        <cfvo type="min"/>
        <cfvo type="max"/>
        <color rgb="FFFFB628"/>
      </dataBar>
    </cfRule>
    <cfRule type="dataBar" priority="602">
      <dataBar>
        <cfvo type="min"/>
        <cfvo type="max"/>
        <color rgb="FFFFB628"/>
      </dataBar>
    </cfRule>
  </conditionalFormatting>
  <conditionalFormatting sqref="H211:L211">
    <cfRule type="dataBar" priority="349">
      <dataBar>
        <cfvo type="min"/>
        <cfvo type="max"/>
        <color rgb="FFFFB628"/>
      </dataBar>
    </cfRule>
    <cfRule type="dataBar" priority="348">
      <dataBar>
        <cfvo type="min"/>
        <cfvo type="max"/>
        <color rgb="FFFFB628"/>
      </dataBar>
    </cfRule>
    <cfRule type="dataBar" priority="347">
      <dataBar>
        <cfvo type="min"/>
        <cfvo type="max"/>
        <color rgb="FFFFB628"/>
      </dataBar>
    </cfRule>
  </conditionalFormatting>
  <conditionalFormatting sqref="H214:L214">
    <cfRule type="dataBar" priority="341">
      <dataBar>
        <cfvo type="min"/>
        <cfvo type="max"/>
        <color rgb="FFFFB628"/>
      </dataBar>
    </cfRule>
    <cfRule type="dataBar" priority="343">
      <dataBar>
        <cfvo type="min"/>
        <cfvo type="max"/>
        <color rgb="FFFFB628"/>
      </dataBar>
    </cfRule>
    <cfRule type="dataBar" priority="342">
      <dataBar>
        <cfvo type="min"/>
        <cfvo type="max"/>
        <color rgb="FFFFB628"/>
      </dataBar>
    </cfRule>
  </conditionalFormatting>
  <conditionalFormatting sqref="H217:L217">
    <cfRule type="dataBar" priority="337">
      <dataBar>
        <cfvo type="min"/>
        <cfvo type="max"/>
        <color rgb="FFFFB628"/>
      </dataBar>
    </cfRule>
    <cfRule type="dataBar" priority="336">
      <dataBar>
        <cfvo type="min"/>
        <cfvo type="max"/>
        <color rgb="FFFFB628"/>
      </dataBar>
    </cfRule>
    <cfRule type="dataBar" priority="335">
      <dataBar>
        <cfvo type="min"/>
        <cfvo type="max"/>
        <color rgb="FFFFB628"/>
      </dataBar>
    </cfRule>
  </conditionalFormatting>
  <conditionalFormatting sqref="H219:L219">
    <cfRule type="dataBar" priority="590">
      <dataBar>
        <cfvo type="min"/>
        <cfvo type="max"/>
        <color rgb="FFFFB628"/>
      </dataBar>
    </cfRule>
    <cfRule type="dataBar" priority="591">
      <dataBar>
        <cfvo type="min"/>
        <cfvo type="max"/>
        <color rgb="FFFFB628"/>
      </dataBar>
    </cfRule>
  </conditionalFormatting>
  <conditionalFormatting sqref="H220:L220">
    <cfRule type="dataBar" priority="329">
      <dataBar>
        <cfvo type="min"/>
        <cfvo type="max"/>
        <color rgb="FFFFB628"/>
      </dataBar>
    </cfRule>
    <cfRule type="dataBar" priority="330">
      <dataBar>
        <cfvo type="min"/>
        <cfvo type="max"/>
        <color rgb="FFFFB628"/>
      </dataBar>
    </cfRule>
    <cfRule type="dataBar" priority="331">
      <dataBar>
        <cfvo type="min"/>
        <cfvo type="max"/>
        <color rgb="FFFFB628"/>
      </dataBar>
    </cfRule>
  </conditionalFormatting>
  <conditionalFormatting sqref="H221:L221">
    <cfRule type="dataBar" priority="599">
      <dataBar>
        <cfvo type="min"/>
        <cfvo type="max"/>
        <color rgb="FFFFB628"/>
      </dataBar>
    </cfRule>
    <cfRule type="dataBar" priority="600">
      <dataBar>
        <cfvo type="min"/>
        <cfvo type="max"/>
        <color rgb="FFFFB628"/>
      </dataBar>
    </cfRule>
  </conditionalFormatting>
  <conditionalFormatting sqref="H222:L222">
    <cfRule type="dataBar" priority="595">
      <dataBar>
        <cfvo type="min"/>
        <cfvo type="max"/>
        <color rgb="FFFFB628"/>
      </dataBar>
    </cfRule>
    <cfRule type="dataBar" priority="596">
      <dataBar>
        <cfvo type="min"/>
        <cfvo type="max"/>
        <color rgb="FFFFB628"/>
      </dataBar>
    </cfRule>
  </conditionalFormatting>
  <conditionalFormatting sqref="H223:L223">
    <cfRule type="dataBar" priority="323">
      <dataBar>
        <cfvo type="min"/>
        <cfvo type="max"/>
        <color rgb="FFFFB628"/>
      </dataBar>
    </cfRule>
    <cfRule type="dataBar" priority="324">
      <dataBar>
        <cfvo type="min"/>
        <cfvo type="max"/>
        <color rgb="FFFFB628"/>
      </dataBar>
    </cfRule>
    <cfRule type="dataBar" priority="325">
      <dataBar>
        <cfvo type="min"/>
        <cfvo type="max"/>
        <color rgb="FFFFB628"/>
      </dataBar>
    </cfRule>
  </conditionalFormatting>
  <conditionalFormatting sqref="H224:L224">
    <cfRule type="dataBar" priority="613">
      <dataBar>
        <cfvo type="min"/>
        <cfvo type="max"/>
        <color rgb="FFFFB628"/>
      </dataBar>
    </cfRule>
    <cfRule type="dataBar" priority="614">
      <dataBar>
        <cfvo type="min"/>
        <cfvo type="max"/>
        <color rgb="FFFFB628"/>
      </dataBar>
    </cfRule>
    <cfRule type="dataBar" priority="615">
      <dataBar>
        <cfvo type="min"/>
        <cfvo type="max"/>
        <color rgb="FFFFB628"/>
      </dataBar>
    </cfRule>
  </conditionalFormatting>
  <conditionalFormatting sqref="H226:L226">
    <cfRule type="dataBar" priority="317">
      <dataBar>
        <cfvo type="min"/>
        <cfvo type="max"/>
        <color rgb="FFFFB628"/>
      </dataBar>
    </cfRule>
    <cfRule type="dataBar" priority="319">
      <dataBar>
        <cfvo type="min"/>
        <cfvo type="max"/>
        <color rgb="FFFFB628"/>
      </dataBar>
    </cfRule>
    <cfRule type="dataBar" priority="318">
      <dataBar>
        <cfvo type="min"/>
        <cfvo type="max"/>
        <color rgb="FFFFB628"/>
      </dataBar>
    </cfRule>
  </conditionalFormatting>
  <conditionalFormatting sqref="H227:L228 H230:L231 H233:L234">
    <cfRule type="dataBar" priority="598">
      <dataBar>
        <cfvo type="min"/>
        <cfvo type="max"/>
        <color rgb="FFFFB628"/>
      </dataBar>
    </cfRule>
    <cfRule type="dataBar" priority="597">
      <dataBar>
        <cfvo type="min"/>
        <cfvo type="max"/>
        <color rgb="FFFFB628"/>
      </dataBar>
    </cfRule>
  </conditionalFormatting>
  <conditionalFormatting sqref="H229:L229">
    <cfRule type="dataBar" priority="311">
      <dataBar>
        <cfvo type="min"/>
        <cfvo type="max"/>
        <color rgb="FFFFB628"/>
      </dataBar>
    </cfRule>
    <cfRule type="dataBar" priority="313">
      <dataBar>
        <cfvo type="min"/>
        <cfvo type="max"/>
        <color rgb="FFFFB628"/>
      </dataBar>
    </cfRule>
    <cfRule type="dataBar" priority="312">
      <dataBar>
        <cfvo type="min"/>
        <cfvo type="max"/>
        <color rgb="FFFFB628"/>
      </dataBar>
    </cfRule>
  </conditionalFormatting>
  <conditionalFormatting sqref="H232:L232">
    <cfRule type="dataBar" priority="307">
      <dataBar>
        <cfvo type="min"/>
        <cfvo type="max"/>
        <color rgb="FFFFB628"/>
      </dataBar>
    </cfRule>
    <cfRule type="dataBar" priority="306">
      <dataBar>
        <cfvo type="min"/>
        <cfvo type="max"/>
        <color rgb="FFFFB628"/>
      </dataBar>
    </cfRule>
    <cfRule type="dataBar" priority="305">
      <dataBar>
        <cfvo type="min"/>
        <cfvo type="max"/>
        <color rgb="FFFFB628"/>
      </dataBar>
    </cfRule>
  </conditionalFormatting>
  <conditionalFormatting sqref="H235:L235">
    <cfRule type="dataBar" priority="302">
      <dataBar>
        <cfvo type="min"/>
        <cfvo type="max"/>
        <color rgb="FFFFB628"/>
      </dataBar>
    </cfRule>
    <cfRule type="dataBar" priority="301">
      <dataBar>
        <cfvo type="min"/>
        <cfvo type="max"/>
        <color rgb="FFFFB628"/>
      </dataBar>
    </cfRule>
    <cfRule type="dataBar" priority="300">
      <dataBar>
        <cfvo type="min"/>
        <cfvo type="max"/>
        <color rgb="FFFFB628"/>
      </dataBar>
    </cfRule>
  </conditionalFormatting>
  <conditionalFormatting sqref="H236:L236">
    <cfRule type="dataBar" priority="609">
      <dataBar>
        <cfvo type="min"/>
        <cfvo type="max"/>
        <color rgb="FFFFB628"/>
      </dataBar>
    </cfRule>
    <cfRule type="dataBar" priority="608">
      <dataBar>
        <cfvo type="min"/>
        <cfvo type="max"/>
        <color rgb="FFFFB628"/>
      </dataBar>
    </cfRule>
    <cfRule type="dataBar" priority="607">
      <dataBar>
        <cfvo type="min"/>
        <cfvo type="max"/>
        <color rgb="FFFFB628"/>
      </dataBar>
    </cfRule>
  </conditionalFormatting>
  <conditionalFormatting sqref="H238:L238">
    <cfRule type="dataBar" priority="296">
      <dataBar>
        <cfvo type="min"/>
        <cfvo type="max"/>
        <color rgb="FFFFB628"/>
      </dataBar>
    </cfRule>
    <cfRule type="dataBar" priority="298">
      <dataBar>
        <cfvo type="min"/>
        <cfvo type="max"/>
        <color rgb="FFFFB628"/>
      </dataBar>
    </cfRule>
    <cfRule type="dataBar" priority="297">
      <dataBar>
        <cfvo type="min"/>
        <cfvo type="max"/>
        <color rgb="FFFFB628"/>
      </dataBar>
    </cfRule>
  </conditionalFormatting>
  <conditionalFormatting sqref="H239:L240">
    <cfRule type="dataBar" priority="594">
      <dataBar>
        <cfvo type="min"/>
        <cfvo type="max"/>
        <color rgb="FFFFB628"/>
      </dataBar>
    </cfRule>
    <cfRule type="dataBar" priority="593">
      <dataBar>
        <cfvo type="min"/>
        <cfvo type="max"/>
        <color rgb="FFFFB628"/>
      </dataBar>
    </cfRule>
  </conditionalFormatting>
  <conditionalFormatting sqref="H241:L241">
    <cfRule type="dataBar" priority="292">
      <dataBar>
        <cfvo type="min"/>
        <cfvo type="max"/>
        <color rgb="FFFFB628"/>
      </dataBar>
    </cfRule>
    <cfRule type="dataBar" priority="290">
      <dataBar>
        <cfvo type="min"/>
        <cfvo type="max"/>
        <color rgb="FFFFB628"/>
      </dataBar>
    </cfRule>
    <cfRule type="dataBar" priority="291">
      <dataBar>
        <cfvo type="min"/>
        <cfvo type="max"/>
        <color rgb="FFFFB628"/>
      </dataBar>
    </cfRule>
  </conditionalFormatting>
  <conditionalFormatting sqref="H242:L242">
    <cfRule type="dataBar" priority="582">
      <dataBar>
        <cfvo type="min"/>
        <cfvo type="max"/>
        <color rgb="FFFFB628"/>
      </dataBar>
    </cfRule>
    <cfRule type="dataBar" priority="580">
      <dataBar>
        <cfvo type="min"/>
        <cfvo type="max"/>
        <color rgb="FFFFB628"/>
      </dataBar>
    </cfRule>
    <cfRule type="dataBar" priority="581">
      <dataBar>
        <cfvo type="min"/>
        <cfvo type="max"/>
        <color rgb="FFFFB628"/>
      </dataBar>
    </cfRule>
  </conditionalFormatting>
  <conditionalFormatting sqref="H243:L243">
    <cfRule type="dataBar" priority="474">
      <dataBar>
        <cfvo type="min"/>
        <cfvo type="max"/>
        <color rgb="FFFFB628"/>
      </dataBar>
    </cfRule>
    <cfRule type="dataBar" priority="476">
      <dataBar>
        <cfvo type="min"/>
        <cfvo type="max"/>
        <color rgb="FFFFB628"/>
      </dataBar>
    </cfRule>
    <cfRule type="dataBar" priority="475">
      <dataBar>
        <cfvo type="min"/>
        <cfvo type="max"/>
        <color rgb="FFFFB628"/>
      </dataBar>
    </cfRule>
  </conditionalFormatting>
  <conditionalFormatting sqref="H244:L244">
    <cfRule type="dataBar" priority="471">
      <dataBar>
        <cfvo type="min"/>
        <cfvo type="max"/>
        <color rgb="FFFFB628"/>
      </dataBar>
    </cfRule>
    <cfRule type="dataBar" priority="469">
      <dataBar>
        <cfvo type="min"/>
        <cfvo type="max"/>
        <color rgb="FFFFB628"/>
      </dataBar>
    </cfRule>
    <cfRule type="dataBar" priority="470">
      <dataBar>
        <cfvo type="min"/>
        <cfvo type="max"/>
        <color rgb="FFFFB628"/>
      </dataBar>
    </cfRule>
  </conditionalFormatting>
  <conditionalFormatting sqref="H245:L266 H274:L289">
    <cfRule type="dataBar" priority="852">
      <dataBar>
        <cfvo type="min"/>
        <cfvo type="max"/>
        <color rgb="FFFFB628"/>
      </dataBar>
    </cfRule>
  </conditionalFormatting>
  <conditionalFormatting sqref="H267:L267">
    <cfRule type="dataBar" priority="889">
      <dataBar>
        <cfvo type="min"/>
        <cfvo type="max"/>
        <color rgb="FFFFB628"/>
      </dataBar>
    </cfRule>
    <cfRule type="dataBar" priority="888">
      <dataBar>
        <cfvo type="min"/>
        <cfvo type="max"/>
        <color rgb="FFFFB628"/>
      </dataBar>
    </cfRule>
    <cfRule type="dataBar" priority="887">
      <dataBar>
        <cfvo type="min"/>
        <cfvo type="max"/>
        <color rgb="FFFFB628"/>
      </dataBar>
    </cfRule>
    <cfRule type="dataBar" priority="886">
      <dataBar>
        <cfvo type="min"/>
        <cfvo type="max"/>
        <color rgb="FFFFB628"/>
      </dataBar>
    </cfRule>
  </conditionalFormatting>
  <conditionalFormatting sqref="H268:L269">
    <cfRule type="dataBar" priority="891">
      <dataBar>
        <cfvo type="min"/>
        <cfvo type="max"/>
        <color rgb="FFFFB628"/>
      </dataBar>
    </cfRule>
  </conditionalFormatting>
  <conditionalFormatting sqref="H270:L270">
    <cfRule type="dataBar" priority="881">
      <dataBar>
        <cfvo type="min"/>
        <cfvo type="max"/>
        <color rgb="FFFFB628"/>
      </dataBar>
    </cfRule>
    <cfRule type="dataBar" priority="882">
      <dataBar>
        <cfvo type="min"/>
        <cfvo type="max"/>
        <color rgb="FFFFB628"/>
      </dataBar>
    </cfRule>
    <cfRule type="dataBar" priority="883">
      <dataBar>
        <cfvo type="min"/>
        <cfvo type="max"/>
        <color rgb="FFFFB628"/>
      </dataBar>
    </cfRule>
    <cfRule type="dataBar" priority="884">
      <dataBar>
        <cfvo type="min"/>
        <cfvo type="max"/>
        <color rgb="FFFFB628"/>
      </dataBar>
    </cfRule>
  </conditionalFormatting>
  <conditionalFormatting sqref="H271:L271">
    <cfRule type="dataBar" priority="876">
      <dataBar>
        <cfvo type="min"/>
        <cfvo type="max"/>
        <color rgb="FFFFB628"/>
      </dataBar>
    </cfRule>
    <cfRule type="dataBar" priority="879">
      <dataBar>
        <cfvo type="min"/>
        <cfvo type="max"/>
        <color rgb="FFFFB628"/>
      </dataBar>
    </cfRule>
    <cfRule type="dataBar" priority="878">
      <dataBar>
        <cfvo type="min"/>
        <cfvo type="max"/>
        <color rgb="FFFFB628"/>
      </dataBar>
    </cfRule>
    <cfRule type="dataBar" priority="877">
      <dataBar>
        <cfvo type="min"/>
        <cfvo type="max"/>
        <color rgb="FFFFB628"/>
      </dataBar>
    </cfRule>
  </conditionalFormatting>
  <conditionalFormatting sqref="H272:L272">
    <cfRule type="dataBar" priority="874">
      <dataBar>
        <cfvo type="min"/>
        <cfvo type="max"/>
        <color rgb="FFFFB628"/>
      </dataBar>
    </cfRule>
    <cfRule type="dataBar" priority="871">
      <dataBar>
        <cfvo type="min"/>
        <cfvo type="max"/>
        <color rgb="FFFFB628"/>
      </dataBar>
    </cfRule>
    <cfRule type="dataBar" priority="872">
      <dataBar>
        <cfvo type="min"/>
        <cfvo type="max"/>
        <color rgb="FFFFB628"/>
      </dataBar>
    </cfRule>
    <cfRule type="dataBar" priority="873">
      <dataBar>
        <cfvo type="min"/>
        <cfvo type="max"/>
        <color rgb="FFFFB628"/>
      </dataBar>
    </cfRule>
  </conditionalFormatting>
  <conditionalFormatting sqref="H273:L273">
    <cfRule type="dataBar" priority="892">
      <dataBar>
        <cfvo type="min"/>
        <cfvo type="max"/>
        <color rgb="FFFFB628"/>
      </dataBar>
    </cfRule>
  </conditionalFormatting>
  <conditionalFormatting sqref="H290:L303 H306:L308 H310:L345">
    <cfRule type="dataBar" priority="862">
      <dataBar>
        <cfvo type="min"/>
        <cfvo type="max"/>
        <color rgb="FFFFB628"/>
      </dataBar>
    </cfRule>
  </conditionalFormatting>
  <conditionalFormatting sqref="H304:L304">
    <cfRule type="dataBar" priority="851">
      <dataBar>
        <cfvo type="min"/>
        <cfvo type="max"/>
        <color rgb="FFFFB628"/>
      </dataBar>
    </cfRule>
  </conditionalFormatting>
  <conditionalFormatting sqref="H305:L305">
    <cfRule type="dataBar" priority="850">
      <dataBar>
        <cfvo type="min"/>
        <cfvo type="max"/>
        <color rgb="FFFFB628"/>
      </dataBar>
    </cfRule>
  </conditionalFormatting>
  <conditionalFormatting sqref="H309:L309">
    <cfRule type="dataBar" priority="849">
      <dataBar>
        <cfvo type="min"/>
        <cfvo type="max"/>
        <color rgb="FFFFB628"/>
      </dataBar>
    </cfRule>
  </conditionalFormatting>
  <conditionalFormatting sqref="H346:L346">
    <cfRule type="dataBar" priority="823">
      <dataBar>
        <cfvo type="min"/>
        <cfvo type="max"/>
        <color rgb="FFFFB628"/>
      </dataBar>
    </cfRule>
  </conditionalFormatting>
  <conditionalFormatting sqref="H347:L347">
    <cfRule type="dataBar" priority="821">
      <dataBar>
        <cfvo type="min"/>
        <cfvo type="max"/>
        <color rgb="FFFFB628"/>
      </dataBar>
    </cfRule>
  </conditionalFormatting>
  <conditionalFormatting sqref="H348:L348">
    <cfRule type="dataBar" priority="819">
      <dataBar>
        <cfvo type="min"/>
        <cfvo type="max"/>
        <color rgb="FFFFB628"/>
      </dataBar>
    </cfRule>
  </conditionalFormatting>
  <conditionalFormatting sqref="H349:L349">
    <cfRule type="dataBar" priority="817">
      <dataBar>
        <cfvo type="min"/>
        <cfvo type="max"/>
        <color rgb="FFFFB628"/>
      </dataBar>
    </cfRule>
  </conditionalFormatting>
  <conditionalFormatting sqref="H350:L350">
    <cfRule type="dataBar" priority="815">
      <dataBar>
        <cfvo type="min"/>
        <cfvo type="max"/>
        <color rgb="FFFFB628"/>
      </dataBar>
    </cfRule>
  </conditionalFormatting>
  <conditionalFormatting sqref="H351:L351">
    <cfRule type="dataBar" priority="813">
      <dataBar>
        <cfvo type="min"/>
        <cfvo type="max"/>
        <color rgb="FFFFB628"/>
      </dataBar>
    </cfRule>
  </conditionalFormatting>
  <conditionalFormatting sqref="H352:L352">
    <cfRule type="dataBar" priority="896">
      <dataBar>
        <cfvo type="min"/>
        <cfvo type="max"/>
        <color rgb="FFFFB628"/>
      </dataBar>
    </cfRule>
  </conditionalFormatting>
  <conditionalFormatting sqref="H353:L353">
    <cfRule type="dataBar" priority="254">
      <dataBar>
        <cfvo type="min"/>
        <cfvo type="max"/>
        <color rgb="FFFFB628"/>
      </dataBar>
    </cfRule>
    <cfRule type="dataBar" priority="253">
      <dataBar>
        <cfvo type="min"/>
        <cfvo type="max"/>
        <color rgb="FFFFB628"/>
      </dataBar>
    </cfRule>
    <cfRule type="dataBar" priority="252">
      <dataBar>
        <cfvo type="min"/>
        <cfvo type="max"/>
        <color rgb="FFFFB628"/>
      </dataBar>
    </cfRule>
  </conditionalFormatting>
  <conditionalFormatting sqref="H354:L354">
    <cfRule type="dataBar" priority="25">
      <dataBar>
        <cfvo type="min"/>
        <cfvo type="max"/>
        <color rgb="FFFFB628"/>
      </dataBar>
    </cfRule>
    <cfRule type="dataBar" priority="26">
      <dataBar>
        <cfvo type="min"/>
        <cfvo type="max"/>
        <color rgb="FFFFB628"/>
      </dataBar>
    </cfRule>
    <cfRule type="dataBar" priority="27">
      <dataBar>
        <cfvo type="min"/>
        <cfvo type="max"/>
        <color rgb="FFFFB628"/>
      </dataBar>
    </cfRule>
  </conditionalFormatting>
  <conditionalFormatting sqref="H355:L355">
    <cfRule type="dataBar" priority="191">
      <dataBar>
        <cfvo type="min"/>
        <cfvo type="max"/>
        <color rgb="FFFFB628"/>
      </dataBar>
    </cfRule>
    <cfRule type="dataBar" priority="190">
      <dataBar>
        <cfvo type="min"/>
        <cfvo type="max"/>
        <color rgb="FFFFB628"/>
      </dataBar>
    </cfRule>
    <cfRule type="dataBar" priority="189">
      <dataBar>
        <cfvo type="min"/>
        <cfvo type="max"/>
        <color rgb="FFFFB628"/>
      </dataBar>
    </cfRule>
  </conditionalFormatting>
  <conditionalFormatting sqref="H356:L357 H359:L360 H362:L363 H365:L366 H371:L372 H374:L375 H377:L378 H380:L381 H383:L384 H386:L387 H392:L393 H395:L396 H398:L399 H401:L402">
    <cfRule type="dataBar" priority="256">
      <dataBar>
        <cfvo type="min"/>
        <cfvo type="max"/>
        <color rgb="FFFFB628"/>
      </dataBar>
    </cfRule>
    <cfRule type="dataBar" priority="257">
      <dataBar>
        <cfvo type="min"/>
        <cfvo type="max"/>
        <color rgb="FFFFB628"/>
      </dataBar>
    </cfRule>
  </conditionalFormatting>
  <conditionalFormatting sqref="H358:L358">
    <cfRule type="dataBar" priority="185">
      <dataBar>
        <cfvo type="min"/>
        <cfvo type="max"/>
        <color rgb="FFFFB628"/>
      </dataBar>
    </cfRule>
    <cfRule type="dataBar" priority="183">
      <dataBar>
        <cfvo type="min"/>
        <cfvo type="max"/>
        <color rgb="FFFFB628"/>
      </dataBar>
    </cfRule>
    <cfRule type="dataBar" priority="184">
      <dataBar>
        <cfvo type="min"/>
        <cfvo type="max"/>
        <color rgb="FFFFB628"/>
      </dataBar>
    </cfRule>
  </conditionalFormatting>
  <conditionalFormatting sqref="H361:L361">
    <cfRule type="dataBar" priority="178">
      <dataBar>
        <cfvo type="min"/>
        <cfvo type="max"/>
        <color rgb="FFFFB628"/>
      </dataBar>
    </cfRule>
    <cfRule type="dataBar" priority="177">
      <dataBar>
        <cfvo type="min"/>
        <cfvo type="max"/>
        <color rgb="FFFFB628"/>
      </dataBar>
    </cfRule>
    <cfRule type="dataBar" priority="179">
      <dataBar>
        <cfvo type="min"/>
        <cfvo type="max"/>
        <color rgb="FFFFB628"/>
      </dataBar>
    </cfRule>
  </conditionalFormatting>
  <conditionalFormatting sqref="H364:L364">
    <cfRule type="dataBar" priority="173">
      <dataBar>
        <cfvo type="min"/>
        <cfvo type="max"/>
        <color rgb="FFFFB628"/>
      </dataBar>
    </cfRule>
    <cfRule type="dataBar" priority="172">
      <dataBar>
        <cfvo type="min"/>
        <cfvo type="max"/>
        <color rgb="FFFFB628"/>
      </dataBar>
    </cfRule>
    <cfRule type="dataBar" priority="171">
      <dataBar>
        <cfvo type="min"/>
        <cfvo type="max"/>
        <color rgb="FFFFB628"/>
      </dataBar>
    </cfRule>
  </conditionalFormatting>
  <conditionalFormatting sqref="H367:L367">
    <cfRule type="dataBar" priority="167">
      <dataBar>
        <cfvo type="min"/>
        <cfvo type="max"/>
        <color rgb="FFFFB628"/>
      </dataBar>
    </cfRule>
    <cfRule type="dataBar" priority="165">
      <dataBar>
        <cfvo type="min"/>
        <cfvo type="max"/>
        <color rgb="FFFFB628"/>
      </dataBar>
    </cfRule>
    <cfRule type="dataBar" priority="166">
      <dataBar>
        <cfvo type="min"/>
        <cfvo type="max"/>
        <color rgb="FFFFB628"/>
      </dataBar>
    </cfRule>
  </conditionalFormatting>
  <conditionalFormatting sqref="H368:L368">
    <cfRule type="dataBar" priority="246">
      <dataBar>
        <cfvo type="min"/>
        <cfvo type="max"/>
        <color rgb="FFFFB628"/>
      </dataBar>
    </cfRule>
    <cfRule type="dataBar" priority="248">
      <dataBar>
        <cfvo type="min"/>
        <cfvo type="max"/>
        <color rgb="FFFFB628"/>
      </dataBar>
    </cfRule>
    <cfRule type="dataBar" priority="247">
      <dataBar>
        <cfvo type="min"/>
        <cfvo type="max"/>
        <color rgb="FFFFB628"/>
      </dataBar>
    </cfRule>
  </conditionalFormatting>
  <conditionalFormatting sqref="H369:L369">
    <cfRule type="dataBar" priority="19">
      <dataBar>
        <cfvo type="min"/>
        <cfvo type="max"/>
        <color rgb="FFFFB628"/>
      </dataBar>
    </cfRule>
    <cfRule type="dataBar" priority="20">
      <dataBar>
        <cfvo type="min"/>
        <cfvo type="max"/>
        <color rgb="FFFFB628"/>
      </dataBar>
    </cfRule>
    <cfRule type="dataBar" priority="21">
      <dataBar>
        <cfvo type="min"/>
        <cfvo type="max"/>
        <color rgb="FFFFB628"/>
      </dataBar>
    </cfRule>
  </conditionalFormatting>
  <conditionalFormatting sqref="H370:L370">
    <cfRule type="dataBar" priority="159">
      <dataBar>
        <cfvo type="min"/>
        <cfvo type="max"/>
        <color rgb="FFFFB628"/>
      </dataBar>
    </cfRule>
    <cfRule type="dataBar" priority="160">
      <dataBar>
        <cfvo type="min"/>
        <cfvo type="max"/>
        <color rgb="FFFFB628"/>
      </dataBar>
    </cfRule>
    <cfRule type="dataBar" priority="161">
      <dataBar>
        <cfvo type="min"/>
        <cfvo type="max"/>
        <color rgb="FFFFB628"/>
      </dataBar>
    </cfRule>
  </conditionalFormatting>
  <conditionalFormatting sqref="H373:L373">
    <cfRule type="dataBar" priority="153">
      <dataBar>
        <cfvo type="min"/>
        <cfvo type="max"/>
        <color rgb="FFFFB628"/>
      </dataBar>
    </cfRule>
    <cfRule type="dataBar" priority="154">
      <dataBar>
        <cfvo type="min"/>
        <cfvo type="max"/>
        <color rgb="FFFFB628"/>
      </dataBar>
    </cfRule>
    <cfRule type="dataBar" priority="155">
      <dataBar>
        <cfvo type="min"/>
        <cfvo type="max"/>
        <color rgb="FFFFB628"/>
      </dataBar>
    </cfRule>
  </conditionalFormatting>
  <conditionalFormatting sqref="H376:L376">
    <cfRule type="dataBar" priority="147">
      <dataBar>
        <cfvo type="min"/>
        <cfvo type="max"/>
        <color rgb="FFFFB628"/>
      </dataBar>
    </cfRule>
    <cfRule type="dataBar" priority="148">
      <dataBar>
        <cfvo type="min"/>
        <cfvo type="max"/>
        <color rgb="FFFFB628"/>
      </dataBar>
    </cfRule>
    <cfRule type="dataBar" priority="149">
      <dataBar>
        <cfvo type="min"/>
        <cfvo type="max"/>
        <color rgb="FFFFB628"/>
      </dataBar>
    </cfRule>
  </conditionalFormatting>
  <conditionalFormatting sqref="H379:L379">
    <cfRule type="dataBar" priority="141">
      <dataBar>
        <cfvo type="min"/>
        <cfvo type="max"/>
        <color rgb="FFFFB628"/>
      </dataBar>
    </cfRule>
    <cfRule type="dataBar" priority="142">
      <dataBar>
        <cfvo type="min"/>
        <cfvo type="max"/>
        <color rgb="FFFFB628"/>
      </dataBar>
    </cfRule>
    <cfRule type="dataBar" priority="143">
      <dataBar>
        <cfvo type="min"/>
        <cfvo type="max"/>
        <color rgb="FFFFB628"/>
      </dataBar>
    </cfRule>
  </conditionalFormatting>
  <conditionalFormatting sqref="H382:L382">
    <cfRule type="dataBar" priority="135">
      <dataBar>
        <cfvo type="min"/>
        <cfvo type="max"/>
        <color rgb="FFFFB628"/>
      </dataBar>
    </cfRule>
    <cfRule type="dataBar" priority="136">
      <dataBar>
        <cfvo type="min"/>
        <cfvo type="max"/>
        <color rgb="FFFFB628"/>
      </dataBar>
    </cfRule>
    <cfRule type="dataBar" priority="137">
      <dataBar>
        <cfvo type="min"/>
        <cfvo type="max"/>
        <color rgb="FFFFB628"/>
      </dataBar>
    </cfRule>
  </conditionalFormatting>
  <conditionalFormatting sqref="H385:L385">
    <cfRule type="dataBar" priority="130">
      <dataBar>
        <cfvo type="min"/>
        <cfvo type="max"/>
        <color rgb="FFFFB628"/>
      </dataBar>
    </cfRule>
    <cfRule type="dataBar" priority="131">
      <dataBar>
        <cfvo type="min"/>
        <cfvo type="max"/>
        <color rgb="FFFFB628"/>
      </dataBar>
    </cfRule>
    <cfRule type="dataBar" priority="129">
      <dataBar>
        <cfvo type="min"/>
        <cfvo type="max"/>
        <color rgb="FFFFB628"/>
      </dataBar>
    </cfRule>
  </conditionalFormatting>
  <conditionalFormatting sqref="H388:L388">
    <cfRule type="dataBar" priority="125">
      <dataBar>
        <cfvo type="min"/>
        <cfvo type="max"/>
        <color rgb="FFFFB628"/>
      </dataBar>
    </cfRule>
    <cfRule type="dataBar" priority="124">
      <dataBar>
        <cfvo type="min"/>
        <cfvo type="max"/>
        <color rgb="FFFFB628"/>
      </dataBar>
    </cfRule>
    <cfRule type="dataBar" priority="123">
      <dataBar>
        <cfvo type="min"/>
        <cfvo type="max"/>
        <color rgb="FFFFB628"/>
      </dataBar>
    </cfRule>
  </conditionalFormatting>
  <conditionalFormatting sqref="H389:L389">
    <cfRule type="dataBar" priority="240">
      <dataBar>
        <cfvo type="min"/>
        <cfvo type="max"/>
        <color rgb="FFFFB628"/>
      </dataBar>
    </cfRule>
    <cfRule type="dataBar" priority="241">
      <dataBar>
        <cfvo type="min"/>
        <cfvo type="max"/>
        <color rgb="FFFFB628"/>
      </dataBar>
    </cfRule>
    <cfRule type="dataBar" priority="242">
      <dataBar>
        <cfvo type="min"/>
        <cfvo type="max"/>
        <color rgb="FFFFB628"/>
      </dataBar>
    </cfRule>
  </conditionalFormatting>
  <conditionalFormatting sqref="H390:L390">
    <cfRule type="dataBar" priority="13">
      <dataBar>
        <cfvo type="min"/>
        <cfvo type="max"/>
        <color rgb="FFFFB628"/>
      </dataBar>
    </cfRule>
    <cfRule type="dataBar" priority="14">
      <dataBar>
        <cfvo type="min"/>
        <cfvo type="max"/>
        <color rgb="FFFFB628"/>
      </dataBar>
    </cfRule>
    <cfRule type="dataBar" priority="15">
      <dataBar>
        <cfvo type="min"/>
        <cfvo type="max"/>
        <color rgb="FFFFB628"/>
      </dataBar>
    </cfRule>
  </conditionalFormatting>
  <conditionalFormatting sqref="H391:L391">
    <cfRule type="dataBar" priority="119">
      <dataBar>
        <cfvo type="min"/>
        <cfvo type="max"/>
        <color rgb="FFFFB628"/>
      </dataBar>
    </cfRule>
    <cfRule type="dataBar" priority="118">
      <dataBar>
        <cfvo type="min"/>
        <cfvo type="max"/>
        <color rgb="FFFFB628"/>
      </dataBar>
    </cfRule>
    <cfRule type="dataBar" priority="117">
      <dataBar>
        <cfvo type="min"/>
        <cfvo type="max"/>
        <color rgb="FFFFB628"/>
      </dataBar>
    </cfRule>
  </conditionalFormatting>
  <conditionalFormatting sqref="H394:L394">
    <cfRule type="dataBar" priority="112">
      <dataBar>
        <cfvo type="min"/>
        <cfvo type="max"/>
        <color rgb="FFFFB628"/>
      </dataBar>
    </cfRule>
    <cfRule type="dataBar" priority="111">
      <dataBar>
        <cfvo type="min"/>
        <cfvo type="max"/>
        <color rgb="FFFFB628"/>
      </dataBar>
    </cfRule>
    <cfRule type="dataBar" priority="113">
      <dataBar>
        <cfvo type="min"/>
        <cfvo type="max"/>
        <color rgb="FFFFB628"/>
      </dataBar>
    </cfRule>
  </conditionalFormatting>
  <conditionalFormatting sqref="H397:L397">
    <cfRule type="dataBar" priority="107">
      <dataBar>
        <cfvo type="min"/>
        <cfvo type="max"/>
        <color rgb="FFFFB628"/>
      </dataBar>
    </cfRule>
    <cfRule type="dataBar" priority="106">
      <dataBar>
        <cfvo type="min"/>
        <cfvo type="max"/>
        <color rgb="FFFFB628"/>
      </dataBar>
    </cfRule>
    <cfRule type="dataBar" priority="105">
      <dataBar>
        <cfvo type="min"/>
        <cfvo type="max"/>
        <color rgb="FFFFB628"/>
      </dataBar>
    </cfRule>
  </conditionalFormatting>
  <conditionalFormatting sqref="H400:L400">
    <cfRule type="dataBar" priority="101">
      <dataBar>
        <cfvo type="min"/>
        <cfvo type="max"/>
        <color rgb="FFFFB628"/>
      </dataBar>
    </cfRule>
    <cfRule type="dataBar" priority="100">
      <dataBar>
        <cfvo type="min"/>
        <cfvo type="max"/>
        <color rgb="FFFFB628"/>
      </dataBar>
    </cfRule>
    <cfRule type="dataBar" priority="99">
      <dataBar>
        <cfvo type="min"/>
        <cfvo type="max"/>
        <color rgb="FFFFB628"/>
      </dataBar>
    </cfRule>
  </conditionalFormatting>
  <conditionalFormatting sqref="H403:L403">
    <cfRule type="dataBar" priority="95">
      <dataBar>
        <cfvo type="min"/>
        <cfvo type="max"/>
        <color rgb="FFFFB628"/>
      </dataBar>
    </cfRule>
    <cfRule type="dataBar" priority="94">
      <dataBar>
        <cfvo type="min"/>
        <cfvo type="max"/>
        <color rgb="FFFFB628"/>
      </dataBar>
    </cfRule>
    <cfRule type="dataBar" priority="93">
      <dataBar>
        <cfvo type="min"/>
        <cfvo type="max"/>
        <color rgb="FFFFB628"/>
      </dataBar>
    </cfRule>
  </conditionalFormatting>
  <conditionalFormatting sqref="H404:L404">
    <cfRule type="dataBar" priority="234">
      <dataBar>
        <cfvo type="min"/>
        <cfvo type="max"/>
        <color rgb="FFFFB628"/>
      </dataBar>
    </cfRule>
    <cfRule type="dataBar" priority="236">
      <dataBar>
        <cfvo type="min"/>
        <cfvo type="max"/>
        <color rgb="FFFFB628"/>
      </dataBar>
    </cfRule>
    <cfRule type="dataBar" priority="235">
      <dataBar>
        <cfvo type="min"/>
        <cfvo type="max"/>
        <color rgb="FFFFB628"/>
      </dataBar>
    </cfRule>
  </conditionalFormatting>
  <conditionalFormatting sqref="H405:L405">
    <cfRule type="dataBar" priority="228">
      <dataBar>
        <cfvo type="min"/>
        <cfvo type="max"/>
        <color rgb="FFFFB628"/>
      </dataBar>
    </cfRule>
    <cfRule type="dataBar" priority="229">
      <dataBar>
        <cfvo type="min"/>
        <cfvo type="max"/>
        <color rgb="FFFFB628"/>
      </dataBar>
    </cfRule>
    <cfRule type="dataBar" priority="230">
      <dataBar>
        <cfvo type="min"/>
        <cfvo type="max"/>
        <color rgb="FFFFB628"/>
      </dataBar>
    </cfRule>
  </conditionalFormatting>
  <conditionalFormatting sqref="H406:L406">
    <cfRule type="dataBar" priority="195">
      <dataBar>
        <cfvo type="min"/>
        <cfvo type="max"/>
        <color rgb="FFFFB628"/>
      </dataBar>
    </cfRule>
    <cfRule type="dataBar" priority="194">
      <dataBar>
        <cfvo type="min"/>
        <cfvo type="max"/>
        <color rgb="FFFFB628"/>
      </dataBar>
    </cfRule>
    <cfRule type="dataBar" priority="193">
      <dataBar>
        <cfvo type="min"/>
        <cfvo type="max"/>
        <color rgb="FFFFB628"/>
      </dataBar>
    </cfRule>
  </conditionalFormatting>
  <conditionalFormatting sqref="H407:L407">
    <cfRule type="dataBar" priority="9">
      <dataBar>
        <cfvo type="min"/>
        <cfvo type="max"/>
        <color rgb="FFFFB628"/>
      </dataBar>
    </cfRule>
    <cfRule type="dataBar" priority="8">
      <dataBar>
        <cfvo type="min"/>
        <cfvo type="max"/>
        <color rgb="FFFFB628"/>
      </dataBar>
    </cfRule>
    <cfRule type="dataBar" priority="7">
      <dataBar>
        <cfvo type="min"/>
        <cfvo type="max"/>
        <color rgb="FFFFB628"/>
      </dataBar>
    </cfRule>
  </conditionalFormatting>
  <conditionalFormatting sqref="H408:L408">
    <cfRule type="dataBar" priority="222">
      <dataBar>
        <cfvo type="min"/>
        <cfvo type="max"/>
        <color rgb="FFFFB628"/>
      </dataBar>
    </cfRule>
    <cfRule type="dataBar" priority="224">
      <dataBar>
        <cfvo type="min"/>
        <cfvo type="max"/>
        <color rgb="FFFFB628"/>
      </dataBar>
    </cfRule>
    <cfRule type="dataBar" priority="223">
      <dataBar>
        <cfvo type="min"/>
        <cfvo type="max"/>
        <color rgb="FFFFB628"/>
      </dataBar>
    </cfRule>
  </conditionalFormatting>
  <conditionalFormatting sqref="H409:L409">
    <cfRule type="dataBar" priority="1">
      <dataBar>
        <cfvo type="min"/>
        <cfvo type="max"/>
        <color rgb="FFFFB628"/>
      </dataBar>
    </cfRule>
    <cfRule type="dataBar" priority="2">
      <dataBar>
        <cfvo type="min"/>
        <cfvo type="max"/>
        <color rgb="FFFFB628"/>
      </dataBar>
    </cfRule>
    <cfRule type="dataBar" priority="3">
      <dataBar>
        <cfvo type="min"/>
        <cfvo type="max"/>
        <color rgb="FFFFB628"/>
      </dataBar>
    </cfRule>
  </conditionalFormatting>
  <conditionalFormatting sqref="H410:L411 H413:L414 H416:L417 H419:L419">
    <cfRule type="dataBar" priority="206">
      <dataBar>
        <cfvo type="min"/>
        <cfvo type="max"/>
        <color rgb="FFFFB628"/>
      </dataBar>
    </cfRule>
    <cfRule type="dataBar" priority="207">
      <dataBar>
        <cfvo type="min"/>
        <cfvo type="max"/>
        <color rgb="FFFFB628"/>
      </dataBar>
    </cfRule>
  </conditionalFormatting>
  <conditionalFormatting sqref="H412:L412">
    <cfRule type="dataBar" priority="89">
      <dataBar>
        <cfvo type="min"/>
        <cfvo type="max"/>
        <color rgb="FFFFB628"/>
      </dataBar>
    </cfRule>
    <cfRule type="dataBar" priority="88">
      <dataBar>
        <cfvo type="min"/>
        <cfvo type="max"/>
        <color rgb="FFFFB628"/>
      </dataBar>
    </cfRule>
    <cfRule type="dataBar" priority="87">
      <dataBar>
        <cfvo type="min"/>
        <cfvo type="max"/>
        <color rgb="FFFFB628"/>
      </dataBar>
    </cfRule>
  </conditionalFormatting>
  <conditionalFormatting sqref="H415:L415">
    <cfRule type="dataBar" priority="83">
      <dataBar>
        <cfvo type="min"/>
        <cfvo type="max"/>
        <color rgb="FFFFB628"/>
      </dataBar>
    </cfRule>
    <cfRule type="dataBar" priority="82">
      <dataBar>
        <cfvo type="min"/>
        <cfvo type="max"/>
        <color rgb="FFFFB628"/>
      </dataBar>
    </cfRule>
    <cfRule type="dataBar" priority="81">
      <dataBar>
        <cfvo type="min"/>
        <cfvo type="max"/>
        <color rgb="FFFFB628"/>
      </dataBar>
    </cfRule>
  </conditionalFormatting>
  <conditionalFormatting sqref="H418:L418">
    <cfRule type="dataBar" priority="77">
      <dataBar>
        <cfvo type="min"/>
        <cfvo type="max"/>
        <color rgb="FFFFB628"/>
      </dataBar>
    </cfRule>
    <cfRule type="dataBar" priority="76">
      <dataBar>
        <cfvo type="min"/>
        <cfvo type="max"/>
        <color rgb="FFFFB628"/>
      </dataBar>
    </cfRule>
    <cfRule type="dataBar" priority="75">
      <dataBar>
        <cfvo type="min"/>
        <cfvo type="max"/>
        <color rgb="FFFFB628"/>
      </dataBar>
    </cfRule>
  </conditionalFormatting>
  <conditionalFormatting sqref="H420:L420">
    <cfRule type="dataBar" priority="197">
      <dataBar>
        <cfvo type="min"/>
        <cfvo type="max"/>
        <color rgb="FFFFB628"/>
      </dataBar>
    </cfRule>
    <cfRule type="dataBar" priority="196">
      <dataBar>
        <cfvo type="min"/>
        <cfvo type="max"/>
        <color rgb="FFFFB628"/>
      </dataBar>
    </cfRule>
  </conditionalFormatting>
  <conditionalFormatting sqref="H421:L421">
    <cfRule type="dataBar" priority="69">
      <dataBar>
        <cfvo type="min"/>
        <cfvo type="max"/>
        <color rgb="FFFFB628"/>
      </dataBar>
    </cfRule>
    <cfRule type="dataBar" priority="71">
      <dataBar>
        <cfvo type="min"/>
        <cfvo type="max"/>
        <color rgb="FFFFB628"/>
      </dataBar>
    </cfRule>
    <cfRule type="dataBar" priority="70">
      <dataBar>
        <cfvo type="min"/>
        <cfvo type="max"/>
        <color rgb="FFFFB628"/>
      </dataBar>
    </cfRule>
  </conditionalFormatting>
  <conditionalFormatting sqref="H422:L422">
    <cfRule type="dataBar" priority="204">
      <dataBar>
        <cfvo type="min"/>
        <cfvo type="max"/>
        <color rgb="FFFFB628"/>
      </dataBar>
    </cfRule>
    <cfRule type="dataBar" priority="205">
      <dataBar>
        <cfvo type="min"/>
        <cfvo type="max"/>
        <color rgb="FFFFB628"/>
      </dataBar>
    </cfRule>
  </conditionalFormatting>
  <conditionalFormatting sqref="H423:L423">
    <cfRule type="dataBar" priority="200">
      <dataBar>
        <cfvo type="min"/>
        <cfvo type="max"/>
        <color rgb="FFFFB628"/>
      </dataBar>
    </cfRule>
    <cfRule type="dataBar" priority="201">
      <dataBar>
        <cfvo type="min"/>
        <cfvo type="max"/>
        <color rgb="FFFFB628"/>
      </dataBar>
    </cfRule>
  </conditionalFormatting>
  <conditionalFormatting sqref="H424:L424">
    <cfRule type="dataBar" priority="63">
      <dataBar>
        <cfvo type="min"/>
        <cfvo type="max"/>
        <color rgb="FFFFB628"/>
      </dataBar>
    </cfRule>
    <cfRule type="dataBar" priority="65">
      <dataBar>
        <cfvo type="min"/>
        <cfvo type="max"/>
        <color rgb="FFFFB628"/>
      </dataBar>
    </cfRule>
    <cfRule type="dataBar" priority="64">
      <dataBar>
        <cfvo type="min"/>
        <cfvo type="max"/>
        <color rgb="FFFFB628"/>
      </dataBar>
    </cfRule>
  </conditionalFormatting>
  <conditionalFormatting sqref="H425:L425">
    <cfRule type="dataBar" priority="216">
      <dataBar>
        <cfvo type="min"/>
        <cfvo type="max"/>
        <color rgb="FFFFB628"/>
      </dataBar>
    </cfRule>
    <cfRule type="dataBar" priority="217">
      <dataBar>
        <cfvo type="min"/>
        <cfvo type="max"/>
        <color rgb="FFFFB628"/>
      </dataBar>
    </cfRule>
    <cfRule type="dataBar" priority="218">
      <dataBar>
        <cfvo type="min"/>
        <cfvo type="max"/>
        <color rgb="FFFFB628"/>
      </dataBar>
    </cfRule>
  </conditionalFormatting>
  <conditionalFormatting sqref="H427:L427">
    <cfRule type="dataBar" priority="57">
      <dataBar>
        <cfvo type="min"/>
        <cfvo type="max"/>
        <color rgb="FFFFB628"/>
      </dataBar>
    </cfRule>
    <cfRule type="dataBar" priority="58">
      <dataBar>
        <cfvo type="min"/>
        <cfvo type="max"/>
        <color rgb="FFFFB628"/>
      </dataBar>
    </cfRule>
    <cfRule type="dataBar" priority="59">
      <dataBar>
        <cfvo type="min"/>
        <cfvo type="max"/>
        <color rgb="FFFFB628"/>
      </dataBar>
    </cfRule>
  </conditionalFormatting>
  <conditionalFormatting sqref="H428:L429 H431:L432 H434:L435">
    <cfRule type="dataBar" priority="202">
      <dataBar>
        <cfvo type="min"/>
        <cfvo type="max"/>
        <color rgb="FFFFB628"/>
      </dataBar>
    </cfRule>
    <cfRule type="dataBar" priority="203">
      <dataBar>
        <cfvo type="min"/>
        <cfvo type="max"/>
        <color rgb="FFFFB628"/>
      </dataBar>
    </cfRule>
  </conditionalFormatting>
  <conditionalFormatting sqref="H430:L430">
    <cfRule type="dataBar" priority="51">
      <dataBar>
        <cfvo type="min"/>
        <cfvo type="max"/>
        <color rgb="FFFFB628"/>
      </dataBar>
    </cfRule>
    <cfRule type="dataBar" priority="52">
      <dataBar>
        <cfvo type="min"/>
        <cfvo type="max"/>
        <color rgb="FFFFB628"/>
      </dataBar>
    </cfRule>
    <cfRule type="dataBar" priority="53">
      <dataBar>
        <cfvo type="min"/>
        <cfvo type="max"/>
        <color rgb="FFFFB628"/>
      </dataBar>
    </cfRule>
  </conditionalFormatting>
  <conditionalFormatting sqref="H433:L433">
    <cfRule type="dataBar" priority="45">
      <dataBar>
        <cfvo type="min"/>
        <cfvo type="max"/>
        <color rgb="FFFFB628"/>
      </dataBar>
    </cfRule>
    <cfRule type="dataBar" priority="46">
      <dataBar>
        <cfvo type="min"/>
        <cfvo type="max"/>
        <color rgb="FFFFB628"/>
      </dataBar>
    </cfRule>
    <cfRule type="dataBar" priority="47">
      <dataBar>
        <cfvo type="min"/>
        <cfvo type="max"/>
        <color rgb="FFFFB628"/>
      </dataBar>
    </cfRule>
  </conditionalFormatting>
  <conditionalFormatting sqref="H436:L436">
    <cfRule type="dataBar" priority="40">
      <dataBar>
        <cfvo type="min"/>
        <cfvo type="max"/>
        <color rgb="FFFFB628"/>
      </dataBar>
    </cfRule>
    <cfRule type="dataBar" priority="42">
      <dataBar>
        <cfvo type="min"/>
        <cfvo type="max"/>
        <color rgb="FFFFB628"/>
      </dataBar>
    </cfRule>
    <cfRule type="dataBar" priority="41">
      <dataBar>
        <cfvo type="min"/>
        <cfvo type="max"/>
        <color rgb="FFFFB628"/>
      </dataBar>
    </cfRule>
  </conditionalFormatting>
  <conditionalFormatting sqref="H437:L437">
    <cfRule type="dataBar" priority="210">
      <dataBar>
        <cfvo type="min"/>
        <cfvo type="max"/>
        <color rgb="FFFFB628"/>
      </dataBar>
    </cfRule>
    <cfRule type="dataBar" priority="211">
      <dataBar>
        <cfvo type="min"/>
        <cfvo type="max"/>
        <color rgb="FFFFB628"/>
      </dataBar>
    </cfRule>
    <cfRule type="dataBar" priority="212">
      <dataBar>
        <cfvo type="min"/>
        <cfvo type="max"/>
        <color rgb="FFFFB628"/>
      </dataBar>
    </cfRule>
  </conditionalFormatting>
  <conditionalFormatting sqref="H439:L439">
    <cfRule type="dataBar" priority="36">
      <dataBar>
        <cfvo type="min"/>
        <cfvo type="max"/>
        <color rgb="FFFFB628"/>
      </dataBar>
    </cfRule>
    <cfRule type="dataBar" priority="38">
      <dataBar>
        <cfvo type="min"/>
        <cfvo type="max"/>
        <color rgb="FFFFB628"/>
      </dataBar>
    </cfRule>
    <cfRule type="dataBar" priority="37">
      <dataBar>
        <cfvo type="min"/>
        <cfvo type="max"/>
        <color rgb="FFFFB628"/>
      </dataBar>
    </cfRule>
  </conditionalFormatting>
  <conditionalFormatting sqref="H440:L441">
    <cfRule type="dataBar" priority="198">
      <dataBar>
        <cfvo type="min"/>
        <cfvo type="max"/>
        <color rgb="FFFFB628"/>
      </dataBar>
    </cfRule>
    <cfRule type="dataBar" priority="199">
      <dataBar>
        <cfvo type="min"/>
        <cfvo type="max"/>
        <color rgb="FFFFB628"/>
      </dataBar>
    </cfRule>
  </conditionalFormatting>
  <conditionalFormatting sqref="H442:L442">
    <cfRule type="dataBar" priority="30">
      <dataBar>
        <cfvo type="min"/>
        <cfvo type="max"/>
        <color rgb="FFFFB628"/>
      </dataBar>
    </cfRule>
    <cfRule type="dataBar" priority="31">
      <dataBar>
        <cfvo type="min"/>
        <cfvo type="max"/>
        <color rgb="FFFFB628"/>
      </dataBar>
    </cfRule>
    <cfRule type="dataBar" priority="32">
      <dataBar>
        <cfvo type="min"/>
        <cfvo type="max"/>
        <color rgb="FFFFB628"/>
      </dataBar>
    </cfRule>
  </conditionalFormatting>
  <conditionalFormatting sqref="H443:L443">
    <cfRule type="dataBar" priority="464">
      <dataBar>
        <cfvo type="min"/>
        <cfvo type="max"/>
        <color rgb="FFFFB628"/>
      </dataBar>
    </cfRule>
    <cfRule type="dataBar" priority="465">
      <dataBar>
        <cfvo type="min"/>
        <cfvo type="max"/>
        <color rgb="FFFFB628"/>
      </dataBar>
    </cfRule>
    <cfRule type="dataBar" priority="466">
      <dataBar>
        <cfvo type="min"/>
        <cfvo type="max"/>
        <color rgb="FFFFB628"/>
      </dataBar>
    </cfRule>
  </conditionalFormatting>
  <conditionalFormatting sqref="H444:L444">
    <cfRule type="dataBar" priority="458">
      <dataBar>
        <cfvo type="min"/>
        <cfvo type="max"/>
        <color rgb="FFFFB628"/>
      </dataBar>
    </cfRule>
    <cfRule type="dataBar" priority="459">
      <dataBar>
        <cfvo type="min"/>
        <cfvo type="max"/>
        <color rgb="FFFFB628"/>
      </dataBar>
    </cfRule>
    <cfRule type="dataBar" priority="460">
      <dataBar>
        <cfvo type="min"/>
        <cfvo type="max"/>
        <color rgb="FFFFB628"/>
      </dataBar>
    </cfRule>
  </conditionalFormatting>
  <conditionalFormatting sqref="H445:L445">
    <cfRule type="dataBar" priority="453">
      <dataBar>
        <cfvo type="min"/>
        <cfvo type="max"/>
        <color rgb="FFFFB628"/>
      </dataBar>
    </cfRule>
    <cfRule type="dataBar" priority="454">
      <dataBar>
        <cfvo type="min"/>
        <cfvo type="max"/>
        <color rgb="FFFFB628"/>
      </dataBar>
    </cfRule>
    <cfRule type="dataBar" priority="455">
      <dataBar>
        <cfvo type="min"/>
        <cfvo type="max"/>
        <color rgb="FFFFB628"/>
      </dataBar>
    </cfRule>
  </conditionalFormatting>
  <conditionalFormatting sqref="L3">
    <cfRule type="dataBar" priority="808">
      <dataBar>
        <cfvo type="min"/>
        <cfvo type="max"/>
        <color rgb="FFFFB628"/>
      </dataBar>
    </cfRule>
    <cfRule type="dataBar" priority="809">
      <dataBar>
        <cfvo type="min"/>
        <cfvo type="max"/>
        <color rgb="FFFFB628"/>
      </dataBar>
    </cfRule>
  </conditionalFormatting>
  <conditionalFormatting sqref="L17">
    <cfRule type="dataBar" priority="806">
      <dataBar>
        <cfvo type="min"/>
        <cfvo type="max"/>
        <color rgb="FFFFB628"/>
      </dataBar>
    </cfRule>
    <cfRule type="dataBar" priority="805">
      <dataBar>
        <cfvo type="min"/>
        <cfvo type="max"/>
        <color rgb="FFFFB628"/>
      </dataBar>
    </cfRule>
  </conditionalFormatting>
  <conditionalFormatting sqref="L19">
    <cfRule type="dataBar" priority="798">
      <dataBar>
        <cfvo type="min"/>
        <cfvo type="max"/>
        <color rgb="FFFFB628"/>
      </dataBar>
    </cfRule>
    <cfRule type="dataBar" priority="797">
      <dataBar>
        <cfvo type="min"/>
        <cfvo type="max"/>
        <color rgb="FFFFB628"/>
      </dataBar>
    </cfRule>
  </conditionalFormatting>
  <conditionalFormatting sqref="L22">
    <cfRule type="dataBar" priority="794">
      <dataBar>
        <cfvo type="min"/>
        <cfvo type="max"/>
        <color rgb="FFFFB628"/>
      </dataBar>
    </cfRule>
    <cfRule type="dataBar" priority="796">
      <dataBar>
        <cfvo type="min"/>
        <cfvo type="max"/>
        <color rgb="FFFFB628"/>
      </dataBar>
    </cfRule>
    <cfRule type="dataBar" priority="795">
      <dataBar>
        <cfvo type="min"/>
        <cfvo type="max"/>
        <color rgb="FFFFB628"/>
      </dataBar>
    </cfRule>
  </conditionalFormatting>
  <conditionalFormatting sqref="M2:M18">
    <cfRule type="dataBar" priority="825">
      <dataBar>
        <cfvo type="min"/>
        <cfvo type="max"/>
        <color rgb="FF3FCDFF"/>
      </dataBar>
    </cfRule>
  </conditionalFormatting>
  <conditionalFormatting sqref="M2:M151 M245:M266 M274:M352">
    <cfRule type="dataBar" priority="895">
      <dataBar>
        <cfvo type="min"/>
        <cfvo type="max"/>
        <color rgb="FF638EC6"/>
      </dataBar>
    </cfRule>
    <cfRule type="dataBar" priority="894">
      <dataBar>
        <cfvo type="min"/>
        <cfvo type="max"/>
        <color rgb="FF00B0F0"/>
      </dataBar>
    </cfRule>
  </conditionalFormatting>
  <conditionalFormatting sqref="M19">
    <cfRule type="dataBar" priority="900">
      <dataBar>
        <cfvo type="min"/>
        <cfvo type="max"/>
        <color rgb="FF3FCDFF"/>
      </dataBar>
    </cfRule>
  </conditionalFormatting>
  <conditionalFormatting sqref="M19:M20 M22">
    <cfRule type="dataBar" priority="865">
      <dataBar>
        <cfvo type="min"/>
        <cfvo type="max"/>
        <color rgb="FF638EC6"/>
      </dataBar>
    </cfRule>
    <cfRule type="dataBar" priority="864">
      <dataBar>
        <cfvo type="min"/>
        <cfvo type="max"/>
        <color theme="7"/>
      </dataBar>
    </cfRule>
    <cfRule type="dataBar" priority="863">
      <dataBar>
        <cfvo type="min"/>
        <cfvo type="max"/>
        <color theme="7" tint="0.39997558519241921"/>
      </dataBar>
    </cfRule>
  </conditionalFormatting>
  <conditionalFormatting sqref="M20">
    <cfRule type="dataBar" priority="858">
      <dataBar>
        <cfvo type="min"/>
        <cfvo type="max"/>
        <color rgb="FF3FCDFF"/>
      </dataBar>
    </cfRule>
  </conditionalFormatting>
  <conditionalFormatting sqref="M22">
    <cfRule type="dataBar" priority="866">
      <dataBar>
        <cfvo type="min"/>
        <cfvo type="max"/>
        <color rgb="FF3FCDFF"/>
      </dataBar>
    </cfRule>
  </conditionalFormatting>
  <conditionalFormatting sqref="M23 M21">
    <cfRule type="dataBar" priority="799">
      <dataBar>
        <cfvo type="min"/>
        <cfvo type="max"/>
        <color rgb="FF3FCDFF"/>
      </dataBar>
    </cfRule>
  </conditionalFormatting>
  <conditionalFormatting sqref="M24:M93">
    <cfRule type="dataBar" priority="856">
      <dataBar>
        <cfvo type="min"/>
        <cfvo type="max"/>
        <color rgb="FF3FCDFF"/>
      </dataBar>
    </cfRule>
  </conditionalFormatting>
  <conditionalFormatting sqref="M94:M151">
    <cfRule type="dataBar" priority="860">
      <dataBar>
        <cfvo type="min"/>
        <cfvo type="max"/>
        <color rgb="FF3FCDFF"/>
      </dataBar>
    </cfRule>
  </conditionalFormatting>
  <conditionalFormatting sqref="M152:M153">
    <cfRule type="dataBar" priority="648">
      <dataBar>
        <cfvo type="min"/>
        <cfvo type="max"/>
        <color rgb="FF638EC6"/>
      </dataBar>
    </cfRule>
    <cfRule type="dataBar" priority="652">
      <dataBar>
        <cfvo type="min"/>
        <cfvo type="max"/>
        <color rgb="FF3FCDFF"/>
      </dataBar>
    </cfRule>
    <cfRule type="dataBar" priority="647">
      <dataBar>
        <cfvo type="min"/>
        <cfvo type="max"/>
        <color rgb="FF00B0F0"/>
      </dataBar>
    </cfRule>
  </conditionalFormatting>
  <conditionalFormatting sqref="M152:M224 M226:M236 M238:M244">
    <cfRule type="dataBar" priority="3172">
      <dataBar>
        <cfvo type="min"/>
        <cfvo type="max"/>
        <color rgb="FF00B0F0"/>
      </dataBar>
    </cfRule>
  </conditionalFormatting>
  <conditionalFormatting sqref="M154">
    <cfRule type="dataBar" priority="452">
      <dataBar>
        <cfvo type="min"/>
        <cfvo type="max"/>
        <color rgb="FF3FCDFF"/>
      </dataBar>
    </cfRule>
    <cfRule type="dataBar" priority="448">
      <dataBar>
        <cfvo type="min"/>
        <cfvo type="max"/>
        <color rgb="FF638EC6"/>
      </dataBar>
    </cfRule>
    <cfRule type="dataBar" priority="447">
      <dataBar>
        <cfvo type="min"/>
        <cfvo type="max"/>
        <color rgb="FF00B0F0"/>
      </dataBar>
    </cfRule>
  </conditionalFormatting>
  <conditionalFormatting sqref="M155:M156 M158:M159 M161:M162 M164:M165 M170:M171 M173:M174 M176:M177 M179:M180 M182:M183 M185:M186 M191:M192 M194:M195 M197:M198 M200:M201 M209:M210 M212:M213 M215:M216 M218:M219 M221:M222 M227:M228 M230:M231 M233:M234 M239:M240">
    <cfRule type="dataBar" priority="656">
      <dataBar>
        <cfvo type="min"/>
        <cfvo type="max"/>
        <color rgb="FF3FCDFF"/>
      </dataBar>
    </cfRule>
    <cfRule type="dataBar" priority="655">
      <dataBar>
        <cfvo type="min"/>
        <cfvo type="max"/>
        <color rgb="FF00B0F0"/>
      </dataBar>
    </cfRule>
  </conditionalFormatting>
  <conditionalFormatting sqref="M157">
    <cfRule type="dataBar" priority="441">
      <dataBar>
        <cfvo type="min"/>
        <cfvo type="max"/>
        <color rgb="FF00B0F0"/>
      </dataBar>
    </cfRule>
    <cfRule type="dataBar" priority="442">
      <dataBar>
        <cfvo type="min"/>
        <cfvo type="max"/>
        <color rgb="FF638EC6"/>
      </dataBar>
    </cfRule>
    <cfRule type="dataBar" priority="446">
      <dataBar>
        <cfvo type="min"/>
        <cfvo type="max"/>
        <color rgb="FF3FCDFF"/>
      </dataBar>
    </cfRule>
  </conditionalFormatting>
  <conditionalFormatting sqref="M160">
    <cfRule type="dataBar" priority="440">
      <dataBar>
        <cfvo type="min"/>
        <cfvo type="max"/>
        <color rgb="FF3FCDFF"/>
      </dataBar>
    </cfRule>
    <cfRule type="dataBar" priority="436">
      <dataBar>
        <cfvo type="min"/>
        <cfvo type="max"/>
        <color rgb="FF638EC6"/>
      </dataBar>
    </cfRule>
    <cfRule type="dataBar" priority="435">
      <dataBar>
        <cfvo type="min"/>
        <cfvo type="max"/>
        <color rgb="FF00B0F0"/>
      </dataBar>
    </cfRule>
  </conditionalFormatting>
  <conditionalFormatting sqref="M163">
    <cfRule type="dataBar" priority="434">
      <dataBar>
        <cfvo type="min"/>
        <cfvo type="max"/>
        <color rgb="FF3FCDFF"/>
      </dataBar>
    </cfRule>
    <cfRule type="dataBar" priority="430">
      <dataBar>
        <cfvo type="min"/>
        <cfvo type="max"/>
        <color rgb="FF638EC6"/>
      </dataBar>
    </cfRule>
    <cfRule type="dataBar" priority="429">
      <dataBar>
        <cfvo type="min"/>
        <cfvo type="max"/>
        <color rgb="FF00B0F0"/>
      </dataBar>
    </cfRule>
  </conditionalFormatting>
  <conditionalFormatting sqref="M166">
    <cfRule type="dataBar" priority="428">
      <dataBar>
        <cfvo type="min"/>
        <cfvo type="max"/>
        <color rgb="FF3FCDFF"/>
      </dataBar>
    </cfRule>
    <cfRule type="dataBar" priority="424">
      <dataBar>
        <cfvo type="min"/>
        <cfvo type="max"/>
        <color rgb="FF638EC6"/>
      </dataBar>
    </cfRule>
    <cfRule type="dataBar" priority="423">
      <dataBar>
        <cfvo type="min"/>
        <cfvo type="max"/>
        <color rgb="FF00B0F0"/>
      </dataBar>
    </cfRule>
  </conditionalFormatting>
  <conditionalFormatting sqref="M167">
    <cfRule type="dataBar" priority="641">
      <dataBar>
        <cfvo type="min"/>
        <cfvo type="max"/>
        <color rgb="FF00B0F0"/>
      </dataBar>
    </cfRule>
    <cfRule type="dataBar" priority="642">
      <dataBar>
        <cfvo type="min"/>
        <cfvo type="max"/>
        <color rgb="FF638EC6"/>
      </dataBar>
    </cfRule>
    <cfRule type="dataBar" priority="646">
      <dataBar>
        <cfvo type="min"/>
        <cfvo type="max"/>
        <color rgb="FF3FCDFF"/>
      </dataBar>
    </cfRule>
  </conditionalFormatting>
  <conditionalFormatting sqref="M168">
    <cfRule type="dataBar" priority="284">
      <dataBar>
        <cfvo type="min"/>
        <cfvo type="max"/>
        <color rgb="FF3FCDFF"/>
      </dataBar>
    </cfRule>
    <cfRule type="dataBar" priority="283">
      <dataBar>
        <cfvo type="min"/>
        <cfvo type="max"/>
        <color rgb="FF638EC6"/>
      </dataBar>
    </cfRule>
    <cfRule type="dataBar" priority="282">
      <dataBar>
        <cfvo type="min"/>
        <cfvo type="max"/>
        <color rgb="FF00B0F0"/>
      </dataBar>
    </cfRule>
  </conditionalFormatting>
  <conditionalFormatting sqref="M169">
    <cfRule type="dataBar" priority="422">
      <dataBar>
        <cfvo type="min"/>
        <cfvo type="max"/>
        <color rgb="FF3FCDFF"/>
      </dataBar>
    </cfRule>
    <cfRule type="dataBar" priority="418">
      <dataBar>
        <cfvo type="min"/>
        <cfvo type="max"/>
        <color rgb="FF638EC6"/>
      </dataBar>
    </cfRule>
    <cfRule type="dataBar" priority="417">
      <dataBar>
        <cfvo type="min"/>
        <cfvo type="max"/>
        <color rgb="FF00B0F0"/>
      </dataBar>
    </cfRule>
  </conditionalFormatting>
  <conditionalFormatting sqref="M172">
    <cfRule type="dataBar" priority="416">
      <dataBar>
        <cfvo type="min"/>
        <cfvo type="max"/>
        <color rgb="FF3FCDFF"/>
      </dataBar>
    </cfRule>
    <cfRule type="dataBar" priority="412">
      <dataBar>
        <cfvo type="min"/>
        <cfvo type="max"/>
        <color rgb="FF638EC6"/>
      </dataBar>
    </cfRule>
    <cfRule type="dataBar" priority="411">
      <dataBar>
        <cfvo type="min"/>
        <cfvo type="max"/>
        <color rgb="FF00B0F0"/>
      </dataBar>
    </cfRule>
  </conditionalFormatting>
  <conditionalFormatting sqref="M175">
    <cfRule type="dataBar" priority="410">
      <dataBar>
        <cfvo type="min"/>
        <cfvo type="max"/>
        <color rgb="FF3FCDFF"/>
      </dataBar>
    </cfRule>
    <cfRule type="dataBar" priority="405">
      <dataBar>
        <cfvo type="min"/>
        <cfvo type="max"/>
        <color rgb="FF00B0F0"/>
      </dataBar>
    </cfRule>
    <cfRule type="dataBar" priority="406">
      <dataBar>
        <cfvo type="min"/>
        <cfvo type="max"/>
        <color rgb="FF638EC6"/>
      </dataBar>
    </cfRule>
  </conditionalFormatting>
  <conditionalFormatting sqref="M178">
    <cfRule type="dataBar" priority="399">
      <dataBar>
        <cfvo type="min"/>
        <cfvo type="max"/>
        <color rgb="FF00B0F0"/>
      </dataBar>
    </cfRule>
    <cfRule type="dataBar" priority="400">
      <dataBar>
        <cfvo type="min"/>
        <cfvo type="max"/>
        <color rgb="FF638EC6"/>
      </dataBar>
    </cfRule>
    <cfRule type="dataBar" priority="404">
      <dataBar>
        <cfvo type="min"/>
        <cfvo type="max"/>
        <color rgb="FF3FCDFF"/>
      </dataBar>
    </cfRule>
  </conditionalFormatting>
  <conditionalFormatting sqref="M181">
    <cfRule type="dataBar" priority="393">
      <dataBar>
        <cfvo type="min"/>
        <cfvo type="max"/>
        <color rgb="FF00B0F0"/>
      </dataBar>
    </cfRule>
    <cfRule type="dataBar" priority="394">
      <dataBar>
        <cfvo type="min"/>
        <cfvo type="max"/>
        <color rgb="FF638EC6"/>
      </dataBar>
    </cfRule>
    <cfRule type="dataBar" priority="398">
      <dataBar>
        <cfvo type="min"/>
        <cfvo type="max"/>
        <color rgb="FF3FCDFF"/>
      </dataBar>
    </cfRule>
  </conditionalFormatting>
  <conditionalFormatting sqref="M184">
    <cfRule type="dataBar" priority="387">
      <dataBar>
        <cfvo type="min"/>
        <cfvo type="max"/>
        <color rgb="FF00B0F0"/>
      </dataBar>
    </cfRule>
    <cfRule type="dataBar" priority="392">
      <dataBar>
        <cfvo type="min"/>
        <cfvo type="max"/>
        <color rgb="FF3FCDFF"/>
      </dataBar>
    </cfRule>
    <cfRule type="dataBar" priority="388">
      <dataBar>
        <cfvo type="min"/>
        <cfvo type="max"/>
        <color rgb="FF638EC6"/>
      </dataBar>
    </cfRule>
  </conditionalFormatting>
  <conditionalFormatting sqref="M187">
    <cfRule type="dataBar" priority="382">
      <dataBar>
        <cfvo type="min"/>
        <cfvo type="max"/>
        <color rgb="FF638EC6"/>
      </dataBar>
    </cfRule>
    <cfRule type="dataBar" priority="386">
      <dataBar>
        <cfvo type="min"/>
        <cfvo type="max"/>
        <color rgb="FF3FCDFF"/>
      </dataBar>
    </cfRule>
    <cfRule type="dataBar" priority="381">
      <dataBar>
        <cfvo type="min"/>
        <cfvo type="max"/>
        <color rgb="FF00B0F0"/>
      </dataBar>
    </cfRule>
  </conditionalFormatting>
  <conditionalFormatting sqref="M188">
    <cfRule type="dataBar" priority="640">
      <dataBar>
        <cfvo type="min"/>
        <cfvo type="max"/>
        <color rgb="FF3FCDFF"/>
      </dataBar>
    </cfRule>
    <cfRule type="dataBar" priority="635">
      <dataBar>
        <cfvo type="min"/>
        <cfvo type="max"/>
        <color rgb="FF00B0F0"/>
      </dataBar>
    </cfRule>
    <cfRule type="dataBar" priority="636">
      <dataBar>
        <cfvo type="min"/>
        <cfvo type="max"/>
        <color rgb="FF638EC6"/>
      </dataBar>
    </cfRule>
  </conditionalFormatting>
  <conditionalFormatting sqref="M189">
    <cfRule type="dataBar" priority="276">
      <dataBar>
        <cfvo type="min"/>
        <cfvo type="max"/>
        <color rgb="FF00B0F0"/>
      </dataBar>
    </cfRule>
    <cfRule type="dataBar" priority="277">
      <dataBar>
        <cfvo type="min"/>
        <cfvo type="max"/>
        <color rgb="FF638EC6"/>
      </dataBar>
    </cfRule>
    <cfRule type="dataBar" priority="278">
      <dataBar>
        <cfvo type="min"/>
        <cfvo type="max"/>
        <color rgb="FF3FCDFF"/>
      </dataBar>
    </cfRule>
  </conditionalFormatting>
  <conditionalFormatting sqref="M190">
    <cfRule type="dataBar" priority="375">
      <dataBar>
        <cfvo type="min"/>
        <cfvo type="max"/>
        <color rgb="FF00B0F0"/>
      </dataBar>
    </cfRule>
    <cfRule type="dataBar" priority="376">
      <dataBar>
        <cfvo type="min"/>
        <cfvo type="max"/>
        <color rgb="FF638EC6"/>
      </dataBar>
    </cfRule>
    <cfRule type="dataBar" priority="380">
      <dataBar>
        <cfvo type="min"/>
        <cfvo type="max"/>
        <color rgb="FF3FCDFF"/>
      </dataBar>
    </cfRule>
  </conditionalFormatting>
  <conditionalFormatting sqref="M193">
    <cfRule type="dataBar" priority="369">
      <dataBar>
        <cfvo type="min"/>
        <cfvo type="max"/>
        <color rgb="FF00B0F0"/>
      </dataBar>
    </cfRule>
    <cfRule type="dataBar" priority="370">
      <dataBar>
        <cfvo type="min"/>
        <cfvo type="max"/>
        <color rgb="FF638EC6"/>
      </dataBar>
    </cfRule>
    <cfRule type="dataBar" priority="374">
      <dataBar>
        <cfvo type="min"/>
        <cfvo type="max"/>
        <color rgb="FF3FCDFF"/>
      </dataBar>
    </cfRule>
  </conditionalFormatting>
  <conditionalFormatting sqref="M196">
    <cfRule type="dataBar" priority="364">
      <dataBar>
        <cfvo type="min"/>
        <cfvo type="max"/>
        <color rgb="FF638EC6"/>
      </dataBar>
    </cfRule>
    <cfRule type="dataBar" priority="363">
      <dataBar>
        <cfvo type="min"/>
        <cfvo type="max"/>
        <color rgb="FF00B0F0"/>
      </dataBar>
    </cfRule>
    <cfRule type="dataBar" priority="368">
      <dataBar>
        <cfvo type="min"/>
        <cfvo type="max"/>
        <color rgb="FF3FCDFF"/>
      </dataBar>
    </cfRule>
  </conditionalFormatting>
  <conditionalFormatting sqref="M199">
    <cfRule type="dataBar" priority="358">
      <dataBar>
        <cfvo type="min"/>
        <cfvo type="max"/>
        <color rgb="FF638EC6"/>
      </dataBar>
    </cfRule>
    <cfRule type="dataBar" priority="357">
      <dataBar>
        <cfvo type="min"/>
        <cfvo type="max"/>
        <color rgb="FF00B0F0"/>
      </dataBar>
    </cfRule>
    <cfRule type="dataBar" priority="362">
      <dataBar>
        <cfvo type="min"/>
        <cfvo type="max"/>
        <color rgb="FF3FCDFF"/>
      </dataBar>
    </cfRule>
  </conditionalFormatting>
  <conditionalFormatting sqref="M202">
    <cfRule type="dataBar" priority="356">
      <dataBar>
        <cfvo type="min"/>
        <cfvo type="max"/>
        <color rgb="FF3FCDFF"/>
      </dataBar>
    </cfRule>
    <cfRule type="dataBar" priority="352">
      <dataBar>
        <cfvo type="min"/>
        <cfvo type="max"/>
        <color rgb="FF638EC6"/>
      </dataBar>
    </cfRule>
    <cfRule type="dataBar" priority="351">
      <dataBar>
        <cfvo type="min"/>
        <cfvo type="max"/>
        <color rgb="FF00B0F0"/>
      </dataBar>
    </cfRule>
  </conditionalFormatting>
  <conditionalFormatting sqref="M203">
    <cfRule type="dataBar" priority="629">
      <dataBar>
        <cfvo type="min"/>
        <cfvo type="max"/>
        <color rgb="FF00B0F0"/>
      </dataBar>
    </cfRule>
    <cfRule type="dataBar" priority="634">
      <dataBar>
        <cfvo type="min"/>
        <cfvo type="max"/>
        <color rgb="FF3FCDFF"/>
      </dataBar>
    </cfRule>
    <cfRule type="dataBar" priority="630">
      <dataBar>
        <cfvo type="min"/>
        <cfvo type="max"/>
        <color rgb="FF638EC6"/>
      </dataBar>
    </cfRule>
  </conditionalFormatting>
  <conditionalFormatting sqref="M204:M205">
    <cfRule type="dataBar" priority="624">
      <dataBar>
        <cfvo type="min"/>
        <cfvo type="max"/>
        <color rgb="FF638EC6"/>
      </dataBar>
    </cfRule>
    <cfRule type="dataBar" priority="623">
      <dataBar>
        <cfvo type="min"/>
        <cfvo type="max"/>
        <color rgb="FF00B0F0"/>
      </dataBar>
    </cfRule>
    <cfRule type="dataBar" priority="628">
      <dataBar>
        <cfvo type="min"/>
        <cfvo type="max"/>
        <color rgb="FF3FCDFF"/>
      </dataBar>
    </cfRule>
  </conditionalFormatting>
  <conditionalFormatting sqref="M206">
    <cfRule type="dataBar" priority="272">
      <dataBar>
        <cfvo type="min"/>
        <cfvo type="max"/>
        <color rgb="FF3FCDFF"/>
      </dataBar>
    </cfRule>
    <cfRule type="dataBar" priority="271">
      <dataBar>
        <cfvo type="min"/>
        <cfvo type="max"/>
        <color rgb="FF638EC6"/>
      </dataBar>
    </cfRule>
    <cfRule type="dataBar" priority="270">
      <dataBar>
        <cfvo type="min"/>
        <cfvo type="max"/>
        <color rgb="FF00B0F0"/>
      </dataBar>
    </cfRule>
  </conditionalFormatting>
  <conditionalFormatting sqref="M207">
    <cfRule type="dataBar" priority="622">
      <dataBar>
        <cfvo type="min"/>
        <cfvo type="max"/>
        <color rgb="FF3FCDFF"/>
      </dataBar>
    </cfRule>
    <cfRule type="dataBar" priority="618">
      <dataBar>
        <cfvo type="min"/>
        <cfvo type="max"/>
        <color rgb="FF638EC6"/>
      </dataBar>
    </cfRule>
    <cfRule type="dataBar" priority="617">
      <dataBar>
        <cfvo type="min"/>
        <cfvo type="max"/>
        <color rgb="FF00B0F0"/>
      </dataBar>
    </cfRule>
  </conditionalFormatting>
  <conditionalFormatting sqref="M208">
    <cfRule type="dataBar" priority="266">
      <dataBar>
        <cfvo type="min"/>
        <cfvo type="max"/>
        <color rgb="FF3FCDFF"/>
      </dataBar>
    </cfRule>
    <cfRule type="dataBar" priority="265">
      <dataBar>
        <cfvo type="min"/>
        <cfvo type="max"/>
        <color rgb="FF638EC6"/>
      </dataBar>
    </cfRule>
    <cfRule type="dataBar" priority="264">
      <dataBar>
        <cfvo type="min"/>
        <cfvo type="max"/>
        <color rgb="FF00B0F0"/>
      </dataBar>
    </cfRule>
  </conditionalFormatting>
  <conditionalFormatting sqref="M211">
    <cfRule type="dataBar" priority="346">
      <dataBar>
        <cfvo type="min"/>
        <cfvo type="max"/>
        <color rgb="FF638EC6"/>
      </dataBar>
    </cfRule>
    <cfRule type="dataBar" priority="350">
      <dataBar>
        <cfvo type="min"/>
        <cfvo type="max"/>
        <color rgb="FF3FCDFF"/>
      </dataBar>
    </cfRule>
    <cfRule type="dataBar" priority="345">
      <dataBar>
        <cfvo type="min"/>
        <cfvo type="max"/>
        <color rgb="FF00B0F0"/>
      </dataBar>
    </cfRule>
  </conditionalFormatting>
  <conditionalFormatting sqref="M214">
    <cfRule type="dataBar" priority="339">
      <dataBar>
        <cfvo type="min"/>
        <cfvo type="max"/>
        <color rgb="FF00B0F0"/>
      </dataBar>
    </cfRule>
    <cfRule type="dataBar" priority="340">
      <dataBar>
        <cfvo type="min"/>
        <cfvo type="max"/>
        <color rgb="FF638EC6"/>
      </dataBar>
    </cfRule>
    <cfRule type="dataBar" priority="344">
      <dataBar>
        <cfvo type="min"/>
        <cfvo type="max"/>
        <color rgb="FF3FCDFF"/>
      </dataBar>
    </cfRule>
  </conditionalFormatting>
  <conditionalFormatting sqref="M217">
    <cfRule type="dataBar" priority="334">
      <dataBar>
        <cfvo type="min"/>
        <cfvo type="max"/>
        <color rgb="FF638EC6"/>
      </dataBar>
    </cfRule>
    <cfRule type="dataBar" priority="333">
      <dataBar>
        <cfvo type="min"/>
        <cfvo type="max"/>
        <color rgb="FF00B0F0"/>
      </dataBar>
    </cfRule>
    <cfRule type="dataBar" priority="338">
      <dataBar>
        <cfvo type="min"/>
        <cfvo type="max"/>
        <color rgb="FF3FCDFF"/>
      </dataBar>
    </cfRule>
  </conditionalFormatting>
  <conditionalFormatting sqref="M220">
    <cfRule type="dataBar" priority="332">
      <dataBar>
        <cfvo type="min"/>
        <cfvo type="max"/>
        <color rgb="FF3FCDFF"/>
      </dataBar>
    </cfRule>
    <cfRule type="dataBar" priority="327">
      <dataBar>
        <cfvo type="min"/>
        <cfvo type="max"/>
        <color rgb="FF00B0F0"/>
      </dataBar>
    </cfRule>
    <cfRule type="dataBar" priority="328">
      <dataBar>
        <cfvo type="min"/>
        <cfvo type="max"/>
        <color rgb="FF638EC6"/>
      </dataBar>
    </cfRule>
  </conditionalFormatting>
  <conditionalFormatting sqref="M223">
    <cfRule type="dataBar" priority="326">
      <dataBar>
        <cfvo type="min"/>
        <cfvo type="max"/>
        <color rgb="FF3FCDFF"/>
      </dataBar>
    </cfRule>
    <cfRule type="dataBar" priority="321">
      <dataBar>
        <cfvo type="min"/>
        <cfvo type="max"/>
        <color rgb="FF00B0F0"/>
      </dataBar>
    </cfRule>
    <cfRule type="dataBar" priority="322">
      <dataBar>
        <cfvo type="min"/>
        <cfvo type="max"/>
        <color rgb="FF638EC6"/>
      </dataBar>
    </cfRule>
  </conditionalFormatting>
  <conditionalFormatting sqref="M224">
    <cfRule type="dataBar" priority="612">
      <dataBar>
        <cfvo type="min"/>
        <cfvo type="max"/>
        <color rgb="FF638EC6"/>
      </dataBar>
    </cfRule>
    <cfRule type="dataBar" priority="611">
      <dataBar>
        <cfvo type="min"/>
        <cfvo type="max"/>
        <color rgb="FF00B0F0"/>
      </dataBar>
    </cfRule>
    <cfRule type="dataBar" priority="616">
      <dataBar>
        <cfvo type="min"/>
        <cfvo type="max"/>
        <color rgb="FF3FCDFF"/>
      </dataBar>
    </cfRule>
  </conditionalFormatting>
  <conditionalFormatting sqref="M226">
    <cfRule type="dataBar" priority="315">
      <dataBar>
        <cfvo type="min"/>
        <cfvo type="max"/>
        <color rgb="FF00B0F0"/>
      </dataBar>
    </cfRule>
    <cfRule type="dataBar" priority="316">
      <dataBar>
        <cfvo type="min"/>
        <cfvo type="max"/>
        <color rgb="FF638EC6"/>
      </dataBar>
    </cfRule>
    <cfRule type="dataBar" priority="320">
      <dataBar>
        <cfvo type="min"/>
        <cfvo type="max"/>
        <color rgb="FF3FCDFF"/>
      </dataBar>
    </cfRule>
  </conditionalFormatting>
  <conditionalFormatting sqref="M229">
    <cfRule type="dataBar" priority="310">
      <dataBar>
        <cfvo type="min"/>
        <cfvo type="max"/>
        <color rgb="FF638EC6"/>
      </dataBar>
    </cfRule>
    <cfRule type="dataBar" priority="314">
      <dataBar>
        <cfvo type="min"/>
        <cfvo type="max"/>
        <color rgb="FF3FCDFF"/>
      </dataBar>
    </cfRule>
    <cfRule type="dataBar" priority="309">
      <dataBar>
        <cfvo type="min"/>
        <cfvo type="max"/>
        <color rgb="FF00B0F0"/>
      </dataBar>
    </cfRule>
  </conditionalFormatting>
  <conditionalFormatting sqref="M232">
    <cfRule type="dataBar" priority="308">
      <dataBar>
        <cfvo type="min"/>
        <cfvo type="max"/>
        <color rgb="FF3FCDFF"/>
      </dataBar>
    </cfRule>
    <cfRule type="dataBar" priority="304">
      <dataBar>
        <cfvo type="min"/>
        <cfvo type="max"/>
        <color rgb="FF638EC6"/>
      </dataBar>
    </cfRule>
    <cfRule type="dataBar" priority="303">
      <dataBar>
        <cfvo type="min"/>
        <cfvo type="max"/>
        <color rgb="FF00B0F0"/>
      </dataBar>
    </cfRule>
  </conditionalFormatting>
  <conditionalFormatting sqref="M235:M236">
    <cfRule type="dataBar" priority="610">
      <dataBar>
        <cfvo type="min"/>
        <cfvo type="max"/>
        <color rgb="FF3FCDFF"/>
      </dataBar>
    </cfRule>
    <cfRule type="dataBar" priority="606">
      <dataBar>
        <cfvo type="min"/>
        <cfvo type="max"/>
        <color rgb="FF638EC6"/>
      </dataBar>
    </cfRule>
    <cfRule type="dataBar" priority="605">
      <dataBar>
        <cfvo type="min"/>
        <cfvo type="max"/>
        <color rgb="FF00B0F0"/>
      </dataBar>
    </cfRule>
  </conditionalFormatting>
  <conditionalFormatting sqref="M238">
    <cfRule type="dataBar" priority="299">
      <dataBar>
        <cfvo type="min"/>
        <cfvo type="max"/>
        <color rgb="FF3FCDFF"/>
      </dataBar>
    </cfRule>
    <cfRule type="dataBar" priority="294">
      <dataBar>
        <cfvo type="min"/>
        <cfvo type="max"/>
        <color rgb="FF00B0F0"/>
      </dataBar>
    </cfRule>
    <cfRule type="dataBar" priority="295">
      <dataBar>
        <cfvo type="min"/>
        <cfvo type="max"/>
        <color rgb="FF638EC6"/>
      </dataBar>
    </cfRule>
  </conditionalFormatting>
  <conditionalFormatting sqref="M241">
    <cfRule type="dataBar" priority="288">
      <dataBar>
        <cfvo type="min"/>
        <cfvo type="max"/>
        <color rgb="FF00B0F0"/>
      </dataBar>
    </cfRule>
    <cfRule type="dataBar" priority="293">
      <dataBar>
        <cfvo type="min"/>
        <cfvo type="max"/>
        <color rgb="FF3FCDFF"/>
      </dataBar>
    </cfRule>
    <cfRule type="dataBar" priority="289">
      <dataBar>
        <cfvo type="min"/>
        <cfvo type="max"/>
        <color rgb="FF638EC6"/>
      </dataBar>
    </cfRule>
  </conditionalFormatting>
  <conditionalFormatting sqref="M242">
    <cfRule type="dataBar" priority="578">
      <dataBar>
        <cfvo type="min"/>
        <cfvo type="max"/>
        <color rgb="FF00B0F0"/>
      </dataBar>
    </cfRule>
    <cfRule type="dataBar" priority="579">
      <dataBar>
        <cfvo type="min"/>
        <cfvo type="max"/>
        <color rgb="FF638EC6"/>
      </dataBar>
    </cfRule>
    <cfRule type="dataBar" priority="583">
      <dataBar>
        <cfvo type="min"/>
        <cfvo type="max"/>
        <color rgb="FF3FCDFF"/>
      </dataBar>
    </cfRule>
  </conditionalFormatting>
  <conditionalFormatting sqref="M243:M244">
    <cfRule type="dataBar" priority="473">
      <dataBar>
        <cfvo type="min"/>
        <cfvo type="max"/>
        <color rgb="FF638EC6"/>
      </dataBar>
    </cfRule>
    <cfRule type="dataBar" priority="477">
      <dataBar>
        <cfvo type="min"/>
        <cfvo type="max"/>
        <color rgb="FF3FCDFF"/>
      </dataBar>
    </cfRule>
    <cfRule type="dataBar" priority="472">
      <dataBar>
        <cfvo type="min"/>
        <cfvo type="max"/>
        <color rgb="FF00B0F0"/>
      </dataBar>
    </cfRule>
  </conditionalFormatting>
  <conditionalFormatting sqref="M245:M266 M274:M289">
    <cfRule type="dataBar" priority="853">
      <dataBar>
        <cfvo type="min"/>
        <cfvo type="max"/>
        <color rgb="FF3FCDFF"/>
      </dataBar>
    </cfRule>
  </conditionalFormatting>
  <conditionalFormatting sqref="M267">
    <cfRule type="dataBar" priority="890">
      <dataBar>
        <cfvo type="min"/>
        <cfvo type="max"/>
        <color rgb="FF3FCDFF"/>
      </dataBar>
    </cfRule>
  </conditionalFormatting>
  <conditionalFormatting sqref="M268:M269">
    <cfRule type="dataBar" priority="870">
      <dataBar>
        <cfvo type="min"/>
        <cfvo type="max"/>
        <color rgb="FF3FCDFF"/>
      </dataBar>
    </cfRule>
    <cfRule type="dataBar" priority="869">
      <dataBar>
        <cfvo type="min"/>
        <cfvo type="max"/>
        <color rgb="FF00B0F0"/>
      </dataBar>
    </cfRule>
  </conditionalFormatting>
  <conditionalFormatting sqref="M270">
    <cfRule type="dataBar" priority="885">
      <dataBar>
        <cfvo type="min"/>
        <cfvo type="max"/>
        <color rgb="FF3FCDFF"/>
      </dataBar>
    </cfRule>
  </conditionalFormatting>
  <conditionalFormatting sqref="M271">
    <cfRule type="dataBar" priority="880">
      <dataBar>
        <cfvo type="min"/>
        <cfvo type="max"/>
        <color rgb="FF3FCDFF"/>
      </dataBar>
    </cfRule>
  </conditionalFormatting>
  <conditionalFormatting sqref="M272">
    <cfRule type="dataBar" priority="875">
      <dataBar>
        <cfvo type="min"/>
        <cfvo type="max"/>
        <color rgb="FF3FCDFF"/>
      </dataBar>
    </cfRule>
  </conditionalFormatting>
  <conditionalFormatting sqref="M273">
    <cfRule type="dataBar" priority="867">
      <dataBar>
        <cfvo type="min"/>
        <cfvo type="max"/>
        <color rgb="FF00B0F0"/>
      </dataBar>
    </cfRule>
    <cfRule type="dataBar" priority="868">
      <dataBar>
        <cfvo type="min"/>
        <cfvo type="max"/>
        <color rgb="FF3FCDFF"/>
      </dataBar>
    </cfRule>
  </conditionalFormatting>
  <conditionalFormatting sqref="M291">
    <cfRule type="dataBar" priority="848">
      <dataBar>
        <cfvo type="min"/>
        <cfvo type="max"/>
        <color rgb="FF3FCDFF"/>
      </dataBar>
    </cfRule>
  </conditionalFormatting>
  <conditionalFormatting sqref="M292">
    <cfRule type="dataBar" priority="847">
      <dataBar>
        <cfvo type="min"/>
        <cfvo type="max"/>
        <color rgb="FF3FCDFF"/>
      </dataBar>
    </cfRule>
  </conditionalFormatting>
  <conditionalFormatting sqref="M293:M295 M290 M298:M303 M306:M308 M310 M313:M315 M317 M320:M322 M324 M327:M329 M331 M334:M336 M338 M341:M343">
    <cfRule type="dataBar" priority="861">
      <dataBar>
        <cfvo type="min"/>
        <cfvo type="max"/>
        <color rgb="FF3FCDFF"/>
      </dataBar>
    </cfRule>
  </conditionalFormatting>
  <conditionalFormatting sqref="M296">
    <cfRule type="dataBar" priority="846">
      <dataBar>
        <cfvo type="min"/>
        <cfvo type="max"/>
        <color rgb="FF3FCDFF"/>
      </dataBar>
    </cfRule>
  </conditionalFormatting>
  <conditionalFormatting sqref="M297">
    <cfRule type="dataBar" priority="845">
      <dataBar>
        <cfvo type="min"/>
        <cfvo type="max"/>
        <color rgb="FF3FCDFF"/>
      </dataBar>
    </cfRule>
  </conditionalFormatting>
  <conditionalFormatting sqref="M304">
    <cfRule type="dataBar" priority="844">
      <dataBar>
        <cfvo type="min"/>
        <cfvo type="max"/>
        <color rgb="FF3FCDFF"/>
      </dataBar>
    </cfRule>
  </conditionalFormatting>
  <conditionalFormatting sqref="M305">
    <cfRule type="dataBar" priority="843">
      <dataBar>
        <cfvo type="min"/>
        <cfvo type="max"/>
        <color rgb="FF3FCDFF"/>
      </dataBar>
    </cfRule>
  </conditionalFormatting>
  <conditionalFormatting sqref="M309">
    <cfRule type="dataBar" priority="842">
      <dataBar>
        <cfvo type="min"/>
        <cfvo type="max"/>
        <color rgb="FF3FCDFF"/>
      </dataBar>
    </cfRule>
  </conditionalFormatting>
  <conditionalFormatting sqref="M311">
    <cfRule type="dataBar" priority="841">
      <dataBar>
        <cfvo type="min"/>
        <cfvo type="max"/>
        <color rgb="FF3FCDFF"/>
      </dataBar>
    </cfRule>
  </conditionalFormatting>
  <conditionalFormatting sqref="M312">
    <cfRule type="dataBar" priority="840">
      <dataBar>
        <cfvo type="min"/>
        <cfvo type="max"/>
        <color rgb="FF3FCDFF"/>
      </dataBar>
    </cfRule>
  </conditionalFormatting>
  <conditionalFormatting sqref="M316">
    <cfRule type="dataBar" priority="839">
      <dataBar>
        <cfvo type="min"/>
        <cfvo type="max"/>
        <color rgb="FF3FCDFF"/>
      </dataBar>
    </cfRule>
  </conditionalFormatting>
  <conditionalFormatting sqref="M318">
    <cfRule type="dataBar" priority="838">
      <dataBar>
        <cfvo type="min"/>
        <cfvo type="max"/>
        <color rgb="FF3FCDFF"/>
      </dataBar>
    </cfRule>
  </conditionalFormatting>
  <conditionalFormatting sqref="M319">
    <cfRule type="dataBar" priority="837">
      <dataBar>
        <cfvo type="min"/>
        <cfvo type="max"/>
        <color rgb="FF3FCDFF"/>
      </dataBar>
    </cfRule>
  </conditionalFormatting>
  <conditionalFormatting sqref="M323">
    <cfRule type="dataBar" priority="836">
      <dataBar>
        <cfvo type="min"/>
        <cfvo type="max"/>
        <color rgb="FF3FCDFF"/>
      </dataBar>
    </cfRule>
  </conditionalFormatting>
  <conditionalFormatting sqref="M325">
    <cfRule type="dataBar" priority="835">
      <dataBar>
        <cfvo type="min"/>
        <cfvo type="max"/>
        <color rgb="FF3FCDFF"/>
      </dataBar>
    </cfRule>
  </conditionalFormatting>
  <conditionalFormatting sqref="M326">
    <cfRule type="dataBar" priority="834">
      <dataBar>
        <cfvo type="min"/>
        <cfvo type="max"/>
        <color rgb="FF3FCDFF"/>
      </dataBar>
    </cfRule>
  </conditionalFormatting>
  <conditionalFormatting sqref="M330">
    <cfRule type="dataBar" priority="833">
      <dataBar>
        <cfvo type="min"/>
        <cfvo type="max"/>
        <color rgb="FF3FCDFF"/>
      </dataBar>
    </cfRule>
  </conditionalFormatting>
  <conditionalFormatting sqref="M332">
    <cfRule type="dataBar" priority="832">
      <dataBar>
        <cfvo type="min"/>
        <cfvo type="max"/>
        <color rgb="FF3FCDFF"/>
      </dataBar>
    </cfRule>
  </conditionalFormatting>
  <conditionalFormatting sqref="M333">
    <cfRule type="dataBar" priority="831">
      <dataBar>
        <cfvo type="min"/>
        <cfvo type="max"/>
        <color rgb="FF3FCDFF"/>
      </dataBar>
    </cfRule>
  </conditionalFormatting>
  <conditionalFormatting sqref="M337">
    <cfRule type="dataBar" priority="830">
      <dataBar>
        <cfvo type="min"/>
        <cfvo type="max"/>
        <color rgb="FF3FCDFF"/>
      </dataBar>
    </cfRule>
  </conditionalFormatting>
  <conditionalFormatting sqref="M339">
    <cfRule type="dataBar" priority="829">
      <dataBar>
        <cfvo type="min"/>
        <cfvo type="max"/>
        <color rgb="FF3FCDFF"/>
      </dataBar>
    </cfRule>
  </conditionalFormatting>
  <conditionalFormatting sqref="M340">
    <cfRule type="dataBar" priority="828">
      <dataBar>
        <cfvo type="min"/>
        <cfvo type="max"/>
        <color rgb="FF3FCDFF"/>
      </dataBar>
    </cfRule>
  </conditionalFormatting>
  <conditionalFormatting sqref="M344">
    <cfRule type="dataBar" priority="827">
      <dataBar>
        <cfvo type="min"/>
        <cfvo type="max"/>
        <color rgb="FF3FCDFF"/>
      </dataBar>
    </cfRule>
  </conditionalFormatting>
  <conditionalFormatting sqref="M345">
    <cfRule type="dataBar" priority="826">
      <dataBar>
        <cfvo type="min"/>
        <cfvo type="max"/>
        <color rgb="FF3FCDFF"/>
      </dataBar>
    </cfRule>
  </conditionalFormatting>
  <conditionalFormatting sqref="M346">
    <cfRule type="dataBar" priority="824">
      <dataBar>
        <cfvo type="min"/>
        <cfvo type="max"/>
        <color rgb="FF3FCDFF"/>
      </dataBar>
    </cfRule>
  </conditionalFormatting>
  <conditionalFormatting sqref="M347">
    <cfRule type="dataBar" priority="822">
      <dataBar>
        <cfvo type="min"/>
        <cfvo type="max"/>
        <color rgb="FF3FCDFF"/>
      </dataBar>
    </cfRule>
  </conditionalFormatting>
  <conditionalFormatting sqref="M348">
    <cfRule type="dataBar" priority="820">
      <dataBar>
        <cfvo type="min"/>
        <cfvo type="max"/>
        <color rgb="FF3FCDFF"/>
      </dataBar>
    </cfRule>
  </conditionalFormatting>
  <conditionalFormatting sqref="M349">
    <cfRule type="dataBar" priority="818">
      <dataBar>
        <cfvo type="min"/>
        <cfvo type="max"/>
        <color rgb="FF3FCDFF"/>
      </dataBar>
    </cfRule>
  </conditionalFormatting>
  <conditionalFormatting sqref="M350">
    <cfRule type="dataBar" priority="816">
      <dataBar>
        <cfvo type="min"/>
        <cfvo type="max"/>
        <color rgb="FF3FCDFF"/>
      </dataBar>
    </cfRule>
  </conditionalFormatting>
  <conditionalFormatting sqref="M351">
    <cfRule type="dataBar" priority="814">
      <dataBar>
        <cfvo type="min"/>
        <cfvo type="max"/>
        <color rgb="FF3FCDFF"/>
      </dataBar>
    </cfRule>
  </conditionalFormatting>
  <conditionalFormatting sqref="M352">
    <cfRule type="dataBar" priority="897">
      <dataBar>
        <cfvo type="min"/>
        <cfvo type="max"/>
        <color rgb="FF3FCDFF"/>
      </dataBar>
    </cfRule>
  </conditionalFormatting>
  <conditionalFormatting sqref="M353:M354">
    <cfRule type="dataBar" priority="255">
      <dataBar>
        <cfvo type="min"/>
        <cfvo type="max"/>
        <color rgb="FF3FCDFF"/>
      </dataBar>
    </cfRule>
    <cfRule type="dataBar" priority="251">
      <dataBar>
        <cfvo type="min"/>
        <cfvo type="max"/>
        <color rgb="FF638EC6"/>
      </dataBar>
    </cfRule>
    <cfRule type="dataBar" priority="250">
      <dataBar>
        <cfvo type="min"/>
        <cfvo type="max"/>
        <color rgb="FF00B0F0"/>
      </dataBar>
    </cfRule>
  </conditionalFormatting>
  <conditionalFormatting sqref="M353:M425 M427:M437 M439:M442">
    <cfRule type="dataBar" priority="260">
      <dataBar>
        <cfvo type="min"/>
        <cfvo type="max"/>
        <color rgb="FF00B0F0"/>
      </dataBar>
    </cfRule>
  </conditionalFormatting>
  <conditionalFormatting sqref="M355">
    <cfRule type="dataBar" priority="192">
      <dataBar>
        <cfvo type="min"/>
        <cfvo type="max"/>
        <color rgb="FF3FCDFF"/>
      </dataBar>
    </cfRule>
    <cfRule type="dataBar" priority="187">
      <dataBar>
        <cfvo type="min"/>
        <cfvo type="max"/>
        <color rgb="FF00B0F0"/>
      </dataBar>
    </cfRule>
    <cfRule type="dataBar" priority="188">
      <dataBar>
        <cfvo type="min"/>
        <cfvo type="max"/>
        <color rgb="FF638EC6"/>
      </dataBar>
    </cfRule>
  </conditionalFormatting>
  <conditionalFormatting sqref="M356:M357 M359:M360 M362:M363 M365:M366 M371:M372 M374:M375 M377:M378 M380:M381 M383:M384 M386:M387 M392:M393 M395:M396 M398:M399 M401:M402 M410:M411 M413:M414 M416:M417 M419:M420 M422:M423 M428:M429 M431:M432 M434:M435 M440:M441">
    <cfRule type="dataBar" priority="259">
      <dataBar>
        <cfvo type="min"/>
        <cfvo type="max"/>
        <color rgb="FF3FCDFF"/>
      </dataBar>
    </cfRule>
    <cfRule type="dataBar" priority="258">
      <dataBar>
        <cfvo type="min"/>
        <cfvo type="max"/>
        <color rgb="FF00B0F0"/>
      </dataBar>
    </cfRule>
  </conditionalFormatting>
  <conditionalFormatting sqref="M358">
    <cfRule type="dataBar" priority="181">
      <dataBar>
        <cfvo type="min"/>
        <cfvo type="max"/>
        <color rgb="FF00B0F0"/>
      </dataBar>
    </cfRule>
    <cfRule type="dataBar" priority="182">
      <dataBar>
        <cfvo type="min"/>
        <cfvo type="max"/>
        <color rgb="FF638EC6"/>
      </dataBar>
    </cfRule>
    <cfRule type="dataBar" priority="186">
      <dataBar>
        <cfvo type="min"/>
        <cfvo type="max"/>
        <color rgb="FF3FCDFF"/>
      </dataBar>
    </cfRule>
  </conditionalFormatting>
  <conditionalFormatting sqref="M361">
    <cfRule type="dataBar" priority="175">
      <dataBar>
        <cfvo type="min"/>
        <cfvo type="max"/>
        <color rgb="FF00B0F0"/>
      </dataBar>
    </cfRule>
    <cfRule type="dataBar" priority="176">
      <dataBar>
        <cfvo type="min"/>
        <cfvo type="max"/>
        <color rgb="FF638EC6"/>
      </dataBar>
    </cfRule>
    <cfRule type="dataBar" priority="180">
      <dataBar>
        <cfvo type="min"/>
        <cfvo type="max"/>
        <color rgb="FF3FCDFF"/>
      </dataBar>
    </cfRule>
  </conditionalFormatting>
  <conditionalFormatting sqref="M364">
    <cfRule type="dataBar" priority="169">
      <dataBar>
        <cfvo type="min"/>
        <cfvo type="max"/>
        <color rgb="FF00B0F0"/>
      </dataBar>
    </cfRule>
    <cfRule type="dataBar" priority="170">
      <dataBar>
        <cfvo type="min"/>
        <cfvo type="max"/>
        <color rgb="FF638EC6"/>
      </dataBar>
    </cfRule>
    <cfRule type="dataBar" priority="174">
      <dataBar>
        <cfvo type="min"/>
        <cfvo type="max"/>
        <color rgb="FF3FCDFF"/>
      </dataBar>
    </cfRule>
  </conditionalFormatting>
  <conditionalFormatting sqref="M367">
    <cfRule type="dataBar" priority="163">
      <dataBar>
        <cfvo type="min"/>
        <cfvo type="max"/>
        <color rgb="FF00B0F0"/>
      </dataBar>
    </cfRule>
    <cfRule type="dataBar" priority="164">
      <dataBar>
        <cfvo type="min"/>
        <cfvo type="max"/>
        <color rgb="FF638EC6"/>
      </dataBar>
    </cfRule>
    <cfRule type="dataBar" priority="168">
      <dataBar>
        <cfvo type="min"/>
        <cfvo type="max"/>
        <color rgb="FF3FCDFF"/>
      </dataBar>
    </cfRule>
  </conditionalFormatting>
  <conditionalFormatting sqref="M368">
    <cfRule type="dataBar" priority="244">
      <dataBar>
        <cfvo type="min"/>
        <cfvo type="max"/>
        <color rgb="FF00B0F0"/>
      </dataBar>
    </cfRule>
    <cfRule type="dataBar" priority="249">
      <dataBar>
        <cfvo type="min"/>
        <cfvo type="max"/>
        <color rgb="FF3FCDFF"/>
      </dataBar>
    </cfRule>
    <cfRule type="dataBar" priority="245">
      <dataBar>
        <cfvo type="min"/>
        <cfvo type="max"/>
        <color rgb="FF638EC6"/>
      </dataBar>
    </cfRule>
  </conditionalFormatting>
  <conditionalFormatting sqref="M369">
    <cfRule type="dataBar" priority="24">
      <dataBar>
        <cfvo type="min"/>
        <cfvo type="max"/>
        <color rgb="FF3FCDFF"/>
      </dataBar>
    </cfRule>
    <cfRule type="dataBar" priority="23">
      <dataBar>
        <cfvo type="min"/>
        <cfvo type="max"/>
        <color rgb="FF638EC6"/>
      </dataBar>
    </cfRule>
    <cfRule type="dataBar" priority="22">
      <dataBar>
        <cfvo type="min"/>
        <cfvo type="max"/>
        <color rgb="FF00B0F0"/>
      </dataBar>
    </cfRule>
  </conditionalFormatting>
  <conditionalFormatting sqref="M370">
    <cfRule type="dataBar" priority="158">
      <dataBar>
        <cfvo type="min"/>
        <cfvo type="max"/>
        <color rgb="FF638EC6"/>
      </dataBar>
    </cfRule>
    <cfRule type="dataBar" priority="157">
      <dataBar>
        <cfvo type="min"/>
        <cfvo type="max"/>
        <color rgb="FF00B0F0"/>
      </dataBar>
    </cfRule>
    <cfRule type="dataBar" priority="162">
      <dataBar>
        <cfvo type="min"/>
        <cfvo type="max"/>
        <color rgb="FF3FCDFF"/>
      </dataBar>
    </cfRule>
  </conditionalFormatting>
  <conditionalFormatting sqref="M373">
    <cfRule type="dataBar" priority="156">
      <dataBar>
        <cfvo type="min"/>
        <cfvo type="max"/>
        <color rgb="FF3FCDFF"/>
      </dataBar>
    </cfRule>
    <cfRule type="dataBar" priority="152">
      <dataBar>
        <cfvo type="min"/>
        <cfvo type="max"/>
        <color rgb="FF638EC6"/>
      </dataBar>
    </cfRule>
    <cfRule type="dataBar" priority="151">
      <dataBar>
        <cfvo type="min"/>
        <cfvo type="max"/>
        <color rgb="FF00B0F0"/>
      </dataBar>
    </cfRule>
  </conditionalFormatting>
  <conditionalFormatting sqref="M376">
    <cfRule type="dataBar" priority="150">
      <dataBar>
        <cfvo type="min"/>
        <cfvo type="max"/>
        <color rgb="FF3FCDFF"/>
      </dataBar>
    </cfRule>
    <cfRule type="dataBar" priority="146">
      <dataBar>
        <cfvo type="min"/>
        <cfvo type="max"/>
        <color rgb="FF638EC6"/>
      </dataBar>
    </cfRule>
    <cfRule type="dataBar" priority="145">
      <dataBar>
        <cfvo type="min"/>
        <cfvo type="max"/>
        <color rgb="FF00B0F0"/>
      </dataBar>
    </cfRule>
  </conditionalFormatting>
  <conditionalFormatting sqref="M379">
    <cfRule type="dataBar" priority="144">
      <dataBar>
        <cfvo type="min"/>
        <cfvo type="max"/>
        <color rgb="FF3FCDFF"/>
      </dataBar>
    </cfRule>
    <cfRule type="dataBar" priority="140">
      <dataBar>
        <cfvo type="min"/>
        <cfvo type="max"/>
        <color rgb="FF638EC6"/>
      </dataBar>
    </cfRule>
    <cfRule type="dataBar" priority="139">
      <dataBar>
        <cfvo type="min"/>
        <cfvo type="max"/>
        <color rgb="FF00B0F0"/>
      </dataBar>
    </cfRule>
  </conditionalFormatting>
  <conditionalFormatting sqref="M382">
    <cfRule type="dataBar" priority="134">
      <dataBar>
        <cfvo type="min"/>
        <cfvo type="max"/>
        <color rgb="FF638EC6"/>
      </dataBar>
    </cfRule>
    <cfRule type="dataBar" priority="133">
      <dataBar>
        <cfvo type="min"/>
        <cfvo type="max"/>
        <color rgb="FF00B0F0"/>
      </dataBar>
    </cfRule>
    <cfRule type="dataBar" priority="138">
      <dataBar>
        <cfvo type="min"/>
        <cfvo type="max"/>
        <color rgb="FF3FCDFF"/>
      </dataBar>
    </cfRule>
  </conditionalFormatting>
  <conditionalFormatting sqref="M385">
    <cfRule type="dataBar" priority="128">
      <dataBar>
        <cfvo type="min"/>
        <cfvo type="max"/>
        <color rgb="FF638EC6"/>
      </dataBar>
    </cfRule>
    <cfRule type="dataBar" priority="127">
      <dataBar>
        <cfvo type="min"/>
        <cfvo type="max"/>
        <color rgb="FF00B0F0"/>
      </dataBar>
    </cfRule>
    <cfRule type="dataBar" priority="132">
      <dataBar>
        <cfvo type="min"/>
        <cfvo type="max"/>
        <color rgb="FF3FCDFF"/>
      </dataBar>
    </cfRule>
  </conditionalFormatting>
  <conditionalFormatting sqref="M388">
    <cfRule type="dataBar" priority="122">
      <dataBar>
        <cfvo type="min"/>
        <cfvo type="max"/>
        <color rgb="FF638EC6"/>
      </dataBar>
    </cfRule>
    <cfRule type="dataBar" priority="126">
      <dataBar>
        <cfvo type="min"/>
        <cfvo type="max"/>
        <color rgb="FF3FCDFF"/>
      </dataBar>
    </cfRule>
    <cfRule type="dataBar" priority="121">
      <dataBar>
        <cfvo type="min"/>
        <cfvo type="max"/>
        <color rgb="FF00B0F0"/>
      </dataBar>
    </cfRule>
  </conditionalFormatting>
  <conditionalFormatting sqref="M389">
    <cfRule type="dataBar" priority="238">
      <dataBar>
        <cfvo type="min"/>
        <cfvo type="max"/>
        <color rgb="FF00B0F0"/>
      </dataBar>
    </cfRule>
    <cfRule type="dataBar" priority="239">
      <dataBar>
        <cfvo type="min"/>
        <cfvo type="max"/>
        <color rgb="FF638EC6"/>
      </dataBar>
    </cfRule>
    <cfRule type="dataBar" priority="243">
      <dataBar>
        <cfvo type="min"/>
        <cfvo type="max"/>
        <color rgb="FF3FCDFF"/>
      </dataBar>
    </cfRule>
  </conditionalFormatting>
  <conditionalFormatting sqref="M390">
    <cfRule type="dataBar" priority="16">
      <dataBar>
        <cfvo type="min"/>
        <cfvo type="max"/>
        <color rgb="FF00B0F0"/>
      </dataBar>
    </cfRule>
    <cfRule type="dataBar" priority="18">
      <dataBar>
        <cfvo type="min"/>
        <cfvo type="max"/>
        <color rgb="FF3FCDFF"/>
      </dataBar>
    </cfRule>
    <cfRule type="dataBar" priority="17">
      <dataBar>
        <cfvo type="min"/>
        <cfvo type="max"/>
        <color rgb="FF638EC6"/>
      </dataBar>
    </cfRule>
  </conditionalFormatting>
  <conditionalFormatting sqref="M391">
    <cfRule type="dataBar" priority="115">
      <dataBar>
        <cfvo type="min"/>
        <cfvo type="max"/>
        <color rgb="FF00B0F0"/>
      </dataBar>
    </cfRule>
    <cfRule type="dataBar" priority="116">
      <dataBar>
        <cfvo type="min"/>
        <cfvo type="max"/>
        <color rgb="FF638EC6"/>
      </dataBar>
    </cfRule>
    <cfRule type="dataBar" priority="120">
      <dataBar>
        <cfvo type="min"/>
        <cfvo type="max"/>
        <color rgb="FF3FCDFF"/>
      </dataBar>
    </cfRule>
  </conditionalFormatting>
  <conditionalFormatting sqref="M394">
    <cfRule type="dataBar" priority="109">
      <dataBar>
        <cfvo type="min"/>
        <cfvo type="max"/>
        <color rgb="FF00B0F0"/>
      </dataBar>
    </cfRule>
    <cfRule type="dataBar" priority="110">
      <dataBar>
        <cfvo type="min"/>
        <cfvo type="max"/>
        <color rgb="FF638EC6"/>
      </dataBar>
    </cfRule>
    <cfRule type="dataBar" priority="114">
      <dataBar>
        <cfvo type="min"/>
        <cfvo type="max"/>
        <color rgb="FF3FCDFF"/>
      </dataBar>
    </cfRule>
  </conditionalFormatting>
  <conditionalFormatting sqref="M397">
    <cfRule type="dataBar" priority="103">
      <dataBar>
        <cfvo type="min"/>
        <cfvo type="max"/>
        <color rgb="FF00B0F0"/>
      </dataBar>
    </cfRule>
    <cfRule type="dataBar" priority="104">
      <dataBar>
        <cfvo type="min"/>
        <cfvo type="max"/>
        <color rgb="FF638EC6"/>
      </dataBar>
    </cfRule>
    <cfRule type="dataBar" priority="108">
      <dataBar>
        <cfvo type="min"/>
        <cfvo type="max"/>
        <color rgb="FF3FCDFF"/>
      </dataBar>
    </cfRule>
  </conditionalFormatting>
  <conditionalFormatting sqref="M400">
    <cfRule type="dataBar" priority="98">
      <dataBar>
        <cfvo type="min"/>
        <cfvo type="max"/>
        <color rgb="FF638EC6"/>
      </dataBar>
    </cfRule>
    <cfRule type="dataBar" priority="102">
      <dataBar>
        <cfvo type="min"/>
        <cfvo type="max"/>
        <color rgb="FF3FCDFF"/>
      </dataBar>
    </cfRule>
    <cfRule type="dataBar" priority="97">
      <dataBar>
        <cfvo type="min"/>
        <cfvo type="max"/>
        <color rgb="FF00B0F0"/>
      </dataBar>
    </cfRule>
  </conditionalFormatting>
  <conditionalFormatting sqref="M403">
    <cfRule type="dataBar" priority="96">
      <dataBar>
        <cfvo type="min"/>
        <cfvo type="max"/>
        <color rgb="FF3FCDFF"/>
      </dataBar>
    </cfRule>
    <cfRule type="dataBar" priority="92">
      <dataBar>
        <cfvo type="min"/>
        <cfvo type="max"/>
        <color rgb="FF638EC6"/>
      </dataBar>
    </cfRule>
    <cfRule type="dataBar" priority="91">
      <dataBar>
        <cfvo type="min"/>
        <cfvo type="max"/>
        <color rgb="FF00B0F0"/>
      </dataBar>
    </cfRule>
  </conditionalFormatting>
  <conditionalFormatting sqref="M404">
    <cfRule type="dataBar" priority="233">
      <dataBar>
        <cfvo type="min"/>
        <cfvo type="max"/>
        <color rgb="FF638EC6"/>
      </dataBar>
    </cfRule>
    <cfRule type="dataBar" priority="232">
      <dataBar>
        <cfvo type="min"/>
        <cfvo type="max"/>
        <color rgb="FF00B0F0"/>
      </dataBar>
    </cfRule>
    <cfRule type="dataBar" priority="237">
      <dataBar>
        <cfvo type="min"/>
        <cfvo type="max"/>
        <color rgb="FF3FCDFF"/>
      </dataBar>
    </cfRule>
  </conditionalFormatting>
  <conditionalFormatting sqref="M405:M406">
    <cfRule type="dataBar" priority="231">
      <dataBar>
        <cfvo type="min"/>
        <cfvo type="max"/>
        <color rgb="FF3FCDFF"/>
      </dataBar>
    </cfRule>
    <cfRule type="dataBar" priority="227">
      <dataBar>
        <cfvo type="min"/>
        <cfvo type="max"/>
        <color rgb="FF638EC6"/>
      </dataBar>
    </cfRule>
    <cfRule type="dataBar" priority="226">
      <dataBar>
        <cfvo type="min"/>
        <cfvo type="max"/>
        <color rgb="FF00B0F0"/>
      </dataBar>
    </cfRule>
  </conditionalFormatting>
  <conditionalFormatting sqref="M407">
    <cfRule type="dataBar" priority="10">
      <dataBar>
        <cfvo type="min"/>
        <cfvo type="max"/>
        <color rgb="FF00B0F0"/>
      </dataBar>
    </cfRule>
    <cfRule type="dataBar" priority="12">
      <dataBar>
        <cfvo type="min"/>
        <cfvo type="max"/>
        <color rgb="FF3FCDFF"/>
      </dataBar>
    </cfRule>
    <cfRule type="dataBar" priority="11">
      <dataBar>
        <cfvo type="min"/>
        <cfvo type="max"/>
        <color rgb="FF638EC6"/>
      </dataBar>
    </cfRule>
  </conditionalFormatting>
  <conditionalFormatting sqref="M408">
    <cfRule type="dataBar" priority="221">
      <dataBar>
        <cfvo type="min"/>
        <cfvo type="max"/>
        <color rgb="FF638EC6"/>
      </dataBar>
    </cfRule>
    <cfRule type="dataBar" priority="225">
      <dataBar>
        <cfvo type="min"/>
        <cfvo type="max"/>
        <color rgb="FF3FCDFF"/>
      </dataBar>
    </cfRule>
    <cfRule type="dataBar" priority="220">
      <dataBar>
        <cfvo type="min"/>
        <cfvo type="max"/>
        <color rgb="FF00B0F0"/>
      </dataBar>
    </cfRule>
  </conditionalFormatting>
  <conditionalFormatting sqref="M409">
    <cfRule type="dataBar" priority="5">
      <dataBar>
        <cfvo type="min"/>
        <cfvo type="max"/>
        <color rgb="FF638EC6"/>
      </dataBar>
    </cfRule>
    <cfRule type="dataBar" priority="6">
      <dataBar>
        <cfvo type="min"/>
        <cfvo type="max"/>
        <color rgb="FF3FCDFF"/>
      </dataBar>
    </cfRule>
    <cfRule type="dataBar" priority="4">
      <dataBar>
        <cfvo type="min"/>
        <cfvo type="max"/>
        <color rgb="FF00B0F0"/>
      </dataBar>
    </cfRule>
  </conditionalFormatting>
  <conditionalFormatting sqref="M412">
    <cfRule type="dataBar" priority="90">
      <dataBar>
        <cfvo type="min"/>
        <cfvo type="max"/>
        <color rgb="FF3FCDFF"/>
      </dataBar>
    </cfRule>
    <cfRule type="dataBar" priority="86">
      <dataBar>
        <cfvo type="min"/>
        <cfvo type="max"/>
        <color rgb="FF638EC6"/>
      </dataBar>
    </cfRule>
    <cfRule type="dataBar" priority="85">
      <dataBar>
        <cfvo type="min"/>
        <cfvo type="max"/>
        <color rgb="FF00B0F0"/>
      </dataBar>
    </cfRule>
  </conditionalFormatting>
  <conditionalFormatting sqref="M415">
    <cfRule type="dataBar" priority="79">
      <dataBar>
        <cfvo type="min"/>
        <cfvo type="max"/>
        <color rgb="FF00B0F0"/>
      </dataBar>
    </cfRule>
    <cfRule type="dataBar" priority="84">
      <dataBar>
        <cfvo type="min"/>
        <cfvo type="max"/>
        <color rgb="FF3FCDFF"/>
      </dataBar>
    </cfRule>
    <cfRule type="dataBar" priority="80">
      <dataBar>
        <cfvo type="min"/>
        <cfvo type="max"/>
        <color rgb="FF638EC6"/>
      </dataBar>
    </cfRule>
  </conditionalFormatting>
  <conditionalFormatting sqref="M418">
    <cfRule type="dataBar" priority="74">
      <dataBar>
        <cfvo type="min"/>
        <cfvo type="max"/>
        <color rgb="FF638EC6"/>
      </dataBar>
    </cfRule>
    <cfRule type="dataBar" priority="78">
      <dataBar>
        <cfvo type="min"/>
        <cfvo type="max"/>
        <color rgb="FF3FCDFF"/>
      </dataBar>
    </cfRule>
    <cfRule type="dataBar" priority="73">
      <dataBar>
        <cfvo type="min"/>
        <cfvo type="max"/>
        <color rgb="FF00B0F0"/>
      </dataBar>
    </cfRule>
  </conditionalFormatting>
  <conditionalFormatting sqref="M421">
    <cfRule type="dataBar" priority="68">
      <dataBar>
        <cfvo type="min"/>
        <cfvo type="max"/>
        <color rgb="FF638EC6"/>
      </dataBar>
    </cfRule>
    <cfRule type="dataBar" priority="67">
      <dataBar>
        <cfvo type="min"/>
        <cfvo type="max"/>
        <color rgb="FF00B0F0"/>
      </dataBar>
    </cfRule>
    <cfRule type="dataBar" priority="72">
      <dataBar>
        <cfvo type="min"/>
        <cfvo type="max"/>
        <color rgb="FF3FCDFF"/>
      </dataBar>
    </cfRule>
  </conditionalFormatting>
  <conditionalFormatting sqref="M424">
    <cfRule type="dataBar" priority="62">
      <dataBar>
        <cfvo type="min"/>
        <cfvo type="max"/>
        <color rgb="FF638EC6"/>
      </dataBar>
    </cfRule>
    <cfRule type="dataBar" priority="66">
      <dataBar>
        <cfvo type="min"/>
        <cfvo type="max"/>
        <color rgb="FF3FCDFF"/>
      </dataBar>
    </cfRule>
    <cfRule type="dataBar" priority="61">
      <dataBar>
        <cfvo type="min"/>
        <cfvo type="max"/>
        <color rgb="FF00B0F0"/>
      </dataBar>
    </cfRule>
  </conditionalFormatting>
  <conditionalFormatting sqref="M425">
    <cfRule type="dataBar" priority="214">
      <dataBar>
        <cfvo type="min"/>
        <cfvo type="max"/>
        <color rgb="FF00B0F0"/>
      </dataBar>
    </cfRule>
    <cfRule type="dataBar" priority="215">
      <dataBar>
        <cfvo type="min"/>
        <cfvo type="max"/>
        <color rgb="FF638EC6"/>
      </dataBar>
    </cfRule>
    <cfRule type="dataBar" priority="219">
      <dataBar>
        <cfvo type="min"/>
        <cfvo type="max"/>
        <color rgb="FF3FCDFF"/>
      </dataBar>
    </cfRule>
  </conditionalFormatting>
  <conditionalFormatting sqref="M427">
    <cfRule type="dataBar" priority="60">
      <dataBar>
        <cfvo type="min"/>
        <cfvo type="max"/>
        <color rgb="FF3FCDFF"/>
      </dataBar>
    </cfRule>
    <cfRule type="dataBar" priority="55">
      <dataBar>
        <cfvo type="min"/>
        <cfvo type="max"/>
        <color rgb="FF00B0F0"/>
      </dataBar>
    </cfRule>
    <cfRule type="dataBar" priority="56">
      <dataBar>
        <cfvo type="min"/>
        <cfvo type="max"/>
        <color rgb="FF638EC6"/>
      </dataBar>
    </cfRule>
  </conditionalFormatting>
  <conditionalFormatting sqref="M430">
    <cfRule type="dataBar" priority="49">
      <dataBar>
        <cfvo type="min"/>
        <cfvo type="max"/>
        <color rgb="FF00B0F0"/>
      </dataBar>
    </cfRule>
    <cfRule type="dataBar" priority="50">
      <dataBar>
        <cfvo type="min"/>
        <cfvo type="max"/>
        <color rgb="FF638EC6"/>
      </dataBar>
    </cfRule>
    <cfRule type="dataBar" priority="54">
      <dataBar>
        <cfvo type="min"/>
        <cfvo type="max"/>
        <color rgb="FF3FCDFF"/>
      </dataBar>
    </cfRule>
  </conditionalFormatting>
  <conditionalFormatting sqref="M433">
    <cfRule type="dataBar" priority="44">
      <dataBar>
        <cfvo type="min"/>
        <cfvo type="max"/>
        <color rgb="FF638EC6"/>
      </dataBar>
    </cfRule>
    <cfRule type="dataBar" priority="43">
      <dataBar>
        <cfvo type="min"/>
        <cfvo type="max"/>
        <color rgb="FF00B0F0"/>
      </dataBar>
    </cfRule>
    <cfRule type="dataBar" priority="48">
      <dataBar>
        <cfvo type="min"/>
        <cfvo type="max"/>
        <color rgb="FF3FCDFF"/>
      </dataBar>
    </cfRule>
  </conditionalFormatting>
  <conditionalFormatting sqref="M436:M437">
    <cfRule type="dataBar" priority="209">
      <dataBar>
        <cfvo type="min"/>
        <cfvo type="max"/>
        <color rgb="FF638EC6"/>
      </dataBar>
    </cfRule>
    <cfRule type="dataBar" priority="213">
      <dataBar>
        <cfvo type="min"/>
        <cfvo type="max"/>
        <color rgb="FF3FCDFF"/>
      </dataBar>
    </cfRule>
    <cfRule type="dataBar" priority="208">
      <dataBar>
        <cfvo type="min"/>
        <cfvo type="max"/>
        <color rgb="FF00B0F0"/>
      </dataBar>
    </cfRule>
  </conditionalFormatting>
  <conditionalFormatting sqref="M439">
    <cfRule type="dataBar" priority="35">
      <dataBar>
        <cfvo type="min"/>
        <cfvo type="max"/>
        <color rgb="FF638EC6"/>
      </dataBar>
    </cfRule>
    <cfRule type="dataBar" priority="34">
      <dataBar>
        <cfvo type="min"/>
        <cfvo type="max"/>
        <color rgb="FF00B0F0"/>
      </dataBar>
    </cfRule>
    <cfRule type="dataBar" priority="39">
      <dataBar>
        <cfvo type="min"/>
        <cfvo type="max"/>
        <color rgb="FF3FCDFF"/>
      </dataBar>
    </cfRule>
  </conditionalFormatting>
  <conditionalFormatting sqref="M442">
    <cfRule type="dataBar" priority="33">
      <dataBar>
        <cfvo type="min"/>
        <cfvo type="max"/>
        <color rgb="FF3FCDFF"/>
      </dataBar>
    </cfRule>
    <cfRule type="dataBar" priority="29">
      <dataBar>
        <cfvo type="min"/>
        <cfvo type="max"/>
        <color rgb="FF638EC6"/>
      </dataBar>
    </cfRule>
    <cfRule type="dataBar" priority="28">
      <dataBar>
        <cfvo type="min"/>
        <cfvo type="max"/>
        <color rgb="FF00B0F0"/>
      </dataBar>
    </cfRule>
  </conditionalFormatting>
  <conditionalFormatting sqref="M443">
    <cfRule type="dataBar" priority="467">
      <dataBar>
        <cfvo type="min"/>
        <cfvo type="max"/>
        <color rgb="FF3FCDFF"/>
      </dataBar>
    </cfRule>
    <cfRule type="dataBar" priority="463">
      <dataBar>
        <cfvo type="min"/>
        <cfvo type="max"/>
        <color rgb="FF638EC6"/>
      </dataBar>
    </cfRule>
    <cfRule type="dataBar" priority="462">
      <dataBar>
        <cfvo type="min"/>
        <cfvo type="max"/>
        <color rgb="FF00B0F0"/>
      </dataBar>
    </cfRule>
  </conditionalFormatting>
  <conditionalFormatting sqref="M443:M445">
    <cfRule type="dataBar" priority="468">
      <dataBar>
        <cfvo type="min"/>
        <cfvo type="max"/>
        <color rgb="FF00B0F0"/>
      </dataBar>
    </cfRule>
  </conditionalFormatting>
  <conditionalFormatting sqref="M444:M445">
    <cfRule type="dataBar" priority="457">
      <dataBar>
        <cfvo type="min"/>
        <cfvo type="max"/>
        <color rgb="FF638EC6"/>
      </dataBar>
    </cfRule>
    <cfRule type="dataBar" priority="456">
      <dataBar>
        <cfvo type="min"/>
        <cfvo type="max"/>
        <color rgb="FF00B0F0"/>
      </dataBar>
    </cfRule>
    <cfRule type="dataBar" priority="461">
      <dataBar>
        <cfvo type="min"/>
        <cfvo type="max"/>
        <color rgb="FF3FCDFF"/>
      </dataBar>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theme="8" tint="0.79998168889431442"/>
  </sheetPr>
  <dimension ref="A1:N1594"/>
  <sheetViews>
    <sheetView zoomScale="143" zoomScaleNormal="80" workbookViewId="0">
      <pane ySplit="1" topLeftCell="A2" activePane="bottomLeft" state="frozen"/>
      <selection activeCell="B7" sqref="B7"/>
      <selection pane="bottomLeft" activeCell="E68" sqref="E68"/>
    </sheetView>
  </sheetViews>
  <sheetFormatPr baseColWidth="10" defaultRowHeight="16" x14ac:dyDescent="0.2"/>
  <cols>
    <col min="1" max="1" width="26.6640625" bestFit="1" customWidth="1"/>
    <col min="2" max="2" width="20.6640625" bestFit="1" customWidth="1"/>
    <col min="6" max="6" width="60.83203125" customWidth="1"/>
    <col min="7" max="7" width="5" customWidth="1"/>
    <col min="14" max="14" width="51.33203125" customWidth="1"/>
  </cols>
  <sheetData>
    <row r="1" spans="1:14" x14ac:dyDescent="0.2">
      <c r="A1" s="209" t="s">
        <v>185</v>
      </c>
      <c r="B1" s="210" t="s">
        <v>186</v>
      </c>
      <c r="C1" s="211" t="s">
        <v>1</v>
      </c>
      <c r="D1" s="212" t="s">
        <v>2</v>
      </c>
      <c r="E1" s="213" t="s">
        <v>3</v>
      </c>
      <c r="F1" s="214" t="s">
        <v>4</v>
      </c>
      <c r="G1" s="215" t="s">
        <v>16</v>
      </c>
      <c r="H1" s="216" t="s">
        <v>5</v>
      </c>
      <c r="I1" s="216" t="s">
        <v>6</v>
      </c>
      <c r="J1" s="216" t="s">
        <v>7</v>
      </c>
      <c r="K1" s="216" t="s">
        <v>8</v>
      </c>
      <c r="L1" s="217" t="s">
        <v>9</v>
      </c>
      <c r="M1" s="218" t="s">
        <v>10</v>
      </c>
      <c r="N1" s="219" t="s">
        <v>158</v>
      </c>
    </row>
    <row r="2" spans="1:14" x14ac:dyDescent="0.2">
      <c r="A2" s="220" t="s">
        <v>231</v>
      </c>
      <c r="B2" s="221" t="s">
        <v>383</v>
      </c>
      <c r="C2" s="222" t="s">
        <v>135</v>
      </c>
      <c r="D2" s="223" t="s">
        <v>135</v>
      </c>
      <c r="E2" s="224">
        <v>1</v>
      </c>
      <c r="F2" s="225" t="s">
        <v>338</v>
      </c>
      <c r="G2" s="226" t="s">
        <v>16</v>
      </c>
      <c r="H2" s="224"/>
      <c r="I2" s="224"/>
      <c r="J2" s="224"/>
      <c r="K2" s="224"/>
      <c r="L2" s="227"/>
      <c r="M2" s="228" t="str">
        <f>IF( OR( ISBLANK(H2),ISBLANK(I2), ISBLANK(J2), ISBLANK(K2), ISBLANK(L2) ), "", 1.5*SQRT(   EXP(2.21*(H2-1)) + EXP(2.21*(I2-1)) + EXP(2.21*(J2-1)) + EXP(2.21*(K2-1)) + EXP(2.21*L2)   )/100*2.45 )</f>
        <v/>
      </c>
      <c r="N2" s="229"/>
    </row>
    <row r="3" spans="1:14" x14ac:dyDescent="0.2">
      <c r="A3" s="230" t="s">
        <v>240</v>
      </c>
      <c r="B3" s="231" t="s">
        <v>383</v>
      </c>
      <c r="C3" s="222" t="s">
        <v>135</v>
      </c>
      <c r="D3" s="232" t="s">
        <v>135</v>
      </c>
      <c r="E3" s="61">
        <v>1</v>
      </c>
      <c r="F3" s="233" t="s">
        <v>338</v>
      </c>
      <c r="G3" s="234" t="s">
        <v>16</v>
      </c>
      <c r="H3" s="61"/>
      <c r="I3" s="61"/>
      <c r="J3" s="61"/>
      <c r="K3" s="61"/>
      <c r="L3" s="62"/>
      <c r="M3" s="63" t="str">
        <f t="shared" ref="M3:M34" si="0">IF( OR( ISBLANK(H3),ISBLANK(I3), ISBLANK(J3), ISBLANK(K3), ISBLANK(L3) ), "", 1.5*SQRT( EXP(2.21*(H3-1)) + EXP(2.21*(I3-1)) + EXP(2.21*(J3-1)) + EXP(2.21*(K3-1)) + EXP(2.21*L3) )/100*2.45 )</f>
        <v/>
      </c>
      <c r="N3" s="235"/>
    </row>
    <row r="4" spans="1:14" x14ac:dyDescent="0.2">
      <c r="A4" s="236" t="s">
        <v>248</v>
      </c>
      <c r="B4" s="237" t="s">
        <v>384</v>
      </c>
      <c r="C4" s="238" t="s">
        <v>135</v>
      </c>
      <c r="D4" s="239" t="s">
        <v>135</v>
      </c>
      <c r="E4" s="240">
        <v>1</v>
      </c>
      <c r="F4" s="241" t="s">
        <v>338</v>
      </c>
      <c r="G4" s="242" t="s">
        <v>16</v>
      </c>
      <c r="H4" s="240"/>
      <c r="I4" s="240"/>
      <c r="J4" s="240"/>
      <c r="K4" s="240"/>
      <c r="L4" s="243"/>
      <c r="M4" s="244" t="str">
        <f t="shared" si="0"/>
        <v/>
      </c>
      <c r="N4" s="245"/>
    </row>
    <row r="5" spans="1:14" x14ac:dyDescent="0.2">
      <c r="A5" s="246" t="s">
        <v>200</v>
      </c>
      <c r="B5" s="231" t="s">
        <v>385</v>
      </c>
      <c r="C5" s="247" t="s">
        <v>13</v>
      </c>
      <c r="D5" s="248" t="s">
        <v>135</v>
      </c>
      <c r="E5" s="249">
        <v>2.964856770833333E-2</v>
      </c>
      <c r="F5" s="250" t="s">
        <v>386</v>
      </c>
      <c r="G5" s="251" t="s">
        <v>16</v>
      </c>
      <c r="H5" s="252">
        <v>2</v>
      </c>
      <c r="I5" s="252">
        <v>2</v>
      </c>
      <c r="J5" s="252">
        <v>1</v>
      </c>
      <c r="K5" s="252">
        <v>1</v>
      </c>
      <c r="L5" s="253">
        <v>2</v>
      </c>
      <c r="M5" s="254">
        <f t="shared" si="0"/>
        <v>0.37356464144298934</v>
      </c>
      <c r="N5" s="255"/>
    </row>
    <row r="6" spans="1:14" hidden="1" x14ac:dyDescent="0.2">
      <c r="A6" s="246" t="s">
        <v>200</v>
      </c>
      <c r="B6" s="231" t="s">
        <v>385</v>
      </c>
      <c r="C6" s="247" t="s">
        <v>18</v>
      </c>
      <c r="D6" s="248" t="s">
        <v>135</v>
      </c>
      <c r="E6" s="249">
        <v>3.6624283854166668E-2</v>
      </c>
      <c r="F6" s="250" t="s">
        <v>386</v>
      </c>
      <c r="G6" s="251" t="s">
        <v>16</v>
      </c>
      <c r="H6" s="252">
        <v>2</v>
      </c>
      <c r="I6" s="252">
        <v>2</v>
      </c>
      <c r="J6" s="252">
        <v>1</v>
      </c>
      <c r="K6" s="252">
        <v>1</v>
      </c>
      <c r="L6" s="253">
        <v>2</v>
      </c>
      <c r="M6" s="254">
        <f t="shared" si="0"/>
        <v>0.37356464144298934</v>
      </c>
      <c r="N6" s="255"/>
    </row>
    <row r="7" spans="1:14" hidden="1" x14ac:dyDescent="0.2">
      <c r="A7" s="246" t="s">
        <v>200</v>
      </c>
      <c r="B7" s="231" t="s">
        <v>385</v>
      </c>
      <c r="C7" s="247" t="s">
        <v>20</v>
      </c>
      <c r="D7" s="248" t="s">
        <v>135</v>
      </c>
      <c r="E7" s="249">
        <v>5.5805729166666672E-2</v>
      </c>
      <c r="F7" s="250" t="s">
        <v>386</v>
      </c>
      <c r="G7" s="251" t="s">
        <v>16</v>
      </c>
      <c r="H7" s="252">
        <v>2</v>
      </c>
      <c r="I7" s="252">
        <v>2</v>
      </c>
      <c r="J7" s="252">
        <v>1</v>
      </c>
      <c r="K7" s="252">
        <v>1</v>
      </c>
      <c r="L7" s="253">
        <v>2</v>
      </c>
      <c r="M7" s="254">
        <f t="shared" si="0"/>
        <v>0.37356464144298934</v>
      </c>
      <c r="N7" s="255"/>
    </row>
    <row r="8" spans="1:14" hidden="1" x14ac:dyDescent="0.2">
      <c r="A8" s="246" t="s">
        <v>200</v>
      </c>
      <c r="B8" s="231" t="s">
        <v>385</v>
      </c>
      <c r="C8" s="247" t="s">
        <v>22</v>
      </c>
      <c r="D8" s="248" t="s">
        <v>135</v>
      </c>
      <c r="E8" s="249">
        <v>3.3132877604166673E-2</v>
      </c>
      <c r="F8" s="250" t="s">
        <v>386</v>
      </c>
      <c r="G8" s="251" t="s">
        <v>16</v>
      </c>
      <c r="H8" s="252">
        <v>2</v>
      </c>
      <c r="I8" s="252">
        <v>2</v>
      </c>
      <c r="J8" s="252">
        <v>1</v>
      </c>
      <c r="K8" s="252">
        <v>1</v>
      </c>
      <c r="L8" s="253">
        <v>2</v>
      </c>
      <c r="M8" s="254">
        <f t="shared" si="0"/>
        <v>0.37356464144298934</v>
      </c>
      <c r="N8" s="255"/>
    </row>
    <row r="9" spans="1:14" hidden="1" x14ac:dyDescent="0.2">
      <c r="A9" s="246" t="s">
        <v>200</v>
      </c>
      <c r="B9" s="231" t="s">
        <v>385</v>
      </c>
      <c r="C9" s="247" t="s">
        <v>23</v>
      </c>
      <c r="D9" s="248" t="s">
        <v>135</v>
      </c>
      <c r="E9" s="249">
        <v>4.0981445312500003E-2</v>
      </c>
      <c r="F9" s="250" t="s">
        <v>386</v>
      </c>
      <c r="G9" s="251" t="s">
        <v>16</v>
      </c>
      <c r="H9" s="252">
        <v>2</v>
      </c>
      <c r="I9" s="252">
        <v>2</v>
      </c>
      <c r="J9" s="252">
        <v>1</v>
      </c>
      <c r="K9" s="252">
        <v>1</v>
      </c>
      <c r="L9" s="253">
        <v>2</v>
      </c>
      <c r="M9" s="254">
        <f t="shared" si="0"/>
        <v>0.37356464144298934</v>
      </c>
      <c r="N9" s="255"/>
    </row>
    <row r="10" spans="1:14" hidden="1" x14ac:dyDescent="0.2">
      <c r="A10" s="246" t="s">
        <v>200</v>
      </c>
      <c r="B10" s="231" t="s">
        <v>385</v>
      </c>
      <c r="C10" s="247" t="s">
        <v>24</v>
      </c>
      <c r="D10" s="248" t="s">
        <v>135</v>
      </c>
      <c r="E10" s="249">
        <v>5.0575716145833338E-2</v>
      </c>
      <c r="F10" s="250" t="s">
        <v>386</v>
      </c>
      <c r="G10" s="251" t="s">
        <v>16</v>
      </c>
      <c r="H10" s="252">
        <v>2</v>
      </c>
      <c r="I10" s="252">
        <v>2</v>
      </c>
      <c r="J10" s="252">
        <v>1</v>
      </c>
      <c r="K10" s="252">
        <v>1</v>
      </c>
      <c r="L10" s="253">
        <v>2</v>
      </c>
      <c r="M10" s="254">
        <f t="shared" si="0"/>
        <v>0.37356464144298934</v>
      </c>
      <c r="N10" s="255"/>
    </row>
    <row r="11" spans="1:14" hidden="1" x14ac:dyDescent="0.2">
      <c r="A11" s="246" t="s">
        <v>200</v>
      </c>
      <c r="B11" s="231" t="s">
        <v>385</v>
      </c>
      <c r="C11" s="247" t="s">
        <v>25</v>
      </c>
      <c r="D11" s="248" t="s">
        <v>135</v>
      </c>
      <c r="E11" s="249">
        <v>2.6157161458333331E-2</v>
      </c>
      <c r="F11" s="250" t="s">
        <v>386</v>
      </c>
      <c r="G11" s="251" t="s">
        <v>16</v>
      </c>
      <c r="H11" s="252">
        <v>2</v>
      </c>
      <c r="I11" s="252">
        <v>2</v>
      </c>
      <c r="J11" s="252">
        <v>1</v>
      </c>
      <c r="K11" s="252">
        <v>1</v>
      </c>
      <c r="L11" s="253">
        <v>2</v>
      </c>
      <c r="M11" s="254">
        <f t="shared" si="0"/>
        <v>0.37356464144298934</v>
      </c>
      <c r="N11" s="255"/>
    </row>
    <row r="12" spans="1:14" hidden="1" x14ac:dyDescent="0.2">
      <c r="A12" s="246" t="s">
        <v>200</v>
      </c>
      <c r="B12" s="231" t="s">
        <v>385</v>
      </c>
      <c r="C12" s="247" t="s">
        <v>26</v>
      </c>
      <c r="D12" s="248" t="s">
        <v>135</v>
      </c>
      <c r="E12" s="249">
        <v>2.5291406249999999E-2</v>
      </c>
      <c r="F12" s="250" t="s">
        <v>386</v>
      </c>
      <c r="G12" s="251" t="s">
        <v>16</v>
      </c>
      <c r="H12" s="252">
        <v>2</v>
      </c>
      <c r="I12" s="252">
        <v>2</v>
      </c>
      <c r="J12" s="252">
        <v>1</v>
      </c>
      <c r="K12" s="252">
        <v>1</v>
      </c>
      <c r="L12" s="253">
        <v>2</v>
      </c>
      <c r="M12" s="254">
        <f t="shared" si="0"/>
        <v>0.37356464144298934</v>
      </c>
      <c r="N12" s="255"/>
    </row>
    <row r="13" spans="1:14" hidden="1" x14ac:dyDescent="0.2">
      <c r="A13" s="246" t="s">
        <v>200</v>
      </c>
      <c r="B13" s="231" t="s">
        <v>385</v>
      </c>
      <c r="C13" s="247" t="s">
        <v>27</v>
      </c>
      <c r="D13" s="248" t="s">
        <v>135</v>
      </c>
      <c r="E13" s="249">
        <v>2.18E-2</v>
      </c>
      <c r="F13" s="250" t="s">
        <v>386</v>
      </c>
      <c r="G13" s="251" t="s">
        <v>16</v>
      </c>
      <c r="H13" s="252">
        <v>2</v>
      </c>
      <c r="I13" s="252">
        <v>2</v>
      </c>
      <c r="J13" s="252">
        <v>1</v>
      </c>
      <c r="K13" s="252">
        <v>1</v>
      </c>
      <c r="L13" s="253">
        <v>2</v>
      </c>
      <c r="M13" s="254">
        <f t="shared" si="0"/>
        <v>0.37356464144298934</v>
      </c>
      <c r="N13" s="255"/>
    </row>
    <row r="14" spans="1:14" hidden="1" x14ac:dyDescent="0.2">
      <c r="A14" s="246" t="s">
        <v>200</v>
      </c>
      <c r="B14" s="231" t="s">
        <v>385</v>
      </c>
      <c r="C14" s="247" t="s">
        <v>28</v>
      </c>
      <c r="D14" s="248" t="s">
        <v>135</v>
      </c>
      <c r="E14" s="249">
        <v>2.18E-2</v>
      </c>
      <c r="F14" s="250" t="s">
        <v>386</v>
      </c>
      <c r="G14" s="251" t="s">
        <v>16</v>
      </c>
      <c r="H14" s="252">
        <v>2</v>
      </c>
      <c r="I14" s="252">
        <v>2</v>
      </c>
      <c r="J14" s="252">
        <v>1</v>
      </c>
      <c r="K14" s="252">
        <v>1</v>
      </c>
      <c r="L14" s="253">
        <v>2</v>
      </c>
      <c r="M14" s="254">
        <f t="shared" si="0"/>
        <v>0.37356464144298934</v>
      </c>
      <c r="N14" s="255"/>
    </row>
    <row r="15" spans="1:14" hidden="1" x14ac:dyDescent="0.2">
      <c r="A15" s="246" t="s">
        <v>200</v>
      </c>
      <c r="B15" s="231" t="s">
        <v>385</v>
      </c>
      <c r="C15" s="247" t="s">
        <v>30</v>
      </c>
      <c r="D15" s="248" t="s">
        <v>135</v>
      </c>
      <c r="E15" s="249">
        <v>4.36E-2</v>
      </c>
      <c r="F15" s="250" t="s">
        <v>386</v>
      </c>
      <c r="G15" s="251" t="s">
        <v>16</v>
      </c>
      <c r="H15" s="252">
        <v>2</v>
      </c>
      <c r="I15" s="252">
        <v>2</v>
      </c>
      <c r="J15" s="252">
        <v>1</v>
      </c>
      <c r="K15" s="252">
        <v>1</v>
      </c>
      <c r="L15" s="253">
        <v>2</v>
      </c>
      <c r="M15" s="254">
        <f t="shared" si="0"/>
        <v>0.37356464144298934</v>
      </c>
      <c r="N15" s="255"/>
    </row>
    <row r="16" spans="1:14" hidden="1" x14ac:dyDescent="0.2">
      <c r="A16" s="246" t="s">
        <v>200</v>
      </c>
      <c r="B16" s="231" t="s">
        <v>385</v>
      </c>
      <c r="C16" s="247" t="s">
        <v>32</v>
      </c>
      <c r="D16" s="248" t="s">
        <v>135</v>
      </c>
      <c r="E16" s="249">
        <v>2.7902864583333339E-2</v>
      </c>
      <c r="F16" s="250" t="s">
        <v>386</v>
      </c>
      <c r="G16" s="251" t="s">
        <v>16</v>
      </c>
      <c r="H16" s="252">
        <v>2</v>
      </c>
      <c r="I16" s="252">
        <v>2</v>
      </c>
      <c r="J16" s="252">
        <v>1</v>
      </c>
      <c r="K16" s="252">
        <v>1</v>
      </c>
      <c r="L16" s="253">
        <v>2</v>
      </c>
      <c r="M16" s="254">
        <f t="shared" si="0"/>
        <v>0.37356464144298934</v>
      </c>
      <c r="N16" s="255"/>
    </row>
    <row r="17" spans="1:14" hidden="1" x14ac:dyDescent="0.2">
      <c r="A17" s="246" t="s">
        <v>200</v>
      </c>
      <c r="B17" s="231" t="s">
        <v>385</v>
      </c>
      <c r="C17" s="247" t="s">
        <v>34</v>
      </c>
      <c r="D17" s="248" t="s">
        <v>135</v>
      </c>
      <c r="E17" s="249">
        <v>3.2267122395833327E-2</v>
      </c>
      <c r="F17" s="250" t="s">
        <v>386</v>
      </c>
      <c r="G17" s="251" t="s">
        <v>16</v>
      </c>
      <c r="H17" s="252">
        <v>2</v>
      </c>
      <c r="I17" s="252">
        <v>2</v>
      </c>
      <c r="J17" s="252">
        <v>1</v>
      </c>
      <c r="K17" s="252">
        <v>1</v>
      </c>
      <c r="L17" s="253">
        <v>2</v>
      </c>
      <c r="M17" s="254">
        <f t="shared" si="0"/>
        <v>0.37356464144298934</v>
      </c>
      <c r="N17" s="255"/>
    </row>
    <row r="18" spans="1:14" hidden="1" x14ac:dyDescent="0.2">
      <c r="A18" s="246" t="s">
        <v>200</v>
      </c>
      <c r="B18" s="231" t="s">
        <v>385</v>
      </c>
      <c r="C18" s="247" t="s">
        <v>36</v>
      </c>
      <c r="D18" s="248" t="s">
        <v>135</v>
      </c>
      <c r="E18" s="249">
        <v>3.4878580729166671E-2</v>
      </c>
      <c r="F18" s="250" t="s">
        <v>386</v>
      </c>
      <c r="G18" s="251" t="s">
        <v>16</v>
      </c>
      <c r="H18" s="252">
        <v>2</v>
      </c>
      <c r="I18" s="252">
        <v>2</v>
      </c>
      <c r="J18" s="252">
        <v>1</v>
      </c>
      <c r="K18" s="252">
        <v>1</v>
      </c>
      <c r="L18" s="253">
        <v>2</v>
      </c>
      <c r="M18" s="254">
        <f t="shared" si="0"/>
        <v>0.37356464144298934</v>
      </c>
      <c r="N18" s="255"/>
    </row>
    <row r="19" spans="1:14" hidden="1" x14ac:dyDescent="0.2">
      <c r="A19" s="246" t="s">
        <v>200</v>
      </c>
      <c r="B19" s="231" t="s">
        <v>385</v>
      </c>
      <c r="C19" s="247" t="s">
        <v>37</v>
      </c>
      <c r="D19" s="248" t="s">
        <v>135</v>
      </c>
      <c r="E19" s="249">
        <v>3.3132877604166673E-2</v>
      </c>
      <c r="F19" s="250" t="s">
        <v>386</v>
      </c>
      <c r="G19" s="251" t="s">
        <v>16</v>
      </c>
      <c r="H19" s="252">
        <v>2</v>
      </c>
      <c r="I19" s="252">
        <v>2</v>
      </c>
      <c r="J19" s="252">
        <v>1</v>
      </c>
      <c r="K19" s="252">
        <v>1</v>
      </c>
      <c r="L19" s="253">
        <v>2</v>
      </c>
      <c r="M19" s="254">
        <f t="shared" si="0"/>
        <v>0.37356464144298934</v>
      </c>
      <c r="N19" s="255"/>
    </row>
    <row r="20" spans="1:14" hidden="1" x14ac:dyDescent="0.2">
      <c r="A20" s="246" t="s">
        <v>200</v>
      </c>
      <c r="B20" s="231" t="s">
        <v>385</v>
      </c>
      <c r="C20" s="247" t="s">
        <v>39</v>
      </c>
      <c r="D20" s="248" t="s">
        <v>135</v>
      </c>
      <c r="E20" s="249">
        <v>3.1394270833333328E-2</v>
      </c>
      <c r="F20" s="250" t="s">
        <v>386</v>
      </c>
      <c r="G20" s="251" t="s">
        <v>16</v>
      </c>
      <c r="H20" s="252">
        <v>2</v>
      </c>
      <c r="I20" s="252">
        <v>2</v>
      </c>
      <c r="J20" s="252">
        <v>1</v>
      </c>
      <c r="K20" s="252">
        <v>1</v>
      </c>
      <c r="L20" s="253">
        <v>2</v>
      </c>
      <c r="M20" s="254">
        <f t="shared" si="0"/>
        <v>0.37356464144298934</v>
      </c>
      <c r="N20" s="255"/>
    </row>
    <row r="21" spans="1:14" hidden="1" x14ac:dyDescent="0.2">
      <c r="A21" s="246" t="s">
        <v>200</v>
      </c>
      <c r="B21" s="231" t="s">
        <v>385</v>
      </c>
      <c r="C21" s="247" t="s">
        <v>40</v>
      </c>
      <c r="D21" s="248" t="s">
        <v>135</v>
      </c>
      <c r="E21" s="249">
        <v>4.4472851562500013E-2</v>
      </c>
      <c r="F21" s="250" t="s">
        <v>386</v>
      </c>
      <c r="G21" s="251" t="s">
        <v>16</v>
      </c>
      <c r="H21" s="252">
        <v>2</v>
      </c>
      <c r="I21" s="252">
        <v>2</v>
      </c>
      <c r="J21" s="252">
        <v>1</v>
      </c>
      <c r="K21" s="252">
        <v>1</v>
      </c>
      <c r="L21" s="253">
        <v>2</v>
      </c>
      <c r="M21" s="254">
        <f t="shared" si="0"/>
        <v>0.37356464144298934</v>
      </c>
      <c r="N21" s="255"/>
    </row>
    <row r="22" spans="1:14" hidden="1" x14ac:dyDescent="0.2">
      <c r="A22" s="246" t="s">
        <v>200</v>
      </c>
      <c r="B22" s="231" t="s">
        <v>385</v>
      </c>
      <c r="C22" s="247" t="s">
        <v>41</v>
      </c>
      <c r="D22" s="248" t="s">
        <v>135</v>
      </c>
      <c r="E22" s="249">
        <v>3.2267122395833327E-2</v>
      </c>
      <c r="F22" s="250" t="s">
        <v>386</v>
      </c>
      <c r="G22" s="251" t="s">
        <v>16</v>
      </c>
      <c r="H22" s="252">
        <v>2</v>
      </c>
      <c r="I22" s="252">
        <v>2</v>
      </c>
      <c r="J22" s="252">
        <v>1</v>
      </c>
      <c r="K22" s="252">
        <v>1</v>
      </c>
      <c r="L22" s="253">
        <v>2</v>
      </c>
      <c r="M22" s="254">
        <f t="shared" si="0"/>
        <v>0.37356464144298934</v>
      </c>
      <c r="N22" s="255"/>
    </row>
    <row r="23" spans="1:14" hidden="1" x14ac:dyDescent="0.2">
      <c r="A23" s="246" t="s">
        <v>200</v>
      </c>
      <c r="B23" s="231" t="s">
        <v>385</v>
      </c>
      <c r="C23" s="247" t="s">
        <v>42</v>
      </c>
      <c r="D23" s="248" t="s">
        <v>135</v>
      </c>
      <c r="E23" s="249">
        <v>2.8775716145833342E-2</v>
      </c>
      <c r="F23" s="250" t="s">
        <v>386</v>
      </c>
      <c r="G23" s="251" t="s">
        <v>16</v>
      </c>
      <c r="H23" s="252">
        <v>2</v>
      </c>
      <c r="I23" s="252">
        <v>2</v>
      </c>
      <c r="J23" s="252">
        <v>1</v>
      </c>
      <c r="K23" s="252">
        <v>1</v>
      </c>
      <c r="L23" s="253">
        <v>2</v>
      </c>
      <c r="M23" s="254">
        <f t="shared" si="0"/>
        <v>0.37356464144298934</v>
      </c>
      <c r="N23" s="255"/>
    </row>
    <row r="24" spans="1:14" hidden="1" x14ac:dyDescent="0.2">
      <c r="A24" s="246" t="s">
        <v>200</v>
      </c>
      <c r="B24" s="231" t="s">
        <v>385</v>
      </c>
      <c r="C24" s="247" t="s">
        <v>43</v>
      </c>
      <c r="D24" s="248" t="s">
        <v>135</v>
      </c>
      <c r="E24" s="249">
        <v>4.36E-2</v>
      </c>
      <c r="F24" s="250" t="s">
        <v>386</v>
      </c>
      <c r="G24" s="251" t="s">
        <v>16</v>
      </c>
      <c r="H24" s="252">
        <v>2</v>
      </c>
      <c r="I24" s="252">
        <v>2</v>
      </c>
      <c r="J24" s="252">
        <v>1</v>
      </c>
      <c r="K24" s="252">
        <v>1</v>
      </c>
      <c r="L24" s="253">
        <v>2</v>
      </c>
      <c r="M24" s="254">
        <f t="shared" si="0"/>
        <v>0.37356464144298934</v>
      </c>
      <c r="N24" s="255"/>
    </row>
    <row r="25" spans="1:14" hidden="1" x14ac:dyDescent="0.2">
      <c r="A25" s="246" t="s">
        <v>200</v>
      </c>
      <c r="B25" s="231" t="s">
        <v>385</v>
      </c>
      <c r="C25" s="247" t="s">
        <v>45</v>
      </c>
      <c r="D25" s="248" t="s">
        <v>135</v>
      </c>
      <c r="E25" s="249">
        <v>4.0981445312500003E-2</v>
      </c>
      <c r="F25" s="250" t="s">
        <v>386</v>
      </c>
      <c r="G25" s="251" t="s">
        <v>16</v>
      </c>
      <c r="H25" s="252">
        <v>2</v>
      </c>
      <c r="I25" s="252">
        <v>2</v>
      </c>
      <c r="J25" s="252">
        <v>1</v>
      </c>
      <c r="K25" s="252">
        <v>1</v>
      </c>
      <c r="L25" s="253">
        <v>2</v>
      </c>
      <c r="M25" s="254">
        <f t="shared" si="0"/>
        <v>0.37356464144298934</v>
      </c>
      <c r="N25" s="255"/>
    </row>
    <row r="26" spans="1:14" hidden="1" x14ac:dyDescent="0.2">
      <c r="A26" s="246" t="s">
        <v>200</v>
      </c>
      <c r="B26" s="231" t="s">
        <v>385</v>
      </c>
      <c r="C26" s="247" t="s">
        <v>46</v>
      </c>
      <c r="D26" s="248" t="s">
        <v>135</v>
      </c>
      <c r="E26" s="249">
        <v>2.5291406249999999E-2</v>
      </c>
      <c r="F26" s="250" t="s">
        <v>386</v>
      </c>
      <c r="G26" s="251" t="s">
        <v>16</v>
      </c>
      <c r="H26" s="252">
        <v>2</v>
      </c>
      <c r="I26" s="252">
        <v>2</v>
      </c>
      <c r="J26" s="252">
        <v>1</v>
      </c>
      <c r="K26" s="252">
        <v>1</v>
      </c>
      <c r="L26" s="253">
        <v>2</v>
      </c>
      <c r="M26" s="254">
        <f t="shared" si="0"/>
        <v>0.37356464144298934</v>
      </c>
      <c r="N26" s="255"/>
    </row>
    <row r="27" spans="1:14" hidden="1" x14ac:dyDescent="0.2">
      <c r="A27" s="246" t="s">
        <v>200</v>
      </c>
      <c r="B27" s="231" t="s">
        <v>385</v>
      </c>
      <c r="C27" s="247" t="s">
        <v>48</v>
      </c>
      <c r="D27" s="248" t="s">
        <v>135</v>
      </c>
      <c r="E27" s="249">
        <v>3.4878580729166671E-2</v>
      </c>
      <c r="F27" s="250" t="s">
        <v>386</v>
      </c>
      <c r="G27" s="251" t="s">
        <v>16</v>
      </c>
      <c r="H27" s="252">
        <v>2</v>
      </c>
      <c r="I27" s="252">
        <v>2</v>
      </c>
      <c r="J27" s="252">
        <v>1</v>
      </c>
      <c r="K27" s="252">
        <v>1</v>
      </c>
      <c r="L27" s="253">
        <v>2</v>
      </c>
      <c r="M27" s="254">
        <f t="shared" si="0"/>
        <v>0.37356464144298934</v>
      </c>
      <c r="N27" s="255"/>
    </row>
    <row r="28" spans="1:14" hidden="1" x14ac:dyDescent="0.2">
      <c r="A28" s="246" t="s">
        <v>200</v>
      </c>
      <c r="B28" s="231" t="s">
        <v>385</v>
      </c>
      <c r="C28" s="247" t="s">
        <v>50</v>
      </c>
      <c r="D28" s="248" t="s">
        <v>135</v>
      </c>
      <c r="E28" s="249">
        <v>3.8369986979166673E-2</v>
      </c>
      <c r="F28" s="250" t="s">
        <v>386</v>
      </c>
      <c r="G28" s="251" t="s">
        <v>16</v>
      </c>
      <c r="H28" s="252">
        <v>2</v>
      </c>
      <c r="I28" s="252">
        <v>2</v>
      </c>
      <c r="J28" s="252">
        <v>1</v>
      </c>
      <c r="K28" s="252">
        <v>1</v>
      </c>
      <c r="L28" s="253">
        <v>2</v>
      </c>
      <c r="M28" s="254">
        <f t="shared" si="0"/>
        <v>0.37356464144298934</v>
      </c>
      <c r="N28" s="255"/>
    </row>
    <row r="29" spans="1:14" hidden="1" x14ac:dyDescent="0.2">
      <c r="A29" s="246" t="s">
        <v>200</v>
      </c>
      <c r="B29" s="231" t="s">
        <v>385</v>
      </c>
      <c r="C29" s="247" t="s">
        <v>52</v>
      </c>
      <c r="D29" s="248" t="s">
        <v>135</v>
      </c>
      <c r="E29" s="249">
        <v>4.883001302083334E-2</v>
      </c>
      <c r="F29" s="250" t="s">
        <v>386</v>
      </c>
      <c r="G29" s="251" t="s">
        <v>16</v>
      </c>
      <c r="H29" s="252">
        <v>2</v>
      </c>
      <c r="I29" s="252">
        <v>2</v>
      </c>
      <c r="J29" s="252">
        <v>1</v>
      </c>
      <c r="K29" s="252">
        <v>1</v>
      </c>
      <c r="L29" s="253">
        <v>2</v>
      </c>
      <c r="M29" s="254">
        <f t="shared" si="0"/>
        <v>0.37356464144298934</v>
      </c>
      <c r="N29" s="255"/>
    </row>
    <row r="30" spans="1:14" hidden="1" x14ac:dyDescent="0.2">
      <c r="A30" s="246" t="s">
        <v>200</v>
      </c>
      <c r="B30" s="231" t="s">
        <v>385</v>
      </c>
      <c r="C30" s="247" t="s">
        <v>54</v>
      </c>
      <c r="D30" s="248" t="s">
        <v>135</v>
      </c>
      <c r="E30" s="249">
        <v>6.0169986979166673E-2</v>
      </c>
      <c r="F30" s="250" t="s">
        <v>386</v>
      </c>
      <c r="G30" s="251" t="s">
        <v>16</v>
      </c>
      <c r="H30" s="252">
        <v>2</v>
      </c>
      <c r="I30" s="252">
        <v>2</v>
      </c>
      <c r="J30" s="252">
        <v>1</v>
      </c>
      <c r="K30" s="252">
        <v>1</v>
      </c>
      <c r="L30" s="253">
        <v>2</v>
      </c>
      <c r="M30" s="254">
        <f t="shared" si="0"/>
        <v>0.37356464144298934</v>
      </c>
      <c r="N30" s="255"/>
    </row>
    <row r="31" spans="1:14" hidden="1" x14ac:dyDescent="0.2">
      <c r="A31" s="246" t="s">
        <v>200</v>
      </c>
      <c r="B31" s="231" t="s">
        <v>385</v>
      </c>
      <c r="C31" s="247" t="s">
        <v>55</v>
      </c>
      <c r="D31" s="248" t="s">
        <v>135</v>
      </c>
      <c r="E31" s="249">
        <v>3.6624283854166668E-2</v>
      </c>
      <c r="F31" s="250" t="s">
        <v>386</v>
      </c>
      <c r="G31" s="251" t="s">
        <v>16</v>
      </c>
      <c r="H31" s="252">
        <v>2</v>
      </c>
      <c r="I31" s="252">
        <v>2</v>
      </c>
      <c r="J31" s="252">
        <v>1</v>
      </c>
      <c r="K31" s="252">
        <v>1</v>
      </c>
      <c r="L31" s="253">
        <v>2</v>
      </c>
      <c r="M31" s="254">
        <f t="shared" si="0"/>
        <v>0.37356464144298934</v>
      </c>
      <c r="N31" s="255"/>
    </row>
    <row r="32" spans="1:14" hidden="1" x14ac:dyDescent="0.2">
      <c r="A32" s="246" t="s">
        <v>200</v>
      </c>
      <c r="B32" s="231" t="s">
        <v>385</v>
      </c>
      <c r="C32" s="247" t="s">
        <v>57</v>
      </c>
      <c r="D32" s="248" t="s">
        <v>135</v>
      </c>
      <c r="E32" s="249">
        <v>4.0981445312500003E-2</v>
      </c>
      <c r="F32" s="250" t="s">
        <v>386</v>
      </c>
      <c r="G32" s="251" t="s">
        <v>16</v>
      </c>
      <c r="H32" s="252">
        <v>2</v>
      </c>
      <c r="I32" s="252">
        <v>2</v>
      </c>
      <c r="J32" s="252">
        <v>1</v>
      </c>
      <c r="K32" s="252">
        <v>1</v>
      </c>
      <c r="L32" s="253">
        <v>2</v>
      </c>
      <c r="M32" s="254">
        <f t="shared" si="0"/>
        <v>0.37356464144298934</v>
      </c>
      <c r="N32" s="255"/>
    </row>
    <row r="33" spans="1:14" hidden="1" x14ac:dyDescent="0.2">
      <c r="A33" s="246" t="s">
        <v>200</v>
      </c>
      <c r="B33" s="231" t="s">
        <v>385</v>
      </c>
      <c r="C33" s="247" t="s">
        <v>59</v>
      </c>
      <c r="D33" s="248" t="s">
        <v>135</v>
      </c>
      <c r="E33" s="249">
        <v>4.36E-2</v>
      </c>
      <c r="F33" s="250" t="s">
        <v>360</v>
      </c>
      <c r="G33" s="251" t="s">
        <v>16</v>
      </c>
      <c r="H33" s="252">
        <v>2</v>
      </c>
      <c r="I33" s="252">
        <v>2</v>
      </c>
      <c r="J33" s="252">
        <v>1</v>
      </c>
      <c r="K33" s="252">
        <v>1</v>
      </c>
      <c r="L33" s="253">
        <v>2</v>
      </c>
      <c r="M33" s="254">
        <f t="shared" si="0"/>
        <v>0.37356464144298934</v>
      </c>
      <c r="N33" s="255"/>
    </row>
    <row r="34" spans="1:14" hidden="1" x14ac:dyDescent="0.2">
      <c r="A34" s="246" t="s">
        <v>200</v>
      </c>
      <c r="B34" s="231" t="s">
        <v>385</v>
      </c>
      <c r="C34" s="247" t="s">
        <v>60</v>
      </c>
      <c r="D34" s="248" t="s">
        <v>135</v>
      </c>
      <c r="E34" s="249">
        <v>3.3132877604166673E-2</v>
      </c>
      <c r="F34" s="250" t="s">
        <v>386</v>
      </c>
      <c r="G34" s="251" t="s">
        <v>16</v>
      </c>
      <c r="H34" s="252">
        <v>2</v>
      </c>
      <c r="I34" s="252">
        <v>2</v>
      </c>
      <c r="J34" s="252">
        <v>1</v>
      </c>
      <c r="K34" s="252">
        <v>1</v>
      </c>
      <c r="L34" s="253">
        <v>2</v>
      </c>
      <c r="M34" s="254">
        <f t="shared" si="0"/>
        <v>0.37356464144298934</v>
      </c>
      <c r="N34" s="255"/>
    </row>
    <row r="35" spans="1:14" x14ac:dyDescent="0.2">
      <c r="A35" s="236" t="s">
        <v>200</v>
      </c>
      <c r="B35" s="237" t="s">
        <v>387</v>
      </c>
      <c r="C35" s="238" t="s">
        <v>135</v>
      </c>
      <c r="D35" s="239" t="s">
        <v>135</v>
      </c>
      <c r="E35" s="274" t="s">
        <v>188</v>
      </c>
      <c r="F35" s="241"/>
      <c r="G35" s="242" t="s">
        <v>16</v>
      </c>
      <c r="H35" s="240"/>
      <c r="I35" s="240"/>
      <c r="J35" s="240"/>
      <c r="K35" s="240"/>
      <c r="L35" s="243"/>
      <c r="M35" s="244" t="str">
        <f t="shared" ref="M35:M65" si="1">IF( OR( ISBLANK(H35),ISBLANK(I35), ISBLANK(J35), ISBLANK(K35), ISBLANK(L35) ), "", 1.5*SQRT( EXP(2.21*(H35-1)) + EXP(2.21*(I35-1)) + EXP(2.21*(J35-1)) + EXP(2.21*(K35-1)) + EXP(2.21*L35) )/100*2.45 )</f>
        <v/>
      </c>
      <c r="N35" s="245"/>
    </row>
    <row r="36" spans="1:14" x14ac:dyDescent="0.2">
      <c r="A36" s="230" t="s">
        <v>207</v>
      </c>
      <c r="B36" s="231" t="s">
        <v>385</v>
      </c>
      <c r="C36" s="247" t="s">
        <v>13</v>
      </c>
      <c r="D36" s="248" t="s">
        <v>135</v>
      </c>
      <c r="E36" s="249">
        <v>8.5140541546634405E-2</v>
      </c>
      <c r="F36" s="250" t="s">
        <v>386</v>
      </c>
      <c r="G36" s="251" t="s">
        <v>16</v>
      </c>
      <c r="H36" s="252">
        <v>2</v>
      </c>
      <c r="I36" s="252">
        <v>2</v>
      </c>
      <c r="J36" s="252">
        <v>1</v>
      </c>
      <c r="K36" s="252">
        <v>1</v>
      </c>
      <c r="L36" s="253">
        <v>2</v>
      </c>
      <c r="M36" s="254">
        <f t="shared" si="1"/>
        <v>0.37356464144298934</v>
      </c>
      <c r="N36" s="255"/>
    </row>
    <row r="37" spans="1:14" hidden="1" x14ac:dyDescent="0.2">
      <c r="A37" s="230" t="s">
        <v>207</v>
      </c>
      <c r="B37" s="231" t="s">
        <v>385</v>
      </c>
      <c r="C37" s="247" t="s">
        <v>18</v>
      </c>
      <c r="D37" s="248" t="s">
        <v>135</v>
      </c>
      <c r="E37" s="249">
        <v>0.1051724114222547</v>
      </c>
      <c r="F37" s="250" t="s">
        <v>386</v>
      </c>
      <c r="G37" s="251" t="s">
        <v>16</v>
      </c>
      <c r="H37" s="252">
        <v>2</v>
      </c>
      <c r="I37" s="252">
        <v>2</v>
      </c>
      <c r="J37" s="252">
        <v>1</v>
      </c>
      <c r="K37" s="252">
        <v>1</v>
      </c>
      <c r="L37" s="253">
        <v>2</v>
      </c>
      <c r="M37" s="254">
        <f t="shared" si="1"/>
        <v>0.37356464144298934</v>
      </c>
      <c r="N37" s="255"/>
    </row>
    <row r="38" spans="1:14" hidden="1" x14ac:dyDescent="0.2">
      <c r="A38" s="230" t="s">
        <v>207</v>
      </c>
      <c r="B38" s="231" t="s">
        <v>385</v>
      </c>
      <c r="C38" s="247" t="s">
        <v>20</v>
      </c>
      <c r="D38" s="248" t="s">
        <v>135</v>
      </c>
      <c r="E38" s="249">
        <v>0.16025495900496239</v>
      </c>
      <c r="F38" s="250" t="s">
        <v>386</v>
      </c>
      <c r="G38" s="251" t="s">
        <v>16</v>
      </c>
      <c r="H38" s="252">
        <v>2</v>
      </c>
      <c r="I38" s="252">
        <v>2</v>
      </c>
      <c r="J38" s="252">
        <v>1</v>
      </c>
      <c r="K38" s="252">
        <v>1</v>
      </c>
      <c r="L38" s="253">
        <v>2</v>
      </c>
      <c r="M38" s="254">
        <f t="shared" si="1"/>
        <v>0.37356464144298934</v>
      </c>
      <c r="N38" s="255"/>
    </row>
    <row r="39" spans="1:14" hidden="1" x14ac:dyDescent="0.2">
      <c r="A39" s="230" t="s">
        <v>207</v>
      </c>
      <c r="B39" s="231" t="s">
        <v>385</v>
      </c>
      <c r="C39" s="247" t="s">
        <v>22</v>
      </c>
      <c r="D39" s="248" t="s">
        <v>135</v>
      </c>
      <c r="E39" s="249">
        <v>9.514628733394831E-2</v>
      </c>
      <c r="F39" s="250" t="s">
        <v>386</v>
      </c>
      <c r="G39" s="251" t="s">
        <v>16</v>
      </c>
      <c r="H39" s="252">
        <v>2</v>
      </c>
      <c r="I39" s="252">
        <v>2</v>
      </c>
      <c r="J39" s="252">
        <v>1</v>
      </c>
      <c r="K39" s="252">
        <v>1</v>
      </c>
      <c r="L39" s="253">
        <v>2</v>
      </c>
      <c r="M39" s="254">
        <f t="shared" si="1"/>
        <v>0.37356464144298934</v>
      </c>
      <c r="N39" s="255"/>
    </row>
    <row r="40" spans="1:14" hidden="1" x14ac:dyDescent="0.2">
      <c r="A40" s="230" t="s">
        <v>207</v>
      </c>
      <c r="B40" s="231" t="s">
        <v>385</v>
      </c>
      <c r="C40" s="247" t="s">
        <v>23</v>
      </c>
      <c r="D40" s="248" t="s">
        <v>135</v>
      </c>
      <c r="E40" s="249">
        <v>0.1176846882316452</v>
      </c>
      <c r="F40" s="250" t="s">
        <v>386</v>
      </c>
      <c r="G40" s="251" t="s">
        <v>16</v>
      </c>
      <c r="H40" s="252">
        <v>2</v>
      </c>
      <c r="I40" s="252">
        <v>2</v>
      </c>
      <c r="J40" s="252">
        <v>1</v>
      </c>
      <c r="K40" s="252">
        <v>1</v>
      </c>
      <c r="L40" s="253">
        <v>2</v>
      </c>
      <c r="M40" s="254">
        <f t="shared" si="1"/>
        <v>0.37356464144298934</v>
      </c>
      <c r="N40" s="255"/>
    </row>
    <row r="41" spans="1:14" hidden="1" x14ac:dyDescent="0.2">
      <c r="A41" s="230" t="s">
        <v>207</v>
      </c>
      <c r="B41" s="231" t="s">
        <v>385</v>
      </c>
      <c r="C41" s="247" t="s">
        <v>24</v>
      </c>
      <c r="D41" s="248" t="s">
        <v>135</v>
      </c>
      <c r="E41" s="249">
        <v>0.14523615117349531</v>
      </c>
      <c r="F41" s="250" t="s">
        <v>386</v>
      </c>
      <c r="G41" s="251" t="s">
        <v>16</v>
      </c>
      <c r="H41" s="252">
        <v>2</v>
      </c>
      <c r="I41" s="252">
        <v>2</v>
      </c>
      <c r="J41" s="252">
        <v>1</v>
      </c>
      <c r="K41" s="252">
        <v>1</v>
      </c>
      <c r="L41" s="253">
        <v>2</v>
      </c>
      <c r="M41" s="254">
        <f t="shared" si="1"/>
        <v>0.37356464144298934</v>
      </c>
      <c r="N41" s="255"/>
    </row>
    <row r="42" spans="1:14" hidden="1" x14ac:dyDescent="0.2">
      <c r="A42" s="230" t="s">
        <v>207</v>
      </c>
      <c r="B42" s="231" t="s">
        <v>385</v>
      </c>
      <c r="C42" s="247" t="s">
        <v>25</v>
      </c>
      <c r="D42" s="248" t="s">
        <v>135</v>
      </c>
      <c r="E42" s="249">
        <v>7.5114417458328003E-2</v>
      </c>
      <c r="F42" s="250" t="s">
        <v>386</v>
      </c>
      <c r="G42" s="251" t="s">
        <v>16</v>
      </c>
      <c r="H42" s="252">
        <v>2</v>
      </c>
      <c r="I42" s="252">
        <v>2</v>
      </c>
      <c r="J42" s="252">
        <v>1</v>
      </c>
      <c r="K42" s="252">
        <v>1</v>
      </c>
      <c r="L42" s="253">
        <v>2</v>
      </c>
      <c r="M42" s="254">
        <f t="shared" si="1"/>
        <v>0.37356464144298934</v>
      </c>
      <c r="N42" s="255"/>
    </row>
    <row r="43" spans="1:14" hidden="1" x14ac:dyDescent="0.2">
      <c r="A43" s="230" t="s">
        <v>207</v>
      </c>
      <c r="B43" s="231" t="s">
        <v>385</v>
      </c>
      <c r="C43" s="247" t="s">
        <v>26</v>
      </c>
      <c r="D43" s="248" t="s">
        <v>135</v>
      </c>
      <c r="E43" s="249">
        <v>7.2628264737243903E-2</v>
      </c>
      <c r="F43" s="250" t="s">
        <v>386</v>
      </c>
      <c r="G43" s="251" t="s">
        <v>16</v>
      </c>
      <c r="H43" s="252">
        <v>2</v>
      </c>
      <c r="I43" s="252">
        <v>2</v>
      </c>
      <c r="J43" s="252">
        <v>1</v>
      </c>
      <c r="K43" s="252">
        <v>1</v>
      </c>
      <c r="L43" s="253">
        <v>2</v>
      </c>
      <c r="M43" s="254">
        <f t="shared" si="1"/>
        <v>0.37356464144298934</v>
      </c>
      <c r="N43" s="255"/>
    </row>
    <row r="44" spans="1:14" hidden="1" x14ac:dyDescent="0.2">
      <c r="A44" s="230" t="s">
        <v>207</v>
      </c>
      <c r="B44" s="231" t="s">
        <v>385</v>
      </c>
      <c r="C44" s="247" t="s">
        <v>27</v>
      </c>
      <c r="D44" s="248" t="s">
        <v>135</v>
      </c>
      <c r="E44" s="249">
        <v>6.2602140648937502E-2</v>
      </c>
      <c r="F44" s="250" t="s">
        <v>386</v>
      </c>
      <c r="G44" s="251" t="s">
        <v>16</v>
      </c>
      <c r="H44" s="252">
        <v>2</v>
      </c>
      <c r="I44" s="252">
        <v>2</v>
      </c>
      <c r="J44" s="252">
        <v>1</v>
      </c>
      <c r="K44" s="252">
        <v>1</v>
      </c>
      <c r="L44" s="253">
        <v>2</v>
      </c>
      <c r="M44" s="254">
        <f t="shared" si="1"/>
        <v>0.37356464144298934</v>
      </c>
      <c r="N44" s="255"/>
    </row>
    <row r="45" spans="1:14" hidden="1" x14ac:dyDescent="0.2">
      <c r="A45" s="230" t="s">
        <v>207</v>
      </c>
      <c r="B45" s="231" t="s">
        <v>385</v>
      </c>
      <c r="C45" s="247" t="s">
        <v>28</v>
      </c>
      <c r="D45" s="248" t="s">
        <v>135</v>
      </c>
      <c r="E45" s="249">
        <v>6.2602140648937502E-2</v>
      </c>
      <c r="F45" s="250" t="s">
        <v>386</v>
      </c>
      <c r="G45" s="251" t="s">
        <v>16</v>
      </c>
      <c r="H45" s="252">
        <v>2</v>
      </c>
      <c r="I45" s="252">
        <v>2</v>
      </c>
      <c r="J45" s="252">
        <v>1</v>
      </c>
      <c r="K45" s="252">
        <v>1</v>
      </c>
      <c r="L45" s="253">
        <v>2</v>
      </c>
      <c r="M45" s="254">
        <f t="shared" si="1"/>
        <v>0.37356464144298934</v>
      </c>
      <c r="N45" s="255"/>
    </row>
    <row r="46" spans="1:14" hidden="1" x14ac:dyDescent="0.2">
      <c r="A46" s="230" t="s">
        <v>207</v>
      </c>
      <c r="B46" s="231" t="s">
        <v>385</v>
      </c>
      <c r="C46" s="247" t="s">
        <v>30</v>
      </c>
      <c r="D46" s="248" t="s">
        <v>135</v>
      </c>
      <c r="E46" s="249">
        <v>0.125204281297875</v>
      </c>
      <c r="F46" s="250" t="s">
        <v>386</v>
      </c>
      <c r="G46" s="251" t="s">
        <v>16</v>
      </c>
      <c r="H46" s="252">
        <v>2</v>
      </c>
      <c r="I46" s="252">
        <v>2</v>
      </c>
      <c r="J46" s="252">
        <v>1</v>
      </c>
      <c r="K46" s="252">
        <v>1</v>
      </c>
      <c r="L46" s="253">
        <v>2</v>
      </c>
      <c r="M46" s="254">
        <f t="shared" si="1"/>
        <v>0.37356464144298934</v>
      </c>
      <c r="N46" s="255"/>
    </row>
    <row r="47" spans="1:14" hidden="1" x14ac:dyDescent="0.2">
      <c r="A47" s="230" t="s">
        <v>207</v>
      </c>
      <c r="B47" s="231" t="s">
        <v>385</v>
      </c>
      <c r="C47" s="247" t="s">
        <v>32</v>
      </c>
      <c r="D47" s="248" t="s">
        <v>135</v>
      </c>
      <c r="E47" s="249">
        <v>8.0127479502481211E-2</v>
      </c>
      <c r="F47" s="250" t="s">
        <v>386</v>
      </c>
      <c r="G47" s="251" t="s">
        <v>16</v>
      </c>
      <c r="H47" s="252">
        <v>2</v>
      </c>
      <c r="I47" s="252">
        <v>2</v>
      </c>
      <c r="J47" s="252">
        <v>1</v>
      </c>
      <c r="K47" s="252">
        <v>1</v>
      </c>
      <c r="L47" s="253">
        <v>2</v>
      </c>
      <c r="M47" s="254">
        <f t="shared" si="1"/>
        <v>0.37356464144298934</v>
      </c>
      <c r="N47" s="255"/>
    </row>
    <row r="48" spans="1:14" hidden="1" x14ac:dyDescent="0.2">
      <c r="A48" s="230" t="s">
        <v>207</v>
      </c>
      <c r="B48" s="231" t="s">
        <v>385</v>
      </c>
      <c r="C48" s="247" t="s">
        <v>34</v>
      </c>
      <c r="D48" s="248" t="s">
        <v>135</v>
      </c>
      <c r="E48" s="249">
        <v>9.2660134612864209E-2</v>
      </c>
      <c r="F48" s="250" t="s">
        <v>386</v>
      </c>
      <c r="G48" s="251" t="s">
        <v>16</v>
      </c>
      <c r="H48" s="252">
        <v>2</v>
      </c>
      <c r="I48" s="252">
        <v>2</v>
      </c>
      <c r="J48" s="252">
        <v>1</v>
      </c>
      <c r="K48" s="252">
        <v>1</v>
      </c>
      <c r="L48" s="253">
        <v>2</v>
      </c>
      <c r="M48" s="254">
        <f t="shared" si="1"/>
        <v>0.37356464144298934</v>
      </c>
      <c r="N48" s="255"/>
    </row>
    <row r="49" spans="1:14" hidden="1" x14ac:dyDescent="0.2">
      <c r="A49" s="230" t="s">
        <v>207</v>
      </c>
      <c r="B49" s="231" t="s">
        <v>385</v>
      </c>
      <c r="C49" s="247" t="s">
        <v>36</v>
      </c>
      <c r="D49" s="248" t="s">
        <v>135</v>
      </c>
      <c r="E49" s="249">
        <v>0.1001593493781015</v>
      </c>
      <c r="F49" s="250" t="s">
        <v>386</v>
      </c>
      <c r="G49" s="251" t="s">
        <v>16</v>
      </c>
      <c r="H49" s="252">
        <v>2</v>
      </c>
      <c r="I49" s="252">
        <v>2</v>
      </c>
      <c r="J49" s="252">
        <v>1</v>
      </c>
      <c r="K49" s="252">
        <v>1</v>
      </c>
      <c r="L49" s="253">
        <v>2</v>
      </c>
      <c r="M49" s="254">
        <f t="shared" si="1"/>
        <v>0.37356464144298934</v>
      </c>
      <c r="N49" s="255"/>
    </row>
    <row r="50" spans="1:14" hidden="1" x14ac:dyDescent="0.2">
      <c r="A50" s="230" t="s">
        <v>207</v>
      </c>
      <c r="B50" s="231" t="s">
        <v>385</v>
      </c>
      <c r="C50" s="247" t="s">
        <v>37</v>
      </c>
      <c r="D50" s="248" t="s">
        <v>135</v>
      </c>
      <c r="E50" s="249">
        <v>9.514628733394831E-2</v>
      </c>
      <c r="F50" s="250" t="s">
        <v>386</v>
      </c>
      <c r="G50" s="251" t="s">
        <v>16</v>
      </c>
      <c r="H50" s="252">
        <v>2</v>
      </c>
      <c r="I50" s="252">
        <v>2</v>
      </c>
      <c r="J50" s="252">
        <v>1</v>
      </c>
      <c r="K50" s="252">
        <v>1</v>
      </c>
      <c r="L50" s="253">
        <v>2</v>
      </c>
      <c r="M50" s="254">
        <f t="shared" si="1"/>
        <v>0.37356464144298934</v>
      </c>
      <c r="N50" s="255"/>
    </row>
    <row r="51" spans="1:14" hidden="1" x14ac:dyDescent="0.2">
      <c r="A51" s="230" t="s">
        <v>207</v>
      </c>
      <c r="B51" s="231" t="s">
        <v>385</v>
      </c>
      <c r="C51" s="247" t="s">
        <v>39</v>
      </c>
      <c r="D51" s="248" t="s">
        <v>135</v>
      </c>
      <c r="E51" s="249">
        <v>9.0153603590787598E-2</v>
      </c>
      <c r="F51" s="250" t="s">
        <v>386</v>
      </c>
      <c r="G51" s="251" t="s">
        <v>16</v>
      </c>
      <c r="H51" s="252">
        <v>2</v>
      </c>
      <c r="I51" s="252">
        <v>2</v>
      </c>
      <c r="J51" s="252">
        <v>1</v>
      </c>
      <c r="K51" s="252">
        <v>1</v>
      </c>
      <c r="L51" s="253">
        <v>2</v>
      </c>
      <c r="M51" s="254">
        <f t="shared" si="1"/>
        <v>0.37356464144298934</v>
      </c>
      <c r="N51" s="255"/>
    </row>
    <row r="52" spans="1:14" hidden="1" x14ac:dyDescent="0.2">
      <c r="A52" s="230" t="s">
        <v>207</v>
      </c>
      <c r="B52" s="231" t="s">
        <v>385</v>
      </c>
      <c r="C52" s="247" t="s">
        <v>40</v>
      </c>
      <c r="D52" s="248" t="s">
        <v>135</v>
      </c>
      <c r="E52" s="249">
        <v>0.1277108123199516</v>
      </c>
      <c r="F52" s="250" t="s">
        <v>386</v>
      </c>
      <c r="G52" s="251" t="s">
        <v>16</v>
      </c>
      <c r="H52" s="252">
        <v>2</v>
      </c>
      <c r="I52" s="252">
        <v>2</v>
      </c>
      <c r="J52" s="252">
        <v>1</v>
      </c>
      <c r="K52" s="252">
        <v>1</v>
      </c>
      <c r="L52" s="253">
        <v>2</v>
      </c>
      <c r="M52" s="254">
        <f t="shared" si="1"/>
        <v>0.37356464144298934</v>
      </c>
      <c r="N52" s="255"/>
    </row>
    <row r="53" spans="1:14" hidden="1" x14ac:dyDescent="0.2">
      <c r="A53" s="230" t="s">
        <v>207</v>
      </c>
      <c r="B53" s="231" t="s">
        <v>385</v>
      </c>
      <c r="C53" s="247" t="s">
        <v>41</v>
      </c>
      <c r="D53" s="248" t="s">
        <v>135</v>
      </c>
      <c r="E53" s="249">
        <v>9.2660134612864209E-2</v>
      </c>
      <c r="F53" s="250" t="s">
        <v>386</v>
      </c>
      <c r="G53" s="251" t="s">
        <v>16</v>
      </c>
      <c r="H53" s="252">
        <v>2</v>
      </c>
      <c r="I53" s="252">
        <v>2</v>
      </c>
      <c r="J53" s="252">
        <v>1</v>
      </c>
      <c r="K53" s="252">
        <v>1</v>
      </c>
      <c r="L53" s="253">
        <v>2</v>
      </c>
      <c r="M53" s="254">
        <f t="shared" si="1"/>
        <v>0.37356464144298934</v>
      </c>
      <c r="N53" s="255"/>
    </row>
    <row r="54" spans="1:14" hidden="1" x14ac:dyDescent="0.2">
      <c r="A54" s="230" t="s">
        <v>207</v>
      </c>
      <c r="B54" s="231" t="s">
        <v>385</v>
      </c>
      <c r="C54" s="247" t="s">
        <v>42</v>
      </c>
      <c r="D54" s="248" t="s">
        <v>135</v>
      </c>
      <c r="E54" s="249">
        <v>8.2634010524557822E-2</v>
      </c>
      <c r="F54" s="250" t="s">
        <v>386</v>
      </c>
      <c r="G54" s="251" t="s">
        <v>16</v>
      </c>
      <c r="H54" s="252">
        <v>2</v>
      </c>
      <c r="I54" s="252">
        <v>2</v>
      </c>
      <c r="J54" s="252">
        <v>1</v>
      </c>
      <c r="K54" s="252">
        <v>1</v>
      </c>
      <c r="L54" s="253">
        <v>2</v>
      </c>
      <c r="M54" s="254">
        <f t="shared" si="1"/>
        <v>0.37356464144298934</v>
      </c>
      <c r="N54" s="255"/>
    </row>
    <row r="55" spans="1:14" hidden="1" x14ac:dyDescent="0.2">
      <c r="A55" s="230" t="s">
        <v>207</v>
      </c>
      <c r="B55" s="231" t="s">
        <v>385</v>
      </c>
      <c r="C55" s="247" t="s">
        <v>43</v>
      </c>
      <c r="D55" s="248" t="s">
        <v>135</v>
      </c>
      <c r="E55" s="249">
        <v>0.125204281297875</v>
      </c>
      <c r="F55" s="250" t="s">
        <v>386</v>
      </c>
      <c r="G55" s="251" t="s">
        <v>16</v>
      </c>
      <c r="H55" s="252">
        <v>2</v>
      </c>
      <c r="I55" s="252">
        <v>2</v>
      </c>
      <c r="J55" s="252">
        <v>1</v>
      </c>
      <c r="K55" s="252">
        <v>1</v>
      </c>
      <c r="L55" s="253">
        <v>2</v>
      </c>
      <c r="M55" s="254">
        <f t="shared" si="1"/>
        <v>0.37356464144298934</v>
      </c>
      <c r="N55" s="255"/>
    </row>
    <row r="56" spans="1:14" hidden="1" x14ac:dyDescent="0.2">
      <c r="A56" s="230" t="s">
        <v>207</v>
      </c>
      <c r="B56" s="231" t="s">
        <v>385</v>
      </c>
      <c r="C56" s="247" t="s">
        <v>45</v>
      </c>
      <c r="D56" s="248" t="s">
        <v>135</v>
      </c>
      <c r="E56" s="249">
        <v>0.1176846882316452</v>
      </c>
      <c r="F56" s="250" t="s">
        <v>386</v>
      </c>
      <c r="G56" s="251" t="s">
        <v>16</v>
      </c>
      <c r="H56" s="252">
        <v>2</v>
      </c>
      <c r="I56" s="252">
        <v>2</v>
      </c>
      <c r="J56" s="252">
        <v>1</v>
      </c>
      <c r="K56" s="252">
        <v>1</v>
      </c>
      <c r="L56" s="253">
        <v>2</v>
      </c>
      <c r="M56" s="254">
        <f t="shared" si="1"/>
        <v>0.37356464144298934</v>
      </c>
      <c r="N56" s="255"/>
    </row>
    <row r="57" spans="1:14" hidden="1" x14ac:dyDescent="0.2">
      <c r="A57" s="230" t="s">
        <v>207</v>
      </c>
      <c r="B57" s="231" t="s">
        <v>385</v>
      </c>
      <c r="C57" s="247" t="s">
        <v>46</v>
      </c>
      <c r="D57" s="248" t="s">
        <v>135</v>
      </c>
      <c r="E57" s="249">
        <v>7.2628264737243903E-2</v>
      </c>
      <c r="F57" s="250" t="s">
        <v>386</v>
      </c>
      <c r="G57" s="251" t="s">
        <v>16</v>
      </c>
      <c r="H57" s="252">
        <v>2</v>
      </c>
      <c r="I57" s="252">
        <v>2</v>
      </c>
      <c r="J57" s="252">
        <v>1</v>
      </c>
      <c r="K57" s="252">
        <v>1</v>
      </c>
      <c r="L57" s="253">
        <v>2</v>
      </c>
      <c r="M57" s="254">
        <f t="shared" si="1"/>
        <v>0.37356464144298934</v>
      </c>
      <c r="N57" s="255"/>
    </row>
    <row r="58" spans="1:14" hidden="1" x14ac:dyDescent="0.2">
      <c r="A58" s="230" t="s">
        <v>207</v>
      </c>
      <c r="B58" s="231" t="s">
        <v>385</v>
      </c>
      <c r="C58" s="247" t="s">
        <v>48</v>
      </c>
      <c r="D58" s="248" t="s">
        <v>135</v>
      </c>
      <c r="E58" s="249">
        <v>0.1001593493781015</v>
      </c>
      <c r="F58" s="250" t="s">
        <v>386</v>
      </c>
      <c r="G58" s="251" t="s">
        <v>16</v>
      </c>
      <c r="H58" s="252">
        <v>2</v>
      </c>
      <c r="I58" s="252">
        <v>2</v>
      </c>
      <c r="J58" s="252">
        <v>1</v>
      </c>
      <c r="K58" s="252">
        <v>1</v>
      </c>
      <c r="L58" s="253">
        <v>2</v>
      </c>
      <c r="M58" s="254">
        <f t="shared" si="1"/>
        <v>0.37356464144298934</v>
      </c>
      <c r="N58" s="255"/>
    </row>
    <row r="59" spans="1:14" hidden="1" x14ac:dyDescent="0.2">
      <c r="A59" s="230" t="s">
        <v>207</v>
      </c>
      <c r="B59" s="231" t="s">
        <v>385</v>
      </c>
      <c r="C59" s="247" t="s">
        <v>50</v>
      </c>
      <c r="D59" s="248" t="s">
        <v>135</v>
      </c>
      <c r="E59" s="249">
        <v>0.1101854734664079</v>
      </c>
      <c r="F59" s="250" t="s">
        <v>386</v>
      </c>
      <c r="G59" s="251" t="s">
        <v>16</v>
      </c>
      <c r="H59" s="252">
        <v>2</v>
      </c>
      <c r="I59" s="252">
        <v>2</v>
      </c>
      <c r="J59" s="252">
        <v>1</v>
      </c>
      <c r="K59" s="252">
        <v>1</v>
      </c>
      <c r="L59" s="253">
        <v>2</v>
      </c>
      <c r="M59" s="254">
        <f t="shared" si="1"/>
        <v>0.37356464144298934</v>
      </c>
      <c r="N59" s="255"/>
    </row>
    <row r="60" spans="1:14" hidden="1" x14ac:dyDescent="0.2">
      <c r="A60" s="230" t="s">
        <v>207</v>
      </c>
      <c r="B60" s="231" t="s">
        <v>385</v>
      </c>
      <c r="C60" s="247" t="s">
        <v>52</v>
      </c>
      <c r="D60" s="248" t="s">
        <v>135</v>
      </c>
      <c r="E60" s="249">
        <v>0.14022308912934209</v>
      </c>
      <c r="F60" s="250" t="s">
        <v>386</v>
      </c>
      <c r="G60" s="251" t="s">
        <v>16</v>
      </c>
      <c r="H60" s="252">
        <v>2</v>
      </c>
      <c r="I60" s="252">
        <v>2</v>
      </c>
      <c r="J60" s="252">
        <v>1</v>
      </c>
      <c r="K60" s="252">
        <v>1</v>
      </c>
      <c r="L60" s="253">
        <v>2</v>
      </c>
      <c r="M60" s="254">
        <f t="shared" si="1"/>
        <v>0.37356464144298934</v>
      </c>
      <c r="N60" s="255"/>
    </row>
    <row r="61" spans="1:14" hidden="1" x14ac:dyDescent="0.2">
      <c r="A61" s="230" t="s">
        <v>207</v>
      </c>
      <c r="B61" s="231" t="s">
        <v>385</v>
      </c>
      <c r="C61" s="247" t="s">
        <v>54</v>
      </c>
      <c r="D61" s="248" t="s">
        <v>135</v>
      </c>
      <c r="E61" s="249">
        <v>0.17278761411534541</v>
      </c>
      <c r="F61" s="250" t="s">
        <v>386</v>
      </c>
      <c r="G61" s="251" t="s">
        <v>16</v>
      </c>
      <c r="H61" s="252">
        <v>2</v>
      </c>
      <c r="I61" s="252">
        <v>2</v>
      </c>
      <c r="J61" s="252">
        <v>1</v>
      </c>
      <c r="K61" s="252">
        <v>1</v>
      </c>
      <c r="L61" s="253">
        <v>2</v>
      </c>
      <c r="M61" s="254">
        <f t="shared" si="1"/>
        <v>0.37356464144298934</v>
      </c>
      <c r="N61" s="255"/>
    </row>
    <row r="62" spans="1:14" hidden="1" x14ac:dyDescent="0.2">
      <c r="A62" s="230" t="s">
        <v>207</v>
      </c>
      <c r="B62" s="231" t="s">
        <v>385</v>
      </c>
      <c r="C62" s="247" t="s">
        <v>55</v>
      </c>
      <c r="D62" s="248" t="s">
        <v>135</v>
      </c>
      <c r="E62" s="249">
        <v>0.1051724114222547</v>
      </c>
      <c r="F62" s="250" t="s">
        <v>386</v>
      </c>
      <c r="G62" s="251" t="s">
        <v>16</v>
      </c>
      <c r="H62" s="252">
        <v>2</v>
      </c>
      <c r="I62" s="252">
        <v>2</v>
      </c>
      <c r="J62" s="252">
        <v>1</v>
      </c>
      <c r="K62" s="252">
        <v>1</v>
      </c>
      <c r="L62" s="253">
        <v>2</v>
      </c>
      <c r="M62" s="254">
        <f t="shared" si="1"/>
        <v>0.37356464144298934</v>
      </c>
      <c r="N62" s="255"/>
    </row>
    <row r="63" spans="1:14" hidden="1" x14ac:dyDescent="0.2">
      <c r="A63" s="230" t="s">
        <v>207</v>
      </c>
      <c r="B63" s="231" t="s">
        <v>385</v>
      </c>
      <c r="C63" s="247" t="s">
        <v>57</v>
      </c>
      <c r="D63" s="248" t="s">
        <v>135</v>
      </c>
      <c r="E63" s="249">
        <v>0.1176846882316452</v>
      </c>
      <c r="F63" s="250" t="s">
        <v>386</v>
      </c>
      <c r="G63" s="251" t="s">
        <v>16</v>
      </c>
      <c r="H63" s="252">
        <v>2</v>
      </c>
      <c r="I63" s="252">
        <v>2</v>
      </c>
      <c r="J63" s="252">
        <v>1</v>
      </c>
      <c r="K63" s="252">
        <v>1</v>
      </c>
      <c r="L63" s="253">
        <v>2</v>
      </c>
      <c r="M63" s="254">
        <f t="shared" si="1"/>
        <v>0.37356464144298934</v>
      </c>
      <c r="N63" s="255"/>
    </row>
    <row r="64" spans="1:14" hidden="1" x14ac:dyDescent="0.2">
      <c r="A64" s="230" t="s">
        <v>207</v>
      </c>
      <c r="B64" s="231" t="s">
        <v>385</v>
      </c>
      <c r="C64" s="247" t="s">
        <v>59</v>
      </c>
      <c r="D64" s="248" t="s">
        <v>135</v>
      </c>
      <c r="E64" s="249">
        <v>0.125204281297875</v>
      </c>
      <c r="F64" s="250" t="s">
        <v>360</v>
      </c>
      <c r="G64" s="251" t="s">
        <v>16</v>
      </c>
      <c r="H64" s="252">
        <v>2</v>
      </c>
      <c r="I64" s="252">
        <v>2</v>
      </c>
      <c r="J64" s="252">
        <v>1</v>
      </c>
      <c r="K64" s="252">
        <v>1</v>
      </c>
      <c r="L64" s="253">
        <v>2</v>
      </c>
      <c r="M64" s="254">
        <f t="shared" si="1"/>
        <v>0.37356464144298934</v>
      </c>
      <c r="N64" s="255"/>
    </row>
    <row r="65" spans="1:14" hidden="1" x14ac:dyDescent="0.2">
      <c r="A65" s="230" t="s">
        <v>207</v>
      </c>
      <c r="B65" s="231" t="s">
        <v>385</v>
      </c>
      <c r="C65" s="247" t="s">
        <v>60</v>
      </c>
      <c r="D65" s="248" t="s">
        <v>135</v>
      </c>
      <c r="E65" s="249">
        <v>9.514628733394831E-2</v>
      </c>
      <c r="F65" s="250" t="s">
        <v>386</v>
      </c>
      <c r="G65" s="251" t="s">
        <v>16</v>
      </c>
      <c r="H65" s="252">
        <v>2</v>
      </c>
      <c r="I65" s="252">
        <v>2</v>
      </c>
      <c r="J65" s="252">
        <v>1</v>
      </c>
      <c r="K65" s="252">
        <v>1</v>
      </c>
      <c r="L65" s="253">
        <v>2</v>
      </c>
      <c r="M65" s="254">
        <f t="shared" si="1"/>
        <v>0.37356464144298934</v>
      </c>
      <c r="N65" s="255"/>
    </row>
    <row r="66" spans="1:14" x14ac:dyDescent="0.2">
      <c r="A66" s="236" t="s">
        <v>207</v>
      </c>
      <c r="B66" s="237" t="s">
        <v>387</v>
      </c>
      <c r="C66" s="238" t="s">
        <v>135</v>
      </c>
      <c r="D66" s="239" t="s">
        <v>135</v>
      </c>
      <c r="E66" s="274" t="s">
        <v>188</v>
      </c>
      <c r="F66" s="241"/>
      <c r="G66" s="242" t="s">
        <v>16</v>
      </c>
      <c r="H66" s="240"/>
      <c r="I66" s="240"/>
      <c r="J66" s="240"/>
      <c r="K66" s="240"/>
      <c r="L66" s="243"/>
      <c r="M66" s="244" t="str">
        <f>IF( OR( ISBLANK(H66),ISBLANK(I66), ISBLANK(J66), ISBLANK(K66), ISBLANK(L66) ), "", 1.5*SQRT(   EXP(2.21*(H66-1)) + EXP(2.21*(I66-1)) + EXP(2.21*(J66-1)) + EXP(2.21*(K66-1)) + EXP(2.21*L66)   )/100*2.45 )</f>
        <v/>
      </c>
      <c r="N66" s="245"/>
    </row>
    <row r="67" spans="1:14" x14ac:dyDescent="0.2">
      <c r="A67" s="230" t="s">
        <v>215</v>
      </c>
      <c r="B67" s="231" t="s">
        <v>385</v>
      </c>
      <c r="C67" s="222" t="s">
        <v>135</v>
      </c>
      <c r="D67" s="257" t="s">
        <v>14</v>
      </c>
      <c r="E67" s="61">
        <v>0</v>
      </c>
      <c r="F67" s="233" t="s">
        <v>341</v>
      </c>
      <c r="G67" s="234" t="s">
        <v>16</v>
      </c>
      <c r="H67" s="61"/>
      <c r="I67" s="61"/>
      <c r="J67" s="61"/>
      <c r="K67" s="61"/>
      <c r="L67" s="62"/>
      <c r="M67" s="63" t="str">
        <f t="shared" ref="M67:M98" si="2">IF( OR( ISBLANK(H67),ISBLANK(I67), ISBLANK(J67), ISBLANK(K67), ISBLANK(L67) ), "", 1.5*SQRT( EXP(2.21*(H67-1)) + EXP(2.21*(I67-1)) + EXP(2.21*(J67-1)) + EXP(2.21*(K67-1)) + EXP(2.21*L67) )/100*2.45 )</f>
        <v/>
      </c>
      <c r="N67" s="235"/>
    </row>
    <row r="68" spans="1:14" x14ac:dyDescent="0.2">
      <c r="A68" s="230" t="s">
        <v>215</v>
      </c>
      <c r="B68" s="231" t="s">
        <v>385</v>
      </c>
      <c r="C68" s="247" t="s">
        <v>13</v>
      </c>
      <c r="D68" s="258" t="s">
        <v>62</v>
      </c>
      <c r="E68" s="249">
        <v>0.17594899262633951</v>
      </c>
      <c r="F68" s="250" t="s">
        <v>386</v>
      </c>
      <c r="G68" s="251" t="s">
        <v>16</v>
      </c>
      <c r="H68" s="252">
        <v>2</v>
      </c>
      <c r="I68" s="252">
        <v>2</v>
      </c>
      <c r="J68" s="252">
        <v>1</v>
      </c>
      <c r="K68" s="252">
        <v>1</v>
      </c>
      <c r="L68" s="253">
        <v>2</v>
      </c>
      <c r="M68" s="254">
        <f t="shared" si="2"/>
        <v>0.37356464144298934</v>
      </c>
      <c r="N68" s="255"/>
    </row>
    <row r="69" spans="1:14" hidden="1" x14ac:dyDescent="0.2">
      <c r="A69" s="230" t="s">
        <v>215</v>
      </c>
      <c r="B69" s="231" t="s">
        <v>385</v>
      </c>
      <c r="C69" s="247" t="s">
        <v>18</v>
      </c>
      <c r="D69" s="258" t="s">
        <v>62</v>
      </c>
      <c r="E69" s="249">
        <v>0.2173462783495782</v>
      </c>
      <c r="F69" s="250" t="s">
        <v>386</v>
      </c>
      <c r="G69" s="251" t="s">
        <v>16</v>
      </c>
      <c r="H69" s="252">
        <v>2</v>
      </c>
      <c r="I69" s="252">
        <v>2</v>
      </c>
      <c r="J69" s="252">
        <v>1</v>
      </c>
      <c r="K69" s="252">
        <v>1</v>
      </c>
      <c r="L69" s="253">
        <v>2</v>
      </c>
      <c r="M69" s="254">
        <f t="shared" si="2"/>
        <v>0.37356464144298934</v>
      </c>
      <c r="N69" s="255"/>
    </row>
    <row r="70" spans="1:14" hidden="1" x14ac:dyDescent="0.2">
      <c r="A70" s="230" t="s">
        <v>215</v>
      </c>
      <c r="B70" s="231" t="s">
        <v>385</v>
      </c>
      <c r="C70" s="247" t="s">
        <v>20</v>
      </c>
      <c r="D70" s="258" t="s">
        <v>62</v>
      </c>
      <c r="E70" s="249">
        <v>0.33117828578591041</v>
      </c>
      <c r="F70" s="250" t="s">
        <v>386</v>
      </c>
      <c r="G70" s="251" t="s">
        <v>16</v>
      </c>
      <c r="H70" s="252">
        <v>2</v>
      </c>
      <c r="I70" s="252">
        <v>2</v>
      </c>
      <c r="J70" s="252">
        <v>1</v>
      </c>
      <c r="K70" s="252">
        <v>1</v>
      </c>
      <c r="L70" s="253">
        <v>2</v>
      </c>
      <c r="M70" s="254">
        <f t="shared" si="2"/>
        <v>0.37356464144298934</v>
      </c>
      <c r="N70" s="255"/>
    </row>
    <row r="71" spans="1:14" hidden="1" x14ac:dyDescent="0.2">
      <c r="A71" s="230" t="s">
        <v>215</v>
      </c>
      <c r="B71" s="231" t="s">
        <v>385</v>
      </c>
      <c r="C71" s="247" t="s">
        <v>22</v>
      </c>
      <c r="D71" s="258" t="s">
        <v>62</v>
      </c>
      <c r="E71" s="249">
        <v>0.19662657888280971</v>
      </c>
      <c r="F71" s="250" t="s">
        <v>386</v>
      </c>
      <c r="G71" s="251" t="s">
        <v>16</v>
      </c>
      <c r="H71" s="252">
        <v>2</v>
      </c>
      <c r="I71" s="252">
        <v>2</v>
      </c>
      <c r="J71" s="252">
        <v>1</v>
      </c>
      <c r="K71" s="252">
        <v>1</v>
      </c>
      <c r="L71" s="253">
        <v>2</v>
      </c>
      <c r="M71" s="254">
        <f t="shared" si="2"/>
        <v>0.37356464144298934</v>
      </c>
      <c r="N71" s="255"/>
    </row>
    <row r="72" spans="1:14" hidden="1" x14ac:dyDescent="0.2">
      <c r="A72" s="230" t="s">
        <v>215</v>
      </c>
      <c r="B72" s="231" t="s">
        <v>385</v>
      </c>
      <c r="C72" s="247" t="s">
        <v>23</v>
      </c>
      <c r="D72" s="258" t="s">
        <v>62</v>
      </c>
      <c r="E72" s="249">
        <v>0.2432037894727406</v>
      </c>
      <c r="F72" s="250" t="s">
        <v>386</v>
      </c>
      <c r="G72" s="251" t="s">
        <v>16</v>
      </c>
      <c r="H72" s="252">
        <v>2</v>
      </c>
      <c r="I72" s="252">
        <v>2</v>
      </c>
      <c r="J72" s="252">
        <v>1</v>
      </c>
      <c r="K72" s="252">
        <v>1</v>
      </c>
      <c r="L72" s="253">
        <v>2</v>
      </c>
      <c r="M72" s="254">
        <f t="shared" si="2"/>
        <v>0.37356464144298934</v>
      </c>
      <c r="N72" s="255"/>
    </row>
    <row r="73" spans="1:14" hidden="1" x14ac:dyDescent="0.2">
      <c r="A73" s="230" t="s">
        <v>215</v>
      </c>
      <c r="B73" s="231" t="s">
        <v>385</v>
      </c>
      <c r="C73" s="247" t="s">
        <v>24</v>
      </c>
      <c r="D73" s="258" t="s">
        <v>62</v>
      </c>
      <c r="E73" s="249">
        <v>0.30014084979605582</v>
      </c>
      <c r="F73" s="250" t="s">
        <v>386</v>
      </c>
      <c r="G73" s="251" t="s">
        <v>16</v>
      </c>
      <c r="H73" s="252">
        <v>2</v>
      </c>
      <c r="I73" s="252">
        <v>2</v>
      </c>
      <c r="J73" s="252">
        <v>1</v>
      </c>
      <c r="K73" s="252">
        <v>1</v>
      </c>
      <c r="L73" s="253">
        <v>2</v>
      </c>
      <c r="M73" s="254">
        <f t="shared" si="2"/>
        <v>0.37356464144298934</v>
      </c>
      <c r="N73" s="255"/>
    </row>
    <row r="74" spans="1:14" hidden="1" x14ac:dyDescent="0.2">
      <c r="A74" s="230" t="s">
        <v>215</v>
      </c>
      <c r="B74" s="231" t="s">
        <v>385</v>
      </c>
      <c r="C74" s="247" t="s">
        <v>25</v>
      </c>
      <c r="D74" s="258" t="s">
        <v>62</v>
      </c>
      <c r="E74" s="249">
        <v>0.1552292931595709</v>
      </c>
      <c r="F74" s="250" t="s">
        <v>386</v>
      </c>
      <c r="G74" s="251" t="s">
        <v>16</v>
      </c>
      <c r="H74" s="252">
        <v>2</v>
      </c>
      <c r="I74" s="252">
        <v>2</v>
      </c>
      <c r="J74" s="252">
        <v>1</v>
      </c>
      <c r="K74" s="252">
        <v>1</v>
      </c>
      <c r="L74" s="253">
        <v>2</v>
      </c>
      <c r="M74" s="254">
        <f t="shared" si="2"/>
        <v>0.37356464144298934</v>
      </c>
      <c r="N74" s="255"/>
    </row>
    <row r="75" spans="1:14" hidden="1" x14ac:dyDescent="0.2">
      <c r="A75" s="230" t="s">
        <v>215</v>
      </c>
      <c r="B75" s="231" t="s">
        <v>385</v>
      </c>
      <c r="C75" s="247" t="s">
        <v>26</v>
      </c>
      <c r="D75" s="258" t="s">
        <v>62</v>
      </c>
      <c r="E75" s="249">
        <v>0.15009148150317711</v>
      </c>
      <c r="F75" s="250" t="s">
        <v>386</v>
      </c>
      <c r="G75" s="251" t="s">
        <v>16</v>
      </c>
      <c r="H75" s="252">
        <v>2</v>
      </c>
      <c r="I75" s="252">
        <v>2</v>
      </c>
      <c r="J75" s="252">
        <v>1</v>
      </c>
      <c r="K75" s="252">
        <v>1</v>
      </c>
      <c r="L75" s="253">
        <v>2</v>
      </c>
      <c r="M75" s="254">
        <f t="shared" si="2"/>
        <v>0.37356464144298934</v>
      </c>
      <c r="N75" s="255"/>
    </row>
    <row r="76" spans="1:14" hidden="1" x14ac:dyDescent="0.2">
      <c r="A76" s="230" t="s">
        <v>215</v>
      </c>
      <c r="B76" s="231" t="s">
        <v>385</v>
      </c>
      <c r="C76" s="247" t="s">
        <v>27</v>
      </c>
      <c r="D76" s="258" t="s">
        <v>62</v>
      </c>
      <c r="E76" s="249">
        <v>0.12937178203640851</v>
      </c>
      <c r="F76" s="250" t="s">
        <v>386</v>
      </c>
      <c r="G76" s="251" t="s">
        <v>16</v>
      </c>
      <c r="H76" s="252">
        <v>2</v>
      </c>
      <c r="I76" s="252">
        <v>2</v>
      </c>
      <c r="J76" s="252">
        <v>1</v>
      </c>
      <c r="K76" s="252">
        <v>1</v>
      </c>
      <c r="L76" s="253">
        <v>2</v>
      </c>
      <c r="M76" s="254">
        <f t="shared" si="2"/>
        <v>0.37356464144298934</v>
      </c>
      <c r="N76" s="255"/>
    </row>
    <row r="77" spans="1:14" hidden="1" x14ac:dyDescent="0.2">
      <c r="A77" s="230" t="s">
        <v>215</v>
      </c>
      <c r="B77" s="231" t="s">
        <v>385</v>
      </c>
      <c r="C77" s="247" t="s">
        <v>28</v>
      </c>
      <c r="D77" s="258" t="s">
        <v>62</v>
      </c>
      <c r="E77" s="249">
        <v>0.12937178203640851</v>
      </c>
      <c r="F77" s="250" t="s">
        <v>386</v>
      </c>
      <c r="G77" s="251" t="s">
        <v>16</v>
      </c>
      <c r="H77" s="252">
        <v>2</v>
      </c>
      <c r="I77" s="252">
        <v>2</v>
      </c>
      <c r="J77" s="252">
        <v>1</v>
      </c>
      <c r="K77" s="252">
        <v>1</v>
      </c>
      <c r="L77" s="253">
        <v>2</v>
      </c>
      <c r="M77" s="254">
        <f t="shared" si="2"/>
        <v>0.37356464144298934</v>
      </c>
      <c r="N77" s="255"/>
    </row>
    <row r="78" spans="1:14" hidden="1" x14ac:dyDescent="0.2">
      <c r="A78" s="230" t="s">
        <v>215</v>
      </c>
      <c r="B78" s="231" t="s">
        <v>385</v>
      </c>
      <c r="C78" s="247" t="s">
        <v>30</v>
      </c>
      <c r="D78" s="258" t="s">
        <v>62</v>
      </c>
      <c r="E78" s="249">
        <v>0.25874356407281701</v>
      </c>
      <c r="F78" s="250" t="s">
        <v>386</v>
      </c>
      <c r="G78" s="251" t="s">
        <v>16</v>
      </c>
      <c r="H78" s="252">
        <v>2</v>
      </c>
      <c r="I78" s="252">
        <v>2</v>
      </c>
      <c r="J78" s="252">
        <v>1</v>
      </c>
      <c r="K78" s="252">
        <v>1</v>
      </c>
      <c r="L78" s="253">
        <v>2</v>
      </c>
      <c r="M78" s="254">
        <f t="shared" si="2"/>
        <v>0.37356464144298934</v>
      </c>
      <c r="N78" s="255"/>
    </row>
    <row r="79" spans="1:14" hidden="1" x14ac:dyDescent="0.2">
      <c r="A79" s="230" t="s">
        <v>215</v>
      </c>
      <c r="B79" s="231" t="s">
        <v>385</v>
      </c>
      <c r="C79" s="247" t="s">
        <v>32</v>
      </c>
      <c r="D79" s="258" t="s">
        <v>62</v>
      </c>
      <c r="E79" s="249">
        <v>0.1655891428929552</v>
      </c>
      <c r="F79" s="250" t="s">
        <v>386</v>
      </c>
      <c r="G79" s="251" t="s">
        <v>16</v>
      </c>
      <c r="H79" s="252">
        <v>2</v>
      </c>
      <c r="I79" s="252">
        <v>2</v>
      </c>
      <c r="J79" s="252">
        <v>1</v>
      </c>
      <c r="K79" s="252">
        <v>1</v>
      </c>
      <c r="L79" s="253">
        <v>2</v>
      </c>
      <c r="M79" s="254">
        <f t="shared" si="2"/>
        <v>0.37356464144298934</v>
      </c>
      <c r="N79" s="255"/>
    </row>
    <row r="80" spans="1:14" hidden="1" x14ac:dyDescent="0.2">
      <c r="A80" s="230" t="s">
        <v>215</v>
      </c>
      <c r="B80" s="231" t="s">
        <v>385</v>
      </c>
      <c r="C80" s="247" t="s">
        <v>34</v>
      </c>
      <c r="D80" s="258" t="s">
        <v>62</v>
      </c>
      <c r="E80" s="249">
        <v>0.19148876722641589</v>
      </c>
      <c r="F80" s="250" t="s">
        <v>386</v>
      </c>
      <c r="G80" s="251" t="s">
        <v>16</v>
      </c>
      <c r="H80" s="252">
        <v>2</v>
      </c>
      <c r="I80" s="252">
        <v>2</v>
      </c>
      <c r="J80" s="252">
        <v>1</v>
      </c>
      <c r="K80" s="252">
        <v>1</v>
      </c>
      <c r="L80" s="253">
        <v>2</v>
      </c>
      <c r="M80" s="254">
        <f t="shared" si="2"/>
        <v>0.37356464144298934</v>
      </c>
      <c r="N80" s="255"/>
    </row>
    <row r="81" spans="1:14" hidden="1" x14ac:dyDescent="0.2">
      <c r="A81" s="230" t="s">
        <v>215</v>
      </c>
      <c r="B81" s="231" t="s">
        <v>385</v>
      </c>
      <c r="C81" s="247" t="s">
        <v>36</v>
      </c>
      <c r="D81" s="258" t="s">
        <v>62</v>
      </c>
      <c r="E81" s="249">
        <v>0.20698642861619401</v>
      </c>
      <c r="F81" s="250" t="s">
        <v>386</v>
      </c>
      <c r="G81" s="251" t="s">
        <v>16</v>
      </c>
      <c r="H81" s="252">
        <v>2</v>
      </c>
      <c r="I81" s="252">
        <v>2</v>
      </c>
      <c r="J81" s="252">
        <v>1</v>
      </c>
      <c r="K81" s="252">
        <v>1</v>
      </c>
      <c r="L81" s="253">
        <v>2</v>
      </c>
      <c r="M81" s="254">
        <f t="shared" si="2"/>
        <v>0.37356464144298934</v>
      </c>
      <c r="N81" s="255"/>
    </row>
    <row r="82" spans="1:14" hidden="1" x14ac:dyDescent="0.2">
      <c r="A82" s="230" t="s">
        <v>215</v>
      </c>
      <c r="B82" s="231" t="s">
        <v>385</v>
      </c>
      <c r="C82" s="247" t="s">
        <v>37</v>
      </c>
      <c r="D82" s="258" t="s">
        <v>62</v>
      </c>
      <c r="E82" s="249">
        <v>0.19662657888280971</v>
      </c>
      <c r="F82" s="250" t="s">
        <v>386</v>
      </c>
      <c r="G82" s="251" t="s">
        <v>16</v>
      </c>
      <c r="H82" s="252">
        <v>2</v>
      </c>
      <c r="I82" s="252">
        <v>2</v>
      </c>
      <c r="J82" s="252">
        <v>1</v>
      </c>
      <c r="K82" s="252">
        <v>1</v>
      </c>
      <c r="L82" s="253">
        <v>2</v>
      </c>
      <c r="M82" s="254">
        <f t="shared" si="2"/>
        <v>0.37356464144298934</v>
      </c>
      <c r="N82" s="255"/>
    </row>
    <row r="83" spans="1:14" hidden="1" x14ac:dyDescent="0.2">
      <c r="A83" s="230" t="s">
        <v>215</v>
      </c>
      <c r="B83" s="231" t="s">
        <v>385</v>
      </c>
      <c r="C83" s="247" t="s">
        <v>39</v>
      </c>
      <c r="D83" s="258" t="s">
        <v>62</v>
      </c>
      <c r="E83" s="249">
        <v>0.1863088423597237</v>
      </c>
      <c r="F83" s="250" t="s">
        <v>386</v>
      </c>
      <c r="G83" s="251" t="s">
        <v>16</v>
      </c>
      <c r="H83" s="252">
        <v>2</v>
      </c>
      <c r="I83" s="252">
        <v>2</v>
      </c>
      <c r="J83" s="252">
        <v>1</v>
      </c>
      <c r="K83" s="252">
        <v>1</v>
      </c>
      <c r="L83" s="253">
        <v>2</v>
      </c>
      <c r="M83" s="254">
        <f t="shared" si="2"/>
        <v>0.37356464144298934</v>
      </c>
      <c r="N83" s="255"/>
    </row>
    <row r="84" spans="1:14" hidden="1" x14ac:dyDescent="0.2">
      <c r="A84" s="230" t="s">
        <v>215</v>
      </c>
      <c r="B84" s="231" t="s">
        <v>385</v>
      </c>
      <c r="C84" s="247" t="s">
        <v>40</v>
      </c>
      <c r="D84" s="258" t="s">
        <v>62</v>
      </c>
      <c r="E84" s="249">
        <v>0.26392348893950918</v>
      </c>
      <c r="F84" s="250" t="s">
        <v>386</v>
      </c>
      <c r="G84" s="251" t="s">
        <v>16</v>
      </c>
      <c r="H84" s="252">
        <v>2</v>
      </c>
      <c r="I84" s="252">
        <v>2</v>
      </c>
      <c r="J84" s="252">
        <v>1</v>
      </c>
      <c r="K84" s="252">
        <v>1</v>
      </c>
      <c r="L84" s="253">
        <v>2</v>
      </c>
      <c r="M84" s="254">
        <f t="shared" si="2"/>
        <v>0.37356464144298934</v>
      </c>
      <c r="N84" s="255"/>
    </row>
    <row r="85" spans="1:14" hidden="1" x14ac:dyDescent="0.2">
      <c r="A85" s="230" t="s">
        <v>215</v>
      </c>
      <c r="B85" s="231" t="s">
        <v>385</v>
      </c>
      <c r="C85" s="247" t="s">
        <v>41</v>
      </c>
      <c r="D85" s="258" t="s">
        <v>62</v>
      </c>
      <c r="E85" s="249">
        <v>0.19148876722641589</v>
      </c>
      <c r="F85" s="250" t="s">
        <v>386</v>
      </c>
      <c r="G85" s="251" t="s">
        <v>16</v>
      </c>
      <c r="H85" s="252">
        <v>2</v>
      </c>
      <c r="I85" s="252">
        <v>2</v>
      </c>
      <c r="J85" s="252">
        <v>1</v>
      </c>
      <c r="K85" s="252">
        <v>1</v>
      </c>
      <c r="L85" s="253">
        <v>2</v>
      </c>
      <c r="M85" s="254">
        <f t="shared" si="2"/>
        <v>0.37356464144298934</v>
      </c>
      <c r="N85" s="255"/>
    </row>
    <row r="86" spans="1:14" hidden="1" x14ac:dyDescent="0.2">
      <c r="A86" s="230" t="s">
        <v>215</v>
      </c>
      <c r="B86" s="231" t="s">
        <v>385</v>
      </c>
      <c r="C86" s="247" t="s">
        <v>42</v>
      </c>
      <c r="D86" s="258" t="s">
        <v>62</v>
      </c>
      <c r="E86" s="249">
        <v>0.17076906775964729</v>
      </c>
      <c r="F86" s="250" t="s">
        <v>386</v>
      </c>
      <c r="G86" s="251" t="s">
        <v>16</v>
      </c>
      <c r="H86" s="252">
        <v>2</v>
      </c>
      <c r="I86" s="252">
        <v>2</v>
      </c>
      <c r="J86" s="252">
        <v>1</v>
      </c>
      <c r="K86" s="252">
        <v>1</v>
      </c>
      <c r="L86" s="253">
        <v>2</v>
      </c>
      <c r="M86" s="254">
        <f t="shared" si="2"/>
        <v>0.37356464144298934</v>
      </c>
      <c r="N86" s="255"/>
    </row>
    <row r="87" spans="1:14" hidden="1" x14ac:dyDescent="0.2">
      <c r="A87" s="230" t="s">
        <v>215</v>
      </c>
      <c r="B87" s="231" t="s">
        <v>385</v>
      </c>
      <c r="C87" s="247" t="s">
        <v>43</v>
      </c>
      <c r="D87" s="258" t="s">
        <v>62</v>
      </c>
      <c r="E87" s="249">
        <v>0.25874356407281701</v>
      </c>
      <c r="F87" s="250" t="s">
        <v>386</v>
      </c>
      <c r="G87" s="251" t="s">
        <v>16</v>
      </c>
      <c r="H87" s="252">
        <v>2</v>
      </c>
      <c r="I87" s="252">
        <v>2</v>
      </c>
      <c r="J87" s="252">
        <v>1</v>
      </c>
      <c r="K87" s="252">
        <v>1</v>
      </c>
      <c r="L87" s="253">
        <v>2</v>
      </c>
      <c r="M87" s="254">
        <f t="shared" si="2"/>
        <v>0.37356464144298934</v>
      </c>
      <c r="N87" s="255"/>
    </row>
    <row r="88" spans="1:14" hidden="1" x14ac:dyDescent="0.2">
      <c r="A88" s="230" t="s">
        <v>215</v>
      </c>
      <c r="B88" s="231" t="s">
        <v>385</v>
      </c>
      <c r="C88" s="247" t="s">
        <v>45</v>
      </c>
      <c r="D88" s="258" t="s">
        <v>62</v>
      </c>
      <c r="E88" s="249">
        <v>0.2432037894727406</v>
      </c>
      <c r="F88" s="250" t="s">
        <v>386</v>
      </c>
      <c r="G88" s="251" t="s">
        <v>16</v>
      </c>
      <c r="H88" s="252">
        <v>2</v>
      </c>
      <c r="I88" s="252">
        <v>2</v>
      </c>
      <c r="J88" s="252">
        <v>1</v>
      </c>
      <c r="K88" s="252">
        <v>1</v>
      </c>
      <c r="L88" s="253">
        <v>2</v>
      </c>
      <c r="M88" s="254">
        <f t="shared" si="2"/>
        <v>0.37356464144298934</v>
      </c>
      <c r="N88" s="255"/>
    </row>
    <row r="89" spans="1:14" hidden="1" x14ac:dyDescent="0.2">
      <c r="A89" s="230" t="s">
        <v>215</v>
      </c>
      <c r="B89" s="231" t="s">
        <v>385</v>
      </c>
      <c r="C89" s="247" t="s">
        <v>46</v>
      </c>
      <c r="D89" s="258" t="s">
        <v>62</v>
      </c>
      <c r="E89" s="249">
        <v>0.15009148150317711</v>
      </c>
      <c r="F89" s="250" t="s">
        <v>386</v>
      </c>
      <c r="G89" s="251" t="s">
        <v>16</v>
      </c>
      <c r="H89" s="252">
        <v>2</v>
      </c>
      <c r="I89" s="252">
        <v>2</v>
      </c>
      <c r="J89" s="252">
        <v>1</v>
      </c>
      <c r="K89" s="252">
        <v>1</v>
      </c>
      <c r="L89" s="253">
        <v>2</v>
      </c>
      <c r="M89" s="254">
        <f t="shared" si="2"/>
        <v>0.37356464144298934</v>
      </c>
      <c r="N89" s="255"/>
    </row>
    <row r="90" spans="1:14" hidden="1" x14ac:dyDescent="0.2">
      <c r="A90" s="230" t="s">
        <v>215</v>
      </c>
      <c r="B90" s="231" t="s">
        <v>385</v>
      </c>
      <c r="C90" s="247" t="s">
        <v>48</v>
      </c>
      <c r="D90" s="258" t="s">
        <v>62</v>
      </c>
      <c r="E90" s="249">
        <v>0.20698642861619401</v>
      </c>
      <c r="F90" s="250" t="s">
        <v>386</v>
      </c>
      <c r="G90" s="251" t="s">
        <v>16</v>
      </c>
      <c r="H90" s="252">
        <v>2</v>
      </c>
      <c r="I90" s="252">
        <v>2</v>
      </c>
      <c r="J90" s="252">
        <v>1</v>
      </c>
      <c r="K90" s="252">
        <v>1</v>
      </c>
      <c r="L90" s="253">
        <v>2</v>
      </c>
      <c r="M90" s="254">
        <f t="shared" si="2"/>
        <v>0.37356464144298934</v>
      </c>
      <c r="N90" s="255"/>
    </row>
    <row r="91" spans="1:14" hidden="1" x14ac:dyDescent="0.2">
      <c r="A91" s="230" t="s">
        <v>215</v>
      </c>
      <c r="B91" s="231" t="s">
        <v>385</v>
      </c>
      <c r="C91" s="247" t="s">
        <v>50</v>
      </c>
      <c r="D91" s="258" t="s">
        <v>62</v>
      </c>
      <c r="E91" s="249">
        <v>0.22770612808296251</v>
      </c>
      <c r="F91" s="250" t="s">
        <v>386</v>
      </c>
      <c r="G91" s="251" t="s">
        <v>16</v>
      </c>
      <c r="H91" s="252">
        <v>2</v>
      </c>
      <c r="I91" s="252">
        <v>2</v>
      </c>
      <c r="J91" s="252">
        <v>1</v>
      </c>
      <c r="K91" s="252">
        <v>1</v>
      </c>
      <c r="L91" s="253">
        <v>2</v>
      </c>
      <c r="M91" s="254">
        <f t="shared" si="2"/>
        <v>0.37356464144298934</v>
      </c>
      <c r="N91" s="255"/>
    </row>
    <row r="92" spans="1:14" hidden="1" x14ac:dyDescent="0.2">
      <c r="A92" s="230" t="s">
        <v>215</v>
      </c>
      <c r="B92" s="231" t="s">
        <v>385</v>
      </c>
      <c r="C92" s="247" t="s">
        <v>52</v>
      </c>
      <c r="D92" s="258" t="s">
        <v>62</v>
      </c>
      <c r="E92" s="249">
        <v>0.28978100006267149</v>
      </c>
      <c r="F92" s="250" t="s">
        <v>386</v>
      </c>
      <c r="G92" s="251" t="s">
        <v>16</v>
      </c>
      <c r="H92" s="252">
        <v>2</v>
      </c>
      <c r="I92" s="252">
        <v>2</v>
      </c>
      <c r="J92" s="252">
        <v>1</v>
      </c>
      <c r="K92" s="252">
        <v>1</v>
      </c>
      <c r="L92" s="253">
        <v>2</v>
      </c>
      <c r="M92" s="254">
        <f t="shared" si="2"/>
        <v>0.37356464144298934</v>
      </c>
      <c r="N92" s="255"/>
    </row>
    <row r="93" spans="1:14" hidden="1" x14ac:dyDescent="0.2">
      <c r="A93" s="230" t="s">
        <v>215</v>
      </c>
      <c r="B93" s="231" t="s">
        <v>385</v>
      </c>
      <c r="C93" s="247" t="s">
        <v>54</v>
      </c>
      <c r="D93" s="258" t="s">
        <v>62</v>
      </c>
      <c r="E93" s="249">
        <v>0.35707791011937101</v>
      </c>
      <c r="F93" s="250" t="s">
        <v>386</v>
      </c>
      <c r="G93" s="251" t="s">
        <v>16</v>
      </c>
      <c r="H93" s="252">
        <v>2</v>
      </c>
      <c r="I93" s="252">
        <v>2</v>
      </c>
      <c r="J93" s="252">
        <v>1</v>
      </c>
      <c r="K93" s="252">
        <v>1</v>
      </c>
      <c r="L93" s="253">
        <v>2</v>
      </c>
      <c r="M93" s="254">
        <f t="shared" si="2"/>
        <v>0.37356464144298934</v>
      </c>
      <c r="N93" s="255"/>
    </row>
    <row r="94" spans="1:14" hidden="1" x14ac:dyDescent="0.2">
      <c r="A94" s="230" t="s">
        <v>215</v>
      </c>
      <c r="B94" s="231" t="s">
        <v>385</v>
      </c>
      <c r="C94" s="247" t="s">
        <v>55</v>
      </c>
      <c r="D94" s="258" t="s">
        <v>62</v>
      </c>
      <c r="E94" s="249">
        <v>0.2173462783495782</v>
      </c>
      <c r="F94" s="250" t="s">
        <v>386</v>
      </c>
      <c r="G94" s="251" t="s">
        <v>16</v>
      </c>
      <c r="H94" s="252">
        <v>2</v>
      </c>
      <c r="I94" s="252">
        <v>2</v>
      </c>
      <c r="J94" s="252">
        <v>1</v>
      </c>
      <c r="K94" s="252">
        <v>1</v>
      </c>
      <c r="L94" s="253">
        <v>2</v>
      </c>
      <c r="M94" s="254">
        <f t="shared" si="2"/>
        <v>0.37356464144298934</v>
      </c>
      <c r="N94" s="255"/>
    </row>
    <row r="95" spans="1:14" hidden="1" x14ac:dyDescent="0.2">
      <c r="A95" s="230" t="s">
        <v>215</v>
      </c>
      <c r="B95" s="231" t="s">
        <v>385</v>
      </c>
      <c r="C95" s="247" t="s">
        <v>57</v>
      </c>
      <c r="D95" s="258" t="s">
        <v>62</v>
      </c>
      <c r="E95" s="249">
        <v>0.2432037894727406</v>
      </c>
      <c r="F95" s="250" t="s">
        <v>386</v>
      </c>
      <c r="G95" s="251" t="s">
        <v>16</v>
      </c>
      <c r="H95" s="252">
        <v>2</v>
      </c>
      <c r="I95" s="252">
        <v>2</v>
      </c>
      <c r="J95" s="252">
        <v>1</v>
      </c>
      <c r="K95" s="252">
        <v>1</v>
      </c>
      <c r="L95" s="253">
        <v>2</v>
      </c>
      <c r="M95" s="254">
        <f t="shared" si="2"/>
        <v>0.37356464144298934</v>
      </c>
      <c r="N95" s="255"/>
    </row>
    <row r="96" spans="1:14" hidden="1" x14ac:dyDescent="0.2">
      <c r="A96" s="230" t="s">
        <v>215</v>
      </c>
      <c r="B96" s="231" t="s">
        <v>385</v>
      </c>
      <c r="C96" s="247" t="s">
        <v>59</v>
      </c>
      <c r="D96" s="258" t="s">
        <v>62</v>
      </c>
      <c r="E96" s="249">
        <v>0.25874356407281701</v>
      </c>
      <c r="F96" s="250" t="s">
        <v>360</v>
      </c>
      <c r="G96" s="251" t="s">
        <v>16</v>
      </c>
      <c r="H96" s="252">
        <v>2</v>
      </c>
      <c r="I96" s="252">
        <v>2</v>
      </c>
      <c r="J96" s="252">
        <v>1</v>
      </c>
      <c r="K96" s="252">
        <v>1</v>
      </c>
      <c r="L96" s="253">
        <v>2</v>
      </c>
      <c r="M96" s="254">
        <f t="shared" si="2"/>
        <v>0.37356464144298934</v>
      </c>
      <c r="N96" s="255"/>
    </row>
    <row r="97" spans="1:14" hidden="1" x14ac:dyDescent="0.2">
      <c r="A97" s="230" t="s">
        <v>215</v>
      </c>
      <c r="B97" s="231" t="s">
        <v>385</v>
      </c>
      <c r="C97" s="247" t="s">
        <v>60</v>
      </c>
      <c r="D97" s="258" t="s">
        <v>62</v>
      </c>
      <c r="E97" s="249">
        <v>0.19662657888280971</v>
      </c>
      <c r="F97" s="250" t="s">
        <v>386</v>
      </c>
      <c r="G97" s="251" t="s">
        <v>16</v>
      </c>
      <c r="H97" s="252">
        <v>2</v>
      </c>
      <c r="I97" s="252">
        <v>2</v>
      </c>
      <c r="J97" s="252">
        <v>1</v>
      </c>
      <c r="K97" s="252">
        <v>1</v>
      </c>
      <c r="L97" s="253">
        <v>2</v>
      </c>
      <c r="M97" s="254">
        <f t="shared" si="2"/>
        <v>0.37356464144298934</v>
      </c>
      <c r="N97" s="255"/>
    </row>
    <row r="98" spans="1:14" x14ac:dyDescent="0.2">
      <c r="A98" s="230" t="s">
        <v>215</v>
      </c>
      <c r="B98" s="231" t="s">
        <v>385</v>
      </c>
      <c r="C98" s="247" t="s">
        <v>13</v>
      </c>
      <c r="D98" s="259" t="s">
        <v>64</v>
      </c>
      <c r="E98" s="249">
        <v>9.2340922070931836E-2</v>
      </c>
      <c r="F98" s="250" t="s">
        <v>386</v>
      </c>
      <c r="G98" s="251" t="s">
        <v>16</v>
      </c>
      <c r="H98" s="252">
        <v>2</v>
      </c>
      <c r="I98" s="252">
        <v>2</v>
      </c>
      <c r="J98" s="252">
        <v>1</v>
      </c>
      <c r="K98" s="252">
        <v>1</v>
      </c>
      <c r="L98" s="253">
        <v>2</v>
      </c>
      <c r="M98" s="254">
        <f t="shared" si="2"/>
        <v>0.37356464144298934</v>
      </c>
      <c r="N98" s="255"/>
    </row>
    <row r="99" spans="1:14" hidden="1" x14ac:dyDescent="0.2">
      <c r="A99" s="230" t="s">
        <v>215</v>
      </c>
      <c r="B99" s="231" t="s">
        <v>385</v>
      </c>
      <c r="C99" s="247" t="s">
        <v>18</v>
      </c>
      <c r="D99" s="259" t="s">
        <v>64</v>
      </c>
      <c r="E99" s="249">
        <v>0.11406689775205341</v>
      </c>
      <c r="F99" s="250" t="s">
        <v>386</v>
      </c>
      <c r="G99" s="251" t="s">
        <v>16</v>
      </c>
      <c r="H99" s="252">
        <v>2</v>
      </c>
      <c r="I99" s="252">
        <v>2</v>
      </c>
      <c r="J99" s="252">
        <v>1</v>
      </c>
      <c r="K99" s="252">
        <v>1</v>
      </c>
      <c r="L99" s="253">
        <v>2</v>
      </c>
      <c r="M99" s="254">
        <f t="shared" ref="M99:M129" si="3">IF( OR( ISBLANK(H99),ISBLANK(I99), ISBLANK(J99), ISBLANK(K99), ISBLANK(L99) ), "", 1.5*SQRT( EXP(2.21*(H99-1)) + EXP(2.21*(I99-1)) + EXP(2.21*(J99-1)) + EXP(2.21*(K99-1)) + EXP(2.21*L99) )/100*2.45 )</f>
        <v>0.37356464144298934</v>
      </c>
      <c r="N99" s="255"/>
    </row>
    <row r="100" spans="1:14" hidden="1" x14ac:dyDescent="0.2">
      <c r="A100" s="230" t="s">
        <v>215</v>
      </c>
      <c r="B100" s="231" t="s">
        <v>385</v>
      </c>
      <c r="C100" s="247" t="s">
        <v>20</v>
      </c>
      <c r="D100" s="259" t="s">
        <v>64</v>
      </c>
      <c r="E100" s="249">
        <v>0.1738078054489727</v>
      </c>
      <c r="F100" s="250" t="s">
        <v>386</v>
      </c>
      <c r="G100" s="251" t="s">
        <v>16</v>
      </c>
      <c r="H100" s="252">
        <v>2</v>
      </c>
      <c r="I100" s="252">
        <v>2</v>
      </c>
      <c r="J100" s="252">
        <v>1</v>
      </c>
      <c r="K100" s="252">
        <v>1</v>
      </c>
      <c r="L100" s="253">
        <v>2</v>
      </c>
      <c r="M100" s="254">
        <f t="shared" si="3"/>
        <v>0.37356464144298934</v>
      </c>
      <c r="N100" s="255"/>
    </row>
    <row r="101" spans="1:14" hidden="1" x14ac:dyDescent="0.2">
      <c r="A101" s="230" t="s">
        <v>215</v>
      </c>
      <c r="B101" s="231" t="s">
        <v>385</v>
      </c>
      <c r="C101" s="247" t="s">
        <v>22</v>
      </c>
      <c r="D101" s="259" t="s">
        <v>64</v>
      </c>
      <c r="E101" s="249">
        <v>0.10319285905916251</v>
      </c>
      <c r="F101" s="250" t="s">
        <v>386</v>
      </c>
      <c r="G101" s="251" t="s">
        <v>16</v>
      </c>
      <c r="H101" s="252">
        <v>2</v>
      </c>
      <c r="I101" s="252">
        <v>2</v>
      </c>
      <c r="J101" s="252">
        <v>1</v>
      </c>
      <c r="K101" s="252">
        <v>1</v>
      </c>
      <c r="L101" s="253">
        <v>2</v>
      </c>
      <c r="M101" s="254">
        <f t="shared" si="3"/>
        <v>0.37356464144298934</v>
      </c>
      <c r="N101" s="255"/>
    </row>
    <row r="102" spans="1:14" hidden="1" x14ac:dyDescent="0.2">
      <c r="A102" s="230" t="s">
        <v>215</v>
      </c>
      <c r="B102" s="231" t="s">
        <v>385</v>
      </c>
      <c r="C102" s="247" t="s">
        <v>23</v>
      </c>
      <c r="D102" s="259" t="s">
        <v>64</v>
      </c>
      <c r="E102" s="249">
        <v>0.1276373444135068</v>
      </c>
      <c r="F102" s="250" t="s">
        <v>386</v>
      </c>
      <c r="G102" s="251" t="s">
        <v>16</v>
      </c>
      <c r="H102" s="252">
        <v>2</v>
      </c>
      <c r="I102" s="252">
        <v>2</v>
      </c>
      <c r="J102" s="252">
        <v>1</v>
      </c>
      <c r="K102" s="252">
        <v>1</v>
      </c>
      <c r="L102" s="253">
        <v>2</v>
      </c>
      <c r="M102" s="254">
        <f t="shared" si="3"/>
        <v>0.37356464144298934</v>
      </c>
      <c r="N102" s="255"/>
    </row>
    <row r="103" spans="1:14" hidden="1" x14ac:dyDescent="0.2">
      <c r="A103" s="230" t="s">
        <v>215</v>
      </c>
      <c r="B103" s="231" t="s">
        <v>385</v>
      </c>
      <c r="C103" s="247" t="s">
        <v>24</v>
      </c>
      <c r="D103" s="259" t="s">
        <v>64</v>
      </c>
      <c r="E103" s="249">
        <v>0.15751884911429659</v>
      </c>
      <c r="F103" s="250" t="s">
        <v>386</v>
      </c>
      <c r="G103" s="251" t="s">
        <v>16</v>
      </c>
      <c r="H103" s="252">
        <v>2</v>
      </c>
      <c r="I103" s="252">
        <v>2</v>
      </c>
      <c r="J103" s="252">
        <v>1</v>
      </c>
      <c r="K103" s="252">
        <v>1</v>
      </c>
      <c r="L103" s="253">
        <v>2</v>
      </c>
      <c r="M103" s="254">
        <f t="shared" si="3"/>
        <v>0.37356464144298934</v>
      </c>
      <c r="N103" s="255"/>
    </row>
    <row r="104" spans="1:14" hidden="1" x14ac:dyDescent="0.2">
      <c r="A104" s="230" t="s">
        <v>215</v>
      </c>
      <c r="B104" s="231" t="s">
        <v>385</v>
      </c>
      <c r="C104" s="247" t="s">
        <v>25</v>
      </c>
      <c r="D104" s="259" t="s">
        <v>64</v>
      </c>
      <c r="E104" s="249">
        <v>8.1466883378040866E-2</v>
      </c>
      <c r="F104" s="250" t="s">
        <v>386</v>
      </c>
      <c r="G104" s="251" t="s">
        <v>16</v>
      </c>
      <c r="H104" s="252">
        <v>2</v>
      </c>
      <c r="I104" s="252">
        <v>2</v>
      </c>
      <c r="J104" s="252">
        <v>1</v>
      </c>
      <c r="K104" s="252">
        <v>1</v>
      </c>
      <c r="L104" s="253">
        <v>2</v>
      </c>
      <c r="M104" s="254">
        <f t="shared" si="3"/>
        <v>0.37356464144298934</v>
      </c>
      <c r="N104" s="255"/>
    </row>
    <row r="105" spans="1:14" hidden="1" x14ac:dyDescent="0.2">
      <c r="A105" s="230" t="s">
        <v>215</v>
      </c>
      <c r="B105" s="231" t="s">
        <v>385</v>
      </c>
      <c r="C105" s="247" t="s">
        <v>26</v>
      </c>
      <c r="D105" s="259" t="s">
        <v>64</v>
      </c>
      <c r="E105" s="249">
        <v>7.8770475409478471E-2</v>
      </c>
      <c r="F105" s="250" t="s">
        <v>386</v>
      </c>
      <c r="G105" s="251" t="s">
        <v>16</v>
      </c>
      <c r="H105" s="252">
        <v>2</v>
      </c>
      <c r="I105" s="252">
        <v>2</v>
      </c>
      <c r="J105" s="252">
        <v>1</v>
      </c>
      <c r="K105" s="252">
        <v>1</v>
      </c>
      <c r="L105" s="253">
        <v>2</v>
      </c>
      <c r="M105" s="254">
        <f t="shared" si="3"/>
        <v>0.37356464144298934</v>
      </c>
      <c r="N105" s="255"/>
    </row>
    <row r="106" spans="1:14" hidden="1" x14ac:dyDescent="0.2">
      <c r="A106" s="230" t="s">
        <v>215</v>
      </c>
      <c r="B106" s="231" t="s">
        <v>385</v>
      </c>
      <c r="C106" s="247" t="s">
        <v>27</v>
      </c>
      <c r="D106" s="259" t="s">
        <v>64</v>
      </c>
      <c r="E106" s="249">
        <v>6.7896436716587502E-2</v>
      </c>
      <c r="F106" s="250" t="s">
        <v>386</v>
      </c>
      <c r="G106" s="251" t="s">
        <v>16</v>
      </c>
      <c r="H106" s="252">
        <v>2</v>
      </c>
      <c r="I106" s="252">
        <v>2</v>
      </c>
      <c r="J106" s="252">
        <v>1</v>
      </c>
      <c r="K106" s="252">
        <v>1</v>
      </c>
      <c r="L106" s="253">
        <v>2</v>
      </c>
      <c r="M106" s="254">
        <f t="shared" si="3"/>
        <v>0.37356464144298934</v>
      </c>
      <c r="N106" s="255"/>
    </row>
    <row r="107" spans="1:14" hidden="1" x14ac:dyDescent="0.2">
      <c r="A107" s="230" t="s">
        <v>215</v>
      </c>
      <c r="B107" s="231" t="s">
        <v>385</v>
      </c>
      <c r="C107" s="247" t="s">
        <v>28</v>
      </c>
      <c r="D107" s="259" t="s">
        <v>64</v>
      </c>
      <c r="E107" s="249">
        <v>6.7896436716587502E-2</v>
      </c>
      <c r="F107" s="250" t="s">
        <v>386</v>
      </c>
      <c r="G107" s="251" t="s">
        <v>16</v>
      </c>
      <c r="H107" s="252">
        <v>2</v>
      </c>
      <c r="I107" s="252">
        <v>2</v>
      </c>
      <c r="J107" s="252">
        <v>1</v>
      </c>
      <c r="K107" s="252">
        <v>1</v>
      </c>
      <c r="L107" s="253">
        <v>2</v>
      </c>
      <c r="M107" s="254">
        <f t="shared" si="3"/>
        <v>0.37356464144298934</v>
      </c>
      <c r="N107" s="255"/>
    </row>
    <row r="108" spans="1:14" hidden="1" x14ac:dyDescent="0.2">
      <c r="A108" s="230" t="s">
        <v>215</v>
      </c>
      <c r="B108" s="231" t="s">
        <v>385</v>
      </c>
      <c r="C108" s="247" t="s">
        <v>30</v>
      </c>
      <c r="D108" s="259" t="s">
        <v>64</v>
      </c>
      <c r="E108" s="249">
        <v>0.135792873433175</v>
      </c>
      <c r="F108" s="250" t="s">
        <v>386</v>
      </c>
      <c r="G108" s="251" t="s">
        <v>16</v>
      </c>
      <c r="H108" s="252">
        <v>2</v>
      </c>
      <c r="I108" s="252">
        <v>2</v>
      </c>
      <c r="J108" s="252">
        <v>1</v>
      </c>
      <c r="K108" s="252">
        <v>1</v>
      </c>
      <c r="L108" s="253">
        <v>2</v>
      </c>
      <c r="M108" s="254">
        <f t="shared" si="3"/>
        <v>0.37356464144298934</v>
      </c>
      <c r="N108" s="255"/>
    </row>
    <row r="109" spans="1:14" hidden="1" x14ac:dyDescent="0.2">
      <c r="A109" s="230" t="s">
        <v>215</v>
      </c>
      <c r="B109" s="231" t="s">
        <v>385</v>
      </c>
      <c r="C109" s="247" t="s">
        <v>32</v>
      </c>
      <c r="D109" s="259" t="s">
        <v>64</v>
      </c>
      <c r="E109" s="249">
        <v>8.6903902724486351E-2</v>
      </c>
      <c r="F109" s="250" t="s">
        <v>386</v>
      </c>
      <c r="G109" s="251" t="s">
        <v>16</v>
      </c>
      <c r="H109" s="252">
        <v>2</v>
      </c>
      <c r="I109" s="252">
        <v>2</v>
      </c>
      <c r="J109" s="252">
        <v>1</v>
      </c>
      <c r="K109" s="252">
        <v>1</v>
      </c>
      <c r="L109" s="253">
        <v>2</v>
      </c>
      <c r="M109" s="254">
        <f t="shared" si="3"/>
        <v>0.37356464144298934</v>
      </c>
      <c r="N109" s="255"/>
    </row>
    <row r="110" spans="1:14" hidden="1" x14ac:dyDescent="0.2">
      <c r="A110" s="230" t="s">
        <v>215</v>
      </c>
      <c r="B110" s="231" t="s">
        <v>385</v>
      </c>
      <c r="C110" s="247" t="s">
        <v>34</v>
      </c>
      <c r="D110" s="259" t="s">
        <v>64</v>
      </c>
      <c r="E110" s="249">
        <v>0.1004964510906001</v>
      </c>
      <c r="F110" s="250" t="s">
        <v>386</v>
      </c>
      <c r="G110" s="251" t="s">
        <v>16</v>
      </c>
      <c r="H110" s="252">
        <v>2</v>
      </c>
      <c r="I110" s="252">
        <v>2</v>
      </c>
      <c r="J110" s="252">
        <v>1</v>
      </c>
      <c r="K110" s="252">
        <v>1</v>
      </c>
      <c r="L110" s="253">
        <v>2</v>
      </c>
      <c r="M110" s="254">
        <f t="shared" si="3"/>
        <v>0.37356464144298934</v>
      </c>
      <c r="N110" s="255"/>
    </row>
    <row r="111" spans="1:14" hidden="1" x14ac:dyDescent="0.2">
      <c r="A111" s="230" t="s">
        <v>215</v>
      </c>
      <c r="B111" s="231" t="s">
        <v>385</v>
      </c>
      <c r="C111" s="247" t="s">
        <v>36</v>
      </c>
      <c r="D111" s="259" t="s">
        <v>64</v>
      </c>
      <c r="E111" s="249">
        <v>0.10862987840560789</v>
      </c>
      <c r="F111" s="250" t="s">
        <v>386</v>
      </c>
      <c r="G111" s="251" t="s">
        <v>16</v>
      </c>
      <c r="H111" s="252">
        <v>2</v>
      </c>
      <c r="I111" s="252">
        <v>2</v>
      </c>
      <c r="J111" s="252">
        <v>1</v>
      </c>
      <c r="K111" s="252">
        <v>1</v>
      </c>
      <c r="L111" s="253">
        <v>2</v>
      </c>
      <c r="M111" s="254">
        <f t="shared" si="3"/>
        <v>0.37356464144298934</v>
      </c>
      <c r="N111" s="255"/>
    </row>
    <row r="112" spans="1:14" hidden="1" x14ac:dyDescent="0.2">
      <c r="A112" s="230" t="s">
        <v>215</v>
      </c>
      <c r="B112" s="231" t="s">
        <v>385</v>
      </c>
      <c r="C112" s="247" t="s">
        <v>37</v>
      </c>
      <c r="D112" s="259" t="s">
        <v>64</v>
      </c>
      <c r="E112" s="249">
        <v>0.10319285905916251</v>
      </c>
      <c r="F112" s="250" t="s">
        <v>386</v>
      </c>
      <c r="G112" s="251" t="s">
        <v>16</v>
      </c>
      <c r="H112" s="252">
        <v>2</v>
      </c>
      <c r="I112" s="252">
        <v>2</v>
      </c>
      <c r="J112" s="252">
        <v>1</v>
      </c>
      <c r="K112" s="252">
        <v>1</v>
      </c>
      <c r="L112" s="253">
        <v>2</v>
      </c>
      <c r="M112" s="254">
        <f t="shared" si="3"/>
        <v>0.37356464144298934</v>
      </c>
      <c r="N112" s="255"/>
    </row>
    <row r="113" spans="1:14" hidden="1" x14ac:dyDescent="0.2">
      <c r="A113" s="230" t="s">
        <v>215</v>
      </c>
      <c r="B113" s="231" t="s">
        <v>385</v>
      </c>
      <c r="C113" s="247" t="s">
        <v>39</v>
      </c>
      <c r="D113" s="259" t="s">
        <v>64</v>
      </c>
      <c r="E113" s="249">
        <v>9.777794141737732E-2</v>
      </c>
      <c r="F113" s="250" t="s">
        <v>386</v>
      </c>
      <c r="G113" s="251" t="s">
        <v>16</v>
      </c>
      <c r="H113" s="252">
        <v>2</v>
      </c>
      <c r="I113" s="252">
        <v>2</v>
      </c>
      <c r="J113" s="252">
        <v>1</v>
      </c>
      <c r="K113" s="252">
        <v>1</v>
      </c>
      <c r="L113" s="253">
        <v>2</v>
      </c>
      <c r="M113" s="254">
        <f t="shared" si="3"/>
        <v>0.37356464144298934</v>
      </c>
      <c r="N113" s="255"/>
    </row>
    <row r="114" spans="1:14" hidden="1" x14ac:dyDescent="0.2">
      <c r="A114" s="230" t="s">
        <v>215</v>
      </c>
      <c r="B114" s="231" t="s">
        <v>385</v>
      </c>
      <c r="C114" s="247" t="s">
        <v>40</v>
      </c>
      <c r="D114" s="259" t="s">
        <v>64</v>
      </c>
      <c r="E114" s="249">
        <v>0.1385113831063978</v>
      </c>
      <c r="F114" s="250" t="s">
        <v>386</v>
      </c>
      <c r="G114" s="251" t="s">
        <v>16</v>
      </c>
      <c r="H114" s="252">
        <v>2</v>
      </c>
      <c r="I114" s="252">
        <v>2</v>
      </c>
      <c r="J114" s="252">
        <v>1</v>
      </c>
      <c r="K114" s="252">
        <v>1</v>
      </c>
      <c r="L114" s="253">
        <v>2</v>
      </c>
      <c r="M114" s="254">
        <f t="shared" si="3"/>
        <v>0.37356464144298934</v>
      </c>
      <c r="N114" s="255"/>
    </row>
    <row r="115" spans="1:14" hidden="1" x14ac:dyDescent="0.2">
      <c r="A115" s="230" t="s">
        <v>215</v>
      </c>
      <c r="B115" s="231" t="s">
        <v>385</v>
      </c>
      <c r="C115" s="247" t="s">
        <v>41</v>
      </c>
      <c r="D115" s="259" t="s">
        <v>64</v>
      </c>
      <c r="E115" s="249">
        <v>0.1004964510906001</v>
      </c>
      <c r="F115" s="250" t="s">
        <v>386</v>
      </c>
      <c r="G115" s="251" t="s">
        <v>16</v>
      </c>
      <c r="H115" s="252">
        <v>2</v>
      </c>
      <c r="I115" s="252">
        <v>2</v>
      </c>
      <c r="J115" s="252">
        <v>1</v>
      </c>
      <c r="K115" s="252">
        <v>1</v>
      </c>
      <c r="L115" s="253">
        <v>2</v>
      </c>
      <c r="M115" s="254">
        <f t="shared" si="3"/>
        <v>0.37356464144298934</v>
      </c>
      <c r="N115" s="255"/>
    </row>
    <row r="116" spans="1:14" hidden="1" x14ac:dyDescent="0.2">
      <c r="A116" s="230" t="s">
        <v>215</v>
      </c>
      <c r="B116" s="231" t="s">
        <v>385</v>
      </c>
      <c r="C116" s="247" t="s">
        <v>42</v>
      </c>
      <c r="D116" s="259" t="s">
        <v>64</v>
      </c>
      <c r="E116" s="249">
        <v>8.9622412397709114E-2</v>
      </c>
      <c r="F116" s="250" t="s">
        <v>386</v>
      </c>
      <c r="G116" s="251" t="s">
        <v>16</v>
      </c>
      <c r="H116" s="252">
        <v>2</v>
      </c>
      <c r="I116" s="252">
        <v>2</v>
      </c>
      <c r="J116" s="252">
        <v>1</v>
      </c>
      <c r="K116" s="252">
        <v>1</v>
      </c>
      <c r="L116" s="253">
        <v>2</v>
      </c>
      <c r="M116" s="254">
        <f t="shared" si="3"/>
        <v>0.37356464144298934</v>
      </c>
      <c r="N116" s="255"/>
    </row>
    <row r="117" spans="1:14" hidden="1" x14ac:dyDescent="0.2">
      <c r="A117" s="230" t="s">
        <v>215</v>
      </c>
      <c r="B117" s="231" t="s">
        <v>385</v>
      </c>
      <c r="C117" s="247" t="s">
        <v>43</v>
      </c>
      <c r="D117" s="259" t="s">
        <v>64</v>
      </c>
      <c r="E117" s="249">
        <v>0.135792873433175</v>
      </c>
      <c r="F117" s="250" t="s">
        <v>386</v>
      </c>
      <c r="G117" s="251" t="s">
        <v>16</v>
      </c>
      <c r="H117" s="252">
        <v>2</v>
      </c>
      <c r="I117" s="252">
        <v>2</v>
      </c>
      <c r="J117" s="252">
        <v>1</v>
      </c>
      <c r="K117" s="252">
        <v>1</v>
      </c>
      <c r="L117" s="253">
        <v>2</v>
      </c>
      <c r="M117" s="254">
        <f t="shared" si="3"/>
        <v>0.37356464144298934</v>
      </c>
      <c r="N117" s="255"/>
    </row>
    <row r="118" spans="1:14" hidden="1" x14ac:dyDescent="0.2">
      <c r="A118" s="230" t="s">
        <v>215</v>
      </c>
      <c r="B118" s="231" t="s">
        <v>385</v>
      </c>
      <c r="C118" s="247" t="s">
        <v>45</v>
      </c>
      <c r="D118" s="259" t="s">
        <v>64</v>
      </c>
      <c r="E118" s="249">
        <v>0.1276373444135068</v>
      </c>
      <c r="F118" s="250" t="s">
        <v>386</v>
      </c>
      <c r="G118" s="251" t="s">
        <v>16</v>
      </c>
      <c r="H118" s="252">
        <v>2</v>
      </c>
      <c r="I118" s="252">
        <v>2</v>
      </c>
      <c r="J118" s="252">
        <v>1</v>
      </c>
      <c r="K118" s="252">
        <v>1</v>
      </c>
      <c r="L118" s="253">
        <v>2</v>
      </c>
      <c r="M118" s="254">
        <f t="shared" si="3"/>
        <v>0.37356464144298934</v>
      </c>
      <c r="N118" s="255"/>
    </row>
    <row r="119" spans="1:14" hidden="1" x14ac:dyDescent="0.2">
      <c r="A119" s="230" t="s">
        <v>215</v>
      </c>
      <c r="B119" s="231" t="s">
        <v>385</v>
      </c>
      <c r="C119" s="247" t="s">
        <v>46</v>
      </c>
      <c r="D119" s="259" t="s">
        <v>64</v>
      </c>
      <c r="E119" s="249">
        <v>7.8770475409478471E-2</v>
      </c>
      <c r="F119" s="250" t="s">
        <v>386</v>
      </c>
      <c r="G119" s="251" t="s">
        <v>16</v>
      </c>
      <c r="H119" s="252">
        <v>2</v>
      </c>
      <c r="I119" s="252">
        <v>2</v>
      </c>
      <c r="J119" s="252">
        <v>1</v>
      </c>
      <c r="K119" s="252">
        <v>1</v>
      </c>
      <c r="L119" s="253">
        <v>2</v>
      </c>
      <c r="M119" s="254">
        <f t="shared" si="3"/>
        <v>0.37356464144298934</v>
      </c>
      <c r="N119" s="255"/>
    </row>
    <row r="120" spans="1:14" hidden="1" x14ac:dyDescent="0.2">
      <c r="A120" s="230" t="s">
        <v>215</v>
      </c>
      <c r="B120" s="231" t="s">
        <v>385</v>
      </c>
      <c r="C120" s="247" t="s">
        <v>48</v>
      </c>
      <c r="D120" s="259" t="s">
        <v>64</v>
      </c>
      <c r="E120" s="249">
        <v>0.10862987840560789</v>
      </c>
      <c r="F120" s="250" t="s">
        <v>386</v>
      </c>
      <c r="G120" s="251" t="s">
        <v>16</v>
      </c>
      <c r="H120" s="252">
        <v>2</v>
      </c>
      <c r="I120" s="252">
        <v>2</v>
      </c>
      <c r="J120" s="252">
        <v>1</v>
      </c>
      <c r="K120" s="252">
        <v>1</v>
      </c>
      <c r="L120" s="253">
        <v>2</v>
      </c>
      <c r="M120" s="254">
        <f t="shared" si="3"/>
        <v>0.37356464144298934</v>
      </c>
      <c r="N120" s="255"/>
    </row>
    <row r="121" spans="1:14" hidden="1" x14ac:dyDescent="0.2">
      <c r="A121" s="230" t="s">
        <v>215</v>
      </c>
      <c r="B121" s="231" t="s">
        <v>385</v>
      </c>
      <c r="C121" s="247" t="s">
        <v>50</v>
      </c>
      <c r="D121" s="259" t="s">
        <v>64</v>
      </c>
      <c r="E121" s="249">
        <v>0.1195039170984989</v>
      </c>
      <c r="F121" s="250" t="s">
        <v>386</v>
      </c>
      <c r="G121" s="251" t="s">
        <v>16</v>
      </c>
      <c r="H121" s="252">
        <v>2</v>
      </c>
      <c r="I121" s="252">
        <v>2</v>
      </c>
      <c r="J121" s="252">
        <v>1</v>
      </c>
      <c r="K121" s="252">
        <v>1</v>
      </c>
      <c r="L121" s="253">
        <v>2</v>
      </c>
      <c r="M121" s="254">
        <f t="shared" si="3"/>
        <v>0.37356464144298934</v>
      </c>
      <c r="N121" s="255"/>
    </row>
    <row r="122" spans="1:14" hidden="1" x14ac:dyDescent="0.2">
      <c r="A122" s="230" t="s">
        <v>215</v>
      </c>
      <c r="B122" s="231" t="s">
        <v>385</v>
      </c>
      <c r="C122" s="247" t="s">
        <v>52</v>
      </c>
      <c r="D122" s="259" t="s">
        <v>64</v>
      </c>
      <c r="E122" s="249">
        <v>0.15208182976785109</v>
      </c>
      <c r="F122" s="250" t="s">
        <v>386</v>
      </c>
      <c r="G122" s="251" t="s">
        <v>16</v>
      </c>
      <c r="H122" s="252">
        <v>2</v>
      </c>
      <c r="I122" s="252">
        <v>2</v>
      </c>
      <c r="J122" s="252">
        <v>1</v>
      </c>
      <c r="K122" s="252">
        <v>1</v>
      </c>
      <c r="L122" s="253">
        <v>2</v>
      </c>
      <c r="M122" s="254">
        <f t="shared" si="3"/>
        <v>0.37356464144298934</v>
      </c>
      <c r="N122" s="255"/>
    </row>
    <row r="123" spans="1:14" hidden="1" x14ac:dyDescent="0.2">
      <c r="A123" s="230" t="s">
        <v>215</v>
      </c>
      <c r="B123" s="231" t="s">
        <v>385</v>
      </c>
      <c r="C123" s="247" t="s">
        <v>54</v>
      </c>
      <c r="D123" s="259" t="s">
        <v>64</v>
      </c>
      <c r="E123" s="249">
        <v>0.18740035381508641</v>
      </c>
      <c r="F123" s="250" t="s">
        <v>386</v>
      </c>
      <c r="G123" s="251" t="s">
        <v>16</v>
      </c>
      <c r="H123" s="252">
        <v>2</v>
      </c>
      <c r="I123" s="252">
        <v>2</v>
      </c>
      <c r="J123" s="252">
        <v>1</v>
      </c>
      <c r="K123" s="252">
        <v>1</v>
      </c>
      <c r="L123" s="253">
        <v>2</v>
      </c>
      <c r="M123" s="254">
        <f t="shared" si="3"/>
        <v>0.37356464144298934</v>
      </c>
      <c r="N123" s="255"/>
    </row>
    <row r="124" spans="1:14" hidden="1" x14ac:dyDescent="0.2">
      <c r="A124" s="230" t="s">
        <v>215</v>
      </c>
      <c r="B124" s="231" t="s">
        <v>385</v>
      </c>
      <c r="C124" s="247" t="s">
        <v>55</v>
      </c>
      <c r="D124" s="259" t="s">
        <v>64</v>
      </c>
      <c r="E124" s="249">
        <v>0.11406689775205341</v>
      </c>
      <c r="F124" s="250" t="s">
        <v>386</v>
      </c>
      <c r="G124" s="251" t="s">
        <v>16</v>
      </c>
      <c r="H124" s="252">
        <v>2</v>
      </c>
      <c r="I124" s="252">
        <v>2</v>
      </c>
      <c r="J124" s="252">
        <v>1</v>
      </c>
      <c r="K124" s="252">
        <v>1</v>
      </c>
      <c r="L124" s="253">
        <v>2</v>
      </c>
      <c r="M124" s="254">
        <f t="shared" si="3"/>
        <v>0.37356464144298934</v>
      </c>
      <c r="N124" s="255"/>
    </row>
    <row r="125" spans="1:14" hidden="1" x14ac:dyDescent="0.2">
      <c r="A125" s="230" t="s">
        <v>215</v>
      </c>
      <c r="B125" s="231" t="s">
        <v>385</v>
      </c>
      <c r="C125" s="247" t="s">
        <v>57</v>
      </c>
      <c r="D125" s="259" t="s">
        <v>64</v>
      </c>
      <c r="E125" s="249">
        <v>0.1276373444135068</v>
      </c>
      <c r="F125" s="250" t="s">
        <v>386</v>
      </c>
      <c r="G125" s="251" t="s">
        <v>16</v>
      </c>
      <c r="H125" s="252">
        <v>2</v>
      </c>
      <c r="I125" s="252">
        <v>2</v>
      </c>
      <c r="J125" s="252">
        <v>1</v>
      </c>
      <c r="K125" s="252">
        <v>1</v>
      </c>
      <c r="L125" s="253">
        <v>2</v>
      </c>
      <c r="M125" s="254">
        <f t="shared" si="3"/>
        <v>0.37356464144298934</v>
      </c>
      <c r="N125" s="255"/>
    </row>
    <row r="126" spans="1:14" hidden="1" x14ac:dyDescent="0.2">
      <c r="A126" s="230" t="s">
        <v>215</v>
      </c>
      <c r="B126" s="231" t="s">
        <v>385</v>
      </c>
      <c r="C126" s="247" t="s">
        <v>59</v>
      </c>
      <c r="D126" s="259" t="s">
        <v>64</v>
      </c>
      <c r="E126" s="249">
        <v>0.135792873433175</v>
      </c>
      <c r="F126" s="250" t="s">
        <v>360</v>
      </c>
      <c r="G126" s="251" t="s">
        <v>16</v>
      </c>
      <c r="H126" s="252">
        <v>2</v>
      </c>
      <c r="I126" s="252">
        <v>2</v>
      </c>
      <c r="J126" s="252">
        <v>1</v>
      </c>
      <c r="K126" s="252">
        <v>1</v>
      </c>
      <c r="L126" s="253">
        <v>2</v>
      </c>
      <c r="M126" s="254">
        <f t="shared" si="3"/>
        <v>0.37356464144298934</v>
      </c>
      <c r="N126" s="255"/>
    </row>
    <row r="127" spans="1:14" hidden="1" x14ac:dyDescent="0.2">
      <c r="A127" s="230" t="s">
        <v>215</v>
      </c>
      <c r="B127" s="231" t="s">
        <v>385</v>
      </c>
      <c r="C127" s="247" t="s">
        <v>60</v>
      </c>
      <c r="D127" s="259" t="s">
        <v>64</v>
      </c>
      <c r="E127" s="249">
        <v>0.10319285905916251</v>
      </c>
      <c r="F127" s="250" t="s">
        <v>386</v>
      </c>
      <c r="G127" s="251" t="s">
        <v>16</v>
      </c>
      <c r="H127" s="252">
        <v>2</v>
      </c>
      <c r="I127" s="252">
        <v>2</v>
      </c>
      <c r="J127" s="252">
        <v>1</v>
      </c>
      <c r="K127" s="252">
        <v>1</v>
      </c>
      <c r="L127" s="253">
        <v>2</v>
      </c>
      <c r="M127" s="254">
        <f t="shared" si="3"/>
        <v>0.37356464144298934</v>
      </c>
      <c r="N127" s="255"/>
    </row>
    <row r="128" spans="1:14" x14ac:dyDescent="0.2">
      <c r="A128" s="230" t="s">
        <v>215</v>
      </c>
      <c r="B128" s="231" t="s">
        <v>385</v>
      </c>
      <c r="C128" s="222" t="s">
        <v>135</v>
      </c>
      <c r="D128" s="260" t="s">
        <v>66</v>
      </c>
      <c r="E128" s="61">
        <v>0</v>
      </c>
      <c r="F128" s="233" t="s">
        <v>343</v>
      </c>
      <c r="G128" s="234" t="s">
        <v>16</v>
      </c>
      <c r="H128" s="61"/>
      <c r="I128" s="61"/>
      <c r="J128" s="61"/>
      <c r="K128" s="61"/>
      <c r="L128" s="62"/>
      <c r="M128" s="63" t="str">
        <f t="shared" si="3"/>
        <v/>
      </c>
      <c r="N128" s="235"/>
    </row>
    <row r="129" spans="1:14" x14ac:dyDescent="0.2">
      <c r="A129" s="230" t="s">
        <v>215</v>
      </c>
      <c r="B129" s="231" t="s">
        <v>385</v>
      </c>
      <c r="C129" s="222" t="s">
        <v>135</v>
      </c>
      <c r="D129" s="261" t="s">
        <v>94</v>
      </c>
      <c r="E129" s="61">
        <v>0</v>
      </c>
      <c r="F129" s="233" t="s">
        <v>344</v>
      </c>
      <c r="G129" s="234" t="s">
        <v>16</v>
      </c>
      <c r="H129" s="61"/>
      <c r="I129" s="61"/>
      <c r="J129" s="61"/>
      <c r="K129" s="61"/>
      <c r="L129" s="62"/>
      <c r="M129" s="63" t="str">
        <f t="shared" si="3"/>
        <v/>
      </c>
      <c r="N129" s="235"/>
    </row>
    <row r="130" spans="1:14" x14ac:dyDescent="0.2">
      <c r="A130" s="230" t="s">
        <v>215</v>
      </c>
      <c r="B130" s="231" t="s">
        <v>385</v>
      </c>
      <c r="C130" s="222" t="s">
        <v>135</v>
      </c>
      <c r="D130" s="262" t="s">
        <v>96</v>
      </c>
      <c r="E130" s="61">
        <v>0</v>
      </c>
      <c r="F130" s="233" t="s">
        <v>353</v>
      </c>
      <c r="G130" s="234" t="s">
        <v>16</v>
      </c>
      <c r="H130" s="61"/>
      <c r="I130" s="61"/>
      <c r="J130" s="61"/>
      <c r="K130" s="61"/>
      <c r="L130" s="62"/>
      <c r="M130" s="63" t="str">
        <f>IF( OR( ISBLANK(H130),ISBLANK(I130), ISBLANK(J130), ISBLANK(K130), ISBLANK(L130) ), "", 1.5*SQRT(   EXP(2.21*(H130-1)) + EXP(2.21*(I130-1)) + EXP(2.21*(J130-1)) + EXP(2.21*(K130-1)) + EXP(2.21*L130)   )/100*2.45 )</f>
        <v/>
      </c>
      <c r="N130" s="235"/>
    </row>
    <row r="131" spans="1:14" x14ac:dyDescent="0.2">
      <c r="A131" s="230" t="s">
        <v>215</v>
      </c>
      <c r="B131" s="231" t="s">
        <v>385</v>
      </c>
      <c r="C131" s="247" t="s">
        <v>13</v>
      </c>
      <c r="D131" s="263" t="s">
        <v>98</v>
      </c>
      <c r="E131" s="249">
        <v>0.40239579471553139</v>
      </c>
      <c r="F131" s="250" t="s">
        <v>386</v>
      </c>
      <c r="G131" s="251" t="s">
        <v>16</v>
      </c>
      <c r="H131" s="252">
        <v>2</v>
      </c>
      <c r="I131" s="252">
        <v>2</v>
      </c>
      <c r="J131" s="252">
        <v>1</v>
      </c>
      <c r="K131" s="252">
        <v>1</v>
      </c>
      <c r="L131" s="253">
        <v>2</v>
      </c>
      <c r="M131" s="254">
        <f t="shared" ref="M131:M162" si="4">IF( OR( ISBLANK(H131),ISBLANK(I131), ISBLANK(J131), ISBLANK(K131), ISBLANK(L131) ), "", 1.5*SQRT( EXP(2.21*(H131-1)) + EXP(2.21*(I131-1)) + EXP(2.21*(J131-1)) + EXP(2.21*(K131-1)) + EXP(2.21*L131) )/100*2.45 )</f>
        <v>0.37356464144298934</v>
      </c>
      <c r="N131" s="255"/>
    </row>
    <row r="132" spans="1:14" hidden="1" x14ac:dyDescent="0.2">
      <c r="A132" s="230" t="s">
        <v>215</v>
      </c>
      <c r="B132" s="231" t="s">
        <v>385</v>
      </c>
      <c r="C132" s="247" t="s">
        <v>18</v>
      </c>
      <c r="D132" s="263" t="s">
        <v>98</v>
      </c>
      <c r="E132" s="249">
        <v>0.4970714927062847</v>
      </c>
      <c r="F132" s="250" t="s">
        <v>386</v>
      </c>
      <c r="G132" s="251" t="s">
        <v>16</v>
      </c>
      <c r="H132" s="252">
        <v>2</v>
      </c>
      <c r="I132" s="252">
        <v>2</v>
      </c>
      <c r="J132" s="252">
        <v>1</v>
      </c>
      <c r="K132" s="252">
        <v>1</v>
      </c>
      <c r="L132" s="253">
        <v>2</v>
      </c>
      <c r="M132" s="254">
        <f t="shared" si="4"/>
        <v>0.37356464144298934</v>
      </c>
      <c r="N132" s="255"/>
    </row>
    <row r="133" spans="1:14" hidden="1" x14ac:dyDescent="0.2">
      <c r="A133" s="230" t="s">
        <v>215</v>
      </c>
      <c r="B133" s="231" t="s">
        <v>385</v>
      </c>
      <c r="C133" s="247" t="s">
        <v>20</v>
      </c>
      <c r="D133" s="263" t="s">
        <v>98</v>
      </c>
      <c r="E133" s="249">
        <v>0.75740558392602653</v>
      </c>
      <c r="F133" s="250" t="s">
        <v>386</v>
      </c>
      <c r="G133" s="251" t="s">
        <v>16</v>
      </c>
      <c r="H133" s="252">
        <v>2</v>
      </c>
      <c r="I133" s="252">
        <v>2</v>
      </c>
      <c r="J133" s="252">
        <v>1</v>
      </c>
      <c r="K133" s="252">
        <v>1</v>
      </c>
      <c r="L133" s="253">
        <v>2</v>
      </c>
      <c r="M133" s="254">
        <f t="shared" si="4"/>
        <v>0.37356464144298934</v>
      </c>
      <c r="N133" s="255"/>
    </row>
    <row r="134" spans="1:14" hidden="1" x14ac:dyDescent="0.2">
      <c r="A134" s="230" t="s">
        <v>215</v>
      </c>
      <c r="B134" s="231" t="s">
        <v>385</v>
      </c>
      <c r="C134" s="247" t="s">
        <v>22</v>
      </c>
      <c r="D134" s="263" t="s">
        <v>98</v>
      </c>
      <c r="E134" s="249">
        <v>0.44968548720124851</v>
      </c>
      <c r="F134" s="250" t="s">
        <v>386</v>
      </c>
      <c r="G134" s="251" t="s">
        <v>16</v>
      </c>
      <c r="H134" s="252">
        <v>2</v>
      </c>
      <c r="I134" s="252">
        <v>2</v>
      </c>
      <c r="J134" s="252">
        <v>1</v>
      </c>
      <c r="K134" s="252">
        <v>1</v>
      </c>
      <c r="L134" s="253">
        <v>2</v>
      </c>
      <c r="M134" s="254">
        <f t="shared" si="4"/>
        <v>0.37356464144298934</v>
      </c>
      <c r="N134" s="255"/>
    </row>
    <row r="135" spans="1:14" hidden="1" x14ac:dyDescent="0.2">
      <c r="A135" s="230" t="s">
        <v>215</v>
      </c>
      <c r="B135" s="231" t="s">
        <v>385</v>
      </c>
      <c r="C135" s="247" t="s">
        <v>23</v>
      </c>
      <c r="D135" s="263" t="s">
        <v>98</v>
      </c>
      <c r="E135" s="249">
        <v>0.55620768656826081</v>
      </c>
      <c r="F135" s="250" t="s">
        <v>386</v>
      </c>
      <c r="G135" s="251" t="s">
        <v>16</v>
      </c>
      <c r="H135" s="252">
        <v>2</v>
      </c>
      <c r="I135" s="252">
        <v>2</v>
      </c>
      <c r="J135" s="252">
        <v>1</v>
      </c>
      <c r="K135" s="252">
        <v>1</v>
      </c>
      <c r="L135" s="253">
        <v>2</v>
      </c>
      <c r="M135" s="254">
        <f t="shared" si="4"/>
        <v>0.37356464144298934</v>
      </c>
      <c r="N135" s="255"/>
    </row>
    <row r="136" spans="1:14" hidden="1" x14ac:dyDescent="0.2">
      <c r="A136" s="230" t="s">
        <v>215</v>
      </c>
      <c r="B136" s="231" t="s">
        <v>385</v>
      </c>
      <c r="C136" s="247" t="s">
        <v>24</v>
      </c>
      <c r="D136" s="263" t="s">
        <v>98</v>
      </c>
      <c r="E136" s="249">
        <v>0.68642288868779133</v>
      </c>
      <c r="F136" s="250" t="s">
        <v>386</v>
      </c>
      <c r="G136" s="251" t="s">
        <v>16</v>
      </c>
      <c r="H136" s="252">
        <v>2</v>
      </c>
      <c r="I136" s="252">
        <v>2</v>
      </c>
      <c r="J136" s="252">
        <v>1</v>
      </c>
      <c r="K136" s="252">
        <v>1</v>
      </c>
      <c r="L136" s="253">
        <v>2</v>
      </c>
      <c r="M136" s="254">
        <f t="shared" si="4"/>
        <v>0.37356464144298934</v>
      </c>
      <c r="N136" s="255"/>
    </row>
    <row r="137" spans="1:14" hidden="1" x14ac:dyDescent="0.2">
      <c r="A137" s="230" t="s">
        <v>215</v>
      </c>
      <c r="B137" s="231" t="s">
        <v>385</v>
      </c>
      <c r="C137" s="247" t="s">
        <v>25</v>
      </c>
      <c r="D137" s="263" t="s">
        <v>98</v>
      </c>
      <c r="E137" s="249">
        <v>0.35500978921049509</v>
      </c>
      <c r="F137" s="250" t="s">
        <v>386</v>
      </c>
      <c r="G137" s="251" t="s">
        <v>16</v>
      </c>
      <c r="H137" s="252">
        <v>2</v>
      </c>
      <c r="I137" s="252">
        <v>2</v>
      </c>
      <c r="J137" s="252">
        <v>1</v>
      </c>
      <c r="K137" s="252">
        <v>1</v>
      </c>
      <c r="L137" s="253">
        <v>2</v>
      </c>
      <c r="M137" s="254">
        <f t="shared" si="4"/>
        <v>0.37356464144298934</v>
      </c>
      <c r="N137" s="255"/>
    </row>
    <row r="138" spans="1:14" hidden="1" x14ac:dyDescent="0.2">
      <c r="A138" s="230" t="s">
        <v>215</v>
      </c>
      <c r="B138" s="231" t="s">
        <v>385</v>
      </c>
      <c r="C138" s="247" t="s">
        <v>26</v>
      </c>
      <c r="D138" s="263" t="s">
        <v>98</v>
      </c>
      <c r="E138" s="249">
        <v>0.34325960085355522</v>
      </c>
      <c r="F138" s="250" t="s">
        <v>386</v>
      </c>
      <c r="G138" s="251" t="s">
        <v>16</v>
      </c>
      <c r="H138" s="252">
        <v>2</v>
      </c>
      <c r="I138" s="252">
        <v>2</v>
      </c>
      <c r="J138" s="252">
        <v>1</v>
      </c>
      <c r="K138" s="252">
        <v>1</v>
      </c>
      <c r="L138" s="253">
        <v>2</v>
      </c>
      <c r="M138" s="254">
        <f t="shared" si="4"/>
        <v>0.37356464144298934</v>
      </c>
      <c r="N138" s="255"/>
    </row>
    <row r="139" spans="1:14" hidden="1" x14ac:dyDescent="0.2">
      <c r="A139" s="230" t="s">
        <v>215</v>
      </c>
      <c r="B139" s="231" t="s">
        <v>385</v>
      </c>
      <c r="C139" s="247" t="s">
        <v>27</v>
      </c>
      <c r="D139" s="263" t="s">
        <v>98</v>
      </c>
      <c r="E139" s="249">
        <v>0.29587359534851898</v>
      </c>
      <c r="F139" s="250" t="s">
        <v>386</v>
      </c>
      <c r="G139" s="251" t="s">
        <v>16</v>
      </c>
      <c r="H139" s="252">
        <v>2</v>
      </c>
      <c r="I139" s="252">
        <v>2</v>
      </c>
      <c r="J139" s="252">
        <v>1</v>
      </c>
      <c r="K139" s="252">
        <v>1</v>
      </c>
      <c r="L139" s="253">
        <v>2</v>
      </c>
      <c r="M139" s="254">
        <f t="shared" si="4"/>
        <v>0.37356464144298934</v>
      </c>
      <c r="N139" s="255"/>
    </row>
    <row r="140" spans="1:14" hidden="1" x14ac:dyDescent="0.2">
      <c r="A140" s="230" t="s">
        <v>215</v>
      </c>
      <c r="B140" s="231" t="s">
        <v>385</v>
      </c>
      <c r="C140" s="247" t="s">
        <v>28</v>
      </c>
      <c r="D140" s="263" t="s">
        <v>98</v>
      </c>
      <c r="E140" s="249">
        <v>0.29587359534851898</v>
      </c>
      <c r="F140" s="250" t="s">
        <v>386</v>
      </c>
      <c r="G140" s="251" t="s">
        <v>16</v>
      </c>
      <c r="H140" s="252">
        <v>2</v>
      </c>
      <c r="I140" s="252">
        <v>2</v>
      </c>
      <c r="J140" s="252">
        <v>1</v>
      </c>
      <c r="K140" s="252">
        <v>1</v>
      </c>
      <c r="L140" s="253">
        <v>2</v>
      </c>
      <c r="M140" s="254">
        <f t="shared" si="4"/>
        <v>0.37356464144298934</v>
      </c>
      <c r="N140" s="255"/>
    </row>
    <row r="141" spans="1:14" hidden="1" x14ac:dyDescent="0.2">
      <c r="A141" s="230" t="s">
        <v>215</v>
      </c>
      <c r="B141" s="231" t="s">
        <v>385</v>
      </c>
      <c r="C141" s="247" t="s">
        <v>30</v>
      </c>
      <c r="D141" s="263" t="s">
        <v>98</v>
      </c>
      <c r="E141" s="249">
        <v>0.59174719069703796</v>
      </c>
      <c r="F141" s="250" t="s">
        <v>386</v>
      </c>
      <c r="G141" s="251" t="s">
        <v>16</v>
      </c>
      <c r="H141" s="252">
        <v>2</v>
      </c>
      <c r="I141" s="252">
        <v>2</v>
      </c>
      <c r="J141" s="252">
        <v>1</v>
      </c>
      <c r="K141" s="252">
        <v>1</v>
      </c>
      <c r="L141" s="253">
        <v>2</v>
      </c>
      <c r="M141" s="254">
        <f t="shared" si="4"/>
        <v>0.37356464144298934</v>
      </c>
      <c r="N141" s="255"/>
    </row>
    <row r="142" spans="1:14" hidden="1" x14ac:dyDescent="0.2">
      <c r="A142" s="230" t="s">
        <v>215</v>
      </c>
      <c r="B142" s="231" t="s">
        <v>385</v>
      </c>
      <c r="C142" s="247" t="s">
        <v>32</v>
      </c>
      <c r="D142" s="263" t="s">
        <v>98</v>
      </c>
      <c r="E142" s="249">
        <v>0.37870279196301332</v>
      </c>
      <c r="F142" s="250" t="s">
        <v>386</v>
      </c>
      <c r="G142" s="251" t="s">
        <v>16</v>
      </c>
      <c r="H142" s="252">
        <v>2</v>
      </c>
      <c r="I142" s="252">
        <v>2</v>
      </c>
      <c r="J142" s="252">
        <v>1</v>
      </c>
      <c r="K142" s="252">
        <v>1</v>
      </c>
      <c r="L142" s="253">
        <v>2</v>
      </c>
      <c r="M142" s="254">
        <f t="shared" si="4"/>
        <v>0.37356464144298934</v>
      </c>
      <c r="N142" s="255"/>
    </row>
    <row r="143" spans="1:14" hidden="1" x14ac:dyDescent="0.2">
      <c r="A143" s="230" t="s">
        <v>215</v>
      </c>
      <c r="B143" s="231" t="s">
        <v>385</v>
      </c>
      <c r="C143" s="247" t="s">
        <v>34</v>
      </c>
      <c r="D143" s="263" t="s">
        <v>98</v>
      </c>
      <c r="E143" s="249">
        <v>0.43793529884430848</v>
      </c>
      <c r="F143" s="250" t="s">
        <v>386</v>
      </c>
      <c r="G143" s="251" t="s">
        <v>16</v>
      </c>
      <c r="H143" s="252">
        <v>2</v>
      </c>
      <c r="I143" s="252">
        <v>2</v>
      </c>
      <c r="J143" s="252">
        <v>1</v>
      </c>
      <c r="K143" s="252">
        <v>1</v>
      </c>
      <c r="L143" s="253">
        <v>2</v>
      </c>
      <c r="M143" s="254">
        <f t="shared" si="4"/>
        <v>0.37356464144298934</v>
      </c>
      <c r="N143" s="255"/>
    </row>
    <row r="144" spans="1:14" hidden="1" x14ac:dyDescent="0.2">
      <c r="A144" s="230" t="s">
        <v>215</v>
      </c>
      <c r="B144" s="231" t="s">
        <v>385</v>
      </c>
      <c r="C144" s="247" t="s">
        <v>36</v>
      </c>
      <c r="D144" s="263" t="s">
        <v>98</v>
      </c>
      <c r="E144" s="249">
        <v>0.47337848995376658</v>
      </c>
      <c r="F144" s="250" t="s">
        <v>386</v>
      </c>
      <c r="G144" s="251" t="s">
        <v>16</v>
      </c>
      <c r="H144" s="252">
        <v>2</v>
      </c>
      <c r="I144" s="252">
        <v>2</v>
      </c>
      <c r="J144" s="252">
        <v>1</v>
      </c>
      <c r="K144" s="252">
        <v>1</v>
      </c>
      <c r="L144" s="253">
        <v>2</v>
      </c>
      <c r="M144" s="254">
        <f t="shared" si="4"/>
        <v>0.37356464144298934</v>
      </c>
      <c r="N144" s="255"/>
    </row>
    <row r="145" spans="1:14" hidden="1" x14ac:dyDescent="0.2">
      <c r="A145" s="230" t="s">
        <v>215</v>
      </c>
      <c r="B145" s="231" t="s">
        <v>385</v>
      </c>
      <c r="C145" s="247" t="s">
        <v>37</v>
      </c>
      <c r="D145" s="263" t="s">
        <v>98</v>
      </c>
      <c r="E145" s="249">
        <v>0.44968548720124851</v>
      </c>
      <c r="F145" s="250" t="s">
        <v>386</v>
      </c>
      <c r="G145" s="251" t="s">
        <v>16</v>
      </c>
      <c r="H145" s="252">
        <v>2</v>
      </c>
      <c r="I145" s="252">
        <v>2</v>
      </c>
      <c r="J145" s="252">
        <v>1</v>
      </c>
      <c r="K145" s="252">
        <v>1</v>
      </c>
      <c r="L145" s="253">
        <v>2</v>
      </c>
      <c r="M145" s="254">
        <f t="shared" si="4"/>
        <v>0.37356464144298934</v>
      </c>
      <c r="N145" s="255"/>
    </row>
    <row r="146" spans="1:14" hidden="1" x14ac:dyDescent="0.2">
      <c r="A146" s="230" t="s">
        <v>215</v>
      </c>
      <c r="B146" s="231" t="s">
        <v>385</v>
      </c>
      <c r="C146" s="247" t="s">
        <v>39</v>
      </c>
      <c r="D146" s="263" t="s">
        <v>98</v>
      </c>
      <c r="E146" s="249">
        <v>0.42608879746804951</v>
      </c>
      <c r="F146" s="250" t="s">
        <v>386</v>
      </c>
      <c r="G146" s="251" t="s">
        <v>16</v>
      </c>
      <c r="H146" s="252">
        <v>2</v>
      </c>
      <c r="I146" s="252">
        <v>2</v>
      </c>
      <c r="J146" s="252">
        <v>1</v>
      </c>
      <c r="K146" s="252">
        <v>1</v>
      </c>
      <c r="L146" s="253">
        <v>2</v>
      </c>
      <c r="M146" s="254">
        <f t="shared" si="4"/>
        <v>0.37356464144298934</v>
      </c>
      <c r="N146" s="255"/>
    </row>
    <row r="147" spans="1:14" hidden="1" x14ac:dyDescent="0.2">
      <c r="A147" s="230" t="s">
        <v>215</v>
      </c>
      <c r="B147" s="231" t="s">
        <v>385</v>
      </c>
      <c r="C147" s="247" t="s">
        <v>40</v>
      </c>
      <c r="D147" s="263" t="s">
        <v>98</v>
      </c>
      <c r="E147" s="249">
        <v>0.60359369207329716</v>
      </c>
      <c r="F147" s="250" t="s">
        <v>386</v>
      </c>
      <c r="G147" s="251" t="s">
        <v>16</v>
      </c>
      <c r="H147" s="252">
        <v>2</v>
      </c>
      <c r="I147" s="252">
        <v>2</v>
      </c>
      <c r="J147" s="252">
        <v>1</v>
      </c>
      <c r="K147" s="252">
        <v>1</v>
      </c>
      <c r="L147" s="253">
        <v>2</v>
      </c>
      <c r="M147" s="254">
        <f t="shared" si="4"/>
        <v>0.37356464144298934</v>
      </c>
      <c r="N147" s="255"/>
    </row>
    <row r="148" spans="1:14" hidden="1" x14ac:dyDescent="0.2">
      <c r="A148" s="230" t="s">
        <v>215</v>
      </c>
      <c r="B148" s="231" t="s">
        <v>385</v>
      </c>
      <c r="C148" s="247" t="s">
        <v>41</v>
      </c>
      <c r="D148" s="263" t="s">
        <v>98</v>
      </c>
      <c r="E148" s="249">
        <v>0.43793529884430848</v>
      </c>
      <c r="F148" s="250" t="s">
        <v>386</v>
      </c>
      <c r="G148" s="251" t="s">
        <v>16</v>
      </c>
      <c r="H148" s="252">
        <v>2</v>
      </c>
      <c r="I148" s="252">
        <v>2</v>
      </c>
      <c r="J148" s="252">
        <v>1</v>
      </c>
      <c r="K148" s="252">
        <v>1</v>
      </c>
      <c r="L148" s="253">
        <v>2</v>
      </c>
      <c r="M148" s="254">
        <f t="shared" si="4"/>
        <v>0.37356464144298934</v>
      </c>
      <c r="N148" s="255"/>
    </row>
    <row r="149" spans="1:14" hidden="1" x14ac:dyDescent="0.2">
      <c r="A149" s="230" t="s">
        <v>215</v>
      </c>
      <c r="B149" s="231" t="s">
        <v>385</v>
      </c>
      <c r="C149" s="247" t="s">
        <v>42</v>
      </c>
      <c r="D149" s="263" t="s">
        <v>98</v>
      </c>
      <c r="E149" s="249">
        <v>0.39054929333927241</v>
      </c>
      <c r="F149" s="250" t="s">
        <v>386</v>
      </c>
      <c r="G149" s="251" t="s">
        <v>16</v>
      </c>
      <c r="H149" s="252">
        <v>2</v>
      </c>
      <c r="I149" s="252">
        <v>2</v>
      </c>
      <c r="J149" s="252">
        <v>1</v>
      </c>
      <c r="K149" s="252">
        <v>1</v>
      </c>
      <c r="L149" s="253">
        <v>2</v>
      </c>
      <c r="M149" s="254">
        <f t="shared" si="4"/>
        <v>0.37356464144298934</v>
      </c>
      <c r="N149" s="255"/>
    </row>
    <row r="150" spans="1:14" hidden="1" x14ac:dyDescent="0.2">
      <c r="A150" s="230" t="s">
        <v>215</v>
      </c>
      <c r="B150" s="231" t="s">
        <v>385</v>
      </c>
      <c r="C150" s="247" t="s">
        <v>43</v>
      </c>
      <c r="D150" s="263" t="s">
        <v>98</v>
      </c>
      <c r="E150" s="249">
        <v>0.59174719069703796</v>
      </c>
      <c r="F150" s="250" t="s">
        <v>386</v>
      </c>
      <c r="G150" s="251" t="s">
        <v>16</v>
      </c>
      <c r="H150" s="252">
        <v>2</v>
      </c>
      <c r="I150" s="252">
        <v>2</v>
      </c>
      <c r="J150" s="252">
        <v>1</v>
      </c>
      <c r="K150" s="252">
        <v>1</v>
      </c>
      <c r="L150" s="253">
        <v>2</v>
      </c>
      <c r="M150" s="254">
        <f t="shared" si="4"/>
        <v>0.37356464144298934</v>
      </c>
      <c r="N150" s="255"/>
    </row>
    <row r="151" spans="1:14" hidden="1" x14ac:dyDescent="0.2">
      <c r="A151" s="230" t="s">
        <v>215</v>
      </c>
      <c r="B151" s="231" t="s">
        <v>385</v>
      </c>
      <c r="C151" s="247" t="s">
        <v>45</v>
      </c>
      <c r="D151" s="263" t="s">
        <v>98</v>
      </c>
      <c r="E151" s="249">
        <v>0.55620768656826081</v>
      </c>
      <c r="F151" s="250" t="s">
        <v>386</v>
      </c>
      <c r="G151" s="251" t="s">
        <v>16</v>
      </c>
      <c r="H151" s="252">
        <v>2</v>
      </c>
      <c r="I151" s="252">
        <v>2</v>
      </c>
      <c r="J151" s="252">
        <v>1</v>
      </c>
      <c r="K151" s="252">
        <v>1</v>
      </c>
      <c r="L151" s="253">
        <v>2</v>
      </c>
      <c r="M151" s="254">
        <f t="shared" si="4"/>
        <v>0.37356464144298934</v>
      </c>
      <c r="N151" s="255"/>
    </row>
    <row r="152" spans="1:14" hidden="1" x14ac:dyDescent="0.2">
      <c r="A152" s="230" t="s">
        <v>215</v>
      </c>
      <c r="B152" s="231" t="s">
        <v>385</v>
      </c>
      <c r="C152" s="247" t="s">
        <v>46</v>
      </c>
      <c r="D152" s="263" t="s">
        <v>98</v>
      </c>
      <c r="E152" s="249">
        <v>0.34325960085355522</v>
      </c>
      <c r="F152" s="250" t="s">
        <v>386</v>
      </c>
      <c r="G152" s="251" t="s">
        <v>16</v>
      </c>
      <c r="H152" s="252">
        <v>2</v>
      </c>
      <c r="I152" s="252">
        <v>2</v>
      </c>
      <c r="J152" s="252">
        <v>1</v>
      </c>
      <c r="K152" s="252">
        <v>1</v>
      </c>
      <c r="L152" s="253">
        <v>2</v>
      </c>
      <c r="M152" s="254">
        <f t="shared" si="4"/>
        <v>0.37356464144298934</v>
      </c>
      <c r="N152" s="255"/>
    </row>
    <row r="153" spans="1:14" hidden="1" x14ac:dyDescent="0.2">
      <c r="A153" s="230" t="s">
        <v>215</v>
      </c>
      <c r="B153" s="231" t="s">
        <v>385</v>
      </c>
      <c r="C153" s="247" t="s">
        <v>48</v>
      </c>
      <c r="D153" s="263" t="s">
        <v>98</v>
      </c>
      <c r="E153" s="249">
        <v>0.47337848995376658</v>
      </c>
      <c r="F153" s="250" t="s">
        <v>386</v>
      </c>
      <c r="G153" s="251" t="s">
        <v>16</v>
      </c>
      <c r="H153" s="252">
        <v>2</v>
      </c>
      <c r="I153" s="252">
        <v>2</v>
      </c>
      <c r="J153" s="252">
        <v>1</v>
      </c>
      <c r="K153" s="252">
        <v>1</v>
      </c>
      <c r="L153" s="253">
        <v>2</v>
      </c>
      <c r="M153" s="254">
        <f t="shared" si="4"/>
        <v>0.37356464144298934</v>
      </c>
      <c r="N153" s="255"/>
    </row>
    <row r="154" spans="1:14" hidden="1" x14ac:dyDescent="0.2">
      <c r="A154" s="230" t="s">
        <v>215</v>
      </c>
      <c r="B154" s="231" t="s">
        <v>385</v>
      </c>
      <c r="C154" s="247" t="s">
        <v>50</v>
      </c>
      <c r="D154" s="263" t="s">
        <v>98</v>
      </c>
      <c r="E154" s="249">
        <v>0.52076449545880277</v>
      </c>
      <c r="F154" s="250" t="s">
        <v>386</v>
      </c>
      <c r="G154" s="251" t="s">
        <v>16</v>
      </c>
      <c r="H154" s="252">
        <v>2</v>
      </c>
      <c r="I154" s="252">
        <v>2</v>
      </c>
      <c r="J154" s="252">
        <v>1</v>
      </c>
      <c r="K154" s="252">
        <v>1</v>
      </c>
      <c r="L154" s="253">
        <v>2</v>
      </c>
      <c r="M154" s="254">
        <f t="shared" si="4"/>
        <v>0.37356464144298934</v>
      </c>
      <c r="N154" s="255"/>
    </row>
    <row r="155" spans="1:14" hidden="1" x14ac:dyDescent="0.2">
      <c r="A155" s="230" t="s">
        <v>215</v>
      </c>
      <c r="B155" s="231" t="s">
        <v>385</v>
      </c>
      <c r="C155" s="247" t="s">
        <v>52</v>
      </c>
      <c r="D155" s="263" t="s">
        <v>98</v>
      </c>
      <c r="E155" s="249">
        <v>0.66272988593527327</v>
      </c>
      <c r="F155" s="250" t="s">
        <v>386</v>
      </c>
      <c r="G155" s="251" t="s">
        <v>16</v>
      </c>
      <c r="H155" s="252">
        <v>2</v>
      </c>
      <c r="I155" s="252">
        <v>2</v>
      </c>
      <c r="J155" s="252">
        <v>1</v>
      </c>
      <c r="K155" s="252">
        <v>1</v>
      </c>
      <c r="L155" s="253">
        <v>2</v>
      </c>
      <c r="M155" s="254">
        <f t="shared" si="4"/>
        <v>0.37356464144298934</v>
      </c>
      <c r="N155" s="255"/>
    </row>
    <row r="156" spans="1:14" hidden="1" x14ac:dyDescent="0.2">
      <c r="A156" s="230" t="s">
        <v>215</v>
      </c>
      <c r="B156" s="231" t="s">
        <v>385</v>
      </c>
      <c r="C156" s="247" t="s">
        <v>54</v>
      </c>
      <c r="D156" s="263" t="s">
        <v>98</v>
      </c>
      <c r="E156" s="249">
        <v>0.81663809080732175</v>
      </c>
      <c r="F156" s="250" t="s">
        <v>386</v>
      </c>
      <c r="G156" s="251" t="s">
        <v>16</v>
      </c>
      <c r="H156" s="252">
        <v>2</v>
      </c>
      <c r="I156" s="252">
        <v>2</v>
      </c>
      <c r="J156" s="252">
        <v>1</v>
      </c>
      <c r="K156" s="252">
        <v>1</v>
      </c>
      <c r="L156" s="253">
        <v>2</v>
      </c>
      <c r="M156" s="254">
        <f t="shared" si="4"/>
        <v>0.37356464144298934</v>
      </c>
      <c r="N156" s="255"/>
    </row>
    <row r="157" spans="1:14" hidden="1" x14ac:dyDescent="0.2">
      <c r="A157" s="230" t="s">
        <v>215</v>
      </c>
      <c r="B157" s="231" t="s">
        <v>385</v>
      </c>
      <c r="C157" s="247" t="s">
        <v>55</v>
      </c>
      <c r="D157" s="263" t="s">
        <v>98</v>
      </c>
      <c r="E157" s="249">
        <v>0.4970714927062847</v>
      </c>
      <c r="F157" s="250" t="s">
        <v>386</v>
      </c>
      <c r="G157" s="251" t="s">
        <v>16</v>
      </c>
      <c r="H157" s="252">
        <v>2</v>
      </c>
      <c r="I157" s="252">
        <v>2</v>
      </c>
      <c r="J157" s="252">
        <v>1</v>
      </c>
      <c r="K157" s="252">
        <v>1</v>
      </c>
      <c r="L157" s="253">
        <v>2</v>
      </c>
      <c r="M157" s="254">
        <f t="shared" si="4"/>
        <v>0.37356464144298934</v>
      </c>
      <c r="N157" s="255"/>
    </row>
    <row r="158" spans="1:14" hidden="1" x14ac:dyDescent="0.2">
      <c r="A158" s="230" t="s">
        <v>215</v>
      </c>
      <c r="B158" s="231" t="s">
        <v>385</v>
      </c>
      <c r="C158" s="247" t="s">
        <v>57</v>
      </c>
      <c r="D158" s="263" t="s">
        <v>98</v>
      </c>
      <c r="E158" s="249">
        <v>0.55620768656826081</v>
      </c>
      <c r="F158" s="250" t="s">
        <v>386</v>
      </c>
      <c r="G158" s="251" t="s">
        <v>16</v>
      </c>
      <c r="H158" s="252">
        <v>2</v>
      </c>
      <c r="I158" s="252">
        <v>2</v>
      </c>
      <c r="J158" s="252">
        <v>1</v>
      </c>
      <c r="K158" s="252">
        <v>1</v>
      </c>
      <c r="L158" s="253">
        <v>2</v>
      </c>
      <c r="M158" s="254">
        <f t="shared" si="4"/>
        <v>0.37356464144298934</v>
      </c>
      <c r="N158" s="255"/>
    </row>
    <row r="159" spans="1:14" hidden="1" x14ac:dyDescent="0.2">
      <c r="A159" s="230" t="s">
        <v>215</v>
      </c>
      <c r="B159" s="231" t="s">
        <v>385</v>
      </c>
      <c r="C159" s="247" t="s">
        <v>59</v>
      </c>
      <c r="D159" s="263" t="s">
        <v>98</v>
      </c>
      <c r="E159" s="249">
        <v>0.59174719069703796</v>
      </c>
      <c r="F159" s="250" t="s">
        <v>360</v>
      </c>
      <c r="G159" s="251" t="s">
        <v>16</v>
      </c>
      <c r="H159" s="252">
        <v>2</v>
      </c>
      <c r="I159" s="252">
        <v>2</v>
      </c>
      <c r="J159" s="252">
        <v>1</v>
      </c>
      <c r="K159" s="252">
        <v>1</v>
      </c>
      <c r="L159" s="253">
        <v>2</v>
      </c>
      <c r="M159" s="254">
        <f t="shared" si="4"/>
        <v>0.37356464144298934</v>
      </c>
      <c r="N159" s="255"/>
    </row>
    <row r="160" spans="1:14" hidden="1" x14ac:dyDescent="0.2">
      <c r="A160" s="230" t="s">
        <v>215</v>
      </c>
      <c r="B160" s="231" t="s">
        <v>385</v>
      </c>
      <c r="C160" s="247" t="s">
        <v>60</v>
      </c>
      <c r="D160" s="263" t="s">
        <v>98</v>
      </c>
      <c r="E160" s="249">
        <v>0.44968548720124851</v>
      </c>
      <c r="F160" s="250" t="s">
        <v>386</v>
      </c>
      <c r="G160" s="251" t="s">
        <v>16</v>
      </c>
      <c r="H160" s="252">
        <v>2</v>
      </c>
      <c r="I160" s="252">
        <v>2</v>
      </c>
      <c r="J160" s="252">
        <v>1</v>
      </c>
      <c r="K160" s="252">
        <v>1</v>
      </c>
      <c r="L160" s="253">
        <v>2</v>
      </c>
      <c r="M160" s="254">
        <f t="shared" si="4"/>
        <v>0.37356464144298934</v>
      </c>
      <c r="N160" s="255"/>
    </row>
    <row r="161" spans="1:14" x14ac:dyDescent="0.2">
      <c r="A161" s="230" t="s">
        <v>215</v>
      </c>
      <c r="B161" s="231" t="s">
        <v>387</v>
      </c>
      <c r="C161" s="222" t="s">
        <v>135</v>
      </c>
      <c r="D161" s="257" t="s">
        <v>14</v>
      </c>
      <c r="E161" s="61">
        <v>0</v>
      </c>
      <c r="F161" s="233"/>
      <c r="G161" s="234" t="s">
        <v>16</v>
      </c>
      <c r="H161" s="61"/>
      <c r="I161" s="61"/>
      <c r="J161" s="61"/>
      <c r="K161" s="61"/>
      <c r="L161" s="62"/>
      <c r="M161" s="63" t="str">
        <f t="shared" si="4"/>
        <v/>
      </c>
      <c r="N161" s="235"/>
    </row>
    <row r="162" spans="1:14" x14ac:dyDescent="0.2">
      <c r="A162" s="230" t="s">
        <v>215</v>
      </c>
      <c r="B162" s="231" t="s">
        <v>387</v>
      </c>
      <c r="C162" s="222" t="s">
        <v>135</v>
      </c>
      <c r="D162" s="258" t="s">
        <v>62</v>
      </c>
      <c r="E162" s="256" t="s">
        <v>188</v>
      </c>
      <c r="F162" s="233"/>
      <c r="G162" s="234" t="s">
        <v>16</v>
      </c>
      <c r="H162" s="61"/>
      <c r="I162" s="61"/>
      <c r="J162" s="61"/>
      <c r="K162" s="61"/>
      <c r="L162" s="62"/>
      <c r="M162" s="63" t="str">
        <f t="shared" si="4"/>
        <v/>
      </c>
      <c r="N162" s="235"/>
    </row>
    <row r="163" spans="1:14" x14ac:dyDescent="0.2">
      <c r="A163" s="230" t="s">
        <v>215</v>
      </c>
      <c r="B163" s="231" t="s">
        <v>387</v>
      </c>
      <c r="C163" s="222" t="s">
        <v>135</v>
      </c>
      <c r="D163" s="259" t="s">
        <v>64</v>
      </c>
      <c r="E163" s="256" t="s">
        <v>188</v>
      </c>
      <c r="F163" s="233"/>
      <c r="G163" s="234" t="s">
        <v>16</v>
      </c>
      <c r="H163" s="61"/>
      <c r="I163" s="61"/>
      <c r="J163" s="61"/>
      <c r="K163" s="61"/>
      <c r="L163" s="62"/>
      <c r="M163" s="63" t="str">
        <f t="shared" ref="M163:M193" si="5">IF( OR( ISBLANK(H163),ISBLANK(I163), ISBLANK(J163), ISBLANK(K163), ISBLANK(L163) ), "", 1.5*SQRT( EXP(2.21*(H163-1)) + EXP(2.21*(I163-1)) + EXP(2.21*(J163-1)) + EXP(2.21*(K163-1)) + EXP(2.21*L163) )/100*2.45 )</f>
        <v/>
      </c>
      <c r="N163" s="235"/>
    </row>
    <row r="164" spans="1:14" x14ac:dyDescent="0.2">
      <c r="A164" s="230" t="s">
        <v>215</v>
      </c>
      <c r="B164" s="231" t="s">
        <v>387</v>
      </c>
      <c r="C164" s="222" t="s">
        <v>135</v>
      </c>
      <c r="D164" s="260" t="s">
        <v>66</v>
      </c>
      <c r="E164" s="61">
        <v>0</v>
      </c>
      <c r="F164" s="233"/>
      <c r="G164" s="234" t="s">
        <v>16</v>
      </c>
      <c r="H164" s="61"/>
      <c r="I164" s="61"/>
      <c r="J164" s="61"/>
      <c r="K164" s="61"/>
      <c r="L164" s="62"/>
      <c r="M164" s="63" t="str">
        <f t="shared" si="5"/>
        <v/>
      </c>
      <c r="N164" s="235"/>
    </row>
    <row r="165" spans="1:14" x14ac:dyDescent="0.2">
      <c r="A165" s="230" t="s">
        <v>215</v>
      </c>
      <c r="B165" s="231" t="s">
        <v>387</v>
      </c>
      <c r="C165" s="222" t="s">
        <v>135</v>
      </c>
      <c r="D165" s="261" t="s">
        <v>94</v>
      </c>
      <c r="E165" s="61">
        <v>0</v>
      </c>
      <c r="F165" s="233"/>
      <c r="G165" s="234" t="s">
        <v>16</v>
      </c>
      <c r="H165" s="61"/>
      <c r="I165" s="61"/>
      <c r="J165" s="61"/>
      <c r="K165" s="61"/>
      <c r="L165" s="62"/>
      <c r="M165" s="63" t="str">
        <f t="shared" si="5"/>
        <v/>
      </c>
      <c r="N165" s="235"/>
    </row>
    <row r="166" spans="1:14" x14ac:dyDescent="0.2">
      <c r="A166" s="230" t="s">
        <v>215</v>
      </c>
      <c r="B166" s="231" t="s">
        <v>387</v>
      </c>
      <c r="C166" s="222" t="s">
        <v>135</v>
      </c>
      <c r="D166" s="262" t="s">
        <v>96</v>
      </c>
      <c r="E166" s="61">
        <v>0</v>
      </c>
      <c r="F166" s="233"/>
      <c r="G166" s="234" t="s">
        <v>16</v>
      </c>
      <c r="H166" s="61"/>
      <c r="I166" s="61"/>
      <c r="J166" s="61"/>
      <c r="K166" s="61"/>
      <c r="L166" s="62"/>
      <c r="M166" s="63" t="str">
        <f t="shared" si="5"/>
        <v/>
      </c>
      <c r="N166" s="235"/>
    </row>
    <row r="167" spans="1:14" x14ac:dyDescent="0.2">
      <c r="A167" s="236" t="s">
        <v>215</v>
      </c>
      <c r="B167" s="237" t="s">
        <v>387</v>
      </c>
      <c r="C167" s="238" t="s">
        <v>135</v>
      </c>
      <c r="D167" s="278" t="s">
        <v>98</v>
      </c>
      <c r="E167" s="274" t="s">
        <v>188</v>
      </c>
      <c r="F167" s="241"/>
      <c r="G167" s="242" t="s">
        <v>16</v>
      </c>
      <c r="H167" s="240"/>
      <c r="I167" s="240"/>
      <c r="J167" s="240"/>
      <c r="K167" s="240"/>
      <c r="L167" s="243"/>
      <c r="M167" s="244" t="str">
        <f t="shared" si="5"/>
        <v/>
      </c>
      <c r="N167" s="245"/>
    </row>
    <row r="168" spans="1:14" x14ac:dyDescent="0.2">
      <c r="A168" s="230" t="s">
        <v>223</v>
      </c>
      <c r="B168" s="231" t="s">
        <v>385</v>
      </c>
      <c r="C168" s="247" t="s">
        <v>13</v>
      </c>
      <c r="D168" s="232" t="s">
        <v>135</v>
      </c>
      <c r="E168" s="249">
        <v>4.8458499509645772E-2</v>
      </c>
      <c r="F168" s="250" t="s">
        <v>386</v>
      </c>
      <c r="G168" s="251" t="s">
        <v>16</v>
      </c>
      <c r="H168" s="252">
        <v>2</v>
      </c>
      <c r="I168" s="252">
        <v>2</v>
      </c>
      <c r="J168" s="252">
        <v>1</v>
      </c>
      <c r="K168" s="252">
        <v>1</v>
      </c>
      <c r="L168" s="253">
        <v>2</v>
      </c>
      <c r="M168" s="254">
        <f t="shared" si="5"/>
        <v>0.37356464144298934</v>
      </c>
      <c r="N168" s="255"/>
    </row>
    <row r="169" spans="1:14" hidden="1" x14ac:dyDescent="0.2">
      <c r="A169" s="230" t="s">
        <v>223</v>
      </c>
      <c r="B169" s="231" t="s">
        <v>385</v>
      </c>
      <c r="C169" s="247" t="s">
        <v>18</v>
      </c>
      <c r="D169" s="232" t="s">
        <v>135</v>
      </c>
      <c r="E169" s="249">
        <v>5.9859817130033938E-2</v>
      </c>
      <c r="F169" s="250" t="s">
        <v>386</v>
      </c>
      <c r="G169" s="251" t="s">
        <v>16</v>
      </c>
      <c r="H169" s="252">
        <v>2</v>
      </c>
      <c r="I169" s="252">
        <v>2</v>
      </c>
      <c r="J169" s="252">
        <v>1</v>
      </c>
      <c r="K169" s="252">
        <v>1</v>
      </c>
      <c r="L169" s="253">
        <v>2</v>
      </c>
      <c r="M169" s="254">
        <f t="shared" si="5"/>
        <v>0.37356464144298934</v>
      </c>
      <c r="N169" s="255"/>
    </row>
    <row r="170" spans="1:14" hidden="1" x14ac:dyDescent="0.2">
      <c r="A170" s="230" t="s">
        <v>223</v>
      </c>
      <c r="B170" s="231" t="s">
        <v>385</v>
      </c>
      <c r="C170" s="247" t="s">
        <v>20</v>
      </c>
      <c r="D170" s="232" t="s">
        <v>135</v>
      </c>
      <c r="E170" s="249">
        <v>9.121054096310538E-2</v>
      </c>
      <c r="F170" s="250" t="s">
        <v>386</v>
      </c>
      <c r="G170" s="251" t="s">
        <v>16</v>
      </c>
      <c r="H170" s="252">
        <v>2</v>
      </c>
      <c r="I170" s="252">
        <v>2</v>
      </c>
      <c r="J170" s="252">
        <v>1</v>
      </c>
      <c r="K170" s="252">
        <v>1</v>
      </c>
      <c r="L170" s="253">
        <v>2</v>
      </c>
      <c r="M170" s="254">
        <f t="shared" si="5"/>
        <v>0.37356464144298934</v>
      </c>
      <c r="N170" s="255"/>
    </row>
    <row r="171" spans="1:14" hidden="1" x14ac:dyDescent="0.2">
      <c r="A171" s="230" t="s">
        <v>223</v>
      </c>
      <c r="B171" s="231" t="s">
        <v>385</v>
      </c>
      <c r="C171" s="247" t="s">
        <v>22</v>
      </c>
      <c r="D171" s="232" t="s">
        <v>135</v>
      </c>
      <c r="E171" s="249">
        <v>5.4153359073847787E-2</v>
      </c>
      <c r="F171" s="250" t="s">
        <v>386</v>
      </c>
      <c r="G171" s="251" t="s">
        <v>16</v>
      </c>
      <c r="H171" s="252">
        <v>2</v>
      </c>
      <c r="I171" s="252">
        <v>2</v>
      </c>
      <c r="J171" s="252">
        <v>1</v>
      </c>
      <c r="K171" s="252">
        <v>1</v>
      </c>
      <c r="L171" s="253">
        <v>2</v>
      </c>
      <c r="M171" s="254">
        <f t="shared" si="5"/>
        <v>0.37356464144298934</v>
      </c>
      <c r="N171" s="255"/>
    </row>
    <row r="172" spans="1:14" hidden="1" x14ac:dyDescent="0.2">
      <c r="A172" s="230" t="s">
        <v>223</v>
      </c>
      <c r="B172" s="231" t="s">
        <v>385</v>
      </c>
      <c r="C172" s="247" t="s">
        <v>23</v>
      </c>
      <c r="D172" s="232" t="s">
        <v>135</v>
      </c>
      <c r="E172" s="249">
        <v>6.6981291208282501E-2</v>
      </c>
      <c r="F172" s="250" t="s">
        <v>386</v>
      </c>
      <c r="G172" s="251" t="s">
        <v>16</v>
      </c>
      <c r="H172" s="252">
        <v>2</v>
      </c>
      <c r="I172" s="252">
        <v>2</v>
      </c>
      <c r="J172" s="252">
        <v>1</v>
      </c>
      <c r="K172" s="252">
        <v>1</v>
      </c>
      <c r="L172" s="253">
        <v>2</v>
      </c>
      <c r="M172" s="254">
        <f t="shared" si="5"/>
        <v>0.37356464144298934</v>
      </c>
      <c r="N172" s="255"/>
    </row>
    <row r="173" spans="1:14" hidden="1" x14ac:dyDescent="0.2">
      <c r="A173" s="230" t="s">
        <v>223</v>
      </c>
      <c r="B173" s="231" t="s">
        <v>385</v>
      </c>
      <c r="C173" s="247" t="s">
        <v>24</v>
      </c>
      <c r="D173" s="232" t="s">
        <v>135</v>
      </c>
      <c r="E173" s="249">
        <v>8.2662452370810283E-2</v>
      </c>
      <c r="F173" s="250" t="s">
        <v>386</v>
      </c>
      <c r="G173" s="251" t="s">
        <v>16</v>
      </c>
      <c r="H173" s="252">
        <v>2</v>
      </c>
      <c r="I173" s="252">
        <v>2</v>
      </c>
      <c r="J173" s="252">
        <v>1</v>
      </c>
      <c r="K173" s="252">
        <v>1</v>
      </c>
      <c r="L173" s="253">
        <v>2</v>
      </c>
      <c r="M173" s="254">
        <f t="shared" si="5"/>
        <v>0.37356464144298934</v>
      </c>
      <c r="N173" s="255"/>
    </row>
    <row r="174" spans="1:14" hidden="1" x14ac:dyDescent="0.2">
      <c r="A174" s="230" t="s">
        <v>223</v>
      </c>
      <c r="B174" s="231" t="s">
        <v>385</v>
      </c>
      <c r="C174" s="247" t="s">
        <v>25</v>
      </c>
      <c r="D174" s="232" t="s">
        <v>135</v>
      </c>
      <c r="E174" s="249">
        <v>4.2752041453459608E-2</v>
      </c>
      <c r="F174" s="250" t="s">
        <v>386</v>
      </c>
      <c r="G174" s="251" t="s">
        <v>16</v>
      </c>
      <c r="H174" s="252">
        <v>2</v>
      </c>
      <c r="I174" s="252">
        <v>2</v>
      </c>
      <c r="J174" s="252">
        <v>1</v>
      </c>
      <c r="K174" s="252">
        <v>1</v>
      </c>
      <c r="L174" s="253">
        <v>2</v>
      </c>
      <c r="M174" s="254">
        <f t="shared" si="5"/>
        <v>0.37356464144298934</v>
      </c>
      <c r="N174" s="255"/>
    </row>
    <row r="175" spans="1:14" hidden="1" x14ac:dyDescent="0.2">
      <c r="A175" s="230" t="s">
        <v>223</v>
      </c>
      <c r="B175" s="231" t="s">
        <v>385</v>
      </c>
      <c r="C175" s="247" t="s">
        <v>26</v>
      </c>
      <c r="D175" s="232" t="s">
        <v>135</v>
      </c>
      <c r="E175" s="249">
        <v>4.1337025431397202E-2</v>
      </c>
      <c r="F175" s="250" t="s">
        <v>386</v>
      </c>
      <c r="G175" s="251" t="s">
        <v>16</v>
      </c>
      <c r="H175" s="252">
        <v>2</v>
      </c>
      <c r="I175" s="252">
        <v>2</v>
      </c>
      <c r="J175" s="252">
        <v>1</v>
      </c>
      <c r="K175" s="252">
        <v>1</v>
      </c>
      <c r="L175" s="253">
        <v>2</v>
      </c>
      <c r="M175" s="254">
        <f t="shared" si="5"/>
        <v>0.37356464144298934</v>
      </c>
      <c r="N175" s="255"/>
    </row>
    <row r="176" spans="1:14" hidden="1" x14ac:dyDescent="0.2">
      <c r="A176" s="230" t="s">
        <v>223</v>
      </c>
      <c r="B176" s="231" t="s">
        <v>385</v>
      </c>
      <c r="C176" s="247" t="s">
        <v>27</v>
      </c>
      <c r="D176" s="232" t="s">
        <v>135</v>
      </c>
      <c r="E176" s="249">
        <v>3.5630567375211052E-2</v>
      </c>
      <c r="F176" s="250" t="s">
        <v>386</v>
      </c>
      <c r="G176" s="251" t="s">
        <v>16</v>
      </c>
      <c r="H176" s="252">
        <v>2</v>
      </c>
      <c r="I176" s="252">
        <v>2</v>
      </c>
      <c r="J176" s="252">
        <v>1</v>
      </c>
      <c r="K176" s="252">
        <v>1</v>
      </c>
      <c r="L176" s="253">
        <v>2</v>
      </c>
      <c r="M176" s="254">
        <f t="shared" si="5"/>
        <v>0.37356464144298934</v>
      </c>
      <c r="N176" s="255"/>
    </row>
    <row r="177" spans="1:14" hidden="1" x14ac:dyDescent="0.2">
      <c r="A177" s="230" t="s">
        <v>223</v>
      </c>
      <c r="B177" s="231" t="s">
        <v>385</v>
      </c>
      <c r="C177" s="247" t="s">
        <v>28</v>
      </c>
      <c r="D177" s="232" t="s">
        <v>135</v>
      </c>
      <c r="E177" s="249">
        <v>3.5630567375211052E-2</v>
      </c>
      <c r="F177" s="250" t="s">
        <v>386</v>
      </c>
      <c r="G177" s="251" t="s">
        <v>16</v>
      </c>
      <c r="H177" s="252">
        <v>2</v>
      </c>
      <c r="I177" s="252">
        <v>2</v>
      </c>
      <c r="J177" s="252">
        <v>1</v>
      </c>
      <c r="K177" s="252">
        <v>1</v>
      </c>
      <c r="L177" s="253">
        <v>2</v>
      </c>
      <c r="M177" s="254">
        <f t="shared" si="5"/>
        <v>0.37356464144298934</v>
      </c>
      <c r="N177" s="255"/>
    </row>
    <row r="178" spans="1:14" hidden="1" x14ac:dyDescent="0.2">
      <c r="A178" s="230" t="s">
        <v>223</v>
      </c>
      <c r="B178" s="231" t="s">
        <v>385</v>
      </c>
      <c r="C178" s="247" t="s">
        <v>30</v>
      </c>
      <c r="D178" s="232" t="s">
        <v>135</v>
      </c>
      <c r="E178" s="249">
        <v>7.1261134750422103E-2</v>
      </c>
      <c r="F178" s="250" t="s">
        <v>386</v>
      </c>
      <c r="G178" s="251" t="s">
        <v>16</v>
      </c>
      <c r="H178" s="252">
        <v>2</v>
      </c>
      <c r="I178" s="252">
        <v>2</v>
      </c>
      <c r="J178" s="252">
        <v>1</v>
      </c>
      <c r="K178" s="252">
        <v>1</v>
      </c>
      <c r="L178" s="253">
        <v>2</v>
      </c>
      <c r="M178" s="254">
        <f t="shared" si="5"/>
        <v>0.37356464144298934</v>
      </c>
      <c r="N178" s="255"/>
    </row>
    <row r="179" spans="1:14" hidden="1" x14ac:dyDescent="0.2">
      <c r="A179" s="230" t="s">
        <v>223</v>
      </c>
      <c r="B179" s="231" t="s">
        <v>385</v>
      </c>
      <c r="C179" s="247" t="s">
        <v>32</v>
      </c>
      <c r="D179" s="232" t="s">
        <v>135</v>
      </c>
      <c r="E179" s="249">
        <v>4.560527048155269E-2</v>
      </c>
      <c r="F179" s="250" t="s">
        <v>386</v>
      </c>
      <c r="G179" s="251" t="s">
        <v>16</v>
      </c>
      <c r="H179" s="252">
        <v>2</v>
      </c>
      <c r="I179" s="252">
        <v>2</v>
      </c>
      <c r="J179" s="252">
        <v>1</v>
      </c>
      <c r="K179" s="252">
        <v>1</v>
      </c>
      <c r="L179" s="253">
        <v>2</v>
      </c>
      <c r="M179" s="254">
        <f t="shared" si="5"/>
        <v>0.37356464144298934</v>
      </c>
      <c r="N179" s="255"/>
    </row>
    <row r="180" spans="1:14" hidden="1" x14ac:dyDescent="0.2">
      <c r="A180" s="230" t="s">
        <v>223</v>
      </c>
      <c r="B180" s="231" t="s">
        <v>385</v>
      </c>
      <c r="C180" s="247" t="s">
        <v>34</v>
      </c>
      <c r="D180" s="232" t="s">
        <v>135</v>
      </c>
      <c r="E180" s="249">
        <v>5.2738343051785368E-2</v>
      </c>
      <c r="F180" s="250" t="s">
        <v>386</v>
      </c>
      <c r="G180" s="251" t="s">
        <v>16</v>
      </c>
      <c r="H180" s="252">
        <v>2</v>
      </c>
      <c r="I180" s="252">
        <v>2</v>
      </c>
      <c r="J180" s="252">
        <v>1</v>
      </c>
      <c r="K180" s="252">
        <v>1</v>
      </c>
      <c r="L180" s="253">
        <v>2</v>
      </c>
      <c r="M180" s="254">
        <f t="shared" si="5"/>
        <v>0.37356464144298934</v>
      </c>
      <c r="N180" s="255"/>
    </row>
    <row r="181" spans="1:14" hidden="1" x14ac:dyDescent="0.2">
      <c r="A181" s="230" t="s">
        <v>223</v>
      </c>
      <c r="B181" s="231" t="s">
        <v>385</v>
      </c>
      <c r="C181" s="247" t="s">
        <v>36</v>
      </c>
      <c r="D181" s="232" t="s">
        <v>135</v>
      </c>
      <c r="E181" s="249">
        <v>5.7006588101940862E-2</v>
      </c>
      <c r="F181" s="250" t="s">
        <v>386</v>
      </c>
      <c r="G181" s="251" t="s">
        <v>16</v>
      </c>
      <c r="H181" s="252">
        <v>2</v>
      </c>
      <c r="I181" s="252">
        <v>2</v>
      </c>
      <c r="J181" s="252">
        <v>1</v>
      </c>
      <c r="K181" s="252">
        <v>1</v>
      </c>
      <c r="L181" s="253">
        <v>2</v>
      </c>
      <c r="M181" s="254">
        <f t="shared" si="5"/>
        <v>0.37356464144298934</v>
      </c>
      <c r="N181" s="255"/>
    </row>
    <row r="182" spans="1:14" hidden="1" x14ac:dyDescent="0.2">
      <c r="A182" s="230" t="s">
        <v>223</v>
      </c>
      <c r="B182" s="231" t="s">
        <v>385</v>
      </c>
      <c r="C182" s="247" t="s">
        <v>37</v>
      </c>
      <c r="D182" s="232" t="s">
        <v>135</v>
      </c>
      <c r="E182" s="249">
        <v>5.4153359073847787E-2</v>
      </c>
      <c r="F182" s="250" t="s">
        <v>386</v>
      </c>
      <c r="G182" s="251" t="s">
        <v>16</v>
      </c>
      <c r="H182" s="252">
        <v>2</v>
      </c>
      <c r="I182" s="252">
        <v>2</v>
      </c>
      <c r="J182" s="252">
        <v>1</v>
      </c>
      <c r="K182" s="252">
        <v>1</v>
      </c>
      <c r="L182" s="253">
        <v>2</v>
      </c>
      <c r="M182" s="254">
        <f t="shared" si="5"/>
        <v>0.37356464144298934</v>
      </c>
      <c r="N182" s="255"/>
    </row>
    <row r="183" spans="1:14" hidden="1" x14ac:dyDescent="0.2">
      <c r="A183" s="230" t="s">
        <v>223</v>
      </c>
      <c r="B183" s="231" t="s">
        <v>385</v>
      </c>
      <c r="C183" s="247" t="s">
        <v>39</v>
      </c>
      <c r="D183" s="232" t="s">
        <v>135</v>
      </c>
      <c r="E183" s="249">
        <v>5.1311728537738827E-2</v>
      </c>
      <c r="F183" s="250" t="s">
        <v>386</v>
      </c>
      <c r="G183" s="251" t="s">
        <v>16</v>
      </c>
      <c r="H183" s="252">
        <v>2</v>
      </c>
      <c r="I183" s="252">
        <v>2</v>
      </c>
      <c r="J183" s="252">
        <v>1</v>
      </c>
      <c r="K183" s="252">
        <v>1</v>
      </c>
      <c r="L183" s="253">
        <v>2</v>
      </c>
      <c r="M183" s="254">
        <f t="shared" si="5"/>
        <v>0.37356464144298934</v>
      </c>
      <c r="N183" s="255"/>
    </row>
    <row r="184" spans="1:14" hidden="1" x14ac:dyDescent="0.2">
      <c r="A184" s="230" t="s">
        <v>223</v>
      </c>
      <c r="B184" s="231" t="s">
        <v>385</v>
      </c>
      <c r="C184" s="247" t="s">
        <v>40</v>
      </c>
      <c r="D184" s="232" t="s">
        <v>135</v>
      </c>
      <c r="E184" s="249">
        <v>7.2687749264468651E-2</v>
      </c>
      <c r="F184" s="250" t="s">
        <v>386</v>
      </c>
      <c r="G184" s="251" t="s">
        <v>16</v>
      </c>
      <c r="H184" s="252">
        <v>2</v>
      </c>
      <c r="I184" s="252">
        <v>2</v>
      </c>
      <c r="J184" s="252">
        <v>1</v>
      </c>
      <c r="K184" s="252">
        <v>1</v>
      </c>
      <c r="L184" s="253">
        <v>2</v>
      </c>
      <c r="M184" s="254">
        <f t="shared" si="5"/>
        <v>0.37356464144298934</v>
      </c>
      <c r="N184" s="255"/>
    </row>
    <row r="185" spans="1:14" hidden="1" x14ac:dyDescent="0.2">
      <c r="A185" s="230" t="s">
        <v>223</v>
      </c>
      <c r="B185" s="231" t="s">
        <v>385</v>
      </c>
      <c r="C185" s="247" t="s">
        <v>41</v>
      </c>
      <c r="D185" s="232" t="s">
        <v>135</v>
      </c>
      <c r="E185" s="249">
        <v>5.2738343051785368E-2</v>
      </c>
      <c r="F185" s="250" t="s">
        <v>386</v>
      </c>
      <c r="G185" s="251" t="s">
        <v>16</v>
      </c>
      <c r="H185" s="252">
        <v>2</v>
      </c>
      <c r="I185" s="252">
        <v>2</v>
      </c>
      <c r="J185" s="252">
        <v>1</v>
      </c>
      <c r="K185" s="252">
        <v>1</v>
      </c>
      <c r="L185" s="253">
        <v>2</v>
      </c>
      <c r="M185" s="254">
        <f t="shared" si="5"/>
        <v>0.37356464144298934</v>
      </c>
      <c r="N185" s="255"/>
    </row>
    <row r="186" spans="1:14" hidden="1" x14ac:dyDescent="0.2">
      <c r="A186" s="230" t="s">
        <v>223</v>
      </c>
      <c r="B186" s="231" t="s">
        <v>385</v>
      </c>
      <c r="C186" s="247" t="s">
        <v>42</v>
      </c>
      <c r="D186" s="232" t="s">
        <v>135</v>
      </c>
      <c r="E186" s="249">
        <v>4.7031884995599231E-2</v>
      </c>
      <c r="F186" s="250" t="s">
        <v>386</v>
      </c>
      <c r="G186" s="251" t="s">
        <v>16</v>
      </c>
      <c r="H186" s="252">
        <v>2</v>
      </c>
      <c r="I186" s="252">
        <v>2</v>
      </c>
      <c r="J186" s="252">
        <v>1</v>
      </c>
      <c r="K186" s="252">
        <v>1</v>
      </c>
      <c r="L186" s="253">
        <v>2</v>
      </c>
      <c r="M186" s="254">
        <f t="shared" si="5"/>
        <v>0.37356464144298934</v>
      </c>
      <c r="N186" s="255"/>
    </row>
    <row r="187" spans="1:14" hidden="1" x14ac:dyDescent="0.2">
      <c r="A187" s="230" t="s">
        <v>223</v>
      </c>
      <c r="B187" s="231" t="s">
        <v>385</v>
      </c>
      <c r="C187" s="247" t="s">
        <v>43</v>
      </c>
      <c r="D187" s="232" t="s">
        <v>135</v>
      </c>
      <c r="E187" s="249">
        <v>7.1261134750422103E-2</v>
      </c>
      <c r="F187" s="250" t="s">
        <v>386</v>
      </c>
      <c r="G187" s="251" t="s">
        <v>16</v>
      </c>
      <c r="H187" s="252">
        <v>2</v>
      </c>
      <c r="I187" s="252">
        <v>2</v>
      </c>
      <c r="J187" s="252">
        <v>1</v>
      </c>
      <c r="K187" s="252">
        <v>1</v>
      </c>
      <c r="L187" s="253">
        <v>2</v>
      </c>
      <c r="M187" s="254">
        <f t="shared" si="5"/>
        <v>0.37356464144298934</v>
      </c>
      <c r="N187" s="255"/>
    </row>
    <row r="188" spans="1:14" hidden="1" x14ac:dyDescent="0.2">
      <c r="A188" s="230" t="s">
        <v>223</v>
      </c>
      <c r="B188" s="231" t="s">
        <v>385</v>
      </c>
      <c r="C188" s="247" t="s">
        <v>45</v>
      </c>
      <c r="D188" s="232" t="s">
        <v>135</v>
      </c>
      <c r="E188" s="249">
        <v>6.6981291208282501E-2</v>
      </c>
      <c r="F188" s="250" t="s">
        <v>386</v>
      </c>
      <c r="G188" s="251" t="s">
        <v>16</v>
      </c>
      <c r="H188" s="252">
        <v>2</v>
      </c>
      <c r="I188" s="252">
        <v>2</v>
      </c>
      <c r="J188" s="252">
        <v>1</v>
      </c>
      <c r="K188" s="252">
        <v>1</v>
      </c>
      <c r="L188" s="253">
        <v>2</v>
      </c>
      <c r="M188" s="254">
        <f t="shared" si="5"/>
        <v>0.37356464144298934</v>
      </c>
      <c r="N188" s="255"/>
    </row>
    <row r="189" spans="1:14" hidden="1" x14ac:dyDescent="0.2">
      <c r="A189" s="230" t="s">
        <v>223</v>
      </c>
      <c r="B189" s="231" t="s">
        <v>385</v>
      </c>
      <c r="C189" s="247" t="s">
        <v>46</v>
      </c>
      <c r="D189" s="232" t="s">
        <v>135</v>
      </c>
      <c r="E189" s="249">
        <v>4.1337025431397202E-2</v>
      </c>
      <c r="F189" s="250" t="s">
        <v>386</v>
      </c>
      <c r="G189" s="251" t="s">
        <v>16</v>
      </c>
      <c r="H189" s="252">
        <v>2</v>
      </c>
      <c r="I189" s="252">
        <v>2</v>
      </c>
      <c r="J189" s="252">
        <v>1</v>
      </c>
      <c r="K189" s="252">
        <v>1</v>
      </c>
      <c r="L189" s="253">
        <v>2</v>
      </c>
      <c r="M189" s="254">
        <f t="shared" si="5"/>
        <v>0.37356464144298934</v>
      </c>
      <c r="N189" s="255"/>
    </row>
    <row r="190" spans="1:14" hidden="1" x14ac:dyDescent="0.2">
      <c r="A190" s="230" t="s">
        <v>223</v>
      </c>
      <c r="B190" s="231" t="s">
        <v>385</v>
      </c>
      <c r="C190" s="247" t="s">
        <v>48</v>
      </c>
      <c r="D190" s="232" t="s">
        <v>135</v>
      </c>
      <c r="E190" s="249">
        <v>5.7006588101940862E-2</v>
      </c>
      <c r="F190" s="250" t="s">
        <v>386</v>
      </c>
      <c r="G190" s="251" t="s">
        <v>16</v>
      </c>
      <c r="H190" s="252">
        <v>2</v>
      </c>
      <c r="I190" s="252">
        <v>2</v>
      </c>
      <c r="J190" s="252">
        <v>1</v>
      </c>
      <c r="K190" s="252">
        <v>1</v>
      </c>
      <c r="L190" s="253">
        <v>2</v>
      </c>
      <c r="M190" s="254">
        <f t="shared" si="5"/>
        <v>0.37356464144298934</v>
      </c>
      <c r="N190" s="255"/>
    </row>
    <row r="191" spans="1:14" hidden="1" x14ac:dyDescent="0.2">
      <c r="A191" s="230" t="s">
        <v>223</v>
      </c>
      <c r="B191" s="231" t="s">
        <v>385</v>
      </c>
      <c r="C191" s="247" t="s">
        <v>50</v>
      </c>
      <c r="D191" s="232" t="s">
        <v>135</v>
      </c>
      <c r="E191" s="249">
        <v>6.2713046158127006E-2</v>
      </c>
      <c r="F191" s="250" t="s">
        <v>386</v>
      </c>
      <c r="G191" s="251" t="s">
        <v>16</v>
      </c>
      <c r="H191" s="252">
        <v>2</v>
      </c>
      <c r="I191" s="252">
        <v>2</v>
      </c>
      <c r="J191" s="252">
        <v>1</v>
      </c>
      <c r="K191" s="252">
        <v>1</v>
      </c>
      <c r="L191" s="253">
        <v>2</v>
      </c>
      <c r="M191" s="254">
        <f t="shared" si="5"/>
        <v>0.37356464144298934</v>
      </c>
      <c r="N191" s="255"/>
    </row>
    <row r="192" spans="1:14" hidden="1" x14ac:dyDescent="0.2">
      <c r="A192" s="230" t="s">
        <v>223</v>
      </c>
      <c r="B192" s="231" t="s">
        <v>385</v>
      </c>
      <c r="C192" s="247" t="s">
        <v>52</v>
      </c>
      <c r="D192" s="232" t="s">
        <v>135</v>
      </c>
      <c r="E192" s="249">
        <v>7.9809223342717214E-2</v>
      </c>
      <c r="F192" s="250" t="s">
        <v>386</v>
      </c>
      <c r="G192" s="251" t="s">
        <v>16</v>
      </c>
      <c r="H192" s="252">
        <v>2</v>
      </c>
      <c r="I192" s="252">
        <v>2</v>
      </c>
      <c r="J192" s="252">
        <v>1</v>
      </c>
      <c r="K192" s="252">
        <v>1</v>
      </c>
      <c r="L192" s="253">
        <v>2</v>
      </c>
      <c r="M192" s="254">
        <f t="shared" si="5"/>
        <v>0.37356464144298934</v>
      </c>
      <c r="N192" s="255"/>
    </row>
    <row r="193" spans="1:14" hidden="1" x14ac:dyDescent="0.2">
      <c r="A193" s="230" t="s">
        <v>223</v>
      </c>
      <c r="B193" s="231" t="s">
        <v>385</v>
      </c>
      <c r="C193" s="247" t="s">
        <v>54</v>
      </c>
      <c r="D193" s="232" t="s">
        <v>135</v>
      </c>
      <c r="E193" s="249">
        <v>9.8343613533338065E-2</v>
      </c>
      <c r="F193" s="250" t="s">
        <v>386</v>
      </c>
      <c r="G193" s="251" t="s">
        <v>16</v>
      </c>
      <c r="H193" s="252">
        <v>2</v>
      </c>
      <c r="I193" s="252">
        <v>2</v>
      </c>
      <c r="J193" s="252">
        <v>1</v>
      </c>
      <c r="K193" s="252">
        <v>1</v>
      </c>
      <c r="L193" s="253">
        <v>2</v>
      </c>
      <c r="M193" s="254">
        <f t="shared" si="5"/>
        <v>0.37356464144298934</v>
      </c>
      <c r="N193" s="255"/>
    </row>
    <row r="194" spans="1:14" hidden="1" x14ac:dyDescent="0.2">
      <c r="A194" s="230" t="s">
        <v>223</v>
      </c>
      <c r="B194" s="231" t="s">
        <v>385</v>
      </c>
      <c r="C194" s="247" t="s">
        <v>55</v>
      </c>
      <c r="D194" s="232" t="s">
        <v>135</v>
      </c>
      <c r="E194" s="249">
        <v>5.9859817130033938E-2</v>
      </c>
      <c r="F194" s="250" t="s">
        <v>386</v>
      </c>
      <c r="G194" s="251" t="s">
        <v>16</v>
      </c>
      <c r="H194" s="252">
        <v>2</v>
      </c>
      <c r="I194" s="252">
        <v>2</v>
      </c>
      <c r="J194" s="252">
        <v>1</v>
      </c>
      <c r="K194" s="252">
        <v>1</v>
      </c>
      <c r="L194" s="253">
        <v>2</v>
      </c>
      <c r="M194" s="254">
        <f>IF( OR( ISBLANK(H194),ISBLANK(I194), ISBLANK(J194), ISBLANK(K194), ISBLANK(L194) ), "", 1.5*SQRT(   EXP(2.21*(H194-1)) + EXP(2.21*(I194-1)) + EXP(2.21*(J194-1)) + EXP(2.21*(K194-1)) + EXP(2.21*L194)   )/100*2.45 )</f>
        <v>0.37356464144298934</v>
      </c>
      <c r="N194" s="255"/>
    </row>
    <row r="195" spans="1:14" hidden="1" x14ac:dyDescent="0.2">
      <c r="A195" s="230" t="s">
        <v>223</v>
      </c>
      <c r="B195" s="231" t="s">
        <v>385</v>
      </c>
      <c r="C195" s="247" t="s">
        <v>57</v>
      </c>
      <c r="D195" s="232" t="s">
        <v>135</v>
      </c>
      <c r="E195" s="249">
        <v>6.6981291208282501E-2</v>
      </c>
      <c r="F195" s="250" t="s">
        <v>386</v>
      </c>
      <c r="G195" s="251" t="s">
        <v>16</v>
      </c>
      <c r="H195" s="252">
        <v>2</v>
      </c>
      <c r="I195" s="252">
        <v>2</v>
      </c>
      <c r="J195" s="252">
        <v>1</v>
      </c>
      <c r="K195" s="252">
        <v>1</v>
      </c>
      <c r="L195" s="253">
        <v>2</v>
      </c>
      <c r="M195" s="254">
        <f t="shared" ref="M195:M226" si="6">IF( OR( ISBLANK(H195),ISBLANK(I195), ISBLANK(J195), ISBLANK(K195), ISBLANK(L195) ), "", 1.5*SQRT( EXP(2.21*(H195-1)) + EXP(2.21*(I195-1)) + EXP(2.21*(J195-1)) + EXP(2.21*(K195-1)) + EXP(2.21*L195) )/100*2.45 )</f>
        <v>0.37356464144298934</v>
      </c>
      <c r="N195" s="255"/>
    </row>
    <row r="196" spans="1:14" hidden="1" x14ac:dyDescent="0.2">
      <c r="A196" s="230" t="s">
        <v>223</v>
      </c>
      <c r="B196" s="231" t="s">
        <v>385</v>
      </c>
      <c r="C196" s="247" t="s">
        <v>59</v>
      </c>
      <c r="D196" s="232" t="s">
        <v>135</v>
      </c>
      <c r="E196" s="249">
        <v>7.1261134750422103E-2</v>
      </c>
      <c r="F196" s="250" t="s">
        <v>360</v>
      </c>
      <c r="G196" s="251" t="s">
        <v>16</v>
      </c>
      <c r="H196" s="252">
        <v>2</v>
      </c>
      <c r="I196" s="252">
        <v>2</v>
      </c>
      <c r="J196" s="252">
        <v>1</v>
      </c>
      <c r="K196" s="252">
        <v>1</v>
      </c>
      <c r="L196" s="253">
        <v>2</v>
      </c>
      <c r="M196" s="254">
        <f t="shared" si="6"/>
        <v>0.37356464144298934</v>
      </c>
      <c r="N196" s="255"/>
    </row>
    <row r="197" spans="1:14" hidden="1" x14ac:dyDescent="0.2">
      <c r="A197" s="230" t="s">
        <v>223</v>
      </c>
      <c r="B197" s="231" t="s">
        <v>385</v>
      </c>
      <c r="C197" s="247" t="s">
        <v>60</v>
      </c>
      <c r="D197" s="232" t="s">
        <v>135</v>
      </c>
      <c r="E197" s="249">
        <v>5.4153359073847787E-2</v>
      </c>
      <c r="F197" s="250" t="s">
        <v>386</v>
      </c>
      <c r="G197" s="251" t="s">
        <v>16</v>
      </c>
      <c r="H197" s="252">
        <v>2</v>
      </c>
      <c r="I197" s="252">
        <v>2</v>
      </c>
      <c r="J197" s="252">
        <v>1</v>
      </c>
      <c r="K197" s="252">
        <v>1</v>
      </c>
      <c r="L197" s="253">
        <v>2</v>
      </c>
      <c r="M197" s="254">
        <f t="shared" si="6"/>
        <v>0.37356464144298934</v>
      </c>
      <c r="N197" s="255"/>
    </row>
    <row r="198" spans="1:14" x14ac:dyDescent="0.2">
      <c r="A198" s="236" t="s">
        <v>223</v>
      </c>
      <c r="B198" s="237" t="s">
        <v>387</v>
      </c>
      <c r="C198" s="238" t="s">
        <v>135</v>
      </c>
      <c r="D198" s="239" t="s">
        <v>135</v>
      </c>
      <c r="E198" s="274" t="s">
        <v>188</v>
      </c>
      <c r="F198" s="241"/>
      <c r="G198" s="242" t="s">
        <v>16</v>
      </c>
      <c r="H198" s="240"/>
      <c r="I198" s="240"/>
      <c r="J198" s="240"/>
      <c r="K198" s="240"/>
      <c r="L198" s="243"/>
      <c r="M198" s="244" t="str">
        <f t="shared" si="6"/>
        <v/>
      </c>
      <c r="N198" s="245"/>
    </row>
    <row r="199" spans="1:14" x14ac:dyDescent="0.2">
      <c r="A199" s="230" t="s">
        <v>256</v>
      </c>
      <c r="B199" s="231" t="s">
        <v>385</v>
      </c>
      <c r="C199" s="247" t="s">
        <v>13</v>
      </c>
      <c r="D199" s="232" t="s">
        <v>135</v>
      </c>
      <c r="E199" s="249">
        <v>0.12507716834805699</v>
      </c>
      <c r="F199" s="250" t="s">
        <v>386</v>
      </c>
      <c r="G199" s="251" t="s">
        <v>16</v>
      </c>
      <c r="H199" s="252">
        <v>2</v>
      </c>
      <c r="I199" s="252">
        <v>2</v>
      </c>
      <c r="J199" s="252">
        <v>1</v>
      </c>
      <c r="K199" s="252">
        <v>1</v>
      </c>
      <c r="L199" s="253">
        <v>2</v>
      </c>
      <c r="M199" s="254">
        <f t="shared" si="6"/>
        <v>0.37356464144298934</v>
      </c>
      <c r="N199" s="255"/>
    </row>
    <row r="200" spans="1:14" hidden="1" x14ac:dyDescent="0.2">
      <c r="A200" s="230" t="s">
        <v>256</v>
      </c>
      <c r="B200" s="231" t="s">
        <v>385</v>
      </c>
      <c r="C200" s="247" t="s">
        <v>18</v>
      </c>
      <c r="D200" s="232" t="s">
        <v>135</v>
      </c>
      <c r="E200" s="249">
        <v>0.15450532930692251</v>
      </c>
      <c r="F200" s="250" t="s">
        <v>386</v>
      </c>
      <c r="G200" s="251" t="s">
        <v>16</v>
      </c>
      <c r="H200" s="252">
        <v>2</v>
      </c>
      <c r="I200" s="252">
        <v>2</v>
      </c>
      <c r="J200" s="252">
        <v>1</v>
      </c>
      <c r="K200" s="252">
        <v>1</v>
      </c>
      <c r="L200" s="253">
        <v>2</v>
      </c>
      <c r="M200" s="254">
        <f t="shared" si="6"/>
        <v>0.37356464144298934</v>
      </c>
      <c r="N200" s="255"/>
    </row>
    <row r="201" spans="1:14" hidden="1" x14ac:dyDescent="0.2">
      <c r="A201" s="230" t="s">
        <v>256</v>
      </c>
      <c r="B201" s="231" t="s">
        <v>385</v>
      </c>
      <c r="C201" s="247" t="s">
        <v>20</v>
      </c>
      <c r="D201" s="232" t="s">
        <v>135</v>
      </c>
      <c r="E201" s="249">
        <v>0.23542528767092399</v>
      </c>
      <c r="F201" s="250" t="s">
        <v>386</v>
      </c>
      <c r="G201" s="251" t="s">
        <v>16</v>
      </c>
      <c r="H201" s="252">
        <v>2</v>
      </c>
      <c r="I201" s="252">
        <v>2</v>
      </c>
      <c r="J201" s="252">
        <v>1</v>
      </c>
      <c r="K201" s="252">
        <v>1</v>
      </c>
      <c r="L201" s="253">
        <v>2</v>
      </c>
      <c r="M201" s="254">
        <f t="shared" si="6"/>
        <v>0.37356464144298934</v>
      </c>
      <c r="N201" s="255"/>
    </row>
    <row r="202" spans="1:14" hidden="1" x14ac:dyDescent="0.2">
      <c r="A202" s="230" t="s">
        <v>256</v>
      </c>
      <c r="B202" s="231" t="s">
        <v>385</v>
      </c>
      <c r="C202" s="247" t="s">
        <v>22</v>
      </c>
      <c r="D202" s="232" t="s">
        <v>135</v>
      </c>
      <c r="E202" s="249">
        <v>0.1397762802817325</v>
      </c>
      <c r="F202" s="250" t="s">
        <v>386</v>
      </c>
      <c r="G202" s="251" t="s">
        <v>16</v>
      </c>
      <c r="H202" s="252">
        <v>2</v>
      </c>
      <c r="I202" s="252">
        <v>2</v>
      </c>
      <c r="J202" s="252">
        <v>1</v>
      </c>
      <c r="K202" s="252">
        <v>1</v>
      </c>
      <c r="L202" s="253">
        <v>2</v>
      </c>
      <c r="M202" s="254">
        <f t="shared" si="6"/>
        <v>0.37356464144298934</v>
      </c>
      <c r="N202" s="255"/>
    </row>
    <row r="203" spans="1:14" hidden="1" x14ac:dyDescent="0.2">
      <c r="A203" s="230" t="s">
        <v>256</v>
      </c>
      <c r="B203" s="231" t="s">
        <v>385</v>
      </c>
      <c r="C203" s="247" t="s">
        <v>23</v>
      </c>
      <c r="D203" s="232" t="s">
        <v>135</v>
      </c>
      <c r="E203" s="249">
        <v>0.1728867034968955</v>
      </c>
      <c r="F203" s="250" t="s">
        <v>386</v>
      </c>
      <c r="G203" s="251" t="s">
        <v>16</v>
      </c>
      <c r="H203" s="252">
        <v>2</v>
      </c>
      <c r="I203" s="252">
        <v>2</v>
      </c>
      <c r="J203" s="252">
        <v>1</v>
      </c>
      <c r="K203" s="252">
        <v>1</v>
      </c>
      <c r="L203" s="253">
        <v>2</v>
      </c>
      <c r="M203" s="254">
        <f t="shared" si="6"/>
        <v>0.37356464144298934</v>
      </c>
      <c r="N203" s="255"/>
    </row>
    <row r="204" spans="1:14" hidden="1" x14ac:dyDescent="0.2">
      <c r="A204" s="230" t="s">
        <v>256</v>
      </c>
      <c r="B204" s="231" t="s">
        <v>385</v>
      </c>
      <c r="C204" s="247" t="s">
        <v>24</v>
      </c>
      <c r="D204" s="232" t="s">
        <v>135</v>
      </c>
      <c r="E204" s="249">
        <v>0.2133616512246535</v>
      </c>
      <c r="F204" s="250" t="s">
        <v>386</v>
      </c>
      <c r="G204" s="251" t="s">
        <v>16</v>
      </c>
      <c r="H204" s="252">
        <v>2</v>
      </c>
      <c r="I204" s="252">
        <v>2</v>
      </c>
      <c r="J204" s="252">
        <v>1</v>
      </c>
      <c r="K204" s="252">
        <v>1</v>
      </c>
      <c r="L204" s="253">
        <v>2</v>
      </c>
      <c r="M204" s="254">
        <f t="shared" si="6"/>
        <v>0.37356464144298934</v>
      </c>
      <c r="N204" s="255"/>
    </row>
    <row r="205" spans="1:14" hidden="1" x14ac:dyDescent="0.2">
      <c r="A205" s="230" t="s">
        <v>256</v>
      </c>
      <c r="B205" s="231" t="s">
        <v>385</v>
      </c>
      <c r="C205" s="247" t="s">
        <v>25</v>
      </c>
      <c r="D205" s="232" t="s">
        <v>135</v>
      </c>
      <c r="E205" s="249">
        <v>0.11034811932286701</v>
      </c>
      <c r="F205" s="250" t="s">
        <v>386</v>
      </c>
      <c r="G205" s="251" t="s">
        <v>16</v>
      </c>
      <c r="H205" s="252">
        <v>2</v>
      </c>
      <c r="I205" s="252">
        <v>2</v>
      </c>
      <c r="J205" s="252">
        <v>1</v>
      </c>
      <c r="K205" s="252">
        <v>1</v>
      </c>
      <c r="L205" s="253">
        <v>2</v>
      </c>
      <c r="M205" s="254">
        <f t="shared" si="6"/>
        <v>0.37356464144298934</v>
      </c>
      <c r="N205" s="255"/>
    </row>
    <row r="206" spans="1:14" hidden="1" x14ac:dyDescent="0.2">
      <c r="A206" s="230" t="s">
        <v>256</v>
      </c>
      <c r="B206" s="231" t="s">
        <v>385</v>
      </c>
      <c r="C206" s="247" t="s">
        <v>26</v>
      </c>
      <c r="D206" s="232" t="s">
        <v>135</v>
      </c>
      <c r="E206" s="249">
        <v>0.1066957941580841</v>
      </c>
      <c r="F206" s="250" t="s">
        <v>386</v>
      </c>
      <c r="G206" s="251" t="s">
        <v>16</v>
      </c>
      <c r="H206" s="252">
        <v>2</v>
      </c>
      <c r="I206" s="252">
        <v>2</v>
      </c>
      <c r="J206" s="252">
        <v>1</v>
      </c>
      <c r="K206" s="252">
        <v>1</v>
      </c>
      <c r="L206" s="253">
        <v>2</v>
      </c>
      <c r="M206" s="254">
        <f t="shared" si="6"/>
        <v>0.37356464144298934</v>
      </c>
      <c r="N206" s="255"/>
    </row>
    <row r="207" spans="1:14" hidden="1" x14ac:dyDescent="0.2">
      <c r="A207" s="230" t="s">
        <v>256</v>
      </c>
      <c r="B207" s="231" t="s">
        <v>385</v>
      </c>
      <c r="C207" s="247" t="s">
        <v>27</v>
      </c>
      <c r="D207" s="232" t="s">
        <v>135</v>
      </c>
      <c r="E207" s="249">
        <v>9.1966745132894004E-2</v>
      </c>
      <c r="F207" s="250" t="s">
        <v>386</v>
      </c>
      <c r="G207" s="251" t="s">
        <v>16</v>
      </c>
      <c r="H207" s="252">
        <v>2</v>
      </c>
      <c r="I207" s="252">
        <v>2</v>
      </c>
      <c r="J207" s="252">
        <v>1</v>
      </c>
      <c r="K207" s="252">
        <v>1</v>
      </c>
      <c r="L207" s="253">
        <v>2</v>
      </c>
      <c r="M207" s="254">
        <f t="shared" si="6"/>
        <v>0.37356464144298934</v>
      </c>
      <c r="N207" s="255"/>
    </row>
    <row r="208" spans="1:14" hidden="1" x14ac:dyDescent="0.2">
      <c r="A208" s="230" t="s">
        <v>256</v>
      </c>
      <c r="B208" s="231" t="s">
        <v>385</v>
      </c>
      <c r="C208" s="247" t="s">
        <v>28</v>
      </c>
      <c r="D208" s="232" t="s">
        <v>135</v>
      </c>
      <c r="E208" s="249">
        <v>9.1966745132894004E-2</v>
      </c>
      <c r="F208" s="250" t="s">
        <v>386</v>
      </c>
      <c r="G208" s="251" t="s">
        <v>16</v>
      </c>
      <c r="H208" s="252">
        <v>2</v>
      </c>
      <c r="I208" s="252">
        <v>2</v>
      </c>
      <c r="J208" s="252">
        <v>1</v>
      </c>
      <c r="K208" s="252">
        <v>1</v>
      </c>
      <c r="L208" s="253">
        <v>2</v>
      </c>
      <c r="M208" s="254">
        <f t="shared" si="6"/>
        <v>0.37356464144298934</v>
      </c>
      <c r="N208" s="255"/>
    </row>
    <row r="209" spans="1:14" hidden="1" x14ac:dyDescent="0.2">
      <c r="A209" s="230" t="s">
        <v>256</v>
      </c>
      <c r="B209" s="231" t="s">
        <v>385</v>
      </c>
      <c r="C209" s="247" t="s">
        <v>30</v>
      </c>
      <c r="D209" s="232" t="s">
        <v>135</v>
      </c>
      <c r="E209" s="249">
        <v>0.18393349026578801</v>
      </c>
      <c r="F209" s="250" t="s">
        <v>386</v>
      </c>
      <c r="G209" s="251" t="s">
        <v>16</v>
      </c>
      <c r="H209" s="252">
        <v>2</v>
      </c>
      <c r="I209" s="252">
        <v>2</v>
      </c>
      <c r="J209" s="252">
        <v>1</v>
      </c>
      <c r="K209" s="252">
        <v>1</v>
      </c>
      <c r="L209" s="253">
        <v>2</v>
      </c>
      <c r="M209" s="254">
        <f t="shared" si="6"/>
        <v>0.37356464144298934</v>
      </c>
      <c r="N209" s="255"/>
    </row>
    <row r="210" spans="1:14" hidden="1" x14ac:dyDescent="0.2">
      <c r="A210" s="230" t="s">
        <v>256</v>
      </c>
      <c r="B210" s="231" t="s">
        <v>385</v>
      </c>
      <c r="C210" s="247" t="s">
        <v>32</v>
      </c>
      <c r="D210" s="232" t="s">
        <v>135</v>
      </c>
      <c r="E210" s="249">
        <v>0.117712643835462</v>
      </c>
      <c r="F210" s="250" t="s">
        <v>386</v>
      </c>
      <c r="G210" s="251" t="s">
        <v>16</v>
      </c>
      <c r="H210" s="252">
        <v>2</v>
      </c>
      <c r="I210" s="252">
        <v>2</v>
      </c>
      <c r="J210" s="252">
        <v>1</v>
      </c>
      <c r="K210" s="252">
        <v>1</v>
      </c>
      <c r="L210" s="253">
        <v>2</v>
      </c>
      <c r="M210" s="254">
        <f t="shared" si="6"/>
        <v>0.37356464144298934</v>
      </c>
      <c r="N210" s="255"/>
    </row>
    <row r="211" spans="1:14" hidden="1" x14ac:dyDescent="0.2">
      <c r="A211" s="230" t="s">
        <v>256</v>
      </c>
      <c r="B211" s="231" t="s">
        <v>385</v>
      </c>
      <c r="C211" s="247" t="s">
        <v>34</v>
      </c>
      <c r="D211" s="232" t="s">
        <v>135</v>
      </c>
      <c r="E211" s="249">
        <v>0.13612395511694961</v>
      </c>
      <c r="F211" s="250" t="s">
        <v>386</v>
      </c>
      <c r="G211" s="251" t="s">
        <v>16</v>
      </c>
      <c r="H211" s="252">
        <v>2</v>
      </c>
      <c r="I211" s="252">
        <v>2</v>
      </c>
      <c r="J211" s="252">
        <v>1</v>
      </c>
      <c r="K211" s="252">
        <v>1</v>
      </c>
      <c r="L211" s="253">
        <v>2</v>
      </c>
      <c r="M211" s="254">
        <f t="shared" si="6"/>
        <v>0.37356464144298934</v>
      </c>
      <c r="N211" s="255"/>
    </row>
    <row r="212" spans="1:14" hidden="1" x14ac:dyDescent="0.2">
      <c r="A212" s="230" t="s">
        <v>256</v>
      </c>
      <c r="B212" s="231" t="s">
        <v>385</v>
      </c>
      <c r="C212" s="247" t="s">
        <v>36</v>
      </c>
      <c r="D212" s="232" t="s">
        <v>135</v>
      </c>
      <c r="E212" s="249">
        <v>0.14714080479432751</v>
      </c>
      <c r="F212" s="250" t="s">
        <v>386</v>
      </c>
      <c r="G212" s="251" t="s">
        <v>16</v>
      </c>
      <c r="H212" s="252">
        <v>2</v>
      </c>
      <c r="I212" s="252">
        <v>2</v>
      </c>
      <c r="J212" s="252">
        <v>1</v>
      </c>
      <c r="K212" s="252">
        <v>1</v>
      </c>
      <c r="L212" s="253">
        <v>2</v>
      </c>
      <c r="M212" s="254">
        <f t="shared" si="6"/>
        <v>0.37356464144298934</v>
      </c>
      <c r="N212" s="255"/>
    </row>
    <row r="213" spans="1:14" hidden="1" x14ac:dyDescent="0.2">
      <c r="A213" s="230" t="s">
        <v>256</v>
      </c>
      <c r="B213" s="231" t="s">
        <v>385</v>
      </c>
      <c r="C213" s="247" t="s">
        <v>37</v>
      </c>
      <c r="D213" s="232" t="s">
        <v>135</v>
      </c>
      <c r="E213" s="249">
        <v>0.1397762802817325</v>
      </c>
      <c r="F213" s="250" t="s">
        <v>386</v>
      </c>
      <c r="G213" s="251" t="s">
        <v>16</v>
      </c>
      <c r="H213" s="252">
        <v>2</v>
      </c>
      <c r="I213" s="252">
        <v>2</v>
      </c>
      <c r="J213" s="252">
        <v>1</v>
      </c>
      <c r="K213" s="252">
        <v>1</v>
      </c>
      <c r="L213" s="253">
        <v>2</v>
      </c>
      <c r="M213" s="254">
        <f t="shared" si="6"/>
        <v>0.37356464144298934</v>
      </c>
      <c r="N213" s="255"/>
    </row>
    <row r="214" spans="1:14" hidden="1" x14ac:dyDescent="0.2">
      <c r="A214" s="230" t="s">
        <v>256</v>
      </c>
      <c r="B214" s="231" t="s">
        <v>385</v>
      </c>
      <c r="C214" s="247" t="s">
        <v>39</v>
      </c>
      <c r="D214" s="232" t="s">
        <v>135</v>
      </c>
      <c r="E214" s="249">
        <v>0.13244169286065199</v>
      </c>
      <c r="F214" s="250" t="s">
        <v>386</v>
      </c>
      <c r="G214" s="251" t="s">
        <v>16</v>
      </c>
      <c r="H214" s="252">
        <v>2</v>
      </c>
      <c r="I214" s="252">
        <v>2</v>
      </c>
      <c r="J214" s="252">
        <v>1</v>
      </c>
      <c r="K214" s="252">
        <v>1</v>
      </c>
      <c r="L214" s="253">
        <v>2</v>
      </c>
      <c r="M214" s="254">
        <f t="shared" si="6"/>
        <v>0.37356464144298934</v>
      </c>
      <c r="N214" s="255"/>
    </row>
    <row r="215" spans="1:14" hidden="1" x14ac:dyDescent="0.2">
      <c r="A215" s="230" t="s">
        <v>256</v>
      </c>
      <c r="B215" s="231" t="s">
        <v>385</v>
      </c>
      <c r="C215" s="247" t="s">
        <v>40</v>
      </c>
      <c r="D215" s="232" t="s">
        <v>135</v>
      </c>
      <c r="E215" s="249">
        <v>0.18761575252208559</v>
      </c>
      <c r="F215" s="250" t="s">
        <v>386</v>
      </c>
      <c r="G215" s="251" t="s">
        <v>16</v>
      </c>
      <c r="H215" s="252">
        <v>2</v>
      </c>
      <c r="I215" s="252">
        <v>2</v>
      </c>
      <c r="J215" s="252">
        <v>1</v>
      </c>
      <c r="K215" s="252">
        <v>1</v>
      </c>
      <c r="L215" s="253">
        <v>2</v>
      </c>
      <c r="M215" s="254">
        <f t="shared" si="6"/>
        <v>0.37356464144298934</v>
      </c>
      <c r="N215" s="255"/>
    </row>
    <row r="216" spans="1:14" hidden="1" x14ac:dyDescent="0.2">
      <c r="A216" s="230" t="s">
        <v>256</v>
      </c>
      <c r="B216" s="231" t="s">
        <v>385</v>
      </c>
      <c r="C216" s="247" t="s">
        <v>41</v>
      </c>
      <c r="D216" s="232" t="s">
        <v>135</v>
      </c>
      <c r="E216" s="249">
        <v>0.13612395511694961</v>
      </c>
      <c r="F216" s="250" t="s">
        <v>386</v>
      </c>
      <c r="G216" s="251" t="s">
        <v>16</v>
      </c>
      <c r="H216" s="252">
        <v>2</v>
      </c>
      <c r="I216" s="252">
        <v>2</v>
      </c>
      <c r="J216" s="252">
        <v>1</v>
      </c>
      <c r="K216" s="252">
        <v>1</v>
      </c>
      <c r="L216" s="253">
        <v>2</v>
      </c>
      <c r="M216" s="254">
        <f t="shared" si="6"/>
        <v>0.37356464144298934</v>
      </c>
      <c r="N216" s="255"/>
    </row>
    <row r="217" spans="1:14" hidden="1" x14ac:dyDescent="0.2">
      <c r="A217" s="230" t="s">
        <v>256</v>
      </c>
      <c r="B217" s="231" t="s">
        <v>385</v>
      </c>
      <c r="C217" s="247" t="s">
        <v>42</v>
      </c>
      <c r="D217" s="232" t="s">
        <v>135</v>
      </c>
      <c r="E217" s="249">
        <v>0.1213949060917595</v>
      </c>
      <c r="F217" s="250" t="s">
        <v>386</v>
      </c>
      <c r="G217" s="251" t="s">
        <v>16</v>
      </c>
      <c r="H217" s="252">
        <v>2</v>
      </c>
      <c r="I217" s="252">
        <v>2</v>
      </c>
      <c r="J217" s="252">
        <v>1</v>
      </c>
      <c r="K217" s="252">
        <v>1</v>
      </c>
      <c r="L217" s="253">
        <v>2</v>
      </c>
      <c r="M217" s="254">
        <f t="shared" si="6"/>
        <v>0.37356464144298934</v>
      </c>
      <c r="N217" s="255"/>
    </row>
    <row r="218" spans="1:14" hidden="1" x14ac:dyDescent="0.2">
      <c r="A218" s="230" t="s">
        <v>256</v>
      </c>
      <c r="B218" s="231" t="s">
        <v>385</v>
      </c>
      <c r="C218" s="247" t="s">
        <v>43</v>
      </c>
      <c r="D218" s="232" t="s">
        <v>135</v>
      </c>
      <c r="E218" s="249">
        <v>0.18393349026578801</v>
      </c>
      <c r="F218" s="250" t="s">
        <v>386</v>
      </c>
      <c r="G218" s="251" t="s">
        <v>16</v>
      </c>
      <c r="H218" s="252">
        <v>2</v>
      </c>
      <c r="I218" s="252">
        <v>2</v>
      </c>
      <c r="J218" s="252">
        <v>1</v>
      </c>
      <c r="K218" s="252">
        <v>1</v>
      </c>
      <c r="L218" s="253">
        <v>2</v>
      </c>
      <c r="M218" s="254">
        <f t="shared" si="6"/>
        <v>0.37356464144298934</v>
      </c>
      <c r="N218" s="255"/>
    </row>
    <row r="219" spans="1:14" hidden="1" x14ac:dyDescent="0.2">
      <c r="A219" s="230" t="s">
        <v>256</v>
      </c>
      <c r="B219" s="231" t="s">
        <v>385</v>
      </c>
      <c r="C219" s="247" t="s">
        <v>45</v>
      </c>
      <c r="D219" s="232" t="s">
        <v>135</v>
      </c>
      <c r="E219" s="249">
        <v>0.1728867034968955</v>
      </c>
      <c r="F219" s="250" t="s">
        <v>386</v>
      </c>
      <c r="G219" s="251" t="s">
        <v>16</v>
      </c>
      <c r="H219" s="252">
        <v>2</v>
      </c>
      <c r="I219" s="252">
        <v>2</v>
      </c>
      <c r="J219" s="252">
        <v>1</v>
      </c>
      <c r="K219" s="252">
        <v>1</v>
      </c>
      <c r="L219" s="253">
        <v>2</v>
      </c>
      <c r="M219" s="254">
        <f t="shared" si="6"/>
        <v>0.37356464144298934</v>
      </c>
      <c r="N219" s="255"/>
    </row>
    <row r="220" spans="1:14" hidden="1" x14ac:dyDescent="0.2">
      <c r="A220" s="230" t="s">
        <v>256</v>
      </c>
      <c r="B220" s="231" t="s">
        <v>385</v>
      </c>
      <c r="C220" s="247" t="s">
        <v>46</v>
      </c>
      <c r="D220" s="232" t="s">
        <v>135</v>
      </c>
      <c r="E220" s="249">
        <v>0.1066957941580841</v>
      </c>
      <c r="F220" s="250" t="s">
        <v>386</v>
      </c>
      <c r="G220" s="251" t="s">
        <v>16</v>
      </c>
      <c r="H220" s="252">
        <v>2</v>
      </c>
      <c r="I220" s="252">
        <v>2</v>
      </c>
      <c r="J220" s="252">
        <v>1</v>
      </c>
      <c r="K220" s="252">
        <v>1</v>
      </c>
      <c r="L220" s="253">
        <v>2</v>
      </c>
      <c r="M220" s="254">
        <f t="shared" si="6"/>
        <v>0.37356464144298934</v>
      </c>
      <c r="N220" s="255"/>
    </row>
    <row r="221" spans="1:14" hidden="1" x14ac:dyDescent="0.2">
      <c r="A221" s="230" t="s">
        <v>256</v>
      </c>
      <c r="B221" s="231" t="s">
        <v>385</v>
      </c>
      <c r="C221" s="247" t="s">
        <v>48</v>
      </c>
      <c r="D221" s="232" t="s">
        <v>135</v>
      </c>
      <c r="E221" s="249">
        <v>0.14714080479432751</v>
      </c>
      <c r="F221" s="250" t="s">
        <v>386</v>
      </c>
      <c r="G221" s="251" t="s">
        <v>16</v>
      </c>
      <c r="H221" s="252">
        <v>2</v>
      </c>
      <c r="I221" s="252">
        <v>2</v>
      </c>
      <c r="J221" s="252">
        <v>1</v>
      </c>
      <c r="K221" s="252">
        <v>1</v>
      </c>
      <c r="L221" s="253">
        <v>2</v>
      </c>
      <c r="M221" s="254">
        <f t="shared" si="6"/>
        <v>0.37356464144298934</v>
      </c>
      <c r="N221" s="255"/>
    </row>
    <row r="222" spans="1:14" hidden="1" x14ac:dyDescent="0.2">
      <c r="A222" s="230" t="s">
        <v>256</v>
      </c>
      <c r="B222" s="231" t="s">
        <v>385</v>
      </c>
      <c r="C222" s="247" t="s">
        <v>50</v>
      </c>
      <c r="D222" s="232" t="s">
        <v>135</v>
      </c>
      <c r="E222" s="249">
        <v>0.16186985381951749</v>
      </c>
      <c r="F222" s="250" t="s">
        <v>386</v>
      </c>
      <c r="G222" s="251" t="s">
        <v>16</v>
      </c>
      <c r="H222" s="252">
        <v>2</v>
      </c>
      <c r="I222" s="252">
        <v>2</v>
      </c>
      <c r="J222" s="252">
        <v>1</v>
      </c>
      <c r="K222" s="252">
        <v>1</v>
      </c>
      <c r="L222" s="253">
        <v>2</v>
      </c>
      <c r="M222" s="254">
        <f t="shared" si="6"/>
        <v>0.37356464144298934</v>
      </c>
      <c r="N222" s="255"/>
    </row>
    <row r="223" spans="1:14" hidden="1" x14ac:dyDescent="0.2">
      <c r="A223" s="230" t="s">
        <v>256</v>
      </c>
      <c r="B223" s="231" t="s">
        <v>385</v>
      </c>
      <c r="C223" s="247" t="s">
        <v>52</v>
      </c>
      <c r="D223" s="232" t="s">
        <v>135</v>
      </c>
      <c r="E223" s="249">
        <v>0.2059971267120585</v>
      </c>
      <c r="F223" s="250" t="s">
        <v>386</v>
      </c>
      <c r="G223" s="251" t="s">
        <v>16</v>
      </c>
      <c r="H223" s="252">
        <v>2</v>
      </c>
      <c r="I223" s="252">
        <v>2</v>
      </c>
      <c r="J223" s="252">
        <v>1</v>
      </c>
      <c r="K223" s="252">
        <v>1</v>
      </c>
      <c r="L223" s="253">
        <v>2</v>
      </c>
      <c r="M223" s="254">
        <f t="shared" si="6"/>
        <v>0.37356464144298934</v>
      </c>
      <c r="N223" s="255"/>
    </row>
    <row r="224" spans="1:14" hidden="1" x14ac:dyDescent="0.2">
      <c r="A224" s="230" t="s">
        <v>256</v>
      </c>
      <c r="B224" s="231" t="s">
        <v>385</v>
      </c>
      <c r="C224" s="247" t="s">
        <v>54</v>
      </c>
      <c r="D224" s="232" t="s">
        <v>135</v>
      </c>
      <c r="E224" s="249">
        <v>0.25383659895241162</v>
      </c>
      <c r="F224" s="250" t="s">
        <v>386</v>
      </c>
      <c r="G224" s="251" t="s">
        <v>16</v>
      </c>
      <c r="H224" s="252">
        <v>2</v>
      </c>
      <c r="I224" s="252">
        <v>2</v>
      </c>
      <c r="J224" s="252">
        <v>1</v>
      </c>
      <c r="K224" s="252">
        <v>1</v>
      </c>
      <c r="L224" s="253">
        <v>2</v>
      </c>
      <c r="M224" s="254">
        <f t="shared" si="6"/>
        <v>0.37356464144298934</v>
      </c>
      <c r="N224" s="255"/>
    </row>
    <row r="225" spans="1:14" hidden="1" x14ac:dyDescent="0.2">
      <c r="A225" s="230" t="s">
        <v>256</v>
      </c>
      <c r="B225" s="231" t="s">
        <v>385</v>
      </c>
      <c r="C225" s="247" t="s">
        <v>55</v>
      </c>
      <c r="D225" s="232" t="s">
        <v>135</v>
      </c>
      <c r="E225" s="249">
        <v>0.15450532930692251</v>
      </c>
      <c r="F225" s="250" t="s">
        <v>386</v>
      </c>
      <c r="G225" s="251" t="s">
        <v>16</v>
      </c>
      <c r="H225" s="252">
        <v>2</v>
      </c>
      <c r="I225" s="252">
        <v>2</v>
      </c>
      <c r="J225" s="252">
        <v>1</v>
      </c>
      <c r="K225" s="252">
        <v>1</v>
      </c>
      <c r="L225" s="253">
        <v>2</v>
      </c>
      <c r="M225" s="254">
        <f t="shared" si="6"/>
        <v>0.37356464144298934</v>
      </c>
      <c r="N225" s="255"/>
    </row>
    <row r="226" spans="1:14" hidden="1" x14ac:dyDescent="0.2">
      <c r="A226" s="230" t="s">
        <v>256</v>
      </c>
      <c r="B226" s="231" t="s">
        <v>385</v>
      </c>
      <c r="C226" s="247" t="s">
        <v>57</v>
      </c>
      <c r="D226" s="232" t="s">
        <v>135</v>
      </c>
      <c r="E226" s="249">
        <v>0.1728867034968955</v>
      </c>
      <c r="F226" s="250" t="s">
        <v>386</v>
      </c>
      <c r="G226" s="251" t="s">
        <v>16</v>
      </c>
      <c r="H226" s="252">
        <v>2</v>
      </c>
      <c r="I226" s="252">
        <v>2</v>
      </c>
      <c r="J226" s="252">
        <v>1</v>
      </c>
      <c r="K226" s="252">
        <v>1</v>
      </c>
      <c r="L226" s="253">
        <v>2</v>
      </c>
      <c r="M226" s="254">
        <f t="shared" si="6"/>
        <v>0.37356464144298934</v>
      </c>
      <c r="N226" s="255"/>
    </row>
    <row r="227" spans="1:14" hidden="1" x14ac:dyDescent="0.2">
      <c r="A227" s="230" t="s">
        <v>256</v>
      </c>
      <c r="B227" s="231" t="s">
        <v>385</v>
      </c>
      <c r="C227" s="247" t="s">
        <v>59</v>
      </c>
      <c r="D227" s="232" t="s">
        <v>135</v>
      </c>
      <c r="E227" s="249">
        <v>0.18393349026578801</v>
      </c>
      <c r="F227" s="250" t="s">
        <v>360</v>
      </c>
      <c r="G227" s="251" t="s">
        <v>16</v>
      </c>
      <c r="H227" s="252">
        <v>2</v>
      </c>
      <c r="I227" s="252">
        <v>2</v>
      </c>
      <c r="J227" s="252">
        <v>1</v>
      </c>
      <c r="K227" s="252">
        <v>1</v>
      </c>
      <c r="L227" s="253">
        <v>2</v>
      </c>
      <c r="M227" s="254">
        <f t="shared" ref="M227:M257" si="7">IF( OR( ISBLANK(H227),ISBLANK(I227), ISBLANK(J227), ISBLANK(K227), ISBLANK(L227) ), "", 1.5*SQRT( EXP(2.21*(H227-1)) + EXP(2.21*(I227-1)) + EXP(2.21*(J227-1)) + EXP(2.21*(K227-1)) + EXP(2.21*L227) )/100*2.45 )</f>
        <v>0.37356464144298934</v>
      </c>
      <c r="N227" s="255"/>
    </row>
    <row r="228" spans="1:14" hidden="1" x14ac:dyDescent="0.2">
      <c r="A228" s="230" t="s">
        <v>256</v>
      </c>
      <c r="B228" s="231" t="s">
        <v>385</v>
      </c>
      <c r="C228" s="247" t="s">
        <v>60</v>
      </c>
      <c r="D228" s="232" t="s">
        <v>135</v>
      </c>
      <c r="E228" s="249">
        <v>0.1397762802817325</v>
      </c>
      <c r="F228" s="250" t="s">
        <v>386</v>
      </c>
      <c r="G228" s="251" t="s">
        <v>16</v>
      </c>
      <c r="H228" s="252">
        <v>2</v>
      </c>
      <c r="I228" s="252">
        <v>2</v>
      </c>
      <c r="J228" s="252">
        <v>1</v>
      </c>
      <c r="K228" s="252">
        <v>1</v>
      </c>
      <c r="L228" s="253">
        <v>2</v>
      </c>
      <c r="M228" s="254">
        <f t="shared" si="7"/>
        <v>0.37356464144298934</v>
      </c>
      <c r="N228" s="255"/>
    </row>
    <row r="229" spans="1:14" x14ac:dyDescent="0.2">
      <c r="A229" s="230" t="s">
        <v>256</v>
      </c>
      <c r="B229" s="231" t="s">
        <v>387</v>
      </c>
      <c r="C229" s="222" t="s">
        <v>135</v>
      </c>
      <c r="D229" s="232" t="s">
        <v>135</v>
      </c>
      <c r="E229" s="256" t="s">
        <v>188</v>
      </c>
      <c r="F229" s="233"/>
      <c r="G229" s="234" t="s">
        <v>16</v>
      </c>
      <c r="H229" s="61"/>
      <c r="I229" s="61"/>
      <c r="J229" s="61"/>
      <c r="K229" s="61"/>
      <c r="L229" s="62"/>
      <c r="M229" s="63" t="str">
        <f t="shared" si="7"/>
        <v/>
      </c>
      <c r="N229" s="235"/>
    </row>
    <row r="230" spans="1:14" x14ac:dyDescent="0.2">
      <c r="A230" s="264" t="s">
        <v>264</v>
      </c>
      <c r="B230" s="221" t="s">
        <v>385</v>
      </c>
      <c r="C230" s="265" t="s">
        <v>13</v>
      </c>
      <c r="D230" s="223" t="s">
        <v>135</v>
      </c>
      <c r="E230" s="266">
        <v>0.21937220052083331</v>
      </c>
      <c r="F230" s="267" t="s">
        <v>386</v>
      </c>
      <c r="G230" s="268" t="s">
        <v>16</v>
      </c>
      <c r="H230" s="269">
        <v>2</v>
      </c>
      <c r="I230" s="269">
        <v>2</v>
      </c>
      <c r="J230" s="269">
        <v>1</v>
      </c>
      <c r="K230" s="269">
        <v>1</v>
      </c>
      <c r="L230" s="270">
        <v>2</v>
      </c>
      <c r="M230" s="271">
        <f t="shared" si="7"/>
        <v>0.37356464144298934</v>
      </c>
      <c r="N230" s="272"/>
    </row>
    <row r="231" spans="1:14" hidden="1" x14ac:dyDescent="0.2">
      <c r="A231" s="273" t="s">
        <v>264</v>
      </c>
      <c r="B231" s="231" t="s">
        <v>385</v>
      </c>
      <c r="C231" s="247" t="s">
        <v>18</v>
      </c>
      <c r="D231" s="232" t="s">
        <v>135</v>
      </c>
      <c r="E231" s="249">
        <v>0.2709861002604167</v>
      </c>
      <c r="F231" s="250" t="s">
        <v>386</v>
      </c>
      <c r="G231" s="251" t="s">
        <v>16</v>
      </c>
      <c r="H231" s="252">
        <v>2</v>
      </c>
      <c r="I231" s="252">
        <v>2</v>
      </c>
      <c r="J231" s="252">
        <v>1</v>
      </c>
      <c r="K231" s="252">
        <v>1</v>
      </c>
      <c r="L231" s="253">
        <v>2</v>
      </c>
      <c r="M231" s="254">
        <f t="shared" si="7"/>
        <v>0.37356464144298934</v>
      </c>
      <c r="N231" s="255"/>
    </row>
    <row r="232" spans="1:14" hidden="1" x14ac:dyDescent="0.2">
      <c r="A232" s="273" t="s">
        <v>264</v>
      </c>
      <c r="B232" s="231" t="s">
        <v>385</v>
      </c>
      <c r="C232" s="247" t="s">
        <v>20</v>
      </c>
      <c r="D232" s="232" t="s">
        <v>135</v>
      </c>
      <c r="E232" s="249">
        <v>0.41291119791666669</v>
      </c>
      <c r="F232" s="250" t="s">
        <v>386</v>
      </c>
      <c r="G232" s="251" t="s">
        <v>16</v>
      </c>
      <c r="H232" s="252">
        <v>2</v>
      </c>
      <c r="I232" s="252">
        <v>2</v>
      </c>
      <c r="J232" s="252">
        <v>1</v>
      </c>
      <c r="K232" s="252">
        <v>1</v>
      </c>
      <c r="L232" s="253">
        <v>2</v>
      </c>
      <c r="M232" s="254">
        <f t="shared" si="7"/>
        <v>0.37356464144298934</v>
      </c>
      <c r="N232" s="255"/>
    </row>
    <row r="233" spans="1:14" hidden="1" x14ac:dyDescent="0.2">
      <c r="A233" s="273" t="s">
        <v>264</v>
      </c>
      <c r="B233" s="231" t="s">
        <v>385</v>
      </c>
      <c r="C233" s="247" t="s">
        <v>22</v>
      </c>
      <c r="D233" s="232" t="s">
        <v>135</v>
      </c>
      <c r="E233" s="249">
        <v>0.24515289713541669</v>
      </c>
      <c r="F233" s="250" t="s">
        <v>386</v>
      </c>
      <c r="G233" s="251" t="s">
        <v>16</v>
      </c>
      <c r="H233" s="252">
        <v>2</v>
      </c>
      <c r="I233" s="252">
        <v>2</v>
      </c>
      <c r="J233" s="252">
        <v>1</v>
      </c>
      <c r="K233" s="252">
        <v>1</v>
      </c>
      <c r="L233" s="253">
        <v>2</v>
      </c>
      <c r="M233" s="254">
        <f t="shared" si="7"/>
        <v>0.37356464144298934</v>
      </c>
      <c r="N233" s="255"/>
    </row>
    <row r="234" spans="1:14" hidden="1" x14ac:dyDescent="0.2">
      <c r="A234" s="273" t="s">
        <v>264</v>
      </c>
      <c r="B234" s="231" t="s">
        <v>385</v>
      </c>
      <c r="C234" s="247" t="s">
        <v>23</v>
      </c>
      <c r="D234" s="232" t="s">
        <v>135</v>
      </c>
      <c r="E234" s="249">
        <v>0.30322509765625011</v>
      </c>
      <c r="F234" s="250" t="s">
        <v>386</v>
      </c>
      <c r="G234" s="251" t="s">
        <v>16</v>
      </c>
      <c r="H234" s="252">
        <v>2</v>
      </c>
      <c r="I234" s="252">
        <v>2</v>
      </c>
      <c r="J234" s="252">
        <v>1</v>
      </c>
      <c r="K234" s="252">
        <v>1</v>
      </c>
      <c r="L234" s="253">
        <v>2</v>
      </c>
      <c r="M234" s="254">
        <f t="shared" si="7"/>
        <v>0.37356464144298934</v>
      </c>
      <c r="N234" s="255"/>
    </row>
    <row r="235" spans="1:14" hidden="1" x14ac:dyDescent="0.2">
      <c r="A235" s="273" t="s">
        <v>264</v>
      </c>
      <c r="B235" s="231" t="s">
        <v>385</v>
      </c>
      <c r="C235" s="247" t="s">
        <v>24</v>
      </c>
      <c r="D235" s="232" t="s">
        <v>135</v>
      </c>
      <c r="E235" s="249">
        <v>0.37421389973958341</v>
      </c>
      <c r="F235" s="250" t="s">
        <v>386</v>
      </c>
      <c r="G235" s="251" t="s">
        <v>16</v>
      </c>
      <c r="H235" s="252">
        <v>2</v>
      </c>
      <c r="I235" s="252">
        <v>2</v>
      </c>
      <c r="J235" s="252">
        <v>1</v>
      </c>
      <c r="K235" s="252">
        <v>1</v>
      </c>
      <c r="L235" s="253">
        <v>2</v>
      </c>
      <c r="M235" s="254">
        <f t="shared" si="7"/>
        <v>0.37356464144298934</v>
      </c>
      <c r="N235" s="255"/>
    </row>
    <row r="236" spans="1:14" hidden="1" x14ac:dyDescent="0.2">
      <c r="A236" s="273" t="s">
        <v>264</v>
      </c>
      <c r="B236" s="231" t="s">
        <v>385</v>
      </c>
      <c r="C236" s="247" t="s">
        <v>25</v>
      </c>
      <c r="D236" s="232" t="s">
        <v>135</v>
      </c>
      <c r="E236" s="249">
        <v>0.19353899739583341</v>
      </c>
      <c r="F236" s="250" t="s">
        <v>386</v>
      </c>
      <c r="G236" s="251" t="s">
        <v>16</v>
      </c>
      <c r="H236" s="252">
        <v>2</v>
      </c>
      <c r="I236" s="252">
        <v>2</v>
      </c>
      <c r="J236" s="252">
        <v>1</v>
      </c>
      <c r="K236" s="252">
        <v>1</v>
      </c>
      <c r="L236" s="253">
        <v>2</v>
      </c>
      <c r="M236" s="254">
        <f t="shared" si="7"/>
        <v>0.37356464144298934</v>
      </c>
      <c r="N236" s="255"/>
    </row>
    <row r="237" spans="1:14" hidden="1" x14ac:dyDescent="0.2">
      <c r="A237" s="273" t="s">
        <v>264</v>
      </c>
      <c r="B237" s="231" t="s">
        <v>385</v>
      </c>
      <c r="C237" s="247" t="s">
        <v>26</v>
      </c>
      <c r="D237" s="232" t="s">
        <v>135</v>
      </c>
      <c r="E237" s="249">
        <v>0.18713320312500001</v>
      </c>
      <c r="F237" s="250" t="s">
        <v>386</v>
      </c>
      <c r="G237" s="251" t="s">
        <v>16</v>
      </c>
      <c r="H237" s="252">
        <v>2</v>
      </c>
      <c r="I237" s="252">
        <v>2</v>
      </c>
      <c r="J237" s="252">
        <v>1</v>
      </c>
      <c r="K237" s="252">
        <v>1</v>
      </c>
      <c r="L237" s="253">
        <v>2</v>
      </c>
      <c r="M237" s="254">
        <f t="shared" si="7"/>
        <v>0.37356464144298934</v>
      </c>
      <c r="N237" s="255"/>
    </row>
    <row r="238" spans="1:14" hidden="1" x14ac:dyDescent="0.2">
      <c r="A238" s="273" t="s">
        <v>264</v>
      </c>
      <c r="B238" s="231" t="s">
        <v>385</v>
      </c>
      <c r="C238" s="247" t="s">
        <v>27</v>
      </c>
      <c r="D238" s="232" t="s">
        <v>135</v>
      </c>
      <c r="E238" s="249">
        <v>0.1613</v>
      </c>
      <c r="F238" s="250" t="s">
        <v>386</v>
      </c>
      <c r="G238" s="251" t="s">
        <v>16</v>
      </c>
      <c r="H238" s="252">
        <v>2</v>
      </c>
      <c r="I238" s="252">
        <v>2</v>
      </c>
      <c r="J238" s="252">
        <v>1</v>
      </c>
      <c r="K238" s="252">
        <v>1</v>
      </c>
      <c r="L238" s="253">
        <v>2</v>
      </c>
      <c r="M238" s="254">
        <f t="shared" si="7"/>
        <v>0.37356464144298934</v>
      </c>
      <c r="N238" s="255"/>
    </row>
    <row r="239" spans="1:14" hidden="1" x14ac:dyDescent="0.2">
      <c r="A239" s="273" t="s">
        <v>264</v>
      </c>
      <c r="B239" s="231" t="s">
        <v>385</v>
      </c>
      <c r="C239" s="247" t="s">
        <v>28</v>
      </c>
      <c r="D239" s="232" t="s">
        <v>135</v>
      </c>
      <c r="E239" s="249">
        <v>0.1613</v>
      </c>
      <c r="F239" s="250" t="s">
        <v>386</v>
      </c>
      <c r="G239" s="251" t="s">
        <v>16</v>
      </c>
      <c r="H239" s="252">
        <v>2</v>
      </c>
      <c r="I239" s="252">
        <v>2</v>
      </c>
      <c r="J239" s="252">
        <v>1</v>
      </c>
      <c r="K239" s="252">
        <v>1</v>
      </c>
      <c r="L239" s="253">
        <v>2</v>
      </c>
      <c r="M239" s="254">
        <f t="shared" si="7"/>
        <v>0.37356464144298934</v>
      </c>
      <c r="N239" s="255"/>
    </row>
    <row r="240" spans="1:14" hidden="1" x14ac:dyDescent="0.2">
      <c r="A240" s="273" t="s">
        <v>264</v>
      </c>
      <c r="B240" s="231" t="s">
        <v>385</v>
      </c>
      <c r="C240" s="247" t="s">
        <v>30</v>
      </c>
      <c r="D240" s="232" t="s">
        <v>135</v>
      </c>
      <c r="E240" s="249">
        <v>0.3226</v>
      </c>
      <c r="F240" s="250" t="s">
        <v>386</v>
      </c>
      <c r="G240" s="251" t="s">
        <v>16</v>
      </c>
      <c r="H240" s="252">
        <v>2</v>
      </c>
      <c r="I240" s="252">
        <v>2</v>
      </c>
      <c r="J240" s="252">
        <v>1</v>
      </c>
      <c r="K240" s="252">
        <v>1</v>
      </c>
      <c r="L240" s="253">
        <v>2</v>
      </c>
      <c r="M240" s="254">
        <f t="shared" si="7"/>
        <v>0.37356464144298934</v>
      </c>
      <c r="N240" s="255"/>
    </row>
    <row r="241" spans="1:14" hidden="1" x14ac:dyDescent="0.2">
      <c r="A241" s="273" t="s">
        <v>264</v>
      </c>
      <c r="B241" s="231" t="s">
        <v>385</v>
      </c>
      <c r="C241" s="247" t="s">
        <v>32</v>
      </c>
      <c r="D241" s="232" t="s">
        <v>135</v>
      </c>
      <c r="E241" s="249">
        <v>0.20645559895833329</v>
      </c>
      <c r="F241" s="250" t="s">
        <v>386</v>
      </c>
      <c r="G241" s="251" t="s">
        <v>16</v>
      </c>
      <c r="H241" s="252">
        <v>2</v>
      </c>
      <c r="I241" s="252">
        <v>2</v>
      </c>
      <c r="J241" s="252">
        <v>1</v>
      </c>
      <c r="K241" s="252">
        <v>1</v>
      </c>
      <c r="L241" s="253">
        <v>2</v>
      </c>
      <c r="M241" s="254">
        <f t="shared" si="7"/>
        <v>0.37356464144298934</v>
      </c>
      <c r="N241" s="255"/>
    </row>
    <row r="242" spans="1:14" hidden="1" x14ac:dyDescent="0.2">
      <c r="A242" s="273" t="s">
        <v>264</v>
      </c>
      <c r="B242" s="231" t="s">
        <v>385</v>
      </c>
      <c r="C242" s="247" t="s">
        <v>34</v>
      </c>
      <c r="D242" s="232" t="s">
        <v>135</v>
      </c>
      <c r="E242" s="249">
        <v>0.23874710286458331</v>
      </c>
      <c r="F242" s="250" t="s">
        <v>386</v>
      </c>
      <c r="G242" s="251" t="s">
        <v>16</v>
      </c>
      <c r="H242" s="252">
        <v>2</v>
      </c>
      <c r="I242" s="252">
        <v>2</v>
      </c>
      <c r="J242" s="252">
        <v>1</v>
      </c>
      <c r="K242" s="252">
        <v>1</v>
      </c>
      <c r="L242" s="253">
        <v>2</v>
      </c>
      <c r="M242" s="254">
        <f t="shared" si="7"/>
        <v>0.37356464144298934</v>
      </c>
      <c r="N242" s="255"/>
    </row>
    <row r="243" spans="1:14" hidden="1" x14ac:dyDescent="0.2">
      <c r="A243" s="273" t="s">
        <v>264</v>
      </c>
      <c r="B243" s="231" t="s">
        <v>385</v>
      </c>
      <c r="C243" s="247" t="s">
        <v>36</v>
      </c>
      <c r="D243" s="232" t="s">
        <v>135</v>
      </c>
      <c r="E243" s="249">
        <v>0.25806949869791668</v>
      </c>
      <c r="F243" s="250" t="s">
        <v>386</v>
      </c>
      <c r="G243" s="251" t="s">
        <v>16</v>
      </c>
      <c r="H243" s="252">
        <v>2</v>
      </c>
      <c r="I243" s="252">
        <v>2</v>
      </c>
      <c r="J243" s="252">
        <v>1</v>
      </c>
      <c r="K243" s="252">
        <v>1</v>
      </c>
      <c r="L243" s="253">
        <v>2</v>
      </c>
      <c r="M243" s="254">
        <f t="shared" si="7"/>
        <v>0.37356464144298934</v>
      </c>
      <c r="N243" s="255"/>
    </row>
    <row r="244" spans="1:14" hidden="1" x14ac:dyDescent="0.2">
      <c r="A244" s="273" t="s">
        <v>264</v>
      </c>
      <c r="B244" s="231" t="s">
        <v>385</v>
      </c>
      <c r="C244" s="247" t="s">
        <v>37</v>
      </c>
      <c r="D244" s="232" t="s">
        <v>135</v>
      </c>
      <c r="E244" s="249">
        <v>0.24515289713541669</v>
      </c>
      <c r="F244" s="250" t="s">
        <v>386</v>
      </c>
      <c r="G244" s="251" t="s">
        <v>16</v>
      </c>
      <c r="H244" s="252">
        <v>2</v>
      </c>
      <c r="I244" s="252">
        <v>2</v>
      </c>
      <c r="J244" s="252">
        <v>1</v>
      </c>
      <c r="K244" s="252">
        <v>1</v>
      </c>
      <c r="L244" s="253">
        <v>2</v>
      </c>
      <c r="M244" s="254">
        <f t="shared" si="7"/>
        <v>0.37356464144298934</v>
      </c>
      <c r="N244" s="255"/>
    </row>
    <row r="245" spans="1:14" hidden="1" x14ac:dyDescent="0.2">
      <c r="A245" s="273" t="s">
        <v>264</v>
      </c>
      <c r="B245" s="231" t="s">
        <v>385</v>
      </c>
      <c r="C245" s="247" t="s">
        <v>39</v>
      </c>
      <c r="D245" s="232" t="s">
        <v>135</v>
      </c>
      <c r="E245" s="249">
        <v>0.23228880208333341</v>
      </c>
      <c r="F245" s="250" t="s">
        <v>386</v>
      </c>
      <c r="G245" s="251" t="s">
        <v>16</v>
      </c>
      <c r="H245" s="252">
        <v>2</v>
      </c>
      <c r="I245" s="252">
        <v>2</v>
      </c>
      <c r="J245" s="252">
        <v>1</v>
      </c>
      <c r="K245" s="252">
        <v>1</v>
      </c>
      <c r="L245" s="253">
        <v>2</v>
      </c>
      <c r="M245" s="254">
        <f t="shared" si="7"/>
        <v>0.37356464144298934</v>
      </c>
      <c r="N245" s="255"/>
    </row>
    <row r="246" spans="1:14" hidden="1" x14ac:dyDescent="0.2">
      <c r="A246" s="273" t="s">
        <v>264</v>
      </c>
      <c r="B246" s="231" t="s">
        <v>385</v>
      </c>
      <c r="C246" s="247" t="s">
        <v>40</v>
      </c>
      <c r="D246" s="232" t="s">
        <v>135</v>
      </c>
      <c r="E246" s="249">
        <v>0.32905830078125009</v>
      </c>
      <c r="F246" s="250" t="s">
        <v>386</v>
      </c>
      <c r="G246" s="251" t="s">
        <v>16</v>
      </c>
      <c r="H246" s="252">
        <v>2</v>
      </c>
      <c r="I246" s="252">
        <v>2</v>
      </c>
      <c r="J246" s="252">
        <v>1</v>
      </c>
      <c r="K246" s="252">
        <v>1</v>
      </c>
      <c r="L246" s="253">
        <v>2</v>
      </c>
      <c r="M246" s="254">
        <f t="shared" si="7"/>
        <v>0.37356464144298934</v>
      </c>
      <c r="N246" s="255"/>
    </row>
    <row r="247" spans="1:14" hidden="1" x14ac:dyDescent="0.2">
      <c r="A247" s="273" t="s">
        <v>264</v>
      </c>
      <c r="B247" s="231" t="s">
        <v>385</v>
      </c>
      <c r="C247" s="247" t="s">
        <v>41</v>
      </c>
      <c r="D247" s="232" t="s">
        <v>135</v>
      </c>
      <c r="E247" s="249">
        <v>0.23874710286458331</v>
      </c>
      <c r="F247" s="250" t="s">
        <v>386</v>
      </c>
      <c r="G247" s="251" t="s">
        <v>16</v>
      </c>
      <c r="H247" s="252">
        <v>2</v>
      </c>
      <c r="I247" s="252">
        <v>2</v>
      </c>
      <c r="J247" s="252">
        <v>1</v>
      </c>
      <c r="K247" s="252">
        <v>1</v>
      </c>
      <c r="L247" s="253">
        <v>2</v>
      </c>
      <c r="M247" s="254">
        <f t="shared" si="7"/>
        <v>0.37356464144298934</v>
      </c>
      <c r="N247" s="255"/>
    </row>
    <row r="248" spans="1:14" hidden="1" x14ac:dyDescent="0.2">
      <c r="A248" s="273" t="s">
        <v>264</v>
      </c>
      <c r="B248" s="231" t="s">
        <v>385</v>
      </c>
      <c r="C248" s="247" t="s">
        <v>42</v>
      </c>
      <c r="D248" s="232" t="s">
        <v>135</v>
      </c>
      <c r="E248" s="249">
        <v>0.21291389973958341</v>
      </c>
      <c r="F248" s="250" t="s">
        <v>386</v>
      </c>
      <c r="G248" s="251" t="s">
        <v>16</v>
      </c>
      <c r="H248" s="252">
        <v>2</v>
      </c>
      <c r="I248" s="252">
        <v>2</v>
      </c>
      <c r="J248" s="252">
        <v>1</v>
      </c>
      <c r="K248" s="252">
        <v>1</v>
      </c>
      <c r="L248" s="253">
        <v>2</v>
      </c>
      <c r="M248" s="254">
        <f t="shared" si="7"/>
        <v>0.37356464144298934</v>
      </c>
      <c r="N248" s="255"/>
    </row>
    <row r="249" spans="1:14" hidden="1" x14ac:dyDescent="0.2">
      <c r="A249" s="273" t="s">
        <v>264</v>
      </c>
      <c r="B249" s="231" t="s">
        <v>385</v>
      </c>
      <c r="C249" s="247" t="s">
        <v>43</v>
      </c>
      <c r="D249" s="232" t="s">
        <v>135</v>
      </c>
      <c r="E249" s="249">
        <v>0.3226</v>
      </c>
      <c r="F249" s="250" t="s">
        <v>386</v>
      </c>
      <c r="G249" s="251" t="s">
        <v>16</v>
      </c>
      <c r="H249" s="252">
        <v>2</v>
      </c>
      <c r="I249" s="252">
        <v>2</v>
      </c>
      <c r="J249" s="252">
        <v>1</v>
      </c>
      <c r="K249" s="252">
        <v>1</v>
      </c>
      <c r="L249" s="253">
        <v>2</v>
      </c>
      <c r="M249" s="254">
        <f t="shared" si="7"/>
        <v>0.37356464144298934</v>
      </c>
      <c r="N249" s="255"/>
    </row>
    <row r="250" spans="1:14" hidden="1" x14ac:dyDescent="0.2">
      <c r="A250" s="273" t="s">
        <v>264</v>
      </c>
      <c r="B250" s="231" t="s">
        <v>385</v>
      </c>
      <c r="C250" s="247" t="s">
        <v>45</v>
      </c>
      <c r="D250" s="232" t="s">
        <v>135</v>
      </c>
      <c r="E250" s="249">
        <v>0.30322509765625011</v>
      </c>
      <c r="F250" s="250" t="s">
        <v>386</v>
      </c>
      <c r="G250" s="251" t="s">
        <v>16</v>
      </c>
      <c r="H250" s="252">
        <v>2</v>
      </c>
      <c r="I250" s="252">
        <v>2</v>
      </c>
      <c r="J250" s="252">
        <v>1</v>
      </c>
      <c r="K250" s="252">
        <v>1</v>
      </c>
      <c r="L250" s="253">
        <v>2</v>
      </c>
      <c r="M250" s="254">
        <f t="shared" si="7"/>
        <v>0.37356464144298934</v>
      </c>
      <c r="N250" s="255"/>
    </row>
    <row r="251" spans="1:14" hidden="1" x14ac:dyDescent="0.2">
      <c r="A251" s="273" t="s">
        <v>264</v>
      </c>
      <c r="B251" s="231" t="s">
        <v>385</v>
      </c>
      <c r="C251" s="247" t="s">
        <v>46</v>
      </c>
      <c r="D251" s="232" t="s">
        <v>135</v>
      </c>
      <c r="E251" s="249">
        <v>0.18713320312500001</v>
      </c>
      <c r="F251" s="250" t="s">
        <v>386</v>
      </c>
      <c r="G251" s="251" t="s">
        <v>16</v>
      </c>
      <c r="H251" s="252">
        <v>2</v>
      </c>
      <c r="I251" s="252">
        <v>2</v>
      </c>
      <c r="J251" s="252">
        <v>1</v>
      </c>
      <c r="K251" s="252">
        <v>1</v>
      </c>
      <c r="L251" s="253">
        <v>2</v>
      </c>
      <c r="M251" s="254">
        <f t="shared" si="7"/>
        <v>0.37356464144298934</v>
      </c>
      <c r="N251" s="255"/>
    </row>
    <row r="252" spans="1:14" hidden="1" x14ac:dyDescent="0.2">
      <c r="A252" s="273" t="s">
        <v>264</v>
      </c>
      <c r="B252" s="231" t="s">
        <v>385</v>
      </c>
      <c r="C252" s="247" t="s">
        <v>48</v>
      </c>
      <c r="D252" s="232" t="s">
        <v>135</v>
      </c>
      <c r="E252" s="249">
        <v>0.25806949869791668</v>
      </c>
      <c r="F252" s="250" t="s">
        <v>386</v>
      </c>
      <c r="G252" s="251" t="s">
        <v>16</v>
      </c>
      <c r="H252" s="252">
        <v>2</v>
      </c>
      <c r="I252" s="252">
        <v>2</v>
      </c>
      <c r="J252" s="252">
        <v>1</v>
      </c>
      <c r="K252" s="252">
        <v>1</v>
      </c>
      <c r="L252" s="253">
        <v>2</v>
      </c>
      <c r="M252" s="254">
        <f t="shared" si="7"/>
        <v>0.37356464144298934</v>
      </c>
      <c r="N252" s="255"/>
    </row>
    <row r="253" spans="1:14" hidden="1" x14ac:dyDescent="0.2">
      <c r="A253" s="273" t="s">
        <v>264</v>
      </c>
      <c r="B253" s="231" t="s">
        <v>385</v>
      </c>
      <c r="C253" s="247" t="s">
        <v>50</v>
      </c>
      <c r="D253" s="232" t="s">
        <v>135</v>
      </c>
      <c r="E253" s="249">
        <v>0.28390270182291671</v>
      </c>
      <c r="F253" s="250" t="s">
        <v>386</v>
      </c>
      <c r="G253" s="251" t="s">
        <v>16</v>
      </c>
      <c r="H253" s="252">
        <v>2</v>
      </c>
      <c r="I253" s="252">
        <v>2</v>
      </c>
      <c r="J253" s="252">
        <v>1</v>
      </c>
      <c r="K253" s="252">
        <v>1</v>
      </c>
      <c r="L253" s="253">
        <v>2</v>
      </c>
      <c r="M253" s="254">
        <f t="shared" si="7"/>
        <v>0.37356464144298934</v>
      </c>
      <c r="N253" s="255"/>
    </row>
    <row r="254" spans="1:14" hidden="1" x14ac:dyDescent="0.2">
      <c r="A254" s="273" t="s">
        <v>264</v>
      </c>
      <c r="B254" s="231" t="s">
        <v>385</v>
      </c>
      <c r="C254" s="247" t="s">
        <v>52</v>
      </c>
      <c r="D254" s="232" t="s">
        <v>135</v>
      </c>
      <c r="E254" s="249">
        <v>0.36129729817708339</v>
      </c>
      <c r="F254" s="250" t="s">
        <v>386</v>
      </c>
      <c r="G254" s="251" t="s">
        <v>16</v>
      </c>
      <c r="H254" s="252">
        <v>2</v>
      </c>
      <c r="I254" s="252">
        <v>2</v>
      </c>
      <c r="J254" s="252">
        <v>1</v>
      </c>
      <c r="K254" s="252">
        <v>1</v>
      </c>
      <c r="L254" s="253">
        <v>2</v>
      </c>
      <c r="M254" s="254">
        <f t="shared" si="7"/>
        <v>0.37356464144298934</v>
      </c>
      <c r="N254" s="255"/>
    </row>
    <row r="255" spans="1:14" hidden="1" x14ac:dyDescent="0.2">
      <c r="A255" s="273" t="s">
        <v>264</v>
      </c>
      <c r="B255" s="231" t="s">
        <v>385</v>
      </c>
      <c r="C255" s="247" t="s">
        <v>54</v>
      </c>
      <c r="D255" s="232" t="s">
        <v>135</v>
      </c>
      <c r="E255" s="249">
        <v>0.44520270182291671</v>
      </c>
      <c r="F255" s="250" t="s">
        <v>386</v>
      </c>
      <c r="G255" s="251" t="s">
        <v>16</v>
      </c>
      <c r="H255" s="252">
        <v>2</v>
      </c>
      <c r="I255" s="252">
        <v>2</v>
      </c>
      <c r="J255" s="252">
        <v>1</v>
      </c>
      <c r="K255" s="252">
        <v>1</v>
      </c>
      <c r="L255" s="253">
        <v>2</v>
      </c>
      <c r="M255" s="254">
        <f t="shared" si="7"/>
        <v>0.37356464144298934</v>
      </c>
      <c r="N255" s="255"/>
    </row>
    <row r="256" spans="1:14" hidden="1" x14ac:dyDescent="0.2">
      <c r="A256" s="273" t="s">
        <v>264</v>
      </c>
      <c r="B256" s="231" t="s">
        <v>385</v>
      </c>
      <c r="C256" s="247" t="s">
        <v>55</v>
      </c>
      <c r="D256" s="232" t="s">
        <v>135</v>
      </c>
      <c r="E256" s="249">
        <v>0.2709861002604167</v>
      </c>
      <c r="F256" s="250" t="s">
        <v>386</v>
      </c>
      <c r="G256" s="251" t="s">
        <v>16</v>
      </c>
      <c r="H256" s="252">
        <v>2</v>
      </c>
      <c r="I256" s="252">
        <v>2</v>
      </c>
      <c r="J256" s="252">
        <v>1</v>
      </c>
      <c r="K256" s="252">
        <v>1</v>
      </c>
      <c r="L256" s="253">
        <v>2</v>
      </c>
      <c r="M256" s="254">
        <f t="shared" si="7"/>
        <v>0.37356464144298934</v>
      </c>
      <c r="N256" s="255"/>
    </row>
    <row r="257" spans="1:14" hidden="1" x14ac:dyDescent="0.2">
      <c r="A257" s="273" t="s">
        <v>264</v>
      </c>
      <c r="B257" s="231" t="s">
        <v>385</v>
      </c>
      <c r="C257" s="247" t="s">
        <v>57</v>
      </c>
      <c r="D257" s="232" t="s">
        <v>135</v>
      </c>
      <c r="E257" s="249">
        <v>0.30322509765625011</v>
      </c>
      <c r="F257" s="250" t="s">
        <v>386</v>
      </c>
      <c r="G257" s="251" t="s">
        <v>16</v>
      </c>
      <c r="H257" s="252">
        <v>2</v>
      </c>
      <c r="I257" s="252">
        <v>2</v>
      </c>
      <c r="J257" s="252">
        <v>1</v>
      </c>
      <c r="K257" s="252">
        <v>1</v>
      </c>
      <c r="L257" s="253">
        <v>2</v>
      </c>
      <c r="M257" s="254">
        <f t="shared" si="7"/>
        <v>0.37356464144298934</v>
      </c>
      <c r="N257" s="255"/>
    </row>
    <row r="258" spans="1:14" hidden="1" x14ac:dyDescent="0.2">
      <c r="A258" s="273" t="s">
        <v>264</v>
      </c>
      <c r="B258" s="231" t="s">
        <v>385</v>
      </c>
      <c r="C258" s="247" t="s">
        <v>59</v>
      </c>
      <c r="D258" s="232" t="s">
        <v>135</v>
      </c>
      <c r="E258" s="249">
        <v>0.3226</v>
      </c>
      <c r="F258" s="250" t="s">
        <v>360</v>
      </c>
      <c r="G258" s="251" t="s">
        <v>16</v>
      </c>
      <c r="H258" s="252">
        <v>2</v>
      </c>
      <c r="I258" s="252">
        <v>2</v>
      </c>
      <c r="J258" s="252">
        <v>1</v>
      </c>
      <c r="K258" s="252">
        <v>1</v>
      </c>
      <c r="L258" s="253">
        <v>2</v>
      </c>
      <c r="M258" s="254">
        <f>IF( OR( ISBLANK(H258),ISBLANK(I258), ISBLANK(J258), ISBLANK(K258), ISBLANK(L258) ), "", 1.5*SQRT(   EXP(2.21*(H258-1)) + EXP(2.21*(I258-1)) + EXP(2.21*(J258-1)) + EXP(2.21*(K258-1)) + EXP(2.21*L258)   )/100*2.45 )</f>
        <v>0.37356464144298934</v>
      </c>
      <c r="N258" s="255"/>
    </row>
    <row r="259" spans="1:14" hidden="1" x14ac:dyDescent="0.2">
      <c r="A259" s="273" t="s">
        <v>264</v>
      </c>
      <c r="B259" s="231" t="s">
        <v>385</v>
      </c>
      <c r="C259" s="247" t="s">
        <v>60</v>
      </c>
      <c r="D259" s="232" t="s">
        <v>135</v>
      </c>
      <c r="E259" s="249">
        <v>0.24515289713541669</v>
      </c>
      <c r="F259" s="250" t="s">
        <v>386</v>
      </c>
      <c r="G259" s="251" t="s">
        <v>16</v>
      </c>
      <c r="H259" s="252">
        <v>2</v>
      </c>
      <c r="I259" s="252">
        <v>2</v>
      </c>
      <c r="J259" s="252">
        <v>1</v>
      </c>
      <c r="K259" s="252">
        <v>1</v>
      </c>
      <c r="L259" s="253">
        <v>2</v>
      </c>
      <c r="M259" s="254">
        <f t="shared" ref="M259:M290" si="8">IF( OR( ISBLANK(H259),ISBLANK(I259), ISBLANK(J259), ISBLANK(K259), ISBLANK(L259) ), "", 1.5*SQRT( EXP(2.21*(H259-1)) + EXP(2.21*(I259-1)) + EXP(2.21*(J259-1)) + EXP(2.21*(K259-1)) + EXP(2.21*L259) )/100*2.45 )</f>
        <v>0.37356464144298934</v>
      </c>
      <c r="N259" s="255"/>
    </row>
    <row r="260" spans="1:14" x14ac:dyDescent="0.2">
      <c r="A260" s="236" t="s">
        <v>264</v>
      </c>
      <c r="B260" s="237" t="s">
        <v>387</v>
      </c>
      <c r="C260" s="238" t="s">
        <v>135</v>
      </c>
      <c r="D260" s="239" t="s">
        <v>135</v>
      </c>
      <c r="E260" s="274" t="s">
        <v>188</v>
      </c>
      <c r="F260" s="241"/>
      <c r="G260" s="242" t="s">
        <v>16</v>
      </c>
      <c r="H260" s="240"/>
      <c r="I260" s="240"/>
      <c r="J260" s="240"/>
      <c r="K260" s="240"/>
      <c r="L260" s="243"/>
      <c r="M260" s="244" t="str">
        <f t="shared" si="8"/>
        <v/>
      </c>
      <c r="N260" s="245"/>
    </row>
    <row r="261" spans="1:14" x14ac:dyDescent="0.2">
      <c r="A261" s="230" t="s">
        <v>272</v>
      </c>
      <c r="B261" s="221" t="s">
        <v>385</v>
      </c>
      <c r="C261" s="265" t="s">
        <v>13</v>
      </c>
      <c r="D261" s="257" t="s">
        <v>14</v>
      </c>
      <c r="E261" s="266">
        <v>4.3871807795698929E-2</v>
      </c>
      <c r="F261" s="267" t="s">
        <v>386</v>
      </c>
      <c r="G261" s="268" t="s">
        <v>16</v>
      </c>
      <c r="H261" s="269">
        <v>2</v>
      </c>
      <c r="I261" s="269">
        <v>2</v>
      </c>
      <c r="J261" s="269">
        <v>1</v>
      </c>
      <c r="K261" s="269">
        <v>1</v>
      </c>
      <c r="L261" s="270">
        <v>2</v>
      </c>
      <c r="M261" s="271">
        <f t="shared" si="8"/>
        <v>0.37356464144298934</v>
      </c>
      <c r="N261" s="272"/>
    </row>
    <row r="262" spans="1:14" hidden="1" x14ac:dyDescent="0.2">
      <c r="A262" s="230" t="s">
        <v>272</v>
      </c>
      <c r="B262" s="231" t="s">
        <v>385</v>
      </c>
      <c r="C262" s="247" t="s">
        <v>18</v>
      </c>
      <c r="D262" s="257" t="s">
        <v>14</v>
      </c>
      <c r="E262" s="249">
        <v>5.4193968413978499E-2</v>
      </c>
      <c r="F262" s="250" t="s">
        <v>386</v>
      </c>
      <c r="G262" s="251" t="s">
        <v>16</v>
      </c>
      <c r="H262" s="252">
        <v>2</v>
      </c>
      <c r="I262" s="252">
        <v>2</v>
      </c>
      <c r="J262" s="252">
        <v>1</v>
      </c>
      <c r="K262" s="252">
        <v>1</v>
      </c>
      <c r="L262" s="253">
        <v>2</v>
      </c>
      <c r="M262" s="254">
        <f t="shared" si="8"/>
        <v>0.37356464144298934</v>
      </c>
      <c r="N262" s="255"/>
    </row>
    <row r="263" spans="1:14" hidden="1" x14ac:dyDescent="0.2">
      <c r="A263" s="230" t="s">
        <v>272</v>
      </c>
      <c r="B263" s="231" t="s">
        <v>385</v>
      </c>
      <c r="C263" s="247" t="s">
        <v>20</v>
      </c>
      <c r="D263" s="257" t="s">
        <v>14</v>
      </c>
      <c r="E263" s="249">
        <v>8.2577284946236562E-2</v>
      </c>
      <c r="F263" s="250" t="s">
        <v>386</v>
      </c>
      <c r="G263" s="251" t="s">
        <v>16</v>
      </c>
      <c r="H263" s="252">
        <v>2</v>
      </c>
      <c r="I263" s="252">
        <v>2</v>
      </c>
      <c r="J263" s="252">
        <v>1</v>
      </c>
      <c r="K263" s="252">
        <v>1</v>
      </c>
      <c r="L263" s="253">
        <v>2</v>
      </c>
      <c r="M263" s="254">
        <f t="shared" si="8"/>
        <v>0.37356464144298934</v>
      </c>
      <c r="N263" s="255"/>
    </row>
    <row r="264" spans="1:14" hidden="1" x14ac:dyDescent="0.2">
      <c r="A264" s="230" t="s">
        <v>272</v>
      </c>
      <c r="B264" s="231" t="s">
        <v>385</v>
      </c>
      <c r="C264" s="247" t="s">
        <v>22</v>
      </c>
      <c r="D264" s="257" t="s">
        <v>14</v>
      </c>
      <c r="E264" s="249">
        <v>4.902763776881721E-2</v>
      </c>
      <c r="F264" s="250" t="s">
        <v>386</v>
      </c>
      <c r="G264" s="251" t="s">
        <v>16</v>
      </c>
      <c r="H264" s="252">
        <v>2</v>
      </c>
      <c r="I264" s="252">
        <v>2</v>
      </c>
      <c r="J264" s="252">
        <v>1</v>
      </c>
      <c r="K264" s="252">
        <v>1</v>
      </c>
      <c r="L264" s="253">
        <v>2</v>
      </c>
      <c r="M264" s="254">
        <f t="shared" si="8"/>
        <v>0.37356464144298934</v>
      </c>
      <c r="N264" s="255"/>
    </row>
    <row r="265" spans="1:14" hidden="1" x14ac:dyDescent="0.2">
      <c r="A265" s="230" t="s">
        <v>272</v>
      </c>
      <c r="B265" s="231" t="s">
        <v>385</v>
      </c>
      <c r="C265" s="247" t="s">
        <v>23</v>
      </c>
      <c r="D265" s="257" t="s">
        <v>14</v>
      </c>
      <c r="E265" s="249">
        <v>6.0641381048387101E-2</v>
      </c>
      <c r="F265" s="250" t="s">
        <v>386</v>
      </c>
      <c r="G265" s="251" t="s">
        <v>16</v>
      </c>
      <c r="H265" s="252">
        <v>2</v>
      </c>
      <c r="I265" s="252">
        <v>2</v>
      </c>
      <c r="J265" s="252">
        <v>1</v>
      </c>
      <c r="K265" s="252">
        <v>1</v>
      </c>
      <c r="L265" s="253">
        <v>2</v>
      </c>
      <c r="M265" s="254">
        <f t="shared" si="8"/>
        <v>0.37356464144298934</v>
      </c>
      <c r="N265" s="255"/>
    </row>
    <row r="266" spans="1:14" hidden="1" x14ac:dyDescent="0.2">
      <c r="A266" s="230" t="s">
        <v>272</v>
      </c>
      <c r="B266" s="231" t="s">
        <v>385</v>
      </c>
      <c r="C266" s="247" t="s">
        <v>24</v>
      </c>
      <c r="D266" s="257" t="s">
        <v>14</v>
      </c>
      <c r="E266" s="249">
        <v>7.483828965053764E-2</v>
      </c>
      <c r="F266" s="250" t="s">
        <v>386</v>
      </c>
      <c r="G266" s="251" t="s">
        <v>16</v>
      </c>
      <c r="H266" s="252">
        <v>2</v>
      </c>
      <c r="I266" s="252">
        <v>2</v>
      </c>
      <c r="J266" s="252">
        <v>1</v>
      </c>
      <c r="K266" s="252">
        <v>1</v>
      </c>
      <c r="L266" s="253">
        <v>2</v>
      </c>
      <c r="M266" s="254">
        <f t="shared" si="8"/>
        <v>0.37356464144298934</v>
      </c>
      <c r="N266" s="255"/>
    </row>
    <row r="267" spans="1:14" hidden="1" x14ac:dyDescent="0.2">
      <c r="A267" s="230" t="s">
        <v>272</v>
      </c>
      <c r="B267" s="231" t="s">
        <v>385</v>
      </c>
      <c r="C267" s="247" t="s">
        <v>25</v>
      </c>
      <c r="D267" s="257" t="s">
        <v>14</v>
      </c>
      <c r="E267" s="249">
        <v>3.8705477150537633E-2</v>
      </c>
      <c r="F267" s="250" t="s">
        <v>386</v>
      </c>
      <c r="G267" s="251" t="s">
        <v>16</v>
      </c>
      <c r="H267" s="252">
        <v>2</v>
      </c>
      <c r="I267" s="252">
        <v>2</v>
      </c>
      <c r="J267" s="252">
        <v>1</v>
      </c>
      <c r="K267" s="252">
        <v>1</v>
      </c>
      <c r="L267" s="253">
        <v>2</v>
      </c>
      <c r="M267" s="254">
        <f t="shared" si="8"/>
        <v>0.37356464144298934</v>
      </c>
      <c r="N267" s="255"/>
    </row>
    <row r="268" spans="1:14" hidden="1" x14ac:dyDescent="0.2">
      <c r="A268" s="230" t="s">
        <v>272</v>
      </c>
      <c r="B268" s="231" t="s">
        <v>385</v>
      </c>
      <c r="C268" s="247" t="s">
        <v>26</v>
      </c>
      <c r="D268" s="257" t="s">
        <v>14</v>
      </c>
      <c r="E268" s="249">
        <v>3.7424395161290321E-2</v>
      </c>
      <c r="F268" s="250" t="s">
        <v>386</v>
      </c>
      <c r="G268" s="251" t="s">
        <v>16</v>
      </c>
      <c r="H268" s="252">
        <v>2</v>
      </c>
      <c r="I268" s="252">
        <v>2</v>
      </c>
      <c r="J268" s="252">
        <v>1</v>
      </c>
      <c r="K268" s="252">
        <v>1</v>
      </c>
      <c r="L268" s="253">
        <v>2</v>
      </c>
      <c r="M268" s="254">
        <f t="shared" si="8"/>
        <v>0.37356464144298934</v>
      </c>
      <c r="N268" s="255"/>
    </row>
    <row r="269" spans="1:14" hidden="1" x14ac:dyDescent="0.2">
      <c r="A269" s="230" t="s">
        <v>272</v>
      </c>
      <c r="B269" s="231" t="s">
        <v>385</v>
      </c>
      <c r="C269" s="247" t="s">
        <v>27</v>
      </c>
      <c r="D269" s="257" t="s">
        <v>14</v>
      </c>
      <c r="E269" s="249">
        <v>3.2258064516129031E-2</v>
      </c>
      <c r="F269" s="250" t="s">
        <v>386</v>
      </c>
      <c r="G269" s="251" t="s">
        <v>16</v>
      </c>
      <c r="H269" s="252">
        <v>2</v>
      </c>
      <c r="I269" s="252">
        <v>2</v>
      </c>
      <c r="J269" s="252">
        <v>1</v>
      </c>
      <c r="K269" s="252">
        <v>1</v>
      </c>
      <c r="L269" s="253">
        <v>2</v>
      </c>
      <c r="M269" s="254">
        <f t="shared" si="8"/>
        <v>0.37356464144298934</v>
      </c>
      <c r="N269" s="255"/>
    </row>
    <row r="270" spans="1:14" hidden="1" x14ac:dyDescent="0.2">
      <c r="A270" s="230" t="s">
        <v>272</v>
      </c>
      <c r="B270" s="231" t="s">
        <v>385</v>
      </c>
      <c r="C270" s="247" t="s">
        <v>28</v>
      </c>
      <c r="D270" s="257" t="s">
        <v>14</v>
      </c>
      <c r="E270" s="249">
        <v>3.2258064516129031E-2</v>
      </c>
      <c r="F270" s="250" t="s">
        <v>386</v>
      </c>
      <c r="G270" s="251" t="s">
        <v>16</v>
      </c>
      <c r="H270" s="252">
        <v>2</v>
      </c>
      <c r="I270" s="252">
        <v>2</v>
      </c>
      <c r="J270" s="252">
        <v>1</v>
      </c>
      <c r="K270" s="252">
        <v>1</v>
      </c>
      <c r="L270" s="253">
        <v>2</v>
      </c>
      <c r="M270" s="254">
        <f t="shared" si="8"/>
        <v>0.37356464144298934</v>
      </c>
      <c r="N270" s="255"/>
    </row>
    <row r="271" spans="1:14" hidden="1" x14ac:dyDescent="0.2">
      <c r="A271" s="230" t="s">
        <v>272</v>
      </c>
      <c r="B271" s="231" t="s">
        <v>385</v>
      </c>
      <c r="C271" s="247" t="s">
        <v>30</v>
      </c>
      <c r="D271" s="257" t="s">
        <v>14</v>
      </c>
      <c r="E271" s="249">
        <v>6.4516129032258063E-2</v>
      </c>
      <c r="F271" s="250" t="s">
        <v>386</v>
      </c>
      <c r="G271" s="251" t="s">
        <v>16</v>
      </c>
      <c r="H271" s="252">
        <v>2</v>
      </c>
      <c r="I271" s="252">
        <v>2</v>
      </c>
      <c r="J271" s="252">
        <v>1</v>
      </c>
      <c r="K271" s="252">
        <v>1</v>
      </c>
      <c r="L271" s="253">
        <v>2</v>
      </c>
      <c r="M271" s="254">
        <f t="shared" si="8"/>
        <v>0.37356464144298934</v>
      </c>
      <c r="N271" s="255"/>
    </row>
    <row r="272" spans="1:14" hidden="1" x14ac:dyDescent="0.2">
      <c r="A272" s="230" t="s">
        <v>272</v>
      </c>
      <c r="B272" s="231" t="s">
        <v>385</v>
      </c>
      <c r="C272" s="247" t="s">
        <v>32</v>
      </c>
      <c r="D272" s="257" t="s">
        <v>14</v>
      </c>
      <c r="E272" s="249">
        <v>4.1288642473118281E-2</v>
      </c>
      <c r="F272" s="250" t="s">
        <v>386</v>
      </c>
      <c r="G272" s="251" t="s">
        <v>16</v>
      </c>
      <c r="H272" s="252">
        <v>2</v>
      </c>
      <c r="I272" s="252">
        <v>2</v>
      </c>
      <c r="J272" s="252">
        <v>1</v>
      </c>
      <c r="K272" s="252">
        <v>1</v>
      </c>
      <c r="L272" s="253">
        <v>2</v>
      </c>
      <c r="M272" s="254">
        <f t="shared" si="8"/>
        <v>0.37356464144298934</v>
      </c>
      <c r="N272" s="255"/>
    </row>
    <row r="273" spans="1:14" hidden="1" x14ac:dyDescent="0.2">
      <c r="A273" s="230" t="s">
        <v>272</v>
      </c>
      <c r="B273" s="231" t="s">
        <v>385</v>
      </c>
      <c r="C273" s="247" t="s">
        <v>34</v>
      </c>
      <c r="D273" s="257" t="s">
        <v>14</v>
      </c>
      <c r="E273" s="249">
        <v>4.7746555779569891E-2</v>
      </c>
      <c r="F273" s="250" t="s">
        <v>386</v>
      </c>
      <c r="G273" s="251" t="s">
        <v>16</v>
      </c>
      <c r="H273" s="252">
        <v>2</v>
      </c>
      <c r="I273" s="252">
        <v>2</v>
      </c>
      <c r="J273" s="252">
        <v>1</v>
      </c>
      <c r="K273" s="252">
        <v>1</v>
      </c>
      <c r="L273" s="253">
        <v>2</v>
      </c>
      <c r="M273" s="254">
        <f t="shared" si="8"/>
        <v>0.37356464144298934</v>
      </c>
      <c r="N273" s="255"/>
    </row>
    <row r="274" spans="1:14" hidden="1" x14ac:dyDescent="0.2">
      <c r="A274" s="230" t="s">
        <v>272</v>
      </c>
      <c r="B274" s="231" t="s">
        <v>385</v>
      </c>
      <c r="C274" s="247" t="s">
        <v>36</v>
      </c>
      <c r="D274" s="257" t="s">
        <v>14</v>
      </c>
      <c r="E274" s="249">
        <v>5.1610803091397851E-2</v>
      </c>
      <c r="F274" s="250" t="s">
        <v>386</v>
      </c>
      <c r="G274" s="251" t="s">
        <v>16</v>
      </c>
      <c r="H274" s="252">
        <v>2</v>
      </c>
      <c r="I274" s="252">
        <v>2</v>
      </c>
      <c r="J274" s="252">
        <v>1</v>
      </c>
      <c r="K274" s="252">
        <v>1</v>
      </c>
      <c r="L274" s="253">
        <v>2</v>
      </c>
      <c r="M274" s="254">
        <f t="shared" si="8"/>
        <v>0.37356464144298934</v>
      </c>
      <c r="N274" s="255"/>
    </row>
    <row r="275" spans="1:14" hidden="1" x14ac:dyDescent="0.2">
      <c r="A275" s="230" t="s">
        <v>272</v>
      </c>
      <c r="B275" s="231" t="s">
        <v>385</v>
      </c>
      <c r="C275" s="247" t="s">
        <v>37</v>
      </c>
      <c r="D275" s="257" t="s">
        <v>14</v>
      </c>
      <c r="E275" s="249">
        <v>4.902763776881721E-2</v>
      </c>
      <c r="F275" s="250" t="s">
        <v>386</v>
      </c>
      <c r="G275" s="251" t="s">
        <v>16</v>
      </c>
      <c r="H275" s="252">
        <v>2</v>
      </c>
      <c r="I275" s="252">
        <v>2</v>
      </c>
      <c r="J275" s="252">
        <v>1</v>
      </c>
      <c r="K275" s="252">
        <v>1</v>
      </c>
      <c r="L275" s="253">
        <v>2</v>
      </c>
      <c r="M275" s="254">
        <f t="shared" si="8"/>
        <v>0.37356464144298934</v>
      </c>
      <c r="N275" s="255"/>
    </row>
    <row r="276" spans="1:14" hidden="1" x14ac:dyDescent="0.2">
      <c r="A276" s="230" t="s">
        <v>272</v>
      </c>
      <c r="B276" s="231" t="s">
        <v>385</v>
      </c>
      <c r="C276" s="247" t="s">
        <v>39</v>
      </c>
      <c r="D276" s="257" t="s">
        <v>14</v>
      </c>
      <c r="E276" s="249">
        <v>4.645497311827957E-2</v>
      </c>
      <c r="F276" s="250" t="s">
        <v>386</v>
      </c>
      <c r="G276" s="251" t="s">
        <v>16</v>
      </c>
      <c r="H276" s="252">
        <v>2</v>
      </c>
      <c r="I276" s="252">
        <v>2</v>
      </c>
      <c r="J276" s="252">
        <v>1</v>
      </c>
      <c r="K276" s="252">
        <v>1</v>
      </c>
      <c r="L276" s="253">
        <v>2</v>
      </c>
      <c r="M276" s="254">
        <f t="shared" si="8"/>
        <v>0.37356464144298934</v>
      </c>
      <c r="N276" s="255"/>
    </row>
    <row r="277" spans="1:14" hidden="1" x14ac:dyDescent="0.2">
      <c r="A277" s="230" t="s">
        <v>272</v>
      </c>
      <c r="B277" s="231" t="s">
        <v>385</v>
      </c>
      <c r="C277" s="247" t="s">
        <v>40</v>
      </c>
      <c r="D277" s="257" t="s">
        <v>14</v>
      </c>
      <c r="E277" s="249">
        <v>6.5807711693548404E-2</v>
      </c>
      <c r="F277" s="250" t="s">
        <v>386</v>
      </c>
      <c r="G277" s="251" t="s">
        <v>16</v>
      </c>
      <c r="H277" s="252">
        <v>2</v>
      </c>
      <c r="I277" s="252">
        <v>2</v>
      </c>
      <c r="J277" s="252">
        <v>1</v>
      </c>
      <c r="K277" s="252">
        <v>1</v>
      </c>
      <c r="L277" s="253">
        <v>2</v>
      </c>
      <c r="M277" s="254">
        <f t="shared" si="8"/>
        <v>0.37356464144298934</v>
      </c>
      <c r="N277" s="255"/>
    </row>
    <row r="278" spans="1:14" hidden="1" x14ac:dyDescent="0.2">
      <c r="A278" s="230" t="s">
        <v>272</v>
      </c>
      <c r="B278" s="231" t="s">
        <v>385</v>
      </c>
      <c r="C278" s="247" t="s">
        <v>41</v>
      </c>
      <c r="D278" s="257" t="s">
        <v>14</v>
      </c>
      <c r="E278" s="249">
        <v>4.7746555779569891E-2</v>
      </c>
      <c r="F278" s="250" t="s">
        <v>386</v>
      </c>
      <c r="G278" s="251" t="s">
        <v>16</v>
      </c>
      <c r="H278" s="252">
        <v>2</v>
      </c>
      <c r="I278" s="252">
        <v>2</v>
      </c>
      <c r="J278" s="252">
        <v>1</v>
      </c>
      <c r="K278" s="252">
        <v>1</v>
      </c>
      <c r="L278" s="253">
        <v>2</v>
      </c>
      <c r="M278" s="254">
        <f t="shared" si="8"/>
        <v>0.37356464144298934</v>
      </c>
      <c r="N278" s="255"/>
    </row>
    <row r="279" spans="1:14" hidden="1" x14ac:dyDescent="0.2">
      <c r="A279" s="230" t="s">
        <v>272</v>
      </c>
      <c r="B279" s="231" t="s">
        <v>385</v>
      </c>
      <c r="C279" s="247" t="s">
        <v>42</v>
      </c>
      <c r="D279" s="257" t="s">
        <v>14</v>
      </c>
      <c r="E279" s="249">
        <v>4.2580225134408609E-2</v>
      </c>
      <c r="F279" s="250" t="s">
        <v>386</v>
      </c>
      <c r="G279" s="251" t="s">
        <v>16</v>
      </c>
      <c r="H279" s="252">
        <v>2</v>
      </c>
      <c r="I279" s="252">
        <v>2</v>
      </c>
      <c r="J279" s="252">
        <v>1</v>
      </c>
      <c r="K279" s="252">
        <v>1</v>
      </c>
      <c r="L279" s="253">
        <v>2</v>
      </c>
      <c r="M279" s="254">
        <f t="shared" si="8"/>
        <v>0.37356464144298934</v>
      </c>
      <c r="N279" s="255"/>
    </row>
    <row r="280" spans="1:14" hidden="1" x14ac:dyDescent="0.2">
      <c r="A280" s="230" t="s">
        <v>272</v>
      </c>
      <c r="B280" s="231" t="s">
        <v>385</v>
      </c>
      <c r="C280" s="247" t="s">
        <v>43</v>
      </c>
      <c r="D280" s="257" t="s">
        <v>14</v>
      </c>
      <c r="E280" s="249">
        <v>6.4516129032258063E-2</v>
      </c>
      <c r="F280" s="250" t="s">
        <v>386</v>
      </c>
      <c r="G280" s="251" t="s">
        <v>16</v>
      </c>
      <c r="H280" s="252">
        <v>2</v>
      </c>
      <c r="I280" s="252">
        <v>2</v>
      </c>
      <c r="J280" s="252">
        <v>1</v>
      </c>
      <c r="K280" s="252">
        <v>1</v>
      </c>
      <c r="L280" s="253">
        <v>2</v>
      </c>
      <c r="M280" s="254">
        <f t="shared" si="8"/>
        <v>0.37356464144298934</v>
      </c>
      <c r="N280" s="255"/>
    </row>
    <row r="281" spans="1:14" hidden="1" x14ac:dyDescent="0.2">
      <c r="A281" s="230" t="s">
        <v>272</v>
      </c>
      <c r="B281" s="231" t="s">
        <v>385</v>
      </c>
      <c r="C281" s="247" t="s">
        <v>45</v>
      </c>
      <c r="D281" s="257" t="s">
        <v>14</v>
      </c>
      <c r="E281" s="249">
        <v>6.0641381048387101E-2</v>
      </c>
      <c r="F281" s="250" t="s">
        <v>386</v>
      </c>
      <c r="G281" s="251" t="s">
        <v>16</v>
      </c>
      <c r="H281" s="252">
        <v>2</v>
      </c>
      <c r="I281" s="252">
        <v>2</v>
      </c>
      <c r="J281" s="252">
        <v>1</v>
      </c>
      <c r="K281" s="252">
        <v>1</v>
      </c>
      <c r="L281" s="253">
        <v>2</v>
      </c>
      <c r="M281" s="254">
        <f t="shared" si="8"/>
        <v>0.37356464144298934</v>
      </c>
      <c r="N281" s="255"/>
    </row>
    <row r="282" spans="1:14" hidden="1" x14ac:dyDescent="0.2">
      <c r="A282" s="230" t="s">
        <v>272</v>
      </c>
      <c r="B282" s="231" t="s">
        <v>385</v>
      </c>
      <c r="C282" s="247" t="s">
        <v>46</v>
      </c>
      <c r="D282" s="257" t="s">
        <v>14</v>
      </c>
      <c r="E282" s="249">
        <v>3.7424395161290321E-2</v>
      </c>
      <c r="F282" s="250" t="s">
        <v>386</v>
      </c>
      <c r="G282" s="251" t="s">
        <v>16</v>
      </c>
      <c r="H282" s="252">
        <v>2</v>
      </c>
      <c r="I282" s="252">
        <v>2</v>
      </c>
      <c r="J282" s="252">
        <v>1</v>
      </c>
      <c r="K282" s="252">
        <v>1</v>
      </c>
      <c r="L282" s="253">
        <v>2</v>
      </c>
      <c r="M282" s="254">
        <f t="shared" si="8"/>
        <v>0.37356464144298934</v>
      </c>
      <c r="N282" s="255"/>
    </row>
    <row r="283" spans="1:14" hidden="1" x14ac:dyDescent="0.2">
      <c r="A283" s="230" t="s">
        <v>272</v>
      </c>
      <c r="B283" s="231" t="s">
        <v>385</v>
      </c>
      <c r="C283" s="247" t="s">
        <v>48</v>
      </c>
      <c r="D283" s="257" t="s">
        <v>14</v>
      </c>
      <c r="E283" s="249">
        <v>5.1610803091397851E-2</v>
      </c>
      <c r="F283" s="250" t="s">
        <v>386</v>
      </c>
      <c r="G283" s="251" t="s">
        <v>16</v>
      </c>
      <c r="H283" s="252">
        <v>2</v>
      </c>
      <c r="I283" s="252">
        <v>2</v>
      </c>
      <c r="J283" s="252">
        <v>1</v>
      </c>
      <c r="K283" s="252">
        <v>1</v>
      </c>
      <c r="L283" s="253">
        <v>2</v>
      </c>
      <c r="M283" s="254">
        <f t="shared" si="8"/>
        <v>0.37356464144298934</v>
      </c>
      <c r="N283" s="255"/>
    </row>
    <row r="284" spans="1:14" hidden="1" x14ac:dyDescent="0.2">
      <c r="A284" s="230" t="s">
        <v>272</v>
      </c>
      <c r="B284" s="231" t="s">
        <v>385</v>
      </c>
      <c r="C284" s="247" t="s">
        <v>50</v>
      </c>
      <c r="D284" s="257" t="s">
        <v>14</v>
      </c>
      <c r="E284" s="249">
        <v>5.6777133736559127E-2</v>
      </c>
      <c r="F284" s="250" t="s">
        <v>386</v>
      </c>
      <c r="G284" s="251" t="s">
        <v>16</v>
      </c>
      <c r="H284" s="252">
        <v>2</v>
      </c>
      <c r="I284" s="252">
        <v>2</v>
      </c>
      <c r="J284" s="252">
        <v>1</v>
      </c>
      <c r="K284" s="252">
        <v>1</v>
      </c>
      <c r="L284" s="253">
        <v>2</v>
      </c>
      <c r="M284" s="254">
        <f t="shared" si="8"/>
        <v>0.37356464144298934</v>
      </c>
      <c r="N284" s="255"/>
    </row>
    <row r="285" spans="1:14" hidden="1" x14ac:dyDescent="0.2">
      <c r="A285" s="230" t="s">
        <v>272</v>
      </c>
      <c r="B285" s="231" t="s">
        <v>385</v>
      </c>
      <c r="C285" s="247" t="s">
        <v>52</v>
      </c>
      <c r="D285" s="257" t="s">
        <v>14</v>
      </c>
      <c r="E285" s="249">
        <v>7.2255124327956999E-2</v>
      </c>
      <c r="F285" s="250" t="s">
        <v>386</v>
      </c>
      <c r="G285" s="251" t="s">
        <v>16</v>
      </c>
      <c r="H285" s="252">
        <v>2</v>
      </c>
      <c r="I285" s="252">
        <v>2</v>
      </c>
      <c r="J285" s="252">
        <v>1</v>
      </c>
      <c r="K285" s="252">
        <v>1</v>
      </c>
      <c r="L285" s="253">
        <v>2</v>
      </c>
      <c r="M285" s="254">
        <f t="shared" si="8"/>
        <v>0.37356464144298934</v>
      </c>
      <c r="N285" s="255"/>
    </row>
    <row r="286" spans="1:14" hidden="1" x14ac:dyDescent="0.2">
      <c r="A286" s="230" t="s">
        <v>272</v>
      </c>
      <c r="B286" s="231" t="s">
        <v>385</v>
      </c>
      <c r="C286" s="247" t="s">
        <v>54</v>
      </c>
      <c r="D286" s="257" t="s">
        <v>14</v>
      </c>
      <c r="E286" s="249">
        <v>8.9035198252688172E-2</v>
      </c>
      <c r="F286" s="250" t="s">
        <v>386</v>
      </c>
      <c r="G286" s="251" t="s">
        <v>16</v>
      </c>
      <c r="H286" s="252">
        <v>2</v>
      </c>
      <c r="I286" s="252">
        <v>2</v>
      </c>
      <c r="J286" s="252">
        <v>1</v>
      </c>
      <c r="K286" s="252">
        <v>1</v>
      </c>
      <c r="L286" s="253">
        <v>2</v>
      </c>
      <c r="M286" s="254">
        <f t="shared" si="8"/>
        <v>0.37356464144298934</v>
      </c>
      <c r="N286" s="255"/>
    </row>
    <row r="287" spans="1:14" hidden="1" x14ac:dyDescent="0.2">
      <c r="A287" s="230" t="s">
        <v>272</v>
      </c>
      <c r="B287" s="231" t="s">
        <v>385</v>
      </c>
      <c r="C287" s="247" t="s">
        <v>55</v>
      </c>
      <c r="D287" s="257" t="s">
        <v>14</v>
      </c>
      <c r="E287" s="249">
        <v>5.4193968413978499E-2</v>
      </c>
      <c r="F287" s="250" t="s">
        <v>386</v>
      </c>
      <c r="G287" s="251" t="s">
        <v>16</v>
      </c>
      <c r="H287" s="252">
        <v>2</v>
      </c>
      <c r="I287" s="252">
        <v>2</v>
      </c>
      <c r="J287" s="252">
        <v>1</v>
      </c>
      <c r="K287" s="252">
        <v>1</v>
      </c>
      <c r="L287" s="253">
        <v>2</v>
      </c>
      <c r="M287" s="254">
        <f t="shared" si="8"/>
        <v>0.37356464144298934</v>
      </c>
      <c r="N287" s="255"/>
    </row>
    <row r="288" spans="1:14" hidden="1" x14ac:dyDescent="0.2">
      <c r="A288" s="230" t="s">
        <v>272</v>
      </c>
      <c r="B288" s="231" t="s">
        <v>385</v>
      </c>
      <c r="C288" s="247" t="s">
        <v>57</v>
      </c>
      <c r="D288" s="257" t="s">
        <v>14</v>
      </c>
      <c r="E288" s="249">
        <v>6.0641381048387101E-2</v>
      </c>
      <c r="F288" s="250" t="s">
        <v>386</v>
      </c>
      <c r="G288" s="251" t="s">
        <v>16</v>
      </c>
      <c r="H288" s="252">
        <v>2</v>
      </c>
      <c r="I288" s="252">
        <v>2</v>
      </c>
      <c r="J288" s="252">
        <v>1</v>
      </c>
      <c r="K288" s="252">
        <v>1</v>
      </c>
      <c r="L288" s="253">
        <v>2</v>
      </c>
      <c r="M288" s="254">
        <f t="shared" si="8"/>
        <v>0.37356464144298934</v>
      </c>
      <c r="N288" s="255"/>
    </row>
    <row r="289" spans="1:14" hidden="1" x14ac:dyDescent="0.2">
      <c r="A289" s="230" t="s">
        <v>272</v>
      </c>
      <c r="B289" s="231" t="s">
        <v>385</v>
      </c>
      <c r="C289" s="247" t="s">
        <v>59</v>
      </c>
      <c r="D289" s="257" t="s">
        <v>14</v>
      </c>
      <c r="E289" s="249">
        <v>6.4516129032258063E-2</v>
      </c>
      <c r="F289" s="250" t="s">
        <v>360</v>
      </c>
      <c r="G289" s="251" t="s">
        <v>16</v>
      </c>
      <c r="H289" s="252">
        <v>2</v>
      </c>
      <c r="I289" s="252">
        <v>2</v>
      </c>
      <c r="J289" s="252">
        <v>1</v>
      </c>
      <c r="K289" s="252">
        <v>1</v>
      </c>
      <c r="L289" s="253">
        <v>2</v>
      </c>
      <c r="M289" s="254">
        <f t="shared" si="8"/>
        <v>0.37356464144298934</v>
      </c>
      <c r="N289" s="255"/>
    </row>
    <row r="290" spans="1:14" hidden="1" x14ac:dyDescent="0.2">
      <c r="A290" s="230" t="s">
        <v>272</v>
      </c>
      <c r="B290" s="231" t="s">
        <v>385</v>
      </c>
      <c r="C290" s="247" t="s">
        <v>60</v>
      </c>
      <c r="D290" s="257" t="s">
        <v>14</v>
      </c>
      <c r="E290" s="249">
        <v>4.902763776881721E-2</v>
      </c>
      <c r="F290" s="250" t="s">
        <v>386</v>
      </c>
      <c r="G290" s="251" t="s">
        <v>16</v>
      </c>
      <c r="H290" s="252">
        <v>2</v>
      </c>
      <c r="I290" s="252">
        <v>2</v>
      </c>
      <c r="J290" s="252">
        <v>1</v>
      </c>
      <c r="K290" s="252">
        <v>1</v>
      </c>
      <c r="L290" s="253">
        <v>2</v>
      </c>
      <c r="M290" s="254">
        <f t="shared" si="8"/>
        <v>0.37356464144298934</v>
      </c>
      <c r="N290" s="255"/>
    </row>
    <row r="291" spans="1:14" x14ac:dyDescent="0.2">
      <c r="A291" s="230" t="s">
        <v>272</v>
      </c>
      <c r="B291" s="231" t="s">
        <v>385</v>
      </c>
      <c r="C291" s="247" t="s">
        <v>13</v>
      </c>
      <c r="D291" s="258" t="s">
        <v>62</v>
      </c>
      <c r="E291" s="249">
        <v>4.3871807795698929E-2</v>
      </c>
      <c r="F291" s="250" t="s">
        <v>386</v>
      </c>
      <c r="G291" s="251" t="s">
        <v>16</v>
      </c>
      <c r="H291" s="252">
        <v>2</v>
      </c>
      <c r="I291" s="252">
        <v>2</v>
      </c>
      <c r="J291" s="252">
        <v>1</v>
      </c>
      <c r="K291" s="252">
        <v>1</v>
      </c>
      <c r="L291" s="253">
        <v>2</v>
      </c>
      <c r="M291" s="254">
        <f t="shared" ref="M291:M321" si="9">IF( OR( ISBLANK(H291),ISBLANK(I291), ISBLANK(J291), ISBLANK(K291), ISBLANK(L291) ), "", 1.5*SQRT( EXP(2.21*(H291-1)) + EXP(2.21*(I291-1)) + EXP(2.21*(J291-1)) + EXP(2.21*(K291-1)) + EXP(2.21*L291) )/100*2.45 )</f>
        <v>0.37356464144298934</v>
      </c>
      <c r="N291" s="255"/>
    </row>
    <row r="292" spans="1:14" hidden="1" x14ac:dyDescent="0.2">
      <c r="A292" s="230" t="s">
        <v>272</v>
      </c>
      <c r="B292" s="231" t="s">
        <v>385</v>
      </c>
      <c r="C292" s="247" t="s">
        <v>18</v>
      </c>
      <c r="D292" s="258" t="s">
        <v>62</v>
      </c>
      <c r="E292" s="249">
        <v>5.4193968413978499E-2</v>
      </c>
      <c r="F292" s="250" t="s">
        <v>386</v>
      </c>
      <c r="G292" s="251" t="s">
        <v>16</v>
      </c>
      <c r="H292" s="252">
        <v>2</v>
      </c>
      <c r="I292" s="252">
        <v>2</v>
      </c>
      <c r="J292" s="252">
        <v>1</v>
      </c>
      <c r="K292" s="252">
        <v>1</v>
      </c>
      <c r="L292" s="253">
        <v>2</v>
      </c>
      <c r="M292" s="254">
        <f t="shared" si="9"/>
        <v>0.37356464144298934</v>
      </c>
      <c r="N292" s="255"/>
    </row>
    <row r="293" spans="1:14" hidden="1" x14ac:dyDescent="0.2">
      <c r="A293" s="230" t="s">
        <v>272</v>
      </c>
      <c r="B293" s="231" t="s">
        <v>385</v>
      </c>
      <c r="C293" s="247" t="s">
        <v>20</v>
      </c>
      <c r="D293" s="258" t="s">
        <v>62</v>
      </c>
      <c r="E293" s="249">
        <v>8.2577284946236562E-2</v>
      </c>
      <c r="F293" s="250" t="s">
        <v>386</v>
      </c>
      <c r="G293" s="251" t="s">
        <v>16</v>
      </c>
      <c r="H293" s="252">
        <v>2</v>
      </c>
      <c r="I293" s="252">
        <v>2</v>
      </c>
      <c r="J293" s="252">
        <v>1</v>
      </c>
      <c r="K293" s="252">
        <v>1</v>
      </c>
      <c r="L293" s="253">
        <v>2</v>
      </c>
      <c r="M293" s="254">
        <f t="shared" si="9"/>
        <v>0.37356464144298934</v>
      </c>
      <c r="N293" s="255"/>
    </row>
    <row r="294" spans="1:14" hidden="1" x14ac:dyDescent="0.2">
      <c r="A294" s="230" t="s">
        <v>272</v>
      </c>
      <c r="B294" s="231" t="s">
        <v>385</v>
      </c>
      <c r="C294" s="247" t="s">
        <v>22</v>
      </c>
      <c r="D294" s="258" t="s">
        <v>62</v>
      </c>
      <c r="E294" s="249">
        <v>4.902763776881721E-2</v>
      </c>
      <c r="F294" s="250" t="s">
        <v>386</v>
      </c>
      <c r="G294" s="251" t="s">
        <v>16</v>
      </c>
      <c r="H294" s="252">
        <v>2</v>
      </c>
      <c r="I294" s="252">
        <v>2</v>
      </c>
      <c r="J294" s="252">
        <v>1</v>
      </c>
      <c r="K294" s="252">
        <v>1</v>
      </c>
      <c r="L294" s="253">
        <v>2</v>
      </c>
      <c r="M294" s="254">
        <f t="shared" si="9"/>
        <v>0.37356464144298934</v>
      </c>
      <c r="N294" s="255"/>
    </row>
    <row r="295" spans="1:14" hidden="1" x14ac:dyDescent="0.2">
      <c r="A295" s="230" t="s">
        <v>272</v>
      </c>
      <c r="B295" s="231" t="s">
        <v>385</v>
      </c>
      <c r="C295" s="247" t="s">
        <v>23</v>
      </c>
      <c r="D295" s="258" t="s">
        <v>62</v>
      </c>
      <c r="E295" s="249">
        <v>6.0641381048387101E-2</v>
      </c>
      <c r="F295" s="250" t="s">
        <v>386</v>
      </c>
      <c r="G295" s="251" t="s">
        <v>16</v>
      </c>
      <c r="H295" s="252">
        <v>2</v>
      </c>
      <c r="I295" s="252">
        <v>2</v>
      </c>
      <c r="J295" s="252">
        <v>1</v>
      </c>
      <c r="K295" s="252">
        <v>1</v>
      </c>
      <c r="L295" s="253">
        <v>2</v>
      </c>
      <c r="M295" s="254">
        <f t="shared" si="9"/>
        <v>0.37356464144298934</v>
      </c>
      <c r="N295" s="255"/>
    </row>
    <row r="296" spans="1:14" hidden="1" x14ac:dyDescent="0.2">
      <c r="A296" s="230" t="s">
        <v>272</v>
      </c>
      <c r="B296" s="231" t="s">
        <v>385</v>
      </c>
      <c r="C296" s="247" t="s">
        <v>24</v>
      </c>
      <c r="D296" s="258" t="s">
        <v>62</v>
      </c>
      <c r="E296" s="249">
        <v>7.483828965053764E-2</v>
      </c>
      <c r="F296" s="250" t="s">
        <v>386</v>
      </c>
      <c r="G296" s="251" t="s">
        <v>16</v>
      </c>
      <c r="H296" s="252">
        <v>2</v>
      </c>
      <c r="I296" s="252">
        <v>2</v>
      </c>
      <c r="J296" s="252">
        <v>1</v>
      </c>
      <c r="K296" s="252">
        <v>1</v>
      </c>
      <c r="L296" s="253">
        <v>2</v>
      </c>
      <c r="M296" s="254">
        <f t="shared" si="9"/>
        <v>0.37356464144298934</v>
      </c>
      <c r="N296" s="255"/>
    </row>
    <row r="297" spans="1:14" hidden="1" x14ac:dyDescent="0.2">
      <c r="A297" s="230" t="s">
        <v>272</v>
      </c>
      <c r="B297" s="231" t="s">
        <v>385</v>
      </c>
      <c r="C297" s="247" t="s">
        <v>25</v>
      </c>
      <c r="D297" s="258" t="s">
        <v>62</v>
      </c>
      <c r="E297" s="249">
        <v>3.8705477150537633E-2</v>
      </c>
      <c r="F297" s="250" t="s">
        <v>386</v>
      </c>
      <c r="G297" s="251" t="s">
        <v>16</v>
      </c>
      <c r="H297" s="252">
        <v>2</v>
      </c>
      <c r="I297" s="252">
        <v>2</v>
      </c>
      <c r="J297" s="252">
        <v>1</v>
      </c>
      <c r="K297" s="252">
        <v>1</v>
      </c>
      <c r="L297" s="253">
        <v>2</v>
      </c>
      <c r="M297" s="254">
        <f t="shared" si="9"/>
        <v>0.37356464144298934</v>
      </c>
      <c r="N297" s="255"/>
    </row>
    <row r="298" spans="1:14" hidden="1" x14ac:dyDescent="0.2">
      <c r="A298" s="230" t="s">
        <v>272</v>
      </c>
      <c r="B298" s="231" t="s">
        <v>385</v>
      </c>
      <c r="C298" s="247" t="s">
        <v>26</v>
      </c>
      <c r="D298" s="258" t="s">
        <v>62</v>
      </c>
      <c r="E298" s="249">
        <v>3.7424395161290321E-2</v>
      </c>
      <c r="F298" s="250" t="s">
        <v>386</v>
      </c>
      <c r="G298" s="251" t="s">
        <v>16</v>
      </c>
      <c r="H298" s="252">
        <v>2</v>
      </c>
      <c r="I298" s="252">
        <v>2</v>
      </c>
      <c r="J298" s="252">
        <v>1</v>
      </c>
      <c r="K298" s="252">
        <v>1</v>
      </c>
      <c r="L298" s="253">
        <v>2</v>
      </c>
      <c r="M298" s="254">
        <f t="shared" si="9"/>
        <v>0.37356464144298934</v>
      </c>
      <c r="N298" s="255"/>
    </row>
    <row r="299" spans="1:14" hidden="1" x14ac:dyDescent="0.2">
      <c r="A299" s="230" t="s">
        <v>272</v>
      </c>
      <c r="B299" s="231" t="s">
        <v>385</v>
      </c>
      <c r="C299" s="247" t="s">
        <v>27</v>
      </c>
      <c r="D299" s="258" t="s">
        <v>62</v>
      </c>
      <c r="E299" s="249">
        <v>3.2258064516129031E-2</v>
      </c>
      <c r="F299" s="250" t="s">
        <v>386</v>
      </c>
      <c r="G299" s="251" t="s">
        <v>16</v>
      </c>
      <c r="H299" s="252">
        <v>2</v>
      </c>
      <c r="I299" s="252">
        <v>2</v>
      </c>
      <c r="J299" s="252">
        <v>1</v>
      </c>
      <c r="K299" s="252">
        <v>1</v>
      </c>
      <c r="L299" s="253">
        <v>2</v>
      </c>
      <c r="M299" s="254">
        <f t="shared" si="9"/>
        <v>0.37356464144298934</v>
      </c>
      <c r="N299" s="255"/>
    </row>
    <row r="300" spans="1:14" hidden="1" x14ac:dyDescent="0.2">
      <c r="A300" s="230" t="s">
        <v>272</v>
      </c>
      <c r="B300" s="231" t="s">
        <v>385</v>
      </c>
      <c r="C300" s="247" t="s">
        <v>28</v>
      </c>
      <c r="D300" s="258" t="s">
        <v>62</v>
      </c>
      <c r="E300" s="249">
        <v>3.2258064516129031E-2</v>
      </c>
      <c r="F300" s="250" t="s">
        <v>386</v>
      </c>
      <c r="G300" s="251" t="s">
        <v>16</v>
      </c>
      <c r="H300" s="252">
        <v>2</v>
      </c>
      <c r="I300" s="252">
        <v>2</v>
      </c>
      <c r="J300" s="252">
        <v>1</v>
      </c>
      <c r="K300" s="252">
        <v>1</v>
      </c>
      <c r="L300" s="253">
        <v>2</v>
      </c>
      <c r="M300" s="254">
        <f t="shared" si="9"/>
        <v>0.37356464144298934</v>
      </c>
      <c r="N300" s="255"/>
    </row>
    <row r="301" spans="1:14" hidden="1" x14ac:dyDescent="0.2">
      <c r="A301" s="230" t="s">
        <v>272</v>
      </c>
      <c r="B301" s="231" t="s">
        <v>385</v>
      </c>
      <c r="C301" s="247" t="s">
        <v>30</v>
      </c>
      <c r="D301" s="258" t="s">
        <v>62</v>
      </c>
      <c r="E301" s="249">
        <v>6.4516129032258063E-2</v>
      </c>
      <c r="F301" s="250" t="s">
        <v>386</v>
      </c>
      <c r="G301" s="251" t="s">
        <v>16</v>
      </c>
      <c r="H301" s="252">
        <v>2</v>
      </c>
      <c r="I301" s="252">
        <v>2</v>
      </c>
      <c r="J301" s="252">
        <v>1</v>
      </c>
      <c r="K301" s="252">
        <v>1</v>
      </c>
      <c r="L301" s="253">
        <v>2</v>
      </c>
      <c r="M301" s="254">
        <f t="shared" si="9"/>
        <v>0.37356464144298934</v>
      </c>
      <c r="N301" s="255"/>
    </row>
    <row r="302" spans="1:14" hidden="1" x14ac:dyDescent="0.2">
      <c r="A302" s="230" t="s">
        <v>272</v>
      </c>
      <c r="B302" s="231" t="s">
        <v>385</v>
      </c>
      <c r="C302" s="247" t="s">
        <v>32</v>
      </c>
      <c r="D302" s="258" t="s">
        <v>62</v>
      </c>
      <c r="E302" s="249">
        <v>4.1288642473118281E-2</v>
      </c>
      <c r="F302" s="250" t="s">
        <v>386</v>
      </c>
      <c r="G302" s="251" t="s">
        <v>16</v>
      </c>
      <c r="H302" s="252">
        <v>2</v>
      </c>
      <c r="I302" s="252">
        <v>2</v>
      </c>
      <c r="J302" s="252">
        <v>1</v>
      </c>
      <c r="K302" s="252">
        <v>1</v>
      </c>
      <c r="L302" s="253">
        <v>2</v>
      </c>
      <c r="M302" s="254">
        <f t="shared" si="9"/>
        <v>0.37356464144298934</v>
      </c>
      <c r="N302" s="255"/>
    </row>
    <row r="303" spans="1:14" hidden="1" x14ac:dyDescent="0.2">
      <c r="A303" s="230" t="s">
        <v>272</v>
      </c>
      <c r="B303" s="231" t="s">
        <v>385</v>
      </c>
      <c r="C303" s="247" t="s">
        <v>34</v>
      </c>
      <c r="D303" s="258" t="s">
        <v>62</v>
      </c>
      <c r="E303" s="249">
        <v>4.7746555779569891E-2</v>
      </c>
      <c r="F303" s="250" t="s">
        <v>386</v>
      </c>
      <c r="G303" s="251" t="s">
        <v>16</v>
      </c>
      <c r="H303" s="252">
        <v>2</v>
      </c>
      <c r="I303" s="252">
        <v>2</v>
      </c>
      <c r="J303" s="252">
        <v>1</v>
      </c>
      <c r="K303" s="252">
        <v>1</v>
      </c>
      <c r="L303" s="253">
        <v>2</v>
      </c>
      <c r="M303" s="254">
        <f t="shared" si="9"/>
        <v>0.37356464144298934</v>
      </c>
      <c r="N303" s="255"/>
    </row>
    <row r="304" spans="1:14" hidden="1" x14ac:dyDescent="0.2">
      <c r="A304" s="230" t="s">
        <v>272</v>
      </c>
      <c r="B304" s="231" t="s">
        <v>385</v>
      </c>
      <c r="C304" s="247" t="s">
        <v>36</v>
      </c>
      <c r="D304" s="258" t="s">
        <v>62</v>
      </c>
      <c r="E304" s="249">
        <v>5.1610803091397851E-2</v>
      </c>
      <c r="F304" s="250" t="s">
        <v>386</v>
      </c>
      <c r="G304" s="251" t="s">
        <v>16</v>
      </c>
      <c r="H304" s="252">
        <v>2</v>
      </c>
      <c r="I304" s="252">
        <v>2</v>
      </c>
      <c r="J304" s="252">
        <v>1</v>
      </c>
      <c r="K304" s="252">
        <v>1</v>
      </c>
      <c r="L304" s="253">
        <v>2</v>
      </c>
      <c r="M304" s="254">
        <f t="shared" si="9"/>
        <v>0.37356464144298934</v>
      </c>
      <c r="N304" s="255"/>
    </row>
    <row r="305" spans="1:14" hidden="1" x14ac:dyDescent="0.2">
      <c r="A305" s="230" t="s">
        <v>272</v>
      </c>
      <c r="B305" s="231" t="s">
        <v>385</v>
      </c>
      <c r="C305" s="247" t="s">
        <v>37</v>
      </c>
      <c r="D305" s="258" t="s">
        <v>62</v>
      </c>
      <c r="E305" s="249">
        <v>4.902763776881721E-2</v>
      </c>
      <c r="F305" s="250" t="s">
        <v>386</v>
      </c>
      <c r="G305" s="251" t="s">
        <v>16</v>
      </c>
      <c r="H305" s="252">
        <v>2</v>
      </c>
      <c r="I305" s="252">
        <v>2</v>
      </c>
      <c r="J305" s="252">
        <v>1</v>
      </c>
      <c r="K305" s="252">
        <v>1</v>
      </c>
      <c r="L305" s="253">
        <v>2</v>
      </c>
      <c r="M305" s="254">
        <f t="shared" si="9"/>
        <v>0.37356464144298934</v>
      </c>
      <c r="N305" s="255"/>
    </row>
    <row r="306" spans="1:14" hidden="1" x14ac:dyDescent="0.2">
      <c r="A306" s="230" t="s">
        <v>272</v>
      </c>
      <c r="B306" s="231" t="s">
        <v>385</v>
      </c>
      <c r="C306" s="247" t="s">
        <v>39</v>
      </c>
      <c r="D306" s="258" t="s">
        <v>62</v>
      </c>
      <c r="E306" s="249">
        <v>4.645497311827957E-2</v>
      </c>
      <c r="F306" s="250" t="s">
        <v>386</v>
      </c>
      <c r="G306" s="251" t="s">
        <v>16</v>
      </c>
      <c r="H306" s="252">
        <v>2</v>
      </c>
      <c r="I306" s="252">
        <v>2</v>
      </c>
      <c r="J306" s="252">
        <v>1</v>
      </c>
      <c r="K306" s="252">
        <v>1</v>
      </c>
      <c r="L306" s="253">
        <v>2</v>
      </c>
      <c r="M306" s="254">
        <f t="shared" si="9"/>
        <v>0.37356464144298934</v>
      </c>
      <c r="N306" s="255"/>
    </row>
    <row r="307" spans="1:14" hidden="1" x14ac:dyDescent="0.2">
      <c r="A307" s="230" t="s">
        <v>272</v>
      </c>
      <c r="B307" s="231" t="s">
        <v>385</v>
      </c>
      <c r="C307" s="247" t="s">
        <v>40</v>
      </c>
      <c r="D307" s="258" t="s">
        <v>62</v>
      </c>
      <c r="E307" s="249">
        <v>6.5807711693548404E-2</v>
      </c>
      <c r="F307" s="250" t="s">
        <v>386</v>
      </c>
      <c r="G307" s="251" t="s">
        <v>16</v>
      </c>
      <c r="H307" s="252">
        <v>2</v>
      </c>
      <c r="I307" s="252">
        <v>2</v>
      </c>
      <c r="J307" s="252">
        <v>1</v>
      </c>
      <c r="K307" s="252">
        <v>1</v>
      </c>
      <c r="L307" s="253">
        <v>2</v>
      </c>
      <c r="M307" s="254">
        <f t="shared" si="9"/>
        <v>0.37356464144298934</v>
      </c>
      <c r="N307" s="255"/>
    </row>
    <row r="308" spans="1:14" hidden="1" x14ac:dyDescent="0.2">
      <c r="A308" s="230" t="s">
        <v>272</v>
      </c>
      <c r="B308" s="231" t="s">
        <v>385</v>
      </c>
      <c r="C308" s="247" t="s">
        <v>41</v>
      </c>
      <c r="D308" s="258" t="s">
        <v>62</v>
      </c>
      <c r="E308" s="249">
        <v>4.7746555779569891E-2</v>
      </c>
      <c r="F308" s="250" t="s">
        <v>386</v>
      </c>
      <c r="G308" s="251" t="s">
        <v>16</v>
      </c>
      <c r="H308" s="252">
        <v>2</v>
      </c>
      <c r="I308" s="252">
        <v>2</v>
      </c>
      <c r="J308" s="252">
        <v>1</v>
      </c>
      <c r="K308" s="252">
        <v>1</v>
      </c>
      <c r="L308" s="253">
        <v>2</v>
      </c>
      <c r="M308" s="254">
        <f t="shared" si="9"/>
        <v>0.37356464144298934</v>
      </c>
      <c r="N308" s="255"/>
    </row>
    <row r="309" spans="1:14" hidden="1" x14ac:dyDescent="0.2">
      <c r="A309" s="230" t="s">
        <v>272</v>
      </c>
      <c r="B309" s="231" t="s">
        <v>385</v>
      </c>
      <c r="C309" s="247" t="s">
        <v>42</v>
      </c>
      <c r="D309" s="258" t="s">
        <v>62</v>
      </c>
      <c r="E309" s="249">
        <v>4.2580225134408609E-2</v>
      </c>
      <c r="F309" s="250" t="s">
        <v>386</v>
      </c>
      <c r="G309" s="251" t="s">
        <v>16</v>
      </c>
      <c r="H309" s="252">
        <v>2</v>
      </c>
      <c r="I309" s="252">
        <v>2</v>
      </c>
      <c r="J309" s="252">
        <v>1</v>
      </c>
      <c r="K309" s="252">
        <v>1</v>
      </c>
      <c r="L309" s="253">
        <v>2</v>
      </c>
      <c r="M309" s="254">
        <f t="shared" si="9"/>
        <v>0.37356464144298934</v>
      </c>
      <c r="N309" s="255"/>
    </row>
    <row r="310" spans="1:14" hidden="1" x14ac:dyDescent="0.2">
      <c r="A310" s="230" t="s">
        <v>272</v>
      </c>
      <c r="B310" s="231" t="s">
        <v>385</v>
      </c>
      <c r="C310" s="247" t="s">
        <v>43</v>
      </c>
      <c r="D310" s="258" t="s">
        <v>62</v>
      </c>
      <c r="E310" s="249">
        <v>6.4516129032258063E-2</v>
      </c>
      <c r="F310" s="250" t="s">
        <v>386</v>
      </c>
      <c r="G310" s="251" t="s">
        <v>16</v>
      </c>
      <c r="H310" s="252">
        <v>2</v>
      </c>
      <c r="I310" s="252">
        <v>2</v>
      </c>
      <c r="J310" s="252">
        <v>1</v>
      </c>
      <c r="K310" s="252">
        <v>1</v>
      </c>
      <c r="L310" s="253">
        <v>2</v>
      </c>
      <c r="M310" s="254">
        <f t="shared" si="9"/>
        <v>0.37356464144298934</v>
      </c>
      <c r="N310" s="255"/>
    </row>
    <row r="311" spans="1:14" hidden="1" x14ac:dyDescent="0.2">
      <c r="A311" s="230" t="s">
        <v>272</v>
      </c>
      <c r="B311" s="231" t="s">
        <v>385</v>
      </c>
      <c r="C311" s="247" t="s">
        <v>45</v>
      </c>
      <c r="D311" s="258" t="s">
        <v>62</v>
      </c>
      <c r="E311" s="249">
        <v>6.0641381048387101E-2</v>
      </c>
      <c r="F311" s="250" t="s">
        <v>386</v>
      </c>
      <c r="G311" s="251" t="s">
        <v>16</v>
      </c>
      <c r="H311" s="252">
        <v>2</v>
      </c>
      <c r="I311" s="252">
        <v>2</v>
      </c>
      <c r="J311" s="252">
        <v>1</v>
      </c>
      <c r="K311" s="252">
        <v>1</v>
      </c>
      <c r="L311" s="253">
        <v>2</v>
      </c>
      <c r="M311" s="254">
        <f t="shared" si="9"/>
        <v>0.37356464144298934</v>
      </c>
      <c r="N311" s="255"/>
    </row>
    <row r="312" spans="1:14" hidden="1" x14ac:dyDescent="0.2">
      <c r="A312" s="230" t="s">
        <v>272</v>
      </c>
      <c r="B312" s="231" t="s">
        <v>385</v>
      </c>
      <c r="C312" s="247" t="s">
        <v>46</v>
      </c>
      <c r="D312" s="258" t="s">
        <v>62</v>
      </c>
      <c r="E312" s="249">
        <v>3.7424395161290321E-2</v>
      </c>
      <c r="F312" s="250" t="s">
        <v>386</v>
      </c>
      <c r="G312" s="251" t="s">
        <v>16</v>
      </c>
      <c r="H312" s="252">
        <v>2</v>
      </c>
      <c r="I312" s="252">
        <v>2</v>
      </c>
      <c r="J312" s="252">
        <v>1</v>
      </c>
      <c r="K312" s="252">
        <v>1</v>
      </c>
      <c r="L312" s="253">
        <v>2</v>
      </c>
      <c r="M312" s="254">
        <f t="shared" si="9"/>
        <v>0.37356464144298934</v>
      </c>
      <c r="N312" s="255"/>
    </row>
    <row r="313" spans="1:14" hidden="1" x14ac:dyDescent="0.2">
      <c r="A313" s="230" t="s">
        <v>272</v>
      </c>
      <c r="B313" s="231" t="s">
        <v>385</v>
      </c>
      <c r="C313" s="247" t="s">
        <v>48</v>
      </c>
      <c r="D313" s="258" t="s">
        <v>62</v>
      </c>
      <c r="E313" s="249">
        <v>5.1610803091397851E-2</v>
      </c>
      <c r="F313" s="250" t="s">
        <v>386</v>
      </c>
      <c r="G313" s="251" t="s">
        <v>16</v>
      </c>
      <c r="H313" s="252">
        <v>2</v>
      </c>
      <c r="I313" s="252">
        <v>2</v>
      </c>
      <c r="J313" s="252">
        <v>1</v>
      </c>
      <c r="K313" s="252">
        <v>1</v>
      </c>
      <c r="L313" s="253">
        <v>2</v>
      </c>
      <c r="M313" s="254">
        <f t="shared" si="9"/>
        <v>0.37356464144298934</v>
      </c>
      <c r="N313" s="255"/>
    </row>
    <row r="314" spans="1:14" hidden="1" x14ac:dyDescent="0.2">
      <c r="A314" s="230" t="s">
        <v>272</v>
      </c>
      <c r="B314" s="231" t="s">
        <v>385</v>
      </c>
      <c r="C314" s="247" t="s">
        <v>50</v>
      </c>
      <c r="D314" s="258" t="s">
        <v>62</v>
      </c>
      <c r="E314" s="249">
        <v>5.6777133736559127E-2</v>
      </c>
      <c r="F314" s="250" t="s">
        <v>386</v>
      </c>
      <c r="G314" s="251" t="s">
        <v>16</v>
      </c>
      <c r="H314" s="252">
        <v>2</v>
      </c>
      <c r="I314" s="252">
        <v>2</v>
      </c>
      <c r="J314" s="252">
        <v>1</v>
      </c>
      <c r="K314" s="252">
        <v>1</v>
      </c>
      <c r="L314" s="253">
        <v>2</v>
      </c>
      <c r="M314" s="254">
        <f t="shared" si="9"/>
        <v>0.37356464144298934</v>
      </c>
      <c r="N314" s="255"/>
    </row>
    <row r="315" spans="1:14" hidden="1" x14ac:dyDescent="0.2">
      <c r="A315" s="230" t="s">
        <v>272</v>
      </c>
      <c r="B315" s="231" t="s">
        <v>385</v>
      </c>
      <c r="C315" s="247" t="s">
        <v>52</v>
      </c>
      <c r="D315" s="258" t="s">
        <v>62</v>
      </c>
      <c r="E315" s="249">
        <v>7.2255124327956999E-2</v>
      </c>
      <c r="F315" s="250" t="s">
        <v>386</v>
      </c>
      <c r="G315" s="251" t="s">
        <v>16</v>
      </c>
      <c r="H315" s="252">
        <v>2</v>
      </c>
      <c r="I315" s="252">
        <v>2</v>
      </c>
      <c r="J315" s="252">
        <v>1</v>
      </c>
      <c r="K315" s="252">
        <v>1</v>
      </c>
      <c r="L315" s="253">
        <v>2</v>
      </c>
      <c r="M315" s="254">
        <f t="shared" si="9"/>
        <v>0.37356464144298934</v>
      </c>
      <c r="N315" s="255"/>
    </row>
    <row r="316" spans="1:14" hidden="1" x14ac:dyDescent="0.2">
      <c r="A316" s="230" t="s">
        <v>272</v>
      </c>
      <c r="B316" s="231" t="s">
        <v>385</v>
      </c>
      <c r="C316" s="247" t="s">
        <v>54</v>
      </c>
      <c r="D316" s="258" t="s">
        <v>62</v>
      </c>
      <c r="E316" s="249">
        <v>8.9035198252688172E-2</v>
      </c>
      <c r="F316" s="250" t="s">
        <v>386</v>
      </c>
      <c r="G316" s="251" t="s">
        <v>16</v>
      </c>
      <c r="H316" s="252">
        <v>2</v>
      </c>
      <c r="I316" s="252">
        <v>2</v>
      </c>
      <c r="J316" s="252">
        <v>1</v>
      </c>
      <c r="K316" s="252">
        <v>1</v>
      </c>
      <c r="L316" s="253">
        <v>2</v>
      </c>
      <c r="M316" s="254">
        <f t="shared" si="9"/>
        <v>0.37356464144298934</v>
      </c>
      <c r="N316" s="255"/>
    </row>
    <row r="317" spans="1:14" hidden="1" x14ac:dyDescent="0.2">
      <c r="A317" s="230" t="s">
        <v>272</v>
      </c>
      <c r="B317" s="231" t="s">
        <v>385</v>
      </c>
      <c r="C317" s="247" t="s">
        <v>55</v>
      </c>
      <c r="D317" s="258" t="s">
        <v>62</v>
      </c>
      <c r="E317" s="249">
        <v>5.4193968413978499E-2</v>
      </c>
      <c r="F317" s="250" t="s">
        <v>386</v>
      </c>
      <c r="G317" s="251" t="s">
        <v>16</v>
      </c>
      <c r="H317" s="252">
        <v>2</v>
      </c>
      <c r="I317" s="252">
        <v>2</v>
      </c>
      <c r="J317" s="252">
        <v>1</v>
      </c>
      <c r="K317" s="252">
        <v>1</v>
      </c>
      <c r="L317" s="253">
        <v>2</v>
      </c>
      <c r="M317" s="254">
        <f t="shared" si="9"/>
        <v>0.37356464144298934</v>
      </c>
      <c r="N317" s="255"/>
    </row>
    <row r="318" spans="1:14" hidden="1" x14ac:dyDescent="0.2">
      <c r="A318" s="230" t="s">
        <v>272</v>
      </c>
      <c r="B318" s="231" t="s">
        <v>385</v>
      </c>
      <c r="C318" s="247" t="s">
        <v>57</v>
      </c>
      <c r="D318" s="258" t="s">
        <v>62</v>
      </c>
      <c r="E318" s="249">
        <v>6.0641381048387101E-2</v>
      </c>
      <c r="F318" s="250" t="s">
        <v>386</v>
      </c>
      <c r="G318" s="251" t="s">
        <v>16</v>
      </c>
      <c r="H318" s="252">
        <v>2</v>
      </c>
      <c r="I318" s="252">
        <v>2</v>
      </c>
      <c r="J318" s="252">
        <v>1</v>
      </c>
      <c r="K318" s="252">
        <v>1</v>
      </c>
      <c r="L318" s="253">
        <v>2</v>
      </c>
      <c r="M318" s="254">
        <f t="shared" si="9"/>
        <v>0.37356464144298934</v>
      </c>
      <c r="N318" s="255"/>
    </row>
    <row r="319" spans="1:14" hidden="1" x14ac:dyDescent="0.2">
      <c r="A319" s="230" t="s">
        <v>272</v>
      </c>
      <c r="B319" s="231" t="s">
        <v>385</v>
      </c>
      <c r="C319" s="247" t="s">
        <v>59</v>
      </c>
      <c r="D319" s="258" t="s">
        <v>62</v>
      </c>
      <c r="E319" s="249">
        <v>6.4516129032258063E-2</v>
      </c>
      <c r="F319" s="250" t="s">
        <v>360</v>
      </c>
      <c r="G319" s="251" t="s">
        <v>16</v>
      </c>
      <c r="H319" s="252">
        <v>2</v>
      </c>
      <c r="I319" s="252">
        <v>2</v>
      </c>
      <c r="J319" s="252">
        <v>1</v>
      </c>
      <c r="K319" s="252">
        <v>1</v>
      </c>
      <c r="L319" s="253">
        <v>2</v>
      </c>
      <c r="M319" s="254">
        <f t="shared" si="9"/>
        <v>0.37356464144298934</v>
      </c>
      <c r="N319" s="255"/>
    </row>
    <row r="320" spans="1:14" hidden="1" x14ac:dyDescent="0.2">
      <c r="A320" s="230" t="s">
        <v>272</v>
      </c>
      <c r="B320" s="231" t="s">
        <v>385</v>
      </c>
      <c r="C320" s="247" t="s">
        <v>60</v>
      </c>
      <c r="D320" s="258" t="s">
        <v>62</v>
      </c>
      <c r="E320" s="249">
        <v>4.902763776881721E-2</v>
      </c>
      <c r="F320" s="250" t="s">
        <v>386</v>
      </c>
      <c r="G320" s="251" t="s">
        <v>16</v>
      </c>
      <c r="H320" s="252">
        <v>2</v>
      </c>
      <c r="I320" s="252">
        <v>2</v>
      </c>
      <c r="J320" s="252">
        <v>1</v>
      </c>
      <c r="K320" s="252">
        <v>1</v>
      </c>
      <c r="L320" s="253">
        <v>2</v>
      </c>
      <c r="M320" s="254">
        <f t="shared" si="9"/>
        <v>0.37356464144298934</v>
      </c>
      <c r="N320" s="255"/>
    </row>
    <row r="321" spans="1:14" x14ac:dyDescent="0.2">
      <c r="A321" s="230" t="s">
        <v>272</v>
      </c>
      <c r="B321" s="231" t="s">
        <v>385</v>
      </c>
      <c r="C321" s="247" t="s">
        <v>13</v>
      </c>
      <c r="D321" s="259" t="s">
        <v>64</v>
      </c>
      <c r="E321" s="249">
        <v>4.3871807795698929E-2</v>
      </c>
      <c r="F321" s="250" t="s">
        <v>386</v>
      </c>
      <c r="G321" s="251" t="s">
        <v>16</v>
      </c>
      <c r="H321" s="252">
        <v>2</v>
      </c>
      <c r="I321" s="252">
        <v>2</v>
      </c>
      <c r="J321" s="252">
        <v>1</v>
      </c>
      <c r="K321" s="252">
        <v>1</v>
      </c>
      <c r="L321" s="253">
        <v>2</v>
      </c>
      <c r="M321" s="254">
        <f t="shared" si="9"/>
        <v>0.37356464144298934</v>
      </c>
      <c r="N321" s="255"/>
    </row>
    <row r="322" spans="1:14" hidden="1" x14ac:dyDescent="0.2">
      <c r="A322" s="230" t="s">
        <v>272</v>
      </c>
      <c r="B322" s="231" t="s">
        <v>385</v>
      </c>
      <c r="C322" s="247" t="s">
        <v>18</v>
      </c>
      <c r="D322" s="259" t="s">
        <v>64</v>
      </c>
      <c r="E322" s="249">
        <v>5.4193968413978499E-2</v>
      </c>
      <c r="F322" s="250" t="s">
        <v>386</v>
      </c>
      <c r="G322" s="251" t="s">
        <v>16</v>
      </c>
      <c r="H322" s="252">
        <v>2</v>
      </c>
      <c r="I322" s="252">
        <v>2</v>
      </c>
      <c r="J322" s="252">
        <v>1</v>
      </c>
      <c r="K322" s="252">
        <v>1</v>
      </c>
      <c r="L322" s="253">
        <v>2</v>
      </c>
      <c r="M322" s="254">
        <f>IF( OR( ISBLANK(H322),ISBLANK(I322), ISBLANK(J322), ISBLANK(K322), ISBLANK(L322) ), "", 1.5*SQRT(   EXP(2.21*(H322-1)) + EXP(2.21*(I322-1)) + EXP(2.21*(J322-1)) + EXP(2.21*(K322-1)) + EXP(2.21*L322)   )/100*2.45 )</f>
        <v>0.37356464144298934</v>
      </c>
      <c r="N322" s="255"/>
    </row>
    <row r="323" spans="1:14" hidden="1" x14ac:dyDescent="0.2">
      <c r="A323" s="230" t="s">
        <v>272</v>
      </c>
      <c r="B323" s="231" t="s">
        <v>385</v>
      </c>
      <c r="C323" s="247" t="s">
        <v>20</v>
      </c>
      <c r="D323" s="259" t="s">
        <v>64</v>
      </c>
      <c r="E323" s="249">
        <v>8.2577284946236562E-2</v>
      </c>
      <c r="F323" s="250" t="s">
        <v>386</v>
      </c>
      <c r="G323" s="251" t="s">
        <v>16</v>
      </c>
      <c r="H323" s="252">
        <v>2</v>
      </c>
      <c r="I323" s="252">
        <v>2</v>
      </c>
      <c r="J323" s="252">
        <v>1</v>
      </c>
      <c r="K323" s="252">
        <v>1</v>
      </c>
      <c r="L323" s="253">
        <v>2</v>
      </c>
      <c r="M323" s="254">
        <f t="shared" ref="M323:M354" si="10">IF( OR( ISBLANK(H323),ISBLANK(I323), ISBLANK(J323), ISBLANK(K323), ISBLANK(L323) ), "", 1.5*SQRT( EXP(2.21*(H323-1)) + EXP(2.21*(I323-1)) + EXP(2.21*(J323-1)) + EXP(2.21*(K323-1)) + EXP(2.21*L323) )/100*2.45 )</f>
        <v>0.37356464144298934</v>
      </c>
      <c r="N323" s="255"/>
    </row>
    <row r="324" spans="1:14" hidden="1" x14ac:dyDescent="0.2">
      <c r="A324" s="230" t="s">
        <v>272</v>
      </c>
      <c r="B324" s="231" t="s">
        <v>385</v>
      </c>
      <c r="C324" s="247" t="s">
        <v>22</v>
      </c>
      <c r="D324" s="259" t="s">
        <v>64</v>
      </c>
      <c r="E324" s="249">
        <v>4.902763776881721E-2</v>
      </c>
      <c r="F324" s="250" t="s">
        <v>386</v>
      </c>
      <c r="G324" s="251" t="s">
        <v>16</v>
      </c>
      <c r="H324" s="252">
        <v>2</v>
      </c>
      <c r="I324" s="252">
        <v>2</v>
      </c>
      <c r="J324" s="252">
        <v>1</v>
      </c>
      <c r="K324" s="252">
        <v>1</v>
      </c>
      <c r="L324" s="253">
        <v>2</v>
      </c>
      <c r="M324" s="254">
        <f t="shared" si="10"/>
        <v>0.37356464144298934</v>
      </c>
      <c r="N324" s="255"/>
    </row>
    <row r="325" spans="1:14" hidden="1" x14ac:dyDescent="0.2">
      <c r="A325" s="230" t="s">
        <v>272</v>
      </c>
      <c r="B325" s="231" t="s">
        <v>385</v>
      </c>
      <c r="C325" s="247" t="s">
        <v>23</v>
      </c>
      <c r="D325" s="259" t="s">
        <v>64</v>
      </c>
      <c r="E325" s="249">
        <v>6.0641381048387101E-2</v>
      </c>
      <c r="F325" s="250" t="s">
        <v>386</v>
      </c>
      <c r="G325" s="251" t="s">
        <v>16</v>
      </c>
      <c r="H325" s="252">
        <v>2</v>
      </c>
      <c r="I325" s="252">
        <v>2</v>
      </c>
      <c r="J325" s="252">
        <v>1</v>
      </c>
      <c r="K325" s="252">
        <v>1</v>
      </c>
      <c r="L325" s="253">
        <v>2</v>
      </c>
      <c r="M325" s="254">
        <f t="shared" si="10"/>
        <v>0.37356464144298934</v>
      </c>
      <c r="N325" s="255"/>
    </row>
    <row r="326" spans="1:14" hidden="1" x14ac:dyDescent="0.2">
      <c r="A326" s="230" t="s">
        <v>272</v>
      </c>
      <c r="B326" s="231" t="s">
        <v>385</v>
      </c>
      <c r="C326" s="247" t="s">
        <v>24</v>
      </c>
      <c r="D326" s="259" t="s">
        <v>64</v>
      </c>
      <c r="E326" s="249">
        <v>7.483828965053764E-2</v>
      </c>
      <c r="F326" s="250" t="s">
        <v>386</v>
      </c>
      <c r="G326" s="251" t="s">
        <v>16</v>
      </c>
      <c r="H326" s="252">
        <v>2</v>
      </c>
      <c r="I326" s="252">
        <v>2</v>
      </c>
      <c r="J326" s="252">
        <v>1</v>
      </c>
      <c r="K326" s="252">
        <v>1</v>
      </c>
      <c r="L326" s="253">
        <v>2</v>
      </c>
      <c r="M326" s="254">
        <f t="shared" si="10"/>
        <v>0.37356464144298934</v>
      </c>
      <c r="N326" s="255"/>
    </row>
    <row r="327" spans="1:14" hidden="1" x14ac:dyDescent="0.2">
      <c r="A327" s="230" t="s">
        <v>272</v>
      </c>
      <c r="B327" s="231" t="s">
        <v>385</v>
      </c>
      <c r="C327" s="247" t="s">
        <v>25</v>
      </c>
      <c r="D327" s="259" t="s">
        <v>64</v>
      </c>
      <c r="E327" s="249">
        <v>3.8705477150537633E-2</v>
      </c>
      <c r="F327" s="250" t="s">
        <v>386</v>
      </c>
      <c r="G327" s="251" t="s">
        <v>16</v>
      </c>
      <c r="H327" s="252">
        <v>2</v>
      </c>
      <c r="I327" s="252">
        <v>2</v>
      </c>
      <c r="J327" s="252">
        <v>1</v>
      </c>
      <c r="K327" s="252">
        <v>1</v>
      </c>
      <c r="L327" s="253">
        <v>2</v>
      </c>
      <c r="M327" s="254">
        <f t="shared" si="10"/>
        <v>0.37356464144298934</v>
      </c>
      <c r="N327" s="255"/>
    </row>
    <row r="328" spans="1:14" hidden="1" x14ac:dyDescent="0.2">
      <c r="A328" s="230" t="s">
        <v>272</v>
      </c>
      <c r="B328" s="231" t="s">
        <v>385</v>
      </c>
      <c r="C328" s="247" t="s">
        <v>26</v>
      </c>
      <c r="D328" s="259" t="s">
        <v>64</v>
      </c>
      <c r="E328" s="249">
        <v>3.7424395161290321E-2</v>
      </c>
      <c r="F328" s="250" t="s">
        <v>386</v>
      </c>
      <c r="G328" s="251" t="s">
        <v>16</v>
      </c>
      <c r="H328" s="252">
        <v>2</v>
      </c>
      <c r="I328" s="252">
        <v>2</v>
      </c>
      <c r="J328" s="252">
        <v>1</v>
      </c>
      <c r="K328" s="252">
        <v>1</v>
      </c>
      <c r="L328" s="253">
        <v>2</v>
      </c>
      <c r="M328" s="254">
        <f t="shared" si="10"/>
        <v>0.37356464144298934</v>
      </c>
      <c r="N328" s="255"/>
    </row>
    <row r="329" spans="1:14" hidden="1" x14ac:dyDescent="0.2">
      <c r="A329" s="230" t="s">
        <v>272</v>
      </c>
      <c r="B329" s="231" t="s">
        <v>385</v>
      </c>
      <c r="C329" s="247" t="s">
        <v>27</v>
      </c>
      <c r="D329" s="259" t="s">
        <v>64</v>
      </c>
      <c r="E329" s="249">
        <v>3.2258064516129031E-2</v>
      </c>
      <c r="F329" s="250" t="s">
        <v>386</v>
      </c>
      <c r="G329" s="251" t="s">
        <v>16</v>
      </c>
      <c r="H329" s="252">
        <v>2</v>
      </c>
      <c r="I329" s="252">
        <v>2</v>
      </c>
      <c r="J329" s="252">
        <v>1</v>
      </c>
      <c r="K329" s="252">
        <v>1</v>
      </c>
      <c r="L329" s="253">
        <v>2</v>
      </c>
      <c r="M329" s="254">
        <f t="shared" si="10"/>
        <v>0.37356464144298934</v>
      </c>
      <c r="N329" s="255"/>
    </row>
    <row r="330" spans="1:14" hidden="1" x14ac:dyDescent="0.2">
      <c r="A330" s="230" t="s">
        <v>272</v>
      </c>
      <c r="B330" s="231" t="s">
        <v>385</v>
      </c>
      <c r="C330" s="247" t="s">
        <v>28</v>
      </c>
      <c r="D330" s="259" t="s">
        <v>64</v>
      </c>
      <c r="E330" s="249">
        <v>3.2258064516129031E-2</v>
      </c>
      <c r="F330" s="250" t="s">
        <v>386</v>
      </c>
      <c r="G330" s="251" t="s">
        <v>16</v>
      </c>
      <c r="H330" s="252">
        <v>2</v>
      </c>
      <c r="I330" s="252">
        <v>2</v>
      </c>
      <c r="J330" s="252">
        <v>1</v>
      </c>
      <c r="K330" s="252">
        <v>1</v>
      </c>
      <c r="L330" s="253">
        <v>2</v>
      </c>
      <c r="M330" s="254">
        <f t="shared" si="10"/>
        <v>0.37356464144298934</v>
      </c>
      <c r="N330" s="255"/>
    </row>
    <row r="331" spans="1:14" hidden="1" x14ac:dyDescent="0.2">
      <c r="A331" s="230" t="s">
        <v>272</v>
      </c>
      <c r="B331" s="231" t="s">
        <v>385</v>
      </c>
      <c r="C331" s="247" t="s">
        <v>30</v>
      </c>
      <c r="D331" s="259" t="s">
        <v>64</v>
      </c>
      <c r="E331" s="249">
        <v>6.4516129032258063E-2</v>
      </c>
      <c r="F331" s="250" t="s">
        <v>386</v>
      </c>
      <c r="G331" s="251" t="s">
        <v>16</v>
      </c>
      <c r="H331" s="252">
        <v>2</v>
      </c>
      <c r="I331" s="252">
        <v>2</v>
      </c>
      <c r="J331" s="252">
        <v>1</v>
      </c>
      <c r="K331" s="252">
        <v>1</v>
      </c>
      <c r="L331" s="253">
        <v>2</v>
      </c>
      <c r="M331" s="254">
        <f t="shared" si="10"/>
        <v>0.37356464144298934</v>
      </c>
      <c r="N331" s="255"/>
    </row>
    <row r="332" spans="1:14" hidden="1" x14ac:dyDescent="0.2">
      <c r="A332" s="230" t="s">
        <v>272</v>
      </c>
      <c r="B332" s="231" t="s">
        <v>385</v>
      </c>
      <c r="C332" s="247" t="s">
        <v>32</v>
      </c>
      <c r="D332" s="259" t="s">
        <v>64</v>
      </c>
      <c r="E332" s="249">
        <v>4.1288642473118281E-2</v>
      </c>
      <c r="F332" s="250" t="s">
        <v>386</v>
      </c>
      <c r="G332" s="251" t="s">
        <v>16</v>
      </c>
      <c r="H332" s="252">
        <v>2</v>
      </c>
      <c r="I332" s="252">
        <v>2</v>
      </c>
      <c r="J332" s="252">
        <v>1</v>
      </c>
      <c r="K332" s="252">
        <v>1</v>
      </c>
      <c r="L332" s="253">
        <v>2</v>
      </c>
      <c r="M332" s="254">
        <f t="shared" si="10"/>
        <v>0.37356464144298934</v>
      </c>
      <c r="N332" s="255"/>
    </row>
    <row r="333" spans="1:14" hidden="1" x14ac:dyDescent="0.2">
      <c r="A333" s="230" t="s">
        <v>272</v>
      </c>
      <c r="B333" s="231" t="s">
        <v>385</v>
      </c>
      <c r="C333" s="247" t="s">
        <v>34</v>
      </c>
      <c r="D333" s="259" t="s">
        <v>64</v>
      </c>
      <c r="E333" s="249">
        <v>4.7746555779569891E-2</v>
      </c>
      <c r="F333" s="250" t="s">
        <v>386</v>
      </c>
      <c r="G333" s="251" t="s">
        <v>16</v>
      </c>
      <c r="H333" s="252">
        <v>2</v>
      </c>
      <c r="I333" s="252">
        <v>2</v>
      </c>
      <c r="J333" s="252">
        <v>1</v>
      </c>
      <c r="K333" s="252">
        <v>1</v>
      </c>
      <c r="L333" s="253">
        <v>2</v>
      </c>
      <c r="M333" s="254">
        <f t="shared" si="10"/>
        <v>0.37356464144298934</v>
      </c>
      <c r="N333" s="255"/>
    </row>
    <row r="334" spans="1:14" hidden="1" x14ac:dyDescent="0.2">
      <c r="A334" s="230" t="s">
        <v>272</v>
      </c>
      <c r="B334" s="231" t="s">
        <v>385</v>
      </c>
      <c r="C334" s="247" t="s">
        <v>36</v>
      </c>
      <c r="D334" s="259" t="s">
        <v>64</v>
      </c>
      <c r="E334" s="249">
        <v>5.1610803091397851E-2</v>
      </c>
      <c r="F334" s="250" t="s">
        <v>386</v>
      </c>
      <c r="G334" s="251" t="s">
        <v>16</v>
      </c>
      <c r="H334" s="252">
        <v>2</v>
      </c>
      <c r="I334" s="252">
        <v>2</v>
      </c>
      <c r="J334" s="252">
        <v>1</v>
      </c>
      <c r="K334" s="252">
        <v>1</v>
      </c>
      <c r="L334" s="253">
        <v>2</v>
      </c>
      <c r="M334" s="254">
        <f t="shared" si="10"/>
        <v>0.37356464144298934</v>
      </c>
      <c r="N334" s="255"/>
    </row>
    <row r="335" spans="1:14" hidden="1" x14ac:dyDescent="0.2">
      <c r="A335" s="230" t="s">
        <v>272</v>
      </c>
      <c r="B335" s="231" t="s">
        <v>385</v>
      </c>
      <c r="C335" s="247" t="s">
        <v>37</v>
      </c>
      <c r="D335" s="259" t="s">
        <v>64</v>
      </c>
      <c r="E335" s="249">
        <v>4.902763776881721E-2</v>
      </c>
      <c r="F335" s="250" t="s">
        <v>386</v>
      </c>
      <c r="G335" s="251" t="s">
        <v>16</v>
      </c>
      <c r="H335" s="252">
        <v>2</v>
      </c>
      <c r="I335" s="252">
        <v>2</v>
      </c>
      <c r="J335" s="252">
        <v>1</v>
      </c>
      <c r="K335" s="252">
        <v>1</v>
      </c>
      <c r="L335" s="253">
        <v>2</v>
      </c>
      <c r="M335" s="254">
        <f t="shared" si="10"/>
        <v>0.37356464144298934</v>
      </c>
      <c r="N335" s="255"/>
    </row>
    <row r="336" spans="1:14" hidden="1" x14ac:dyDescent="0.2">
      <c r="A336" s="230" t="s">
        <v>272</v>
      </c>
      <c r="B336" s="231" t="s">
        <v>385</v>
      </c>
      <c r="C336" s="247" t="s">
        <v>39</v>
      </c>
      <c r="D336" s="259" t="s">
        <v>64</v>
      </c>
      <c r="E336" s="249">
        <v>4.645497311827957E-2</v>
      </c>
      <c r="F336" s="250" t="s">
        <v>386</v>
      </c>
      <c r="G336" s="251" t="s">
        <v>16</v>
      </c>
      <c r="H336" s="252">
        <v>2</v>
      </c>
      <c r="I336" s="252">
        <v>2</v>
      </c>
      <c r="J336" s="252">
        <v>1</v>
      </c>
      <c r="K336" s="252">
        <v>1</v>
      </c>
      <c r="L336" s="253">
        <v>2</v>
      </c>
      <c r="M336" s="254">
        <f t="shared" si="10"/>
        <v>0.37356464144298934</v>
      </c>
      <c r="N336" s="255"/>
    </row>
    <row r="337" spans="1:14" hidden="1" x14ac:dyDescent="0.2">
      <c r="A337" s="230" t="s">
        <v>272</v>
      </c>
      <c r="B337" s="231" t="s">
        <v>385</v>
      </c>
      <c r="C337" s="247" t="s">
        <v>40</v>
      </c>
      <c r="D337" s="259" t="s">
        <v>64</v>
      </c>
      <c r="E337" s="249">
        <v>6.5807711693548404E-2</v>
      </c>
      <c r="F337" s="250" t="s">
        <v>386</v>
      </c>
      <c r="G337" s="251" t="s">
        <v>16</v>
      </c>
      <c r="H337" s="252">
        <v>2</v>
      </c>
      <c r="I337" s="252">
        <v>2</v>
      </c>
      <c r="J337" s="252">
        <v>1</v>
      </c>
      <c r="K337" s="252">
        <v>1</v>
      </c>
      <c r="L337" s="253">
        <v>2</v>
      </c>
      <c r="M337" s="254">
        <f t="shared" si="10"/>
        <v>0.37356464144298934</v>
      </c>
      <c r="N337" s="255"/>
    </row>
    <row r="338" spans="1:14" hidden="1" x14ac:dyDescent="0.2">
      <c r="A338" s="230" t="s">
        <v>272</v>
      </c>
      <c r="B338" s="231" t="s">
        <v>385</v>
      </c>
      <c r="C338" s="247" t="s">
        <v>41</v>
      </c>
      <c r="D338" s="259" t="s">
        <v>64</v>
      </c>
      <c r="E338" s="249">
        <v>4.7746555779569891E-2</v>
      </c>
      <c r="F338" s="250" t="s">
        <v>386</v>
      </c>
      <c r="G338" s="251" t="s">
        <v>16</v>
      </c>
      <c r="H338" s="252">
        <v>2</v>
      </c>
      <c r="I338" s="252">
        <v>2</v>
      </c>
      <c r="J338" s="252">
        <v>1</v>
      </c>
      <c r="K338" s="252">
        <v>1</v>
      </c>
      <c r="L338" s="253">
        <v>2</v>
      </c>
      <c r="M338" s="254">
        <f t="shared" si="10"/>
        <v>0.37356464144298934</v>
      </c>
      <c r="N338" s="255"/>
    </row>
    <row r="339" spans="1:14" hidden="1" x14ac:dyDescent="0.2">
      <c r="A339" s="230" t="s">
        <v>272</v>
      </c>
      <c r="B339" s="231" t="s">
        <v>385</v>
      </c>
      <c r="C339" s="247" t="s">
        <v>42</v>
      </c>
      <c r="D339" s="259" t="s">
        <v>64</v>
      </c>
      <c r="E339" s="249">
        <v>4.2580225134408609E-2</v>
      </c>
      <c r="F339" s="250" t="s">
        <v>386</v>
      </c>
      <c r="G339" s="251" t="s">
        <v>16</v>
      </c>
      <c r="H339" s="252">
        <v>2</v>
      </c>
      <c r="I339" s="252">
        <v>2</v>
      </c>
      <c r="J339" s="252">
        <v>1</v>
      </c>
      <c r="K339" s="252">
        <v>1</v>
      </c>
      <c r="L339" s="253">
        <v>2</v>
      </c>
      <c r="M339" s="254">
        <f t="shared" si="10"/>
        <v>0.37356464144298934</v>
      </c>
      <c r="N339" s="255"/>
    </row>
    <row r="340" spans="1:14" hidden="1" x14ac:dyDescent="0.2">
      <c r="A340" s="230" t="s">
        <v>272</v>
      </c>
      <c r="B340" s="231" t="s">
        <v>385</v>
      </c>
      <c r="C340" s="247" t="s">
        <v>43</v>
      </c>
      <c r="D340" s="259" t="s">
        <v>64</v>
      </c>
      <c r="E340" s="249">
        <v>6.4516129032258063E-2</v>
      </c>
      <c r="F340" s="250" t="s">
        <v>386</v>
      </c>
      <c r="G340" s="251" t="s">
        <v>16</v>
      </c>
      <c r="H340" s="252">
        <v>2</v>
      </c>
      <c r="I340" s="252">
        <v>2</v>
      </c>
      <c r="J340" s="252">
        <v>1</v>
      </c>
      <c r="K340" s="252">
        <v>1</v>
      </c>
      <c r="L340" s="253">
        <v>2</v>
      </c>
      <c r="M340" s="254">
        <f t="shared" si="10"/>
        <v>0.37356464144298934</v>
      </c>
      <c r="N340" s="255"/>
    </row>
    <row r="341" spans="1:14" hidden="1" x14ac:dyDescent="0.2">
      <c r="A341" s="230" t="s">
        <v>272</v>
      </c>
      <c r="B341" s="231" t="s">
        <v>385</v>
      </c>
      <c r="C341" s="247" t="s">
        <v>45</v>
      </c>
      <c r="D341" s="259" t="s">
        <v>64</v>
      </c>
      <c r="E341" s="249">
        <v>6.0641381048387101E-2</v>
      </c>
      <c r="F341" s="250" t="s">
        <v>386</v>
      </c>
      <c r="G341" s="251" t="s">
        <v>16</v>
      </c>
      <c r="H341" s="252">
        <v>2</v>
      </c>
      <c r="I341" s="252">
        <v>2</v>
      </c>
      <c r="J341" s="252">
        <v>1</v>
      </c>
      <c r="K341" s="252">
        <v>1</v>
      </c>
      <c r="L341" s="253">
        <v>2</v>
      </c>
      <c r="M341" s="254">
        <f t="shared" si="10"/>
        <v>0.37356464144298934</v>
      </c>
      <c r="N341" s="255"/>
    </row>
    <row r="342" spans="1:14" hidden="1" x14ac:dyDescent="0.2">
      <c r="A342" s="230" t="s">
        <v>272</v>
      </c>
      <c r="B342" s="231" t="s">
        <v>385</v>
      </c>
      <c r="C342" s="247" t="s">
        <v>46</v>
      </c>
      <c r="D342" s="259" t="s">
        <v>64</v>
      </c>
      <c r="E342" s="249">
        <v>3.7424395161290321E-2</v>
      </c>
      <c r="F342" s="250" t="s">
        <v>386</v>
      </c>
      <c r="G342" s="251" t="s">
        <v>16</v>
      </c>
      <c r="H342" s="252">
        <v>2</v>
      </c>
      <c r="I342" s="252">
        <v>2</v>
      </c>
      <c r="J342" s="252">
        <v>1</v>
      </c>
      <c r="K342" s="252">
        <v>1</v>
      </c>
      <c r="L342" s="253">
        <v>2</v>
      </c>
      <c r="M342" s="254">
        <f t="shared" si="10"/>
        <v>0.37356464144298934</v>
      </c>
      <c r="N342" s="255"/>
    </row>
    <row r="343" spans="1:14" hidden="1" x14ac:dyDescent="0.2">
      <c r="A343" s="230" t="s">
        <v>272</v>
      </c>
      <c r="B343" s="231" t="s">
        <v>385</v>
      </c>
      <c r="C343" s="247" t="s">
        <v>48</v>
      </c>
      <c r="D343" s="259" t="s">
        <v>64</v>
      </c>
      <c r="E343" s="249">
        <v>5.1610803091397851E-2</v>
      </c>
      <c r="F343" s="250" t="s">
        <v>386</v>
      </c>
      <c r="G343" s="251" t="s">
        <v>16</v>
      </c>
      <c r="H343" s="252">
        <v>2</v>
      </c>
      <c r="I343" s="252">
        <v>2</v>
      </c>
      <c r="J343" s="252">
        <v>1</v>
      </c>
      <c r="K343" s="252">
        <v>1</v>
      </c>
      <c r="L343" s="253">
        <v>2</v>
      </c>
      <c r="M343" s="254">
        <f t="shared" si="10"/>
        <v>0.37356464144298934</v>
      </c>
      <c r="N343" s="255"/>
    </row>
    <row r="344" spans="1:14" hidden="1" x14ac:dyDescent="0.2">
      <c r="A344" s="230" t="s">
        <v>272</v>
      </c>
      <c r="B344" s="231" t="s">
        <v>385</v>
      </c>
      <c r="C344" s="247" t="s">
        <v>50</v>
      </c>
      <c r="D344" s="259" t="s">
        <v>64</v>
      </c>
      <c r="E344" s="249">
        <v>5.6777133736559127E-2</v>
      </c>
      <c r="F344" s="250" t="s">
        <v>386</v>
      </c>
      <c r="G344" s="251" t="s">
        <v>16</v>
      </c>
      <c r="H344" s="252">
        <v>2</v>
      </c>
      <c r="I344" s="252">
        <v>2</v>
      </c>
      <c r="J344" s="252">
        <v>1</v>
      </c>
      <c r="K344" s="252">
        <v>1</v>
      </c>
      <c r="L344" s="253">
        <v>2</v>
      </c>
      <c r="M344" s="254">
        <f t="shared" si="10"/>
        <v>0.37356464144298934</v>
      </c>
      <c r="N344" s="255"/>
    </row>
    <row r="345" spans="1:14" hidden="1" x14ac:dyDescent="0.2">
      <c r="A345" s="230" t="s">
        <v>272</v>
      </c>
      <c r="B345" s="231" t="s">
        <v>385</v>
      </c>
      <c r="C345" s="247" t="s">
        <v>52</v>
      </c>
      <c r="D345" s="259" t="s">
        <v>64</v>
      </c>
      <c r="E345" s="249">
        <v>7.2255124327956999E-2</v>
      </c>
      <c r="F345" s="250" t="s">
        <v>386</v>
      </c>
      <c r="G345" s="251" t="s">
        <v>16</v>
      </c>
      <c r="H345" s="252">
        <v>2</v>
      </c>
      <c r="I345" s="252">
        <v>2</v>
      </c>
      <c r="J345" s="252">
        <v>1</v>
      </c>
      <c r="K345" s="252">
        <v>1</v>
      </c>
      <c r="L345" s="253">
        <v>2</v>
      </c>
      <c r="M345" s="254">
        <f t="shared" si="10"/>
        <v>0.37356464144298934</v>
      </c>
      <c r="N345" s="255"/>
    </row>
    <row r="346" spans="1:14" hidden="1" x14ac:dyDescent="0.2">
      <c r="A346" s="230" t="s">
        <v>272</v>
      </c>
      <c r="B346" s="231" t="s">
        <v>385</v>
      </c>
      <c r="C346" s="247" t="s">
        <v>54</v>
      </c>
      <c r="D346" s="259" t="s">
        <v>64</v>
      </c>
      <c r="E346" s="249">
        <v>8.9035198252688172E-2</v>
      </c>
      <c r="F346" s="250" t="s">
        <v>386</v>
      </c>
      <c r="G346" s="251" t="s">
        <v>16</v>
      </c>
      <c r="H346" s="252">
        <v>2</v>
      </c>
      <c r="I346" s="252">
        <v>2</v>
      </c>
      <c r="J346" s="252">
        <v>1</v>
      </c>
      <c r="K346" s="252">
        <v>1</v>
      </c>
      <c r="L346" s="253">
        <v>2</v>
      </c>
      <c r="M346" s="254">
        <f t="shared" si="10"/>
        <v>0.37356464144298934</v>
      </c>
      <c r="N346" s="255"/>
    </row>
    <row r="347" spans="1:14" hidden="1" x14ac:dyDescent="0.2">
      <c r="A347" s="230" t="s">
        <v>272</v>
      </c>
      <c r="B347" s="231" t="s">
        <v>385</v>
      </c>
      <c r="C347" s="247" t="s">
        <v>55</v>
      </c>
      <c r="D347" s="259" t="s">
        <v>64</v>
      </c>
      <c r="E347" s="249">
        <v>5.4193968413978499E-2</v>
      </c>
      <c r="F347" s="250" t="s">
        <v>386</v>
      </c>
      <c r="G347" s="251" t="s">
        <v>16</v>
      </c>
      <c r="H347" s="252">
        <v>2</v>
      </c>
      <c r="I347" s="252">
        <v>2</v>
      </c>
      <c r="J347" s="252">
        <v>1</v>
      </c>
      <c r="K347" s="252">
        <v>1</v>
      </c>
      <c r="L347" s="253">
        <v>2</v>
      </c>
      <c r="M347" s="254">
        <f t="shared" si="10"/>
        <v>0.37356464144298934</v>
      </c>
      <c r="N347" s="255"/>
    </row>
    <row r="348" spans="1:14" hidden="1" x14ac:dyDescent="0.2">
      <c r="A348" s="230" t="s">
        <v>272</v>
      </c>
      <c r="B348" s="231" t="s">
        <v>385</v>
      </c>
      <c r="C348" s="247" t="s">
        <v>57</v>
      </c>
      <c r="D348" s="259" t="s">
        <v>64</v>
      </c>
      <c r="E348" s="249">
        <v>6.0641381048387101E-2</v>
      </c>
      <c r="F348" s="250" t="s">
        <v>386</v>
      </c>
      <c r="G348" s="251" t="s">
        <v>16</v>
      </c>
      <c r="H348" s="252">
        <v>2</v>
      </c>
      <c r="I348" s="252">
        <v>2</v>
      </c>
      <c r="J348" s="252">
        <v>1</v>
      </c>
      <c r="K348" s="252">
        <v>1</v>
      </c>
      <c r="L348" s="253">
        <v>2</v>
      </c>
      <c r="M348" s="254">
        <f t="shared" si="10"/>
        <v>0.37356464144298934</v>
      </c>
      <c r="N348" s="255"/>
    </row>
    <row r="349" spans="1:14" hidden="1" x14ac:dyDescent="0.2">
      <c r="A349" s="230" t="s">
        <v>272</v>
      </c>
      <c r="B349" s="231" t="s">
        <v>385</v>
      </c>
      <c r="C349" s="247" t="s">
        <v>59</v>
      </c>
      <c r="D349" s="259" t="s">
        <v>64</v>
      </c>
      <c r="E349" s="249">
        <v>6.4516129032258063E-2</v>
      </c>
      <c r="F349" s="250" t="s">
        <v>360</v>
      </c>
      <c r="G349" s="251" t="s">
        <v>16</v>
      </c>
      <c r="H349" s="252">
        <v>2</v>
      </c>
      <c r="I349" s="252">
        <v>2</v>
      </c>
      <c r="J349" s="252">
        <v>1</v>
      </c>
      <c r="K349" s="252">
        <v>1</v>
      </c>
      <c r="L349" s="253">
        <v>2</v>
      </c>
      <c r="M349" s="254">
        <f t="shared" si="10"/>
        <v>0.37356464144298934</v>
      </c>
      <c r="N349" s="255"/>
    </row>
    <row r="350" spans="1:14" hidden="1" x14ac:dyDescent="0.2">
      <c r="A350" s="230" t="s">
        <v>272</v>
      </c>
      <c r="B350" s="231" t="s">
        <v>385</v>
      </c>
      <c r="C350" s="247" t="s">
        <v>60</v>
      </c>
      <c r="D350" s="259" t="s">
        <v>64</v>
      </c>
      <c r="E350" s="249">
        <v>4.902763776881721E-2</v>
      </c>
      <c r="F350" s="250" t="s">
        <v>386</v>
      </c>
      <c r="G350" s="251" t="s">
        <v>16</v>
      </c>
      <c r="H350" s="252">
        <v>2</v>
      </c>
      <c r="I350" s="252">
        <v>2</v>
      </c>
      <c r="J350" s="252">
        <v>1</v>
      </c>
      <c r="K350" s="252">
        <v>1</v>
      </c>
      <c r="L350" s="253">
        <v>2</v>
      </c>
      <c r="M350" s="254">
        <f t="shared" si="10"/>
        <v>0.37356464144298934</v>
      </c>
      <c r="N350" s="255"/>
    </row>
    <row r="351" spans="1:14" x14ac:dyDescent="0.2">
      <c r="A351" s="230" t="s">
        <v>272</v>
      </c>
      <c r="B351" s="231" t="s">
        <v>385</v>
      </c>
      <c r="C351" s="247" t="s">
        <v>13</v>
      </c>
      <c r="D351" s="260" t="s">
        <v>66</v>
      </c>
      <c r="E351" s="249">
        <v>4.3871807795698929E-2</v>
      </c>
      <c r="F351" s="250" t="s">
        <v>386</v>
      </c>
      <c r="G351" s="251" t="s">
        <v>16</v>
      </c>
      <c r="H351" s="252">
        <v>2</v>
      </c>
      <c r="I351" s="252">
        <v>2</v>
      </c>
      <c r="J351" s="252">
        <v>1</v>
      </c>
      <c r="K351" s="252">
        <v>1</v>
      </c>
      <c r="L351" s="253">
        <v>2</v>
      </c>
      <c r="M351" s="254">
        <f t="shared" si="10"/>
        <v>0.37356464144298934</v>
      </c>
      <c r="N351" s="255"/>
    </row>
    <row r="352" spans="1:14" hidden="1" x14ac:dyDescent="0.2">
      <c r="A352" s="230" t="s">
        <v>272</v>
      </c>
      <c r="B352" s="231" t="s">
        <v>385</v>
      </c>
      <c r="C352" s="247" t="s">
        <v>18</v>
      </c>
      <c r="D352" s="260" t="s">
        <v>66</v>
      </c>
      <c r="E352" s="249">
        <v>5.4193968413978499E-2</v>
      </c>
      <c r="F352" s="250" t="s">
        <v>386</v>
      </c>
      <c r="G352" s="251" t="s">
        <v>16</v>
      </c>
      <c r="H352" s="252">
        <v>2</v>
      </c>
      <c r="I352" s="252">
        <v>2</v>
      </c>
      <c r="J352" s="252">
        <v>1</v>
      </c>
      <c r="K352" s="252">
        <v>1</v>
      </c>
      <c r="L352" s="253">
        <v>2</v>
      </c>
      <c r="M352" s="254">
        <f t="shared" si="10"/>
        <v>0.37356464144298934</v>
      </c>
      <c r="N352" s="255"/>
    </row>
    <row r="353" spans="1:14" hidden="1" x14ac:dyDescent="0.2">
      <c r="A353" s="230" t="s">
        <v>272</v>
      </c>
      <c r="B353" s="231" t="s">
        <v>385</v>
      </c>
      <c r="C353" s="247" t="s">
        <v>20</v>
      </c>
      <c r="D353" s="260" t="s">
        <v>66</v>
      </c>
      <c r="E353" s="249">
        <v>8.2577284946236562E-2</v>
      </c>
      <c r="F353" s="250" t="s">
        <v>386</v>
      </c>
      <c r="G353" s="251" t="s">
        <v>16</v>
      </c>
      <c r="H353" s="252">
        <v>2</v>
      </c>
      <c r="I353" s="252">
        <v>2</v>
      </c>
      <c r="J353" s="252">
        <v>1</v>
      </c>
      <c r="K353" s="252">
        <v>1</v>
      </c>
      <c r="L353" s="253">
        <v>2</v>
      </c>
      <c r="M353" s="254">
        <f t="shared" si="10"/>
        <v>0.37356464144298934</v>
      </c>
      <c r="N353" s="255"/>
    </row>
    <row r="354" spans="1:14" hidden="1" x14ac:dyDescent="0.2">
      <c r="A354" s="230" t="s">
        <v>272</v>
      </c>
      <c r="B354" s="231" t="s">
        <v>385</v>
      </c>
      <c r="C354" s="247" t="s">
        <v>22</v>
      </c>
      <c r="D354" s="260" t="s">
        <v>66</v>
      </c>
      <c r="E354" s="249">
        <v>4.902763776881721E-2</v>
      </c>
      <c r="F354" s="250" t="s">
        <v>386</v>
      </c>
      <c r="G354" s="251" t="s">
        <v>16</v>
      </c>
      <c r="H354" s="252">
        <v>2</v>
      </c>
      <c r="I354" s="252">
        <v>2</v>
      </c>
      <c r="J354" s="252">
        <v>1</v>
      </c>
      <c r="K354" s="252">
        <v>1</v>
      </c>
      <c r="L354" s="253">
        <v>2</v>
      </c>
      <c r="M354" s="254">
        <f t="shared" si="10"/>
        <v>0.37356464144298934</v>
      </c>
      <c r="N354" s="255"/>
    </row>
    <row r="355" spans="1:14" hidden="1" x14ac:dyDescent="0.2">
      <c r="A355" s="230" t="s">
        <v>272</v>
      </c>
      <c r="B355" s="231" t="s">
        <v>385</v>
      </c>
      <c r="C355" s="247" t="s">
        <v>23</v>
      </c>
      <c r="D355" s="260" t="s">
        <v>66</v>
      </c>
      <c r="E355" s="249">
        <v>6.0641381048387101E-2</v>
      </c>
      <c r="F355" s="250" t="s">
        <v>386</v>
      </c>
      <c r="G355" s="251" t="s">
        <v>16</v>
      </c>
      <c r="H355" s="252">
        <v>2</v>
      </c>
      <c r="I355" s="252">
        <v>2</v>
      </c>
      <c r="J355" s="252">
        <v>1</v>
      </c>
      <c r="K355" s="252">
        <v>1</v>
      </c>
      <c r="L355" s="253">
        <v>2</v>
      </c>
      <c r="M355" s="254">
        <f t="shared" ref="M355:M385" si="11">IF( OR( ISBLANK(H355),ISBLANK(I355), ISBLANK(J355), ISBLANK(K355), ISBLANK(L355) ), "", 1.5*SQRT( EXP(2.21*(H355-1)) + EXP(2.21*(I355-1)) + EXP(2.21*(J355-1)) + EXP(2.21*(K355-1)) + EXP(2.21*L355) )/100*2.45 )</f>
        <v>0.37356464144298934</v>
      </c>
      <c r="N355" s="255"/>
    </row>
    <row r="356" spans="1:14" hidden="1" x14ac:dyDescent="0.2">
      <c r="A356" s="230" t="s">
        <v>272</v>
      </c>
      <c r="B356" s="231" t="s">
        <v>385</v>
      </c>
      <c r="C356" s="247" t="s">
        <v>24</v>
      </c>
      <c r="D356" s="260" t="s">
        <v>66</v>
      </c>
      <c r="E356" s="249">
        <v>7.483828965053764E-2</v>
      </c>
      <c r="F356" s="250" t="s">
        <v>386</v>
      </c>
      <c r="G356" s="251" t="s">
        <v>16</v>
      </c>
      <c r="H356" s="252">
        <v>2</v>
      </c>
      <c r="I356" s="252">
        <v>2</v>
      </c>
      <c r="J356" s="252">
        <v>1</v>
      </c>
      <c r="K356" s="252">
        <v>1</v>
      </c>
      <c r="L356" s="253">
        <v>2</v>
      </c>
      <c r="M356" s="254">
        <f t="shared" si="11"/>
        <v>0.37356464144298934</v>
      </c>
      <c r="N356" s="255"/>
    </row>
    <row r="357" spans="1:14" hidden="1" x14ac:dyDescent="0.2">
      <c r="A357" s="230" t="s">
        <v>272</v>
      </c>
      <c r="B357" s="231" t="s">
        <v>385</v>
      </c>
      <c r="C357" s="247" t="s">
        <v>25</v>
      </c>
      <c r="D357" s="260" t="s">
        <v>66</v>
      </c>
      <c r="E357" s="249">
        <v>3.8705477150537633E-2</v>
      </c>
      <c r="F357" s="250" t="s">
        <v>386</v>
      </c>
      <c r="G357" s="251" t="s">
        <v>16</v>
      </c>
      <c r="H357" s="252">
        <v>2</v>
      </c>
      <c r="I357" s="252">
        <v>2</v>
      </c>
      <c r="J357" s="252">
        <v>1</v>
      </c>
      <c r="K357" s="252">
        <v>1</v>
      </c>
      <c r="L357" s="253">
        <v>2</v>
      </c>
      <c r="M357" s="254">
        <f t="shared" si="11"/>
        <v>0.37356464144298934</v>
      </c>
      <c r="N357" s="255"/>
    </row>
    <row r="358" spans="1:14" hidden="1" x14ac:dyDescent="0.2">
      <c r="A358" s="230" t="s">
        <v>272</v>
      </c>
      <c r="B358" s="231" t="s">
        <v>385</v>
      </c>
      <c r="C358" s="247" t="s">
        <v>26</v>
      </c>
      <c r="D358" s="260" t="s">
        <v>66</v>
      </c>
      <c r="E358" s="249">
        <v>3.7424395161290321E-2</v>
      </c>
      <c r="F358" s="250" t="s">
        <v>386</v>
      </c>
      <c r="G358" s="251" t="s">
        <v>16</v>
      </c>
      <c r="H358" s="252">
        <v>2</v>
      </c>
      <c r="I358" s="252">
        <v>2</v>
      </c>
      <c r="J358" s="252">
        <v>1</v>
      </c>
      <c r="K358" s="252">
        <v>1</v>
      </c>
      <c r="L358" s="253">
        <v>2</v>
      </c>
      <c r="M358" s="254">
        <f t="shared" si="11"/>
        <v>0.37356464144298934</v>
      </c>
      <c r="N358" s="255"/>
    </row>
    <row r="359" spans="1:14" hidden="1" x14ac:dyDescent="0.2">
      <c r="A359" s="230" t="s">
        <v>272</v>
      </c>
      <c r="B359" s="231" t="s">
        <v>385</v>
      </c>
      <c r="C359" s="247" t="s">
        <v>27</v>
      </c>
      <c r="D359" s="260" t="s">
        <v>66</v>
      </c>
      <c r="E359" s="249">
        <v>3.2258064516129031E-2</v>
      </c>
      <c r="F359" s="250" t="s">
        <v>386</v>
      </c>
      <c r="G359" s="251" t="s">
        <v>16</v>
      </c>
      <c r="H359" s="252">
        <v>2</v>
      </c>
      <c r="I359" s="252">
        <v>2</v>
      </c>
      <c r="J359" s="252">
        <v>1</v>
      </c>
      <c r="K359" s="252">
        <v>1</v>
      </c>
      <c r="L359" s="253">
        <v>2</v>
      </c>
      <c r="M359" s="254">
        <f t="shared" si="11"/>
        <v>0.37356464144298934</v>
      </c>
      <c r="N359" s="255"/>
    </row>
    <row r="360" spans="1:14" hidden="1" x14ac:dyDescent="0.2">
      <c r="A360" s="230" t="s">
        <v>272</v>
      </c>
      <c r="B360" s="231" t="s">
        <v>385</v>
      </c>
      <c r="C360" s="247" t="s">
        <v>28</v>
      </c>
      <c r="D360" s="260" t="s">
        <v>66</v>
      </c>
      <c r="E360" s="249">
        <v>3.2258064516129031E-2</v>
      </c>
      <c r="F360" s="250" t="s">
        <v>386</v>
      </c>
      <c r="G360" s="251" t="s">
        <v>16</v>
      </c>
      <c r="H360" s="252">
        <v>2</v>
      </c>
      <c r="I360" s="252">
        <v>2</v>
      </c>
      <c r="J360" s="252">
        <v>1</v>
      </c>
      <c r="K360" s="252">
        <v>1</v>
      </c>
      <c r="L360" s="253">
        <v>2</v>
      </c>
      <c r="M360" s="254">
        <f t="shared" si="11"/>
        <v>0.37356464144298934</v>
      </c>
      <c r="N360" s="255"/>
    </row>
    <row r="361" spans="1:14" hidden="1" x14ac:dyDescent="0.2">
      <c r="A361" s="230" t="s">
        <v>272</v>
      </c>
      <c r="B361" s="231" t="s">
        <v>385</v>
      </c>
      <c r="C361" s="247" t="s">
        <v>30</v>
      </c>
      <c r="D361" s="260" t="s">
        <v>66</v>
      </c>
      <c r="E361" s="249">
        <v>6.4516129032258063E-2</v>
      </c>
      <c r="F361" s="250" t="s">
        <v>386</v>
      </c>
      <c r="G361" s="251" t="s">
        <v>16</v>
      </c>
      <c r="H361" s="252">
        <v>2</v>
      </c>
      <c r="I361" s="252">
        <v>2</v>
      </c>
      <c r="J361" s="252">
        <v>1</v>
      </c>
      <c r="K361" s="252">
        <v>1</v>
      </c>
      <c r="L361" s="253">
        <v>2</v>
      </c>
      <c r="M361" s="254">
        <f t="shared" si="11"/>
        <v>0.37356464144298934</v>
      </c>
      <c r="N361" s="255"/>
    </row>
    <row r="362" spans="1:14" hidden="1" x14ac:dyDescent="0.2">
      <c r="A362" s="230" t="s">
        <v>272</v>
      </c>
      <c r="B362" s="231" t="s">
        <v>385</v>
      </c>
      <c r="C362" s="247" t="s">
        <v>32</v>
      </c>
      <c r="D362" s="260" t="s">
        <v>66</v>
      </c>
      <c r="E362" s="249">
        <v>4.1288642473118281E-2</v>
      </c>
      <c r="F362" s="250" t="s">
        <v>386</v>
      </c>
      <c r="G362" s="251" t="s">
        <v>16</v>
      </c>
      <c r="H362" s="252">
        <v>2</v>
      </c>
      <c r="I362" s="252">
        <v>2</v>
      </c>
      <c r="J362" s="252">
        <v>1</v>
      </c>
      <c r="K362" s="252">
        <v>1</v>
      </c>
      <c r="L362" s="253">
        <v>2</v>
      </c>
      <c r="M362" s="254">
        <f t="shared" si="11"/>
        <v>0.37356464144298934</v>
      </c>
      <c r="N362" s="255"/>
    </row>
    <row r="363" spans="1:14" hidden="1" x14ac:dyDescent="0.2">
      <c r="A363" s="230" t="s">
        <v>272</v>
      </c>
      <c r="B363" s="231" t="s">
        <v>385</v>
      </c>
      <c r="C363" s="247" t="s">
        <v>34</v>
      </c>
      <c r="D363" s="260" t="s">
        <v>66</v>
      </c>
      <c r="E363" s="249">
        <v>4.7746555779569891E-2</v>
      </c>
      <c r="F363" s="250" t="s">
        <v>386</v>
      </c>
      <c r="G363" s="251" t="s">
        <v>16</v>
      </c>
      <c r="H363" s="252">
        <v>2</v>
      </c>
      <c r="I363" s="252">
        <v>2</v>
      </c>
      <c r="J363" s="252">
        <v>1</v>
      </c>
      <c r="K363" s="252">
        <v>1</v>
      </c>
      <c r="L363" s="253">
        <v>2</v>
      </c>
      <c r="M363" s="254">
        <f t="shared" si="11"/>
        <v>0.37356464144298934</v>
      </c>
      <c r="N363" s="255"/>
    </row>
    <row r="364" spans="1:14" hidden="1" x14ac:dyDescent="0.2">
      <c r="A364" s="230" t="s">
        <v>272</v>
      </c>
      <c r="B364" s="231" t="s">
        <v>385</v>
      </c>
      <c r="C364" s="247" t="s">
        <v>36</v>
      </c>
      <c r="D364" s="260" t="s">
        <v>66</v>
      </c>
      <c r="E364" s="249">
        <v>5.1610803091397851E-2</v>
      </c>
      <c r="F364" s="250" t="s">
        <v>386</v>
      </c>
      <c r="G364" s="251" t="s">
        <v>16</v>
      </c>
      <c r="H364" s="252">
        <v>2</v>
      </c>
      <c r="I364" s="252">
        <v>2</v>
      </c>
      <c r="J364" s="252">
        <v>1</v>
      </c>
      <c r="K364" s="252">
        <v>1</v>
      </c>
      <c r="L364" s="253">
        <v>2</v>
      </c>
      <c r="M364" s="254">
        <f t="shared" si="11"/>
        <v>0.37356464144298934</v>
      </c>
      <c r="N364" s="255"/>
    </row>
    <row r="365" spans="1:14" hidden="1" x14ac:dyDescent="0.2">
      <c r="A365" s="230" t="s">
        <v>272</v>
      </c>
      <c r="B365" s="231" t="s">
        <v>385</v>
      </c>
      <c r="C365" s="247" t="s">
        <v>37</v>
      </c>
      <c r="D365" s="260" t="s">
        <v>66</v>
      </c>
      <c r="E365" s="249">
        <v>4.902763776881721E-2</v>
      </c>
      <c r="F365" s="250" t="s">
        <v>386</v>
      </c>
      <c r="G365" s="251" t="s">
        <v>16</v>
      </c>
      <c r="H365" s="252">
        <v>2</v>
      </c>
      <c r="I365" s="252">
        <v>2</v>
      </c>
      <c r="J365" s="252">
        <v>1</v>
      </c>
      <c r="K365" s="252">
        <v>1</v>
      </c>
      <c r="L365" s="253">
        <v>2</v>
      </c>
      <c r="M365" s="254">
        <f t="shared" si="11"/>
        <v>0.37356464144298934</v>
      </c>
      <c r="N365" s="255"/>
    </row>
    <row r="366" spans="1:14" hidden="1" x14ac:dyDescent="0.2">
      <c r="A366" s="230" t="s">
        <v>272</v>
      </c>
      <c r="B366" s="231" t="s">
        <v>385</v>
      </c>
      <c r="C366" s="247" t="s">
        <v>39</v>
      </c>
      <c r="D366" s="260" t="s">
        <v>66</v>
      </c>
      <c r="E366" s="249">
        <v>4.645497311827957E-2</v>
      </c>
      <c r="F366" s="250" t="s">
        <v>386</v>
      </c>
      <c r="G366" s="251" t="s">
        <v>16</v>
      </c>
      <c r="H366" s="252">
        <v>2</v>
      </c>
      <c r="I366" s="252">
        <v>2</v>
      </c>
      <c r="J366" s="252">
        <v>1</v>
      </c>
      <c r="K366" s="252">
        <v>1</v>
      </c>
      <c r="L366" s="253">
        <v>2</v>
      </c>
      <c r="M366" s="254">
        <f t="shared" si="11"/>
        <v>0.37356464144298934</v>
      </c>
      <c r="N366" s="255"/>
    </row>
    <row r="367" spans="1:14" hidden="1" x14ac:dyDescent="0.2">
      <c r="A367" s="230" t="s">
        <v>272</v>
      </c>
      <c r="B367" s="231" t="s">
        <v>385</v>
      </c>
      <c r="C367" s="247" t="s">
        <v>40</v>
      </c>
      <c r="D367" s="260" t="s">
        <v>66</v>
      </c>
      <c r="E367" s="249">
        <v>6.5807711693548404E-2</v>
      </c>
      <c r="F367" s="250" t="s">
        <v>386</v>
      </c>
      <c r="G367" s="251" t="s">
        <v>16</v>
      </c>
      <c r="H367" s="252">
        <v>2</v>
      </c>
      <c r="I367" s="252">
        <v>2</v>
      </c>
      <c r="J367" s="252">
        <v>1</v>
      </c>
      <c r="K367" s="252">
        <v>1</v>
      </c>
      <c r="L367" s="253">
        <v>2</v>
      </c>
      <c r="M367" s="254">
        <f t="shared" si="11"/>
        <v>0.37356464144298934</v>
      </c>
      <c r="N367" s="255"/>
    </row>
    <row r="368" spans="1:14" hidden="1" x14ac:dyDescent="0.2">
      <c r="A368" s="230" t="s">
        <v>272</v>
      </c>
      <c r="B368" s="231" t="s">
        <v>385</v>
      </c>
      <c r="C368" s="247" t="s">
        <v>41</v>
      </c>
      <c r="D368" s="260" t="s">
        <v>66</v>
      </c>
      <c r="E368" s="249">
        <v>4.7746555779569891E-2</v>
      </c>
      <c r="F368" s="250" t="s">
        <v>386</v>
      </c>
      <c r="G368" s="251" t="s">
        <v>16</v>
      </c>
      <c r="H368" s="252">
        <v>2</v>
      </c>
      <c r="I368" s="252">
        <v>2</v>
      </c>
      <c r="J368" s="252">
        <v>1</v>
      </c>
      <c r="K368" s="252">
        <v>1</v>
      </c>
      <c r="L368" s="253">
        <v>2</v>
      </c>
      <c r="M368" s="254">
        <f t="shared" si="11"/>
        <v>0.37356464144298934</v>
      </c>
      <c r="N368" s="255"/>
    </row>
    <row r="369" spans="1:14" hidden="1" x14ac:dyDescent="0.2">
      <c r="A369" s="230" t="s">
        <v>272</v>
      </c>
      <c r="B369" s="231" t="s">
        <v>385</v>
      </c>
      <c r="C369" s="247" t="s">
        <v>42</v>
      </c>
      <c r="D369" s="260" t="s">
        <v>66</v>
      </c>
      <c r="E369" s="249">
        <v>4.2580225134408609E-2</v>
      </c>
      <c r="F369" s="250" t="s">
        <v>386</v>
      </c>
      <c r="G369" s="251" t="s">
        <v>16</v>
      </c>
      <c r="H369" s="252">
        <v>2</v>
      </c>
      <c r="I369" s="252">
        <v>2</v>
      </c>
      <c r="J369" s="252">
        <v>1</v>
      </c>
      <c r="K369" s="252">
        <v>1</v>
      </c>
      <c r="L369" s="253">
        <v>2</v>
      </c>
      <c r="M369" s="254">
        <f t="shared" si="11"/>
        <v>0.37356464144298934</v>
      </c>
      <c r="N369" s="255"/>
    </row>
    <row r="370" spans="1:14" hidden="1" x14ac:dyDescent="0.2">
      <c r="A370" s="230" t="s">
        <v>272</v>
      </c>
      <c r="B370" s="231" t="s">
        <v>385</v>
      </c>
      <c r="C370" s="247" t="s">
        <v>43</v>
      </c>
      <c r="D370" s="260" t="s">
        <v>66</v>
      </c>
      <c r="E370" s="249">
        <v>6.4516129032258063E-2</v>
      </c>
      <c r="F370" s="250" t="s">
        <v>386</v>
      </c>
      <c r="G370" s="251" t="s">
        <v>16</v>
      </c>
      <c r="H370" s="252">
        <v>2</v>
      </c>
      <c r="I370" s="252">
        <v>2</v>
      </c>
      <c r="J370" s="252">
        <v>1</v>
      </c>
      <c r="K370" s="252">
        <v>1</v>
      </c>
      <c r="L370" s="253">
        <v>2</v>
      </c>
      <c r="M370" s="254">
        <f t="shared" si="11"/>
        <v>0.37356464144298934</v>
      </c>
      <c r="N370" s="255"/>
    </row>
    <row r="371" spans="1:14" hidden="1" x14ac:dyDescent="0.2">
      <c r="A371" s="230" t="s">
        <v>272</v>
      </c>
      <c r="B371" s="231" t="s">
        <v>385</v>
      </c>
      <c r="C371" s="247" t="s">
        <v>45</v>
      </c>
      <c r="D371" s="260" t="s">
        <v>66</v>
      </c>
      <c r="E371" s="249">
        <v>6.0641381048387101E-2</v>
      </c>
      <c r="F371" s="250" t="s">
        <v>386</v>
      </c>
      <c r="G371" s="251" t="s">
        <v>16</v>
      </c>
      <c r="H371" s="252">
        <v>2</v>
      </c>
      <c r="I371" s="252">
        <v>2</v>
      </c>
      <c r="J371" s="252">
        <v>1</v>
      </c>
      <c r="K371" s="252">
        <v>1</v>
      </c>
      <c r="L371" s="253">
        <v>2</v>
      </c>
      <c r="M371" s="254">
        <f t="shared" si="11"/>
        <v>0.37356464144298934</v>
      </c>
      <c r="N371" s="255"/>
    </row>
    <row r="372" spans="1:14" hidden="1" x14ac:dyDescent="0.2">
      <c r="A372" s="230" t="s">
        <v>272</v>
      </c>
      <c r="B372" s="231" t="s">
        <v>385</v>
      </c>
      <c r="C372" s="247" t="s">
        <v>46</v>
      </c>
      <c r="D372" s="260" t="s">
        <v>66</v>
      </c>
      <c r="E372" s="249">
        <v>3.7424395161290321E-2</v>
      </c>
      <c r="F372" s="250" t="s">
        <v>386</v>
      </c>
      <c r="G372" s="251" t="s">
        <v>16</v>
      </c>
      <c r="H372" s="252">
        <v>2</v>
      </c>
      <c r="I372" s="252">
        <v>2</v>
      </c>
      <c r="J372" s="252">
        <v>1</v>
      </c>
      <c r="K372" s="252">
        <v>1</v>
      </c>
      <c r="L372" s="253">
        <v>2</v>
      </c>
      <c r="M372" s="254">
        <f t="shared" si="11"/>
        <v>0.37356464144298934</v>
      </c>
      <c r="N372" s="255"/>
    </row>
    <row r="373" spans="1:14" hidden="1" x14ac:dyDescent="0.2">
      <c r="A373" s="230" t="s">
        <v>272</v>
      </c>
      <c r="B373" s="231" t="s">
        <v>385</v>
      </c>
      <c r="C373" s="247" t="s">
        <v>48</v>
      </c>
      <c r="D373" s="260" t="s">
        <v>66</v>
      </c>
      <c r="E373" s="249">
        <v>5.1610803091397851E-2</v>
      </c>
      <c r="F373" s="250" t="s">
        <v>386</v>
      </c>
      <c r="G373" s="251" t="s">
        <v>16</v>
      </c>
      <c r="H373" s="252">
        <v>2</v>
      </c>
      <c r="I373" s="252">
        <v>2</v>
      </c>
      <c r="J373" s="252">
        <v>1</v>
      </c>
      <c r="K373" s="252">
        <v>1</v>
      </c>
      <c r="L373" s="253">
        <v>2</v>
      </c>
      <c r="M373" s="254">
        <f t="shared" si="11"/>
        <v>0.37356464144298934</v>
      </c>
      <c r="N373" s="255"/>
    </row>
    <row r="374" spans="1:14" hidden="1" x14ac:dyDescent="0.2">
      <c r="A374" s="230" t="s">
        <v>272</v>
      </c>
      <c r="B374" s="231" t="s">
        <v>385</v>
      </c>
      <c r="C374" s="247" t="s">
        <v>50</v>
      </c>
      <c r="D374" s="260" t="s">
        <v>66</v>
      </c>
      <c r="E374" s="249">
        <v>5.6777133736559127E-2</v>
      </c>
      <c r="F374" s="250" t="s">
        <v>386</v>
      </c>
      <c r="G374" s="251" t="s">
        <v>16</v>
      </c>
      <c r="H374" s="252">
        <v>2</v>
      </c>
      <c r="I374" s="252">
        <v>2</v>
      </c>
      <c r="J374" s="252">
        <v>1</v>
      </c>
      <c r="K374" s="252">
        <v>1</v>
      </c>
      <c r="L374" s="253">
        <v>2</v>
      </c>
      <c r="M374" s="254">
        <f t="shared" si="11"/>
        <v>0.37356464144298934</v>
      </c>
      <c r="N374" s="255"/>
    </row>
    <row r="375" spans="1:14" hidden="1" x14ac:dyDescent="0.2">
      <c r="A375" s="230" t="s">
        <v>272</v>
      </c>
      <c r="B375" s="231" t="s">
        <v>385</v>
      </c>
      <c r="C375" s="247" t="s">
        <v>52</v>
      </c>
      <c r="D375" s="260" t="s">
        <v>66</v>
      </c>
      <c r="E375" s="249">
        <v>7.2255124327956999E-2</v>
      </c>
      <c r="F375" s="250" t="s">
        <v>386</v>
      </c>
      <c r="G375" s="251" t="s">
        <v>16</v>
      </c>
      <c r="H375" s="252">
        <v>2</v>
      </c>
      <c r="I375" s="252">
        <v>2</v>
      </c>
      <c r="J375" s="252">
        <v>1</v>
      </c>
      <c r="K375" s="252">
        <v>1</v>
      </c>
      <c r="L375" s="253">
        <v>2</v>
      </c>
      <c r="M375" s="254">
        <f t="shared" si="11"/>
        <v>0.37356464144298934</v>
      </c>
      <c r="N375" s="255"/>
    </row>
    <row r="376" spans="1:14" hidden="1" x14ac:dyDescent="0.2">
      <c r="A376" s="230" t="s">
        <v>272</v>
      </c>
      <c r="B376" s="231" t="s">
        <v>385</v>
      </c>
      <c r="C376" s="247" t="s">
        <v>54</v>
      </c>
      <c r="D376" s="260" t="s">
        <v>66</v>
      </c>
      <c r="E376" s="249">
        <v>8.9035198252688172E-2</v>
      </c>
      <c r="F376" s="250" t="s">
        <v>386</v>
      </c>
      <c r="G376" s="251" t="s">
        <v>16</v>
      </c>
      <c r="H376" s="252">
        <v>2</v>
      </c>
      <c r="I376" s="252">
        <v>2</v>
      </c>
      <c r="J376" s="252">
        <v>1</v>
      </c>
      <c r="K376" s="252">
        <v>1</v>
      </c>
      <c r="L376" s="253">
        <v>2</v>
      </c>
      <c r="M376" s="254">
        <f t="shared" si="11"/>
        <v>0.37356464144298934</v>
      </c>
      <c r="N376" s="255"/>
    </row>
    <row r="377" spans="1:14" hidden="1" x14ac:dyDescent="0.2">
      <c r="A377" s="230" t="s">
        <v>272</v>
      </c>
      <c r="B377" s="231" t="s">
        <v>385</v>
      </c>
      <c r="C377" s="247" t="s">
        <v>55</v>
      </c>
      <c r="D377" s="260" t="s">
        <v>66</v>
      </c>
      <c r="E377" s="249">
        <v>5.4193968413978499E-2</v>
      </c>
      <c r="F377" s="250" t="s">
        <v>386</v>
      </c>
      <c r="G377" s="251" t="s">
        <v>16</v>
      </c>
      <c r="H377" s="252">
        <v>2</v>
      </c>
      <c r="I377" s="252">
        <v>2</v>
      </c>
      <c r="J377" s="252">
        <v>1</v>
      </c>
      <c r="K377" s="252">
        <v>1</v>
      </c>
      <c r="L377" s="253">
        <v>2</v>
      </c>
      <c r="M377" s="254">
        <f t="shared" si="11"/>
        <v>0.37356464144298934</v>
      </c>
      <c r="N377" s="255"/>
    </row>
    <row r="378" spans="1:14" hidden="1" x14ac:dyDescent="0.2">
      <c r="A378" s="230" t="s">
        <v>272</v>
      </c>
      <c r="B378" s="231" t="s">
        <v>385</v>
      </c>
      <c r="C378" s="247" t="s">
        <v>57</v>
      </c>
      <c r="D378" s="260" t="s">
        <v>66</v>
      </c>
      <c r="E378" s="249">
        <v>6.0641381048387101E-2</v>
      </c>
      <c r="F378" s="250" t="s">
        <v>386</v>
      </c>
      <c r="G378" s="251" t="s">
        <v>16</v>
      </c>
      <c r="H378" s="252">
        <v>2</v>
      </c>
      <c r="I378" s="252">
        <v>2</v>
      </c>
      <c r="J378" s="252">
        <v>1</v>
      </c>
      <c r="K378" s="252">
        <v>1</v>
      </c>
      <c r="L378" s="253">
        <v>2</v>
      </c>
      <c r="M378" s="254">
        <f t="shared" si="11"/>
        <v>0.37356464144298934</v>
      </c>
      <c r="N378" s="255"/>
    </row>
    <row r="379" spans="1:14" hidden="1" x14ac:dyDescent="0.2">
      <c r="A379" s="230" t="s">
        <v>272</v>
      </c>
      <c r="B379" s="231" t="s">
        <v>385</v>
      </c>
      <c r="C379" s="247" t="s">
        <v>59</v>
      </c>
      <c r="D379" s="260" t="s">
        <v>66</v>
      </c>
      <c r="E379" s="249">
        <v>6.4516129032258063E-2</v>
      </c>
      <c r="F379" s="250" t="s">
        <v>360</v>
      </c>
      <c r="G379" s="251" t="s">
        <v>16</v>
      </c>
      <c r="H379" s="252">
        <v>2</v>
      </c>
      <c r="I379" s="252">
        <v>2</v>
      </c>
      <c r="J379" s="252">
        <v>1</v>
      </c>
      <c r="K379" s="252">
        <v>1</v>
      </c>
      <c r="L379" s="253">
        <v>2</v>
      </c>
      <c r="M379" s="254">
        <f t="shared" si="11"/>
        <v>0.37356464144298934</v>
      </c>
      <c r="N379" s="255"/>
    </row>
    <row r="380" spans="1:14" hidden="1" x14ac:dyDescent="0.2">
      <c r="A380" s="230" t="s">
        <v>272</v>
      </c>
      <c r="B380" s="231" t="s">
        <v>385</v>
      </c>
      <c r="C380" s="247" t="s">
        <v>60</v>
      </c>
      <c r="D380" s="260" t="s">
        <v>66</v>
      </c>
      <c r="E380" s="249">
        <v>4.902763776881721E-2</v>
      </c>
      <c r="F380" s="250" t="s">
        <v>386</v>
      </c>
      <c r="G380" s="251" t="s">
        <v>16</v>
      </c>
      <c r="H380" s="252">
        <v>2</v>
      </c>
      <c r="I380" s="252">
        <v>2</v>
      </c>
      <c r="J380" s="252">
        <v>1</v>
      </c>
      <c r="K380" s="252">
        <v>1</v>
      </c>
      <c r="L380" s="253">
        <v>2</v>
      </c>
      <c r="M380" s="254">
        <f t="shared" si="11"/>
        <v>0.37356464144298934</v>
      </c>
      <c r="N380" s="255"/>
    </row>
    <row r="381" spans="1:14" x14ac:dyDescent="0.2">
      <c r="A381" s="230" t="s">
        <v>272</v>
      </c>
      <c r="B381" s="231" t="s">
        <v>385</v>
      </c>
      <c r="C381" s="247" t="s">
        <v>13</v>
      </c>
      <c r="D381" s="261" t="s">
        <v>94</v>
      </c>
      <c r="E381" s="249">
        <v>8.7743615591397858E-2</v>
      </c>
      <c r="F381" s="250" t="s">
        <v>386</v>
      </c>
      <c r="G381" s="251" t="s">
        <v>16</v>
      </c>
      <c r="H381" s="252">
        <v>2</v>
      </c>
      <c r="I381" s="252">
        <v>2</v>
      </c>
      <c r="J381" s="252">
        <v>1</v>
      </c>
      <c r="K381" s="252">
        <v>1</v>
      </c>
      <c r="L381" s="253">
        <v>2</v>
      </c>
      <c r="M381" s="254">
        <f t="shared" si="11"/>
        <v>0.37356464144298934</v>
      </c>
      <c r="N381" s="255"/>
    </row>
    <row r="382" spans="1:14" hidden="1" x14ac:dyDescent="0.2">
      <c r="A382" s="230" t="s">
        <v>272</v>
      </c>
      <c r="B382" s="231" t="s">
        <v>385</v>
      </c>
      <c r="C382" s="247" t="s">
        <v>18</v>
      </c>
      <c r="D382" s="261" t="s">
        <v>94</v>
      </c>
      <c r="E382" s="249">
        <v>0.108387936827957</v>
      </c>
      <c r="F382" s="250" t="s">
        <v>386</v>
      </c>
      <c r="G382" s="251" t="s">
        <v>16</v>
      </c>
      <c r="H382" s="252">
        <v>2</v>
      </c>
      <c r="I382" s="252">
        <v>2</v>
      </c>
      <c r="J382" s="252">
        <v>1</v>
      </c>
      <c r="K382" s="252">
        <v>1</v>
      </c>
      <c r="L382" s="253">
        <v>2</v>
      </c>
      <c r="M382" s="254">
        <f t="shared" si="11"/>
        <v>0.37356464144298934</v>
      </c>
      <c r="N382" s="255"/>
    </row>
    <row r="383" spans="1:14" hidden="1" x14ac:dyDescent="0.2">
      <c r="A383" s="230" t="s">
        <v>272</v>
      </c>
      <c r="B383" s="231" t="s">
        <v>385</v>
      </c>
      <c r="C383" s="247" t="s">
        <v>20</v>
      </c>
      <c r="D383" s="261" t="s">
        <v>94</v>
      </c>
      <c r="E383" s="249">
        <v>0.1651545698924731</v>
      </c>
      <c r="F383" s="250" t="s">
        <v>386</v>
      </c>
      <c r="G383" s="251" t="s">
        <v>16</v>
      </c>
      <c r="H383" s="252">
        <v>2</v>
      </c>
      <c r="I383" s="252">
        <v>2</v>
      </c>
      <c r="J383" s="252">
        <v>1</v>
      </c>
      <c r="K383" s="252">
        <v>1</v>
      </c>
      <c r="L383" s="253">
        <v>2</v>
      </c>
      <c r="M383" s="254">
        <f t="shared" si="11"/>
        <v>0.37356464144298934</v>
      </c>
      <c r="N383" s="255"/>
    </row>
    <row r="384" spans="1:14" hidden="1" x14ac:dyDescent="0.2">
      <c r="A384" s="230" t="s">
        <v>272</v>
      </c>
      <c r="B384" s="231" t="s">
        <v>385</v>
      </c>
      <c r="C384" s="247" t="s">
        <v>22</v>
      </c>
      <c r="D384" s="261" t="s">
        <v>94</v>
      </c>
      <c r="E384" s="249">
        <v>9.805527553763442E-2</v>
      </c>
      <c r="F384" s="250" t="s">
        <v>386</v>
      </c>
      <c r="G384" s="251" t="s">
        <v>16</v>
      </c>
      <c r="H384" s="252">
        <v>2</v>
      </c>
      <c r="I384" s="252">
        <v>2</v>
      </c>
      <c r="J384" s="252">
        <v>1</v>
      </c>
      <c r="K384" s="252">
        <v>1</v>
      </c>
      <c r="L384" s="253">
        <v>2</v>
      </c>
      <c r="M384" s="254">
        <f t="shared" si="11"/>
        <v>0.37356464144298934</v>
      </c>
      <c r="N384" s="255"/>
    </row>
    <row r="385" spans="1:14" hidden="1" x14ac:dyDescent="0.2">
      <c r="A385" s="230" t="s">
        <v>272</v>
      </c>
      <c r="B385" s="231" t="s">
        <v>385</v>
      </c>
      <c r="C385" s="247" t="s">
        <v>23</v>
      </c>
      <c r="D385" s="261" t="s">
        <v>94</v>
      </c>
      <c r="E385" s="249">
        <v>0.1212827620967742</v>
      </c>
      <c r="F385" s="250" t="s">
        <v>386</v>
      </c>
      <c r="G385" s="251" t="s">
        <v>16</v>
      </c>
      <c r="H385" s="252">
        <v>2</v>
      </c>
      <c r="I385" s="252">
        <v>2</v>
      </c>
      <c r="J385" s="252">
        <v>1</v>
      </c>
      <c r="K385" s="252">
        <v>1</v>
      </c>
      <c r="L385" s="253">
        <v>2</v>
      </c>
      <c r="M385" s="254">
        <f t="shared" si="11"/>
        <v>0.37356464144298934</v>
      </c>
      <c r="N385" s="255"/>
    </row>
    <row r="386" spans="1:14" hidden="1" x14ac:dyDescent="0.2">
      <c r="A386" s="230" t="s">
        <v>272</v>
      </c>
      <c r="B386" s="231" t="s">
        <v>385</v>
      </c>
      <c r="C386" s="247" t="s">
        <v>24</v>
      </c>
      <c r="D386" s="261" t="s">
        <v>94</v>
      </c>
      <c r="E386" s="249">
        <v>0.14967657930107531</v>
      </c>
      <c r="F386" s="250" t="s">
        <v>386</v>
      </c>
      <c r="G386" s="251" t="s">
        <v>16</v>
      </c>
      <c r="H386" s="252">
        <v>2</v>
      </c>
      <c r="I386" s="252">
        <v>2</v>
      </c>
      <c r="J386" s="252">
        <v>1</v>
      </c>
      <c r="K386" s="252">
        <v>1</v>
      </c>
      <c r="L386" s="253">
        <v>2</v>
      </c>
      <c r="M386" s="254">
        <f>IF( OR( ISBLANK(H386),ISBLANK(I386), ISBLANK(J386), ISBLANK(K386), ISBLANK(L386) ), "", 1.5*SQRT(   EXP(2.21*(H386-1)) + EXP(2.21*(I386-1)) + EXP(2.21*(J386-1)) + EXP(2.21*(K386-1)) + EXP(2.21*L386)   )/100*2.45 )</f>
        <v>0.37356464144298934</v>
      </c>
      <c r="N386" s="255"/>
    </row>
    <row r="387" spans="1:14" hidden="1" x14ac:dyDescent="0.2">
      <c r="A387" s="230" t="s">
        <v>272</v>
      </c>
      <c r="B387" s="231" t="s">
        <v>385</v>
      </c>
      <c r="C387" s="247" t="s">
        <v>25</v>
      </c>
      <c r="D387" s="261" t="s">
        <v>94</v>
      </c>
      <c r="E387" s="249">
        <v>7.7410954301075266E-2</v>
      </c>
      <c r="F387" s="250" t="s">
        <v>386</v>
      </c>
      <c r="G387" s="251" t="s">
        <v>16</v>
      </c>
      <c r="H387" s="252">
        <v>2</v>
      </c>
      <c r="I387" s="252">
        <v>2</v>
      </c>
      <c r="J387" s="252">
        <v>1</v>
      </c>
      <c r="K387" s="252">
        <v>1</v>
      </c>
      <c r="L387" s="253">
        <v>2</v>
      </c>
      <c r="M387" s="254">
        <f t="shared" ref="M387:M418" si="12">IF( OR( ISBLANK(H387),ISBLANK(I387), ISBLANK(J387), ISBLANK(K387), ISBLANK(L387) ), "", 1.5*SQRT( EXP(2.21*(H387-1)) + EXP(2.21*(I387-1)) + EXP(2.21*(J387-1)) + EXP(2.21*(K387-1)) + EXP(2.21*L387) )/100*2.45 )</f>
        <v>0.37356464144298934</v>
      </c>
      <c r="N387" s="255"/>
    </row>
    <row r="388" spans="1:14" hidden="1" x14ac:dyDescent="0.2">
      <c r="A388" s="230" t="s">
        <v>272</v>
      </c>
      <c r="B388" s="231" t="s">
        <v>385</v>
      </c>
      <c r="C388" s="247" t="s">
        <v>26</v>
      </c>
      <c r="D388" s="261" t="s">
        <v>94</v>
      </c>
      <c r="E388" s="249">
        <v>7.4848790322580641E-2</v>
      </c>
      <c r="F388" s="250" t="s">
        <v>386</v>
      </c>
      <c r="G388" s="251" t="s">
        <v>16</v>
      </c>
      <c r="H388" s="252">
        <v>2</v>
      </c>
      <c r="I388" s="252">
        <v>2</v>
      </c>
      <c r="J388" s="252">
        <v>1</v>
      </c>
      <c r="K388" s="252">
        <v>1</v>
      </c>
      <c r="L388" s="253">
        <v>2</v>
      </c>
      <c r="M388" s="254">
        <f t="shared" si="12"/>
        <v>0.37356464144298934</v>
      </c>
      <c r="N388" s="255"/>
    </row>
    <row r="389" spans="1:14" hidden="1" x14ac:dyDescent="0.2">
      <c r="A389" s="230" t="s">
        <v>272</v>
      </c>
      <c r="B389" s="231" t="s">
        <v>385</v>
      </c>
      <c r="C389" s="247" t="s">
        <v>27</v>
      </c>
      <c r="D389" s="261" t="s">
        <v>94</v>
      </c>
      <c r="E389" s="249">
        <v>6.4516129032258063E-2</v>
      </c>
      <c r="F389" s="250" t="s">
        <v>386</v>
      </c>
      <c r="G389" s="251" t="s">
        <v>16</v>
      </c>
      <c r="H389" s="252">
        <v>2</v>
      </c>
      <c r="I389" s="252">
        <v>2</v>
      </c>
      <c r="J389" s="252">
        <v>1</v>
      </c>
      <c r="K389" s="252">
        <v>1</v>
      </c>
      <c r="L389" s="253">
        <v>2</v>
      </c>
      <c r="M389" s="254">
        <f t="shared" si="12"/>
        <v>0.37356464144298934</v>
      </c>
      <c r="N389" s="255"/>
    </row>
    <row r="390" spans="1:14" hidden="1" x14ac:dyDescent="0.2">
      <c r="A390" s="230" t="s">
        <v>272</v>
      </c>
      <c r="B390" s="231" t="s">
        <v>385</v>
      </c>
      <c r="C390" s="247" t="s">
        <v>28</v>
      </c>
      <c r="D390" s="261" t="s">
        <v>94</v>
      </c>
      <c r="E390" s="249">
        <v>6.4516129032258063E-2</v>
      </c>
      <c r="F390" s="250" t="s">
        <v>386</v>
      </c>
      <c r="G390" s="251" t="s">
        <v>16</v>
      </c>
      <c r="H390" s="252">
        <v>2</v>
      </c>
      <c r="I390" s="252">
        <v>2</v>
      </c>
      <c r="J390" s="252">
        <v>1</v>
      </c>
      <c r="K390" s="252">
        <v>1</v>
      </c>
      <c r="L390" s="253">
        <v>2</v>
      </c>
      <c r="M390" s="254">
        <f t="shared" si="12"/>
        <v>0.37356464144298934</v>
      </c>
      <c r="N390" s="255"/>
    </row>
    <row r="391" spans="1:14" hidden="1" x14ac:dyDescent="0.2">
      <c r="A391" s="230" t="s">
        <v>272</v>
      </c>
      <c r="B391" s="231" t="s">
        <v>385</v>
      </c>
      <c r="C391" s="247" t="s">
        <v>30</v>
      </c>
      <c r="D391" s="261" t="s">
        <v>94</v>
      </c>
      <c r="E391" s="249">
        <v>0.1290322580645161</v>
      </c>
      <c r="F391" s="250" t="s">
        <v>386</v>
      </c>
      <c r="G391" s="251" t="s">
        <v>16</v>
      </c>
      <c r="H391" s="252">
        <v>2</v>
      </c>
      <c r="I391" s="252">
        <v>2</v>
      </c>
      <c r="J391" s="252">
        <v>1</v>
      </c>
      <c r="K391" s="252">
        <v>1</v>
      </c>
      <c r="L391" s="253">
        <v>2</v>
      </c>
      <c r="M391" s="254">
        <f t="shared" si="12"/>
        <v>0.37356464144298934</v>
      </c>
      <c r="N391" s="255"/>
    </row>
    <row r="392" spans="1:14" hidden="1" x14ac:dyDescent="0.2">
      <c r="A392" s="230" t="s">
        <v>272</v>
      </c>
      <c r="B392" s="231" t="s">
        <v>385</v>
      </c>
      <c r="C392" s="247" t="s">
        <v>32</v>
      </c>
      <c r="D392" s="261" t="s">
        <v>94</v>
      </c>
      <c r="E392" s="249">
        <v>8.2577284946236562E-2</v>
      </c>
      <c r="F392" s="250" t="s">
        <v>386</v>
      </c>
      <c r="G392" s="251" t="s">
        <v>16</v>
      </c>
      <c r="H392" s="252">
        <v>2</v>
      </c>
      <c r="I392" s="252">
        <v>2</v>
      </c>
      <c r="J392" s="252">
        <v>1</v>
      </c>
      <c r="K392" s="252">
        <v>1</v>
      </c>
      <c r="L392" s="253">
        <v>2</v>
      </c>
      <c r="M392" s="254">
        <f t="shared" si="12"/>
        <v>0.37356464144298934</v>
      </c>
      <c r="N392" s="255"/>
    </row>
    <row r="393" spans="1:14" hidden="1" x14ac:dyDescent="0.2">
      <c r="A393" s="230" t="s">
        <v>272</v>
      </c>
      <c r="B393" s="231" t="s">
        <v>385</v>
      </c>
      <c r="C393" s="247" t="s">
        <v>34</v>
      </c>
      <c r="D393" s="261" t="s">
        <v>94</v>
      </c>
      <c r="E393" s="249">
        <v>9.5493111559139782E-2</v>
      </c>
      <c r="F393" s="250" t="s">
        <v>386</v>
      </c>
      <c r="G393" s="251" t="s">
        <v>16</v>
      </c>
      <c r="H393" s="252">
        <v>2</v>
      </c>
      <c r="I393" s="252">
        <v>2</v>
      </c>
      <c r="J393" s="252">
        <v>1</v>
      </c>
      <c r="K393" s="252">
        <v>1</v>
      </c>
      <c r="L393" s="253">
        <v>2</v>
      </c>
      <c r="M393" s="254">
        <f t="shared" si="12"/>
        <v>0.37356464144298934</v>
      </c>
      <c r="N393" s="255"/>
    </row>
    <row r="394" spans="1:14" hidden="1" x14ac:dyDescent="0.2">
      <c r="A394" s="230" t="s">
        <v>272</v>
      </c>
      <c r="B394" s="231" t="s">
        <v>385</v>
      </c>
      <c r="C394" s="247" t="s">
        <v>36</v>
      </c>
      <c r="D394" s="261" t="s">
        <v>94</v>
      </c>
      <c r="E394" s="249">
        <v>0.1032216061827957</v>
      </c>
      <c r="F394" s="250" t="s">
        <v>386</v>
      </c>
      <c r="G394" s="251" t="s">
        <v>16</v>
      </c>
      <c r="H394" s="252">
        <v>2</v>
      </c>
      <c r="I394" s="252">
        <v>2</v>
      </c>
      <c r="J394" s="252">
        <v>1</v>
      </c>
      <c r="K394" s="252">
        <v>1</v>
      </c>
      <c r="L394" s="253">
        <v>2</v>
      </c>
      <c r="M394" s="254">
        <f t="shared" si="12"/>
        <v>0.37356464144298934</v>
      </c>
      <c r="N394" s="255"/>
    </row>
    <row r="395" spans="1:14" hidden="1" x14ac:dyDescent="0.2">
      <c r="A395" s="230" t="s">
        <v>272</v>
      </c>
      <c r="B395" s="231" t="s">
        <v>385</v>
      </c>
      <c r="C395" s="247" t="s">
        <v>37</v>
      </c>
      <c r="D395" s="261" t="s">
        <v>94</v>
      </c>
      <c r="E395" s="249">
        <v>9.805527553763442E-2</v>
      </c>
      <c r="F395" s="250" t="s">
        <v>386</v>
      </c>
      <c r="G395" s="251" t="s">
        <v>16</v>
      </c>
      <c r="H395" s="252">
        <v>2</v>
      </c>
      <c r="I395" s="252">
        <v>2</v>
      </c>
      <c r="J395" s="252">
        <v>1</v>
      </c>
      <c r="K395" s="252">
        <v>1</v>
      </c>
      <c r="L395" s="253">
        <v>2</v>
      </c>
      <c r="M395" s="254">
        <f t="shared" si="12"/>
        <v>0.37356464144298934</v>
      </c>
      <c r="N395" s="255"/>
    </row>
    <row r="396" spans="1:14" hidden="1" x14ac:dyDescent="0.2">
      <c r="A396" s="230" t="s">
        <v>272</v>
      </c>
      <c r="B396" s="231" t="s">
        <v>385</v>
      </c>
      <c r="C396" s="247" t="s">
        <v>39</v>
      </c>
      <c r="D396" s="261" t="s">
        <v>94</v>
      </c>
      <c r="E396" s="249">
        <v>9.2909946236559141E-2</v>
      </c>
      <c r="F396" s="250" t="s">
        <v>386</v>
      </c>
      <c r="G396" s="251" t="s">
        <v>16</v>
      </c>
      <c r="H396" s="252">
        <v>2</v>
      </c>
      <c r="I396" s="252">
        <v>2</v>
      </c>
      <c r="J396" s="252">
        <v>1</v>
      </c>
      <c r="K396" s="252">
        <v>1</v>
      </c>
      <c r="L396" s="253">
        <v>2</v>
      </c>
      <c r="M396" s="254">
        <f t="shared" si="12"/>
        <v>0.37356464144298934</v>
      </c>
      <c r="N396" s="255"/>
    </row>
    <row r="397" spans="1:14" hidden="1" x14ac:dyDescent="0.2">
      <c r="A397" s="230" t="s">
        <v>272</v>
      </c>
      <c r="B397" s="231" t="s">
        <v>385</v>
      </c>
      <c r="C397" s="247" t="s">
        <v>40</v>
      </c>
      <c r="D397" s="261" t="s">
        <v>94</v>
      </c>
      <c r="E397" s="249">
        <v>0.13161542338709681</v>
      </c>
      <c r="F397" s="250" t="s">
        <v>386</v>
      </c>
      <c r="G397" s="251" t="s">
        <v>16</v>
      </c>
      <c r="H397" s="252">
        <v>2</v>
      </c>
      <c r="I397" s="252">
        <v>2</v>
      </c>
      <c r="J397" s="252">
        <v>1</v>
      </c>
      <c r="K397" s="252">
        <v>1</v>
      </c>
      <c r="L397" s="253">
        <v>2</v>
      </c>
      <c r="M397" s="254">
        <f t="shared" si="12"/>
        <v>0.37356464144298934</v>
      </c>
      <c r="N397" s="255"/>
    </row>
    <row r="398" spans="1:14" hidden="1" x14ac:dyDescent="0.2">
      <c r="A398" s="230" t="s">
        <v>272</v>
      </c>
      <c r="B398" s="231" t="s">
        <v>385</v>
      </c>
      <c r="C398" s="247" t="s">
        <v>41</v>
      </c>
      <c r="D398" s="261" t="s">
        <v>94</v>
      </c>
      <c r="E398" s="249">
        <v>9.5493111559139782E-2</v>
      </c>
      <c r="F398" s="250" t="s">
        <v>386</v>
      </c>
      <c r="G398" s="251" t="s">
        <v>16</v>
      </c>
      <c r="H398" s="252">
        <v>2</v>
      </c>
      <c r="I398" s="252">
        <v>2</v>
      </c>
      <c r="J398" s="252">
        <v>1</v>
      </c>
      <c r="K398" s="252">
        <v>1</v>
      </c>
      <c r="L398" s="253">
        <v>2</v>
      </c>
      <c r="M398" s="254">
        <f t="shared" si="12"/>
        <v>0.37356464144298934</v>
      </c>
      <c r="N398" s="255"/>
    </row>
    <row r="399" spans="1:14" hidden="1" x14ac:dyDescent="0.2">
      <c r="A399" s="230" t="s">
        <v>272</v>
      </c>
      <c r="B399" s="231" t="s">
        <v>385</v>
      </c>
      <c r="C399" s="247" t="s">
        <v>42</v>
      </c>
      <c r="D399" s="261" t="s">
        <v>94</v>
      </c>
      <c r="E399" s="249">
        <v>8.5160450268817217E-2</v>
      </c>
      <c r="F399" s="250" t="s">
        <v>386</v>
      </c>
      <c r="G399" s="251" t="s">
        <v>16</v>
      </c>
      <c r="H399" s="252">
        <v>2</v>
      </c>
      <c r="I399" s="252">
        <v>2</v>
      </c>
      <c r="J399" s="252">
        <v>1</v>
      </c>
      <c r="K399" s="252">
        <v>1</v>
      </c>
      <c r="L399" s="253">
        <v>2</v>
      </c>
      <c r="M399" s="254">
        <f t="shared" si="12"/>
        <v>0.37356464144298934</v>
      </c>
      <c r="N399" s="255"/>
    </row>
    <row r="400" spans="1:14" hidden="1" x14ac:dyDescent="0.2">
      <c r="A400" s="230" t="s">
        <v>272</v>
      </c>
      <c r="B400" s="231" t="s">
        <v>385</v>
      </c>
      <c r="C400" s="247" t="s">
        <v>43</v>
      </c>
      <c r="D400" s="261" t="s">
        <v>94</v>
      </c>
      <c r="E400" s="249">
        <v>0.1290322580645161</v>
      </c>
      <c r="F400" s="250" t="s">
        <v>386</v>
      </c>
      <c r="G400" s="251" t="s">
        <v>16</v>
      </c>
      <c r="H400" s="252">
        <v>2</v>
      </c>
      <c r="I400" s="252">
        <v>2</v>
      </c>
      <c r="J400" s="252">
        <v>1</v>
      </c>
      <c r="K400" s="252">
        <v>1</v>
      </c>
      <c r="L400" s="253">
        <v>2</v>
      </c>
      <c r="M400" s="254">
        <f t="shared" si="12"/>
        <v>0.37356464144298934</v>
      </c>
      <c r="N400" s="255"/>
    </row>
    <row r="401" spans="1:14" hidden="1" x14ac:dyDescent="0.2">
      <c r="A401" s="230" t="s">
        <v>272</v>
      </c>
      <c r="B401" s="231" t="s">
        <v>385</v>
      </c>
      <c r="C401" s="247" t="s">
        <v>45</v>
      </c>
      <c r="D401" s="261" t="s">
        <v>94</v>
      </c>
      <c r="E401" s="249">
        <v>0.1212827620967742</v>
      </c>
      <c r="F401" s="250" t="s">
        <v>386</v>
      </c>
      <c r="G401" s="251" t="s">
        <v>16</v>
      </c>
      <c r="H401" s="252">
        <v>2</v>
      </c>
      <c r="I401" s="252">
        <v>2</v>
      </c>
      <c r="J401" s="252">
        <v>1</v>
      </c>
      <c r="K401" s="252">
        <v>1</v>
      </c>
      <c r="L401" s="253">
        <v>2</v>
      </c>
      <c r="M401" s="254">
        <f t="shared" si="12"/>
        <v>0.37356464144298934</v>
      </c>
      <c r="N401" s="255"/>
    </row>
    <row r="402" spans="1:14" hidden="1" x14ac:dyDescent="0.2">
      <c r="A402" s="230" t="s">
        <v>272</v>
      </c>
      <c r="B402" s="231" t="s">
        <v>385</v>
      </c>
      <c r="C402" s="247" t="s">
        <v>46</v>
      </c>
      <c r="D402" s="261" t="s">
        <v>94</v>
      </c>
      <c r="E402" s="249">
        <v>7.4848790322580641E-2</v>
      </c>
      <c r="F402" s="250" t="s">
        <v>386</v>
      </c>
      <c r="G402" s="251" t="s">
        <v>16</v>
      </c>
      <c r="H402" s="252">
        <v>2</v>
      </c>
      <c r="I402" s="252">
        <v>2</v>
      </c>
      <c r="J402" s="252">
        <v>1</v>
      </c>
      <c r="K402" s="252">
        <v>1</v>
      </c>
      <c r="L402" s="253">
        <v>2</v>
      </c>
      <c r="M402" s="254">
        <f t="shared" si="12"/>
        <v>0.37356464144298934</v>
      </c>
      <c r="N402" s="255"/>
    </row>
    <row r="403" spans="1:14" hidden="1" x14ac:dyDescent="0.2">
      <c r="A403" s="230" t="s">
        <v>272</v>
      </c>
      <c r="B403" s="231" t="s">
        <v>385</v>
      </c>
      <c r="C403" s="247" t="s">
        <v>48</v>
      </c>
      <c r="D403" s="261" t="s">
        <v>94</v>
      </c>
      <c r="E403" s="249">
        <v>0.1032216061827957</v>
      </c>
      <c r="F403" s="250" t="s">
        <v>386</v>
      </c>
      <c r="G403" s="251" t="s">
        <v>16</v>
      </c>
      <c r="H403" s="252">
        <v>2</v>
      </c>
      <c r="I403" s="252">
        <v>2</v>
      </c>
      <c r="J403" s="252">
        <v>1</v>
      </c>
      <c r="K403" s="252">
        <v>1</v>
      </c>
      <c r="L403" s="253">
        <v>2</v>
      </c>
      <c r="M403" s="254">
        <f t="shared" si="12"/>
        <v>0.37356464144298934</v>
      </c>
      <c r="N403" s="255"/>
    </row>
    <row r="404" spans="1:14" hidden="1" x14ac:dyDescent="0.2">
      <c r="A404" s="230" t="s">
        <v>272</v>
      </c>
      <c r="B404" s="231" t="s">
        <v>385</v>
      </c>
      <c r="C404" s="247" t="s">
        <v>50</v>
      </c>
      <c r="D404" s="261" t="s">
        <v>94</v>
      </c>
      <c r="E404" s="249">
        <v>0.11355426747311829</v>
      </c>
      <c r="F404" s="250" t="s">
        <v>386</v>
      </c>
      <c r="G404" s="251" t="s">
        <v>16</v>
      </c>
      <c r="H404" s="252">
        <v>2</v>
      </c>
      <c r="I404" s="252">
        <v>2</v>
      </c>
      <c r="J404" s="252">
        <v>1</v>
      </c>
      <c r="K404" s="252">
        <v>1</v>
      </c>
      <c r="L404" s="253">
        <v>2</v>
      </c>
      <c r="M404" s="254">
        <f t="shared" si="12"/>
        <v>0.37356464144298934</v>
      </c>
      <c r="N404" s="255"/>
    </row>
    <row r="405" spans="1:14" hidden="1" x14ac:dyDescent="0.2">
      <c r="A405" s="230" t="s">
        <v>272</v>
      </c>
      <c r="B405" s="231" t="s">
        <v>385</v>
      </c>
      <c r="C405" s="247" t="s">
        <v>52</v>
      </c>
      <c r="D405" s="261" t="s">
        <v>94</v>
      </c>
      <c r="E405" s="249">
        <v>0.144510248655914</v>
      </c>
      <c r="F405" s="250" t="s">
        <v>386</v>
      </c>
      <c r="G405" s="251" t="s">
        <v>16</v>
      </c>
      <c r="H405" s="252">
        <v>2</v>
      </c>
      <c r="I405" s="252">
        <v>2</v>
      </c>
      <c r="J405" s="252">
        <v>1</v>
      </c>
      <c r="K405" s="252">
        <v>1</v>
      </c>
      <c r="L405" s="253">
        <v>2</v>
      </c>
      <c r="M405" s="254">
        <f t="shared" si="12"/>
        <v>0.37356464144298934</v>
      </c>
      <c r="N405" s="255"/>
    </row>
    <row r="406" spans="1:14" hidden="1" x14ac:dyDescent="0.2">
      <c r="A406" s="230" t="s">
        <v>272</v>
      </c>
      <c r="B406" s="231" t="s">
        <v>385</v>
      </c>
      <c r="C406" s="247" t="s">
        <v>54</v>
      </c>
      <c r="D406" s="261" t="s">
        <v>94</v>
      </c>
      <c r="E406" s="249">
        <v>0.17807039650537629</v>
      </c>
      <c r="F406" s="250" t="s">
        <v>386</v>
      </c>
      <c r="G406" s="251" t="s">
        <v>16</v>
      </c>
      <c r="H406" s="252">
        <v>2</v>
      </c>
      <c r="I406" s="252">
        <v>2</v>
      </c>
      <c r="J406" s="252">
        <v>1</v>
      </c>
      <c r="K406" s="252">
        <v>1</v>
      </c>
      <c r="L406" s="253">
        <v>2</v>
      </c>
      <c r="M406" s="254">
        <f t="shared" si="12"/>
        <v>0.37356464144298934</v>
      </c>
      <c r="N406" s="255"/>
    </row>
    <row r="407" spans="1:14" hidden="1" x14ac:dyDescent="0.2">
      <c r="A407" s="230" t="s">
        <v>272</v>
      </c>
      <c r="B407" s="231" t="s">
        <v>385</v>
      </c>
      <c r="C407" s="247" t="s">
        <v>55</v>
      </c>
      <c r="D407" s="261" t="s">
        <v>94</v>
      </c>
      <c r="E407" s="249">
        <v>0.108387936827957</v>
      </c>
      <c r="F407" s="250" t="s">
        <v>386</v>
      </c>
      <c r="G407" s="251" t="s">
        <v>16</v>
      </c>
      <c r="H407" s="252">
        <v>2</v>
      </c>
      <c r="I407" s="252">
        <v>2</v>
      </c>
      <c r="J407" s="252">
        <v>1</v>
      </c>
      <c r="K407" s="252">
        <v>1</v>
      </c>
      <c r="L407" s="253">
        <v>2</v>
      </c>
      <c r="M407" s="254">
        <f t="shared" si="12"/>
        <v>0.37356464144298934</v>
      </c>
      <c r="N407" s="255"/>
    </row>
    <row r="408" spans="1:14" hidden="1" x14ac:dyDescent="0.2">
      <c r="A408" s="230" t="s">
        <v>272</v>
      </c>
      <c r="B408" s="231" t="s">
        <v>385</v>
      </c>
      <c r="C408" s="247" t="s">
        <v>57</v>
      </c>
      <c r="D408" s="261" t="s">
        <v>94</v>
      </c>
      <c r="E408" s="249">
        <v>0.1212827620967742</v>
      </c>
      <c r="F408" s="250" t="s">
        <v>386</v>
      </c>
      <c r="G408" s="251" t="s">
        <v>16</v>
      </c>
      <c r="H408" s="252">
        <v>2</v>
      </c>
      <c r="I408" s="252">
        <v>2</v>
      </c>
      <c r="J408" s="252">
        <v>1</v>
      </c>
      <c r="K408" s="252">
        <v>1</v>
      </c>
      <c r="L408" s="253">
        <v>2</v>
      </c>
      <c r="M408" s="254">
        <f t="shared" si="12"/>
        <v>0.37356464144298934</v>
      </c>
      <c r="N408" s="255"/>
    </row>
    <row r="409" spans="1:14" hidden="1" x14ac:dyDescent="0.2">
      <c r="A409" s="230" t="s">
        <v>272</v>
      </c>
      <c r="B409" s="231" t="s">
        <v>385</v>
      </c>
      <c r="C409" s="247" t="s">
        <v>59</v>
      </c>
      <c r="D409" s="261" t="s">
        <v>94</v>
      </c>
      <c r="E409" s="249">
        <v>0.1290322580645161</v>
      </c>
      <c r="F409" s="250" t="s">
        <v>360</v>
      </c>
      <c r="G409" s="251" t="s">
        <v>16</v>
      </c>
      <c r="H409" s="252">
        <v>2</v>
      </c>
      <c r="I409" s="252">
        <v>2</v>
      </c>
      <c r="J409" s="252">
        <v>1</v>
      </c>
      <c r="K409" s="252">
        <v>1</v>
      </c>
      <c r="L409" s="253">
        <v>2</v>
      </c>
      <c r="M409" s="254">
        <f t="shared" si="12"/>
        <v>0.37356464144298934</v>
      </c>
      <c r="N409" s="255"/>
    </row>
    <row r="410" spans="1:14" hidden="1" x14ac:dyDescent="0.2">
      <c r="A410" s="230" t="s">
        <v>272</v>
      </c>
      <c r="B410" s="231" t="s">
        <v>385</v>
      </c>
      <c r="C410" s="247" t="s">
        <v>60</v>
      </c>
      <c r="D410" s="261" t="s">
        <v>94</v>
      </c>
      <c r="E410" s="249">
        <v>9.805527553763442E-2</v>
      </c>
      <c r="F410" s="250" t="s">
        <v>386</v>
      </c>
      <c r="G410" s="251" t="s">
        <v>16</v>
      </c>
      <c r="H410" s="252">
        <v>2</v>
      </c>
      <c r="I410" s="252">
        <v>2</v>
      </c>
      <c r="J410" s="252">
        <v>1</v>
      </c>
      <c r="K410" s="252">
        <v>1</v>
      </c>
      <c r="L410" s="253">
        <v>2</v>
      </c>
      <c r="M410" s="254">
        <f t="shared" si="12"/>
        <v>0.37356464144298934</v>
      </c>
      <c r="N410" s="255"/>
    </row>
    <row r="411" spans="1:14" x14ac:dyDescent="0.2">
      <c r="A411" s="230" t="s">
        <v>272</v>
      </c>
      <c r="B411" s="231" t="s">
        <v>385</v>
      </c>
      <c r="C411" s="247" t="s">
        <v>13</v>
      </c>
      <c r="D411" s="262" t="s">
        <v>96</v>
      </c>
      <c r="E411" s="249">
        <v>4.3871807795698929E-2</v>
      </c>
      <c r="F411" s="250" t="s">
        <v>386</v>
      </c>
      <c r="G411" s="251" t="s">
        <v>16</v>
      </c>
      <c r="H411" s="252">
        <v>2</v>
      </c>
      <c r="I411" s="252">
        <v>2</v>
      </c>
      <c r="J411" s="252">
        <v>1</v>
      </c>
      <c r="K411" s="252">
        <v>1</v>
      </c>
      <c r="L411" s="253">
        <v>2</v>
      </c>
      <c r="M411" s="254">
        <f t="shared" si="12"/>
        <v>0.37356464144298934</v>
      </c>
      <c r="N411" s="255"/>
    </row>
    <row r="412" spans="1:14" hidden="1" x14ac:dyDescent="0.2">
      <c r="A412" s="230" t="s">
        <v>272</v>
      </c>
      <c r="B412" s="231" t="s">
        <v>385</v>
      </c>
      <c r="C412" s="247" t="s">
        <v>18</v>
      </c>
      <c r="D412" s="262" t="s">
        <v>96</v>
      </c>
      <c r="E412" s="249">
        <v>5.4193968413978499E-2</v>
      </c>
      <c r="F412" s="250" t="s">
        <v>386</v>
      </c>
      <c r="G412" s="251" t="s">
        <v>16</v>
      </c>
      <c r="H412" s="252">
        <v>2</v>
      </c>
      <c r="I412" s="252">
        <v>2</v>
      </c>
      <c r="J412" s="252">
        <v>1</v>
      </c>
      <c r="K412" s="252">
        <v>1</v>
      </c>
      <c r="L412" s="253">
        <v>2</v>
      </c>
      <c r="M412" s="254">
        <f t="shared" si="12"/>
        <v>0.37356464144298934</v>
      </c>
      <c r="N412" s="255"/>
    </row>
    <row r="413" spans="1:14" hidden="1" x14ac:dyDescent="0.2">
      <c r="A413" s="230" t="s">
        <v>272</v>
      </c>
      <c r="B413" s="231" t="s">
        <v>385</v>
      </c>
      <c r="C413" s="247" t="s">
        <v>20</v>
      </c>
      <c r="D413" s="262" t="s">
        <v>96</v>
      </c>
      <c r="E413" s="249">
        <v>8.2577284946236562E-2</v>
      </c>
      <c r="F413" s="250" t="s">
        <v>386</v>
      </c>
      <c r="G413" s="251" t="s">
        <v>16</v>
      </c>
      <c r="H413" s="252">
        <v>2</v>
      </c>
      <c r="I413" s="252">
        <v>2</v>
      </c>
      <c r="J413" s="252">
        <v>1</v>
      </c>
      <c r="K413" s="252">
        <v>1</v>
      </c>
      <c r="L413" s="253">
        <v>2</v>
      </c>
      <c r="M413" s="254">
        <f t="shared" si="12"/>
        <v>0.37356464144298934</v>
      </c>
      <c r="N413" s="255"/>
    </row>
    <row r="414" spans="1:14" hidden="1" x14ac:dyDescent="0.2">
      <c r="A414" s="230" t="s">
        <v>272</v>
      </c>
      <c r="B414" s="231" t="s">
        <v>385</v>
      </c>
      <c r="C414" s="247" t="s">
        <v>22</v>
      </c>
      <c r="D414" s="262" t="s">
        <v>96</v>
      </c>
      <c r="E414" s="249">
        <v>4.902763776881721E-2</v>
      </c>
      <c r="F414" s="250" t="s">
        <v>386</v>
      </c>
      <c r="G414" s="251" t="s">
        <v>16</v>
      </c>
      <c r="H414" s="252">
        <v>2</v>
      </c>
      <c r="I414" s="252">
        <v>2</v>
      </c>
      <c r="J414" s="252">
        <v>1</v>
      </c>
      <c r="K414" s="252">
        <v>1</v>
      </c>
      <c r="L414" s="253">
        <v>2</v>
      </c>
      <c r="M414" s="254">
        <f t="shared" si="12"/>
        <v>0.37356464144298934</v>
      </c>
      <c r="N414" s="255"/>
    </row>
    <row r="415" spans="1:14" hidden="1" x14ac:dyDescent="0.2">
      <c r="A415" s="230" t="s">
        <v>272</v>
      </c>
      <c r="B415" s="231" t="s">
        <v>385</v>
      </c>
      <c r="C415" s="247" t="s">
        <v>23</v>
      </c>
      <c r="D415" s="262" t="s">
        <v>96</v>
      </c>
      <c r="E415" s="249">
        <v>6.0641381048387101E-2</v>
      </c>
      <c r="F415" s="250" t="s">
        <v>386</v>
      </c>
      <c r="G415" s="251" t="s">
        <v>16</v>
      </c>
      <c r="H415" s="252">
        <v>2</v>
      </c>
      <c r="I415" s="252">
        <v>2</v>
      </c>
      <c r="J415" s="252">
        <v>1</v>
      </c>
      <c r="K415" s="252">
        <v>1</v>
      </c>
      <c r="L415" s="253">
        <v>2</v>
      </c>
      <c r="M415" s="254">
        <f t="shared" si="12"/>
        <v>0.37356464144298934</v>
      </c>
      <c r="N415" s="255"/>
    </row>
    <row r="416" spans="1:14" hidden="1" x14ac:dyDescent="0.2">
      <c r="A416" s="230" t="s">
        <v>272</v>
      </c>
      <c r="B416" s="231" t="s">
        <v>385</v>
      </c>
      <c r="C416" s="247" t="s">
        <v>24</v>
      </c>
      <c r="D416" s="262" t="s">
        <v>96</v>
      </c>
      <c r="E416" s="249">
        <v>7.483828965053764E-2</v>
      </c>
      <c r="F416" s="250" t="s">
        <v>386</v>
      </c>
      <c r="G416" s="251" t="s">
        <v>16</v>
      </c>
      <c r="H416" s="252">
        <v>2</v>
      </c>
      <c r="I416" s="252">
        <v>2</v>
      </c>
      <c r="J416" s="252">
        <v>1</v>
      </c>
      <c r="K416" s="252">
        <v>1</v>
      </c>
      <c r="L416" s="253">
        <v>2</v>
      </c>
      <c r="M416" s="254">
        <f t="shared" si="12"/>
        <v>0.37356464144298934</v>
      </c>
      <c r="N416" s="255"/>
    </row>
    <row r="417" spans="1:14" hidden="1" x14ac:dyDescent="0.2">
      <c r="A417" s="230" t="s">
        <v>272</v>
      </c>
      <c r="B417" s="231" t="s">
        <v>385</v>
      </c>
      <c r="C417" s="247" t="s">
        <v>25</v>
      </c>
      <c r="D417" s="262" t="s">
        <v>96</v>
      </c>
      <c r="E417" s="249">
        <v>3.8705477150537633E-2</v>
      </c>
      <c r="F417" s="250" t="s">
        <v>386</v>
      </c>
      <c r="G417" s="251" t="s">
        <v>16</v>
      </c>
      <c r="H417" s="252">
        <v>2</v>
      </c>
      <c r="I417" s="252">
        <v>2</v>
      </c>
      <c r="J417" s="252">
        <v>1</v>
      </c>
      <c r="K417" s="252">
        <v>1</v>
      </c>
      <c r="L417" s="253">
        <v>2</v>
      </c>
      <c r="M417" s="254">
        <f t="shared" si="12"/>
        <v>0.37356464144298934</v>
      </c>
      <c r="N417" s="255"/>
    </row>
    <row r="418" spans="1:14" hidden="1" x14ac:dyDescent="0.2">
      <c r="A418" s="230" t="s">
        <v>272</v>
      </c>
      <c r="B418" s="231" t="s">
        <v>385</v>
      </c>
      <c r="C418" s="247" t="s">
        <v>26</v>
      </c>
      <c r="D418" s="262" t="s">
        <v>96</v>
      </c>
      <c r="E418" s="249">
        <v>3.7424395161290321E-2</v>
      </c>
      <c r="F418" s="250" t="s">
        <v>386</v>
      </c>
      <c r="G418" s="251" t="s">
        <v>16</v>
      </c>
      <c r="H418" s="252">
        <v>2</v>
      </c>
      <c r="I418" s="252">
        <v>2</v>
      </c>
      <c r="J418" s="252">
        <v>1</v>
      </c>
      <c r="K418" s="252">
        <v>1</v>
      </c>
      <c r="L418" s="253">
        <v>2</v>
      </c>
      <c r="M418" s="254">
        <f t="shared" si="12"/>
        <v>0.37356464144298934</v>
      </c>
      <c r="N418" s="255"/>
    </row>
    <row r="419" spans="1:14" hidden="1" x14ac:dyDescent="0.2">
      <c r="A419" s="230" t="s">
        <v>272</v>
      </c>
      <c r="B419" s="231" t="s">
        <v>385</v>
      </c>
      <c r="C419" s="247" t="s">
        <v>27</v>
      </c>
      <c r="D419" s="262" t="s">
        <v>96</v>
      </c>
      <c r="E419" s="249">
        <v>3.2258064516129031E-2</v>
      </c>
      <c r="F419" s="250" t="s">
        <v>386</v>
      </c>
      <c r="G419" s="251" t="s">
        <v>16</v>
      </c>
      <c r="H419" s="252">
        <v>2</v>
      </c>
      <c r="I419" s="252">
        <v>2</v>
      </c>
      <c r="J419" s="252">
        <v>1</v>
      </c>
      <c r="K419" s="252">
        <v>1</v>
      </c>
      <c r="L419" s="253">
        <v>2</v>
      </c>
      <c r="M419" s="254">
        <f t="shared" ref="M419:M449" si="13">IF( OR( ISBLANK(H419),ISBLANK(I419), ISBLANK(J419), ISBLANK(K419), ISBLANK(L419) ), "", 1.5*SQRT( EXP(2.21*(H419-1)) + EXP(2.21*(I419-1)) + EXP(2.21*(J419-1)) + EXP(2.21*(K419-1)) + EXP(2.21*L419) )/100*2.45 )</f>
        <v>0.37356464144298934</v>
      </c>
      <c r="N419" s="255"/>
    </row>
    <row r="420" spans="1:14" hidden="1" x14ac:dyDescent="0.2">
      <c r="A420" s="230" t="s">
        <v>272</v>
      </c>
      <c r="B420" s="231" t="s">
        <v>385</v>
      </c>
      <c r="C420" s="247" t="s">
        <v>28</v>
      </c>
      <c r="D420" s="262" t="s">
        <v>96</v>
      </c>
      <c r="E420" s="249">
        <v>3.2258064516129031E-2</v>
      </c>
      <c r="F420" s="250" t="s">
        <v>386</v>
      </c>
      <c r="G420" s="251" t="s">
        <v>16</v>
      </c>
      <c r="H420" s="252">
        <v>2</v>
      </c>
      <c r="I420" s="252">
        <v>2</v>
      </c>
      <c r="J420" s="252">
        <v>1</v>
      </c>
      <c r="K420" s="252">
        <v>1</v>
      </c>
      <c r="L420" s="253">
        <v>2</v>
      </c>
      <c r="M420" s="254">
        <f t="shared" si="13"/>
        <v>0.37356464144298934</v>
      </c>
      <c r="N420" s="255"/>
    </row>
    <row r="421" spans="1:14" hidden="1" x14ac:dyDescent="0.2">
      <c r="A421" s="230" t="s">
        <v>272</v>
      </c>
      <c r="B421" s="231" t="s">
        <v>385</v>
      </c>
      <c r="C421" s="247" t="s">
        <v>30</v>
      </c>
      <c r="D421" s="262" t="s">
        <v>96</v>
      </c>
      <c r="E421" s="249">
        <v>6.4516129032258063E-2</v>
      </c>
      <c r="F421" s="250" t="s">
        <v>386</v>
      </c>
      <c r="G421" s="251" t="s">
        <v>16</v>
      </c>
      <c r="H421" s="252">
        <v>2</v>
      </c>
      <c r="I421" s="252">
        <v>2</v>
      </c>
      <c r="J421" s="252">
        <v>1</v>
      </c>
      <c r="K421" s="252">
        <v>1</v>
      </c>
      <c r="L421" s="253">
        <v>2</v>
      </c>
      <c r="M421" s="254">
        <f t="shared" si="13"/>
        <v>0.37356464144298934</v>
      </c>
      <c r="N421" s="255"/>
    </row>
    <row r="422" spans="1:14" hidden="1" x14ac:dyDescent="0.2">
      <c r="A422" s="230" t="s">
        <v>272</v>
      </c>
      <c r="B422" s="231" t="s">
        <v>385</v>
      </c>
      <c r="C422" s="247" t="s">
        <v>32</v>
      </c>
      <c r="D422" s="262" t="s">
        <v>96</v>
      </c>
      <c r="E422" s="249">
        <v>4.1288642473118281E-2</v>
      </c>
      <c r="F422" s="250" t="s">
        <v>386</v>
      </c>
      <c r="G422" s="251" t="s">
        <v>16</v>
      </c>
      <c r="H422" s="252">
        <v>2</v>
      </c>
      <c r="I422" s="252">
        <v>2</v>
      </c>
      <c r="J422" s="252">
        <v>1</v>
      </c>
      <c r="K422" s="252">
        <v>1</v>
      </c>
      <c r="L422" s="253">
        <v>2</v>
      </c>
      <c r="M422" s="254">
        <f t="shared" si="13"/>
        <v>0.37356464144298934</v>
      </c>
      <c r="N422" s="255"/>
    </row>
    <row r="423" spans="1:14" hidden="1" x14ac:dyDescent="0.2">
      <c r="A423" s="230" t="s">
        <v>272</v>
      </c>
      <c r="B423" s="231" t="s">
        <v>385</v>
      </c>
      <c r="C423" s="247" t="s">
        <v>34</v>
      </c>
      <c r="D423" s="262" t="s">
        <v>96</v>
      </c>
      <c r="E423" s="249">
        <v>4.7746555779569891E-2</v>
      </c>
      <c r="F423" s="250" t="s">
        <v>386</v>
      </c>
      <c r="G423" s="251" t="s">
        <v>16</v>
      </c>
      <c r="H423" s="252">
        <v>2</v>
      </c>
      <c r="I423" s="252">
        <v>2</v>
      </c>
      <c r="J423" s="252">
        <v>1</v>
      </c>
      <c r="K423" s="252">
        <v>1</v>
      </c>
      <c r="L423" s="253">
        <v>2</v>
      </c>
      <c r="M423" s="254">
        <f t="shared" si="13"/>
        <v>0.37356464144298934</v>
      </c>
      <c r="N423" s="255"/>
    </row>
    <row r="424" spans="1:14" hidden="1" x14ac:dyDescent="0.2">
      <c r="A424" s="230" t="s">
        <v>272</v>
      </c>
      <c r="B424" s="231" t="s">
        <v>385</v>
      </c>
      <c r="C424" s="247" t="s">
        <v>36</v>
      </c>
      <c r="D424" s="262" t="s">
        <v>96</v>
      </c>
      <c r="E424" s="249">
        <v>5.1610803091397851E-2</v>
      </c>
      <c r="F424" s="250" t="s">
        <v>386</v>
      </c>
      <c r="G424" s="251" t="s">
        <v>16</v>
      </c>
      <c r="H424" s="252">
        <v>2</v>
      </c>
      <c r="I424" s="252">
        <v>2</v>
      </c>
      <c r="J424" s="252">
        <v>1</v>
      </c>
      <c r="K424" s="252">
        <v>1</v>
      </c>
      <c r="L424" s="253">
        <v>2</v>
      </c>
      <c r="M424" s="254">
        <f t="shared" si="13"/>
        <v>0.37356464144298934</v>
      </c>
      <c r="N424" s="255"/>
    </row>
    <row r="425" spans="1:14" hidden="1" x14ac:dyDescent="0.2">
      <c r="A425" s="230" t="s">
        <v>272</v>
      </c>
      <c r="B425" s="231" t="s">
        <v>385</v>
      </c>
      <c r="C425" s="247" t="s">
        <v>37</v>
      </c>
      <c r="D425" s="262" t="s">
        <v>96</v>
      </c>
      <c r="E425" s="249">
        <v>4.902763776881721E-2</v>
      </c>
      <c r="F425" s="250" t="s">
        <v>386</v>
      </c>
      <c r="G425" s="251" t="s">
        <v>16</v>
      </c>
      <c r="H425" s="252">
        <v>2</v>
      </c>
      <c r="I425" s="252">
        <v>2</v>
      </c>
      <c r="J425" s="252">
        <v>1</v>
      </c>
      <c r="K425" s="252">
        <v>1</v>
      </c>
      <c r="L425" s="253">
        <v>2</v>
      </c>
      <c r="M425" s="254">
        <f t="shared" si="13"/>
        <v>0.37356464144298934</v>
      </c>
      <c r="N425" s="255"/>
    </row>
    <row r="426" spans="1:14" hidden="1" x14ac:dyDescent="0.2">
      <c r="A426" s="230" t="s">
        <v>272</v>
      </c>
      <c r="B426" s="231" t="s">
        <v>385</v>
      </c>
      <c r="C426" s="247" t="s">
        <v>39</v>
      </c>
      <c r="D426" s="262" t="s">
        <v>96</v>
      </c>
      <c r="E426" s="249">
        <v>4.645497311827957E-2</v>
      </c>
      <c r="F426" s="250" t="s">
        <v>386</v>
      </c>
      <c r="G426" s="251" t="s">
        <v>16</v>
      </c>
      <c r="H426" s="252">
        <v>2</v>
      </c>
      <c r="I426" s="252">
        <v>2</v>
      </c>
      <c r="J426" s="252">
        <v>1</v>
      </c>
      <c r="K426" s="252">
        <v>1</v>
      </c>
      <c r="L426" s="253">
        <v>2</v>
      </c>
      <c r="M426" s="254">
        <f t="shared" si="13"/>
        <v>0.37356464144298934</v>
      </c>
      <c r="N426" s="255"/>
    </row>
    <row r="427" spans="1:14" hidden="1" x14ac:dyDescent="0.2">
      <c r="A427" s="230" t="s">
        <v>272</v>
      </c>
      <c r="B427" s="231" t="s">
        <v>385</v>
      </c>
      <c r="C427" s="247" t="s">
        <v>40</v>
      </c>
      <c r="D427" s="262" t="s">
        <v>96</v>
      </c>
      <c r="E427" s="249">
        <v>6.5807711693548404E-2</v>
      </c>
      <c r="F427" s="250" t="s">
        <v>386</v>
      </c>
      <c r="G427" s="251" t="s">
        <v>16</v>
      </c>
      <c r="H427" s="252">
        <v>2</v>
      </c>
      <c r="I427" s="252">
        <v>2</v>
      </c>
      <c r="J427" s="252">
        <v>1</v>
      </c>
      <c r="K427" s="252">
        <v>1</v>
      </c>
      <c r="L427" s="253">
        <v>2</v>
      </c>
      <c r="M427" s="254">
        <f t="shared" si="13"/>
        <v>0.37356464144298934</v>
      </c>
      <c r="N427" s="255"/>
    </row>
    <row r="428" spans="1:14" hidden="1" x14ac:dyDescent="0.2">
      <c r="A428" s="230" t="s">
        <v>272</v>
      </c>
      <c r="B428" s="231" t="s">
        <v>385</v>
      </c>
      <c r="C428" s="247" t="s">
        <v>41</v>
      </c>
      <c r="D428" s="262" t="s">
        <v>96</v>
      </c>
      <c r="E428" s="249">
        <v>4.7746555779569891E-2</v>
      </c>
      <c r="F428" s="250" t="s">
        <v>386</v>
      </c>
      <c r="G428" s="251" t="s">
        <v>16</v>
      </c>
      <c r="H428" s="252">
        <v>2</v>
      </c>
      <c r="I428" s="252">
        <v>2</v>
      </c>
      <c r="J428" s="252">
        <v>1</v>
      </c>
      <c r="K428" s="252">
        <v>1</v>
      </c>
      <c r="L428" s="253">
        <v>2</v>
      </c>
      <c r="M428" s="254">
        <f t="shared" si="13"/>
        <v>0.37356464144298934</v>
      </c>
      <c r="N428" s="255"/>
    </row>
    <row r="429" spans="1:14" hidden="1" x14ac:dyDescent="0.2">
      <c r="A429" s="230" t="s">
        <v>272</v>
      </c>
      <c r="B429" s="231" t="s">
        <v>385</v>
      </c>
      <c r="C429" s="247" t="s">
        <v>42</v>
      </c>
      <c r="D429" s="262" t="s">
        <v>96</v>
      </c>
      <c r="E429" s="249">
        <v>4.2580225134408609E-2</v>
      </c>
      <c r="F429" s="250" t="s">
        <v>386</v>
      </c>
      <c r="G429" s="251" t="s">
        <v>16</v>
      </c>
      <c r="H429" s="252">
        <v>2</v>
      </c>
      <c r="I429" s="252">
        <v>2</v>
      </c>
      <c r="J429" s="252">
        <v>1</v>
      </c>
      <c r="K429" s="252">
        <v>1</v>
      </c>
      <c r="L429" s="253">
        <v>2</v>
      </c>
      <c r="M429" s="254">
        <f t="shared" si="13"/>
        <v>0.37356464144298934</v>
      </c>
      <c r="N429" s="255"/>
    </row>
    <row r="430" spans="1:14" hidden="1" x14ac:dyDescent="0.2">
      <c r="A430" s="230" t="s">
        <v>272</v>
      </c>
      <c r="B430" s="231" t="s">
        <v>385</v>
      </c>
      <c r="C430" s="247" t="s">
        <v>43</v>
      </c>
      <c r="D430" s="262" t="s">
        <v>96</v>
      </c>
      <c r="E430" s="249">
        <v>6.4516129032258063E-2</v>
      </c>
      <c r="F430" s="250" t="s">
        <v>386</v>
      </c>
      <c r="G430" s="251" t="s">
        <v>16</v>
      </c>
      <c r="H430" s="252">
        <v>2</v>
      </c>
      <c r="I430" s="252">
        <v>2</v>
      </c>
      <c r="J430" s="252">
        <v>1</v>
      </c>
      <c r="K430" s="252">
        <v>1</v>
      </c>
      <c r="L430" s="253">
        <v>2</v>
      </c>
      <c r="M430" s="254">
        <f t="shared" si="13"/>
        <v>0.37356464144298934</v>
      </c>
      <c r="N430" s="255"/>
    </row>
    <row r="431" spans="1:14" hidden="1" x14ac:dyDescent="0.2">
      <c r="A431" s="230" t="s">
        <v>272</v>
      </c>
      <c r="B431" s="231" t="s">
        <v>385</v>
      </c>
      <c r="C431" s="247" t="s">
        <v>45</v>
      </c>
      <c r="D431" s="262" t="s">
        <v>96</v>
      </c>
      <c r="E431" s="249">
        <v>6.0641381048387101E-2</v>
      </c>
      <c r="F431" s="250" t="s">
        <v>386</v>
      </c>
      <c r="G431" s="251" t="s">
        <v>16</v>
      </c>
      <c r="H431" s="252">
        <v>2</v>
      </c>
      <c r="I431" s="252">
        <v>2</v>
      </c>
      <c r="J431" s="252">
        <v>1</v>
      </c>
      <c r="K431" s="252">
        <v>1</v>
      </c>
      <c r="L431" s="253">
        <v>2</v>
      </c>
      <c r="M431" s="254">
        <f t="shared" si="13"/>
        <v>0.37356464144298934</v>
      </c>
      <c r="N431" s="255"/>
    </row>
    <row r="432" spans="1:14" hidden="1" x14ac:dyDescent="0.2">
      <c r="A432" s="230" t="s">
        <v>272</v>
      </c>
      <c r="B432" s="231" t="s">
        <v>385</v>
      </c>
      <c r="C432" s="247" t="s">
        <v>46</v>
      </c>
      <c r="D432" s="262" t="s">
        <v>96</v>
      </c>
      <c r="E432" s="249">
        <v>3.7424395161290321E-2</v>
      </c>
      <c r="F432" s="250" t="s">
        <v>386</v>
      </c>
      <c r="G432" s="251" t="s">
        <v>16</v>
      </c>
      <c r="H432" s="252">
        <v>2</v>
      </c>
      <c r="I432" s="252">
        <v>2</v>
      </c>
      <c r="J432" s="252">
        <v>1</v>
      </c>
      <c r="K432" s="252">
        <v>1</v>
      </c>
      <c r="L432" s="253">
        <v>2</v>
      </c>
      <c r="M432" s="254">
        <f t="shared" si="13"/>
        <v>0.37356464144298934</v>
      </c>
      <c r="N432" s="255"/>
    </row>
    <row r="433" spans="1:14" hidden="1" x14ac:dyDescent="0.2">
      <c r="A433" s="230" t="s">
        <v>272</v>
      </c>
      <c r="B433" s="231" t="s">
        <v>385</v>
      </c>
      <c r="C433" s="247" t="s">
        <v>48</v>
      </c>
      <c r="D433" s="262" t="s">
        <v>96</v>
      </c>
      <c r="E433" s="249">
        <v>5.1610803091397851E-2</v>
      </c>
      <c r="F433" s="250" t="s">
        <v>386</v>
      </c>
      <c r="G433" s="251" t="s">
        <v>16</v>
      </c>
      <c r="H433" s="252">
        <v>2</v>
      </c>
      <c r="I433" s="252">
        <v>2</v>
      </c>
      <c r="J433" s="252">
        <v>1</v>
      </c>
      <c r="K433" s="252">
        <v>1</v>
      </c>
      <c r="L433" s="253">
        <v>2</v>
      </c>
      <c r="M433" s="254">
        <f t="shared" si="13"/>
        <v>0.37356464144298934</v>
      </c>
      <c r="N433" s="255"/>
    </row>
    <row r="434" spans="1:14" hidden="1" x14ac:dyDescent="0.2">
      <c r="A434" s="230" t="s">
        <v>272</v>
      </c>
      <c r="B434" s="231" t="s">
        <v>385</v>
      </c>
      <c r="C434" s="247" t="s">
        <v>50</v>
      </c>
      <c r="D434" s="262" t="s">
        <v>96</v>
      </c>
      <c r="E434" s="249">
        <v>5.6777133736559127E-2</v>
      </c>
      <c r="F434" s="250" t="s">
        <v>386</v>
      </c>
      <c r="G434" s="251" t="s">
        <v>16</v>
      </c>
      <c r="H434" s="252">
        <v>2</v>
      </c>
      <c r="I434" s="252">
        <v>2</v>
      </c>
      <c r="J434" s="252">
        <v>1</v>
      </c>
      <c r="K434" s="252">
        <v>1</v>
      </c>
      <c r="L434" s="253">
        <v>2</v>
      </c>
      <c r="M434" s="254">
        <f t="shared" si="13"/>
        <v>0.37356464144298934</v>
      </c>
      <c r="N434" s="255"/>
    </row>
    <row r="435" spans="1:14" hidden="1" x14ac:dyDescent="0.2">
      <c r="A435" s="230" t="s">
        <v>272</v>
      </c>
      <c r="B435" s="231" t="s">
        <v>385</v>
      </c>
      <c r="C435" s="247" t="s">
        <v>52</v>
      </c>
      <c r="D435" s="262" t="s">
        <v>96</v>
      </c>
      <c r="E435" s="249">
        <v>7.2255124327956999E-2</v>
      </c>
      <c r="F435" s="250" t="s">
        <v>386</v>
      </c>
      <c r="G435" s="251" t="s">
        <v>16</v>
      </c>
      <c r="H435" s="252">
        <v>2</v>
      </c>
      <c r="I435" s="252">
        <v>2</v>
      </c>
      <c r="J435" s="252">
        <v>1</v>
      </c>
      <c r="K435" s="252">
        <v>1</v>
      </c>
      <c r="L435" s="253">
        <v>2</v>
      </c>
      <c r="M435" s="254">
        <f t="shared" si="13"/>
        <v>0.37356464144298934</v>
      </c>
      <c r="N435" s="255"/>
    </row>
    <row r="436" spans="1:14" hidden="1" x14ac:dyDescent="0.2">
      <c r="A436" s="230" t="s">
        <v>272</v>
      </c>
      <c r="B436" s="231" t="s">
        <v>385</v>
      </c>
      <c r="C436" s="247" t="s">
        <v>54</v>
      </c>
      <c r="D436" s="262" t="s">
        <v>96</v>
      </c>
      <c r="E436" s="249">
        <v>8.9035198252688172E-2</v>
      </c>
      <c r="F436" s="250" t="s">
        <v>386</v>
      </c>
      <c r="G436" s="251" t="s">
        <v>16</v>
      </c>
      <c r="H436" s="252">
        <v>2</v>
      </c>
      <c r="I436" s="252">
        <v>2</v>
      </c>
      <c r="J436" s="252">
        <v>1</v>
      </c>
      <c r="K436" s="252">
        <v>1</v>
      </c>
      <c r="L436" s="253">
        <v>2</v>
      </c>
      <c r="M436" s="254">
        <f t="shared" si="13"/>
        <v>0.37356464144298934</v>
      </c>
      <c r="N436" s="255"/>
    </row>
    <row r="437" spans="1:14" hidden="1" x14ac:dyDescent="0.2">
      <c r="A437" s="230" t="s">
        <v>272</v>
      </c>
      <c r="B437" s="231" t="s">
        <v>385</v>
      </c>
      <c r="C437" s="247" t="s">
        <v>55</v>
      </c>
      <c r="D437" s="262" t="s">
        <v>96</v>
      </c>
      <c r="E437" s="249">
        <v>5.4193968413978499E-2</v>
      </c>
      <c r="F437" s="250" t="s">
        <v>386</v>
      </c>
      <c r="G437" s="251" t="s">
        <v>16</v>
      </c>
      <c r="H437" s="252">
        <v>2</v>
      </c>
      <c r="I437" s="252">
        <v>2</v>
      </c>
      <c r="J437" s="252">
        <v>1</v>
      </c>
      <c r="K437" s="252">
        <v>1</v>
      </c>
      <c r="L437" s="253">
        <v>2</v>
      </c>
      <c r="M437" s="254">
        <f t="shared" si="13"/>
        <v>0.37356464144298934</v>
      </c>
      <c r="N437" s="255"/>
    </row>
    <row r="438" spans="1:14" hidden="1" x14ac:dyDescent="0.2">
      <c r="A438" s="230" t="s">
        <v>272</v>
      </c>
      <c r="B438" s="231" t="s">
        <v>385</v>
      </c>
      <c r="C438" s="247" t="s">
        <v>57</v>
      </c>
      <c r="D438" s="262" t="s">
        <v>96</v>
      </c>
      <c r="E438" s="249">
        <v>6.0641381048387101E-2</v>
      </c>
      <c r="F438" s="250" t="s">
        <v>386</v>
      </c>
      <c r="G438" s="251" t="s">
        <v>16</v>
      </c>
      <c r="H438" s="252">
        <v>2</v>
      </c>
      <c r="I438" s="252">
        <v>2</v>
      </c>
      <c r="J438" s="252">
        <v>1</v>
      </c>
      <c r="K438" s="252">
        <v>1</v>
      </c>
      <c r="L438" s="253">
        <v>2</v>
      </c>
      <c r="M438" s="254">
        <f t="shared" si="13"/>
        <v>0.37356464144298934</v>
      </c>
      <c r="N438" s="255"/>
    </row>
    <row r="439" spans="1:14" hidden="1" x14ac:dyDescent="0.2">
      <c r="A439" s="230" t="s">
        <v>272</v>
      </c>
      <c r="B439" s="231" t="s">
        <v>385</v>
      </c>
      <c r="C439" s="247" t="s">
        <v>59</v>
      </c>
      <c r="D439" s="262" t="s">
        <v>96</v>
      </c>
      <c r="E439" s="249">
        <v>6.4516129032258063E-2</v>
      </c>
      <c r="F439" s="250" t="s">
        <v>360</v>
      </c>
      <c r="G439" s="251" t="s">
        <v>16</v>
      </c>
      <c r="H439" s="252">
        <v>2</v>
      </c>
      <c r="I439" s="252">
        <v>2</v>
      </c>
      <c r="J439" s="252">
        <v>1</v>
      </c>
      <c r="K439" s="252">
        <v>1</v>
      </c>
      <c r="L439" s="253">
        <v>2</v>
      </c>
      <c r="M439" s="254">
        <f t="shared" si="13"/>
        <v>0.37356464144298934</v>
      </c>
      <c r="N439" s="255"/>
    </row>
    <row r="440" spans="1:14" hidden="1" x14ac:dyDescent="0.2">
      <c r="A440" s="230" t="s">
        <v>272</v>
      </c>
      <c r="B440" s="231" t="s">
        <v>385</v>
      </c>
      <c r="C440" s="247" t="s">
        <v>60</v>
      </c>
      <c r="D440" s="262" t="s">
        <v>96</v>
      </c>
      <c r="E440" s="249">
        <v>4.902763776881721E-2</v>
      </c>
      <c r="F440" s="250" t="s">
        <v>386</v>
      </c>
      <c r="G440" s="251" t="s">
        <v>16</v>
      </c>
      <c r="H440" s="252">
        <v>2</v>
      </c>
      <c r="I440" s="252">
        <v>2</v>
      </c>
      <c r="J440" s="252">
        <v>1</v>
      </c>
      <c r="K440" s="252">
        <v>1</v>
      </c>
      <c r="L440" s="253">
        <v>2</v>
      </c>
      <c r="M440" s="254">
        <f t="shared" si="13"/>
        <v>0.37356464144298934</v>
      </c>
      <c r="N440" s="255"/>
    </row>
    <row r="441" spans="1:14" x14ac:dyDescent="0.2">
      <c r="A441" s="230" t="s">
        <v>272</v>
      </c>
      <c r="B441" s="231" t="s">
        <v>385</v>
      </c>
      <c r="C441" s="247" t="s">
        <v>13</v>
      </c>
      <c r="D441" s="263" t="s">
        <v>98</v>
      </c>
      <c r="E441" s="249">
        <v>4.3871807795698929E-2</v>
      </c>
      <c r="F441" s="250" t="s">
        <v>386</v>
      </c>
      <c r="G441" s="251" t="s">
        <v>16</v>
      </c>
      <c r="H441" s="252">
        <v>2</v>
      </c>
      <c r="I441" s="252">
        <v>2</v>
      </c>
      <c r="J441" s="252">
        <v>1</v>
      </c>
      <c r="K441" s="252">
        <v>1</v>
      </c>
      <c r="L441" s="253">
        <v>2</v>
      </c>
      <c r="M441" s="254">
        <f t="shared" si="13"/>
        <v>0.37356464144298934</v>
      </c>
      <c r="N441" s="255"/>
    </row>
    <row r="442" spans="1:14" hidden="1" x14ac:dyDescent="0.2">
      <c r="A442" s="230" t="s">
        <v>272</v>
      </c>
      <c r="B442" s="231" t="s">
        <v>385</v>
      </c>
      <c r="C442" s="247" t="s">
        <v>18</v>
      </c>
      <c r="D442" s="263" t="s">
        <v>98</v>
      </c>
      <c r="E442" s="249">
        <v>5.4193968413978499E-2</v>
      </c>
      <c r="F442" s="250" t="s">
        <v>386</v>
      </c>
      <c r="G442" s="251" t="s">
        <v>16</v>
      </c>
      <c r="H442" s="252">
        <v>2</v>
      </c>
      <c r="I442" s="252">
        <v>2</v>
      </c>
      <c r="J442" s="252">
        <v>1</v>
      </c>
      <c r="K442" s="252">
        <v>1</v>
      </c>
      <c r="L442" s="253">
        <v>2</v>
      </c>
      <c r="M442" s="254">
        <f t="shared" si="13"/>
        <v>0.37356464144298934</v>
      </c>
      <c r="N442" s="255"/>
    </row>
    <row r="443" spans="1:14" hidden="1" x14ac:dyDescent="0.2">
      <c r="A443" s="230" t="s">
        <v>272</v>
      </c>
      <c r="B443" s="231" t="s">
        <v>385</v>
      </c>
      <c r="C443" s="247" t="s">
        <v>20</v>
      </c>
      <c r="D443" s="263" t="s">
        <v>98</v>
      </c>
      <c r="E443" s="249">
        <v>8.2577284946236562E-2</v>
      </c>
      <c r="F443" s="250" t="s">
        <v>386</v>
      </c>
      <c r="G443" s="251" t="s">
        <v>16</v>
      </c>
      <c r="H443" s="252">
        <v>2</v>
      </c>
      <c r="I443" s="252">
        <v>2</v>
      </c>
      <c r="J443" s="252">
        <v>1</v>
      </c>
      <c r="K443" s="252">
        <v>1</v>
      </c>
      <c r="L443" s="253">
        <v>2</v>
      </c>
      <c r="M443" s="254">
        <f t="shared" si="13"/>
        <v>0.37356464144298934</v>
      </c>
      <c r="N443" s="255"/>
    </row>
    <row r="444" spans="1:14" hidden="1" x14ac:dyDescent="0.2">
      <c r="A444" s="230" t="s">
        <v>272</v>
      </c>
      <c r="B444" s="231" t="s">
        <v>385</v>
      </c>
      <c r="C444" s="247" t="s">
        <v>22</v>
      </c>
      <c r="D444" s="263" t="s">
        <v>98</v>
      </c>
      <c r="E444" s="249">
        <v>4.902763776881721E-2</v>
      </c>
      <c r="F444" s="250" t="s">
        <v>386</v>
      </c>
      <c r="G444" s="251" t="s">
        <v>16</v>
      </c>
      <c r="H444" s="252">
        <v>2</v>
      </c>
      <c r="I444" s="252">
        <v>2</v>
      </c>
      <c r="J444" s="252">
        <v>1</v>
      </c>
      <c r="K444" s="252">
        <v>1</v>
      </c>
      <c r="L444" s="253">
        <v>2</v>
      </c>
      <c r="M444" s="254">
        <f t="shared" si="13"/>
        <v>0.37356464144298934</v>
      </c>
      <c r="N444" s="255"/>
    </row>
    <row r="445" spans="1:14" hidden="1" x14ac:dyDescent="0.2">
      <c r="A445" s="230" t="s">
        <v>272</v>
      </c>
      <c r="B445" s="231" t="s">
        <v>385</v>
      </c>
      <c r="C445" s="247" t="s">
        <v>23</v>
      </c>
      <c r="D445" s="263" t="s">
        <v>98</v>
      </c>
      <c r="E445" s="249">
        <v>6.0641381048387101E-2</v>
      </c>
      <c r="F445" s="250" t="s">
        <v>386</v>
      </c>
      <c r="G445" s="251" t="s">
        <v>16</v>
      </c>
      <c r="H445" s="252">
        <v>2</v>
      </c>
      <c r="I445" s="252">
        <v>2</v>
      </c>
      <c r="J445" s="252">
        <v>1</v>
      </c>
      <c r="K445" s="252">
        <v>1</v>
      </c>
      <c r="L445" s="253">
        <v>2</v>
      </c>
      <c r="M445" s="254">
        <f t="shared" si="13"/>
        <v>0.37356464144298934</v>
      </c>
      <c r="N445" s="255"/>
    </row>
    <row r="446" spans="1:14" hidden="1" x14ac:dyDescent="0.2">
      <c r="A446" s="230" t="s">
        <v>272</v>
      </c>
      <c r="B446" s="231" t="s">
        <v>385</v>
      </c>
      <c r="C446" s="247" t="s">
        <v>24</v>
      </c>
      <c r="D446" s="263" t="s">
        <v>98</v>
      </c>
      <c r="E446" s="249">
        <v>7.483828965053764E-2</v>
      </c>
      <c r="F446" s="250" t="s">
        <v>386</v>
      </c>
      <c r="G446" s="251" t="s">
        <v>16</v>
      </c>
      <c r="H446" s="252">
        <v>2</v>
      </c>
      <c r="I446" s="252">
        <v>2</v>
      </c>
      <c r="J446" s="252">
        <v>1</v>
      </c>
      <c r="K446" s="252">
        <v>1</v>
      </c>
      <c r="L446" s="253">
        <v>2</v>
      </c>
      <c r="M446" s="254">
        <f t="shared" si="13"/>
        <v>0.37356464144298934</v>
      </c>
      <c r="N446" s="255"/>
    </row>
    <row r="447" spans="1:14" hidden="1" x14ac:dyDescent="0.2">
      <c r="A447" s="230" t="s">
        <v>272</v>
      </c>
      <c r="B447" s="231" t="s">
        <v>385</v>
      </c>
      <c r="C447" s="247" t="s">
        <v>25</v>
      </c>
      <c r="D447" s="263" t="s">
        <v>98</v>
      </c>
      <c r="E447" s="249">
        <v>3.8705477150537633E-2</v>
      </c>
      <c r="F447" s="250" t="s">
        <v>386</v>
      </c>
      <c r="G447" s="251" t="s">
        <v>16</v>
      </c>
      <c r="H447" s="252">
        <v>2</v>
      </c>
      <c r="I447" s="252">
        <v>2</v>
      </c>
      <c r="J447" s="252">
        <v>1</v>
      </c>
      <c r="K447" s="252">
        <v>1</v>
      </c>
      <c r="L447" s="253">
        <v>2</v>
      </c>
      <c r="M447" s="254">
        <f t="shared" si="13"/>
        <v>0.37356464144298934</v>
      </c>
      <c r="N447" s="255"/>
    </row>
    <row r="448" spans="1:14" hidden="1" x14ac:dyDescent="0.2">
      <c r="A448" s="230" t="s">
        <v>272</v>
      </c>
      <c r="B448" s="231" t="s">
        <v>385</v>
      </c>
      <c r="C448" s="247" t="s">
        <v>26</v>
      </c>
      <c r="D448" s="263" t="s">
        <v>98</v>
      </c>
      <c r="E448" s="249">
        <v>3.7424395161290321E-2</v>
      </c>
      <c r="F448" s="250" t="s">
        <v>386</v>
      </c>
      <c r="G448" s="251" t="s">
        <v>16</v>
      </c>
      <c r="H448" s="252">
        <v>2</v>
      </c>
      <c r="I448" s="252">
        <v>2</v>
      </c>
      <c r="J448" s="252">
        <v>1</v>
      </c>
      <c r="K448" s="252">
        <v>1</v>
      </c>
      <c r="L448" s="253">
        <v>2</v>
      </c>
      <c r="M448" s="254">
        <f t="shared" si="13"/>
        <v>0.37356464144298934</v>
      </c>
      <c r="N448" s="255"/>
    </row>
    <row r="449" spans="1:14" hidden="1" x14ac:dyDescent="0.2">
      <c r="A449" s="230" t="s">
        <v>272</v>
      </c>
      <c r="B449" s="231" t="s">
        <v>385</v>
      </c>
      <c r="C449" s="247" t="s">
        <v>27</v>
      </c>
      <c r="D449" s="263" t="s">
        <v>98</v>
      </c>
      <c r="E449" s="249">
        <v>3.2258064516129031E-2</v>
      </c>
      <c r="F449" s="250" t="s">
        <v>386</v>
      </c>
      <c r="G449" s="251" t="s">
        <v>16</v>
      </c>
      <c r="H449" s="252">
        <v>2</v>
      </c>
      <c r="I449" s="252">
        <v>2</v>
      </c>
      <c r="J449" s="252">
        <v>1</v>
      </c>
      <c r="K449" s="252">
        <v>1</v>
      </c>
      <c r="L449" s="253">
        <v>2</v>
      </c>
      <c r="M449" s="254">
        <f t="shared" si="13"/>
        <v>0.37356464144298934</v>
      </c>
      <c r="N449" s="255"/>
    </row>
    <row r="450" spans="1:14" hidden="1" x14ac:dyDescent="0.2">
      <c r="A450" s="230" t="s">
        <v>272</v>
      </c>
      <c r="B450" s="231" t="s">
        <v>385</v>
      </c>
      <c r="C450" s="247" t="s">
        <v>28</v>
      </c>
      <c r="D450" s="263" t="s">
        <v>98</v>
      </c>
      <c r="E450" s="249">
        <v>3.2258064516129031E-2</v>
      </c>
      <c r="F450" s="250" t="s">
        <v>386</v>
      </c>
      <c r="G450" s="251" t="s">
        <v>16</v>
      </c>
      <c r="H450" s="252">
        <v>2</v>
      </c>
      <c r="I450" s="252">
        <v>2</v>
      </c>
      <c r="J450" s="252">
        <v>1</v>
      </c>
      <c r="K450" s="252">
        <v>1</v>
      </c>
      <c r="L450" s="253">
        <v>2</v>
      </c>
      <c r="M450" s="254">
        <f>IF( OR( ISBLANK(H450),ISBLANK(I450), ISBLANK(J450), ISBLANK(K450), ISBLANK(L450) ), "", 1.5*SQRT(   EXP(2.21*(H450-1)) + EXP(2.21*(I450-1)) + EXP(2.21*(J450-1)) + EXP(2.21*(K450-1)) + EXP(2.21*L450)   )/100*2.45 )</f>
        <v>0.37356464144298934</v>
      </c>
      <c r="N450" s="255"/>
    </row>
    <row r="451" spans="1:14" hidden="1" x14ac:dyDescent="0.2">
      <c r="A451" s="230" t="s">
        <v>272</v>
      </c>
      <c r="B451" s="231" t="s">
        <v>385</v>
      </c>
      <c r="C451" s="247" t="s">
        <v>30</v>
      </c>
      <c r="D451" s="263" t="s">
        <v>98</v>
      </c>
      <c r="E451" s="249">
        <v>6.4516129032258063E-2</v>
      </c>
      <c r="F451" s="250" t="s">
        <v>386</v>
      </c>
      <c r="G451" s="251" t="s">
        <v>16</v>
      </c>
      <c r="H451" s="252">
        <v>2</v>
      </c>
      <c r="I451" s="252">
        <v>2</v>
      </c>
      <c r="J451" s="252">
        <v>1</v>
      </c>
      <c r="K451" s="252">
        <v>1</v>
      </c>
      <c r="L451" s="253">
        <v>2</v>
      </c>
      <c r="M451" s="254">
        <f t="shared" ref="M451:M482" si="14">IF( OR( ISBLANK(H451),ISBLANK(I451), ISBLANK(J451), ISBLANK(K451), ISBLANK(L451) ), "", 1.5*SQRT( EXP(2.21*(H451-1)) + EXP(2.21*(I451-1)) + EXP(2.21*(J451-1)) + EXP(2.21*(K451-1)) + EXP(2.21*L451) )/100*2.45 )</f>
        <v>0.37356464144298934</v>
      </c>
      <c r="N451" s="255"/>
    </row>
    <row r="452" spans="1:14" hidden="1" x14ac:dyDescent="0.2">
      <c r="A452" s="230" t="s">
        <v>272</v>
      </c>
      <c r="B452" s="231" t="s">
        <v>385</v>
      </c>
      <c r="C452" s="247" t="s">
        <v>32</v>
      </c>
      <c r="D452" s="263" t="s">
        <v>98</v>
      </c>
      <c r="E452" s="249">
        <v>4.1288642473118281E-2</v>
      </c>
      <c r="F452" s="250" t="s">
        <v>386</v>
      </c>
      <c r="G452" s="251" t="s">
        <v>16</v>
      </c>
      <c r="H452" s="252">
        <v>2</v>
      </c>
      <c r="I452" s="252">
        <v>2</v>
      </c>
      <c r="J452" s="252">
        <v>1</v>
      </c>
      <c r="K452" s="252">
        <v>1</v>
      </c>
      <c r="L452" s="253">
        <v>2</v>
      </c>
      <c r="M452" s="254">
        <f t="shared" si="14"/>
        <v>0.37356464144298934</v>
      </c>
      <c r="N452" s="255"/>
    </row>
    <row r="453" spans="1:14" hidden="1" x14ac:dyDescent="0.2">
      <c r="A453" s="230" t="s">
        <v>272</v>
      </c>
      <c r="B453" s="231" t="s">
        <v>385</v>
      </c>
      <c r="C453" s="247" t="s">
        <v>34</v>
      </c>
      <c r="D453" s="263" t="s">
        <v>98</v>
      </c>
      <c r="E453" s="249">
        <v>4.7746555779569891E-2</v>
      </c>
      <c r="F453" s="250" t="s">
        <v>386</v>
      </c>
      <c r="G453" s="251" t="s">
        <v>16</v>
      </c>
      <c r="H453" s="252">
        <v>2</v>
      </c>
      <c r="I453" s="252">
        <v>2</v>
      </c>
      <c r="J453" s="252">
        <v>1</v>
      </c>
      <c r="K453" s="252">
        <v>1</v>
      </c>
      <c r="L453" s="253">
        <v>2</v>
      </c>
      <c r="M453" s="254">
        <f t="shared" si="14"/>
        <v>0.37356464144298934</v>
      </c>
      <c r="N453" s="255"/>
    </row>
    <row r="454" spans="1:14" hidden="1" x14ac:dyDescent="0.2">
      <c r="A454" s="230" t="s">
        <v>272</v>
      </c>
      <c r="B454" s="231" t="s">
        <v>385</v>
      </c>
      <c r="C454" s="247" t="s">
        <v>36</v>
      </c>
      <c r="D454" s="263" t="s">
        <v>98</v>
      </c>
      <c r="E454" s="249">
        <v>5.1610803091397851E-2</v>
      </c>
      <c r="F454" s="250" t="s">
        <v>386</v>
      </c>
      <c r="G454" s="251" t="s">
        <v>16</v>
      </c>
      <c r="H454" s="252">
        <v>2</v>
      </c>
      <c r="I454" s="252">
        <v>2</v>
      </c>
      <c r="J454" s="252">
        <v>1</v>
      </c>
      <c r="K454" s="252">
        <v>1</v>
      </c>
      <c r="L454" s="253">
        <v>2</v>
      </c>
      <c r="M454" s="254">
        <f t="shared" si="14"/>
        <v>0.37356464144298934</v>
      </c>
      <c r="N454" s="255"/>
    </row>
    <row r="455" spans="1:14" hidden="1" x14ac:dyDescent="0.2">
      <c r="A455" s="230" t="s">
        <v>272</v>
      </c>
      <c r="B455" s="231" t="s">
        <v>385</v>
      </c>
      <c r="C455" s="247" t="s">
        <v>37</v>
      </c>
      <c r="D455" s="263" t="s">
        <v>98</v>
      </c>
      <c r="E455" s="249">
        <v>4.902763776881721E-2</v>
      </c>
      <c r="F455" s="250" t="s">
        <v>386</v>
      </c>
      <c r="G455" s="251" t="s">
        <v>16</v>
      </c>
      <c r="H455" s="252">
        <v>2</v>
      </c>
      <c r="I455" s="252">
        <v>2</v>
      </c>
      <c r="J455" s="252">
        <v>1</v>
      </c>
      <c r="K455" s="252">
        <v>1</v>
      </c>
      <c r="L455" s="253">
        <v>2</v>
      </c>
      <c r="M455" s="254">
        <f t="shared" si="14"/>
        <v>0.37356464144298934</v>
      </c>
      <c r="N455" s="255"/>
    </row>
    <row r="456" spans="1:14" hidden="1" x14ac:dyDescent="0.2">
      <c r="A456" s="230" t="s">
        <v>272</v>
      </c>
      <c r="B456" s="231" t="s">
        <v>385</v>
      </c>
      <c r="C456" s="247" t="s">
        <v>39</v>
      </c>
      <c r="D456" s="263" t="s">
        <v>98</v>
      </c>
      <c r="E456" s="249">
        <v>4.645497311827957E-2</v>
      </c>
      <c r="F456" s="250" t="s">
        <v>386</v>
      </c>
      <c r="G456" s="251" t="s">
        <v>16</v>
      </c>
      <c r="H456" s="252">
        <v>2</v>
      </c>
      <c r="I456" s="252">
        <v>2</v>
      </c>
      <c r="J456" s="252">
        <v>1</v>
      </c>
      <c r="K456" s="252">
        <v>1</v>
      </c>
      <c r="L456" s="253">
        <v>2</v>
      </c>
      <c r="M456" s="254">
        <f t="shared" si="14"/>
        <v>0.37356464144298934</v>
      </c>
      <c r="N456" s="255"/>
    </row>
    <row r="457" spans="1:14" hidden="1" x14ac:dyDescent="0.2">
      <c r="A457" s="230" t="s">
        <v>272</v>
      </c>
      <c r="B457" s="231" t="s">
        <v>385</v>
      </c>
      <c r="C457" s="247" t="s">
        <v>40</v>
      </c>
      <c r="D457" s="263" t="s">
        <v>98</v>
      </c>
      <c r="E457" s="249">
        <v>6.5807711693548404E-2</v>
      </c>
      <c r="F457" s="250" t="s">
        <v>386</v>
      </c>
      <c r="G457" s="251" t="s">
        <v>16</v>
      </c>
      <c r="H457" s="252">
        <v>2</v>
      </c>
      <c r="I457" s="252">
        <v>2</v>
      </c>
      <c r="J457" s="252">
        <v>1</v>
      </c>
      <c r="K457" s="252">
        <v>1</v>
      </c>
      <c r="L457" s="253">
        <v>2</v>
      </c>
      <c r="M457" s="254">
        <f t="shared" si="14"/>
        <v>0.37356464144298934</v>
      </c>
      <c r="N457" s="255"/>
    </row>
    <row r="458" spans="1:14" hidden="1" x14ac:dyDescent="0.2">
      <c r="A458" s="230" t="s">
        <v>272</v>
      </c>
      <c r="B458" s="231" t="s">
        <v>385</v>
      </c>
      <c r="C458" s="247" t="s">
        <v>41</v>
      </c>
      <c r="D458" s="263" t="s">
        <v>98</v>
      </c>
      <c r="E458" s="249">
        <v>4.7746555779569891E-2</v>
      </c>
      <c r="F458" s="250" t="s">
        <v>386</v>
      </c>
      <c r="G458" s="251" t="s">
        <v>16</v>
      </c>
      <c r="H458" s="252">
        <v>2</v>
      </c>
      <c r="I458" s="252">
        <v>2</v>
      </c>
      <c r="J458" s="252">
        <v>1</v>
      </c>
      <c r="K458" s="252">
        <v>1</v>
      </c>
      <c r="L458" s="253">
        <v>2</v>
      </c>
      <c r="M458" s="254">
        <f t="shared" si="14"/>
        <v>0.37356464144298934</v>
      </c>
      <c r="N458" s="255"/>
    </row>
    <row r="459" spans="1:14" hidden="1" x14ac:dyDescent="0.2">
      <c r="A459" s="230" t="s">
        <v>272</v>
      </c>
      <c r="B459" s="231" t="s">
        <v>385</v>
      </c>
      <c r="C459" s="247" t="s">
        <v>42</v>
      </c>
      <c r="D459" s="263" t="s">
        <v>98</v>
      </c>
      <c r="E459" s="249">
        <v>4.2580225134408609E-2</v>
      </c>
      <c r="F459" s="250" t="s">
        <v>386</v>
      </c>
      <c r="G459" s="251" t="s">
        <v>16</v>
      </c>
      <c r="H459" s="252">
        <v>2</v>
      </c>
      <c r="I459" s="252">
        <v>2</v>
      </c>
      <c r="J459" s="252">
        <v>1</v>
      </c>
      <c r="K459" s="252">
        <v>1</v>
      </c>
      <c r="L459" s="253">
        <v>2</v>
      </c>
      <c r="M459" s="254">
        <f t="shared" si="14"/>
        <v>0.37356464144298934</v>
      </c>
      <c r="N459" s="255"/>
    </row>
    <row r="460" spans="1:14" hidden="1" x14ac:dyDescent="0.2">
      <c r="A460" s="230" t="s">
        <v>272</v>
      </c>
      <c r="B460" s="231" t="s">
        <v>385</v>
      </c>
      <c r="C460" s="247" t="s">
        <v>43</v>
      </c>
      <c r="D460" s="263" t="s">
        <v>98</v>
      </c>
      <c r="E460" s="249">
        <v>6.4516129032258063E-2</v>
      </c>
      <c r="F460" s="250" t="s">
        <v>386</v>
      </c>
      <c r="G460" s="251" t="s">
        <v>16</v>
      </c>
      <c r="H460" s="252">
        <v>2</v>
      </c>
      <c r="I460" s="252">
        <v>2</v>
      </c>
      <c r="J460" s="252">
        <v>1</v>
      </c>
      <c r="K460" s="252">
        <v>1</v>
      </c>
      <c r="L460" s="253">
        <v>2</v>
      </c>
      <c r="M460" s="254">
        <f t="shared" si="14"/>
        <v>0.37356464144298934</v>
      </c>
      <c r="N460" s="255"/>
    </row>
    <row r="461" spans="1:14" hidden="1" x14ac:dyDescent="0.2">
      <c r="A461" s="230" t="s">
        <v>272</v>
      </c>
      <c r="B461" s="231" t="s">
        <v>385</v>
      </c>
      <c r="C461" s="247" t="s">
        <v>45</v>
      </c>
      <c r="D461" s="263" t="s">
        <v>98</v>
      </c>
      <c r="E461" s="249">
        <v>6.0641381048387101E-2</v>
      </c>
      <c r="F461" s="250" t="s">
        <v>386</v>
      </c>
      <c r="G461" s="251" t="s">
        <v>16</v>
      </c>
      <c r="H461" s="252">
        <v>2</v>
      </c>
      <c r="I461" s="252">
        <v>2</v>
      </c>
      <c r="J461" s="252">
        <v>1</v>
      </c>
      <c r="K461" s="252">
        <v>1</v>
      </c>
      <c r="L461" s="253">
        <v>2</v>
      </c>
      <c r="M461" s="254">
        <f t="shared" si="14"/>
        <v>0.37356464144298934</v>
      </c>
      <c r="N461" s="255"/>
    </row>
    <row r="462" spans="1:14" hidden="1" x14ac:dyDescent="0.2">
      <c r="A462" s="230" t="s">
        <v>272</v>
      </c>
      <c r="B462" s="231" t="s">
        <v>385</v>
      </c>
      <c r="C462" s="247" t="s">
        <v>46</v>
      </c>
      <c r="D462" s="263" t="s">
        <v>98</v>
      </c>
      <c r="E462" s="249">
        <v>3.7424395161290321E-2</v>
      </c>
      <c r="F462" s="250" t="s">
        <v>386</v>
      </c>
      <c r="G462" s="251" t="s">
        <v>16</v>
      </c>
      <c r="H462" s="252">
        <v>2</v>
      </c>
      <c r="I462" s="252">
        <v>2</v>
      </c>
      <c r="J462" s="252">
        <v>1</v>
      </c>
      <c r="K462" s="252">
        <v>1</v>
      </c>
      <c r="L462" s="253">
        <v>2</v>
      </c>
      <c r="M462" s="254">
        <f t="shared" si="14"/>
        <v>0.37356464144298934</v>
      </c>
      <c r="N462" s="255"/>
    </row>
    <row r="463" spans="1:14" hidden="1" x14ac:dyDescent="0.2">
      <c r="A463" s="230" t="s">
        <v>272</v>
      </c>
      <c r="B463" s="231" t="s">
        <v>385</v>
      </c>
      <c r="C463" s="247" t="s">
        <v>48</v>
      </c>
      <c r="D463" s="263" t="s">
        <v>98</v>
      </c>
      <c r="E463" s="249">
        <v>5.1610803091397851E-2</v>
      </c>
      <c r="F463" s="250" t="s">
        <v>386</v>
      </c>
      <c r="G463" s="251" t="s">
        <v>16</v>
      </c>
      <c r="H463" s="252">
        <v>2</v>
      </c>
      <c r="I463" s="252">
        <v>2</v>
      </c>
      <c r="J463" s="252">
        <v>1</v>
      </c>
      <c r="K463" s="252">
        <v>1</v>
      </c>
      <c r="L463" s="253">
        <v>2</v>
      </c>
      <c r="M463" s="254">
        <f t="shared" si="14"/>
        <v>0.37356464144298934</v>
      </c>
      <c r="N463" s="255"/>
    </row>
    <row r="464" spans="1:14" hidden="1" x14ac:dyDescent="0.2">
      <c r="A464" s="230" t="s">
        <v>272</v>
      </c>
      <c r="B464" s="231" t="s">
        <v>385</v>
      </c>
      <c r="C464" s="247" t="s">
        <v>50</v>
      </c>
      <c r="D464" s="263" t="s">
        <v>98</v>
      </c>
      <c r="E464" s="249">
        <v>5.6777133736559127E-2</v>
      </c>
      <c r="F464" s="250" t="s">
        <v>386</v>
      </c>
      <c r="G464" s="251" t="s">
        <v>16</v>
      </c>
      <c r="H464" s="252">
        <v>2</v>
      </c>
      <c r="I464" s="252">
        <v>2</v>
      </c>
      <c r="J464" s="252">
        <v>1</v>
      </c>
      <c r="K464" s="252">
        <v>1</v>
      </c>
      <c r="L464" s="253">
        <v>2</v>
      </c>
      <c r="M464" s="254">
        <f t="shared" si="14"/>
        <v>0.37356464144298934</v>
      </c>
      <c r="N464" s="255"/>
    </row>
    <row r="465" spans="1:14" hidden="1" x14ac:dyDescent="0.2">
      <c r="A465" s="230" t="s">
        <v>272</v>
      </c>
      <c r="B465" s="231" t="s">
        <v>385</v>
      </c>
      <c r="C465" s="247" t="s">
        <v>52</v>
      </c>
      <c r="D465" s="263" t="s">
        <v>98</v>
      </c>
      <c r="E465" s="249">
        <v>7.2255124327956999E-2</v>
      </c>
      <c r="F465" s="250" t="s">
        <v>386</v>
      </c>
      <c r="G465" s="251" t="s">
        <v>16</v>
      </c>
      <c r="H465" s="252">
        <v>2</v>
      </c>
      <c r="I465" s="252">
        <v>2</v>
      </c>
      <c r="J465" s="252">
        <v>1</v>
      </c>
      <c r="K465" s="252">
        <v>1</v>
      </c>
      <c r="L465" s="253">
        <v>2</v>
      </c>
      <c r="M465" s="254">
        <f t="shared" si="14"/>
        <v>0.37356464144298934</v>
      </c>
      <c r="N465" s="255"/>
    </row>
    <row r="466" spans="1:14" hidden="1" x14ac:dyDescent="0.2">
      <c r="A466" s="230" t="s">
        <v>272</v>
      </c>
      <c r="B466" s="231" t="s">
        <v>385</v>
      </c>
      <c r="C466" s="247" t="s">
        <v>54</v>
      </c>
      <c r="D466" s="263" t="s">
        <v>98</v>
      </c>
      <c r="E466" s="249">
        <v>8.9035198252688172E-2</v>
      </c>
      <c r="F466" s="250" t="s">
        <v>386</v>
      </c>
      <c r="G466" s="251" t="s">
        <v>16</v>
      </c>
      <c r="H466" s="252">
        <v>2</v>
      </c>
      <c r="I466" s="252">
        <v>2</v>
      </c>
      <c r="J466" s="252">
        <v>1</v>
      </c>
      <c r="K466" s="252">
        <v>1</v>
      </c>
      <c r="L466" s="253">
        <v>2</v>
      </c>
      <c r="M466" s="254">
        <f t="shared" si="14"/>
        <v>0.37356464144298934</v>
      </c>
      <c r="N466" s="255"/>
    </row>
    <row r="467" spans="1:14" hidden="1" x14ac:dyDescent="0.2">
      <c r="A467" s="230" t="s">
        <v>272</v>
      </c>
      <c r="B467" s="231" t="s">
        <v>385</v>
      </c>
      <c r="C467" s="247" t="s">
        <v>55</v>
      </c>
      <c r="D467" s="263" t="s">
        <v>98</v>
      </c>
      <c r="E467" s="249">
        <v>5.4193968413978499E-2</v>
      </c>
      <c r="F467" s="250" t="s">
        <v>386</v>
      </c>
      <c r="G467" s="251" t="s">
        <v>16</v>
      </c>
      <c r="H467" s="252">
        <v>2</v>
      </c>
      <c r="I467" s="252">
        <v>2</v>
      </c>
      <c r="J467" s="252">
        <v>1</v>
      </c>
      <c r="K467" s="252">
        <v>1</v>
      </c>
      <c r="L467" s="253">
        <v>2</v>
      </c>
      <c r="M467" s="254">
        <f t="shared" si="14"/>
        <v>0.37356464144298934</v>
      </c>
      <c r="N467" s="255"/>
    </row>
    <row r="468" spans="1:14" hidden="1" x14ac:dyDescent="0.2">
      <c r="A468" s="230" t="s">
        <v>272</v>
      </c>
      <c r="B468" s="231" t="s">
        <v>385</v>
      </c>
      <c r="C468" s="247" t="s">
        <v>57</v>
      </c>
      <c r="D468" s="263" t="s">
        <v>98</v>
      </c>
      <c r="E468" s="249">
        <v>6.0641381048387101E-2</v>
      </c>
      <c r="F468" s="250" t="s">
        <v>386</v>
      </c>
      <c r="G468" s="251" t="s">
        <v>16</v>
      </c>
      <c r="H468" s="252">
        <v>2</v>
      </c>
      <c r="I468" s="252">
        <v>2</v>
      </c>
      <c r="J468" s="252">
        <v>1</v>
      </c>
      <c r="K468" s="252">
        <v>1</v>
      </c>
      <c r="L468" s="253">
        <v>2</v>
      </c>
      <c r="M468" s="254">
        <f t="shared" si="14"/>
        <v>0.37356464144298934</v>
      </c>
      <c r="N468" s="255"/>
    </row>
    <row r="469" spans="1:14" hidden="1" x14ac:dyDescent="0.2">
      <c r="A469" s="230" t="s">
        <v>272</v>
      </c>
      <c r="B469" s="231" t="s">
        <v>385</v>
      </c>
      <c r="C469" s="247" t="s">
        <v>59</v>
      </c>
      <c r="D469" s="263" t="s">
        <v>98</v>
      </c>
      <c r="E469" s="249">
        <v>6.4516129032258063E-2</v>
      </c>
      <c r="F469" s="250" t="s">
        <v>360</v>
      </c>
      <c r="G469" s="251" t="s">
        <v>16</v>
      </c>
      <c r="H469" s="252">
        <v>2</v>
      </c>
      <c r="I469" s="252">
        <v>2</v>
      </c>
      <c r="J469" s="252">
        <v>1</v>
      </c>
      <c r="K469" s="252">
        <v>1</v>
      </c>
      <c r="L469" s="253">
        <v>2</v>
      </c>
      <c r="M469" s="254">
        <f t="shared" si="14"/>
        <v>0.37356464144298934</v>
      </c>
      <c r="N469" s="255"/>
    </row>
    <row r="470" spans="1:14" hidden="1" x14ac:dyDescent="0.2">
      <c r="A470" s="230" t="s">
        <v>272</v>
      </c>
      <c r="B470" s="231" t="s">
        <v>385</v>
      </c>
      <c r="C470" s="247" t="s">
        <v>60</v>
      </c>
      <c r="D470" s="263" t="s">
        <v>98</v>
      </c>
      <c r="E470" s="249">
        <v>4.902763776881721E-2</v>
      </c>
      <c r="F470" s="250" t="s">
        <v>386</v>
      </c>
      <c r="G470" s="251" t="s">
        <v>16</v>
      </c>
      <c r="H470" s="252">
        <v>2</v>
      </c>
      <c r="I470" s="252">
        <v>2</v>
      </c>
      <c r="J470" s="252">
        <v>1</v>
      </c>
      <c r="K470" s="252">
        <v>1</v>
      </c>
      <c r="L470" s="253">
        <v>2</v>
      </c>
      <c r="M470" s="254">
        <f t="shared" si="14"/>
        <v>0.37356464144298934</v>
      </c>
      <c r="N470" s="255"/>
    </row>
    <row r="471" spans="1:14" x14ac:dyDescent="0.2">
      <c r="A471" s="236" t="s">
        <v>272</v>
      </c>
      <c r="B471" s="237" t="s">
        <v>387</v>
      </c>
      <c r="C471" s="238" t="s">
        <v>135</v>
      </c>
      <c r="D471" s="239" t="s">
        <v>135</v>
      </c>
      <c r="E471" s="240" t="s">
        <v>188</v>
      </c>
      <c r="F471" s="241"/>
      <c r="G471" s="242" t="s">
        <v>16</v>
      </c>
      <c r="H471" s="240"/>
      <c r="I471" s="240"/>
      <c r="J471" s="240"/>
      <c r="K471" s="240"/>
      <c r="L471" s="243"/>
      <c r="M471" s="244" t="str">
        <f t="shared" si="14"/>
        <v/>
      </c>
      <c r="N471" s="245"/>
    </row>
    <row r="472" spans="1:14" x14ac:dyDescent="0.2">
      <c r="A472" s="220" t="s">
        <v>279</v>
      </c>
      <c r="B472" s="221" t="s">
        <v>388</v>
      </c>
      <c r="C472" s="222" t="s">
        <v>135</v>
      </c>
      <c r="D472" s="223" t="s">
        <v>135</v>
      </c>
      <c r="E472" s="224">
        <v>1</v>
      </c>
      <c r="F472" s="225"/>
      <c r="G472" s="226" t="s">
        <v>16</v>
      </c>
      <c r="H472" s="224"/>
      <c r="I472" s="224"/>
      <c r="J472" s="224"/>
      <c r="K472" s="224"/>
      <c r="L472" s="227"/>
      <c r="M472" s="228" t="str">
        <f t="shared" si="14"/>
        <v/>
      </c>
      <c r="N472" s="229"/>
    </row>
    <row r="473" spans="1:14" x14ac:dyDescent="0.2">
      <c r="A473" s="230" t="s">
        <v>287</v>
      </c>
      <c r="B473" s="231" t="s">
        <v>388</v>
      </c>
      <c r="C473" s="222" t="s">
        <v>135</v>
      </c>
      <c r="D473" s="232" t="s">
        <v>135</v>
      </c>
      <c r="E473" s="61">
        <v>1</v>
      </c>
      <c r="F473" s="233"/>
      <c r="G473" s="234" t="s">
        <v>16</v>
      </c>
      <c r="H473" s="61"/>
      <c r="I473" s="61"/>
      <c r="J473" s="61"/>
      <c r="K473" s="61"/>
      <c r="L473" s="62"/>
      <c r="M473" s="63" t="str">
        <f t="shared" si="14"/>
        <v/>
      </c>
      <c r="N473" s="235"/>
    </row>
    <row r="474" spans="1:14" x14ac:dyDescent="0.2">
      <c r="A474" s="230" t="s">
        <v>295</v>
      </c>
      <c r="B474" s="231" t="s">
        <v>388</v>
      </c>
      <c r="C474" s="222" t="s">
        <v>135</v>
      </c>
      <c r="D474" s="232" t="s">
        <v>135</v>
      </c>
      <c r="E474" s="61">
        <v>1</v>
      </c>
      <c r="F474" s="233"/>
      <c r="G474" s="234" t="s">
        <v>16</v>
      </c>
      <c r="H474" s="61"/>
      <c r="I474" s="61"/>
      <c r="J474" s="61"/>
      <c r="K474" s="61"/>
      <c r="L474" s="62"/>
      <c r="M474" s="63" t="str">
        <f t="shared" si="14"/>
        <v/>
      </c>
      <c r="N474" s="235"/>
    </row>
    <row r="475" spans="1:14" x14ac:dyDescent="0.2">
      <c r="A475" s="230" t="s">
        <v>303</v>
      </c>
      <c r="B475" s="231" t="s">
        <v>388</v>
      </c>
      <c r="C475" s="222" t="s">
        <v>135</v>
      </c>
      <c r="D475" s="232" t="s">
        <v>135</v>
      </c>
      <c r="E475" s="61">
        <v>1</v>
      </c>
      <c r="F475" s="233"/>
      <c r="G475" s="234" t="s">
        <v>16</v>
      </c>
      <c r="H475" s="61"/>
      <c r="I475" s="61"/>
      <c r="J475" s="61"/>
      <c r="K475" s="61"/>
      <c r="L475" s="62"/>
      <c r="M475" s="63" t="str">
        <f t="shared" si="14"/>
        <v/>
      </c>
      <c r="N475" s="235"/>
    </row>
    <row r="476" spans="1:14" x14ac:dyDescent="0.2">
      <c r="A476" s="236" t="s">
        <v>311</v>
      </c>
      <c r="B476" s="237" t="s">
        <v>388</v>
      </c>
      <c r="C476" s="238" t="s">
        <v>135</v>
      </c>
      <c r="D476" s="239" t="s">
        <v>135</v>
      </c>
      <c r="E476" s="240">
        <v>1</v>
      </c>
      <c r="F476" s="241"/>
      <c r="G476" s="242" t="s">
        <v>16</v>
      </c>
      <c r="H476" s="240"/>
      <c r="I476" s="240"/>
      <c r="J476" s="240"/>
      <c r="K476" s="240"/>
      <c r="L476" s="243"/>
      <c r="M476" s="244" t="str">
        <f t="shared" si="14"/>
        <v/>
      </c>
      <c r="N476" s="245"/>
    </row>
    <row r="477" spans="1:14" x14ac:dyDescent="0.2">
      <c r="A477" s="273" t="s">
        <v>319</v>
      </c>
      <c r="B477" s="275" t="s">
        <v>389</v>
      </c>
      <c r="C477" s="247" t="s">
        <v>13</v>
      </c>
      <c r="D477" s="276" t="s">
        <v>135</v>
      </c>
      <c r="E477" s="61">
        <v>0</v>
      </c>
      <c r="F477" s="250" t="s">
        <v>390</v>
      </c>
      <c r="G477" s="234" t="s">
        <v>16</v>
      </c>
      <c r="H477" s="61"/>
      <c r="I477" s="61"/>
      <c r="J477" s="61"/>
      <c r="K477" s="61"/>
      <c r="L477" s="62"/>
      <c r="M477" s="63" t="str">
        <f t="shared" si="14"/>
        <v/>
      </c>
      <c r="N477" s="255"/>
    </row>
    <row r="478" spans="1:14" hidden="1" x14ac:dyDescent="0.2">
      <c r="A478" s="273" t="s">
        <v>319</v>
      </c>
      <c r="B478" s="277" t="s">
        <v>389</v>
      </c>
      <c r="C478" s="247" t="s">
        <v>18</v>
      </c>
      <c r="D478" s="276" t="s">
        <v>135</v>
      </c>
      <c r="E478" s="249">
        <v>0.13192217696507499</v>
      </c>
      <c r="F478" s="250" t="s">
        <v>390</v>
      </c>
      <c r="G478" s="251" t="s">
        <v>16</v>
      </c>
      <c r="H478" s="252">
        <v>2</v>
      </c>
      <c r="I478" s="252">
        <v>2</v>
      </c>
      <c r="J478" s="252">
        <v>1</v>
      </c>
      <c r="K478" s="252">
        <v>1</v>
      </c>
      <c r="L478" s="253">
        <v>2</v>
      </c>
      <c r="M478" s="254">
        <f t="shared" si="14"/>
        <v>0.37356464144298934</v>
      </c>
      <c r="N478" s="255"/>
    </row>
    <row r="479" spans="1:14" hidden="1" x14ac:dyDescent="0.2">
      <c r="A479" s="273" t="s">
        <v>319</v>
      </c>
      <c r="B479" s="277" t="s">
        <v>389</v>
      </c>
      <c r="C479" s="247" t="s">
        <v>20</v>
      </c>
      <c r="D479" s="276" t="s">
        <v>135</v>
      </c>
      <c r="E479" s="249">
        <v>0.17682022823411001</v>
      </c>
      <c r="F479" s="250" t="s">
        <v>390</v>
      </c>
      <c r="G479" s="251" t="s">
        <v>16</v>
      </c>
      <c r="H479" s="252">
        <v>2</v>
      </c>
      <c r="I479" s="252">
        <v>2</v>
      </c>
      <c r="J479" s="252">
        <v>1</v>
      </c>
      <c r="K479" s="252">
        <v>1</v>
      </c>
      <c r="L479" s="253">
        <v>2</v>
      </c>
      <c r="M479" s="254">
        <f t="shared" si="14"/>
        <v>0.37356464144298934</v>
      </c>
      <c r="N479" s="255"/>
    </row>
    <row r="480" spans="1:14" hidden="1" x14ac:dyDescent="0.2">
      <c r="A480" s="273" t="s">
        <v>319</v>
      </c>
      <c r="B480" s="277" t="s">
        <v>389</v>
      </c>
      <c r="C480" s="247" t="s">
        <v>22</v>
      </c>
      <c r="D480" s="276" t="s">
        <v>135</v>
      </c>
      <c r="E480" s="249">
        <v>0.72353063187072197</v>
      </c>
      <c r="F480" s="250" t="s">
        <v>390</v>
      </c>
      <c r="G480" s="251" t="s">
        <v>16</v>
      </c>
      <c r="H480" s="252">
        <v>2</v>
      </c>
      <c r="I480" s="252">
        <v>2</v>
      </c>
      <c r="J480" s="252">
        <v>1</v>
      </c>
      <c r="K480" s="252">
        <v>1</v>
      </c>
      <c r="L480" s="253">
        <v>2</v>
      </c>
      <c r="M480" s="254">
        <f t="shared" si="14"/>
        <v>0.37356464144298934</v>
      </c>
      <c r="N480" s="255"/>
    </row>
    <row r="481" spans="1:14" hidden="1" x14ac:dyDescent="0.2">
      <c r="A481" s="273" t="s">
        <v>319</v>
      </c>
      <c r="B481" s="277" t="s">
        <v>389</v>
      </c>
      <c r="C481" s="247" t="s">
        <v>23</v>
      </c>
      <c r="D481" s="276" t="s">
        <v>135</v>
      </c>
      <c r="E481" s="249">
        <v>0.45426356589147288</v>
      </c>
      <c r="F481" s="250" t="s">
        <v>390</v>
      </c>
      <c r="G481" s="251" t="s">
        <v>16</v>
      </c>
      <c r="H481" s="252">
        <v>2</v>
      </c>
      <c r="I481" s="252">
        <v>2</v>
      </c>
      <c r="J481" s="252">
        <v>1</v>
      </c>
      <c r="K481" s="252">
        <v>1</v>
      </c>
      <c r="L481" s="253">
        <v>2</v>
      </c>
      <c r="M481" s="254">
        <f t="shared" si="14"/>
        <v>0.37356464144298934</v>
      </c>
      <c r="N481" s="255"/>
    </row>
    <row r="482" spans="1:14" hidden="1" x14ac:dyDescent="0.2">
      <c r="A482" s="273" t="s">
        <v>319</v>
      </c>
      <c r="B482" s="277" t="s">
        <v>389</v>
      </c>
      <c r="C482" s="247" t="s">
        <v>24</v>
      </c>
      <c r="D482" s="276" t="s">
        <v>135</v>
      </c>
      <c r="E482" s="61">
        <v>0</v>
      </c>
      <c r="F482" s="250" t="s">
        <v>390</v>
      </c>
      <c r="G482" s="234" t="s">
        <v>16</v>
      </c>
      <c r="H482" s="61"/>
      <c r="I482" s="61"/>
      <c r="J482" s="61"/>
      <c r="K482" s="61"/>
      <c r="L482" s="62"/>
      <c r="M482" s="63" t="str">
        <f t="shared" si="14"/>
        <v/>
      </c>
      <c r="N482" s="255"/>
    </row>
    <row r="483" spans="1:14" hidden="1" x14ac:dyDescent="0.2">
      <c r="A483" s="273" t="s">
        <v>319</v>
      </c>
      <c r="B483" s="277" t="s">
        <v>389</v>
      </c>
      <c r="C483" s="247" t="s">
        <v>25</v>
      </c>
      <c r="D483" s="276" t="s">
        <v>135</v>
      </c>
      <c r="E483" s="61">
        <v>0</v>
      </c>
      <c r="F483" s="250" t="s">
        <v>390</v>
      </c>
      <c r="G483" s="234" t="s">
        <v>16</v>
      </c>
      <c r="H483" s="61"/>
      <c r="I483" s="61"/>
      <c r="J483" s="61"/>
      <c r="K483" s="61"/>
      <c r="L483" s="62"/>
      <c r="M483" s="63" t="str">
        <f t="shared" ref="M483:M513" si="15">IF( OR( ISBLANK(H483),ISBLANK(I483), ISBLANK(J483), ISBLANK(K483), ISBLANK(L483) ), "", 1.5*SQRT( EXP(2.21*(H483-1)) + EXP(2.21*(I483-1)) + EXP(2.21*(J483-1)) + EXP(2.21*(K483-1)) + EXP(2.21*L483) )/100*2.45 )</f>
        <v/>
      </c>
      <c r="N483" s="255"/>
    </row>
    <row r="484" spans="1:14" hidden="1" x14ac:dyDescent="0.2">
      <c r="A484" s="273" t="s">
        <v>319</v>
      </c>
      <c r="B484" s="277" t="s">
        <v>389</v>
      </c>
      <c r="C484" s="247" t="s">
        <v>26</v>
      </c>
      <c r="D484" s="276" t="s">
        <v>135</v>
      </c>
      <c r="E484" s="249">
        <v>4.1488649817264633E-2</v>
      </c>
      <c r="F484" s="250" t="s">
        <v>390</v>
      </c>
      <c r="G484" s="251" t="s">
        <v>16</v>
      </c>
      <c r="H484" s="252">
        <v>2</v>
      </c>
      <c r="I484" s="252">
        <v>2</v>
      </c>
      <c r="J484" s="252">
        <v>1</v>
      </c>
      <c r="K484" s="252">
        <v>1</v>
      </c>
      <c r="L484" s="253">
        <v>2</v>
      </c>
      <c r="M484" s="254">
        <f t="shared" si="15"/>
        <v>0.37356464144298934</v>
      </c>
      <c r="N484" s="255"/>
    </row>
    <row r="485" spans="1:14" hidden="1" x14ac:dyDescent="0.2">
      <c r="A485" s="273" t="s">
        <v>319</v>
      </c>
      <c r="B485" s="277" t="s">
        <v>389</v>
      </c>
      <c r="C485" s="247" t="s">
        <v>27</v>
      </c>
      <c r="D485" s="276" t="s">
        <v>135</v>
      </c>
      <c r="E485" s="61">
        <v>0</v>
      </c>
      <c r="F485" s="250" t="s">
        <v>390</v>
      </c>
      <c r="G485" s="234" t="s">
        <v>16</v>
      </c>
      <c r="H485" s="61"/>
      <c r="I485" s="61"/>
      <c r="J485" s="61"/>
      <c r="K485" s="61"/>
      <c r="L485" s="62"/>
      <c r="M485" s="63" t="str">
        <f t="shared" si="15"/>
        <v/>
      </c>
      <c r="N485" s="255"/>
    </row>
    <row r="486" spans="1:14" hidden="1" x14ac:dyDescent="0.2">
      <c r="A486" s="273" t="s">
        <v>319</v>
      </c>
      <c r="B486" s="277" t="s">
        <v>389</v>
      </c>
      <c r="C486" s="247" t="s">
        <v>28</v>
      </c>
      <c r="D486" s="276" t="s">
        <v>135</v>
      </c>
      <c r="E486" s="249">
        <v>0.16323728281819239</v>
      </c>
      <c r="F486" s="250" t="s">
        <v>390</v>
      </c>
      <c r="G486" s="251" t="s">
        <v>16</v>
      </c>
      <c r="H486" s="252">
        <v>2</v>
      </c>
      <c r="I486" s="252">
        <v>2</v>
      </c>
      <c r="J486" s="252">
        <v>1</v>
      </c>
      <c r="K486" s="252">
        <v>1</v>
      </c>
      <c r="L486" s="253">
        <v>2</v>
      </c>
      <c r="M486" s="254">
        <f t="shared" si="15"/>
        <v>0.37356464144298934</v>
      </c>
      <c r="N486" s="255"/>
    </row>
    <row r="487" spans="1:14" hidden="1" x14ac:dyDescent="0.2">
      <c r="A487" s="273" t="s">
        <v>319</v>
      </c>
      <c r="B487" s="277" t="s">
        <v>389</v>
      </c>
      <c r="C487" s="247" t="s">
        <v>30</v>
      </c>
      <c r="D487" s="276" t="s">
        <v>135</v>
      </c>
      <c r="E487" s="249">
        <v>0.1007455331525715</v>
      </c>
      <c r="F487" s="250" t="s">
        <v>390</v>
      </c>
      <c r="G487" s="251" t="s">
        <v>16</v>
      </c>
      <c r="H487" s="252">
        <v>2</v>
      </c>
      <c r="I487" s="252">
        <v>2</v>
      </c>
      <c r="J487" s="252">
        <v>1</v>
      </c>
      <c r="K487" s="252">
        <v>1</v>
      </c>
      <c r="L487" s="253">
        <v>2</v>
      </c>
      <c r="M487" s="254">
        <f t="shared" si="15"/>
        <v>0.37356464144298934</v>
      </c>
      <c r="N487" s="255"/>
    </row>
    <row r="488" spans="1:14" hidden="1" x14ac:dyDescent="0.2">
      <c r="A488" s="273" t="s">
        <v>319</v>
      </c>
      <c r="B488" s="277" t="s">
        <v>389</v>
      </c>
      <c r="C488" s="247" t="s">
        <v>32</v>
      </c>
      <c r="D488" s="276" t="s">
        <v>135</v>
      </c>
      <c r="E488" s="249">
        <v>1.3353795409775991E-2</v>
      </c>
      <c r="F488" s="250" t="s">
        <v>390</v>
      </c>
      <c r="G488" s="251" t="s">
        <v>16</v>
      </c>
      <c r="H488" s="252">
        <v>2</v>
      </c>
      <c r="I488" s="252">
        <v>2</v>
      </c>
      <c r="J488" s="252">
        <v>1</v>
      </c>
      <c r="K488" s="252">
        <v>1</v>
      </c>
      <c r="L488" s="253">
        <v>2</v>
      </c>
      <c r="M488" s="254">
        <f t="shared" si="15"/>
        <v>0.37356464144298934</v>
      </c>
      <c r="N488" s="255"/>
    </row>
    <row r="489" spans="1:14" hidden="1" x14ac:dyDescent="0.2">
      <c r="A489" s="273" t="s">
        <v>319</v>
      </c>
      <c r="B489" s="277" t="s">
        <v>389</v>
      </c>
      <c r="C489" s="247" t="s">
        <v>34</v>
      </c>
      <c r="D489" s="276" t="s">
        <v>135</v>
      </c>
      <c r="E489" s="249">
        <v>1.455392228205501E-2</v>
      </c>
      <c r="F489" s="250" t="s">
        <v>390</v>
      </c>
      <c r="G489" s="251" t="s">
        <v>16</v>
      </c>
      <c r="H489" s="252">
        <v>2</v>
      </c>
      <c r="I489" s="252">
        <v>2</v>
      </c>
      <c r="J489" s="252">
        <v>1</v>
      </c>
      <c r="K489" s="252">
        <v>1</v>
      </c>
      <c r="L489" s="253">
        <v>2</v>
      </c>
      <c r="M489" s="254">
        <f t="shared" si="15"/>
        <v>0.37356464144298934</v>
      </c>
      <c r="N489" s="255"/>
    </row>
    <row r="490" spans="1:14" hidden="1" x14ac:dyDescent="0.2">
      <c r="A490" s="273" t="s">
        <v>319</v>
      </c>
      <c r="B490" s="277" t="s">
        <v>389</v>
      </c>
      <c r="C490" s="247" t="s">
        <v>36</v>
      </c>
      <c r="D490" s="276" t="s">
        <v>135</v>
      </c>
      <c r="E490" s="249">
        <v>0.2040238095238095</v>
      </c>
      <c r="F490" s="250" t="s">
        <v>390</v>
      </c>
      <c r="G490" s="251" t="s">
        <v>16</v>
      </c>
      <c r="H490" s="252">
        <v>2</v>
      </c>
      <c r="I490" s="252">
        <v>2</v>
      </c>
      <c r="J490" s="252">
        <v>1</v>
      </c>
      <c r="K490" s="252">
        <v>1</v>
      </c>
      <c r="L490" s="253">
        <v>2</v>
      </c>
      <c r="M490" s="254">
        <f t="shared" si="15"/>
        <v>0.37356464144298934</v>
      </c>
      <c r="N490" s="255"/>
    </row>
    <row r="491" spans="1:14" hidden="1" x14ac:dyDescent="0.2">
      <c r="A491" s="273" t="s">
        <v>319</v>
      </c>
      <c r="B491" s="277" t="s">
        <v>389</v>
      </c>
      <c r="C491" s="247" t="s">
        <v>37</v>
      </c>
      <c r="D491" s="276" t="s">
        <v>135</v>
      </c>
      <c r="E491" s="249">
        <v>9.2309981660647581E-3</v>
      </c>
      <c r="F491" s="250" t="s">
        <v>390</v>
      </c>
      <c r="G491" s="251" t="s">
        <v>16</v>
      </c>
      <c r="H491" s="252">
        <v>2</v>
      </c>
      <c r="I491" s="252">
        <v>2</v>
      </c>
      <c r="J491" s="252">
        <v>1</v>
      </c>
      <c r="K491" s="252">
        <v>1</v>
      </c>
      <c r="L491" s="253">
        <v>2</v>
      </c>
      <c r="M491" s="254">
        <f t="shared" si="15"/>
        <v>0.37356464144298934</v>
      </c>
      <c r="N491" s="255"/>
    </row>
    <row r="492" spans="1:14" hidden="1" x14ac:dyDescent="0.2">
      <c r="A492" s="273" t="s">
        <v>319</v>
      </c>
      <c r="B492" s="277" t="s">
        <v>389</v>
      </c>
      <c r="C492" s="247" t="s">
        <v>39</v>
      </c>
      <c r="D492" s="276" t="s">
        <v>135</v>
      </c>
      <c r="E492" s="249">
        <v>1.2210493146368359E-2</v>
      </c>
      <c r="F492" s="250" t="s">
        <v>390</v>
      </c>
      <c r="G492" s="251" t="s">
        <v>16</v>
      </c>
      <c r="H492" s="252">
        <v>2</v>
      </c>
      <c r="I492" s="252">
        <v>2</v>
      </c>
      <c r="J492" s="252">
        <v>1</v>
      </c>
      <c r="K492" s="252">
        <v>1</v>
      </c>
      <c r="L492" s="253">
        <v>2</v>
      </c>
      <c r="M492" s="254">
        <f t="shared" si="15"/>
        <v>0.37356464144298934</v>
      </c>
      <c r="N492" s="255"/>
    </row>
    <row r="493" spans="1:14" hidden="1" x14ac:dyDescent="0.2">
      <c r="A493" s="273" t="s">
        <v>319</v>
      </c>
      <c r="B493" s="277" t="s">
        <v>389</v>
      </c>
      <c r="C493" s="247" t="s">
        <v>40</v>
      </c>
      <c r="D493" s="276" t="s">
        <v>135</v>
      </c>
      <c r="E493" s="249">
        <v>0.36410507025045807</v>
      </c>
      <c r="F493" s="250" t="s">
        <v>390</v>
      </c>
      <c r="G493" s="251" t="s">
        <v>16</v>
      </c>
      <c r="H493" s="252">
        <v>2</v>
      </c>
      <c r="I493" s="252">
        <v>2</v>
      </c>
      <c r="J493" s="252">
        <v>1</v>
      </c>
      <c r="K493" s="252">
        <v>1</v>
      </c>
      <c r="L493" s="253">
        <v>2</v>
      </c>
      <c r="M493" s="254">
        <f t="shared" si="15"/>
        <v>0.37356464144298934</v>
      </c>
      <c r="N493" s="255"/>
    </row>
    <row r="494" spans="1:14" hidden="1" x14ac:dyDescent="0.2">
      <c r="A494" s="273" t="s">
        <v>319</v>
      </c>
      <c r="B494" s="277" t="s">
        <v>389</v>
      </c>
      <c r="C494" s="247" t="s">
        <v>41</v>
      </c>
      <c r="D494" s="276" t="s">
        <v>135</v>
      </c>
      <c r="E494" s="249">
        <v>0.86462154051350448</v>
      </c>
      <c r="F494" s="250" t="s">
        <v>390</v>
      </c>
      <c r="G494" s="251" t="s">
        <v>16</v>
      </c>
      <c r="H494" s="252">
        <v>2</v>
      </c>
      <c r="I494" s="252">
        <v>2</v>
      </c>
      <c r="J494" s="252">
        <v>1</v>
      </c>
      <c r="K494" s="252">
        <v>1</v>
      </c>
      <c r="L494" s="253">
        <v>2</v>
      </c>
      <c r="M494" s="254">
        <f t="shared" si="15"/>
        <v>0.37356464144298934</v>
      </c>
      <c r="N494" s="255"/>
    </row>
    <row r="495" spans="1:14" hidden="1" x14ac:dyDescent="0.2">
      <c r="A495" s="273" t="s">
        <v>319</v>
      </c>
      <c r="B495" s="277" t="s">
        <v>389</v>
      </c>
      <c r="C495" s="247" t="s">
        <v>42</v>
      </c>
      <c r="D495" s="276" t="s">
        <v>135</v>
      </c>
      <c r="E495" s="249">
        <v>0.86610778443113767</v>
      </c>
      <c r="F495" s="250" t="s">
        <v>390</v>
      </c>
      <c r="G495" s="251" t="s">
        <v>16</v>
      </c>
      <c r="H495" s="252">
        <v>2</v>
      </c>
      <c r="I495" s="252">
        <v>2</v>
      </c>
      <c r="J495" s="252">
        <v>1</v>
      </c>
      <c r="K495" s="252">
        <v>1</v>
      </c>
      <c r="L495" s="253">
        <v>2</v>
      </c>
      <c r="M495" s="254">
        <f t="shared" si="15"/>
        <v>0.37356464144298934</v>
      </c>
      <c r="N495" s="255"/>
    </row>
    <row r="496" spans="1:14" hidden="1" x14ac:dyDescent="0.2">
      <c r="A496" s="273" t="s">
        <v>319</v>
      </c>
      <c r="B496" s="277" t="s">
        <v>389</v>
      </c>
      <c r="C496" s="247" t="s">
        <v>43</v>
      </c>
      <c r="D496" s="276" t="s">
        <v>135</v>
      </c>
      <c r="E496" s="249">
        <v>0.27330550110002833</v>
      </c>
      <c r="F496" s="250" t="s">
        <v>390</v>
      </c>
      <c r="G496" s="251" t="s">
        <v>16</v>
      </c>
      <c r="H496" s="252">
        <v>2</v>
      </c>
      <c r="I496" s="252">
        <v>2</v>
      </c>
      <c r="J496" s="252">
        <v>1</v>
      </c>
      <c r="K496" s="252">
        <v>1</v>
      </c>
      <c r="L496" s="253">
        <v>2</v>
      </c>
      <c r="M496" s="254">
        <f t="shared" si="15"/>
        <v>0.37356464144298934</v>
      </c>
      <c r="N496" s="255"/>
    </row>
    <row r="497" spans="1:14" hidden="1" x14ac:dyDescent="0.2">
      <c r="A497" s="273" t="s">
        <v>319</v>
      </c>
      <c r="B497" s="277" t="s">
        <v>389</v>
      </c>
      <c r="C497" s="247" t="s">
        <v>45</v>
      </c>
      <c r="D497" s="276" t="s">
        <v>135</v>
      </c>
      <c r="E497" s="61">
        <v>0</v>
      </c>
      <c r="F497" s="250" t="s">
        <v>390</v>
      </c>
      <c r="G497" s="234" t="s">
        <v>16</v>
      </c>
      <c r="H497" s="61"/>
      <c r="I497" s="61"/>
      <c r="J497" s="61"/>
      <c r="K497" s="61"/>
      <c r="L497" s="62"/>
      <c r="M497" s="63" t="str">
        <f t="shared" si="15"/>
        <v/>
      </c>
      <c r="N497" s="255"/>
    </row>
    <row r="498" spans="1:14" hidden="1" x14ac:dyDescent="0.2">
      <c r="A498" s="273" t="s">
        <v>319</v>
      </c>
      <c r="B498" s="277" t="s">
        <v>389</v>
      </c>
      <c r="C498" s="247" t="s">
        <v>46</v>
      </c>
      <c r="D498" s="276" t="s">
        <v>135</v>
      </c>
      <c r="E498" s="249">
        <v>8.0960588385573899E-3</v>
      </c>
      <c r="F498" s="250" t="s">
        <v>390</v>
      </c>
      <c r="G498" s="251" t="s">
        <v>16</v>
      </c>
      <c r="H498" s="252">
        <v>2</v>
      </c>
      <c r="I498" s="252">
        <v>2</v>
      </c>
      <c r="J498" s="252">
        <v>1</v>
      </c>
      <c r="K498" s="252">
        <v>1</v>
      </c>
      <c r="L498" s="253">
        <v>2</v>
      </c>
      <c r="M498" s="254">
        <f t="shared" si="15"/>
        <v>0.37356464144298934</v>
      </c>
      <c r="N498" s="255"/>
    </row>
    <row r="499" spans="1:14" hidden="1" x14ac:dyDescent="0.2">
      <c r="A499" s="273" t="s">
        <v>319</v>
      </c>
      <c r="B499" s="277" t="s">
        <v>389</v>
      </c>
      <c r="C499" s="247" t="s">
        <v>48</v>
      </c>
      <c r="D499" s="276" t="s">
        <v>135</v>
      </c>
      <c r="E499" s="249">
        <v>0.17145889130324929</v>
      </c>
      <c r="F499" s="250" t="s">
        <v>390</v>
      </c>
      <c r="G499" s="251" t="s">
        <v>16</v>
      </c>
      <c r="H499" s="252">
        <v>2</v>
      </c>
      <c r="I499" s="252">
        <v>2</v>
      </c>
      <c r="J499" s="252">
        <v>1</v>
      </c>
      <c r="K499" s="252">
        <v>1</v>
      </c>
      <c r="L499" s="253">
        <v>2</v>
      </c>
      <c r="M499" s="254">
        <f t="shared" si="15"/>
        <v>0.37356464144298934</v>
      </c>
      <c r="N499" s="255"/>
    </row>
    <row r="500" spans="1:14" hidden="1" x14ac:dyDescent="0.2">
      <c r="A500" s="273" t="s">
        <v>319</v>
      </c>
      <c r="B500" s="277" t="s">
        <v>389</v>
      </c>
      <c r="C500" s="247" t="s">
        <v>50</v>
      </c>
      <c r="D500" s="276" t="s">
        <v>135</v>
      </c>
      <c r="E500" s="249">
        <v>2.8168341648564131E-3</v>
      </c>
      <c r="F500" s="250" t="s">
        <v>390</v>
      </c>
      <c r="G500" s="251" t="s">
        <v>16</v>
      </c>
      <c r="H500" s="252">
        <v>2</v>
      </c>
      <c r="I500" s="252">
        <v>2</v>
      </c>
      <c r="J500" s="252">
        <v>1</v>
      </c>
      <c r="K500" s="252">
        <v>1</v>
      </c>
      <c r="L500" s="253">
        <v>2</v>
      </c>
      <c r="M500" s="254">
        <f t="shared" si="15"/>
        <v>0.37356464144298934</v>
      </c>
      <c r="N500" s="255"/>
    </row>
    <row r="501" spans="1:14" hidden="1" x14ac:dyDescent="0.2">
      <c r="A501" s="273" t="s">
        <v>319</v>
      </c>
      <c r="B501" s="277" t="s">
        <v>389</v>
      </c>
      <c r="C501" s="247" t="s">
        <v>52</v>
      </c>
      <c r="D501" s="276" t="s">
        <v>135</v>
      </c>
      <c r="E501" s="249">
        <v>1.7647166062020311E-2</v>
      </c>
      <c r="F501" s="250" t="s">
        <v>390</v>
      </c>
      <c r="G501" s="251" t="s">
        <v>16</v>
      </c>
      <c r="H501" s="252">
        <v>2</v>
      </c>
      <c r="I501" s="252">
        <v>2</v>
      </c>
      <c r="J501" s="252">
        <v>1</v>
      </c>
      <c r="K501" s="252">
        <v>1</v>
      </c>
      <c r="L501" s="253">
        <v>2</v>
      </c>
      <c r="M501" s="254">
        <f t="shared" si="15"/>
        <v>0.37356464144298934</v>
      </c>
      <c r="N501" s="255"/>
    </row>
    <row r="502" spans="1:14" hidden="1" x14ac:dyDescent="0.2">
      <c r="A502" s="273" t="s">
        <v>319</v>
      </c>
      <c r="B502" s="277" t="s">
        <v>389</v>
      </c>
      <c r="C502" s="247" t="s">
        <v>54</v>
      </c>
      <c r="D502" s="276" t="s">
        <v>135</v>
      </c>
      <c r="E502" s="249">
        <v>0.1178578409016874</v>
      </c>
      <c r="F502" s="250" t="s">
        <v>390</v>
      </c>
      <c r="G502" s="251" t="s">
        <v>16</v>
      </c>
      <c r="H502" s="252">
        <v>2</v>
      </c>
      <c r="I502" s="252">
        <v>2</v>
      </c>
      <c r="J502" s="252">
        <v>1</v>
      </c>
      <c r="K502" s="252">
        <v>1</v>
      </c>
      <c r="L502" s="253">
        <v>2</v>
      </c>
      <c r="M502" s="254">
        <f t="shared" si="15"/>
        <v>0.37356464144298934</v>
      </c>
      <c r="N502" s="255"/>
    </row>
    <row r="503" spans="1:14" hidden="1" x14ac:dyDescent="0.2">
      <c r="A503" s="273" t="s">
        <v>319</v>
      </c>
      <c r="B503" s="277" t="s">
        <v>389</v>
      </c>
      <c r="C503" s="247" t="s">
        <v>55</v>
      </c>
      <c r="D503" s="276" t="s">
        <v>135</v>
      </c>
      <c r="E503" s="61">
        <v>0</v>
      </c>
      <c r="F503" s="250" t="s">
        <v>390</v>
      </c>
      <c r="G503" s="234" t="s">
        <v>16</v>
      </c>
      <c r="H503" s="61"/>
      <c r="I503" s="61"/>
      <c r="J503" s="61"/>
      <c r="K503" s="61"/>
      <c r="L503" s="62"/>
      <c r="M503" s="63" t="str">
        <f t="shared" si="15"/>
        <v/>
      </c>
      <c r="N503" s="255"/>
    </row>
    <row r="504" spans="1:14" hidden="1" x14ac:dyDescent="0.2">
      <c r="A504" s="273" t="s">
        <v>319</v>
      </c>
      <c r="B504" s="277" t="s">
        <v>389</v>
      </c>
      <c r="C504" s="247" t="s">
        <v>57</v>
      </c>
      <c r="D504" s="276" t="s">
        <v>135</v>
      </c>
      <c r="E504" s="61">
        <v>0</v>
      </c>
      <c r="F504" s="250" t="s">
        <v>390</v>
      </c>
      <c r="G504" s="234" t="s">
        <v>16</v>
      </c>
      <c r="H504" s="61"/>
      <c r="I504" s="61"/>
      <c r="J504" s="61"/>
      <c r="K504" s="61"/>
      <c r="L504" s="62"/>
      <c r="M504" s="63" t="str">
        <f t="shared" si="15"/>
        <v/>
      </c>
      <c r="N504" s="255"/>
    </row>
    <row r="505" spans="1:14" hidden="1" x14ac:dyDescent="0.2">
      <c r="A505" s="273" t="s">
        <v>319</v>
      </c>
      <c r="B505" s="277" t="s">
        <v>389</v>
      </c>
      <c r="C505" s="247" t="s">
        <v>59</v>
      </c>
      <c r="D505" s="276" t="s">
        <v>135</v>
      </c>
      <c r="E505" s="249">
        <v>0.73780000000000001</v>
      </c>
      <c r="F505" s="250" t="s">
        <v>360</v>
      </c>
      <c r="G505" s="251" t="s">
        <v>16</v>
      </c>
      <c r="H505" s="252">
        <v>2</v>
      </c>
      <c r="I505" s="252">
        <v>2</v>
      </c>
      <c r="J505" s="252">
        <v>1</v>
      </c>
      <c r="K505" s="252">
        <v>1</v>
      </c>
      <c r="L505" s="253">
        <v>2</v>
      </c>
      <c r="M505" s="254">
        <f t="shared" si="15"/>
        <v>0.37356464144298934</v>
      </c>
      <c r="N505" s="255"/>
    </row>
    <row r="506" spans="1:14" hidden="1" x14ac:dyDescent="0.2">
      <c r="A506" s="273" t="s">
        <v>319</v>
      </c>
      <c r="B506" s="275" t="s">
        <v>389</v>
      </c>
      <c r="C506" s="247" t="s">
        <v>60</v>
      </c>
      <c r="D506" s="276" t="s">
        <v>135</v>
      </c>
      <c r="E506" s="249">
        <v>9.6214687630905935E-3</v>
      </c>
      <c r="F506" s="250" t="s">
        <v>390</v>
      </c>
      <c r="G506" s="251" t="s">
        <v>16</v>
      </c>
      <c r="H506" s="252">
        <v>2</v>
      </c>
      <c r="I506" s="252">
        <v>2</v>
      </c>
      <c r="J506" s="252">
        <v>1</v>
      </c>
      <c r="K506" s="252">
        <v>1</v>
      </c>
      <c r="L506" s="253">
        <v>2</v>
      </c>
      <c r="M506" s="254">
        <f t="shared" si="15"/>
        <v>0.37356464144298934</v>
      </c>
      <c r="N506" s="255"/>
    </row>
    <row r="507" spans="1:14" x14ac:dyDescent="0.2">
      <c r="A507" s="236" t="s">
        <v>319</v>
      </c>
      <c r="B507" s="278" t="s">
        <v>391</v>
      </c>
      <c r="C507" s="238" t="s">
        <v>135</v>
      </c>
      <c r="D507" s="279" t="s">
        <v>135</v>
      </c>
      <c r="E507" s="280" t="s">
        <v>188</v>
      </c>
      <c r="F507" s="241"/>
      <c r="G507" s="242"/>
      <c r="H507" s="240"/>
      <c r="I507" s="240"/>
      <c r="J507" s="240"/>
      <c r="K507" s="240"/>
      <c r="L507" s="243"/>
      <c r="M507" s="244" t="str">
        <f t="shared" si="15"/>
        <v/>
      </c>
      <c r="N507" s="245"/>
    </row>
    <row r="508" spans="1:14" x14ac:dyDescent="0.2">
      <c r="A508" s="230" t="s">
        <v>320</v>
      </c>
      <c r="B508" s="231" t="s">
        <v>387</v>
      </c>
      <c r="C508" s="247" t="s">
        <v>13</v>
      </c>
      <c r="D508" s="232" t="s">
        <v>135</v>
      </c>
      <c r="E508" s="249">
        <v>4.8673223990885417E-2</v>
      </c>
      <c r="F508" s="250" t="s">
        <v>386</v>
      </c>
      <c r="G508" s="251" t="s">
        <v>16</v>
      </c>
      <c r="H508" s="252">
        <v>2</v>
      </c>
      <c r="I508" s="252">
        <v>2</v>
      </c>
      <c r="J508" s="252">
        <v>1</v>
      </c>
      <c r="K508" s="252">
        <v>1</v>
      </c>
      <c r="L508" s="253">
        <v>2</v>
      </c>
      <c r="M508" s="254">
        <f t="shared" si="15"/>
        <v>0.37356464144298934</v>
      </c>
      <c r="N508" s="255"/>
    </row>
    <row r="509" spans="1:14" hidden="1" x14ac:dyDescent="0.2">
      <c r="A509" s="230" t="s">
        <v>320</v>
      </c>
      <c r="B509" s="231" t="s">
        <v>387</v>
      </c>
      <c r="C509" s="247" t="s">
        <v>18</v>
      </c>
      <c r="D509" s="232" t="s">
        <v>135</v>
      </c>
      <c r="E509" s="249">
        <v>6.0125061995442708E-2</v>
      </c>
      <c r="F509" s="250" t="s">
        <v>386</v>
      </c>
      <c r="G509" s="251" t="s">
        <v>16</v>
      </c>
      <c r="H509" s="252">
        <v>2</v>
      </c>
      <c r="I509" s="252">
        <v>2</v>
      </c>
      <c r="J509" s="252">
        <v>1</v>
      </c>
      <c r="K509" s="252">
        <v>1</v>
      </c>
      <c r="L509" s="253">
        <v>2</v>
      </c>
      <c r="M509" s="254">
        <f t="shared" si="15"/>
        <v>0.37356464144298934</v>
      </c>
      <c r="N509" s="255"/>
    </row>
    <row r="510" spans="1:14" hidden="1" x14ac:dyDescent="0.2">
      <c r="A510" s="230" t="s">
        <v>320</v>
      </c>
      <c r="B510" s="231" t="s">
        <v>387</v>
      </c>
      <c r="C510" s="247" t="s">
        <v>20</v>
      </c>
      <c r="D510" s="232" t="s">
        <v>135</v>
      </c>
      <c r="E510" s="249">
        <v>9.1614704036458341E-2</v>
      </c>
      <c r="F510" s="250" t="s">
        <v>386</v>
      </c>
      <c r="G510" s="251" t="s">
        <v>16</v>
      </c>
      <c r="H510" s="252">
        <v>2</v>
      </c>
      <c r="I510" s="252">
        <v>2</v>
      </c>
      <c r="J510" s="252">
        <v>1</v>
      </c>
      <c r="K510" s="252">
        <v>1</v>
      </c>
      <c r="L510" s="253">
        <v>2</v>
      </c>
      <c r="M510" s="254">
        <f t="shared" si="15"/>
        <v>0.37356464144298934</v>
      </c>
      <c r="N510" s="255"/>
    </row>
    <row r="511" spans="1:14" hidden="1" x14ac:dyDescent="0.2">
      <c r="A511" s="230" t="s">
        <v>320</v>
      </c>
      <c r="B511" s="231" t="s">
        <v>387</v>
      </c>
      <c r="C511" s="247" t="s">
        <v>22</v>
      </c>
      <c r="D511" s="232" t="s">
        <v>135</v>
      </c>
      <c r="E511" s="249">
        <v>5.4393318050130222E-2</v>
      </c>
      <c r="F511" s="250" t="s">
        <v>386</v>
      </c>
      <c r="G511" s="251" t="s">
        <v>16</v>
      </c>
      <c r="H511" s="252">
        <v>2</v>
      </c>
      <c r="I511" s="252">
        <v>2</v>
      </c>
      <c r="J511" s="252">
        <v>1</v>
      </c>
      <c r="K511" s="252">
        <v>1</v>
      </c>
      <c r="L511" s="253">
        <v>2</v>
      </c>
      <c r="M511" s="254">
        <f t="shared" si="15"/>
        <v>0.37356464144298934</v>
      </c>
      <c r="N511" s="255"/>
    </row>
    <row r="512" spans="1:14" hidden="1" x14ac:dyDescent="0.2">
      <c r="A512" s="230" t="s">
        <v>320</v>
      </c>
      <c r="B512" s="231" t="s">
        <v>387</v>
      </c>
      <c r="C512" s="247" t="s">
        <v>23</v>
      </c>
      <c r="D512" s="232" t="s">
        <v>135</v>
      </c>
      <c r="E512" s="249">
        <v>6.7278092041015633E-2</v>
      </c>
      <c r="F512" s="250" t="s">
        <v>386</v>
      </c>
      <c r="G512" s="251" t="s">
        <v>16</v>
      </c>
      <c r="H512" s="252">
        <v>2</v>
      </c>
      <c r="I512" s="252">
        <v>2</v>
      </c>
      <c r="J512" s="252">
        <v>1</v>
      </c>
      <c r="K512" s="252">
        <v>1</v>
      </c>
      <c r="L512" s="253">
        <v>2</v>
      </c>
      <c r="M512" s="254">
        <f t="shared" si="15"/>
        <v>0.37356464144298934</v>
      </c>
      <c r="N512" s="255"/>
    </row>
    <row r="513" spans="1:14" hidden="1" x14ac:dyDescent="0.2">
      <c r="A513" s="230" t="s">
        <v>320</v>
      </c>
      <c r="B513" s="231" t="s">
        <v>387</v>
      </c>
      <c r="C513" s="247" t="s">
        <v>24</v>
      </c>
      <c r="D513" s="232" t="s">
        <v>135</v>
      </c>
      <c r="E513" s="249">
        <v>8.3028738004557304E-2</v>
      </c>
      <c r="F513" s="250" t="s">
        <v>386</v>
      </c>
      <c r="G513" s="251" t="s">
        <v>16</v>
      </c>
      <c r="H513" s="252">
        <v>2</v>
      </c>
      <c r="I513" s="252">
        <v>2</v>
      </c>
      <c r="J513" s="252">
        <v>1</v>
      </c>
      <c r="K513" s="252">
        <v>1</v>
      </c>
      <c r="L513" s="253">
        <v>2</v>
      </c>
      <c r="M513" s="254">
        <f t="shared" si="15"/>
        <v>0.37356464144298934</v>
      </c>
      <c r="N513" s="255"/>
    </row>
    <row r="514" spans="1:14" hidden="1" x14ac:dyDescent="0.2">
      <c r="A514" s="230" t="s">
        <v>320</v>
      </c>
      <c r="B514" s="231" t="s">
        <v>387</v>
      </c>
      <c r="C514" s="247" t="s">
        <v>25</v>
      </c>
      <c r="D514" s="232" t="s">
        <v>135</v>
      </c>
      <c r="E514" s="249">
        <v>4.2941480045572918E-2</v>
      </c>
      <c r="F514" s="250" t="s">
        <v>386</v>
      </c>
      <c r="G514" s="251" t="s">
        <v>16</v>
      </c>
      <c r="H514" s="252">
        <v>2</v>
      </c>
      <c r="I514" s="252">
        <v>2</v>
      </c>
      <c r="J514" s="252">
        <v>1</v>
      </c>
      <c r="K514" s="252">
        <v>1</v>
      </c>
      <c r="L514" s="253">
        <v>2</v>
      </c>
      <c r="M514" s="254">
        <f>IF( OR( ISBLANK(H514),ISBLANK(I514), ISBLANK(J514), ISBLANK(K514), ISBLANK(L514) ), "", 1.5*SQRT(   EXP(2.21*(H514-1)) + EXP(2.21*(I514-1)) + EXP(2.21*(J514-1)) + EXP(2.21*(K514-1)) + EXP(2.21*L514)   )/100*2.45 )</f>
        <v>0.37356464144298934</v>
      </c>
      <c r="N514" s="255"/>
    </row>
    <row r="515" spans="1:14" hidden="1" x14ac:dyDescent="0.2">
      <c r="A515" s="230" t="s">
        <v>320</v>
      </c>
      <c r="B515" s="231" t="s">
        <v>387</v>
      </c>
      <c r="C515" s="247" t="s">
        <v>26</v>
      </c>
      <c r="D515" s="232" t="s">
        <v>135</v>
      </c>
      <c r="E515" s="249">
        <v>4.1520193945312499E-2</v>
      </c>
      <c r="F515" s="250" t="s">
        <v>386</v>
      </c>
      <c r="G515" s="251" t="s">
        <v>16</v>
      </c>
      <c r="H515" s="252">
        <v>2</v>
      </c>
      <c r="I515" s="252">
        <v>2</v>
      </c>
      <c r="J515" s="252">
        <v>1</v>
      </c>
      <c r="K515" s="252">
        <v>1</v>
      </c>
      <c r="L515" s="253">
        <v>2</v>
      </c>
      <c r="M515" s="254">
        <f t="shared" ref="M515:M546" si="16">IF( OR( ISBLANK(H515),ISBLANK(I515), ISBLANK(J515), ISBLANK(K515), ISBLANK(L515) ), "", 1.5*SQRT( EXP(2.21*(H515-1)) + EXP(2.21*(I515-1)) + EXP(2.21*(J515-1)) + EXP(2.21*(K515-1)) + EXP(2.21*L515) )/100*2.45 )</f>
        <v>0.37356464144298934</v>
      </c>
      <c r="N515" s="255"/>
    </row>
    <row r="516" spans="1:14" hidden="1" x14ac:dyDescent="0.2">
      <c r="A516" s="230" t="s">
        <v>320</v>
      </c>
      <c r="B516" s="231" t="s">
        <v>387</v>
      </c>
      <c r="C516" s="247" t="s">
        <v>27</v>
      </c>
      <c r="D516" s="232" t="s">
        <v>135</v>
      </c>
      <c r="E516" s="249">
        <v>3.5788449999999999E-2</v>
      </c>
      <c r="F516" s="250" t="s">
        <v>386</v>
      </c>
      <c r="G516" s="251" t="s">
        <v>16</v>
      </c>
      <c r="H516" s="252">
        <v>2</v>
      </c>
      <c r="I516" s="252">
        <v>2</v>
      </c>
      <c r="J516" s="252">
        <v>1</v>
      </c>
      <c r="K516" s="252">
        <v>1</v>
      </c>
      <c r="L516" s="253">
        <v>2</v>
      </c>
      <c r="M516" s="254">
        <f t="shared" si="16"/>
        <v>0.37356464144298934</v>
      </c>
      <c r="N516" s="255"/>
    </row>
    <row r="517" spans="1:14" hidden="1" x14ac:dyDescent="0.2">
      <c r="A517" s="230" t="s">
        <v>320</v>
      </c>
      <c r="B517" s="231" t="s">
        <v>387</v>
      </c>
      <c r="C517" s="247" t="s">
        <v>28</v>
      </c>
      <c r="D517" s="232" t="s">
        <v>135</v>
      </c>
      <c r="E517" s="249">
        <v>3.5788449999999999E-2</v>
      </c>
      <c r="F517" s="250" t="s">
        <v>386</v>
      </c>
      <c r="G517" s="251" t="s">
        <v>16</v>
      </c>
      <c r="H517" s="252">
        <v>2</v>
      </c>
      <c r="I517" s="252">
        <v>2</v>
      </c>
      <c r="J517" s="252">
        <v>1</v>
      </c>
      <c r="K517" s="252">
        <v>1</v>
      </c>
      <c r="L517" s="253">
        <v>2</v>
      </c>
      <c r="M517" s="254">
        <f t="shared" si="16"/>
        <v>0.37356464144298934</v>
      </c>
      <c r="N517" s="255"/>
    </row>
    <row r="518" spans="1:14" hidden="1" x14ac:dyDescent="0.2">
      <c r="A518" s="230" t="s">
        <v>320</v>
      </c>
      <c r="B518" s="231" t="s">
        <v>387</v>
      </c>
      <c r="C518" s="247" t="s">
        <v>30</v>
      </c>
      <c r="D518" s="232" t="s">
        <v>135</v>
      </c>
      <c r="E518" s="249">
        <v>7.1576899999999999E-2</v>
      </c>
      <c r="F518" s="250" t="s">
        <v>386</v>
      </c>
      <c r="G518" s="251" t="s">
        <v>16</v>
      </c>
      <c r="H518" s="252">
        <v>2</v>
      </c>
      <c r="I518" s="252">
        <v>2</v>
      </c>
      <c r="J518" s="252">
        <v>1</v>
      </c>
      <c r="K518" s="252">
        <v>1</v>
      </c>
      <c r="L518" s="253">
        <v>2</v>
      </c>
      <c r="M518" s="254">
        <f t="shared" si="16"/>
        <v>0.37356464144298934</v>
      </c>
      <c r="N518" s="255"/>
    </row>
    <row r="519" spans="1:14" hidden="1" x14ac:dyDescent="0.2">
      <c r="A519" s="230" t="s">
        <v>320</v>
      </c>
      <c r="B519" s="231" t="s">
        <v>387</v>
      </c>
      <c r="C519" s="247" t="s">
        <v>32</v>
      </c>
      <c r="D519" s="232" t="s">
        <v>135</v>
      </c>
      <c r="E519" s="249">
        <v>4.5807352018229171E-2</v>
      </c>
      <c r="F519" s="250" t="s">
        <v>386</v>
      </c>
      <c r="G519" s="251" t="s">
        <v>16</v>
      </c>
      <c r="H519" s="252">
        <v>2</v>
      </c>
      <c r="I519" s="252">
        <v>2</v>
      </c>
      <c r="J519" s="252">
        <v>1</v>
      </c>
      <c r="K519" s="252">
        <v>1</v>
      </c>
      <c r="L519" s="253">
        <v>2</v>
      </c>
      <c r="M519" s="254">
        <f t="shared" si="16"/>
        <v>0.37356464144298934</v>
      </c>
      <c r="N519" s="255"/>
    </row>
    <row r="520" spans="1:14" hidden="1" x14ac:dyDescent="0.2">
      <c r="A520" s="230" t="s">
        <v>320</v>
      </c>
      <c r="B520" s="231" t="s">
        <v>387</v>
      </c>
      <c r="C520" s="247" t="s">
        <v>34</v>
      </c>
      <c r="D520" s="232" t="s">
        <v>135</v>
      </c>
      <c r="E520" s="249">
        <v>5.2972031949869797E-2</v>
      </c>
      <c r="F520" s="250" t="s">
        <v>386</v>
      </c>
      <c r="G520" s="251" t="s">
        <v>16</v>
      </c>
      <c r="H520" s="252">
        <v>2</v>
      </c>
      <c r="I520" s="252">
        <v>2</v>
      </c>
      <c r="J520" s="252">
        <v>1</v>
      </c>
      <c r="K520" s="252">
        <v>1</v>
      </c>
      <c r="L520" s="253">
        <v>2</v>
      </c>
      <c r="M520" s="254">
        <f t="shared" si="16"/>
        <v>0.37356464144298934</v>
      </c>
      <c r="N520" s="255"/>
    </row>
    <row r="521" spans="1:14" hidden="1" x14ac:dyDescent="0.2">
      <c r="A521" s="230" t="s">
        <v>320</v>
      </c>
      <c r="B521" s="231" t="s">
        <v>387</v>
      </c>
      <c r="C521" s="247" t="s">
        <v>36</v>
      </c>
      <c r="D521" s="232" t="s">
        <v>135</v>
      </c>
      <c r="E521" s="249">
        <v>5.7259190022786462E-2</v>
      </c>
      <c r="F521" s="250" t="s">
        <v>386</v>
      </c>
      <c r="G521" s="251" t="s">
        <v>16</v>
      </c>
      <c r="H521" s="252">
        <v>2</v>
      </c>
      <c r="I521" s="252">
        <v>2</v>
      </c>
      <c r="J521" s="252">
        <v>1</v>
      </c>
      <c r="K521" s="252">
        <v>1</v>
      </c>
      <c r="L521" s="253">
        <v>2</v>
      </c>
      <c r="M521" s="254">
        <f t="shared" si="16"/>
        <v>0.37356464144298934</v>
      </c>
      <c r="N521" s="255"/>
    </row>
    <row r="522" spans="1:14" hidden="1" x14ac:dyDescent="0.2">
      <c r="A522" s="230" t="s">
        <v>320</v>
      </c>
      <c r="B522" s="231" t="s">
        <v>387</v>
      </c>
      <c r="C522" s="247" t="s">
        <v>37</v>
      </c>
      <c r="D522" s="232" t="s">
        <v>135</v>
      </c>
      <c r="E522" s="249">
        <v>5.4393318050130222E-2</v>
      </c>
      <c r="F522" s="250" t="s">
        <v>386</v>
      </c>
      <c r="G522" s="251" t="s">
        <v>16</v>
      </c>
      <c r="H522" s="252">
        <v>2</v>
      </c>
      <c r="I522" s="252">
        <v>2</v>
      </c>
      <c r="J522" s="252">
        <v>1</v>
      </c>
      <c r="K522" s="252">
        <v>1</v>
      </c>
      <c r="L522" s="253">
        <v>2</v>
      </c>
      <c r="M522" s="254">
        <f t="shared" si="16"/>
        <v>0.37356464144298934</v>
      </c>
      <c r="N522" s="255"/>
    </row>
    <row r="523" spans="1:14" hidden="1" x14ac:dyDescent="0.2">
      <c r="A523" s="230" t="s">
        <v>320</v>
      </c>
      <c r="B523" s="231" t="s">
        <v>387</v>
      </c>
      <c r="C523" s="247" t="s">
        <v>39</v>
      </c>
      <c r="D523" s="232" t="s">
        <v>135</v>
      </c>
      <c r="E523" s="249">
        <v>5.153909596354167E-2</v>
      </c>
      <c r="F523" s="250" t="s">
        <v>386</v>
      </c>
      <c r="G523" s="251" t="s">
        <v>16</v>
      </c>
      <c r="H523" s="252">
        <v>2</v>
      </c>
      <c r="I523" s="252">
        <v>2</v>
      </c>
      <c r="J523" s="252">
        <v>1</v>
      </c>
      <c r="K523" s="252">
        <v>1</v>
      </c>
      <c r="L523" s="253">
        <v>2</v>
      </c>
      <c r="M523" s="254">
        <f t="shared" si="16"/>
        <v>0.37356464144298934</v>
      </c>
      <c r="N523" s="255"/>
    </row>
    <row r="524" spans="1:14" hidden="1" x14ac:dyDescent="0.2">
      <c r="A524" s="230" t="s">
        <v>320</v>
      </c>
      <c r="B524" s="231" t="s">
        <v>387</v>
      </c>
      <c r="C524" s="247" t="s">
        <v>40</v>
      </c>
      <c r="D524" s="232" t="s">
        <v>135</v>
      </c>
      <c r="E524" s="249">
        <v>7.3009835986328139E-2</v>
      </c>
      <c r="F524" s="250" t="s">
        <v>386</v>
      </c>
      <c r="G524" s="251" t="s">
        <v>16</v>
      </c>
      <c r="H524" s="252">
        <v>2</v>
      </c>
      <c r="I524" s="252">
        <v>2</v>
      </c>
      <c r="J524" s="252">
        <v>1</v>
      </c>
      <c r="K524" s="252">
        <v>1</v>
      </c>
      <c r="L524" s="253">
        <v>2</v>
      </c>
      <c r="M524" s="254">
        <f t="shared" si="16"/>
        <v>0.37356464144298934</v>
      </c>
      <c r="N524" s="255"/>
    </row>
    <row r="525" spans="1:14" hidden="1" x14ac:dyDescent="0.2">
      <c r="A525" s="230" t="s">
        <v>320</v>
      </c>
      <c r="B525" s="231" t="s">
        <v>387</v>
      </c>
      <c r="C525" s="247" t="s">
        <v>41</v>
      </c>
      <c r="D525" s="232" t="s">
        <v>135</v>
      </c>
      <c r="E525" s="249">
        <v>5.2972031949869797E-2</v>
      </c>
      <c r="F525" s="250" t="s">
        <v>386</v>
      </c>
      <c r="G525" s="251" t="s">
        <v>16</v>
      </c>
      <c r="H525" s="252">
        <v>2</v>
      </c>
      <c r="I525" s="252">
        <v>2</v>
      </c>
      <c r="J525" s="252">
        <v>1</v>
      </c>
      <c r="K525" s="252">
        <v>1</v>
      </c>
      <c r="L525" s="253">
        <v>2</v>
      </c>
      <c r="M525" s="254">
        <f t="shared" si="16"/>
        <v>0.37356464144298934</v>
      </c>
      <c r="N525" s="255"/>
    </row>
    <row r="526" spans="1:14" hidden="1" x14ac:dyDescent="0.2">
      <c r="A526" s="230" t="s">
        <v>320</v>
      </c>
      <c r="B526" s="231" t="s">
        <v>387</v>
      </c>
      <c r="C526" s="247" t="s">
        <v>42</v>
      </c>
      <c r="D526" s="232" t="s">
        <v>135</v>
      </c>
      <c r="E526" s="249">
        <v>4.7240288004557297E-2</v>
      </c>
      <c r="F526" s="250" t="s">
        <v>386</v>
      </c>
      <c r="G526" s="251" t="s">
        <v>16</v>
      </c>
      <c r="H526" s="252">
        <v>2</v>
      </c>
      <c r="I526" s="252">
        <v>2</v>
      </c>
      <c r="J526" s="252">
        <v>1</v>
      </c>
      <c r="K526" s="252">
        <v>1</v>
      </c>
      <c r="L526" s="253">
        <v>2</v>
      </c>
      <c r="M526" s="254">
        <f t="shared" si="16"/>
        <v>0.37356464144298934</v>
      </c>
      <c r="N526" s="255"/>
    </row>
    <row r="527" spans="1:14" hidden="1" x14ac:dyDescent="0.2">
      <c r="A527" s="230" t="s">
        <v>320</v>
      </c>
      <c r="B527" s="231" t="s">
        <v>387</v>
      </c>
      <c r="C527" s="247" t="s">
        <v>43</v>
      </c>
      <c r="D527" s="232" t="s">
        <v>135</v>
      </c>
      <c r="E527" s="249">
        <v>7.1576899999999999E-2</v>
      </c>
      <c r="F527" s="250" t="s">
        <v>386</v>
      </c>
      <c r="G527" s="251" t="s">
        <v>16</v>
      </c>
      <c r="H527" s="252">
        <v>2</v>
      </c>
      <c r="I527" s="252">
        <v>2</v>
      </c>
      <c r="J527" s="252">
        <v>1</v>
      </c>
      <c r="K527" s="252">
        <v>1</v>
      </c>
      <c r="L527" s="253">
        <v>2</v>
      </c>
      <c r="M527" s="254">
        <f t="shared" si="16"/>
        <v>0.37356464144298934</v>
      </c>
      <c r="N527" s="255"/>
    </row>
    <row r="528" spans="1:14" hidden="1" x14ac:dyDescent="0.2">
      <c r="A528" s="230" t="s">
        <v>320</v>
      </c>
      <c r="B528" s="231" t="s">
        <v>387</v>
      </c>
      <c r="C528" s="247" t="s">
        <v>45</v>
      </c>
      <c r="D528" s="232" t="s">
        <v>135</v>
      </c>
      <c r="E528" s="249">
        <v>6.7278092041015633E-2</v>
      </c>
      <c r="F528" s="250" t="s">
        <v>386</v>
      </c>
      <c r="G528" s="251" t="s">
        <v>16</v>
      </c>
      <c r="H528" s="252">
        <v>2</v>
      </c>
      <c r="I528" s="252">
        <v>2</v>
      </c>
      <c r="J528" s="252">
        <v>1</v>
      </c>
      <c r="K528" s="252">
        <v>1</v>
      </c>
      <c r="L528" s="253">
        <v>2</v>
      </c>
      <c r="M528" s="254">
        <f t="shared" si="16"/>
        <v>0.37356464144298934</v>
      </c>
      <c r="N528" s="255"/>
    </row>
    <row r="529" spans="1:14" hidden="1" x14ac:dyDescent="0.2">
      <c r="A529" s="230" t="s">
        <v>320</v>
      </c>
      <c r="B529" s="231" t="s">
        <v>387</v>
      </c>
      <c r="C529" s="247" t="s">
        <v>46</v>
      </c>
      <c r="D529" s="232" t="s">
        <v>135</v>
      </c>
      <c r="E529" s="249">
        <v>4.1520193945312499E-2</v>
      </c>
      <c r="F529" s="250" t="s">
        <v>386</v>
      </c>
      <c r="G529" s="251" t="s">
        <v>16</v>
      </c>
      <c r="H529" s="252">
        <v>2</v>
      </c>
      <c r="I529" s="252">
        <v>2</v>
      </c>
      <c r="J529" s="252">
        <v>1</v>
      </c>
      <c r="K529" s="252">
        <v>1</v>
      </c>
      <c r="L529" s="253">
        <v>2</v>
      </c>
      <c r="M529" s="254">
        <f t="shared" si="16"/>
        <v>0.37356464144298934</v>
      </c>
      <c r="N529" s="255"/>
    </row>
    <row r="530" spans="1:14" hidden="1" x14ac:dyDescent="0.2">
      <c r="A530" s="230" t="s">
        <v>320</v>
      </c>
      <c r="B530" s="231" t="s">
        <v>387</v>
      </c>
      <c r="C530" s="247" t="s">
        <v>48</v>
      </c>
      <c r="D530" s="232" t="s">
        <v>135</v>
      </c>
      <c r="E530" s="249">
        <v>5.7259190022786462E-2</v>
      </c>
      <c r="F530" s="250" t="s">
        <v>386</v>
      </c>
      <c r="G530" s="251" t="s">
        <v>16</v>
      </c>
      <c r="H530" s="252">
        <v>2</v>
      </c>
      <c r="I530" s="252">
        <v>2</v>
      </c>
      <c r="J530" s="252">
        <v>1</v>
      </c>
      <c r="K530" s="252">
        <v>1</v>
      </c>
      <c r="L530" s="253">
        <v>2</v>
      </c>
      <c r="M530" s="254">
        <f t="shared" si="16"/>
        <v>0.37356464144298934</v>
      </c>
      <c r="N530" s="255"/>
    </row>
    <row r="531" spans="1:14" hidden="1" x14ac:dyDescent="0.2">
      <c r="A531" s="230" t="s">
        <v>320</v>
      </c>
      <c r="B531" s="231" t="s">
        <v>387</v>
      </c>
      <c r="C531" s="247" t="s">
        <v>50</v>
      </c>
      <c r="D531" s="232" t="s">
        <v>135</v>
      </c>
      <c r="E531" s="249">
        <v>6.2990933968098961E-2</v>
      </c>
      <c r="F531" s="250" t="s">
        <v>386</v>
      </c>
      <c r="G531" s="251" t="s">
        <v>16</v>
      </c>
      <c r="H531" s="252">
        <v>2</v>
      </c>
      <c r="I531" s="252">
        <v>2</v>
      </c>
      <c r="J531" s="252">
        <v>1</v>
      </c>
      <c r="K531" s="252">
        <v>1</v>
      </c>
      <c r="L531" s="253">
        <v>2</v>
      </c>
      <c r="M531" s="254">
        <f t="shared" si="16"/>
        <v>0.37356464144298934</v>
      </c>
      <c r="N531" s="255"/>
    </row>
    <row r="532" spans="1:14" hidden="1" x14ac:dyDescent="0.2">
      <c r="A532" s="230" t="s">
        <v>320</v>
      </c>
      <c r="B532" s="231" t="s">
        <v>387</v>
      </c>
      <c r="C532" s="247" t="s">
        <v>52</v>
      </c>
      <c r="D532" s="232" t="s">
        <v>135</v>
      </c>
      <c r="E532" s="249">
        <v>8.0162866031901051E-2</v>
      </c>
      <c r="F532" s="250" t="s">
        <v>386</v>
      </c>
      <c r="G532" s="251" t="s">
        <v>16</v>
      </c>
      <c r="H532" s="252">
        <v>2</v>
      </c>
      <c r="I532" s="252">
        <v>2</v>
      </c>
      <c r="J532" s="252">
        <v>1</v>
      </c>
      <c r="K532" s="252">
        <v>1</v>
      </c>
      <c r="L532" s="253">
        <v>2</v>
      </c>
      <c r="M532" s="254">
        <f t="shared" si="16"/>
        <v>0.37356464144298934</v>
      </c>
      <c r="N532" s="255"/>
    </row>
    <row r="533" spans="1:14" hidden="1" x14ac:dyDescent="0.2">
      <c r="A533" s="230" t="s">
        <v>320</v>
      </c>
      <c r="B533" s="231" t="s">
        <v>387</v>
      </c>
      <c r="C533" s="247" t="s">
        <v>54</v>
      </c>
      <c r="D533" s="232" t="s">
        <v>135</v>
      </c>
      <c r="E533" s="249">
        <v>9.877938396809896E-2</v>
      </c>
      <c r="F533" s="250" t="s">
        <v>386</v>
      </c>
      <c r="G533" s="251" t="s">
        <v>16</v>
      </c>
      <c r="H533" s="252">
        <v>2</v>
      </c>
      <c r="I533" s="252">
        <v>2</v>
      </c>
      <c r="J533" s="252">
        <v>1</v>
      </c>
      <c r="K533" s="252">
        <v>1</v>
      </c>
      <c r="L533" s="253">
        <v>2</v>
      </c>
      <c r="M533" s="254">
        <f t="shared" si="16"/>
        <v>0.37356464144298934</v>
      </c>
      <c r="N533" s="255"/>
    </row>
    <row r="534" spans="1:14" hidden="1" x14ac:dyDescent="0.2">
      <c r="A534" s="230" t="s">
        <v>320</v>
      </c>
      <c r="B534" s="231" t="s">
        <v>387</v>
      </c>
      <c r="C534" s="247" t="s">
        <v>55</v>
      </c>
      <c r="D534" s="232" t="s">
        <v>135</v>
      </c>
      <c r="E534" s="249">
        <v>6.0125061995442708E-2</v>
      </c>
      <c r="F534" s="250" t="s">
        <v>386</v>
      </c>
      <c r="G534" s="251" t="s">
        <v>16</v>
      </c>
      <c r="H534" s="252">
        <v>2</v>
      </c>
      <c r="I534" s="252">
        <v>2</v>
      </c>
      <c r="J534" s="252">
        <v>1</v>
      </c>
      <c r="K534" s="252">
        <v>1</v>
      </c>
      <c r="L534" s="253">
        <v>2</v>
      </c>
      <c r="M534" s="254">
        <f t="shared" si="16"/>
        <v>0.37356464144298934</v>
      </c>
      <c r="N534" s="255"/>
    </row>
    <row r="535" spans="1:14" hidden="1" x14ac:dyDescent="0.2">
      <c r="A535" s="230" t="s">
        <v>320</v>
      </c>
      <c r="B535" s="231" t="s">
        <v>387</v>
      </c>
      <c r="C535" s="247" t="s">
        <v>57</v>
      </c>
      <c r="D535" s="232" t="s">
        <v>135</v>
      </c>
      <c r="E535" s="249">
        <v>6.7278092041015633E-2</v>
      </c>
      <c r="F535" s="250" t="s">
        <v>386</v>
      </c>
      <c r="G535" s="251" t="s">
        <v>16</v>
      </c>
      <c r="H535" s="252">
        <v>2</v>
      </c>
      <c r="I535" s="252">
        <v>2</v>
      </c>
      <c r="J535" s="252">
        <v>1</v>
      </c>
      <c r="K535" s="252">
        <v>1</v>
      </c>
      <c r="L535" s="253">
        <v>2</v>
      </c>
      <c r="M535" s="254">
        <f t="shared" si="16"/>
        <v>0.37356464144298934</v>
      </c>
      <c r="N535" s="255"/>
    </row>
    <row r="536" spans="1:14" hidden="1" x14ac:dyDescent="0.2">
      <c r="A536" s="230" t="s">
        <v>320</v>
      </c>
      <c r="B536" s="231" t="s">
        <v>387</v>
      </c>
      <c r="C536" s="247" t="s">
        <v>59</v>
      </c>
      <c r="D536" s="232" t="s">
        <v>135</v>
      </c>
      <c r="E536" s="249">
        <v>7.1576899999999999E-2</v>
      </c>
      <c r="F536" s="250" t="s">
        <v>360</v>
      </c>
      <c r="G536" s="251" t="s">
        <v>16</v>
      </c>
      <c r="H536" s="252">
        <v>2</v>
      </c>
      <c r="I536" s="252">
        <v>2</v>
      </c>
      <c r="J536" s="252">
        <v>1</v>
      </c>
      <c r="K536" s="252">
        <v>1</v>
      </c>
      <c r="L536" s="253">
        <v>2</v>
      </c>
      <c r="M536" s="254">
        <f t="shared" si="16"/>
        <v>0.37356464144298934</v>
      </c>
      <c r="N536" s="255"/>
    </row>
    <row r="537" spans="1:14" hidden="1" x14ac:dyDescent="0.2">
      <c r="A537" s="230" t="s">
        <v>320</v>
      </c>
      <c r="B537" s="231" t="s">
        <v>387</v>
      </c>
      <c r="C537" s="247" t="s">
        <v>60</v>
      </c>
      <c r="D537" s="232" t="s">
        <v>135</v>
      </c>
      <c r="E537" s="249">
        <v>5.4393318050130222E-2</v>
      </c>
      <c r="F537" s="250" t="s">
        <v>386</v>
      </c>
      <c r="G537" s="251" t="s">
        <v>16</v>
      </c>
      <c r="H537" s="252">
        <v>2</v>
      </c>
      <c r="I537" s="252">
        <v>2</v>
      </c>
      <c r="J537" s="252">
        <v>1</v>
      </c>
      <c r="K537" s="252">
        <v>1</v>
      </c>
      <c r="L537" s="253">
        <v>2</v>
      </c>
      <c r="M537" s="254">
        <f t="shared" si="16"/>
        <v>0.37356464144298934</v>
      </c>
      <c r="N537" s="255"/>
    </row>
    <row r="538" spans="1:14" x14ac:dyDescent="0.2">
      <c r="A538" s="230" t="s">
        <v>320</v>
      </c>
      <c r="B538" s="231" t="s">
        <v>392</v>
      </c>
      <c r="C538" s="247" t="s">
        <v>13</v>
      </c>
      <c r="D538" s="232" t="s">
        <v>135</v>
      </c>
      <c r="E538" s="249">
        <v>0.54979052734375</v>
      </c>
      <c r="F538" s="250" t="s">
        <v>386</v>
      </c>
      <c r="G538" s="251" t="s">
        <v>16</v>
      </c>
      <c r="H538" s="252">
        <v>2</v>
      </c>
      <c r="I538" s="252">
        <v>2</v>
      </c>
      <c r="J538" s="252">
        <v>1</v>
      </c>
      <c r="K538" s="252">
        <v>1</v>
      </c>
      <c r="L538" s="253">
        <v>2</v>
      </c>
      <c r="M538" s="254">
        <f t="shared" si="16"/>
        <v>0.37356464144298934</v>
      </c>
      <c r="N538" s="255"/>
    </row>
    <row r="539" spans="1:14" hidden="1" x14ac:dyDescent="0.2">
      <c r="A539" s="230" t="s">
        <v>320</v>
      </c>
      <c r="B539" s="231" t="s">
        <v>392</v>
      </c>
      <c r="C539" s="247" t="s">
        <v>18</v>
      </c>
      <c r="D539" s="232" t="s">
        <v>135</v>
      </c>
      <c r="E539" s="249">
        <v>0.67914526367187511</v>
      </c>
      <c r="F539" s="250" t="s">
        <v>386</v>
      </c>
      <c r="G539" s="251" t="s">
        <v>16</v>
      </c>
      <c r="H539" s="252">
        <v>2</v>
      </c>
      <c r="I539" s="252">
        <v>2</v>
      </c>
      <c r="J539" s="252">
        <v>1</v>
      </c>
      <c r="K539" s="252">
        <v>1</v>
      </c>
      <c r="L539" s="253">
        <v>2</v>
      </c>
      <c r="M539" s="254">
        <f t="shared" si="16"/>
        <v>0.37356464144298934</v>
      </c>
      <c r="N539" s="255"/>
    </row>
    <row r="540" spans="1:14" hidden="1" x14ac:dyDescent="0.2">
      <c r="A540" s="230" t="s">
        <v>320</v>
      </c>
      <c r="B540" s="231" t="s">
        <v>392</v>
      </c>
      <c r="C540" s="247" t="s">
        <v>20</v>
      </c>
      <c r="D540" s="232" t="s">
        <v>135</v>
      </c>
      <c r="E540" s="715">
        <v>1</v>
      </c>
      <c r="F540" s="250" t="s">
        <v>386</v>
      </c>
      <c r="G540" s="251" t="s">
        <v>16</v>
      </c>
      <c r="H540" s="470"/>
      <c r="I540" s="470"/>
      <c r="J540" s="470"/>
      <c r="K540" s="470"/>
      <c r="L540" s="471"/>
      <c r="M540" s="456" t="str">
        <f t="shared" si="16"/>
        <v/>
      </c>
      <c r="N540" s="255"/>
    </row>
    <row r="541" spans="1:14" hidden="1" x14ac:dyDescent="0.2">
      <c r="A541" s="230" t="s">
        <v>320</v>
      </c>
      <c r="B541" s="231" t="s">
        <v>392</v>
      </c>
      <c r="C541" s="247" t="s">
        <v>22</v>
      </c>
      <c r="D541" s="232" t="s">
        <v>135</v>
      </c>
      <c r="E541" s="249">
        <v>0.61440209960937509</v>
      </c>
      <c r="F541" s="250" t="s">
        <v>386</v>
      </c>
      <c r="G541" s="251" t="s">
        <v>16</v>
      </c>
      <c r="H541" s="252">
        <v>2</v>
      </c>
      <c r="I541" s="252">
        <v>2</v>
      </c>
      <c r="J541" s="252">
        <v>1</v>
      </c>
      <c r="K541" s="252">
        <v>1</v>
      </c>
      <c r="L541" s="253">
        <v>2</v>
      </c>
      <c r="M541" s="254">
        <f t="shared" si="16"/>
        <v>0.37356464144298934</v>
      </c>
      <c r="N541" s="255"/>
    </row>
    <row r="542" spans="1:14" hidden="1" x14ac:dyDescent="0.2">
      <c r="A542" s="230" t="s">
        <v>320</v>
      </c>
      <c r="B542" s="231" t="s">
        <v>392</v>
      </c>
      <c r="C542" s="247" t="s">
        <v>23</v>
      </c>
      <c r="D542" s="232" t="s">
        <v>135</v>
      </c>
      <c r="E542" s="249">
        <v>0.75994262695312509</v>
      </c>
      <c r="F542" s="250" t="s">
        <v>386</v>
      </c>
      <c r="G542" s="251" t="s">
        <v>16</v>
      </c>
      <c r="H542" s="252">
        <v>2</v>
      </c>
      <c r="I542" s="252">
        <v>2</v>
      </c>
      <c r="J542" s="252">
        <v>1</v>
      </c>
      <c r="K542" s="252">
        <v>1</v>
      </c>
      <c r="L542" s="253">
        <v>2</v>
      </c>
      <c r="M542" s="254">
        <f t="shared" si="16"/>
        <v>0.37356464144298934</v>
      </c>
      <c r="N542" s="255"/>
    </row>
    <row r="543" spans="1:14" hidden="1" x14ac:dyDescent="0.2">
      <c r="A543" s="230" t="s">
        <v>320</v>
      </c>
      <c r="B543" s="231" t="s">
        <v>392</v>
      </c>
      <c r="C543" s="247" t="s">
        <v>24</v>
      </c>
      <c r="D543" s="232" t="s">
        <v>135</v>
      </c>
      <c r="E543" s="249">
        <v>0.9378547363281251</v>
      </c>
      <c r="F543" s="250" t="s">
        <v>386</v>
      </c>
      <c r="G543" s="251" t="s">
        <v>16</v>
      </c>
      <c r="H543" s="252">
        <v>2</v>
      </c>
      <c r="I543" s="252">
        <v>2</v>
      </c>
      <c r="J543" s="252">
        <v>1</v>
      </c>
      <c r="K543" s="252">
        <v>1</v>
      </c>
      <c r="L543" s="253">
        <v>2</v>
      </c>
      <c r="M543" s="254">
        <f t="shared" si="16"/>
        <v>0.37356464144298934</v>
      </c>
      <c r="N543" s="255"/>
    </row>
    <row r="544" spans="1:14" hidden="1" x14ac:dyDescent="0.2">
      <c r="A544" s="230" t="s">
        <v>320</v>
      </c>
      <c r="B544" s="231" t="s">
        <v>392</v>
      </c>
      <c r="C544" s="247" t="s">
        <v>25</v>
      </c>
      <c r="D544" s="232" t="s">
        <v>135</v>
      </c>
      <c r="E544" s="249">
        <v>0.48504736328124998</v>
      </c>
      <c r="F544" s="250" t="s">
        <v>386</v>
      </c>
      <c r="G544" s="251" t="s">
        <v>16</v>
      </c>
      <c r="H544" s="252">
        <v>2</v>
      </c>
      <c r="I544" s="252">
        <v>2</v>
      </c>
      <c r="J544" s="252">
        <v>1</v>
      </c>
      <c r="K544" s="252">
        <v>1</v>
      </c>
      <c r="L544" s="253">
        <v>2</v>
      </c>
      <c r="M544" s="254">
        <f t="shared" si="16"/>
        <v>0.37356464144298934</v>
      </c>
      <c r="N544" s="255"/>
    </row>
    <row r="545" spans="1:14" hidden="1" x14ac:dyDescent="0.2">
      <c r="A545" s="230" t="s">
        <v>320</v>
      </c>
      <c r="B545" s="231" t="s">
        <v>392</v>
      </c>
      <c r="C545" s="247" t="s">
        <v>26</v>
      </c>
      <c r="D545" s="232" t="s">
        <v>135</v>
      </c>
      <c r="E545" s="249">
        <v>0.46899316406250002</v>
      </c>
      <c r="F545" s="250" t="s">
        <v>386</v>
      </c>
      <c r="G545" s="251" t="s">
        <v>16</v>
      </c>
      <c r="H545" s="252">
        <v>2</v>
      </c>
      <c r="I545" s="252">
        <v>2</v>
      </c>
      <c r="J545" s="252">
        <v>1</v>
      </c>
      <c r="K545" s="252">
        <v>1</v>
      </c>
      <c r="L545" s="253">
        <v>2</v>
      </c>
      <c r="M545" s="254">
        <f t="shared" si="16"/>
        <v>0.37356464144298934</v>
      </c>
      <c r="N545" s="255"/>
    </row>
    <row r="546" spans="1:14" hidden="1" x14ac:dyDescent="0.2">
      <c r="A546" s="230" t="s">
        <v>320</v>
      </c>
      <c r="B546" s="231" t="s">
        <v>392</v>
      </c>
      <c r="C546" s="247" t="s">
        <v>27</v>
      </c>
      <c r="D546" s="232" t="s">
        <v>135</v>
      </c>
      <c r="E546" s="249">
        <v>0.40425</v>
      </c>
      <c r="F546" s="250" t="s">
        <v>386</v>
      </c>
      <c r="G546" s="251" t="s">
        <v>16</v>
      </c>
      <c r="H546" s="252">
        <v>2</v>
      </c>
      <c r="I546" s="252">
        <v>2</v>
      </c>
      <c r="J546" s="252">
        <v>1</v>
      </c>
      <c r="K546" s="252">
        <v>1</v>
      </c>
      <c r="L546" s="253">
        <v>2</v>
      </c>
      <c r="M546" s="254">
        <f t="shared" si="16"/>
        <v>0.37356464144298934</v>
      </c>
      <c r="N546" s="255"/>
    </row>
    <row r="547" spans="1:14" hidden="1" x14ac:dyDescent="0.2">
      <c r="A547" s="230" t="s">
        <v>320</v>
      </c>
      <c r="B547" s="231" t="s">
        <v>392</v>
      </c>
      <c r="C547" s="247" t="s">
        <v>28</v>
      </c>
      <c r="D547" s="232" t="s">
        <v>135</v>
      </c>
      <c r="E547" s="249">
        <v>0.40425</v>
      </c>
      <c r="F547" s="250" t="s">
        <v>386</v>
      </c>
      <c r="G547" s="251" t="s">
        <v>16</v>
      </c>
      <c r="H547" s="252">
        <v>2</v>
      </c>
      <c r="I547" s="252">
        <v>2</v>
      </c>
      <c r="J547" s="252">
        <v>1</v>
      </c>
      <c r="K547" s="252">
        <v>1</v>
      </c>
      <c r="L547" s="253">
        <v>2</v>
      </c>
      <c r="M547" s="254">
        <f t="shared" ref="M547:M577" si="17">IF( OR( ISBLANK(H547),ISBLANK(I547), ISBLANK(J547), ISBLANK(K547), ISBLANK(L547) ), "", 1.5*SQRT( EXP(2.21*(H547-1)) + EXP(2.21*(I547-1)) + EXP(2.21*(J547-1)) + EXP(2.21*(K547-1)) + EXP(2.21*L547) )/100*2.45 )</f>
        <v>0.37356464144298934</v>
      </c>
      <c r="N547" s="255"/>
    </row>
    <row r="548" spans="1:14" hidden="1" x14ac:dyDescent="0.2">
      <c r="A548" s="230" t="s">
        <v>320</v>
      </c>
      <c r="B548" s="231" t="s">
        <v>392</v>
      </c>
      <c r="C548" s="247" t="s">
        <v>30</v>
      </c>
      <c r="D548" s="232" t="s">
        <v>135</v>
      </c>
      <c r="E548" s="249">
        <v>0.8085</v>
      </c>
      <c r="F548" s="250" t="s">
        <v>386</v>
      </c>
      <c r="G548" s="251" t="s">
        <v>16</v>
      </c>
      <c r="H548" s="252">
        <v>2</v>
      </c>
      <c r="I548" s="252">
        <v>2</v>
      </c>
      <c r="J548" s="252">
        <v>1</v>
      </c>
      <c r="K548" s="252">
        <v>1</v>
      </c>
      <c r="L548" s="253">
        <v>2</v>
      </c>
      <c r="M548" s="254">
        <f t="shared" si="17"/>
        <v>0.37356464144298934</v>
      </c>
      <c r="N548" s="255"/>
    </row>
    <row r="549" spans="1:14" hidden="1" x14ac:dyDescent="0.2">
      <c r="A549" s="230" t="s">
        <v>320</v>
      </c>
      <c r="B549" s="231" t="s">
        <v>392</v>
      </c>
      <c r="C549" s="247" t="s">
        <v>32</v>
      </c>
      <c r="D549" s="232" t="s">
        <v>135</v>
      </c>
      <c r="E549" s="249">
        <v>0.51741894531249999</v>
      </c>
      <c r="F549" s="250" t="s">
        <v>386</v>
      </c>
      <c r="G549" s="251" t="s">
        <v>16</v>
      </c>
      <c r="H549" s="252">
        <v>2</v>
      </c>
      <c r="I549" s="252">
        <v>2</v>
      </c>
      <c r="J549" s="252">
        <v>1</v>
      </c>
      <c r="K549" s="252">
        <v>1</v>
      </c>
      <c r="L549" s="253">
        <v>2</v>
      </c>
      <c r="M549" s="254">
        <f t="shared" si="17"/>
        <v>0.37356464144298934</v>
      </c>
      <c r="N549" s="255"/>
    </row>
    <row r="550" spans="1:14" hidden="1" x14ac:dyDescent="0.2">
      <c r="A550" s="230" t="s">
        <v>320</v>
      </c>
      <c r="B550" s="231" t="s">
        <v>392</v>
      </c>
      <c r="C550" s="247" t="s">
        <v>34</v>
      </c>
      <c r="D550" s="232" t="s">
        <v>135</v>
      </c>
      <c r="E550" s="249">
        <v>0.59834790039062502</v>
      </c>
      <c r="F550" s="250" t="s">
        <v>386</v>
      </c>
      <c r="G550" s="251" t="s">
        <v>16</v>
      </c>
      <c r="H550" s="252">
        <v>2</v>
      </c>
      <c r="I550" s="252">
        <v>2</v>
      </c>
      <c r="J550" s="252">
        <v>1</v>
      </c>
      <c r="K550" s="252">
        <v>1</v>
      </c>
      <c r="L550" s="253">
        <v>2</v>
      </c>
      <c r="M550" s="254">
        <f t="shared" si="17"/>
        <v>0.37356464144298934</v>
      </c>
      <c r="N550" s="255"/>
    </row>
    <row r="551" spans="1:14" hidden="1" x14ac:dyDescent="0.2">
      <c r="A551" s="230" t="s">
        <v>320</v>
      </c>
      <c r="B551" s="231" t="s">
        <v>392</v>
      </c>
      <c r="C551" s="247" t="s">
        <v>36</v>
      </c>
      <c r="D551" s="232" t="s">
        <v>135</v>
      </c>
      <c r="E551" s="249">
        <v>0.6467736816406251</v>
      </c>
      <c r="F551" s="250" t="s">
        <v>386</v>
      </c>
      <c r="G551" s="251" t="s">
        <v>16</v>
      </c>
      <c r="H551" s="252">
        <v>2</v>
      </c>
      <c r="I551" s="252">
        <v>2</v>
      </c>
      <c r="J551" s="252">
        <v>1</v>
      </c>
      <c r="K551" s="252">
        <v>1</v>
      </c>
      <c r="L551" s="253">
        <v>2</v>
      </c>
      <c r="M551" s="254">
        <f t="shared" si="17"/>
        <v>0.37356464144298934</v>
      </c>
      <c r="N551" s="255"/>
    </row>
    <row r="552" spans="1:14" hidden="1" x14ac:dyDescent="0.2">
      <c r="A552" s="230" t="s">
        <v>320</v>
      </c>
      <c r="B552" s="231" t="s">
        <v>392</v>
      </c>
      <c r="C552" s="247" t="s">
        <v>37</v>
      </c>
      <c r="D552" s="232" t="s">
        <v>135</v>
      </c>
      <c r="E552" s="249">
        <v>0.61440209960937509</v>
      </c>
      <c r="F552" s="250" t="s">
        <v>386</v>
      </c>
      <c r="G552" s="251" t="s">
        <v>16</v>
      </c>
      <c r="H552" s="252">
        <v>2</v>
      </c>
      <c r="I552" s="252">
        <v>2</v>
      </c>
      <c r="J552" s="252">
        <v>1</v>
      </c>
      <c r="K552" s="252">
        <v>1</v>
      </c>
      <c r="L552" s="253">
        <v>2</v>
      </c>
      <c r="M552" s="254">
        <f t="shared" si="17"/>
        <v>0.37356464144298934</v>
      </c>
      <c r="N552" s="255"/>
    </row>
    <row r="553" spans="1:14" hidden="1" x14ac:dyDescent="0.2">
      <c r="A553" s="230" t="s">
        <v>320</v>
      </c>
      <c r="B553" s="231" t="s">
        <v>392</v>
      </c>
      <c r="C553" s="247" t="s">
        <v>39</v>
      </c>
      <c r="D553" s="232" t="s">
        <v>135</v>
      </c>
      <c r="E553" s="249">
        <v>0.58216210937500001</v>
      </c>
      <c r="F553" s="250" t="s">
        <v>386</v>
      </c>
      <c r="G553" s="251" t="s">
        <v>16</v>
      </c>
      <c r="H553" s="252">
        <v>2</v>
      </c>
      <c r="I553" s="252">
        <v>2</v>
      </c>
      <c r="J553" s="252">
        <v>1</v>
      </c>
      <c r="K553" s="252">
        <v>1</v>
      </c>
      <c r="L553" s="253">
        <v>2</v>
      </c>
      <c r="M553" s="254">
        <f t="shared" si="17"/>
        <v>0.37356464144298934</v>
      </c>
      <c r="N553" s="255"/>
    </row>
    <row r="554" spans="1:14" hidden="1" x14ac:dyDescent="0.2">
      <c r="A554" s="230" t="s">
        <v>320</v>
      </c>
      <c r="B554" s="231" t="s">
        <v>392</v>
      </c>
      <c r="C554" s="247" t="s">
        <v>40</v>
      </c>
      <c r="D554" s="232" t="s">
        <v>135</v>
      </c>
      <c r="E554" s="249">
        <v>0.82468579101562522</v>
      </c>
      <c r="F554" s="250" t="s">
        <v>386</v>
      </c>
      <c r="G554" s="251" t="s">
        <v>16</v>
      </c>
      <c r="H554" s="252">
        <v>2</v>
      </c>
      <c r="I554" s="252">
        <v>2</v>
      </c>
      <c r="J554" s="252">
        <v>1</v>
      </c>
      <c r="K554" s="252">
        <v>1</v>
      </c>
      <c r="L554" s="253">
        <v>2</v>
      </c>
      <c r="M554" s="254">
        <f t="shared" si="17"/>
        <v>0.37356464144298934</v>
      </c>
      <c r="N554" s="255"/>
    </row>
    <row r="555" spans="1:14" hidden="1" x14ac:dyDescent="0.2">
      <c r="A555" s="230" t="s">
        <v>320</v>
      </c>
      <c r="B555" s="231" t="s">
        <v>392</v>
      </c>
      <c r="C555" s="247" t="s">
        <v>41</v>
      </c>
      <c r="D555" s="232" t="s">
        <v>135</v>
      </c>
      <c r="E555" s="249">
        <v>0.59834790039062502</v>
      </c>
      <c r="F555" s="250" t="s">
        <v>386</v>
      </c>
      <c r="G555" s="251" t="s">
        <v>16</v>
      </c>
      <c r="H555" s="252">
        <v>2</v>
      </c>
      <c r="I555" s="252">
        <v>2</v>
      </c>
      <c r="J555" s="252">
        <v>1</v>
      </c>
      <c r="K555" s="252">
        <v>1</v>
      </c>
      <c r="L555" s="253">
        <v>2</v>
      </c>
      <c r="M555" s="254">
        <f t="shared" si="17"/>
        <v>0.37356464144298934</v>
      </c>
      <c r="N555" s="255"/>
    </row>
    <row r="556" spans="1:14" hidden="1" x14ac:dyDescent="0.2">
      <c r="A556" s="230" t="s">
        <v>320</v>
      </c>
      <c r="B556" s="231" t="s">
        <v>392</v>
      </c>
      <c r="C556" s="247" t="s">
        <v>42</v>
      </c>
      <c r="D556" s="232" t="s">
        <v>135</v>
      </c>
      <c r="E556" s="249">
        <v>0.53360473632812511</v>
      </c>
      <c r="F556" s="250" t="s">
        <v>386</v>
      </c>
      <c r="G556" s="251" t="s">
        <v>16</v>
      </c>
      <c r="H556" s="252">
        <v>2</v>
      </c>
      <c r="I556" s="252">
        <v>2</v>
      </c>
      <c r="J556" s="252">
        <v>1</v>
      </c>
      <c r="K556" s="252">
        <v>1</v>
      </c>
      <c r="L556" s="253">
        <v>2</v>
      </c>
      <c r="M556" s="254">
        <f t="shared" si="17"/>
        <v>0.37356464144298934</v>
      </c>
      <c r="N556" s="255"/>
    </row>
    <row r="557" spans="1:14" hidden="1" x14ac:dyDescent="0.2">
      <c r="A557" s="230" t="s">
        <v>320</v>
      </c>
      <c r="B557" s="231" t="s">
        <v>392</v>
      </c>
      <c r="C557" s="247" t="s">
        <v>43</v>
      </c>
      <c r="D557" s="232" t="s">
        <v>135</v>
      </c>
      <c r="E557" s="249">
        <v>0.8085</v>
      </c>
      <c r="F557" s="250" t="s">
        <v>386</v>
      </c>
      <c r="G557" s="251" t="s">
        <v>16</v>
      </c>
      <c r="H557" s="252">
        <v>2</v>
      </c>
      <c r="I557" s="252">
        <v>2</v>
      </c>
      <c r="J557" s="252">
        <v>1</v>
      </c>
      <c r="K557" s="252">
        <v>1</v>
      </c>
      <c r="L557" s="253">
        <v>2</v>
      </c>
      <c r="M557" s="254">
        <f t="shared" si="17"/>
        <v>0.37356464144298934</v>
      </c>
      <c r="N557" s="255"/>
    </row>
    <row r="558" spans="1:14" hidden="1" x14ac:dyDescent="0.2">
      <c r="A558" s="230" t="s">
        <v>320</v>
      </c>
      <c r="B558" s="231" t="s">
        <v>392</v>
      </c>
      <c r="C558" s="247" t="s">
        <v>45</v>
      </c>
      <c r="D558" s="232" t="s">
        <v>135</v>
      </c>
      <c r="E558" s="249">
        <v>0.75994262695312509</v>
      </c>
      <c r="F558" s="250" t="s">
        <v>386</v>
      </c>
      <c r="G558" s="251" t="s">
        <v>16</v>
      </c>
      <c r="H558" s="252">
        <v>2</v>
      </c>
      <c r="I558" s="252">
        <v>2</v>
      </c>
      <c r="J558" s="252">
        <v>1</v>
      </c>
      <c r="K558" s="252">
        <v>1</v>
      </c>
      <c r="L558" s="253">
        <v>2</v>
      </c>
      <c r="M558" s="254">
        <f t="shared" si="17"/>
        <v>0.37356464144298934</v>
      </c>
      <c r="N558" s="255"/>
    </row>
    <row r="559" spans="1:14" hidden="1" x14ac:dyDescent="0.2">
      <c r="A559" s="230" t="s">
        <v>320</v>
      </c>
      <c r="B559" s="231" t="s">
        <v>392</v>
      </c>
      <c r="C559" s="247" t="s">
        <v>46</v>
      </c>
      <c r="D559" s="232" t="s">
        <v>135</v>
      </c>
      <c r="E559" s="249">
        <v>0.46899316406250002</v>
      </c>
      <c r="F559" s="250" t="s">
        <v>386</v>
      </c>
      <c r="G559" s="251" t="s">
        <v>16</v>
      </c>
      <c r="H559" s="252">
        <v>2</v>
      </c>
      <c r="I559" s="252">
        <v>2</v>
      </c>
      <c r="J559" s="252">
        <v>1</v>
      </c>
      <c r="K559" s="252">
        <v>1</v>
      </c>
      <c r="L559" s="253">
        <v>2</v>
      </c>
      <c r="M559" s="254">
        <f t="shared" si="17"/>
        <v>0.37356464144298934</v>
      </c>
      <c r="N559" s="255"/>
    </row>
    <row r="560" spans="1:14" hidden="1" x14ac:dyDescent="0.2">
      <c r="A560" s="230" t="s">
        <v>320</v>
      </c>
      <c r="B560" s="231" t="s">
        <v>392</v>
      </c>
      <c r="C560" s="247" t="s">
        <v>48</v>
      </c>
      <c r="D560" s="232" t="s">
        <v>135</v>
      </c>
      <c r="E560" s="249">
        <v>0.6467736816406251</v>
      </c>
      <c r="F560" s="250" t="s">
        <v>386</v>
      </c>
      <c r="G560" s="251" t="s">
        <v>16</v>
      </c>
      <c r="H560" s="252">
        <v>2</v>
      </c>
      <c r="I560" s="252">
        <v>2</v>
      </c>
      <c r="J560" s="252">
        <v>1</v>
      </c>
      <c r="K560" s="252">
        <v>1</v>
      </c>
      <c r="L560" s="253">
        <v>2</v>
      </c>
      <c r="M560" s="254">
        <f t="shared" si="17"/>
        <v>0.37356464144298934</v>
      </c>
      <c r="N560" s="255"/>
    </row>
    <row r="561" spans="1:14" hidden="1" x14ac:dyDescent="0.2">
      <c r="A561" s="230" t="s">
        <v>320</v>
      </c>
      <c r="B561" s="231" t="s">
        <v>392</v>
      </c>
      <c r="C561" s="247" t="s">
        <v>50</v>
      </c>
      <c r="D561" s="232" t="s">
        <v>135</v>
      </c>
      <c r="E561" s="249">
        <v>0.71151684570312501</v>
      </c>
      <c r="F561" s="250" t="s">
        <v>386</v>
      </c>
      <c r="G561" s="251" t="s">
        <v>16</v>
      </c>
      <c r="H561" s="252">
        <v>2</v>
      </c>
      <c r="I561" s="252">
        <v>2</v>
      </c>
      <c r="J561" s="252">
        <v>1</v>
      </c>
      <c r="K561" s="252">
        <v>1</v>
      </c>
      <c r="L561" s="253">
        <v>2</v>
      </c>
      <c r="M561" s="254">
        <f t="shared" si="17"/>
        <v>0.37356464144298934</v>
      </c>
      <c r="N561" s="255"/>
    </row>
    <row r="562" spans="1:14" hidden="1" x14ac:dyDescent="0.2">
      <c r="A562" s="230" t="s">
        <v>320</v>
      </c>
      <c r="B562" s="231" t="s">
        <v>392</v>
      </c>
      <c r="C562" s="247" t="s">
        <v>52</v>
      </c>
      <c r="D562" s="232" t="s">
        <v>135</v>
      </c>
      <c r="E562" s="249">
        <v>0.90548315429687509</v>
      </c>
      <c r="F562" s="250" t="s">
        <v>386</v>
      </c>
      <c r="G562" s="251" t="s">
        <v>16</v>
      </c>
      <c r="H562" s="252">
        <v>2</v>
      </c>
      <c r="I562" s="252">
        <v>2</v>
      </c>
      <c r="J562" s="252">
        <v>1</v>
      </c>
      <c r="K562" s="252">
        <v>1</v>
      </c>
      <c r="L562" s="253">
        <v>2</v>
      </c>
      <c r="M562" s="254">
        <f t="shared" si="17"/>
        <v>0.37356464144298934</v>
      </c>
      <c r="N562" s="255"/>
    </row>
    <row r="563" spans="1:14" hidden="1" x14ac:dyDescent="0.2">
      <c r="A563" s="230" t="s">
        <v>320</v>
      </c>
      <c r="B563" s="231" t="s">
        <v>392</v>
      </c>
      <c r="C563" s="247" t="s">
        <v>54</v>
      </c>
      <c r="D563" s="232" t="s">
        <v>135</v>
      </c>
      <c r="E563" s="715">
        <v>1</v>
      </c>
      <c r="F563" s="250" t="s">
        <v>386</v>
      </c>
      <c r="G563" s="251" t="s">
        <v>16</v>
      </c>
      <c r="H563" s="470"/>
      <c r="I563" s="470"/>
      <c r="J563" s="470"/>
      <c r="K563" s="470"/>
      <c r="L563" s="471"/>
      <c r="M563" s="456" t="str">
        <f t="shared" si="17"/>
        <v/>
      </c>
      <c r="N563" s="255"/>
    </row>
    <row r="564" spans="1:14" hidden="1" x14ac:dyDescent="0.2">
      <c r="A564" s="230" t="s">
        <v>320</v>
      </c>
      <c r="B564" s="231" t="s">
        <v>392</v>
      </c>
      <c r="C564" s="247" t="s">
        <v>55</v>
      </c>
      <c r="D564" s="232" t="s">
        <v>135</v>
      </c>
      <c r="E564" s="249">
        <v>0.67914526367187511</v>
      </c>
      <c r="F564" s="250" t="s">
        <v>386</v>
      </c>
      <c r="G564" s="251" t="s">
        <v>16</v>
      </c>
      <c r="H564" s="252">
        <v>2</v>
      </c>
      <c r="I564" s="252">
        <v>2</v>
      </c>
      <c r="J564" s="252">
        <v>1</v>
      </c>
      <c r="K564" s="252">
        <v>1</v>
      </c>
      <c r="L564" s="253">
        <v>2</v>
      </c>
      <c r="M564" s="254">
        <f t="shared" si="17"/>
        <v>0.37356464144298934</v>
      </c>
      <c r="N564" s="255"/>
    </row>
    <row r="565" spans="1:14" hidden="1" x14ac:dyDescent="0.2">
      <c r="A565" s="230" t="s">
        <v>320</v>
      </c>
      <c r="B565" s="231" t="s">
        <v>392</v>
      </c>
      <c r="C565" s="247" t="s">
        <v>57</v>
      </c>
      <c r="D565" s="232" t="s">
        <v>135</v>
      </c>
      <c r="E565" s="249">
        <v>0.75994262695312509</v>
      </c>
      <c r="F565" s="250" t="s">
        <v>386</v>
      </c>
      <c r="G565" s="251" t="s">
        <v>16</v>
      </c>
      <c r="H565" s="252">
        <v>2</v>
      </c>
      <c r="I565" s="252">
        <v>2</v>
      </c>
      <c r="J565" s="252">
        <v>1</v>
      </c>
      <c r="K565" s="252">
        <v>1</v>
      </c>
      <c r="L565" s="253">
        <v>2</v>
      </c>
      <c r="M565" s="254">
        <f t="shared" si="17"/>
        <v>0.37356464144298934</v>
      </c>
      <c r="N565" s="255"/>
    </row>
    <row r="566" spans="1:14" hidden="1" x14ac:dyDescent="0.2">
      <c r="A566" s="230" t="s">
        <v>320</v>
      </c>
      <c r="B566" s="231" t="s">
        <v>392</v>
      </c>
      <c r="C566" s="247" t="s">
        <v>59</v>
      </c>
      <c r="D566" s="232" t="s">
        <v>135</v>
      </c>
      <c r="E566" s="249">
        <v>0.8085</v>
      </c>
      <c r="F566" s="250" t="s">
        <v>360</v>
      </c>
      <c r="G566" s="251" t="s">
        <v>16</v>
      </c>
      <c r="H566" s="252">
        <v>2</v>
      </c>
      <c r="I566" s="252">
        <v>2</v>
      </c>
      <c r="J566" s="252">
        <v>1</v>
      </c>
      <c r="K566" s="252">
        <v>1</v>
      </c>
      <c r="L566" s="253">
        <v>2</v>
      </c>
      <c r="M566" s="254">
        <f t="shared" si="17"/>
        <v>0.37356464144298934</v>
      </c>
      <c r="N566" s="255"/>
    </row>
    <row r="567" spans="1:14" hidden="1" x14ac:dyDescent="0.2">
      <c r="A567" s="230" t="s">
        <v>320</v>
      </c>
      <c r="B567" s="231" t="s">
        <v>392</v>
      </c>
      <c r="C567" s="247" t="s">
        <v>60</v>
      </c>
      <c r="D567" s="232" t="s">
        <v>135</v>
      </c>
      <c r="E567" s="249">
        <v>0.61440209960937509</v>
      </c>
      <c r="F567" s="250" t="s">
        <v>386</v>
      </c>
      <c r="G567" s="251" t="s">
        <v>16</v>
      </c>
      <c r="H567" s="252">
        <v>2</v>
      </c>
      <c r="I567" s="252">
        <v>2</v>
      </c>
      <c r="J567" s="252">
        <v>1</v>
      </c>
      <c r="K567" s="252">
        <v>1</v>
      </c>
      <c r="L567" s="253">
        <v>2</v>
      </c>
      <c r="M567" s="254">
        <f t="shared" si="17"/>
        <v>0.37356464144298934</v>
      </c>
      <c r="N567" s="255"/>
    </row>
    <row r="568" spans="1:14" x14ac:dyDescent="0.2">
      <c r="A568" s="236" t="s">
        <v>320</v>
      </c>
      <c r="B568" s="281" t="s">
        <v>389</v>
      </c>
      <c r="C568" s="238" t="s">
        <v>135</v>
      </c>
      <c r="D568" s="279" t="s">
        <v>135</v>
      </c>
      <c r="E568" s="280" t="s">
        <v>188</v>
      </c>
      <c r="F568" s="241"/>
      <c r="G568" s="242"/>
      <c r="H568" s="240"/>
      <c r="I568" s="240"/>
      <c r="J568" s="240"/>
      <c r="K568" s="240"/>
      <c r="L568" s="243"/>
      <c r="M568" s="244" t="str">
        <f t="shared" si="17"/>
        <v/>
      </c>
      <c r="N568" s="245"/>
    </row>
    <row r="569" spans="1:14" x14ac:dyDescent="0.2">
      <c r="A569" s="230" t="s">
        <v>321</v>
      </c>
      <c r="B569" s="231" t="s">
        <v>383</v>
      </c>
      <c r="C569" s="247" t="s">
        <v>13</v>
      </c>
      <c r="D569" s="232" t="s">
        <v>135</v>
      </c>
      <c r="E569" s="249">
        <v>0.12339794877376301</v>
      </c>
      <c r="F569" s="250" t="s">
        <v>386</v>
      </c>
      <c r="G569" s="251" t="s">
        <v>16</v>
      </c>
      <c r="H569" s="252">
        <v>2</v>
      </c>
      <c r="I569" s="252">
        <v>2</v>
      </c>
      <c r="J569" s="252">
        <v>1</v>
      </c>
      <c r="K569" s="252">
        <v>1</v>
      </c>
      <c r="L569" s="253">
        <v>2</v>
      </c>
      <c r="M569" s="254">
        <f t="shared" si="17"/>
        <v>0.37356464144298934</v>
      </c>
      <c r="N569" s="255"/>
    </row>
    <row r="570" spans="1:14" hidden="1" x14ac:dyDescent="0.2">
      <c r="A570" s="230" t="s">
        <v>321</v>
      </c>
      <c r="B570" s="231" t="s">
        <v>383</v>
      </c>
      <c r="C570" s="247" t="s">
        <v>18</v>
      </c>
      <c r="D570" s="232" t="s">
        <v>135</v>
      </c>
      <c r="E570" s="249">
        <v>0.15243102288688151</v>
      </c>
      <c r="F570" s="250" t="s">
        <v>386</v>
      </c>
      <c r="G570" s="251" t="s">
        <v>16</v>
      </c>
      <c r="H570" s="252">
        <v>2</v>
      </c>
      <c r="I570" s="252">
        <v>2</v>
      </c>
      <c r="J570" s="252">
        <v>1</v>
      </c>
      <c r="K570" s="252">
        <v>1</v>
      </c>
      <c r="L570" s="253">
        <v>2</v>
      </c>
      <c r="M570" s="254">
        <f t="shared" si="17"/>
        <v>0.37356464144298934</v>
      </c>
      <c r="N570" s="255"/>
    </row>
    <row r="571" spans="1:14" hidden="1" x14ac:dyDescent="0.2">
      <c r="A571" s="230" t="s">
        <v>321</v>
      </c>
      <c r="B571" s="231" t="s">
        <v>383</v>
      </c>
      <c r="C571" s="247" t="s">
        <v>20</v>
      </c>
      <c r="D571" s="232" t="s">
        <v>135</v>
      </c>
      <c r="E571" s="249">
        <v>0.23226459290494789</v>
      </c>
      <c r="F571" s="250" t="s">
        <v>386</v>
      </c>
      <c r="G571" s="251" t="s">
        <v>16</v>
      </c>
      <c r="H571" s="252">
        <v>2</v>
      </c>
      <c r="I571" s="252">
        <v>2</v>
      </c>
      <c r="J571" s="252">
        <v>1</v>
      </c>
      <c r="K571" s="252">
        <v>1</v>
      </c>
      <c r="L571" s="253">
        <v>2</v>
      </c>
      <c r="M571" s="254">
        <f t="shared" si="17"/>
        <v>0.37356464144298934</v>
      </c>
      <c r="N571" s="255"/>
    </row>
    <row r="572" spans="1:14" hidden="1" x14ac:dyDescent="0.2">
      <c r="A572" s="230" t="s">
        <v>321</v>
      </c>
      <c r="B572" s="231" t="s">
        <v>383</v>
      </c>
      <c r="C572" s="247" t="s">
        <v>22</v>
      </c>
      <c r="D572" s="232" t="s">
        <v>135</v>
      </c>
      <c r="E572" s="249">
        <v>0.13789971824430339</v>
      </c>
      <c r="F572" s="250" t="s">
        <v>386</v>
      </c>
      <c r="G572" s="251" t="s">
        <v>16</v>
      </c>
      <c r="H572" s="252">
        <v>2</v>
      </c>
      <c r="I572" s="252">
        <v>2</v>
      </c>
      <c r="J572" s="252">
        <v>1</v>
      </c>
      <c r="K572" s="252">
        <v>1</v>
      </c>
      <c r="L572" s="253">
        <v>2</v>
      </c>
      <c r="M572" s="254">
        <f t="shared" si="17"/>
        <v>0.37356464144298934</v>
      </c>
      <c r="N572" s="255"/>
    </row>
    <row r="573" spans="1:14" hidden="1" x14ac:dyDescent="0.2">
      <c r="A573" s="230" t="s">
        <v>321</v>
      </c>
      <c r="B573" s="231" t="s">
        <v>383</v>
      </c>
      <c r="C573" s="247" t="s">
        <v>23</v>
      </c>
      <c r="D573" s="232" t="s">
        <v>135</v>
      </c>
      <c r="E573" s="249">
        <v>0.1705656185180664</v>
      </c>
      <c r="F573" s="250" t="s">
        <v>386</v>
      </c>
      <c r="G573" s="251" t="s">
        <v>16</v>
      </c>
      <c r="H573" s="252">
        <v>2</v>
      </c>
      <c r="I573" s="252">
        <v>2</v>
      </c>
      <c r="J573" s="252">
        <v>1</v>
      </c>
      <c r="K573" s="252">
        <v>1</v>
      </c>
      <c r="L573" s="253">
        <v>2</v>
      </c>
      <c r="M573" s="254">
        <f t="shared" si="17"/>
        <v>0.37356464144298934</v>
      </c>
      <c r="N573" s="255"/>
    </row>
    <row r="574" spans="1:14" hidden="1" x14ac:dyDescent="0.2">
      <c r="A574" s="230" t="s">
        <v>321</v>
      </c>
      <c r="B574" s="231" t="s">
        <v>383</v>
      </c>
      <c r="C574" s="247" t="s">
        <v>24</v>
      </c>
      <c r="D574" s="232" t="s">
        <v>135</v>
      </c>
      <c r="E574" s="249">
        <v>0.2104971711131185</v>
      </c>
      <c r="F574" s="250" t="s">
        <v>386</v>
      </c>
      <c r="G574" s="251" t="s">
        <v>16</v>
      </c>
      <c r="H574" s="252">
        <v>2</v>
      </c>
      <c r="I574" s="252">
        <v>2</v>
      </c>
      <c r="J574" s="252">
        <v>1</v>
      </c>
      <c r="K574" s="252">
        <v>1</v>
      </c>
      <c r="L574" s="253">
        <v>2</v>
      </c>
      <c r="M574" s="254">
        <f t="shared" si="17"/>
        <v>0.37356464144298934</v>
      </c>
      <c r="N574" s="255"/>
    </row>
    <row r="575" spans="1:14" hidden="1" x14ac:dyDescent="0.2">
      <c r="A575" s="230" t="s">
        <v>321</v>
      </c>
      <c r="B575" s="231" t="s">
        <v>383</v>
      </c>
      <c r="C575" s="247" t="s">
        <v>25</v>
      </c>
      <c r="D575" s="232" t="s">
        <v>135</v>
      </c>
      <c r="E575" s="249">
        <v>0.10886664413118489</v>
      </c>
      <c r="F575" s="250" t="s">
        <v>386</v>
      </c>
      <c r="G575" s="251" t="s">
        <v>16</v>
      </c>
      <c r="H575" s="252">
        <v>2</v>
      </c>
      <c r="I575" s="252">
        <v>2</v>
      </c>
      <c r="J575" s="252">
        <v>1</v>
      </c>
      <c r="K575" s="252">
        <v>1</v>
      </c>
      <c r="L575" s="253">
        <v>2</v>
      </c>
      <c r="M575" s="254">
        <f t="shared" si="17"/>
        <v>0.37356464144298934</v>
      </c>
      <c r="N575" s="255"/>
    </row>
    <row r="576" spans="1:14" hidden="1" x14ac:dyDescent="0.2">
      <c r="A576" s="230" t="s">
        <v>321</v>
      </c>
      <c r="B576" s="231" t="s">
        <v>383</v>
      </c>
      <c r="C576" s="247" t="s">
        <v>26</v>
      </c>
      <c r="D576" s="232" t="s">
        <v>135</v>
      </c>
      <c r="E576" s="249">
        <v>0.10526335314257811</v>
      </c>
      <c r="F576" s="250" t="s">
        <v>386</v>
      </c>
      <c r="G576" s="251" t="s">
        <v>16</v>
      </c>
      <c r="H576" s="252">
        <v>2</v>
      </c>
      <c r="I576" s="252">
        <v>2</v>
      </c>
      <c r="J576" s="252">
        <v>1</v>
      </c>
      <c r="K576" s="252">
        <v>1</v>
      </c>
      <c r="L576" s="253">
        <v>2</v>
      </c>
      <c r="M576" s="254">
        <f t="shared" si="17"/>
        <v>0.37356464144298934</v>
      </c>
      <c r="N576" s="255"/>
    </row>
    <row r="577" spans="1:14" hidden="1" x14ac:dyDescent="0.2">
      <c r="A577" s="230" t="s">
        <v>321</v>
      </c>
      <c r="B577" s="231" t="s">
        <v>383</v>
      </c>
      <c r="C577" s="247" t="s">
        <v>27</v>
      </c>
      <c r="D577" s="232" t="s">
        <v>135</v>
      </c>
      <c r="E577" s="249">
        <v>9.0732048499999995E-2</v>
      </c>
      <c r="F577" s="250" t="s">
        <v>386</v>
      </c>
      <c r="G577" s="251" t="s">
        <v>16</v>
      </c>
      <c r="H577" s="252">
        <v>2</v>
      </c>
      <c r="I577" s="252">
        <v>2</v>
      </c>
      <c r="J577" s="252">
        <v>1</v>
      </c>
      <c r="K577" s="252">
        <v>1</v>
      </c>
      <c r="L577" s="253">
        <v>2</v>
      </c>
      <c r="M577" s="254">
        <f t="shared" si="17"/>
        <v>0.37356464144298934</v>
      </c>
      <c r="N577" s="255"/>
    </row>
    <row r="578" spans="1:14" hidden="1" x14ac:dyDescent="0.2">
      <c r="A578" s="230" t="s">
        <v>321</v>
      </c>
      <c r="B578" s="231" t="s">
        <v>383</v>
      </c>
      <c r="C578" s="247" t="s">
        <v>28</v>
      </c>
      <c r="D578" s="232" t="s">
        <v>135</v>
      </c>
      <c r="E578" s="249">
        <v>9.0732048499999995E-2</v>
      </c>
      <c r="F578" s="250" t="s">
        <v>386</v>
      </c>
      <c r="G578" s="251" t="s">
        <v>16</v>
      </c>
      <c r="H578" s="252">
        <v>2</v>
      </c>
      <c r="I578" s="252">
        <v>2</v>
      </c>
      <c r="J578" s="252">
        <v>1</v>
      </c>
      <c r="K578" s="252">
        <v>1</v>
      </c>
      <c r="L578" s="253">
        <v>2</v>
      </c>
      <c r="M578" s="254">
        <f>IF( OR( ISBLANK(H578),ISBLANK(I578), ISBLANK(J578), ISBLANK(K578), ISBLANK(L578) ), "", 1.5*SQRT(   EXP(2.21*(H578-1)) + EXP(2.21*(I578-1)) + EXP(2.21*(J578-1)) + EXP(2.21*(K578-1)) + EXP(2.21*L578)   )/100*2.45 )</f>
        <v>0.37356464144298934</v>
      </c>
      <c r="N578" s="255"/>
    </row>
    <row r="579" spans="1:14" hidden="1" x14ac:dyDescent="0.2">
      <c r="A579" s="230" t="s">
        <v>321</v>
      </c>
      <c r="B579" s="231" t="s">
        <v>383</v>
      </c>
      <c r="C579" s="247" t="s">
        <v>30</v>
      </c>
      <c r="D579" s="232" t="s">
        <v>135</v>
      </c>
      <c r="E579" s="249">
        <v>0.18146409699999999</v>
      </c>
      <c r="F579" s="250" t="s">
        <v>386</v>
      </c>
      <c r="G579" s="251" t="s">
        <v>16</v>
      </c>
      <c r="H579" s="252">
        <v>2</v>
      </c>
      <c r="I579" s="252">
        <v>2</v>
      </c>
      <c r="J579" s="252">
        <v>1</v>
      </c>
      <c r="K579" s="252">
        <v>1</v>
      </c>
      <c r="L579" s="253">
        <v>2</v>
      </c>
      <c r="M579" s="254">
        <f t="shared" ref="M579:M598" si="18">IF( OR( ISBLANK(H579),ISBLANK(I579), ISBLANK(J579), ISBLANK(K579), ISBLANK(L579) ), "", 1.5*SQRT( EXP(2.21*(H579-1)) + EXP(2.21*(I579-1)) + EXP(2.21*(J579-1)) + EXP(2.21*(K579-1)) + EXP(2.21*L579) )/100*2.45 )</f>
        <v>0.37356464144298934</v>
      </c>
      <c r="N579" s="255"/>
    </row>
    <row r="580" spans="1:14" hidden="1" x14ac:dyDescent="0.2">
      <c r="A580" s="230" t="s">
        <v>321</v>
      </c>
      <c r="B580" s="231" t="s">
        <v>383</v>
      </c>
      <c r="C580" s="247" t="s">
        <v>32</v>
      </c>
      <c r="D580" s="232" t="s">
        <v>135</v>
      </c>
      <c r="E580" s="249">
        <v>0.116132296452474</v>
      </c>
      <c r="F580" s="250" t="s">
        <v>386</v>
      </c>
      <c r="G580" s="251" t="s">
        <v>16</v>
      </c>
      <c r="H580" s="252">
        <v>2</v>
      </c>
      <c r="I580" s="252">
        <v>2</v>
      </c>
      <c r="J580" s="252">
        <v>1</v>
      </c>
      <c r="K580" s="252">
        <v>1</v>
      </c>
      <c r="L580" s="253">
        <v>2</v>
      </c>
      <c r="M580" s="254">
        <f t="shared" si="18"/>
        <v>0.37356464144298934</v>
      </c>
      <c r="N580" s="255"/>
    </row>
    <row r="581" spans="1:14" hidden="1" x14ac:dyDescent="0.2">
      <c r="A581" s="230" t="s">
        <v>321</v>
      </c>
      <c r="B581" s="231" t="s">
        <v>383</v>
      </c>
      <c r="C581" s="247" t="s">
        <v>34</v>
      </c>
      <c r="D581" s="232" t="s">
        <v>135</v>
      </c>
      <c r="E581" s="249">
        <v>0.1342964272556966</v>
      </c>
      <c r="F581" s="250" t="s">
        <v>386</v>
      </c>
      <c r="G581" s="251" t="s">
        <v>16</v>
      </c>
      <c r="H581" s="252">
        <v>2</v>
      </c>
      <c r="I581" s="252">
        <v>2</v>
      </c>
      <c r="J581" s="252">
        <v>1</v>
      </c>
      <c r="K581" s="252">
        <v>1</v>
      </c>
      <c r="L581" s="253">
        <v>2</v>
      </c>
      <c r="M581" s="254">
        <f t="shared" si="18"/>
        <v>0.37356464144298934</v>
      </c>
      <c r="N581" s="255"/>
    </row>
    <row r="582" spans="1:14" hidden="1" x14ac:dyDescent="0.2">
      <c r="A582" s="230" t="s">
        <v>321</v>
      </c>
      <c r="B582" s="231" t="s">
        <v>383</v>
      </c>
      <c r="C582" s="247" t="s">
        <v>36</v>
      </c>
      <c r="D582" s="232" t="s">
        <v>135</v>
      </c>
      <c r="E582" s="249">
        <v>0.14516537056559239</v>
      </c>
      <c r="F582" s="250" t="s">
        <v>386</v>
      </c>
      <c r="G582" s="251" t="s">
        <v>16</v>
      </c>
      <c r="H582" s="252">
        <v>2</v>
      </c>
      <c r="I582" s="252">
        <v>2</v>
      </c>
      <c r="J582" s="252">
        <v>1</v>
      </c>
      <c r="K582" s="252">
        <v>1</v>
      </c>
      <c r="L582" s="253">
        <v>2</v>
      </c>
      <c r="M582" s="254">
        <f t="shared" si="18"/>
        <v>0.37356464144298934</v>
      </c>
      <c r="N582" s="255"/>
    </row>
    <row r="583" spans="1:14" hidden="1" x14ac:dyDescent="0.2">
      <c r="A583" s="230" t="s">
        <v>321</v>
      </c>
      <c r="B583" s="231" t="s">
        <v>383</v>
      </c>
      <c r="C583" s="247" t="s">
        <v>37</v>
      </c>
      <c r="D583" s="232" t="s">
        <v>135</v>
      </c>
      <c r="E583" s="249">
        <v>0.13789971824430339</v>
      </c>
      <c r="F583" s="250" t="s">
        <v>386</v>
      </c>
      <c r="G583" s="251" t="s">
        <v>16</v>
      </c>
      <c r="H583" s="252">
        <v>2</v>
      </c>
      <c r="I583" s="252">
        <v>2</v>
      </c>
      <c r="J583" s="252">
        <v>1</v>
      </c>
      <c r="K583" s="252">
        <v>1</v>
      </c>
      <c r="L583" s="253">
        <v>2</v>
      </c>
      <c r="M583" s="254">
        <f t="shared" si="18"/>
        <v>0.37356464144298934</v>
      </c>
      <c r="N583" s="255"/>
    </row>
    <row r="584" spans="1:14" hidden="1" x14ac:dyDescent="0.2">
      <c r="A584" s="230" t="s">
        <v>321</v>
      </c>
      <c r="B584" s="231" t="s">
        <v>383</v>
      </c>
      <c r="C584" s="247" t="s">
        <v>39</v>
      </c>
      <c r="D584" s="232" t="s">
        <v>135</v>
      </c>
      <c r="E584" s="249">
        <v>0.1306636010950521</v>
      </c>
      <c r="F584" s="250" t="s">
        <v>386</v>
      </c>
      <c r="G584" s="251" t="s">
        <v>16</v>
      </c>
      <c r="H584" s="252">
        <v>2</v>
      </c>
      <c r="I584" s="252">
        <v>2</v>
      </c>
      <c r="J584" s="252">
        <v>1</v>
      </c>
      <c r="K584" s="252">
        <v>1</v>
      </c>
      <c r="L584" s="253">
        <v>2</v>
      </c>
      <c r="M584" s="254">
        <f t="shared" si="18"/>
        <v>0.37356464144298934</v>
      </c>
      <c r="N584" s="255"/>
    </row>
    <row r="585" spans="1:14" hidden="1" x14ac:dyDescent="0.2">
      <c r="A585" s="230" t="s">
        <v>321</v>
      </c>
      <c r="B585" s="231" t="s">
        <v>383</v>
      </c>
      <c r="C585" s="247" t="s">
        <v>40</v>
      </c>
      <c r="D585" s="232" t="s">
        <v>135</v>
      </c>
      <c r="E585" s="249">
        <v>0.18509692316064449</v>
      </c>
      <c r="F585" s="250" t="s">
        <v>386</v>
      </c>
      <c r="G585" s="251" t="s">
        <v>16</v>
      </c>
      <c r="H585" s="252">
        <v>2</v>
      </c>
      <c r="I585" s="252">
        <v>2</v>
      </c>
      <c r="J585" s="252">
        <v>1</v>
      </c>
      <c r="K585" s="252">
        <v>1</v>
      </c>
      <c r="L585" s="253">
        <v>2</v>
      </c>
      <c r="M585" s="254">
        <f t="shared" si="18"/>
        <v>0.37356464144298934</v>
      </c>
      <c r="N585" s="255"/>
    </row>
    <row r="586" spans="1:14" hidden="1" x14ac:dyDescent="0.2">
      <c r="A586" s="230" t="s">
        <v>321</v>
      </c>
      <c r="B586" s="231" t="s">
        <v>383</v>
      </c>
      <c r="C586" s="247" t="s">
        <v>41</v>
      </c>
      <c r="D586" s="232" t="s">
        <v>135</v>
      </c>
      <c r="E586" s="249">
        <v>0.1342964272556966</v>
      </c>
      <c r="F586" s="250" t="s">
        <v>386</v>
      </c>
      <c r="G586" s="251" t="s">
        <v>16</v>
      </c>
      <c r="H586" s="252">
        <v>2</v>
      </c>
      <c r="I586" s="252">
        <v>2</v>
      </c>
      <c r="J586" s="252">
        <v>1</v>
      </c>
      <c r="K586" s="252">
        <v>1</v>
      </c>
      <c r="L586" s="253">
        <v>2</v>
      </c>
      <c r="M586" s="254">
        <f t="shared" si="18"/>
        <v>0.37356464144298934</v>
      </c>
      <c r="N586" s="255"/>
    </row>
    <row r="587" spans="1:14" hidden="1" x14ac:dyDescent="0.2">
      <c r="A587" s="230" t="s">
        <v>321</v>
      </c>
      <c r="B587" s="231" t="s">
        <v>383</v>
      </c>
      <c r="C587" s="247" t="s">
        <v>42</v>
      </c>
      <c r="D587" s="232" t="s">
        <v>135</v>
      </c>
      <c r="E587" s="249">
        <v>0.1197651226131185</v>
      </c>
      <c r="F587" s="250" t="s">
        <v>386</v>
      </c>
      <c r="G587" s="251" t="s">
        <v>16</v>
      </c>
      <c r="H587" s="252">
        <v>2</v>
      </c>
      <c r="I587" s="252">
        <v>2</v>
      </c>
      <c r="J587" s="252">
        <v>1</v>
      </c>
      <c r="K587" s="252">
        <v>1</v>
      </c>
      <c r="L587" s="253">
        <v>2</v>
      </c>
      <c r="M587" s="254">
        <f t="shared" si="18"/>
        <v>0.37356464144298934</v>
      </c>
      <c r="N587" s="255"/>
    </row>
    <row r="588" spans="1:14" hidden="1" x14ac:dyDescent="0.2">
      <c r="A588" s="230" t="s">
        <v>321</v>
      </c>
      <c r="B588" s="231" t="s">
        <v>383</v>
      </c>
      <c r="C588" s="247" t="s">
        <v>43</v>
      </c>
      <c r="D588" s="232" t="s">
        <v>135</v>
      </c>
      <c r="E588" s="249">
        <v>0.18146409699999999</v>
      </c>
      <c r="F588" s="250" t="s">
        <v>386</v>
      </c>
      <c r="G588" s="251" t="s">
        <v>16</v>
      </c>
      <c r="H588" s="252">
        <v>2</v>
      </c>
      <c r="I588" s="252">
        <v>2</v>
      </c>
      <c r="J588" s="252">
        <v>1</v>
      </c>
      <c r="K588" s="252">
        <v>1</v>
      </c>
      <c r="L588" s="253">
        <v>2</v>
      </c>
      <c r="M588" s="254">
        <f t="shared" si="18"/>
        <v>0.37356464144298934</v>
      </c>
      <c r="N588" s="255"/>
    </row>
    <row r="589" spans="1:14" hidden="1" x14ac:dyDescent="0.2">
      <c r="A589" s="230" t="s">
        <v>321</v>
      </c>
      <c r="B589" s="231" t="s">
        <v>383</v>
      </c>
      <c r="C589" s="247" t="s">
        <v>45</v>
      </c>
      <c r="D589" s="232" t="s">
        <v>135</v>
      </c>
      <c r="E589" s="249">
        <v>0.1705656185180664</v>
      </c>
      <c r="F589" s="250" t="s">
        <v>386</v>
      </c>
      <c r="G589" s="251" t="s">
        <v>16</v>
      </c>
      <c r="H589" s="252">
        <v>2</v>
      </c>
      <c r="I589" s="252">
        <v>2</v>
      </c>
      <c r="J589" s="252">
        <v>1</v>
      </c>
      <c r="K589" s="252">
        <v>1</v>
      </c>
      <c r="L589" s="253">
        <v>2</v>
      </c>
      <c r="M589" s="254">
        <f t="shared" si="18"/>
        <v>0.37356464144298934</v>
      </c>
      <c r="N589" s="255"/>
    </row>
    <row r="590" spans="1:14" hidden="1" x14ac:dyDescent="0.2">
      <c r="A590" s="230" t="s">
        <v>321</v>
      </c>
      <c r="B590" s="231" t="s">
        <v>383</v>
      </c>
      <c r="C590" s="247" t="s">
        <v>46</v>
      </c>
      <c r="D590" s="232" t="s">
        <v>135</v>
      </c>
      <c r="E590" s="249">
        <v>0.10526335314257811</v>
      </c>
      <c r="F590" s="250" t="s">
        <v>386</v>
      </c>
      <c r="G590" s="251" t="s">
        <v>16</v>
      </c>
      <c r="H590" s="252">
        <v>2</v>
      </c>
      <c r="I590" s="252">
        <v>2</v>
      </c>
      <c r="J590" s="252">
        <v>1</v>
      </c>
      <c r="K590" s="252">
        <v>1</v>
      </c>
      <c r="L590" s="253">
        <v>2</v>
      </c>
      <c r="M590" s="254">
        <f t="shared" si="18"/>
        <v>0.37356464144298934</v>
      </c>
      <c r="N590" s="255"/>
    </row>
    <row r="591" spans="1:14" hidden="1" x14ac:dyDescent="0.2">
      <c r="A591" s="230" t="s">
        <v>321</v>
      </c>
      <c r="B591" s="231" t="s">
        <v>383</v>
      </c>
      <c r="C591" s="247" t="s">
        <v>48</v>
      </c>
      <c r="D591" s="232" t="s">
        <v>135</v>
      </c>
      <c r="E591" s="249">
        <v>0.14516537056559239</v>
      </c>
      <c r="F591" s="250" t="s">
        <v>386</v>
      </c>
      <c r="G591" s="251" t="s">
        <v>16</v>
      </c>
      <c r="H591" s="252">
        <v>2</v>
      </c>
      <c r="I591" s="252">
        <v>2</v>
      </c>
      <c r="J591" s="252">
        <v>1</v>
      </c>
      <c r="K591" s="252">
        <v>1</v>
      </c>
      <c r="L591" s="253">
        <v>2</v>
      </c>
      <c r="M591" s="254">
        <f t="shared" si="18"/>
        <v>0.37356464144298934</v>
      </c>
      <c r="N591" s="255"/>
    </row>
    <row r="592" spans="1:14" hidden="1" x14ac:dyDescent="0.2">
      <c r="A592" s="230" t="s">
        <v>321</v>
      </c>
      <c r="B592" s="231" t="s">
        <v>383</v>
      </c>
      <c r="C592" s="247" t="s">
        <v>50</v>
      </c>
      <c r="D592" s="232" t="s">
        <v>135</v>
      </c>
      <c r="E592" s="249">
        <v>0.15969667520817049</v>
      </c>
      <c r="F592" s="250" t="s">
        <v>386</v>
      </c>
      <c r="G592" s="251" t="s">
        <v>16</v>
      </c>
      <c r="H592" s="252">
        <v>2</v>
      </c>
      <c r="I592" s="252">
        <v>2</v>
      </c>
      <c r="J592" s="252">
        <v>1</v>
      </c>
      <c r="K592" s="252">
        <v>1</v>
      </c>
      <c r="L592" s="253">
        <v>2</v>
      </c>
      <c r="M592" s="254">
        <f t="shared" si="18"/>
        <v>0.37356464144298934</v>
      </c>
      <c r="N592" s="255"/>
    </row>
    <row r="593" spans="1:14" hidden="1" x14ac:dyDescent="0.2">
      <c r="A593" s="230" t="s">
        <v>321</v>
      </c>
      <c r="B593" s="231" t="s">
        <v>383</v>
      </c>
      <c r="C593" s="247" t="s">
        <v>52</v>
      </c>
      <c r="D593" s="232" t="s">
        <v>135</v>
      </c>
      <c r="E593" s="249">
        <v>0.20323151879182941</v>
      </c>
      <c r="F593" s="250" t="s">
        <v>386</v>
      </c>
      <c r="G593" s="251" t="s">
        <v>16</v>
      </c>
      <c r="H593" s="252">
        <v>2</v>
      </c>
      <c r="I593" s="252">
        <v>2</v>
      </c>
      <c r="J593" s="252">
        <v>1</v>
      </c>
      <c r="K593" s="252">
        <v>1</v>
      </c>
      <c r="L593" s="253">
        <v>2</v>
      </c>
      <c r="M593" s="254">
        <f t="shared" si="18"/>
        <v>0.37356464144298934</v>
      </c>
      <c r="N593" s="255"/>
    </row>
    <row r="594" spans="1:14" hidden="1" x14ac:dyDescent="0.2">
      <c r="A594" s="230" t="s">
        <v>321</v>
      </c>
      <c r="B594" s="231" t="s">
        <v>383</v>
      </c>
      <c r="C594" s="247" t="s">
        <v>54</v>
      </c>
      <c r="D594" s="232" t="s">
        <v>135</v>
      </c>
      <c r="E594" s="249">
        <v>0.2504287237081706</v>
      </c>
      <c r="F594" s="250" t="s">
        <v>386</v>
      </c>
      <c r="G594" s="251" t="s">
        <v>16</v>
      </c>
      <c r="H594" s="252">
        <v>2</v>
      </c>
      <c r="I594" s="252">
        <v>2</v>
      </c>
      <c r="J594" s="252">
        <v>1</v>
      </c>
      <c r="K594" s="252">
        <v>1</v>
      </c>
      <c r="L594" s="253">
        <v>2</v>
      </c>
      <c r="M594" s="254">
        <f t="shared" si="18"/>
        <v>0.37356464144298934</v>
      </c>
      <c r="N594" s="255"/>
    </row>
    <row r="595" spans="1:14" hidden="1" x14ac:dyDescent="0.2">
      <c r="A595" s="230" t="s">
        <v>321</v>
      </c>
      <c r="B595" s="231" t="s">
        <v>383</v>
      </c>
      <c r="C595" s="247" t="s">
        <v>55</v>
      </c>
      <c r="D595" s="232" t="s">
        <v>135</v>
      </c>
      <c r="E595" s="249">
        <v>0.15243102288688151</v>
      </c>
      <c r="F595" s="250" t="s">
        <v>386</v>
      </c>
      <c r="G595" s="251" t="s">
        <v>16</v>
      </c>
      <c r="H595" s="252">
        <v>2</v>
      </c>
      <c r="I595" s="252">
        <v>2</v>
      </c>
      <c r="J595" s="252">
        <v>1</v>
      </c>
      <c r="K595" s="252">
        <v>1</v>
      </c>
      <c r="L595" s="253">
        <v>2</v>
      </c>
      <c r="M595" s="254">
        <f t="shared" si="18"/>
        <v>0.37356464144298934</v>
      </c>
      <c r="N595" s="255"/>
    </row>
    <row r="596" spans="1:14" hidden="1" x14ac:dyDescent="0.2">
      <c r="A596" s="230" t="s">
        <v>321</v>
      </c>
      <c r="B596" s="231" t="s">
        <v>383</v>
      </c>
      <c r="C596" s="247" t="s">
        <v>57</v>
      </c>
      <c r="D596" s="232" t="s">
        <v>135</v>
      </c>
      <c r="E596" s="249">
        <v>0.1705656185180664</v>
      </c>
      <c r="F596" s="250" t="s">
        <v>386</v>
      </c>
      <c r="G596" s="251" t="s">
        <v>16</v>
      </c>
      <c r="H596" s="252">
        <v>2</v>
      </c>
      <c r="I596" s="252">
        <v>2</v>
      </c>
      <c r="J596" s="252">
        <v>1</v>
      </c>
      <c r="K596" s="252">
        <v>1</v>
      </c>
      <c r="L596" s="253">
        <v>2</v>
      </c>
      <c r="M596" s="254">
        <f t="shared" si="18"/>
        <v>0.37356464144298934</v>
      </c>
      <c r="N596" s="255"/>
    </row>
    <row r="597" spans="1:14" hidden="1" x14ac:dyDescent="0.2">
      <c r="A597" s="230" t="s">
        <v>321</v>
      </c>
      <c r="B597" s="231" t="s">
        <v>383</v>
      </c>
      <c r="C597" s="247" t="s">
        <v>59</v>
      </c>
      <c r="D597" s="232" t="s">
        <v>135</v>
      </c>
      <c r="E597" s="249">
        <v>0.18146409699999999</v>
      </c>
      <c r="F597" s="250" t="s">
        <v>360</v>
      </c>
      <c r="G597" s="251" t="s">
        <v>16</v>
      </c>
      <c r="H597" s="252">
        <v>2</v>
      </c>
      <c r="I597" s="252">
        <v>2</v>
      </c>
      <c r="J597" s="252">
        <v>1</v>
      </c>
      <c r="K597" s="252">
        <v>1</v>
      </c>
      <c r="L597" s="253">
        <v>2</v>
      </c>
      <c r="M597" s="254">
        <f t="shared" si="18"/>
        <v>0.37356464144298934</v>
      </c>
      <c r="N597" s="255"/>
    </row>
    <row r="598" spans="1:14" hidden="1" x14ac:dyDescent="0.2">
      <c r="A598" s="230" t="s">
        <v>321</v>
      </c>
      <c r="B598" s="231" t="s">
        <v>383</v>
      </c>
      <c r="C598" s="247" t="s">
        <v>60</v>
      </c>
      <c r="D598" s="232" t="s">
        <v>135</v>
      </c>
      <c r="E598" s="249">
        <v>0.13789971824430339</v>
      </c>
      <c r="F598" s="250" t="s">
        <v>386</v>
      </c>
      <c r="G598" s="251" t="s">
        <v>16</v>
      </c>
      <c r="H598" s="252">
        <v>2</v>
      </c>
      <c r="I598" s="252">
        <v>2</v>
      </c>
      <c r="J598" s="252">
        <v>1</v>
      </c>
      <c r="K598" s="252">
        <v>1</v>
      </c>
      <c r="L598" s="253">
        <v>2</v>
      </c>
      <c r="M598" s="254">
        <f t="shared" si="18"/>
        <v>0.37356464144298934</v>
      </c>
      <c r="N598" s="255"/>
    </row>
    <row r="599" spans="1:14" x14ac:dyDescent="0.2">
      <c r="A599" s="236" t="s">
        <v>321</v>
      </c>
      <c r="B599" s="237" t="s">
        <v>387</v>
      </c>
      <c r="C599" s="238" t="s">
        <v>135</v>
      </c>
      <c r="D599" s="239" t="s">
        <v>135</v>
      </c>
      <c r="E599" s="240" t="s">
        <v>188</v>
      </c>
      <c r="F599" s="241"/>
      <c r="G599" s="242"/>
      <c r="H599" s="240"/>
      <c r="I599" s="240"/>
      <c r="J599" s="240"/>
      <c r="K599" s="240"/>
      <c r="L599" s="243"/>
      <c r="M599" s="244"/>
      <c r="N599" s="245"/>
    </row>
    <row r="600" spans="1:14" x14ac:dyDescent="0.2">
      <c r="A600" s="355" t="s">
        <v>329</v>
      </c>
      <c r="B600" s="356" t="s">
        <v>387</v>
      </c>
      <c r="C600" s="297" t="s">
        <v>135</v>
      </c>
      <c r="D600" s="298" t="s">
        <v>135</v>
      </c>
      <c r="E600" s="299">
        <v>1</v>
      </c>
      <c r="F600" s="300" t="s">
        <v>342</v>
      </c>
      <c r="G600" s="301" t="s">
        <v>16</v>
      </c>
      <c r="H600" s="357"/>
      <c r="I600" s="299"/>
      <c r="J600" s="299"/>
      <c r="K600" s="299"/>
      <c r="L600" s="302"/>
      <c r="M600" s="303" t="str">
        <f>IF( OR( ISBLANK(H600),ISBLANK(I600), ISBLANK(J600), ISBLANK(K600), ISBLANK(L600) ), "", 1.5*SQRT(   EXP(2.21*(H600-1)) + EXP(2.21*(I600-1)) + EXP(2.21*(J600-1)) + EXP(2.21*(K600-1)) + EXP(2.21*L600)   )/100*2.45 )</f>
        <v/>
      </c>
      <c r="N600" s="304"/>
    </row>
    <row r="601" spans="1:14" x14ac:dyDescent="0.2">
      <c r="A601" s="236" t="s">
        <v>337</v>
      </c>
      <c r="B601" s="237" t="s">
        <v>387</v>
      </c>
      <c r="C601" s="238" t="s">
        <v>135</v>
      </c>
      <c r="D601" s="239" t="s">
        <v>135</v>
      </c>
      <c r="E601" s="240">
        <v>1</v>
      </c>
      <c r="F601" s="241" t="s">
        <v>342</v>
      </c>
      <c r="G601" s="242" t="s">
        <v>16</v>
      </c>
      <c r="H601" s="282"/>
      <c r="I601" s="240"/>
      <c r="J601" s="240"/>
      <c r="K601" s="240"/>
      <c r="L601" s="243"/>
      <c r="M601" s="244" t="str">
        <f t="shared" ref="M601:M631" si="19">IF( OR( ISBLANK(H601),ISBLANK(I601), ISBLANK(J601), ISBLANK(K601), ISBLANK(L601) ), "", 1.5*SQRT( EXP(2.21*(H601-1)) + EXP(2.21*(I601-1)) + EXP(2.21*(J601-1)) + EXP(2.21*(K601-1)) + EXP(2.21*L601) )/100*2.45 )</f>
        <v/>
      </c>
      <c r="N601" s="245"/>
    </row>
    <row r="602" spans="1:14" x14ac:dyDescent="0.2">
      <c r="A602" s="355" t="s">
        <v>349</v>
      </c>
      <c r="B602" s="356" t="s">
        <v>387</v>
      </c>
      <c r="C602" s="297" t="s">
        <v>135</v>
      </c>
      <c r="D602" s="298" t="s">
        <v>135</v>
      </c>
      <c r="E602" s="299">
        <v>1</v>
      </c>
      <c r="F602" s="300"/>
      <c r="G602" s="301" t="s">
        <v>16</v>
      </c>
      <c r="H602" s="299"/>
      <c r="I602" s="299"/>
      <c r="J602" s="299"/>
      <c r="K602" s="299"/>
      <c r="L602" s="302"/>
      <c r="M602" s="303" t="str">
        <f t="shared" si="19"/>
        <v/>
      </c>
      <c r="N602" s="304"/>
    </row>
    <row r="603" spans="1:14" x14ac:dyDescent="0.2">
      <c r="A603" s="358" t="s">
        <v>350</v>
      </c>
      <c r="B603" s="237" t="s">
        <v>387</v>
      </c>
      <c r="C603" s="238" t="s">
        <v>135</v>
      </c>
      <c r="D603" s="239" t="s">
        <v>135</v>
      </c>
      <c r="E603" s="240">
        <v>1</v>
      </c>
      <c r="F603" s="241"/>
      <c r="G603" s="242"/>
      <c r="H603" s="240"/>
      <c r="I603" s="240"/>
      <c r="J603" s="240"/>
      <c r="K603" s="240"/>
      <c r="L603" s="243"/>
      <c r="M603" s="244" t="str">
        <f t="shared" si="19"/>
        <v/>
      </c>
      <c r="N603" s="245"/>
    </row>
    <row r="604" spans="1:14" x14ac:dyDescent="0.2">
      <c r="A604" s="236" t="s">
        <v>352</v>
      </c>
      <c r="B604" s="237" t="s">
        <v>387</v>
      </c>
      <c r="C604" s="238" t="s">
        <v>135</v>
      </c>
      <c r="D604" s="239" t="s">
        <v>135</v>
      </c>
      <c r="E604" s="240">
        <v>1</v>
      </c>
      <c r="F604" s="241"/>
      <c r="G604" s="242" t="s">
        <v>16</v>
      </c>
      <c r="H604" s="240"/>
      <c r="I604" s="240"/>
      <c r="J604" s="240"/>
      <c r="K604" s="240"/>
      <c r="L604" s="243"/>
      <c r="M604" s="244" t="str">
        <f t="shared" si="19"/>
        <v/>
      </c>
      <c r="N604" s="245"/>
    </row>
    <row r="605" spans="1:14" x14ac:dyDescent="0.2">
      <c r="A605" s="355" t="s">
        <v>361</v>
      </c>
      <c r="B605" s="356" t="s">
        <v>387</v>
      </c>
      <c r="C605" s="297" t="s">
        <v>135</v>
      </c>
      <c r="D605" s="298" t="s">
        <v>135</v>
      </c>
      <c r="E605" s="299">
        <v>1</v>
      </c>
      <c r="F605" s="300"/>
      <c r="G605" s="301"/>
      <c r="H605" s="299"/>
      <c r="I605" s="299"/>
      <c r="J605" s="299"/>
      <c r="K605" s="299"/>
      <c r="L605" s="302"/>
      <c r="M605" s="303" t="str">
        <f t="shared" si="19"/>
        <v/>
      </c>
      <c r="N605" s="304"/>
    </row>
    <row r="606" spans="1:14" x14ac:dyDescent="0.2">
      <c r="A606" s="230" t="s">
        <v>362</v>
      </c>
      <c r="B606" s="231" t="s">
        <v>387</v>
      </c>
      <c r="C606" s="238" t="s">
        <v>135</v>
      </c>
      <c r="D606" s="232" t="s">
        <v>135</v>
      </c>
      <c r="E606" s="61">
        <v>1</v>
      </c>
      <c r="F606" s="233"/>
      <c r="G606" s="234" t="s">
        <v>16</v>
      </c>
      <c r="H606" s="61"/>
      <c r="I606" s="61"/>
      <c r="J606" s="61"/>
      <c r="K606" s="61"/>
      <c r="L606" s="62"/>
      <c r="M606" s="63" t="str">
        <f t="shared" si="19"/>
        <v/>
      </c>
      <c r="N606" s="235"/>
    </row>
    <row r="607" spans="1:14" x14ac:dyDescent="0.2">
      <c r="A607" s="355" t="s">
        <v>365</v>
      </c>
      <c r="B607" s="356" t="s">
        <v>387</v>
      </c>
      <c r="C607" s="297" t="s">
        <v>135</v>
      </c>
      <c r="D607" s="298" t="s">
        <v>135</v>
      </c>
      <c r="E607" s="299">
        <v>1</v>
      </c>
      <c r="F607" s="300"/>
      <c r="G607" s="301"/>
      <c r="H607" s="299"/>
      <c r="I607" s="299"/>
      <c r="J607" s="299"/>
      <c r="K607" s="299"/>
      <c r="L607" s="302"/>
      <c r="M607" s="303" t="str">
        <f t="shared" si="19"/>
        <v/>
      </c>
      <c r="N607" s="304"/>
    </row>
    <row r="608" spans="1:14" x14ac:dyDescent="0.2">
      <c r="A608" s="355" t="s">
        <v>369</v>
      </c>
      <c r="B608" s="356" t="s">
        <v>387</v>
      </c>
      <c r="C608" s="297" t="s">
        <v>135</v>
      </c>
      <c r="D608" s="298" t="s">
        <v>135</v>
      </c>
      <c r="E608" s="299">
        <v>1</v>
      </c>
      <c r="F608" s="300"/>
      <c r="G608" s="301"/>
      <c r="H608" s="299"/>
      <c r="I608" s="299"/>
      <c r="J608" s="299"/>
      <c r="K608" s="299"/>
      <c r="L608" s="302"/>
      <c r="M608" s="303" t="str">
        <f t="shared" si="19"/>
        <v/>
      </c>
      <c r="N608" s="304"/>
    </row>
    <row r="609" spans="1:14" x14ac:dyDescent="0.2">
      <c r="A609" s="355" t="s">
        <v>370</v>
      </c>
      <c r="B609" s="356" t="s">
        <v>387</v>
      </c>
      <c r="C609" s="297" t="s">
        <v>135</v>
      </c>
      <c r="D609" s="298" t="s">
        <v>135</v>
      </c>
      <c r="E609" s="299">
        <v>1</v>
      </c>
      <c r="F609" s="300"/>
      <c r="G609" s="301"/>
      <c r="H609" s="299"/>
      <c r="I609" s="299"/>
      <c r="J609" s="299"/>
      <c r="K609" s="299"/>
      <c r="L609" s="302"/>
      <c r="M609" s="303" t="str">
        <f t="shared" si="19"/>
        <v/>
      </c>
      <c r="N609" s="304"/>
    </row>
    <row r="610" spans="1:14" x14ac:dyDescent="0.2">
      <c r="A610" s="355" t="s">
        <v>371</v>
      </c>
      <c r="B610" s="356" t="s">
        <v>387</v>
      </c>
      <c r="C610" s="297" t="s">
        <v>135</v>
      </c>
      <c r="D610" s="298" t="s">
        <v>135</v>
      </c>
      <c r="E610" s="299">
        <v>1</v>
      </c>
      <c r="F610" s="300"/>
      <c r="G610" s="301"/>
      <c r="H610" s="299"/>
      <c r="I610" s="299"/>
      <c r="J610" s="299"/>
      <c r="K610" s="299"/>
      <c r="L610" s="302"/>
      <c r="M610" s="303" t="str">
        <f t="shared" si="19"/>
        <v/>
      </c>
      <c r="N610" s="304"/>
    </row>
    <row r="611" spans="1:14" x14ac:dyDescent="0.2">
      <c r="A611" s="355" t="s">
        <v>372</v>
      </c>
      <c r="B611" s="356" t="s">
        <v>387</v>
      </c>
      <c r="C611" s="297" t="s">
        <v>135</v>
      </c>
      <c r="D611" s="298" t="s">
        <v>135</v>
      </c>
      <c r="E611" s="299">
        <v>1</v>
      </c>
      <c r="F611" s="300"/>
      <c r="G611" s="301"/>
      <c r="H611" s="299"/>
      <c r="I611" s="299"/>
      <c r="J611" s="299"/>
      <c r="K611" s="299"/>
      <c r="L611" s="302"/>
      <c r="M611" s="303" t="str">
        <f t="shared" si="19"/>
        <v/>
      </c>
      <c r="N611" s="304"/>
    </row>
    <row r="612" spans="1:14" x14ac:dyDescent="0.2">
      <c r="A612" s="236" t="s">
        <v>373</v>
      </c>
      <c r="B612" s="237" t="s">
        <v>387</v>
      </c>
      <c r="C612" s="238" t="s">
        <v>135</v>
      </c>
      <c r="D612" s="239" t="s">
        <v>135</v>
      </c>
      <c r="E612" s="240">
        <v>1</v>
      </c>
      <c r="F612" s="241"/>
      <c r="G612" s="242"/>
      <c r="H612" s="240"/>
      <c r="I612" s="240"/>
      <c r="J612" s="240"/>
      <c r="K612" s="240"/>
      <c r="L612" s="243"/>
      <c r="M612" s="244" t="str">
        <f t="shared" si="19"/>
        <v/>
      </c>
      <c r="N612" s="245"/>
    </row>
    <row r="613" spans="1:14" x14ac:dyDescent="0.2">
      <c r="A613" s="220" t="s">
        <v>363</v>
      </c>
      <c r="B613" s="221" t="s">
        <v>387</v>
      </c>
      <c r="C613" s="222" t="s">
        <v>135</v>
      </c>
      <c r="D613" s="223" t="s">
        <v>135</v>
      </c>
      <c r="E613" s="286" t="s">
        <v>188</v>
      </c>
      <c r="F613" s="225"/>
      <c r="G613" s="226" t="s">
        <v>16</v>
      </c>
      <c r="H613" s="224"/>
      <c r="I613" s="224"/>
      <c r="J613" s="224"/>
      <c r="K613" s="224"/>
      <c r="L613" s="227"/>
      <c r="M613" s="228" t="str">
        <f t="shared" si="19"/>
        <v/>
      </c>
      <c r="N613" s="229"/>
    </row>
    <row r="614" spans="1:14" x14ac:dyDescent="0.2">
      <c r="A614" s="230" t="s">
        <v>363</v>
      </c>
      <c r="B614" s="231" t="s">
        <v>393</v>
      </c>
      <c r="C614" s="247" t="s">
        <v>13</v>
      </c>
      <c r="D614" s="232" t="s">
        <v>135</v>
      </c>
      <c r="E614" s="249">
        <v>0.23120442708333341</v>
      </c>
      <c r="F614" s="250" t="s">
        <v>386</v>
      </c>
      <c r="G614" s="251" t="s">
        <v>16</v>
      </c>
      <c r="H614" s="252">
        <v>2</v>
      </c>
      <c r="I614" s="252">
        <v>2</v>
      </c>
      <c r="J614" s="252">
        <v>1</v>
      </c>
      <c r="K614" s="252">
        <v>1</v>
      </c>
      <c r="L614" s="253">
        <v>2</v>
      </c>
      <c r="M614" s="254">
        <f t="shared" si="19"/>
        <v>0.37356464144298934</v>
      </c>
      <c r="N614" s="255"/>
    </row>
    <row r="615" spans="1:14" hidden="1" x14ac:dyDescent="0.2">
      <c r="A615" s="230" t="s">
        <v>363</v>
      </c>
      <c r="B615" s="231" t="s">
        <v>393</v>
      </c>
      <c r="C615" s="247" t="s">
        <v>18</v>
      </c>
      <c r="D615" s="232" t="s">
        <v>135</v>
      </c>
      <c r="E615" s="249">
        <v>0.28560221354166671</v>
      </c>
      <c r="F615" s="250" t="s">
        <v>386</v>
      </c>
      <c r="G615" s="251" t="s">
        <v>16</v>
      </c>
      <c r="H615" s="252">
        <v>2</v>
      </c>
      <c r="I615" s="252">
        <v>2</v>
      </c>
      <c r="J615" s="252">
        <v>1</v>
      </c>
      <c r="K615" s="252">
        <v>1</v>
      </c>
      <c r="L615" s="253">
        <v>2</v>
      </c>
      <c r="M615" s="254">
        <f t="shared" si="19"/>
        <v>0.37356464144298934</v>
      </c>
      <c r="N615" s="255"/>
    </row>
    <row r="616" spans="1:14" hidden="1" x14ac:dyDescent="0.2">
      <c r="A616" s="230" t="s">
        <v>363</v>
      </c>
      <c r="B616" s="231" t="s">
        <v>393</v>
      </c>
      <c r="C616" s="247" t="s">
        <v>20</v>
      </c>
      <c r="D616" s="232" t="s">
        <v>135</v>
      </c>
      <c r="E616" s="249">
        <v>0.43518229166666672</v>
      </c>
      <c r="F616" s="250" t="s">
        <v>386</v>
      </c>
      <c r="G616" s="251" t="s">
        <v>16</v>
      </c>
      <c r="H616" s="252">
        <v>2</v>
      </c>
      <c r="I616" s="252">
        <v>2</v>
      </c>
      <c r="J616" s="252">
        <v>1</v>
      </c>
      <c r="K616" s="252">
        <v>1</v>
      </c>
      <c r="L616" s="253">
        <v>2</v>
      </c>
      <c r="M616" s="254">
        <f t="shared" si="19"/>
        <v>0.37356464144298934</v>
      </c>
      <c r="N616" s="255"/>
    </row>
    <row r="617" spans="1:14" hidden="1" x14ac:dyDescent="0.2">
      <c r="A617" s="230" t="s">
        <v>363</v>
      </c>
      <c r="B617" s="231" t="s">
        <v>393</v>
      </c>
      <c r="C617" s="247" t="s">
        <v>22</v>
      </c>
      <c r="D617" s="232" t="s">
        <v>135</v>
      </c>
      <c r="E617" s="249">
        <v>0.25837565104166671</v>
      </c>
      <c r="F617" s="250" t="s">
        <v>386</v>
      </c>
      <c r="G617" s="251" t="s">
        <v>16</v>
      </c>
      <c r="H617" s="252">
        <v>2</v>
      </c>
      <c r="I617" s="252">
        <v>2</v>
      </c>
      <c r="J617" s="252">
        <v>1</v>
      </c>
      <c r="K617" s="252">
        <v>1</v>
      </c>
      <c r="L617" s="253">
        <v>2</v>
      </c>
      <c r="M617" s="254">
        <f t="shared" si="19"/>
        <v>0.37356464144298934</v>
      </c>
      <c r="N617" s="255"/>
    </row>
    <row r="618" spans="1:14" hidden="1" x14ac:dyDescent="0.2">
      <c r="A618" s="230" t="s">
        <v>363</v>
      </c>
      <c r="B618" s="231" t="s">
        <v>393</v>
      </c>
      <c r="C618" s="247" t="s">
        <v>23</v>
      </c>
      <c r="D618" s="232" t="s">
        <v>135</v>
      </c>
      <c r="E618" s="249">
        <v>0.31958007812500011</v>
      </c>
      <c r="F618" s="250" t="s">
        <v>386</v>
      </c>
      <c r="G618" s="251" t="s">
        <v>16</v>
      </c>
      <c r="H618" s="252">
        <v>2</v>
      </c>
      <c r="I618" s="252">
        <v>2</v>
      </c>
      <c r="J618" s="252">
        <v>1</v>
      </c>
      <c r="K618" s="252">
        <v>1</v>
      </c>
      <c r="L618" s="253">
        <v>2</v>
      </c>
      <c r="M618" s="254">
        <f t="shared" si="19"/>
        <v>0.37356464144298934</v>
      </c>
      <c r="N618" s="255"/>
    </row>
    <row r="619" spans="1:14" hidden="1" x14ac:dyDescent="0.2">
      <c r="A619" s="230" t="s">
        <v>363</v>
      </c>
      <c r="B619" s="231" t="s">
        <v>393</v>
      </c>
      <c r="C619" s="247" t="s">
        <v>24</v>
      </c>
      <c r="D619" s="232" t="s">
        <v>135</v>
      </c>
      <c r="E619" s="249">
        <v>0.3943977864583334</v>
      </c>
      <c r="F619" s="250" t="s">
        <v>386</v>
      </c>
      <c r="G619" s="251" t="s">
        <v>16</v>
      </c>
      <c r="H619" s="252">
        <v>2</v>
      </c>
      <c r="I619" s="252">
        <v>2</v>
      </c>
      <c r="J619" s="252">
        <v>1</v>
      </c>
      <c r="K619" s="252">
        <v>1</v>
      </c>
      <c r="L619" s="253">
        <v>2</v>
      </c>
      <c r="M619" s="254">
        <f t="shared" si="19"/>
        <v>0.37356464144298934</v>
      </c>
      <c r="N619" s="255"/>
    </row>
    <row r="620" spans="1:14" hidden="1" x14ac:dyDescent="0.2">
      <c r="A620" s="230" t="s">
        <v>363</v>
      </c>
      <c r="B620" s="231" t="s">
        <v>393</v>
      </c>
      <c r="C620" s="247" t="s">
        <v>25</v>
      </c>
      <c r="D620" s="232" t="s">
        <v>135</v>
      </c>
      <c r="E620" s="249">
        <v>0.20397786458333339</v>
      </c>
      <c r="F620" s="250" t="s">
        <v>386</v>
      </c>
      <c r="G620" s="251" t="s">
        <v>16</v>
      </c>
      <c r="H620" s="252">
        <v>2</v>
      </c>
      <c r="I620" s="252">
        <v>2</v>
      </c>
      <c r="J620" s="252">
        <v>1</v>
      </c>
      <c r="K620" s="252">
        <v>1</v>
      </c>
      <c r="L620" s="253">
        <v>2</v>
      </c>
      <c r="M620" s="254">
        <f t="shared" si="19"/>
        <v>0.37356464144298934</v>
      </c>
      <c r="N620" s="255"/>
    </row>
    <row r="621" spans="1:14" hidden="1" x14ac:dyDescent="0.2">
      <c r="A621" s="230" t="s">
        <v>363</v>
      </c>
      <c r="B621" s="231" t="s">
        <v>393</v>
      </c>
      <c r="C621" s="247" t="s">
        <v>26</v>
      </c>
      <c r="D621" s="232" t="s">
        <v>135</v>
      </c>
      <c r="E621" s="249">
        <v>0.19722656250000001</v>
      </c>
      <c r="F621" s="250" t="s">
        <v>386</v>
      </c>
      <c r="G621" s="251" t="s">
        <v>16</v>
      </c>
      <c r="H621" s="252">
        <v>2</v>
      </c>
      <c r="I621" s="252">
        <v>2</v>
      </c>
      <c r="J621" s="252">
        <v>1</v>
      </c>
      <c r="K621" s="252">
        <v>1</v>
      </c>
      <c r="L621" s="253">
        <v>2</v>
      </c>
      <c r="M621" s="254">
        <f t="shared" si="19"/>
        <v>0.37356464144298934</v>
      </c>
      <c r="N621" s="255"/>
    </row>
    <row r="622" spans="1:14" hidden="1" x14ac:dyDescent="0.2">
      <c r="A622" s="230" t="s">
        <v>363</v>
      </c>
      <c r="B622" s="231" t="s">
        <v>393</v>
      </c>
      <c r="C622" s="247" t="s">
        <v>27</v>
      </c>
      <c r="D622" s="232" t="s">
        <v>135</v>
      </c>
      <c r="E622" s="249">
        <v>0.17</v>
      </c>
      <c r="F622" s="250" t="s">
        <v>386</v>
      </c>
      <c r="G622" s="251" t="s">
        <v>16</v>
      </c>
      <c r="H622" s="252">
        <v>2</v>
      </c>
      <c r="I622" s="252">
        <v>2</v>
      </c>
      <c r="J622" s="252">
        <v>1</v>
      </c>
      <c r="K622" s="252">
        <v>1</v>
      </c>
      <c r="L622" s="253">
        <v>2</v>
      </c>
      <c r="M622" s="254">
        <f t="shared" si="19"/>
        <v>0.37356464144298934</v>
      </c>
      <c r="N622" s="255"/>
    </row>
    <row r="623" spans="1:14" hidden="1" x14ac:dyDescent="0.2">
      <c r="A623" s="230" t="s">
        <v>363</v>
      </c>
      <c r="B623" s="231" t="s">
        <v>393</v>
      </c>
      <c r="C623" s="247" t="s">
        <v>28</v>
      </c>
      <c r="D623" s="232" t="s">
        <v>135</v>
      </c>
      <c r="E623" s="249">
        <v>0.17</v>
      </c>
      <c r="F623" s="250" t="s">
        <v>386</v>
      </c>
      <c r="G623" s="251" t="s">
        <v>16</v>
      </c>
      <c r="H623" s="252">
        <v>2</v>
      </c>
      <c r="I623" s="252">
        <v>2</v>
      </c>
      <c r="J623" s="252">
        <v>1</v>
      </c>
      <c r="K623" s="252">
        <v>1</v>
      </c>
      <c r="L623" s="253">
        <v>2</v>
      </c>
      <c r="M623" s="254">
        <f t="shared" si="19"/>
        <v>0.37356464144298934</v>
      </c>
      <c r="N623" s="255"/>
    </row>
    <row r="624" spans="1:14" hidden="1" x14ac:dyDescent="0.2">
      <c r="A624" s="230" t="s">
        <v>363</v>
      </c>
      <c r="B624" s="231" t="s">
        <v>393</v>
      </c>
      <c r="C624" s="247" t="s">
        <v>30</v>
      </c>
      <c r="D624" s="232" t="s">
        <v>135</v>
      </c>
      <c r="E624" s="249">
        <v>0.34</v>
      </c>
      <c r="F624" s="250" t="s">
        <v>386</v>
      </c>
      <c r="G624" s="251" t="s">
        <v>16</v>
      </c>
      <c r="H624" s="252">
        <v>2</v>
      </c>
      <c r="I624" s="252">
        <v>2</v>
      </c>
      <c r="J624" s="252">
        <v>1</v>
      </c>
      <c r="K624" s="252">
        <v>1</v>
      </c>
      <c r="L624" s="253">
        <v>2</v>
      </c>
      <c r="M624" s="254">
        <f t="shared" si="19"/>
        <v>0.37356464144298934</v>
      </c>
      <c r="N624" s="255"/>
    </row>
    <row r="625" spans="1:14" hidden="1" x14ac:dyDescent="0.2">
      <c r="A625" s="230" t="s">
        <v>363</v>
      </c>
      <c r="B625" s="231" t="s">
        <v>393</v>
      </c>
      <c r="C625" s="247" t="s">
        <v>32</v>
      </c>
      <c r="D625" s="232" t="s">
        <v>135</v>
      </c>
      <c r="E625" s="249">
        <v>0.21759114583333339</v>
      </c>
      <c r="F625" s="250" t="s">
        <v>386</v>
      </c>
      <c r="G625" s="251" t="s">
        <v>16</v>
      </c>
      <c r="H625" s="252">
        <v>2</v>
      </c>
      <c r="I625" s="252">
        <v>2</v>
      </c>
      <c r="J625" s="252">
        <v>1</v>
      </c>
      <c r="K625" s="252">
        <v>1</v>
      </c>
      <c r="L625" s="253">
        <v>2</v>
      </c>
      <c r="M625" s="254">
        <f t="shared" si="19"/>
        <v>0.37356464144298934</v>
      </c>
      <c r="N625" s="255"/>
    </row>
    <row r="626" spans="1:14" hidden="1" x14ac:dyDescent="0.2">
      <c r="A626" s="230" t="s">
        <v>363</v>
      </c>
      <c r="B626" s="231" t="s">
        <v>393</v>
      </c>
      <c r="C626" s="247" t="s">
        <v>34</v>
      </c>
      <c r="D626" s="232" t="s">
        <v>135</v>
      </c>
      <c r="E626" s="249">
        <v>0.25162434895833341</v>
      </c>
      <c r="F626" s="250" t="s">
        <v>386</v>
      </c>
      <c r="G626" s="251" t="s">
        <v>16</v>
      </c>
      <c r="H626" s="252">
        <v>2</v>
      </c>
      <c r="I626" s="252">
        <v>2</v>
      </c>
      <c r="J626" s="252">
        <v>1</v>
      </c>
      <c r="K626" s="252">
        <v>1</v>
      </c>
      <c r="L626" s="253">
        <v>2</v>
      </c>
      <c r="M626" s="254">
        <f t="shared" si="19"/>
        <v>0.37356464144298934</v>
      </c>
      <c r="N626" s="255"/>
    </row>
    <row r="627" spans="1:14" hidden="1" x14ac:dyDescent="0.2">
      <c r="A627" s="230" t="s">
        <v>363</v>
      </c>
      <c r="B627" s="231" t="s">
        <v>393</v>
      </c>
      <c r="C627" s="247" t="s">
        <v>36</v>
      </c>
      <c r="D627" s="232" t="s">
        <v>135</v>
      </c>
      <c r="E627" s="249">
        <v>0.27198893229166671</v>
      </c>
      <c r="F627" s="250" t="s">
        <v>386</v>
      </c>
      <c r="G627" s="251" t="s">
        <v>16</v>
      </c>
      <c r="H627" s="252">
        <v>2</v>
      </c>
      <c r="I627" s="252">
        <v>2</v>
      </c>
      <c r="J627" s="252">
        <v>1</v>
      </c>
      <c r="K627" s="252">
        <v>1</v>
      </c>
      <c r="L627" s="253">
        <v>2</v>
      </c>
      <c r="M627" s="254">
        <f t="shared" si="19"/>
        <v>0.37356464144298934</v>
      </c>
      <c r="N627" s="255"/>
    </row>
    <row r="628" spans="1:14" hidden="1" x14ac:dyDescent="0.2">
      <c r="A628" s="230" t="s">
        <v>363</v>
      </c>
      <c r="B628" s="231" t="s">
        <v>393</v>
      </c>
      <c r="C628" s="247" t="s">
        <v>37</v>
      </c>
      <c r="D628" s="232" t="s">
        <v>135</v>
      </c>
      <c r="E628" s="249">
        <v>0.25837565104166671</v>
      </c>
      <c r="F628" s="250" t="s">
        <v>386</v>
      </c>
      <c r="G628" s="251" t="s">
        <v>16</v>
      </c>
      <c r="H628" s="252">
        <v>2</v>
      </c>
      <c r="I628" s="252">
        <v>2</v>
      </c>
      <c r="J628" s="252">
        <v>1</v>
      </c>
      <c r="K628" s="252">
        <v>1</v>
      </c>
      <c r="L628" s="253">
        <v>2</v>
      </c>
      <c r="M628" s="254">
        <f t="shared" si="19"/>
        <v>0.37356464144298934</v>
      </c>
      <c r="N628" s="255"/>
    </row>
    <row r="629" spans="1:14" hidden="1" x14ac:dyDescent="0.2">
      <c r="A629" s="230" t="s">
        <v>363</v>
      </c>
      <c r="B629" s="231" t="s">
        <v>393</v>
      </c>
      <c r="C629" s="247" t="s">
        <v>39</v>
      </c>
      <c r="D629" s="232" t="s">
        <v>135</v>
      </c>
      <c r="E629" s="249">
        <v>0.24481770833333341</v>
      </c>
      <c r="F629" s="250" t="s">
        <v>386</v>
      </c>
      <c r="G629" s="251" t="s">
        <v>16</v>
      </c>
      <c r="H629" s="252">
        <v>2</v>
      </c>
      <c r="I629" s="252">
        <v>2</v>
      </c>
      <c r="J629" s="252">
        <v>1</v>
      </c>
      <c r="K629" s="252">
        <v>1</v>
      </c>
      <c r="L629" s="253">
        <v>2</v>
      </c>
      <c r="M629" s="254">
        <f t="shared" si="19"/>
        <v>0.37356464144298934</v>
      </c>
      <c r="N629" s="255"/>
    </row>
    <row r="630" spans="1:14" hidden="1" x14ac:dyDescent="0.2">
      <c r="A630" s="230" t="s">
        <v>363</v>
      </c>
      <c r="B630" s="231" t="s">
        <v>393</v>
      </c>
      <c r="C630" s="247" t="s">
        <v>40</v>
      </c>
      <c r="D630" s="232" t="s">
        <v>135</v>
      </c>
      <c r="E630" s="249">
        <v>0.34680664062500011</v>
      </c>
      <c r="F630" s="250" t="s">
        <v>386</v>
      </c>
      <c r="G630" s="251" t="s">
        <v>16</v>
      </c>
      <c r="H630" s="252">
        <v>2</v>
      </c>
      <c r="I630" s="252">
        <v>2</v>
      </c>
      <c r="J630" s="252">
        <v>1</v>
      </c>
      <c r="K630" s="252">
        <v>1</v>
      </c>
      <c r="L630" s="253">
        <v>2</v>
      </c>
      <c r="M630" s="254">
        <f t="shared" si="19"/>
        <v>0.37356464144298934</v>
      </c>
      <c r="N630" s="255"/>
    </row>
    <row r="631" spans="1:14" hidden="1" x14ac:dyDescent="0.2">
      <c r="A631" s="230" t="s">
        <v>363</v>
      </c>
      <c r="B631" s="231" t="s">
        <v>393</v>
      </c>
      <c r="C631" s="247" t="s">
        <v>41</v>
      </c>
      <c r="D631" s="232" t="s">
        <v>135</v>
      </c>
      <c r="E631" s="249">
        <v>0.25162434895833341</v>
      </c>
      <c r="F631" s="250" t="s">
        <v>386</v>
      </c>
      <c r="G631" s="251" t="s">
        <v>16</v>
      </c>
      <c r="H631" s="252">
        <v>2</v>
      </c>
      <c r="I631" s="252">
        <v>2</v>
      </c>
      <c r="J631" s="252">
        <v>1</v>
      </c>
      <c r="K631" s="252">
        <v>1</v>
      </c>
      <c r="L631" s="253">
        <v>2</v>
      </c>
      <c r="M631" s="254">
        <f t="shared" si="19"/>
        <v>0.37356464144298934</v>
      </c>
      <c r="N631" s="255"/>
    </row>
    <row r="632" spans="1:14" hidden="1" x14ac:dyDescent="0.2">
      <c r="A632" s="230" t="s">
        <v>363</v>
      </c>
      <c r="B632" s="231" t="s">
        <v>393</v>
      </c>
      <c r="C632" s="247" t="s">
        <v>42</v>
      </c>
      <c r="D632" s="232" t="s">
        <v>135</v>
      </c>
      <c r="E632" s="249">
        <v>0.22439778645833339</v>
      </c>
      <c r="F632" s="250" t="s">
        <v>386</v>
      </c>
      <c r="G632" s="251" t="s">
        <v>16</v>
      </c>
      <c r="H632" s="252">
        <v>2</v>
      </c>
      <c r="I632" s="252">
        <v>2</v>
      </c>
      <c r="J632" s="252">
        <v>1</v>
      </c>
      <c r="K632" s="252">
        <v>1</v>
      </c>
      <c r="L632" s="253">
        <v>2</v>
      </c>
      <c r="M632" s="254">
        <f>IF( OR( ISBLANK(H632),ISBLANK(I632), ISBLANK(J632), ISBLANK(K632), ISBLANK(L632) ), "", 1.5*SQRT(   EXP(2.21*(H632-1)) + EXP(2.21*(I632-1)) + EXP(2.21*(J632-1)) + EXP(2.21*(K632-1)) + EXP(2.21*L632)   )/100*2.45 )</f>
        <v>0.37356464144298934</v>
      </c>
      <c r="N632" s="255"/>
    </row>
    <row r="633" spans="1:14" hidden="1" x14ac:dyDescent="0.2">
      <c r="A633" s="230" t="s">
        <v>363</v>
      </c>
      <c r="B633" s="231" t="s">
        <v>393</v>
      </c>
      <c r="C633" s="247" t="s">
        <v>43</v>
      </c>
      <c r="D633" s="232" t="s">
        <v>135</v>
      </c>
      <c r="E633" s="249">
        <v>0.34</v>
      </c>
      <c r="F633" s="250" t="s">
        <v>386</v>
      </c>
      <c r="G633" s="251" t="s">
        <v>16</v>
      </c>
      <c r="H633" s="252">
        <v>2</v>
      </c>
      <c r="I633" s="252">
        <v>2</v>
      </c>
      <c r="J633" s="252">
        <v>1</v>
      </c>
      <c r="K633" s="252">
        <v>1</v>
      </c>
      <c r="L633" s="253">
        <v>2</v>
      </c>
      <c r="M633" s="254">
        <f t="shared" ref="M633:M661" si="20">IF( OR( ISBLANK(H633),ISBLANK(I633), ISBLANK(J633), ISBLANK(K633), ISBLANK(L633) ), "", 1.5*SQRT( EXP(2.21*(H633-1)) + EXP(2.21*(I633-1)) + EXP(2.21*(J633-1)) + EXP(2.21*(K633-1)) + EXP(2.21*L633) )/100*2.45 )</f>
        <v>0.37356464144298934</v>
      </c>
      <c r="N633" s="255"/>
    </row>
    <row r="634" spans="1:14" hidden="1" x14ac:dyDescent="0.2">
      <c r="A634" s="230" t="s">
        <v>363</v>
      </c>
      <c r="B634" s="231" t="s">
        <v>393</v>
      </c>
      <c r="C634" s="247" t="s">
        <v>45</v>
      </c>
      <c r="D634" s="232" t="s">
        <v>135</v>
      </c>
      <c r="E634" s="249">
        <v>0.31958007812500011</v>
      </c>
      <c r="F634" s="250" t="s">
        <v>386</v>
      </c>
      <c r="G634" s="251" t="s">
        <v>16</v>
      </c>
      <c r="H634" s="252">
        <v>2</v>
      </c>
      <c r="I634" s="252">
        <v>2</v>
      </c>
      <c r="J634" s="252">
        <v>1</v>
      </c>
      <c r="K634" s="252">
        <v>1</v>
      </c>
      <c r="L634" s="253">
        <v>2</v>
      </c>
      <c r="M634" s="254">
        <f t="shared" si="20"/>
        <v>0.37356464144298934</v>
      </c>
      <c r="N634" s="255"/>
    </row>
    <row r="635" spans="1:14" hidden="1" x14ac:dyDescent="0.2">
      <c r="A635" s="230" t="s">
        <v>363</v>
      </c>
      <c r="B635" s="231" t="s">
        <v>393</v>
      </c>
      <c r="C635" s="247" t="s">
        <v>46</v>
      </c>
      <c r="D635" s="232" t="s">
        <v>135</v>
      </c>
      <c r="E635" s="249">
        <v>0.19722656250000001</v>
      </c>
      <c r="F635" s="250" t="s">
        <v>386</v>
      </c>
      <c r="G635" s="251" t="s">
        <v>16</v>
      </c>
      <c r="H635" s="252">
        <v>2</v>
      </c>
      <c r="I635" s="252">
        <v>2</v>
      </c>
      <c r="J635" s="252">
        <v>1</v>
      </c>
      <c r="K635" s="252">
        <v>1</v>
      </c>
      <c r="L635" s="253">
        <v>2</v>
      </c>
      <c r="M635" s="254">
        <f t="shared" si="20"/>
        <v>0.37356464144298934</v>
      </c>
      <c r="N635" s="255"/>
    </row>
    <row r="636" spans="1:14" hidden="1" x14ac:dyDescent="0.2">
      <c r="A636" s="230" t="s">
        <v>363</v>
      </c>
      <c r="B636" s="231" t="s">
        <v>393</v>
      </c>
      <c r="C636" s="247" t="s">
        <v>48</v>
      </c>
      <c r="D636" s="232" t="s">
        <v>135</v>
      </c>
      <c r="E636" s="249">
        <v>0.27198893229166671</v>
      </c>
      <c r="F636" s="250" t="s">
        <v>386</v>
      </c>
      <c r="G636" s="251" t="s">
        <v>16</v>
      </c>
      <c r="H636" s="252">
        <v>2</v>
      </c>
      <c r="I636" s="252">
        <v>2</v>
      </c>
      <c r="J636" s="252">
        <v>1</v>
      </c>
      <c r="K636" s="252">
        <v>1</v>
      </c>
      <c r="L636" s="253">
        <v>2</v>
      </c>
      <c r="M636" s="254">
        <f t="shared" si="20"/>
        <v>0.37356464144298934</v>
      </c>
      <c r="N636" s="255"/>
    </row>
    <row r="637" spans="1:14" hidden="1" x14ac:dyDescent="0.2">
      <c r="A637" s="230" t="s">
        <v>363</v>
      </c>
      <c r="B637" s="231" t="s">
        <v>393</v>
      </c>
      <c r="C637" s="247" t="s">
        <v>50</v>
      </c>
      <c r="D637" s="232" t="s">
        <v>135</v>
      </c>
      <c r="E637" s="249">
        <v>0.2992154947916667</v>
      </c>
      <c r="F637" s="250" t="s">
        <v>386</v>
      </c>
      <c r="G637" s="251" t="s">
        <v>16</v>
      </c>
      <c r="H637" s="252">
        <v>2</v>
      </c>
      <c r="I637" s="252">
        <v>2</v>
      </c>
      <c r="J637" s="252">
        <v>1</v>
      </c>
      <c r="K637" s="252">
        <v>1</v>
      </c>
      <c r="L637" s="253">
        <v>2</v>
      </c>
      <c r="M637" s="254">
        <f t="shared" si="20"/>
        <v>0.37356464144298934</v>
      </c>
      <c r="N637" s="255"/>
    </row>
    <row r="638" spans="1:14" hidden="1" x14ac:dyDescent="0.2">
      <c r="A638" s="230" t="s">
        <v>363</v>
      </c>
      <c r="B638" s="231" t="s">
        <v>393</v>
      </c>
      <c r="C638" s="247" t="s">
        <v>52</v>
      </c>
      <c r="D638" s="232" t="s">
        <v>135</v>
      </c>
      <c r="E638" s="249">
        <v>0.3807845052083334</v>
      </c>
      <c r="F638" s="250" t="s">
        <v>386</v>
      </c>
      <c r="G638" s="251" t="s">
        <v>16</v>
      </c>
      <c r="H638" s="252">
        <v>2</v>
      </c>
      <c r="I638" s="252">
        <v>2</v>
      </c>
      <c r="J638" s="252">
        <v>1</v>
      </c>
      <c r="K638" s="252">
        <v>1</v>
      </c>
      <c r="L638" s="253">
        <v>2</v>
      </c>
      <c r="M638" s="254">
        <f t="shared" si="20"/>
        <v>0.37356464144298934</v>
      </c>
      <c r="N638" s="255"/>
    </row>
    <row r="639" spans="1:14" hidden="1" x14ac:dyDescent="0.2">
      <c r="A639" s="230" t="s">
        <v>363</v>
      </c>
      <c r="B639" s="231" t="s">
        <v>393</v>
      </c>
      <c r="C639" s="247" t="s">
        <v>54</v>
      </c>
      <c r="D639" s="232" t="s">
        <v>135</v>
      </c>
      <c r="E639" s="249">
        <v>0.46921549479166669</v>
      </c>
      <c r="F639" s="250" t="s">
        <v>386</v>
      </c>
      <c r="G639" s="251" t="s">
        <v>16</v>
      </c>
      <c r="H639" s="252">
        <v>2</v>
      </c>
      <c r="I639" s="252">
        <v>2</v>
      </c>
      <c r="J639" s="252">
        <v>1</v>
      </c>
      <c r="K639" s="252">
        <v>1</v>
      </c>
      <c r="L639" s="253">
        <v>2</v>
      </c>
      <c r="M639" s="254">
        <f t="shared" si="20"/>
        <v>0.37356464144298934</v>
      </c>
      <c r="N639" s="255"/>
    </row>
    <row r="640" spans="1:14" hidden="1" x14ac:dyDescent="0.2">
      <c r="A640" s="230" t="s">
        <v>363</v>
      </c>
      <c r="B640" s="231" t="s">
        <v>393</v>
      </c>
      <c r="C640" s="247" t="s">
        <v>55</v>
      </c>
      <c r="D640" s="232" t="s">
        <v>135</v>
      </c>
      <c r="E640" s="249">
        <v>0.28560221354166671</v>
      </c>
      <c r="F640" s="250" t="s">
        <v>386</v>
      </c>
      <c r="G640" s="251" t="s">
        <v>16</v>
      </c>
      <c r="H640" s="252">
        <v>2</v>
      </c>
      <c r="I640" s="252">
        <v>2</v>
      </c>
      <c r="J640" s="252">
        <v>1</v>
      </c>
      <c r="K640" s="252">
        <v>1</v>
      </c>
      <c r="L640" s="253">
        <v>2</v>
      </c>
      <c r="M640" s="254">
        <f t="shared" si="20"/>
        <v>0.37356464144298934</v>
      </c>
      <c r="N640" s="255"/>
    </row>
    <row r="641" spans="1:14" hidden="1" x14ac:dyDescent="0.2">
      <c r="A641" s="230" t="s">
        <v>363</v>
      </c>
      <c r="B641" s="231" t="s">
        <v>393</v>
      </c>
      <c r="C641" s="247" t="s">
        <v>57</v>
      </c>
      <c r="D641" s="232" t="s">
        <v>135</v>
      </c>
      <c r="E641" s="249">
        <v>0.31958007812500011</v>
      </c>
      <c r="F641" s="250" t="s">
        <v>386</v>
      </c>
      <c r="G641" s="251" t="s">
        <v>16</v>
      </c>
      <c r="H641" s="252">
        <v>2</v>
      </c>
      <c r="I641" s="252">
        <v>2</v>
      </c>
      <c r="J641" s="252">
        <v>1</v>
      </c>
      <c r="K641" s="252">
        <v>1</v>
      </c>
      <c r="L641" s="253">
        <v>2</v>
      </c>
      <c r="M641" s="254">
        <f t="shared" si="20"/>
        <v>0.37356464144298934</v>
      </c>
      <c r="N641" s="255"/>
    </row>
    <row r="642" spans="1:14" hidden="1" x14ac:dyDescent="0.2">
      <c r="A642" s="230" t="s">
        <v>363</v>
      </c>
      <c r="B642" s="231" t="s">
        <v>393</v>
      </c>
      <c r="C642" s="247" t="s">
        <v>59</v>
      </c>
      <c r="D642" s="232" t="s">
        <v>135</v>
      </c>
      <c r="E642" s="249">
        <v>0.34</v>
      </c>
      <c r="F642" s="250" t="s">
        <v>360</v>
      </c>
      <c r="G642" s="251" t="s">
        <v>16</v>
      </c>
      <c r="H642" s="252">
        <v>2</v>
      </c>
      <c r="I642" s="252">
        <v>2</v>
      </c>
      <c r="J642" s="252">
        <v>1</v>
      </c>
      <c r="K642" s="252">
        <v>1</v>
      </c>
      <c r="L642" s="253">
        <v>2</v>
      </c>
      <c r="M642" s="254">
        <f t="shared" si="20"/>
        <v>0.37356464144298934</v>
      </c>
      <c r="N642" s="255"/>
    </row>
    <row r="643" spans="1:14" hidden="1" x14ac:dyDescent="0.2">
      <c r="A643" s="236" t="s">
        <v>363</v>
      </c>
      <c r="B643" s="237" t="s">
        <v>393</v>
      </c>
      <c r="C643" s="287" t="s">
        <v>60</v>
      </c>
      <c r="D643" s="239" t="s">
        <v>135</v>
      </c>
      <c r="E643" s="288">
        <v>0.25837565104166671</v>
      </c>
      <c r="F643" s="289" t="s">
        <v>386</v>
      </c>
      <c r="G643" s="290" t="s">
        <v>16</v>
      </c>
      <c r="H643" s="291">
        <v>2</v>
      </c>
      <c r="I643" s="291">
        <v>2</v>
      </c>
      <c r="J643" s="291">
        <v>1</v>
      </c>
      <c r="K643" s="291">
        <v>1</v>
      </c>
      <c r="L643" s="292">
        <v>2</v>
      </c>
      <c r="M643" s="293">
        <f t="shared" si="20"/>
        <v>0.37356464144298934</v>
      </c>
      <c r="N643" s="294"/>
    </row>
    <row r="644" spans="1:14" x14ac:dyDescent="0.2">
      <c r="A644" s="230" t="s">
        <v>364</v>
      </c>
      <c r="B644" s="231" t="s">
        <v>387</v>
      </c>
      <c r="C644" s="222" t="s">
        <v>135</v>
      </c>
      <c r="D644" s="232" t="s">
        <v>135</v>
      </c>
      <c r="E644" s="256" t="str">
        <f>E613</f>
        <v>rest</v>
      </c>
      <c r="F644" s="233"/>
      <c r="G644" s="234" t="s">
        <v>16</v>
      </c>
      <c r="H644" s="61"/>
      <c r="I644" s="61"/>
      <c r="J644" s="61"/>
      <c r="K644" s="61"/>
      <c r="L644" s="62"/>
      <c r="M644" s="63" t="str">
        <f t="shared" si="20"/>
        <v/>
      </c>
      <c r="N644" s="235"/>
    </row>
    <row r="645" spans="1:14" x14ac:dyDescent="0.2">
      <c r="A645" s="230" t="s">
        <v>364</v>
      </c>
      <c r="B645" s="231" t="s">
        <v>393</v>
      </c>
      <c r="C645" s="247" t="s">
        <v>13</v>
      </c>
      <c r="D645" s="232" t="s">
        <v>135</v>
      </c>
      <c r="E645" s="249">
        <v>0.23120442708333341</v>
      </c>
      <c r="F645" s="250" t="s">
        <v>386</v>
      </c>
      <c r="G645" s="251" t="s">
        <v>16</v>
      </c>
      <c r="H645" s="252">
        <v>2</v>
      </c>
      <c r="I645" s="252">
        <v>2</v>
      </c>
      <c r="J645" s="252">
        <v>1</v>
      </c>
      <c r="K645" s="252">
        <v>1</v>
      </c>
      <c r="L645" s="253">
        <v>2</v>
      </c>
      <c r="M645" s="254">
        <f t="shared" si="20"/>
        <v>0.37356464144298934</v>
      </c>
      <c r="N645" s="255"/>
    </row>
    <row r="646" spans="1:14" hidden="1" x14ac:dyDescent="0.2">
      <c r="A646" s="230" t="s">
        <v>364</v>
      </c>
      <c r="B646" s="231" t="s">
        <v>393</v>
      </c>
      <c r="C646" s="247" t="s">
        <v>18</v>
      </c>
      <c r="D646" s="232" t="s">
        <v>135</v>
      </c>
      <c r="E646" s="249">
        <v>0.28560221354166671</v>
      </c>
      <c r="F646" s="250" t="s">
        <v>386</v>
      </c>
      <c r="G646" s="251" t="s">
        <v>16</v>
      </c>
      <c r="H646" s="252">
        <v>2</v>
      </c>
      <c r="I646" s="252">
        <v>2</v>
      </c>
      <c r="J646" s="252">
        <v>1</v>
      </c>
      <c r="K646" s="252">
        <v>1</v>
      </c>
      <c r="L646" s="253">
        <v>2</v>
      </c>
      <c r="M646" s="254">
        <f t="shared" si="20"/>
        <v>0.37356464144298934</v>
      </c>
      <c r="N646" s="255"/>
    </row>
    <row r="647" spans="1:14" hidden="1" x14ac:dyDescent="0.2">
      <c r="A647" s="230" t="s">
        <v>364</v>
      </c>
      <c r="B647" s="231" t="s">
        <v>393</v>
      </c>
      <c r="C647" s="247" t="s">
        <v>20</v>
      </c>
      <c r="D647" s="232" t="s">
        <v>135</v>
      </c>
      <c r="E647" s="249">
        <v>0.43518229166666672</v>
      </c>
      <c r="F647" s="250" t="s">
        <v>386</v>
      </c>
      <c r="G647" s="251" t="s">
        <v>16</v>
      </c>
      <c r="H647" s="252">
        <v>2</v>
      </c>
      <c r="I647" s="252">
        <v>2</v>
      </c>
      <c r="J647" s="252">
        <v>1</v>
      </c>
      <c r="K647" s="252">
        <v>1</v>
      </c>
      <c r="L647" s="253">
        <v>2</v>
      </c>
      <c r="M647" s="254">
        <f t="shared" si="20"/>
        <v>0.37356464144298934</v>
      </c>
      <c r="N647" s="255"/>
    </row>
    <row r="648" spans="1:14" hidden="1" x14ac:dyDescent="0.2">
      <c r="A648" s="230" t="s">
        <v>364</v>
      </c>
      <c r="B648" s="231" t="s">
        <v>393</v>
      </c>
      <c r="C648" s="247" t="s">
        <v>22</v>
      </c>
      <c r="D648" s="232" t="s">
        <v>135</v>
      </c>
      <c r="E648" s="249">
        <v>0.25837565104166671</v>
      </c>
      <c r="F648" s="250" t="s">
        <v>386</v>
      </c>
      <c r="G648" s="251" t="s">
        <v>16</v>
      </c>
      <c r="H648" s="252">
        <v>2</v>
      </c>
      <c r="I648" s="252">
        <v>2</v>
      </c>
      <c r="J648" s="252">
        <v>1</v>
      </c>
      <c r="K648" s="252">
        <v>1</v>
      </c>
      <c r="L648" s="253">
        <v>2</v>
      </c>
      <c r="M648" s="254">
        <f t="shared" si="20"/>
        <v>0.37356464144298934</v>
      </c>
      <c r="N648" s="255"/>
    </row>
    <row r="649" spans="1:14" hidden="1" x14ac:dyDescent="0.2">
      <c r="A649" s="230" t="s">
        <v>364</v>
      </c>
      <c r="B649" s="231" t="s">
        <v>393</v>
      </c>
      <c r="C649" s="247" t="s">
        <v>23</v>
      </c>
      <c r="D649" s="232" t="s">
        <v>135</v>
      </c>
      <c r="E649" s="249">
        <v>0.31958007812500011</v>
      </c>
      <c r="F649" s="250" t="s">
        <v>386</v>
      </c>
      <c r="G649" s="251" t="s">
        <v>16</v>
      </c>
      <c r="H649" s="252">
        <v>2</v>
      </c>
      <c r="I649" s="252">
        <v>2</v>
      </c>
      <c r="J649" s="252">
        <v>1</v>
      </c>
      <c r="K649" s="252">
        <v>1</v>
      </c>
      <c r="L649" s="253">
        <v>2</v>
      </c>
      <c r="M649" s="254">
        <f t="shared" si="20"/>
        <v>0.37356464144298934</v>
      </c>
      <c r="N649" s="255"/>
    </row>
    <row r="650" spans="1:14" hidden="1" x14ac:dyDescent="0.2">
      <c r="A650" s="230" t="s">
        <v>364</v>
      </c>
      <c r="B650" s="231" t="s">
        <v>393</v>
      </c>
      <c r="C650" s="247" t="s">
        <v>24</v>
      </c>
      <c r="D650" s="232" t="s">
        <v>135</v>
      </c>
      <c r="E650" s="249">
        <v>0.3943977864583334</v>
      </c>
      <c r="F650" s="250" t="s">
        <v>386</v>
      </c>
      <c r="G650" s="251" t="s">
        <v>16</v>
      </c>
      <c r="H650" s="252">
        <v>2</v>
      </c>
      <c r="I650" s="252">
        <v>2</v>
      </c>
      <c r="J650" s="252">
        <v>1</v>
      </c>
      <c r="K650" s="252">
        <v>1</v>
      </c>
      <c r="L650" s="253">
        <v>2</v>
      </c>
      <c r="M650" s="254">
        <f t="shared" si="20"/>
        <v>0.37356464144298934</v>
      </c>
      <c r="N650" s="255"/>
    </row>
    <row r="651" spans="1:14" hidden="1" x14ac:dyDescent="0.2">
      <c r="A651" s="230" t="s">
        <v>364</v>
      </c>
      <c r="B651" s="231" t="s">
        <v>393</v>
      </c>
      <c r="C651" s="247" t="s">
        <v>25</v>
      </c>
      <c r="D651" s="232" t="s">
        <v>135</v>
      </c>
      <c r="E651" s="249">
        <v>0.20397786458333339</v>
      </c>
      <c r="F651" s="250" t="s">
        <v>386</v>
      </c>
      <c r="G651" s="251" t="s">
        <v>16</v>
      </c>
      <c r="H651" s="252">
        <v>2</v>
      </c>
      <c r="I651" s="252">
        <v>2</v>
      </c>
      <c r="J651" s="252">
        <v>1</v>
      </c>
      <c r="K651" s="252">
        <v>1</v>
      </c>
      <c r="L651" s="253">
        <v>2</v>
      </c>
      <c r="M651" s="254">
        <f t="shared" si="20"/>
        <v>0.37356464144298934</v>
      </c>
      <c r="N651" s="255"/>
    </row>
    <row r="652" spans="1:14" hidden="1" x14ac:dyDescent="0.2">
      <c r="A652" s="230" t="s">
        <v>364</v>
      </c>
      <c r="B652" s="231" t="s">
        <v>393</v>
      </c>
      <c r="C652" s="247" t="s">
        <v>26</v>
      </c>
      <c r="D652" s="232" t="s">
        <v>135</v>
      </c>
      <c r="E652" s="249">
        <v>0.19722656250000001</v>
      </c>
      <c r="F652" s="250" t="s">
        <v>386</v>
      </c>
      <c r="G652" s="251" t="s">
        <v>16</v>
      </c>
      <c r="H652" s="252">
        <v>2</v>
      </c>
      <c r="I652" s="252">
        <v>2</v>
      </c>
      <c r="J652" s="252">
        <v>1</v>
      </c>
      <c r="K652" s="252">
        <v>1</v>
      </c>
      <c r="L652" s="253">
        <v>2</v>
      </c>
      <c r="M652" s="254">
        <f t="shared" si="20"/>
        <v>0.37356464144298934</v>
      </c>
      <c r="N652" s="255"/>
    </row>
    <row r="653" spans="1:14" hidden="1" x14ac:dyDescent="0.2">
      <c r="A653" s="230" t="s">
        <v>364</v>
      </c>
      <c r="B653" s="231" t="s">
        <v>393</v>
      </c>
      <c r="C653" s="247" t="s">
        <v>27</v>
      </c>
      <c r="D653" s="232" t="s">
        <v>135</v>
      </c>
      <c r="E653" s="249">
        <v>0.17</v>
      </c>
      <c r="F653" s="250" t="s">
        <v>386</v>
      </c>
      <c r="G653" s="251" t="s">
        <v>16</v>
      </c>
      <c r="H653" s="252">
        <v>2</v>
      </c>
      <c r="I653" s="252">
        <v>2</v>
      </c>
      <c r="J653" s="252">
        <v>1</v>
      </c>
      <c r="K653" s="252">
        <v>1</v>
      </c>
      <c r="L653" s="253">
        <v>2</v>
      </c>
      <c r="M653" s="254">
        <f t="shared" si="20"/>
        <v>0.37356464144298934</v>
      </c>
      <c r="N653" s="255"/>
    </row>
    <row r="654" spans="1:14" hidden="1" x14ac:dyDescent="0.2">
      <c r="A654" s="230" t="s">
        <v>364</v>
      </c>
      <c r="B654" s="231" t="s">
        <v>393</v>
      </c>
      <c r="C654" s="247" t="s">
        <v>28</v>
      </c>
      <c r="D654" s="232" t="s">
        <v>135</v>
      </c>
      <c r="E654" s="249">
        <v>0.17</v>
      </c>
      <c r="F654" s="250" t="s">
        <v>386</v>
      </c>
      <c r="G654" s="251" t="s">
        <v>16</v>
      </c>
      <c r="H654" s="252">
        <v>2</v>
      </c>
      <c r="I654" s="252">
        <v>2</v>
      </c>
      <c r="J654" s="252">
        <v>1</v>
      </c>
      <c r="K654" s="252">
        <v>1</v>
      </c>
      <c r="L654" s="253">
        <v>2</v>
      </c>
      <c r="M654" s="254">
        <f t="shared" si="20"/>
        <v>0.37356464144298934</v>
      </c>
      <c r="N654" s="255"/>
    </row>
    <row r="655" spans="1:14" hidden="1" x14ac:dyDescent="0.2">
      <c r="A655" s="230" t="s">
        <v>364</v>
      </c>
      <c r="B655" s="231" t="s">
        <v>393</v>
      </c>
      <c r="C655" s="247" t="s">
        <v>30</v>
      </c>
      <c r="D655" s="232" t="s">
        <v>135</v>
      </c>
      <c r="E655" s="249">
        <v>0.34</v>
      </c>
      <c r="F655" s="250" t="s">
        <v>386</v>
      </c>
      <c r="G655" s="251" t="s">
        <v>16</v>
      </c>
      <c r="H655" s="252">
        <v>2</v>
      </c>
      <c r="I655" s="252">
        <v>2</v>
      </c>
      <c r="J655" s="252">
        <v>1</v>
      </c>
      <c r="K655" s="252">
        <v>1</v>
      </c>
      <c r="L655" s="253">
        <v>2</v>
      </c>
      <c r="M655" s="254">
        <f t="shared" si="20"/>
        <v>0.37356464144298934</v>
      </c>
      <c r="N655" s="255"/>
    </row>
    <row r="656" spans="1:14" hidden="1" x14ac:dyDescent="0.2">
      <c r="A656" s="230" t="s">
        <v>364</v>
      </c>
      <c r="B656" s="231" t="s">
        <v>393</v>
      </c>
      <c r="C656" s="247" t="s">
        <v>32</v>
      </c>
      <c r="D656" s="232" t="s">
        <v>135</v>
      </c>
      <c r="E656" s="249">
        <v>0.21759114583333339</v>
      </c>
      <c r="F656" s="250" t="s">
        <v>386</v>
      </c>
      <c r="G656" s="251" t="s">
        <v>16</v>
      </c>
      <c r="H656" s="252">
        <v>2</v>
      </c>
      <c r="I656" s="252">
        <v>2</v>
      </c>
      <c r="J656" s="252">
        <v>1</v>
      </c>
      <c r="K656" s="252">
        <v>1</v>
      </c>
      <c r="L656" s="253">
        <v>2</v>
      </c>
      <c r="M656" s="254">
        <f t="shared" si="20"/>
        <v>0.37356464144298934</v>
      </c>
      <c r="N656" s="255"/>
    </row>
    <row r="657" spans="1:14" hidden="1" x14ac:dyDescent="0.2">
      <c r="A657" s="230" t="s">
        <v>364</v>
      </c>
      <c r="B657" s="231" t="s">
        <v>393</v>
      </c>
      <c r="C657" s="247" t="s">
        <v>34</v>
      </c>
      <c r="D657" s="232" t="s">
        <v>135</v>
      </c>
      <c r="E657" s="249">
        <v>0.25162434895833341</v>
      </c>
      <c r="F657" s="250" t="s">
        <v>386</v>
      </c>
      <c r="G657" s="251" t="s">
        <v>16</v>
      </c>
      <c r="H657" s="252">
        <v>2</v>
      </c>
      <c r="I657" s="252">
        <v>2</v>
      </c>
      <c r="J657" s="252">
        <v>1</v>
      </c>
      <c r="K657" s="252">
        <v>1</v>
      </c>
      <c r="L657" s="253">
        <v>2</v>
      </c>
      <c r="M657" s="254">
        <f t="shared" si="20"/>
        <v>0.37356464144298934</v>
      </c>
      <c r="N657" s="255"/>
    </row>
    <row r="658" spans="1:14" hidden="1" x14ac:dyDescent="0.2">
      <c r="A658" s="230" t="s">
        <v>364</v>
      </c>
      <c r="B658" s="231" t="s">
        <v>393</v>
      </c>
      <c r="C658" s="247" t="s">
        <v>36</v>
      </c>
      <c r="D658" s="232" t="s">
        <v>135</v>
      </c>
      <c r="E658" s="249">
        <v>0.27198893229166671</v>
      </c>
      <c r="F658" s="250" t="s">
        <v>386</v>
      </c>
      <c r="G658" s="251" t="s">
        <v>16</v>
      </c>
      <c r="H658" s="252">
        <v>2</v>
      </c>
      <c r="I658" s="252">
        <v>2</v>
      </c>
      <c r="J658" s="252">
        <v>1</v>
      </c>
      <c r="K658" s="252">
        <v>1</v>
      </c>
      <c r="L658" s="253">
        <v>2</v>
      </c>
      <c r="M658" s="254">
        <f t="shared" si="20"/>
        <v>0.37356464144298934</v>
      </c>
      <c r="N658" s="255"/>
    </row>
    <row r="659" spans="1:14" hidden="1" x14ac:dyDescent="0.2">
      <c r="A659" s="230" t="s">
        <v>364</v>
      </c>
      <c r="B659" s="231" t="s">
        <v>393</v>
      </c>
      <c r="C659" s="247" t="s">
        <v>37</v>
      </c>
      <c r="D659" s="232" t="s">
        <v>135</v>
      </c>
      <c r="E659" s="249">
        <v>0.25837565104166671</v>
      </c>
      <c r="F659" s="250" t="s">
        <v>386</v>
      </c>
      <c r="G659" s="251" t="s">
        <v>16</v>
      </c>
      <c r="H659" s="252">
        <v>2</v>
      </c>
      <c r="I659" s="252">
        <v>2</v>
      </c>
      <c r="J659" s="252">
        <v>1</v>
      </c>
      <c r="K659" s="252">
        <v>1</v>
      </c>
      <c r="L659" s="253">
        <v>2</v>
      </c>
      <c r="M659" s="254">
        <f t="shared" si="20"/>
        <v>0.37356464144298934</v>
      </c>
      <c r="N659" s="255"/>
    </row>
    <row r="660" spans="1:14" hidden="1" x14ac:dyDescent="0.2">
      <c r="A660" s="230" t="s">
        <v>364</v>
      </c>
      <c r="B660" s="231" t="s">
        <v>393</v>
      </c>
      <c r="C660" s="247" t="s">
        <v>39</v>
      </c>
      <c r="D660" s="232" t="s">
        <v>135</v>
      </c>
      <c r="E660" s="249">
        <v>0.24481770833333341</v>
      </c>
      <c r="F660" s="250" t="s">
        <v>386</v>
      </c>
      <c r="G660" s="251" t="s">
        <v>16</v>
      </c>
      <c r="H660" s="252">
        <v>2</v>
      </c>
      <c r="I660" s="252">
        <v>2</v>
      </c>
      <c r="J660" s="252">
        <v>1</v>
      </c>
      <c r="K660" s="252">
        <v>1</v>
      </c>
      <c r="L660" s="253">
        <v>2</v>
      </c>
      <c r="M660" s="254">
        <f t="shared" si="20"/>
        <v>0.37356464144298934</v>
      </c>
      <c r="N660" s="255"/>
    </row>
    <row r="661" spans="1:14" hidden="1" x14ac:dyDescent="0.2">
      <c r="A661" s="230" t="s">
        <v>364</v>
      </c>
      <c r="B661" s="231" t="s">
        <v>393</v>
      </c>
      <c r="C661" s="247" t="s">
        <v>40</v>
      </c>
      <c r="D661" s="232" t="s">
        <v>135</v>
      </c>
      <c r="E661" s="249">
        <v>0.34680664062500011</v>
      </c>
      <c r="F661" s="250" t="s">
        <v>386</v>
      </c>
      <c r="G661" s="251" t="s">
        <v>16</v>
      </c>
      <c r="H661" s="252">
        <v>2</v>
      </c>
      <c r="I661" s="252">
        <v>2</v>
      </c>
      <c r="J661" s="252">
        <v>1</v>
      </c>
      <c r="K661" s="252">
        <v>1</v>
      </c>
      <c r="L661" s="253">
        <v>2</v>
      </c>
      <c r="M661" s="254">
        <f t="shared" si="20"/>
        <v>0.37356464144298934</v>
      </c>
      <c r="N661" s="255"/>
    </row>
    <row r="662" spans="1:14" hidden="1" x14ac:dyDescent="0.2">
      <c r="A662" s="230" t="s">
        <v>364</v>
      </c>
      <c r="B662" s="231" t="s">
        <v>393</v>
      </c>
      <c r="C662" s="247" t="s">
        <v>41</v>
      </c>
      <c r="D662" s="232" t="s">
        <v>135</v>
      </c>
      <c r="E662" s="249">
        <v>0.25162434895833341</v>
      </c>
      <c r="F662" s="250" t="s">
        <v>386</v>
      </c>
      <c r="G662" s="251" t="s">
        <v>16</v>
      </c>
      <c r="H662" s="252">
        <v>2</v>
      </c>
      <c r="I662" s="252">
        <v>2</v>
      </c>
      <c r="J662" s="252">
        <v>1</v>
      </c>
      <c r="K662" s="252">
        <v>1</v>
      </c>
      <c r="L662" s="253">
        <v>2</v>
      </c>
      <c r="M662" s="254">
        <f>IF( OR( ISBLANK(H662),ISBLANK(I662), ISBLANK(J662), ISBLANK(K662), ISBLANK(L662) ), "", 1.5*SQRT(   EXP(2.21*(H662-1)) + EXP(2.21*(I662-1)) + EXP(2.21*(J662-1)) + EXP(2.21*(K662-1)) + EXP(2.21*L662)   )/100*2.45 )</f>
        <v>0.37356464144298934</v>
      </c>
      <c r="N662" s="255"/>
    </row>
    <row r="663" spans="1:14" hidden="1" x14ac:dyDescent="0.2">
      <c r="A663" s="230" t="s">
        <v>364</v>
      </c>
      <c r="B663" s="231" t="s">
        <v>393</v>
      </c>
      <c r="C663" s="247" t="s">
        <v>42</v>
      </c>
      <c r="D663" s="232" t="s">
        <v>135</v>
      </c>
      <c r="E663" s="249">
        <v>0.22439778645833339</v>
      </c>
      <c r="F663" s="250" t="s">
        <v>386</v>
      </c>
      <c r="G663" s="251" t="s">
        <v>16</v>
      </c>
      <c r="H663" s="252">
        <v>2</v>
      </c>
      <c r="I663" s="252">
        <v>2</v>
      </c>
      <c r="J663" s="252">
        <v>1</v>
      </c>
      <c r="K663" s="252">
        <v>1</v>
      </c>
      <c r="L663" s="253">
        <v>2</v>
      </c>
      <c r="M663" s="254">
        <f t="shared" ref="M663:M694" si="21">IF( OR( ISBLANK(H663),ISBLANK(I663), ISBLANK(J663), ISBLANK(K663), ISBLANK(L663) ), "", 1.5*SQRT( EXP(2.21*(H663-1)) + EXP(2.21*(I663-1)) + EXP(2.21*(J663-1)) + EXP(2.21*(K663-1)) + EXP(2.21*L663) )/100*2.45 )</f>
        <v>0.37356464144298934</v>
      </c>
      <c r="N663" s="255"/>
    </row>
    <row r="664" spans="1:14" hidden="1" x14ac:dyDescent="0.2">
      <c r="A664" s="230" t="s">
        <v>364</v>
      </c>
      <c r="B664" s="231" t="s">
        <v>393</v>
      </c>
      <c r="C664" s="247" t="s">
        <v>43</v>
      </c>
      <c r="D664" s="232" t="s">
        <v>135</v>
      </c>
      <c r="E664" s="249">
        <v>0.34</v>
      </c>
      <c r="F664" s="250" t="s">
        <v>386</v>
      </c>
      <c r="G664" s="251" t="s">
        <v>16</v>
      </c>
      <c r="H664" s="252">
        <v>2</v>
      </c>
      <c r="I664" s="252">
        <v>2</v>
      </c>
      <c r="J664" s="252">
        <v>1</v>
      </c>
      <c r="K664" s="252">
        <v>1</v>
      </c>
      <c r="L664" s="253">
        <v>2</v>
      </c>
      <c r="M664" s="254">
        <f t="shared" si="21"/>
        <v>0.37356464144298934</v>
      </c>
      <c r="N664" s="255"/>
    </row>
    <row r="665" spans="1:14" hidden="1" x14ac:dyDescent="0.2">
      <c r="A665" s="230" t="s">
        <v>364</v>
      </c>
      <c r="B665" s="231" t="s">
        <v>393</v>
      </c>
      <c r="C665" s="247" t="s">
        <v>45</v>
      </c>
      <c r="D665" s="232" t="s">
        <v>135</v>
      </c>
      <c r="E665" s="249">
        <v>0.31958007812500011</v>
      </c>
      <c r="F665" s="250" t="s">
        <v>386</v>
      </c>
      <c r="G665" s="251" t="s">
        <v>16</v>
      </c>
      <c r="H665" s="252">
        <v>2</v>
      </c>
      <c r="I665" s="252">
        <v>2</v>
      </c>
      <c r="J665" s="252">
        <v>1</v>
      </c>
      <c r="K665" s="252">
        <v>1</v>
      </c>
      <c r="L665" s="253">
        <v>2</v>
      </c>
      <c r="M665" s="254">
        <f t="shared" si="21"/>
        <v>0.37356464144298934</v>
      </c>
      <c r="N665" s="255"/>
    </row>
    <row r="666" spans="1:14" hidden="1" x14ac:dyDescent="0.2">
      <c r="A666" s="230" t="s">
        <v>364</v>
      </c>
      <c r="B666" s="231" t="s">
        <v>393</v>
      </c>
      <c r="C666" s="247" t="s">
        <v>46</v>
      </c>
      <c r="D666" s="232" t="s">
        <v>135</v>
      </c>
      <c r="E666" s="249">
        <v>0.19722656250000001</v>
      </c>
      <c r="F666" s="250" t="s">
        <v>386</v>
      </c>
      <c r="G666" s="251" t="s">
        <v>16</v>
      </c>
      <c r="H666" s="252">
        <v>2</v>
      </c>
      <c r="I666" s="252">
        <v>2</v>
      </c>
      <c r="J666" s="252">
        <v>1</v>
      </c>
      <c r="K666" s="252">
        <v>1</v>
      </c>
      <c r="L666" s="253">
        <v>2</v>
      </c>
      <c r="M666" s="254">
        <f t="shared" si="21"/>
        <v>0.37356464144298934</v>
      </c>
      <c r="N666" s="255"/>
    </row>
    <row r="667" spans="1:14" hidden="1" x14ac:dyDescent="0.2">
      <c r="A667" s="230" t="s">
        <v>364</v>
      </c>
      <c r="B667" s="231" t="s">
        <v>393</v>
      </c>
      <c r="C667" s="247" t="s">
        <v>48</v>
      </c>
      <c r="D667" s="232" t="s">
        <v>135</v>
      </c>
      <c r="E667" s="249">
        <v>0.27198893229166671</v>
      </c>
      <c r="F667" s="250" t="s">
        <v>386</v>
      </c>
      <c r="G667" s="251" t="s">
        <v>16</v>
      </c>
      <c r="H667" s="252">
        <v>2</v>
      </c>
      <c r="I667" s="252">
        <v>2</v>
      </c>
      <c r="J667" s="252">
        <v>1</v>
      </c>
      <c r="K667" s="252">
        <v>1</v>
      </c>
      <c r="L667" s="253">
        <v>2</v>
      </c>
      <c r="M667" s="254">
        <f t="shared" si="21"/>
        <v>0.37356464144298934</v>
      </c>
      <c r="N667" s="255"/>
    </row>
    <row r="668" spans="1:14" hidden="1" x14ac:dyDescent="0.2">
      <c r="A668" s="230" t="s">
        <v>364</v>
      </c>
      <c r="B668" s="231" t="s">
        <v>393</v>
      </c>
      <c r="C668" s="247" t="s">
        <v>50</v>
      </c>
      <c r="D668" s="232" t="s">
        <v>135</v>
      </c>
      <c r="E668" s="249">
        <v>0.2992154947916667</v>
      </c>
      <c r="F668" s="250" t="s">
        <v>386</v>
      </c>
      <c r="G668" s="251" t="s">
        <v>16</v>
      </c>
      <c r="H668" s="252">
        <v>2</v>
      </c>
      <c r="I668" s="252">
        <v>2</v>
      </c>
      <c r="J668" s="252">
        <v>1</v>
      </c>
      <c r="K668" s="252">
        <v>1</v>
      </c>
      <c r="L668" s="253">
        <v>2</v>
      </c>
      <c r="M668" s="254">
        <f t="shared" si="21"/>
        <v>0.37356464144298934</v>
      </c>
      <c r="N668" s="255"/>
    </row>
    <row r="669" spans="1:14" hidden="1" x14ac:dyDescent="0.2">
      <c r="A669" s="230" t="s">
        <v>364</v>
      </c>
      <c r="B669" s="231" t="s">
        <v>393</v>
      </c>
      <c r="C669" s="247" t="s">
        <v>52</v>
      </c>
      <c r="D669" s="232" t="s">
        <v>135</v>
      </c>
      <c r="E669" s="249">
        <v>0.3807845052083334</v>
      </c>
      <c r="F669" s="250" t="s">
        <v>386</v>
      </c>
      <c r="G669" s="251" t="s">
        <v>16</v>
      </c>
      <c r="H669" s="252">
        <v>2</v>
      </c>
      <c r="I669" s="252">
        <v>2</v>
      </c>
      <c r="J669" s="252">
        <v>1</v>
      </c>
      <c r="K669" s="252">
        <v>1</v>
      </c>
      <c r="L669" s="253">
        <v>2</v>
      </c>
      <c r="M669" s="254">
        <f t="shared" si="21"/>
        <v>0.37356464144298934</v>
      </c>
      <c r="N669" s="255"/>
    </row>
    <row r="670" spans="1:14" hidden="1" x14ac:dyDescent="0.2">
      <c r="A670" s="230" t="s">
        <v>364</v>
      </c>
      <c r="B670" s="231" t="s">
        <v>393</v>
      </c>
      <c r="C670" s="247" t="s">
        <v>54</v>
      </c>
      <c r="D670" s="232" t="s">
        <v>135</v>
      </c>
      <c r="E670" s="249">
        <v>0.46921549479166669</v>
      </c>
      <c r="F670" s="250" t="s">
        <v>386</v>
      </c>
      <c r="G670" s="251" t="s">
        <v>16</v>
      </c>
      <c r="H670" s="252">
        <v>2</v>
      </c>
      <c r="I670" s="252">
        <v>2</v>
      </c>
      <c r="J670" s="252">
        <v>1</v>
      </c>
      <c r="K670" s="252">
        <v>1</v>
      </c>
      <c r="L670" s="253">
        <v>2</v>
      </c>
      <c r="M670" s="254">
        <f t="shared" si="21"/>
        <v>0.37356464144298934</v>
      </c>
      <c r="N670" s="255"/>
    </row>
    <row r="671" spans="1:14" hidden="1" x14ac:dyDescent="0.2">
      <c r="A671" s="230" t="s">
        <v>364</v>
      </c>
      <c r="B671" s="231" t="s">
        <v>393</v>
      </c>
      <c r="C671" s="247" t="s">
        <v>55</v>
      </c>
      <c r="D671" s="232" t="s">
        <v>135</v>
      </c>
      <c r="E671" s="249">
        <v>0.28560221354166671</v>
      </c>
      <c r="F671" s="250" t="s">
        <v>386</v>
      </c>
      <c r="G671" s="251" t="s">
        <v>16</v>
      </c>
      <c r="H671" s="252">
        <v>2</v>
      </c>
      <c r="I671" s="252">
        <v>2</v>
      </c>
      <c r="J671" s="252">
        <v>1</v>
      </c>
      <c r="K671" s="252">
        <v>1</v>
      </c>
      <c r="L671" s="253">
        <v>2</v>
      </c>
      <c r="M671" s="254">
        <f t="shared" si="21"/>
        <v>0.37356464144298934</v>
      </c>
      <c r="N671" s="255"/>
    </row>
    <row r="672" spans="1:14" hidden="1" x14ac:dyDescent="0.2">
      <c r="A672" s="230" t="s">
        <v>364</v>
      </c>
      <c r="B672" s="231" t="s">
        <v>393</v>
      </c>
      <c r="C672" s="247" t="s">
        <v>57</v>
      </c>
      <c r="D672" s="232" t="s">
        <v>135</v>
      </c>
      <c r="E672" s="249">
        <v>0.31958007812500011</v>
      </c>
      <c r="F672" s="250" t="s">
        <v>386</v>
      </c>
      <c r="G672" s="251" t="s">
        <v>16</v>
      </c>
      <c r="H672" s="252">
        <v>2</v>
      </c>
      <c r="I672" s="252">
        <v>2</v>
      </c>
      <c r="J672" s="252">
        <v>1</v>
      </c>
      <c r="K672" s="252">
        <v>1</v>
      </c>
      <c r="L672" s="253">
        <v>2</v>
      </c>
      <c r="M672" s="254">
        <f t="shared" si="21"/>
        <v>0.37356464144298934</v>
      </c>
      <c r="N672" s="255"/>
    </row>
    <row r="673" spans="1:14" hidden="1" x14ac:dyDescent="0.2">
      <c r="A673" s="230" t="s">
        <v>364</v>
      </c>
      <c r="B673" s="231" t="s">
        <v>393</v>
      </c>
      <c r="C673" s="247" t="s">
        <v>59</v>
      </c>
      <c r="D673" s="232" t="s">
        <v>135</v>
      </c>
      <c r="E673" s="249">
        <v>0.34</v>
      </c>
      <c r="F673" s="250" t="s">
        <v>360</v>
      </c>
      <c r="G673" s="251" t="s">
        <v>16</v>
      </c>
      <c r="H673" s="252">
        <v>2</v>
      </c>
      <c r="I673" s="252">
        <v>2</v>
      </c>
      <c r="J673" s="252">
        <v>1</v>
      </c>
      <c r="K673" s="252">
        <v>1</v>
      </c>
      <c r="L673" s="253">
        <v>2</v>
      </c>
      <c r="M673" s="254">
        <f t="shared" si="21"/>
        <v>0.37356464144298934</v>
      </c>
      <c r="N673" s="255"/>
    </row>
    <row r="674" spans="1:14" hidden="1" x14ac:dyDescent="0.2">
      <c r="A674" s="230" t="s">
        <v>364</v>
      </c>
      <c r="B674" s="231" t="s">
        <v>393</v>
      </c>
      <c r="C674" s="287" t="s">
        <v>60</v>
      </c>
      <c r="D674" s="232" t="s">
        <v>135</v>
      </c>
      <c r="E674" s="249">
        <v>0.25837565104166671</v>
      </c>
      <c r="F674" s="250" t="s">
        <v>386</v>
      </c>
      <c r="G674" s="251" t="s">
        <v>16</v>
      </c>
      <c r="H674" s="252">
        <v>2</v>
      </c>
      <c r="I674" s="252">
        <v>2</v>
      </c>
      <c r="J674" s="252">
        <v>1</v>
      </c>
      <c r="K674" s="252">
        <v>1</v>
      </c>
      <c r="L674" s="253">
        <v>2</v>
      </c>
      <c r="M674" s="254">
        <f t="shared" si="21"/>
        <v>0.37356464144298934</v>
      </c>
      <c r="N674" s="255"/>
    </row>
    <row r="675" spans="1:14" x14ac:dyDescent="0.2">
      <c r="A675" s="220" t="s">
        <v>358</v>
      </c>
      <c r="B675" s="221" t="s">
        <v>387</v>
      </c>
      <c r="C675" s="222" t="s">
        <v>135</v>
      </c>
      <c r="D675" s="223" t="s">
        <v>135</v>
      </c>
      <c r="E675" s="224" t="s">
        <v>188</v>
      </c>
      <c r="F675" s="225"/>
      <c r="G675" s="226" t="s">
        <v>16</v>
      </c>
      <c r="H675" s="224"/>
      <c r="I675" s="224"/>
      <c r="J675" s="224"/>
      <c r="K675" s="224"/>
      <c r="L675" s="227"/>
      <c r="M675" s="228" t="str">
        <f t="shared" si="21"/>
        <v/>
      </c>
      <c r="N675" s="229"/>
    </row>
    <row r="676" spans="1:14" x14ac:dyDescent="0.2">
      <c r="A676" s="230" t="s">
        <v>358</v>
      </c>
      <c r="B676" s="231" t="s">
        <v>393</v>
      </c>
      <c r="C676" s="247" t="s">
        <v>13</v>
      </c>
      <c r="D676" s="232" t="s">
        <v>135</v>
      </c>
      <c r="E676" s="249">
        <v>0.22991240234374999</v>
      </c>
      <c r="F676" s="250" t="s">
        <v>386</v>
      </c>
      <c r="G676" s="251" t="s">
        <v>16</v>
      </c>
      <c r="H676" s="252">
        <v>2</v>
      </c>
      <c r="I676" s="252">
        <v>2</v>
      </c>
      <c r="J676" s="252">
        <v>1</v>
      </c>
      <c r="K676" s="252">
        <v>1</v>
      </c>
      <c r="L676" s="253">
        <v>2</v>
      </c>
      <c r="M676" s="254">
        <f t="shared" si="21"/>
        <v>0.37356464144298934</v>
      </c>
      <c r="N676" s="255"/>
    </row>
    <row r="677" spans="1:14" hidden="1" x14ac:dyDescent="0.2">
      <c r="A677" s="230" t="s">
        <v>358</v>
      </c>
      <c r="B677" s="231" t="s">
        <v>393</v>
      </c>
      <c r="C677" s="247" t="s">
        <v>18</v>
      </c>
      <c r="D677" s="232" t="s">
        <v>135</v>
      </c>
      <c r="E677" s="249">
        <v>0.28400620117187497</v>
      </c>
      <c r="F677" s="250" t="s">
        <v>386</v>
      </c>
      <c r="G677" s="251" t="s">
        <v>16</v>
      </c>
      <c r="H677" s="252">
        <v>2</v>
      </c>
      <c r="I677" s="252">
        <v>2</v>
      </c>
      <c r="J677" s="252">
        <v>1</v>
      </c>
      <c r="K677" s="252">
        <v>1</v>
      </c>
      <c r="L677" s="253">
        <v>2</v>
      </c>
      <c r="M677" s="254">
        <f t="shared" si="21"/>
        <v>0.37356464144298934</v>
      </c>
      <c r="N677" s="255"/>
    </row>
    <row r="678" spans="1:14" hidden="1" x14ac:dyDescent="0.2">
      <c r="A678" s="230" t="s">
        <v>358</v>
      </c>
      <c r="B678" s="231" t="s">
        <v>393</v>
      </c>
      <c r="C678" s="247" t="s">
        <v>20</v>
      </c>
      <c r="D678" s="232" t="s">
        <v>135</v>
      </c>
      <c r="E678" s="249">
        <v>0.43275039062499998</v>
      </c>
      <c r="F678" s="250" t="s">
        <v>386</v>
      </c>
      <c r="G678" s="251" t="s">
        <v>16</v>
      </c>
      <c r="H678" s="252">
        <v>2</v>
      </c>
      <c r="I678" s="252">
        <v>2</v>
      </c>
      <c r="J678" s="252">
        <v>1</v>
      </c>
      <c r="K678" s="252">
        <v>1</v>
      </c>
      <c r="L678" s="253">
        <v>2</v>
      </c>
      <c r="M678" s="254">
        <f t="shared" si="21"/>
        <v>0.37356464144298934</v>
      </c>
      <c r="N678" s="255"/>
    </row>
    <row r="679" spans="1:14" hidden="1" x14ac:dyDescent="0.2">
      <c r="A679" s="230" t="s">
        <v>358</v>
      </c>
      <c r="B679" s="231" t="s">
        <v>393</v>
      </c>
      <c r="C679" s="247" t="s">
        <v>22</v>
      </c>
      <c r="D679" s="232" t="s">
        <v>135</v>
      </c>
      <c r="E679" s="249">
        <v>0.25693178710937498</v>
      </c>
      <c r="F679" s="250" t="s">
        <v>386</v>
      </c>
      <c r="G679" s="251" t="s">
        <v>16</v>
      </c>
      <c r="H679" s="252">
        <v>2</v>
      </c>
      <c r="I679" s="252">
        <v>2</v>
      </c>
      <c r="J679" s="252">
        <v>1</v>
      </c>
      <c r="K679" s="252">
        <v>1</v>
      </c>
      <c r="L679" s="253">
        <v>2</v>
      </c>
      <c r="M679" s="254">
        <f t="shared" si="21"/>
        <v>0.37356464144298934</v>
      </c>
      <c r="N679" s="255"/>
    </row>
    <row r="680" spans="1:14" hidden="1" x14ac:dyDescent="0.2">
      <c r="A680" s="230" t="s">
        <v>358</v>
      </c>
      <c r="B680" s="231" t="s">
        <v>393</v>
      </c>
      <c r="C680" s="247" t="s">
        <v>23</v>
      </c>
      <c r="D680" s="232" t="s">
        <v>135</v>
      </c>
      <c r="E680" s="249">
        <v>0.31779418945312499</v>
      </c>
      <c r="F680" s="250" t="s">
        <v>386</v>
      </c>
      <c r="G680" s="251" t="s">
        <v>16</v>
      </c>
      <c r="H680" s="252">
        <v>2</v>
      </c>
      <c r="I680" s="252">
        <v>2</v>
      </c>
      <c r="J680" s="252">
        <v>1</v>
      </c>
      <c r="K680" s="252">
        <v>1</v>
      </c>
      <c r="L680" s="253">
        <v>2</v>
      </c>
      <c r="M680" s="254">
        <f t="shared" si="21"/>
        <v>0.37356464144298934</v>
      </c>
      <c r="N680" s="255"/>
    </row>
    <row r="681" spans="1:14" hidden="1" x14ac:dyDescent="0.2">
      <c r="A681" s="230" t="s">
        <v>358</v>
      </c>
      <c r="B681" s="231" t="s">
        <v>393</v>
      </c>
      <c r="C681" s="247" t="s">
        <v>24</v>
      </c>
      <c r="D681" s="232" t="s">
        <v>135</v>
      </c>
      <c r="E681" s="249">
        <v>0.39219379882812511</v>
      </c>
      <c r="F681" s="250" t="s">
        <v>386</v>
      </c>
      <c r="G681" s="251" t="s">
        <v>16</v>
      </c>
      <c r="H681" s="252">
        <v>2</v>
      </c>
      <c r="I681" s="252">
        <v>2</v>
      </c>
      <c r="J681" s="252">
        <v>1</v>
      </c>
      <c r="K681" s="252">
        <v>1</v>
      </c>
      <c r="L681" s="253">
        <v>2</v>
      </c>
      <c r="M681" s="254">
        <f t="shared" si="21"/>
        <v>0.37356464144298934</v>
      </c>
      <c r="N681" s="255"/>
    </row>
    <row r="682" spans="1:14" hidden="1" x14ac:dyDescent="0.2">
      <c r="A682" s="230" t="s">
        <v>358</v>
      </c>
      <c r="B682" s="231" t="s">
        <v>393</v>
      </c>
      <c r="C682" s="247" t="s">
        <v>25</v>
      </c>
      <c r="D682" s="232" t="s">
        <v>135</v>
      </c>
      <c r="E682" s="249">
        <v>0.20283798828124999</v>
      </c>
      <c r="F682" s="250" t="s">
        <v>386</v>
      </c>
      <c r="G682" s="251" t="s">
        <v>16</v>
      </c>
      <c r="H682" s="252">
        <v>2</v>
      </c>
      <c r="I682" s="252">
        <v>2</v>
      </c>
      <c r="J682" s="252">
        <v>1</v>
      </c>
      <c r="K682" s="252">
        <v>1</v>
      </c>
      <c r="L682" s="253">
        <v>2</v>
      </c>
      <c r="M682" s="254">
        <f t="shared" si="21"/>
        <v>0.37356464144298934</v>
      </c>
      <c r="N682" s="255"/>
    </row>
    <row r="683" spans="1:14" hidden="1" x14ac:dyDescent="0.2">
      <c r="A683" s="230" t="s">
        <v>358</v>
      </c>
      <c r="B683" s="231" t="s">
        <v>393</v>
      </c>
      <c r="C683" s="247" t="s">
        <v>26</v>
      </c>
      <c r="D683" s="232" t="s">
        <v>135</v>
      </c>
      <c r="E683" s="249">
        <v>0.1961244140625</v>
      </c>
      <c r="F683" s="250" t="s">
        <v>386</v>
      </c>
      <c r="G683" s="251" t="s">
        <v>16</v>
      </c>
      <c r="H683" s="252">
        <v>2</v>
      </c>
      <c r="I683" s="252">
        <v>2</v>
      </c>
      <c r="J683" s="252">
        <v>1</v>
      </c>
      <c r="K683" s="252">
        <v>1</v>
      </c>
      <c r="L683" s="253">
        <v>2</v>
      </c>
      <c r="M683" s="254">
        <f t="shared" si="21"/>
        <v>0.37356464144298934</v>
      </c>
      <c r="N683" s="255"/>
    </row>
    <row r="684" spans="1:14" hidden="1" x14ac:dyDescent="0.2">
      <c r="A684" s="230" t="s">
        <v>358</v>
      </c>
      <c r="B684" s="231" t="s">
        <v>393</v>
      </c>
      <c r="C684" s="247" t="s">
        <v>27</v>
      </c>
      <c r="D684" s="232" t="s">
        <v>135</v>
      </c>
      <c r="E684" s="249">
        <v>0.16905000000000001</v>
      </c>
      <c r="F684" s="250" t="s">
        <v>386</v>
      </c>
      <c r="G684" s="251" t="s">
        <v>16</v>
      </c>
      <c r="H684" s="252">
        <v>2</v>
      </c>
      <c r="I684" s="252">
        <v>2</v>
      </c>
      <c r="J684" s="252">
        <v>1</v>
      </c>
      <c r="K684" s="252">
        <v>1</v>
      </c>
      <c r="L684" s="253">
        <v>2</v>
      </c>
      <c r="M684" s="254">
        <f t="shared" si="21"/>
        <v>0.37356464144298934</v>
      </c>
      <c r="N684" s="255"/>
    </row>
    <row r="685" spans="1:14" hidden="1" x14ac:dyDescent="0.2">
      <c r="A685" s="230" t="s">
        <v>358</v>
      </c>
      <c r="B685" s="231" t="s">
        <v>393</v>
      </c>
      <c r="C685" s="247" t="s">
        <v>28</v>
      </c>
      <c r="D685" s="232" t="s">
        <v>135</v>
      </c>
      <c r="E685" s="249">
        <v>0.16905000000000001</v>
      </c>
      <c r="F685" s="250" t="s">
        <v>386</v>
      </c>
      <c r="G685" s="251" t="s">
        <v>16</v>
      </c>
      <c r="H685" s="252">
        <v>2</v>
      </c>
      <c r="I685" s="252">
        <v>2</v>
      </c>
      <c r="J685" s="252">
        <v>1</v>
      </c>
      <c r="K685" s="252">
        <v>1</v>
      </c>
      <c r="L685" s="253">
        <v>2</v>
      </c>
      <c r="M685" s="254">
        <f t="shared" si="21"/>
        <v>0.37356464144298934</v>
      </c>
      <c r="N685" s="255"/>
    </row>
    <row r="686" spans="1:14" hidden="1" x14ac:dyDescent="0.2">
      <c r="A686" s="230" t="s">
        <v>358</v>
      </c>
      <c r="B686" s="231" t="s">
        <v>393</v>
      </c>
      <c r="C686" s="247" t="s">
        <v>30</v>
      </c>
      <c r="D686" s="232" t="s">
        <v>135</v>
      </c>
      <c r="E686" s="249">
        <v>0.33810000000000001</v>
      </c>
      <c r="F686" s="250" t="s">
        <v>386</v>
      </c>
      <c r="G686" s="251" t="s">
        <v>16</v>
      </c>
      <c r="H686" s="252">
        <v>2</v>
      </c>
      <c r="I686" s="252">
        <v>2</v>
      </c>
      <c r="J686" s="252">
        <v>1</v>
      </c>
      <c r="K686" s="252">
        <v>1</v>
      </c>
      <c r="L686" s="253">
        <v>2</v>
      </c>
      <c r="M686" s="254">
        <f t="shared" si="21"/>
        <v>0.37356464144298934</v>
      </c>
      <c r="N686" s="255"/>
    </row>
    <row r="687" spans="1:14" hidden="1" x14ac:dyDescent="0.2">
      <c r="A687" s="230" t="s">
        <v>358</v>
      </c>
      <c r="B687" s="231" t="s">
        <v>393</v>
      </c>
      <c r="C687" s="247" t="s">
        <v>32</v>
      </c>
      <c r="D687" s="232" t="s">
        <v>135</v>
      </c>
      <c r="E687" s="249">
        <v>0.21637519531249999</v>
      </c>
      <c r="F687" s="250" t="s">
        <v>386</v>
      </c>
      <c r="G687" s="251" t="s">
        <v>16</v>
      </c>
      <c r="H687" s="252">
        <v>2</v>
      </c>
      <c r="I687" s="252">
        <v>2</v>
      </c>
      <c r="J687" s="252">
        <v>1</v>
      </c>
      <c r="K687" s="252">
        <v>1</v>
      </c>
      <c r="L687" s="253">
        <v>2</v>
      </c>
      <c r="M687" s="254">
        <f t="shared" si="21"/>
        <v>0.37356464144298934</v>
      </c>
      <c r="N687" s="255"/>
    </row>
    <row r="688" spans="1:14" hidden="1" x14ac:dyDescent="0.2">
      <c r="A688" s="230" t="s">
        <v>358</v>
      </c>
      <c r="B688" s="231" t="s">
        <v>393</v>
      </c>
      <c r="C688" s="247" t="s">
        <v>34</v>
      </c>
      <c r="D688" s="232" t="s">
        <v>135</v>
      </c>
      <c r="E688" s="249">
        <v>0.25021821289062501</v>
      </c>
      <c r="F688" s="250" t="s">
        <v>386</v>
      </c>
      <c r="G688" s="251" t="s">
        <v>16</v>
      </c>
      <c r="H688" s="252">
        <v>2</v>
      </c>
      <c r="I688" s="252">
        <v>2</v>
      </c>
      <c r="J688" s="252">
        <v>1</v>
      </c>
      <c r="K688" s="252">
        <v>1</v>
      </c>
      <c r="L688" s="253">
        <v>2</v>
      </c>
      <c r="M688" s="254">
        <f t="shared" si="21"/>
        <v>0.37356464144298934</v>
      </c>
      <c r="N688" s="255"/>
    </row>
    <row r="689" spans="1:14" hidden="1" x14ac:dyDescent="0.2">
      <c r="A689" s="230" t="s">
        <v>358</v>
      </c>
      <c r="B689" s="231" t="s">
        <v>393</v>
      </c>
      <c r="C689" s="247" t="s">
        <v>36</v>
      </c>
      <c r="D689" s="232" t="s">
        <v>135</v>
      </c>
      <c r="E689" s="249">
        <v>0.27046899414062497</v>
      </c>
      <c r="F689" s="250" t="s">
        <v>386</v>
      </c>
      <c r="G689" s="251" t="s">
        <v>16</v>
      </c>
      <c r="H689" s="252">
        <v>2</v>
      </c>
      <c r="I689" s="252">
        <v>2</v>
      </c>
      <c r="J689" s="252">
        <v>1</v>
      </c>
      <c r="K689" s="252">
        <v>1</v>
      </c>
      <c r="L689" s="253">
        <v>2</v>
      </c>
      <c r="M689" s="254">
        <f t="shared" si="21"/>
        <v>0.37356464144298934</v>
      </c>
      <c r="N689" s="255"/>
    </row>
    <row r="690" spans="1:14" hidden="1" x14ac:dyDescent="0.2">
      <c r="A690" s="230" t="s">
        <v>358</v>
      </c>
      <c r="B690" s="231" t="s">
        <v>393</v>
      </c>
      <c r="C690" s="247" t="s">
        <v>37</v>
      </c>
      <c r="D690" s="232" t="s">
        <v>135</v>
      </c>
      <c r="E690" s="249">
        <v>0.25693178710937498</v>
      </c>
      <c r="F690" s="250" t="s">
        <v>386</v>
      </c>
      <c r="G690" s="251" t="s">
        <v>16</v>
      </c>
      <c r="H690" s="252">
        <v>2</v>
      </c>
      <c r="I690" s="252">
        <v>2</v>
      </c>
      <c r="J690" s="252">
        <v>1</v>
      </c>
      <c r="K690" s="252">
        <v>1</v>
      </c>
      <c r="L690" s="253">
        <v>2</v>
      </c>
      <c r="M690" s="254">
        <f t="shared" si="21"/>
        <v>0.37356464144298934</v>
      </c>
      <c r="N690" s="255"/>
    </row>
    <row r="691" spans="1:14" hidden="1" x14ac:dyDescent="0.2">
      <c r="A691" s="230" t="s">
        <v>358</v>
      </c>
      <c r="B691" s="231" t="s">
        <v>393</v>
      </c>
      <c r="C691" s="247" t="s">
        <v>39</v>
      </c>
      <c r="D691" s="232" t="s">
        <v>135</v>
      </c>
      <c r="E691" s="249">
        <v>0.24344960937499999</v>
      </c>
      <c r="F691" s="250" t="s">
        <v>386</v>
      </c>
      <c r="G691" s="251" t="s">
        <v>16</v>
      </c>
      <c r="H691" s="252">
        <v>2</v>
      </c>
      <c r="I691" s="252">
        <v>2</v>
      </c>
      <c r="J691" s="252">
        <v>1</v>
      </c>
      <c r="K691" s="252">
        <v>1</v>
      </c>
      <c r="L691" s="253">
        <v>2</v>
      </c>
      <c r="M691" s="254">
        <f t="shared" si="21"/>
        <v>0.37356464144298934</v>
      </c>
      <c r="N691" s="255"/>
    </row>
    <row r="692" spans="1:14" hidden="1" x14ac:dyDescent="0.2">
      <c r="A692" s="230" t="s">
        <v>358</v>
      </c>
      <c r="B692" s="231" t="s">
        <v>393</v>
      </c>
      <c r="C692" s="247" t="s">
        <v>40</v>
      </c>
      <c r="D692" s="232" t="s">
        <v>135</v>
      </c>
      <c r="E692" s="249">
        <v>0.34486860351562509</v>
      </c>
      <c r="F692" s="250" t="s">
        <v>386</v>
      </c>
      <c r="G692" s="251" t="s">
        <v>16</v>
      </c>
      <c r="H692" s="252">
        <v>2</v>
      </c>
      <c r="I692" s="252">
        <v>2</v>
      </c>
      <c r="J692" s="252">
        <v>1</v>
      </c>
      <c r="K692" s="252">
        <v>1</v>
      </c>
      <c r="L692" s="253">
        <v>2</v>
      </c>
      <c r="M692" s="254">
        <f t="shared" si="21"/>
        <v>0.37356464144298934</v>
      </c>
      <c r="N692" s="255"/>
    </row>
    <row r="693" spans="1:14" hidden="1" x14ac:dyDescent="0.2">
      <c r="A693" s="230" t="s">
        <v>358</v>
      </c>
      <c r="B693" s="231" t="s">
        <v>393</v>
      </c>
      <c r="C693" s="247" t="s">
        <v>41</v>
      </c>
      <c r="D693" s="232" t="s">
        <v>135</v>
      </c>
      <c r="E693" s="249">
        <v>0.25021821289062501</v>
      </c>
      <c r="F693" s="250" t="s">
        <v>386</v>
      </c>
      <c r="G693" s="251" t="s">
        <v>16</v>
      </c>
      <c r="H693" s="252">
        <v>2</v>
      </c>
      <c r="I693" s="252">
        <v>2</v>
      </c>
      <c r="J693" s="252">
        <v>1</v>
      </c>
      <c r="K693" s="252">
        <v>1</v>
      </c>
      <c r="L693" s="253">
        <v>2</v>
      </c>
      <c r="M693" s="254">
        <f t="shared" si="21"/>
        <v>0.37356464144298934</v>
      </c>
      <c r="N693" s="255"/>
    </row>
    <row r="694" spans="1:14" hidden="1" x14ac:dyDescent="0.2">
      <c r="A694" s="230" t="s">
        <v>358</v>
      </c>
      <c r="B694" s="231" t="s">
        <v>393</v>
      </c>
      <c r="C694" s="247" t="s">
        <v>42</v>
      </c>
      <c r="D694" s="232" t="s">
        <v>135</v>
      </c>
      <c r="E694" s="249">
        <v>0.22314379882812499</v>
      </c>
      <c r="F694" s="250" t="s">
        <v>386</v>
      </c>
      <c r="G694" s="251" t="s">
        <v>16</v>
      </c>
      <c r="H694" s="252">
        <v>2</v>
      </c>
      <c r="I694" s="252">
        <v>2</v>
      </c>
      <c r="J694" s="252">
        <v>1</v>
      </c>
      <c r="K694" s="252">
        <v>1</v>
      </c>
      <c r="L694" s="253">
        <v>2</v>
      </c>
      <c r="M694" s="254">
        <f t="shared" si="21"/>
        <v>0.37356464144298934</v>
      </c>
      <c r="N694" s="255"/>
    </row>
    <row r="695" spans="1:14" hidden="1" x14ac:dyDescent="0.2">
      <c r="A695" s="230" t="s">
        <v>358</v>
      </c>
      <c r="B695" s="231" t="s">
        <v>393</v>
      </c>
      <c r="C695" s="247" t="s">
        <v>43</v>
      </c>
      <c r="D695" s="232" t="s">
        <v>135</v>
      </c>
      <c r="E695" s="249">
        <v>0.33810000000000001</v>
      </c>
      <c r="F695" s="250" t="s">
        <v>386</v>
      </c>
      <c r="G695" s="251" t="s">
        <v>16</v>
      </c>
      <c r="H695" s="252">
        <v>2</v>
      </c>
      <c r="I695" s="252">
        <v>2</v>
      </c>
      <c r="J695" s="252">
        <v>1</v>
      </c>
      <c r="K695" s="252">
        <v>1</v>
      </c>
      <c r="L695" s="253">
        <v>2</v>
      </c>
      <c r="M695" s="254">
        <f t="shared" ref="M695:M725" si="22">IF( OR( ISBLANK(H695),ISBLANK(I695), ISBLANK(J695), ISBLANK(K695), ISBLANK(L695) ), "", 1.5*SQRT( EXP(2.21*(H695-1)) + EXP(2.21*(I695-1)) + EXP(2.21*(J695-1)) + EXP(2.21*(K695-1)) + EXP(2.21*L695) )/100*2.45 )</f>
        <v>0.37356464144298934</v>
      </c>
      <c r="N695" s="255"/>
    </row>
    <row r="696" spans="1:14" hidden="1" x14ac:dyDescent="0.2">
      <c r="A696" s="230" t="s">
        <v>358</v>
      </c>
      <c r="B696" s="231" t="s">
        <v>393</v>
      </c>
      <c r="C696" s="247" t="s">
        <v>45</v>
      </c>
      <c r="D696" s="232" t="s">
        <v>135</v>
      </c>
      <c r="E696" s="249">
        <v>0.31779418945312499</v>
      </c>
      <c r="F696" s="250" t="s">
        <v>386</v>
      </c>
      <c r="G696" s="251" t="s">
        <v>16</v>
      </c>
      <c r="H696" s="252">
        <v>2</v>
      </c>
      <c r="I696" s="252">
        <v>2</v>
      </c>
      <c r="J696" s="252">
        <v>1</v>
      </c>
      <c r="K696" s="252">
        <v>1</v>
      </c>
      <c r="L696" s="253">
        <v>2</v>
      </c>
      <c r="M696" s="254">
        <f t="shared" si="22"/>
        <v>0.37356464144298934</v>
      </c>
      <c r="N696" s="255"/>
    </row>
    <row r="697" spans="1:14" hidden="1" x14ac:dyDescent="0.2">
      <c r="A697" s="230" t="s">
        <v>358</v>
      </c>
      <c r="B697" s="231" t="s">
        <v>393</v>
      </c>
      <c r="C697" s="247" t="s">
        <v>46</v>
      </c>
      <c r="D697" s="232" t="s">
        <v>135</v>
      </c>
      <c r="E697" s="249">
        <v>0.1961244140625</v>
      </c>
      <c r="F697" s="250" t="s">
        <v>386</v>
      </c>
      <c r="G697" s="251" t="s">
        <v>16</v>
      </c>
      <c r="H697" s="252">
        <v>2</v>
      </c>
      <c r="I697" s="252">
        <v>2</v>
      </c>
      <c r="J697" s="252">
        <v>1</v>
      </c>
      <c r="K697" s="252">
        <v>1</v>
      </c>
      <c r="L697" s="253">
        <v>2</v>
      </c>
      <c r="M697" s="254">
        <f t="shared" si="22"/>
        <v>0.37356464144298934</v>
      </c>
      <c r="N697" s="255"/>
    </row>
    <row r="698" spans="1:14" hidden="1" x14ac:dyDescent="0.2">
      <c r="A698" s="230" t="s">
        <v>358</v>
      </c>
      <c r="B698" s="231" t="s">
        <v>393</v>
      </c>
      <c r="C698" s="247" t="s">
        <v>48</v>
      </c>
      <c r="D698" s="232" t="s">
        <v>135</v>
      </c>
      <c r="E698" s="249">
        <v>0.27046899414062497</v>
      </c>
      <c r="F698" s="250" t="s">
        <v>386</v>
      </c>
      <c r="G698" s="251" t="s">
        <v>16</v>
      </c>
      <c r="H698" s="252">
        <v>2</v>
      </c>
      <c r="I698" s="252">
        <v>2</v>
      </c>
      <c r="J698" s="252">
        <v>1</v>
      </c>
      <c r="K698" s="252">
        <v>1</v>
      </c>
      <c r="L698" s="253">
        <v>2</v>
      </c>
      <c r="M698" s="254">
        <f t="shared" si="22"/>
        <v>0.37356464144298934</v>
      </c>
      <c r="N698" s="255"/>
    </row>
    <row r="699" spans="1:14" hidden="1" x14ac:dyDescent="0.2">
      <c r="A699" s="230" t="s">
        <v>358</v>
      </c>
      <c r="B699" s="231" t="s">
        <v>393</v>
      </c>
      <c r="C699" s="247" t="s">
        <v>50</v>
      </c>
      <c r="D699" s="232" t="s">
        <v>135</v>
      </c>
      <c r="E699" s="249">
        <v>0.29754340820312503</v>
      </c>
      <c r="F699" s="250" t="s">
        <v>386</v>
      </c>
      <c r="G699" s="251" t="s">
        <v>16</v>
      </c>
      <c r="H699" s="252">
        <v>2</v>
      </c>
      <c r="I699" s="252">
        <v>2</v>
      </c>
      <c r="J699" s="252">
        <v>1</v>
      </c>
      <c r="K699" s="252">
        <v>1</v>
      </c>
      <c r="L699" s="253">
        <v>2</v>
      </c>
      <c r="M699" s="254">
        <f t="shared" si="22"/>
        <v>0.37356464144298934</v>
      </c>
      <c r="N699" s="255"/>
    </row>
    <row r="700" spans="1:14" hidden="1" x14ac:dyDescent="0.2">
      <c r="A700" s="230" t="s">
        <v>358</v>
      </c>
      <c r="B700" s="231" t="s">
        <v>393</v>
      </c>
      <c r="C700" s="247" t="s">
        <v>52</v>
      </c>
      <c r="D700" s="232" t="s">
        <v>135</v>
      </c>
      <c r="E700" s="249">
        <v>0.37865659179687511</v>
      </c>
      <c r="F700" s="250" t="s">
        <v>386</v>
      </c>
      <c r="G700" s="251" t="s">
        <v>16</v>
      </c>
      <c r="H700" s="252">
        <v>2</v>
      </c>
      <c r="I700" s="252">
        <v>2</v>
      </c>
      <c r="J700" s="252">
        <v>1</v>
      </c>
      <c r="K700" s="252">
        <v>1</v>
      </c>
      <c r="L700" s="253">
        <v>2</v>
      </c>
      <c r="M700" s="254">
        <f t="shared" si="22"/>
        <v>0.37356464144298934</v>
      </c>
      <c r="N700" s="255"/>
    </row>
    <row r="701" spans="1:14" hidden="1" x14ac:dyDescent="0.2">
      <c r="A701" s="230" t="s">
        <v>358</v>
      </c>
      <c r="B701" s="231" t="s">
        <v>393</v>
      </c>
      <c r="C701" s="247" t="s">
        <v>54</v>
      </c>
      <c r="D701" s="232" t="s">
        <v>135</v>
      </c>
      <c r="E701" s="249">
        <v>0.46659340820312512</v>
      </c>
      <c r="F701" s="250" t="s">
        <v>386</v>
      </c>
      <c r="G701" s="251" t="s">
        <v>16</v>
      </c>
      <c r="H701" s="252">
        <v>2</v>
      </c>
      <c r="I701" s="252">
        <v>2</v>
      </c>
      <c r="J701" s="252">
        <v>1</v>
      </c>
      <c r="K701" s="252">
        <v>1</v>
      </c>
      <c r="L701" s="253">
        <v>2</v>
      </c>
      <c r="M701" s="254">
        <f t="shared" si="22"/>
        <v>0.37356464144298934</v>
      </c>
      <c r="N701" s="255"/>
    </row>
    <row r="702" spans="1:14" hidden="1" x14ac:dyDescent="0.2">
      <c r="A702" s="230" t="s">
        <v>358</v>
      </c>
      <c r="B702" s="231" t="s">
        <v>393</v>
      </c>
      <c r="C702" s="247" t="s">
        <v>55</v>
      </c>
      <c r="D702" s="232" t="s">
        <v>135</v>
      </c>
      <c r="E702" s="249">
        <v>0.28400620117187497</v>
      </c>
      <c r="F702" s="250" t="s">
        <v>386</v>
      </c>
      <c r="G702" s="251" t="s">
        <v>16</v>
      </c>
      <c r="H702" s="252">
        <v>2</v>
      </c>
      <c r="I702" s="252">
        <v>2</v>
      </c>
      <c r="J702" s="252">
        <v>1</v>
      </c>
      <c r="K702" s="252">
        <v>1</v>
      </c>
      <c r="L702" s="253">
        <v>2</v>
      </c>
      <c r="M702" s="254">
        <f t="shared" si="22"/>
        <v>0.37356464144298934</v>
      </c>
      <c r="N702" s="255"/>
    </row>
    <row r="703" spans="1:14" hidden="1" x14ac:dyDescent="0.2">
      <c r="A703" s="230" t="s">
        <v>358</v>
      </c>
      <c r="B703" s="231" t="s">
        <v>393</v>
      </c>
      <c r="C703" s="247" t="s">
        <v>57</v>
      </c>
      <c r="D703" s="232" t="s">
        <v>135</v>
      </c>
      <c r="E703" s="249">
        <v>0.31779418945312499</v>
      </c>
      <c r="F703" s="250" t="s">
        <v>386</v>
      </c>
      <c r="G703" s="251" t="s">
        <v>16</v>
      </c>
      <c r="H703" s="252">
        <v>2</v>
      </c>
      <c r="I703" s="252">
        <v>2</v>
      </c>
      <c r="J703" s="252">
        <v>1</v>
      </c>
      <c r="K703" s="252">
        <v>1</v>
      </c>
      <c r="L703" s="253">
        <v>2</v>
      </c>
      <c r="M703" s="254">
        <f t="shared" si="22"/>
        <v>0.37356464144298934</v>
      </c>
      <c r="N703" s="255"/>
    </row>
    <row r="704" spans="1:14" hidden="1" x14ac:dyDescent="0.2">
      <c r="A704" s="230" t="s">
        <v>358</v>
      </c>
      <c r="B704" s="231" t="s">
        <v>393</v>
      </c>
      <c r="C704" s="247" t="s">
        <v>59</v>
      </c>
      <c r="D704" s="232" t="s">
        <v>135</v>
      </c>
      <c r="E704" s="249">
        <v>0.33810000000000001</v>
      </c>
      <c r="F704" s="250" t="s">
        <v>360</v>
      </c>
      <c r="G704" s="251" t="s">
        <v>16</v>
      </c>
      <c r="H704" s="252">
        <v>2</v>
      </c>
      <c r="I704" s="252">
        <v>2</v>
      </c>
      <c r="J704" s="252">
        <v>1</v>
      </c>
      <c r="K704" s="252">
        <v>1</v>
      </c>
      <c r="L704" s="253">
        <v>2</v>
      </c>
      <c r="M704" s="254">
        <f t="shared" si="22"/>
        <v>0.37356464144298934</v>
      </c>
      <c r="N704" s="255"/>
    </row>
    <row r="705" spans="1:14" hidden="1" x14ac:dyDescent="0.2">
      <c r="A705" s="236" t="s">
        <v>358</v>
      </c>
      <c r="B705" s="237" t="s">
        <v>393</v>
      </c>
      <c r="C705" s="287" t="s">
        <v>60</v>
      </c>
      <c r="D705" s="239" t="s">
        <v>135</v>
      </c>
      <c r="E705" s="288">
        <v>0.25693178710937498</v>
      </c>
      <c r="F705" s="289" t="s">
        <v>386</v>
      </c>
      <c r="G705" s="290" t="s">
        <v>16</v>
      </c>
      <c r="H705" s="291">
        <v>2</v>
      </c>
      <c r="I705" s="291">
        <v>2</v>
      </c>
      <c r="J705" s="291">
        <v>1</v>
      </c>
      <c r="K705" s="291">
        <v>1</v>
      </c>
      <c r="L705" s="292">
        <v>2</v>
      </c>
      <c r="M705" s="293">
        <f t="shared" si="22"/>
        <v>0.37356464144298934</v>
      </c>
      <c r="N705" s="294"/>
    </row>
    <row r="706" spans="1:14" x14ac:dyDescent="0.2">
      <c r="A706" s="230" t="s">
        <v>380</v>
      </c>
      <c r="B706" s="231" t="s">
        <v>387</v>
      </c>
      <c r="C706" s="222" t="s">
        <v>135</v>
      </c>
      <c r="D706" s="232" t="s">
        <v>135</v>
      </c>
      <c r="E706" s="256" t="s">
        <v>188</v>
      </c>
      <c r="F706" s="233"/>
      <c r="G706" s="234"/>
      <c r="H706" s="61"/>
      <c r="I706" s="61"/>
      <c r="J706" s="61"/>
      <c r="K706" s="61"/>
      <c r="L706" s="62"/>
      <c r="M706" s="63" t="str">
        <f t="shared" si="22"/>
        <v/>
      </c>
      <c r="N706" s="235"/>
    </row>
    <row r="707" spans="1:14" x14ac:dyDescent="0.2">
      <c r="A707" s="230" t="s">
        <v>380</v>
      </c>
      <c r="B707" s="231" t="s">
        <v>393</v>
      </c>
      <c r="C707" s="247" t="s">
        <v>13</v>
      </c>
      <c r="D707" s="232" t="s">
        <v>135</v>
      </c>
      <c r="E707" s="249">
        <v>0.22991240234374999</v>
      </c>
      <c r="F707" s="250" t="s">
        <v>386</v>
      </c>
      <c r="G707" s="251" t="s">
        <v>16</v>
      </c>
      <c r="H707" s="252">
        <v>2</v>
      </c>
      <c r="I707" s="252">
        <v>2</v>
      </c>
      <c r="J707" s="252">
        <v>1</v>
      </c>
      <c r="K707" s="252">
        <v>1</v>
      </c>
      <c r="L707" s="253">
        <v>2</v>
      </c>
      <c r="M707" s="254">
        <f t="shared" si="22"/>
        <v>0.37356464144298934</v>
      </c>
      <c r="N707" s="255"/>
    </row>
    <row r="708" spans="1:14" hidden="1" x14ac:dyDescent="0.2">
      <c r="A708" s="230" t="s">
        <v>380</v>
      </c>
      <c r="B708" s="231" t="s">
        <v>393</v>
      </c>
      <c r="C708" s="247" t="s">
        <v>18</v>
      </c>
      <c r="D708" s="232" t="s">
        <v>135</v>
      </c>
      <c r="E708" s="249">
        <v>0.28400620117187497</v>
      </c>
      <c r="F708" s="250" t="s">
        <v>386</v>
      </c>
      <c r="G708" s="251" t="s">
        <v>16</v>
      </c>
      <c r="H708" s="252">
        <v>2</v>
      </c>
      <c r="I708" s="252">
        <v>2</v>
      </c>
      <c r="J708" s="252">
        <v>1</v>
      </c>
      <c r="K708" s="252">
        <v>1</v>
      </c>
      <c r="L708" s="253">
        <v>2</v>
      </c>
      <c r="M708" s="254">
        <f t="shared" si="22"/>
        <v>0.37356464144298934</v>
      </c>
      <c r="N708" s="255"/>
    </row>
    <row r="709" spans="1:14" hidden="1" x14ac:dyDescent="0.2">
      <c r="A709" s="230" t="s">
        <v>380</v>
      </c>
      <c r="B709" s="231" t="s">
        <v>393</v>
      </c>
      <c r="C709" s="247" t="s">
        <v>20</v>
      </c>
      <c r="D709" s="232" t="s">
        <v>135</v>
      </c>
      <c r="E709" s="249">
        <v>0.43275039062499998</v>
      </c>
      <c r="F709" s="250" t="s">
        <v>386</v>
      </c>
      <c r="G709" s="251" t="s">
        <v>16</v>
      </c>
      <c r="H709" s="252">
        <v>2</v>
      </c>
      <c r="I709" s="252">
        <v>2</v>
      </c>
      <c r="J709" s="252">
        <v>1</v>
      </c>
      <c r="K709" s="252">
        <v>1</v>
      </c>
      <c r="L709" s="253">
        <v>2</v>
      </c>
      <c r="M709" s="254">
        <f t="shared" si="22"/>
        <v>0.37356464144298934</v>
      </c>
      <c r="N709" s="255"/>
    </row>
    <row r="710" spans="1:14" hidden="1" x14ac:dyDescent="0.2">
      <c r="A710" s="230" t="s">
        <v>380</v>
      </c>
      <c r="B710" s="231" t="s">
        <v>393</v>
      </c>
      <c r="C710" s="247" t="s">
        <v>22</v>
      </c>
      <c r="D710" s="232" t="s">
        <v>135</v>
      </c>
      <c r="E710" s="249">
        <v>0.25693178710937498</v>
      </c>
      <c r="F710" s="250" t="s">
        <v>386</v>
      </c>
      <c r="G710" s="251" t="s">
        <v>16</v>
      </c>
      <c r="H710" s="252">
        <v>2</v>
      </c>
      <c r="I710" s="252">
        <v>2</v>
      </c>
      <c r="J710" s="252">
        <v>1</v>
      </c>
      <c r="K710" s="252">
        <v>1</v>
      </c>
      <c r="L710" s="253">
        <v>2</v>
      </c>
      <c r="M710" s="254">
        <f t="shared" si="22"/>
        <v>0.37356464144298934</v>
      </c>
      <c r="N710" s="255"/>
    </row>
    <row r="711" spans="1:14" hidden="1" x14ac:dyDescent="0.2">
      <c r="A711" s="230" t="s">
        <v>380</v>
      </c>
      <c r="B711" s="231" t="s">
        <v>393</v>
      </c>
      <c r="C711" s="247" t="s">
        <v>23</v>
      </c>
      <c r="D711" s="232" t="s">
        <v>135</v>
      </c>
      <c r="E711" s="249">
        <v>0.31779418945312499</v>
      </c>
      <c r="F711" s="250" t="s">
        <v>386</v>
      </c>
      <c r="G711" s="251" t="s">
        <v>16</v>
      </c>
      <c r="H711" s="252">
        <v>2</v>
      </c>
      <c r="I711" s="252">
        <v>2</v>
      </c>
      <c r="J711" s="252">
        <v>1</v>
      </c>
      <c r="K711" s="252">
        <v>1</v>
      </c>
      <c r="L711" s="253">
        <v>2</v>
      </c>
      <c r="M711" s="254">
        <f t="shared" si="22"/>
        <v>0.37356464144298934</v>
      </c>
      <c r="N711" s="255"/>
    </row>
    <row r="712" spans="1:14" hidden="1" x14ac:dyDescent="0.2">
      <c r="A712" s="230" t="s">
        <v>380</v>
      </c>
      <c r="B712" s="231" t="s">
        <v>393</v>
      </c>
      <c r="C712" s="247" t="s">
        <v>24</v>
      </c>
      <c r="D712" s="232" t="s">
        <v>135</v>
      </c>
      <c r="E712" s="249">
        <v>0.39219379882812511</v>
      </c>
      <c r="F712" s="250" t="s">
        <v>386</v>
      </c>
      <c r="G712" s="251" t="s">
        <v>16</v>
      </c>
      <c r="H712" s="252">
        <v>2</v>
      </c>
      <c r="I712" s="252">
        <v>2</v>
      </c>
      <c r="J712" s="252">
        <v>1</v>
      </c>
      <c r="K712" s="252">
        <v>1</v>
      </c>
      <c r="L712" s="253">
        <v>2</v>
      </c>
      <c r="M712" s="254">
        <f t="shared" si="22"/>
        <v>0.37356464144298934</v>
      </c>
      <c r="N712" s="255"/>
    </row>
    <row r="713" spans="1:14" hidden="1" x14ac:dyDescent="0.2">
      <c r="A713" s="230" t="s">
        <v>380</v>
      </c>
      <c r="B713" s="231" t="s">
        <v>393</v>
      </c>
      <c r="C713" s="247" t="s">
        <v>25</v>
      </c>
      <c r="D713" s="232" t="s">
        <v>135</v>
      </c>
      <c r="E713" s="249">
        <v>0.20283798828124999</v>
      </c>
      <c r="F713" s="250" t="s">
        <v>386</v>
      </c>
      <c r="G713" s="251" t="s">
        <v>16</v>
      </c>
      <c r="H713" s="252">
        <v>2</v>
      </c>
      <c r="I713" s="252">
        <v>2</v>
      </c>
      <c r="J713" s="252">
        <v>1</v>
      </c>
      <c r="K713" s="252">
        <v>1</v>
      </c>
      <c r="L713" s="253">
        <v>2</v>
      </c>
      <c r="M713" s="254">
        <f t="shared" si="22"/>
        <v>0.37356464144298934</v>
      </c>
      <c r="N713" s="255"/>
    </row>
    <row r="714" spans="1:14" hidden="1" x14ac:dyDescent="0.2">
      <c r="A714" s="230" t="s">
        <v>380</v>
      </c>
      <c r="B714" s="231" t="s">
        <v>393</v>
      </c>
      <c r="C714" s="247" t="s">
        <v>26</v>
      </c>
      <c r="D714" s="232" t="s">
        <v>135</v>
      </c>
      <c r="E714" s="249">
        <v>0.1961244140625</v>
      </c>
      <c r="F714" s="250" t="s">
        <v>386</v>
      </c>
      <c r="G714" s="251" t="s">
        <v>16</v>
      </c>
      <c r="H714" s="252">
        <v>2</v>
      </c>
      <c r="I714" s="252">
        <v>2</v>
      </c>
      <c r="J714" s="252">
        <v>1</v>
      </c>
      <c r="K714" s="252">
        <v>1</v>
      </c>
      <c r="L714" s="253">
        <v>2</v>
      </c>
      <c r="M714" s="254">
        <f t="shared" si="22"/>
        <v>0.37356464144298934</v>
      </c>
      <c r="N714" s="255"/>
    </row>
    <row r="715" spans="1:14" hidden="1" x14ac:dyDescent="0.2">
      <c r="A715" s="230" t="s">
        <v>380</v>
      </c>
      <c r="B715" s="231" t="s">
        <v>393</v>
      </c>
      <c r="C715" s="247" t="s">
        <v>27</v>
      </c>
      <c r="D715" s="232" t="s">
        <v>135</v>
      </c>
      <c r="E715" s="249">
        <v>0.16905000000000001</v>
      </c>
      <c r="F715" s="250" t="s">
        <v>386</v>
      </c>
      <c r="G715" s="251" t="s">
        <v>16</v>
      </c>
      <c r="H715" s="252">
        <v>2</v>
      </c>
      <c r="I715" s="252">
        <v>2</v>
      </c>
      <c r="J715" s="252">
        <v>1</v>
      </c>
      <c r="K715" s="252">
        <v>1</v>
      </c>
      <c r="L715" s="253">
        <v>2</v>
      </c>
      <c r="M715" s="254">
        <f t="shared" si="22"/>
        <v>0.37356464144298934</v>
      </c>
      <c r="N715" s="255"/>
    </row>
    <row r="716" spans="1:14" hidden="1" x14ac:dyDescent="0.2">
      <c r="A716" s="230" t="s">
        <v>380</v>
      </c>
      <c r="B716" s="231" t="s">
        <v>393</v>
      </c>
      <c r="C716" s="247" t="s">
        <v>28</v>
      </c>
      <c r="D716" s="232" t="s">
        <v>135</v>
      </c>
      <c r="E716" s="249">
        <v>0.16905000000000001</v>
      </c>
      <c r="F716" s="250" t="s">
        <v>386</v>
      </c>
      <c r="G716" s="251" t="s">
        <v>16</v>
      </c>
      <c r="H716" s="252">
        <v>2</v>
      </c>
      <c r="I716" s="252">
        <v>2</v>
      </c>
      <c r="J716" s="252">
        <v>1</v>
      </c>
      <c r="K716" s="252">
        <v>1</v>
      </c>
      <c r="L716" s="253">
        <v>2</v>
      </c>
      <c r="M716" s="254">
        <f t="shared" si="22"/>
        <v>0.37356464144298934</v>
      </c>
      <c r="N716" s="255"/>
    </row>
    <row r="717" spans="1:14" hidden="1" x14ac:dyDescent="0.2">
      <c r="A717" s="230" t="s">
        <v>380</v>
      </c>
      <c r="B717" s="231" t="s">
        <v>393</v>
      </c>
      <c r="C717" s="247" t="s">
        <v>30</v>
      </c>
      <c r="D717" s="232" t="s">
        <v>135</v>
      </c>
      <c r="E717" s="249">
        <v>0.33810000000000001</v>
      </c>
      <c r="F717" s="250" t="s">
        <v>386</v>
      </c>
      <c r="G717" s="251" t="s">
        <v>16</v>
      </c>
      <c r="H717" s="252">
        <v>2</v>
      </c>
      <c r="I717" s="252">
        <v>2</v>
      </c>
      <c r="J717" s="252">
        <v>1</v>
      </c>
      <c r="K717" s="252">
        <v>1</v>
      </c>
      <c r="L717" s="253">
        <v>2</v>
      </c>
      <c r="M717" s="254">
        <f t="shared" si="22"/>
        <v>0.37356464144298934</v>
      </c>
      <c r="N717" s="255"/>
    </row>
    <row r="718" spans="1:14" hidden="1" x14ac:dyDescent="0.2">
      <c r="A718" s="230" t="s">
        <v>380</v>
      </c>
      <c r="B718" s="231" t="s">
        <v>393</v>
      </c>
      <c r="C718" s="247" t="s">
        <v>32</v>
      </c>
      <c r="D718" s="232" t="s">
        <v>135</v>
      </c>
      <c r="E718" s="249">
        <v>0.21637519531249999</v>
      </c>
      <c r="F718" s="250" t="s">
        <v>386</v>
      </c>
      <c r="G718" s="251" t="s">
        <v>16</v>
      </c>
      <c r="H718" s="252">
        <v>2</v>
      </c>
      <c r="I718" s="252">
        <v>2</v>
      </c>
      <c r="J718" s="252">
        <v>1</v>
      </c>
      <c r="K718" s="252">
        <v>1</v>
      </c>
      <c r="L718" s="253">
        <v>2</v>
      </c>
      <c r="M718" s="254">
        <f t="shared" si="22"/>
        <v>0.37356464144298934</v>
      </c>
      <c r="N718" s="255"/>
    </row>
    <row r="719" spans="1:14" hidden="1" x14ac:dyDescent="0.2">
      <c r="A719" s="230" t="s">
        <v>380</v>
      </c>
      <c r="B719" s="231" t="s">
        <v>393</v>
      </c>
      <c r="C719" s="247" t="s">
        <v>34</v>
      </c>
      <c r="D719" s="232" t="s">
        <v>135</v>
      </c>
      <c r="E719" s="249">
        <v>0.25021821289062501</v>
      </c>
      <c r="F719" s="250" t="s">
        <v>386</v>
      </c>
      <c r="G719" s="251" t="s">
        <v>16</v>
      </c>
      <c r="H719" s="252">
        <v>2</v>
      </c>
      <c r="I719" s="252">
        <v>2</v>
      </c>
      <c r="J719" s="252">
        <v>1</v>
      </c>
      <c r="K719" s="252">
        <v>1</v>
      </c>
      <c r="L719" s="253">
        <v>2</v>
      </c>
      <c r="M719" s="254">
        <f t="shared" si="22"/>
        <v>0.37356464144298934</v>
      </c>
      <c r="N719" s="255"/>
    </row>
    <row r="720" spans="1:14" hidden="1" x14ac:dyDescent="0.2">
      <c r="A720" s="230" t="s">
        <v>380</v>
      </c>
      <c r="B720" s="231" t="s">
        <v>393</v>
      </c>
      <c r="C720" s="247" t="s">
        <v>36</v>
      </c>
      <c r="D720" s="232" t="s">
        <v>135</v>
      </c>
      <c r="E720" s="249">
        <v>0.27046899414062497</v>
      </c>
      <c r="F720" s="250" t="s">
        <v>386</v>
      </c>
      <c r="G720" s="251" t="s">
        <v>16</v>
      </c>
      <c r="H720" s="252">
        <v>2</v>
      </c>
      <c r="I720" s="252">
        <v>2</v>
      </c>
      <c r="J720" s="252">
        <v>1</v>
      </c>
      <c r="K720" s="252">
        <v>1</v>
      </c>
      <c r="L720" s="253">
        <v>2</v>
      </c>
      <c r="M720" s="254">
        <f t="shared" si="22"/>
        <v>0.37356464144298934</v>
      </c>
      <c r="N720" s="255"/>
    </row>
    <row r="721" spans="1:14" hidden="1" x14ac:dyDescent="0.2">
      <c r="A721" s="230" t="s">
        <v>380</v>
      </c>
      <c r="B721" s="231" t="s">
        <v>393</v>
      </c>
      <c r="C721" s="247" t="s">
        <v>37</v>
      </c>
      <c r="D721" s="232" t="s">
        <v>135</v>
      </c>
      <c r="E721" s="249">
        <v>0.25693178710937498</v>
      </c>
      <c r="F721" s="250" t="s">
        <v>386</v>
      </c>
      <c r="G721" s="251" t="s">
        <v>16</v>
      </c>
      <c r="H721" s="252">
        <v>2</v>
      </c>
      <c r="I721" s="252">
        <v>2</v>
      </c>
      <c r="J721" s="252">
        <v>1</v>
      </c>
      <c r="K721" s="252">
        <v>1</v>
      </c>
      <c r="L721" s="253">
        <v>2</v>
      </c>
      <c r="M721" s="254">
        <f t="shared" si="22"/>
        <v>0.37356464144298934</v>
      </c>
      <c r="N721" s="255"/>
    </row>
    <row r="722" spans="1:14" hidden="1" x14ac:dyDescent="0.2">
      <c r="A722" s="230" t="s">
        <v>380</v>
      </c>
      <c r="B722" s="231" t="s">
        <v>393</v>
      </c>
      <c r="C722" s="247" t="s">
        <v>39</v>
      </c>
      <c r="D722" s="232" t="s">
        <v>135</v>
      </c>
      <c r="E722" s="249">
        <v>0.24344960937499999</v>
      </c>
      <c r="F722" s="250" t="s">
        <v>386</v>
      </c>
      <c r="G722" s="251" t="s">
        <v>16</v>
      </c>
      <c r="H722" s="252">
        <v>2</v>
      </c>
      <c r="I722" s="252">
        <v>2</v>
      </c>
      <c r="J722" s="252">
        <v>1</v>
      </c>
      <c r="K722" s="252">
        <v>1</v>
      </c>
      <c r="L722" s="253">
        <v>2</v>
      </c>
      <c r="M722" s="254">
        <f t="shared" si="22"/>
        <v>0.37356464144298934</v>
      </c>
      <c r="N722" s="255"/>
    </row>
    <row r="723" spans="1:14" hidden="1" x14ac:dyDescent="0.2">
      <c r="A723" s="230" t="s">
        <v>380</v>
      </c>
      <c r="B723" s="231" t="s">
        <v>393</v>
      </c>
      <c r="C723" s="247" t="s">
        <v>40</v>
      </c>
      <c r="D723" s="232" t="s">
        <v>135</v>
      </c>
      <c r="E723" s="249">
        <v>0.34486860351562509</v>
      </c>
      <c r="F723" s="250" t="s">
        <v>386</v>
      </c>
      <c r="G723" s="251" t="s">
        <v>16</v>
      </c>
      <c r="H723" s="252">
        <v>2</v>
      </c>
      <c r="I723" s="252">
        <v>2</v>
      </c>
      <c r="J723" s="252">
        <v>1</v>
      </c>
      <c r="K723" s="252">
        <v>1</v>
      </c>
      <c r="L723" s="253">
        <v>2</v>
      </c>
      <c r="M723" s="254">
        <f t="shared" si="22"/>
        <v>0.37356464144298934</v>
      </c>
      <c r="N723" s="255"/>
    </row>
    <row r="724" spans="1:14" hidden="1" x14ac:dyDescent="0.2">
      <c r="A724" s="230" t="s">
        <v>380</v>
      </c>
      <c r="B724" s="231" t="s">
        <v>393</v>
      </c>
      <c r="C724" s="247" t="s">
        <v>41</v>
      </c>
      <c r="D724" s="232" t="s">
        <v>135</v>
      </c>
      <c r="E724" s="249">
        <v>0.25021821289062501</v>
      </c>
      <c r="F724" s="250" t="s">
        <v>386</v>
      </c>
      <c r="G724" s="251" t="s">
        <v>16</v>
      </c>
      <c r="H724" s="252">
        <v>2</v>
      </c>
      <c r="I724" s="252">
        <v>2</v>
      </c>
      <c r="J724" s="252">
        <v>1</v>
      </c>
      <c r="K724" s="252">
        <v>1</v>
      </c>
      <c r="L724" s="253">
        <v>2</v>
      </c>
      <c r="M724" s="254">
        <f t="shared" si="22"/>
        <v>0.37356464144298934</v>
      </c>
      <c r="N724" s="255"/>
    </row>
    <row r="725" spans="1:14" hidden="1" x14ac:dyDescent="0.2">
      <c r="A725" s="230" t="s">
        <v>380</v>
      </c>
      <c r="B725" s="231" t="s">
        <v>393</v>
      </c>
      <c r="C725" s="247" t="s">
        <v>42</v>
      </c>
      <c r="D725" s="232" t="s">
        <v>135</v>
      </c>
      <c r="E725" s="249">
        <v>0.22314379882812499</v>
      </c>
      <c r="F725" s="250" t="s">
        <v>386</v>
      </c>
      <c r="G725" s="251" t="s">
        <v>16</v>
      </c>
      <c r="H725" s="252">
        <v>2</v>
      </c>
      <c r="I725" s="252">
        <v>2</v>
      </c>
      <c r="J725" s="252">
        <v>1</v>
      </c>
      <c r="K725" s="252">
        <v>1</v>
      </c>
      <c r="L725" s="253">
        <v>2</v>
      </c>
      <c r="M725" s="254">
        <f t="shared" si="22"/>
        <v>0.37356464144298934</v>
      </c>
      <c r="N725" s="255"/>
    </row>
    <row r="726" spans="1:14" hidden="1" x14ac:dyDescent="0.2">
      <c r="A726" s="230" t="s">
        <v>380</v>
      </c>
      <c r="B726" s="231" t="s">
        <v>393</v>
      </c>
      <c r="C726" s="247" t="s">
        <v>43</v>
      </c>
      <c r="D726" s="232" t="s">
        <v>135</v>
      </c>
      <c r="E726" s="249">
        <v>0.33810000000000001</v>
      </c>
      <c r="F726" s="250" t="s">
        <v>386</v>
      </c>
      <c r="G726" s="251" t="s">
        <v>16</v>
      </c>
      <c r="H726" s="252">
        <v>2</v>
      </c>
      <c r="I726" s="252">
        <v>2</v>
      </c>
      <c r="J726" s="252">
        <v>1</v>
      </c>
      <c r="K726" s="252">
        <v>1</v>
      </c>
      <c r="L726" s="253">
        <v>2</v>
      </c>
      <c r="M726" s="254">
        <f>IF( OR( ISBLANK(H726),ISBLANK(I726), ISBLANK(J726), ISBLANK(K726), ISBLANK(L726) ), "", 1.5*SQRT(   EXP(2.21*(H726-1)) + EXP(2.21*(I726-1)) + EXP(2.21*(J726-1)) + EXP(2.21*(K726-1)) + EXP(2.21*L726)   )/100*2.45 )</f>
        <v>0.37356464144298934</v>
      </c>
      <c r="N726" s="255"/>
    </row>
    <row r="727" spans="1:14" hidden="1" x14ac:dyDescent="0.2">
      <c r="A727" s="230" t="s">
        <v>380</v>
      </c>
      <c r="B727" s="231" t="s">
        <v>393</v>
      </c>
      <c r="C727" s="247" t="s">
        <v>45</v>
      </c>
      <c r="D727" s="232" t="s">
        <v>135</v>
      </c>
      <c r="E727" s="249">
        <v>0.31779418945312499</v>
      </c>
      <c r="F727" s="250" t="s">
        <v>386</v>
      </c>
      <c r="G727" s="251" t="s">
        <v>16</v>
      </c>
      <c r="H727" s="252">
        <v>2</v>
      </c>
      <c r="I727" s="252">
        <v>2</v>
      </c>
      <c r="J727" s="252">
        <v>1</v>
      </c>
      <c r="K727" s="252">
        <v>1</v>
      </c>
      <c r="L727" s="253">
        <v>2</v>
      </c>
      <c r="M727" s="254">
        <f t="shared" ref="M727:M758" si="23">IF( OR( ISBLANK(H727),ISBLANK(I727), ISBLANK(J727), ISBLANK(K727), ISBLANK(L727) ), "", 1.5*SQRT( EXP(2.21*(H727-1)) + EXP(2.21*(I727-1)) + EXP(2.21*(J727-1)) + EXP(2.21*(K727-1)) + EXP(2.21*L727) )/100*2.45 )</f>
        <v>0.37356464144298934</v>
      </c>
      <c r="N727" s="255"/>
    </row>
    <row r="728" spans="1:14" hidden="1" x14ac:dyDescent="0.2">
      <c r="A728" s="230" t="s">
        <v>380</v>
      </c>
      <c r="B728" s="231" t="s">
        <v>393</v>
      </c>
      <c r="C728" s="247" t="s">
        <v>46</v>
      </c>
      <c r="D728" s="232" t="s">
        <v>135</v>
      </c>
      <c r="E728" s="249">
        <v>0.1961244140625</v>
      </c>
      <c r="F728" s="250" t="s">
        <v>386</v>
      </c>
      <c r="G728" s="251" t="s">
        <v>16</v>
      </c>
      <c r="H728" s="252">
        <v>2</v>
      </c>
      <c r="I728" s="252">
        <v>2</v>
      </c>
      <c r="J728" s="252">
        <v>1</v>
      </c>
      <c r="K728" s="252">
        <v>1</v>
      </c>
      <c r="L728" s="253">
        <v>2</v>
      </c>
      <c r="M728" s="254">
        <f t="shared" si="23"/>
        <v>0.37356464144298934</v>
      </c>
      <c r="N728" s="255"/>
    </row>
    <row r="729" spans="1:14" hidden="1" x14ac:dyDescent="0.2">
      <c r="A729" s="230" t="s">
        <v>380</v>
      </c>
      <c r="B729" s="231" t="s">
        <v>393</v>
      </c>
      <c r="C729" s="247" t="s">
        <v>48</v>
      </c>
      <c r="D729" s="232" t="s">
        <v>135</v>
      </c>
      <c r="E729" s="249">
        <v>0.27046899414062497</v>
      </c>
      <c r="F729" s="250" t="s">
        <v>386</v>
      </c>
      <c r="G729" s="251" t="s">
        <v>16</v>
      </c>
      <c r="H729" s="252">
        <v>2</v>
      </c>
      <c r="I729" s="252">
        <v>2</v>
      </c>
      <c r="J729" s="252">
        <v>1</v>
      </c>
      <c r="K729" s="252">
        <v>1</v>
      </c>
      <c r="L729" s="253">
        <v>2</v>
      </c>
      <c r="M729" s="254">
        <f t="shared" si="23"/>
        <v>0.37356464144298934</v>
      </c>
      <c r="N729" s="255"/>
    </row>
    <row r="730" spans="1:14" hidden="1" x14ac:dyDescent="0.2">
      <c r="A730" s="230" t="s">
        <v>380</v>
      </c>
      <c r="B730" s="231" t="s">
        <v>393</v>
      </c>
      <c r="C730" s="247" t="s">
        <v>50</v>
      </c>
      <c r="D730" s="232" t="s">
        <v>135</v>
      </c>
      <c r="E730" s="249">
        <v>0.29754340820312503</v>
      </c>
      <c r="F730" s="250" t="s">
        <v>386</v>
      </c>
      <c r="G730" s="251" t="s">
        <v>16</v>
      </c>
      <c r="H730" s="252">
        <v>2</v>
      </c>
      <c r="I730" s="252">
        <v>2</v>
      </c>
      <c r="J730" s="252">
        <v>1</v>
      </c>
      <c r="K730" s="252">
        <v>1</v>
      </c>
      <c r="L730" s="253">
        <v>2</v>
      </c>
      <c r="M730" s="254">
        <f t="shared" si="23"/>
        <v>0.37356464144298934</v>
      </c>
      <c r="N730" s="255"/>
    </row>
    <row r="731" spans="1:14" hidden="1" x14ac:dyDescent="0.2">
      <c r="A731" s="230" t="s">
        <v>380</v>
      </c>
      <c r="B731" s="231" t="s">
        <v>393</v>
      </c>
      <c r="C731" s="247" t="s">
        <v>52</v>
      </c>
      <c r="D731" s="232" t="s">
        <v>135</v>
      </c>
      <c r="E731" s="249">
        <v>0.37865659179687511</v>
      </c>
      <c r="F731" s="250" t="s">
        <v>386</v>
      </c>
      <c r="G731" s="251" t="s">
        <v>16</v>
      </c>
      <c r="H731" s="252">
        <v>2</v>
      </c>
      <c r="I731" s="252">
        <v>2</v>
      </c>
      <c r="J731" s="252">
        <v>1</v>
      </c>
      <c r="K731" s="252">
        <v>1</v>
      </c>
      <c r="L731" s="253">
        <v>2</v>
      </c>
      <c r="M731" s="254">
        <f t="shared" si="23"/>
        <v>0.37356464144298934</v>
      </c>
      <c r="N731" s="255"/>
    </row>
    <row r="732" spans="1:14" hidden="1" x14ac:dyDescent="0.2">
      <c r="A732" s="230" t="s">
        <v>380</v>
      </c>
      <c r="B732" s="231" t="s">
        <v>393</v>
      </c>
      <c r="C732" s="247" t="s">
        <v>54</v>
      </c>
      <c r="D732" s="232" t="s">
        <v>135</v>
      </c>
      <c r="E732" s="249">
        <v>0.46659340820312512</v>
      </c>
      <c r="F732" s="250" t="s">
        <v>386</v>
      </c>
      <c r="G732" s="251" t="s">
        <v>16</v>
      </c>
      <c r="H732" s="252">
        <v>2</v>
      </c>
      <c r="I732" s="252">
        <v>2</v>
      </c>
      <c r="J732" s="252">
        <v>1</v>
      </c>
      <c r="K732" s="252">
        <v>1</v>
      </c>
      <c r="L732" s="253">
        <v>2</v>
      </c>
      <c r="M732" s="254">
        <f t="shared" si="23"/>
        <v>0.37356464144298934</v>
      </c>
      <c r="N732" s="255"/>
    </row>
    <row r="733" spans="1:14" hidden="1" x14ac:dyDescent="0.2">
      <c r="A733" s="230" t="s">
        <v>380</v>
      </c>
      <c r="B733" s="231" t="s">
        <v>393</v>
      </c>
      <c r="C733" s="247" t="s">
        <v>55</v>
      </c>
      <c r="D733" s="232" t="s">
        <v>135</v>
      </c>
      <c r="E733" s="249">
        <v>0.28400620117187497</v>
      </c>
      <c r="F733" s="250" t="s">
        <v>386</v>
      </c>
      <c r="G733" s="251" t="s">
        <v>16</v>
      </c>
      <c r="H733" s="252">
        <v>2</v>
      </c>
      <c r="I733" s="252">
        <v>2</v>
      </c>
      <c r="J733" s="252">
        <v>1</v>
      </c>
      <c r="K733" s="252">
        <v>1</v>
      </c>
      <c r="L733" s="253">
        <v>2</v>
      </c>
      <c r="M733" s="254">
        <f t="shared" si="23"/>
        <v>0.37356464144298934</v>
      </c>
      <c r="N733" s="255"/>
    </row>
    <row r="734" spans="1:14" hidden="1" x14ac:dyDescent="0.2">
      <c r="A734" s="230" t="s">
        <v>380</v>
      </c>
      <c r="B734" s="231" t="s">
        <v>393</v>
      </c>
      <c r="C734" s="247" t="s">
        <v>57</v>
      </c>
      <c r="D734" s="232" t="s">
        <v>135</v>
      </c>
      <c r="E734" s="249">
        <v>0.31779418945312499</v>
      </c>
      <c r="F734" s="250" t="s">
        <v>386</v>
      </c>
      <c r="G734" s="251" t="s">
        <v>16</v>
      </c>
      <c r="H734" s="252">
        <v>2</v>
      </c>
      <c r="I734" s="252">
        <v>2</v>
      </c>
      <c r="J734" s="252">
        <v>1</v>
      </c>
      <c r="K734" s="252">
        <v>1</v>
      </c>
      <c r="L734" s="253">
        <v>2</v>
      </c>
      <c r="M734" s="254">
        <f t="shared" si="23"/>
        <v>0.37356464144298934</v>
      </c>
      <c r="N734" s="255"/>
    </row>
    <row r="735" spans="1:14" hidden="1" x14ac:dyDescent="0.2">
      <c r="A735" s="230" t="s">
        <v>380</v>
      </c>
      <c r="B735" s="231" t="s">
        <v>393</v>
      </c>
      <c r="C735" s="247" t="s">
        <v>59</v>
      </c>
      <c r="D735" s="232" t="s">
        <v>135</v>
      </c>
      <c r="E735" s="249">
        <v>0.33810000000000001</v>
      </c>
      <c r="F735" s="250" t="s">
        <v>360</v>
      </c>
      <c r="G735" s="251" t="s">
        <v>16</v>
      </c>
      <c r="H735" s="252">
        <v>2</v>
      </c>
      <c r="I735" s="252">
        <v>2</v>
      </c>
      <c r="J735" s="252">
        <v>1</v>
      </c>
      <c r="K735" s="252">
        <v>1</v>
      </c>
      <c r="L735" s="253">
        <v>2</v>
      </c>
      <c r="M735" s="254">
        <f t="shared" si="23"/>
        <v>0.37356464144298934</v>
      </c>
      <c r="N735" s="255"/>
    </row>
    <row r="736" spans="1:14" hidden="1" x14ac:dyDescent="0.2">
      <c r="A736" s="236" t="s">
        <v>380</v>
      </c>
      <c r="B736" s="237" t="s">
        <v>393</v>
      </c>
      <c r="C736" s="287" t="s">
        <v>60</v>
      </c>
      <c r="D736" s="239" t="s">
        <v>135</v>
      </c>
      <c r="E736" s="288">
        <v>0.25693178710937498</v>
      </c>
      <c r="F736" s="289" t="s">
        <v>386</v>
      </c>
      <c r="G736" s="290" t="s">
        <v>16</v>
      </c>
      <c r="H736" s="291">
        <v>2</v>
      </c>
      <c r="I736" s="291">
        <v>2</v>
      </c>
      <c r="J736" s="291">
        <v>1</v>
      </c>
      <c r="K736" s="291">
        <v>1</v>
      </c>
      <c r="L736" s="292">
        <v>2</v>
      </c>
      <c r="M736" s="293">
        <f t="shared" si="23"/>
        <v>0.37356464144298934</v>
      </c>
      <c r="N736" s="294"/>
    </row>
    <row r="737" spans="1:14" x14ac:dyDescent="0.2">
      <c r="A737" s="230" t="s">
        <v>379</v>
      </c>
      <c r="B737" s="231" t="s">
        <v>387</v>
      </c>
      <c r="C737" s="222" t="s">
        <v>135</v>
      </c>
      <c r="D737" s="232" t="s">
        <v>135</v>
      </c>
      <c r="E737" s="256" t="s">
        <v>188</v>
      </c>
      <c r="F737" s="233"/>
      <c r="G737" s="234"/>
      <c r="H737" s="61"/>
      <c r="I737" s="61"/>
      <c r="J737" s="61"/>
      <c r="K737" s="61"/>
      <c r="L737" s="62"/>
      <c r="M737" s="63" t="str">
        <f t="shared" si="23"/>
        <v/>
      </c>
      <c r="N737" s="235"/>
    </row>
    <row r="738" spans="1:14" x14ac:dyDescent="0.2">
      <c r="A738" s="230" t="s">
        <v>379</v>
      </c>
      <c r="B738" s="231" t="s">
        <v>393</v>
      </c>
      <c r="C738" s="247" t="s">
        <v>13</v>
      </c>
      <c r="D738" s="232" t="s">
        <v>135</v>
      </c>
      <c r="E738" s="249">
        <v>0.34000651041666669</v>
      </c>
      <c r="F738" s="250" t="s">
        <v>386</v>
      </c>
      <c r="G738" s="251" t="s">
        <v>16</v>
      </c>
      <c r="H738" s="252">
        <v>2</v>
      </c>
      <c r="I738" s="252">
        <v>2</v>
      </c>
      <c r="J738" s="252">
        <v>1</v>
      </c>
      <c r="K738" s="252">
        <v>1</v>
      </c>
      <c r="L738" s="253">
        <v>2</v>
      </c>
      <c r="M738" s="254">
        <f t="shared" si="23"/>
        <v>0.37356464144298934</v>
      </c>
      <c r="N738" s="255"/>
    </row>
    <row r="739" spans="1:14" hidden="1" x14ac:dyDescent="0.2">
      <c r="A739" s="230" t="s">
        <v>379</v>
      </c>
      <c r="B739" s="231" t="s">
        <v>393</v>
      </c>
      <c r="C739" s="247" t="s">
        <v>18</v>
      </c>
      <c r="D739" s="232" t="s">
        <v>135</v>
      </c>
      <c r="E739" s="249">
        <v>0.42000325520833343</v>
      </c>
      <c r="F739" s="250" t="s">
        <v>386</v>
      </c>
      <c r="G739" s="251" t="s">
        <v>16</v>
      </c>
      <c r="H739" s="252">
        <v>2</v>
      </c>
      <c r="I739" s="252">
        <v>2</v>
      </c>
      <c r="J739" s="252">
        <v>1</v>
      </c>
      <c r="K739" s="252">
        <v>1</v>
      </c>
      <c r="L739" s="253">
        <v>2</v>
      </c>
      <c r="M739" s="254">
        <f t="shared" si="23"/>
        <v>0.37356464144298934</v>
      </c>
      <c r="N739" s="255"/>
    </row>
    <row r="740" spans="1:14" hidden="1" x14ac:dyDescent="0.2">
      <c r="A740" s="230" t="s">
        <v>379</v>
      </c>
      <c r="B740" s="231" t="s">
        <v>393</v>
      </c>
      <c r="C740" s="247" t="s">
        <v>20</v>
      </c>
      <c r="D740" s="232" t="s">
        <v>135</v>
      </c>
      <c r="E740" s="249">
        <v>0.63997395833333337</v>
      </c>
      <c r="F740" s="250" t="s">
        <v>386</v>
      </c>
      <c r="G740" s="251" t="s">
        <v>16</v>
      </c>
      <c r="H740" s="252">
        <v>2</v>
      </c>
      <c r="I740" s="252">
        <v>2</v>
      </c>
      <c r="J740" s="252">
        <v>1</v>
      </c>
      <c r="K740" s="252">
        <v>1</v>
      </c>
      <c r="L740" s="253">
        <v>2</v>
      </c>
      <c r="M740" s="254">
        <f t="shared" si="23"/>
        <v>0.37356464144298934</v>
      </c>
      <c r="N740" s="255"/>
    </row>
    <row r="741" spans="1:14" hidden="1" x14ac:dyDescent="0.2">
      <c r="A741" s="230" t="s">
        <v>379</v>
      </c>
      <c r="B741" s="231" t="s">
        <v>393</v>
      </c>
      <c r="C741" s="247" t="s">
        <v>22</v>
      </c>
      <c r="D741" s="232" t="s">
        <v>135</v>
      </c>
      <c r="E741" s="249">
        <v>0.37996419270833343</v>
      </c>
      <c r="F741" s="250" t="s">
        <v>386</v>
      </c>
      <c r="G741" s="251" t="s">
        <v>16</v>
      </c>
      <c r="H741" s="252">
        <v>2</v>
      </c>
      <c r="I741" s="252">
        <v>2</v>
      </c>
      <c r="J741" s="252">
        <v>1</v>
      </c>
      <c r="K741" s="252">
        <v>1</v>
      </c>
      <c r="L741" s="253">
        <v>2</v>
      </c>
      <c r="M741" s="254">
        <f t="shared" si="23"/>
        <v>0.37356464144298934</v>
      </c>
      <c r="N741" s="255"/>
    </row>
    <row r="742" spans="1:14" hidden="1" x14ac:dyDescent="0.2">
      <c r="A742" s="230" t="s">
        <v>379</v>
      </c>
      <c r="B742" s="231" t="s">
        <v>393</v>
      </c>
      <c r="C742" s="247" t="s">
        <v>23</v>
      </c>
      <c r="D742" s="232" t="s">
        <v>135</v>
      </c>
      <c r="E742" s="249">
        <v>0.46997070312500011</v>
      </c>
      <c r="F742" s="250" t="s">
        <v>386</v>
      </c>
      <c r="G742" s="251" t="s">
        <v>16</v>
      </c>
      <c r="H742" s="252">
        <v>2</v>
      </c>
      <c r="I742" s="252">
        <v>2</v>
      </c>
      <c r="J742" s="252">
        <v>1</v>
      </c>
      <c r="K742" s="252">
        <v>1</v>
      </c>
      <c r="L742" s="253">
        <v>2</v>
      </c>
      <c r="M742" s="254">
        <f t="shared" si="23"/>
        <v>0.37356464144298934</v>
      </c>
      <c r="N742" s="255"/>
    </row>
    <row r="743" spans="1:14" hidden="1" x14ac:dyDescent="0.2">
      <c r="A743" s="230" t="s">
        <v>379</v>
      </c>
      <c r="B743" s="231" t="s">
        <v>393</v>
      </c>
      <c r="C743" s="247" t="s">
        <v>24</v>
      </c>
      <c r="D743" s="232" t="s">
        <v>135</v>
      </c>
      <c r="E743" s="249">
        <v>0.57999674479166674</v>
      </c>
      <c r="F743" s="250" t="s">
        <v>386</v>
      </c>
      <c r="G743" s="251" t="s">
        <v>16</v>
      </c>
      <c r="H743" s="252">
        <v>2</v>
      </c>
      <c r="I743" s="252">
        <v>2</v>
      </c>
      <c r="J743" s="252">
        <v>1</v>
      </c>
      <c r="K743" s="252">
        <v>1</v>
      </c>
      <c r="L743" s="253">
        <v>2</v>
      </c>
      <c r="M743" s="254">
        <f t="shared" si="23"/>
        <v>0.37356464144298934</v>
      </c>
      <c r="N743" s="255"/>
    </row>
    <row r="744" spans="1:14" hidden="1" x14ac:dyDescent="0.2">
      <c r="A744" s="230" t="s">
        <v>379</v>
      </c>
      <c r="B744" s="231" t="s">
        <v>393</v>
      </c>
      <c r="C744" s="247" t="s">
        <v>25</v>
      </c>
      <c r="D744" s="232" t="s">
        <v>135</v>
      </c>
      <c r="E744" s="249">
        <v>0.29996744791666669</v>
      </c>
      <c r="F744" s="250" t="s">
        <v>386</v>
      </c>
      <c r="G744" s="251" t="s">
        <v>16</v>
      </c>
      <c r="H744" s="252">
        <v>2</v>
      </c>
      <c r="I744" s="252">
        <v>2</v>
      </c>
      <c r="J744" s="252">
        <v>1</v>
      </c>
      <c r="K744" s="252">
        <v>1</v>
      </c>
      <c r="L744" s="253">
        <v>2</v>
      </c>
      <c r="M744" s="254">
        <f t="shared" si="23"/>
        <v>0.37356464144298934</v>
      </c>
      <c r="N744" s="255"/>
    </row>
    <row r="745" spans="1:14" hidden="1" x14ac:dyDescent="0.2">
      <c r="A745" s="230" t="s">
        <v>379</v>
      </c>
      <c r="B745" s="231" t="s">
        <v>393</v>
      </c>
      <c r="C745" s="247" t="s">
        <v>26</v>
      </c>
      <c r="D745" s="232" t="s">
        <v>135</v>
      </c>
      <c r="E745" s="249">
        <v>0.2900390625</v>
      </c>
      <c r="F745" s="250" t="s">
        <v>386</v>
      </c>
      <c r="G745" s="251" t="s">
        <v>16</v>
      </c>
      <c r="H745" s="252">
        <v>2</v>
      </c>
      <c r="I745" s="252">
        <v>2</v>
      </c>
      <c r="J745" s="252">
        <v>1</v>
      </c>
      <c r="K745" s="252">
        <v>1</v>
      </c>
      <c r="L745" s="253">
        <v>2</v>
      </c>
      <c r="M745" s="254">
        <f t="shared" si="23"/>
        <v>0.37356464144298934</v>
      </c>
      <c r="N745" s="255"/>
    </row>
    <row r="746" spans="1:14" hidden="1" x14ac:dyDescent="0.2">
      <c r="A746" s="230" t="s">
        <v>379</v>
      </c>
      <c r="B746" s="231" t="s">
        <v>393</v>
      </c>
      <c r="C746" s="247" t="s">
        <v>27</v>
      </c>
      <c r="D746" s="232" t="s">
        <v>135</v>
      </c>
      <c r="E746" s="249">
        <v>0.25</v>
      </c>
      <c r="F746" s="250" t="s">
        <v>386</v>
      </c>
      <c r="G746" s="251" t="s">
        <v>16</v>
      </c>
      <c r="H746" s="252">
        <v>2</v>
      </c>
      <c r="I746" s="252">
        <v>2</v>
      </c>
      <c r="J746" s="252">
        <v>1</v>
      </c>
      <c r="K746" s="252">
        <v>1</v>
      </c>
      <c r="L746" s="253">
        <v>2</v>
      </c>
      <c r="M746" s="254">
        <f t="shared" si="23"/>
        <v>0.37356464144298934</v>
      </c>
      <c r="N746" s="255"/>
    </row>
    <row r="747" spans="1:14" hidden="1" x14ac:dyDescent="0.2">
      <c r="A747" s="230" t="s">
        <v>379</v>
      </c>
      <c r="B747" s="231" t="s">
        <v>393</v>
      </c>
      <c r="C747" s="247" t="s">
        <v>28</v>
      </c>
      <c r="D747" s="232" t="s">
        <v>135</v>
      </c>
      <c r="E747" s="249">
        <v>0.25</v>
      </c>
      <c r="F747" s="250" t="s">
        <v>386</v>
      </c>
      <c r="G747" s="251" t="s">
        <v>16</v>
      </c>
      <c r="H747" s="252">
        <v>2</v>
      </c>
      <c r="I747" s="252">
        <v>2</v>
      </c>
      <c r="J747" s="252">
        <v>1</v>
      </c>
      <c r="K747" s="252">
        <v>1</v>
      </c>
      <c r="L747" s="253">
        <v>2</v>
      </c>
      <c r="M747" s="254">
        <f t="shared" si="23"/>
        <v>0.37356464144298934</v>
      </c>
      <c r="N747" s="255"/>
    </row>
    <row r="748" spans="1:14" hidden="1" x14ac:dyDescent="0.2">
      <c r="A748" s="230" t="s">
        <v>379</v>
      </c>
      <c r="B748" s="231" t="s">
        <v>393</v>
      </c>
      <c r="C748" s="247" t="s">
        <v>30</v>
      </c>
      <c r="D748" s="232" t="s">
        <v>135</v>
      </c>
      <c r="E748" s="249">
        <v>0.5</v>
      </c>
      <c r="F748" s="250" t="s">
        <v>386</v>
      </c>
      <c r="G748" s="251" t="s">
        <v>16</v>
      </c>
      <c r="H748" s="252">
        <v>2</v>
      </c>
      <c r="I748" s="252">
        <v>2</v>
      </c>
      <c r="J748" s="252">
        <v>1</v>
      </c>
      <c r="K748" s="252">
        <v>1</v>
      </c>
      <c r="L748" s="253">
        <v>2</v>
      </c>
      <c r="M748" s="254">
        <f t="shared" si="23"/>
        <v>0.37356464144298934</v>
      </c>
      <c r="N748" s="255"/>
    </row>
    <row r="749" spans="1:14" hidden="1" x14ac:dyDescent="0.2">
      <c r="A749" s="230" t="s">
        <v>379</v>
      </c>
      <c r="B749" s="231" t="s">
        <v>393</v>
      </c>
      <c r="C749" s="247" t="s">
        <v>32</v>
      </c>
      <c r="D749" s="232" t="s">
        <v>135</v>
      </c>
      <c r="E749" s="249">
        <v>0.31998697916666669</v>
      </c>
      <c r="F749" s="250" t="s">
        <v>386</v>
      </c>
      <c r="G749" s="251" t="s">
        <v>16</v>
      </c>
      <c r="H749" s="252">
        <v>2</v>
      </c>
      <c r="I749" s="252">
        <v>2</v>
      </c>
      <c r="J749" s="252">
        <v>1</v>
      </c>
      <c r="K749" s="252">
        <v>1</v>
      </c>
      <c r="L749" s="253">
        <v>2</v>
      </c>
      <c r="M749" s="254">
        <f t="shared" si="23"/>
        <v>0.37356464144298934</v>
      </c>
      <c r="N749" s="255"/>
    </row>
    <row r="750" spans="1:14" hidden="1" x14ac:dyDescent="0.2">
      <c r="A750" s="230" t="s">
        <v>379</v>
      </c>
      <c r="B750" s="231" t="s">
        <v>393</v>
      </c>
      <c r="C750" s="247" t="s">
        <v>34</v>
      </c>
      <c r="D750" s="232" t="s">
        <v>135</v>
      </c>
      <c r="E750" s="249">
        <v>0.37003580729166669</v>
      </c>
      <c r="F750" s="250" t="s">
        <v>386</v>
      </c>
      <c r="G750" s="251" t="s">
        <v>16</v>
      </c>
      <c r="H750" s="252">
        <v>2</v>
      </c>
      <c r="I750" s="252">
        <v>2</v>
      </c>
      <c r="J750" s="252">
        <v>1</v>
      </c>
      <c r="K750" s="252">
        <v>1</v>
      </c>
      <c r="L750" s="253">
        <v>2</v>
      </c>
      <c r="M750" s="254">
        <f t="shared" si="23"/>
        <v>0.37356464144298934</v>
      </c>
      <c r="N750" s="255"/>
    </row>
    <row r="751" spans="1:14" hidden="1" x14ac:dyDescent="0.2">
      <c r="A751" s="230" t="s">
        <v>379</v>
      </c>
      <c r="B751" s="231" t="s">
        <v>393</v>
      </c>
      <c r="C751" s="247" t="s">
        <v>36</v>
      </c>
      <c r="D751" s="232" t="s">
        <v>135</v>
      </c>
      <c r="E751" s="249">
        <v>0.39998372395833343</v>
      </c>
      <c r="F751" s="250" t="s">
        <v>386</v>
      </c>
      <c r="G751" s="251" t="s">
        <v>16</v>
      </c>
      <c r="H751" s="252">
        <v>2</v>
      </c>
      <c r="I751" s="252">
        <v>2</v>
      </c>
      <c r="J751" s="252">
        <v>1</v>
      </c>
      <c r="K751" s="252">
        <v>1</v>
      </c>
      <c r="L751" s="253">
        <v>2</v>
      </c>
      <c r="M751" s="254">
        <f t="shared" si="23"/>
        <v>0.37356464144298934</v>
      </c>
      <c r="N751" s="255"/>
    </row>
    <row r="752" spans="1:14" hidden="1" x14ac:dyDescent="0.2">
      <c r="A752" s="230" t="s">
        <v>379</v>
      </c>
      <c r="B752" s="231" t="s">
        <v>393</v>
      </c>
      <c r="C752" s="247" t="s">
        <v>37</v>
      </c>
      <c r="D752" s="232" t="s">
        <v>135</v>
      </c>
      <c r="E752" s="249">
        <v>0.37996419270833343</v>
      </c>
      <c r="F752" s="250" t="s">
        <v>386</v>
      </c>
      <c r="G752" s="251" t="s">
        <v>16</v>
      </c>
      <c r="H752" s="252">
        <v>2</v>
      </c>
      <c r="I752" s="252">
        <v>2</v>
      </c>
      <c r="J752" s="252">
        <v>1</v>
      </c>
      <c r="K752" s="252">
        <v>1</v>
      </c>
      <c r="L752" s="253">
        <v>2</v>
      </c>
      <c r="M752" s="254">
        <f t="shared" si="23"/>
        <v>0.37356464144298934</v>
      </c>
      <c r="N752" s="255"/>
    </row>
    <row r="753" spans="1:14" hidden="1" x14ac:dyDescent="0.2">
      <c r="A753" s="230" t="s">
        <v>379</v>
      </c>
      <c r="B753" s="231" t="s">
        <v>393</v>
      </c>
      <c r="C753" s="247" t="s">
        <v>39</v>
      </c>
      <c r="D753" s="232" t="s">
        <v>135</v>
      </c>
      <c r="E753" s="249">
        <v>0.36002604166666669</v>
      </c>
      <c r="F753" s="250" t="s">
        <v>386</v>
      </c>
      <c r="G753" s="251" t="s">
        <v>16</v>
      </c>
      <c r="H753" s="252">
        <v>2</v>
      </c>
      <c r="I753" s="252">
        <v>2</v>
      </c>
      <c r="J753" s="252">
        <v>1</v>
      </c>
      <c r="K753" s="252">
        <v>1</v>
      </c>
      <c r="L753" s="253">
        <v>2</v>
      </c>
      <c r="M753" s="254">
        <f t="shared" si="23"/>
        <v>0.37356464144298934</v>
      </c>
      <c r="N753" s="255"/>
    </row>
    <row r="754" spans="1:14" hidden="1" x14ac:dyDescent="0.2">
      <c r="A754" s="230" t="s">
        <v>379</v>
      </c>
      <c r="B754" s="231" t="s">
        <v>393</v>
      </c>
      <c r="C754" s="247" t="s">
        <v>40</v>
      </c>
      <c r="D754" s="232" t="s">
        <v>135</v>
      </c>
      <c r="E754" s="249">
        <v>0.51000976562500011</v>
      </c>
      <c r="F754" s="250" t="s">
        <v>386</v>
      </c>
      <c r="G754" s="251" t="s">
        <v>16</v>
      </c>
      <c r="H754" s="252">
        <v>2</v>
      </c>
      <c r="I754" s="252">
        <v>2</v>
      </c>
      <c r="J754" s="252">
        <v>1</v>
      </c>
      <c r="K754" s="252">
        <v>1</v>
      </c>
      <c r="L754" s="253">
        <v>2</v>
      </c>
      <c r="M754" s="254">
        <f t="shared" si="23"/>
        <v>0.37356464144298934</v>
      </c>
      <c r="N754" s="255"/>
    </row>
    <row r="755" spans="1:14" hidden="1" x14ac:dyDescent="0.2">
      <c r="A755" s="230" t="s">
        <v>379</v>
      </c>
      <c r="B755" s="231" t="s">
        <v>393</v>
      </c>
      <c r="C755" s="247" t="s">
        <v>41</v>
      </c>
      <c r="D755" s="232" t="s">
        <v>135</v>
      </c>
      <c r="E755" s="249">
        <v>0.37003580729166669</v>
      </c>
      <c r="F755" s="250" t="s">
        <v>386</v>
      </c>
      <c r="G755" s="251" t="s">
        <v>16</v>
      </c>
      <c r="H755" s="252">
        <v>2</v>
      </c>
      <c r="I755" s="252">
        <v>2</v>
      </c>
      <c r="J755" s="252">
        <v>1</v>
      </c>
      <c r="K755" s="252">
        <v>1</v>
      </c>
      <c r="L755" s="253">
        <v>2</v>
      </c>
      <c r="M755" s="254">
        <f t="shared" si="23"/>
        <v>0.37356464144298934</v>
      </c>
      <c r="N755" s="255"/>
    </row>
    <row r="756" spans="1:14" hidden="1" x14ac:dyDescent="0.2">
      <c r="A756" s="230" t="s">
        <v>379</v>
      </c>
      <c r="B756" s="231" t="s">
        <v>393</v>
      </c>
      <c r="C756" s="247" t="s">
        <v>42</v>
      </c>
      <c r="D756" s="232" t="s">
        <v>135</v>
      </c>
      <c r="E756" s="249">
        <v>0.32999674479166669</v>
      </c>
      <c r="F756" s="250" t="s">
        <v>386</v>
      </c>
      <c r="G756" s="251" t="s">
        <v>16</v>
      </c>
      <c r="H756" s="252">
        <v>2</v>
      </c>
      <c r="I756" s="252">
        <v>2</v>
      </c>
      <c r="J756" s="252">
        <v>1</v>
      </c>
      <c r="K756" s="252">
        <v>1</v>
      </c>
      <c r="L756" s="253">
        <v>2</v>
      </c>
      <c r="M756" s="254">
        <f t="shared" si="23"/>
        <v>0.37356464144298934</v>
      </c>
      <c r="N756" s="255"/>
    </row>
    <row r="757" spans="1:14" hidden="1" x14ac:dyDescent="0.2">
      <c r="A757" s="230" t="s">
        <v>379</v>
      </c>
      <c r="B757" s="231" t="s">
        <v>393</v>
      </c>
      <c r="C757" s="247" t="s">
        <v>43</v>
      </c>
      <c r="D757" s="232" t="s">
        <v>135</v>
      </c>
      <c r="E757" s="249">
        <v>0.5</v>
      </c>
      <c r="F757" s="250" t="s">
        <v>386</v>
      </c>
      <c r="G757" s="251" t="s">
        <v>16</v>
      </c>
      <c r="H757" s="252">
        <v>2</v>
      </c>
      <c r="I757" s="252">
        <v>2</v>
      </c>
      <c r="J757" s="252">
        <v>1</v>
      </c>
      <c r="K757" s="252">
        <v>1</v>
      </c>
      <c r="L757" s="253">
        <v>2</v>
      </c>
      <c r="M757" s="254">
        <f t="shared" si="23"/>
        <v>0.37356464144298934</v>
      </c>
      <c r="N757" s="255"/>
    </row>
    <row r="758" spans="1:14" hidden="1" x14ac:dyDescent="0.2">
      <c r="A758" s="230" t="s">
        <v>379</v>
      </c>
      <c r="B758" s="231" t="s">
        <v>393</v>
      </c>
      <c r="C758" s="247" t="s">
        <v>45</v>
      </c>
      <c r="D758" s="232" t="s">
        <v>135</v>
      </c>
      <c r="E758" s="249">
        <v>0.46997070312500011</v>
      </c>
      <c r="F758" s="250" t="s">
        <v>386</v>
      </c>
      <c r="G758" s="251" t="s">
        <v>16</v>
      </c>
      <c r="H758" s="252">
        <v>2</v>
      </c>
      <c r="I758" s="252">
        <v>2</v>
      </c>
      <c r="J758" s="252">
        <v>1</v>
      </c>
      <c r="K758" s="252">
        <v>1</v>
      </c>
      <c r="L758" s="253">
        <v>2</v>
      </c>
      <c r="M758" s="254">
        <f t="shared" si="23"/>
        <v>0.37356464144298934</v>
      </c>
      <c r="N758" s="255"/>
    </row>
    <row r="759" spans="1:14" hidden="1" x14ac:dyDescent="0.2">
      <c r="A759" s="230" t="s">
        <v>379</v>
      </c>
      <c r="B759" s="231" t="s">
        <v>393</v>
      </c>
      <c r="C759" s="247" t="s">
        <v>46</v>
      </c>
      <c r="D759" s="232" t="s">
        <v>135</v>
      </c>
      <c r="E759" s="249">
        <v>0.2900390625</v>
      </c>
      <c r="F759" s="250" t="s">
        <v>386</v>
      </c>
      <c r="G759" s="251" t="s">
        <v>16</v>
      </c>
      <c r="H759" s="252">
        <v>2</v>
      </c>
      <c r="I759" s="252">
        <v>2</v>
      </c>
      <c r="J759" s="252">
        <v>1</v>
      </c>
      <c r="K759" s="252">
        <v>1</v>
      </c>
      <c r="L759" s="253">
        <v>2</v>
      </c>
      <c r="M759" s="254">
        <f t="shared" ref="M759:M789" si="24">IF( OR( ISBLANK(H759),ISBLANK(I759), ISBLANK(J759), ISBLANK(K759), ISBLANK(L759) ), "", 1.5*SQRT( EXP(2.21*(H759-1)) + EXP(2.21*(I759-1)) + EXP(2.21*(J759-1)) + EXP(2.21*(K759-1)) + EXP(2.21*L759) )/100*2.45 )</f>
        <v>0.37356464144298934</v>
      </c>
      <c r="N759" s="255"/>
    </row>
    <row r="760" spans="1:14" hidden="1" x14ac:dyDescent="0.2">
      <c r="A760" s="230" t="s">
        <v>379</v>
      </c>
      <c r="B760" s="231" t="s">
        <v>393</v>
      </c>
      <c r="C760" s="247" t="s">
        <v>48</v>
      </c>
      <c r="D760" s="232" t="s">
        <v>135</v>
      </c>
      <c r="E760" s="249">
        <v>0.39998372395833343</v>
      </c>
      <c r="F760" s="250" t="s">
        <v>386</v>
      </c>
      <c r="G760" s="251" t="s">
        <v>16</v>
      </c>
      <c r="H760" s="252">
        <v>2</v>
      </c>
      <c r="I760" s="252">
        <v>2</v>
      </c>
      <c r="J760" s="252">
        <v>1</v>
      </c>
      <c r="K760" s="252">
        <v>1</v>
      </c>
      <c r="L760" s="253">
        <v>2</v>
      </c>
      <c r="M760" s="254">
        <f t="shared" si="24"/>
        <v>0.37356464144298934</v>
      </c>
      <c r="N760" s="255"/>
    </row>
    <row r="761" spans="1:14" hidden="1" x14ac:dyDescent="0.2">
      <c r="A761" s="230" t="s">
        <v>379</v>
      </c>
      <c r="B761" s="231" t="s">
        <v>393</v>
      </c>
      <c r="C761" s="247" t="s">
        <v>50</v>
      </c>
      <c r="D761" s="232" t="s">
        <v>135</v>
      </c>
      <c r="E761" s="249">
        <v>0.44002278645833331</v>
      </c>
      <c r="F761" s="250" t="s">
        <v>386</v>
      </c>
      <c r="G761" s="251" t="s">
        <v>16</v>
      </c>
      <c r="H761" s="252">
        <v>2</v>
      </c>
      <c r="I761" s="252">
        <v>2</v>
      </c>
      <c r="J761" s="252">
        <v>1</v>
      </c>
      <c r="K761" s="252">
        <v>1</v>
      </c>
      <c r="L761" s="253">
        <v>2</v>
      </c>
      <c r="M761" s="254">
        <f t="shared" si="24"/>
        <v>0.37356464144298934</v>
      </c>
      <c r="N761" s="255"/>
    </row>
    <row r="762" spans="1:14" hidden="1" x14ac:dyDescent="0.2">
      <c r="A762" s="230" t="s">
        <v>379</v>
      </c>
      <c r="B762" s="231" t="s">
        <v>393</v>
      </c>
      <c r="C762" s="247" t="s">
        <v>52</v>
      </c>
      <c r="D762" s="232" t="s">
        <v>135</v>
      </c>
      <c r="E762" s="249">
        <v>0.55997721354166674</v>
      </c>
      <c r="F762" s="250" t="s">
        <v>386</v>
      </c>
      <c r="G762" s="251" t="s">
        <v>16</v>
      </c>
      <c r="H762" s="252">
        <v>2</v>
      </c>
      <c r="I762" s="252">
        <v>2</v>
      </c>
      <c r="J762" s="252">
        <v>1</v>
      </c>
      <c r="K762" s="252">
        <v>1</v>
      </c>
      <c r="L762" s="253">
        <v>2</v>
      </c>
      <c r="M762" s="254">
        <f t="shared" si="24"/>
        <v>0.37356464144298934</v>
      </c>
      <c r="N762" s="255"/>
    </row>
    <row r="763" spans="1:14" hidden="1" x14ac:dyDescent="0.2">
      <c r="A763" s="230" t="s">
        <v>379</v>
      </c>
      <c r="B763" s="231" t="s">
        <v>393</v>
      </c>
      <c r="C763" s="247" t="s">
        <v>54</v>
      </c>
      <c r="D763" s="232" t="s">
        <v>135</v>
      </c>
      <c r="E763" s="249">
        <v>0.69002278645833337</v>
      </c>
      <c r="F763" s="250" t="s">
        <v>386</v>
      </c>
      <c r="G763" s="251" t="s">
        <v>16</v>
      </c>
      <c r="H763" s="252">
        <v>2</v>
      </c>
      <c r="I763" s="252">
        <v>2</v>
      </c>
      <c r="J763" s="252">
        <v>1</v>
      </c>
      <c r="K763" s="252">
        <v>1</v>
      </c>
      <c r="L763" s="253">
        <v>2</v>
      </c>
      <c r="M763" s="254">
        <f t="shared" si="24"/>
        <v>0.37356464144298934</v>
      </c>
      <c r="N763" s="255"/>
    </row>
    <row r="764" spans="1:14" hidden="1" x14ac:dyDescent="0.2">
      <c r="A764" s="230" t="s">
        <v>379</v>
      </c>
      <c r="B764" s="231" t="s">
        <v>393</v>
      </c>
      <c r="C764" s="247" t="s">
        <v>55</v>
      </c>
      <c r="D764" s="232" t="s">
        <v>135</v>
      </c>
      <c r="E764" s="249">
        <v>0.42000325520833343</v>
      </c>
      <c r="F764" s="250" t="s">
        <v>386</v>
      </c>
      <c r="G764" s="251" t="s">
        <v>16</v>
      </c>
      <c r="H764" s="252">
        <v>2</v>
      </c>
      <c r="I764" s="252">
        <v>2</v>
      </c>
      <c r="J764" s="252">
        <v>1</v>
      </c>
      <c r="K764" s="252">
        <v>1</v>
      </c>
      <c r="L764" s="253">
        <v>2</v>
      </c>
      <c r="M764" s="254">
        <f t="shared" si="24"/>
        <v>0.37356464144298934</v>
      </c>
      <c r="N764" s="255"/>
    </row>
    <row r="765" spans="1:14" hidden="1" x14ac:dyDescent="0.2">
      <c r="A765" s="230" t="s">
        <v>379</v>
      </c>
      <c r="B765" s="231" t="s">
        <v>393</v>
      </c>
      <c r="C765" s="247" t="s">
        <v>57</v>
      </c>
      <c r="D765" s="232" t="s">
        <v>135</v>
      </c>
      <c r="E765" s="249">
        <v>0.46997070312500011</v>
      </c>
      <c r="F765" s="250" t="s">
        <v>386</v>
      </c>
      <c r="G765" s="251" t="s">
        <v>16</v>
      </c>
      <c r="H765" s="252">
        <v>2</v>
      </c>
      <c r="I765" s="252">
        <v>2</v>
      </c>
      <c r="J765" s="252">
        <v>1</v>
      </c>
      <c r="K765" s="252">
        <v>1</v>
      </c>
      <c r="L765" s="253">
        <v>2</v>
      </c>
      <c r="M765" s="254">
        <f t="shared" si="24"/>
        <v>0.37356464144298934</v>
      </c>
      <c r="N765" s="255"/>
    </row>
    <row r="766" spans="1:14" hidden="1" x14ac:dyDescent="0.2">
      <c r="A766" s="230" t="s">
        <v>379</v>
      </c>
      <c r="B766" s="231" t="s">
        <v>393</v>
      </c>
      <c r="C766" s="247" t="s">
        <v>59</v>
      </c>
      <c r="D766" s="232" t="s">
        <v>135</v>
      </c>
      <c r="E766" s="249">
        <v>0.5</v>
      </c>
      <c r="F766" s="250" t="s">
        <v>360</v>
      </c>
      <c r="G766" s="251" t="s">
        <v>16</v>
      </c>
      <c r="H766" s="252">
        <v>2</v>
      </c>
      <c r="I766" s="252">
        <v>2</v>
      </c>
      <c r="J766" s="252">
        <v>1</v>
      </c>
      <c r="K766" s="252">
        <v>1</v>
      </c>
      <c r="L766" s="253">
        <v>2</v>
      </c>
      <c r="M766" s="254">
        <f t="shared" si="24"/>
        <v>0.37356464144298934</v>
      </c>
      <c r="N766" s="255"/>
    </row>
    <row r="767" spans="1:14" hidden="1" x14ac:dyDescent="0.2">
      <c r="A767" s="236" t="s">
        <v>379</v>
      </c>
      <c r="B767" s="237" t="s">
        <v>393</v>
      </c>
      <c r="C767" s="287" t="s">
        <v>60</v>
      </c>
      <c r="D767" s="239" t="s">
        <v>135</v>
      </c>
      <c r="E767" s="288">
        <v>0.37996419270833343</v>
      </c>
      <c r="F767" s="289" t="s">
        <v>386</v>
      </c>
      <c r="G767" s="290" t="s">
        <v>16</v>
      </c>
      <c r="H767" s="291">
        <v>2</v>
      </c>
      <c r="I767" s="291">
        <v>2</v>
      </c>
      <c r="J767" s="291">
        <v>1</v>
      </c>
      <c r="K767" s="291">
        <v>1</v>
      </c>
      <c r="L767" s="292">
        <v>2</v>
      </c>
      <c r="M767" s="293">
        <f t="shared" si="24"/>
        <v>0.37356464144298934</v>
      </c>
      <c r="N767" s="294"/>
    </row>
    <row r="768" spans="1:14" x14ac:dyDescent="0.2">
      <c r="A768" s="273" t="s">
        <v>375</v>
      </c>
      <c r="B768" s="275" t="s">
        <v>389</v>
      </c>
      <c r="C768" s="247" t="s">
        <v>13</v>
      </c>
      <c r="D768" s="276" t="s">
        <v>135</v>
      </c>
      <c r="E768" s="61">
        <v>0</v>
      </c>
      <c r="F768" s="250" t="s">
        <v>390</v>
      </c>
      <c r="G768" s="234" t="s">
        <v>16</v>
      </c>
      <c r="H768" s="61"/>
      <c r="I768" s="61"/>
      <c r="J768" s="61"/>
      <c r="K768" s="61"/>
      <c r="L768" s="62"/>
      <c r="M768" s="63" t="str">
        <f t="shared" si="24"/>
        <v/>
      </c>
      <c r="N768" s="255"/>
    </row>
    <row r="769" spans="1:14" hidden="1" x14ac:dyDescent="0.2">
      <c r="A769" s="273" t="s">
        <v>375</v>
      </c>
      <c r="B769" s="277" t="s">
        <v>389</v>
      </c>
      <c r="C769" s="247" t="s">
        <v>18</v>
      </c>
      <c r="D769" s="276" t="s">
        <v>135</v>
      </c>
      <c r="E769" s="249">
        <v>0.13192217696507499</v>
      </c>
      <c r="F769" s="250" t="s">
        <v>390</v>
      </c>
      <c r="G769" s="251" t="s">
        <v>16</v>
      </c>
      <c r="H769" s="252">
        <v>2</v>
      </c>
      <c r="I769" s="252">
        <v>2</v>
      </c>
      <c r="J769" s="252">
        <v>1</v>
      </c>
      <c r="K769" s="252">
        <v>1</v>
      </c>
      <c r="L769" s="253">
        <v>2</v>
      </c>
      <c r="M769" s="254">
        <f t="shared" si="24"/>
        <v>0.37356464144298934</v>
      </c>
      <c r="N769" s="255"/>
    </row>
    <row r="770" spans="1:14" hidden="1" x14ac:dyDescent="0.2">
      <c r="A770" s="273" t="s">
        <v>375</v>
      </c>
      <c r="B770" s="277" t="s">
        <v>389</v>
      </c>
      <c r="C770" s="247" t="s">
        <v>20</v>
      </c>
      <c r="D770" s="276" t="s">
        <v>135</v>
      </c>
      <c r="E770" s="249">
        <v>0.17682022823411001</v>
      </c>
      <c r="F770" s="250" t="s">
        <v>390</v>
      </c>
      <c r="G770" s="251" t="s">
        <v>16</v>
      </c>
      <c r="H770" s="252">
        <v>2</v>
      </c>
      <c r="I770" s="252">
        <v>2</v>
      </c>
      <c r="J770" s="252">
        <v>1</v>
      </c>
      <c r="K770" s="252">
        <v>1</v>
      </c>
      <c r="L770" s="253">
        <v>2</v>
      </c>
      <c r="M770" s="254">
        <f t="shared" si="24"/>
        <v>0.37356464144298934</v>
      </c>
      <c r="N770" s="255"/>
    </row>
    <row r="771" spans="1:14" hidden="1" x14ac:dyDescent="0.2">
      <c r="A771" s="273" t="s">
        <v>375</v>
      </c>
      <c r="B771" s="277" t="s">
        <v>389</v>
      </c>
      <c r="C771" s="247" t="s">
        <v>22</v>
      </c>
      <c r="D771" s="276" t="s">
        <v>135</v>
      </c>
      <c r="E771" s="249">
        <v>0.72353063187072197</v>
      </c>
      <c r="F771" s="250" t="s">
        <v>390</v>
      </c>
      <c r="G771" s="251" t="s">
        <v>16</v>
      </c>
      <c r="H771" s="252">
        <v>2</v>
      </c>
      <c r="I771" s="252">
        <v>2</v>
      </c>
      <c r="J771" s="252">
        <v>1</v>
      </c>
      <c r="K771" s="252">
        <v>1</v>
      </c>
      <c r="L771" s="253">
        <v>2</v>
      </c>
      <c r="M771" s="254">
        <f t="shared" si="24"/>
        <v>0.37356464144298934</v>
      </c>
      <c r="N771" s="255"/>
    </row>
    <row r="772" spans="1:14" hidden="1" x14ac:dyDescent="0.2">
      <c r="A772" s="273" t="s">
        <v>375</v>
      </c>
      <c r="B772" s="277" t="s">
        <v>389</v>
      </c>
      <c r="C772" s="247" t="s">
        <v>23</v>
      </c>
      <c r="D772" s="276" t="s">
        <v>135</v>
      </c>
      <c r="E772" s="249">
        <v>0.45426356589147288</v>
      </c>
      <c r="F772" s="250" t="s">
        <v>390</v>
      </c>
      <c r="G772" s="251" t="s">
        <v>16</v>
      </c>
      <c r="H772" s="252">
        <v>2</v>
      </c>
      <c r="I772" s="252">
        <v>2</v>
      </c>
      <c r="J772" s="252">
        <v>1</v>
      </c>
      <c r="K772" s="252">
        <v>1</v>
      </c>
      <c r="L772" s="253">
        <v>2</v>
      </c>
      <c r="M772" s="254">
        <f t="shared" si="24"/>
        <v>0.37356464144298934</v>
      </c>
      <c r="N772" s="255"/>
    </row>
    <row r="773" spans="1:14" hidden="1" x14ac:dyDescent="0.2">
      <c r="A773" s="273" t="s">
        <v>375</v>
      </c>
      <c r="B773" s="277" t="s">
        <v>389</v>
      </c>
      <c r="C773" s="247" t="s">
        <v>24</v>
      </c>
      <c r="D773" s="276" t="s">
        <v>135</v>
      </c>
      <c r="E773" s="61">
        <v>0</v>
      </c>
      <c r="F773" s="250" t="s">
        <v>390</v>
      </c>
      <c r="G773" s="234" t="s">
        <v>16</v>
      </c>
      <c r="H773" s="61"/>
      <c r="I773" s="61"/>
      <c r="J773" s="61"/>
      <c r="K773" s="61"/>
      <c r="L773" s="62"/>
      <c r="M773" s="63" t="str">
        <f t="shared" si="24"/>
        <v/>
      </c>
      <c r="N773" s="255"/>
    </row>
    <row r="774" spans="1:14" hidden="1" x14ac:dyDescent="0.2">
      <c r="A774" s="273" t="s">
        <v>375</v>
      </c>
      <c r="B774" s="277" t="s">
        <v>389</v>
      </c>
      <c r="C774" s="247" t="s">
        <v>25</v>
      </c>
      <c r="D774" s="276" t="s">
        <v>135</v>
      </c>
      <c r="E774" s="61">
        <v>0</v>
      </c>
      <c r="F774" s="250" t="s">
        <v>390</v>
      </c>
      <c r="G774" s="234" t="s">
        <v>16</v>
      </c>
      <c r="H774" s="61"/>
      <c r="I774" s="61"/>
      <c r="J774" s="61"/>
      <c r="K774" s="61"/>
      <c r="L774" s="62"/>
      <c r="M774" s="63" t="str">
        <f t="shared" si="24"/>
        <v/>
      </c>
      <c r="N774" s="255"/>
    </row>
    <row r="775" spans="1:14" hidden="1" x14ac:dyDescent="0.2">
      <c r="A775" s="273" t="s">
        <v>375</v>
      </c>
      <c r="B775" s="277" t="s">
        <v>389</v>
      </c>
      <c r="C775" s="247" t="s">
        <v>26</v>
      </c>
      <c r="D775" s="276" t="s">
        <v>135</v>
      </c>
      <c r="E775" s="249">
        <v>4.1488649817264633E-2</v>
      </c>
      <c r="F775" s="250" t="s">
        <v>390</v>
      </c>
      <c r="G775" s="251" t="s">
        <v>16</v>
      </c>
      <c r="H775" s="252">
        <v>2</v>
      </c>
      <c r="I775" s="252">
        <v>2</v>
      </c>
      <c r="J775" s="252">
        <v>1</v>
      </c>
      <c r="K775" s="252">
        <v>1</v>
      </c>
      <c r="L775" s="253">
        <v>2</v>
      </c>
      <c r="M775" s="254">
        <f t="shared" si="24"/>
        <v>0.37356464144298934</v>
      </c>
      <c r="N775" s="255"/>
    </row>
    <row r="776" spans="1:14" hidden="1" x14ac:dyDescent="0.2">
      <c r="A776" s="273" t="s">
        <v>375</v>
      </c>
      <c r="B776" s="277" t="s">
        <v>389</v>
      </c>
      <c r="C776" s="247" t="s">
        <v>27</v>
      </c>
      <c r="D776" s="276" t="s">
        <v>135</v>
      </c>
      <c r="E776" s="61">
        <v>0</v>
      </c>
      <c r="F776" s="250" t="s">
        <v>390</v>
      </c>
      <c r="G776" s="234" t="s">
        <v>16</v>
      </c>
      <c r="H776" s="61"/>
      <c r="I776" s="61"/>
      <c r="J776" s="61"/>
      <c r="K776" s="61"/>
      <c r="L776" s="62"/>
      <c r="M776" s="63" t="str">
        <f t="shared" si="24"/>
        <v/>
      </c>
      <c r="N776" s="255"/>
    </row>
    <row r="777" spans="1:14" hidden="1" x14ac:dyDescent="0.2">
      <c r="A777" s="273" t="s">
        <v>375</v>
      </c>
      <c r="B777" s="277" t="s">
        <v>389</v>
      </c>
      <c r="C777" s="247" t="s">
        <v>28</v>
      </c>
      <c r="D777" s="276" t="s">
        <v>135</v>
      </c>
      <c r="E777" s="249">
        <v>0.16323728281819239</v>
      </c>
      <c r="F777" s="250" t="s">
        <v>390</v>
      </c>
      <c r="G777" s="251" t="s">
        <v>16</v>
      </c>
      <c r="H777" s="252">
        <v>2</v>
      </c>
      <c r="I777" s="252">
        <v>2</v>
      </c>
      <c r="J777" s="252">
        <v>1</v>
      </c>
      <c r="K777" s="252">
        <v>1</v>
      </c>
      <c r="L777" s="253">
        <v>2</v>
      </c>
      <c r="M777" s="254">
        <f t="shared" si="24"/>
        <v>0.37356464144298934</v>
      </c>
      <c r="N777" s="255"/>
    </row>
    <row r="778" spans="1:14" hidden="1" x14ac:dyDescent="0.2">
      <c r="A778" s="273" t="s">
        <v>375</v>
      </c>
      <c r="B778" s="277" t="s">
        <v>389</v>
      </c>
      <c r="C778" s="247" t="s">
        <v>30</v>
      </c>
      <c r="D778" s="276" t="s">
        <v>135</v>
      </c>
      <c r="E778" s="249">
        <v>0.1007455331525715</v>
      </c>
      <c r="F778" s="250" t="s">
        <v>390</v>
      </c>
      <c r="G778" s="251" t="s">
        <v>16</v>
      </c>
      <c r="H778" s="252">
        <v>2</v>
      </c>
      <c r="I778" s="252">
        <v>2</v>
      </c>
      <c r="J778" s="252">
        <v>1</v>
      </c>
      <c r="K778" s="252">
        <v>1</v>
      </c>
      <c r="L778" s="253">
        <v>2</v>
      </c>
      <c r="M778" s="254">
        <f t="shared" si="24"/>
        <v>0.37356464144298934</v>
      </c>
      <c r="N778" s="255"/>
    </row>
    <row r="779" spans="1:14" hidden="1" x14ac:dyDescent="0.2">
      <c r="A779" s="273" t="s">
        <v>375</v>
      </c>
      <c r="B779" s="277" t="s">
        <v>389</v>
      </c>
      <c r="C779" s="247" t="s">
        <v>32</v>
      </c>
      <c r="D779" s="276" t="s">
        <v>135</v>
      </c>
      <c r="E779" s="249">
        <v>1.3353795409775991E-2</v>
      </c>
      <c r="F779" s="250" t="s">
        <v>390</v>
      </c>
      <c r="G779" s="251" t="s">
        <v>16</v>
      </c>
      <c r="H779" s="252">
        <v>2</v>
      </c>
      <c r="I779" s="252">
        <v>2</v>
      </c>
      <c r="J779" s="252">
        <v>1</v>
      </c>
      <c r="K779" s="252">
        <v>1</v>
      </c>
      <c r="L779" s="253">
        <v>2</v>
      </c>
      <c r="M779" s="254">
        <f t="shared" si="24"/>
        <v>0.37356464144298934</v>
      </c>
      <c r="N779" s="255"/>
    </row>
    <row r="780" spans="1:14" hidden="1" x14ac:dyDescent="0.2">
      <c r="A780" s="273" t="s">
        <v>375</v>
      </c>
      <c r="B780" s="277" t="s">
        <v>389</v>
      </c>
      <c r="C780" s="247" t="s">
        <v>34</v>
      </c>
      <c r="D780" s="276" t="s">
        <v>135</v>
      </c>
      <c r="E780" s="249">
        <v>1.455392228205501E-2</v>
      </c>
      <c r="F780" s="250" t="s">
        <v>390</v>
      </c>
      <c r="G780" s="251" t="s">
        <v>16</v>
      </c>
      <c r="H780" s="252">
        <v>2</v>
      </c>
      <c r="I780" s="252">
        <v>2</v>
      </c>
      <c r="J780" s="252">
        <v>1</v>
      </c>
      <c r="K780" s="252">
        <v>1</v>
      </c>
      <c r="L780" s="253">
        <v>2</v>
      </c>
      <c r="M780" s="254">
        <f t="shared" si="24"/>
        <v>0.37356464144298934</v>
      </c>
      <c r="N780" s="255"/>
    </row>
    <row r="781" spans="1:14" hidden="1" x14ac:dyDescent="0.2">
      <c r="A781" s="273" t="s">
        <v>375</v>
      </c>
      <c r="B781" s="277" t="s">
        <v>389</v>
      </c>
      <c r="C781" s="247" t="s">
        <v>36</v>
      </c>
      <c r="D781" s="276" t="s">
        <v>135</v>
      </c>
      <c r="E781" s="249">
        <v>0.2040238095238095</v>
      </c>
      <c r="F781" s="250" t="s">
        <v>390</v>
      </c>
      <c r="G781" s="251" t="s">
        <v>16</v>
      </c>
      <c r="H781" s="252">
        <v>2</v>
      </c>
      <c r="I781" s="252">
        <v>2</v>
      </c>
      <c r="J781" s="252">
        <v>1</v>
      </c>
      <c r="K781" s="252">
        <v>1</v>
      </c>
      <c r="L781" s="253">
        <v>2</v>
      </c>
      <c r="M781" s="254">
        <f t="shared" si="24"/>
        <v>0.37356464144298934</v>
      </c>
      <c r="N781" s="255"/>
    </row>
    <row r="782" spans="1:14" hidden="1" x14ac:dyDescent="0.2">
      <c r="A782" s="273" t="s">
        <v>375</v>
      </c>
      <c r="B782" s="277" t="s">
        <v>389</v>
      </c>
      <c r="C782" s="247" t="s">
        <v>37</v>
      </c>
      <c r="D782" s="276" t="s">
        <v>135</v>
      </c>
      <c r="E782" s="249">
        <v>9.2309981660647581E-3</v>
      </c>
      <c r="F782" s="250" t="s">
        <v>390</v>
      </c>
      <c r="G782" s="251" t="s">
        <v>16</v>
      </c>
      <c r="H782" s="252">
        <v>2</v>
      </c>
      <c r="I782" s="252">
        <v>2</v>
      </c>
      <c r="J782" s="252">
        <v>1</v>
      </c>
      <c r="K782" s="252">
        <v>1</v>
      </c>
      <c r="L782" s="253">
        <v>2</v>
      </c>
      <c r="M782" s="254">
        <f t="shared" si="24"/>
        <v>0.37356464144298934</v>
      </c>
      <c r="N782" s="255"/>
    </row>
    <row r="783" spans="1:14" hidden="1" x14ac:dyDescent="0.2">
      <c r="A783" s="273" t="s">
        <v>375</v>
      </c>
      <c r="B783" s="277" t="s">
        <v>389</v>
      </c>
      <c r="C783" s="247" t="s">
        <v>39</v>
      </c>
      <c r="D783" s="276" t="s">
        <v>135</v>
      </c>
      <c r="E783" s="249">
        <v>1.2210493146368359E-2</v>
      </c>
      <c r="F783" s="250" t="s">
        <v>390</v>
      </c>
      <c r="G783" s="251" t="s">
        <v>16</v>
      </c>
      <c r="H783" s="252">
        <v>2</v>
      </c>
      <c r="I783" s="252">
        <v>2</v>
      </c>
      <c r="J783" s="252">
        <v>1</v>
      </c>
      <c r="K783" s="252">
        <v>1</v>
      </c>
      <c r="L783" s="253">
        <v>2</v>
      </c>
      <c r="M783" s="254">
        <f t="shared" si="24"/>
        <v>0.37356464144298934</v>
      </c>
      <c r="N783" s="255"/>
    </row>
    <row r="784" spans="1:14" hidden="1" x14ac:dyDescent="0.2">
      <c r="A784" s="273" t="s">
        <v>375</v>
      </c>
      <c r="B784" s="277" t="s">
        <v>389</v>
      </c>
      <c r="C784" s="247" t="s">
        <v>40</v>
      </c>
      <c r="D784" s="276" t="s">
        <v>135</v>
      </c>
      <c r="E784" s="249">
        <v>0.36410507025045807</v>
      </c>
      <c r="F784" s="250" t="s">
        <v>390</v>
      </c>
      <c r="G784" s="251" t="s">
        <v>16</v>
      </c>
      <c r="H784" s="252">
        <v>2</v>
      </c>
      <c r="I784" s="252">
        <v>2</v>
      </c>
      <c r="J784" s="252">
        <v>1</v>
      </c>
      <c r="K784" s="252">
        <v>1</v>
      </c>
      <c r="L784" s="253">
        <v>2</v>
      </c>
      <c r="M784" s="254">
        <f t="shared" si="24"/>
        <v>0.37356464144298934</v>
      </c>
      <c r="N784" s="255"/>
    </row>
    <row r="785" spans="1:14" hidden="1" x14ac:dyDescent="0.2">
      <c r="A785" s="273" t="s">
        <v>375</v>
      </c>
      <c r="B785" s="277" t="s">
        <v>389</v>
      </c>
      <c r="C785" s="247" t="s">
        <v>41</v>
      </c>
      <c r="D785" s="276" t="s">
        <v>135</v>
      </c>
      <c r="E785" s="249">
        <v>0.86462154051350448</v>
      </c>
      <c r="F785" s="250" t="s">
        <v>390</v>
      </c>
      <c r="G785" s="251" t="s">
        <v>16</v>
      </c>
      <c r="H785" s="252">
        <v>2</v>
      </c>
      <c r="I785" s="252">
        <v>2</v>
      </c>
      <c r="J785" s="252">
        <v>1</v>
      </c>
      <c r="K785" s="252">
        <v>1</v>
      </c>
      <c r="L785" s="253">
        <v>2</v>
      </c>
      <c r="M785" s="254">
        <f t="shared" si="24"/>
        <v>0.37356464144298934</v>
      </c>
      <c r="N785" s="255"/>
    </row>
    <row r="786" spans="1:14" hidden="1" x14ac:dyDescent="0.2">
      <c r="A786" s="273" t="s">
        <v>375</v>
      </c>
      <c r="B786" s="277" t="s">
        <v>389</v>
      </c>
      <c r="C786" s="247" t="s">
        <v>42</v>
      </c>
      <c r="D786" s="276" t="s">
        <v>135</v>
      </c>
      <c r="E786" s="249">
        <v>0.86610778443113767</v>
      </c>
      <c r="F786" s="250" t="s">
        <v>390</v>
      </c>
      <c r="G786" s="251" t="s">
        <v>16</v>
      </c>
      <c r="H786" s="252">
        <v>2</v>
      </c>
      <c r="I786" s="252">
        <v>2</v>
      </c>
      <c r="J786" s="252">
        <v>1</v>
      </c>
      <c r="K786" s="252">
        <v>1</v>
      </c>
      <c r="L786" s="253">
        <v>2</v>
      </c>
      <c r="M786" s="254">
        <f t="shared" si="24"/>
        <v>0.37356464144298934</v>
      </c>
      <c r="N786" s="255"/>
    </row>
    <row r="787" spans="1:14" hidden="1" x14ac:dyDescent="0.2">
      <c r="A787" s="273" t="s">
        <v>375</v>
      </c>
      <c r="B787" s="277" t="s">
        <v>389</v>
      </c>
      <c r="C787" s="247" t="s">
        <v>43</v>
      </c>
      <c r="D787" s="276" t="s">
        <v>135</v>
      </c>
      <c r="E787" s="249">
        <v>0.27330550110002833</v>
      </c>
      <c r="F787" s="250" t="s">
        <v>390</v>
      </c>
      <c r="G787" s="251" t="s">
        <v>16</v>
      </c>
      <c r="H787" s="252">
        <v>2</v>
      </c>
      <c r="I787" s="252">
        <v>2</v>
      </c>
      <c r="J787" s="252">
        <v>1</v>
      </c>
      <c r="K787" s="252">
        <v>1</v>
      </c>
      <c r="L787" s="253">
        <v>2</v>
      </c>
      <c r="M787" s="254">
        <f t="shared" si="24"/>
        <v>0.37356464144298934</v>
      </c>
      <c r="N787" s="255"/>
    </row>
    <row r="788" spans="1:14" hidden="1" x14ac:dyDescent="0.2">
      <c r="A788" s="273" t="s">
        <v>375</v>
      </c>
      <c r="B788" s="277" t="s">
        <v>389</v>
      </c>
      <c r="C788" s="247" t="s">
        <v>45</v>
      </c>
      <c r="D788" s="276" t="s">
        <v>135</v>
      </c>
      <c r="E788" s="61">
        <v>0</v>
      </c>
      <c r="F788" s="250" t="s">
        <v>390</v>
      </c>
      <c r="G788" s="234" t="s">
        <v>16</v>
      </c>
      <c r="H788" s="61"/>
      <c r="I788" s="61"/>
      <c r="J788" s="61"/>
      <c r="K788" s="61"/>
      <c r="L788" s="62"/>
      <c r="M788" s="63" t="str">
        <f t="shared" si="24"/>
        <v/>
      </c>
      <c r="N788" s="255"/>
    </row>
    <row r="789" spans="1:14" hidden="1" x14ac:dyDescent="0.2">
      <c r="A789" s="273" t="s">
        <v>375</v>
      </c>
      <c r="B789" s="277" t="s">
        <v>389</v>
      </c>
      <c r="C789" s="247" t="s">
        <v>46</v>
      </c>
      <c r="D789" s="276" t="s">
        <v>135</v>
      </c>
      <c r="E789" s="249">
        <v>8.0960588385573899E-3</v>
      </c>
      <c r="F789" s="250" t="s">
        <v>390</v>
      </c>
      <c r="G789" s="251" t="s">
        <v>16</v>
      </c>
      <c r="H789" s="252">
        <v>2</v>
      </c>
      <c r="I789" s="252">
        <v>2</v>
      </c>
      <c r="J789" s="252">
        <v>1</v>
      </c>
      <c r="K789" s="252">
        <v>1</v>
      </c>
      <c r="L789" s="253">
        <v>2</v>
      </c>
      <c r="M789" s="254">
        <f t="shared" si="24"/>
        <v>0.37356464144298934</v>
      </c>
      <c r="N789" s="255"/>
    </row>
    <row r="790" spans="1:14" hidden="1" x14ac:dyDescent="0.2">
      <c r="A790" s="273" t="s">
        <v>375</v>
      </c>
      <c r="B790" s="277" t="s">
        <v>389</v>
      </c>
      <c r="C790" s="247" t="s">
        <v>48</v>
      </c>
      <c r="D790" s="276" t="s">
        <v>135</v>
      </c>
      <c r="E790" s="249">
        <v>0.17145889130324929</v>
      </c>
      <c r="F790" s="250" t="s">
        <v>390</v>
      </c>
      <c r="G790" s="251" t="s">
        <v>16</v>
      </c>
      <c r="H790" s="252">
        <v>2</v>
      </c>
      <c r="I790" s="252">
        <v>2</v>
      </c>
      <c r="J790" s="252">
        <v>1</v>
      </c>
      <c r="K790" s="252">
        <v>1</v>
      </c>
      <c r="L790" s="253">
        <v>2</v>
      </c>
      <c r="M790" s="254">
        <f>IF( OR( ISBLANK(H790),ISBLANK(I790), ISBLANK(J790), ISBLANK(K790), ISBLANK(L790) ), "", 1.5*SQRT(   EXP(2.21*(H790-1)) + EXP(2.21*(I790-1)) + EXP(2.21*(J790-1)) + EXP(2.21*(K790-1)) + EXP(2.21*L790)   )/100*2.45 )</f>
        <v>0.37356464144298934</v>
      </c>
      <c r="N790" s="255"/>
    </row>
    <row r="791" spans="1:14" hidden="1" x14ac:dyDescent="0.2">
      <c r="A791" s="273" t="s">
        <v>375</v>
      </c>
      <c r="B791" s="277" t="s">
        <v>389</v>
      </c>
      <c r="C791" s="247" t="s">
        <v>50</v>
      </c>
      <c r="D791" s="276" t="s">
        <v>135</v>
      </c>
      <c r="E791" s="249">
        <v>2.8168341648564131E-3</v>
      </c>
      <c r="F791" s="250" t="s">
        <v>390</v>
      </c>
      <c r="G791" s="251" t="s">
        <v>16</v>
      </c>
      <c r="H791" s="252">
        <v>2</v>
      </c>
      <c r="I791" s="252">
        <v>2</v>
      </c>
      <c r="J791" s="252">
        <v>1</v>
      </c>
      <c r="K791" s="252">
        <v>1</v>
      </c>
      <c r="L791" s="253">
        <v>2</v>
      </c>
      <c r="M791" s="254">
        <f t="shared" ref="M791:M803" si="25">IF( OR( ISBLANK(H791),ISBLANK(I791), ISBLANK(J791), ISBLANK(K791), ISBLANK(L791) ), "", 1.5*SQRT( EXP(2.21*(H791-1)) + EXP(2.21*(I791-1)) + EXP(2.21*(J791-1)) + EXP(2.21*(K791-1)) + EXP(2.21*L791) )/100*2.45 )</f>
        <v>0.37356464144298934</v>
      </c>
      <c r="N791" s="255"/>
    </row>
    <row r="792" spans="1:14" hidden="1" x14ac:dyDescent="0.2">
      <c r="A792" s="273" t="s">
        <v>375</v>
      </c>
      <c r="B792" s="277" t="s">
        <v>389</v>
      </c>
      <c r="C792" s="247" t="s">
        <v>52</v>
      </c>
      <c r="D792" s="276" t="s">
        <v>135</v>
      </c>
      <c r="E792" s="249">
        <v>1.7647166062020311E-2</v>
      </c>
      <c r="F792" s="250" t="s">
        <v>390</v>
      </c>
      <c r="G792" s="251" t="s">
        <v>16</v>
      </c>
      <c r="H792" s="252">
        <v>2</v>
      </c>
      <c r="I792" s="252">
        <v>2</v>
      </c>
      <c r="J792" s="252">
        <v>1</v>
      </c>
      <c r="K792" s="252">
        <v>1</v>
      </c>
      <c r="L792" s="253">
        <v>2</v>
      </c>
      <c r="M792" s="254">
        <f t="shared" si="25"/>
        <v>0.37356464144298934</v>
      </c>
      <c r="N792" s="255"/>
    </row>
    <row r="793" spans="1:14" hidden="1" x14ac:dyDescent="0.2">
      <c r="A793" s="273" t="s">
        <v>375</v>
      </c>
      <c r="B793" s="277" t="s">
        <v>389</v>
      </c>
      <c r="C793" s="247" t="s">
        <v>54</v>
      </c>
      <c r="D793" s="276" t="s">
        <v>135</v>
      </c>
      <c r="E793" s="249">
        <v>0.1178578409016874</v>
      </c>
      <c r="F793" s="250" t="s">
        <v>390</v>
      </c>
      <c r="G793" s="251" t="s">
        <v>16</v>
      </c>
      <c r="H793" s="252">
        <v>2</v>
      </c>
      <c r="I793" s="252">
        <v>2</v>
      </c>
      <c r="J793" s="252">
        <v>1</v>
      </c>
      <c r="K793" s="252">
        <v>1</v>
      </c>
      <c r="L793" s="253">
        <v>2</v>
      </c>
      <c r="M793" s="254">
        <f t="shared" si="25"/>
        <v>0.37356464144298934</v>
      </c>
      <c r="N793" s="255"/>
    </row>
    <row r="794" spans="1:14" hidden="1" x14ac:dyDescent="0.2">
      <c r="A794" s="273" t="s">
        <v>375</v>
      </c>
      <c r="B794" s="277" t="s">
        <v>389</v>
      </c>
      <c r="C794" s="247" t="s">
        <v>55</v>
      </c>
      <c r="D794" s="276" t="s">
        <v>135</v>
      </c>
      <c r="E794" s="61">
        <v>0</v>
      </c>
      <c r="F794" s="250" t="s">
        <v>390</v>
      </c>
      <c r="G794" s="234" t="s">
        <v>16</v>
      </c>
      <c r="H794" s="61"/>
      <c r="I794" s="61"/>
      <c r="J794" s="61"/>
      <c r="K794" s="61"/>
      <c r="L794" s="62"/>
      <c r="M794" s="63" t="str">
        <f t="shared" si="25"/>
        <v/>
      </c>
      <c r="N794" s="255"/>
    </row>
    <row r="795" spans="1:14" hidden="1" x14ac:dyDescent="0.2">
      <c r="A795" s="273" t="s">
        <v>375</v>
      </c>
      <c r="B795" s="277" t="s">
        <v>389</v>
      </c>
      <c r="C795" s="247" t="s">
        <v>57</v>
      </c>
      <c r="D795" s="276" t="s">
        <v>135</v>
      </c>
      <c r="E795" s="61">
        <v>0</v>
      </c>
      <c r="F795" s="250" t="s">
        <v>390</v>
      </c>
      <c r="G795" s="234" t="s">
        <v>16</v>
      </c>
      <c r="H795" s="61"/>
      <c r="I795" s="61"/>
      <c r="J795" s="61"/>
      <c r="K795" s="61"/>
      <c r="L795" s="62"/>
      <c r="M795" s="63" t="str">
        <f t="shared" si="25"/>
        <v/>
      </c>
      <c r="N795" s="255"/>
    </row>
    <row r="796" spans="1:14" hidden="1" x14ac:dyDescent="0.2">
      <c r="A796" s="273" t="s">
        <v>375</v>
      </c>
      <c r="B796" s="277" t="s">
        <v>389</v>
      </c>
      <c r="C796" s="247" t="s">
        <v>59</v>
      </c>
      <c r="D796" s="276" t="s">
        <v>135</v>
      </c>
      <c r="E796" s="249">
        <v>0.73780000000000001</v>
      </c>
      <c r="F796" s="250" t="s">
        <v>360</v>
      </c>
      <c r="G796" s="251" t="s">
        <v>16</v>
      </c>
      <c r="H796" s="252">
        <v>2</v>
      </c>
      <c r="I796" s="252">
        <v>2</v>
      </c>
      <c r="J796" s="252">
        <v>1</v>
      </c>
      <c r="K796" s="252">
        <v>1</v>
      </c>
      <c r="L796" s="253">
        <v>2</v>
      </c>
      <c r="M796" s="254">
        <f t="shared" si="25"/>
        <v>0.37356464144298934</v>
      </c>
      <c r="N796" s="255"/>
    </row>
    <row r="797" spans="1:14" hidden="1" x14ac:dyDescent="0.2">
      <c r="A797" s="273" t="s">
        <v>375</v>
      </c>
      <c r="B797" s="275" t="s">
        <v>389</v>
      </c>
      <c r="C797" s="247" t="s">
        <v>60</v>
      </c>
      <c r="D797" s="276" t="s">
        <v>135</v>
      </c>
      <c r="E797" s="249">
        <v>9.6214687630905935E-3</v>
      </c>
      <c r="F797" s="250" t="s">
        <v>390</v>
      </c>
      <c r="G797" s="251" t="s">
        <v>16</v>
      </c>
      <c r="H797" s="252">
        <v>2</v>
      </c>
      <c r="I797" s="252">
        <v>2</v>
      </c>
      <c r="J797" s="252">
        <v>1</v>
      </c>
      <c r="K797" s="252">
        <v>1</v>
      </c>
      <c r="L797" s="253">
        <v>2</v>
      </c>
      <c r="M797" s="254">
        <f t="shared" si="25"/>
        <v>0.37356464144298934</v>
      </c>
      <c r="N797" s="255"/>
    </row>
    <row r="798" spans="1:14" x14ac:dyDescent="0.2">
      <c r="A798" s="230" t="s">
        <v>375</v>
      </c>
      <c r="B798" s="231" t="s">
        <v>394</v>
      </c>
      <c r="C798" s="238" t="s">
        <v>135</v>
      </c>
      <c r="D798" s="232" t="s">
        <v>135</v>
      </c>
      <c r="E798" s="61" t="s">
        <v>188</v>
      </c>
      <c r="F798" s="233"/>
      <c r="G798" s="234"/>
      <c r="H798" s="61"/>
      <c r="I798" s="61"/>
      <c r="J798" s="61"/>
      <c r="K798" s="61"/>
      <c r="L798" s="62"/>
      <c r="M798" s="63" t="str">
        <f t="shared" si="25"/>
        <v/>
      </c>
      <c r="N798" s="235"/>
    </row>
    <row r="799" spans="1:14" x14ac:dyDescent="0.2">
      <c r="A799" s="355" t="s">
        <v>374</v>
      </c>
      <c r="B799" s="356" t="s">
        <v>383</v>
      </c>
      <c r="C799" s="297" t="s">
        <v>135</v>
      </c>
      <c r="D799" s="298" t="s">
        <v>135</v>
      </c>
      <c r="E799" s="299">
        <v>1</v>
      </c>
      <c r="F799" s="300"/>
      <c r="G799" s="301"/>
      <c r="H799" s="299"/>
      <c r="I799" s="299"/>
      <c r="J799" s="299"/>
      <c r="K799" s="299"/>
      <c r="L799" s="302"/>
      <c r="M799" s="303" t="str">
        <f t="shared" si="25"/>
        <v/>
      </c>
      <c r="N799" s="304"/>
    </row>
    <row r="800" spans="1:14" x14ac:dyDescent="0.2">
      <c r="A800" s="236" t="s">
        <v>376</v>
      </c>
      <c r="B800" s="237" t="s">
        <v>384</v>
      </c>
      <c r="C800" s="238" t="s">
        <v>135</v>
      </c>
      <c r="D800" s="239" t="s">
        <v>135</v>
      </c>
      <c r="E800" s="240">
        <v>1</v>
      </c>
      <c r="F800" s="241"/>
      <c r="G800" s="242"/>
      <c r="H800" s="240"/>
      <c r="I800" s="240"/>
      <c r="J800" s="240"/>
      <c r="K800" s="240"/>
      <c r="L800" s="243"/>
      <c r="M800" s="244" t="str">
        <f t="shared" si="25"/>
        <v/>
      </c>
      <c r="N800" s="245"/>
    </row>
    <row r="801" spans="1:14" x14ac:dyDescent="0.2">
      <c r="A801" s="355" t="s">
        <v>378</v>
      </c>
      <c r="B801" s="356" t="s">
        <v>384</v>
      </c>
      <c r="C801" s="297" t="s">
        <v>135</v>
      </c>
      <c r="D801" s="298" t="s">
        <v>135</v>
      </c>
      <c r="E801" s="299">
        <v>1</v>
      </c>
      <c r="F801" s="300"/>
      <c r="G801" s="301"/>
      <c r="H801" s="299"/>
      <c r="I801" s="299"/>
      <c r="J801" s="299"/>
      <c r="K801" s="299"/>
      <c r="L801" s="302"/>
      <c r="M801" s="303" t="str">
        <f t="shared" si="25"/>
        <v/>
      </c>
      <c r="N801" s="304"/>
    </row>
    <row r="802" spans="1:14" x14ac:dyDescent="0.2">
      <c r="A802" s="236" t="s">
        <v>382</v>
      </c>
      <c r="B802" s="237" t="s">
        <v>387</v>
      </c>
      <c r="C802" s="238" t="s">
        <v>135</v>
      </c>
      <c r="D802" s="239" t="s">
        <v>135</v>
      </c>
      <c r="E802" s="240">
        <v>1</v>
      </c>
      <c r="F802" s="241"/>
      <c r="G802" s="242"/>
      <c r="H802" s="240"/>
      <c r="I802" s="240"/>
      <c r="J802" s="240"/>
      <c r="K802" s="240"/>
      <c r="L802" s="243"/>
      <c r="M802" s="244" t="str">
        <f t="shared" si="25"/>
        <v/>
      </c>
      <c r="N802" s="245"/>
    </row>
    <row r="803" spans="1:14" x14ac:dyDescent="0.2">
      <c r="A803" s="295" t="s">
        <v>345</v>
      </c>
      <c r="B803" s="296" t="s">
        <v>395</v>
      </c>
      <c r="C803" s="297" t="s">
        <v>135</v>
      </c>
      <c r="D803" s="298" t="s">
        <v>135</v>
      </c>
      <c r="E803" s="299">
        <v>1</v>
      </c>
      <c r="F803" s="300"/>
      <c r="G803" s="301"/>
      <c r="H803" s="299"/>
      <c r="I803" s="299"/>
      <c r="J803" s="299"/>
      <c r="K803" s="299"/>
      <c r="L803" s="302"/>
      <c r="M803" s="303" t="str">
        <f t="shared" si="25"/>
        <v/>
      </c>
      <c r="N803" s="304"/>
    </row>
    <row r="804" spans="1:14" x14ac:dyDescent="0.2">
      <c r="A804" s="295" t="s">
        <v>347</v>
      </c>
      <c r="B804" s="296" t="s">
        <v>395</v>
      </c>
      <c r="C804" s="297" t="s">
        <v>135</v>
      </c>
      <c r="D804" s="298" t="s">
        <v>135</v>
      </c>
      <c r="E804" s="299">
        <v>1</v>
      </c>
      <c r="F804" s="300"/>
      <c r="G804" s="301"/>
      <c r="H804" s="299"/>
      <c r="I804" s="299"/>
      <c r="J804" s="299"/>
      <c r="K804" s="299"/>
      <c r="L804" s="302"/>
      <c r="M804" s="303" t="str">
        <f>IF( OR( ISBLANK(H804),ISBLANK(I804), ISBLANK(J804), ISBLANK(K804), ISBLANK(L804) ), "", 1.5*SQRT(   EXP(2.21*(H804-1)) + EXP(2.21*(I804-1)) + EXP(2.21*(J804-1)) + EXP(2.21*(K804-1)) + EXP(2.21*L804)   )/100*2.45 )</f>
        <v/>
      </c>
      <c r="N804" s="304"/>
    </row>
    <row r="805" spans="1:14" x14ac:dyDescent="0.2">
      <c r="A805" s="607" t="s">
        <v>348</v>
      </c>
      <c r="B805" s="604" t="s">
        <v>395</v>
      </c>
      <c r="C805" s="605" t="s">
        <v>135</v>
      </c>
      <c r="D805" s="605" t="s">
        <v>135</v>
      </c>
      <c r="E805" s="130">
        <v>1</v>
      </c>
      <c r="F805" s="103"/>
      <c r="G805" s="104" t="s">
        <v>16</v>
      </c>
      <c r="H805" s="130"/>
      <c r="I805" s="130"/>
      <c r="J805" s="130"/>
      <c r="K805" s="130"/>
      <c r="L805" s="131"/>
      <c r="M805" s="132" t="str">
        <f>IF( OR( ISBLANK(H805),ISBLANK(I805), ISBLANK(J805), ISBLANK(K805), ISBLANK(L805) ), "", 1.5*SQRT(   EXP(2.21*(H805-1)) + EXP(2.21*(I805-1)) + EXP(2.21*(J805-1)) + EXP(2.21*(K805-1)) + EXP(2.21*L805)   )/100*2.45 )</f>
        <v/>
      </c>
      <c r="N805" s="592"/>
    </row>
    <row r="806" spans="1:14" x14ac:dyDescent="0.2">
      <c r="A806" s="305" t="s">
        <v>385</v>
      </c>
      <c r="B806" s="306" t="s">
        <v>396</v>
      </c>
      <c r="C806" s="265" t="s">
        <v>13</v>
      </c>
      <c r="D806" s="223" t="s">
        <v>135</v>
      </c>
      <c r="E806" s="224">
        <v>1</v>
      </c>
      <c r="F806" s="225" t="s">
        <v>397</v>
      </c>
      <c r="G806" s="226" t="s">
        <v>16</v>
      </c>
      <c r="H806" s="224"/>
      <c r="I806" s="224"/>
      <c r="J806" s="224"/>
      <c r="K806" s="224"/>
      <c r="L806" s="227"/>
      <c r="M806" s="228" t="str">
        <f t="shared" ref="M806:M837" si="26">IF( OR( ISBLANK(H806),ISBLANK(I806), ISBLANK(J806), ISBLANK(K806), ISBLANK(L806) ), "", 1.5*SQRT( EXP(2.21*(H806-1)) + EXP(2.21*(I806-1)) + EXP(2.21*(J806-1)) + EXP(2.21*(K806-1)) + EXP(2.21*L806) )/100*2.45 )</f>
        <v/>
      </c>
      <c r="N806" s="229"/>
    </row>
    <row r="807" spans="1:14" hidden="1" x14ac:dyDescent="0.2">
      <c r="A807" s="305" t="s">
        <v>385</v>
      </c>
      <c r="B807" s="306" t="s">
        <v>396</v>
      </c>
      <c r="C807" s="247" t="s">
        <v>18</v>
      </c>
      <c r="D807" s="232" t="s">
        <v>135</v>
      </c>
      <c r="E807" s="307">
        <v>0.99438320920785372</v>
      </c>
      <c r="F807" s="233" t="s">
        <v>397</v>
      </c>
      <c r="G807" s="234" t="s">
        <v>16</v>
      </c>
      <c r="H807" s="232">
        <v>1</v>
      </c>
      <c r="I807" s="232">
        <v>1</v>
      </c>
      <c r="J807" s="232">
        <v>3</v>
      </c>
      <c r="K807" s="232">
        <v>2</v>
      </c>
      <c r="L807" s="283">
        <v>2</v>
      </c>
      <c r="M807" s="284">
        <f t="shared" si="26"/>
        <v>0.48935255543384243</v>
      </c>
      <c r="N807" s="235"/>
    </row>
    <row r="808" spans="1:14" hidden="1" x14ac:dyDescent="0.2">
      <c r="A808" s="305" t="s">
        <v>385</v>
      </c>
      <c r="B808" s="306" t="s">
        <v>396</v>
      </c>
      <c r="C808" s="247" t="s">
        <v>20</v>
      </c>
      <c r="D808" s="232" t="s">
        <v>135</v>
      </c>
      <c r="E808" s="307">
        <v>0.50616556490569053</v>
      </c>
      <c r="F808" s="233" t="s">
        <v>397</v>
      </c>
      <c r="G808" s="234" t="s">
        <v>16</v>
      </c>
      <c r="H808" s="232">
        <v>1</v>
      </c>
      <c r="I808" s="232">
        <v>2</v>
      </c>
      <c r="J808" s="232">
        <v>3</v>
      </c>
      <c r="K808" s="232">
        <v>2</v>
      </c>
      <c r="L808" s="283">
        <v>2</v>
      </c>
      <c r="M808" s="284">
        <f t="shared" si="26"/>
        <v>0.50042652380814845</v>
      </c>
      <c r="N808" s="235"/>
    </row>
    <row r="809" spans="1:14" hidden="1" x14ac:dyDescent="0.2">
      <c r="A809" s="305" t="s">
        <v>385</v>
      </c>
      <c r="B809" s="306" t="s">
        <v>396</v>
      </c>
      <c r="C809" s="247" t="s">
        <v>22</v>
      </c>
      <c r="D809" s="232" t="s">
        <v>135</v>
      </c>
      <c r="E809" s="307">
        <v>0.34101333495337321</v>
      </c>
      <c r="F809" s="233" t="s">
        <v>397</v>
      </c>
      <c r="G809" s="234" t="s">
        <v>16</v>
      </c>
      <c r="H809" s="232">
        <v>1</v>
      </c>
      <c r="I809" s="232">
        <v>1</v>
      </c>
      <c r="J809" s="232">
        <v>3</v>
      </c>
      <c r="K809" s="232">
        <v>2</v>
      </c>
      <c r="L809" s="283">
        <v>2</v>
      </c>
      <c r="M809" s="284">
        <f t="shared" si="26"/>
        <v>0.48935255543384243</v>
      </c>
      <c r="N809" s="235"/>
    </row>
    <row r="810" spans="1:14" hidden="1" x14ac:dyDescent="0.2">
      <c r="A810" s="305" t="s">
        <v>385</v>
      </c>
      <c r="B810" s="306" t="s">
        <v>396</v>
      </c>
      <c r="C810" s="247" t="s">
        <v>23</v>
      </c>
      <c r="D810" s="232" t="s">
        <v>135</v>
      </c>
      <c r="E810" s="307">
        <v>0.51879283661286757</v>
      </c>
      <c r="F810" s="233" t="s">
        <v>397</v>
      </c>
      <c r="G810" s="234" t="s">
        <v>16</v>
      </c>
      <c r="H810" s="232">
        <v>1</v>
      </c>
      <c r="I810" s="232">
        <v>1</v>
      </c>
      <c r="J810" s="232">
        <v>3</v>
      </c>
      <c r="K810" s="232">
        <v>2</v>
      </c>
      <c r="L810" s="283">
        <v>2</v>
      </c>
      <c r="M810" s="284">
        <f t="shared" si="26"/>
        <v>0.48935255543384243</v>
      </c>
      <c r="N810" s="235"/>
    </row>
    <row r="811" spans="1:14" hidden="1" x14ac:dyDescent="0.2">
      <c r="A811" s="305" t="s">
        <v>385</v>
      </c>
      <c r="B811" s="306" t="s">
        <v>396</v>
      </c>
      <c r="C811" s="247" t="s">
        <v>24</v>
      </c>
      <c r="D811" s="232" t="s">
        <v>135</v>
      </c>
      <c r="E811" s="307">
        <v>0.76055480557981947</v>
      </c>
      <c r="F811" s="233" t="s">
        <v>397</v>
      </c>
      <c r="G811" s="234" t="s">
        <v>16</v>
      </c>
      <c r="H811" s="232">
        <v>1</v>
      </c>
      <c r="I811" s="232">
        <v>1</v>
      </c>
      <c r="J811" s="232">
        <v>3</v>
      </c>
      <c r="K811" s="232">
        <v>2</v>
      </c>
      <c r="L811" s="283">
        <v>2</v>
      </c>
      <c r="M811" s="284">
        <f t="shared" si="26"/>
        <v>0.48935255543384243</v>
      </c>
      <c r="N811" s="235"/>
    </row>
    <row r="812" spans="1:14" hidden="1" x14ac:dyDescent="0.2">
      <c r="A812" s="305" t="s">
        <v>385</v>
      </c>
      <c r="B812" s="306" t="s">
        <v>396</v>
      </c>
      <c r="C812" s="247" t="s">
        <v>25</v>
      </c>
      <c r="D812" s="232" t="s">
        <v>135</v>
      </c>
      <c r="E812" s="307">
        <v>0.73117903930131001</v>
      </c>
      <c r="F812" s="233" t="s">
        <v>397</v>
      </c>
      <c r="G812" s="234" t="s">
        <v>16</v>
      </c>
      <c r="H812" s="232">
        <v>1</v>
      </c>
      <c r="I812" s="232">
        <v>1</v>
      </c>
      <c r="J812" s="232">
        <v>3</v>
      </c>
      <c r="K812" s="232">
        <v>2</v>
      </c>
      <c r="L812" s="283">
        <v>2</v>
      </c>
      <c r="M812" s="284">
        <f t="shared" si="26"/>
        <v>0.48935255543384243</v>
      </c>
      <c r="N812" s="235"/>
    </row>
    <row r="813" spans="1:14" hidden="1" x14ac:dyDescent="0.2">
      <c r="A813" s="305" t="s">
        <v>385</v>
      </c>
      <c r="B813" s="306" t="s">
        <v>396</v>
      </c>
      <c r="C813" s="247" t="s">
        <v>26</v>
      </c>
      <c r="D813" s="232" t="s">
        <v>135</v>
      </c>
      <c r="E813" s="307">
        <v>0.87444498339614196</v>
      </c>
      <c r="F813" s="233" t="s">
        <v>397</v>
      </c>
      <c r="G813" s="234" t="s">
        <v>16</v>
      </c>
      <c r="H813" s="232">
        <v>1</v>
      </c>
      <c r="I813" s="232">
        <v>1</v>
      </c>
      <c r="J813" s="232">
        <v>3</v>
      </c>
      <c r="K813" s="232">
        <v>2</v>
      </c>
      <c r="L813" s="283">
        <v>2</v>
      </c>
      <c r="M813" s="284">
        <f t="shared" si="26"/>
        <v>0.48935255543384243</v>
      </c>
      <c r="N813" s="235"/>
    </row>
    <row r="814" spans="1:14" hidden="1" x14ac:dyDescent="0.2">
      <c r="A814" s="305" t="s">
        <v>385</v>
      </c>
      <c r="B814" s="306" t="s">
        <v>396</v>
      </c>
      <c r="C814" s="247" t="s">
        <v>27</v>
      </c>
      <c r="D814" s="232" t="s">
        <v>135</v>
      </c>
      <c r="E814" s="307">
        <v>0.99418893287676469</v>
      </c>
      <c r="F814" s="233" t="s">
        <v>397</v>
      </c>
      <c r="G814" s="234" t="s">
        <v>16</v>
      </c>
      <c r="H814" s="232">
        <v>1</v>
      </c>
      <c r="I814" s="232">
        <v>1</v>
      </c>
      <c r="J814" s="232">
        <v>3</v>
      </c>
      <c r="K814" s="232">
        <v>2</v>
      </c>
      <c r="L814" s="283">
        <v>2</v>
      </c>
      <c r="M814" s="284">
        <f t="shared" si="26"/>
        <v>0.48935255543384243</v>
      </c>
      <c r="N814" s="235"/>
    </row>
    <row r="815" spans="1:14" hidden="1" x14ac:dyDescent="0.2">
      <c r="A815" s="305" t="s">
        <v>385</v>
      </c>
      <c r="B815" s="306" t="s">
        <v>396</v>
      </c>
      <c r="C815" s="247" t="s">
        <v>28</v>
      </c>
      <c r="D815" s="232" t="s">
        <v>135</v>
      </c>
      <c r="E815" s="307">
        <v>0.71802651526460526</v>
      </c>
      <c r="F815" s="233" t="s">
        <v>397</v>
      </c>
      <c r="G815" s="234" t="s">
        <v>16</v>
      </c>
      <c r="H815" s="232">
        <v>1</v>
      </c>
      <c r="I815" s="232">
        <v>1</v>
      </c>
      <c r="J815" s="232">
        <v>3</v>
      </c>
      <c r="K815" s="232">
        <v>2</v>
      </c>
      <c r="L815" s="283">
        <v>2</v>
      </c>
      <c r="M815" s="284">
        <f t="shared" si="26"/>
        <v>0.48935255543384243</v>
      </c>
      <c r="N815" s="235"/>
    </row>
    <row r="816" spans="1:14" hidden="1" x14ac:dyDescent="0.2">
      <c r="A816" s="305" t="s">
        <v>385</v>
      </c>
      <c r="B816" s="306" t="s">
        <v>396</v>
      </c>
      <c r="C816" s="247" t="s">
        <v>30</v>
      </c>
      <c r="D816" s="232" t="s">
        <v>135</v>
      </c>
      <c r="E816" s="307">
        <v>0.99893414080242238</v>
      </c>
      <c r="F816" s="233" t="s">
        <v>397</v>
      </c>
      <c r="G816" s="234" t="s">
        <v>16</v>
      </c>
      <c r="H816" s="232">
        <v>1</v>
      </c>
      <c r="I816" s="232">
        <v>1</v>
      </c>
      <c r="J816" s="232">
        <v>3</v>
      </c>
      <c r="K816" s="232">
        <v>2</v>
      </c>
      <c r="L816" s="283">
        <v>2</v>
      </c>
      <c r="M816" s="284">
        <f t="shared" si="26"/>
        <v>0.48935255543384243</v>
      </c>
      <c r="N816" s="235"/>
    </row>
    <row r="817" spans="1:14" hidden="1" x14ac:dyDescent="0.2">
      <c r="A817" s="305" t="s">
        <v>385</v>
      </c>
      <c r="B817" s="306" t="s">
        <v>396</v>
      </c>
      <c r="C817" s="247" t="s">
        <v>32</v>
      </c>
      <c r="D817" s="232" t="s">
        <v>135</v>
      </c>
      <c r="E817" s="307">
        <v>0.37551662174303679</v>
      </c>
      <c r="F817" s="233" t="s">
        <v>397</v>
      </c>
      <c r="G817" s="234" t="s">
        <v>16</v>
      </c>
      <c r="H817" s="232">
        <v>1</v>
      </c>
      <c r="I817" s="232">
        <v>2</v>
      </c>
      <c r="J817" s="232">
        <v>3</v>
      </c>
      <c r="K817" s="232">
        <v>2</v>
      </c>
      <c r="L817" s="283">
        <v>2</v>
      </c>
      <c r="M817" s="284">
        <f t="shared" si="26"/>
        <v>0.50042652380814845</v>
      </c>
      <c r="N817" s="235"/>
    </row>
    <row r="818" spans="1:14" hidden="1" x14ac:dyDescent="0.2">
      <c r="A818" s="305" t="s">
        <v>385</v>
      </c>
      <c r="B818" s="306" t="s">
        <v>396</v>
      </c>
      <c r="C818" s="247" t="s">
        <v>34</v>
      </c>
      <c r="D818" s="232" t="s">
        <v>135</v>
      </c>
      <c r="E818" s="307">
        <v>0.41532412341094249</v>
      </c>
      <c r="F818" s="233" t="s">
        <v>397</v>
      </c>
      <c r="G818" s="234" t="s">
        <v>16</v>
      </c>
      <c r="H818" s="232">
        <v>1</v>
      </c>
      <c r="I818" s="232">
        <v>1</v>
      </c>
      <c r="J818" s="232">
        <v>3</v>
      </c>
      <c r="K818" s="232">
        <v>2</v>
      </c>
      <c r="L818" s="283">
        <v>2</v>
      </c>
      <c r="M818" s="284">
        <f t="shared" si="26"/>
        <v>0.48935255543384243</v>
      </c>
      <c r="N818" s="235"/>
    </row>
    <row r="819" spans="1:14" hidden="1" x14ac:dyDescent="0.2">
      <c r="A819" s="305" t="s">
        <v>385</v>
      </c>
      <c r="B819" s="306" t="s">
        <v>396</v>
      </c>
      <c r="C819" s="247" t="s">
        <v>36</v>
      </c>
      <c r="D819" s="232" t="s">
        <v>135</v>
      </c>
      <c r="E819" s="61">
        <v>1</v>
      </c>
      <c r="F819" s="233" t="s">
        <v>397</v>
      </c>
      <c r="G819" s="234" t="s">
        <v>16</v>
      </c>
      <c r="H819" s="61"/>
      <c r="I819" s="61"/>
      <c r="J819" s="61"/>
      <c r="K819" s="61"/>
      <c r="L819" s="62"/>
      <c r="M819" s="63" t="str">
        <f t="shared" si="26"/>
        <v/>
      </c>
      <c r="N819" s="235"/>
    </row>
    <row r="820" spans="1:14" hidden="1" x14ac:dyDescent="0.2">
      <c r="A820" s="305" t="s">
        <v>385</v>
      </c>
      <c r="B820" s="306" t="s">
        <v>396</v>
      </c>
      <c r="C820" s="247" t="s">
        <v>37</v>
      </c>
      <c r="D820" s="232" t="s">
        <v>135</v>
      </c>
      <c r="E820" s="307">
        <v>0.88414888145121562</v>
      </c>
      <c r="F820" s="233" t="s">
        <v>397</v>
      </c>
      <c r="G820" s="234" t="s">
        <v>16</v>
      </c>
      <c r="H820" s="232">
        <v>1</v>
      </c>
      <c r="I820" s="232">
        <v>1</v>
      </c>
      <c r="J820" s="232">
        <v>3</v>
      </c>
      <c r="K820" s="232">
        <v>2</v>
      </c>
      <c r="L820" s="283">
        <v>2</v>
      </c>
      <c r="M820" s="284">
        <f t="shared" si="26"/>
        <v>0.48935255543384243</v>
      </c>
      <c r="N820" s="235"/>
    </row>
    <row r="821" spans="1:14" hidden="1" x14ac:dyDescent="0.2">
      <c r="A821" s="305" t="s">
        <v>385</v>
      </c>
      <c r="B821" s="306" t="s">
        <v>396</v>
      </c>
      <c r="C821" s="247" t="s">
        <v>39</v>
      </c>
      <c r="D821" s="232" t="s">
        <v>135</v>
      </c>
      <c r="E821" s="307">
        <v>0.47880448745396942</v>
      </c>
      <c r="F821" s="233" t="s">
        <v>397</v>
      </c>
      <c r="G821" s="234" t="s">
        <v>16</v>
      </c>
      <c r="H821" s="232">
        <v>1</v>
      </c>
      <c r="I821" s="232">
        <v>1</v>
      </c>
      <c r="J821" s="232">
        <v>3</v>
      </c>
      <c r="K821" s="232">
        <v>2</v>
      </c>
      <c r="L821" s="283">
        <v>2</v>
      </c>
      <c r="M821" s="284">
        <f t="shared" si="26"/>
        <v>0.48935255543384243</v>
      </c>
      <c r="N821" s="235"/>
    </row>
    <row r="822" spans="1:14" hidden="1" x14ac:dyDescent="0.2">
      <c r="A822" s="305" t="s">
        <v>385</v>
      </c>
      <c r="B822" s="306" t="s">
        <v>396</v>
      </c>
      <c r="C822" s="247" t="s">
        <v>40</v>
      </c>
      <c r="D822" s="232" t="s">
        <v>135</v>
      </c>
      <c r="E822" s="307">
        <v>0.6342973286875726</v>
      </c>
      <c r="F822" s="233" t="s">
        <v>397</v>
      </c>
      <c r="G822" s="234" t="s">
        <v>16</v>
      </c>
      <c r="H822" s="232">
        <v>1</v>
      </c>
      <c r="I822" s="232">
        <v>1</v>
      </c>
      <c r="J822" s="232">
        <v>3</v>
      </c>
      <c r="K822" s="232">
        <v>2</v>
      </c>
      <c r="L822" s="283">
        <v>2</v>
      </c>
      <c r="M822" s="284">
        <f t="shared" si="26"/>
        <v>0.48935255543384243</v>
      </c>
      <c r="N822" s="235"/>
    </row>
    <row r="823" spans="1:14" hidden="1" x14ac:dyDescent="0.2">
      <c r="A823" s="305" t="s">
        <v>385</v>
      </c>
      <c r="B823" s="306" t="s">
        <v>396</v>
      </c>
      <c r="C823" s="247" t="s">
        <v>41</v>
      </c>
      <c r="D823" s="232" t="s">
        <v>135</v>
      </c>
      <c r="E823" s="307">
        <v>0.89178438058126319</v>
      </c>
      <c r="F823" s="233" t="s">
        <v>397</v>
      </c>
      <c r="G823" s="234" t="s">
        <v>16</v>
      </c>
      <c r="H823" s="232">
        <v>1</v>
      </c>
      <c r="I823" s="232">
        <v>1</v>
      </c>
      <c r="J823" s="232">
        <v>3</v>
      </c>
      <c r="K823" s="232">
        <v>2</v>
      </c>
      <c r="L823" s="283">
        <v>2</v>
      </c>
      <c r="M823" s="284">
        <f t="shared" si="26"/>
        <v>0.48935255543384243</v>
      </c>
      <c r="N823" s="235"/>
    </row>
    <row r="824" spans="1:14" hidden="1" x14ac:dyDescent="0.2">
      <c r="A824" s="305" t="s">
        <v>385</v>
      </c>
      <c r="B824" s="306" t="s">
        <v>396</v>
      </c>
      <c r="C824" s="247" t="s">
        <v>42</v>
      </c>
      <c r="D824" s="232" t="s">
        <v>135</v>
      </c>
      <c r="E824" s="307">
        <v>0.1022140482422013</v>
      </c>
      <c r="F824" s="233" t="s">
        <v>397</v>
      </c>
      <c r="G824" s="234" t="s">
        <v>16</v>
      </c>
      <c r="H824" s="232">
        <v>1</v>
      </c>
      <c r="I824" s="232">
        <v>1</v>
      </c>
      <c r="J824" s="232">
        <v>3</v>
      </c>
      <c r="K824" s="232">
        <v>2</v>
      </c>
      <c r="L824" s="283">
        <v>2</v>
      </c>
      <c r="M824" s="284">
        <f t="shared" si="26"/>
        <v>0.48935255543384243</v>
      </c>
      <c r="N824" s="235"/>
    </row>
    <row r="825" spans="1:14" hidden="1" x14ac:dyDescent="0.2">
      <c r="A825" s="305" t="s">
        <v>385</v>
      </c>
      <c r="B825" s="306" t="s">
        <v>396</v>
      </c>
      <c r="C825" s="247" t="s">
        <v>43</v>
      </c>
      <c r="D825" s="232" t="s">
        <v>135</v>
      </c>
      <c r="E825" s="307">
        <v>0.94915523465703966</v>
      </c>
      <c r="F825" s="233" t="s">
        <v>397</v>
      </c>
      <c r="G825" s="234" t="s">
        <v>16</v>
      </c>
      <c r="H825" s="232">
        <v>1</v>
      </c>
      <c r="I825" s="232">
        <v>1</v>
      </c>
      <c r="J825" s="232">
        <v>3</v>
      </c>
      <c r="K825" s="232">
        <v>2</v>
      </c>
      <c r="L825" s="283">
        <v>2</v>
      </c>
      <c r="M825" s="284">
        <f t="shared" si="26"/>
        <v>0.48935255543384243</v>
      </c>
      <c r="N825" s="235"/>
    </row>
    <row r="826" spans="1:14" hidden="1" x14ac:dyDescent="0.2">
      <c r="A826" s="305" t="s">
        <v>385</v>
      </c>
      <c r="B826" s="306" t="s">
        <v>396</v>
      </c>
      <c r="C826" s="247" t="s">
        <v>45</v>
      </c>
      <c r="D826" s="232" t="s">
        <v>135</v>
      </c>
      <c r="E826" s="307">
        <v>0.69510661453504774</v>
      </c>
      <c r="F826" s="233" t="s">
        <v>397</v>
      </c>
      <c r="G826" s="234" t="s">
        <v>16</v>
      </c>
      <c r="H826" s="232">
        <v>1</v>
      </c>
      <c r="I826" s="232">
        <v>1</v>
      </c>
      <c r="J826" s="232">
        <v>3</v>
      </c>
      <c r="K826" s="232">
        <v>2</v>
      </c>
      <c r="L826" s="283">
        <v>2</v>
      </c>
      <c r="M826" s="284">
        <f t="shared" si="26"/>
        <v>0.48935255543384243</v>
      </c>
      <c r="N826" s="235"/>
    </row>
    <row r="827" spans="1:14" hidden="1" x14ac:dyDescent="0.2">
      <c r="A827" s="305" t="s">
        <v>385</v>
      </c>
      <c r="B827" s="306" t="s">
        <v>396</v>
      </c>
      <c r="C827" s="247" t="s">
        <v>46</v>
      </c>
      <c r="D827" s="232" t="s">
        <v>135</v>
      </c>
      <c r="E827" s="307">
        <v>0.45018656256547412</v>
      </c>
      <c r="F827" s="233" t="s">
        <v>397</v>
      </c>
      <c r="G827" s="234" t="s">
        <v>16</v>
      </c>
      <c r="H827" s="232">
        <v>1</v>
      </c>
      <c r="I827" s="232">
        <v>2</v>
      </c>
      <c r="J827" s="232">
        <v>3</v>
      </c>
      <c r="K827" s="232">
        <v>2</v>
      </c>
      <c r="L827" s="283">
        <v>2</v>
      </c>
      <c r="M827" s="284">
        <f t="shared" si="26"/>
        <v>0.50042652380814845</v>
      </c>
      <c r="N827" s="235"/>
    </row>
    <row r="828" spans="1:14" hidden="1" x14ac:dyDescent="0.2">
      <c r="A828" s="305" t="s">
        <v>385</v>
      </c>
      <c r="B828" s="306" t="s">
        <v>396</v>
      </c>
      <c r="C828" s="247" t="s">
        <v>48</v>
      </c>
      <c r="D828" s="232" t="s">
        <v>135</v>
      </c>
      <c r="E828" s="307">
        <v>0.56934881212623145</v>
      </c>
      <c r="F828" s="233" t="s">
        <v>397</v>
      </c>
      <c r="G828" s="234" t="s">
        <v>16</v>
      </c>
      <c r="H828" s="232">
        <v>1</v>
      </c>
      <c r="I828" s="232">
        <v>1</v>
      </c>
      <c r="J828" s="232">
        <v>3</v>
      </c>
      <c r="K828" s="232">
        <v>2</v>
      </c>
      <c r="L828" s="283">
        <v>2</v>
      </c>
      <c r="M828" s="284">
        <f t="shared" si="26"/>
        <v>0.48935255543384243</v>
      </c>
      <c r="N828" s="235"/>
    </row>
    <row r="829" spans="1:14" hidden="1" x14ac:dyDescent="0.2">
      <c r="A829" s="305" t="s">
        <v>385</v>
      </c>
      <c r="B829" s="306" t="s">
        <v>396</v>
      </c>
      <c r="C829" s="247" t="s">
        <v>50</v>
      </c>
      <c r="D829" s="232" t="s">
        <v>135</v>
      </c>
      <c r="E829" s="307">
        <v>0.36957552959974699</v>
      </c>
      <c r="F829" s="233" t="s">
        <v>397</v>
      </c>
      <c r="G829" s="234" t="s">
        <v>16</v>
      </c>
      <c r="H829" s="232">
        <v>1</v>
      </c>
      <c r="I829" s="232">
        <v>1</v>
      </c>
      <c r="J829" s="232">
        <v>3</v>
      </c>
      <c r="K829" s="232">
        <v>2</v>
      </c>
      <c r="L829" s="283">
        <v>2</v>
      </c>
      <c r="M829" s="284">
        <f t="shared" si="26"/>
        <v>0.48935255543384243</v>
      </c>
      <c r="N829" s="235"/>
    </row>
    <row r="830" spans="1:14" hidden="1" x14ac:dyDescent="0.2">
      <c r="A830" s="305" t="s">
        <v>385</v>
      </c>
      <c r="B830" s="306" t="s">
        <v>396</v>
      </c>
      <c r="C830" s="247" t="s">
        <v>52</v>
      </c>
      <c r="D830" s="232" t="s">
        <v>135</v>
      </c>
      <c r="E830" s="307">
        <v>0.69118885700024957</v>
      </c>
      <c r="F830" s="233" t="s">
        <v>397</v>
      </c>
      <c r="G830" s="234" t="s">
        <v>16</v>
      </c>
      <c r="H830" s="232">
        <v>1</v>
      </c>
      <c r="I830" s="232">
        <v>1</v>
      </c>
      <c r="J830" s="232">
        <v>3</v>
      </c>
      <c r="K830" s="232">
        <v>2</v>
      </c>
      <c r="L830" s="283">
        <v>2</v>
      </c>
      <c r="M830" s="284">
        <f t="shared" si="26"/>
        <v>0.48935255543384243</v>
      </c>
      <c r="N830" s="235"/>
    </row>
    <row r="831" spans="1:14" hidden="1" x14ac:dyDescent="0.2">
      <c r="A831" s="305" t="s">
        <v>385</v>
      </c>
      <c r="B831" s="306" t="s">
        <v>396</v>
      </c>
      <c r="C831" s="247" t="s">
        <v>54</v>
      </c>
      <c r="D831" s="232" t="s">
        <v>135</v>
      </c>
      <c r="E831" s="307">
        <v>0.85392852120457241</v>
      </c>
      <c r="F831" s="233" t="s">
        <v>397</v>
      </c>
      <c r="G831" s="234" t="s">
        <v>16</v>
      </c>
      <c r="H831" s="232">
        <v>1</v>
      </c>
      <c r="I831" s="232">
        <v>1</v>
      </c>
      <c r="J831" s="232">
        <v>3</v>
      </c>
      <c r="K831" s="232">
        <v>2</v>
      </c>
      <c r="L831" s="283">
        <v>2</v>
      </c>
      <c r="M831" s="284">
        <f t="shared" si="26"/>
        <v>0.48935255543384243</v>
      </c>
      <c r="N831" s="235"/>
    </row>
    <row r="832" spans="1:14" hidden="1" x14ac:dyDescent="0.2">
      <c r="A832" s="305" t="s">
        <v>385</v>
      </c>
      <c r="B832" s="306" t="s">
        <v>396</v>
      </c>
      <c r="C832" s="247" t="s">
        <v>55</v>
      </c>
      <c r="D832" s="232" t="s">
        <v>135</v>
      </c>
      <c r="E832" s="307">
        <v>0.55471490752220021</v>
      </c>
      <c r="F832" s="233" t="s">
        <v>397</v>
      </c>
      <c r="G832" s="234" t="s">
        <v>16</v>
      </c>
      <c r="H832" s="232">
        <v>1</v>
      </c>
      <c r="I832" s="232">
        <v>1</v>
      </c>
      <c r="J832" s="232">
        <v>3</v>
      </c>
      <c r="K832" s="232">
        <v>2</v>
      </c>
      <c r="L832" s="283">
        <v>2</v>
      </c>
      <c r="M832" s="284">
        <f t="shared" si="26"/>
        <v>0.48935255543384243</v>
      </c>
      <c r="N832" s="235"/>
    </row>
    <row r="833" spans="1:14" hidden="1" x14ac:dyDescent="0.2">
      <c r="A833" s="305" t="s">
        <v>385</v>
      </c>
      <c r="B833" s="306" t="s">
        <v>396</v>
      </c>
      <c r="C833" s="247" t="s">
        <v>57</v>
      </c>
      <c r="D833" s="232" t="s">
        <v>135</v>
      </c>
      <c r="E833" s="307">
        <v>0.50666087983893326</v>
      </c>
      <c r="F833" s="233" t="s">
        <v>397</v>
      </c>
      <c r="G833" s="234" t="s">
        <v>16</v>
      </c>
      <c r="H833" s="232">
        <v>1</v>
      </c>
      <c r="I833" s="232">
        <v>1</v>
      </c>
      <c r="J833" s="232">
        <v>3</v>
      </c>
      <c r="K833" s="232">
        <v>2</v>
      </c>
      <c r="L833" s="283">
        <v>2</v>
      </c>
      <c r="M833" s="284">
        <f t="shared" si="26"/>
        <v>0.48935255543384243</v>
      </c>
      <c r="N833" s="235"/>
    </row>
    <row r="834" spans="1:14" hidden="1" x14ac:dyDescent="0.2">
      <c r="A834" s="305" t="s">
        <v>385</v>
      </c>
      <c r="B834" s="306" t="s">
        <v>396</v>
      </c>
      <c r="C834" s="247" t="s">
        <v>59</v>
      </c>
      <c r="D834" s="232" t="s">
        <v>135</v>
      </c>
      <c r="E834" s="307">
        <v>0.99893414080242238</v>
      </c>
      <c r="F834" s="233" t="s">
        <v>397</v>
      </c>
      <c r="G834" s="234" t="s">
        <v>16</v>
      </c>
      <c r="H834" s="232">
        <v>2</v>
      </c>
      <c r="I834" s="232">
        <v>1</v>
      </c>
      <c r="J834" s="232">
        <v>3</v>
      </c>
      <c r="K834" s="232">
        <v>2</v>
      </c>
      <c r="L834" s="283">
        <v>2</v>
      </c>
      <c r="M834" s="284">
        <f t="shared" si="26"/>
        <v>0.50042652380814845</v>
      </c>
      <c r="N834" s="235"/>
    </row>
    <row r="835" spans="1:14" hidden="1" x14ac:dyDescent="0.2">
      <c r="A835" s="305" t="s">
        <v>385</v>
      </c>
      <c r="B835" s="306" t="s">
        <v>396</v>
      </c>
      <c r="C835" s="247" t="s">
        <v>60</v>
      </c>
      <c r="D835" s="232" t="s">
        <v>135</v>
      </c>
      <c r="E835" s="307">
        <v>0.5615277424819991</v>
      </c>
      <c r="F835" s="233" t="s">
        <v>397</v>
      </c>
      <c r="G835" s="234" t="s">
        <v>16</v>
      </c>
      <c r="H835" s="232">
        <v>1</v>
      </c>
      <c r="I835" s="232">
        <v>2</v>
      </c>
      <c r="J835" s="232">
        <v>3</v>
      </c>
      <c r="K835" s="232">
        <v>2</v>
      </c>
      <c r="L835" s="283">
        <v>2</v>
      </c>
      <c r="M835" s="284">
        <f t="shared" si="26"/>
        <v>0.50042652380814845</v>
      </c>
      <c r="N835" s="235"/>
    </row>
    <row r="836" spans="1:14" x14ac:dyDescent="0.2">
      <c r="A836" s="305" t="s">
        <v>385</v>
      </c>
      <c r="B836" s="308" t="s">
        <v>398</v>
      </c>
      <c r="C836" s="247" t="s">
        <v>13</v>
      </c>
      <c r="D836" s="232" t="s">
        <v>135</v>
      </c>
      <c r="E836" s="61">
        <v>0</v>
      </c>
      <c r="F836" s="233" t="s">
        <v>397</v>
      </c>
      <c r="G836" s="234" t="s">
        <v>16</v>
      </c>
      <c r="H836" s="61"/>
      <c r="I836" s="61"/>
      <c r="J836" s="61"/>
      <c r="K836" s="61"/>
      <c r="L836" s="62"/>
      <c r="M836" s="63" t="str">
        <f t="shared" si="26"/>
        <v/>
      </c>
      <c r="N836" s="235"/>
    </row>
    <row r="837" spans="1:14" hidden="1" x14ac:dyDescent="0.2">
      <c r="A837" s="305" t="s">
        <v>385</v>
      </c>
      <c r="B837" s="308" t="s">
        <v>398</v>
      </c>
      <c r="C837" s="247" t="s">
        <v>18</v>
      </c>
      <c r="D837" s="232" t="s">
        <v>135</v>
      </c>
      <c r="E837" s="307">
        <v>1.8415707515233689E-4</v>
      </c>
      <c r="F837" s="233" t="s">
        <v>397</v>
      </c>
      <c r="G837" s="234" t="s">
        <v>16</v>
      </c>
      <c r="H837" s="232">
        <v>1</v>
      </c>
      <c r="I837" s="232">
        <v>1</v>
      </c>
      <c r="J837" s="232">
        <v>3</v>
      </c>
      <c r="K837" s="232">
        <v>2</v>
      </c>
      <c r="L837" s="283">
        <v>2</v>
      </c>
      <c r="M837" s="284">
        <f t="shared" si="26"/>
        <v>0.48935255543384243</v>
      </c>
      <c r="N837" s="235"/>
    </row>
    <row r="838" spans="1:14" hidden="1" x14ac:dyDescent="0.2">
      <c r="A838" s="305" t="s">
        <v>385</v>
      </c>
      <c r="B838" s="308" t="s">
        <v>398</v>
      </c>
      <c r="C838" s="247" t="s">
        <v>20</v>
      </c>
      <c r="D838" s="232" t="s">
        <v>135</v>
      </c>
      <c r="E838" s="307">
        <v>0.44252696131827729</v>
      </c>
      <c r="F838" s="233" t="s">
        <v>397</v>
      </c>
      <c r="G838" s="234" t="s">
        <v>16</v>
      </c>
      <c r="H838" s="232">
        <v>1</v>
      </c>
      <c r="I838" s="232">
        <v>2</v>
      </c>
      <c r="J838" s="232">
        <v>3</v>
      </c>
      <c r="K838" s="232">
        <v>2</v>
      </c>
      <c r="L838" s="283">
        <v>2</v>
      </c>
      <c r="M838" s="284">
        <f t="shared" ref="M838:M865" si="27">IF( OR( ISBLANK(H838),ISBLANK(I838), ISBLANK(J838), ISBLANK(K838), ISBLANK(L838) ), "", 1.5*SQRT( EXP(2.21*(H838-1)) + EXP(2.21*(I838-1)) + EXP(2.21*(J838-1)) + EXP(2.21*(K838-1)) + EXP(2.21*L838) )/100*2.45 )</f>
        <v>0.50042652380814845</v>
      </c>
      <c r="N838" s="235"/>
    </row>
    <row r="839" spans="1:14" hidden="1" x14ac:dyDescent="0.2">
      <c r="A839" s="305" t="s">
        <v>385</v>
      </c>
      <c r="B839" s="308" t="s">
        <v>398</v>
      </c>
      <c r="C839" s="247" t="s">
        <v>22</v>
      </c>
      <c r="D839" s="232" t="s">
        <v>135</v>
      </c>
      <c r="E839" s="307">
        <v>0.61322370219616651</v>
      </c>
      <c r="F839" s="233" t="s">
        <v>397</v>
      </c>
      <c r="G839" s="234" t="s">
        <v>16</v>
      </c>
      <c r="H839" s="232">
        <v>1</v>
      </c>
      <c r="I839" s="232">
        <v>1</v>
      </c>
      <c r="J839" s="232">
        <v>3</v>
      </c>
      <c r="K839" s="232">
        <v>2</v>
      </c>
      <c r="L839" s="283">
        <v>2</v>
      </c>
      <c r="M839" s="284">
        <f t="shared" si="27"/>
        <v>0.48935255543384243</v>
      </c>
      <c r="N839" s="235"/>
    </row>
    <row r="840" spans="1:14" hidden="1" x14ac:dyDescent="0.2">
      <c r="A840" s="305" t="s">
        <v>385</v>
      </c>
      <c r="B840" s="308" t="s">
        <v>398</v>
      </c>
      <c r="C840" s="247" t="s">
        <v>23</v>
      </c>
      <c r="D840" s="232" t="s">
        <v>135</v>
      </c>
      <c r="E840" s="307">
        <v>0.4680234054861151</v>
      </c>
      <c r="F840" s="233" t="s">
        <v>397</v>
      </c>
      <c r="G840" s="234" t="s">
        <v>16</v>
      </c>
      <c r="H840" s="232">
        <v>1</v>
      </c>
      <c r="I840" s="232">
        <v>1</v>
      </c>
      <c r="J840" s="232">
        <v>3</v>
      </c>
      <c r="K840" s="232">
        <v>2</v>
      </c>
      <c r="L840" s="283">
        <v>2</v>
      </c>
      <c r="M840" s="284">
        <f t="shared" si="27"/>
        <v>0.48935255543384243</v>
      </c>
      <c r="N840" s="235"/>
    </row>
    <row r="841" spans="1:14" hidden="1" x14ac:dyDescent="0.2">
      <c r="A841" s="305" t="s">
        <v>385</v>
      </c>
      <c r="B841" s="308" t="s">
        <v>398</v>
      </c>
      <c r="C841" s="247" t="s">
        <v>24</v>
      </c>
      <c r="D841" s="232" t="s">
        <v>135</v>
      </c>
      <c r="E841" s="307">
        <v>0.15308791118667281</v>
      </c>
      <c r="F841" s="233" t="s">
        <v>397</v>
      </c>
      <c r="G841" s="234" t="s">
        <v>16</v>
      </c>
      <c r="H841" s="232">
        <v>1</v>
      </c>
      <c r="I841" s="232">
        <v>1</v>
      </c>
      <c r="J841" s="232">
        <v>3</v>
      </c>
      <c r="K841" s="232">
        <v>2</v>
      </c>
      <c r="L841" s="283">
        <v>2</v>
      </c>
      <c r="M841" s="284">
        <f t="shared" si="27"/>
        <v>0.48935255543384243</v>
      </c>
      <c r="N841" s="235"/>
    </row>
    <row r="842" spans="1:14" hidden="1" x14ac:dyDescent="0.2">
      <c r="A842" s="305" t="s">
        <v>385</v>
      </c>
      <c r="B842" s="308" t="s">
        <v>398</v>
      </c>
      <c r="C842" s="247" t="s">
        <v>25</v>
      </c>
      <c r="D842" s="232" t="s">
        <v>135</v>
      </c>
      <c r="E842" s="307">
        <v>8.960698689956333E-3</v>
      </c>
      <c r="F842" s="233" t="s">
        <v>397</v>
      </c>
      <c r="G842" s="234" t="s">
        <v>16</v>
      </c>
      <c r="H842" s="232">
        <v>1</v>
      </c>
      <c r="I842" s="232">
        <v>1</v>
      </c>
      <c r="J842" s="232">
        <v>3</v>
      </c>
      <c r="K842" s="232">
        <v>2</v>
      </c>
      <c r="L842" s="283">
        <v>2</v>
      </c>
      <c r="M842" s="284">
        <f t="shared" si="27"/>
        <v>0.48935255543384243</v>
      </c>
      <c r="N842" s="235"/>
    </row>
    <row r="843" spans="1:14" hidden="1" x14ac:dyDescent="0.2">
      <c r="A843" s="305" t="s">
        <v>385</v>
      </c>
      <c r="B843" s="308" t="s">
        <v>398</v>
      </c>
      <c r="C843" s="247" t="s">
        <v>26</v>
      </c>
      <c r="D843" s="232" t="s">
        <v>135</v>
      </c>
      <c r="E843" s="307">
        <v>3.8046974728441832E-2</v>
      </c>
      <c r="F843" s="233" t="s">
        <v>397</v>
      </c>
      <c r="G843" s="234" t="s">
        <v>16</v>
      </c>
      <c r="H843" s="232">
        <v>1</v>
      </c>
      <c r="I843" s="232">
        <v>1</v>
      </c>
      <c r="J843" s="232">
        <v>3</v>
      </c>
      <c r="K843" s="232">
        <v>2</v>
      </c>
      <c r="L843" s="283">
        <v>2</v>
      </c>
      <c r="M843" s="284">
        <f t="shared" si="27"/>
        <v>0.48935255543384243</v>
      </c>
      <c r="N843" s="235"/>
    </row>
    <row r="844" spans="1:14" hidden="1" x14ac:dyDescent="0.2">
      <c r="A844" s="305" t="s">
        <v>385</v>
      </c>
      <c r="B844" s="308" t="s">
        <v>398</v>
      </c>
      <c r="C844" s="247" t="s">
        <v>27</v>
      </c>
      <c r="D844" s="232" t="s">
        <v>135</v>
      </c>
      <c r="E844" s="307">
        <v>1.4711562337304591E-4</v>
      </c>
      <c r="F844" s="233" t="s">
        <v>397</v>
      </c>
      <c r="G844" s="234" t="s">
        <v>16</v>
      </c>
      <c r="H844" s="232">
        <v>1</v>
      </c>
      <c r="I844" s="232">
        <v>1</v>
      </c>
      <c r="J844" s="232">
        <v>3</v>
      </c>
      <c r="K844" s="232">
        <v>2</v>
      </c>
      <c r="L844" s="283">
        <v>2</v>
      </c>
      <c r="M844" s="284">
        <f t="shared" si="27"/>
        <v>0.48935255543384243</v>
      </c>
      <c r="N844" s="235"/>
    </row>
    <row r="845" spans="1:14" hidden="1" x14ac:dyDescent="0.2">
      <c r="A845" s="305" t="s">
        <v>385</v>
      </c>
      <c r="B845" s="308" t="s">
        <v>398</v>
      </c>
      <c r="C845" s="247" t="s">
        <v>28</v>
      </c>
      <c r="D845" s="232" t="s">
        <v>135</v>
      </c>
      <c r="E845" s="307">
        <v>0.1165490403572965</v>
      </c>
      <c r="F845" s="233" t="s">
        <v>397</v>
      </c>
      <c r="G845" s="234" t="s">
        <v>16</v>
      </c>
      <c r="H845" s="232">
        <v>1</v>
      </c>
      <c r="I845" s="232">
        <v>1</v>
      </c>
      <c r="J845" s="232">
        <v>3</v>
      </c>
      <c r="K845" s="232">
        <v>2</v>
      </c>
      <c r="L845" s="283">
        <v>2</v>
      </c>
      <c r="M845" s="284">
        <f t="shared" si="27"/>
        <v>0.48935255543384243</v>
      </c>
      <c r="N845" s="235"/>
    </row>
    <row r="846" spans="1:14" hidden="1" x14ac:dyDescent="0.2">
      <c r="A846" s="305" t="s">
        <v>385</v>
      </c>
      <c r="B846" s="308" t="s">
        <v>398</v>
      </c>
      <c r="C846" s="247" t="s">
        <v>30</v>
      </c>
      <c r="D846" s="232" t="s">
        <v>135</v>
      </c>
      <c r="E846" s="307">
        <v>1.8376882716855578E-5</v>
      </c>
      <c r="F846" s="233" t="s">
        <v>397</v>
      </c>
      <c r="G846" s="234" t="s">
        <v>16</v>
      </c>
      <c r="H846" s="232">
        <v>1</v>
      </c>
      <c r="I846" s="232">
        <v>1</v>
      </c>
      <c r="J846" s="232">
        <v>3</v>
      </c>
      <c r="K846" s="232">
        <v>2</v>
      </c>
      <c r="L846" s="283">
        <v>2</v>
      </c>
      <c r="M846" s="284">
        <f t="shared" si="27"/>
        <v>0.48935255543384243</v>
      </c>
      <c r="N846" s="235"/>
    </row>
    <row r="847" spans="1:14" hidden="1" x14ac:dyDescent="0.2">
      <c r="A847" s="305" t="s">
        <v>385</v>
      </c>
      <c r="B847" s="308" t="s">
        <v>398</v>
      </c>
      <c r="C847" s="247" t="s">
        <v>32</v>
      </c>
      <c r="D847" s="232" t="s">
        <v>135</v>
      </c>
      <c r="E847" s="307">
        <v>0.60783048817011076</v>
      </c>
      <c r="F847" s="233" t="s">
        <v>397</v>
      </c>
      <c r="G847" s="234" t="s">
        <v>16</v>
      </c>
      <c r="H847" s="232">
        <v>1</v>
      </c>
      <c r="I847" s="232">
        <v>2</v>
      </c>
      <c r="J847" s="232">
        <v>3</v>
      </c>
      <c r="K847" s="232">
        <v>2</v>
      </c>
      <c r="L847" s="283">
        <v>2</v>
      </c>
      <c r="M847" s="284">
        <f t="shared" si="27"/>
        <v>0.50042652380814845</v>
      </c>
      <c r="N847" s="235"/>
    </row>
    <row r="848" spans="1:14" hidden="1" x14ac:dyDescent="0.2">
      <c r="A848" s="305" t="s">
        <v>385</v>
      </c>
      <c r="B848" s="308" t="s">
        <v>398</v>
      </c>
      <c r="C848" s="247" t="s">
        <v>34</v>
      </c>
      <c r="D848" s="232" t="s">
        <v>135</v>
      </c>
      <c r="E848" s="307">
        <v>0.4272631405843112</v>
      </c>
      <c r="F848" s="233" t="s">
        <v>397</v>
      </c>
      <c r="G848" s="234" t="s">
        <v>16</v>
      </c>
      <c r="H848" s="232">
        <v>1</v>
      </c>
      <c r="I848" s="232">
        <v>1</v>
      </c>
      <c r="J848" s="232">
        <v>3</v>
      </c>
      <c r="K848" s="232">
        <v>2</v>
      </c>
      <c r="L848" s="283">
        <v>2</v>
      </c>
      <c r="M848" s="284">
        <f t="shared" si="27"/>
        <v>0.48935255543384243</v>
      </c>
      <c r="N848" s="235"/>
    </row>
    <row r="849" spans="1:14" hidden="1" x14ac:dyDescent="0.2">
      <c r="A849" s="305" t="s">
        <v>385</v>
      </c>
      <c r="B849" s="308" t="s">
        <v>398</v>
      </c>
      <c r="C849" s="247" t="s">
        <v>36</v>
      </c>
      <c r="D849" s="232" t="s">
        <v>135</v>
      </c>
      <c r="E849" s="61">
        <v>0</v>
      </c>
      <c r="F849" s="233" t="s">
        <v>397</v>
      </c>
      <c r="G849" s="234" t="s">
        <v>16</v>
      </c>
      <c r="H849" s="61"/>
      <c r="I849" s="61"/>
      <c r="J849" s="61"/>
      <c r="K849" s="61"/>
      <c r="L849" s="62"/>
      <c r="M849" s="63" t="str">
        <f t="shared" si="27"/>
        <v/>
      </c>
      <c r="N849" s="235"/>
    </row>
    <row r="850" spans="1:14" hidden="1" x14ac:dyDescent="0.2">
      <c r="A850" s="305" t="s">
        <v>385</v>
      </c>
      <c r="B850" s="308" t="s">
        <v>398</v>
      </c>
      <c r="C850" s="247" t="s">
        <v>37</v>
      </c>
      <c r="D850" s="232" t="s">
        <v>135</v>
      </c>
      <c r="E850" s="307">
        <v>5.6170239296380313E-2</v>
      </c>
      <c r="F850" s="233" t="s">
        <v>397</v>
      </c>
      <c r="G850" s="234" t="s">
        <v>16</v>
      </c>
      <c r="H850" s="232">
        <v>1</v>
      </c>
      <c r="I850" s="232">
        <v>1</v>
      </c>
      <c r="J850" s="232">
        <v>3</v>
      </c>
      <c r="K850" s="232">
        <v>2</v>
      </c>
      <c r="L850" s="283">
        <v>2</v>
      </c>
      <c r="M850" s="284">
        <f t="shared" si="27"/>
        <v>0.48935255543384243</v>
      </c>
      <c r="N850" s="235"/>
    </row>
    <row r="851" spans="1:14" hidden="1" x14ac:dyDescent="0.2">
      <c r="A851" s="305" t="s">
        <v>385</v>
      </c>
      <c r="B851" s="308" t="s">
        <v>398</v>
      </c>
      <c r="C851" s="247" t="s">
        <v>39</v>
      </c>
      <c r="D851" s="232" t="s">
        <v>135</v>
      </c>
      <c r="E851" s="307">
        <v>0.50540170913554483</v>
      </c>
      <c r="F851" s="233" t="s">
        <v>397</v>
      </c>
      <c r="G851" s="234" t="s">
        <v>16</v>
      </c>
      <c r="H851" s="232">
        <v>1</v>
      </c>
      <c r="I851" s="232">
        <v>1</v>
      </c>
      <c r="J851" s="232">
        <v>3</v>
      </c>
      <c r="K851" s="232">
        <v>2</v>
      </c>
      <c r="L851" s="283">
        <v>2</v>
      </c>
      <c r="M851" s="284">
        <f t="shared" si="27"/>
        <v>0.48935255543384243</v>
      </c>
      <c r="N851" s="235"/>
    </row>
    <row r="852" spans="1:14" hidden="1" x14ac:dyDescent="0.2">
      <c r="A852" s="305" t="s">
        <v>385</v>
      </c>
      <c r="B852" s="308" t="s">
        <v>398</v>
      </c>
      <c r="C852" s="247" t="s">
        <v>40</v>
      </c>
      <c r="D852" s="232" t="s">
        <v>135</v>
      </c>
      <c r="E852" s="307">
        <v>0.22543315354875659</v>
      </c>
      <c r="F852" s="233" t="s">
        <v>397</v>
      </c>
      <c r="G852" s="234" t="s">
        <v>16</v>
      </c>
      <c r="H852" s="232">
        <v>1</v>
      </c>
      <c r="I852" s="232">
        <v>1</v>
      </c>
      <c r="J852" s="232">
        <v>3</v>
      </c>
      <c r="K852" s="232">
        <v>2</v>
      </c>
      <c r="L852" s="283">
        <v>2</v>
      </c>
      <c r="M852" s="284">
        <f t="shared" si="27"/>
        <v>0.48935255543384243</v>
      </c>
      <c r="N852" s="235"/>
    </row>
    <row r="853" spans="1:14" hidden="1" x14ac:dyDescent="0.2">
      <c r="A853" s="305" t="s">
        <v>385</v>
      </c>
      <c r="B853" s="308" t="s">
        <v>398</v>
      </c>
      <c r="C853" s="247" t="s">
        <v>41</v>
      </c>
      <c r="D853" s="232" t="s">
        <v>135</v>
      </c>
      <c r="E853" s="61">
        <v>0</v>
      </c>
      <c r="F853" s="233" t="s">
        <v>397</v>
      </c>
      <c r="G853" s="234" t="s">
        <v>16</v>
      </c>
      <c r="H853" s="61"/>
      <c r="I853" s="61"/>
      <c r="J853" s="61"/>
      <c r="K853" s="61"/>
      <c r="L853" s="62"/>
      <c r="M853" s="63" t="str">
        <f t="shared" si="27"/>
        <v/>
      </c>
      <c r="N853" s="235"/>
    </row>
    <row r="854" spans="1:14" hidden="1" x14ac:dyDescent="0.2">
      <c r="A854" s="305" t="s">
        <v>385</v>
      </c>
      <c r="B854" s="308" t="s">
        <v>398</v>
      </c>
      <c r="C854" s="247" t="s">
        <v>42</v>
      </c>
      <c r="D854" s="232" t="s">
        <v>135</v>
      </c>
      <c r="E854" s="307">
        <v>0.87446683612772591</v>
      </c>
      <c r="F854" s="233" t="s">
        <v>397</v>
      </c>
      <c r="G854" s="234" t="s">
        <v>16</v>
      </c>
      <c r="H854" s="232">
        <v>1</v>
      </c>
      <c r="I854" s="232">
        <v>1</v>
      </c>
      <c r="J854" s="232">
        <v>3</v>
      </c>
      <c r="K854" s="232">
        <v>2</v>
      </c>
      <c r="L854" s="283">
        <v>2</v>
      </c>
      <c r="M854" s="284">
        <f t="shared" si="27"/>
        <v>0.48935255543384243</v>
      </c>
      <c r="N854" s="235"/>
    </row>
    <row r="855" spans="1:14" hidden="1" x14ac:dyDescent="0.2">
      <c r="A855" s="305" t="s">
        <v>385</v>
      </c>
      <c r="B855" s="308" t="s">
        <v>398</v>
      </c>
      <c r="C855" s="247" t="s">
        <v>43</v>
      </c>
      <c r="D855" s="232" t="s">
        <v>135</v>
      </c>
      <c r="E855" s="61">
        <v>0</v>
      </c>
      <c r="F855" s="233" t="s">
        <v>397</v>
      </c>
      <c r="G855" s="234" t="s">
        <v>16</v>
      </c>
      <c r="H855" s="61"/>
      <c r="I855" s="61"/>
      <c r="J855" s="61"/>
      <c r="K855" s="61"/>
      <c r="L855" s="62"/>
      <c r="M855" s="63" t="str">
        <f t="shared" si="27"/>
        <v/>
      </c>
      <c r="N855" s="235"/>
    </row>
    <row r="856" spans="1:14" hidden="1" x14ac:dyDescent="0.2">
      <c r="A856" s="305" t="s">
        <v>385</v>
      </c>
      <c r="B856" s="308" t="s">
        <v>398</v>
      </c>
      <c r="C856" s="247" t="s">
        <v>45</v>
      </c>
      <c r="D856" s="232" t="s">
        <v>135</v>
      </c>
      <c r="E856" s="307">
        <v>1.0889049480891149E-2</v>
      </c>
      <c r="F856" s="233" t="s">
        <v>397</v>
      </c>
      <c r="G856" s="234" t="s">
        <v>16</v>
      </c>
      <c r="H856" s="232">
        <v>1</v>
      </c>
      <c r="I856" s="232">
        <v>1</v>
      </c>
      <c r="J856" s="232">
        <v>3</v>
      </c>
      <c r="K856" s="232">
        <v>2</v>
      </c>
      <c r="L856" s="283">
        <v>2</v>
      </c>
      <c r="M856" s="284">
        <f t="shared" si="27"/>
        <v>0.48935255543384243</v>
      </c>
      <c r="N856" s="235"/>
    </row>
    <row r="857" spans="1:14" hidden="1" x14ac:dyDescent="0.2">
      <c r="A857" s="305" t="s">
        <v>385</v>
      </c>
      <c r="B857" s="308" t="s">
        <v>398</v>
      </c>
      <c r="C857" s="247" t="s">
        <v>46</v>
      </c>
      <c r="D857" s="232" t="s">
        <v>135</v>
      </c>
      <c r="E857" s="307">
        <v>0.30879932787418579</v>
      </c>
      <c r="F857" s="233" t="s">
        <v>397</v>
      </c>
      <c r="G857" s="234" t="s">
        <v>16</v>
      </c>
      <c r="H857" s="232">
        <v>1</v>
      </c>
      <c r="I857" s="232">
        <v>2</v>
      </c>
      <c r="J857" s="232">
        <v>3</v>
      </c>
      <c r="K857" s="232">
        <v>2</v>
      </c>
      <c r="L857" s="283">
        <v>2</v>
      </c>
      <c r="M857" s="284">
        <f t="shared" si="27"/>
        <v>0.50042652380814845</v>
      </c>
      <c r="N857" s="235"/>
    </row>
    <row r="858" spans="1:14" hidden="1" x14ac:dyDescent="0.2">
      <c r="A858" s="305" t="s">
        <v>385</v>
      </c>
      <c r="B858" s="308" t="s">
        <v>398</v>
      </c>
      <c r="C858" s="247" t="s">
        <v>48</v>
      </c>
      <c r="D858" s="232" t="s">
        <v>135</v>
      </c>
      <c r="E858" s="307">
        <v>0.20899248823285829</v>
      </c>
      <c r="F858" s="233" t="s">
        <v>397</v>
      </c>
      <c r="G858" s="234" t="s">
        <v>16</v>
      </c>
      <c r="H858" s="232">
        <v>1</v>
      </c>
      <c r="I858" s="232">
        <v>1</v>
      </c>
      <c r="J858" s="232">
        <v>3</v>
      </c>
      <c r="K858" s="232">
        <v>2</v>
      </c>
      <c r="L858" s="283">
        <v>2</v>
      </c>
      <c r="M858" s="284">
        <f t="shared" si="27"/>
        <v>0.48935255543384243</v>
      </c>
      <c r="N858" s="235"/>
    </row>
    <row r="859" spans="1:14" hidden="1" x14ac:dyDescent="0.2">
      <c r="A859" s="305" t="s">
        <v>385</v>
      </c>
      <c r="B859" s="308" t="s">
        <v>398</v>
      </c>
      <c r="C859" s="247" t="s">
        <v>50</v>
      </c>
      <c r="D859" s="232" t="s">
        <v>135</v>
      </c>
      <c r="E859" s="307">
        <v>0.52692194540916681</v>
      </c>
      <c r="F859" s="233" t="s">
        <v>397</v>
      </c>
      <c r="G859" s="234" t="s">
        <v>16</v>
      </c>
      <c r="H859" s="232">
        <v>1</v>
      </c>
      <c r="I859" s="232">
        <v>1</v>
      </c>
      <c r="J859" s="232">
        <v>3</v>
      </c>
      <c r="K859" s="232">
        <v>2</v>
      </c>
      <c r="L859" s="283">
        <v>2</v>
      </c>
      <c r="M859" s="284">
        <f t="shared" si="27"/>
        <v>0.48935255543384243</v>
      </c>
      <c r="N859" s="235"/>
    </row>
    <row r="860" spans="1:14" hidden="1" x14ac:dyDescent="0.2">
      <c r="A860" s="305" t="s">
        <v>385</v>
      </c>
      <c r="B860" s="308" t="s">
        <v>398</v>
      </c>
      <c r="C860" s="247" t="s">
        <v>52</v>
      </c>
      <c r="D860" s="232" t="s">
        <v>135</v>
      </c>
      <c r="E860" s="307">
        <v>0.19852144907126809</v>
      </c>
      <c r="F860" s="233" t="s">
        <v>397</v>
      </c>
      <c r="G860" s="234" t="s">
        <v>16</v>
      </c>
      <c r="H860" s="232">
        <v>1</v>
      </c>
      <c r="I860" s="232">
        <v>1</v>
      </c>
      <c r="J860" s="232">
        <v>3</v>
      </c>
      <c r="K860" s="232">
        <v>2</v>
      </c>
      <c r="L860" s="283">
        <v>2</v>
      </c>
      <c r="M860" s="284">
        <f t="shared" si="27"/>
        <v>0.48935255543384243</v>
      </c>
      <c r="N860" s="235"/>
    </row>
    <row r="861" spans="1:14" hidden="1" x14ac:dyDescent="0.2">
      <c r="A861" s="305" t="s">
        <v>385</v>
      </c>
      <c r="B861" s="308" t="s">
        <v>398</v>
      </c>
      <c r="C861" s="247" t="s">
        <v>54</v>
      </c>
      <c r="D861" s="232" t="s">
        <v>135</v>
      </c>
      <c r="E861" s="307">
        <v>7.4159366157678624E-2</v>
      </c>
      <c r="F861" s="233" t="s">
        <v>397</v>
      </c>
      <c r="G861" s="234" t="s">
        <v>16</v>
      </c>
      <c r="H861" s="232">
        <v>1</v>
      </c>
      <c r="I861" s="232">
        <v>1</v>
      </c>
      <c r="J861" s="232">
        <v>3</v>
      </c>
      <c r="K861" s="232">
        <v>2</v>
      </c>
      <c r="L861" s="283">
        <v>2</v>
      </c>
      <c r="M861" s="284">
        <f t="shared" si="27"/>
        <v>0.48935255543384243</v>
      </c>
      <c r="N861" s="235"/>
    </row>
    <row r="862" spans="1:14" hidden="1" x14ac:dyDescent="0.2">
      <c r="A862" s="305" t="s">
        <v>385</v>
      </c>
      <c r="B862" s="308" t="s">
        <v>398</v>
      </c>
      <c r="C862" s="247" t="s">
        <v>55</v>
      </c>
      <c r="D862" s="232" t="s">
        <v>135</v>
      </c>
      <c r="E862" s="307">
        <v>0.28123268998597878</v>
      </c>
      <c r="F862" s="233" t="s">
        <v>397</v>
      </c>
      <c r="G862" s="234" t="s">
        <v>16</v>
      </c>
      <c r="H862" s="232">
        <v>1</v>
      </c>
      <c r="I862" s="232">
        <v>1</v>
      </c>
      <c r="J862" s="232">
        <v>3</v>
      </c>
      <c r="K862" s="232">
        <v>2</v>
      </c>
      <c r="L862" s="283">
        <v>2</v>
      </c>
      <c r="M862" s="284">
        <f t="shared" si="27"/>
        <v>0.48935255543384243</v>
      </c>
      <c r="N862" s="235"/>
    </row>
    <row r="863" spans="1:14" hidden="1" x14ac:dyDescent="0.2">
      <c r="A863" s="305" t="s">
        <v>385</v>
      </c>
      <c r="B863" s="308" t="s">
        <v>398</v>
      </c>
      <c r="C863" s="247" t="s">
        <v>57</v>
      </c>
      <c r="D863" s="232" t="s">
        <v>135</v>
      </c>
      <c r="E863" s="307">
        <v>8.0875265600174884E-3</v>
      </c>
      <c r="F863" s="233" t="s">
        <v>397</v>
      </c>
      <c r="G863" s="234" t="s">
        <v>16</v>
      </c>
      <c r="H863" s="232">
        <v>1</v>
      </c>
      <c r="I863" s="232">
        <v>1</v>
      </c>
      <c r="J863" s="232">
        <v>3</v>
      </c>
      <c r="K863" s="232">
        <v>2</v>
      </c>
      <c r="L863" s="283">
        <v>2</v>
      </c>
      <c r="M863" s="284">
        <f t="shared" si="27"/>
        <v>0.48935255543384243</v>
      </c>
      <c r="N863" s="235"/>
    </row>
    <row r="864" spans="1:14" hidden="1" x14ac:dyDescent="0.2">
      <c r="A864" s="305" t="s">
        <v>385</v>
      </c>
      <c r="B864" s="308" t="s">
        <v>398</v>
      </c>
      <c r="C864" s="247" t="s">
        <v>59</v>
      </c>
      <c r="D864" s="232" t="s">
        <v>135</v>
      </c>
      <c r="E864" s="61">
        <v>0</v>
      </c>
      <c r="F864" s="233" t="s">
        <v>397</v>
      </c>
      <c r="G864" s="234" t="s">
        <v>16</v>
      </c>
      <c r="H864" s="61"/>
      <c r="I864" s="61"/>
      <c r="J864" s="61"/>
      <c r="K864" s="61"/>
      <c r="L864" s="62"/>
      <c r="M864" s="63" t="str">
        <f t="shared" si="27"/>
        <v/>
      </c>
      <c r="N864" s="235"/>
    </row>
    <row r="865" spans="1:14" hidden="1" x14ac:dyDescent="0.2">
      <c r="A865" s="305" t="s">
        <v>385</v>
      </c>
      <c r="B865" s="308" t="s">
        <v>398</v>
      </c>
      <c r="C865" s="247" t="s">
        <v>60</v>
      </c>
      <c r="D865" s="232" t="s">
        <v>135</v>
      </c>
      <c r="E865" s="307">
        <v>0.13223766496574629</v>
      </c>
      <c r="F865" s="233" t="s">
        <v>397</v>
      </c>
      <c r="G865" s="234" t="s">
        <v>16</v>
      </c>
      <c r="H865" s="232">
        <v>1</v>
      </c>
      <c r="I865" s="232">
        <v>2</v>
      </c>
      <c r="J865" s="232">
        <v>3</v>
      </c>
      <c r="K865" s="232">
        <v>2</v>
      </c>
      <c r="L865" s="283">
        <v>2</v>
      </c>
      <c r="M865" s="284">
        <f t="shared" si="27"/>
        <v>0.50042652380814845</v>
      </c>
      <c r="N865" s="235"/>
    </row>
    <row r="866" spans="1:14" x14ac:dyDescent="0.2">
      <c r="A866" s="305" t="s">
        <v>385</v>
      </c>
      <c r="B866" s="308" t="s">
        <v>399</v>
      </c>
      <c r="C866" s="247" t="s">
        <v>13</v>
      </c>
      <c r="D866" s="232" t="s">
        <v>135</v>
      </c>
      <c r="E866" s="61">
        <f t="shared" ref="E866:E895" si="28">1-(E806+E836)</f>
        <v>0</v>
      </c>
      <c r="F866" s="233" t="s">
        <v>397</v>
      </c>
      <c r="G866" s="234" t="s">
        <v>16</v>
      </c>
      <c r="H866" s="61"/>
      <c r="I866" s="61"/>
      <c r="J866" s="61"/>
      <c r="K866" s="61"/>
      <c r="L866" s="62"/>
      <c r="M866" s="63" t="str">
        <f>IF( OR( ISBLANK(H866),ISBLANK(I866), ISBLANK(J866), ISBLANK(K866), ISBLANK(L866) ), "", 1.5*SQRT(   EXP(2.21*(H866-1)) + EXP(2.21*(I866-1)) + EXP(2.21*(J866-1)) + EXP(2.21*(K866-1)) + EXP(2.21*L866)   )/100*2.45 )</f>
        <v/>
      </c>
      <c r="N866" s="235"/>
    </row>
    <row r="867" spans="1:14" hidden="1" x14ac:dyDescent="0.2">
      <c r="A867" s="305" t="s">
        <v>385</v>
      </c>
      <c r="B867" s="308" t="s">
        <v>399</v>
      </c>
      <c r="C867" s="247" t="s">
        <v>18</v>
      </c>
      <c r="D867" s="232" t="s">
        <v>135</v>
      </c>
      <c r="E867" s="307">
        <f t="shared" si="28"/>
        <v>5.4326337169939842E-3</v>
      </c>
      <c r="F867" s="233" t="s">
        <v>397</v>
      </c>
      <c r="G867" s="234" t="s">
        <v>16</v>
      </c>
      <c r="H867" s="232">
        <v>1</v>
      </c>
      <c r="I867" s="232">
        <v>1</v>
      </c>
      <c r="J867" s="232">
        <v>3</v>
      </c>
      <c r="K867" s="232">
        <v>2</v>
      </c>
      <c r="L867" s="283">
        <v>2</v>
      </c>
      <c r="M867" s="284">
        <f t="shared" ref="M867:M878" si="29">IF( OR( ISBLANK(H867),ISBLANK(I867), ISBLANK(J867), ISBLANK(K867), ISBLANK(L867) ), "", 1.5*SQRT( EXP(2.21*(H867-1)) + EXP(2.21*(I867-1)) + EXP(2.21*(J867-1)) + EXP(2.21*(K867-1)) + EXP(2.21*L867) )/100*2.45 )</f>
        <v>0.48935255543384243</v>
      </c>
      <c r="N867" s="235"/>
    </row>
    <row r="868" spans="1:14" hidden="1" x14ac:dyDescent="0.2">
      <c r="A868" s="305" t="s">
        <v>385</v>
      </c>
      <c r="B868" s="308" t="s">
        <v>399</v>
      </c>
      <c r="C868" s="247" t="s">
        <v>20</v>
      </c>
      <c r="D868" s="232" t="s">
        <v>135</v>
      </c>
      <c r="E868" s="307">
        <f t="shared" si="28"/>
        <v>5.1307473776032175E-2</v>
      </c>
      <c r="F868" s="233" t="s">
        <v>397</v>
      </c>
      <c r="G868" s="234" t="s">
        <v>16</v>
      </c>
      <c r="H868" s="232">
        <v>1</v>
      </c>
      <c r="I868" s="232">
        <v>2</v>
      </c>
      <c r="J868" s="232">
        <v>3</v>
      </c>
      <c r="K868" s="232">
        <v>2</v>
      </c>
      <c r="L868" s="283">
        <v>2</v>
      </c>
      <c r="M868" s="284">
        <f t="shared" si="29"/>
        <v>0.50042652380814845</v>
      </c>
      <c r="N868" s="235"/>
    </row>
    <row r="869" spans="1:14" hidden="1" x14ac:dyDescent="0.2">
      <c r="A869" s="305" t="s">
        <v>385</v>
      </c>
      <c r="B869" s="308" t="s">
        <v>399</v>
      </c>
      <c r="C869" s="247" t="s">
        <v>22</v>
      </c>
      <c r="D869" s="232" t="s">
        <v>135</v>
      </c>
      <c r="E869" s="307">
        <f t="shared" si="28"/>
        <v>4.5762962850460331E-2</v>
      </c>
      <c r="F869" s="233" t="s">
        <v>397</v>
      </c>
      <c r="G869" s="234" t="s">
        <v>16</v>
      </c>
      <c r="H869" s="232">
        <v>1</v>
      </c>
      <c r="I869" s="232">
        <v>1</v>
      </c>
      <c r="J869" s="232">
        <v>3</v>
      </c>
      <c r="K869" s="232">
        <v>2</v>
      </c>
      <c r="L869" s="283">
        <v>2</v>
      </c>
      <c r="M869" s="284">
        <f t="shared" si="29"/>
        <v>0.48935255543384243</v>
      </c>
      <c r="N869" s="235"/>
    </row>
    <row r="870" spans="1:14" hidden="1" x14ac:dyDescent="0.2">
      <c r="A870" s="305" t="s">
        <v>385</v>
      </c>
      <c r="B870" s="308" t="s">
        <v>399</v>
      </c>
      <c r="C870" s="247" t="s">
        <v>23</v>
      </c>
      <c r="D870" s="232" t="s">
        <v>135</v>
      </c>
      <c r="E870" s="307">
        <f t="shared" si="28"/>
        <v>1.3183757901017334E-2</v>
      </c>
      <c r="F870" s="233" t="s">
        <v>397</v>
      </c>
      <c r="G870" s="234" t="s">
        <v>16</v>
      </c>
      <c r="H870" s="232">
        <v>1</v>
      </c>
      <c r="I870" s="232">
        <v>1</v>
      </c>
      <c r="J870" s="232">
        <v>3</v>
      </c>
      <c r="K870" s="232">
        <v>2</v>
      </c>
      <c r="L870" s="283">
        <v>2</v>
      </c>
      <c r="M870" s="284">
        <f t="shared" si="29"/>
        <v>0.48935255543384243</v>
      </c>
      <c r="N870" s="235"/>
    </row>
    <row r="871" spans="1:14" hidden="1" x14ac:dyDescent="0.2">
      <c r="A871" s="305" t="s">
        <v>385</v>
      </c>
      <c r="B871" s="308" t="s">
        <v>399</v>
      </c>
      <c r="C871" s="247" t="s">
        <v>24</v>
      </c>
      <c r="D871" s="232" t="s">
        <v>135</v>
      </c>
      <c r="E871" s="307">
        <f t="shared" si="28"/>
        <v>8.6357283233507776E-2</v>
      </c>
      <c r="F871" s="233" t="s">
        <v>397</v>
      </c>
      <c r="G871" s="234" t="s">
        <v>16</v>
      </c>
      <c r="H871" s="232">
        <v>1</v>
      </c>
      <c r="I871" s="232">
        <v>1</v>
      </c>
      <c r="J871" s="232">
        <v>3</v>
      </c>
      <c r="K871" s="232">
        <v>2</v>
      </c>
      <c r="L871" s="283">
        <v>2</v>
      </c>
      <c r="M871" s="284">
        <f t="shared" si="29"/>
        <v>0.48935255543384243</v>
      </c>
      <c r="N871" s="235"/>
    </row>
    <row r="872" spans="1:14" hidden="1" x14ac:dyDescent="0.2">
      <c r="A872" s="305" t="s">
        <v>385</v>
      </c>
      <c r="B872" s="308" t="s">
        <v>399</v>
      </c>
      <c r="C872" s="247" t="s">
        <v>25</v>
      </c>
      <c r="D872" s="232" t="s">
        <v>135</v>
      </c>
      <c r="E872" s="307">
        <f t="shared" si="28"/>
        <v>0.25986026200873369</v>
      </c>
      <c r="F872" s="233" t="s">
        <v>397</v>
      </c>
      <c r="G872" s="234" t="s">
        <v>16</v>
      </c>
      <c r="H872" s="232">
        <v>1</v>
      </c>
      <c r="I872" s="232">
        <v>1</v>
      </c>
      <c r="J872" s="232">
        <v>3</v>
      </c>
      <c r="K872" s="232">
        <v>2</v>
      </c>
      <c r="L872" s="283">
        <v>2</v>
      </c>
      <c r="M872" s="284">
        <f t="shared" si="29"/>
        <v>0.48935255543384243</v>
      </c>
      <c r="N872" s="235"/>
    </row>
    <row r="873" spans="1:14" hidden="1" x14ac:dyDescent="0.2">
      <c r="A873" s="305" t="s">
        <v>385</v>
      </c>
      <c r="B873" s="308" t="s">
        <v>399</v>
      </c>
      <c r="C873" s="247" t="s">
        <v>26</v>
      </c>
      <c r="D873" s="232" t="s">
        <v>135</v>
      </c>
      <c r="E873" s="307">
        <f t="shared" si="28"/>
        <v>8.7508041875416165E-2</v>
      </c>
      <c r="F873" s="233" t="s">
        <v>397</v>
      </c>
      <c r="G873" s="234" t="s">
        <v>16</v>
      </c>
      <c r="H873" s="232">
        <v>1</v>
      </c>
      <c r="I873" s="232">
        <v>1</v>
      </c>
      <c r="J873" s="232">
        <v>3</v>
      </c>
      <c r="K873" s="232">
        <v>2</v>
      </c>
      <c r="L873" s="283">
        <v>2</v>
      </c>
      <c r="M873" s="284">
        <f t="shared" si="29"/>
        <v>0.48935255543384243</v>
      </c>
      <c r="N873" s="235"/>
    </row>
    <row r="874" spans="1:14" hidden="1" x14ac:dyDescent="0.2">
      <c r="A874" s="305" t="s">
        <v>385</v>
      </c>
      <c r="B874" s="308" t="s">
        <v>399</v>
      </c>
      <c r="C874" s="247" t="s">
        <v>27</v>
      </c>
      <c r="D874" s="232" t="s">
        <v>135</v>
      </c>
      <c r="E874" s="307">
        <f t="shared" si="28"/>
        <v>5.6639514998623186E-3</v>
      </c>
      <c r="F874" s="233" t="s">
        <v>397</v>
      </c>
      <c r="G874" s="234" t="s">
        <v>16</v>
      </c>
      <c r="H874" s="232">
        <v>1</v>
      </c>
      <c r="I874" s="232">
        <v>1</v>
      </c>
      <c r="J874" s="232">
        <v>3</v>
      </c>
      <c r="K874" s="232">
        <v>2</v>
      </c>
      <c r="L874" s="283">
        <v>2</v>
      </c>
      <c r="M874" s="284">
        <f t="shared" si="29"/>
        <v>0.48935255543384243</v>
      </c>
      <c r="N874" s="235"/>
    </row>
    <row r="875" spans="1:14" hidden="1" x14ac:dyDescent="0.2">
      <c r="A875" s="305" t="s">
        <v>385</v>
      </c>
      <c r="B875" s="308" t="s">
        <v>399</v>
      </c>
      <c r="C875" s="247" t="s">
        <v>28</v>
      </c>
      <c r="D875" s="232" t="s">
        <v>135</v>
      </c>
      <c r="E875" s="307">
        <f t="shared" si="28"/>
        <v>0.16542444437809822</v>
      </c>
      <c r="F875" s="233" t="s">
        <v>397</v>
      </c>
      <c r="G875" s="234" t="s">
        <v>16</v>
      </c>
      <c r="H875" s="232">
        <v>1</v>
      </c>
      <c r="I875" s="232">
        <v>1</v>
      </c>
      <c r="J875" s="232">
        <v>3</v>
      </c>
      <c r="K875" s="232">
        <v>2</v>
      </c>
      <c r="L875" s="283">
        <v>2</v>
      </c>
      <c r="M875" s="284">
        <f t="shared" si="29"/>
        <v>0.48935255543384243</v>
      </c>
      <c r="N875" s="235"/>
    </row>
    <row r="876" spans="1:14" hidden="1" x14ac:dyDescent="0.2">
      <c r="A876" s="305" t="s">
        <v>385</v>
      </c>
      <c r="B876" s="308" t="s">
        <v>399</v>
      </c>
      <c r="C876" s="247" t="s">
        <v>30</v>
      </c>
      <c r="D876" s="232" t="s">
        <v>135</v>
      </c>
      <c r="E876" s="307">
        <f t="shared" si="28"/>
        <v>1.0474823148607371E-3</v>
      </c>
      <c r="F876" s="233" t="s">
        <v>397</v>
      </c>
      <c r="G876" s="234" t="s">
        <v>16</v>
      </c>
      <c r="H876" s="232">
        <v>1</v>
      </c>
      <c r="I876" s="232">
        <v>1</v>
      </c>
      <c r="J876" s="232">
        <v>3</v>
      </c>
      <c r="K876" s="232">
        <v>2</v>
      </c>
      <c r="L876" s="283">
        <v>2</v>
      </c>
      <c r="M876" s="284">
        <f t="shared" si="29"/>
        <v>0.48935255543384243</v>
      </c>
      <c r="N876" s="235"/>
    </row>
    <row r="877" spans="1:14" hidden="1" x14ac:dyDescent="0.2">
      <c r="A877" s="305" t="s">
        <v>385</v>
      </c>
      <c r="B877" s="308" t="s">
        <v>399</v>
      </c>
      <c r="C877" s="247" t="s">
        <v>32</v>
      </c>
      <c r="D877" s="232" t="s">
        <v>135</v>
      </c>
      <c r="E877" s="307">
        <f t="shared" si="28"/>
        <v>1.6652890086852445E-2</v>
      </c>
      <c r="F877" s="233" t="s">
        <v>397</v>
      </c>
      <c r="G877" s="234" t="s">
        <v>16</v>
      </c>
      <c r="H877" s="232">
        <v>1</v>
      </c>
      <c r="I877" s="232">
        <v>2</v>
      </c>
      <c r="J877" s="232">
        <v>3</v>
      </c>
      <c r="K877" s="232">
        <v>2</v>
      </c>
      <c r="L877" s="283">
        <v>2</v>
      </c>
      <c r="M877" s="284">
        <f t="shared" si="29"/>
        <v>0.50042652380814845</v>
      </c>
      <c r="N877" s="235"/>
    </row>
    <row r="878" spans="1:14" hidden="1" x14ac:dyDescent="0.2">
      <c r="A878" s="305" t="s">
        <v>385</v>
      </c>
      <c r="B878" s="308" t="s">
        <v>399</v>
      </c>
      <c r="C878" s="247" t="s">
        <v>34</v>
      </c>
      <c r="D878" s="232" t="s">
        <v>135</v>
      </c>
      <c r="E878" s="307">
        <f t="shared" si="28"/>
        <v>0.15741273600474637</v>
      </c>
      <c r="F878" s="233" t="s">
        <v>397</v>
      </c>
      <c r="G878" s="234" t="s">
        <v>16</v>
      </c>
      <c r="H878" s="232">
        <v>1</v>
      </c>
      <c r="I878" s="232">
        <v>1</v>
      </c>
      <c r="J878" s="232">
        <v>3</v>
      </c>
      <c r="K878" s="232">
        <v>2</v>
      </c>
      <c r="L878" s="283">
        <v>2</v>
      </c>
      <c r="M878" s="284">
        <f t="shared" si="29"/>
        <v>0.48935255543384243</v>
      </c>
      <c r="N878" s="235"/>
    </row>
    <row r="879" spans="1:14" hidden="1" x14ac:dyDescent="0.2">
      <c r="A879" s="305" t="s">
        <v>385</v>
      </c>
      <c r="B879" s="308" t="s">
        <v>399</v>
      </c>
      <c r="C879" s="247" t="s">
        <v>36</v>
      </c>
      <c r="D879" s="232" t="s">
        <v>135</v>
      </c>
      <c r="E879" s="61">
        <f t="shared" si="28"/>
        <v>0</v>
      </c>
      <c r="F879" s="233" t="s">
        <v>397</v>
      </c>
      <c r="G879" s="234" t="s">
        <v>16</v>
      </c>
      <c r="H879" s="61"/>
      <c r="I879" s="61"/>
      <c r="J879" s="61"/>
      <c r="K879" s="61"/>
      <c r="L879" s="62"/>
      <c r="M879" s="63" t="str">
        <f>IF( OR( ISBLANK(H879),ISBLANK(I879), ISBLANK(J879), ISBLANK(K879), ISBLANK(L879) ), "", 1.5*SQRT(   EXP(2.21*(H879-1)) + EXP(2.21*(I879-1)) + EXP(2.21*(J879-1)) + EXP(2.21*(K879-1)) + EXP(2.21*L879)   )/100*2.45 )</f>
        <v/>
      </c>
      <c r="N879" s="235"/>
    </row>
    <row r="880" spans="1:14" hidden="1" x14ac:dyDescent="0.2">
      <c r="A880" s="305" t="s">
        <v>385</v>
      </c>
      <c r="B880" s="308" t="s">
        <v>399</v>
      </c>
      <c r="C880" s="247" t="s">
        <v>37</v>
      </c>
      <c r="D880" s="232" t="s">
        <v>135</v>
      </c>
      <c r="E880" s="307">
        <f t="shared" si="28"/>
        <v>5.9680879252404062E-2</v>
      </c>
      <c r="F880" s="233" t="s">
        <v>397</v>
      </c>
      <c r="G880" s="234" t="s">
        <v>16</v>
      </c>
      <c r="H880" s="232">
        <v>1</v>
      </c>
      <c r="I880" s="232">
        <v>1</v>
      </c>
      <c r="J880" s="232">
        <v>3</v>
      </c>
      <c r="K880" s="232">
        <v>2</v>
      </c>
      <c r="L880" s="283">
        <v>2</v>
      </c>
      <c r="M880" s="284">
        <f>IF( OR( ISBLANK(H880),ISBLANK(I880), ISBLANK(J880), ISBLANK(K880), ISBLANK(L880) ), "", 1.5*SQRT( EXP(2.21*(H880-1)) + EXP(2.21*(I880-1)) + EXP(2.21*(J880-1)) + EXP(2.21*(K880-1)) + EXP(2.21*L880) )/100*2.45 )</f>
        <v>0.48935255543384243</v>
      </c>
      <c r="N880" s="235"/>
    </row>
    <row r="881" spans="1:14" hidden="1" x14ac:dyDescent="0.2">
      <c r="A881" s="305" t="s">
        <v>385</v>
      </c>
      <c r="B881" s="308" t="s">
        <v>399</v>
      </c>
      <c r="C881" s="247" t="s">
        <v>39</v>
      </c>
      <c r="D881" s="232" t="s">
        <v>135</v>
      </c>
      <c r="E881" s="307">
        <f t="shared" si="28"/>
        <v>1.5793803410485752E-2</v>
      </c>
      <c r="F881" s="233" t="s">
        <v>397</v>
      </c>
      <c r="G881" s="234" t="s">
        <v>16</v>
      </c>
      <c r="H881" s="232">
        <v>1</v>
      </c>
      <c r="I881" s="232">
        <v>1</v>
      </c>
      <c r="J881" s="232">
        <v>3</v>
      </c>
      <c r="K881" s="232">
        <v>2</v>
      </c>
      <c r="L881" s="283">
        <v>2</v>
      </c>
      <c r="M881" s="284">
        <f>IF( OR( ISBLANK(H881),ISBLANK(I881), ISBLANK(J881), ISBLANK(K881), ISBLANK(L881) ), "", 1.5*SQRT( EXP(2.21*(H881-1)) + EXP(2.21*(I881-1)) + EXP(2.21*(J881-1)) + EXP(2.21*(K881-1)) + EXP(2.21*L881) )/100*2.45 )</f>
        <v>0.48935255543384243</v>
      </c>
      <c r="N881" s="235"/>
    </row>
    <row r="882" spans="1:14" hidden="1" x14ac:dyDescent="0.2">
      <c r="A882" s="305" t="s">
        <v>385</v>
      </c>
      <c r="B882" s="308" t="s">
        <v>399</v>
      </c>
      <c r="C882" s="247" t="s">
        <v>40</v>
      </c>
      <c r="D882" s="232" t="s">
        <v>135</v>
      </c>
      <c r="E882" s="307">
        <f t="shared" si="28"/>
        <v>0.1402695177636708</v>
      </c>
      <c r="F882" s="233" t="s">
        <v>397</v>
      </c>
      <c r="G882" s="234" t="s">
        <v>16</v>
      </c>
      <c r="H882" s="232">
        <v>1</v>
      </c>
      <c r="I882" s="232">
        <v>1</v>
      </c>
      <c r="J882" s="232">
        <v>3</v>
      </c>
      <c r="K882" s="232">
        <v>2</v>
      </c>
      <c r="L882" s="283">
        <v>2</v>
      </c>
      <c r="M882" s="284">
        <f>IF( OR( ISBLANK(H882),ISBLANK(I882), ISBLANK(J882), ISBLANK(K882), ISBLANK(L882) ), "", 1.5*SQRT( EXP(2.21*(H882-1)) + EXP(2.21*(I882-1)) + EXP(2.21*(J882-1)) + EXP(2.21*(K882-1)) + EXP(2.21*L882) )/100*2.45 )</f>
        <v>0.48935255543384243</v>
      </c>
      <c r="N882" s="235"/>
    </row>
    <row r="883" spans="1:14" hidden="1" x14ac:dyDescent="0.2">
      <c r="A883" s="305" t="s">
        <v>385</v>
      </c>
      <c r="B883" s="308" t="s">
        <v>399</v>
      </c>
      <c r="C883" s="247" t="s">
        <v>41</v>
      </c>
      <c r="D883" s="232" t="s">
        <v>135</v>
      </c>
      <c r="E883" s="307">
        <f t="shared" si="28"/>
        <v>0.10821561941873681</v>
      </c>
      <c r="F883" s="233" t="s">
        <v>397</v>
      </c>
      <c r="G883" s="234" t="s">
        <v>16</v>
      </c>
      <c r="H883" s="232">
        <v>1</v>
      </c>
      <c r="I883" s="232">
        <v>1</v>
      </c>
      <c r="J883" s="232">
        <v>3</v>
      </c>
      <c r="K883" s="232">
        <v>2</v>
      </c>
      <c r="L883" s="283">
        <v>2</v>
      </c>
      <c r="M883" s="284">
        <f>IF( OR( ISBLANK(H883),ISBLANK(I883), ISBLANK(J883), ISBLANK(K883), ISBLANK(L883) ), "", 1.5*SQRT(   EXP(2.21*(H883-1)) + EXP(2.21*(I883-1)) + EXP(2.21*(J883-1)) + EXP(2.21*(K883-1)) + EXP(2.21*L883)   )/100*2.45 )</f>
        <v>0.48935255543384243</v>
      </c>
      <c r="N883" s="235"/>
    </row>
    <row r="884" spans="1:14" hidden="1" x14ac:dyDescent="0.2">
      <c r="A884" s="305" t="s">
        <v>385</v>
      </c>
      <c r="B884" s="308" t="s">
        <v>399</v>
      </c>
      <c r="C884" s="247" t="s">
        <v>42</v>
      </c>
      <c r="D884" s="232" t="s">
        <v>135</v>
      </c>
      <c r="E884" s="307">
        <f t="shared" si="28"/>
        <v>2.3319115630072829E-2</v>
      </c>
      <c r="F884" s="233" t="s">
        <v>397</v>
      </c>
      <c r="G884" s="234" t="s">
        <v>16</v>
      </c>
      <c r="H884" s="232">
        <v>1</v>
      </c>
      <c r="I884" s="232">
        <v>1</v>
      </c>
      <c r="J884" s="232">
        <v>3</v>
      </c>
      <c r="K884" s="232">
        <v>2</v>
      </c>
      <c r="L884" s="283">
        <v>2</v>
      </c>
      <c r="M884" s="284">
        <f>IF( OR( ISBLANK(H884),ISBLANK(I884), ISBLANK(J884), ISBLANK(K884), ISBLANK(L884) ), "", 1.5*SQRT( EXP(2.21*(H884-1)) + EXP(2.21*(I884-1)) + EXP(2.21*(J884-1)) + EXP(2.21*(K884-1)) + EXP(2.21*L884) )/100*2.45 )</f>
        <v>0.48935255543384243</v>
      </c>
      <c r="N884" s="235"/>
    </row>
    <row r="885" spans="1:14" hidden="1" x14ac:dyDescent="0.2">
      <c r="A885" s="305" t="s">
        <v>385</v>
      </c>
      <c r="B885" s="308" t="s">
        <v>399</v>
      </c>
      <c r="C885" s="247" t="s">
        <v>43</v>
      </c>
      <c r="D885" s="232" t="s">
        <v>135</v>
      </c>
      <c r="E885" s="307">
        <f t="shared" si="28"/>
        <v>5.0844765342960341E-2</v>
      </c>
      <c r="F885" s="233" t="s">
        <v>397</v>
      </c>
      <c r="G885" s="234" t="s">
        <v>16</v>
      </c>
      <c r="H885" s="232">
        <v>1</v>
      </c>
      <c r="I885" s="232">
        <v>1</v>
      </c>
      <c r="J885" s="232">
        <v>3</v>
      </c>
      <c r="K885" s="232">
        <v>2</v>
      </c>
      <c r="L885" s="283">
        <v>2</v>
      </c>
      <c r="M885" s="284">
        <f>IF( OR( ISBLANK(H885),ISBLANK(I885), ISBLANK(J885), ISBLANK(K885), ISBLANK(L885) ), "", 1.5*SQRT(   EXP(2.21*(H885-1)) + EXP(2.21*(I885-1)) + EXP(2.21*(J885-1)) + EXP(2.21*(K885-1)) + EXP(2.21*L885)   )/100*2.45 )</f>
        <v>0.48935255543384243</v>
      </c>
      <c r="N885" s="235"/>
    </row>
    <row r="886" spans="1:14" hidden="1" x14ac:dyDescent="0.2">
      <c r="A886" s="305" t="s">
        <v>385</v>
      </c>
      <c r="B886" s="308" t="s">
        <v>399</v>
      </c>
      <c r="C886" s="247" t="s">
        <v>45</v>
      </c>
      <c r="D886" s="232" t="s">
        <v>135</v>
      </c>
      <c r="E886" s="307">
        <f t="shared" si="28"/>
        <v>0.29400433598406106</v>
      </c>
      <c r="F886" s="233" t="s">
        <v>397</v>
      </c>
      <c r="G886" s="234" t="s">
        <v>16</v>
      </c>
      <c r="H886" s="232">
        <v>1</v>
      </c>
      <c r="I886" s="232">
        <v>1</v>
      </c>
      <c r="J886" s="232">
        <v>3</v>
      </c>
      <c r="K886" s="232">
        <v>2</v>
      </c>
      <c r="L886" s="283">
        <v>2</v>
      </c>
      <c r="M886" s="284">
        <f t="shared" ref="M886:M893" si="30">IF( OR( ISBLANK(H886),ISBLANK(I886), ISBLANK(J886), ISBLANK(K886), ISBLANK(L886) ), "", 1.5*SQRT( EXP(2.21*(H886-1)) + EXP(2.21*(I886-1)) + EXP(2.21*(J886-1)) + EXP(2.21*(K886-1)) + EXP(2.21*L886) )/100*2.45 )</f>
        <v>0.48935255543384243</v>
      </c>
      <c r="N886" s="235"/>
    </row>
    <row r="887" spans="1:14" hidden="1" x14ac:dyDescent="0.2">
      <c r="A887" s="305" t="s">
        <v>385</v>
      </c>
      <c r="B887" s="308" t="s">
        <v>399</v>
      </c>
      <c r="C887" s="247" t="s">
        <v>46</v>
      </c>
      <c r="D887" s="232" t="s">
        <v>135</v>
      </c>
      <c r="E887" s="307">
        <f t="shared" si="28"/>
        <v>0.24101410956034008</v>
      </c>
      <c r="F887" s="233" t="s">
        <v>397</v>
      </c>
      <c r="G887" s="234" t="s">
        <v>16</v>
      </c>
      <c r="H887" s="232">
        <v>1</v>
      </c>
      <c r="I887" s="232">
        <v>2</v>
      </c>
      <c r="J887" s="232">
        <v>3</v>
      </c>
      <c r="K887" s="232">
        <v>2</v>
      </c>
      <c r="L887" s="283">
        <v>2</v>
      </c>
      <c r="M887" s="284">
        <f t="shared" si="30"/>
        <v>0.50042652380814845</v>
      </c>
      <c r="N887" s="235"/>
    </row>
    <row r="888" spans="1:14" hidden="1" x14ac:dyDescent="0.2">
      <c r="A888" s="305" t="s">
        <v>385</v>
      </c>
      <c r="B888" s="308" t="s">
        <v>399</v>
      </c>
      <c r="C888" s="247" t="s">
        <v>48</v>
      </c>
      <c r="D888" s="232" t="s">
        <v>135</v>
      </c>
      <c r="E888" s="307">
        <f t="shared" si="28"/>
        <v>0.22165869964091023</v>
      </c>
      <c r="F888" s="233" t="s">
        <v>397</v>
      </c>
      <c r="G888" s="234" t="s">
        <v>16</v>
      </c>
      <c r="H888" s="232">
        <v>1</v>
      </c>
      <c r="I888" s="232">
        <v>1</v>
      </c>
      <c r="J888" s="232">
        <v>3</v>
      </c>
      <c r="K888" s="232">
        <v>2</v>
      </c>
      <c r="L888" s="283">
        <v>2</v>
      </c>
      <c r="M888" s="284">
        <f t="shared" si="30"/>
        <v>0.48935255543384243</v>
      </c>
      <c r="N888" s="235"/>
    </row>
    <row r="889" spans="1:14" hidden="1" x14ac:dyDescent="0.2">
      <c r="A889" s="305" t="s">
        <v>385</v>
      </c>
      <c r="B889" s="308" t="s">
        <v>399</v>
      </c>
      <c r="C889" s="247" t="s">
        <v>50</v>
      </c>
      <c r="D889" s="232" t="s">
        <v>135</v>
      </c>
      <c r="E889" s="307">
        <f t="shared" si="28"/>
        <v>0.10350252499108614</v>
      </c>
      <c r="F889" s="233" t="s">
        <v>397</v>
      </c>
      <c r="G889" s="234" t="s">
        <v>16</v>
      </c>
      <c r="H889" s="232">
        <v>1</v>
      </c>
      <c r="I889" s="232">
        <v>1</v>
      </c>
      <c r="J889" s="232">
        <v>3</v>
      </c>
      <c r="K889" s="232">
        <v>2</v>
      </c>
      <c r="L889" s="283">
        <v>2</v>
      </c>
      <c r="M889" s="284">
        <f t="shared" si="30"/>
        <v>0.48935255543384243</v>
      </c>
      <c r="N889" s="235"/>
    </row>
    <row r="890" spans="1:14" hidden="1" x14ac:dyDescent="0.2">
      <c r="A890" s="305" t="s">
        <v>385</v>
      </c>
      <c r="B890" s="308" t="s">
        <v>399</v>
      </c>
      <c r="C890" s="247" t="s">
        <v>52</v>
      </c>
      <c r="D890" s="232" t="s">
        <v>135</v>
      </c>
      <c r="E890" s="307">
        <f t="shared" si="28"/>
        <v>0.11028969392848231</v>
      </c>
      <c r="F890" s="233" t="s">
        <v>397</v>
      </c>
      <c r="G890" s="234" t="s">
        <v>16</v>
      </c>
      <c r="H890" s="232">
        <v>1</v>
      </c>
      <c r="I890" s="232">
        <v>1</v>
      </c>
      <c r="J890" s="232">
        <v>3</v>
      </c>
      <c r="K890" s="232">
        <v>2</v>
      </c>
      <c r="L890" s="283">
        <v>2</v>
      </c>
      <c r="M890" s="284">
        <f t="shared" si="30"/>
        <v>0.48935255543384243</v>
      </c>
      <c r="N890" s="235"/>
    </row>
    <row r="891" spans="1:14" hidden="1" x14ac:dyDescent="0.2">
      <c r="A891" s="305" t="s">
        <v>385</v>
      </c>
      <c r="B891" s="308" t="s">
        <v>399</v>
      </c>
      <c r="C891" s="247" t="s">
        <v>54</v>
      </c>
      <c r="D891" s="232" t="s">
        <v>135</v>
      </c>
      <c r="E891" s="307">
        <f t="shared" si="28"/>
        <v>7.1912112637748993E-2</v>
      </c>
      <c r="F891" s="233" t="s">
        <v>397</v>
      </c>
      <c r="G891" s="234" t="s">
        <v>16</v>
      </c>
      <c r="H891" s="232">
        <v>1</v>
      </c>
      <c r="I891" s="232">
        <v>1</v>
      </c>
      <c r="J891" s="232">
        <v>3</v>
      </c>
      <c r="K891" s="232">
        <v>2</v>
      </c>
      <c r="L891" s="283">
        <v>2</v>
      </c>
      <c r="M891" s="284">
        <f t="shared" si="30"/>
        <v>0.48935255543384243</v>
      </c>
      <c r="N891" s="235"/>
    </row>
    <row r="892" spans="1:14" hidden="1" x14ac:dyDescent="0.2">
      <c r="A892" s="305" t="s">
        <v>385</v>
      </c>
      <c r="B892" s="308" t="s">
        <v>399</v>
      </c>
      <c r="C892" s="247" t="s">
        <v>55</v>
      </c>
      <c r="D892" s="232" t="s">
        <v>135</v>
      </c>
      <c r="E892" s="307">
        <f t="shared" si="28"/>
        <v>0.16405240249182107</v>
      </c>
      <c r="F892" s="233" t="s">
        <v>397</v>
      </c>
      <c r="G892" s="234" t="s">
        <v>16</v>
      </c>
      <c r="H892" s="232">
        <v>1</v>
      </c>
      <c r="I892" s="232">
        <v>1</v>
      </c>
      <c r="J892" s="232">
        <v>3</v>
      </c>
      <c r="K892" s="232">
        <v>2</v>
      </c>
      <c r="L892" s="283">
        <v>2</v>
      </c>
      <c r="M892" s="284">
        <f t="shared" si="30"/>
        <v>0.48935255543384243</v>
      </c>
      <c r="N892" s="235"/>
    </row>
    <row r="893" spans="1:14" hidden="1" x14ac:dyDescent="0.2">
      <c r="A893" s="305" t="s">
        <v>385</v>
      </c>
      <c r="B893" s="308" t="s">
        <v>399</v>
      </c>
      <c r="C893" s="247" t="s">
        <v>57</v>
      </c>
      <c r="D893" s="232" t="s">
        <v>135</v>
      </c>
      <c r="E893" s="307">
        <f t="shared" si="28"/>
        <v>0.4852515936010493</v>
      </c>
      <c r="F893" s="233" t="s">
        <v>397</v>
      </c>
      <c r="G893" s="234" t="s">
        <v>16</v>
      </c>
      <c r="H893" s="232">
        <v>1</v>
      </c>
      <c r="I893" s="232">
        <v>1</v>
      </c>
      <c r="J893" s="232">
        <v>3</v>
      </c>
      <c r="K893" s="232">
        <v>2</v>
      </c>
      <c r="L893" s="283">
        <v>2</v>
      </c>
      <c r="M893" s="284">
        <f t="shared" si="30"/>
        <v>0.48935255543384243</v>
      </c>
      <c r="N893" s="235"/>
    </row>
    <row r="894" spans="1:14" hidden="1" x14ac:dyDescent="0.2">
      <c r="A894" s="305" t="s">
        <v>385</v>
      </c>
      <c r="B894" s="308" t="s">
        <v>399</v>
      </c>
      <c r="C894" s="247" t="s">
        <v>59</v>
      </c>
      <c r="D894" s="232" t="s">
        <v>135</v>
      </c>
      <c r="E894" s="307">
        <f t="shared" si="28"/>
        <v>1.0658591975776233E-3</v>
      </c>
      <c r="F894" s="233" t="s">
        <v>397</v>
      </c>
      <c r="G894" s="234" t="s">
        <v>16</v>
      </c>
      <c r="H894" s="232">
        <v>1</v>
      </c>
      <c r="I894" s="232">
        <v>1</v>
      </c>
      <c r="J894" s="232">
        <v>3</v>
      </c>
      <c r="K894" s="232">
        <v>2</v>
      </c>
      <c r="L894" s="283">
        <v>2</v>
      </c>
      <c r="M894" s="284">
        <f>IF( OR( ISBLANK(H894),ISBLANK(I894), ISBLANK(J894), ISBLANK(K894), ISBLANK(L894) ), "", 1.5*SQRT(   EXP(2.21*(H894-1)) + EXP(2.21*(I894-1)) + EXP(2.21*(J894-1)) + EXP(2.21*(K894-1)) + EXP(2.21*L894)   )/100*2.45 )</f>
        <v>0.48935255543384243</v>
      </c>
      <c r="N894" s="235"/>
    </row>
    <row r="895" spans="1:14" hidden="1" x14ac:dyDescent="0.2">
      <c r="A895" s="305" t="s">
        <v>385</v>
      </c>
      <c r="B895" s="308" t="s">
        <v>399</v>
      </c>
      <c r="C895" s="247" t="s">
        <v>60</v>
      </c>
      <c r="D895" s="232" t="s">
        <v>135</v>
      </c>
      <c r="E895" s="753">
        <f t="shared" si="28"/>
        <v>0.3062345925522546</v>
      </c>
      <c r="F895" s="241" t="s">
        <v>397</v>
      </c>
      <c r="G895" s="242" t="s">
        <v>16</v>
      </c>
      <c r="H895" s="239">
        <v>1</v>
      </c>
      <c r="I895" s="239">
        <v>2</v>
      </c>
      <c r="J895" s="239">
        <v>3</v>
      </c>
      <c r="K895" s="239">
        <v>2</v>
      </c>
      <c r="L895" s="751">
        <v>2</v>
      </c>
      <c r="M895" s="752">
        <f t="shared" ref="M895:M926" si="31">IF( OR( ISBLANK(H895),ISBLANK(I895), ISBLANK(J895), ISBLANK(K895), ISBLANK(L895) ), "", 1.5*SQRT( EXP(2.21*(H895-1)) + EXP(2.21*(I895-1)) + EXP(2.21*(J895-1)) + EXP(2.21*(K895-1)) + EXP(2.21*L895) )/100*2.45 )</f>
        <v>0.50042652380814845</v>
      </c>
      <c r="N895" s="245"/>
    </row>
    <row r="896" spans="1:14" x14ac:dyDescent="0.2">
      <c r="A896" s="309" t="s">
        <v>387</v>
      </c>
      <c r="B896" s="310" t="s">
        <v>398</v>
      </c>
      <c r="C896" s="265" t="s">
        <v>13</v>
      </c>
      <c r="D896" s="223" t="s">
        <v>135</v>
      </c>
      <c r="E896" s="61">
        <v>0</v>
      </c>
      <c r="F896" s="233" t="s">
        <v>400</v>
      </c>
      <c r="G896" s="234" t="s">
        <v>16</v>
      </c>
      <c r="H896" s="61"/>
      <c r="I896" s="61"/>
      <c r="J896" s="61" t="str">
        <f>IF( OR( ISBLANK(#REF!),ISBLANK(F896), ISBLANK(#REF!), ISBLANK(H896), ISBLANK(I896) ), "", 1.5*SQRT(   EXP(2.21*(#REF!-1)) + EXP(2.21*(F896-1)) + EXP(2.21*(#REF!-1)) + EXP(2.21*(H896-1)) + EXP(2.21*I896)   )/100 )</f>
        <v/>
      </c>
      <c r="K896" s="61"/>
      <c r="L896" s="62"/>
      <c r="M896" s="63" t="str">
        <f t="shared" si="31"/>
        <v/>
      </c>
      <c r="N896" s="235"/>
    </row>
    <row r="897" spans="1:14" hidden="1" x14ac:dyDescent="0.2">
      <c r="A897" s="305" t="s">
        <v>387</v>
      </c>
      <c r="B897" s="308" t="s">
        <v>398</v>
      </c>
      <c r="C897" s="247" t="s">
        <v>18</v>
      </c>
      <c r="D897" s="232" t="s">
        <v>135</v>
      </c>
      <c r="E897" s="311">
        <v>3.2786885245901641E-2</v>
      </c>
      <c r="F897" s="233" t="s">
        <v>400</v>
      </c>
      <c r="G897" s="234" t="s">
        <v>16</v>
      </c>
      <c r="H897" s="232">
        <v>1</v>
      </c>
      <c r="I897" s="232">
        <v>1</v>
      </c>
      <c r="J897" s="232">
        <v>3</v>
      </c>
      <c r="K897" s="232">
        <v>2</v>
      </c>
      <c r="L897" s="283">
        <v>2</v>
      </c>
      <c r="M897" s="284">
        <f t="shared" si="31"/>
        <v>0.48935255543384243</v>
      </c>
      <c r="N897" s="235"/>
    </row>
    <row r="898" spans="1:14" hidden="1" x14ac:dyDescent="0.2">
      <c r="A898" s="305" t="s">
        <v>387</v>
      </c>
      <c r="B898" s="308" t="s">
        <v>398</v>
      </c>
      <c r="C898" s="247" t="s">
        <v>20</v>
      </c>
      <c r="D898" s="232" t="s">
        <v>135</v>
      </c>
      <c r="E898" s="311">
        <v>0.89610389610389618</v>
      </c>
      <c r="F898" s="233" t="s">
        <v>400</v>
      </c>
      <c r="G898" s="234" t="s">
        <v>16</v>
      </c>
      <c r="H898" s="232">
        <v>1</v>
      </c>
      <c r="I898" s="232">
        <v>1</v>
      </c>
      <c r="J898" s="232">
        <v>3</v>
      </c>
      <c r="K898" s="232">
        <v>2</v>
      </c>
      <c r="L898" s="283">
        <v>2</v>
      </c>
      <c r="M898" s="284">
        <f t="shared" si="31"/>
        <v>0.48935255543384243</v>
      </c>
      <c r="N898" s="235"/>
    </row>
    <row r="899" spans="1:14" hidden="1" x14ac:dyDescent="0.2">
      <c r="A899" s="305" t="s">
        <v>387</v>
      </c>
      <c r="B899" s="308" t="s">
        <v>398</v>
      </c>
      <c r="C899" s="247" t="s">
        <v>22</v>
      </c>
      <c r="D899" s="232" t="s">
        <v>135</v>
      </c>
      <c r="E899" s="311">
        <v>0.93055555555555547</v>
      </c>
      <c r="F899" s="233" t="s">
        <v>400</v>
      </c>
      <c r="G899" s="234" t="s">
        <v>16</v>
      </c>
      <c r="H899" s="232">
        <v>1</v>
      </c>
      <c r="I899" s="232">
        <v>1</v>
      </c>
      <c r="J899" s="232">
        <v>3</v>
      </c>
      <c r="K899" s="232">
        <v>2</v>
      </c>
      <c r="L899" s="283">
        <v>2</v>
      </c>
      <c r="M899" s="284">
        <f t="shared" si="31"/>
        <v>0.48935255543384243</v>
      </c>
      <c r="N899" s="235"/>
    </row>
    <row r="900" spans="1:14" hidden="1" x14ac:dyDescent="0.2">
      <c r="A900" s="305" t="s">
        <v>387</v>
      </c>
      <c r="B900" s="308" t="s">
        <v>398</v>
      </c>
      <c r="C900" s="247" t="s">
        <v>23</v>
      </c>
      <c r="D900" s="232" t="s">
        <v>135</v>
      </c>
      <c r="E900" s="311">
        <v>0.9726027397260274</v>
      </c>
      <c r="F900" s="233" t="s">
        <v>400</v>
      </c>
      <c r="G900" s="234" t="s">
        <v>16</v>
      </c>
      <c r="H900" s="232">
        <v>1</v>
      </c>
      <c r="I900" s="232">
        <v>1</v>
      </c>
      <c r="J900" s="232">
        <v>3</v>
      </c>
      <c r="K900" s="232">
        <v>2</v>
      </c>
      <c r="L900" s="283">
        <v>2</v>
      </c>
      <c r="M900" s="284">
        <f t="shared" si="31"/>
        <v>0.48935255543384243</v>
      </c>
      <c r="N900" s="235"/>
    </row>
    <row r="901" spans="1:14" hidden="1" x14ac:dyDescent="0.2">
      <c r="A901" s="305" t="s">
        <v>387</v>
      </c>
      <c r="B901" s="308" t="s">
        <v>398</v>
      </c>
      <c r="C901" s="247" t="s">
        <v>24</v>
      </c>
      <c r="D901" s="232" t="s">
        <v>135</v>
      </c>
      <c r="E901" s="311">
        <v>0.63934426229508201</v>
      </c>
      <c r="F901" s="233" t="s">
        <v>400</v>
      </c>
      <c r="G901" s="234" t="s">
        <v>16</v>
      </c>
      <c r="H901" s="232">
        <v>1</v>
      </c>
      <c r="I901" s="232">
        <v>1</v>
      </c>
      <c r="J901" s="232">
        <v>3</v>
      </c>
      <c r="K901" s="232">
        <v>2</v>
      </c>
      <c r="L901" s="283">
        <v>2</v>
      </c>
      <c r="M901" s="284">
        <f t="shared" si="31"/>
        <v>0.48935255543384243</v>
      </c>
      <c r="N901" s="235"/>
    </row>
    <row r="902" spans="1:14" hidden="1" x14ac:dyDescent="0.2">
      <c r="A902" s="305" t="s">
        <v>387</v>
      </c>
      <c r="B902" s="308" t="s">
        <v>398</v>
      </c>
      <c r="C902" s="247" t="s">
        <v>25</v>
      </c>
      <c r="D902" s="232" t="s">
        <v>135</v>
      </c>
      <c r="E902" s="311">
        <v>3.3333333333333333E-2</v>
      </c>
      <c r="F902" s="233" t="s">
        <v>400</v>
      </c>
      <c r="G902" s="234" t="s">
        <v>16</v>
      </c>
      <c r="H902" s="232">
        <v>1</v>
      </c>
      <c r="I902" s="232">
        <v>1</v>
      </c>
      <c r="J902" s="232">
        <v>3</v>
      </c>
      <c r="K902" s="232">
        <v>2</v>
      </c>
      <c r="L902" s="283">
        <v>2</v>
      </c>
      <c r="M902" s="284">
        <f t="shared" si="31"/>
        <v>0.48935255543384243</v>
      </c>
      <c r="N902" s="235"/>
    </row>
    <row r="903" spans="1:14" hidden="1" x14ac:dyDescent="0.2">
      <c r="A903" s="305" t="s">
        <v>387</v>
      </c>
      <c r="B903" s="308" t="s">
        <v>398</v>
      </c>
      <c r="C903" s="247" t="s">
        <v>26</v>
      </c>
      <c r="D903" s="232" t="s">
        <v>135</v>
      </c>
      <c r="E903" s="311">
        <v>0.30303030303030298</v>
      </c>
      <c r="F903" s="233" t="s">
        <v>400</v>
      </c>
      <c r="G903" s="234" t="s">
        <v>16</v>
      </c>
      <c r="H903" s="232">
        <v>1</v>
      </c>
      <c r="I903" s="232">
        <v>1</v>
      </c>
      <c r="J903" s="232">
        <v>3</v>
      </c>
      <c r="K903" s="232">
        <v>2</v>
      </c>
      <c r="L903" s="283">
        <v>2</v>
      </c>
      <c r="M903" s="284">
        <f t="shared" si="31"/>
        <v>0.48935255543384243</v>
      </c>
      <c r="N903" s="235"/>
    </row>
    <row r="904" spans="1:14" hidden="1" x14ac:dyDescent="0.2">
      <c r="A904" s="305" t="s">
        <v>387</v>
      </c>
      <c r="B904" s="308" t="s">
        <v>398</v>
      </c>
      <c r="C904" s="247" t="s">
        <v>27</v>
      </c>
      <c r="D904" s="232" t="s">
        <v>135</v>
      </c>
      <c r="E904" s="311">
        <v>2.5316455696202531E-2</v>
      </c>
      <c r="F904" s="233" t="s">
        <v>400</v>
      </c>
      <c r="G904" s="234" t="s">
        <v>16</v>
      </c>
      <c r="H904" s="232">
        <v>1</v>
      </c>
      <c r="I904" s="232">
        <v>1</v>
      </c>
      <c r="J904" s="232">
        <v>3</v>
      </c>
      <c r="K904" s="232">
        <v>2</v>
      </c>
      <c r="L904" s="283">
        <v>2</v>
      </c>
      <c r="M904" s="284">
        <f t="shared" si="31"/>
        <v>0.48935255543384243</v>
      </c>
      <c r="N904" s="235"/>
    </row>
    <row r="905" spans="1:14" hidden="1" x14ac:dyDescent="0.2">
      <c r="A905" s="305" t="s">
        <v>387</v>
      </c>
      <c r="B905" s="308" t="s">
        <v>398</v>
      </c>
      <c r="C905" s="247" t="s">
        <v>28</v>
      </c>
      <c r="D905" s="232" t="s">
        <v>135</v>
      </c>
      <c r="E905" s="311">
        <v>0.41333333333333327</v>
      </c>
      <c r="F905" s="233" t="s">
        <v>400</v>
      </c>
      <c r="G905" s="234" t="s">
        <v>16</v>
      </c>
      <c r="H905" s="232">
        <v>1</v>
      </c>
      <c r="I905" s="232">
        <v>1</v>
      </c>
      <c r="J905" s="232">
        <v>3</v>
      </c>
      <c r="K905" s="232">
        <v>2</v>
      </c>
      <c r="L905" s="283">
        <v>2</v>
      </c>
      <c r="M905" s="284">
        <f t="shared" si="31"/>
        <v>0.48935255543384243</v>
      </c>
      <c r="N905" s="235"/>
    </row>
    <row r="906" spans="1:14" hidden="1" x14ac:dyDescent="0.2">
      <c r="A906" s="305" t="s">
        <v>387</v>
      </c>
      <c r="B906" s="308" t="s">
        <v>398</v>
      </c>
      <c r="C906" s="247" t="s">
        <v>30</v>
      </c>
      <c r="D906" s="232" t="s">
        <v>135</v>
      </c>
      <c r="E906" s="311">
        <v>1.7241379310344831E-2</v>
      </c>
      <c r="F906" s="233" t="s">
        <v>400</v>
      </c>
      <c r="G906" s="234" t="s">
        <v>16</v>
      </c>
      <c r="H906" s="232">
        <v>1</v>
      </c>
      <c r="I906" s="232">
        <v>1</v>
      </c>
      <c r="J906" s="232">
        <v>3</v>
      </c>
      <c r="K906" s="232">
        <v>2</v>
      </c>
      <c r="L906" s="283">
        <v>2</v>
      </c>
      <c r="M906" s="284">
        <f t="shared" si="31"/>
        <v>0.48935255543384243</v>
      </c>
      <c r="N906" s="235"/>
    </row>
    <row r="907" spans="1:14" hidden="1" x14ac:dyDescent="0.2">
      <c r="A907" s="305" t="s">
        <v>387</v>
      </c>
      <c r="B907" s="308" t="s">
        <v>398</v>
      </c>
      <c r="C907" s="247" t="s">
        <v>32</v>
      </c>
      <c r="D907" s="232" t="s">
        <v>135</v>
      </c>
      <c r="E907" s="311">
        <v>0.97333333333333327</v>
      </c>
      <c r="F907" s="233" t="s">
        <v>400</v>
      </c>
      <c r="G907" s="234" t="s">
        <v>16</v>
      </c>
      <c r="H907" s="232">
        <v>1</v>
      </c>
      <c r="I907" s="232">
        <v>1</v>
      </c>
      <c r="J907" s="232">
        <v>3</v>
      </c>
      <c r="K907" s="232">
        <v>2</v>
      </c>
      <c r="L907" s="283">
        <v>2</v>
      </c>
      <c r="M907" s="284">
        <f t="shared" si="31"/>
        <v>0.48935255543384243</v>
      </c>
      <c r="N907" s="235"/>
    </row>
    <row r="908" spans="1:14" hidden="1" x14ac:dyDescent="0.2">
      <c r="A908" s="305" t="s">
        <v>387</v>
      </c>
      <c r="B908" s="308" t="s">
        <v>398</v>
      </c>
      <c r="C908" s="247" t="s">
        <v>34</v>
      </c>
      <c r="D908" s="232" t="s">
        <v>135</v>
      </c>
      <c r="E908" s="311">
        <v>0.73076923076923084</v>
      </c>
      <c r="F908" s="233" t="s">
        <v>400</v>
      </c>
      <c r="G908" s="234" t="s">
        <v>16</v>
      </c>
      <c r="H908" s="232">
        <v>1</v>
      </c>
      <c r="I908" s="232">
        <v>1</v>
      </c>
      <c r="J908" s="232">
        <v>3</v>
      </c>
      <c r="K908" s="232">
        <v>2</v>
      </c>
      <c r="L908" s="283">
        <v>2</v>
      </c>
      <c r="M908" s="284">
        <f t="shared" si="31"/>
        <v>0.48935255543384243</v>
      </c>
      <c r="N908" s="235"/>
    </row>
    <row r="909" spans="1:14" hidden="1" x14ac:dyDescent="0.2">
      <c r="A909" s="305" t="s">
        <v>387</v>
      </c>
      <c r="B909" s="308" t="s">
        <v>398</v>
      </c>
      <c r="C909" s="247" t="s">
        <v>36</v>
      </c>
      <c r="D909" s="232" t="s">
        <v>135</v>
      </c>
      <c r="E909" s="311">
        <v>0.12676056338028169</v>
      </c>
      <c r="F909" s="233" t="s">
        <v>400</v>
      </c>
      <c r="G909" s="234" t="s">
        <v>16</v>
      </c>
      <c r="H909" s="232">
        <v>1</v>
      </c>
      <c r="I909" s="232">
        <v>1</v>
      </c>
      <c r="J909" s="232">
        <v>3</v>
      </c>
      <c r="K909" s="232">
        <v>2</v>
      </c>
      <c r="L909" s="283">
        <v>2</v>
      </c>
      <c r="M909" s="284">
        <f t="shared" si="31"/>
        <v>0.48935255543384243</v>
      </c>
      <c r="N909" s="235"/>
    </row>
    <row r="910" spans="1:14" hidden="1" x14ac:dyDescent="0.2">
      <c r="A910" s="305" t="s">
        <v>387</v>
      </c>
      <c r="B910" s="308" t="s">
        <v>398</v>
      </c>
      <c r="C910" s="247" t="s">
        <v>37</v>
      </c>
      <c r="D910" s="232" t="s">
        <v>135</v>
      </c>
      <c r="E910" s="311">
        <v>0.48484848484848492</v>
      </c>
      <c r="F910" s="233" t="s">
        <v>400</v>
      </c>
      <c r="G910" s="234" t="s">
        <v>16</v>
      </c>
      <c r="H910" s="232">
        <v>1</v>
      </c>
      <c r="I910" s="232">
        <v>1</v>
      </c>
      <c r="J910" s="232">
        <v>3</v>
      </c>
      <c r="K910" s="232">
        <v>2</v>
      </c>
      <c r="L910" s="283">
        <v>2</v>
      </c>
      <c r="M910" s="284">
        <f t="shared" si="31"/>
        <v>0.48935255543384243</v>
      </c>
      <c r="N910" s="235"/>
    </row>
    <row r="911" spans="1:14" hidden="1" x14ac:dyDescent="0.2">
      <c r="A911" s="305" t="s">
        <v>387</v>
      </c>
      <c r="B911" s="308" t="s">
        <v>398</v>
      </c>
      <c r="C911" s="247" t="s">
        <v>39</v>
      </c>
      <c r="D911" s="232" t="s">
        <v>135</v>
      </c>
      <c r="E911" s="311">
        <v>0.96969696969696972</v>
      </c>
      <c r="F911" s="233" t="s">
        <v>400</v>
      </c>
      <c r="G911" s="234" t="s">
        <v>16</v>
      </c>
      <c r="H911" s="232">
        <v>1</v>
      </c>
      <c r="I911" s="232">
        <v>1</v>
      </c>
      <c r="J911" s="232">
        <v>3</v>
      </c>
      <c r="K911" s="232">
        <v>2</v>
      </c>
      <c r="L911" s="283">
        <v>2</v>
      </c>
      <c r="M911" s="284">
        <f t="shared" si="31"/>
        <v>0.48935255543384243</v>
      </c>
      <c r="N911" s="235"/>
    </row>
    <row r="912" spans="1:14" hidden="1" x14ac:dyDescent="0.2">
      <c r="A912" s="305" t="s">
        <v>387</v>
      </c>
      <c r="B912" s="308" t="s">
        <v>398</v>
      </c>
      <c r="C912" s="247" t="s">
        <v>40</v>
      </c>
      <c r="D912" s="232" t="s">
        <v>135</v>
      </c>
      <c r="E912" s="311">
        <v>0.61643835616438358</v>
      </c>
      <c r="F912" s="233" t="s">
        <v>400</v>
      </c>
      <c r="G912" s="234" t="s">
        <v>16</v>
      </c>
      <c r="H912" s="232">
        <v>1</v>
      </c>
      <c r="I912" s="232">
        <v>1</v>
      </c>
      <c r="J912" s="232">
        <v>3</v>
      </c>
      <c r="K912" s="232">
        <v>2</v>
      </c>
      <c r="L912" s="283">
        <v>2</v>
      </c>
      <c r="M912" s="284">
        <f t="shared" si="31"/>
        <v>0.48935255543384243</v>
      </c>
      <c r="N912" s="235"/>
    </row>
    <row r="913" spans="1:14" hidden="1" x14ac:dyDescent="0.2">
      <c r="A913" s="305" t="s">
        <v>387</v>
      </c>
      <c r="B913" s="308" t="s">
        <v>398</v>
      </c>
      <c r="C913" s="247" t="s">
        <v>41</v>
      </c>
      <c r="D913" s="232" t="s">
        <v>135</v>
      </c>
      <c r="E913" s="61">
        <v>0</v>
      </c>
      <c r="F913" s="233" t="s">
        <v>400</v>
      </c>
      <c r="G913" s="234" t="s">
        <v>16</v>
      </c>
      <c r="H913" s="61"/>
      <c r="I913" s="61"/>
      <c r="J913" s="61" t="str">
        <f>IF( OR( ISBLANK(#REF!),ISBLANK(F913), ISBLANK(#REF!), ISBLANK(H913), ISBLANK(I913) ), "", 1.5*SQRT(   EXP(2.21*(#REF!-1)) + EXP(2.21*(F913-1)) + EXP(2.21*(#REF!-1)) + EXP(2.21*(H913-1)) + EXP(2.21*I913)   )/100 )</f>
        <v/>
      </c>
      <c r="K913" s="61"/>
      <c r="L913" s="62"/>
      <c r="M913" s="63" t="str">
        <f t="shared" si="31"/>
        <v/>
      </c>
      <c r="N913" s="235"/>
    </row>
    <row r="914" spans="1:14" hidden="1" x14ac:dyDescent="0.2">
      <c r="A914" s="305" t="s">
        <v>387</v>
      </c>
      <c r="B914" s="308" t="s">
        <v>398</v>
      </c>
      <c r="C914" s="247" t="s">
        <v>42</v>
      </c>
      <c r="D914" s="232" t="s">
        <v>135</v>
      </c>
      <c r="E914" s="311">
        <v>0.97402597402597402</v>
      </c>
      <c r="F914" s="233" t="s">
        <v>400</v>
      </c>
      <c r="G914" s="234" t="s">
        <v>16</v>
      </c>
      <c r="H914" s="232">
        <v>1</v>
      </c>
      <c r="I914" s="232">
        <v>1</v>
      </c>
      <c r="J914" s="232">
        <v>3</v>
      </c>
      <c r="K914" s="232">
        <v>2</v>
      </c>
      <c r="L914" s="283">
        <v>2</v>
      </c>
      <c r="M914" s="284">
        <f t="shared" si="31"/>
        <v>0.48935255543384243</v>
      </c>
      <c r="N914" s="235"/>
    </row>
    <row r="915" spans="1:14" hidden="1" x14ac:dyDescent="0.2">
      <c r="A915" s="305" t="s">
        <v>387</v>
      </c>
      <c r="B915" s="308" t="s">
        <v>398</v>
      </c>
      <c r="C915" s="247" t="s">
        <v>43</v>
      </c>
      <c r="D915" s="232" t="s">
        <v>135</v>
      </c>
      <c r="E915" s="61">
        <v>0</v>
      </c>
      <c r="F915" s="233" t="s">
        <v>400</v>
      </c>
      <c r="G915" s="234" t="s">
        <v>16</v>
      </c>
      <c r="H915" s="61"/>
      <c r="I915" s="61"/>
      <c r="J915" s="61" t="str">
        <f>IF( OR( ISBLANK(#REF!),ISBLANK(F915), ISBLANK(#REF!), ISBLANK(H915), ISBLANK(I915) ), "", 1.5*SQRT(   EXP(2.21*(#REF!-1)) + EXP(2.21*(F915-1)) + EXP(2.21*(#REF!-1)) + EXP(2.21*(H915-1)) + EXP(2.21*I915)   )/100 )</f>
        <v/>
      </c>
      <c r="K915" s="61"/>
      <c r="L915" s="62"/>
      <c r="M915" s="63" t="str">
        <f t="shared" si="31"/>
        <v/>
      </c>
      <c r="N915" s="235"/>
    </row>
    <row r="916" spans="1:14" hidden="1" x14ac:dyDescent="0.2">
      <c r="A916" s="305" t="s">
        <v>387</v>
      </c>
      <c r="B916" s="308" t="s">
        <v>398</v>
      </c>
      <c r="C916" s="247" t="s">
        <v>45</v>
      </c>
      <c r="D916" s="232" t="s">
        <v>135</v>
      </c>
      <c r="E916" s="311">
        <v>3.5714285714285712E-2</v>
      </c>
      <c r="F916" s="233" t="s">
        <v>400</v>
      </c>
      <c r="G916" s="234" t="s">
        <v>16</v>
      </c>
      <c r="H916" s="232">
        <v>1</v>
      </c>
      <c r="I916" s="232">
        <v>1</v>
      </c>
      <c r="J916" s="232">
        <v>3</v>
      </c>
      <c r="K916" s="232">
        <v>2</v>
      </c>
      <c r="L916" s="283">
        <v>2</v>
      </c>
      <c r="M916" s="284">
        <f t="shared" si="31"/>
        <v>0.48935255543384243</v>
      </c>
      <c r="N916" s="235"/>
    </row>
    <row r="917" spans="1:14" hidden="1" x14ac:dyDescent="0.2">
      <c r="A917" s="305" t="s">
        <v>387</v>
      </c>
      <c r="B917" s="308" t="s">
        <v>398</v>
      </c>
      <c r="C917" s="247" t="s">
        <v>46</v>
      </c>
      <c r="D917" s="232" t="s">
        <v>135</v>
      </c>
      <c r="E917" s="311">
        <v>0.56164383561643838</v>
      </c>
      <c r="F917" s="233" t="s">
        <v>400</v>
      </c>
      <c r="G917" s="234" t="s">
        <v>16</v>
      </c>
      <c r="H917" s="232">
        <v>1</v>
      </c>
      <c r="I917" s="232">
        <v>1</v>
      </c>
      <c r="J917" s="232">
        <v>3</v>
      </c>
      <c r="K917" s="232">
        <v>2</v>
      </c>
      <c r="L917" s="283">
        <v>2</v>
      </c>
      <c r="M917" s="284">
        <f t="shared" si="31"/>
        <v>0.48935255543384243</v>
      </c>
      <c r="N917" s="235"/>
    </row>
    <row r="918" spans="1:14" hidden="1" x14ac:dyDescent="0.2">
      <c r="A918" s="305" t="s">
        <v>387</v>
      </c>
      <c r="B918" s="308" t="s">
        <v>398</v>
      </c>
      <c r="C918" s="247" t="s">
        <v>48</v>
      </c>
      <c r="D918" s="232" t="s">
        <v>135</v>
      </c>
      <c r="E918" s="311">
        <v>0.48529411764705888</v>
      </c>
      <c r="F918" s="233" t="s">
        <v>400</v>
      </c>
      <c r="G918" s="234" t="s">
        <v>16</v>
      </c>
      <c r="H918" s="232">
        <v>1</v>
      </c>
      <c r="I918" s="232">
        <v>1</v>
      </c>
      <c r="J918" s="232">
        <v>3</v>
      </c>
      <c r="K918" s="232">
        <v>2</v>
      </c>
      <c r="L918" s="283">
        <v>2</v>
      </c>
      <c r="M918" s="284">
        <f t="shared" si="31"/>
        <v>0.48935255543384243</v>
      </c>
      <c r="N918" s="235"/>
    </row>
    <row r="919" spans="1:14" hidden="1" x14ac:dyDescent="0.2">
      <c r="A919" s="305" t="s">
        <v>387</v>
      </c>
      <c r="B919" s="308" t="s">
        <v>398</v>
      </c>
      <c r="C919" s="247" t="s">
        <v>50</v>
      </c>
      <c r="D919" s="232" t="s">
        <v>135</v>
      </c>
      <c r="E919" s="311">
        <v>0.83582089552238814</v>
      </c>
      <c r="F919" s="233" t="s">
        <v>400</v>
      </c>
      <c r="G919" s="234" t="s">
        <v>16</v>
      </c>
      <c r="H919" s="232">
        <v>1</v>
      </c>
      <c r="I919" s="232">
        <v>1</v>
      </c>
      <c r="J919" s="232">
        <v>3</v>
      </c>
      <c r="K919" s="232">
        <v>2</v>
      </c>
      <c r="L919" s="283">
        <v>2</v>
      </c>
      <c r="M919" s="284">
        <f t="shared" si="31"/>
        <v>0.48935255543384243</v>
      </c>
      <c r="N919" s="235"/>
    </row>
    <row r="920" spans="1:14" hidden="1" x14ac:dyDescent="0.2">
      <c r="A920" s="305" t="s">
        <v>387</v>
      </c>
      <c r="B920" s="308" t="s">
        <v>398</v>
      </c>
      <c r="C920" s="247" t="s">
        <v>52</v>
      </c>
      <c r="D920" s="232" t="s">
        <v>135</v>
      </c>
      <c r="E920" s="311">
        <v>0.6428571428571429</v>
      </c>
      <c r="F920" s="233" t="s">
        <v>400</v>
      </c>
      <c r="G920" s="234" t="s">
        <v>16</v>
      </c>
      <c r="H920" s="232">
        <v>1</v>
      </c>
      <c r="I920" s="232">
        <v>1</v>
      </c>
      <c r="J920" s="232">
        <v>3</v>
      </c>
      <c r="K920" s="232">
        <v>2</v>
      </c>
      <c r="L920" s="283">
        <v>2</v>
      </c>
      <c r="M920" s="284">
        <f t="shared" si="31"/>
        <v>0.48935255543384243</v>
      </c>
      <c r="N920" s="235"/>
    </row>
    <row r="921" spans="1:14" hidden="1" x14ac:dyDescent="0.2">
      <c r="A921" s="305" t="s">
        <v>387</v>
      </c>
      <c r="B921" s="308" t="s">
        <v>398</v>
      </c>
      <c r="C921" s="247" t="s">
        <v>54</v>
      </c>
      <c r="D921" s="232" t="s">
        <v>135</v>
      </c>
      <c r="E921" s="311">
        <v>0.50769230769230766</v>
      </c>
      <c r="F921" s="233" t="s">
        <v>400</v>
      </c>
      <c r="G921" s="234" t="s">
        <v>16</v>
      </c>
      <c r="H921" s="232">
        <v>1</v>
      </c>
      <c r="I921" s="232">
        <v>1</v>
      </c>
      <c r="J921" s="232">
        <v>3</v>
      </c>
      <c r="K921" s="232">
        <v>2</v>
      </c>
      <c r="L921" s="283">
        <v>2</v>
      </c>
      <c r="M921" s="284">
        <f t="shared" si="31"/>
        <v>0.48935255543384243</v>
      </c>
      <c r="N921" s="235"/>
    </row>
    <row r="922" spans="1:14" hidden="1" x14ac:dyDescent="0.2">
      <c r="A922" s="305" t="s">
        <v>387</v>
      </c>
      <c r="B922" s="308" t="s">
        <v>398</v>
      </c>
      <c r="C922" s="247" t="s">
        <v>55</v>
      </c>
      <c r="D922" s="232" t="s">
        <v>135</v>
      </c>
      <c r="E922" s="311">
        <v>0.63157894736842113</v>
      </c>
      <c r="F922" s="233" t="s">
        <v>400</v>
      </c>
      <c r="G922" s="234" t="s">
        <v>16</v>
      </c>
      <c r="H922" s="232">
        <v>1</v>
      </c>
      <c r="I922" s="232">
        <v>1</v>
      </c>
      <c r="J922" s="232">
        <v>3</v>
      </c>
      <c r="K922" s="232">
        <v>2</v>
      </c>
      <c r="L922" s="283">
        <v>2</v>
      </c>
      <c r="M922" s="284">
        <f t="shared" si="31"/>
        <v>0.48935255543384243</v>
      </c>
      <c r="N922" s="235"/>
    </row>
    <row r="923" spans="1:14" hidden="1" x14ac:dyDescent="0.2">
      <c r="A923" s="305" t="s">
        <v>387</v>
      </c>
      <c r="B923" s="308" t="s">
        <v>398</v>
      </c>
      <c r="C923" s="247" t="s">
        <v>57</v>
      </c>
      <c r="D923" s="232" t="s">
        <v>135</v>
      </c>
      <c r="E923" s="311">
        <v>1.6393442622950821E-2</v>
      </c>
      <c r="F923" s="233" t="s">
        <v>400</v>
      </c>
      <c r="G923" s="234" t="s">
        <v>16</v>
      </c>
      <c r="H923" s="232">
        <v>1</v>
      </c>
      <c r="I923" s="232">
        <v>1</v>
      </c>
      <c r="J923" s="232">
        <v>3</v>
      </c>
      <c r="K923" s="232">
        <v>2</v>
      </c>
      <c r="L923" s="283">
        <v>2</v>
      </c>
      <c r="M923" s="284">
        <f t="shared" si="31"/>
        <v>0.48935255543384243</v>
      </c>
      <c r="N923" s="235"/>
    </row>
    <row r="924" spans="1:14" hidden="1" x14ac:dyDescent="0.2">
      <c r="A924" s="305" t="s">
        <v>387</v>
      </c>
      <c r="B924" s="308" t="s">
        <v>398</v>
      </c>
      <c r="C924" s="247" t="s">
        <v>59</v>
      </c>
      <c r="D924" s="232" t="s">
        <v>135</v>
      </c>
      <c r="E924" s="61">
        <v>0</v>
      </c>
      <c r="F924" s="233" t="s">
        <v>400</v>
      </c>
      <c r="G924" s="234" t="s">
        <v>16</v>
      </c>
      <c r="H924" s="61"/>
      <c r="I924" s="61"/>
      <c r="J924" s="61" t="str">
        <f>IF( OR( ISBLANK(#REF!),ISBLANK(F924), ISBLANK(#REF!), ISBLANK(H924), ISBLANK(I924) ), "", 1.5*SQRT(   EXP(2.21*(#REF!-1)) + EXP(2.21*(F924-1)) + EXP(2.21*(#REF!-1)) + EXP(2.21*(H924-1)) + EXP(2.21*I924)   )/100 )</f>
        <v/>
      </c>
      <c r="K924" s="61"/>
      <c r="L924" s="62"/>
      <c r="M924" s="63" t="str">
        <f t="shared" si="31"/>
        <v/>
      </c>
      <c r="N924" s="235"/>
    </row>
    <row r="925" spans="1:14" hidden="1" x14ac:dyDescent="0.2">
      <c r="A925" s="305" t="s">
        <v>387</v>
      </c>
      <c r="B925" s="308" t="s">
        <v>398</v>
      </c>
      <c r="C925" s="247" t="s">
        <v>60</v>
      </c>
      <c r="D925" s="232" t="s">
        <v>135</v>
      </c>
      <c r="E925" s="311">
        <v>0.30158730158730163</v>
      </c>
      <c r="F925" s="233" t="s">
        <v>400</v>
      </c>
      <c r="G925" s="234" t="s">
        <v>16</v>
      </c>
      <c r="H925" s="232">
        <v>1</v>
      </c>
      <c r="I925" s="232">
        <v>2</v>
      </c>
      <c r="J925" s="232">
        <v>3</v>
      </c>
      <c r="K925" s="232">
        <v>2</v>
      </c>
      <c r="L925" s="283">
        <v>2</v>
      </c>
      <c r="M925" s="284">
        <f t="shared" si="31"/>
        <v>0.50042652380814845</v>
      </c>
      <c r="N925" s="235"/>
    </row>
    <row r="926" spans="1:14" x14ac:dyDescent="0.2">
      <c r="A926" s="312" t="s">
        <v>387</v>
      </c>
      <c r="B926" s="281" t="s">
        <v>399</v>
      </c>
      <c r="C926" s="238" t="s">
        <v>135</v>
      </c>
      <c r="D926" s="239" t="s">
        <v>135</v>
      </c>
      <c r="E926" s="240" t="s">
        <v>188</v>
      </c>
      <c r="F926" s="241"/>
      <c r="G926" s="242" t="s">
        <v>16</v>
      </c>
      <c r="H926" s="240"/>
      <c r="I926" s="240"/>
      <c r="J926" s="240" t="str">
        <f>IF( OR( ISBLANK(#REF!),ISBLANK(F926), ISBLANK(#REF!), ISBLANK(H926), ISBLANK(I926) ), "", 1.5*SQRT(   EXP(2.21*(#REF!-1)) + EXP(2.21*(F926-1)) + EXP(2.21*(#REF!-1)) + EXP(2.21*(H926-1)) + EXP(2.21*I926)   )/100 )</f>
        <v/>
      </c>
      <c r="K926" s="240"/>
      <c r="L926" s="243"/>
      <c r="M926" s="244" t="str">
        <f t="shared" si="31"/>
        <v/>
      </c>
      <c r="N926" s="245"/>
    </row>
    <row r="927" spans="1:14" x14ac:dyDescent="0.2">
      <c r="A927" s="231" t="s">
        <v>388</v>
      </c>
      <c r="B927" s="306" t="s">
        <v>401</v>
      </c>
      <c r="C927" s="222" t="s">
        <v>135</v>
      </c>
      <c r="D927" s="115" t="s">
        <v>14</v>
      </c>
      <c r="E927" s="151">
        <v>0</v>
      </c>
      <c r="F927" s="233"/>
      <c r="G927" s="234" t="s">
        <v>16</v>
      </c>
      <c r="H927" s="61"/>
      <c r="I927" s="61"/>
      <c r="J927" s="61"/>
      <c r="K927" s="61"/>
      <c r="L927" s="62"/>
      <c r="M927" s="63"/>
      <c r="N927" s="235"/>
    </row>
    <row r="928" spans="1:14" x14ac:dyDescent="0.2">
      <c r="A928" s="231" t="s">
        <v>388</v>
      </c>
      <c r="B928" s="306" t="s">
        <v>401</v>
      </c>
      <c r="C928" s="222" t="s">
        <v>135</v>
      </c>
      <c r="D928" s="121" t="s">
        <v>62</v>
      </c>
      <c r="E928" s="177">
        <v>0.24</v>
      </c>
      <c r="F928" s="233" t="s">
        <v>402</v>
      </c>
      <c r="G928" s="234" t="s">
        <v>16</v>
      </c>
      <c r="H928" s="232">
        <v>2</v>
      </c>
      <c r="I928" s="232">
        <v>2</v>
      </c>
      <c r="J928" s="232">
        <v>1</v>
      </c>
      <c r="K928" s="232">
        <v>2</v>
      </c>
      <c r="L928" s="283">
        <v>2</v>
      </c>
      <c r="M928" s="284">
        <f>IF( OR( ISBLANK(H928),ISBLANK(I928), ISBLANK(J928), ISBLANK(K928), ISBLANK(L928) ), "", 1.5*SQRT( EXP(2.21*(H928-1)) + EXP(2.21*(I928-1)) + EXP(2.21*(J928-1)) + EXP(2.21*(K928-1)) + EXP(2.21*L928) )/100*2.45 )</f>
        <v>0.38795788889711302</v>
      </c>
      <c r="N928" s="235"/>
    </row>
    <row r="929" spans="1:14" x14ac:dyDescent="0.2">
      <c r="A929" s="231" t="s">
        <v>388</v>
      </c>
      <c r="B929" s="306" t="s">
        <v>401</v>
      </c>
      <c r="C929" s="222" t="s">
        <v>135</v>
      </c>
      <c r="D929" s="124" t="s">
        <v>64</v>
      </c>
      <c r="E929" s="177">
        <v>0.23080000000000001</v>
      </c>
      <c r="F929" s="233" t="s">
        <v>402</v>
      </c>
      <c r="G929" s="234" t="s">
        <v>16</v>
      </c>
      <c r="H929" s="232">
        <v>2</v>
      </c>
      <c r="I929" s="232">
        <v>2</v>
      </c>
      <c r="J929" s="232">
        <v>1</v>
      </c>
      <c r="K929" s="232">
        <v>2</v>
      </c>
      <c r="L929" s="283">
        <v>2</v>
      </c>
      <c r="M929" s="284">
        <f>IF( OR( ISBLANK(H929),ISBLANK(I929), ISBLANK(J929), ISBLANK(K929), ISBLANK(L929) ), "", 1.5*SQRT( EXP(2.21*(H929-1)) + EXP(2.21*(I929-1)) + EXP(2.21*(J929-1)) + EXP(2.21*(K929-1)) + EXP(2.21*L929) )/100*2.45 )</f>
        <v>0.38795788889711302</v>
      </c>
      <c r="N929" s="235"/>
    </row>
    <row r="930" spans="1:14" x14ac:dyDescent="0.2">
      <c r="A930" s="231" t="s">
        <v>388</v>
      </c>
      <c r="B930" s="306" t="s">
        <v>401</v>
      </c>
      <c r="C930" s="222" t="s">
        <v>135</v>
      </c>
      <c r="D930" s="125" t="s">
        <v>66</v>
      </c>
      <c r="E930" s="151">
        <v>0</v>
      </c>
      <c r="F930" s="233"/>
      <c r="G930" s="234" t="s">
        <v>16</v>
      </c>
      <c r="H930" s="61"/>
      <c r="I930" s="61"/>
      <c r="J930" s="61"/>
      <c r="K930" s="61"/>
      <c r="L930" s="62"/>
      <c r="M930" s="63"/>
      <c r="N930" s="235"/>
    </row>
    <row r="931" spans="1:14" x14ac:dyDescent="0.2">
      <c r="A931" s="231" t="s">
        <v>388</v>
      </c>
      <c r="B931" s="306" t="s">
        <v>401</v>
      </c>
      <c r="C931" s="222" t="s">
        <v>135</v>
      </c>
      <c r="D931" s="126" t="s">
        <v>94</v>
      </c>
      <c r="E931" s="151">
        <v>0</v>
      </c>
      <c r="F931" s="233"/>
      <c r="G931" s="234" t="s">
        <v>16</v>
      </c>
      <c r="H931" s="61"/>
      <c r="I931" s="61"/>
      <c r="J931" s="61"/>
      <c r="K931" s="61"/>
      <c r="L931" s="62"/>
      <c r="M931" s="63"/>
      <c r="N931" s="235"/>
    </row>
    <row r="932" spans="1:14" x14ac:dyDescent="0.2">
      <c r="A932" s="231" t="s">
        <v>388</v>
      </c>
      <c r="B932" s="306" t="s">
        <v>401</v>
      </c>
      <c r="C932" s="222" t="s">
        <v>135</v>
      </c>
      <c r="D932" s="127" t="s">
        <v>96</v>
      </c>
      <c r="E932" s="151">
        <v>0</v>
      </c>
      <c r="F932" s="233"/>
      <c r="G932" s="234" t="s">
        <v>16</v>
      </c>
      <c r="H932" s="61"/>
      <c r="I932" s="61"/>
      <c r="J932" s="61"/>
      <c r="K932" s="61"/>
      <c r="L932" s="62"/>
      <c r="M932" s="63"/>
      <c r="N932" s="235"/>
    </row>
    <row r="933" spans="1:14" x14ac:dyDescent="0.2">
      <c r="A933" s="231" t="s">
        <v>388</v>
      </c>
      <c r="B933" s="306" t="s">
        <v>401</v>
      </c>
      <c r="C933" s="222" t="s">
        <v>135</v>
      </c>
      <c r="D933" s="128" t="s">
        <v>98</v>
      </c>
      <c r="E933" s="177">
        <v>0.25569999999999998</v>
      </c>
      <c r="F933" s="233" t="s">
        <v>402</v>
      </c>
      <c r="G933" s="234" t="s">
        <v>16</v>
      </c>
      <c r="H933" s="232">
        <v>2</v>
      </c>
      <c r="I933" s="232">
        <v>2</v>
      </c>
      <c r="J933" s="232">
        <v>3</v>
      </c>
      <c r="K933" s="232">
        <v>2</v>
      </c>
      <c r="L933" s="283">
        <v>2</v>
      </c>
      <c r="M933" s="284">
        <f>IF( OR( ISBLANK(H933),ISBLANK(I933), ISBLANK(J933), ISBLANK(K933), ISBLANK(L933) ), "", 1.5*SQRT(   EXP(2.21*(H933-1)) + EXP(2.21*(I933-1)) + EXP(2.21*(J933-1)) + EXP(2.21*(K933-1)) + EXP(2.21*L933)   )/100*2.45 )</f>
        <v>0.51126068492676302</v>
      </c>
      <c r="N933" s="235"/>
    </row>
    <row r="934" spans="1:14" x14ac:dyDescent="0.2">
      <c r="A934" s="231" t="s">
        <v>388</v>
      </c>
      <c r="B934" s="285" t="s">
        <v>398</v>
      </c>
      <c r="C934" s="222" t="s">
        <v>135</v>
      </c>
      <c r="D934" s="115" t="s">
        <v>14</v>
      </c>
      <c r="E934" s="151">
        <v>0</v>
      </c>
      <c r="F934" s="233"/>
      <c r="G934" s="234"/>
      <c r="H934" s="61"/>
      <c r="I934" s="61"/>
      <c r="J934" s="61"/>
      <c r="K934" s="61"/>
      <c r="L934" s="62"/>
      <c r="M934" s="63"/>
      <c r="N934" s="235"/>
    </row>
    <row r="935" spans="1:14" x14ac:dyDescent="0.2">
      <c r="A935" s="231" t="s">
        <v>388</v>
      </c>
      <c r="B935" s="308" t="s">
        <v>398</v>
      </c>
      <c r="C935" s="247" t="s">
        <v>13</v>
      </c>
      <c r="D935" s="121" t="s">
        <v>62</v>
      </c>
      <c r="E935" s="61">
        <v>0</v>
      </c>
      <c r="F935" s="233" t="s">
        <v>403</v>
      </c>
      <c r="G935" s="234" t="s">
        <v>16</v>
      </c>
      <c r="H935" s="61"/>
      <c r="I935" s="61"/>
      <c r="J935" s="61"/>
      <c r="K935" s="61"/>
      <c r="L935" s="62"/>
      <c r="M935" s="63" t="str">
        <f>IF( OR( ISBLANK(H935),ISBLANK(I935), ISBLANK(J935), ISBLANK(K935), ISBLANK(L935) ), "", 1.5*SQRT(   EXP(2.21*(H935-1)) + EXP(2.21*(I935-1)) + EXP(2.21*(J935-1)) + EXP(2.21*(K935-1)) + EXP(2.21*L935)   )/100*2.45 )</f>
        <v/>
      </c>
      <c r="N935" s="235"/>
    </row>
    <row r="936" spans="1:14" hidden="1" x14ac:dyDescent="0.2">
      <c r="A936" s="231" t="s">
        <v>388</v>
      </c>
      <c r="B936" s="308" t="s">
        <v>398</v>
      </c>
      <c r="C936" s="247" t="s">
        <v>18</v>
      </c>
      <c r="D936" s="121" t="s">
        <v>62</v>
      </c>
      <c r="E936" s="311">
        <v>8.6858371405536174E-3</v>
      </c>
      <c r="F936" s="233" t="s">
        <v>403</v>
      </c>
      <c r="G936" s="234" t="s">
        <v>16</v>
      </c>
      <c r="H936" s="232">
        <v>1</v>
      </c>
      <c r="I936" s="232">
        <v>2</v>
      </c>
      <c r="J936" s="232">
        <v>3</v>
      </c>
      <c r="K936" s="232">
        <v>2</v>
      </c>
      <c r="L936" s="283">
        <v>2</v>
      </c>
      <c r="M936" s="284">
        <f t="shared" ref="M936:M967" si="32">IF( OR( ISBLANK(H936),ISBLANK(I936), ISBLANK(J936), ISBLANK(K936), ISBLANK(L936) ), "", 1.5*SQRT( EXP(2.21*(H936-1)) + EXP(2.21*(I936-1)) + EXP(2.21*(J936-1)) + EXP(2.21*(K936-1)) + EXP(2.21*L936) )/100*2.45 )</f>
        <v>0.50042652380814845</v>
      </c>
      <c r="N936" s="235"/>
    </row>
    <row r="937" spans="1:14" hidden="1" x14ac:dyDescent="0.2">
      <c r="A937" s="231" t="s">
        <v>388</v>
      </c>
      <c r="B937" s="308" t="s">
        <v>398</v>
      </c>
      <c r="C937" s="247" t="s">
        <v>20</v>
      </c>
      <c r="D937" s="121" t="s">
        <v>62</v>
      </c>
      <c r="E937" s="311">
        <v>0.82534660145049754</v>
      </c>
      <c r="F937" s="233" t="s">
        <v>403</v>
      </c>
      <c r="G937" s="234" t="s">
        <v>16</v>
      </c>
      <c r="H937" s="232">
        <v>1</v>
      </c>
      <c r="I937" s="232">
        <v>2</v>
      </c>
      <c r="J937" s="232">
        <v>3</v>
      </c>
      <c r="K937" s="232">
        <v>2</v>
      </c>
      <c r="L937" s="283">
        <v>2</v>
      </c>
      <c r="M937" s="284">
        <f t="shared" si="32"/>
        <v>0.50042652380814845</v>
      </c>
      <c r="N937" s="235"/>
    </row>
    <row r="938" spans="1:14" hidden="1" x14ac:dyDescent="0.2">
      <c r="A938" s="231" t="s">
        <v>388</v>
      </c>
      <c r="B938" s="308" t="s">
        <v>398</v>
      </c>
      <c r="C938" s="247" t="s">
        <v>22</v>
      </c>
      <c r="D938" s="121" t="s">
        <v>62</v>
      </c>
      <c r="E938" s="311">
        <v>0.88144290123456781</v>
      </c>
      <c r="F938" s="233" t="s">
        <v>403</v>
      </c>
      <c r="G938" s="234" t="s">
        <v>16</v>
      </c>
      <c r="H938" s="232">
        <v>1</v>
      </c>
      <c r="I938" s="232">
        <v>2</v>
      </c>
      <c r="J938" s="232">
        <v>3</v>
      </c>
      <c r="K938" s="232">
        <v>2</v>
      </c>
      <c r="L938" s="283">
        <v>2</v>
      </c>
      <c r="M938" s="284">
        <f t="shared" si="32"/>
        <v>0.50042652380814845</v>
      </c>
      <c r="N938" s="235"/>
    </row>
    <row r="939" spans="1:14" hidden="1" x14ac:dyDescent="0.2">
      <c r="A939" s="231" t="s">
        <v>388</v>
      </c>
      <c r="B939" s="308" t="s">
        <v>398</v>
      </c>
      <c r="C939" s="247" t="s">
        <v>23</v>
      </c>
      <c r="D939" s="121" t="s">
        <v>62</v>
      </c>
      <c r="E939" s="311">
        <v>0.95235128541940328</v>
      </c>
      <c r="F939" s="233" t="s">
        <v>403</v>
      </c>
      <c r="G939" s="234" t="s">
        <v>16</v>
      </c>
      <c r="H939" s="232">
        <v>1</v>
      </c>
      <c r="I939" s="232">
        <v>2</v>
      </c>
      <c r="J939" s="232">
        <v>3</v>
      </c>
      <c r="K939" s="232">
        <v>2</v>
      </c>
      <c r="L939" s="283">
        <v>2</v>
      </c>
      <c r="M939" s="284">
        <f t="shared" si="32"/>
        <v>0.50042652380814845</v>
      </c>
      <c r="N939" s="235"/>
    </row>
    <row r="940" spans="1:14" hidden="1" x14ac:dyDescent="0.2">
      <c r="A940" s="231" t="s">
        <v>388</v>
      </c>
      <c r="B940" s="308" t="s">
        <v>398</v>
      </c>
      <c r="C940" s="247" t="s">
        <v>24</v>
      </c>
      <c r="D940" s="121" t="s">
        <v>62</v>
      </c>
      <c r="E940" s="311">
        <v>0.46410104810534808</v>
      </c>
      <c r="F940" s="233" t="s">
        <v>403</v>
      </c>
      <c r="G940" s="234" t="s">
        <v>16</v>
      </c>
      <c r="H940" s="232">
        <v>1</v>
      </c>
      <c r="I940" s="232">
        <v>2</v>
      </c>
      <c r="J940" s="232">
        <v>3</v>
      </c>
      <c r="K940" s="232">
        <v>2</v>
      </c>
      <c r="L940" s="283">
        <v>2</v>
      </c>
      <c r="M940" s="284">
        <f t="shared" si="32"/>
        <v>0.50042652380814845</v>
      </c>
      <c r="N940" s="235"/>
    </row>
    <row r="941" spans="1:14" hidden="1" x14ac:dyDescent="0.2">
      <c r="A941" s="231" t="s">
        <v>388</v>
      </c>
      <c r="B941" s="308" t="s">
        <v>398</v>
      </c>
      <c r="C941" s="247" t="s">
        <v>25</v>
      </c>
      <c r="D941" s="121" t="s">
        <v>62</v>
      </c>
      <c r="E941" s="311">
        <v>8.844444444444443E-3</v>
      </c>
      <c r="F941" s="233" t="s">
        <v>403</v>
      </c>
      <c r="G941" s="234" t="s">
        <v>16</v>
      </c>
      <c r="H941" s="232">
        <v>1</v>
      </c>
      <c r="I941" s="232">
        <v>2</v>
      </c>
      <c r="J941" s="232">
        <v>3</v>
      </c>
      <c r="K941" s="232">
        <v>2</v>
      </c>
      <c r="L941" s="283">
        <v>2</v>
      </c>
      <c r="M941" s="284">
        <f t="shared" si="32"/>
        <v>0.50042652380814845</v>
      </c>
      <c r="N941" s="235"/>
    </row>
    <row r="942" spans="1:14" hidden="1" x14ac:dyDescent="0.2">
      <c r="A942" s="231" t="s">
        <v>388</v>
      </c>
      <c r="B942" s="308" t="s">
        <v>398</v>
      </c>
      <c r="C942" s="247" t="s">
        <v>26</v>
      </c>
      <c r="D942" s="121" t="s">
        <v>62</v>
      </c>
      <c r="E942" s="311">
        <v>0.14251606978879711</v>
      </c>
      <c r="F942" s="233" t="s">
        <v>403</v>
      </c>
      <c r="G942" s="234" t="s">
        <v>16</v>
      </c>
      <c r="H942" s="232">
        <v>1</v>
      </c>
      <c r="I942" s="232">
        <v>2</v>
      </c>
      <c r="J942" s="232">
        <v>3</v>
      </c>
      <c r="K942" s="232">
        <v>2</v>
      </c>
      <c r="L942" s="283">
        <v>2</v>
      </c>
      <c r="M942" s="284">
        <f t="shared" si="32"/>
        <v>0.50042652380814845</v>
      </c>
      <c r="N942" s="235"/>
    </row>
    <row r="943" spans="1:14" hidden="1" x14ac:dyDescent="0.2">
      <c r="A943" s="231" t="s">
        <v>388</v>
      </c>
      <c r="B943" s="308" t="s">
        <v>398</v>
      </c>
      <c r="C943" s="247" t="s">
        <v>27</v>
      </c>
      <c r="D943" s="121" t="s">
        <v>62</v>
      </c>
      <c r="E943" s="311">
        <v>6.563050793142124E-3</v>
      </c>
      <c r="F943" s="233" t="s">
        <v>403</v>
      </c>
      <c r="G943" s="234" t="s">
        <v>16</v>
      </c>
      <c r="H943" s="232">
        <v>1</v>
      </c>
      <c r="I943" s="232">
        <v>2</v>
      </c>
      <c r="J943" s="232">
        <v>3</v>
      </c>
      <c r="K943" s="232">
        <v>2</v>
      </c>
      <c r="L943" s="283">
        <v>2</v>
      </c>
      <c r="M943" s="284">
        <f t="shared" si="32"/>
        <v>0.50042652380814845</v>
      </c>
      <c r="N943" s="235"/>
    </row>
    <row r="944" spans="1:14" hidden="1" x14ac:dyDescent="0.2">
      <c r="A944" s="231" t="s">
        <v>388</v>
      </c>
      <c r="B944" s="308" t="s">
        <v>398</v>
      </c>
      <c r="C944" s="247" t="s">
        <v>28</v>
      </c>
      <c r="D944" s="121" t="s">
        <v>62</v>
      </c>
      <c r="E944" s="311">
        <v>0.22904177777777779</v>
      </c>
      <c r="F944" s="233" t="s">
        <v>403</v>
      </c>
      <c r="G944" s="234" t="s">
        <v>16</v>
      </c>
      <c r="H944" s="232">
        <v>1</v>
      </c>
      <c r="I944" s="232">
        <v>2</v>
      </c>
      <c r="J944" s="232">
        <v>3</v>
      </c>
      <c r="K944" s="232">
        <v>2</v>
      </c>
      <c r="L944" s="283">
        <v>2</v>
      </c>
      <c r="M944" s="284">
        <f t="shared" si="32"/>
        <v>0.50042652380814845</v>
      </c>
      <c r="N944" s="235"/>
    </row>
    <row r="945" spans="1:14" hidden="1" x14ac:dyDescent="0.2">
      <c r="A945" s="231" t="s">
        <v>388</v>
      </c>
      <c r="B945" s="308" t="s">
        <v>398</v>
      </c>
      <c r="C945" s="247" t="s">
        <v>30</v>
      </c>
      <c r="D945" s="121" t="s">
        <v>62</v>
      </c>
      <c r="E945" s="311">
        <v>4.3638525564803814E-3</v>
      </c>
      <c r="F945" s="233" t="s">
        <v>403</v>
      </c>
      <c r="G945" s="234" t="s">
        <v>16</v>
      </c>
      <c r="H945" s="232">
        <v>1</v>
      </c>
      <c r="I945" s="232">
        <v>2</v>
      </c>
      <c r="J945" s="232">
        <v>3</v>
      </c>
      <c r="K945" s="232">
        <v>2</v>
      </c>
      <c r="L945" s="283">
        <v>2</v>
      </c>
      <c r="M945" s="284">
        <f t="shared" si="32"/>
        <v>0.50042652380814845</v>
      </c>
      <c r="N945" s="235"/>
    </row>
    <row r="946" spans="1:14" hidden="1" x14ac:dyDescent="0.2">
      <c r="A946" s="231" t="s">
        <v>388</v>
      </c>
      <c r="B946" s="308" t="s">
        <v>398</v>
      </c>
      <c r="C946" s="247" t="s">
        <v>32</v>
      </c>
      <c r="D946" s="121" t="s">
        <v>62</v>
      </c>
      <c r="E946" s="311">
        <v>0.95360711111111107</v>
      </c>
      <c r="F946" s="233" t="s">
        <v>403</v>
      </c>
      <c r="G946" s="234" t="s">
        <v>16</v>
      </c>
      <c r="H946" s="232">
        <v>1</v>
      </c>
      <c r="I946" s="232">
        <v>2</v>
      </c>
      <c r="J946" s="232">
        <v>3</v>
      </c>
      <c r="K946" s="232">
        <v>2</v>
      </c>
      <c r="L946" s="283">
        <v>2</v>
      </c>
      <c r="M946" s="284">
        <f t="shared" si="32"/>
        <v>0.50042652380814845</v>
      </c>
      <c r="N946" s="235"/>
    </row>
    <row r="947" spans="1:14" hidden="1" x14ac:dyDescent="0.2">
      <c r="A947" s="231" t="s">
        <v>388</v>
      </c>
      <c r="B947" s="308" t="s">
        <v>398</v>
      </c>
      <c r="C947" s="247" t="s">
        <v>34</v>
      </c>
      <c r="D947" s="121" t="s">
        <v>62</v>
      </c>
      <c r="E947" s="311">
        <v>0.58124260355029589</v>
      </c>
      <c r="F947" s="233" t="s">
        <v>403</v>
      </c>
      <c r="G947" s="234" t="s">
        <v>16</v>
      </c>
      <c r="H947" s="232">
        <v>1</v>
      </c>
      <c r="I947" s="232">
        <v>2</v>
      </c>
      <c r="J947" s="232">
        <v>3</v>
      </c>
      <c r="K947" s="232">
        <v>2</v>
      </c>
      <c r="L947" s="283">
        <v>2</v>
      </c>
      <c r="M947" s="284">
        <f t="shared" si="32"/>
        <v>0.50042652380814845</v>
      </c>
      <c r="N947" s="235"/>
    </row>
    <row r="948" spans="1:14" hidden="1" x14ac:dyDescent="0.2">
      <c r="A948" s="231" t="s">
        <v>388</v>
      </c>
      <c r="B948" s="308" t="s">
        <v>398</v>
      </c>
      <c r="C948" s="247" t="s">
        <v>36</v>
      </c>
      <c r="D948" s="121" t="s">
        <v>62</v>
      </c>
      <c r="E948" s="311">
        <v>4.263439793691727E-2</v>
      </c>
      <c r="F948" s="233" t="s">
        <v>403</v>
      </c>
      <c r="G948" s="234" t="s">
        <v>16</v>
      </c>
      <c r="H948" s="232">
        <v>1</v>
      </c>
      <c r="I948" s="232">
        <v>2</v>
      </c>
      <c r="J948" s="232">
        <v>3</v>
      </c>
      <c r="K948" s="232">
        <v>2</v>
      </c>
      <c r="L948" s="283">
        <v>2</v>
      </c>
      <c r="M948" s="284">
        <f t="shared" si="32"/>
        <v>0.50042652380814845</v>
      </c>
      <c r="N948" s="235"/>
    </row>
    <row r="949" spans="1:14" hidden="1" x14ac:dyDescent="0.2">
      <c r="A949" s="231" t="s">
        <v>388</v>
      </c>
      <c r="B949" s="308" t="s">
        <v>398</v>
      </c>
      <c r="C949" s="247" t="s">
        <v>37</v>
      </c>
      <c r="D949" s="121" t="s">
        <v>62</v>
      </c>
      <c r="E949" s="311">
        <v>0.29502295684113872</v>
      </c>
      <c r="F949" s="233" t="s">
        <v>403</v>
      </c>
      <c r="G949" s="234" t="s">
        <v>16</v>
      </c>
      <c r="H949" s="232">
        <v>1</v>
      </c>
      <c r="I949" s="232">
        <v>2</v>
      </c>
      <c r="J949" s="232">
        <v>3</v>
      </c>
      <c r="K949" s="232">
        <v>2</v>
      </c>
      <c r="L949" s="283">
        <v>2</v>
      </c>
      <c r="M949" s="284">
        <f t="shared" si="32"/>
        <v>0.50042652380814845</v>
      </c>
      <c r="N949" s="235"/>
    </row>
    <row r="950" spans="1:14" hidden="1" x14ac:dyDescent="0.2">
      <c r="A950" s="231" t="s">
        <v>388</v>
      </c>
      <c r="B950" s="308" t="s">
        <v>398</v>
      </c>
      <c r="C950" s="247" t="s">
        <v>39</v>
      </c>
      <c r="D950" s="121" t="s">
        <v>62</v>
      </c>
      <c r="E950" s="311">
        <v>0.94736455463728186</v>
      </c>
      <c r="F950" s="233" t="s">
        <v>403</v>
      </c>
      <c r="G950" s="234" t="s">
        <v>16</v>
      </c>
      <c r="H950" s="232">
        <v>1</v>
      </c>
      <c r="I950" s="232">
        <v>2</v>
      </c>
      <c r="J950" s="232">
        <v>3</v>
      </c>
      <c r="K950" s="232">
        <v>2</v>
      </c>
      <c r="L950" s="283">
        <v>2</v>
      </c>
      <c r="M950" s="284">
        <f t="shared" si="32"/>
        <v>0.50042652380814845</v>
      </c>
      <c r="N950" s="235"/>
    </row>
    <row r="951" spans="1:14" hidden="1" x14ac:dyDescent="0.2">
      <c r="A951" s="231" t="s">
        <v>388</v>
      </c>
      <c r="B951" s="308" t="s">
        <v>398</v>
      </c>
      <c r="C951" s="247" t="s">
        <v>40</v>
      </c>
      <c r="D951" s="121" t="s">
        <v>62</v>
      </c>
      <c r="E951" s="311">
        <v>0.43674235316194399</v>
      </c>
      <c r="F951" s="233" t="s">
        <v>403</v>
      </c>
      <c r="G951" s="234" t="s">
        <v>16</v>
      </c>
      <c r="H951" s="232">
        <v>1</v>
      </c>
      <c r="I951" s="232">
        <v>2</v>
      </c>
      <c r="J951" s="232">
        <v>3</v>
      </c>
      <c r="K951" s="232">
        <v>2</v>
      </c>
      <c r="L951" s="283">
        <v>2</v>
      </c>
      <c r="M951" s="284">
        <f t="shared" si="32"/>
        <v>0.50042652380814845</v>
      </c>
      <c r="N951" s="235"/>
    </row>
    <row r="952" spans="1:14" hidden="1" x14ac:dyDescent="0.2">
      <c r="A952" s="231" t="s">
        <v>388</v>
      </c>
      <c r="B952" s="308" t="s">
        <v>398</v>
      </c>
      <c r="C952" s="247" t="s">
        <v>41</v>
      </c>
      <c r="D952" s="121" t="s">
        <v>62</v>
      </c>
      <c r="E952" s="61">
        <v>0</v>
      </c>
      <c r="F952" s="233" t="s">
        <v>403</v>
      </c>
      <c r="G952" s="234" t="s">
        <v>16</v>
      </c>
      <c r="H952" s="61"/>
      <c r="I952" s="61"/>
      <c r="J952" s="61"/>
      <c r="K952" s="61"/>
      <c r="L952" s="62"/>
      <c r="M952" s="63" t="str">
        <f t="shared" si="32"/>
        <v/>
      </c>
      <c r="N952" s="235"/>
    </row>
    <row r="953" spans="1:14" hidden="1" x14ac:dyDescent="0.2">
      <c r="A953" s="231" t="s">
        <v>388</v>
      </c>
      <c r="B953" s="308" t="s">
        <v>398</v>
      </c>
      <c r="C953" s="247" t="s">
        <v>42</v>
      </c>
      <c r="D953" s="121" t="s">
        <v>62</v>
      </c>
      <c r="E953" s="311">
        <v>0.95479844830494187</v>
      </c>
      <c r="F953" s="233" t="s">
        <v>403</v>
      </c>
      <c r="G953" s="234" t="s">
        <v>16</v>
      </c>
      <c r="H953" s="232">
        <v>1</v>
      </c>
      <c r="I953" s="232">
        <v>2</v>
      </c>
      <c r="J953" s="232">
        <v>3</v>
      </c>
      <c r="K953" s="232">
        <v>2</v>
      </c>
      <c r="L953" s="283">
        <v>2</v>
      </c>
      <c r="M953" s="284">
        <f t="shared" si="32"/>
        <v>0.50042652380814845</v>
      </c>
      <c r="N953" s="235"/>
    </row>
    <row r="954" spans="1:14" hidden="1" x14ac:dyDescent="0.2">
      <c r="A954" s="231" t="s">
        <v>388</v>
      </c>
      <c r="B954" s="308" t="s">
        <v>398</v>
      </c>
      <c r="C954" s="247" t="s">
        <v>43</v>
      </c>
      <c r="D954" s="121" t="s">
        <v>62</v>
      </c>
      <c r="E954" s="61">
        <v>0</v>
      </c>
      <c r="F954" s="233" t="s">
        <v>403</v>
      </c>
      <c r="G954" s="234" t="s">
        <v>16</v>
      </c>
      <c r="H954" s="61"/>
      <c r="I954" s="61"/>
      <c r="J954" s="61"/>
      <c r="K954" s="61"/>
      <c r="L954" s="62"/>
      <c r="M954" s="63" t="str">
        <f t="shared" si="32"/>
        <v/>
      </c>
      <c r="N954" s="235"/>
    </row>
    <row r="955" spans="1:14" hidden="1" x14ac:dyDescent="0.2">
      <c r="A955" s="231" t="s">
        <v>388</v>
      </c>
      <c r="B955" s="308" t="s">
        <v>398</v>
      </c>
      <c r="C955" s="247" t="s">
        <v>45</v>
      </c>
      <c r="D955" s="121" t="s">
        <v>62</v>
      </c>
      <c r="E955" s="311">
        <v>9.5408163265306104E-3</v>
      </c>
      <c r="F955" s="233" t="s">
        <v>403</v>
      </c>
      <c r="G955" s="234" t="s">
        <v>16</v>
      </c>
      <c r="H955" s="232">
        <v>1</v>
      </c>
      <c r="I955" s="232">
        <v>2</v>
      </c>
      <c r="J955" s="232">
        <v>3</v>
      </c>
      <c r="K955" s="232">
        <v>2</v>
      </c>
      <c r="L955" s="283">
        <v>2</v>
      </c>
      <c r="M955" s="284">
        <f t="shared" si="32"/>
        <v>0.50042652380814845</v>
      </c>
      <c r="N955" s="235"/>
    </row>
    <row r="956" spans="1:14" hidden="1" x14ac:dyDescent="0.2">
      <c r="A956" s="231" t="s">
        <v>388</v>
      </c>
      <c r="B956" s="308" t="s">
        <v>398</v>
      </c>
      <c r="C956" s="247" t="s">
        <v>46</v>
      </c>
      <c r="D956" s="121" t="s">
        <v>62</v>
      </c>
      <c r="E956" s="311">
        <v>0.37453180709326328</v>
      </c>
      <c r="F956" s="233" t="s">
        <v>403</v>
      </c>
      <c r="G956" s="234" t="s">
        <v>16</v>
      </c>
      <c r="H956" s="232">
        <v>1</v>
      </c>
      <c r="I956" s="232">
        <v>2</v>
      </c>
      <c r="J956" s="232">
        <v>3</v>
      </c>
      <c r="K956" s="232">
        <v>2</v>
      </c>
      <c r="L956" s="283">
        <v>2</v>
      </c>
      <c r="M956" s="284">
        <f t="shared" si="32"/>
        <v>0.50042652380814845</v>
      </c>
      <c r="N956" s="235"/>
    </row>
    <row r="957" spans="1:14" hidden="1" x14ac:dyDescent="0.2">
      <c r="A957" s="231" t="s">
        <v>388</v>
      </c>
      <c r="B957" s="308" t="s">
        <v>398</v>
      </c>
      <c r="C957" s="247" t="s">
        <v>48</v>
      </c>
      <c r="D957" s="121" t="s">
        <v>62</v>
      </c>
      <c r="E957" s="311">
        <v>0.29545847750865051</v>
      </c>
      <c r="F957" s="233" t="s">
        <v>403</v>
      </c>
      <c r="G957" s="234" t="s">
        <v>16</v>
      </c>
      <c r="H957" s="232">
        <v>1</v>
      </c>
      <c r="I957" s="232">
        <v>2</v>
      </c>
      <c r="J957" s="232">
        <v>3</v>
      </c>
      <c r="K957" s="232">
        <v>2</v>
      </c>
      <c r="L957" s="283">
        <v>2</v>
      </c>
      <c r="M957" s="284">
        <f t="shared" si="32"/>
        <v>0.50042652380814845</v>
      </c>
      <c r="N957" s="235"/>
    </row>
    <row r="958" spans="1:14" hidden="1" x14ac:dyDescent="0.2">
      <c r="A958" s="231" t="s">
        <v>388</v>
      </c>
      <c r="B958" s="308" t="s">
        <v>398</v>
      </c>
      <c r="C958" s="247" t="s">
        <v>50</v>
      </c>
      <c r="D958" s="121" t="s">
        <v>62</v>
      </c>
      <c r="E958" s="311">
        <v>0.73153040766317678</v>
      </c>
      <c r="F958" s="233" t="s">
        <v>403</v>
      </c>
      <c r="G958" s="234" t="s">
        <v>16</v>
      </c>
      <c r="H958" s="232">
        <v>1</v>
      </c>
      <c r="I958" s="232">
        <v>2</v>
      </c>
      <c r="J958" s="232">
        <v>3</v>
      </c>
      <c r="K958" s="232">
        <v>2</v>
      </c>
      <c r="L958" s="283">
        <v>2</v>
      </c>
      <c r="M958" s="284">
        <f t="shared" si="32"/>
        <v>0.50042652380814845</v>
      </c>
      <c r="N958" s="235"/>
    </row>
    <row r="959" spans="1:14" hidden="1" x14ac:dyDescent="0.2">
      <c r="A959" s="231" t="s">
        <v>388</v>
      </c>
      <c r="B959" s="308" t="s">
        <v>398</v>
      </c>
      <c r="C959" s="247" t="s">
        <v>52</v>
      </c>
      <c r="D959" s="121" t="s">
        <v>62</v>
      </c>
      <c r="E959" s="311">
        <v>0.46836734693877552</v>
      </c>
      <c r="F959" s="233" t="s">
        <v>403</v>
      </c>
      <c r="G959" s="234" t="s">
        <v>16</v>
      </c>
      <c r="H959" s="232">
        <v>1</v>
      </c>
      <c r="I959" s="232">
        <v>2</v>
      </c>
      <c r="J959" s="232">
        <v>3</v>
      </c>
      <c r="K959" s="232">
        <v>2</v>
      </c>
      <c r="L959" s="283">
        <v>2</v>
      </c>
      <c r="M959" s="284">
        <f t="shared" si="32"/>
        <v>0.50042652380814845</v>
      </c>
      <c r="N959" s="235"/>
    </row>
    <row r="960" spans="1:14" hidden="1" x14ac:dyDescent="0.2">
      <c r="A960" s="231" t="s">
        <v>388</v>
      </c>
      <c r="B960" s="308" t="s">
        <v>398</v>
      </c>
      <c r="C960" s="247" t="s">
        <v>54</v>
      </c>
      <c r="D960" s="121" t="s">
        <v>62</v>
      </c>
      <c r="E960" s="311">
        <v>0.31773727810650892</v>
      </c>
      <c r="F960" s="233" t="s">
        <v>403</v>
      </c>
      <c r="G960" s="234" t="s">
        <v>16</v>
      </c>
      <c r="H960" s="232">
        <v>1</v>
      </c>
      <c r="I960" s="232">
        <v>2</v>
      </c>
      <c r="J960" s="232">
        <v>3</v>
      </c>
      <c r="K960" s="232">
        <v>2</v>
      </c>
      <c r="L960" s="283">
        <v>2</v>
      </c>
      <c r="M960" s="284">
        <f t="shared" si="32"/>
        <v>0.50042652380814845</v>
      </c>
      <c r="N960" s="235"/>
    </row>
    <row r="961" spans="1:14" hidden="1" x14ac:dyDescent="0.2">
      <c r="A961" s="231" t="s">
        <v>388</v>
      </c>
      <c r="B961" s="308" t="s">
        <v>398</v>
      </c>
      <c r="C961" s="247" t="s">
        <v>55</v>
      </c>
      <c r="D961" s="121" t="s">
        <v>62</v>
      </c>
      <c r="E961" s="311">
        <v>0.45473684210526322</v>
      </c>
      <c r="F961" s="233" t="s">
        <v>403</v>
      </c>
      <c r="G961" s="234" t="s">
        <v>16</v>
      </c>
      <c r="H961" s="232">
        <v>1</v>
      </c>
      <c r="I961" s="232">
        <v>2</v>
      </c>
      <c r="J961" s="232">
        <v>3</v>
      </c>
      <c r="K961" s="232">
        <v>2</v>
      </c>
      <c r="L961" s="283">
        <v>2</v>
      </c>
      <c r="M961" s="284">
        <f t="shared" si="32"/>
        <v>0.50042652380814845</v>
      </c>
      <c r="N961" s="235"/>
    </row>
    <row r="962" spans="1:14" hidden="1" x14ac:dyDescent="0.2">
      <c r="A962" s="231" t="s">
        <v>388</v>
      </c>
      <c r="B962" s="308" t="s">
        <v>398</v>
      </c>
      <c r="C962" s="247" t="s">
        <v>57</v>
      </c>
      <c r="D962" s="121" t="s">
        <v>62</v>
      </c>
      <c r="E962" s="311">
        <v>4.1386723998925014E-3</v>
      </c>
      <c r="F962" s="233" t="s">
        <v>403</v>
      </c>
      <c r="G962" s="234" t="s">
        <v>16</v>
      </c>
      <c r="H962" s="232">
        <v>1</v>
      </c>
      <c r="I962" s="232">
        <v>2</v>
      </c>
      <c r="J962" s="232">
        <v>3</v>
      </c>
      <c r="K962" s="232">
        <v>2</v>
      </c>
      <c r="L962" s="283">
        <v>2</v>
      </c>
      <c r="M962" s="284">
        <f t="shared" si="32"/>
        <v>0.50042652380814845</v>
      </c>
      <c r="N962" s="235"/>
    </row>
    <row r="963" spans="1:14" hidden="1" x14ac:dyDescent="0.2">
      <c r="A963" s="231" t="s">
        <v>388</v>
      </c>
      <c r="B963" s="308" t="s">
        <v>398</v>
      </c>
      <c r="C963" s="247" t="s">
        <v>59</v>
      </c>
      <c r="D963" s="121" t="s">
        <v>62</v>
      </c>
      <c r="E963" s="61">
        <v>0</v>
      </c>
      <c r="F963" s="233" t="s">
        <v>403</v>
      </c>
      <c r="G963" s="234" t="s">
        <v>16</v>
      </c>
      <c r="H963" s="61"/>
      <c r="I963" s="61"/>
      <c r="J963" s="61"/>
      <c r="K963" s="61"/>
      <c r="L963" s="62"/>
      <c r="M963" s="63" t="str">
        <f t="shared" si="32"/>
        <v/>
      </c>
      <c r="N963" s="235"/>
    </row>
    <row r="964" spans="1:14" hidden="1" x14ac:dyDescent="0.2">
      <c r="A964" s="231" t="s">
        <v>388</v>
      </c>
      <c r="B964" s="308" t="s">
        <v>398</v>
      </c>
      <c r="C964" s="247" t="s">
        <v>60</v>
      </c>
      <c r="D964" s="121" t="s">
        <v>62</v>
      </c>
      <c r="E964" s="311">
        <v>0.14150667674477199</v>
      </c>
      <c r="F964" s="233" t="s">
        <v>403</v>
      </c>
      <c r="G964" s="234" t="s">
        <v>16</v>
      </c>
      <c r="H964" s="232">
        <v>1</v>
      </c>
      <c r="I964" s="232">
        <v>2</v>
      </c>
      <c r="J964" s="232">
        <v>3</v>
      </c>
      <c r="K964" s="232">
        <v>2</v>
      </c>
      <c r="L964" s="283">
        <v>2</v>
      </c>
      <c r="M964" s="284">
        <f t="shared" si="32"/>
        <v>0.50042652380814845</v>
      </c>
      <c r="N964" s="235"/>
    </row>
    <row r="965" spans="1:14" x14ac:dyDescent="0.2">
      <c r="A965" s="231" t="s">
        <v>388</v>
      </c>
      <c r="B965" s="308" t="s">
        <v>398</v>
      </c>
      <c r="C965" s="247" t="s">
        <v>13</v>
      </c>
      <c r="D965" s="124" t="s">
        <v>64</v>
      </c>
      <c r="E965" s="61">
        <v>0</v>
      </c>
      <c r="F965" s="233" t="s">
        <v>403</v>
      </c>
      <c r="G965" s="234" t="s">
        <v>16</v>
      </c>
      <c r="H965" s="61"/>
      <c r="I965" s="61"/>
      <c r="J965" s="61"/>
      <c r="K965" s="61"/>
      <c r="L965" s="62"/>
      <c r="M965" s="63" t="str">
        <f t="shared" si="32"/>
        <v/>
      </c>
      <c r="N965" s="235"/>
    </row>
    <row r="966" spans="1:14" hidden="1" x14ac:dyDescent="0.2">
      <c r="A966" s="231" t="s">
        <v>388</v>
      </c>
      <c r="B966" s="308" t="s">
        <v>398</v>
      </c>
      <c r="C966" s="247" t="s">
        <v>18</v>
      </c>
      <c r="D966" s="124" t="s">
        <v>64</v>
      </c>
      <c r="E966" s="311">
        <v>8.3931118599218611E-3</v>
      </c>
      <c r="F966" s="233" t="s">
        <v>403</v>
      </c>
      <c r="G966" s="234" t="s">
        <v>16</v>
      </c>
      <c r="H966" s="232">
        <v>1</v>
      </c>
      <c r="I966" s="232">
        <v>2</v>
      </c>
      <c r="J966" s="232">
        <v>3</v>
      </c>
      <c r="K966" s="232">
        <v>2</v>
      </c>
      <c r="L966" s="283">
        <v>2</v>
      </c>
      <c r="M966" s="284">
        <f t="shared" si="32"/>
        <v>0.50042652380814845</v>
      </c>
      <c r="N966" s="235"/>
    </row>
    <row r="967" spans="1:14" hidden="1" x14ac:dyDescent="0.2">
      <c r="A967" s="231" t="s">
        <v>388</v>
      </c>
      <c r="B967" s="308" t="s">
        <v>398</v>
      </c>
      <c r="C967" s="247" t="s">
        <v>20</v>
      </c>
      <c r="D967" s="124" t="s">
        <v>64</v>
      </c>
      <c r="E967" s="311">
        <v>0.82448720111057783</v>
      </c>
      <c r="F967" s="233" t="s">
        <v>403</v>
      </c>
      <c r="G967" s="234" t="s">
        <v>16</v>
      </c>
      <c r="H967" s="232">
        <v>1</v>
      </c>
      <c r="I967" s="232">
        <v>2</v>
      </c>
      <c r="J967" s="232">
        <v>3</v>
      </c>
      <c r="K967" s="232">
        <v>2</v>
      </c>
      <c r="L967" s="283">
        <v>2</v>
      </c>
      <c r="M967" s="284">
        <f t="shared" si="32"/>
        <v>0.50042652380814845</v>
      </c>
      <c r="N967" s="235"/>
    </row>
    <row r="968" spans="1:14" hidden="1" x14ac:dyDescent="0.2">
      <c r="A968" s="231" t="s">
        <v>388</v>
      </c>
      <c r="B968" s="308" t="s">
        <v>398</v>
      </c>
      <c r="C968" s="247" t="s">
        <v>22</v>
      </c>
      <c r="D968" s="124" t="s">
        <v>64</v>
      </c>
      <c r="E968" s="311">
        <v>0.88084639126305786</v>
      </c>
      <c r="F968" s="233" t="s">
        <v>403</v>
      </c>
      <c r="G968" s="234" t="s">
        <v>16</v>
      </c>
      <c r="H968" s="232">
        <v>1</v>
      </c>
      <c r="I968" s="232">
        <v>2</v>
      </c>
      <c r="J968" s="232">
        <v>3</v>
      </c>
      <c r="K968" s="232">
        <v>2</v>
      </c>
      <c r="L968" s="283">
        <v>2</v>
      </c>
      <c r="M968" s="284">
        <f t="shared" ref="M968:M994" si="33">IF( OR( ISBLANK(H968),ISBLANK(I968), ISBLANK(J968), ISBLANK(K968), ISBLANK(L968) ), "", 1.5*SQRT( EXP(2.21*(H968-1)) + EXP(2.21*(I968-1)) + EXP(2.21*(J968-1)) + EXP(2.21*(K968-1)) + EXP(2.21*L968) )/100*2.45 )</f>
        <v>0.50042652380814845</v>
      </c>
      <c r="N968" s="235"/>
    </row>
    <row r="969" spans="1:14" hidden="1" x14ac:dyDescent="0.2">
      <c r="A969" s="231" t="s">
        <v>388</v>
      </c>
      <c r="B969" s="308" t="s">
        <v>398</v>
      </c>
      <c r="C969" s="247" t="s">
        <v>23</v>
      </c>
      <c r="D969" s="124" t="s">
        <v>64</v>
      </c>
      <c r="E969" s="311">
        <v>0.95210531633875606</v>
      </c>
      <c r="F969" s="233" t="s">
        <v>403</v>
      </c>
      <c r="G969" s="234" t="s">
        <v>16</v>
      </c>
      <c r="H969" s="232">
        <v>1</v>
      </c>
      <c r="I969" s="232">
        <v>2</v>
      </c>
      <c r="J969" s="232">
        <v>3</v>
      </c>
      <c r="K969" s="232">
        <v>2</v>
      </c>
      <c r="L969" s="283">
        <v>2</v>
      </c>
      <c r="M969" s="284">
        <f t="shared" si="33"/>
        <v>0.50042652380814845</v>
      </c>
      <c r="N969" s="235"/>
    </row>
    <row r="970" spans="1:14" hidden="1" x14ac:dyDescent="0.2">
      <c r="A970" s="231" t="s">
        <v>388</v>
      </c>
      <c r="B970" s="308" t="s">
        <v>398</v>
      </c>
      <c r="C970" s="247" t="s">
        <v>24</v>
      </c>
      <c r="D970" s="124" t="s">
        <v>64</v>
      </c>
      <c r="E970" s="311">
        <v>0.46197258801397473</v>
      </c>
      <c r="F970" s="233" t="s">
        <v>403</v>
      </c>
      <c r="G970" s="234" t="s">
        <v>16</v>
      </c>
      <c r="H970" s="232">
        <v>1</v>
      </c>
      <c r="I970" s="232">
        <v>2</v>
      </c>
      <c r="J970" s="232">
        <v>3</v>
      </c>
      <c r="K970" s="232">
        <v>2</v>
      </c>
      <c r="L970" s="283">
        <v>2</v>
      </c>
      <c r="M970" s="284">
        <f t="shared" si="33"/>
        <v>0.50042652380814845</v>
      </c>
      <c r="N970" s="235"/>
    </row>
    <row r="971" spans="1:14" hidden="1" x14ac:dyDescent="0.2">
      <c r="A971" s="231" t="s">
        <v>388</v>
      </c>
      <c r="B971" s="308" t="s">
        <v>398</v>
      </c>
      <c r="C971" s="247" t="s">
        <v>25</v>
      </c>
      <c r="D971" s="124" t="s">
        <v>64</v>
      </c>
      <c r="E971" s="311">
        <v>8.5470085470085496E-3</v>
      </c>
      <c r="F971" s="233" t="s">
        <v>403</v>
      </c>
      <c r="G971" s="234" t="s">
        <v>16</v>
      </c>
      <c r="H971" s="232">
        <v>1</v>
      </c>
      <c r="I971" s="232">
        <v>2</v>
      </c>
      <c r="J971" s="232">
        <v>3</v>
      </c>
      <c r="K971" s="232">
        <v>2</v>
      </c>
      <c r="L971" s="283">
        <v>2</v>
      </c>
      <c r="M971" s="284">
        <f t="shared" si="33"/>
        <v>0.50042652380814845</v>
      </c>
      <c r="N971" s="235"/>
    </row>
    <row r="972" spans="1:14" hidden="1" x14ac:dyDescent="0.2">
      <c r="A972" s="231" t="s">
        <v>388</v>
      </c>
      <c r="B972" s="308" t="s">
        <v>398</v>
      </c>
      <c r="C972" s="247" t="s">
        <v>26</v>
      </c>
      <c r="D972" s="124" t="s">
        <v>64</v>
      </c>
      <c r="E972" s="311">
        <v>0.1405665042028679</v>
      </c>
      <c r="F972" s="233" t="s">
        <v>403</v>
      </c>
      <c r="G972" s="234" t="s">
        <v>16</v>
      </c>
      <c r="H972" s="232">
        <v>1</v>
      </c>
      <c r="I972" s="232">
        <v>2</v>
      </c>
      <c r="J972" s="232">
        <v>3</v>
      </c>
      <c r="K972" s="232">
        <v>2</v>
      </c>
      <c r="L972" s="283">
        <v>2</v>
      </c>
      <c r="M972" s="284">
        <f t="shared" si="33"/>
        <v>0.50042652380814845</v>
      </c>
      <c r="N972" s="235"/>
    </row>
    <row r="973" spans="1:14" hidden="1" x14ac:dyDescent="0.2">
      <c r="A973" s="231" t="s">
        <v>388</v>
      </c>
      <c r="B973" s="308" t="s">
        <v>398</v>
      </c>
      <c r="C973" s="247" t="s">
        <v>27</v>
      </c>
      <c r="D973" s="124" t="s">
        <v>64</v>
      </c>
      <c r="E973" s="311">
        <v>6.3352766445219592E-3</v>
      </c>
      <c r="F973" s="233" t="s">
        <v>403</v>
      </c>
      <c r="G973" s="234" t="s">
        <v>16</v>
      </c>
      <c r="H973" s="232">
        <v>1</v>
      </c>
      <c r="I973" s="232">
        <v>2</v>
      </c>
      <c r="J973" s="232">
        <v>3</v>
      </c>
      <c r="K973" s="232">
        <v>2</v>
      </c>
      <c r="L973" s="283">
        <v>2</v>
      </c>
      <c r="M973" s="284">
        <f t="shared" si="33"/>
        <v>0.50042652380814845</v>
      </c>
      <c r="N973" s="235"/>
    </row>
    <row r="974" spans="1:14" hidden="1" x14ac:dyDescent="0.2">
      <c r="A974" s="231" t="s">
        <v>388</v>
      </c>
      <c r="B974" s="308" t="s">
        <v>398</v>
      </c>
      <c r="C974" s="247" t="s">
        <v>28</v>
      </c>
      <c r="D974" s="124" t="s">
        <v>64</v>
      </c>
      <c r="E974" s="311">
        <v>0.22680341880341881</v>
      </c>
      <c r="F974" s="233" t="s">
        <v>403</v>
      </c>
      <c r="G974" s="234" t="s">
        <v>16</v>
      </c>
      <c r="H974" s="232">
        <v>1</v>
      </c>
      <c r="I974" s="232">
        <v>2</v>
      </c>
      <c r="J974" s="232">
        <v>3</v>
      </c>
      <c r="K974" s="232">
        <v>2</v>
      </c>
      <c r="L974" s="283">
        <v>2</v>
      </c>
      <c r="M974" s="284">
        <f t="shared" si="33"/>
        <v>0.50042652380814845</v>
      </c>
      <c r="N974" s="235"/>
    </row>
    <row r="975" spans="1:14" hidden="1" x14ac:dyDescent="0.2">
      <c r="A975" s="231" t="s">
        <v>388</v>
      </c>
      <c r="B975" s="308" t="s">
        <v>398</v>
      </c>
      <c r="C975" s="247" t="s">
        <v>30</v>
      </c>
      <c r="D975" s="124" t="s">
        <v>64</v>
      </c>
      <c r="E975" s="311">
        <v>4.2074453489435674E-3</v>
      </c>
      <c r="F975" s="233" t="s">
        <v>403</v>
      </c>
      <c r="G975" s="234" t="s">
        <v>16</v>
      </c>
      <c r="H975" s="232">
        <v>1</v>
      </c>
      <c r="I975" s="232">
        <v>2</v>
      </c>
      <c r="J975" s="232">
        <v>3</v>
      </c>
      <c r="K975" s="232">
        <v>2</v>
      </c>
      <c r="L975" s="283">
        <v>2</v>
      </c>
      <c r="M975" s="284">
        <f t="shared" si="33"/>
        <v>0.50042652380814845</v>
      </c>
      <c r="N975" s="235"/>
    </row>
    <row r="976" spans="1:14" hidden="1" x14ac:dyDescent="0.2">
      <c r="A976" s="231" t="s">
        <v>388</v>
      </c>
      <c r="B976" s="308" t="s">
        <v>398</v>
      </c>
      <c r="C976" s="247" t="s">
        <v>32</v>
      </c>
      <c r="D976" s="124" t="s">
        <v>64</v>
      </c>
      <c r="E976" s="311">
        <v>0.95336752136752123</v>
      </c>
      <c r="F976" s="233" t="s">
        <v>403</v>
      </c>
      <c r="G976" s="234" t="s">
        <v>16</v>
      </c>
      <c r="H976" s="232">
        <v>1</v>
      </c>
      <c r="I976" s="232">
        <v>2</v>
      </c>
      <c r="J976" s="232">
        <v>3</v>
      </c>
      <c r="K976" s="232">
        <v>2</v>
      </c>
      <c r="L976" s="283">
        <v>2</v>
      </c>
      <c r="M976" s="284">
        <f t="shared" si="33"/>
        <v>0.50042652380814845</v>
      </c>
      <c r="N976" s="235"/>
    </row>
    <row r="977" spans="1:14" hidden="1" x14ac:dyDescent="0.2">
      <c r="A977" s="231" t="s">
        <v>388</v>
      </c>
      <c r="B977" s="308" t="s">
        <v>398</v>
      </c>
      <c r="C977" s="247" t="s">
        <v>34</v>
      </c>
      <c r="D977" s="124" t="s">
        <v>64</v>
      </c>
      <c r="E977" s="311">
        <v>0.57942649066909435</v>
      </c>
      <c r="F977" s="233" t="s">
        <v>403</v>
      </c>
      <c r="G977" s="234" t="s">
        <v>16</v>
      </c>
      <c r="H977" s="232">
        <v>1</v>
      </c>
      <c r="I977" s="232">
        <v>2</v>
      </c>
      <c r="J977" s="232">
        <v>3</v>
      </c>
      <c r="K977" s="232">
        <v>2</v>
      </c>
      <c r="L977" s="283">
        <v>2</v>
      </c>
      <c r="M977" s="284">
        <f t="shared" si="33"/>
        <v>0.50042652380814845</v>
      </c>
      <c r="N977" s="235"/>
    </row>
    <row r="978" spans="1:14" hidden="1" x14ac:dyDescent="0.2">
      <c r="A978" s="231" t="s">
        <v>388</v>
      </c>
      <c r="B978" s="308" t="s">
        <v>398</v>
      </c>
      <c r="C978" s="247" t="s">
        <v>36</v>
      </c>
      <c r="D978" s="124" t="s">
        <v>64</v>
      </c>
      <c r="E978" s="311">
        <v>4.1612622648131481E-2</v>
      </c>
      <c r="F978" s="233" t="s">
        <v>403</v>
      </c>
      <c r="G978" s="234" t="s">
        <v>16</v>
      </c>
      <c r="H978" s="232">
        <v>1</v>
      </c>
      <c r="I978" s="232">
        <v>2</v>
      </c>
      <c r="J978" s="232">
        <v>3</v>
      </c>
      <c r="K978" s="232">
        <v>2</v>
      </c>
      <c r="L978" s="283">
        <v>2</v>
      </c>
      <c r="M978" s="284">
        <f t="shared" si="33"/>
        <v>0.50042652380814845</v>
      </c>
      <c r="N978" s="235"/>
    </row>
    <row r="979" spans="1:14" hidden="1" x14ac:dyDescent="0.2">
      <c r="A979" s="231" t="s">
        <v>388</v>
      </c>
      <c r="B979" s="308" t="s">
        <v>398</v>
      </c>
      <c r="C979" s="247" t="s">
        <v>37</v>
      </c>
      <c r="D979" s="124" t="s">
        <v>64</v>
      </c>
      <c r="E979" s="311">
        <v>0.29271738362647459</v>
      </c>
      <c r="F979" s="233" t="s">
        <v>403</v>
      </c>
      <c r="G979" s="234" t="s">
        <v>16</v>
      </c>
      <c r="H979" s="232">
        <v>1</v>
      </c>
      <c r="I979" s="232">
        <v>2</v>
      </c>
      <c r="J979" s="232">
        <v>3</v>
      </c>
      <c r="K979" s="232">
        <v>2</v>
      </c>
      <c r="L979" s="283">
        <v>2</v>
      </c>
      <c r="M979" s="284">
        <f t="shared" si="33"/>
        <v>0.50042652380814845</v>
      </c>
      <c r="N979" s="235"/>
    </row>
    <row r="980" spans="1:14" hidden="1" x14ac:dyDescent="0.2">
      <c r="A980" s="231" t="s">
        <v>388</v>
      </c>
      <c r="B980" s="308" t="s">
        <v>398</v>
      </c>
      <c r="C980" s="247" t="s">
        <v>39</v>
      </c>
      <c r="D980" s="124" t="s">
        <v>64</v>
      </c>
      <c r="E980" s="311">
        <v>0.9470933107296744</v>
      </c>
      <c r="F980" s="233" t="s">
        <v>403</v>
      </c>
      <c r="G980" s="234" t="s">
        <v>16</v>
      </c>
      <c r="H980" s="232">
        <v>1</v>
      </c>
      <c r="I980" s="232">
        <v>2</v>
      </c>
      <c r="J980" s="232">
        <v>3</v>
      </c>
      <c r="K980" s="232">
        <v>2</v>
      </c>
      <c r="L980" s="283">
        <v>2</v>
      </c>
      <c r="M980" s="284">
        <f t="shared" si="33"/>
        <v>0.50042652380814845</v>
      </c>
      <c r="N980" s="235"/>
    </row>
    <row r="981" spans="1:14" hidden="1" x14ac:dyDescent="0.2">
      <c r="A981" s="231" t="s">
        <v>388</v>
      </c>
      <c r="B981" s="308" t="s">
        <v>398</v>
      </c>
      <c r="C981" s="247" t="s">
        <v>40</v>
      </c>
      <c r="D981" s="124" t="s">
        <v>64</v>
      </c>
      <c r="E981" s="311">
        <v>0.43455981061535581</v>
      </c>
      <c r="F981" s="233" t="s">
        <v>403</v>
      </c>
      <c r="G981" s="234" t="s">
        <v>16</v>
      </c>
      <c r="H981" s="232">
        <v>1</v>
      </c>
      <c r="I981" s="232">
        <v>2</v>
      </c>
      <c r="J981" s="232">
        <v>3</v>
      </c>
      <c r="K981" s="232">
        <v>2</v>
      </c>
      <c r="L981" s="283">
        <v>2</v>
      </c>
      <c r="M981" s="284">
        <f t="shared" si="33"/>
        <v>0.50042652380814845</v>
      </c>
      <c r="N981" s="235"/>
    </row>
    <row r="982" spans="1:14" hidden="1" x14ac:dyDescent="0.2">
      <c r="A982" s="231" t="s">
        <v>388</v>
      </c>
      <c r="B982" s="308" t="s">
        <v>398</v>
      </c>
      <c r="C982" s="247" t="s">
        <v>41</v>
      </c>
      <c r="D982" s="124" t="s">
        <v>64</v>
      </c>
      <c r="E982" s="61">
        <v>0</v>
      </c>
      <c r="F982" s="233" t="s">
        <v>403</v>
      </c>
      <c r="G982" s="234" t="s">
        <v>16</v>
      </c>
      <c r="H982" s="61"/>
      <c r="I982" s="61"/>
      <c r="J982" s="61"/>
      <c r="K982" s="61"/>
      <c r="L982" s="62"/>
      <c r="M982" s="63" t="str">
        <f t="shared" si="33"/>
        <v/>
      </c>
      <c r="N982" s="235"/>
    </row>
    <row r="983" spans="1:14" hidden="1" x14ac:dyDescent="0.2">
      <c r="A983" s="231" t="s">
        <v>388</v>
      </c>
      <c r="B983" s="308" t="s">
        <v>398</v>
      </c>
      <c r="C983" s="247" t="s">
        <v>42</v>
      </c>
      <c r="D983" s="124" t="s">
        <v>64</v>
      </c>
      <c r="E983" s="311">
        <v>0.95456491560387668</v>
      </c>
      <c r="F983" s="233" t="s">
        <v>403</v>
      </c>
      <c r="G983" s="234" t="s">
        <v>16</v>
      </c>
      <c r="H983" s="232">
        <v>1</v>
      </c>
      <c r="I983" s="232">
        <v>2</v>
      </c>
      <c r="J983" s="232">
        <v>3</v>
      </c>
      <c r="K983" s="232">
        <v>2</v>
      </c>
      <c r="L983" s="283">
        <v>2</v>
      </c>
      <c r="M983" s="284">
        <f t="shared" si="33"/>
        <v>0.50042652380814845</v>
      </c>
      <c r="N983" s="235"/>
    </row>
    <row r="984" spans="1:14" hidden="1" x14ac:dyDescent="0.2">
      <c r="A984" s="231" t="s">
        <v>388</v>
      </c>
      <c r="B984" s="308" t="s">
        <v>398</v>
      </c>
      <c r="C984" s="247" t="s">
        <v>43</v>
      </c>
      <c r="D984" s="124" t="s">
        <v>64</v>
      </c>
      <c r="E984" s="61">
        <v>0</v>
      </c>
      <c r="F984" s="233" t="s">
        <v>403</v>
      </c>
      <c r="G984" s="234" t="s">
        <v>16</v>
      </c>
      <c r="H984" s="61"/>
      <c r="I984" s="61"/>
      <c r="J984" s="61"/>
      <c r="K984" s="61"/>
      <c r="L984" s="62"/>
      <c r="M984" s="63" t="str">
        <f t="shared" si="33"/>
        <v/>
      </c>
      <c r="N984" s="235"/>
    </row>
    <row r="985" spans="1:14" hidden="1" x14ac:dyDescent="0.2">
      <c r="A985" s="231" t="s">
        <v>388</v>
      </c>
      <c r="B985" s="308" t="s">
        <v>398</v>
      </c>
      <c r="C985" s="247" t="s">
        <v>45</v>
      </c>
      <c r="D985" s="124" t="s">
        <v>64</v>
      </c>
      <c r="E985" s="311">
        <v>9.2229199372056547E-3</v>
      </c>
      <c r="F985" s="233" t="s">
        <v>403</v>
      </c>
      <c r="G985" s="234" t="s">
        <v>16</v>
      </c>
      <c r="H985" s="232">
        <v>1</v>
      </c>
      <c r="I985" s="232">
        <v>2</v>
      </c>
      <c r="J985" s="232">
        <v>3</v>
      </c>
      <c r="K985" s="232">
        <v>2</v>
      </c>
      <c r="L985" s="283">
        <v>2</v>
      </c>
      <c r="M985" s="284">
        <f t="shared" si="33"/>
        <v>0.50042652380814845</v>
      </c>
      <c r="N985" s="235"/>
    </row>
    <row r="986" spans="1:14" hidden="1" x14ac:dyDescent="0.2">
      <c r="A986" s="231" t="s">
        <v>388</v>
      </c>
      <c r="B986" s="308" t="s">
        <v>398</v>
      </c>
      <c r="C986" s="247" t="s">
        <v>46</v>
      </c>
      <c r="D986" s="124" t="s">
        <v>64</v>
      </c>
      <c r="E986" s="311">
        <v>0.37225919136221258</v>
      </c>
      <c r="F986" s="233" t="s">
        <v>403</v>
      </c>
      <c r="G986" s="234" t="s">
        <v>16</v>
      </c>
      <c r="H986" s="232">
        <v>1</v>
      </c>
      <c r="I986" s="232">
        <v>2</v>
      </c>
      <c r="J986" s="232">
        <v>3</v>
      </c>
      <c r="K986" s="232">
        <v>2</v>
      </c>
      <c r="L986" s="283">
        <v>2</v>
      </c>
      <c r="M986" s="284">
        <f t="shared" si="33"/>
        <v>0.50042652380814845</v>
      </c>
      <c r="N986" s="235"/>
    </row>
    <row r="987" spans="1:14" hidden="1" x14ac:dyDescent="0.2">
      <c r="A987" s="231" t="s">
        <v>388</v>
      </c>
      <c r="B987" s="308" t="s">
        <v>398</v>
      </c>
      <c r="C987" s="247" t="s">
        <v>48</v>
      </c>
      <c r="D987" s="124" t="s">
        <v>64</v>
      </c>
      <c r="E987" s="311">
        <v>0.29315278147458079</v>
      </c>
      <c r="F987" s="233" t="s">
        <v>403</v>
      </c>
      <c r="G987" s="234" t="s">
        <v>16</v>
      </c>
      <c r="H987" s="232">
        <v>1</v>
      </c>
      <c r="I987" s="232">
        <v>2</v>
      </c>
      <c r="J987" s="232">
        <v>3</v>
      </c>
      <c r="K987" s="232">
        <v>2</v>
      </c>
      <c r="L987" s="283">
        <v>2</v>
      </c>
      <c r="M987" s="284">
        <f t="shared" si="33"/>
        <v>0.50042652380814845</v>
      </c>
      <c r="N987" s="235"/>
    </row>
    <row r="988" spans="1:14" hidden="1" x14ac:dyDescent="0.2">
      <c r="A988" s="231" t="s">
        <v>388</v>
      </c>
      <c r="B988" s="308" t="s">
        <v>398</v>
      </c>
      <c r="C988" s="247" t="s">
        <v>50</v>
      </c>
      <c r="D988" s="124" t="s">
        <v>64</v>
      </c>
      <c r="E988" s="311">
        <v>0.73026372157581787</v>
      </c>
      <c r="F988" s="233" t="s">
        <v>403</v>
      </c>
      <c r="G988" s="234" t="s">
        <v>16</v>
      </c>
      <c r="H988" s="232">
        <v>1</v>
      </c>
      <c r="I988" s="232">
        <v>2</v>
      </c>
      <c r="J988" s="232">
        <v>3</v>
      </c>
      <c r="K988" s="232">
        <v>2</v>
      </c>
      <c r="L988" s="283">
        <v>2</v>
      </c>
      <c r="M988" s="284">
        <f t="shared" si="33"/>
        <v>0.50042652380814845</v>
      </c>
      <c r="N988" s="235"/>
    </row>
    <row r="989" spans="1:14" hidden="1" x14ac:dyDescent="0.2">
      <c r="A989" s="231" t="s">
        <v>388</v>
      </c>
      <c r="B989" s="308" t="s">
        <v>398</v>
      </c>
      <c r="C989" s="247" t="s">
        <v>52</v>
      </c>
      <c r="D989" s="124" t="s">
        <v>64</v>
      </c>
      <c r="E989" s="311">
        <v>0.46624803767660922</v>
      </c>
      <c r="F989" s="233" t="s">
        <v>403</v>
      </c>
      <c r="G989" s="234" t="s">
        <v>16</v>
      </c>
      <c r="H989" s="232">
        <v>1</v>
      </c>
      <c r="I989" s="232">
        <v>2</v>
      </c>
      <c r="J989" s="232">
        <v>3</v>
      </c>
      <c r="K989" s="232">
        <v>2</v>
      </c>
      <c r="L989" s="283">
        <v>2</v>
      </c>
      <c r="M989" s="284">
        <f t="shared" si="33"/>
        <v>0.50042652380814845</v>
      </c>
      <c r="N989" s="235"/>
    </row>
    <row r="990" spans="1:14" hidden="1" x14ac:dyDescent="0.2">
      <c r="A990" s="231" t="s">
        <v>388</v>
      </c>
      <c r="B990" s="308" t="s">
        <v>398</v>
      </c>
      <c r="C990" s="247" t="s">
        <v>54</v>
      </c>
      <c r="D990" s="124" t="s">
        <v>64</v>
      </c>
      <c r="E990" s="311">
        <v>0.31543013199817937</v>
      </c>
      <c r="F990" s="233" t="s">
        <v>403</v>
      </c>
      <c r="G990" s="234" t="s">
        <v>16</v>
      </c>
      <c r="H990" s="232">
        <v>1</v>
      </c>
      <c r="I990" s="232">
        <v>2</v>
      </c>
      <c r="J990" s="232">
        <v>3</v>
      </c>
      <c r="K990" s="232">
        <v>2</v>
      </c>
      <c r="L990" s="283">
        <v>2</v>
      </c>
      <c r="M990" s="284">
        <f t="shared" si="33"/>
        <v>0.50042652380814845</v>
      </c>
      <c r="N990" s="235"/>
    </row>
    <row r="991" spans="1:14" hidden="1" x14ac:dyDescent="0.2">
      <c r="A991" s="231" t="s">
        <v>388</v>
      </c>
      <c r="B991" s="308" t="s">
        <v>398</v>
      </c>
      <c r="C991" s="247" t="s">
        <v>55</v>
      </c>
      <c r="D991" s="124" t="s">
        <v>64</v>
      </c>
      <c r="E991" s="311">
        <v>0.45258896228425322</v>
      </c>
      <c r="F991" s="233" t="s">
        <v>403</v>
      </c>
      <c r="G991" s="234" t="s">
        <v>16</v>
      </c>
      <c r="H991" s="232">
        <v>1</v>
      </c>
      <c r="I991" s="232">
        <v>2</v>
      </c>
      <c r="J991" s="232">
        <v>3</v>
      </c>
      <c r="K991" s="232">
        <v>2</v>
      </c>
      <c r="L991" s="283">
        <v>2</v>
      </c>
      <c r="M991" s="284">
        <f t="shared" si="33"/>
        <v>0.50042652380814845</v>
      </c>
      <c r="N991" s="235"/>
    </row>
    <row r="992" spans="1:14" hidden="1" x14ac:dyDescent="0.2">
      <c r="A992" s="231" t="s">
        <v>388</v>
      </c>
      <c r="B992" s="308" t="s">
        <v>398</v>
      </c>
      <c r="C992" s="247" t="s">
        <v>57</v>
      </c>
      <c r="D992" s="124" t="s">
        <v>64</v>
      </c>
      <c r="E992" s="311">
        <v>3.9898290368594056E-3</v>
      </c>
      <c r="F992" s="233" t="s">
        <v>403</v>
      </c>
      <c r="G992" s="234" t="s">
        <v>16</v>
      </c>
      <c r="H992" s="232">
        <v>1</v>
      </c>
      <c r="I992" s="232">
        <v>2</v>
      </c>
      <c r="J992" s="232">
        <v>3</v>
      </c>
      <c r="K992" s="232">
        <v>2</v>
      </c>
      <c r="L992" s="283">
        <v>2</v>
      </c>
      <c r="M992" s="284">
        <f t="shared" si="33"/>
        <v>0.50042652380814845</v>
      </c>
      <c r="N992" s="235"/>
    </row>
    <row r="993" spans="1:14" hidden="1" x14ac:dyDescent="0.2">
      <c r="A993" s="231" t="s">
        <v>388</v>
      </c>
      <c r="B993" s="308" t="s">
        <v>398</v>
      </c>
      <c r="C993" s="247" t="s">
        <v>59</v>
      </c>
      <c r="D993" s="124" t="s">
        <v>64</v>
      </c>
      <c r="E993" s="61">
        <v>0</v>
      </c>
      <c r="F993" s="233" t="s">
        <v>403</v>
      </c>
      <c r="G993" s="234" t="s">
        <v>16</v>
      </c>
      <c r="H993" s="61"/>
      <c r="I993" s="61"/>
      <c r="J993" s="61"/>
      <c r="K993" s="61"/>
      <c r="L993" s="62"/>
      <c r="M993" s="63" t="str">
        <f t="shared" si="33"/>
        <v/>
      </c>
      <c r="N993" s="235"/>
    </row>
    <row r="994" spans="1:14" hidden="1" x14ac:dyDescent="0.2">
      <c r="A994" s="231" t="s">
        <v>388</v>
      </c>
      <c r="B994" s="308" t="s">
        <v>398</v>
      </c>
      <c r="C994" s="247" t="s">
        <v>60</v>
      </c>
      <c r="D994" s="124" t="s">
        <v>64</v>
      </c>
      <c r="E994" s="311">
        <v>0.13956237765761581</v>
      </c>
      <c r="F994" s="233" t="s">
        <v>403</v>
      </c>
      <c r="G994" s="234" t="s">
        <v>16</v>
      </c>
      <c r="H994" s="232">
        <v>1</v>
      </c>
      <c r="I994" s="232">
        <v>2</v>
      </c>
      <c r="J994" s="232">
        <v>3</v>
      </c>
      <c r="K994" s="232">
        <v>2</v>
      </c>
      <c r="L994" s="283">
        <v>2</v>
      </c>
      <c r="M994" s="284">
        <f t="shared" si="33"/>
        <v>0.50042652380814845</v>
      </c>
      <c r="N994" s="235"/>
    </row>
    <row r="995" spans="1:14" x14ac:dyDescent="0.2">
      <c r="A995" s="231" t="s">
        <v>388</v>
      </c>
      <c r="B995" s="285" t="s">
        <v>398</v>
      </c>
      <c r="C995" s="222" t="s">
        <v>135</v>
      </c>
      <c r="D995" s="125" t="s">
        <v>66</v>
      </c>
      <c r="E995" s="151">
        <v>0</v>
      </c>
      <c r="F995" s="233"/>
      <c r="G995" s="234"/>
      <c r="H995" s="61"/>
      <c r="I995" s="61"/>
      <c r="J995" s="61"/>
      <c r="K995" s="61"/>
      <c r="L995" s="62"/>
      <c r="M995" s="63"/>
      <c r="N995" s="235"/>
    </row>
    <row r="996" spans="1:14" x14ac:dyDescent="0.2">
      <c r="A996" s="231" t="s">
        <v>388</v>
      </c>
      <c r="B996" s="285" t="s">
        <v>398</v>
      </c>
      <c r="C996" s="222" t="s">
        <v>135</v>
      </c>
      <c r="D996" s="126" t="s">
        <v>94</v>
      </c>
      <c r="E996" s="151">
        <v>0</v>
      </c>
      <c r="F996" s="233"/>
      <c r="G996" s="234"/>
      <c r="H996" s="61"/>
      <c r="I996" s="61"/>
      <c r="J996" s="61"/>
      <c r="K996" s="61"/>
      <c r="L996" s="62"/>
      <c r="M996" s="63"/>
      <c r="N996" s="235"/>
    </row>
    <row r="997" spans="1:14" x14ac:dyDescent="0.2">
      <c r="A997" s="305" t="s">
        <v>388</v>
      </c>
      <c r="B997" s="285" t="s">
        <v>398</v>
      </c>
      <c r="C997" s="222" t="s">
        <v>135</v>
      </c>
      <c r="D997" s="127" t="s">
        <v>96</v>
      </c>
      <c r="E997" s="151">
        <v>0</v>
      </c>
      <c r="F997" s="233"/>
      <c r="G997" s="234" t="s">
        <v>16</v>
      </c>
      <c r="H997" s="61"/>
      <c r="I997" s="61"/>
      <c r="J997" s="61"/>
      <c r="K997" s="61"/>
      <c r="L997" s="62"/>
      <c r="M997" s="63"/>
      <c r="N997" s="235"/>
    </row>
    <row r="998" spans="1:14" x14ac:dyDescent="0.2">
      <c r="A998" s="231" t="s">
        <v>388</v>
      </c>
      <c r="B998" s="308" t="s">
        <v>398</v>
      </c>
      <c r="C998" s="247" t="s">
        <v>13</v>
      </c>
      <c r="D998" s="128" t="s">
        <v>98</v>
      </c>
      <c r="E998" s="61">
        <v>0</v>
      </c>
      <c r="F998" s="233" t="s">
        <v>403</v>
      </c>
      <c r="G998" s="234" t="s">
        <v>16</v>
      </c>
      <c r="H998" s="61"/>
      <c r="I998" s="61"/>
      <c r="J998" s="61"/>
      <c r="K998" s="61"/>
      <c r="L998" s="62"/>
      <c r="M998" s="63" t="str">
        <f>IF( OR( ISBLANK(H998),ISBLANK(I998), ISBLANK(J998), ISBLANK(K998), ISBLANK(L998) ), "", 1.5*SQRT(   EXP(2.21*(H998-1)) + EXP(2.21*(I998-1)) + EXP(2.21*(J998-1)) + EXP(2.21*(K998-1)) + EXP(2.21*L998)   )/100*2.45 )</f>
        <v/>
      </c>
      <c r="N998" s="235"/>
    </row>
    <row r="999" spans="1:14" hidden="1" x14ac:dyDescent="0.2">
      <c r="A999" s="231" t="s">
        <v>388</v>
      </c>
      <c r="B999" s="308" t="s">
        <v>398</v>
      </c>
      <c r="C999" s="247" t="s">
        <v>18</v>
      </c>
      <c r="D999" s="128" t="s">
        <v>98</v>
      </c>
      <c r="E999" s="311">
        <v>9.1831374752632464E-3</v>
      </c>
      <c r="F999" s="233" t="s">
        <v>403</v>
      </c>
      <c r="G999" s="234" t="s">
        <v>16</v>
      </c>
      <c r="H999" s="232">
        <v>1</v>
      </c>
      <c r="I999" s="232">
        <v>2</v>
      </c>
      <c r="J999" s="232">
        <v>3</v>
      </c>
      <c r="K999" s="232">
        <v>2</v>
      </c>
      <c r="L999" s="283">
        <v>2</v>
      </c>
      <c r="M999" s="284">
        <f t="shared" ref="M999:M1027" si="34">IF( OR( ISBLANK(H999),ISBLANK(I999), ISBLANK(J999), ISBLANK(K999), ISBLANK(L999) ), "", 1.5*SQRT( EXP(2.21*(H999-1)) + EXP(2.21*(I999-1)) + EXP(2.21*(J999-1)) + EXP(2.21*(K999-1)) + EXP(2.21*L999) )/100*2.45 )</f>
        <v>0.50042652380814845</v>
      </c>
      <c r="N999" s="235"/>
    </row>
    <row r="1000" spans="1:14" hidden="1" x14ac:dyDescent="0.2">
      <c r="A1000" s="231" t="s">
        <v>388</v>
      </c>
      <c r="B1000" s="308" t="s">
        <v>398</v>
      </c>
      <c r="C1000" s="247" t="s">
        <v>20</v>
      </c>
      <c r="D1000" s="128" t="s">
        <v>98</v>
      </c>
      <c r="E1000" s="311">
        <v>0.82680660543706597</v>
      </c>
      <c r="F1000" s="233" t="s">
        <v>403</v>
      </c>
      <c r="G1000" s="234" t="s">
        <v>16</v>
      </c>
      <c r="H1000" s="232">
        <v>1</v>
      </c>
      <c r="I1000" s="232">
        <v>2</v>
      </c>
      <c r="J1000" s="232">
        <v>3</v>
      </c>
      <c r="K1000" s="232">
        <v>2</v>
      </c>
      <c r="L1000" s="283">
        <v>2</v>
      </c>
      <c r="M1000" s="284">
        <f t="shared" si="34"/>
        <v>0.50042652380814845</v>
      </c>
      <c r="N1000" s="235"/>
    </row>
    <row r="1001" spans="1:14" hidden="1" x14ac:dyDescent="0.2">
      <c r="A1001" s="231" t="s">
        <v>388</v>
      </c>
      <c r="B1001" s="308" t="s">
        <v>398</v>
      </c>
      <c r="C1001" s="247" t="s">
        <v>22</v>
      </c>
      <c r="D1001" s="128" t="s">
        <v>98</v>
      </c>
      <c r="E1001" s="311">
        <v>0.88245629033389439</v>
      </c>
      <c r="F1001" s="233" t="s">
        <v>403</v>
      </c>
      <c r="G1001" s="234" t="s">
        <v>16</v>
      </c>
      <c r="H1001" s="232">
        <v>1</v>
      </c>
      <c r="I1001" s="232">
        <v>2</v>
      </c>
      <c r="J1001" s="232">
        <v>3</v>
      </c>
      <c r="K1001" s="232">
        <v>2</v>
      </c>
      <c r="L1001" s="283">
        <v>2</v>
      </c>
      <c r="M1001" s="284">
        <f t="shared" si="34"/>
        <v>0.50042652380814845</v>
      </c>
      <c r="N1001" s="235"/>
    </row>
    <row r="1002" spans="1:14" hidden="1" x14ac:dyDescent="0.2">
      <c r="A1002" s="231" t="s">
        <v>388</v>
      </c>
      <c r="B1002" s="308" t="s">
        <v>398</v>
      </c>
      <c r="C1002" s="247" t="s">
        <v>23</v>
      </c>
      <c r="D1002" s="128" t="s">
        <v>98</v>
      </c>
      <c r="E1002" s="311">
        <v>0.95276915334618462</v>
      </c>
      <c r="F1002" s="233" t="s">
        <v>403</v>
      </c>
      <c r="G1002" s="234" t="s">
        <v>16</v>
      </c>
      <c r="H1002" s="232">
        <v>1</v>
      </c>
      <c r="I1002" s="232">
        <v>2</v>
      </c>
      <c r="J1002" s="232">
        <v>3</v>
      </c>
      <c r="K1002" s="232">
        <v>2</v>
      </c>
      <c r="L1002" s="283">
        <v>2</v>
      </c>
      <c r="M1002" s="284">
        <f t="shared" si="34"/>
        <v>0.50042652380814845</v>
      </c>
      <c r="N1002" s="235"/>
    </row>
    <row r="1003" spans="1:14" hidden="1" x14ac:dyDescent="0.2">
      <c r="A1003" s="231" t="s">
        <v>388</v>
      </c>
      <c r="B1003" s="308" t="s">
        <v>398</v>
      </c>
      <c r="C1003" s="247" t="s">
        <v>24</v>
      </c>
      <c r="D1003" s="128" t="s">
        <v>98</v>
      </c>
      <c r="E1003" s="311">
        <v>0.46771701155603329</v>
      </c>
      <c r="F1003" s="233" t="s">
        <v>403</v>
      </c>
      <c r="G1003" s="234" t="s">
        <v>16</v>
      </c>
      <c r="H1003" s="232">
        <v>1</v>
      </c>
      <c r="I1003" s="232">
        <v>2</v>
      </c>
      <c r="J1003" s="232">
        <v>3</v>
      </c>
      <c r="K1003" s="232">
        <v>2</v>
      </c>
      <c r="L1003" s="283">
        <v>2</v>
      </c>
      <c r="M1003" s="284">
        <f t="shared" si="34"/>
        <v>0.50042652380814845</v>
      </c>
      <c r="N1003" s="235"/>
    </row>
    <row r="1004" spans="1:14" hidden="1" x14ac:dyDescent="0.2">
      <c r="A1004" s="231" t="s">
        <v>388</v>
      </c>
      <c r="B1004" s="308" t="s">
        <v>398</v>
      </c>
      <c r="C1004" s="247" t="s">
        <v>25</v>
      </c>
      <c r="D1004" s="128" t="s">
        <v>98</v>
      </c>
      <c r="E1004" s="311">
        <v>9.3497474747474725E-3</v>
      </c>
      <c r="F1004" s="233" t="s">
        <v>403</v>
      </c>
      <c r="G1004" s="234" t="s">
        <v>16</v>
      </c>
      <c r="H1004" s="232">
        <v>1</v>
      </c>
      <c r="I1004" s="232">
        <v>2</v>
      </c>
      <c r="J1004" s="232">
        <v>3</v>
      </c>
      <c r="K1004" s="232">
        <v>2</v>
      </c>
      <c r="L1004" s="283">
        <v>2</v>
      </c>
      <c r="M1004" s="284">
        <f t="shared" si="34"/>
        <v>0.50042652380814845</v>
      </c>
      <c r="N1004" s="235"/>
    </row>
    <row r="1005" spans="1:14" hidden="1" x14ac:dyDescent="0.2">
      <c r="A1005" s="231" t="s">
        <v>388</v>
      </c>
      <c r="B1005" s="308" t="s">
        <v>398</v>
      </c>
      <c r="C1005" s="247" t="s">
        <v>26</v>
      </c>
      <c r="D1005" s="128" t="s">
        <v>98</v>
      </c>
      <c r="E1005" s="311">
        <v>0.1458281158694382</v>
      </c>
      <c r="F1005" s="233" t="s">
        <v>403</v>
      </c>
      <c r="G1005" s="234" t="s">
        <v>16</v>
      </c>
      <c r="H1005" s="232">
        <v>1</v>
      </c>
      <c r="I1005" s="232">
        <v>2</v>
      </c>
      <c r="J1005" s="232">
        <v>3</v>
      </c>
      <c r="K1005" s="232">
        <v>2</v>
      </c>
      <c r="L1005" s="283">
        <v>2</v>
      </c>
      <c r="M1005" s="284">
        <f t="shared" si="34"/>
        <v>0.50042652380814845</v>
      </c>
      <c r="N1005" s="235"/>
    </row>
    <row r="1006" spans="1:14" hidden="1" x14ac:dyDescent="0.2">
      <c r="A1006" s="231" t="s">
        <v>388</v>
      </c>
      <c r="B1006" s="308" t="s">
        <v>398</v>
      </c>
      <c r="C1006" s="247" t="s">
        <v>27</v>
      </c>
      <c r="D1006" s="128" t="s">
        <v>98</v>
      </c>
      <c r="E1006" s="311">
        <v>6.9500080115366099E-3</v>
      </c>
      <c r="F1006" s="233" t="s">
        <v>403</v>
      </c>
      <c r="G1006" s="234" t="s">
        <v>16</v>
      </c>
      <c r="H1006" s="232">
        <v>1</v>
      </c>
      <c r="I1006" s="232">
        <v>2</v>
      </c>
      <c r="J1006" s="232">
        <v>3</v>
      </c>
      <c r="K1006" s="232">
        <v>2</v>
      </c>
      <c r="L1006" s="283">
        <v>2</v>
      </c>
      <c r="M1006" s="284">
        <f t="shared" si="34"/>
        <v>0.50042652380814845</v>
      </c>
      <c r="N1006" s="235"/>
    </row>
    <row r="1007" spans="1:14" hidden="1" x14ac:dyDescent="0.2">
      <c r="A1007" s="231" t="s">
        <v>388</v>
      </c>
      <c r="B1007" s="308" t="s">
        <v>398</v>
      </c>
      <c r="C1007" s="247" t="s">
        <v>28</v>
      </c>
      <c r="D1007" s="128" t="s">
        <v>98</v>
      </c>
      <c r="E1007" s="311">
        <v>0.23284444444444441</v>
      </c>
      <c r="F1007" s="233" t="s">
        <v>403</v>
      </c>
      <c r="G1007" s="234" t="s">
        <v>16</v>
      </c>
      <c r="H1007" s="232">
        <v>1</v>
      </c>
      <c r="I1007" s="232">
        <v>2</v>
      </c>
      <c r="J1007" s="232">
        <v>3</v>
      </c>
      <c r="K1007" s="232">
        <v>2</v>
      </c>
      <c r="L1007" s="283">
        <v>2</v>
      </c>
      <c r="M1007" s="284">
        <f t="shared" si="34"/>
        <v>0.50042652380814845</v>
      </c>
      <c r="N1007" s="235"/>
    </row>
    <row r="1008" spans="1:14" hidden="1" x14ac:dyDescent="0.2">
      <c r="A1008" s="231" t="s">
        <v>388</v>
      </c>
      <c r="B1008" s="308" t="s">
        <v>398</v>
      </c>
      <c r="C1008" s="247" t="s">
        <v>30</v>
      </c>
      <c r="D1008" s="128" t="s">
        <v>98</v>
      </c>
      <c r="E1008" s="311">
        <v>4.6295670738298557E-3</v>
      </c>
      <c r="F1008" s="233" t="s">
        <v>403</v>
      </c>
      <c r="G1008" s="234" t="s">
        <v>16</v>
      </c>
      <c r="H1008" s="232">
        <v>1</v>
      </c>
      <c r="I1008" s="232">
        <v>2</v>
      </c>
      <c r="J1008" s="232">
        <v>3</v>
      </c>
      <c r="K1008" s="232">
        <v>2</v>
      </c>
      <c r="L1008" s="283">
        <v>2</v>
      </c>
      <c r="M1008" s="284">
        <f t="shared" si="34"/>
        <v>0.50042652380814845</v>
      </c>
      <c r="N1008" s="235"/>
    </row>
    <row r="1009" spans="1:14" hidden="1" x14ac:dyDescent="0.2">
      <c r="A1009" s="231" t="s">
        <v>388</v>
      </c>
      <c r="B1009" s="308" t="s">
        <v>398</v>
      </c>
      <c r="C1009" s="247" t="s">
        <v>32</v>
      </c>
      <c r="D1009" s="128" t="s">
        <v>98</v>
      </c>
      <c r="E1009" s="311">
        <v>0.95401414141414131</v>
      </c>
      <c r="F1009" s="233" t="s">
        <v>403</v>
      </c>
      <c r="G1009" s="234" t="s">
        <v>16</v>
      </c>
      <c r="H1009" s="232">
        <v>1</v>
      </c>
      <c r="I1009" s="232">
        <v>2</v>
      </c>
      <c r="J1009" s="232">
        <v>3</v>
      </c>
      <c r="K1009" s="232">
        <v>2</v>
      </c>
      <c r="L1009" s="283">
        <v>2</v>
      </c>
      <c r="M1009" s="284">
        <f t="shared" si="34"/>
        <v>0.50042652380814845</v>
      </c>
      <c r="N1009" s="235"/>
    </row>
    <row r="1010" spans="1:14" hidden="1" x14ac:dyDescent="0.2">
      <c r="A1010" s="231" t="s">
        <v>388</v>
      </c>
      <c r="B1010" s="308" t="s">
        <v>398</v>
      </c>
      <c r="C1010" s="247" t="s">
        <v>34</v>
      </c>
      <c r="D1010" s="128" t="s">
        <v>98</v>
      </c>
      <c r="E1010" s="311">
        <v>0.5843279316837009</v>
      </c>
      <c r="F1010" s="233" t="s">
        <v>403</v>
      </c>
      <c r="G1010" s="234" t="s">
        <v>16</v>
      </c>
      <c r="H1010" s="232">
        <v>1</v>
      </c>
      <c r="I1010" s="232">
        <v>2</v>
      </c>
      <c r="J1010" s="232">
        <v>3</v>
      </c>
      <c r="K1010" s="232">
        <v>2</v>
      </c>
      <c r="L1010" s="283">
        <v>2</v>
      </c>
      <c r="M1010" s="284">
        <f t="shared" si="34"/>
        <v>0.50042652380814845</v>
      </c>
      <c r="N1010" s="235"/>
    </row>
    <row r="1011" spans="1:14" hidden="1" x14ac:dyDescent="0.2">
      <c r="A1011" s="231" t="s">
        <v>388</v>
      </c>
      <c r="B1011" s="308" t="s">
        <v>398</v>
      </c>
      <c r="C1011" s="247" t="s">
        <v>36</v>
      </c>
      <c r="D1011" s="128" t="s">
        <v>98</v>
      </c>
      <c r="E1011" s="311">
        <v>4.4370254819570423E-2</v>
      </c>
      <c r="F1011" s="233" t="s">
        <v>403</v>
      </c>
      <c r="G1011" s="234" t="s">
        <v>16</v>
      </c>
      <c r="H1011" s="232">
        <v>1</v>
      </c>
      <c r="I1011" s="232">
        <v>2</v>
      </c>
      <c r="J1011" s="232">
        <v>3</v>
      </c>
      <c r="K1011" s="232">
        <v>2</v>
      </c>
      <c r="L1011" s="283">
        <v>2</v>
      </c>
      <c r="M1011" s="284">
        <f t="shared" si="34"/>
        <v>0.50042652380814845</v>
      </c>
      <c r="N1011" s="235"/>
    </row>
    <row r="1012" spans="1:14" hidden="1" x14ac:dyDescent="0.2">
      <c r="A1012" s="231" t="s">
        <v>388</v>
      </c>
      <c r="B1012" s="308" t="s">
        <v>398</v>
      </c>
      <c r="C1012" s="247" t="s">
        <v>37</v>
      </c>
      <c r="D1012" s="128" t="s">
        <v>98</v>
      </c>
      <c r="E1012" s="311">
        <v>0.29893981133650549</v>
      </c>
      <c r="F1012" s="233" t="s">
        <v>403</v>
      </c>
      <c r="G1012" s="234" t="s">
        <v>16</v>
      </c>
      <c r="H1012" s="232">
        <v>1</v>
      </c>
      <c r="I1012" s="232">
        <v>2</v>
      </c>
      <c r="J1012" s="232">
        <v>3</v>
      </c>
      <c r="K1012" s="232">
        <v>2</v>
      </c>
      <c r="L1012" s="283">
        <v>2</v>
      </c>
      <c r="M1012" s="284">
        <f t="shared" si="34"/>
        <v>0.50042652380814845</v>
      </c>
      <c r="N1012" s="235"/>
    </row>
    <row r="1013" spans="1:14" hidden="1" x14ac:dyDescent="0.2">
      <c r="A1013" s="231" t="s">
        <v>388</v>
      </c>
      <c r="B1013" s="308" t="s">
        <v>398</v>
      </c>
      <c r="C1013" s="247" t="s">
        <v>39</v>
      </c>
      <c r="D1013" s="128" t="s">
        <v>98</v>
      </c>
      <c r="E1013" s="311">
        <v>0.94782536104850157</v>
      </c>
      <c r="F1013" s="233" t="s">
        <v>403</v>
      </c>
      <c r="G1013" s="234" t="s">
        <v>16</v>
      </c>
      <c r="H1013" s="232">
        <v>1</v>
      </c>
      <c r="I1013" s="232">
        <v>2</v>
      </c>
      <c r="J1013" s="232">
        <v>3</v>
      </c>
      <c r="K1013" s="232">
        <v>2</v>
      </c>
      <c r="L1013" s="283">
        <v>2</v>
      </c>
      <c r="M1013" s="284">
        <f t="shared" si="34"/>
        <v>0.50042652380814845</v>
      </c>
      <c r="N1013" s="235"/>
    </row>
    <row r="1014" spans="1:14" hidden="1" x14ac:dyDescent="0.2">
      <c r="A1014" s="231" t="s">
        <v>388</v>
      </c>
      <c r="B1014" s="308" t="s">
        <v>398</v>
      </c>
      <c r="C1014" s="247" t="s">
        <v>40</v>
      </c>
      <c r="D1014" s="128" t="s">
        <v>98</v>
      </c>
      <c r="E1014" s="311">
        <v>0.44045019532915952</v>
      </c>
      <c r="F1014" s="233" t="s">
        <v>403</v>
      </c>
      <c r="G1014" s="234" t="s">
        <v>16</v>
      </c>
      <c r="H1014" s="232">
        <v>1</v>
      </c>
      <c r="I1014" s="232">
        <v>2</v>
      </c>
      <c r="J1014" s="232">
        <v>3</v>
      </c>
      <c r="K1014" s="232">
        <v>2</v>
      </c>
      <c r="L1014" s="283">
        <v>2</v>
      </c>
      <c r="M1014" s="284">
        <f t="shared" si="34"/>
        <v>0.50042652380814845</v>
      </c>
      <c r="N1014" s="235"/>
    </row>
    <row r="1015" spans="1:14" hidden="1" x14ac:dyDescent="0.2">
      <c r="A1015" s="231" t="s">
        <v>388</v>
      </c>
      <c r="B1015" s="308" t="s">
        <v>398</v>
      </c>
      <c r="C1015" s="247" t="s">
        <v>41</v>
      </c>
      <c r="D1015" s="128" t="s">
        <v>98</v>
      </c>
      <c r="E1015" s="61">
        <v>0</v>
      </c>
      <c r="F1015" s="233" t="s">
        <v>403</v>
      </c>
      <c r="G1015" s="234" t="s">
        <v>16</v>
      </c>
      <c r="H1015" s="61"/>
      <c r="I1015" s="61"/>
      <c r="J1015" s="61"/>
      <c r="K1015" s="61"/>
      <c r="L1015" s="62"/>
      <c r="M1015" s="63" t="str">
        <f t="shared" si="34"/>
        <v/>
      </c>
      <c r="N1015" s="235"/>
    </row>
    <row r="1016" spans="1:14" hidden="1" x14ac:dyDescent="0.2">
      <c r="A1016" s="231" t="s">
        <v>388</v>
      </c>
      <c r="B1016" s="308" t="s">
        <v>398</v>
      </c>
      <c r="C1016" s="247" t="s">
        <v>42</v>
      </c>
      <c r="D1016" s="128" t="s">
        <v>98</v>
      </c>
      <c r="E1016" s="311">
        <v>0.95519518851868312</v>
      </c>
      <c r="F1016" s="233" t="s">
        <v>403</v>
      </c>
      <c r="G1016" s="234" t="s">
        <v>16</v>
      </c>
      <c r="H1016" s="232">
        <v>1</v>
      </c>
      <c r="I1016" s="232">
        <v>2</v>
      </c>
      <c r="J1016" s="232">
        <v>3</v>
      </c>
      <c r="K1016" s="232">
        <v>2</v>
      </c>
      <c r="L1016" s="283">
        <v>2</v>
      </c>
      <c r="M1016" s="284">
        <f t="shared" si="34"/>
        <v>0.50042652380814845</v>
      </c>
      <c r="N1016" s="235"/>
    </row>
    <row r="1017" spans="1:14" hidden="1" x14ac:dyDescent="0.2">
      <c r="A1017" s="231" t="s">
        <v>388</v>
      </c>
      <c r="B1017" s="308" t="s">
        <v>398</v>
      </c>
      <c r="C1017" s="247" t="s">
        <v>43</v>
      </c>
      <c r="D1017" s="128" t="s">
        <v>98</v>
      </c>
      <c r="E1017" s="61">
        <v>0</v>
      </c>
      <c r="F1017" s="233" t="s">
        <v>403</v>
      </c>
      <c r="G1017" s="234" t="s">
        <v>16</v>
      </c>
      <c r="H1017" s="61"/>
      <c r="I1017" s="61"/>
      <c r="J1017" s="61"/>
      <c r="K1017" s="61"/>
      <c r="L1017" s="62"/>
      <c r="M1017" s="63" t="str">
        <f t="shared" si="34"/>
        <v/>
      </c>
      <c r="N1017" s="235"/>
    </row>
    <row r="1018" spans="1:14" hidden="1" x14ac:dyDescent="0.2">
      <c r="A1018" s="231" t="s">
        <v>388</v>
      </c>
      <c r="B1018" s="308" t="s">
        <v>398</v>
      </c>
      <c r="C1018" s="247" t="s">
        <v>45</v>
      </c>
      <c r="D1018" s="128" t="s">
        <v>98</v>
      </c>
      <c r="E1018" s="311">
        <v>1.008087894248608E-2</v>
      </c>
      <c r="F1018" s="233" t="s">
        <v>403</v>
      </c>
      <c r="G1018" s="234" t="s">
        <v>16</v>
      </c>
      <c r="H1018" s="232">
        <v>1</v>
      </c>
      <c r="I1018" s="232">
        <v>2</v>
      </c>
      <c r="J1018" s="232">
        <v>3</v>
      </c>
      <c r="K1018" s="232">
        <v>2</v>
      </c>
      <c r="L1018" s="283">
        <v>2</v>
      </c>
      <c r="M1018" s="284">
        <f t="shared" si="34"/>
        <v>0.50042652380814845</v>
      </c>
      <c r="N1018" s="235"/>
    </row>
    <row r="1019" spans="1:14" hidden="1" x14ac:dyDescent="0.2">
      <c r="A1019" s="231" t="s">
        <v>388</v>
      </c>
      <c r="B1019" s="308" t="s">
        <v>398</v>
      </c>
      <c r="C1019" s="247" t="s">
        <v>46</v>
      </c>
      <c r="D1019" s="128" t="s">
        <v>98</v>
      </c>
      <c r="E1019" s="311">
        <v>0.37839267131817328</v>
      </c>
      <c r="F1019" s="233" t="s">
        <v>403</v>
      </c>
      <c r="G1019" s="234" t="s">
        <v>16</v>
      </c>
      <c r="H1019" s="232">
        <v>1</v>
      </c>
      <c r="I1019" s="232">
        <v>2</v>
      </c>
      <c r="J1019" s="232">
        <v>3</v>
      </c>
      <c r="K1019" s="232">
        <v>2</v>
      </c>
      <c r="L1019" s="283">
        <v>2</v>
      </c>
      <c r="M1019" s="284">
        <f t="shared" si="34"/>
        <v>0.50042652380814845</v>
      </c>
      <c r="N1019" s="235"/>
    </row>
    <row r="1020" spans="1:14" hidden="1" x14ac:dyDescent="0.2">
      <c r="A1020" s="231" t="s">
        <v>388</v>
      </c>
      <c r="B1020" s="308" t="s">
        <v>398</v>
      </c>
      <c r="C1020" s="247" t="s">
        <v>48</v>
      </c>
      <c r="D1020" s="128" t="s">
        <v>98</v>
      </c>
      <c r="E1020" s="311">
        <v>0.29937554065743938</v>
      </c>
      <c r="F1020" s="233" t="s">
        <v>403</v>
      </c>
      <c r="G1020" s="234" t="s">
        <v>16</v>
      </c>
      <c r="H1020" s="232">
        <v>1</v>
      </c>
      <c r="I1020" s="232">
        <v>2</v>
      </c>
      <c r="J1020" s="232">
        <v>3</v>
      </c>
      <c r="K1020" s="232">
        <v>2</v>
      </c>
      <c r="L1020" s="283">
        <v>2</v>
      </c>
      <c r="M1020" s="284">
        <f t="shared" si="34"/>
        <v>0.50042652380814845</v>
      </c>
      <c r="N1020" s="235"/>
    </row>
    <row r="1021" spans="1:14" hidden="1" x14ac:dyDescent="0.2">
      <c r="A1021" s="231" t="s">
        <v>388</v>
      </c>
      <c r="B1021" s="308" t="s">
        <v>398</v>
      </c>
      <c r="C1021" s="247" t="s">
        <v>50</v>
      </c>
      <c r="D1021" s="128" t="s">
        <v>98</v>
      </c>
      <c r="E1021" s="311">
        <v>0.73368233459567844</v>
      </c>
      <c r="F1021" s="233" t="s">
        <v>403</v>
      </c>
      <c r="G1021" s="234" t="s">
        <v>16</v>
      </c>
      <c r="H1021" s="232">
        <v>1</v>
      </c>
      <c r="I1021" s="232">
        <v>2</v>
      </c>
      <c r="J1021" s="232">
        <v>3</v>
      </c>
      <c r="K1021" s="232">
        <v>2</v>
      </c>
      <c r="L1021" s="283">
        <v>2</v>
      </c>
      <c r="M1021" s="284">
        <f t="shared" si="34"/>
        <v>0.50042652380814845</v>
      </c>
      <c r="N1021" s="235"/>
    </row>
    <row r="1022" spans="1:14" hidden="1" x14ac:dyDescent="0.2">
      <c r="A1022" s="231" t="s">
        <v>388</v>
      </c>
      <c r="B1022" s="308" t="s">
        <v>398</v>
      </c>
      <c r="C1022" s="247" t="s">
        <v>52</v>
      </c>
      <c r="D1022" s="128" t="s">
        <v>98</v>
      </c>
      <c r="E1022" s="311">
        <v>0.4719677643784787</v>
      </c>
      <c r="F1022" s="233" t="s">
        <v>403</v>
      </c>
      <c r="G1022" s="234" t="s">
        <v>16</v>
      </c>
      <c r="H1022" s="232">
        <v>1</v>
      </c>
      <c r="I1022" s="232">
        <v>2</v>
      </c>
      <c r="J1022" s="232">
        <v>3</v>
      </c>
      <c r="K1022" s="232">
        <v>2</v>
      </c>
      <c r="L1022" s="283">
        <v>2</v>
      </c>
      <c r="M1022" s="284">
        <f t="shared" si="34"/>
        <v>0.50042652380814845</v>
      </c>
      <c r="N1022" s="235"/>
    </row>
    <row r="1023" spans="1:14" hidden="1" x14ac:dyDescent="0.2">
      <c r="A1023" s="231" t="s">
        <v>388</v>
      </c>
      <c r="B1023" s="308" t="s">
        <v>398</v>
      </c>
      <c r="C1023" s="247" t="s">
        <v>54</v>
      </c>
      <c r="D1023" s="128" t="s">
        <v>98</v>
      </c>
      <c r="E1023" s="311">
        <v>0.32165680473372782</v>
      </c>
      <c r="F1023" s="233" t="s">
        <v>403</v>
      </c>
      <c r="G1023" s="234" t="s">
        <v>16</v>
      </c>
      <c r="H1023" s="232">
        <v>1</v>
      </c>
      <c r="I1023" s="232">
        <v>2</v>
      </c>
      <c r="J1023" s="232">
        <v>3</v>
      </c>
      <c r="K1023" s="232">
        <v>2</v>
      </c>
      <c r="L1023" s="283">
        <v>2</v>
      </c>
      <c r="M1023" s="284">
        <f t="shared" si="34"/>
        <v>0.50042652380814845</v>
      </c>
      <c r="N1023" s="235"/>
    </row>
    <row r="1024" spans="1:14" hidden="1" x14ac:dyDescent="0.2">
      <c r="A1024" s="231" t="s">
        <v>388</v>
      </c>
      <c r="B1024" s="308" t="s">
        <v>398</v>
      </c>
      <c r="C1024" s="247" t="s">
        <v>55</v>
      </c>
      <c r="D1024" s="128" t="s">
        <v>98</v>
      </c>
      <c r="E1024" s="311">
        <v>0.45838579702845628</v>
      </c>
      <c r="F1024" s="233" t="s">
        <v>403</v>
      </c>
      <c r="G1024" s="234" t="s">
        <v>16</v>
      </c>
      <c r="H1024" s="232">
        <v>1</v>
      </c>
      <c r="I1024" s="232">
        <v>2</v>
      </c>
      <c r="J1024" s="232">
        <v>3</v>
      </c>
      <c r="K1024" s="232">
        <v>2</v>
      </c>
      <c r="L1024" s="283">
        <v>2</v>
      </c>
      <c r="M1024" s="284">
        <f t="shared" si="34"/>
        <v>0.50042652380814845</v>
      </c>
      <c r="N1024" s="235"/>
    </row>
    <row r="1025" spans="1:14" hidden="1" x14ac:dyDescent="0.2">
      <c r="A1025" s="231" t="s">
        <v>388</v>
      </c>
      <c r="B1025" s="308" t="s">
        <v>398</v>
      </c>
      <c r="C1025" s="247" t="s">
        <v>57</v>
      </c>
      <c r="D1025" s="128" t="s">
        <v>98</v>
      </c>
      <c r="E1025" s="311">
        <v>4.3915369768635021E-3</v>
      </c>
      <c r="F1025" s="233" t="s">
        <v>403</v>
      </c>
      <c r="G1025" s="234" t="s">
        <v>16</v>
      </c>
      <c r="H1025" s="232">
        <v>1</v>
      </c>
      <c r="I1025" s="232">
        <v>2</v>
      </c>
      <c r="J1025" s="232">
        <v>3</v>
      </c>
      <c r="K1025" s="232">
        <v>2</v>
      </c>
      <c r="L1025" s="283">
        <v>2</v>
      </c>
      <c r="M1025" s="284">
        <f t="shared" si="34"/>
        <v>0.50042652380814845</v>
      </c>
      <c r="N1025" s="235"/>
    </row>
    <row r="1026" spans="1:14" hidden="1" x14ac:dyDescent="0.2">
      <c r="A1026" s="231" t="s">
        <v>388</v>
      </c>
      <c r="B1026" s="308" t="s">
        <v>398</v>
      </c>
      <c r="C1026" s="247" t="s">
        <v>59</v>
      </c>
      <c r="D1026" s="128" t="s">
        <v>98</v>
      </c>
      <c r="E1026" s="61">
        <v>0</v>
      </c>
      <c r="F1026" s="233" t="s">
        <v>403</v>
      </c>
      <c r="G1026" s="234" t="s">
        <v>16</v>
      </c>
      <c r="H1026" s="61"/>
      <c r="I1026" s="61"/>
      <c r="J1026" s="61"/>
      <c r="K1026" s="61"/>
      <c r="L1026" s="62"/>
      <c r="M1026" s="63" t="str">
        <f t="shared" si="34"/>
        <v/>
      </c>
      <c r="N1026" s="235"/>
    </row>
    <row r="1027" spans="1:14" hidden="1" x14ac:dyDescent="0.2">
      <c r="A1027" s="231" t="s">
        <v>388</v>
      </c>
      <c r="B1027" s="308" t="s">
        <v>398</v>
      </c>
      <c r="C1027" s="247" t="s">
        <v>60</v>
      </c>
      <c r="D1027" s="128" t="s">
        <v>98</v>
      </c>
      <c r="E1027" s="311">
        <v>0.1448097757621567</v>
      </c>
      <c r="F1027" s="233" t="s">
        <v>403</v>
      </c>
      <c r="G1027" s="234" t="s">
        <v>16</v>
      </c>
      <c r="H1027" s="232">
        <v>1</v>
      </c>
      <c r="I1027" s="232">
        <v>2</v>
      </c>
      <c r="J1027" s="232">
        <v>3</v>
      </c>
      <c r="K1027" s="232">
        <v>2</v>
      </c>
      <c r="L1027" s="283">
        <v>2</v>
      </c>
      <c r="M1027" s="284">
        <f t="shared" si="34"/>
        <v>0.50042652380814845</v>
      </c>
      <c r="N1027" s="235"/>
    </row>
    <row r="1028" spans="1:14" x14ac:dyDescent="0.2">
      <c r="A1028" s="312" t="s">
        <v>388</v>
      </c>
      <c r="B1028" s="313" t="s">
        <v>399</v>
      </c>
      <c r="C1028" s="238" t="s">
        <v>135</v>
      </c>
      <c r="D1028" s="279" t="s">
        <v>135</v>
      </c>
      <c r="E1028" s="240" t="s">
        <v>188</v>
      </c>
      <c r="F1028" s="241"/>
      <c r="G1028" s="242" t="s">
        <v>16</v>
      </c>
      <c r="H1028" s="240"/>
      <c r="I1028" s="240"/>
      <c r="J1028" s="240"/>
      <c r="K1028" s="240"/>
      <c r="L1028" s="243"/>
      <c r="M1028" s="244"/>
      <c r="N1028" s="245"/>
    </row>
    <row r="1029" spans="1:14" x14ac:dyDescent="0.2">
      <c r="A1029" s="231" t="s">
        <v>384</v>
      </c>
      <c r="B1029" s="308" t="s">
        <v>398</v>
      </c>
      <c r="C1029" s="247" t="s">
        <v>13</v>
      </c>
      <c r="D1029" s="276" t="s">
        <v>135</v>
      </c>
      <c r="E1029" s="61">
        <v>0</v>
      </c>
      <c r="F1029" s="233" t="s">
        <v>400</v>
      </c>
      <c r="G1029" s="234" t="s">
        <v>16</v>
      </c>
      <c r="H1029" s="61"/>
      <c r="I1029" s="61"/>
      <c r="J1029" s="61" t="str">
        <f>IF( OR( ISBLANK(#REF!),ISBLANK(F1029), ISBLANK(#REF!), ISBLANK(H1029), ISBLANK(I1029) ), "", 1.5*SQRT(   EXP(2.21*(#REF!-1)) + EXP(2.21*(F1029-1)) + EXP(2.21*(#REF!-1)) + EXP(2.21*(H1029-1)) + EXP(2.21*I1029)   )/100 )</f>
        <v/>
      </c>
      <c r="K1029" s="61"/>
      <c r="L1029" s="62"/>
      <c r="M1029" s="63" t="str">
        <f>IF( OR( ISBLANK(H1029),ISBLANK(I1029), ISBLANK(J1029), ISBLANK(K1029), ISBLANK(L1029) ), "", 1.5*SQRT(   EXP(2.21*(H1029-1)) + EXP(2.21*(I1029-1)) + EXP(2.21*(J1029-1)) + EXP(2.21*(K1029-1)) + EXP(2.21*L1029)   )/100*2.45 )</f>
        <v/>
      </c>
      <c r="N1029" s="235"/>
    </row>
    <row r="1030" spans="1:14" hidden="1" x14ac:dyDescent="0.2">
      <c r="A1030" s="231" t="s">
        <v>384</v>
      </c>
      <c r="B1030" s="308" t="s">
        <v>398</v>
      </c>
      <c r="C1030" s="247" t="s">
        <v>18</v>
      </c>
      <c r="D1030" s="276" t="s">
        <v>135</v>
      </c>
      <c r="E1030" s="311">
        <v>3.2786885245901641E-2</v>
      </c>
      <c r="F1030" s="233" t="s">
        <v>400</v>
      </c>
      <c r="G1030" s="234" t="s">
        <v>16</v>
      </c>
      <c r="H1030" s="232">
        <v>1</v>
      </c>
      <c r="I1030" s="232">
        <v>1</v>
      </c>
      <c r="J1030" s="232">
        <v>3</v>
      </c>
      <c r="K1030" s="232">
        <v>2</v>
      </c>
      <c r="L1030" s="283">
        <v>2</v>
      </c>
      <c r="M1030" s="284">
        <f t="shared" ref="M1030:M1061" si="35">IF( OR( ISBLANK(H1030),ISBLANK(I1030), ISBLANK(J1030), ISBLANK(K1030), ISBLANK(L1030) ), "", 1.5*SQRT( EXP(2.21*(H1030-1)) + EXP(2.21*(I1030-1)) + EXP(2.21*(J1030-1)) + EXP(2.21*(K1030-1)) + EXP(2.21*L1030) )/100*2.45 )</f>
        <v>0.48935255543384243</v>
      </c>
      <c r="N1030" s="235"/>
    </row>
    <row r="1031" spans="1:14" hidden="1" x14ac:dyDescent="0.2">
      <c r="A1031" s="231" t="s">
        <v>384</v>
      </c>
      <c r="B1031" s="308" t="s">
        <v>398</v>
      </c>
      <c r="C1031" s="247" t="s">
        <v>20</v>
      </c>
      <c r="D1031" s="276" t="s">
        <v>135</v>
      </c>
      <c r="E1031" s="311">
        <v>0.89610389610389618</v>
      </c>
      <c r="F1031" s="233" t="s">
        <v>400</v>
      </c>
      <c r="G1031" s="234" t="s">
        <v>16</v>
      </c>
      <c r="H1031" s="232">
        <v>1</v>
      </c>
      <c r="I1031" s="232">
        <v>1</v>
      </c>
      <c r="J1031" s="232">
        <v>3</v>
      </c>
      <c r="K1031" s="232">
        <v>2</v>
      </c>
      <c r="L1031" s="283">
        <v>2</v>
      </c>
      <c r="M1031" s="284">
        <f t="shared" si="35"/>
        <v>0.48935255543384243</v>
      </c>
      <c r="N1031" s="235"/>
    </row>
    <row r="1032" spans="1:14" hidden="1" x14ac:dyDescent="0.2">
      <c r="A1032" s="231" t="s">
        <v>384</v>
      </c>
      <c r="B1032" s="308" t="s">
        <v>398</v>
      </c>
      <c r="C1032" s="247" t="s">
        <v>22</v>
      </c>
      <c r="D1032" s="276" t="s">
        <v>135</v>
      </c>
      <c r="E1032" s="311">
        <v>0.93055555555555547</v>
      </c>
      <c r="F1032" s="233" t="s">
        <v>400</v>
      </c>
      <c r="G1032" s="234" t="s">
        <v>16</v>
      </c>
      <c r="H1032" s="232">
        <v>1</v>
      </c>
      <c r="I1032" s="232">
        <v>1</v>
      </c>
      <c r="J1032" s="232">
        <v>3</v>
      </c>
      <c r="K1032" s="232">
        <v>2</v>
      </c>
      <c r="L1032" s="283">
        <v>2</v>
      </c>
      <c r="M1032" s="284">
        <f t="shared" si="35"/>
        <v>0.48935255543384243</v>
      </c>
      <c r="N1032" s="235"/>
    </row>
    <row r="1033" spans="1:14" hidden="1" x14ac:dyDescent="0.2">
      <c r="A1033" s="231" t="s">
        <v>384</v>
      </c>
      <c r="B1033" s="308" t="s">
        <v>398</v>
      </c>
      <c r="C1033" s="247" t="s">
        <v>23</v>
      </c>
      <c r="D1033" s="276" t="s">
        <v>135</v>
      </c>
      <c r="E1033" s="311">
        <v>0.9726027397260274</v>
      </c>
      <c r="F1033" s="233" t="s">
        <v>400</v>
      </c>
      <c r="G1033" s="234" t="s">
        <v>16</v>
      </c>
      <c r="H1033" s="232">
        <v>1</v>
      </c>
      <c r="I1033" s="232">
        <v>1</v>
      </c>
      <c r="J1033" s="232">
        <v>3</v>
      </c>
      <c r="K1033" s="232">
        <v>2</v>
      </c>
      <c r="L1033" s="283">
        <v>2</v>
      </c>
      <c r="M1033" s="284">
        <f t="shared" si="35"/>
        <v>0.48935255543384243</v>
      </c>
      <c r="N1033" s="235"/>
    </row>
    <row r="1034" spans="1:14" hidden="1" x14ac:dyDescent="0.2">
      <c r="A1034" s="231" t="s">
        <v>384</v>
      </c>
      <c r="B1034" s="308" t="s">
        <v>398</v>
      </c>
      <c r="C1034" s="247" t="s">
        <v>24</v>
      </c>
      <c r="D1034" s="276" t="s">
        <v>135</v>
      </c>
      <c r="E1034" s="311">
        <v>0.63934426229508201</v>
      </c>
      <c r="F1034" s="233" t="s">
        <v>400</v>
      </c>
      <c r="G1034" s="234" t="s">
        <v>16</v>
      </c>
      <c r="H1034" s="232">
        <v>1</v>
      </c>
      <c r="I1034" s="232">
        <v>1</v>
      </c>
      <c r="J1034" s="232">
        <v>3</v>
      </c>
      <c r="K1034" s="232">
        <v>2</v>
      </c>
      <c r="L1034" s="283">
        <v>2</v>
      </c>
      <c r="M1034" s="284">
        <f t="shared" si="35"/>
        <v>0.48935255543384243</v>
      </c>
      <c r="N1034" s="235"/>
    </row>
    <row r="1035" spans="1:14" hidden="1" x14ac:dyDescent="0.2">
      <c r="A1035" s="231" t="s">
        <v>384</v>
      </c>
      <c r="B1035" s="308" t="s">
        <v>398</v>
      </c>
      <c r="C1035" s="247" t="s">
        <v>25</v>
      </c>
      <c r="D1035" s="276" t="s">
        <v>135</v>
      </c>
      <c r="E1035" s="311">
        <v>3.3333333333333333E-2</v>
      </c>
      <c r="F1035" s="233" t="s">
        <v>400</v>
      </c>
      <c r="G1035" s="234" t="s">
        <v>16</v>
      </c>
      <c r="H1035" s="232">
        <v>1</v>
      </c>
      <c r="I1035" s="232">
        <v>1</v>
      </c>
      <c r="J1035" s="232">
        <v>3</v>
      </c>
      <c r="K1035" s="232">
        <v>2</v>
      </c>
      <c r="L1035" s="283">
        <v>2</v>
      </c>
      <c r="M1035" s="284">
        <f t="shared" si="35"/>
        <v>0.48935255543384243</v>
      </c>
      <c r="N1035" s="235"/>
    </row>
    <row r="1036" spans="1:14" hidden="1" x14ac:dyDescent="0.2">
      <c r="A1036" s="231" t="s">
        <v>384</v>
      </c>
      <c r="B1036" s="308" t="s">
        <v>398</v>
      </c>
      <c r="C1036" s="247" t="s">
        <v>26</v>
      </c>
      <c r="D1036" s="276" t="s">
        <v>135</v>
      </c>
      <c r="E1036" s="311">
        <v>0.30303030303030298</v>
      </c>
      <c r="F1036" s="233" t="s">
        <v>400</v>
      </c>
      <c r="G1036" s="234" t="s">
        <v>16</v>
      </c>
      <c r="H1036" s="232">
        <v>1</v>
      </c>
      <c r="I1036" s="232">
        <v>1</v>
      </c>
      <c r="J1036" s="232">
        <v>3</v>
      </c>
      <c r="K1036" s="232">
        <v>2</v>
      </c>
      <c r="L1036" s="283">
        <v>2</v>
      </c>
      <c r="M1036" s="284">
        <f t="shared" si="35"/>
        <v>0.48935255543384243</v>
      </c>
      <c r="N1036" s="235"/>
    </row>
    <row r="1037" spans="1:14" hidden="1" x14ac:dyDescent="0.2">
      <c r="A1037" s="231" t="s">
        <v>384</v>
      </c>
      <c r="B1037" s="308" t="s">
        <v>398</v>
      </c>
      <c r="C1037" s="247" t="s">
        <v>27</v>
      </c>
      <c r="D1037" s="276" t="s">
        <v>135</v>
      </c>
      <c r="E1037" s="311">
        <v>2.5316455696202531E-2</v>
      </c>
      <c r="F1037" s="233" t="s">
        <v>400</v>
      </c>
      <c r="G1037" s="234" t="s">
        <v>16</v>
      </c>
      <c r="H1037" s="232">
        <v>1</v>
      </c>
      <c r="I1037" s="232">
        <v>1</v>
      </c>
      <c r="J1037" s="232">
        <v>3</v>
      </c>
      <c r="K1037" s="232">
        <v>2</v>
      </c>
      <c r="L1037" s="283">
        <v>2</v>
      </c>
      <c r="M1037" s="284">
        <f t="shared" si="35"/>
        <v>0.48935255543384243</v>
      </c>
      <c r="N1037" s="235"/>
    </row>
    <row r="1038" spans="1:14" hidden="1" x14ac:dyDescent="0.2">
      <c r="A1038" s="231" t="s">
        <v>384</v>
      </c>
      <c r="B1038" s="308" t="s">
        <v>398</v>
      </c>
      <c r="C1038" s="247" t="s">
        <v>28</v>
      </c>
      <c r="D1038" s="276" t="s">
        <v>135</v>
      </c>
      <c r="E1038" s="311">
        <v>0.41333333333333327</v>
      </c>
      <c r="F1038" s="233" t="s">
        <v>400</v>
      </c>
      <c r="G1038" s="234" t="s">
        <v>16</v>
      </c>
      <c r="H1038" s="232">
        <v>1</v>
      </c>
      <c r="I1038" s="232">
        <v>1</v>
      </c>
      <c r="J1038" s="232">
        <v>3</v>
      </c>
      <c r="K1038" s="232">
        <v>2</v>
      </c>
      <c r="L1038" s="283">
        <v>2</v>
      </c>
      <c r="M1038" s="284">
        <f t="shared" si="35"/>
        <v>0.48935255543384243</v>
      </c>
      <c r="N1038" s="235"/>
    </row>
    <row r="1039" spans="1:14" hidden="1" x14ac:dyDescent="0.2">
      <c r="A1039" s="231" t="s">
        <v>384</v>
      </c>
      <c r="B1039" s="308" t="s">
        <v>398</v>
      </c>
      <c r="C1039" s="247" t="s">
        <v>30</v>
      </c>
      <c r="D1039" s="276" t="s">
        <v>135</v>
      </c>
      <c r="E1039" s="311">
        <v>1.7241379310344831E-2</v>
      </c>
      <c r="F1039" s="233" t="s">
        <v>400</v>
      </c>
      <c r="G1039" s="234" t="s">
        <v>16</v>
      </c>
      <c r="H1039" s="232">
        <v>1</v>
      </c>
      <c r="I1039" s="232">
        <v>1</v>
      </c>
      <c r="J1039" s="232">
        <v>3</v>
      </c>
      <c r="K1039" s="232">
        <v>2</v>
      </c>
      <c r="L1039" s="283">
        <v>2</v>
      </c>
      <c r="M1039" s="284">
        <f t="shared" si="35"/>
        <v>0.48935255543384243</v>
      </c>
      <c r="N1039" s="235"/>
    </row>
    <row r="1040" spans="1:14" hidden="1" x14ac:dyDescent="0.2">
      <c r="A1040" s="231" t="s">
        <v>384</v>
      </c>
      <c r="B1040" s="308" t="s">
        <v>398</v>
      </c>
      <c r="C1040" s="247" t="s">
        <v>32</v>
      </c>
      <c r="D1040" s="276" t="s">
        <v>135</v>
      </c>
      <c r="E1040" s="311">
        <v>0.97333333333333327</v>
      </c>
      <c r="F1040" s="233" t="s">
        <v>400</v>
      </c>
      <c r="G1040" s="234" t="s">
        <v>16</v>
      </c>
      <c r="H1040" s="232">
        <v>1</v>
      </c>
      <c r="I1040" s="232">
        <v>1</v>
      </c>
      <c r="J1040" s="232">
        <v>3</v>
      </c>
      <c r="K1040" s="232">
        <v>2</v>
      </c>
      <c r="L1040" s="283">
        <v>2</v>
      </c>
      <c r="M1040" s="284">
        <f t="shared" si="35"/>
        <v>0.48935255543384243</v>
      </c>
      <c r="N1040" s="235"/>
    </row>
    <row r="1041" spans="1:14" hidden="1" x14ac:dyDescent="0.2">
      <c r="A1041" s="231" t="s">
        <v>384</v>
      </c>
      <c r="B1041" s="308" t="s">
        <v>398</v>
      </c>
      <c r="C1041" s="247" t="s">
        <v>34</v>
      </c>
      <c r="D1041" s="276" t="s">
        <v>135</v>
      </c>
      <c r="E1041" s="311">
        <v>0.73076923076923084</v>
      </c>
      <c r="F1041" s="233" t="s">
        <v>400</v>
      </c>
      <c r="G1041" s="234" t="s">
        <v>16</v>
      </c>
      <c r="H1041" s="232">
        <v>1</v>
      </c>
      <c r="I1041" s="232">
        <v>1</v>
      </c>
      <c r="J1041" s="232">
        <v>3</v>
      </c>
      <c r="K1041" s="232">
        <v>2</v>
      </c>
      <c r="L1041" s="283">
        <v>2</v>
      </c>
      <c r="M1041" s="284">
        <f t="shared" si="35"/>
        <v>0.48935255543384243</v>
      </c>
      <c r="N1041" s="235"/>
    </row>
    <row r="1042" spans="1:14" hidden="1" x14ac:dyDescent="0.2">
      <c r="A1042" s="231" t="s">
        <v>384</v>
      </c>
      <c r="B1042" s="308" t="s">
        <v>398</v>
      </c>
      <c r="C1042" s="247" t="s">
        <v>36</v>
      </c>
      <c r="D1042" s="276" t="s">
        <v>135</v>
      </c>
      <c r="E1042" s="311">
        <v>0.12676056338028169</v>
      </c>
      <c r="F1042" s="233" t="s">
        <v>400</v>
      </c>
      <c r="G1042" s="234" t="s">
        <v>16</v>
      </c>
      <c r="H1042" s="232">
        <v>1</v>
      </c>
      <c r="I1042" s="232">
        <v>1</v>
      </c>
      <c r="J1042" s="232">
        <v>3</v>
      </c>
      <c r="K1042" s="232">
        <v>2</v>
      </c>
      <c r="L1042" s="283">
        <v>2</v>
      </c>
      <c r="M1042" s="284">
        <f t="shared" si="35"/>
        <v>0.48935255543384243</v>
      </c>
      <c r="N1042" s="235"/>
    </row>
    <row r="1043" spans="1:14" hidden="1" x14ac:dyDescent="0.2">
      <c r="A1043" s="231" t="s">
        <v>384</v>
      </c>
      <c r="B1043" s="308" t="s">
        <v>398</v>
      </c>
      <c r="C1043" s="247" t="s">
        <v>37</v>
      </c>
      <c r="D1043" s="276" t="s">
        <v>135</v>
      </c>
      <c r="E1043" s="311">
        <v>0.48484848484848492</v>
      </c>
      <c r="F1043" s="233" t="s">
        <v>400</v>
      </c>
      <c r="G1043" s="234" t="s">
        <v>16</v>
      </c>
      <c r="H1043" s="232">
        <v>1</v>
      </c>
      <c r="I1043" s="232">
        <v>1</v>
      </c>
      <c r="J1043" s="232">
        <v>3</v>
      </c>
      <c r="K1043" s="232">
        <v>2</v>
      </c>
      <c r="L1043" s="283">
        <v>2</v>
      </c>
      <c r="M1043" s="284">
        <f t="shared" si="35"/>
        <v>0.48935255543384243</v>
      </c>
      <c r="N1043" s="235"/>
    </row>
    <row r="1044" spans="1:14" hidden="1" x14ac:dyDescent="0.2">
      <c r="A1044" s="231" t="s">
        <v>384</v>
      </c>
      <c r="B1044" s="308" t="s">
        <v>398</v>
      </c>
      <c r="C1044" s="247" t="s">
        <v>39</v>
      </c>
      <c r="D1044" s="276" t="s">
        <v>135</v>
      </c>
      <c r="E1044" s="311">
        <v>0.96969696969696972</v>
      </c>
      <c r="F1044" s="233" t="s">
        <v>400</v>
      </c>
      <c r="G1044" s="234" t="s">
        <v>16</v>
      </c>
      <c r="H1044" s="232">
        <v>1</v>
      </c>
      <c r="I1044" s="232">
        <v>1</v>
      </c>
      <c r="J1044" s="232">
        <v>3</v>
      </c>
      <c r="K1044" s="232">
        <v>2</v>
      </c>
      <c r="L1044" s="283">
        <v>2</v>
      </c>
      <c r="M1044" s="284">
        <f t="shared" si="35"/>
        <v>0.48935255543384243</v>
      </c>
      <c r="N1044" s="235"/>
    </row>
    <row r="1045" spans="1:14" hidden="1" x14ac:dyDescent="0.2">
      <c r="A1045" s="231" t="s">
        <v>384</v>
      </c>
      <c r="B1045" s="308" t="s">
        <v>398</v>
      </c>
      <c r="C1045" s="247" t="s">
        <v>40</v>
      </c>
      <c r="D1045" s="276" t="s">
        <v>135</v>
      </c>
      <c r="E1045" s="311">
        <v>0.61643835616438358</v>
      </c>
      <c r="F1045" s="233" t="s">
        <v>400</v>
      </c>
      <c r="G1045" s="234" t="s">
        <v>16</v>
      </c>
      <c r="H1045" s="232">
        <v>1</v>
      </c>
      <c r="I1045" s="232">
        <v>1</v>
      </c>
      <c r="J1045" s="232">
        <v>3</v>
      </c>
      <c r="K1045" s="232">
        <v>2</v>
      </c>
      <c r="L1045" s="283">
        <v>2</v>
      </c>
      <c r="M1045" s="284">
        <f t="shared" si="35"/>
        <v>0.48935255543384243</v>
      </c>
      <c r="N1045" s="235"/>
    </row>
    <row r="1046" spans="1:14" hidden="1" x14ac:dyDescent="0.2">
      <c r="A1046" s="231" t="s">
        <v>384</v>
      </c>
      <c r="B1046" s="308" t="s">
        <v>398</v>
      </c>
      <c r="C1046" s="247" t="s">
        <v>41</v>
      </c>
      <c r="D1046" s="276" t="s">
        <v>135</v>
      </c>
      <c r="E1046" s="61">
        <v>0</v>
      </c>
      <c r="F1046" s="233" t="s">
        <v>400</v>
      </c>
      <c r="G1046" s="234" t="s">
        <v>16</v>
      </c>
      <c r="H1046" s="61"/>
      <c r="I1046" s="61"/>
      <c r="J1046" s="61" t="str">
        <f>IF( OR( ISBLANK(#REF!),ISBLANK(F1046), ISBLANK(#REF!), ISBLANK(H1046), ISBLANK(I1046) ), "", 1.5*SQRT(   EXP(2.21*(#REF!-1)) + EXP(2.21*(F1046-1)) + EXP(2.21*(#REF!-1)) + EXP(2.21*(H1046-1)) + EXP(2.21*I1046)   )/100 )</f>
        <v/>
      </c>
      <c r="K1046" s="61"/>
      <c r="L1046" s="62"/>
      <c r="M1046" s="63" t="str">
        <f t="shared" si="35"/>
        <v/>
      </c>
      <c r="N1046" s="235"/>
    </row>
    <row r="1047" spans="1:14" hidden="1" x14ac:dyDescent="0.2">
      <c r="A1047" s="231" t="s">
        <v>384</v>
      </c>
      <c r="B1047" s="308" t="s">
        <v>398</v>
      </c>
      <c r="C1047" s="247" t="s">
        <v>42</v>
      </c>
      <c r="D1047" s="276" t="s">
        <v>135</v>
      </c>
      <c r="E1047" s="311">
        <v>0.97402597402597402</v>
      </c>
      <c r="F1047" s="233" t="s">
        <v>400</v>
      </c>
      <c r="G1047" s="234" t="s">
        <v>16</v>
      </c>
      <c r="H1047" s="232">
        <v>1</v>
      </c>
      <c r="I1047" s="232">
        <v>1</v>
      </c>
      <c r="J1047" s="232">
        <v>3</v>
      </c>
      <c r="K1047" s="232">
        <v>2</v>
      </c>
      <c r="L1047" s="283">
        <v>2</v>
      </c>
      <c r="M1047" s="284">
        <f t="shared" si="35"/>
        <v>0.48935255543384243</v>
      </c>
      <c r="N1047" s="235"/>
    </row>
    <row r="1048" spans="1:14" hidden="1" x14ac:dyDescent="0.2">
      <c r="A1048" s="231" t="s">
        <v>384</v>
      </c>
      <c r="B1048" s="308" t="s">
        <v>398</v>
      </c>
      <c r="C1048" s="247" t="s">
        <v>43</v>
      </c>
      <c r="D1048" s="276" t="s">
        <v>135</v>
      </c>
      <c r="E1048" s="61">
        <v>0</v>
      </c>
      <c r="F1048" s="233" t="s">
        <v>400</v>
      </c>
      <c r="G1048" s="234" t="s">
        <v>16</v>
      </c>
      <c r="H1048" s="61"/>
      <c r="I1048" s="61"/>
      <c r="J1048" s="61" t="str">
        <f>IF( OR( ISBLANK(#REF!),ISBLANK(F1048), ISBLANK(#REF!), ISBLANK(H1048), ISBLANK(I1048) ), "", 1.5*SQRT(   EXP(2.21*(#REF!-1)) + EXP(2.21*(F1048-1)) + EXP(2.21*(#REF!-1)) + EXP(2.21*(H1048-1)) + EXP(2.21*I1048)   )/100 )</f>
        <v/>
      </c>
      <c r="K1048" s="61"/>
      <c r="L1048" s="62"/>
      <c r="M1048" s="63" t="str">
        <f t="shared" si="35"/>
        <v/>
      </c>
      <c r="N1048" s="235"/>
    </row>
    <row r="1049" spans="1:14" hidden="1" x14ac:dyDescent="0.2">
      <c r="A1049" s="231" t="s">
        <v>384</v>
      </c>
      <c r="B1049" s="308" t="s">
        <v>398</v>
      </c>
      <c r="C1049" s="247" t="s">
        <v>45</v>
      </c>
      <c r="D1049" s="276" t="s">
        <v>135</v>
      </c>
      <c r="E1049" s="311">
        <v>3.5714285714285712E-2</v>
      </c>
      <c r="F1049" s="233" t="s">
        <v>400</v>
      </c>
      <c r="G1049" s="234" t="s">
        <v>16</v>
      </c>
      <c r="H1049" s="232">
        <v>1</v>
      </c>
      <c r="I1049" s="232">
        <v>1</v>
      </c>
      <c r="J1049" s="232">
        <v>3</v>
      </c>
      <c r="K1049" s="232">
        <v>2</v>
      </c>
      <c r="L1049" s="283">
        <v>2</v>
      </c>
      <c r="M1049" s="284">
        <f t="shared" si="35"/>
        <v>0.48935255543384243</v>
      </c>
      <c r="N1049" s="235"/>
    </row>
    <row r="1050" spans="1:14" hidden="1" x14ac:dyDescent="0.2">
      <c r="A1050" s="231" t="s">
        <v>384</v>
      </c>
      <c r="B1050" s="308" t="s">
        <v>398</v>
      </c>
      <c r="C1050" s="247" t="s">
        <v>46</v>
      </c>
      <c r="D1050" s="276" t="s">
        <v>135</v>
      </c>
      <c r="E1050" s="311">
        <v>0.56164383561643838</v>
      </c>
      <c r="F1050" s="233" t="s">
        <v>400</v>
      </c>
      <c r="G1050" s="234" t="s">
        <v>16</v>
      </c>
      <c r="H1050" s="232">
        <v>1</v>
      </c>
      <c r="I1050" s="232">
        <v>1</v>
      </c>
      <c r="J1050" s="232">
        <v>3</v>
      </c>
      <c r="K1050" s="232">
        <v>2</v>
      </c>
      <c r="L1050" s="283">
        <v>2</v>
      </c>
      <c r="M1050" s="284">
        <f t="shared" si="35"/>
        <v>0.48935255543384243</v>
      </c>
      <c r="N1050" s="235"/>
    </row>
    <row r="1051" spans="1:14" hidden="1" x14ac:dyDescent="0.2">
      <c r="A1051" s="231" t="s">
        <v>384</v>
      </c>
      <c r="B1051" s="308" t="s">
        <v>398</v>
      </c>
      <c r="C1051" s="247" t="s">
        <v>48</v>
      </c>
      <c r="D1051" s="276" t="s">
        <v>135</v>
      </c>
      <c r="E1051" s="311">
        <v>0.48529411764705888</v>
      </c>
      <c r="F1051" s="233" t="s">
        <v>400</v>
      </c>
      <c r="G1051" s="234" t="s">
        <v>16</v>
      </c>
      <c r="H1051" s="232">
        <v>1</v>
      </c>
      <c r="I1051" s="232">
        <v>1</v>
      </c>
      <c r="J1051" s="232">
        <v>3</v>
      </c>
      <c r="K1051" s="232">
        <v>2</v>
      </c>
      <c r="L1051" s="283">
        <v>2</v>
      </c>
      <c r="M1051" s="284">
        <f t="shared" si="35"/>
        <v>0.48935255543384243</v>
      </c>
      <c r="N1051" s="235"/>
    </row>
    <row r="1052" spans="1:14" hidden="1" x14ac:dyDescent="0.2">
      <c r="A1052" s="231" t="s">
        <v>384</v>
      </c>
      <c r="B1052" s="308" t="s">
        <v>398</v>
      </c>
      <c r="C1052" s="247" t="s">
        <v>50</v>
      </c>
      <c r="D1052" s="276" t="s">
        <v>135</v>
      </c>
      <c r="E1052" s="311">
        <v>0.83582089552238814</v>
      </c>
      <c r="F1052" s="233" t="s">
        <v>400</v>
      </c>
      <c r="G1052" s="234" t="s">
        <v>16</v>
      </c>
      <c r="H1052" s="232">
        <v>1</v>
      </c>
      <c r="I1052" s="232">
        <v>1</v>
      </c>
      <c r="J1052" s="232">
        <v>3</v>
      </c>
      <c r="K1052" s="232">
        <v>2</v>
      </c>
      <c r="L1052" s="283">
        <v>2</v>
      </c>
      <c r="M1052" s="284">
        <f t="shared" si="35"/>
        <v>0.48935255543384243</v>
      </c>
      <c r="N1052" s="235"/>
    </row>
    <row r="1053" spans="1:14" hidden="1" x14ac:dyDescent="0.2">
      <c r="A1053" s="231" t="s">
        <v>384</v>
      </c>
      <c r="B1053" s="308" t="s">
        <v>398</v>
      </c>
      <c r="C1053" s="247" t="s">
        <v>52</v>
      </c>
      <c r="D1053" s="276" t="s">
        <v>135</v>
      </c>
      <c r="E1053" s="311">
        <v>0.6428571428571429</v>
      </c>
      <c r="F1053" s="233" t="s">
        <v>400</v>
      </c>
      <c r="G1053" s="234" t="s">
        <v>16</v>
      </c>
      <c r="H1053" s="232">
        <v>1</v>
      </c>
      <c r="I1053" s="232">
        <v>1</v>
      </c>
      <c r="J1053" s="232">
        <v>3</v>
      </c>
      <c r="K1053" s="232">
        <v>2</v>
      </c>
      <c r="L1053" s="283">
        <v>2</v>
      </c>
      <c r="M1053" s="284">
        <f t="shared" si="35"/>
        <v>0.48935255543384243</v>
      </c>
      <c r="N1053" s="235"/>
    </row>
    <row r="1054" spans="1:14" hidden="1" x14ac:dyDescent="0.2">
      <c r="A1054" s="231" t="s">
        <v>384</v>
      </c>
      <c r="B1054" s="308" t="s">
        <v>398</v>
      </c>
      <c r="C1054" s="247" t="s">
        <v>54</v>
      </c>
      <c r="D1054" s="276" t="s">
        <v>135</v>
      </c>
      <c r="E1054" s="311">
        <v>0.50769230769230766</v>
      </c>
      <c r="F1054" s="233" t="s">
        <v>400</v>
      </c>
      <c r="G1054" s="234" t="s">
        <v>16</v>
      </c>
      <c r="H1054" s="232">
        <v>1</v>
      </c>
      <c r="I1054" s="232">
        <v>1</v>
      </c>
      <c r="J1054" s="232">
        <v>3</v>
      </c>
      <c r="K1054" s="232">
        <v>2</v>
      </c>
      <c r="L1054" s="283">
        <v>2</v>
      </c>
      <c r="M1054" s="284">
        <f t="shared" si="35"/>
        <v>0.48935255543384243</v>
      </c>
      <c r="N1054" s="235"/>
    </row>
    <row r="1055" spans="1:14" hidden="1" x14ac:dyDescent="0.2">
      <c r="A1055" s="231" t="s">
        <v>384</v>
      </c>
      <c r="B1055" s="308" t="s">
        <v>398</v>
      </c>
      <c r="C1055" s="247" t="s">
        <v>55</v>
      </c>
      <c r="D1055" s="276" t="s">
        <v>135</v>
      </c>
      <c r="E1055" s="311">
        <v>0.63157894736842113</v>
      </c>
      <c r="F1055" s="233" t="s">
        <v>400</v>
      </c>
      <c r="G1055" s="234" t="s">
        <v>16</v>
      </c>
      <c r="H1055" s="232">
        <v>1</v>
      </c>
      <c r="I1055" s="232">
        <v>1</v>
      </c>
      <c r="J1055" s="232">
        <v>3</v>
      </c>
      <c r="K1055" s="232">
        <v>2</v>
      </c>
      <c r="L1055" s="283">
        <v>2</v>
      </c>
      <c r="M1055" s="284">
        <f t="shared" si="35"/>
        <v>0.48935255543384243</v>
      </c>
      <c r="N1055" s="235"/>
    </row>
    <row r="1056" spans="1:14" hidden="1" x14ac:dyDescent="0.2">
      <c r="A1056" s="231" t="s">
        <v>384</v>
      </c>
      <c r="B1056" s="308" t="s">
        <v>398</v>
      </c>
      <c r="C1056" s="247" t="s">
        <v>57</v>
      </c>
      <c r="D1056" s="276" t="s">
        <v>135</v>
      </c>
      <c r="E1056" s="311">
        <v>1.6393442622950821E-2</v>
      </c>
      <c r="F1056" s="233" t="s">
        <v>400</v>
      </c>
      <c r="G1056" s="234" t="s">
        <v>16</v>
      </c>
      <c r="H1056" s="232">
        <v>1</v>
      </c>
      <c r="I1056" s="232">
        <v>1</v>
      </c>
      <c r="J1056" s="232">
        <v>3</v>
      </c>
      <c r="K1056" s="232">
        <v>2</v>
      </c>
      <c r="L1056" s="283">
        <v>2</v>
      </c>
      <c r="M1056" s="284">
        <f t="shared" si="35"/>
        <v>0.48935255543384243</v>
      </c>
      <c r="N1056" s="235"/>
    </row>
    <row r="1057" spans="1:14" hidden="1" x14ac:dyDescent="0.2">
      <c r="A1057" s="231" t="s">
        <v>384</v>
      </c>
      <c r="B1057" s="308" t="s">
        <v>398</v>
      </c>
      <c r="C1057" s="247" t="s">
        <v>59</v>
      </c>
      <c r="D1057" s="276" t="s">
        <v>135</v>
      </c>
      <c r="E1057" s="61">
        <v>0</v>
      </c>
      <c r="F1057" s="233" t="s">
        <v>400</v>
      </c>
      <c r="G1057" s="234" t="s">
        <v>16</v>
      </c>
      <c r="H1057" s="61"/>
      <c r="I1057" s="61"/>
      <c r="J1057" s="61" t="str">
        <f>IF( OR( ISBLANK(#REF!),ISBLANK(F1057), ISBLANK(#REF!), ISBLANK(H1057), ISBLANK(I1057) ), "", 1.5*SQRT(   EXP(2.21*(#REF!-1)) + EXP(2.21*(F1057-1)) + EXP(2.21*(#REF!-1)) + EXP(2.21*(H1057-1)) + EXP(2.21*I1057)   )/100 )</f>
        <v/>
      </c>
      <c r="K1057" s="61"/>
      <c r="L1057" s="62"/>
      <c r="M1057" s="63" t="str">
        <f t="shared" si="35"/>
        <v/>
      </c>
      <c r="N1057" s="235"/>
    </row>
    <row r="1058" spans="1:14" hidden="1" x14ac:dyDescent="0.2">
      <c r="A1058" s="231" t="s">
        <v>384</v>
      </c>
      <c r="B1058" s="308" t="s">
        <v>398</v>
      </c>
      <c r="C1058" s="247" t="s">
        <v>60</v>
      </c>
      <c r="D1058" s="276" t="s">
        <v>135</v>
      </c>
      <c r="E1058" s="311">
        <v>0.30158730158730163</v>
      </c>
      <c r="F1058" s="233" t="s">
        <v>400</v>
      </c>
      <c r="G1058" s="234" t="s">
        <v>16</v>
      </c>
      <c r="H1058" s="232">
        <v>1</v>
      </c>
      <c r="I1058" s="232">
        <v>2</v>
      </c>
      <c r="J1058" s="232">
        <v>3</v>
      </c>
      <c r="K1058" s="232">
        <v>2</v>
      </c>
      <c r="L1058" s="283">
        <v>2</v>
      </c>
      <c r="M1058" s="284">
        <f t="shared" si="35"/>
        <v>0.50042652380814845</v>
      </c>
      <c r="N1058" s="235"/>
    </row>
    <row r="1059" spans="1:14" x14ac:dyDescent="0.2">
      <c r="A1059" s="237" t="s">
        <v>384</v>
      </c>
      <c r="B1059" s="313" t="s">
        <v>399</v>
      </c>
      <c r="C1059" s="238" t="s">
        <v>135</v>
      </c>
      <c r="D1059" s="279" t="s">
        <v>135</v>
      </c>
      <c r="E1059" s="240" t="s">
        <v>188</v>
      </c>
      <c r="F1059" s="241"/>
      <c r="G1059" s="242" t="s">
        <v>16</v>
      </c>
      <c r="H1059" s="240"/>
      <c r="I1059" s="240"/>
      <c r="J1059" s="240" t="str">
        <f>IF( OR( ISBLANK(#REF!),ISBLANK(F1059), ISBLANK(#REF!), ISBLANK(H1059), ISBLANK(I1059) ), "", 1.5*SQRT(   EXP(2.21*(#REF!-1)) + EXP(2.21*(F1059-1)) + EXP(2.21*(#REF!-1)) + EXP(2.21*(H1059-1)) + EXP(2.21*I1059)   )/100 )</f>
        <v/>
      </c>
      <c r="K1059" s="240"/>
      <c r="L1059" s="243"/>
      <c r="M1059" s="244" t="str">
        <f t="shared" si="35"/>
        <v/>
      </c>
      <c r="N1059" s="235"/>
    </row>
    <row r="1060" spans="1:14" x14ac:dyDescent="0.2">
      <c r="A1060" s="305" t="s">
        <v>391</v>
      </c>
      <c r="B1060" s="306" t="s">
        <v>404</v>
      </c>
      <c r="C1060" s="247" t="s">
        <v>13</v>
      </c>
      <c r="D1060" s="276" t="s">
        <v>135</v>
      </c>
      <c r="E1060" s="311">
        <v>0.20564850324051631</v>
      </c>
      <c r="F1060" s="233" t="s">
        <v>405</v>
      </c>
      <c r="G1060" s="234" t="s">
        <v>16</v>
      </c>
      <c r="H1060" s="232">
        <v>1</v>
      </c>
      <c r="I1060" s="232">
        <v>1</v>
      </c>
      <c r="J1060" s="232">
        <v>3</v>
      </c>
      <c r="K1060" s="232">
        <v>2</v>
      </c>
      <c r="L1060" s="283">
        <v>3</v>
      </c>
      <c r="M1060" s="284">
        <f t="shared" si="35"/>
        <v>1.0725046436742278</v>
      </c>
      <c r="N1060" s="235"/>
    </row>
    <row r="1061" spans="1:14" hidden="1" x14ac:dyDescent="0.2">
      <c r="A1061" s="305" t="s">
        <v>391</v>
      </c>
      <c r="B1061" s="306" t="s">
        <v>404</v>
      </c>
      <c r="C1061" s="247" t="s">
        <v>18</v>
      </c>
      <c r="D1061" s="276" t="s">
        <v>135</v>
      </c>
      <c r="E1061" s="311">
        <v>4.7103428603307032E-2</v>
      </c>
      <c r="F1061" s="233" t="s">
        <v>406</v>
      </c>
      <c r="G1061" s="234" t="s">
        <v>16</v>
      </c>
      <c r="H1061" s="232">
        <v>1</v>
      </c>
      <c r="I1061" s="232">
        <v>1</v>
      </c>
      <c r="J1061" s="232">
        <v>3</v>
      </c>
      <c r="K1061" s="232">
        <v>2</v>
      </c>
      <c r="L1061" s="283">
        <v>3</v>
      </c>
      <c r="M1061" s="284">
        <f t="shared" si="35"/>
        <v>1.0725046436742278</v>
      </c>
      <c r="N1061" s="235"/>
    </row>
    <row r="1062" spans="1:14" hidden="1" x14ac:dyDescent="0.2">
      <c r="A1062" s="305" t="s">
        <v>391</v>
      </c>
      <c r="B1062" s="306" t="s">
        <v>404</v>
      </c>
      <c r="C1062" s="247" t="s">
        <v>20</v>
      </c>
      <c r="D1062" s="276" t="s">
        <v>135</v>
      </c>
      <c r="E1062" s="61">
        <v>1</v>
      </c>
      <c r="F1062" s="233" t="s">
        <v>407</v>
      </c>
      <c r="G1062" s="234" t="s">
        <v>16</v>
      </c>
      <c r="H1062" s="61"/>
      <c r="I1062" s="61"/>
      <c r="J1062" s="61"/>
      <c r="K1062" s="61"/>
      <c r="L1062" s="62"/>
      <c r="M1062" s="63" t="str">
        <f t="shared" ref="M1062:M1092" si="36">IF( OR( ISBLANK(H1062),ISBLANK(I1062), ISBLANK(J1062), ISBLANK(K1062), ISBLANK(L1062) ), "", 1.5*SQRT( EXP(2.21*(H1062-1)) + EXP(2.21*(I1062-1)) + EXP(2.21*(J1062-1)) + EXP(2.21*(K1062-1)) + EXP(2.21*L1062) )/100*2.45 )</f>
        <v/>
      </c>
      <c r="N1062" s="235"/>
    </row>
    <row r="1063" spans="1:14" hidden="1" x14ac:dyDescent="0.2">
      <c r="A1063" s="305" t="s">
        <v>391</v>
      </c>
      <c r="B1063" s="306" t="s">
        <v>404</v>
      </c>
      <c r="C1063" s="247" t="s">
        <v>22</v>
      </c>
      <c r="D1063" s="276" t="s">
        <v>135</v>
      </c>
      <c r="E1063" s="311">
        <v>0.13350361874115871</v>
      </c>
      <c r="F1063" s="233" t="s">
        <v>408</v>
      </c>
      <c r="G1063" s="234" t="s">
        <v>16</v>
      </c>
      <c r="H1063" s="232">
        <v>1</v>
      </c>
      <c r="I1063" s="232">
        <v>1</v>
      </c>
      <c r="J1063" s="232">
        <v>3</v>
      </c>
      <c r="K1063" s="232">
        <v>2</v>
      </c>
      <c r="L1063" s="283">
        <v>3</v>
      </c>
      <c r="M1063" s="284">
        <f t="shared" si="36"/>
        <v>1.0725046436742278</v>
      </c>
      <c r="N1063" s="235"/>
    </row>
    <row r="1064" spans="1:14" hidden="1" x14ac:dyDescent="0.2">
      <c r="A1064" s="305" t="s">
        <v>391</v>
      </c>
      <c r="B1064" s="306" t="s">
        <v>404</v>
      </c>
      <c r="C1064" s="247" t="s">
        <v>23</v>
      </c>
      <c r="D1064" s="276" t="s">
        <v>135</v>
      </c>
      <c r="E1064" s="311">
        <v>0.56317031761149539</v>
      </c>
      <c r="F1064" s="233" t="s">
        <v>409</v>
      </c>
      <c r="G1064" s="234" t="s">
        <v>16</v>
      </c>
      <c r="H1064" s="232">
        <v>1</v>
      </c>
      <c r="I1064" s="232">
        <v>1</v>
      </c>
      <c r="J1064" s="232">
        <v>3</v>
      </c>
      <c r="K1064" s="232">
        <v>2</v>
      </c>
      <c r="L1064" s="283">
        <v>3</v>
      </c>
      <c r="M1064" s="284">
        <f t="shared" si="36"/>
        <v>1.0725046436742278</v>
      </c>
      <c r="N1064" s="235"/>
    </row>
    <row r="1065" spans="1:14" hidden="1" x14ac:dyDescent="0.2">
      <c r="A1065" s="305" t="s">
        <v>391</v>
      </c>
      <c r="B1065" s="306" t="s">
        <v>404</v>
      </c>
      <c r="C1065" s="247" t="s">
        <v>24</v>
      </c>
      <c r="D1065" s="276" t="s">
        <v>135</v>
      </c>
      <c r="E1065" s="311">
        <v>0.80220593276249985</v>
      </c>
      <c r="F1065" s="233" t="s">
        <v>410</v>
      </c>
      <c r="G1065" s="234" t="s">
        <v>16</v>
      </c>
      <c r="H1065" s="232">
        <v>1</v>
      </c>
      <c r="I1065" s="232">
        <v>1</v>
      </c>
      <c r="J1065" s="232">
        <v>3</v>
      </c>
      <c r="K1065" s="232">
        <v>2</v>
      </c>
      <c r="L1065" s="283">
        <v>3</v>
      </c>
      <c r="M1065" s="284">
        <f t="shared" si="36"/>
        <v>1.0725046436742278</v>
      </c>
      <c r="N1065" s="235"/>
    </row>
    <row r="1066" spans="1:14" hidden="1" x14ac:dyDescent="0.2">
      <c r="A1066" s="305" t="s">
        <v>391</v>
      </c>
      <c r="B1066" s="306" t="s">
        <v>404</v>
      </c>
      <c r="C1066" s="247" t="s">
        <v>25</v>
      </c>
      <c r="D1066" s="276" t="s">
        <v>135</v>
      </c>
      <c r="E1066" s="311">
        <v>6.1676491069370447E-2</v>
      </c>
      <c r="F1066" s="233" t="s">
        <v>411</v>
      </c>
      <c r="G1066" s="234" t="s">
        <v>16</v>
      </c>
      <c r="H1066" s="232">
        <v>1</v>
      </c>
      <c r="I1066" s="232">
        <v>1</v>
      </c>
      <c r="J1066" s="232">
        <v>3</v>
      </c>
      <c r="K1066" s="232">
        <v>2</v>
      </c>
      <c r="L1066" s="283">
        <v>3</v>
      </c>
      <c r="M1066" s="284">
        <f t="shared" si="36"/>
        <v>1.0725046436742278</v>
      </c>
      <c r="N1066" s="235"/>
    </row>
    <row r="1067" spans="1:14" hidden="1" x14ac:dyDescent="0.2">
      <c r="A1067" s="305" t="s">
        <v>391</v>
      </c>
      <c r="B1067" s="306" t="s">
        <v>404</v>
      </c>
      <c r="C1067" s="247" t="s">
        <v>26</v>
      </c>
      <c r="D1067" s="276" t="s">
        <v>135</v>
      </c>
      <c r="E1067" s="311">
        <v>0.41153895736853069</v>
      </c>
      <c r="F1067" s="233" t="s">
        <v>412</v>
      </c>
      <c r="G1067" s="234" t="s">
        <v>16</v>
      </c>
      <c r="H1067" s="232">
        <v>1</v>
      </c>
      <c r="I1067" s="232">
        <v>1</v>
      </c>
      <c r="J1067" s="232">
        <v>3</v>
      </c>
      <c r="K1067" s="232">
        <v>2</v>
      </c>
      <c r="L1067" s="283">
        <v>3</v>
      </c>
      <c r="M1067" s="284">
        <f t="shared" si="36"/>
        <v>1.0725046436742278</v>
      </c>
      <c r="N1067" s="235"/>
    </row>
    <row r="1068" spans="1:14" hidden="1" x14ac:dyDescent="0.2">
      <c r="A1068" s="305" t="s">
        <v>391</v>
      </c>
      <c r="B1068" s="306" t="s">
        <v>404</v>
      </c>
      <c r="C1068" s="247" t="s">
        <v>27</v>
      </c>
      <c r="D1068" s="276" t="s">
        <v>135</v>
      </c>
      <c r="E1068" s="311">
        <v>6.1676491069370447E-2</v>
      </c>
      <c r="F1068" s="233" t="s">
        <v>413</v>
      </c>
      <c r="G1068" s="234" t="s">
        <v>16</v>
      </c>
      <c r="H1068" s="232">
        <v>1</v>
      </c>
      <c r="I1068" s="232">
        <v>1</v>
      </c>
      <c r="J1068" s="232">
        <v>3</v>
      </c>
      <c r="K1068" s="232">
        <v>2</v>
      </c>
      <c r="L1068" s="283">
        <v>3</v>
      </c>
      <c r="M1068" s="284">
        <f t="shared" si="36"/>
        <v>1.0725046436742278</v>
      </c>
      <c r="N1068" s="235"/>
    </row>
    <row r="1069" spans="1:14" hidden="1" x14ac:dyDescent="0.2">
      <c r="A1069" s="305" t="s">
        <v>391</v>
      </c>
      <c r="B1069" s="306" t="s">
        <v>404</v>
      </c>
      <c r="C1069" s="247" t="s">
        <v>28</v>
      </c>
      <c r="D1069" s="276" t="s">
        <v>135</v>
      </c>
      <c r="E1069" s="311">
        <v>0.1143863480293341</v>
      </c>
      <c r="F1069" s="233" t="s">
        <v>414</v>
      </c>
      <c r="G1069" s="234" t="s">
        <v>16</v>
      </c>
      <c r="H1069" s="232">
        <v>1</v>
      </c>
      <c r="I1069" s="232">
        <v>1</v>
      </c>
      <c r="J1069" s="232">
        <v>3</v>
      </c>
      <c r="K1069" s="232">
        <v>2</v>
      </c>
      <c r="L1069" s="283">
        <v>3</v>
      </c>
      <c r="M1069" s="284">
        <f t="shared" si="36"/>
        <v>1.0725046436742278</v>
      </c>
      <c r="N1069" s="235"/>
    </row>
    <row r="1070" spans="1:14" hidden="1" x14ac:dyDescent="0.2">
      <c r="A1070" s="305" t="s">
        <v>391</v>
      </c>
      <c r="B1070" s="306" t="s">
        <v>404</v>
      </c>
      <c r="C1070" s="247" t="s">
        <v>30</v>
      </c>
      <c r="D1070" s="276" t="s">
        <v>135</v>
      </c>
      <c r="E1070" s="311">
        <v>6.1676491069370447E-2</v>
      </c>
      <c r="F1070" s="233" t="s">
        <v>415</v>
      </c>
      <c r="G1070" s="234" t="s">
        <v>16</v>
      </c>
      <c r="H1070" s="232">
        <v>1</v>
      </c>
      <c r="I1070" s="232">
        <v>1</v>
      </c>
      <c r="J1070" s="232">
        <v>3</v>
      </c>
      <c r="K1070" s="232">
        <v>2</v>
      </c>
      <c r="L1070" s="283">
        <v>3</v>
      </c>
      <c r="M1070" s="284">
        <f t="shared" si="36"/>
        <v>1.0725046436742278</v>
      </c>
      <c r="N1070" s="235"/>
    </row>
    <row r="1071" spans="1:14" hidden="1" x14ac:dyDescent="0.2">
      <c r="A1071" s="305" t="s">
        <v>391</v>
      </c>
      <c r="B1071" s="306" t="s">
        <v>404</v>
      </c>
      <c r="C1071" s="247" t="s">
        <v>32</v>
      </c>
      <c r="D1071" s="276" t="s">
        <v>135</v>
      </c>
      <c r="E1071" s="61">
        <v>1</v>
      </c>
      <c r="F1071" s="233" t="s">
        <v>416</v>
      </c>
      <c r="G1071" s="234" t="s">
        <v>16</v>
      </c>
      <c r="H1071" s="61"/>
      <c r="I1071" s="61"/>
      <c r="J1071" s="61"/>
      <c r="K1071" s="61"/>
      <c r="L1071" s="62"/>
      <c r="M1071" s="63" t="str">
        <f t="shared" si="36"/>
        <v/>
      </c>
      <c r="N1071" s="235"/>
    </row>
    <row r="1072" spans="1:14" hidden="1" x14ac:dyDescent="0.2">
      <c r="A1072" s="305" t="s">
        <v>391</v>
      </c>
      <c r="B1072" s="306" t="s">
        <v>404</v>
      </c>
      <c r="C1072" s="247" t="s">
        <v>34</v>
      </c>
      <c r="D1072" s="276" t="s">
        <v>135</v>
      </c>
      <c r="E1072" s="311">
        <v>0.43566305496615543</v>
      </c>
      <c r="F1072" s="233" t="s">
        <v>417</v>
      </c>
      <c r="G1072" s="234" t="s">
        <v>16</v>
      </c>
      <c r="H1072" s="232">
        <v>1</v>
      </c>
      <c r="I1072" s="232">
        <v>1</v>
      </c>
      <c r="J1072" s="232">
        <v>3</v>
      </c>
      <c r="K1072" s="232">
        <v>2</v>
      </c>
      <c r="L1072" s="283">
        <v>3</v>
      </c>
      <c r="M1072" s="284">
        <f t="shared" si="36"/>
        <v>1.0725046436742278</v>
      </c>
      <c r="N1072" s="235"/>
    </row>
    <row r="1073" spans="1:14" hidden="1" x14ac:dyDescent="0.2">
      <c r="A1073" s="305" t="s">
        <v>391</v>
      </c>
      <c r="B1073" s="306" t="s">
        <v>404</v>
      </c>
      <c r="C1073" s="247" t="s">
        <v>36</v>
      </c>
      <c r="D1073" s="276" t="s">
        <v>135</v>
      </c>
      <c r="E1073" s="311">
        <v>4.7103428603307032E-2</v>
      </c>
      <c r="F1073" s="233" t="s">
        <v>418</v>
      </c>
      <c r="G1073" s="234" t="s">
        <v>16</v>
      </c>
      <c r="H1073" s="232">
        <v>1</v>
      </c>
      <c r="I1073" s="232">
        <v>1</v>
      </c>
      <c r="J1073" s="232">
        <v>3</v>
      </c>
      <c r="K1073" s="232">
        <v>2</v>
      </c>
      <c r="L1073" s="283">
        <v>3</v>
      </c>
      <c r="M1073" s="284">
        <f t="shared" si="36"/>
        <v>1.0725046436742278</v>
      </c>
      <c r="N1073" s="235"/>
    </row>
    <row r="1074" spans="1:14" hidden="1" x14ac:dyDescent="0.2">
      <c r="A1074" s="305" t="s">
        <v>391</v>
      </c>
      <c r="B1074" s="306" t="s">
        <v>404</v>
      </c>
      <c r="C1074" s="247" t="s">
        <v>37</v>
      </c>
      <c r="D1074" s="276" t="s">
        <v>135</v>
      </c>
      <c r="E1074" s="311">
        <v>0.1143863480293341</v>
      </c>
      <c r="F1074" s="233" t="s">
        <v>419</v>
      </c>
      <c r="G1074" s="234" t="s">
        <v>16</v>
      </c>
      <c r="H1074" s="232">
        <v>1</v>
      </c>
      <c r="I1074" s="232">
        <v>1</v>
      </c>
      <c r="J1074" s="232">
        <v>3</v>
      </c>
      <c r="K1074" s="232">
        <v>2</v>
      </c>
      <c r="L1074" s="283">
        <v>3</v>
      </c>
      <c r="M1074" s="284">
        <f t="shared" si="36"/>
        <v>1.0725046436742278</v>
      </c>
      <c r="N1074" s="235"/>
    </row>
    <row r="1075" spans="1:14" hidden="1" x14ac:dyDescent="0.2">
      <c r="A1075" s="305" t="s">
        <v>391</v>
      </c>
      <c r="B1075" s="306" t="s">
        <v>404</v>
      </c>
      <c r="C1075" s="247" t="s">
        <v>39</v>
      </c>
      <c r="D1075" s="276" t="s">
        <v>135</v>
      </c>
      <c r="E1075" s="311">
        <v>8.2580102699618643E-2</v>
      </c>
      <c r="F1075" s="233" t="s">
        <v>420</v>
      </c>
      <c r="G1075" s="234" t="s">
        <v>16</v>
      </c>
      <c r="H1075" s="232">
        <v>1</v>
      </c>
      <c r="I1075" s="232">
        <v>1</v>
      </c>
      <c r="J1075" s="232">
        <v>3</v>
      </c>
      <c r="K1075" s="232">
        <v>2</v>
      </c>
      <c r="L1075" s="283">
        <v>3</v>
      </c>
      <c r="M1075" s="284">
        <f t="shared" si="36"/>
        <v>1.0725046436742278</v>
      </c>
      <c r="N1075" s="235"/>
    </row>
    <row r="1076" spans="1:14" hidden="1" x14ac:dyDescent="0.2">
      <c r="A1076" s="305" t="s">
        <v>391</v>
      </c>
      <c r="B1076" s="306" t="s">
        <v>404</v>
      </c>
      <c r="C1076" s="247" t="s">
        <v>40</v>
      </c>
      <c r="D1076" s="276" t="s">
        <v>135</v>
      </c>
      <c r="E1076" s="311">
        <v>8.2580102699618643E-2</v>
      </c>
      <c r="F1076" s="233" t="s">
        <v>421</v>
      </c>
      <c r="G1076" s="234" t="s">
        <v>16</v>
      </c>
      <c r="H1076" s="232">
        <v>1</v>
      </c>
      <c r="I1076" s="232">
        <v>1</v>
      </c>
      <c r="J1076" s="232">
        <v>3</v>
      </c>
      <c r="K1076" s="232">
        <v>2</v>
      </c>
      <c r="L1076" s="283">
        <v>3</v>
      </c>
      <c r="M1076" s="284">
        <f t="shared" si="36"/>
        <v>1.0725046436742278</v>
      </c>
      <c r="N1076" s="235"/>
    </row>
    <row r="1077" spans="1:14" hidden="1" x14ac:dyDescent="0.2">
      <c r="A1077" s="305" t="s">
        <v>391</v>
      </c>
      <c r="B1077" s="306" t="s">
        <v>404</v>
      </c>
      <c r="C1077" s="247" t="s">
        <v>41</v>
      </c>
      <c r="D1077" s="276" t="s">
        <v>135</v>
      </c>
      <c r="E1077" s="311">
        <v>4.7103428603307032E-2</v>
      </c>
      <c r="F1077" s="233" t="s">
        <v>422</v>
      </c>
      <c r="G1077" s="234" t="s">
        <v>16</v>
      </c>
      <c r="H1077" s="232">
        <v>1</v>
      </c>
      <c r="I1077" s="232">
        <v>1</v>
      </c>
      <c r="J1077" s="232">
        <v>3</v>
      </c>
      <c r="K1077" s="232">
        <v>2</v>
      </c>
      <c r="L1077" s="283">
        <v>3</v>
      </c>
      <c r="M1077" s="284">
        <f t="shared" si="36"/>
        <v>1.0725046436742278</v>
      </c>
      <c r="N1077" s="235"/>
    </row>
    <row r="1078" spans="1:14" hidden="1" x14ac:dyDescent="0.2">
      <c r="A1078" s="305" t="s">
        <v>391</v>
      </c>
      <c r="B1078" s="306" t="s">
        <v>404</v>
      </c>
      <c r="C1078" s="247" t="s">
        <v>42</v>
      </c>
      <c r="D1078" s="276" t="s">
        <v>135</v>
      </c>
      <c r="E1078" s="61">
        <v>1</v>
      </c>
      <c r="F1078" s="233" t="s">
        <v>423</v>
      </c>
      <c r="G1078" s="234" t="s">
        <v>16</v>
      </c>
      <c r="H1078" s="61"/>
      <c r="I1078" s="61"/>
      <c r="J1078" s="61"/>
      <c r="K1078" s="61"/>
      <c r="L1078" s="62"/>
      <c r="M1078" s="63" t="str">
        <f t="shared" si="36"/>
        <v/>
      </c>
      <c r="N1078" s="235"/>
    </row>
    <row r="1079" spans="1:14" hidden="1" x14ac:dyDescent="0.2">
      <c r="A1079" s="305" t="s">
        <v>391</v>
      </c>
      <c r="B1079" s="306" t="s">
        <v>404</v>
      </c>
      <c r="C1079" s="247" t="s">
        <v>43</v>
      </c>
      <c r="D1079" s="276" t="s">
        <v>135</v>
      </c>
      <c r="E1079" s="311">
        <v>6.1676491069370447E-2</v>
      </c>
      <c r="F1079" s="233" t="s">
        <v>424</v>
      </c>
      <c r="G1079" s="234" t="s">
        <v>16</v>
      </c>
      <c r="H1079" s="232">
        <v>1</v>
      </c>
      <c r="I1079" s="232">
        <v>1</v>
      </c>
      <c r="J1079" s="232">
        <v>3</v>
      </c>
      <c r="K1079" s="232">
        <v>2</v>
      </c>
      <c r="L1079" s="283">
        <v>3</v>
      </c>
      <c r="M1079" s="284">
        <f t="shared" si="36"/>
        <v>1.0725046436742278</v>
      </c>
      <c r="N1079" s="235"/>
    </row>
    <row r="1080" spans="1:14" hidden="1" x14ac:dyDescent="0.2">
      <c r="A1080" s="305" t="s">
        <v>391</v>
      </c>
      <c r="B1080" s="306" t="s">
        <v>404</v>
      </c>
      <c r="C1080" s="247" t="s">
        <v>45</v>
      </c>
      <c r="D1080" s="276" t="s">
        <v>135</v>
      </c>
      <c r="E1080" s="311">
        <v>6.1676491069370447E-2</v>
      </c>
      <c r="F1080" s="233" t="s">
        <v>425</v>
      </c>
      <c r="G1080" s="234" t="s">
        <v>16</v>
      </c>
      <c r="H1080" s="232">
        <v>1</v>
      </c>
      <c r="I1080" s="232">
        <v>1</v>
      </c>
      <c r="J1080" s="232">
        <v>3</v>
      </c>
      <c r="K1080" s="232">
        <v>2</v>
      </c>
      <c r="L1080" s="283">
        <v>3</v>
      </c>
      <c r="M1080" s="284">
        <f t="shared" si="36"/>
        <v>1.0725046436742278</v>
      </c>
      <c r="N1080" s="235"/>
    </row>
    <row r="1081" spans="1:14" hidden="1" x14ac:dyDescent="0.2">
      <c r="A1081" s="305" t="s">
        <v>391</v>
      </c>
      <c r="B1081" s="306" t="s">
        <v>404</v>
      </c>
      <c r="C1081" s="247" t="s">
        <v>46</v>
      </c>
      <c r="D1081" s="276" t="s">
        <v>135</v>
      </c>
      <c r="E1081" s="311">
        <v>0.80220593276249985</v>
      </c>
      <c r="F1081" s="233" t="s">
        <v>426</v>
      </c>
      <c r="G1081" s="234" t="s">
        <v>16</v>
      </c>
      <c r="H1081" s="232">
        <v>1</v>
      </c>
      <c r="I1081" s="232">
        <v>1</v>
      </c>
      <c r="J1081" s="232">
        <v>3</v>
      </c>
      <c r="K1081" s="232">
        <v>2</v>
      </c>
      <c r="L1081" s="283">
        <v>3</v>
      </c>
      <c r="M1081" s="284">
        <f t="shared" si="36"/>
        <v>1.0725046436742278</v>
      </c>
      <c r="N1081" s="235"/>
    </row>
    <row r="1082" spans="1:14" hidden="1" x14ac:dyDescent="0.2">
      <c r="A1082" s="305" t="s">
        <v>391</v>
      </c>
      <c r="B1082" s="306" t="s">
        <v>404</v>
      </c>
      <c r="C1082" s="247" t="s">
        <v>48</v>
      </c>
      <c r="D1082" s="276" t="s">
        <v>135</v>
      </c>
      <c r="E1082" s="311">
        <v>0.2394886187571382</v>
      </c>
      <c r="F1082" s="233" t="s">
        <v>427</v>
      </c>
      <c r="G1082" s="234" t="s">
        <v>16</v>
      </c>
      <c r="H1082" s="232">
        <v>1</v>
      </c>
      <c r="I1082" s="232">
        <v>1</v>
      </c>
      <c r="J1082" s="232">
        <v>3</v>
      </c>
      <c r="K1082" s="232">
        <v>2</v>
      </c>
      <c r="L1082" s="283">
        <v>3</v>
      </c>
      <c r="M1082" s="284">
        <f t="shared" si="36"/>
        <v>1.0725046436742278</v>
      </c>
      <c r="N1082" s="235"/>
    </row>
    <row r="1083" spans="1:14" hidden="1" x14ac:dyDescent="0.2">
      <c r="A1083" s="305" t="s">
        <v>391</v>
      </c>
      <c r="B1083" s="306" t="s">
        <v>404</v>
      </c>
      <c r="C1083" s="247" t="s">
        <v>50</v>
      </c>
      <c r="D1083" s="276" t="s">
        <v>135</v>
      </c>
      <c r="E1083" s="311">
        <v>0.43566305496615543</v>
      </c>
      <c r="F1083" s="233" t="s">
        <v>428</v>
      </c>
      <c r="G1083" s="234" t="s">
        <v>16</v>
      </c>
      <c r="H1083" s="232">
        <v>1</v>
      </c>
      <c r="I1083" s="232">
        <v>1</v>
      </c>
      <c r="J1083" s="232">
        <v>3</v>
      </c>
      <c r="K1083" s="232">
        <v>2</v>
      </c>
      <c r="L1083" s="283">
        <v>3</v>
      </c>
      <c r="M1083" s="284">
        <f t="shared" si="36"/>
        <v>1.0725046436742278</v>
      </c>
      <c r="N1083" s="235"/>
    </row>
    <row r="1084" spans="1:14" hidden="1" x14ac:dyDescent="0.2">
      <c r="A1084" s="305" t="s">
        <v>391</v>
      </c>
      <c r="B1084" s="306" t="s">
        <v>404</v>
      </c>
      <c r="C1084" s="247" t="s">
        <v>52</v>
      </c>
      <c r="D1084" s="276" t="s">
        <v>135</v>
      </c>
      <c r="E1084" s="311">
        <v>0.80220593276249985</v>
      </c>
      <c r="F1084" s="233" t="s">
        <v>429</v>
      </c>
      <c r="G1084" s="234" t="s">
        <v>16</v>
      </c>
      <c r="H1084" s="232">
        <v>1</v>
      </c>
      <c r="I1084" s="232">
        <v>1</v>
      </c>
      <c r="J1084" s="232">
        <v>3</v>
      </c>
      <c r="K1084" s="232">
        <v>2</v>
      </c>
      <c r="L1084" s="283">
        <v>3</v>
      </c>
      <c r="M1084" s="284">
        <f t="shared" si="36"/>
        <v>1.0725046436742278</v>
      </c>
      <c r="N1084" s="235"/>
    </row>
    <row r="1085" spans="1:14" hidden="1" x14ac:dyDescent="0.2">
      <c r="A1085" s="305" t="s">
        <v>391</v>
      </c>
      <c r="B1085" s="306" t="s">
        <v>404</v>
      </c>
      <c r="C1085" s="247" t="s">
        <v>54</v>
      </c>
      <c r="D1085" s="276" t="s">
        <v>135</v>
      </c>
      <c r="E1085" s="311">
        <v>0.49300603708301782</v>
      </c>
      <c r="F1085" s="233" t="s">
        <v>430</v>
      </c>
      <c r="G1085" s="234" t="s">
        <v>16</v>
      </c>
      <c r="H1085" s="232">
        <v>1</v>
      </c>
      <c r="I1085" s="232">
        <v>1</v>
      </c>
      <c r="J1085" s="232">
        <v>3</v>
      </c>
      <c r="K1085" s="232">
        <v>2</v>
      </c>
      <c r="L1085" s="283">
        <v>3</v>
      </c>
      <c r="M1085" s="284">
        <f t="shared" si="36"/>
        <v>1.0725046436742278</v>
      </c>
      <c r="N1085" s="235"/>
    </row>
    <row r="1086" spans="1:14" hidden="1" x14ac:dyDescent="0.2">
      <c r="A1086" s="305" t="s">
        <v>391</v>
      </c>
      <c r="B1086" s="306" t="s">
        <v>404</v>
      </c>
      <c r="C1086" s="247" t="s">
        <v>55</v>
      </c>
      <c r="D1086" s="276" t="s">
        <v>135</v>
      </c>
      <c r="E1086" s="311">
        <v>6.3955855186098157E-2</v>
      </c>
      <c r="F1086" s="233" t="s">
        <v>431</v>
      </c>
      <c r="G1086" s="234" t="s">
        <v>16</v>
      </c>
      <c r="H1086" s="232">
        <v>1</v>
      </c>
      <c r="I1086" s="232">
        <v>1</v>
      </c>
      <c r="J1086" s="232">
        <v>3</v>
      </c>
      <c r="K1086" s="232">
        <v>2</v>
      </c>
      <c r="L1086" s="283">
        <v>3</v>
      </c>
      <c r="M1086" s="284">
        <f t="shared" si="36"/>
        <v>1.0725046436742278</v>
      </c>
      <c r="N1086" s="235"/>
    </row>
    <row r="1087" spans="1:14" hidden="1" x14ac:dyDescent="0.2">
      <c r="A1087" s="305" t="s">
        <v>391</v>
      </c>
      <c r="B1087" s="306" t="s">
        <v>404</v>
      </c>
      <c r="C1087" s="247" t="s">
        <v>57</v>
      </c>
      <c r="D1087" s="276" t="s">
        <v>135</v>
      </c>
      <c r="E1087" s="311">
        <v>6.1676491069370447E-2</v>
      </c>
      <c r="F1087" s="233" t="s">
        <v>432</v>
      </c>
      <c r="G1087" s="234" t="s">
        <v>16</v>
      </c>
      <c r="H1087" s="232">
        <v>1</v>
      </c>
      <c r="I1087" s="232">
        <v>1</v>
      </c>
      <c r="J1087" s="232">
        <v>3</v>
      </c>
      <c r="K1087" s="232">
        <v>2</v>
      </c>
      <c r="L1087" s="283">
        <v>3</v>
      </c>
      <c r="M1087" s="284">
        <f t="shared" si="36"/>
        <v>1.0725046436742278</v>
      </c>
      <c r="N1087" s="235"/>
    </row>
    <row r="1088" spans="1:14" hidden="1" x14ac:dyDescent="0.2">
      <c r="A1088" s="305" t="s">
        <v>391</v>
      </c>
      <c r="B1088" s="306" t="s">
        <v>404</v>
      </c>
      <c r="C1088" s="247" t="s">
        <v>59</v>
      </c>
      <c r="D1088" s="276" t="s">
        <v>135</v>
      </c>
      <c r="E1088" s="311">
        <v>6.1676491069370447E-2</v>
      </c>
      <c r="F1088" s="233" t="s">
        <v>433</v>
      </c>
      <c r="G1088" s="234" t="s">
        <v>16</v>
      </c>
      <c r="H1088" s="232">
        <v>1</v>
      </c>
      <c r="I1088" s="232">
        <v>1</v>
      </c>
      <c r="J1088" s="232">
        <v>3</v>
      </c>
      <c r="K1088" s="232">
        <v>2</v>
      </c>
      <c r="L1088" s="283">
        <v>3</v>
      </c>
      <c r="M1088" s="284">
        <f t="shared" si="36"/>
        <v>1.0725046436742278</v>
      </c>
      <c r="N1088" s="235"/>
    </row>
    <row r="1089" spans="1:14" hidden="1" x14ac:dyDescent="0.2">
      <c r="A1089" s="305" t="s">
        <v>391</v>
      </c>
      <c r="B1089" s="306" t="s">
        <v>404</v>
      </c>
      <c r="C1089" s="247" t="s">
        <v>60</v>
      </c>
      <c r="D1089" s="276" t="s">
        <v>135</v>
      </c>
      <c r="E1089" s="311">
        <v>4.7103428603307032E-2</v>
      </c>
      <c r="F1089" s="233" t="s">
        <v>434</v>
      </c>
      <c r="G1089" s="234" t="s">
        <v>16</v>
      </c>
      <c r="H1089" s="232">
        <v>1</v>
      </c>
      <c r="I1089" s="232">
        <v>1</v>
      </c>
      <c r="J1089" s="232">
        <v>3</v>
      </c>
      <c r="K1089" s="232">
        <v>2</v>
      </c>
      <c r="L1089" s="283">
        <v>3</v>
      </c>
      <c r="M1089" s="284">
        <f t="shared" si="36"/>
        <v>1.0725046436742278</v>
      </c>
      <c r="N1089" s="235"/>
    </row>
    <row r="1090" spans="1:14" x14ac:dyDescent="0.2">
      <c r="A1090" s="312" t="s">
        <v>391</v>
      </c>
      <c r="B1090" s="314" t="s">
        <v>435</v>
      </c>
      <c r="C1090" s="238" t="s">
        <v>135</v>
      </c>
      <c r="D1090" s="279" t="s">
        <v>135</v>
      </c>
      <c r="E1090" s="240" t="s">
        <v>188</v>
      </c>
      <c r="F1090" s="241"/>
      <c r="G1090" s="234" t="s">
        <v>16</v>
      </c>
      <c r="H1090" s="240"/>
      <c r="I1090" s="240"/>
      <c r="J1090" s="240"/>
      <c r="K1090" s="240"/>
      <c r="L1090" s="243"/>
      <c r="M1090" s="244" t="str">
        <f t="shared" si="36"/>
        <v/>
      </c>
      <c r="N1090" s="245"/>
    </row>
    <row r="1091" spans="1:14" x14ac:dyDescent="0.2">
      <c r="A1091" s="305" t="s">
        <v>394</v>
      </c>
      <c r="B1091" s="285" t="s">
        <v>398</v>
      </c>
      <c r="C1091" s="247" t="s">
        <v>13</v>
      </c>
      <c r="D1091" s="276" t="s">
        <v>135</v>
      </c>
      <c r="E1091" s="61">
        <v>0</v>
      </c>
      <c r="F1091" s="233" t="s">
        <v>400</v>
      </c>
      <c r="G1091" s="234" t="s">
        <v>16</v>
      </c>
      <c r="H1091" s="61"/>
      <c r="I1091" s="61"/>
      <c r="J1091" s="61" t="str">
        <f>IF( OR( ISBLANK(#REF!),ISBLANK(F1091), ISBLANK(#REF!), ISBLANK(H1091), ISBLANK(I1091) ), "", 1.5*SQRT(   EXP(2.21*(#REF!-1)) + EXP(2.21*(F1091-1)) + EXP(2.21*(#REF!-1)) + EXP(2.21*(H1091-1)) + EXP(2.21*I1091)   )/100 )</f>
        <v/>
      </c>
      <c r="K1091" s="61"/>
      <c r="L1091" s="62"/>
      <c r="M1091" s="63" t="str">
        <f t="shared" si="36"/>
        <v/>
      </c>
      <c r="N1091" s="235"/>
    </row>
    <row r="1092" spans="1:14" hidden="1" x14ac:dyDescent="0.2">
      <c r="A1092" s="305" t="s">
        <v>394</v>
      </c>
      <c r="B1092" s="285" t="s">
        <v>398</v>
      </c>
      <c r="C1092" s="247" t="s">
        <v>18</v>
      </c>
      <c r="D1092" s="276" t="s">
        <v>135</v>
      </c>
      <c r="E1092" s="311">
        <v>3.2786885245901641E-2</v>
      </c>
      <c r="F1092" s="233" t="s">
        <v>400</v>
      </c>
      <c r="G1092" s="234" t="s">
        <v>16</v>
      </c>
      <c r="H1092" s="232">
        <v>1</v>
      </c>
      <c r="I1092" s="232">
        <v>1</v>
      </c>
      <c r="J1092" s="232">
        <v>3</v>
      </c>
      <c r="K1092" s="232">
        <v>2</v>
      </c>
      <c r="L1092" s="283">
        <v>2</v>
      </c>
      <c r="M1092" s="284">
        <f t="shared" si="36"/>
        <v>0.48935255543384243</v>
      </c>
      <c r="N1092" s="235"/>
    </row>
    <row r="1093" spans="1:14" hidden="1" x14ac:dyDescent="0.2">
      <c r="A1093" s="305" t="s">
        <v>394</v>
      </c>
      <c r="B1093" s="285" t="s">
        <v>398</v>
      </c>
      <c r="C1093" s="247" t="s">
        <v>20</v>
      </c>
      <c r="D1093" s="276" t="s">
        <v>135</v>
      </c>
      <c r="E1093" s="311">
        <v>0.89610389610389618</v>
      </c>
      <c r="F1093" s="233" t="s">
        <v>400</v>
      </c>
      <c r="G1093" s="234" t="s">
        <v>16</v>
      </c>
      <c r="H1093" s="232">
        <v>1</v>
      </c>
      <c r="I1093" s="232">
        <v>1</v>
      </c>
      <c r="J1093" s="232">
        <v>3</v>
      </c>
      <c r="K1093" s="232">
        <v>2</v>
      </c>
      <c r="L1093" s="283">
        <v>2</v>
      </c>
      <c r="M1093" s="284">
        <f>IF( OR( ISBLANK(H1093),ISBLANK(I1093), ISBLANK(J1093), ISBLANK(K1093), ISBLANK(L1093) ), "", 1.5*SQRT(   EXP(2.21*(H1093-1)) + EXP(2.21*(I1093-1)) + EXP(2.21*(J1093-1)) + EXP(2.21*(K1093-1)) + EXP(2.21*L1093)   )/100*2.45 )</f>
        <v>0.48935255543384243</v>
      </c>
      <c r="N1093" s="235"/>
    </row>
    <row r="1094" spans="1:14" hidden="1" x14ac:dyDescent="0.2">
      <c r="A1094" s="305" t="s">
        <v>394</v>
      </c>
      <c r="B1094" s="285" t="s">
        <v>398</v>
      </c>
      <c r="C1094" s="247" t="s">
        <v>22</v>
      </c>
      <c r="D1094" s="276" t="s">
        <v>135</v>
      </c>
      <c r="E1094" s="311">
        <v>0.93055555555555547</v>
      </c>
      <c r="F1094" s="233" t="s">
        <v>400</v>
      </c>
      <c r="G1094" s="234" t="s">
        <v>16</v>
      </c>
      <c r="H1094" s="232">
        <v>1</v>
      </c>
      <c r="I1094" s="232">
        <v>1</v>
      </c>
      <c r="J1094" s="232">
        <v>3</v>
      </c>
      <c r="K1094" s="232">
        <v>2</v>
      </c>
      <c r="L1094" s="283">
        <v>2</v>
      </c>
      <c r="M1094" s="284">
        <f t="shared" ref="M1094:M1123" si="37">IF( OR( ISBLANK(H1094),ISBLANK(I1094), ISBLANK(J1094), ISBLANK(K1094), ISBLANK(L1094) ), "", 1.5*SQRT( EXP(2.21*(H1094-1)) + EXP(2.21*(I1094-1)) + EXP(2.21*(J1094-1)) + EXP(2.21*(K1094-1)) + EXP(2.21*L1094) )/100*2.45 )</f>
        <v>0.48935255543384243</v>
      </c>
      <c r="N1094" s="235"/>
    </row>
    <row r="1095" spans="1:14" hidden="1" x14ac:dyDescent="0.2">
      <c r="A1095" s="305" t="s">
        <v>394</v>
      </c>
      <c r="B1095" s="285" t="s">
        <v>398</v>
      </c>
      <c r="C1095" s="247" t="s">
        <v>23</v>
      </c>
      <c r="D1095" s="276" t="s">
        <v>135</v>
      </c>
      <c r="E1095" s="311">
        <v>0.9726027397260274</v>
      </c>
      <c r="F1095" s="233" t="s">
        <v>400</v>
      </c>
      <c r="G1095" s="234" t="s">
        <v>16</v>
      </c>
      <c r="H1095" s="232">
        <v>1</v>
      </c>
      <c r="I1095" s="232">
        <v>1</v>
      </c>
      <c r="J1095" s="232">
        <v>3</v>
      </c>
      <c r="K1095" s="232">
        <v>2</v>
      </c>
      <c r="L1095" s="283">
        <v>2</v>
      </c>
      <c r="M1095" s="284">
        <f t="shared" si="37"/>
        <v>0.48935255543384243</v>
      </c>
      <c r="N1095" s="235"/>
    </row>
    <row r="1096" spans="1:14" hidden="1" x14ac:dyDescent="0.2">
      <c r="A1096" s="305" t="s">
        <v>394</v>
      </c>
      <c r="B1096" s="285" t="s">
        <v>398</v>
      </c>
      <c r="C1096" s="247" t="s">
        <v>24</v>
      </c>
      <c r="D1096" s="276" t="s">
        <v>135</v>
      </c>
      <c r="E1096" s="311">
        <v>0.63934426229508201</v>
      </c>
      <c r="F1096" s="233" t="s">
        <v>400</v>
      </c>
      <c r="G1096" s="234" t="s">
        <v>16</v>
      </c>
      <c r="H1096" s="232">
        <v>1</v>
      </c>
      <c r="I1096" s="232">
        <v>1</v>
      </c>
      <c r="J1096" s="232">
        <v>3</v>
      </c>
      <c r="K1096" s="232">
        <v>2</v>
      </c>
      <c r="L1096" s="283">
        <v>2</v>
      </c>
      <c r="M1096" s="284">
        <f t="shared" si="37"/>
        <v>0.48935255543384243</v>
      </c>
      <c r="N1096" s="235"/>
    </row>
    <row r="1097" spans="1:14" hidden="1" x14ac:dyDescent="0.2">
      <c r="A1097" s="305" t="s">
        <v>394</v>
      </c>
      <c r="B1097" s="285" t="s">
        <v>398</v>
      </c>
      <c r="C1097" s="247" t="s">
        <v>25</v>
      </c>
      <c r="D1097" s="276" t="s">
        <v>135</v>
      </c>
      <c r="E1097" s="311">
        <v>3.3333333333333333E-2</v>
      </c>
      <c r="F1097" s="233" t="s">
        <v>400</v>
      </c>
      <c r="G1097" s="234" t="s">
        <v>16</v>
      </c>
      <c r="H1097" s="232">
        <v>1</v>
      </c>
      <c r="I1097" s="232">
        <v>1</v>
      </c>
      <c r="J1097" s="232">
        <v>3</v>
      </c>
      <c r="K1097" s="232">
        <v>2</v>
      </c>
      <c r="L1097" s="283">
        <v>2</v>
      </c>
      <c r="M1097" s="284">
        <f t="shared" si="37"/>
        <v>0.48935255543384243</v>
      </c>
      <c r="N1097" s="235"/>
    </row>
    <row r="1098" spans="1:14" hidden="1" x14ac:dyDescent="0.2">
      <c r="A1098" s="305" t="s">
        <v>394</v>
      </c>
      <c r="B1098" s="285" t="s">
        <v>398</v>
      </c>
      <c r="C1098" s="247" t="s">
        <v>26</v>
      </c>
      <c r="D1098" s="276" t="s">
        <v>135</v>
      </c>
      <c r="E1098" s="311">
        <v>0.30303030303030298</v>
      </c>
      <c r="F1098" s="233" t="s">
        <v>400</v>
      </c>
      <c r="G1098" s="234" t="s">
        <v>16</v>
      </c>
      <c r="H1098" s="232">
        <v>1</v>
      </c>
      <c r="I1098" s="232">
        <v>1</v>
      </c>
      <c r="J1098" s="232">
        <v>3</v>
      </c>
      <c r="K1098" s="232">
        <v>2</v>
      </c>
      <c r="L1098" s="283">
        <v>2</v>
      </c>
      <c r="M1098" s="284">
        <f t="shared" si="37"/>
        <v>0.48935255543384243</v>
      </c>
      <c r="N1098" s="235"/>
    </row>
    <row r="1099" spans="1:14" hidden="1" x14ac:dyDescent="0.2">
      <c r="A1099" s="305" t="s">
        <v>394</v>
      </c>
      <c r="B1099" s="285" t="s">
        <v>398</v>
      </c>
      <c r="C1099" s="247" t="s">
        <v>27</v>
      </c>
      <c r="D1099" s="276" t="s">
        <v>135</v>
      </c>
      <c r="E1099" s="311">
        <v>2.5316455696202531E-2</v>
      </c>
      <c r="F1099" s="233" t="s">
        <v>400</v>
      </c>
      <c r="G1099" s="234" t="s">
        <v>16</v>
      </c>
      <c r="H1099" s="232">
        <v>1</v>
      </c>
      <c r="I1099" s="232">
        <v>1</v>
      </c>
      <c r="J1099" s="232">
        <v>3</v>
      </c>
      <c r="K1099" s="232">
        <v>2</v>
      </c>
      <c r="L1099" s="283">
        <v>2</v>
      </c>
      <c r="M1099" s="284">
        <f t="shared" si="37"/>
        <v>0.48935255543384243</v>
      </c>
      <c r="N1099" s="235"/>
    </row>
    <row r="1100" spans="1:14" hidden="1" x14ac:dyDescent="0.2">
      <c r="A1100" s="305" t="s">
        <v>394</v>
      </c>
      <c r="B1100" s="285" t="s">
        <v>398</v>
      </c>
      <c r="C1100" s="247" t="s">
        <v>28</v>
      </c>
      <c r="D1100" s="276" t="s">
        <v>135</v>
      </c>
      <c r="E1100" s="311">
        <v>0.41333333333333327</v>
      </c>
      <c r="F1100" s="233" t="s">
        <v>400</v>
      </c>
      <c r="G1100" s="234" t="s">
        <v>16</v>
      </c>
      <c r="H1100" s="232">
        <v>1</v>
      </c>
      <c r="I1100" s="232">
        <v>1</v>
      </c>
      <c r="J1100" s="232">
        <v>3</v>
      </c>
      <c r="K1100" s="232">
        <v>2</v>
      </c>
      <c r="L1100" s="283">
        <v>2</v>
      </c>
      <c r="M1100" s="284">
        <f t="shared" si="37"/>
        <v>0.48935255543384243</v>
      </c>
      <c r="N1100" s="235"/>
    </row>
    <row r="1101" spans="1:14" hidden="1" x14ac:dyDescent="0.2">
      <c r="A1101" s="305" t="s">
        <v>394</v>
      </c>
      <c r="B1101" s="285" t="s">
        <v>398</v>
      </c>
      <c r="C1101" s="247" t="s">
        <v>30</v>
      </c>
      <c r="D1101" s="276" t="s">
        <v>135</v>
      </c>
      <c r="E1101" s="311">
        <v>1.7241379310344831E-2</v>
      </c>
      <c r="F1101" s="233" t="s">
        <v>400</v>
      </c>
      <c r="G1101" s="234" t="s">
        <v>16</v>
      </c>
      <c r="H1101" s="232">
        <v>1</v>
      </c>
      <c r="I1101" s="232">
        <v>1</v>
      </c>
      <c r="J1101" s="232">
        <v>3</v>
      </c>
      <c r="K1101" s="232">
        <v>2</v>
      </c>
      <c r="L1101" s="283">
        <v>2</v>
      </c>
      <c r="M1101" s="284">
        <f t="shared" si="37"/>
        <v>0.48935255543384243</v>
      </c>
      <c r="N1101" s="235"/>
    </row>
    <row r="1102" spans="1:14" hidden="1" x14ac:dyDescent="0.2">
      <c r="A1102" s="305" t="s">
        <v>394</v>
      </c>
      <c r="B1102" s="285" t="s">
        <v>398</v>
      </c>
      <c r="C1102" s="247" t="s">
        <v>32</v>
      </c>
      <c r="D1102" s="276" t="s">
        <v>135</v>
      </c>
      <c r="E1102" s="311">
        <v>0.97333333333333327</v>
      </c>
      <c r="F1102" s="233" t="s">
        <v>400</v>
      </c>
      <c r="G1102" s="234" t="s">
        <v>16</v>
      </c>
      <c r="H1102" s="232">
        <v>1</v>
      </c>
      <c r="I1102" s="232">
        <v>1</v>
      </c>
      <c r="J1102" s="232">
        <v>3</v>
      </c>
      <c r="K1102" s="232">
        <v>2</v>
      </c>
      <c r="L1102" s="283">
        <v>2</v>
      </c>
      <c r="M1102" s="284">
        <f t="shared" si="37"/>
        <v>0.48935255543384243</v>
      </c>
      <c r="N1102" s="235"/>
    </row>
    <row r="1103" spans="1:14" hidden="1" x14ac:dyDescent="0.2">
      <c r="A1103" s="305" t="s">
        <v>394</v>
      </c>
      <c r="B1103" s="285" t="s">
        <v>398</v>
      </c>
      <c r="C1103" s="247" t="s">
        <v>34</v>
      </c>
      <c r="D1103" s="276" t="s">
        <v>135</v>
      </c>
      <c r="E1103" s="311">
        <v>0.73076923076923084</v>
      </c>
      <c r="F1103" s="233" t="s">
        <v>400</v>
      </c>
      <c r="G1103" s="234" t="s">
        <v>16</v>
      </c>
      <c r="H1103" s="232">
        <v>1</v>
      </c>
      <c r="I1103" s="232">
        <v>1</v>
      </c>
      <c r="J1103" s="232">
        <v>3</v>
      </c>
      <c r="K1103" s="232">
        <v>2</v>
      </c>
      <c r="L1103" s="283">
        <v>2</v>
      </c>
      <c r="M1103" s="284">
        <f t="shared" si="37"/>
        <v>0.48935255543384243</v>
      </c>
      <c r="N1103" s="235"/>
    </row>
    <row r="1104" spans="1:14" hidden="1" x14ac:dyDescent="0.2">
      <c r="A1104" s="305" t="s">
        <v>394</v>
      </c>
      <c r="B1104" s="285" t="s">
        <v>398</v>
      </c>
      <c r="C1104" s="247" t="s">
        <v>36</v>
      </c>
      <c r="D1104" s="276" t="s">
        <v>135</v>
      </c>
      <c r="E1104" s="311">
        <v>0.12676056338028169</v>
      </c>
      <c r="F1104" s="233" t="s">
        <v>400</v>
      </c>
      <c r="G1104" s="234" t="s">
        <v>16</v>
      </c>
      <c r="H1104" s="232">
        <v>1</v>
      </c>
      <c r="I1104" s="232">
        <v>1</v>
      </c>
      <c r="J1104" s="232">
        <v>3</v>
      </c>
      <c r="K1104" s="232">
        <v>2</v>
      </c>
      <c r="L1104" s="283">
        <v>2</v>
      </c>
      <c r="M1104" s="284">
        <f t="shared" si="37"/>
        <v>0.48935255543384243</v>
      </c>
      <c r="N1104" s="235"/>
    </row>
    <row r="1105" spans="1:14" hidden="1" x14ac:dyDescent="0.2">
      <c r="A1105" s="305" t="s">
        <v>394</v>
      </c>
      <c r="B1105" s="285" t="s">
        <v>398</v>
      </c>
      <c r="C1105" s="247" t="s">
        <v>37</v>
      </c>
      <c r="D1105" s="276" t="s">
        <v>135</v>
      </c>
      <c r="E1105" s="311">
        <v>0.48484848484848492</v>
      </c>
      <c r="F1105" s="233" t="s">
        <v>400</v>
      </c>
      <c r="G1105" s="234" t="s">
        <v>16</v>
      </c>
      <c r="H1105" s="232">
        <v>1</v>
      </c>
      <c r="I1105" s="232">
        <v>1</v>
      </c>
      <c r="J1105" s="232">
        <v>3</v>
      </c>
      <c r="K1105" s="232">
        <v>2</v>
      </c>
      <c r="L1105" s="283">
        <v>2</v>
      </c>
      <c r="M1105" s="284">
        <f t="shared" si="37"/>
        <v>0.48935255543384243</v>
      </c>
      <c r="N1105" s="235"/>
    </row>
    <row r="1106" spans="1:14" hidden="1" x14ac:dyDescent="0.2">
      <c r="A1106" s="305" t="s">
        <v>394</v>
      </c>
      <c r="B1106" s="285" t="s">
        <v>398</v>
      </c>
      <c r="C1106" s="247" t="s">
        <v>39</v>
      </c>
      <c r="D1106" s="276" t="s">
        <v>135</v>
      </c>
      <c r="E1106" s="311">
        <v>0.96969696969696972</v>
      </c>
      <c r="F1106" s="233" t="s">
        <v>400</v>
      </c>
      <c r="G1106" s="234" t="s">
        <v>16</v>
      </c>
      <c r="H1106" s="232">
        <v>1</v>
      </c>
      <c r="I1106" s="232">
        <v>1</v>
      </c>
      <c r="J1106" s="232">
        <v>3</v>
      </c>
      <c r="K1106" s="232">
        <v>2</v>
      </c>
      <c r="L1106" s="283">
        <v>2</v>
      </c>
      <c r="M1106" s="284">
        <f t="shared" si="37"/>
        <v>0.48935255543384243</v>
      </c>
      <c r="N1106" s="235"/>
    </row>
    <row r="1107" spans="1:14" hidden="1" x14ac:dyDescent="0.2">
      <c r="A1107" s="305" t="s">
        <v>394</v>
      </c>
      <c r="B1107" s="285" t="s">
        <v>398</v>
      </c>
      <c r="C1107" s="247" t="s">
        <v>40</v>
      </c>
      <c r="D1107" s="276" t="s">
        <v>135</v>
      </c>
      <c r="E1107" s="311">
        <v>0.61643835616438358</v>
      </c>
      <c r="F1107" s="233" t="s">
        <v>400</v>
      </c>
      <c r="G1107" s="234" t="s">
        <v>16</v>
      </c>
      <c r="H1107" s="232">
        <v>1</v>
      </c>
      <c r="I1107" s="232">
        <v>1</v>
      </c>
      <c r="J1107" s="232">
        <v>3</v>
      </c>
      <c r="K1107" s="232">
        <v>2</v>
      </c>
      <c r="L1107" s="283">
        <v>2</v>
      </c>
      <c r="M1107" s="284">
        <f t="shared" si="37"/>
        <v>0.48935255543384243</v>
      </c>
      <c r="N1107" s="235"/>
    </row>
    <row r="1108" spans="1:14" hidden="1" x14ac:dyDescent="0.2">
      <c r="A1108" s="305" t="s">
        <v>394</v>
      </c>
      <c r="B1108" s="285" t="s">
        <v>398</v>
      </c>
      <c r="C1108" s="247" t="s">
        <v>41</v>
      </c>
      <c r="D1108" s="276" t="s">
        <v>135</v>
      </c>
      <c r="E1108" s="61">
        <v>0</v>
      </c>
      <c r="F1108" s="233" t="s">
        <v>400</v>
      </c>
      <c r="G1108" s="234" t="s">
        <v>16</v>
      </c>
      <c r="H1108" s="61"/>
      <c r="I1108" s="61"/>
      <c r="J1108" s="61" t="str">
        <f>IF( OR( ISBLANK(#REF!),ISBLANK(F1108), ISBLANK(#REF!), ISBLANK(H1108), ISBLANK(I1108) ), "", 1.5*SQRT(   EXP(2.21*(#REF!-1)) + EXP(2.21*(F1108-1)) + EXP(2.21*(#REF!-1)) + EXP(2.21*(H1108-1)) + EXP(2.21*I1108)   )/100 )</f>
        <v/>
      </c>
      <c r="K1108" s="61"/>
      <c r="L1108" s="62"/>
      <c r="M1108" s="63" t="str">
        <f t="shared" si="37"/>
        <v/>
      </c>
      <c r="N1108" s="235"/>
    </row>
    <row r="1109" spans="1:14" hidden="1" x14ac:dyDescent="0.2">
      <c r="A1109" s="305" t="s">
        <v>394</v>
      </c>
      <c r="B1109" s="285" t="s">
        <v>398</v>
      </c>
      <c r="C1109" s="247" t="s">
        <v>42</v>
      </c>
      <c r="D1109" s="276" t="s">
        <v>135</v>
      </c>
      <c r="E1109" s="311">
        <v>0.97402597402597402</v>
      </c>
      <c r="F1109" s="233" t="s">
        <v>400</v>
      </c>
      <c r="G1109" s="234" t="s">
        <v>16</v>
      </c>
      <c r="H1109" s="232">
        <v>1</v>
      </c>
      <c r="I1109" s="232">
        <v>1</v>
      </c>
      <c r="J1109" s="232">
        <v>3</v>
      </c>
      <c r="K1109" s="232">
        <v>2</v>
      </c>
      <c r="L1109" s="283">
        <v>2</v>
      </c>
      <c r="M1109" s="284">
        <f t="shared" si="37"/>
        <v>0.48935255543384243</v>
      </c>
      <c r="N1109" s="235"/>
    </row>
    <row r="1110" spans="1:14" hidden="1" x14ac:dyDescent="0.2">
      <c r="A1110" s="305" t="s">
        <v>394</v>
      </c>
      <c r="B1110" s="285" t="s">
        <v>398</v>
      </c>
      <c r="C1110" s="247" t="s">
        <v>43</v>
      </c>
      <c r="D1110" s="276" t="s">
        <v>135</v>
      </c>
      <c r="E1110" s="61">
        <v>0</v>
      </c>
      <c r="F1110" s="233" t="s">
        <v>400</v>
      </c>
      <c r="G1110" s="234" t="s">
        <v>16</v>
      </c>
      <c r="H1110" s="61"/>
      <c r="I1110" s="61"/>
      <c r="J1110" s="61" t="str">
        <f>IF( OR( ISBLANK(#REF!),ISBLANK(F1110), ISBLANK(#REF!), ISBLANK(H1110), ISBLANK(I1110) ), "", 1.5*SQRT(   EXP(2.21*(#REF!-1)) + EXP(2.21*(F1110-1)) + EXP(2.21*(#REF!-1)) + EXP(2.21*(H1110-1)) + EXP(2.21*I1110)   )/100 )</f>
        <v/>
      </c>
      <c r="K1110" s="61"/>
      <c r="L1110" s="62"/>
      <c r="M1110" s="63" t="str">
        <f t="shared" si="37"/>
        <v/>
      </c>
      <c r="N1110" s="235"/>
    </row>
    <row r="1111" spans="1:14" hidden="1" x14ac:dyDescent="0.2">
      <c r="A1111" s="305" t="s">
        <v>394</v>
      </c>
      <c r="B1111" s="285" t="s">
        <v>398</v>
      </c>
      <c r="C1111" s="247" t="s">
        <v>45</v>
      </c>
      <c r="D1111" s="276" t="s">
        <v>135</v>
      </c>
      <c r="E1111" s="311">
        <v>3.5714285714285712E-2</v>
      </c>
      <c r="F1111" s="233" t="s">
        <v>400</v>
      </c>
      <c r="G1111" s="234" t="s">
        <v>16</v>
      </c>
      <c r="H1111" s="232">
        <v>1</v>
      </c>
      <c r="I1111" s="232">
        <v>1</v>
      </c>
      <c r="J1111" s="232">
        <v>3</v>
      </c>
      <c r="K1111" s="232">
        <v>2</v>
      </c>
      <c r="L1111" s="283">
        <v>2</v>
      </c>
      <c r="M1111" s="284">
        <f t="shared" si="37"/>
        <v>0.48935255543384243</v>
      </c>
      <c r="N1111" s="235"/>
    </row>
    <row r="1112" spans="1:14" hidden="1" x14ac:dyDescent="0.2">
      <c r="A1112" s="305" t="s">
        <v>394</v>
      </c>
      <c r="B1112" s="285" t="s">
        <v>398</v>
      </c>
      <c r="C1112" s="247" t="s">
        <v>46</v>
      </c>
      <c r="D1112" s="276" t="s">
        <v>135</v>
      </c>
      <c r="E1112" s="311">
        <v>0.56164383561643838</v>
      </c>
      <c r="F1112" s="233" t="s">
        <v>400</v>
      </c>
      <c r="G1112" s="234" t="s">
        <v>16</v>
      </c>
      <c r="H1112" s="232">
        <v>1</v>
      </c>
      <c r="I1112" s="232">
        <v>1</v>
      </c>
      <c r="J1112" s="232">
        <v>3</v>
      </c>
      <c r="K1112" s="232">
        <v>2</v>
      </c>
      <c r="L1112" s="283">
        <v>2</v>
      </c>
      <c r="M1112" s="284">
        <f t="shared" si="37"/>
        <v>0.48935255543384243</v>
      </c>
      <c r="N1112" s="235"/>
    </row>
    <row r="1113" spans="1:14" hidden="1" x14ac:dyDescent="0.2">
      <c r="A1113" s="305" t="s">
        <v>394</v>
      </c>
      <c r="B1113" s="285" t="s">
        <v>398</v>
      </c>
      <c r="C1113" s="247" t="s">
        <v>48</v>
      </c>
      <c r="D1113" s="276" t="s">
        <v>135</v>
      </c>
      <c r="E1113" s="311">
        <v>0.48529411764705888</v>
      </c>
      <c r="F1113" s="233" t="s">
        <v>400</v>
      </c>
      <c r="G1113" s="234" t="s">
        <v>16</v>
      </c>
      <c r="H1113" s="232">
        <v>1</v>
      </c>
      <c r="I1113" s="232">
        <v>1</v>
      </c>
      <c r="J1113" s="232">
        <v>3</v>
      </c>
      <c r="K1113" s="232">
        <v>2</v>
      </c>
      <c r="L1113" s="283">
        <v>2</v>
      </c>
      <c r="M1113" s="284">
        <f t="shared" si="37"/>
        <v>0.48935255543384243</v>
      </c>
      <c r="N1113" s="235"/>
    </row>
    <row r="1114" spans="1:14" hidden="1" x14ac:dyDescent="0.2">
      <c r="A1114" s="305" t="s">
        <v>394</v>
      </c>
      <c r="B1114" s="285" t="s">
        <v>398</v>
      </c>
      <c r="C1114" s="247" t="s">
        <v>50</v>
      </c>
      <c r="D1114" s="276" t="s">
        <v>135</v>
      </c>
      <c r="E1114" s="311">
        <v>0.83582089552238814</v>
      </c>
      <c r="F1114" s="233" t="s">
        <v>400</v>
      </c>
      <c r="G1114" s="234" t="s">
        <v>16</v>
      </c>
      <c r="H1114" s="232">
        <v>1</v>
      </c>
      <c r="I1114" s="232">
        <v>1</v>
      </c>
      <c r="J1114" s="232">
        <v>3</v>
      </c>
      <c r="K1114" s="232">
        <v>2</v>
      </c>
      <c r="L1114" s="283">
        <v>2</v>
      </c>
      <c r="M1114" s="284">
        <f t="shared" si="37"/>
        <v>0.48935255543384243</v>
      </c>
      <c r="N1114" s="235"/>
    </row>
    <row r="1115" spans="1:14" hidden="1" x14ac:dyDescent="0.2">
      <c r="A1115" s="305" t="s">
        <v>394</v>
      </c>
      <c r="B1115" s="285" t="s">
        <v>398</v>
      </c>
      <c r="C1115" s="247" t="s">
        <v>52</v>
      </c>
      <c r="D1115" s="276" t="s">
        <v>135</v>
      </c>
      <c r="E1115" s="311">
        <v>0.6428571428571429</v>
      </c>
      <c r="F1115" s="233" t="s">
        <v>400</v>
      </c>
      <c r="G1115" s="234" t="s">
        <v>16</v>
      </c>
      <c r="H1115" s="232">
        <v>1</v>
      </c>
      <c r="I1115" s="232">
        <v>1</v>
      </c>
      <c r="J1115" s="232">
        <v>3</v>
      </c>
      <c r="K1115" s="232">
        <v>2</v>
      </c>
      <c r="L1115" s="283">
        <v>2</v>
      </c>
      <c r="M1115" s="284">
        <f t="shared" si="37"/>
        <v>0.48935255543384243</v>
      </c>
      <c r="N1115" s="235"/>
    </row>
    <row r="1116" spans="1:14" hidden="1" x14ac:dyDescent="0.2">
      <c r="A1116" s="305" t="s">
        <v>394</v>
      </c>
      <c r="B1116" s="285" t="s">
        <v>398</v>
      </c>
      <c r="C1116" s="247" t="s">
        <v>54</v>
      </c>
      <c r="D1116" s="276" t="s">
        <v>135</v>
      </c>
      <c r="E1116" s="311">
        <v>0.50769230769230766</v>
      </c>
      <c r="F1116" s="233" t="s">
        <v>400</v>
      </c>
      <c r="G1116" s="234" t="s">
        <v>16</v>
      </c>
      <c r="H1116" s="232">
        <v>1</v>
      </c>
      <c r="I1116" s="232">
        <v>1</v>
      </c>
      <c r="J1116" s="232">
        <v>3</v>
      </c>
      <c r="K1116" s="232">
        <v>2</v>
      </c>
      <c r="L1116" s="283">
        <v>2</v>
      </c>
      <c r="M1116" s="284">
        <f t="shared" si="37"/>
        <v>0.48935255543384243</v>
      </c>
      <c r="N1116" s="235"/>
    </row>
    <row r="1117" spans="1:14" hidden="1" x14ac:dyDescent="0.2">
      <c r="A1117" s="305" t="s">
        <v>394</v>
      </c>
      <c r="B1117" s="285" t="s">
        <v>398</v>
      </c>
      <c r="C1117" s="247" t="s">
        <v>55</v>
      </c>
      <c r="D1117" s="276" t="s">
        <v>135</v>
      </c>
      <c r="E1117" s="311">
        <v>0.63157894736842113</v>
      </c>
      <c r="F1117" s="233" t="s">
        <v>400</v>
      </c>
      <c r="G1117" s="234" t="s">
        <v>16</v>
      </c>
      <c r="H1117" s="232">
        <v>1</v>
      </c>
      <c r="I1117" s="232">
        <v>1</v>
      </c>
      <c r="J1117" s="232">
        <v>3</v>
      </c>
      <c r="K1117" s="232">
        <v>2</v>
      </c>
      <c r="L1117" s="283">
        <v>2</v>
      </c>
      <c r="M1117" s="284">
        <f t="shared" si="37"/>
        <v>0.48935255543384243</v>
      </c>
      <c r="N1117" s="235"/>
    </row>
    <row r="1118" spans="1:14" hidden="1" x14ac:dyDescent="0.2">
      <c r="A1118" s="305" t="s">
        <v>394</v>
      </c>
      <c r="B1118" s="285" t="s">
        <v>398</v>
      </c>
      <c r="C1118" s="247" t="s">
        <v>57</v>
      </c>
      <c r="D1118" s="276" t="s">
        <v>135</v>
      </c>
      <c r="E1118" s="311">
        <v>1.6393442622950821E-2</v>
      </c>
      <c r="F1118" s="233" t="s">
        <v>400</v>
      </c>
      <c r="G1118" s="234" t="s">
        <v>16</v>
      </c>
      <c r="H1118" s="232">
        <v>1</v>
      </c>
      <c r="I1118" s="232">
        <v>1</v>
      </c>
      <c r="J1118" s="232">
        <v>3</v>
      </c>
      <c r="K1118" s="232">
        <v>2</v>
      </c>
      <c r="L1118" s="283">
        <v>2</v>
      </c>
      <c r="M1118" s="284">
        <f t="shared" si="37"/>
        <v>0.48935255543384243</v>
      </c>
      <c r="N1118" s="235"/>
    </row>
    <row r="1119" spans="1:14" hidden="1" x14ac:dyDescent="0.2">
      <c r="A1119" s="305" t="s">
        <v>394</v>
      </c>
      <c r="B1119" s="285" t="s">
        <v>398</v>
      </c>
      <c r="C1119" s="247" t="s">
        <v>59</v>
      </c>
      <c r="D1119" s="276" t="s">
        <v>135</v>
      </c>
      <c r="E1119" s="61">
        <v>0</v>
      </c>
      <c r="F1119" s="233" t="s">
        <v>400</v>
      </c>
      <c r="G1119" s="234" t="s">
        <v>16</v>
      </c>
      <c r="H1119" s="61"/>
      <c r="I1119" s="61"/>
      <c r="J1119" s="61" t="str">
        <f>IF( OR( ISBLANK(#REF!),ISBLANK(F1119), ISBLANK(#REF!), ISBLANK(H1119), ISBLANK(I1119) ), "", 1.5*SQRT(   EXP(2.21*(#REF!-1)) + EXP(2.21*(F1119-1)) + EXP(2.21*(#REF!-1)) + EXP(2.21*(H1119-1)) + EXP(2.21*I1119)   )/100 )</f>
        <v/>
      </c>
      <c r="K1119" s="61"/>
      <c r="L1119" s="62"/>
      <c r="M1119" s="63" t="str">
        <f t="shared" si="37"/>
        <v/>
      </c>
      <c r="N1119" s="235"/>
    </row>
    <row r="1120" spans="1:14" hidden="1" x14ac:dyDescent="0.2">
      <c r="A1120" s="305" t="s">
        <v>394</v>
      </c>
      <c r="B1120" s="285" t="s">
        <v>398</v>
      </c>
      <c r="C1120" s="247" t="s">
        <v>60</v>
      </c>
      <c r="D1120" s="276" t="s">
        <v>135</v>
      </c>
      <c r="E1120" s="311">
        <v>0.30158730158730163</v>
      </c>
      <c r="F1120" s="233" t="s">
        <v>400</v>
      </c>
      <c r="G1120" s="234" t="s">
        <v>16</v>
      </c>
      <c r="H1120" s="232">
        <v>1</v>
      </c>
      <c r="I1120" s="232">
        <v>2</v>
      </c>
      <c r="J1120" s="232">
        <v>3</v>
      </c>
      <c r="K1120" s="232">
        <v>2</v>
      </c>
      <c r="L1120" s="283">
        <v>2</v>
      </c>
      <c r="M1120" s="284">
        <f t="shared" si="37"/>
        <v>0.50042652380814845</v>
      </c>
      <c r="N1120" s="235"/>
    </row>
    <row r="1121" spans="1:14" x14ac:dyDescent="0.2">
      <c r="A1121" s="237" t="s">
        <v>394</v>
      </c>
      <c r="B1121" s="313" t="s">
        <v>399</v>
      </c>
      <c r="C1121" s="238" t="s">
        <v>135</v>
      </c>
      <c r="D1121" s="279" t="s">
        <v>135</v>
      </c>
      <c r="E1121" s="240" t="s">
        <v>188</v>
      </c>
      <c r="F1121" s="241"/>
      <c r="G1121" s="242" t="s">
        <v>16</v>
      </c>
      <c r="H1121" s="240"/>
      <c r="I1121" s="240"/>
      <c r="J1121" s="240" t="str">
        <f>IF( OR( ISBLANK(#REF!),ISBLANK(F1121), ISBLANK(#REF!), ISBLANK(H1121), ISBLANK(I1121) ), "", 1.5*SQRT(   EXP(2.21*(#REF!-1)) + EXP(2.21*(F1121-1)) + EXP(2.21*(#REF!-1)) + EXP(2.21*(H1121-1)) + EXP(2.21*I1121)   )/100 )</f>
        <v/>
      </c>
      <c r="K1121" s="240"/>
      <c r="L1121" s="243"/>
      <c r="M1121" s="244" t="str">
        <f t="shared" si="37"/>
        <v/>
      </c>
      <c r="N1121" s="235"/>
    </row>
    <row r="1122" spans="1:14" x14ac:dyDescent="0.2">
      <c r="A1122" s="309" t="s">
        <v>392</v>
      </c>
      <c r="B1122" s="315" t="s">
        <v>436</v>
      </c>
      <c r="C1122" s="222" t="s">
        <v>135</v>
      </c>
      <c r="D1122" s="276" t="s">
        <v>135</v>
      </c>
      <c r="E1122" s="316">
        <v>1.2593635334567171E-3</v>
      </c>
      <c r="F1122" s="233" t="s">
        <v>437</v>
      </c>
      <c r="G1122" s="226" t="s">
        <v>16</v>
      </c>
      <c r="H1122" s="232">
        <v>2</v>
      </c>
      <c r="I1122" s="232">
        <v>2</v>
      </c>
      <c r="J1122" s="232">
        <v>1</v>
      </c>
      <c r="K1122" s="232">
        <v>1</v>
      </c>
      <c r="L1122" s="283">
        <v>1</v>
      </c>
      <c r="M1122" s="284">
        <f t="shared" si="37"/>
        <v>0.19908580854301616</v>
      </c>
      <c r="N1122" s="229"/>
    </row>
    <row r="1123" spans="1:14" x14ac:dyDescent="0.2">
      <c r="A1123" s="305" t="s">
        <v>392</v>
      </c>
      <c r="B1123" s="285" t="s">
        <v>398</v>
      </c>
      <c r="C1123" s="247" t="s">
        <v>13</v>
      </c>
      <c r="D1123" s="276" t="s">
        <v>135</v>
      </c>
      <c r="E1123" s="61">
        <v>0</v>
      </c>
      <c r="F1123" s="233" t="s">
        <v>400</v>
      </c>
      <c r="G1123" s="234" t="s">
        <v>16</v>
      </c>
      <c r="H1123" s="61"/>
      <c r="I1123" s="61"/>
      <c r="J1123" s="61" t="str">
        <f>IF( OR( ISBLANK(#REF!),ISBLANK(F1123), ISBLANK(#REF!), ISBLANK(H1123), ISBLANK(I1123) ), "", 1.5*SQRT(   EXP(2.21*(#REF!-1)) + EXP(2.21*(F1123-1)) + EXP(2.21*(#REF!-1)) + EXP(2.21*(H1123-1)) + EXP(2.21*I1123)   )/100 )</f>
        <v/>
      </c>
      <c r="K1123" s="61"/>
      <c r="L1123" s="62"/>
      <c r="M1123" s="63" t="str">
        <f t="shared" si="37"/>
        <v/>
      </c>
      <c r="N1123" s="235"/>
    </row>
    <row r="1124" spans="1:14" hidden="1" x14ac:dyDescent="0.2">
      <c r="A1124" s="305" t="s">
        <v>392</v>
      </c>
      <c r="B1124" s="285" t="s">
        <v>398</v>
      </c>
      <c r="C1124" s="247" t="s">
        <v>18</v>
      </c>
      <c r="D1124" s="276" t="s">
        <v>135</v>
      </c>
      <c r="E1124" s="311">
        <v>3.2745594638247333E-2</v>
      </c>
      <c r="F1124" s="233" t="s">
        <v>400</v>
      </c>
      <c r="G1124" s="234" t="s">
        <v>16</v>
      </c>
      <c r="H1124" s="232">
        <v>1</v>
      </c>
      <c r="I1124" s="232">
        <v>1</v>
      </c>
      <c r="J1124" s="232">
        <v>3</v>
      </c>
      <c r="K1124" s="232">
        <v>2</v>
      </c>
      <c r="L1124" s="283">
        <v>2</v>
      </c>
      <c r="M1124" s="284">
        <f>IF( OR( ISBLANK(H1124),ISBLANK(I1124), ISBLANK(J1124), ISBLANK(K1124), ISBLANK(L1124) ), "", 1.5*SQRT(   EXP(2.21*(H1124-1)) + EXP(2.21*(I1124-1)) + EXP(2.21*(J1124-1)) + EXP(2.21*(K1124-1)) + EXP(2.21*L1124)   )/100*2.45 )</f>
        <v>0.48935255543384243</v>
      </c>
      <c r="N1124" s="235"/>
    </row>
    <row r="1125" spans="1:14" hidden="1" x14ac:dyDescent="0.2">
      <c r="A1125" s="305" t="s">
        <v>392</v>
      </c>
      <c r="B1125" s="285" t="s">
        <v>398</v>
      </c>
      <c r="C1125" s="247" t="s">
        <v>20</v>
      </c>
      <c r="D1125" s="276" t="s">
        <v>135</v>
      </c>
      <c r="E1125" s="311">
        <v>0.89497537553495443</v>
      </c>
      <c r="F1125" s="233" t="s">
        <v>400</v>
      </c>
      <c r="G1125" s="234" t="s">
        <v>16</v>
      </c>
      <c r="H1125" s="232">
        <v>1</v>
      </c>
      <c r="I1125" s="232">
        <v>1</v>
      </c>
      <c r="J1125" s="232">
        <v>3</v>
      </c>
      <c r="K1125" s="232">
        <v>2</v>
      </c>
      <c r="L1125" s="283">
        <v>2</v>
      </c>
      <c r="M1125" s="284">
        <f t="shared" ref="M1125:M1139" si="38">IF( OR( ISBLANK(H1125),ISBLANK(I1125), ISBLANK(J1125), ISBLANK(K1125), ISBLANK(L1125) ), "", 1.5*SQRT( EXP(2.21*(H1125-1)) + EXP(2.21*(I1125-1)) + EXP(2.21*(J1125-1)) + EXP(2.21*(K1125-1)) + EXP(2.21*L1125) )/100*2.45 )</f>
        <v>0.48935255543384243</v>
      </c>
      <c r="N1125" s="235"/>
    </row>
    <row r="1126" spans="1:14" hidden="1" x14ac:dyDescent="0.2">
      <c r="A1126" s="305" t="s">
        <v>392</v>
      </c>
      <c r="B1126" s="285" t="s">
        <v>398</v>
      </c>
      <c r="C1126" s="247" t="s">
        <v>22</v>
      </c>
      <c r="D1126" s="276" t="s">
        <v>135</v>
      </c>
      <c r="E1126" s="311">
        <v>0.92938364782303329</v>
      </c>
      <c r="F1126" s="233" t="s">
        <v>400</v>
      </c>
      <c r="G1126" s="234" t="s">
        <v>16</v>
      </c>
      <c r="H1126" s="232">
        <v>1</v>
      </c>
      <c r="I1126" s="232">
        <v>1</v>
      </c>
      <c r="J1126" s="232">
        <v>3</v>
      </c>
      <c r="K1126" s="232">
        <v>2</v>
      </c>
      <c r="L1126" s="283">
        <v>2</v>
      </c>
      <c r="M1126" s="284">
        <f t="shared" si="38"/>
        <v>0.48935255543384243</v>
      </c>
      <c r="N1126" s="235"/>
    </row>
    <row r="1127" spans="1:14" hidden="1" x14ac:dyDescent="0.2">
      <c r="A1127" s="305" t="s">
        <v>392</v>
      </c>
      <c r="B1127" s="285" t="s">
        <v>398</v>
      </c>
      <c r="C1127" s="247" t="s">
        <v>23</v>
      </c>
      <c r="D1127" s="276" t="s">
        <v>135</v>
      </c>
      <c r="E1127" s="311">
        <v>0.9713778793030764</v>
      </c>
      <c r="F1127" s="233" t="s">
        <v>400</v>
      </c>
      <c r="G1127" s="234" t="s">
        <v>16</v>
      </c>
      <c r="H1127" s="232">
        <v>1</v>
      </c>
      <c r="I1127" s="232">
        <v>1</v>
      </c>
      <c r="J1127" s="232">
        <v>3</v>
      </c>
      <c r="K1127" s="232">
        <v>2</v>
      </c>
      <c r="L1127" s="283">
        <v>2</v>
      </c>
      <c r="M1127" s="284">
        <f t="shared" si="38"/>
        <v>0.48935255543384243</v>
      </c>
      <c r="N1127" s="235"/>
    </row>
    <row r="1128" spans="1:14" hidden="1" x14ac:dyDescent="0.2">
      <c r="A1128" s="305" t="s">
        <v>392</v>
      </c>
      <c r="B1128" s="285" t="s">
        <v>398</v>
      </c>
      <c r="C1128" s="247" t="s">
        <v>24</v>
      </c>
      <c r="D1128" s="276" t="s">
        <v>135</v>
      </c>
      <c r="E1128" s="311">
        <v>0.63853909544582277</v>
      </c>
      <c r="F1128" s="233" t="s">
        <v>400</v>
      </c>
      <c r="G1128" s="234" t="s">
        <v>16</v>
      </c>
      <c r="H1128" s="232">
        <v>1</v>
      </c>
      <c r="I1128" s="232">
        <v>1</v>
      </c>
      <c r="J1128" s="232">
        <v>3</v>
      </c>
      <c r="K1128" s="232">
        <v>2</v>
      </c>
      <c r="L1128" s="283">
        <v>2</v>
      </c>
      <c r="M1128" s="284">
        <f t="shared" si="38"/>
        <v>0.48935255543384243</v>
      </c>
      <c r="N1128" s="235"/>
    </row>
    <row r="1129" spans="1:14" hidden="1" x14ac:dyDescent="0.2">
      <c r="A1129" s="305" t="s">
        <v>392</v>
      </c>
      <c r="B1129" s="285" t="s">
        <v>398</v>
      </c>
      <c r="C1129" s="247" t="s">
        <v>25</v>
      </c>
      <c r="D1129" s="276" t="s">
        <v>135</v>
      </c>
      <c r="E1129" s="311">
        <v>3.329135454888478E-2</v>
      </c>
      <c r="F1129" s="233" t="s">
        <v>400</v>
      </c>
      <c r="G1129" s="234" t="s">
        <v>16</v>
      </c>
      <c r="H1129" s="232">
        <v>1</v>
      </c>
      <c r="I1129" s="232">
        <v>1</v>
      </c>
      <c r="J1129" s="232">
        <v>3</v>
      </c>
      <c r="K1129" s="232">
        <v>2</v>
      </c>
      <c r="L1129" s="283">
        <v>2</v>
      </c>
      <c r="M1129" s="284">
        <f t="shared" si="38"/>
        <v>0.48935255543384243</v>
      </c>
      <c r="N1129" s="235"/>
    </row>
    <row r="1130" spans="1:14" hidden="1" x14ac:dyDescent="0.2">
      <c r="A1130" s="305" t="s">
        <v>392</v>
      </c>
      <c r="B1130" s="285" t="s">
        <v>398</v>
      </c>
      <c r="C1130" s="247" t="s">
        <v>26</v>
      </c>
      <c r="D1130" s="276" t="s">
        <v>135</v>
      </c>
      <c r="E1130" s="311">
        <v>0.30264867771713427</v>
      </c>
      <c r="F1130" s="233" t="s">
        <v>400</v>
      </c>
      <c r="G1130" s="234" t="s">
        <v>16</v>
      </c>
      <c r="H1130" s="232">
        <v>1</v>
      </c>
      <c r="I1130" s="232">
        <v>1</v>
      </c>
      <c r="J1130" s="232">
        <v>3</v>
      </c>
      <c r="K1130" s="232">
        <v>2</v>
      </c>
      <c r="L1130" s="283">
        <v>2</v>
      </c>
      <c r="M1130" s="284">
        <f t="shared" si="38"/>
        <v>0.48935255543384243</v>
      </c>
      <c r="N1130" s="235"/>
    </row>
    <row r="1131" spans="1:14" hidden="1" x14ac:dyDescent="0.2">
      <c r="A1131" s="305" t="s">
        <v>392</v>
      </c>
      <c r="B1131" s="285" t="s">
        <v>398</v>
      </c>
      <c r="C1131" s="247" t="s">
        <v>27</v>
      </c>
      <c r="D1131" s="276" t="s">
        <v>135</v>
      </c>
      <c r="E1131" s="311">
        <v>2.528457307510236E-2</v>
      </c>
      <c r="F1131" s="233" t="s">
        <v>400</v>
      </c>
      <c r="G1131" s="234" t="s">
        <v>16</v>
      </c>
      <c r="H1131" s="232">
        <v>1</v>
      </c>
      <c r="I1131" s="232">
        <v>1</v>
      </c>
      <c r="J1131" s="232">
        <v>3</v>
      </c>
      <c r="K1131" s="232">
        <v>2</v>
      </c>
      <c r="L1131" s="283">
        <v>2</v>
      </c>
      <c r="M1131" s="284">
        <f t="shared" si="38"/>
        <v>0.48935255543384243</v>
      </c>
      <c r="N1131" s="235"/>
    </row>
    <row r="1132" spans="1:14" hidden="1" x14ac:dyDescent="0.2">
      <c r="A1132" s="305" t="s">
        <v>392</v>
      </c>
      <c r="B1132" s="285" t="s">
        <v>398</v>
      </c>
      <c r="C1132" s="247" t="s">
        <v>28</v>
      </c>
      <c r="D1132" s="276" t="s">
        <v>135</v>
      </c>
      <c r="E1132" s="311">
        <v>0.41281279640617119</v>
      </c>
      <c r="F1132" s="233" t="s">
        <v>400</v>
      </c>
      <c r="G1132" s="234" t="s">
        <v>16</v>
      </c>
      <c r="H1132" s="232">
        <v>1</v>
      </c>
      <c r="I1132" s="232">
        <v>1</v>
      </c>
      <c r="J1132" s="232">
        <v>3</v>
      </c>
      <c r="K1132" s="232">
        <v>2</v>
      </c>
      <c r="L1132" s="283">
        <v>2</v>
      </c>
      <c r="M1132" s="284">
        <f t="shared" si="38"/>
        <v>0.48935255543384243</v>
      </c>
      <c r="N1132" s="235"/>
    </row>
    <row r="1133" spans="1:14" hidden="1" x14ac:dyDescent="0.2">
      <c r="A1133" s="305" t="s">
        <v>392</v>
      </c>
      <c r="B1133" s="285" t="s">
        <v>398</v>
      </c>
      <c r="C1133" s="247" t="s">
        <v>30</v>
      </c>
      <c r="D1133" s="276" t="s">
        <v>135</v>
      </c>
      <c r="E1133" s="311">
        <v>1.721966614597489E-2</v>
      </c>
      <c r="F1133" s="233" t="s">
        <v>400</v>
      </c>
      <c r="G1133" s="234" t="s">
        <v>16</v>
      </c>
      <c r="H1133" s="232">
        <v>1</v>
      </c>
      <c r="I1133" s="232">
        <v>1</v>
      </c>
      <c r="J1133" s="232">
        <v>3</v>
      </c>
      <c r="K1133" s="232">
        <v>2</v>
      </c>
      <c r="L1133" s="283">
        <v>2</v>
      </c>
      <c r="M1133" s="284">
        <f t="shared" si="38"/>
        <v>0.48935255543384243</v>
      </c>
      <c r="N1133" s="235"/>
    </row>
    <row r="1134" spans="1:14" hidden="1" x14ac:dyDescent="0.2">
      <c r="A1134" s="305" t="s">
        <v>392</v>
      </c>
      <c r="B1134" s="285" t="s">
        <v>398</v>
      </c>
      <c r="C1134" s="247" t="s">
        <v>32</v>
      </c>
      <c r="D1134" s="276" t="s">
        <v>135</v>
      </c>
      <c r="E1134" s="311">
        <v>0.97210755282743544</v>
      </c>
      <c r="F1134" s="233" t="s">
        <v>400</v>
      </c>
      <c r="G1134" s="234" t="s">
        <v>16</v>
      </c>
      <c r="H1134" s="232">
        <v>1</v>
      </c>
      <c r="I1134" s="232">
        <v>1</v>
      </c>
      <c r="J1134" s="232">
        <v>3</v>
      </c>
      <c r="K1134" s="232">
        <v>2</v>
      </c>
      <c r="L1134" s="283">
        <v>2</v>
      </c>
      <c r="M1134" s="284">
        <f t="shared" si="38"/>
        <v>0.48935255543384243</v>
      </c>
      <c r="N1134" s="235"/>
    </row>
    <row r="1135" spans="1:14" hidden="1" x14ac:dyDescent="0.2">
      <c r="A1135" s="305" t="s">
        <v>392</v>
      </c>
      <c r="B1135" s="285" t="s">
        <v>398</v>
      </c>
      <c r="C1135" s="247" t="s">
        <v>34</v>
      </c>
      <c r="D1135" s="276" t="s">
        <v>135</v>
      </c>
      <c r="E1135" s="311">
        <v>0.72984892664862788</v>
      </c>
      <c r="F1135" s="233" t="s">
        <v>400</v>
      </c>
      <c r="G1135" s="234" t="s">
        <v>16</v>
      </c>
      <c r="H1135" s="232">
        <v>1</v>
      </c>
      <c r="I1135" s="232">
        <v>1</v>
      </c>
      <c r="J1135" s="232">
        <v>3</v>
      </c>
      <c r="K1135" s="232">
        <v>2</v>
      </c>
      <c r="L1135" s="283">
        <v>2</v>
      </c>
      <c r="M1135" s="284">
        <f t="shared" si="38"/>
        <v>0.48935255543384243</v>
      </c>
      <c r="N1135" s="235"/>
    </row>
    <row r="1136" spans="1:14" hidden="1" x14ac:dyDescent="0.2">
      <c r="A1136" s="305" t="s">
        <v>392</v>
      </c>
      <c r="B1136" s="285" t="s">
        <v>398</v>
      </c>
      <c r="C1136" s="247" t="s">
        <v>36</v>
      </c>
      <c r="D1136" s="276" t="s">
        <v>135</v>
      </c>
      <c r="E1136" s="311">
        <v>0.12660092574928011</v>
      </c>
      <c r="F1136" s="233" t="s">
        <v>400</v>
      </c>
      <c r="G1136" s="234" t="s">
        <v>16</v>
      </c>
      <c r="H1136" s="232">
        <v>1</v>
      </c>
      <c r="I1136" s="232">
        <v>1</v>
      </c>
      <c r="J1136" s="232">
        <v>3</v>
      </c>
      <c r="K1136" s="232">
        <v>2</v>
      </c>
      <c r="L1136" s="283">
        <v>2</v>
      </c>
      <c r="M1136" s="284">
        <f t="shared" si="38"/>
        <v>0.48935255543384243</v>
      </c>
      <c r="N1136" s="235"/>
    </row>
    <row r="1137" spans="1:14" hidden="1" x14ac:dyDescent="0.2">
      <c r="A1137" s="305" t="s">
        <v>392</v>
      </c>
      <c r="B1137" s="285" t="s">
        <v>398</v>
      </c>
      <c r="C1137" s="247" t="s">
        <v>37</v>
      </c>
      <c r="D1137" s="276" t="s">
        <v>135</v>
      </c>
      <c r="E1137" s="311">
        <v>0.48423788434741488</v>
      </c>
      <c r="F1137" s="233" t="s">
        <v>400</v>
      </c>
      <c r="G1137" s="234" t="s">
        <v>16</v>
      </c>
      <c r="H1137" s="232">
        <v>1</v>
      </c>
      <c r="I1137" s="232">
        <v>1</v>
      </c>
      <c r="J1137" s="232">
        <v>3</v>
      </c>
      <c r="K1137" s="232">
        <v>2</v>
      </c>
      <c r="L1137" s="283">
        <v>2</v>
      </c>
      <c r="M1137" s="284">
        <f t="shared" si="38"/>
        <v>0.48935255543384243</v>
      </c>
      <c r="N1137" s="235"/>
    </row>
    <row r="1138" spans="1:14" hidden="1" x14ac:dyDescent="0.2">
      <c r="A1138" s="305" t="s">
        <v>392</v>
      </c>
      <c r="B1138" s="285" t="s">
        <v>398</v>
      </c>
      <c r="C1138" s="247" t="s">
        <v>39</v>
      </c>
      <c r="D1138" s="276" t="s">
        <v>135</v>
      </c>
      <c r="E1138" s="311">
        <v>0.96847576869482987</v>
      </c>
      <c r="F1138" s="233" t="s">
        <v>400</v>
      </c>
      <c r="G1138" s="234" t="s">
        <v>16</v>
      </c>
      <c r="H1138" s="232">
        <v>1</v>
      </c>
      <c r="I1138" s="232">
        <v>1</v>
      </c>
      <c r="J1138" s="232">
        <v>3</v>
      </c>
      <c r="K1138" s="232">
        <v>2</v>
      </c>
      <c r="L1138" s="283">
        <v>2</v>
      </c>
      <c r="M1138" s="284">
        <f t="shared" si="38"/>
        <v>0.48935255543384243</v>
      </c>
      <c r="N1138" s="235"/>
    </row>
    <row r="1139" spans="1:14" hidden="1" x14ac:dyDescent="0.2">
      <c r="A1139" s="305" t="s">
        <v>392</v>
      </c>
      <c r="B1139" s="285" t="s">
        <v>398</v>
      </c>
      <c r="C1139" s="247" t="s">
        <v>40</v>
      </c>
      <c r="D1139" s="276" t="s">
        <v>135</v>
      </c>
      <c r="E1139" s="311">
        <v>0.61566203617800619</v>
      </c>
      <c r="F1139" s="233" t="s">
        <v>400</v>
      </c>
      <c r="G1139" s="234" t="s">
        <v>16</v>
      </c>
      <c r="H1139" s="232">
        <v>1</v>
      </c>
      <c r="I1139" s="232">
        <v>1</v>
      </c>
      <c r="J1139" s="232">
        <v>3</v>
      </c>
      <c r="K1139" s="232">
        <v>2</v>
      </c>
      <c r="L1139" s="283">
        <v>2</v>
      </c>
      <c r="M1139" s="284">
        <f t="shared" si="38"/>
        <v>0.48935255543384243</v>
      </c>
      <c r="N1139" s="235"/>
    </row>
    <row r="1140" spans="1:14" hidden="1" x14ac:dyDescent="0.2">
      <c r="A1140" s="305" t="s">
        <v>392</v>
      </c>
      <c r="B1140" s="285" t="s">
        <v>398</v>
      </c>
      <c r="C1140" s="247" t="s">
        <v>41</v>
      </c>
      <c r="D1140" s="276" t="s">
        <v>135</v>
      </c>
      <c r="E1140" s="61">
        <v>0</v>
      </c>
      <c r="F1140" s="233" t="s">
        <v>400</v>
      </c>
      <c r="G1140" s="234" t="s">
        <v>16</v>
      </c>
      <c r="H1140" s="61"/>
      <c r="I1140" s="61"/>
      <c r="J1140" s="61" t="str">
        <f>IF( OR( ISBLANK(#REF!),ISBLANK(F1140), ISBLANK(#REF!), ISBLANK(H1140), ISBLANK(I1140) ), "", 1.5*SQRT(   EXP(2.21*(#REF!-1)) + EXP(2.21*(F1140-1)) + EXP(2.21*(#REF!-1)) + EXP(2.21*(H1140-1)) + EXP(2.21*I1140)   )/100 )</f>
        <v/>
      </c>
      <c r="K1140" s="61"/>
      <c r="L1140" s="62"/>
      <c r="M1140" s="63" t="str">
        <f>IF( OR( ISBLANK(H1140),ISBLANK(I1140), ISBLANK(J1140), ISBLANK(K1140), ISBLANK(L1140) ), "", 1.5*SQRT(   EXP(2.21*(H1140-1)) + EXP(2.21*(I1140-1)) + EXP(2.21*(J1140-1)) + EXP(2.21*(K1140-1)) + EXP(2.21*L1140)   )/100*2.45 )</f>
        <v/>
      </c>
      <c r="N1140" s="235"/>
    </row>
    <row r="1141" spans="1:14" hidden="1" x14ac:dyDescent="0.2">
      <c r="A1141" s="305" t="s">
        <v>392</v>
      </c>
      <c r="B1141" s="285" t="s">
        <v>398</v>
      </c>
      <c r="C1141" s="247" t="s">
        <v>42</v>
      </c>
      <c r="D1141" s="276" t="s">
        <v>135</v>
      </c>
      <c r="E1141" s="311">
        <v>0.9727993212336461</v>
      </c>
      <c r="F1141" s="233" t="s">
        <v>400</v>
      </c>
      <c r="G1141" s="234" t="s">
        <v>16</v>
      </c>
      <c r="H1141" s="232">
        <v>1</v>
      </c>
      <c r="I1141" s="232">
        <v>1</v>
      </c>
      <c r="J1141" s="232">
        <v>3</v>
      </c>
      <c r="K1141" s="232">
        <v>2</v>
      </c>
      <c r="L1141" s="283">
        <v>2</v>
      </c>
      <c r="M1141" s="284">
        <f>IF( OR( ISBLANK(H1141),ISBLANK(I1141), ISBLANK(J1141), ISBLANK(K1141), ISBLANK(L1141) ), "", 1.5*SQRT(   EXP(2.21*(H1141-1)) + EXP(2.21*(I1141-1)) + EXP(2.21*(J1141-1)) + EXP(2.21*(K1141-1)) + EXP(2.21*L1141)   )/100*2.45 )</f>
        <v>0.48935255543384243</v>
      </c>
      <c r="N1141" s="235"/>
    </row>
    <row r="1142" spans="1:14" hidden="1" x14ac:dyDescent="0.2">
      <c r="A1142" s="305" t="s">
        <v>392</v>
      </c>
      <c r="B1142" s="285" t="s">
        <v>398</v>
      </c>
      <c r="C1142" s="247" t="s">
        <v>43</v>
      </c>
      <c r="D1142" s="276" t="s">
        <v>135</v>
      </c>
      <c r="E1142" s="61">
        <v>0</v>
      </c>
      <c r="F1142" s="233" t="s">
        <v>400</v>
      </c>
      <c r="G1142" s="234" t="s">
        <v>16</v>
      </c>
      <c r="H1142" s="61"/>
      <c r="I1142" s="61"/>
      <c r="J1142" s="61" t="str">
        <f>IF( OR( ISBLANK(#REF!),ISBLANK(F1142), ISBLANK(#REF!), ISBLANK(H1142), ISBLANK(I1142) ), "", 1.5*SQRT(   EXP(2.21*(#REF!-1)) + EXP(2.21*(F1142-1)) + EXP(2.21*(#REF!-1)) + EXP(2.21*(H1142-1)) + EXP(2.21*I1142)   )/100 )</f>
        <v/>
      </c>
      <c r="K1142" s="61"/>
      <c r="L1142" s="62"/>
      <c r="M1142" s="63" t="str">
        <f>IF( OR( ISBLANK(H1142),ISBLANK(I1142), ISBLANK(J1142), ISBLANK(K1142), ISBLANK(L1142) ), "", 1.5*SQRT(   EXP(2.21*(H1142-1)) + EXP(2.21*(I1142-1)) + EXP(2.21*(J1142-1)) + EXP(2.21*(K1142-1)) + EXP(2.21*L1142)   )/100*2.45 )</f>
        <v/>
      </c>
      <c r="N1142" s="235"/>
    </row>
    <row r="1143" spans="1:14" hidden="1" x14ac:dyDescent="0.2">
      <c r="A1143" s="305" t="s">
        <v>392</v>
      </c>
      <c r="B1143" s="285" t="s">
        <v>398</v>
      </c>
      <c r="C1143" s="247" t="s">
        <v>45</v>
      </c>
      <c r="D1143" s="276" t="s">
        <v>135</v>
      </c>
      <c r="E1143" s="311">
        <v>3.5669308445233687E-2</v>
      </c>
      <c r="F1143" s="233" t="s">
        <v>400</v>
      </c>
      <c r="G1143" s="234" t="s">
        <v>16</v>
      </c>
      <c r="H1143" s="232">
        <v>1</v>
      </c>
      <c r="I1143" s="232">
        <v>1</v>
      </c>
      <c r="J1143" s="232">
        <v>3</v>
      </c>
      <c r="K1143" s="232">
        <v>2</v>
      </c>
      <c r="L1143" s="283">
        <v>2</v>
      </c>
      <c r="M1143" s="284">
        <f>IF( OR( ISBLANK(H1143),ISBLANK(I1143), ISBLANK(J1143), ISBLANK(K1143), ISBLANK(L1143) ), "", 1.5*SQRT(   EXP(2.21*(H1143-1)) + EXP(2.21*(I1143-1)) + EXP(2.21*(J1143-1)) + EXP(2.21*(K1143-1)) + EXP(2.21*L1143)   )/100*2.45 )</f>
        <v>0.48935255543384243</v>
      </c>
      <c r="N1143" s="235"/>
    </row>
    <row r="1144" spans="1:14" hidden="1" x14ac:dyDescent="0.2">
      <c r="A1144" s="305" t="s">
        <v>392</v>
      </c>
      <c r="B1144" s="285" t="s">
        <v>398</v>
      </c>
      <c r="C1144" s="247" t="s">
        <v>46</v>
      </c>
      <c r="D1144" s="276" t="s">
        <v>135</v>
      </c>
      <c r="E1144" s="311">
        <v>0.56093652185107234</v>
      </c>
      <c r="F1144" s="233" t="s">
        <v>400</v>
      </c>
      <c r="G1144" s="234" t="s">
        <v>16</v>
      </c>
      <c r="H1144" s="232">
        <v>1</v>
      </c>
      <c r="I1144" s="232">
        <v>1</v>
      </c>
      <c r="J1144" s="232">
        <v>3</v>
      </c>
      <c r="K1144" s="232">
        <v>2</v>
      </c>
      <c r="L1144" s="283">
        <v>2</v>
      </c>
      <c r="M1144" s="284">
        <f t="shared" ref="M1144:M1150" si="39">IF( OR( ISBLANK(H1144),ISBLANK(I1144), ISBLANK(J1144), ISBLANK(K1144), ISBLANK(L1144) ), "", 1.5*SQRT( EXP(2.21*(H1144-1)) + EXP(2.21*(I1144-1)) + EXP(2.21*(J1144-1)) + EXP(2.21*(K1144-1)) + EXP(2.21*L1144) )/100*2.45 )</f>
        <v>0.48935255543384243</v>
      </c>
      <c r="N1144" s="235"/>
    </row>
    <row r="1145" spans="1:14" hidden="1" x14ac:dyDescent="0.2">
      <c r="A1145" s="305" t="s">
        <v>392</v>
      </c>
      <c r="B1145" s="285" t="s">
        <v>398</v>
      </c>
      <c r="C1145" s="247" t="s">
        <v>48</v>
      </c>
      <c r="D1145" s="276" t="s">
        <v>135</v>
      </c>
      <c r="E1145" s="311">
        <v>0.48468295593229321</v>
      </c>
      <c r="F1145" s="233" t="s">
        <v>400</v>
      </c>
      <c r="G1145" s="234" t="s">
        <v>16</v>
      </c>
      <c r="H1145" s="232">
        <v>1</v>
      </c>
      <c r="I1145" s="232">
        <v>1</v>
      </c>
      <c r="J1145" s="232">
        <v>3</v>
      </c>
      <c r="K1145" s="232">
        <v>2</v>
      </c>
      <c r="L1145" s="283">
        <v>2</v>
      </c>
      <c r="M1145" s="284">
        <f t="shared" si="39"/>
        <v>0.48935255543384243</v>
      </c>
      <c r="N1145" s="235"/>
    </row>
    <row r="1146" spans="1:14" hidden="1" x14ac:dyDescent="0.2">
      <c r="A1146" s="305" t="s">
        <v>392</v>
      </c>
      <c r="B1146" s="285" t="s">
        <v>398</v>
      </c>
      <c r="C1146" s="247" t="s">
        <v>50</v>
      </c>
      <c r="D1146" s="276" t="s">
        <v>135</v>
      </c>
      <c r="E1146" s="311">
        <v>0.83476829316606616</v>
      </c>
      <c r="F1146" s="233" t="s">
        <v>400</v>
      </c>
      <c r="G1146" s="234" t="s">
        <v>16</v>
      </c>
      <c r="H1146" s="232">
        <v>1</v>
      </c>
      <c r="I1146" s="232">
        <v>1</v>
      </c>
      <c r="J1146" s="232">
        <v>3</v>
      </c>
      <c r="K1146" s="232">
        <v>2</v>
      </c>
      <c r="L1146" s="283">
        <v>2</v>
      </c>
      <c r="M1146" s="284">
        <f t="shared" si="39"/>
        <v>0.48935255543384243</v>
      </c>
      <c r="N1146" s="235"/>
    </row>
    <row r="1147" spans="1:14" hidden="1" x14ac:dyDescent="0.2">
      <c r="A1147" s="305" t="s">
        <v>392</v>
      </c>
      <c r="B1147" s="285" t="s">
        <v>398</v>
      </c>
      <c r="C1147" s="247" t="s">
        <v>52</v>
      </c>
      <c r="D1147" s="276" t="s">
        <v>135</v>
      </c>
      <c r="E1147" s="311">
        <v>0.64204755201420649</v>
      </c>
      <c r="F1147" s="233" t="s">
        <v>400</v>
      </c>
      <c r="G1147" s="234" t="s">
        <v>16</v>
      </c>
      <c r="H1147" s="232">
        <v>1</v>
      </c>
      <c r="I1147" s="232">
        <v>1</v>
      </c>
      <c r="J1147" s="232">
        <v>3</v>
      </c>
      <c r="K1147" s="232">
        <v>2</v>
      </c>
      <c r="L1147" s="283">
        <v>2</v>
      </c>
      <c r="M1147" s="284">
        <f t="shared" si="39"/>
        <v>0.48935255543384243</v>
      </c>
      <c r="N1147" s="235"/>
    </row>
    <row r="1148" spans="1:14" hidden="1" x14ac:dyDescent="0.2">
      <c r="A1148" s="305" t="s">
        <v>392</v>
      </c>
      <c r="B1148" s="285" t="s">
        <v>398</v>
      </c>
      <c r="C1148" s="247" t="s">
        <v>54</v>
      </c>
      <c r="D1148" s="276" t="s">
        <v>135</v>
      </c>
      <c r="E1148" s="311">
        <v>0.50705293851378352</v>
      </c>
      <c r="F1148" s="233" t="s">
        <v>400</v>
      </c>
      <c r="G1148" s="234" t="s">
        <v>16</v>
      </c>
      <c r="H1148" s="232">
        <v>1</v>
      </c>
      <c r="I1148" s="232">
        <v>1</v>
      </c>
      <c r="J1148" s="232">
        <v>3</v>
      </c>
      <c r="K1148" s="232">
        <v>2</v>
      </c>
      <c r="L1148" s="283">
        <v>2</v>
      </c>
      <c r="M1148" s="284">
        <f t="shared" si="39"/>
        <v>0.48935255543384243</v>
      </c>
      <c r="N1148" s="235"/>
    </row>
    <row r="1149" spans="1:14" hidden="1" x14ac:dyDescent="0.2">
      <c r="A1149" s="305" t="s">
        <v>392</v>
      </c>
      <c r="B1149" s="285" t="s">
        <v>398</v>
      </c>
      <c r="C1149" s="247" t="s">
        <v>55</v>
      </c>
      <c r="D1149" s="276" t="s">
        <v>135</v>
      </c>
      <c r="E1149" s="311">
        <v>0.63078355987360635</v>
      </c>
      <c r="F1149" s="233" t="s">
        <v>400</v>
      </c>
      <c r="G1149" s="234" t="s">
        <v>16</v>
      </c>
      <c r="H1149" s="232">
        <v>1</v>
      </c>
      <c r="I1149" s="232">
        <v>1</v>
      </c>
      <c r="J1149" s="232">
        <v>3</v>
      </c>
      <c r="K1149" s="232">
        <v>2</v>
      </c>
      <c r="L1149" s="283">
        <v>2</v>
      </c>
      <c r="M1149" s="284">
        <f t="shared" si="39"/>
        <v>0.48935255543384243</v>
      </c>
      <c r="N1149" s="235"/>
    </row>
    <row r="1150" spans="1:14" hidden="1" x14ac:dyDescent="0.2">
      <c r="A1150" s="305" t="s">
        <v>392</v>
      </c>
      <c r="B1150" s="285" t="s">
        <v>398</v>
      </c>
      <c r="C1150" s="247" t="s">
        <v>57</v>
      </c>
      <c r="D1150" s="276" t="s">
        <v>135</v>
      </c>
      <c r="E1150" s="311">
        <v>1.6372797319123659E-2</v>
      </c>
      <c r="F1150" s="233" t="s">
        <v>400</v>
      </c>
      <c r="G1150" s="234" t="s">
        <v>16</v>
      </c>
      <c r="H1150" s="232">
        <v>1</v>
      </c>
      <c r="I1150" s="232">
        <v>1</v>
      </c>
      <c r="J1150" s="232">
        <v>3</v>
      </c>
      <c r="K1150" s="232">
        <v>2</v>
      </c>
      <c r="L1150" s="283">
        <v>2</v>
      </c>
      <c r="M1150" s="284">
        <f t="shared" si="39"/>
        <v>0.48935255543384243</v>
      </c>
      <c r="N1150" s="235"/>
    </row>
    <row r="1151" spans="1:14" hidden="1" x14ac:dyDescent="0.2">
      <c r="A1151" s="305" t="s">
        <v>392</v>
      </c>
      <c r="B1151" s="285" t="s">
        <v>398</v>
      </c>
      <c r="C1151" s="247" t="s">
        <v>59</v>
      </c>
      <c r="D1151" s="276" t="s">
        <v>135</v>
      </c>
      <c r="E1151" s="61">
        <v>0</v>
      </c>
      <c r="F1151" s="233" t="s">
        <v>400</v>
      </c>
      <c r="G1151" s="234" t="s">
        <v>16</v>
      </c>
      <c r="H1151" s="61"/>
      <c r="I1151" s="61"/>
      <c r="J1151" s="61" t="str">
        <f>IF( OR( ISBLANK(#REF!),ISBLANK(F1151), ISBLANK(#REF!), ISBLANK(H1151), ISBLANK(I1151) ), "", 1.5*SQRT(   EXP(2.21*(#REF!-1)) + EXP(2.21*(F1151-1)) + EXP(2.21*(#REF!-1)) + EXP(2.21*(H1151-1)) + EXP(2.21*I1151)   )/100 )</f>
        <v/>
      </c>
      <c r="K1151" s="61"/>
      <c r="L1151" s="62"/>
      <c r="M1151" s="63" t="str">
        <f>IF( OR( ISBLANK(H1151),ISBLANK(I1151), ISBLANK(J1151), ISBLANK(K1151), ISBLANK(L1151) ), "", 1.5*SQRT(   EXP(2.21*(H1151-1)) + EXP(2.21*(I1151-1)) + EXP(2.21*(J1151-1)) + EXP(2.21*(K1151-1)) + EXP(2.21*L1151)   )/100*2.45 )</f>
        <v/>
      </c>
      <c r="N1151" s="235"/>
    </row>
    <row r="1152" spans="1:14" hidden="1" x14ac:dyDescent="0.2">
      <c r="A1152" s="305" t="s">
        <v>392</v>
      </c>
      <c r="B1152" s="285" t="s">
        <v>398</v>
      </c>
      <c r="C1152" s="247" t="s">
        <v>60</v>
      </c>
      <c r="D1152" s="276" t="s">
        <v>135</v>
      </c>
      <c r="E1152" s="311">
        <v>0.3012074935375289</v>
      </c>
      <c r="F1152" s="233" t="s">
        <v>400</v>
      </c>
      <c r="G1152" s="234" t="s">
        <v>16</v>
      </c>
      <c r="H1152" s="232">
        <v>1</v>
      </c>
      <c r="I1152" s="232">
        <v>1</v>
      </c>
      <c r="J1152" s="232">
        <v>3</v>
      </c>
      <c r="K1152" s="232">
        <v>2</v>
      </c>
      <c r="L1152" s="283">
        <v>2</v>
      </c>
      <c r="M1152" s="284">
        <f>IF( OR( ISBLANK(H1152),ISBLANK(I1152), ISBLANK(J1152), ISBLANK(K1152), ISBLANK(L1152) ), "", 1.5*SQRT(   EXP(2.21*(H1152-1)) + EXP(2.21*(I1152-1)) + EXP(2.21*(J1152-1)) + EXP(2.21*(K1152-1)) + EXP(2.21*L1152)   )/100*2.45 )</f>
        <v>0.48935255543384243</v>
      </c>
      <c r="N1152" s="235"/>
    </row>
    <row r="1153" spans="1:14" x14ac:dyDescent="0.2">
      <c r="A1153" s="312" t="s">
        <v>392</v>
      </c>
      <c r="B1153" s="313" t="s">
        <v>399</v>
      </c>
      <c r="C1153" s="238" t="s">
        <v>135</v>
      </c>
      <c r="D1153" s="279" t="s">
        <v>135</v>
      </c>
      <c r="E1153" s="240" t="s">
        <v>188</v>
      </c>
      <c r="F1153" s="241"/>
      <c r="G1153" s="242" t="s">
        <v>16</v>
      </c>
      <c r="H1153" s="240"/>
      <c r="I1153" s="240"/>
      <c r="J1153" s="240"/>
      <c r="K1153" s="240"/>
      <c r="L1153" s="243"/>
      <c r="M1153" s="244" t="str">
        <f>IF( OR( ISBLANK(H1153),ISBLANK(I1153), ISBLANK(J1153), ISBLANK(K1153), ISBLANK(L1153) ), "", 1.5*SQRT( EXP(2.21*(H1153-1)) + EXP(2.21*(I1153-1)) + EXP(2.21*(J1153-1)) + EXP(2.21*(K1153-1)) + EXP(2.21*L1153) )/100*2.45 )</f>
        <v/>
      </c>
      <c r="N1153" s="317"/>
    </row>
    <row r="1154" spans="1:14" x14ac:dyDescent="0.2">
      <c r="A1154" s="318" t="s">
        <v>383</v>
      </c>
      <c r="B1154" s="319" t="s">
        <v>438</v>
      </c>
      <c r="C1154" s="320" t="s">
        <v>135</v>
      </c>
      <c r="D1154" s="321" t="s">
        <v>135</v>
      </c>
      <c r="E1154" s="322">
        <v>0.28000000000000003</v>
      </c>
      <c r="F1154" s="323" t="s">
        <v>439</v>
      </c>
      <c r="G1154" s="324" t="s">
        <v>16</v>
      </c>
      <c r="H1154" s="320">
        <v>2</v>
      </c>
      <c r="I1154" s="321">
        <v>2</v>
      </c>
      <c r="J1154" s="321">
        <v>3</v>
      </c>
      <c r="K1154" s="321">
        <v>1</v>
      </c>
      <c r="L1154" s="325">
        <v>2</v>
      </c>
      <c r="M1154" s="284">
        <f>IF( OR( ISBLANK(H1154),ISBLANK(I1154), ISBLANK(J1154), ISBLANK(K1154), ISBLANK(L1154) ), "", 1.5*SQRT(   EXP(2.21*(H1154-1)) + EXP(2.21*(I1154-1)) + EXP(2.21*(J1154-1)) + EXP(2.21*(K1154-1)) + EXP(2.21*L1154)   )/100*2.45 )</f>
        <v>0.50042652380814845</v>
      </c>
      <c r="N1154" s="326"/>
    </row>
    <row r="1155" spans="1:14" x14ac:dyDescent="0.2">
      <c r="A1155" s="327" t="s">
        <v>383</v>
      </c>
      <c r="B1155" s="285" t="s">
        <v>398</v>
      </c>
      <c r="C1155" s="247" t="s">
        <v>13</v>
      </c>
      <c r="D1155" s="276" t="s">
        <v>135</v>
      </c>
      <c r="E1155" s="61">
        <v>0</v>
      </c>
      <c r="F1155" s="233" t="s">
        <v>400</v>
      </c>
      <c r="G1155" s="234" t="s">
        <v>16</v>
      </c>
      <c r="H1155" s="61"/>
      <c r="I1155" s="61"/>
      <c r="J1155" s="61" t="str">
        <f>IF( OR( ISBLANK(#REF!),ISBLANK(F1155), ISBLANK(#REF!), ISBLANK(H1155), ISBLANK(I1155) ), "", 1.5*SQRT(   EXP(2.21*(#REF!-1)) + EXP(2.21*(F1155-1)) + EXP(2.21*(#REF!-1)) + EXP(2.21*(H1155-1)) + EXP(2.21*I1155)   )/100 )</f>
        <v/>
      </c>
      <c r="K1155" s="61"/>
      <c r="L1155" s="62"/>
      <c r="M1155" s="63" t="str">
        <f>IF( OR( ISBLANK(H1155),ISBLANK(I1155), ISBLANK(J1155), ISBLANK(K1155), ISBLANK(L1155) ), "", 1.5*SQRT(   EXP(2.21*(H1155-1)) + EXP(2.21*(I1155-1)) + EXP(2.21*(J1155-1)) + EXP(2.21*(K1155-1)) + EXP(2.21*L1155)   )/100*2.45 )</f>
        <v/>
      </c>
      <c r="N1155" s="235"/>
    </row>
    <row r="1156" spans="1:14" hidden="1" x14ac:dyDescent="0.2">
      <c r="A1156" s="327" t="s">
        <v>383</v>
      </c>
      <c r="B1156" s="285" t="s">
        <v>398</v>
      </c>
      <c r="C1156" s="247" t="s">
        <v>18</v>
      </c>
      <c r="D1156" s="276" t="s">
        <v>135</v>
      </c>
      <c r="E1156" s="311">
        <v>2.360655737704918E-2</v>
      </c>
      <c r="F1156" s="233" t="s">
        <v>400</v>
      </c>
      <c r="G1156" s="234" t="s">
        <v>16</v>
      </c>
      <c r="H1156" s="232">
        <v>1</v>
      </c>
      <c r="I1156" s="232">
        <v>1</v>
      </c>
      <c r="J1156" s="232">
        <v>3</v>
      </c>
      <c r="K1156" s="232">
        <v>2</v>
      </c>
      <c r="L1156" s="283">
        <v>2</v>
      </c>
      <c r="M1156" s="284">
        <f>IF( OR( ISBLANK(H1156),ISBLANK(I1156), ISBLANK(J1156), ISBLANK(K1156), ISBLANK(L1156) ), "", 1.5*SQRT(   EXP(2.21*(H1156-1)) + EXP(2.21*(I1156-1)) + EXP(2.21*(J1156-1)) + EXP(2.21*(K1156-1)) + EXP(2.21*L1156)   )/100*2.45 )</f>
        <v>0.48935255543384243</v>
      </c>
      <c r="N1156" s="235"/>
    </row>
    <row r="1157" spans="1:14" hidden="1" x14ac:dyDescent="0.2">
      <c r="A1157" s="327" t="s">
        <v>383</v>
      </c>
      <c r="B1157" s="285" t="s">
        <v>398</v>
      </c>
      <c r="C1157" s="247" t="s">
        <v>20</v>
      </c>
      <c r="D1157" s="276" t="s">
        <v>135</v>
      </c>
      <c r="E1157" s="311">
        <v>0.64519480519480521</v>
      </c>
      <c r="F1157" s="233" t="s">
        <v>400</v>
      </c>
      <c r="G1157" s="234" t="s">
        <v>16</v>
      </c>
      <c r="H1157" s="232">
        <v>1</v>
      </c>
      <c r="I1157" s="232">
        <v>1</v>
      </c>
      <c r="J1157" s="232">
        <v>3</v>
      </c>
      <c r="K1157" s="232">
        <v>2</v>
      </c>
      <c r="L1157" s="283">
        <v>2</v>
      </c>
      <c r="M1157" s="284">
        <f t="shared" ref="M1157:M1171" si="40">IF( OR( ISBLANK(H1157),ISBLANK(I1157), ISBLANK(J1157), ISBLANK(K1157), ISBLANK(L1157) ), "", 1.5*SQRT( EXP(2.21*(H1157-1)) + EXP(2.21*(I1157-1)) + EXP(2.21*(J1157-1)) + EXP(2.21*(K1157-1)) + EXP(2.21*L1157) )/100*2.45 )</f>
        <v>0.48935255543384243</v>
      </c>
      <c r="N1157" s="235"/>
    </row>
    <row r="1158" spans="1:14" hidden="1" x14ac:dyDescent="0.2">
      <c r="A1158" s="327" t="s">
        <v>383</v>
      </c>
      <c r="B1158" s="285" t="s">
        <v>398</v>
      </c>
      <c r="C1158" s="247" t="s">
        <v>22</v>
      </c>
      <c r="D1158" s="276" t="s">
        <v>135</v>
      </c>
      <c r="E1158" s="311">
        <v>0.66999999999999993</v>
      </c>
      <c r="F1158" s="233" t="s">
        <v>400</v>
      </c>
      <c r="G1158" s="234" t="s">
        <v>16</v>
      </c>
      <c r="H1158" s="232">
        <v>1</v>
      </c>
      <c r="I1158" s="232">
        <v>1</v>
      </c>
      <c r="J1158" s="232">
        <v>3</v>
      </c>
      <c r="K1158" s="232">
        <v>2</v>
      </c>
      <c r="L1158" s="283">
        <v>2</v>
      </c>
      <c r="M1158" s="284">
        <f t="shared" si="40"/>
        <v>0.48935255543384243</v>
      </c>
      <c r="N1158" s="235"/>
    </row>
    <row r="1159" spans="1:14" hidden="1" x14ac:dyDescent="0.2">
      <c r="A1159" s="327" t="s">
        <v>383</v>
      </c>
      <c r="B1159" s="285" t="s">
        <v>398</v>
      </c>
      <c r="C1159" s="247" t="s">
        <v>23</v>
      </c>
      <c r="D1159" s="276" t="s">
        <v>135</v>
      </c>
      <c r="E1159" s="311">
        <v>0.70027397260273971</v>
      </c>
      <c r="F1159" s="233" t="s">
        <v>400</v>
      </c>
      <c r="G1159" s="234" t="s">
        <v>16</v>
      </c>
      <c r="H1159" s="232">
        <v>1</v>
      </c>
      <c r="I1159" s="232">
        <v>1</v>
      </c>
      <c r="J1159" s="232">
        <v>3</v>
      </c>
      <c r="K1159" s="232">
        <v>2</v>
      </c>
      <c r="L1159" s="283">
        <v>2</v>
      </c>
      <c r="M1159" s="284">
        <f t="shared" si="40"/>
        <v>0.48935255543384243</v>
      </c>
      <c r="N1159" s="235"/>
    </row>
    <row r="1160" spans="1:14" hidden="1" x14ac:dyDescent="0.2">
      <c r="A1160" s="327" t="s">
        <v>383</v>
      </c>
      <c r="B1160" s="285" t="s">
        <v>398</v>
      </c>
      <c r="C1160" s="247" t="s">
        <v>24</v>
      </c>
      <c r="D1160" s="276" t="s">
        <v>135</v>
      </c>
      <c r="E1160" s="311">
        <v>0.46032786885245902</v>
      </c>
      <c r="F1160" s="233" t="s">
        <v>400</v>
      </c>
      <c r="G1160" s="234" t="s">
        <v>16</v>
      </c>
      <c r="H1160" s="232">
        <v>1</v>
      </c>
      <c r="I1160" s="232">
        <v>1</v>
      </c>
      <c r="J1160" s="232">
        <v>3</v>
      </c>
      <c r="K1160" s="232">
        <v>2</v>
      </c>
      <c r="L1160" s="283">
        <v>2</v>
      </c>
      <c r="M1160" s="284">
        <f t="shared" si="40"/>
        <v>0.48935255543384243</v>
      </c>
      <c r="N1160" s="235"/>
    </row>
    <row r="1161" spans="1:14" hidden="1" x14ac:dyDescent="0.2">
      <c r="A1161" s="327" t="s">
        <v>383</v>
      </c>
      <c r="B1161" s="285" t="s">
        <v>398</v>
      </c>
      <c r="C1161" s="247" t="s">
        <v>25</v>
      </c>
      <c r="D1161" s="276" t="s">
        <v>135</v>
      </c>
      <c r="E1161" s="311">
        <v>2.4E-2</v>
      </c>
      <c r="F1161" s="233" t="s">
        <v>400</v>
      </c>
      <c r="G1161" s="234" t="s">
        <v>16</v>
      </c>
      <c r="H1161" s="232">
        <v>1</v>
      </c>
      <c r="I1161" s="232">
        <v>1</v>
      </c>
      <c r="J1161" s="232">
        <v>3</v>
      </c>
      <c r="K1161" s="232">
        <v>2</v>
      </c>
      <c r="L1161" s="283">
        <v>2</v>
      </c>
      <c r="M1161" s="284">
        <f t="shared" si="40"/>
        <v>0.48935255543384243</v>
      </c>
      <c r="N1161" s="235"/>
    </row>
    <row r="1162" spans="1:14" hidden="1" x14ac:dyDescent="0.2">
      <c r="A1162" s="327" t="s">
        <v>383</v>
      </c>
      <c r="B1162" s="285" t="s">
        <v>398</v>
      </c>
      <c r="C1162" s="247" t="s">
        <v>26</v>
      </c>
      <c r="D1162" s="276" t="s">
        <v>135</v>
      </c>
      <c r="E1162" s="311">
        <v>0.2181818181818182</v>
      </c>
      <c r="F1162" s="233" t="s">
        <v>400</v>
      </c>
      <c r="G1162" s="234" t="s">
        <v>16</v>
      </c>
      <c r="H1162" s="232">
        <v>1</v>
      </c>
      <c r="I1162" s="232">
        <v>1</v>
      </c>
      <c r="J1162" s="232">
        <v>3</v>
      </c>
      <c r="K1162" s="232">
        <v>2</v>
      </c>
      <c r="L1162" s="283">
        <v>2</v>
      </c>
      <c r="M1162" s="284">
        <f t="shared" si="40"/>
        <v>0.48935255543384243</v>
      </c>
      <c r="N1162" s="235"/>
    </row>
    <row r="1163" spans="1:14" hidden="1" x14ac:dyDescent="0.2">
      <c r="A1163" s="327" t="s">
        <v>383</v>
      </c>
      <c r="B1163" s="285" t="s">
        <v>398</v>
      </c>
      <c r="C1163" s="247" t="s">
        <v>27</v>
      </c>
      <c r="D1163" s="276" t="s">
        <v>135</v>
      </c>
      <c r="E1163" s="311">
        <v>1.822784810126582E-2</v>
      </c>
      <c r="F1163" s="233" t="s">
        <v>400</v>
      </c>
      <c r="G1163" s="234" t="s">
        <v>16</v>
      </c>
      <c r="H1163" s="232">
        <v>1</v>
      </c>
      <c r="I1163" s="232">
        <v>1</v>
      </c>
      <c r="J1163" s="232">
        <v>3</v>
      </c>
      <c r="K1163" s="232">
        <v>2</v>
      </c>
      <c r="L1163" s="283">
        <v>2</v>
      </c>
      <c r="M1163" s="284">
        <f t="shared" si="40"/>
        <v>0.48935255543384243</v>
      </c>
      <c r="N1163" s="235"/>
    </row>
    <row r="1164" spans="1:14" hidden="1" x14ac:dyDescent="0.2">
      <c r="A1164" s="327" t="s">
        <v>383</v>
      </c>
      <c r="B1164" s="285" t="s">
        <v>398</v>
      </c>
      <c r="C1164" s="247" t="s">
        <v>28</v>
      </c>
      <c r="D1164" s="276" t="s">
        <v>135</v>
      </c>
      <c r="E1164" s="311">
        <v>0.29759999999999998</v>
      </c>
      <c r="F1164" s="233" t="s">
        <v>400</v>
      </c>
      <c r="G1164" s="234" t="s">
        <v>16</v>
      </c>
      <c r="H1164" s="232">
        <v>1</v>
      </c>
      <c r="I1164" s="232">
        <v>1</v>
      </c>
      <c r="J1164" s="232">
        <v>3</v>
      </c>
      <c r="K1164" s="232">
        <v>2</v>
      </c>
      <c r="L1164" s="283">
        <v>2</v>
      </c>
      <c r="M1164" s="284">
        <f t="shared" si="40"/>
        <v>0.48935255543384243</v>
      </c>
      <c r="N1164" s="235"/>
    </row>
    <row r="1165" spans="1:14" hidden="1" x14ac:dyDescent="0.2">
      <c r="A1165" s="327" t="s">
        <v>383</v>
      </c>
      <c r="B1165" s="285" t="s">
        <v>398</v>
      </c>
      <c r="C1165" s="247" t="s">
        <v>30</v>
      </c>
      <c r="D1165" s="276" t="s">
        <v>135</v>
      </c>
      <c r="E1165" s="311">
        <v>1.2413793103448281E-2</v>
      </c>
      <c r="F1165" s="233" t="s">
        <v>400</v>
      </c>
      <c r="G1165" s="234" t="s">
        <v>16</v>
      </c>
      <c r="H1165" s="232">
        <v>1</v>
      </c>
      <c r="I1165" s="232">
        <v>1</v>
      </c>
      <c r="J1165" s="232">
        <v>3</v>
      </c>
      <c r="K1165" s="232">
        <v>2</v>
      </c>
      <c r="L1165" s="283">
        <v>2</v>
      </c>
      <c r="M1165" s="284">
        <f t="shared" si="40"/>
        <v>0.48935255543384243</v>
      </c>
      <c r="N1165" s="235"/>
    </row>
    <row r="1166" spans="1:14" hidden="1" x14ac:dyDescent="0.2">
      <c r="A1166" s="327" t="s">
        <v>383</v>
      </c>
      <c r="B1166" s="285" t="s">
        <v>398</v>
      </c>
      <c r="C1166" s="247" t="s">
        <v>32</v>
      </c>
      <c r="D1166" s="276" t="s">
        <v>135</v>
      </c>
      <c r="E1166" s="311">
        <v>0.70079999999999998</v>
      </c>
      <c r="F1166" s="233" t="s">
        <v>400</v>
      </c>
      <c r="G1166" s="234" t="s">
        <v>16</v>
      </c>
      <c r="H1166" s="232">
        <v>1</v>
      </c>
      <c r="I1166" s="232">
        <v>1</v>
      </c>
      <c r="J1166" s="232">
        <v>3</v>
      </c>
      <c r="K1166" s="232">
        <v>2</v>
      </c>
      <c r="L1166" s="283">
        <v>2</v>
      </c>
      <c r="M1166" s="284">
        <f t="shared" si="40"/>
        <v>0.48935255543384243</v>
      </c>
      <c r="N1166" s="235"/>
    </row>
    <row r="1167" spans="1:14" hidden="1" x14ac:dyDescent="0.2">
      <c r="A1167" s="327" t="s">
        <v>383</v>
      </c>
      <c r="B1167" s="285" t="s">
        <v>398</v>
      </c>
      <c r="C1167" s="247" t="s">
        <v>34</v>
      </c>
      <c r="D1167" s="276" t="s">
        <v>135</v>
      </c>
      <c r="E1167" s="311">
        <v>0.52615384615384619</v>
      </c>
      <c r="F1167" s="233" t="s">
        <v>400</v>
      </c>
      <c r="G1167" s="234" t="s">
        <v>16</v>
      </c>
      <c r="H1167" s="232">
        <v>1</v>
      </c>
      <c r="I1167" s="232">
        <v>1</v>
      </c>
      <c r="J1167" s="232">
        <v>3</v>
      </c>
      <c r="K1167" s="232">
        <v>2</v>
      </c>
      <c r="L1167" s="283">
        <v>2</v>
      </c>
      <c r="M1167" s="284">
        <f t="shared" si="40"/>
        <v>0.48935255543384243</v>
      </c>
      <c r="N1167" s="235"/>
    </row>
    <row r="1168" spans="1:14" hidden="1" x14ac:dyDescent="0.2">
      <c r="A1168" s="327" t="s">
        <v>383</v>
      </c>
      <c r="B1168" s="285" t="s">
        <v>398</v>
      </c>
      <c r="C1168" s="247" t="s">
        <v>36</v>
      </c>
      <c r="D1168" s="276" t="s">
        <v>135</v>
      </c>
      <c r="E1168" s="311">
        <v>9.1267605633802817E-2</v>
      </c>
      <c r="F1168" s="233" t="s">
        <v>400</v>
      </c>
      <c r="G1168" s="234" t="s">
        <v>16</v>
      </c>
      <c r="H1168" s="232">
        <v>1</v>
      </c>
      <c r="I1168" s="232">
        <v>1</v>
      </c>
      <c r="J1168" s="232">
        <v>3</v>
      </c>
      <c r="K1168" s="232">
        <v>2</v>
      </c>
      <c r="L1168" s="283">
        <v>2</v>
      </c>
      <c r="M1168" s="284">
        <f t="shared" si="40"/>
        <v>0.48935255543384243</v>
      </c>
      <c r="N1168" s="235"/>
    </row>
    <row r="1169" spans="1:14" hidden="1" x14ac:dyDescent="0.2">
      <c r="A1169" s="327" t="s">
        <v>383</v>
      </c>
      <c r="B1169" s="285" t="s">
        <v>398</v>
      </c>
      <c r="C1169" s="247" t="s">
        <v>37</v>
      </c>
      <c r="D1169" s="276" t="s">
        <v>135</v>
      </c>
      <c r="E1169" s="311">
        <v>0.34909090909090912</v>
      </c>
      <c r="F1169" s="233" t="s">
        <v>400</v>
      </c>
      <c r="G1169" s="234" t="s">
        <v>16</v>
      </c>
      <c r="H1169" s="232">
        <v>1</v>
      </c>
      <c r="I1169" s="232">
        <v>1</v>
      </c>
      <c r="J1169" s="232">
        <v>3</v>
      </c>
      <c r="K1169" s="232">
        <v>2</v>
      </c>
      <c r="L1169" s="283">
        <v>2</v>
      </c>
      <c r="M1169" s="284">
        <f t="shared" si="40"/>
        <v>0.48935255543384243</v>
      </c>
      <c r="N1169" s="235"/>
    </row>
    <row r="1170" spans="1:14" hidden="1" x14ac:dyDescent="0.2">
      <c r="A1170" s="327" t="s">
        <v>383</v>
      </c>
      <c r="B1170" s="285" t="s">
        <v>398</v>
      </c>
      <c r="C1170" s="247" t="s">
        <v>39</v>
      </c>
      <c r="D1170" s="276" t="s">
        <v>135</v>
      </c>
      <c r="E1170" s="311">
        <v>0.69818181818181813</v>
      </c>
      <c r="F1170" s="233" t="s">
        <v>400</v>
      </c>
      <c r="G1170" s="234" t="s">
        <v>16</v>
      </c>
      <c r="H1170" s="232">
        <v>1</v>
      </c>
      <c r="I1170" s="232">
        <v>1</v>
      </c>
      <c r="J1170" s="232">
        <v>3</v>
      </c>
      <c r="K1170" s="232">
        <v>2</v>
      </c>
      <c r="L1170" s="283">
        <v>2</v>
      </c>
      <c r="M1170" s="284">
        <f t="shared" si="40"/>
        <v>0.48935255543384243</v>
      </c>
      <c r="N1170" s="235"/>
    </row>
    <row r="1171" spans="1:14" hidden="1" x14ac:dyDescent="0.2">
      <c r="A1171" s="327" t="s">
        <v>383</v>
      </c>
      <c r="B1171" s="285" t="s">
        <v>398</v>
      </c>
      <c r="C1171" s="247" t="s">
        <v>40</v>
      </c>
      <c r="D1171" s="276" t="s">
        <v>135</v>
      </c>
      <c r="E1171" s="311">
        <v>0.44383561643835617</v>
      </c>
      <c r="F1171" s="233" t="s">
        <v>400</v>
      </c>
      <c r="G1171" s="234" t="s">
        <v>16</v>
      </c>
      <c r="H1171" s="232">
        <v>1</v>
      </c>
      <c r="I1171" s="232">
        <v>1</v>
      </c>
      <c r="J1171" s="232">
        <v>3</v>
      </c>
      <c r="K1171" s="232">
        <v>2</v>
      </c>
      <c r="L1171" s="283">
        <v>2</v>
      </c>
      <c r="M1171" s="284">
        <f t="shared" si="40"/>
        <v>0.48935255543384243</v>
      </c>
      <c r="N1171" s="235"/>
    </row>
    <row r="1172" spans="1:14" hidden="1" x14ac:dyDescent="0.2">
      <c r="A1172" s="327" t="s">
        <v>383</v>
      </c>
      <c r="B1172" s="285" t="s">
        <v>398</v>
      </c>
      <c r="C1172" s="247" t="s">
        <v>41</v>
      </c>
      <c r="D1172" s="276" t="s">
        <v>135</v>
      </c>
      <c r="E1172" s="61">
        <v>0</v>
      </c>
      <c r="F1172" s="233" t="s">
        <v>400</v>
      </c>
      <c r="G1172" s="234" t="s">
        <v>16</v>
      </c>
      <c r="H1172" s="61"/>
      <c r="I1172" s="61"/>
      <c r="J1172" s="61" t="str">
        <f>IF( OR( ISBLANK(#REF!),ISBLANK(F1172), ISBLANK(#REF!), ISBLANK(H1172), ISBLANK(I1172) ), "", 1.5*SQRT(   EXP(2.21*(#REF!-1)) + EXP(2.21*(F1172-1)) + EXP(2.21*(#REF!-1)) + EXP(2.21*(H1172-1)) + EXP(2.21*I1172)   )/100 )</f>
        <v/>
      </c>
      <c r="K1172" s="61"/>
      <c r="L1172" s="62"/>
      <c r="M1172" s="63" t="str">
        <f>IF( OR( ISBLANK(H1172),ISBLANK(I1172), ISBLANK(J1172), ISBLANK(K1172), ISBLANK(L1172) ), "", 1.5*SQRT(   EXP(2.21*(H1172-1)) + EXP(2.21*(I1172-1)) + EXP(2.21*(J1172-1)) + EXP(2.21*(K1172-1)) + EXP(2.21*L1172)   )/100*2.45 )</f>
        <v/>
      </c>
      <c r="N1172" s="235"/>
    </row>
    <row r="1173" spans="1:14" hidden="1" x14ac:dyDescent="0.2">
      <c r="A1173" s="327" t="s">
        <v>383</v>
      </c>
      <c r="B1173" s="285" t="s">
        <v>398</v>
      </c>
      <c r="C1173" s="247" t="s">
        <v>42</v>
      </c>
      <c r="D1173" s="276" t="s">
        <v>135</v>
      </c>
      <c r="E1173" s="311">
        <v>0.70129870129870131</v>
      </c>
      <c r="F1173" s="233" t="s">
        <v>400</v>
      </c>
      <c r="G1173" s="234" t="s">
        <v>16</v>
      </c>
      <c r="H1173" s="232">
        <v>1</v>
      </c>
      <c r="I1173" s="232">
        <v>1</v>
      </c>
      <c r="J1173" s="232">
        <v>3</v>
      </c>
      <c r="K1173" s="232">
        <v>2</v>
      </c>
      <c r="L1173" s="283">
        <v>2</v>
      </c>
      <c r="M1173" s="284">
        <f>IF( OR( ISBLANK(H1173),ISBLANK(I1173), ISBLANK(J1173), ISBLANK(K1173), ISBLANK(L1173) ), "", 1.5*SQRT(   EXP(2.21*(H1173-1)) + EXP(2.21*(I1173-1)) + EXP(2.21*(J1173-1)) + EXP(2.21*(K1173-1)) + EXP(2.21*L1173)   )/100*2.45 )</f>
        <v>0.48935255543384243</v>
      </c>
      <c r="N1173" s="235"/>
    </row>
    <row r="1174" spans="1:14" hidden="1" x14ac:dyDescent="0.2">
      <c r="A1174" s="327" t="s">
        <v>383</v>
      </c>
      <c r="B1174" s="285" t="s">
        <v>398</v>
      </c>
      <c r="C1174" s="247" t="s">
        <v>43</v>
      </c>
      <c r="D1174" s="276" t="s">
        <v>135</v>
      </c>
      <c r="E1174" s="61">
        <v>0</v>
      </c>
      <c r="F1174" s="233" t="s">
        <v>400</v>
      </c>
      <c r="G1174" s="234" t="s">
        <v>16</v>
      </c>
      <c r="H1174" s="61"/>
      <c r="I1174" s="61"/>
      <c r="J1174" s="61" t="str">
        <f>IF( OR( ISBLANK(#REF!),ISBLANK(F1174), ISBLANK(#REF!), ISBLANK(H1174), ISBLANK(I1174) ), "", 1.5*SQRT(   EXP(2.21*(#REF!-1)) + EXP(2.21*(F1174-1)) + EXP(2.21*(#REF!-1)) + EXP(2.21*(H1174-1)) + EXP(2.21*I1174)   )/100 )</f>
        <v/>
      </c>
      <c r="K1174" s="61"/>
      <c r="L1174" s="62"/>
      <c r="M1174" s="63" t="str">
        <f>IF( OR( ISBLANK(H1174),ISBLANK(I1174), ISBLANK(J1174), ISBLANK(K1174), ISBLANK(L1174) ), "", 1.5*SQRT(   EXP(2.21*(H1174-1)) + EXP(2.21*(I1174-1)) + EXP(2.21*(J1174-1)) + EXP(2.21*(K1174-1)) + EXP(2.21*L1174)   )/100*2.45 )</f>
        <v/>
      </c>
      <c r="N1174" s="235"/>
    </row>
    <row r="1175" spans="1:14" hidden="1" x14ac:dyDescent="0.2">
      <c r="A1175" s="327" t="s">
        <v>383</v>
      </c>
      <c r="B1175" s="285" t="s">
        <v>398</v>
      </c>
      <c r="C1175" s="247" t="s">
        <v>45</v>
      </c>
      <c r="D1175" s="276" t="s">
        <v>135</v>
      </c>
      <c r="E1175" s="311">
        <v>2.571428571428571E-2</v>
      </c>
      <c r="F1175" s="233" t="s">
        <v>400</v>
      </c>
      <c r="G1175" s="234" t="s">
        <v>16</v>
      </c>
      <c r="H1175" s="232">
        <v>1</v>
      </c>
      <c r="I1175" s="232">
        <v>1</v>
      </c>
      <c r="J1175" s="232">
        <v>3</v>
      </c>
      <c r="K1175" s="232">
        <v>2</v>
      </c>
      <c r="L1175" s="283">
        <v>2</v>
      </c>
      <c r="M1175" s="284">
        <f>IF( OR( ISBLANK(H1175),ISBLANK(I1175), ISBLANK(J1175), ISBLANK(K1175), ISBLANK(L1175) ), "", 1.5*SQRT(   EXP(2.21*(H1175-1)) + EXP(2.21*(I1175-1)) + EXP(2.21*(J1175-1)) + EXP(2.21*(K1175-1)) + EXP(2.21*L1175)   )/100*2.45 )</f>
        <v>0.48935255543384243</v>
      </c>
      <c r="N1175" s="235"/>
    </row>
    <row r="1176" spans="1:14" hidden="1" x14ac:dyDescent="0.2">
      <c r="A1176" s="327" t="s">
        <v>383</v>
      </c>
      <c r="B1176" s="285" t="s">
        <v>398</v>
      </c>
      <c r="C1176" s="247" t="s">
        <v>46</v>
      </c>
      <c r="D1176" s="276" t="s">
        <v>135</v>
      </c>
      <c r="E1176" s="311">
        <v>0.4043835616438356</v>
      </c>
      <c r="F1176" s="233" t="s">
        <v>400</v>
      </c>
      <c r="G1176" s="234" t="s">
        <v>16</v>
      </c>
      <c r="H1176" s="232">
        <v>1</v>
      </c>
      <c r="I1176" s="232">
        <v>1</v>
      </c>
      <c r="J1176" s="232">
        <v>3</v>
      </c>
      <c r="K1176" s="232">
        <v>2</v>
      </c>
      <c r="L1176" s="283">
        <v>2</v>
      </c>
      <c r="M1176" s="284">
        <f t="shared" ref="M1176:M1182" si="41">IF( OR( ISBLANK(H1176),ISBLANK(I1176), ISBLANK(J1176), ISBLANK(K1176), ISBLANK(L1176) ), "", 1.5*SQRT( EXP(2.21*(H1176-1)) + EXP(2.21*(I1176-1)) + EXP(2.21*(J1176-1)) + EXP(2.21*(K1176-1)) + EXP(2.21*L1176) )/100*2.45 )</f>
        <v>0.48935255543384243</v>
      </c>
      <c r="N1176" s="235"/>
    </row>
    <row r="1177" spans="1:14" hidden="1" x14ac:dyDescent="0.2">
      <c r="A1177" s="327" t="s">
        <v>383</v>
      </c>
      <c r="B1177" s="285" t="s">
        <v>398</v>
      </c>
      <c r="C1177" s="247" t="s">
        <v>48</v>
      </c>
      <c r="D1177" s="276" t="s">
        <v>135</v>
      </c>
      <c r="E1177" s="311">
        <v>0.34941176470588242</v>
      </c>
      <c r="F1177" s="233" t="s">
        <v>400</v>
      </c>
      <c r="G1177" s="234" t="s">
        <v>16</v>
      </c>
      <c r="H1177" s="232">
        <v>1</v>
      </c>
      <c r="I1177" s="232">
        <v>1</v>
      </c>
      <c r="J1177" s="232">
        <v>3</v>
      </c>
      <c r="K1177" s="232">
        <v>2</v>
      </c>
      <c r="L1177" s="283">
        <v>2</v>
      </c>
      <c r="M1177" s="284">
        <f t="shared" si="41"/>
        <v>0.48935255543384243</v>
      </c>
      <c r="N1177" s="235"/>
    </row>
    <row r="1178" spans="1:14" hidden="1" x14ac:dyDescent="0.2">
      <c r="A1178" s="327" t="s">
        <v>383</v>
      </c>
      <c r="B1178" s="285" t="s">
        <v>398</v>
      </c>
      <c r="C1178" s="247" t="s">
        <v>50</v>
      </c>
      <c r="D1178" s="276" t="s">
        <v>135</v>
      </c>
      <c r="E1178" s="311">
        <v>0.60179104477611944</v>
      </c>
      <c r="F1178" s="233" t="s">
        <v>400</v>
      </c>
      <c r="G1178" s="234" t="s">
        <v>16</v>
      </c>
      <c r="H1178" s="232">
        <v>1</v>
      </c>
      <c r="I1178" s="232">
        <v>1</v>
      </c>
      <c r="J1178" s="232">
        <v>3</v>
      </c>
      <c r="K1178" s="232">
        <v>2</v>
      </c>
      <c r="L1178" s="283">
        <v>2</v>
      </c>
      <c r="M1178" s="284">
        <f t="shared" si="41"/>
        <v>0.48935255543384243</v>
      </c>
      <c r="N1178" s="235"/>
    </row>
    <row r="1179" spans="1:14" hidden="1" x14ac:dyDescent="0.2">
      <c r="A1179" s="327" t="s">
        <v>383</v>
      </c>
      <c r="B1179" s="285" t="s">
        <v>398</v>
      </c>
      <c r="C1179" s="247" t="s">
        <v>52</v>
      </c>
      <c r="D1179" s="276" t="s">
        <v>135</v>
      </c>
      <c r="E1179" s="311">
        <v>0.46285714285714291</v>
      </c>
      <c r="F1179" s="233" t="s">
        <v>400</v>
      </c>
      <c r="G1179" s="234" t="s">
        <v>16</v>
      </c>
      <c r="H1179" s="232">
        <v>1</v>
      </c>
      <c r="I1179" s="232">
        <v>1</v>
      </c>
      <c r="J1179" s="232">
        <v>3</v>
      </c>
      <c r="K1179" s="232">
        <v>2</v>
      </c>
      <c r="L1179" s="283">
        <v>2</v>
      </c>
      <c r="M1179" s="284">
        <f t="shared" si="41"/>
        <v>0.48935255543384243</v>
      </c>
      <c r="N1179" s="235"/>
    </row>
    <row r="1180" spans="1:14" hidden="1" x14ac:dyDescent="0.2">
      <c r="A1180" s="327" t="s">
        <v>383</v>
      </c>
      <c r="B1180" s="285" t="s">
        <v>398</v>
      </c>
      <c r="C1180" s="247" t="s">
        <v>54</v>
      </c>
      <c r="D1180" s="276" t="s">
        <v>135</v>
      </c>
      <c r="E1180" s="311">
        <v>0.36553846153846148</v>
      </c>
      <c r="F1180" s="233" t="s">
        <v>400</v>
      </c>
      <c r="G1180" s="234" t="s">
        <v>16</v>
      </c>
      <c r="H1180" s="232">
        <v>1</v>
      </c>
      <c r="I1180" s="232">
        <v>1</v>
      </c>
      <c r="J1180" s="232">
        <v>3</v>
      </c>
      <c r="K1180" s="232">
        <v>2</v>
      </c>
      <c r="L1180" s="283">
        <v>2</v>
      </c>
      <c r="M1180" s="284">
        <f t="shared" si="41"/>
        <v>0.48935255543384243</v>
      </c>
      <c r="N1180" s="235"/>
    </row>
    <row r="1181" spans="1:14" hidden="1" x14ac:dyDescent="0.2">
      <c r="A1181" s="327" t="s">
        <v>383</v>
      </c>
      <c r="B1181" s="285" t="s">
        <v>398</v>
      </c>
      <c r="C1181" s="247" t="s">
        <v>55</v>
      </c>
      <c r="D1181" s="276" t="s">
        <v>135</v>
      </c>
      <c r="E1181" s="311">
        <v>0.45473684210526322</v>
      </c>
      <c r="F1181" s="233" t="s">
        <v>400</v>
      </c>
      <c r="G1181" s="234" t="s">
        <v>16</v>
      </c>
      <c r="H1181" s="232">
        <v>1</v>
      </c>
      <c r="I1181" s="232">
        <v>1</v>
      </c>
      <c r="J1181" s="232">
        <v>3</v>
      </c>
      <c r="K1181" s="232">
        <v>2</v>
      </c>
      <c r="L1181" s="283">
        <v>2</v>
      </c>
      <c r="M1181" s="284">
        <f t="shared" si="41"/>
        <v>0.48935255543384243</v>
      </c>
      <c r="N1181" s="235"/>
    </row>
    <row r="1182" spans="1:14" hidden="1" x14ac:dyDescent="0.2">
      <c r="A1182" s="327" t="s">
        <v>383</v>
      </c>
      <c r="B1182" s="285" t="s">
        <v>398</v>
      </c>
      <c r="C1182" s="247" t="s">
        <v>57</v>
      </c>
      <c r="D1182" s="276" t="s">
        <v>135</v>
      </c>
      <c r="E1182" s="311">
        <v>1.180327868852459E-2</v>
      </c>
      <c r="F1182" s="233" t="s">
        <v>400</v>
      </c>
      <c r="G1182" s="234" t="s">
        <v>16</v>
      </c>
      <c r="H1182" s="232">
        <v>1</v>
      </c>
      <c r="I1182" s="232">
        <v>1</v>
      </c>
      <c r="J1182" s="232">
        <v>3</v>
      </c>
      <c r="K1182" s="232">
        <v>2</v>
      </c>
      <c r="L1182" s="283">
        <v>2</v>
      </c>
      <c r="M1182" s="284">
        <f t="shared" si="41"/>
        <v>0.48935255543384243</v>
      </c>
      <c r="N1182" s="235"/>
    </row>
    <row r="1183" spans="1:14" hidden="1" x14ac:dyDescent="0.2">
      <c r="A1183" s="327" t="s">
        <v>383</v>
      </c>
      <c r="B1183" s="285" t="s">
        <v>398</v>
      </c>
      <c r="C1183" s="247" t="s">
        <v>59</v>
      </c>
      <c r="D1183" s="276" t="s">
        <v>135</v>
      </c>
      <c r="E1183" s="61">
        <v>0</v>
      </c>
      <c r="F1183" s="233" t="s">
        <v>400</v>
      </c>
      <c r="G1183" s="234" t="s">
        <v>16</v>
      </c>
      <c r="H1183" s="61"/>
      <c r="I1183" s="61"/>
      <c r="J1183" s="61" t="str">
        <f>IF( OR( ISBLANK(#REF!),ISBLANK(F1183), ISBLANK(#REF!), ISBLANK(H1183), ISBLANK(I1183) ), "", 1.5*SQRT(   EXP(2.21*(#REF!-1)) + EXP(2.21*(F1183-1)) + EXP(2.21*(#REF!-1)) + EXP(2.21*(H1183-1)) + EXP(2.21*I1183)   )/100 )</f>
        <v/>
      </c>
      <c r="K1183" s="61"/>
      <c r="L1183" s="62"/>
      <c r="M1183" s="63" t="str">
        <f>IF( OR( ISBLANK(H1183),ISBLANK(I1183), ISBLANK(J1183), ISBLANK(K1183), ISBLANK(L1183) ), "", 1.5*SQRT(   EXP(2.21*(H1183-1)) + EXP(2.21*(I1183-1)) + EXP(2.21*(J1183-1)) + EXP(2.21*(K1183-1)) + EXP(2.21*L1183)   )/100*2.45 )</f>
        <v/>
      </c>
      <c r="N1183" s="235"/>
    </row>
    <row r="1184" spans="1:14" hidden="1" x14ac:dyDescent="0.2">
      <c r="A1184" s="327" t="s">
        <v>383</v>
      </c>
      <c r="B1184" s="285" t="s">
        <v>398</v>
      </c>
      <c r="C1184" s="247" t="s">
        <v>60</v>
      </c>
      <c r="D1184" s="276" t="s">
        <v>135</v>
      </c>
      <c r="E1184" s="311">
        <v>0.21714285714285711</v>
      </c>
      <c r="F1184" s="233" t="s">
        <v>400</v>
      </c>
      <c r="G1184" s="234" t="s">
        <v>16</v>
      </c>
      <c r="H1184" s="232">
        <v>1</v>
      </c>
      <c r="I1184" s="232">
        <v>1</v>
      </c>
      <c r="J1184" s="232">
        <v>3</v>
      </c>
      <c r="K1184" s="232">
        <v>2</v>
      </c>
      <c r="L1184" s="283">
        <v>2</v>
      </c>
      <c r="M1184" s="284">
        <f>IF( OR( ISBLANK(H1184),ISBLANK(I1184), ISBLANK(J1184), ISBLANK(K1184), ISBLANK(L1184) ), "", 1.5*SQRT(   EXP(2.21*(H1184-1)) + EXP(2.21*(I1184-1)) + EXP(2.21*(J1184-1)) + EXP(2.21*(K1184-1)) + EXP(2.21*L1184)   )/100*2.45 )</f>
        <v>0.48935255543384243</v>
      </c>
      <c r="N1184" s="235"/>
    </row>
    <row r="1185" spans="1:14" x14ac:dyDescent="0.2">
      <c r="A1185" s="327" t="s">
        <v>383</v>
      </c>
      <c r="B1185" s="328" t="s">
        <v>399</v>
      </c>
      <c r="C1185" s="329" t="s">
        <v>135</v>
      </c>
      <c r="D1185" s="330" t="s">
        <v>135</v>
      </c>
      <c r="E1185" s="240" t="s">
        <v>188</v>
      </c>
      <c r="F1185" s="241"/>
      <c r="G1185" s="242" t="s">
        <v>16</v>
      </c>
      <c r="H1185" s="240"/>
      <c r="I1185" s="240"/>
      <c r="J1185" s="240" t="str">
        <f>IF( OR( ISBLANK(#REF!),ISBLANK(F1185), ISBLANK(#REF!), ISBLANK(H1185), ISBLANK(I1185) ), "", 1.5*SQRT(   EXP(2.21*(#REF!-1)) + EXP(2.21*(F1185-1)) + EXP(2.21*(#REF!-1)) + EXP(2.21*(H1185-1)) + EXP(2.21*I1185)   )/100 )</f>
        <v/>
      </c>
      <c r="K1185" s="240"/>
      <c r="L1185" s="243"/>
      <c r="M1185" s="244" t="str">
        <f>IF( OR( ISBLANK(H1185),ISBLANK(I1185), ISBLANK(J1185), ISBLANK(K1185), ISBLANK(L1185) ), "", 1.5*SQRT(   EXP(2.21*(H1185-1)) + EXP(2.21*(I1185-1)) + EXP(2.21*(J1185-1)) + EXP(2.21*(K1185-1)) + EXP(2.21*L1185)   )/100*2.45 )</f>
        <v/>
      </c>
      <c r="N1185" s="331"/>
    </row>
    <row r="1186" spans="1:14" x14ac:dyDescent="0.2">
      <c r="A1186" s="309" t="s">
        <v>393</v>
      </c>
      <c r="B1186" s="332" t="s">
        <v>440</v>
      </c>
      <c r="C1186" s="222" t="s">
        <v>135</v>
      </c>
      <c r="D1186" s="232" t="s">
        <v>135</v>
      </c>
      <c r="E1186" s="311">
        <v>0.5</v>
      </c>
      <c r="F1186" s="333" t="s">
        <v>439</v>
      </c>
      <c r="G1186" s="234" t="s">
        <v>16</v>
      </c>
      <c r="H1186" s="232">
        <v>2</v>
      </c>
      <c r="I1186" s="232">
        <v>3</v>
      </c>
      <c r="J1186" s="232">
        <v>3</v>
      </c>
      <c r="K1186" s="232">
        <v>1</v>
      </c>
      <c r="L1186" s="283">
        <v>2</v>
      </c>
      <c r="M1186" s="284">
        <f>IF( OR( ISBLANK(H1186),ISBLANK(I1186), ISBLANK(J1186), ISBLANK(K1186), ISBLANK(L1186) ), "", 1.5*SQRT( EXP(2.21*(H1186-1)) + EXP(2.21*(I1186-1)) + EXP(2.21*(J1186-1)) + EXP(2.21*(K1186-1)) + EXP(2.21*L1186) )/100*2.45 )</f>
        <v>0.59189702474662764</v>
      </c>
      <c r="N1186" s="229"/>
    </row>
    <row r="1187" spans="1:14" x14ac:dyDescent="0.2">
      <c r="A1187" s="305" t="s">
        <v>393</v>
      </c>
      <c r="B1187" s="285" t="s">
        <v>398</v>
      </c>
      <c r="C1187" s="247" t="s">
        <v>13</v>
      </c>
      <c r="D1187" s="276" t="s">
        <v>135</v>
      </c>
      <c r="E1187" s="61">
        <v>0</v>
      </c>
      <c r="F1187" s="233" t="s">
        <v>400</v>
      </c>
      <c r="G1187" s="234" t="s">
        <v>16</v>
      </c>
      <c r="H1187" s="61"/>
      <c r="I1187" s="61"/>
      <c r="J1187" s="61" t="str">
        <f>IF( OR( ISBLANK(#REF!),ISBLANK(F1187), ISBLANK(#REF!), ISBLANK(H1187), ISBLANK(I1187) ), "", 1.5*SQRT(   EXP(2.21*(#REF!-1)) + EXP(2.21*(F1187-1)) + EXP(2.21*(#REF!-1)) + EXP(2.21*(H1187-1)) + EXP(2.21*I1187)   )/100 )</f>
        <v/>
      </c>
      <c r="K1187" s="61"/>
      <c r="L1187" s="62"/>
      <c r="M1187" s="63" t="str">
        <f>IF( OR( ISBLANK(H1187),ISBLANK(I1187), ISBLANK(J1187), ISBLANK(K1187), ISBLANK(L1187) ), "", 1.5*SQRT( EXP(2.21*(H1187-1)) + EXP(2.21*(I1187-1)) + EXP(2.21*(J1187-1)) + EXP(2.21*(K1187-1)) + EXP(2.21*L1187) )/100*2.45 )</f>
        <v/>
      </c>
      <c r="N1187" s="235"/>
    </row>
    <row r="1188" spans="1:14" hidden="1" x14ac:dyDescent="0.2">
      <c r="A1188" s="305" t="s">
        <v>393</v>
      </c>
      <c r="B1188" s="285" t="s">
        <v>398</v>
      </c>
      <c r="C1188" s="247" t="s">
        <v>18</v>
      </c>
      <c r="D1188" s="276" t="s">
        <v>135</v>
      </c>
      <c r="E1188" s="311">
        <v>1.6393442622950821E-2</v>
      </c>
      <c r="F1188" s="233" t="s">
        <v>400</v>
      </c>
      <c r="G1188" s="234" t="s">
        <v>16</v>
      </c>
      <c r="H1188" s="232">
        <v>1</v>
      </c>
      <c r="I1188" s="232">
        <v>1</v>
      </c>
      <c r="J1188" s="232">
        <v>3</v>
      </c>
      <c r="K1188" s="232">
        <v>2</v>
      </c>
      <c r="L1188" s="283">
        <v>2</v>
      </c>
      <c r="M1188" s="284">
        <f>IF( OR( ISBLANK(H1188),ISBLANK(I1188), ISBLANK(J1188), ISBLANK(K1188), ISBLANK(L1188) ), "", 1.5*SQRT(   EXP(2.21*(H1188-1)) + EXP(2.21*(I1188-1)) + EXP(2.21*(J1188-1)) + EXP(2.21*(K1188-1)) + EXP(2.21*L1188)   )/100*2.45 )</f>
        <v>0.48935255543384243</v>
      </c>
      <c r="N1188" s="235"/>
    </row>
    <row r="1189" spans="1:14" hidden="1" x14ac:dyDescent="0.2">
      <c r="A1189" s="305" t="s">
        <v>393</v>
      </c>
      <c r="B1189" s="285" t="s">
        <v>398</v>
      </c>
      <c r="C1189" s="247" t="s">
        <v>20</v>
      </c>
      <c r="D1189" s="276" t="s">
        <v>135</v>
      </c>
      <c r="E1189" s="311">
        <v>0.44805194805194809</v>
      </c>
      <c r="F1189" s="233" t="s">
        <v>400</v>
      </c>
      <c r="G1189" s="234" t="s">
        <v>16</v>
      </c>
      <c r="H1189" s="232">
        <v>1</v>
      </c>
      <c r="I1189" s="232">
        <v>1</v>
      </c>
      <c r="J1189" s="232">
        <v>3</v>
      </c>
      <c r="K1189" s="232">
        <v>2</v>
      </c>
      <c r="L1189" s="283">
        <v>2</v>
      </c>
      <c r="M1189" s="284">
        <f t="shared" ref="M1189:M1203" si="42">IF( OR( ISBLANK(H1189),ISBLANK(I1189), ISBLANK(J1189), ISBLANK(K1189), ISBLANK(L1189) ), "", 1.5*SQRT( EXP(2.21*(H1189-1)) + EXP(2.21*(I1189-1)) + EXP(2.21*(J1189-1)) + EXP(2.21*(K1189-1)) + EXP(2.21*L1189) )/100*2.45 )</f>
        <v>0.48935255543384243</v>
      </c>
      <c r="N1189" s="235"/>
    </row>
    <row r="1190" spans="1:14" hidden="1" x14ac:dyDescent="0.2">
      <c r="A1190" s="305" t="s">
        <v>393</v>
      </c>
      <c r="B1190" s="285" t="s">
        <v>398</v>
      </c>
      <c r="C1190" s="247" t="s">
        <v>22</v>
      </c>
      <c r="D1190" s="276" t="s">
        <v>135</v>
      </c>
      <c r="E1190" s="311">
        <v>0.46527777777777768</v>
      </c>
      <c r="F1190" s="233" t="s">
        <v>400</v>
      </c>
      <c r="G1190" s="234" t="s">
        <v>16</v>
      </c>
      <c r="H1190" s="232">
        <v>1</v>
      </c>
      <c r="I1190" s="232">
        <v>1</v>
      </c>
      <c r="J1190" s="232">
        <v>3</v>
      </c>
      <c r="K1190" s="232">
        <v>2</v>
      </c>
      <c r="L1190" s="283">
        <v>2</v>
      </c>
      <c r="M1190" s="284">
        <f t="shared" si="42"/>
        <v>0.48935255543384243</v>
      </c>
      <c r="N1190" s="235"/>
    </row>
    <row r="1191" spans="1:14" hidden="1" x14ac:dyDescent="0.2">
      <c r="A1191" s="305" t="s">
        <v>393</v>
      </c>
      <c r="B1191" s="285" t="s">
        <v>398</v>
      </c>
      <c r="C1191" s="247" t="s">
        <v>23</v>
      </c>
      <c r="D1191" s="276" t="s">
        <v>135</v>
      </c>
      <c r="E1191" s="311">
        <v>0.4863013698630137</v>
      </c>
      <c r="F1191" s="233" t="s">
        <v>400</v>
      </c>
      <c r="G1191" s="234" t="s">
        <v>16</v>
      </c>
      <c r="H1191" s="232">
        <v>1</v>
      </c>
      <c r="I1191" s="232">
        <v>1</v>
      </c>
      <c r="J1191" s="232">
        <v>3</v>
      </c>
      <c r="K1191" s="232">
        <v>2</v>
      </c>
      <c r="L1191" s="283">
        <v>2</v>
      </c>
      <c r="M1191" s="284">
        <f t="shared" si="42"/>
        <v>0.48935255543384243</v>
      </c>
      <c r="N1191" s="235"/>
    </row>
    <row r="1192" spans="1:14" hidden="1" x14ac:dyDescent="0.2">
      <c r="A1192" s="305" t="s">
        <v>393</v>
      </c>
      <c r="B1192" s="285" t="s">
        <v>398</v>
      </c>
      <c r="C1192" s="247" t="s">
        <v>24</v>
      </c>
      <c r="D1192" s="276" t="s">
        <v>135</v>
      </c>
      <c r="E1192" s="311">
        <v>0.31967213114754101</v>
      </c>
      <c r="F1192" s="233" t="s">
        <v>400</v>
      </c>
      <c r="G1192" s="234" t="s">
        <v>16</v>
      </c>
      <c r="H1192" s="232">
        <v>1</v>
      </c>
      <c r="I1192" s="232">
        <v>1</v>
      </c>
      <c r="J1192" s="232">
        <v>3</v>
      </c>
      <c r="K1192" s="232">
        <v>2</v>
      </c>
      <c r="L1192" s="283">
        <v>2</v>
      </c>
      <c r="M1192" s="284">
        <f t="shared" si="42"/>
        <v>0.48935255543384243</v>
      </c>
      <c r="N1192" s="235"/>
    </row>
    <row r="1193" spans="1:14" hidden="1" x14ac:dyDescent="0.2">
      <c r="A1193" s="305" t="s">
        <v>393</v>
      </c>
      <c r="B1193" s="285" t="s">
        <v>398</v>
      </c>
      <c r="C1193" s="247" t="s">
        <v>25</v>
      </c>
      <c r="D1193" s="276" t="s">
        <v>135</v>
      </c>
      <c r="E1193" s="311">
        <v>1.666666666666667E-2</v>
      </c>
      <c r="F1193" s="233" t="s">
        <v>400</v>
      </c>
      <c r="G1193" s="234" t="s">
        <v>16</v>
      </c>
      <c r="H1193" s="232">
        <v>1</v>
      </c>
      <c r="I1193" s="232">
        <v>1</v>
      </c>
      <c r="J1193" s="232">
        <v>3</v>
      </c>
      <c r="K1193" s="232">
        <v>2</v>
      </c>
      <c r="L1193" s="283">
        <v>2</v>
      </c>
      <c r="M1193" s="284">
        <f t="shared" si="42"/>
        <v>0.48935255543384243</v>
      </c>
      <c r="N1193" s="235"/>
    </row>
    <row r="1194" spans="1:14" hidden="1" x14ac:dyDescent="0.2">
      <c r="A1194" s="305" t="s">
        <v>393</v>
      </c>
      <c r="B1194" s="285" t="s">
        <v>398</v>
      </c>
      <c r="C1194" s="247" t="s">
        <v>26</v>
      </c>
      <c r="D1194" s="276" t="s">
        <v>135</v>
      </c>
      <c r="E1194" s="311">
        <v>0.15151515151515149</v>
      </c>
      <c r="F1194" s="233" t="s">
        <v>400</v>
      </c>
      <c r="G1194" s="234" t="s">
        <v>16</v>
      </c>
      <c r="H1194" s="232">
        <v>1</v>
      </c>
      <c r="I1194" s="232">
        <v>1</v>
      </c>
      <c r="J1194" s="232">
        <v>3</v>
      </c>
      <c r="K1194" s="232">
        <v>2</v>
      </c>
      <c r="L1194" s="283">
        <v>2</v>
      </c>
      <c r="M1194" s="284">
        <f t="shared" si="42"/>
        <v>0.48935255543384243</v>
      </c>
      <c r="N1194" s="235"/>
    </row>
    <row r="1195" spans="1:14" hidden="1" x14ac:dyDescent="0.2">
      <c r="A1195" s="305" t="s">
        <v>393</v>
      </c>
      <c r="B1195" s="285" t="s">
        <v>398</v>
      </c>
      <c r="C1195" s="247" t="s">
        <v>27</v>
      </c>
      <c r="D1195" s="276" t="s">
        <v>135</v>
      </c>
      <c r="E1195" s="311">
        <v>1.2658227848101271E-2</v>
      </c>
      <c r="F1195" s="233" t="s">
        <v>400</v>
      </c>
      <c r="G1195" s="234" t="s">
        <v>16</v>
      </c>
      <c r="H1195" s="232">
        <v>1</v>
      </c>
      <c r="I1195" s="232">
        <v>1</v>
      </c>
      <c r="J1195" s="232">
        <v>3</v>
      </c>
      <c r="K1195" s="232">
        <v>2</v>
      </c>
      <c r="L1195" s="283">
        <v>2</v>
      </c>
      <c r="M1195" s="284">
        <f t="shared" si="42"/>
        <v>0.48935255543384243</v>
      </c>
      <c r="N1195" s="235"/>
    </row>
    <row r="1196" spans="1:14" hidden="1" x14ac:dyDescent="0.2">
      <c r="A1196" s="305" t="s">
        <v>393</v>
      </c>
      <c r="B1196" s="285" t="s">
        <v>398</v>
      </c>
      <c r="C1196" s="247" t="s">
        <v>28</v>
      </c>
      <c r="D1196" s="276" t="s">
        <v>135</v>
      </c>
      <c r="E1196" s="311">
        <v>0.20666666666666669</v>
      </c>
      <c r="F1196" s="233" t="s">
        <v>400</v>
      </c>
      <c r="G1196" s="234" t="s">
        <v>16</v>
      </c>
      <c r="H1196" s="232">
        <v>1</v>
      </c>
      <c r="I1196" s="232">
        <v>1</v>
      </c>
      <c r="J1196" s="232">
        <v>3</v>
      </c>
      <c r="K1196" s="232">
        <v>2</v>
      </c>
      <c r="L1196" s="283">
        <v>2</v>
      </c>
      <c r="M1196" s="284">
        <f t="shared" si="42"/>
        <v>0.48935255543384243</v>
      </c>
      <c r="N1196" s="235"/>
    </row>
    <row r="1197" spans="1:14" hidden="1" x14ac:dyDescent="0.2">
      <c r="A1197" s="305" t="s">
        <v>393</v>
      </c>
      <c r="B1197" s="285" t="s">
        <v>398</v>
      </c>
      <c r="C1197" s="247" t="s">
        <v>30</v>
      </c>
      <c r="D1197" s="276" t="s">
        <v>135</v>
      </c>
      <c r="E1197" s="311">
        <v>8.6206896551724154E-3</v>
      </c>
      <c r="F1197" s="233" t="s">
        <v>400</v>
      </c>
      <c r="G1197" s="234" t="s">
        <v>16</v>
      </c>
      <c r="H1197" s="232">
        <v>1</v>
      </c>
      <c r="I1197" s="232">
        <v>1</v>
      </c>
      <c r="J1197" s="232">
        <v>3</v>
      </c>
      <c r="K1197" s="232">
        <v>2</v>
      </c>
      <c r="L1197" s="283">
        <v>2</v>
      </c>
      <c r="M1197" s="284">
        <f t="shared" si="42"/>
        <v>0.48935255543384243</v>
      </c>
      <c r="N1197" s="235"/>
    </row>
    <row r="1198" spans="1:14" hidden="1" x14ac:dyDescent="0.2">
      <c r="A1198" s="305" t="s">
        <v>393</v>
      </c>
      <c r="B1198" s="285" t="s">
        <v>398</v>
      </c>
      <c r="C1198" s="247" t="s">
        <v>32</v>
      </c>
      <c r="D1198" s="276" t="s">
        <v>135</v>
      </c>
      <c r="E1198" s="311">
        <v>0.48666666666666658</v>
      </c>
      <c r="F1198" s="233" t="s">
        <v>400</v>
      </c>
      <c r="G1198" s="234" t="s">
        <v>16</v>
      </c>
      <c r="H1198" s="232">
        <v>1</v>
      </c>
      <c r="I1198" s="232">
        <v>1</v>
      </c>
      <c r="J1198" s="232">
        <v>3</v>
      </c>
      <c r="K1198" s="232">
        <v>2</v>
      </c>
      <c r="L1198" s="283">
        <v>2</v>
      </c>
      <c r="M1198" s="284">
        <f t="shared" si="42"/>
        <v>0.48935255543384243</v>
      </c>
      <c r="N1198" s="235"/>
    </row>
    <row r="1199" spans="1:14" hidden="1" x14ac:dyDescent="0.2">
      <c r="A1199" s="305" t="s">
        <v>393</v>
      </c>
      <c r="B1199" s="285" t="s">
        <v>398</v>
      </c>
      <c r="C1199" s="247" t="s">
        <v>34</v>
      </c>
      <c r="D1199" s="276" t="s">
        <v>135</v>
      </c>
      <c r="E1199" s="311">
        <v>0.36538461538461542</v>
      </c>
      <c r="F1199" s="233" t="s">
        <v>400</v>
      </c>
      <c r="G1199" s="234" t="s">
        <v>16</v>
      </c>
      <c r="H1199" s="232">
        <v>1</v>
      </c>
      <c r="I1199" s="232">
        <v>1</v>
      </c>
      <c r="J1199" s="232">
        <v>3</v>
      </c>
      <c r="K1199" s="232">
        <v>2</v>
      </c>
      <c r="L1199" s="283">
        <v>2</v>
      </c>
      <c r="M1199" s="284">
        <f t="shared" si="42"/>
        <v>0.48935255543384243</v>
      </c>
      <c r="N1199" s="235"/>
    </row>
    <row r="1200" spans="1:14" hidden="1" x14ac:dyDescent="0.2">
      <c r="A1200" s="305" t="s">
        <v>393</v>
      </c>
      <c r="B1200" s="285" t="s">
        <v>398</v>
      </c>
      <c r="C1200" s="247" t="s">
        <v>36</v>
      </c>
      <c r="D1200" s="276" t="s">
        <v>135</v>
      </c>
      <c r="E1200" s="311">
        <v>6.3380281690140844E-2</v>
      </c>
      <c r="F1200" s="233" t="s">
        <v>400</v>
      </c>
      <c r="G1200" s="234" t="s">
        <v>16</v>
      </c>
      <c r="H1200" s="232">
        <v>1</v>
      </c>
      <c r="I1200" s="232">
        <v>1</v>
      </c>
      <c r="J1200" s="232">
        <v>3</v>
      </c>
      <c r="K1200" s="232">
        <v>2</v>
      </c>
      <c r="L1200" s="283">
        <v>2</v>
      </c>
      <c r="M1200" s="284">
        <f t="shared" si="42"/>
        <v>0.48935255543384243</v>
      </c>
      <c r="N1200" s="235"/>
    </row>
    <row r="1201" spans="1:14" hidden="1" x14ac:dyDescent="0.2">
      <c r="A1201" s="305" t="s">
        <v>393</v>
      </c>
      <c r="B1201" s="285" t="s">
        <v>398</v>
      </c>
      <c r="C1201" s="247" t="s">
        <v>37</v>
      </c>
      <c r="D1201" s="276" t="s">
        <v>135</v>
      </c>
      <c r="E1201" s="311">
        <v>0.2424242424242424</v>
      </c>
      <c r="F1201" s="233" t="s">
        <v>400</v>
      </c>
      <c r="G1201" s="234" t="s">
        <v>16</v>
      </c>
      <c r="H1201" s="232">
        <v>1</v>
      </c>
      <c r="I1201" s="232">
        <v>1</v>
      </c>
      <c r="J1201" s="232">
        <v>3</v>
      </c>
      <c r="K1201" s="232">
        <v>2</v>
      </c>
      <c r="L1201" s="283">
        <v>2</v>
      </c>
      <c r="M1201" s="284">
        <f t="shared" si="42"/>
        <v>0.48935255543384243</v>
      </c>
      <c r="N1201" s="235"/>
    </row>
    <row r="1202" spans="1:14" hidden="1" x14ac:dyDescent="0.2">
      <c r="A1202" s="305" t="s">
        <v>393</v>
      </c>
      <c r="B1202" s="285" t="s">
        <v>398</v>
      </c>
      <c r="C1202" s="247" t="s">
        <v>39</v>
      </c>
      <c r="D1202" s="276" t="s">
        <v>135</v>
      </c>
      <c r="E1202" s="311">
        <v>0.48484848484848492</v>
      </c>
      <c r="F1202" s="233" t="s">
        <v>400</v>
      </c>
      <c r="G1202" s="234" t="s">
        <v>16</v>
      </c>
      <c r="H1202" s="232">
        <v>1</v>
      </c>
      <c r="I1202" s="232">
        <v>1</v>
      </c>
      <c r="J1202" s="232">
        <v>3</v>
      </c>
      <c r="K1202" s="232">
        <v>2</v>
      </c>
      <c r="L1202" s="283">
        <v>2</v>
      </c>
      <c r="M1202" s="284">
        <f t="shared" si="42"/>
        <v>0.48935255543384243</v>
      </c>
      <c r="N1202" s="235"/>
    </row>
    <row r="1203" spans="1:14" hidden="1" x14ac:dyDescent="0.2">
      <c r="A1203" s="305" t="s">
        <v>393</v>
      </c>
      <c r="B1203" s="285" t="s">
        <v>398</v>
      </c>
      <c r="C1203" s="247" t="s">
        <v>40</v>
      </c>
      <c r="D1203" s="276" t="s">
        <v>135</v>
      </c>
      <c r="E1203" s="311">
        <v>0.30821917808219179</v>
      </c>
      <c r="F1203" s="233" t="s">
        <v>400</v>
      </c>
      <c r="G1203" s="234" t="s">
        <v>16</v>
      </c>
      <c r="H1203" s="232">
        <v>1</v>
      </c>
      <c r="I1203" s="232">
        <v>1</v>
      </c>
      <c r="J1203" s="232">
        <v>3</v>
      </c>
      <c r="K1203" s="232">
        <v>2</v>
      </c>
      <c r="L1203" s="283">
        <v>2</v>
      </c>
      <c r="M1203" s="284">
        <f t="shared" si="42"/>
        <v>0.48935255543384243</v>
      </c>
      <c r="N1203" s="235"/>
    </row>
    <row r="1204" spans="1:14" hidden="1" x14ac:dyDescent="0.2">
      <c r="A1204" s="305" t="s">
        <v>393</v>
      </c>
      <c r="B1204" s="285" t="s">
        <v>398</v>
      </c>
      <c r="C1204" s="247" t="s">
        <v>41</v>
      </c>
      <c r="D1204" s="276" t="s">
        <v>135</v>
      </c>
      <c r="E1204" s="61">
        <v>0</v>
      </c>
      <c r="F1204" s="233" t="s">
        <v>400</v>
      </c>
      <c r="G1204" s="234" t="s">
        <v>16</v>
      </c>
      <c r="H1204" s="61"/>
      <c r="I1204" s="61"/>
      <c r="J1204" s="61" t="str">
        <f>IF( OR( ISBLANK(#REF!),ISBLANK(F1204), ISBLANK(#REF!), ISBLANK(H1204), ISBLANK(I1204) ), "", 1.5*SQRT(   EXP(2.21*(#REF!-1)) + EXP(2.21*(F1204-1)) + EXP(2.21*(#REF!-1)) + EXP(2.21*(H1204-1)) + EXP(2.21*I1204)   )/100 )</f>
        <v/>
      </c>
      <c r="K1204" s="61"/>
      <c r="L1204" s="62"/>
      <c r="M1204" s="63" t="str">
        <f>IF( OR( ISBLANK(H1204),ISBLANK(I1204), ISBLANK(J1204), ISBLANK(K1204), ISBLANK(L1204) ), "", 1.5*SQRT(   EXP(2.21*(H1204-1)) + EXP(2.21*(I1204-1)) + EXP(2.21*(J1204-1)) + EXP(2.21*(K1204-1)) + EXP(2.21*L1204)   )/100*2.45 )</f>
        <v/>
      </c>
      <c r="N1204" s="235"/>
    </row>
    <row r="1205" spans="1:14" hidden="1" x14ac:dyDescent="0.2">
      <c r="A1205" s="305" t="s">
        <v>393</v>
      </c>
      <c r="B1205" s="285" t="s">
        <v>398</v>
      </c>
      <c r="C1205" s="247" t="s">
        <v>42</v>
      </c>
      <c r="D1205" s="276" t="s">
        <v>135</v>
      </c>
      <c r="E1205" s="311">
        <v>0.48701298701298701</v>
      </c>
      <c r="F1205" s="233" t="s">
        <v>400</v>
      </c>
      <c r="G1205" s="234" t="s">
        <v>16</v>
      </c>
      <c r="H1205" s="232">
        <v>1</v>
      </c>
      <c r="I1205" s="232">
        <v>1</v>
      </c>
      <c r="J1205" s="232">
        <v>3</v>
      </c>
      <c r="K1205" s="232">
        <v>2</v>
      </c>
      <c r="L1205" s="283">
        <v>2</v>
      </c>
      <c r="M1205" s="284">
        <f>IF( OR( ISBLANK(H1205),ISBLANK(I1205), ISBLANK(J1205), ISBLANK(K1205), ISBLANK(L1205) ), "", 1.5*SQRT(   EXP(2.21*(H1205-1)) + EXP(2.21*(I1205-1)) + EXP(2.21*(J1205-1)) + EXP(2.21*(K1205-1)) + EXP(2.21*L1205)   )/100*2.45 )</f>
        <v>0.48935255543384243</v>
      </c>
      <c r="N1205" s="235"/>
    </row>
    <row r="1206" spans="1:14" hidden="1" x14ac:dyDescent="0.2">
      <c r="A1206" s="305" t="s">
        <v>393</v>
      </c>
      <c r="B1206" s="285" t="s">
        <v>398</v>
      </c>
      <c r="C1206" s="247" t="s">
        <v>43</v>
      </c>
      <c r="D1206" s="276" t="s">
        <v>135</v>
      </c>
      <c r="E1206" s="61">
        <v>0</v>
      </c>
      <c r="F1206" s="233" t="s">
        <v>400</v>
      </c>
      <c r="G1206" s="234" t="s">
        <v>16</v>
      </c>
      <c r="H1206" s="61"/>
      <c r="I1206" s="61"/>
      <c r="J1206" s="61" t="str">
        <f>IF( OR( ISBLANK(#REF!),ISBLANK(F1206), ISBLANK(#REF!), ISBLANK(H1206), ISBLANK(I1206) ), "", 1.5*SQRT(   EXP(2.21*(#REF!-1)) + EXP(2.21*(F1206-1)) + EXP(2.21*(#REF!-1)) + EXP(2.21*(H1206-1)) + EXP(2.21*I1206)   )/100 )</f>
        <v/>
      </c>
      <c r="K1206" s="61"/>
      <c r="L1206" s="62"/>
      <c r="M1206" s="63" t="str">
        <f>IF( OR( ISBLANK(H1206),ISBLANK(I1206), ISBLANK(J1206), ISBLANK(K1206), ISBLANK(L1206) ), "", 1.5*SQRT(   EXP(2.21*(H1206-1)) + EXP(2.21*(I1206-1)) + EXP(2.21*(J1206-1)) + EXP(2.21*(K1206-1)) + EXP(2.21*L1206)   )/100*2.45 )</f>
        <v/>
      </c>
      <c r="N1206" s="235"/>
    </row>
    <row r="1207" spans="1:14" hidden="1" x14ac:dyDescent="0.2">
      <c r="A1207" s="305" t="s">
        <v>393</v>
      </c>
      <c r="B1207" s="285" t="s">
        <v>398</v>
      </c>
      <c r="C1207" s="247" t="s">
        <v>45</v>
      </c>
      <c r="D1207" s="276" t="s">
        <v>135</v>
      </c>
      <c r="E1207" s="311">
        <v>1.785714285714286E-2</v>
      </c>
      <c r="F1207" s="233" t="s">
        <v>400</v>
      </c>
      <c r="G1207" s="234" t="s">
        <v>16</v>
      </c>
      <c r="H1207" s="232">
        <v>1</v>
      </c>
      <c r="I1207" s="232">
        <v>1</v>
      </c>
      <c r="J1207" s="232">
        <v>3</v>
      </c>
      <c r="K1207" s="232">
        <v>2</v>
      </c>
      <c r="L1207" s="283">
        <v>2</v>
      </c>
      <c r="M1207" s="284">
        <f>IF( OR( ISBLANK(H1207),ISBLANK(I1207), ISBLANK(J1207), ISBLANK(K1207), ISBLANK(L1207) ), "", 1.5*SQRT(   EXP(2.21*(H1207-1)) + EXP(2.21*(I1207-1)) + EXP(2.21*(J1207-1)) + EXP(2.21*(K1207-1)) + EXP(2.21*L1207)   )/100*2.45 )</f>
        <v>0.48935255543384243</v>
      </c>
      <c r="N1207" s="235"/>
    </row>
    <row r="1208" spans="1:14" hidden="1" x14ac:dyDescent="0.2">
      <c r="A1208" s="305" t="s">
        <v>393</v>
      </c>
      <c r="B1208" s="285" t="s">
        <v>398</v>
      </c>
      <c r="C1208" s="247" t="s">
        <v>46</v>
      </c>
      <c r="D1208" s="276" t="s">
        <v>135</v>
      </c>
      <c r="E1208" s="311">
        <v>0.28082191780821919</v>
      </c>
      <c r="F1208" s="233" t="s">
        <v>400</v>
      </c>
      <c r="G1208" s="234" t="s">
        <v>16</v>
      </c>
      <c r="H1208" s="232">
        <v>1</v>
      </c>
      <c r="I1208" s="232">
        <v>1</v>
      </c>
      <c r="J1208" s="232">
        <v>3</v>
      </c>
      <c r="K1208" s="232">
        <v>2</v>
      </c>
      <c r="L1208" s="283">
        <v>2</v>
      </c>
      <c r="M1208" s="284">
        <f t="shared" ref="M1208:M1214" si="43">IF( OR( ISBLANK(H1208),ISBLANK(I1208), ISBLANK(J1208), ISBLANK(K1208), ISBLANK(L1208) ), "", 1.5*SQRT( EXP(2.21*(H1208-1)) + EXP(2.21*(I1208-1)) + EXP(2.21*(J1208-1)) + EXP(2.21*(K1208-1)) + EXP(2.21*L1208) )/100*2.45 )</f>
        <v>0.48935255543384243</v>
      </c>
      <c r="N1208" s="235"/>
    </row>
    <row r="1209" spans="1:14" hidden="1" x14ac:dyDescent="0.2">
      <c r="A1209" s="305" t="s">
        <v>393</v>
      </c>
      <c r="B1209" s="285" t="s">
        <v>398</v>
      </c>
      <c r="C1209" s="247" t="s">
        <v>48</v>
      </c>
      <c r="D1209" s="276" t="s">
        <v>135</v>
      </c>
      <c r="E1209" s="311">
        <v>0.24264705882352941</v>
      </c>
      <c r="F1209" s="233" t="s">
        <v>400</v>
      </c>
      <c r="G1209" s="234" t="s">
        <v>16</v>
      </c>
      <c r="H1209" s="232">
        <v>1</v>
      </c>
      <c r="I1209" s="232">
        <v>1</v>
      </c>
      <c r="J1209" s="232">
        <v>3</v>
      </c>
      <c r="K1209" s="232">
        <v>2</v>
      </c>
      <c r="L1209" s="283">
        <v>2</v>
      </c>
      <c r="M1209" s="284">
        <f t="shared" si="43"/>
        <v>0.48935255543384243</v>
      </c>
      <c r="N1209" s="235"/>
    </row>
    <row r="1210" spans="1:14" hidden="1" x14ac:dyDescent="0.2">
      <c r="A1210" s="305" t="s">
        <v>393</v>
      </c>
      <c r="B1210" s="285" t="s">
        <v>398</v>
      </c>
      <c r="C1210" s="247" t="s">
        <v>50</v>
      </c>
      <c r="D1210" s="276" t="s">
        <v>135</v>
      </c>
      <c r="E1210" s="311">
        <v>0.41791044776119413</v>
      </c>
      <c r="F1210" s="233" t="s">
        <v>400</v>
      </c>
      <c r="G1210" s="234" t="s">
        <v>16</v>
      </c>
      <c r="H1210" s="232">
        <v>1</v>
      </c>
      <c r="I1210" s="232">
        <v>1</v>
      </c>
      <c r="J1210" s="232">
        <v>3</v>
      </c>
      <c r="K1210" s="232">
        <v>2</v>
      </c>
      <c r="L1210" s="283">
        <v>2</v>
      </c>
      <c r="M1210" s="284">
        <f t="shared" si="43"/>
        <v>0.48935255543384243</v>
      </c>
      <c r="N1210" s="235"/>
    </row>
    <row r="1211" spans="1:14" hidden="1" x14ac:dyDescent="0.2">
      <c r="A1211" s="305" t="s">
        <v>393</v>
      </c>
      <c r="B1211" s="285" t="s">
        <v>398</v>
      </c>
      <c r="C1211" s="247" t="s">
        <v>52</v>
      </c>
      <c r="D1211" s="276" t="s">
        <v>135</v>
      </c>
      <c r="E1211" s="311">
        <v>0.32142857142857151</v>
      </c>
      <c r="F1211" s="233" t="s">
        <v>400</v>
      </c>
      <c r="G1211" s="234" t="s">
        <v>16</v>
      </c>
      <c r="H1211" s="232">
        <v>1</v>
      </c>
      <c r="I1211" s="232">
        <v>1</v>
      </c>
      <c r="J1211" s="232">
        <v>3</v>
      </c>
      <c r="K1211" s="232">
        <v>2</v>
      </c>
      <c r="L1211" s="283">
        <v>2</v>
      </c>
      <c r="M1211" s="284">
        <f t="shared" si="43"/>
        <v>0.48935255543384243</v>
      </c>
      <c r="N1211" s="235"/>
    </row>
    <row r="1212" spans="1:14" hidden="1" x14ac:dyDescent="0.2">
      <c r="A1212" s="305" t="s">
        <v>393</v>
      </c>
      <c r="B1212" s="285" t="s">
        <v>398</v>
      </c>
      <c r="C1212" s="247" t="s">
        <v>54</v>
      </c>
      <c r="D1212" s="276" t="s">
        <v>135</v>
      </c>
      <c r="E1212" s="311">
        <v>0.25384615384615378</v>
      </c>
      <c r="F1212" s="233" t="s">
        <v>400</v>
      </c>
      <c r="G1212" s="234" t="s">
        <v>16</v>
      </c>
      <c r="H1212" s="232">
        <v>1</v>
      </c>
      <c r="I1212" s="232">
        <v>1</v>
      </c>
      <c r="J1212" s="232">
        <v>3</v>
      </c>
      <c r="K1212" s="232">
        <v>2</v>
      </c>
      <c r="L1212" s="283">
        <v>2</v>
      </c>
      <c r="M1212" s="284">
        <f t="shared" si="43"/>
        <v>0.48935255543384243</v>
      </c>
      <c r="N1212" s="235"/>
    </row>
    <row r="1213" spans="1:14" hidden="1" x14ac:dyDescent="0.2">
      <c r="A1213" s="305" t="s">
        <v>393</v>
      </c>
      <c r="B1213" s="285" t="s">
        <v>398</v>
      </c>
      <c r="C1213" s="247" t="s">
        <v>55</v>
      </c>
      <c r="D1213" s="276" t="s">
        <v>135</v>
      </c>
      <c r="E1213" s="311">
        <v>0.31578947368421062</v>
      </c>
      <c r="F1213" s="233" t="s">
        <v>400</v>
      </c>
      <c r="G1213" s="234" t="s">
        <v>16</v>
      </c>
      <c r="H1213" s="232">
        <v>1</v>
      </c>
      <c r="I1213" s="232">
        <v>1</v>
      </c>
      <c r="J1213" s="232">
        <v>3</v>
      </c>
      <c r="K1213" s="232">
        <v>2</v>
      </c>
      <c r="L1213" s="283">
        <v>2</v>
      </c>
      <c r="M1213" s="284">
        <f t="shared" si="43"/>
        <v>0.48935255543384243</v>
      </c>
      <c r="N1213" s="235"/>
    </row>
    <row r="1214" spans="1:14" hidden="1" x14ac:dyDescent="0.2">
      <c r="A1214" s="305" t="s">
        <v>393</v>
      </c>
      <c r="B1214" s="285" t="s">
        <v>398</v>
      </c>
      <c r="C1214" s="247" t="s">
        <v>57</v>
      </c>
      <c r="D1214" s="276" t="s">
        <v>135</v>
      </c>
      <c r="E1214" s="311">
        <v>8.1967213114754103E-3</v>
      </c>
      <c r="F1214" s="233" t="s">
        <v>400</v>
      </c>
      <c r="G1214" s="234" t="s">
        <v>16</v>
      </c>
      <c r="H1214" s="232">
        <v>1</v>
      </c>
      <c r="I1214" s="232">
        <v>1</v>
      </c>
      <c r="J1214" s="232">
        <v>3</v>
      </c>
      <c r="K1214" s="232">
        <v>2</v>
      </c>
      <c r="L1214" s="283">
        <v>2</v>
      </c>
      <c r="M1214" s="284">
        <f t="shared" si="43"/>
        <v>0.48935255543384243</v>
      </c>
      <c r="N1214" s="235"/>
    </row>
    <row r="1215" spans="1:14" hidden="1" x14ac:dyDescent="0.2">
      <c r="A1215" s="305" t="s">
        <v>393</v>
      </c>
      <c r="B1215" s="285" t="s">
        <v>398</v>
      </c>
      <c r="C1215" s="247" t="s">
        <v>59</v>
      </c>
      <c r="D1215" s="276" t="s">
        <v>135</v>
      </c>
      <c r="E1215" s="61">
        <v>0</v>
      </c>
      <c r="F1215" s="233" t="s">
        <v>400</v>
      </c>
      <c r="G1215" s="234" t="s">
        <v>16</v>
      </c>
      <c r="H1215" s="61"/>
      <c r="I1215" s="61"/>
      <c r="J1215" s="61" t="str">
        <f>IF( OR( ISBLANK(#REF!),ISBLANK(F1215), ISBLANK(#REF!), ISBLANK(H1215), ISBLANK(I1215) ), "", 1.5*SQRT(   EXP(2.21*(#REF!-1)) + EXP(2.21*(F1215-1)) + EXP(2.21*(#REF!-1)) + EXP(2.21*(H1215-1)) + EXP(2.21*I1215)   )/100 )</f>
        <v/>
      </c>
      <c r="K1215" s="61"/>
      <c r="L1215" s="62"/>
      <c r="M1215" s="63" t="str">
        <f>IF( OR( ISBLANK(H1215),ISBLANK(I1215), ISBLANK(J1215), ISBLANK(K1215), ISBLANK(L1215) ), "", 1.5*SQRT(   EXP(2.21*(H1215-1)) + EXP(2.21*(I1215-1)) + EXP(2.21*(J1215-1)) + EXP(2.21*(K1215-1)) + EXP(2.21*L1215)   )/100*2.45 )</f>
        <v/>
      </c>
      <c r="N1215" s="235"/>
    </row>
    <row r="1216" spans="1:14" hidden="1" x14ac:dyDescent="0.2">
      <c r="A1216" s="305" t="s">
        <v>393</v>
      </c>
      <c r="B1216" s="285" t="s">
        <v>398</v>
      </c>
      <c r="C1216" s="247" t="s">
        <v>60</v>
      </c>
      <c r="D1216" s="276" t="s">
        <v>135</v>
      </c>
      <c r="E1216" s="311">
        <v>0.15079365079365081</v>
      </c>
      <c r="F1216" s="233" t="s">
        <v>400</v>
      </c>
      <c r="G1216" s="234" t="s">
        <v>16</v>
      </c>
      <c r="H1216" s="232">
        <v>1</v>
      </c>
      <c r="I1216" s="232">
        <v>1</v>
      </c>
      <c r="J1216" s="232">
        <v>3</v>
      </c>
      <c r="K1216" s="232">
        <v>2</v>
      </c>
      <c r="L1216" s="283">
        <v>2</v>
      </c>
      <c r="M1216" s="284">
        <f>IF( OR( ISBLANK(H1216),ISBLANK(I1216), ISBLANK(J1216), ISBLANK(K1216), ISBLANK(L1216) ), "", 1.5*SQRT(   EXP(2.21*(H1216-1)) + EXP(2.21*(I1216-1)) + EXP(2.21*(J1216-1)) + EXP(2.21*(K1216-1)) + EXP(2.21*L1216)   )/100*2.45 )</f>
        <v>0.48935255543384243</v>
      </c>
      <c r="N1216" s="235"/>
    </row>
    <row r="1217" spans="1:14" x14ac:dyDescent="0.2">
      <c r="A1217" s="312" t="s">
        <v>393</v>
      </c>
      <c r="B1217" s="281" t="s">
        <v>399</v>
      </c>
      <c r="C1217" s="238" t="s">
        <v>135</v>
      </c>
      <c r="D1217" s="239" t="s">
        <v>135</v>
      </c>
      <c r="E1217" s="240" t="s">
        <v>188</v>
      </c>
      <c r="F1217" s="241"/>
      <c r="G1217" s="242" t="s">
        <v>16</v>
      </c>
      <c r="H1217" s="240"/>
      <c r="I1217" s="240"/>
      <c r="J1217" s="240"/>
      <c r="K1217" s="240"/>
      <c r="L1217" s="243"/>
      <c r="M1217" s="244" t="str">
        <f>IF( OR( ISBLANK(H1217),ISBLANK(I1217), ISBLANK(J1217), ISBLANK(K1217), ISBLANK(L1217) ), "", 1.5*SQRT( EXP(2.21*(H1217-1)) + EXP(2.21*(I1217-1)) + EXP(2.21*(J1217-1)) + EXP(2.21*(K1217-1)) + EXP(2.21*L1217) )/100*2.45 )</f>
        <v/>
      </c>
      <c r="N1217" s="245"/>
    </row>
    <row r="1218" spans="1:14" x14ac:dyDescent="0.2">
      <c r="A1218" s="309" t="s">
        <v>189</v>
      </c>
      <c r="B1218" s="310" t="s">
        <v>440</v>
      </c>
      <c r="C1218" s="222" t="s">
        <v>135</v>
      </c>
      <c r="D1218" s="223" t="s">
        <v>135</v>
      </c>
      <c r="E1218" s="316">
        <v>0.89190000000000003</v>
      </c>
      <c r="F1218" s="323" t="s">
        <v>439</v>
      </c>
      <c r="G1218" s="334" t="s">
        <v>16</v>
      </c>
      <c r="H1218" s="223">
        <v>2</v>
      </c>
      <c r="I1218" s="223">
        <v>3</v>
      </c>
      <c r="J1218" s="223">
        <v>3</v>
      </c>
      <c r="K1218" s="223">
        <v>1</v>
      </c>
      <c r="L1218" s="335">
        <v>2</v>
      </c>
      <c r="M1218" s="336">
        <f>IF( OR( ISBLANK(H1218),ISBLANK(I1218), ISBLANK(J1218), ISBLANK(K1218), ISBLANK(L1218) ), "", 1.5*SQRT( EXP(2.21*(H1218-1)) + EXP(2.21*(I1218-1)) + EXP(2.21*(J1218-1)) + EXP(2.21*(K1218-1)) + EXP(2.21*L1218) )/100*2.45 )</f>
        <v>0.59189702474662764</v>
      </c>
      <c r="N1218" s="229"/>
    </row>
    <row r="1219" spans="1:14" x14ac:dyDescent="0.2">
      <c r="A1219" s="305" t="s">
        <v>189</v>
      </c>
      <c r="B1219" s="285" t="s">
        <v>398</v>
      </c>
      <c r="C1219" s="247" t="s">
        <v>13</v>
      </c>
      <c r="D1219" s="276" t="s">
        <v>135</v>
      </c>
      <c r="E1219" s="61">
        <v>0</v>
      </c>
      <c r="F1219" s="233" t="s">
        <v>400</v>
      </c>
      <c r="G1219" s="234" t="s">
        <v>16</v>
      </c>
      <c r="H1219" s="61"/>
      <c r="I1219" s="61"/>
      <c r="J1219" s="61" t="str">
        <f>IF( OR( ISBLANK(#REF!),ISBLANK(F1219), ISBLANK(#REF!), ISBLANK(H1219), ISBLANK(I1219) ), "", 1.5*SQRT(   EXP(2.21*(#REF!-1)) + EXP(2.21*(F1219-1)) + EXP(2.21*(#REF!-1)) + EXP(2.21*(H1219-1)) + EXP(2.21*I1219)   )/100 )</f>
        <v/>
      </c>
      <c r="K1219" s="61"/>
      <c r="L1219" s="62"/>
      <c r="M1219" s="63" t="str">
        <f>IF( OR( ISBLANK(H1219),ISBLANK(I1219), ISBLANK(J1219), ISBLANK(K1219), ISBLANK(L1219) ), "", 1.5*SQRT( EXP(2.21*(H1219-1)) + EXP(2.21*(I1219-1)) + EXP(2.21*(J1219-1)) + EXP(2.21*(K1219-1)) + EXP(2.21*L1219) )/100*2.45 )</f>
        <v/>
      </c>
      <c r="N1219" s="235"/>
    </row>
    <row r="1220" spans="1:14" hidden="1" x14ac:dyDescent="0.2">
      <c r="A1220" s="305" t="s">
        <v>189</v>
      </c>
      <c r="B1220" s="285" t="s">
        <v>398</v>
      </c>
      <c r="C1220" s="247" t="s">
        <v>18</v>
      </c>
      <c r="D1220" s="276" t="s">
        <v>135</v>
      </c>
      <c r="E1220" s="311">
        <v>3.544262295081967E-3</v>
      </c>
      <c r="F1220" s="233" t="s">
        <v>400</v>
      </c>
      <c r="G1220" s="234" t="s">
        <v>16</v>
      </c>
      <c r="H1220" s="232">
        <v>1</v>
      </c>
      <c r="I1220" s="232">
        <v>1</v>
      </c>
      <c r="J1220" s="232">
        <v>3</v>
      </c>
      <c r="K1220" s="232">
        <v>2</v>
      </c>
      <c r="L1220" s="283">
        <v>2</v>
      </c>
      <c r="M1220" s="284">
        <f>IF( OR( ISBLANK(H1220),ISBLANK(I1220), ISBLANK(J1220), ISBLANK(K1220), ISBLANK(L1220) ), "", 1.5*SQRT(   EXP(2.21*(H1220-1)) + EXP(2.21*(I1220-1)) + EXP(2.21*(J1220-1)) + EXP(2.21*(K1220-1)) + EXP(2.21*L1220)   )/100*2.45 )</f>
        <v>0.48935255543384243</v>
      </c>
      <c r="N1220" s="235"/>
    </row>
    <row r="1221" spans="1:14" hidden="1" x14ac:dyDescent="0.2">
      <c r="A1221" s="305" t="s">
        <v>189</v>
      </c>
      <c r="B1221" s="285" t="s">
        <v>398</v>
      </c>
      <c r="C1221" s="247" t="s">
        <v>20</v>
      </c>
      <c r="D1221" s="276" t="s">
        <v>135</v>
      </c>
      <c r="E1221" s="311">
        <v>9.686883116883116E-2</v>
      </c>
      <c r="F1221" s="233" t="s">
        <v>400</v>
      </c>
      <c r="G1221" s="234" t="s">
        <v>16</v>
      </c>
      <c r="H1221" s="232">
        <v>1</v>
      </c>
      <c r="I1221" s="232">
        <v>1</v>
      </c>
      <c r="J1221" s="232">
        <v>3</v>
      </c>
      <c r="K1221" s="232">
        <v>2</v>
      </c>
      <c r="L1221" s="283">
        <v>2</v>
      </c>
      <c r="M1221" s="284">
        <f t="shared" ref="M1221:M1235" si="44">IF( OR( ISBLANK(H1221),ISBLANK(I1221), ISBLANK(J1221), ISBLANK(K1221), ISBLANK(L1221) ), "", 1.5*SQRT( EXP(2.21*(H1221-1)) + EXP(2.21*(I1221-1)) + EXP(2.21*(J1221-1)) + EXP(2.21*(K1221-1)) + EXP(2.21*L1221) )/100*2.45 )</f>
        <v>0.48935255543384243</v>
      </c>
      <c r="N1221" s="235"/>
    </row>
    <row r="1222" spans="1:14" hidden="1" x14ac:dyDescent="0.2">
      <c r="A1222" s="305" t="s">
        <v>189</v>
      </c>
      <c r="B1222" s="285" t="s">
        <v>398</v>
      </c>
      <c r="C1222" s="247" t="s">
        <v>22</v>
      </c>
      <c r="D1222" s="276" t="s">
        <v>135</v>
      </c>
      <c r="E1222" s="311">
        <v>0.10059305555555551</v>
      </c>
      <c r="F1222" s="233" t="s">
        <v>400</v>
      </c>
      <c r="G1222" s="234" t="s">
        <v>16</v>
      </c>
      <c r="H1222" s="232">
        <v>1</v>
      </c>
      <c r="I1222" s="232">
        <v>1</v>
      </c>
      <c r="J1222" s="232">
        <v>3</v>
      </c>
      <c r="K1222" s="232">
        <v>2</v>
      </c>
      <c r="L1222" s="283">
        <v>2</v>
      </c>
      <c r="M1222" s="284">
        <f t="shared" si="44"/>
        <v>0.48935255543384243</v>
      </c>
      <c r="N1222" s="235"/>
    </row>
    <row r="1223" spans="1:14" hidden="1" x14ac:dyDescent="0.2">
      <c r="A1223" s="305" t="s">
        <v>189</v>
      </c>
      <c r="B1223" s="285" t="s">
        <v>398</v>
      </c>
      <c r="C1223" s="247" t="s">
        <v>23</v>
      </c>
      <c r="D1223" s="276" t="s">
        <v>135</v>
      </c>
      <c r="E1223" s="311">
        <v>0.1051383561643835</v>
      </c>
      <c r="F1223" s="233" t="s">
        <v>400</v>
      </c>
      <c r="G1223" s="234" t="s">
        <v>16</v>
      </c>
      <c r="H1223" s="232">
        <v>1</v>
      </c>
      <c r="I1223" s="232">
        <v>1</v>
      </c>
      <c r="J1223" s="232">
        <v>3</v>
      </c>
      <c r="K1223" s="232">
        <v>2</v>
      </c>
      <c r="L1223" s="283">
        <v>2</v>
      </c>
      <c r="M1223" s="284">
        <f t="shared" si="44"/>
        <v>0.48935255543384243</v>
      </c>
      <c r="N1223" s="235"/>
    </row>
    <row r="1224" spans="1:14" hidden="1" x14ac:dyDescent="0.2">
      <c r="A1224" s="305" t="s">
        <v>189</v>
      </c>
      <c r="B1224" s="285" t="s">
        <v>398</v>
      </c>
      <c r="C1224" s="247" t="s">
        <v>24</v>
      </c>
      <c r="D1224" s="276" t="s">
        <v>135</v>
      </c>
      <c r="E1224" s="311">
        <v>6.9113114754098343E-2</v>
      </c>
      <c r="F1224" s="233" t="s">
        <v>400</v>
      </c>
      <c r="G1224" s="234" t="s">
        <v>16</v>
      </c>
      <c r="H1224" s="232">
        <v>1</v>
      </c>
      <c r="I1224" s="232">
        <v>1</v>
      </c>
      <c r="J1224" s="232">
        <v>3</v>
      </c>
      <c r="K1224" s="232">
        <v>2</v>
      </c>
      <c r="L1224" s="283">
        <v>2</v>
      </c>
      <c r="M1224" s="284">
        <f t="shared" si="44"/>
        <v>0.48935255543384243</v>
      </c>
      <c r="N1224" s="235"/>
    </row>
    <row r="1225" spans="1:14" hidden="1" x14ac:dyDescent="0.2">
      <c r="A1225" s="305" t="s">
        <v>189</v>
      </c>
      <c r="B1225" s="285" t="s">
        <v>398</v>
      </c>
      <c r="C1225" s="247" t="s">
        <v>25</v>
      </c>
      <c r="D1225" s="276" t="s">
        <v>135</v>
      </c>
      <c r="E1225" s="311">
        <v>3.603333333333333E-3</v>
      </c>
      <c r="F1225" s="233" t="s">
        <v>400</v>
      </c>
      <c r="G1225" s="234" t="s">
        <v>16</v>
      </c>
      <c r="H1225" s="232">
        <v>1</v>
      </c>
      <c r="I1225" s="232">
        <v>1</v>
      </c>
      <c r="J1225" s="232">
        <v>3</v>
      </c>
      <c r="K1225" s="232">
        <v>2</v>
      </c>
      <c r="L1225" s="283">
        <v>2</v>
      </c>
      <c r="M1225" s="284">
        <f t="shared" si="44"/>
        <v>0.48935255543384243</v>
      </c>
      <c r="N1225" s="235"/>
    </row>
    <row r="1226" spans="1:14" hidden="1" x14ac:dyDescent="0.2">
      <c r="A1226" s="305" t="s">
        <v>189</v>
      </c>
      <c r="B1226" s="285" t="s">
        <v>398</v>
      </c>
      <c r="C1226" s="247" t="s">
        <v>26</v>
      </c>
      <c r="D1226" s="276" t="s">
        <v>135</v>
      </c>
      <c r="E1226" s="311">
        <v>3.2757575757575749E-2</v>
      </c>
      <c r="F1226" s="233" t="s">
        <v>400</v>
      </c>
      <c r="G1226" s="234" t="s">
        <v>16</v>
      </c>
      <c r="H1226" s="232">
        <v>1</v>
      </c>
      <c r="I1226" s="232">
        <v>1</v>
      </c>
      <c r="J1226" s="232">
        <v>3</v>
      </c>
      <c r="K1226" s="232">
        <v>2</v>
      </c>
      <c r="L1226" s="283">
        <v>2</v>
      </c>
      <c r="M1226" s="284">
        <f t="shared" si="44"/>
        <v>0.48935255543384243</v>
      </c>
      <c r="N1226" s="235"/>
    </row>
    <row r="1227" spans="1:14" hidden="1" x14ac:dyDescent="0.2">
      <c r="A1227" s="305" t="s">
        <v>189</v>
      </c>
      <c r="B1227" s="285" t="s">
        <v>398</v>
      </c>
      <c r="C1227" s="247" t="s">
        <v>27</v>
      </c>
      <c r="D1227" s="276" t="s">
        <v>135</v>
      </c>
      <c r="E1227" s="311">
        <v>2.7367088607594928E-3</v>
      </c>
      <c r="F1227" s="233" t="s">
        <v>400</v>
      </c>
      <c r="G1227" s="234" t="s">
        <v>16</v>
      </c>
      <c r="H1227" s="232">
        <v>1</v>
      </c>
      <c r="I1227" s="232">
        <v>1</v>
      </c>
      <c r="J1227" s="232">
        <v>3</v>
      </c>
      <c r="K1227" s="232">
        <v>2</v>
      </c>
      <c r="L1227" s="283">
        <v>2</v>
      </c>
      <c r="M1227" s="284">
        <f t="shared" si="44"/>
        <v>0.48935255543384243</v>
      </c>
      <c r="N1227" s="235"/>
    </row>
    <row r="1228" spans="1:14" hidden="1" x14ac:dyDescent="0.2">
      <c r="A1228" s="305" t="s">
        <v>189</v>
      </c>
      <c r="B1228" s="285" t="s">
        <v>398</v>
      </c>
      <c r="C1228" s="247" t="s">
        <v>28</v>
      </c>
      <c r="D1228" s="276" t="s">
        <v>135</v>
      </c>
      <c r="E1228" s="311">
        <v>4.4681333333333323E-2</v>
      </c>
      <c r="F1228" s="233" t="s">
        <v>400</v>
      </c>
      <c r="G1228" s="234" t="s">
        <v>16</v>
      </c>
      <c r="H1228" s="232">
        <v>1</v>
      </c>
      <c r="I1228" s="232">
        <v>1</v>
      </c>
      <c r="J1228" s="232">
        <v>3</v>
      </c>
      <c r="K1228" s="232">
        <v>2</v>
      </c>
      <c r="L1228" s="283">
        <v>2</v>
      </c>
      <c r="M1228" s="284">
        <f t="shared" si="44"/>
        <v>0.48935255543384243</v>
      </c>
      <c r="N1228" s="235"/>
    </row>
    <row r="1229" spans="1:14" hidden="1" x14ac:dyDescent="0.2">
      <c r="A1229" s="305" t="s">
        <v>189</v>
      </c>
      <c r="B1229" s="285" t="s">
        <v>398</v>
      </c>
      <c r="C1229" s="247" t="s">
        <v>30</v>
      </c>
      <c r="D1229" s="276" t="s">
        <v>135</v>
      </c>
      <c r="E1229" s="311">
        <v>1.8637931034482761E-3</v>
      </c>
      <c r="F1229" s="233" t="s">
        <v>400</v>
      </c>
      <c r="G1229" s="234" t="s">
        <v>16</v>
      </c>
      <c r="H1229" s="232">
        <v>1</v>
      </c>
      <c r="I1229" s="232">
        <v>1</v>
      </c>
      <c r="J1229" s="232">
        <v>3</v>
      </c>
      <c r="K1229" s="232">
        <v>2</v>
      </c>
      <c r="L1229" s="283">
        <v>2</v>
      </c>
      <c r="M1229" s="284">
        <f t="shared" si="44"/>
        <v>0.48935255543384243</v>
      </c>
      <c r="N1229" s="235"/>
    </row>
    <row r="1230" spans="1:14" hidden="1" x14ac:dyDescent="0.2">
      <c r="A1230" s="305" t="s">
        <v>189</v>
      </c>
      <c r="B1230" s="285" t="s">
        <v>398</v>
      </c>
      <c r="C1230" s="247" t="s">
        <v>32</v>
      </c>
      <c r="D1230" s="276" t="s">
        <v>135</v>
      </c>
      <c r="E1230" s="311">
        <v>0.1052173333333333</v>
      </c>
      <c r="F1230" s="233" t="s">
        <v>400</v>
      </c>
      <c r="G1230" s="234" t="s">
        <v>16</v>
      </c>
      <c r="H1230" s="232">
        <v>1</v>
      </c>
      <c r="I1230" s="232">
        <v>1</v>
      </c>
      <c r="J1230" s="232">
        <v>3</v>
      </c>
      <c r="K1230" s="232">
        <v>2</v>
      </c>
      <c r="L1230" s="283">
        <v>2</v>
      </c>
      <c r="M1230" s="284">
        <f t="shared" si="44"/>
        <v>0.48935255543384243</v>
      </c>
      <c r="N1230" s="235"/>
    </row>
    <row r="1231" spans="1:14" hidden="1" x14ac:dyDescent="0.2">
      <c r="A1231" s="305" t="s">
        <v>189</v>
      </c>
      <c r="B1231" s="285" t="s">
        <v>398</v>
      </c>
      <c r="C1231" s="247" t="s">
        <v>34</v>
      </c>
      <c r="D1231" s="276" t="s">
        <v>135</v>
      </c>
      <c r="E1231" s="311">
        <v>7.8996153846153841E-2</v>
      </c>
      <c r="F1231" s="233" t="s">
        <v>400</v>
      </c>
      <c r="G1231" s="234" t="s">
        <v>16</v>
      </c>
      <c r="H1231" s="232">
        <v>1</v>
      </c>
      <c r="I1231" s="232">
        <v>1</v>
      </c>
      <c r="J1231" s="232">
        <v>3</v>
      </c>
      <c r="K1231" s="232">
        <v>2</v>
      </c>
      <c r="L1231" s="283">
        <v>2</v>
      </c>
      <c r="M1231" s="284">
        <f t="shared" si="44"/>
        <v>0.48935255543384243</v>
      </c>
      <c r="N1231" s="235"/>
    </row>
    <row r="1232" spans="1:14" hidden="1" x14ac:dyDescent="0.2">
      <c r="A1232" s="305" t="s">
        <v>189</v>
      </c>
      <c r="B1232" s="285" t="s">
        <v>398</v>
      </c>
      <c r="C1232" s="247" t="s">
        <v>36</v>
      </c>
      <c r="D1232" s="276" t="s">
        <v>135</v>
      </c>
      <c r="E1232" s="311">
        <v>1.3702816901408449E-2</v>
      </c>
      <c r="F1232" s="233" t="s">
        <v>400</v>
      </c>
      <c r="G1232" s="234" t="s">
        <v>16</v>
      </c>
      <c r="H1232" s="232">
        <v>1</v>
      </c>
      <c r="I1232" s="232">
        <v>1</v>
      </c>
      <c r="J1232" s="232">
        <v>3</v>
      </c>
      <c r="K1232" s="232">
        <v>2</v>
      </c>
      <c r="L1232" s="283">
        <v>2</v>
      </c>
      <c r="M1232" s="284">
        <f t="shared" si="44"/>
        <v>0.48935255543384243</v>
      </c>
      <c r="N1232" s="235"/>
    </row>
    <row r="1233" spans="1:14" hidden="1" x14ac:dyDescent="0.2">
      <c r="A1233" s="305" t="s">
        <v>189</v>
      </c>
      <c r="B1233" s="285" t="s">
        <v>398</v>
      </c>
      <c r="C1233" s="247" t="s">
        <v>37</v>
      </c>
      <c r="D1233" s="276" t="s">
        <v>135</v>
      </c>
      <c r="E1233" s="311">
        <v>5.2412121212121202E-2</v>
      </c>
      <c r="F1233" s="233" t="s">
        <v>400</v>
      </c>
      <c r="G1233" s="234" t="s">
        <v>16</v>
      </c>
      <c r="H1233" s="232">
        <v>1</v>
      </c>
      <c r="I1233" s="232">
        <v>1</v>
      </c>
      <c r="J1233" s="232">
        <v>3</v>
      </c>
      <c r="K1233" s="232">
        <v>2</v>
      </c>
      <c r="L1233" s="283">
        <v>2</v>
      </c>
      <c r="M1233" s="284">
        <f t="shared" si="44"/>
        <v>0.48935255543384243</v>
      </c>
      <c r="N1233" s="235"/>
    </row>
    <row r="1234" spans="1:14" hidden="1" x14ac:dyDescent="0.2">
      <c r="A1234" s="305" t="s">
        <v>189</v>
      </c>
      <c r="B1234" s="285" t="s">
        <v>398</v>
      </c>
      <c r="C1234" s="247" t="s">
        <v>39</v>
      </c>
      <c r="D1234" s="276" t="s">
        <v>135</v>
      </c>
      <c r="E1234" s="311">
        <v>0.1048242424242424</v>
      </c>
      <c r="F1234" s="233" t="s">
        <v>400</v>
      </c>
      <c r="G1234" s="234" t="s">
        <v>16</v>
      </c>
      <c r="H1234" s="232">
        <v>1</v>
      </c>
      <c r="I1234" s="232">
        <v>1</v>
      </c>
      <c r="J1234" s="232">
        <v>3</v>
      </c>
      <c r="K1234" s="232">
        <v>2</v>
      </c>
      <c r="L1234" s="283">
        <v>2</v>
      </c>
      <c r="M1234" s="284">
        <f t="shared" si="44"/>
        <v>0.48935255543384243</v>
      </c>
      <c r="N1234" s="235"/>
    </row>
    <row r="1235" spans="1:14" hidden="1" x14ac:dyDescent="0.2">
      <c r="A1235" s="305" t="s">
        <v>189</v>
      </c>
      <c r="B1235" s="285" t="s">
        <v>398</v>
      </c>
      <c r="C1235" s="247" t="s">
        <v>40</v>
      </c>
      <c r="D1235" s="276" t="s">
        <v>135</v>
      </c>
      <c r="E1235" s="311">
        <v>6.6636986301369855E-2</v>
      </c>
      <c r="F1235" s="233" t="s">
        <v>400</v>
      </c>
      <c r="G1235" s="234" t="s">
        <v>16</v>
      </c>
      <c r="H1235" s="232">
        <v>1</v>
      </c>
      <c r="I1235" s="232">
        <v>1</v>
      </c>
      <c r="J1235" s="232">
        <v>3</v>
      </c>
      <c r="K1235" s="232">
        <v>2</v>
      </c>
      <c r="L1235" s="283">
        <v>2</v>
      </c>
      <c r="M1235" s="284">
        <f t="shared" si="44"/>
        <v>0.48935255543384243</v>
      </c>
      <c r="N1235" s="235"/>
    </row>
    <row r="1236" spans="1:14" hidden="1" x14ac:dyDescent="0.2">
      <c r="A1236" s="305" t="s">
        <v>189</v>
      </c>
      <c r="B1236" s="285" t="s">
        <v>398</v>
      </c>
      <c r="C1236" s="247" t="s">
        <v>41</v>
      </c>
      <c r="D1236" s="276" t="s">
        <v>135</v>
      </c>
      <c r="E1236" s="61">
        <v>0</v>
      </c>
      <c r="F1236" s="233" t="s">
        <v>400</v>
      </c>
      <c r="G1236" s="234" t="s">
        <v>16</v>
      </c>
      <c r="H1236" s="61"/>
      <c r="I1236" s="61"/>
      <c r="J1236" s="61" t="str">
        <f>IF( OR( ISBLANK(#REF!),ISBLANK(F1236), ISBLANK(#REF!), ISBLANK(H1236), ISBLANK(I1236) ), "", 1.5*SQRT(   EXP(2.21*(#REF!-1)) + EXP(2.21*(F1236-1)) + EXP(2.21*(#REF!-1)) + EXP(2.21*(H1236-1)) + EXP(2.21*I1236)   )/100 )</f>
        <v/>
      </c>
      <c r="K1236" s="61"/>
      <c r="L1236" s="62"/>
      <c r="M1236" s="63" t="str">
        <f>IF( OR( ISBLANK(H1236),ISBLANK(I1236), ISBLANK(J1236), ISBLANK(K1236), ISBLANK(L1236) ), "", 1.5*SQRT(   EXP(2.21*(H1236-1)) + EXP(2.21*(I1236-1)) + EXP(2.21*(J1236-1)) + EXP(2.21*(K1236-1)) + EXP(2.21*L1236)   )/100*2.45 )</f>
        <v/>
      </c>
      <c r="N1236" s="235"/>
    </row>
    <row r="1237" spans="1:14" hidden="1" x14ac:dyDescent="0.2">
      <c r="A1237" s="305" t="s">
        <v>189</v>
      </c>
      <c r="B1237" s="285" t="s">
        <v>398</v>
      </c>
      <c r="C1237" s="247" t="s">
        <v>42</v>
      </c>
      <c r="D1237" s="276" t="s">
        <v>135</v>
      </c>
      <c r="E1237" s="311">
        <v>0.1052922077922078</v>
      </c>
      <c r="F1237" s="233" t="s">
        <v>400</v>
      </c>
      <c r="G1237" s="234" t="s">
        <v>16</v>
      </c>
      <c r="H1237" s="232">
        <v>1</v>
      </c>
      <c r="I1237" s="232">
        <v>1</v>
      </c>
      <c r="J1237" s="232">
        <v>3</v>
      </c>
      <c r="K1237" s="232">
        <v>2</v>
      </c>
      <c r="L1237" s="283">
        <v>2</v>
      </c>
      <c r="M1237" s="284">
        <f>IF( OR( ISBLANK(H1237),ISBLANK(I1237), ISBLANK(J1237), ISBLANK(K1237), ISBLANK(L1237) ), "", 1.5*SQRT(   EXP(2.21*(H1237-1)) + EXP(2.21*(I1237-1)) + EXP(2.21*(J1237-1)) + EXP(2.21*(K1237-1)) + EXP(2.21*L1237)   )/100*2.45 )</f>
        <v>0.48935255543384243</v>
      </c>
      <c r="N1237" s="235"/>
    </row>
    <row r="1238" spans="1:14" hidden="1" x14ac:dyDescent="0.2">
      <c r="A1238" s="305" t="s">
        <v>189</v>
      </c>
      <c r="B1238" s="285" t="s">
        <v>398</v>
      </c>
      <c r="C1238" s="247" t="s">
        <v>43</v>
      </c>
      <c r="D1238" s="276" t="s">
        <v>135</v>
      </c>
      <c r="E1238" s="61">
        <v>0</v>
      </c>
      <c r="F1238" s="233" t="s">
        <v>400</v>
      </c>
      <c r="G1238" s="234" t="s">
        <v>16</v>
      </c>
      <c r="H1238" s="61"/>
      <c r="I1238" s="61"/>
      <c r="J1238" s="61" t="str">
        <f>IF( OR( ISBLANK(#REF!),ISBLANK(F1238), ISBLANK(#REF!), ISBLANK(H1238), ISBLANK(I1238) ), "", 1.5*SQRT(   EXP(2.21*(#REF!-1)) + EXP(2.21*(F1238-1)) + EXP(2.21*(#REF!-1)) + EXP(2.21*(H1238-1)) + EXP(2.21*I1238)   )/100 )</f>
        <v/>
      </c>
      <c r="K1238" s="61"/>
      <c r="L1238" s="62"/>
      <c r="M1238" s="63" t="str">
        <f>IF( OR( ISBLANK(H1238),ISBLANK(I1238), ISBLANK(J1238), ISBLANK(K1238), ISBLANK(L1238) ), "", 1.5*SQRT(   EXP(2.21*(H1238-1)) + EXP(2.21*(I1238-1)) + EXP(2.21*(J1238-1)) + EXP(2.21*(K1238-1)) + EXP(2.21*L1238)   )/100*2.45 )</f>
        <v/>
      </c>
      <c r="N1238" s="235"/>
    </row>
    <row r="1239" spans="1:14" hidden="1" x14ac:dyDescent="0.2">
      <c r="A1239" s="305" t="s">
        <v>189</v>
      </c>
      <c r="B1239" s="285" t="s">
        <v>398</v>
      </c>
      <c r="C1239" s="247" t="s">
        <v>45</v>
      </c>
      <c r="D1239" s="276" t="s">
        <v>135</v>
      </c>
      <c r="E1239" s="311">
        <v>3.860714285714285E-3</v>
      </c>
      <c r="F1239" s="233" t="s">
        <v>400</v>
      </c>
      <c r="G1239" s="234" t="s">
        <v>16</v>
      </c>
      <c r="H1239" s="232">
        <v>1</v>
      </c>
      <c r="I1239" s="232">
        <v>1</v>
      </c>
      <c r="J1239" s="232">
        <v>3</v>
      </c>
      <c r="K1239" s="232">
        <v>2</v>
      </c>
      <c r="L1239" s="283">
        <v>2</v>
      </c>
      <c r="M1239" s="284">
        <f>IF( OR( ISBLANK(H1239),ISBLANK(I1239), ISBLANK(J1239), ISBLANK(K1239), ISBLANK(L1239) ), "", 1.5*SQRT(   EXP(2.21*(H1239-1)) + EXP(2.21*(I1239-1)) + EXP(2.21*(J1239-1)) + EXP(2.21*(K1239-1)) + EXP(2.21*L1239)   )/100*2.45 )</f>
        <v>0.48935255543384243</v>
      </c>
      <c r="N1239" s="235"/>
    </row>
    <row r="1240" spans="1:14" hidden="1" x14ac:dyDescent="0.2">
      <c r="A1240" s="305" t="s">
        <v>189</v>
      </c>
      <c r="B1240" s="285" t="s">
        <v>398</v>
      </c>
      <c r="C1240" s="247" t="s">
        <v>46</v>
      </c>
      <c r="D1240" s="276" t="s">
        <v>135</v>
      </c>
      <c r="E1240" s="311">
        <v>6.0713698630136967E-2</v>
      </c>
      <c r="F1240" s="233" t="s">
        <v>400</v>
      </c>
      <c r="G1240" s="234" t="s">
        <v>16</v>
      </c>
      <c r="H1240" s="232">
        <v>1</v>
      </c>
      <c r="I1240" s="232">
        <v>1</v>
      </c>
      <c r="J1240" s="232">
        <v>3</v>
      </c>
      <c r="K1240" s="232">
        <v>2</v>
      </c>
      <c r="L1240" s="283">
        <v>2</v>
      </c>
      <c r="M1240" s="284">
        <f t="shared" ref="M1240:M1246" si="45">IF( OR( ISBLANK(H1240),ISBLANK(I1240), ISBLANK(J1240), ISBLANK(K1240), ISBLANK(L1240) ), "", 1.5*SQRT( EXP(2.21*(H1240-1)) + EXP(2.21*(I1240-1)) + EXP(2.21*(J1240-1)) + EXP(2.21*(K1240-1)) + EXP(2.21*L1240) )/100*2.45 )</f>
        <v>0.48935255543384243</v>
      </c>
      <c r="N1240" s="235"/>
    </row>
    <row r="1241" spans="1:14" hidden="1" x14ac:dyDescent="0.2">
      <c r="A1241" s="305" t="s">
        <v>189</v>
      </c>
      <c r="B1241" s="285" t="s">
        <v>398</v>
      </c>
      <c r="C1241" s="247" t="s">
        <v>48</v>
      </c>
      <c r="D1241" s="276" t="s">
        <v>135</v>
      </c>
      <c r="E1241" s="311">
        <v>5.2460294117647049E-2</v>
      </c>
      <c r="F1241" s="233" t="s">
        <v>400</v>
      </c>
      <c r="G1241" s="234" t="s">
        <v>16</v>
      </c>
      <c r="H1241" s="232">
        <v>1</v>
      </c>
      <c r="I1241" s="232">
        <v>1</v>
      </c>
      <c r="J1241" s="232">
        <v>3</v>
      </c>
      <c r="K1241" s="232">
        <v>2</v>
      </c>
      <c r="L1241" s="283">
        <v>2</v>
      </c>
      <c r="M1241" s="284">
        <f t="shared" si="45"/>
        <v>0.48935255543384243</v>
      </c>
      <c r="N1241" s="235"/>
    </row>
    <row r="1242" spans="1:14" hidden="1" x14ac:dyDescent="0.2">
      <c r="A1242" s="305" t="s">
        <v>189</v>
      </c>
      <c r="B1242" s="285" t="s">
        <v>398</v>
      </c>
      <c r="C1242" s="247" t="s">
        <v>50</v>
      </c>
      <c r="D1242" s="276" t="s">
        <v>135</v>
      </c>
      <c r="E1242" s="311">
        <v>9.0352238805970139E-2</v>
      </c>
      <c r="F1242" s="233" t="s">
        <v>400</v>
      </c>
      <c r="G1242" s="234" t="s">
        <v>16</v>
      </c>
      <c r="H1242" s="232">
        <v>1</v>
      </c>
      <c r="I1242" s="232">
        <v>1</v>
      </c>
      <c r="J1242" s="232">
        <v>3</v>
      </c>
      <c r="K1242" s="232">
        <v>2</v>
      </c>
      <c r="L1242" s="283">
        <v>2</v>
      </c>
      <c r="M1242" s="284">
        <f t="shared" si="45"/>
        <v>0.48935255543384243</v>
      </c>
      <c r="N1242" s="235"/>
    </row>
    <row r="1243" spans="1:14" hidden="1" x14ac:dyDescent="0.2">
      <c r="A1243" s="305" t="s">
        <v>189</v>
      </c>
      <c r="B1243" s="285" t="s">
        <v>398</v>
      </c>
      <c r="C1243" s="247" t="s">
        <v>52</v>
      </c>
      <c r="D1243" s="276" t="s">
        <v>135</v>
      </c>
      <c r="E1243" s="311">
        <v>6.9492857142857134E-2</v>
      </c>
      <c r="F1243" s="233" t="s">
        <v>400</v>
      </c>
      <c r="G1243" s="234" t="s">
        <v>16</v>
      </c>
      <c r="H1243" s="232">
        <v>1</v>
      </c>
      <c r="I1243" s="232">
        <v>1</v>
      </c>
      <c r="J1243" s="232">
        <v>3</v>
      </c>
      <c r="K1243" s="232">
        <v>2</v>
      </c>
      <c r="L1243" s="283">
        <v>2</v>
      </c>
      <c r="M1243" s="284">
        <f t="shared" si="45"/>
        <v>0.48935255543384243</v>
      </c>
      <c r="N1243" s="235"/>
    </row>
    <row r="1244" spans="1:14" hidden="1" x14ac:dyDescent="0.2">
      <c r="A1244" s="305" t="s">
        <v>189</v>
      </c>
      <c r="B1244" s="285" t="s">
        <v>398</v>
      </c>
      <c r="C1244" s="247" t="s">
        <v>54</v>
      </c>
      <c r="D1244" s="276" t="s">
        <v>135</v>
      </c>
      <c r="E1244" s="311">
        <v>5.4881538461538447E-2</v>
      </c>
      <c r="F1244" s="233" t="s">
        <v>400</v>
      </c>
      <c r="G1244" s="234" t="s">
        <v>16</v>
      </c>
      <c r="H1244" s="232">
        <v>1</v>
      </c>
      <c r="I1244" s="232">
        <v>1</v>
      </c>
      <c r="J1244" s="232">
        <v>3</v>
      </c>
      <c r="K1244" s="232">
        <v>2</v>
      </c>
      <c r="L1244" s="283">
        <v>2</v>
      </c>
      <c r="M1244" s="284">
        <f t="shared" si="45"/>
        <v>0.48935255543384243</v>
      </c>
      <c r="N1244" s="235"/>
    </row>
    <row r="1245" spans="1:14" hidden="1" x14ac:dyDescent="0.2">
      <c r="A1245" s="305" t="s">
        <v>189</v>
      </c>
      <c r="B1245" s="285" t="s">
        <v>398</v>
      </c>
      <c r="C1245" s="247" t="s">
        <v>55</v>
      </c>
      <c r="D1245" s="276" t="s">
        <v>135</v>
      </c>
      <c r="E1245" s="311">
        <v>6.8273684210526306E-2</v>
      </c>
      <c r="F1245" s="233" t="s">
        <v>400</v>
      </c>
      <c r="G1245" s="234" t="s">
        <v>16</v>
      </c>
      <c r="H1245" s="232">
        <v>1</v>
      </c>
      <c r="I1245" s="232">
        <v>1</v>
      </c>
      <c r="J1245" s="232">
        <v>3</v>
      </c>
      <c r="K1245" s="232">
        <v>2</v>
      </c>
      <c r="L1245" s="283">
        <v>2</v>
      </c>
      <c r="M1245" s="284">
        <f t="shared" si="45"/>
        <v>0.48935255543384243</v>
      </c>
      <c r="N1245" s="235"/>
    </row>
    <row r="1246" spans="1:14" hidden="1" x14ac:dyDescent="0.2">
      <c r="A1246" s="305" t="s">
        <v>189</v>
      </c>
      <c r="B1246" s="285" t="s">
        <v>398</v>
      </c>
      <c r="C1246" s="247" t="s">
        <v>57</v>
      </c>
      <c r="D1246" s="276" t="s">
        <v>135</v>
      </c>
      <c r="E1246" s="311">
        <v>1.772131147540983E-3</v>
      </c>
      <c r="F1246" s="233" t="s">
        <v>400</v>
      </c>
      <c r="G1246" s="234" t="s">
        <v>16</v>
      </c>
      <c r="H1246" s="232">
        <v>1</v>
      </c>
      <c r="I1246" s="232">
        <v>1</v>
      </c>
      <c r="J1246" s="232">
        <v>3</v>
      </c>
      <c r="K1246" s="232">
        <v>2</v>
      </c>
      <c r="L1246" s="283">
        <v>2</v>
      </c>
      <c r="M1246" s="284">
        <f t="shared" si="45"/>
        <v>0.48935255543384243</v>
      </c>
      <c r="N1246" s="235"/>
    </row>
    <row r="1247" spans="1:14" hidden="1" x14ac:dyDescent="0.2">
      <c r="A1247" s="305" t="s">
        <v>189</v>
      </c>
      <c r="B1247" s="285" t="s">
        <v>398</v>
      </c>
      <c r="C1247" s="247" t="s">
        <v>59</v>
      </c>
      <c r="D1247" s="276" t="s">
        <v>135</v>
      </c>
      <c r="E1247" s="61">
        <v>0</v>
      </c>
      <c r="F1247" s="233" t="s">
        <v>400</v>
      </c>
      <c r="G1247" s="234" t="s">
        <v>16</v>
      </c>
      <c r="H1247" s="61"/>
      <c r="I1247" s="61"/>
      <c r="J1247" s="61" t="str">
        <f>IF( OR( ISBLANK(#REF!),ISBLANK(F1247), ISBLANK(#REF!), ISBLANK(H1247), ISBLANK(I1247) ), "", 1.5*SQRT(   EXP(2.21*(#REF!-1)) + EXP(2.21*(F1247-1)) + EXP(2.21*(#REF!-1)) + EXP(2.21*(H1247-1)) + EXP(2.21*I1247)   )/100 )</f>
        <v/>
      </c>
      <c r="K1247" s="61"/>
      <c r="L1247" s="62"/>
      <c r="M1247" s="63" t="str">
        <f>IF( OR( ISBLANK(H1247),ISBLANK(I1247), ISBLANK(J1247), ISBLANK(K1247), ISBLANK(L1247) ), "", 1.5*SQRT(   EXP(2.21*(H1247-1)) + EXP(2.21*(I1247-1)) + EXP(2.21*(J1247-1)) + EXP(2.21*(K1247-1)) + EXP(2.21*L1247)   )/100*2.45 )</f>
        <v/>
      </c>
      <c r="N1247" s="235"/>
    </row>
    <row r="1248" spans="1:14" hidden="1" x14ac:dyDescent="0.2">
      <c r="A1248" s="305" t="s">
        <v>189</v>
      </c>
      <c r="B1248" s="285" t="s">
        <v>398</v>
      </c>
      <c r="C1248" s="247" t="s">
        <v>60</v>
      </c>
      <c r="D1248" s="276" t="s">
        <v>135</v>
      </c>
      <c r="E1248" s="311">
        <v>3.2601587301587291E-2</v>
      </c>
      <c r="F1248" s="233" t="s">
        <v>400</v>
      </c>
      <c r="G1248" s="234" t="s">
        <v>16</v>
      </c>
      <c r="H1248" s="232">
        <v>1</v>
      </c>
      <c r="I1248" s="232">
        <v>1</v>
      </c>
      <c r="J1248" s="232">
        <v>3</v>
      </c>
      <c r="K1248" s="232">
        <v>2</v>
      </c>
      <c r="L1248" s="283">
        <v>2</v>
      </c>
      <c r="M1248" s="284">
        <f>IF( OR( ISBLANK(H1248),ISBLANK(I1248), ISBLANK(J1248), ISBLANK(K1248), ISBLANK(L1248) ), "", 1.5*SQRT(   EXP(2.21*(H1248-1)) + EXP(2.21*(I1248-1)) + EXP(2.21*(J1248-1)) + EXP(2.21*(K1248-1)) + EXP(2.21*L1248)   )/100*2.45 )</f>
        <v>0.48935255543384243</v>
      </c>
      <c r="N1248" s="235"/>
    </row>
    <row r="1249" spans="1:14" x14ac:dyDescent="0.2">
      <c r="A1249" s="312" t="s">
        <v>189</v>
      </c>
      <c r="B1249" s="281" t="s">
        <v>399</v>
      </c>
      <c r="C1249" s="238" t="s">
        <v>135</v>
      </c>
      <c r="D1249" s="239" t="s">
        <v>135</v>
      </c>
      <c r="E1249" s="240" t="s">
        <v>188</v>
      </c>
      <c r="F1249" s="241"/>
      <c r="G1249" s="242" t="s">
        <v>16</v>
      </c>
      <c r="H1249" s="240"/>
      <c r="I1249" s="240"/>
      <c r="J1249" s="240"/>
      <c r="K1249" s="240"/>
      <c r="L1249" s="243"/>
      <c r="M1249" s="244" t="str">
        <f>IF( OR( ISBLANK(H1249),ISBLANK(I1249), ISBLANK(J1249), ISBLANK(K1249), ISBLANK(L1249) ), "", 1.5*SQRT(   EXP(2.21*(H1249-1)) + EXP(2.21*(I1249-1)) + EXP(2.21*(J1249-1)) + EXP(2.21*(K1249-1)) + EXP(2.21*L1249)   )/100*2.45 )</f>
        <v/>
      </c>
      <c r="N1249" s="245"/>
    </row>
    <row r="1250" spans="1:14" x14ac:dyDescent="0.2">
      <c r="A1250" s="309" t="s">
        <v>196</v>
      </c>
      <c r="B1250" s="310" t="s">
        <v>440</v>
      </c>
      <c r="C1250" s="222" t="s">
        <v>135</v>
      </c>
      <c r="D1250" s="223" t="s">
        <v>135</v>
      </c>
      <c r="E1250" s="316">
        <v>0.89190000000000003</v>
      </c>
      <c r="F1250" s="323" t="s">
        <v>439</v>
      </c>
      <c r="G1250" s="334" t="s">
        <v>16</v>
      </c>
      <c r="H1250" s="223">
        <v>2</v>
      </c>
      <c r="I1250" s="223">
        <v>3</v>
      </c>
      <c r="J1250" s="223">
        <v>3</v>
      </c>
      <c r="K1250" s="223">
        <v>1</v>
      </c>
      <c r="L1250" s="335">
        <v>2</v>
      </c>
      <c r="M1250" s="336">
        <f>IF( OR( ISBLANK(H1250),ISBLANK(I1250), ISBLANK(J1250), ISBLANK(K1250), ISBLANK(L1250) ), "", 1.5*SQRT( EXP(2.21*(H1250-1)) + EXP(2.21*(I1250-1)) + EXP(2.21*(J1250-1)) + EXP(2.21*(K1250-1)) + EXP(2.21*L1250) )/100*2.45 )</f>
        <v>0.59189702474662764</v>
      </c>
      <c r="N1250" s="229"/>
    </row>
    <row r="1251" spans="1:14" x14ac:dyDescent="0.2">
      <c r="A1251" s="305" t="s">
        <v>196</v>
      </c>
      <c r="B1251" s="285" t="s">
        <v>398</v>
      </c>
      <c r="C1251" s="247" t="s">
        <v>13</v>
      </c>
      <c r="D1251" s="276" t="s">
        <v>135</v>
      </c>
      <c r="E1251" s="61">
        <v>0</v>
      </c>
      <c r="F1251" s="233" t="s">
        <v>400</v>
      </c>
      <c r="G1251" s="234" t="s">
        <v>16</v>
      </c>
      <c r="H1251" s="61"/>
      <c r="I1251" s="61"/>
      <c r="J1251" s="61" t="str">
        <f>IF( OR( ISBLANK(#REF!),ISBLANK(F1251), ISBLANK(#REF!), ISBLANK(H1251), ISBLANK(I1251) ), "", 1.5*SQRT(   EXP(2.21*(#REF!-1)) + EXP(2.21*(F1251-1)) + EXP(2.21*(#REF!-1)) + EXP(2.21*(H1251-1)) + EXP(2.21*I1251)   )/100 )</f>
        <v/>
      </c>
      <c r="K1251" s="61"/>
      <c r="L1251" s="62"/>
      <c r="M1251" s="63" t="str">
        <f>IF( OR( ISBLANK(H1251),ISBLANK(I1251), ISBLANK(J1251), ISBLANK(K1251), ISBLANK(L1251) ), "", 1.5*SQRT( EXP(2.21*(H1251-1)) + EXP(2.21*(I1251-1)) + EXP(2.21*(J1251-1)) + EXP(2.21*(K1251-1)) + EXP(2.21*L1251) )/100*2.45 )</f>
        <v/>
      </c>
      <c r="N1251" s="235"/>
    </row>
    <row r="1252" spans="1:14" hidden="1" x14ac:dyDescent="0.2">
      <c r="A1252" s="305" t="s">
        <v>196</v>
      </c>
      <c r="B1252" s="285" t="s">
        <v>398</v>
      </c>
      <c r="C1252" s="247" t="s">
        <v>18</v>
      </c>
      <c r="D1252" s="276" t="s">
        <v>135</v>
      </c>
      <c r="E1252" s="311">
        <v>3.544262295081967E-3</v>
      </c>
      <c r="F1252" s="233" t="s">
        <v>400</v>
      </c>
      <c r="G1252" s="234" t="s">
        <v>16</v>
      </c>
      <c r="H1252" s="232">
        <v>1</v>
      </c>
      <c r="I1252" s="232">
        <v>1</v>
      </c>
      <c r="J1252" s="232">
        <v>3</v>
      </c>
      <c r="K1252" s="232">
        <v>2</v>
      </c>
      <c r="L1252" s="283">
        <v>2</v>
      </c>
      <c r="M1252" s="284">
        <f>IF( OR( ISBLANK(H1252),ISBLANK(I1252), ISBLANK(J1252), ISBLANK(K1252), ISBLANK(L1252) ), "", 1.5*SQRT(   EXP(2.21*(H1252-1)) + EXP(2.21*(I1252-1)) + EXP(2.21*(J1252-1)) + EXP(2.21*(K1252-1)) + EXP(2.21*L1252)   )/100*2.45 )</f>
        <v>0.48935255543384243</v>
      </c>
      <c r="N1252" s="235"/>
    </row>
    <row r="1253" spans="1:14" hidden="1" x14ac:dyDescent="0.2">
      <c r="A1253" s="305" t="s">
        <v>196</v>
      </c>
      <c r="B1253" s="285" t="s">
        <v>398</v>
      </c>
      <c r="C1253" s="247" t="s">
        <v>20</v>
      </c>
      <c r="D1253" s="276" t="s">
        <v>135</v>
      </c>
      <c r="E1253" s="311">
        <v>9.686883116883116E-2</v>
      </c>
      <c r="F1253" s="233" t="s">
        <v>400</v>
      </c>
      <c r="G1253" s="234" t="s">
        <v>16</v>
      </c>
      <c r="H1253" s="232">
        <v>1</v>
      </c>
      <c r="I1253" s="232">
        <v>1</v>
      </c>
      <c r="J1253" s="232">
        <v>3</v>
      </c>
      <c r="K1253" s="232">
        <v>2</v>
      </c>
      <c r="L1253" s="283">
        <v>2</v>
      </c>
      <c r="M1253" s="284">
        <f t="shared" ref="M1253:M1267" si="46">IF( OR( ISBLANK(H1253),ISBLANK(I1253), ISBLANK(J1253), ISBLANK(K1253), ISBLANK(L1253) ), "", 1.5*SQRT( EXP(2.21*(H1253-1)) + EXP(2.21*(I1253-1)) + EXP(2.21*(J1253-1)) + EXP(2.21*(K1253-1)) + EXP(2.21*L1253) )/100*2.45 )</f>
        <v>0.48935255543384243</v>
      </c>
      <c r="N1253" s="235"/>
    </row>
    <row r="1254" spans="1:14" hidden="1" x14ac:dyDescent="0.2">
      <c r="A1254" s="305" t="s">
        <v>196</v>
      </c>
      <c r="B1254" s="285" t="s">
        <v>398</v>
      </c>
      <c r="C1254" s="247" t="s">
        <v>22</v>
      </c>
      <c r="D1254" s="276" t="s">
        <v>135</v>
      </c>
      <c r="E1254" s="311">
        <v>0.10059305555555551</v>
      </c>
      <c r="F1254" s="233" t="s">
        <v>400</v>
      </c>
      <c r="G1254" s="234" t="s">
        <v>16</v>
      </c>
      <c r="H1254" s="232">
        <v>1</v>
      </c>
      <c r="I1254" s="232">
        <v>1</v>
      </c>
      <c r="J1254" s="232">
        <v>3</v>
      </c>
      <c r="K1254" s="232">
        <v>2</v>
      </c>
      <c r="L1254" s="283">
        <v>2</v>
      </c>
      <c r="M1254" s="284">
        <f t="shared" si="46"/>
        <v>0.48935255543384243</v>
      </c>
      <c r="N1254" s="235"/>
    </row>
    <row r="1255" spans="1:14" hidden="1" x14ac:dyDescent="0.2">
      <c r="A1255" s="305" t="s">
        <v>196</v>
      </c>
      <c r="B1255" s="285" t="s">
        <v>398</v>
      </c>
      <c r="C1255" s="247" t="s">
        <v>23</v>
      </c>
      <c r="D1255" s="276" t="s">
        <v>135</v>
      </c>
      <c r="E1255" s="311">
        <v>0.1051383561643835</v>
      </c>
      <c r="F1255" s="233" t="s">
        <v>400</v>
      </c>
      <c r="G1255" s="234" t="s">
        <v>16</v>
      </c>
      <c r="H1255" s="232">
        <v>1</v>
      </c>
      <c r="I1255" s="232">
        <v>1</v>
      </c>
      <c r="J1255" s="232">
        <v>3</v>
      </c>
      <c r="K1255" s="232">
        <v>2</v>
      </c>
      <c r="L1255" s="283">
        <v>2</v>
      </c>
      <c r="M1255" s="284">
        <f t="shared" si="46"/>
        <v>0.48935255543384243</v>
      </c>
      <c r="N1255" s="235"/>
    </row>
    <row r="1256" spans="1:14" hidden="1" x14ac:dyDescent="0.2">
      <c r="A1256" s="305" t="s">
        <v>196</v>
      </c>
      <c r="B1256" s="285" t="s">
        <v>398</v>
      </c>
      <c r="C1256" s="247" t="s">
        <v>24</v>
      </c>
      <c r="D1256" s="276" t="s">
        <v>135</v>
      </c>
      <c r="E1256" s="311">
        <v>6.9113114754098343E-2</v>
      </c>
      <c r="F1256" s="233" t="s">
        <v>400</v>
      </c>
      <c r="G1256" s="234" t="s">
        <v>16</v>
      </c>
      <c r="H1256" s="232">
        <v>1</v>
      </c>
      <c r="I1256" s="232">
        <v>1</v>
      </c>
      <c r="J1256" s="232">
        <v>3</v>
      </c>
      <c r="K1256" s="232">
        <v>2</v>
      </c>
      <c r="L1256" s="283">
        <v>2</v>
      </c>
      <c r="M1256" s="284">
        <f t="shared" si="46"/>
        <v>0.48935255543384243</v>
      </c>
      <c r="N1256" s="235"/>
    </row>
    <row r="1257" spans="1:14" hidden="1" x14ac:dyDescent="0.2">
      <c r="A1257" s="305" t="s">
        <v>196</v>
      </c>
      <c r="B1257" s="285" t="s">
        <v>398</v>
      </c>
      <c r="C1257" s="247" t="s">
        <v>25</v>
      </c>
      <c r="D1257" s="276" t="s">
        <v>135</v>
      </c>
      <c r="E1257" s="311">
        <v>3.603333333333333E-3</v>
      </c>
      <c r="F1257" s="233" t="s">
        <v>400</v>
      </c>
      <c r="G1257" s="234" t="s">
        <v>16</v>
      </c>
      <c r="H1257" s="232">
        <v>1</v>
      </c>
      <c r="I1257" s="232">
        <v>1</v>
      </c>
      <c r="J1257" s="232">
        <v>3</v>
      </c>
      <c r="K1257" s="232">
        <v>2</v>
      </c>
      <c r="L1257" s="283">
        <v>2</v>
      </c>
      <c r="M1257" s="284">
        <f t="shared" si="46"/>
        <v>0.48935255543384243</v>
      </c>
      <c r="N1257" s="235"/>
    </row>
    <row r="1258" spans="1:14" hidden="1" x14ac:dyDescent="0.2">
      <c r="A1258" s="305" t="s">
        <v>196</v>
      </c>
      <c r="B1258" s="285" t="s">
        <v>398</v>
      </c>
      <c r="C1258" s="247" t="s">
        <v>26</v>
      </c>
      <c r="D1258" s="276" t="s">
        <v>135</v>
      </c>
      <c r="E1258" s="311">
        <v>3.2757575757575749E-2</v>
      </c>
      <c r="F1258" s="233" t="s">
        <v>400</v>
      </c>
      <c r="G1258" s="234" t="s">
        <v>16</v>
      </c>
      <c r="H1258" s="232">
        <v>1</v>
      </c>
      <c r="I1258" s="232">
        <v>1</v>
      </c>
      <c r="J1258" s="232">
        <v>3</v>
      </c>
      <c r="K1258" s="232">
        <v>2</v>
      </c>
      <c r="L1258" s="283">
        <v>2</v>
      </c>
      <c r="M1258" s="284">
        <f t="shared" si="46"/>
        <v>0.48935255543384243</v>
      </c>
      <c r="N1258" s="235"/>
    </row>
    <row r="1259" spans="1:14" hidden="1" x14ac:dyDescent="0.2">
      <c r="A1259" s="305" t="s">
        <v>196</v>
      </c>
      <c r="B1259" s="285" t="s">
        <v>398</v>
      </c>
      <c r="C1259" s="247" t="s">
        <v>27</v>
      </c>
      <c r="D1259" s="276" t="s">
        <v>135</v>
      </c>
      <c r="E1259" s="311">
        <v>2.7367088607594928E-3</v>
      </c>
      <c r="F1259" s="233" t="s">
        <v>400</v>
      </c>
      <c r="G1259" s="234" t="s">
        <v>16</v>
      </c>
      <c r="H1259" s="232">
        <v>1</v>
      </c>
      <c r="I1259" s="232">
        <v>1</v>
      </c>
      <c r="J1259" s="232">
        <v>3</v>
      </c>
      <c r="K1259" s="232">
        <v>2</v>
      </c>
      <c r="L1259" s="283">
        <v>2</v>
      </c>
      <c r="M1259" s="284">
        <f t="shared" si="46"/>
        <v>0.48935255543384243</v>
      </c>
      <c r="N1259" s="235"/>
    </row>
    <row r="1260" spans="1:14" hidden="1" x14ac:dyDescent="0.2">
      <c r="A1260" s="305" t="s">
        <v>196</v>
      </c>
      <c r="B1260" s="285" t="s">
        <v>398</v>
      </c>
      <c r="C1260" s="247" t="s">
        <v>28</v>
      </c>
      <c r="D1260" s="276" t="s">
        <v>135</v>
      </c>
      <c r="E1260" s="311">
        <v>4.4681333333333323E-2</v>
      </c>
      <c r="F1260" s="233" t="s">
        <v>400</v>
      </c>
      <c r="G1260" s="234" t="s">
        <v>16</v>
      </c>
      <c r="H1260" s="232">
        <v>1</v>
      </c>
      <c r="I1260" s="232">
        <v>1</v>
      </c>
      <c r="J1260" s="232">
        <v>3</v>
      </c>
      <c r="K1260" s="232">
        <v>2</v>
      </c>
      <c r="L1260" s="283">
        <v>2</v>
      </c>
      <c r="M1260" s="284">
        <f t="shared" si="46"/>
        <v>0.48935255543384243</v>
      </c>
      <c r="N1260" s="235"/>
    </row>
    <row r="1261" spans="1:14" hidden="1" x14ac:dyDescent="0.2">
      <c r="A1261" s="305" t="s">
        <v>196</v>
      </c>
      <c r="B1261" s="285" t="s">
        <v>398</v>
      </c>
      <c r="C1261" s="247" t="s">
        <v>30</v>
      </c>
      <c r="D1261" s="276" t="s">
        <v>135</v>
      </c>
      <c r="E1261" s="311">
        <v>1.8637931034482761E-3</v>
      </c>
      <c r="F1261" s="233" t="s">
        <v>400</v>
      </c>
      <c r="G1261" s="234" t="s">
        <v>16</v>
      </c>
      <c r="H1261" s="232">
        <v>1</v>
      </c>
      <c r="I1261" s="232">
        <v>1</v>
      </c>
      <c r="J1261" s="232">
        <v>3</v>
      </c>
      <c r="K1261" s="232">
        <v>2</v>
      </c>
      <c r="L1261" s="283">
        <v>2</v>
      </c>
      <c r="M1261" s="284">
        <f t="shared" si="46"/>
        <v>0.48935255543384243</v>
      </c>
      <c r="N1261" s="235"/>
    </row>
    <row r="1262" spans="1:14" hidden="1" x14ac:dyDescent="0.2">
      <c r="A1262" s="305" t="s">
        <v>196</v>
      </c>
      <c r="B1262" s="285" t="s">
        <v>398</v>
      </c>
      <c r="C1262" s="247" t="s">
        <v>32</v>
      </c>
      <c r="D1262" s="276" t="s">
        <v>135</v>
      </c>
      <c r="E1262" s="311">
        <v>0.1052173333333333</v>
      </c>
      <c r="F1262" s="233" t="s">
        <v>400</v>
      </c>
      <c r="G1262" s="234" t="s">
        <v>16</v>
      </c>
      <c r="H1262" s="232">
        <v>1</v>
      </c>
      <c r="I1262" s="232">
        <v>1</v>
      </c>
      <c r="J1262" s="232">
        <v>3</v>
      </c>
      <c r="K1262" s="232">
        <v>2</v>
      </c>
      <c r="L1262" s="283">
        <v>2</v>
      </c>
      <c r="M1262" s="284">
        <f t="shared" si="46"/>
        <v>0.48935255543384243</v>
      </c>
      <c r="N1262" s="235"/>
    </row>
    <row r="1263" spans="1:14" hidden="1" x14ac:dyDescent="0.2">
      <c r="A1263" s="305" t="s">
        <v>196</v>
      </c>
      <c r="B1263" s="285" t="s">
        <v>398</v>
      </c>
      <c r="C1263" s="247" t="s">
        <v>34</v>
      </c>
      <c r="D1263" s="276" t="s">
        <v>135</v>
      </c>
      <c r="E1263" s="311">
        <v>7.8996153846153841E-2</v>
      </c>
      <c r="F1263" s="233" t="s">
        <v>400</v>
      </c>
      <c r="G1263" s="234" t="s">
        <v>16</v>
      </c>
      <c r="H1263" s="232">
        <v>1</v>
      </c>
      <c r="I1263" s="232">
        <v>1</v>
      </c>
      <c r="J1263" s="232">
        <v>3</v>
      </c>
      <c r="K1263" s="232">
        <v>2</v>
      </c>
      <c r="L1263" s="283">
        <v>2</v>
      </c>
      <c r="M1263" s="284">
        <f t="shared" si="46"/>
        <v>0.48935255543384243</v>
      </c>
      <c r="N1263" s="235"/>
    </row>
    <row r="1264" spans="1:14" hidden="1" x14ac:dyDescent="0.2">
      <c r="A1264" s="305" t="s">
        <v>196</v>
      </c>
      <c r="B1264" s="285" t="s">
        <v>398</v>
      </c>
      <c r="C1264" s="247" t="s">
        <v>36</v>
      </c>
      <c r="D1264" s="276" t="s">
        <v>135</v>
      </c>
      <c r="E1264" s="311">
        <v>1.3702816901408449E-2</v>
      </c>
      <c r="F1264" s="233" t="s">
        <v>400</v>
      </c>
      <c r="G1264" s="234" t="s">
        <v>16</v>
      </c>
      <c r="H1264" s="232">
        <v>1</v>
      </c>
      <c r="I1264" s="232">
        <v>1</v>
      </c>
      <c r="J1264" s="232">
        <v>3</v>
      </c>
      <c r="K1264" s="232">
        <v>2</v>
      </c>
      <c r="L1264" s="283">
        <v>2</v>
      </c>
      <c r="M1264" s="284">
        <f t="shared" si="46"/>
        <v>0.48935255543384243</v>
      </c>
      <c r="N1264" s="235"/>
    </row>
    <row r="1265" spans="1:14" hidden="1" x14ac:dyDescent="0.2">
      <c r="A1265" s="305" t="s">
        <v>196</v>
      </c>
      <c r="B1265" s="285" t="s">
        <v>398</v>
      </c>
      <c r="C1265" s="247" t="s">
        <v>37</v>
      </c>
      <c r="D1265" s="276" t="s">
        <v>135</v>
      </c>
      <c r="E1265" s="311">
        <v>5.2412121212121202E-2</v>
      </c>
      <c r="F1265" s="233" t="s">
        <v>400</v>
      </c>
      <c r="G1265" s="234" t="s">
        <v>16</v>
      </c>
      <c r="H1265" s="232">
        <v>1</v>
      </c>
      <c r="I1265" s="232">
        <v>1</v>
      </c>
      <c r="J1265" s="232">
        <v>3</v>
      </c>
      <c r="K1265" s="232">
        <v>2</v>
      </c>
      <c r="L1265" s="283">
        <v>2</v>
      </c>
      <c r="M1265" s="284">
        <f t="shared" si="46"/>
        <v>0.48935255543384243</v>
      </c>
      <c r="N1265" s="235"/>
    </row>
    <row r="1266" spans="1:14" hidden="1" x14ac:dyDescent="0.2">
      <c r="A1266" s="305" t="s">
        <v>196</v>
      </c>
      <c r="B1266" s="285" t="s">
        <v>398</v>
      </c>
      <c r="C1266" s="247" t="s">
        <v>39</v>
      </c>
      <c r="D1266" s="276" t="s">
        <v>135</v>
      </c>
      <c r="E1266" s="311">
        <v>0.1048242424242424</v>
      </c>
      <c r="F1266" s="233" t="s">
        <v>400</v>
      </c>
      <c r="G1266" s="234" t="s">
        <v>16</v>
      </c>
      <c r="H1266" s="232">
        <v>1</v>
      </c>
      <c r="I1266" s="232">
        <v>1</v>
      </c>
      <c r="J1266" s="232">
        <v>3</v>
      </c>
      <c r="K1266" s="232">
        <v>2</v>
      </c>
      <c r="L1266" s="283">
        <v>2</v>
      </c>
      <c r="M1266" s="284">
        <f t="shared" si="46"/>
        <v>0.48935255543384243</v>
      </c>
      <c r="N1266" s="235"/>
    </row>
    <row r="1267" spans="1:14" hidden="1" x14ac:dyDescent="0.2">
      <c r="A1267" s="305" t="s">
        <v>196</v>
      </c>
      <c r="B1267" s="285" t="s">
        <v>398</v>
      </c>
      <c r="C1267" s="247" t="s">
        <v>40</v>
      </c>
      <c r="D1267" s="276" t="s">
        <v>135</v>
      </c>
      <c r="E1267" s="311">
        <v>6.6636986301369855E-2</v>
      </c>
      <c r="F1267" s="233" t="s">
        <v>400</v>
      </c>
      <c r="G1267" s="234" t="s">
        <v>16</v>
      </c>
      <c r="H1267" s="232">
        <v>1</v>
      </c>
      <c r="I1267" s="232">
        <v>1</v>
      </c>
      <c r="J1267" s="232">
        <v>3</v>
      </c>
      <c r="K1267" s="232">
        <v>2</v>
      </c>
      <c r="L1267" s="283">
        <v>2</v>
      </c>
      <c r="M1267" s="284">
        <f t="shared" si="46"/>
        <v>0.48935255543384243</v>
      </c>
      <c r="N1267" s="235"/>
    </row>
    <row r="1268" spans="1:14" hidden="1" x14ac:dyDescent="0.2">
      <c r="A1268" s="305" t="s">
        <v>196</v>
      </c>
      <c r="B1268" s="285" t="s">
        <v>398</v>
      </c>
      <c r="C1268" s="247" t="s">
        <v>41</v>
      </c>
      <c r="D1268" s="276" t="s">
        <v>135</v>
      </c>
      <c r="E1268" s="61">
        <v>0</v>
      </c>
      <c r="F1268" s="233" t="s">
        <v>400</v>
      </c>
      <c r="G1268" s="234" t="s">
        <v>16</v>
      </c>
      <c r="H1268" s="61"/>
      <c r="I1268" s="61"/>
      <c r="J1268" s="61" t="str">
        <f>IF( OR( ISBLANK(#REF!),ISBLANK(F1268), ISBLANK(#REF!), ISBLANK(H1268), ISBLANK(I1268) ), "", 1.5*SQRT(   EXP(2.21*(#REF!-1)) + EXP(2.21*(F1268-1)) + EXP(2.21*(#REF!-1)) + EXP(2.21*(H1268-1)) + EXP(2.21*I1268)   )/100 )</f>
        <v/>
      </c>
      <c r="K1268" s="61"/>
      <c r="L1268" s="62"/>
      <c r="M1268" s="63" t="str">
        <f>IF( OR( ISBLANK(H1268),ISBLANK(I1268), ISBLANK(J1268), ISBLANK(K1268), ISBLANK(L1268) ), "", 1.5*SQRT(   EXP(2.21*(H1268-1)) + EXP(2.21*(I1268-1)) + EXP(2.21*(J1268-1)) + EXP(2.21*(K1268-1)) + EXP(2.21*L1268)   )/100*2.45 )</f>
        <v/>
      </c>
      <c r="N1268" s="235"/>
    </row>
    <row r="1269" spans="1:14" hidden="1" x14ac:dyDescent="0.2">
      <c r="A1269" s="305" t="s">
        <v>196</v>
      </c>
      <c r="B1269" s="285" t="s">
        <v>398</v>
      </c>
      <c r="C1269" s="247" t="s">
        <v>42</v>
      </c>
      <c r="D1269" s="276" t="s">
        <v>135</v>
      </c>
      <c r="E1269" s="311">
        <v>0.1052922077922078</v>
      </c>
      <c r="F1269" s="233" t="s">
        <v>400</v>
      </c>
      <c r="G1269" s="234" t="s">
        <v>16</v>
      </c>
      <c r="H1269" s="232">
        <v>1</v>
      </c>
      <c r="I1269" s="232">
        <v>1</v>
      </c>
      <c r="J1269" s="232">
        <v>3</v>
      </c>
      <c r="K1269" s="232">
        <v>2</v>
      </c>
      <c r="L1269" s="283">
        <v>2</v>
      </c>
      <c r="M1269" s="284">
        <f>IF( OR( ISBLANK(H1269),ISBLANK(I1269), ISBLANK(J1269), ISBLANK(K1269), ISBLANK(L1269) ), "", 1.5*SQRT(   EXP(2.21*(H1269-1)) + EXP(2.21*(I1269-1)) + EXP(2.21*(J1269-1)) + EXP(2.21*(K1269-1)) + EXP(2.21*L1269)   )/100*2.45 )</f>
        <v>0.48935255543384243</v>
      </c>
      <c r="N1269" s="235"/>
    </row>
    <row r="1270" spans="1:14" hidden="1" x14ac:dyDescent="0.2">
      <c r="A1270" s="305" t="s">
        <v>196</v>
      </c>
      <c r="B1270" s="285" t="s">
        <v>398</v>
      </c>
      <c r="C1270" s="247" t="s">
        <v>43</v>
      </c>
      <c r="D1270" s="276" t="s">
        <v>135</v>
      </c>
      <c r="E1270" s="61">
        <v>0</v>
      </c>
      <c r="F1270" s="233" t="s">
        <v>400</v>
      </c>
      <c r="G1270" s="234" t="s">
        <v>16</v>
      </c>
      <c r="H1270" s="61"/>
      <c r="I1270" s="61"/>
      <c r="J1270" s="61" t="str">
        <f>IF( OR( ISBLANK(#REF!),ISBLANK(F1270), ISBLANK(#REF!), ISBLANK(H1270), ISBLANK(I1270) ), "", 1.5*SQRT(   EXP(2.21*(#REF!-1)) + EXP(2.21*(F1270-1)) + EXP(2.21*(#REF!-1)) + EXP(2.21*(H1270-1)) + EXP(2.21*I1270)   )/100 )</f>
        <v/>
      </c>
      <c r="K1270" s="61"/>
      <c r="L1270" s="62"/>
      <c r="M1270" s="63" t="str">
        <f>IF( OR( ISBLANK(H1270),ISBLANK(I1270), ISBLANK(J1270), ISBLANK(K1270), ISBLANK(L1270) ), "", 1.5*SQRT(   EXP(2.21*(H1270-1)) + EXP(2.21*(I1270-1)) + EXP(2.21*(J1270-1)) + EXP(2.21*(K1270-1)) + EXP(2.21*L1270)   )/100*2.45 )</f>
        <v/>
      </c>
      <c r="N1270" s="235"/>
    </row>
    <row r="1271" spans="1:14" hidden="1" x14ac:dyDescent="0.2">
      <c r="A1271" s="305" t="s">
        <v>196</v>
      </c>
      <c r="B1271" s="285" t="s">
        <v>398</v>
      </c>
      <c r="C1271" s="247" t="s">
        <v>45</v>
      </c>
      <c r="D1271" s="276" t="s">
        <v>135</v>
      </c>
      <c r="E1271" s="311">
        <v>3.860714285714285E-3</v>
      </c>
      <c r="F1271" s="233" t="s">
        <v>400</v>
      </c>
      <c r="G1271" s="234" t="s">
        <v>16</v>
      </c>
      <c r="H1271" s="232">
        <v>1</v>
      </c>
      <c r="I1271" s="232">
        <v>1</v>
      </c>
      <c r="J1271" s="232">
        <v>3</v>
      </c>
      <c r="K1271" s="232">
        <v>2</v>
      </c>
      <c r="L1271" s="283">
        <v>2</v>
      </c>
      <c r="M1271" s="284">
        <f>IF( OR( ISBLANK(H1271),ISBLANK(I1271), ISBLANK(J1271), ISBLANK(K1271), ISBLANK(L1271) ), "", 1.5*SQRT(   EXP(2.21*(H1271-1)) + EXP(2.21*(I1271-1)) + EXP(2.21*(J1271-1)) + EXP(2.21*(K1271-1)) + EXP(2.21*L1271)   )/100*2.45 )</f>
        <v>0.48935255543384243</v>
      </c>
      <c r="N1271" s="235"/>
    </row>
    <row r="1272" spans="1:14" hidden="1" x14ac:dyDescent="0.2">
      <c r="A1272" s="305" t="s">
        <v>196</v>
      </c>
      <c r="B1272" s="285" t="s">
        <v>398</v>
      </c>
      <c r="C1272" s="247" t="s">
        <v>46</v>
      </c>
      <c r="D1272" s="276" t="s">
        <v>135</v>
      </c>
      <c r="E1272" s="311">
        <v>6.0713698630136967E-2</v>
      </c>
      <c r="F1272" s="233" t="s">
        <v>400</v>
      </c>
      <c r="G1272" s="234" t="s">
        <v>16</v>
      </c>
      <c r="H1272" s="232">
        <v>1</v>
      </c>
      <c r="I1272" s="232">
        <v>1</v>
      </c>
      <c r="J1272" s="232">
        <v>3</v>
      </c>
      <c r="K1272" s="232">
        <v>2</v>
      </c>
      <c r="L1272" s="283">
        <v>2</v>
      </c>
      <c r="M1272" s="284">
        <f t="shared" ref="M1272:M1278" si="47">IF( OR( ISBLANK(H1272),ISBLANK(I1272), ISBLANK(J1272), ISBLANK(K1272), ISBLANK(L1272) ), "", 1.5*SQRT( EXP(2.21*(H1272-1)) + EXP(2.21*(I1272-1)) + EXP(2.21*(J1272-1)) + EXP(2.21*(K1272-1)) + EXP(2.21*L1272) )/100*2.45 )</f>
        <v>0.48935255543384243</v>
      </c>
      <c r="N1272" s="235"/>
    </row>
    <row r="1273" spans="1:14" hidden="1" x14ac:dyDescent="0.2">
      <c r="A1273" s="305" t="s">
        <v>196</v>
      </c>
      <c r="B1273" s="285" t="s">
        <v>398</v>
      </c>
      <c r="C1273" s="247" t="s">
        <v>48</v>
      </c>
      <c r="D1273" s="276" t="s">
        <v>135</v>
      </c>
      <c r="E1273" s="311">
        <v>5.2460294117647049E-2</v>
      </c>
      <c r="F1273" s="233" t="s">
        <v>400</v>
      </c>
      <c r="G1273" s="234" t="s">
        <v>16</v>
      </c>
      <c r="H1273" s="232">
        <v>1</v>
      </c>
      <c r="I1273" s="232">
        <v>1</v>
      </c>
      <c r="J1273" s="232">
        <v>3</v>
      </c>
      <c r="K1273" s="232">
        <v>2</v>
      </c>
      <c r="L1273" s="283">
        <v>2</v>
      </c>
      <c r="M1273" s="284">
        <f t="shared" si="47"/>
        <v>0.48935255543384243</v>
      </c>
      <c r="N1273" s="235"/>
    </row>
    <row r="1274" spans="1:14" hidden="1" x14ac:dyDescent="0.2">
      <c r="A1274" s="305" t="s">
        <v>196</v>
      </c>
      <c r="B1274" s="285" t="s">
        <v>398</v>
      </c>
      <c r="C1274" s="247" t="s">
        <v>50</v>
      </c>
      <c r="D1274" s="276" t="s">
        <v>135</v>
      </c>
      <c r="E1274" s="311">
        <v>9.0352238805970139E-2</v>
      </c>
      <c r="F1274" s="233" t="s">
        <v>400</v>
      </c>
      <c r="G1274" s="234" t="s">
        <v>16</v>
      </c>
      <c r="H1274" s="232">
        <v>1</v>
      </c>
      <c r="I1274" s="232">
        <v>1</v>
      </c>
      <c r="J1274" s="232">
        <v>3</v>
      </c>
      <c r="K1274" s="232">
        <v>2</v>
      </c>
      <c r="L1274" s="283">
        <v>2</v>
      </c>
      <c r="M1274" s="284">
        <f t="shared" si="47"/>
        <v>0.48935255543384243</v>
      </c>
      <c r="N1274" s="235"/>
    </row>
    <row r="1275" spans="1:14" hidden="1" x14ac:dyDescent="0.2">
      <c r="A1275" s="305" t="s">
        <v>196</v>
      </c>
      <c r="B1275" s="285" t="s">
        <v>398</v>
      </c>
      <c r="C1275" s="247" t="s">
        <v>52</v>
      </c>
      <c r="D1275" s="276" t="s">
        <v>135</v>
      </c>
      <c r="E1275" s="311">
        <v>6.9492857142857134E-2</v>
      </c>
      <c r="F1275" s="233" t="s">
        <v>400</v>
      </c>
      <c r="G1275" s="234" t="s">
        <v>16</v>
      </c>
      <c r="H1275" s="232">
        <v>1</v>
      </c>
      <c r="I1275" s="232">
        <v>1</v>
      </c>
      <c r="J1275" s="232">
        <v>3</v>
      </c>
      <c r="K1275" s="232">
        <v>2</v>
      </c>
      <c r="L1275" s="283">
        <v>2</v>
      </c>
      <c r="M1275" s="284">
        <f t="shared" si="47"/>
        <v>0.48935255543384243</v>
      </c>
      <c r="N1275" s="235"/>
    </row>
    <row r="1276" spans="1:14" hidden="1" x14ac:dyDescent="0.2">
      <c r="A1276" s="305" t="s">
        <v>196</v>
      </c>
      <c r="B1276" s="285" t="s">
        <v>398</v>
      </c>
      <c r="C1276" s="247" t="s">
        <v>54</v>
      </c>
      <c r="D1276" s="276" t="s">
        <v>135</v>
      </c>
      <c r="E1276" s="311">
        <v>5.4881538461538447E-2</v>
      </c>
      <c r="F1276" s="233" t="s">
        <v>400</v>
      </c>
      <c r="G1276" s="234" t="s">
        <v>16</v>
      </c>
      <c r="H1276" s="232">
        <v>1</v>
      </c>
      <c r="I1276" s="232">
        <v>1</v>
      </c>
      <c r="J1276" s="232">
        <v>3</v>
      </c>
      <c r="K1276" s="232">
        <v>2</v>
      </c>
      <c r="L1276" s="283">
        <v>2</v>
      </c>
      <c r="M1276" s="284">
        <f t="shared" si="47"/>
        <v>0.48935255543384243</v>
      </c>
      <c r="N1276" s="235"/>
    </row>
    <row r="1277" spans="1:14" hidden="1" x14ac:dyDescent="0.2">
      <c r="A1277" s="305" t="s">
        <v>196</v>
      </c>
      <c r="B1277" s="285" t="s">
        <v>398</v>
      </c>
      <c r="C1277" s="247" t="s">
        <v>55</v>
      </c>
      <c r="D1277" s="276" t="s">
        <v>135</v>
      </c>
      <c r="E1277" s="311">
        <v>6.8273684210526306E-2</v>
      </c>
      <c r="F1277" s="233" t="s">
        <v>400</v>
      </c>
      <c r="G1277" s="234" t="s">
        <v>16</v>
      </c>
      <c r="H1277" s="232">
        <v>1</v>
      </c>
      <c r="I1277" s="232">
        <v>1</v>
      </c>
      <c r="J1277" s="232">
        <v>3</v>
      </c>
      <c r="K1277" s="232">
        <v>2</v>
      </c>
      <c r="L1277" s="283">
        <v>2</v>
      </c>
      <c r="M1277" s="284">
        <f t="shared" si="47"/>
        <v>0.48935255543384243</v>
      </c>
      <c r="N1277" s="235"/>
    </row>
    <row r="1278" spans="1:14" hidden="1" x14ac:dyDescent="0.2">
      <c r="A1278" s="305" t="s">
        <v>196</v>
      </c>
      <c r="B1278" s="285" t="s">
        <v>398</v>
      </c>
      <c r="C1278" s="247" t="s">
        <v>57</v>
      </c>
      <c r="D1278" s="276" t="s">
        <v>135</v>
      </c>
      <c r="E1278" s="311">
        <v>1.772131147540983E-3</v>
      </c>
      <c r="F1278" s="233" t="s">
        <v>400</v>
      </c>
      <c r="G1278" s="234" t="s">
        <v>16</v>
      </c>
      <c r="H1278" s="232">
        <v>1</v>
      </c>
      <c r="I1278" s="232">
        <v>1</v>
      </c>
      <c r="J1278" s="232">
        <v>3</v>
      </c>
      <c r="K1278" s="232">
        <v>2</v>
      </c>
      <c r="L1278" s="283">
        <v>2</v>
      </c>
      <c r="M1278" s="284">
        <f t="shared" si="47"/>
        <v>0.48935255543384243</v>
      </c>
      <c r="N1278" s="235"/>
    </row>
    <row r="1279" spans="1:14" hidden="1" x14ac:dyDescent="0.2">
      <c r="A1279" s="305" t="s">
        <v>196</v>
      </c>
      <c r="B1279" s="285" t="s">
        <v>398</v>
      </c>
      <c r="C1279" s="247" t="s">
        <v>59</v>
      </c>
      <c r="D1279" s="276" t="s">
        <v>135</v>
      </c>
      <c r="E1279" s="61">
        <v>0</v>
      </c>
      <c r="F1279" s="233" t="s">
        <v>400</v>
      </c>
      <c r="G1279" s="234" t="s">
        <v>16</v>
      </c>
      <c r="H1279" s="61"/>
      <c r="I1279" s="61"/>
      <c r="J1279" s="61" t="str">
        <f>IF( OR( ISBLANK(#REF!),ISBLANK(F1279), ISBLANK(#REF!), ISBLANK(H1279), ISBLANK(I1279) ), "", 1.5*SQRT(   EXP(2.21*(#REF!-1)) + EXP(2.21*(F1279-1)) + EXP(2.21*(#REF!-1)) + EXP(2.21*(H1279-1)) + EXP(2.21*I1279)   )/100 )</f>
        <v/>
      </c>
      <c r="K1279" s="61"/>
      <c r="L1279" s="62"/>
      <c r="M1279" s="63" t="str">
        <f t="shared" ref="M1279:M1284" si="48">IF( OR( ISBLANK(H1279),ISBLANK(I1279), ISBLANK(J1279), ISBLANK(K1279), ISBLANK(L1279) ), "", 1.5*SQRT(   EXP(2.21*(H1279-1)) + EXP(2.21*(I1279-1)) + EXP(2.21*(J1279-1)) + EXP(2.21*(K1279-1)) + EXP(2.21*L1279)   )/100*2.45 )</f>
        <v/>
      </c>
      <c r="N1279" s="235"/>
    </row>
    <row r="1280" spans="1:14" hidden="1" x14ac:dyDescent="0.2">
      <c r="A1280" s="305" t="s">
        <v>196</v>
      </c>
      <c r="B1280" s="285" t="s">
        <v>398</v>
      </c>
      <c r="C1280" s="247" t="s">
        <v>60</v>
      </c>
      <c r="D1280" s="276" t="s">
        <v>135</v>
      </c>
      <c r="E1280" s="311">
        <v>3.2601587301587291E-2</v>
      </c>
      <c r="F1280" s="233" t="s">
        <v>400</v>
      </c>
      <c r="G1280" s="234" t="s">
        <v>16</v>
      </c>
      <c r="H1280" s="232">
        <v>1</v>
      </c>
      <c r="I1280" s="232">
        <v>1</v>
      </c>
      <c r="J1280" s="232">
        <v>3</v>
      </c>
      <c r="K1280" s="232">
        <v>2</v>
      </c>
      <c r="L1280" s="283">
        <v>2</v>
      </c>
      <c r="M1280" s="284">
        <f t="shared" si="48"/>
        <v>0.48935255543384243</v>
      </c>
      <c r="N1280" s="235"/>
    </row>
    <row r="1281" spans="1:14" x14ac:dyDescent="0.2">
      <c r="A1281" s="312" t="s">
        <v>196</v>
      </c>
      <c r="B1281" s="281" t="s">
        <v>399</v>
      </c>
      <c r="C1281" s="238" t="s">
        <v>135</v>
      </c>
      <c r="D1281" s="239" t="s">
        <v>135</v>
      </c>
      <c r="E1281" s="240" t="s">
        <v>188</v>
      </c>
      <c r="F1281" s="241"/>
      <c r="G1281" s="242" t="s">
        <v>16</v>
      </c>
      <c r="H1281" s="240"/>
      <c r="I1281" s="240"/>
      <c r="J1281" s="240"/>
      <c r="K1281" s="240"/>
      <c r="L1281" s="243"/>
      <c r="M1281" s="244" t="str">
        <f t="shared" si="48"/>
        <v/>
      </c>
      <c r="N1281" s="245"/>
    </row>
    <row r="1282" spans="1:14" x14ac:dyDescent="0.2">
      <c r="A1282" s="309" t="s">
        <v>395</v>
      </c>
      <c r="B1282" s="310" t="s">
        <v>440</v>
      </c>
      <c r="C1282" s="337" t="s">
        <v>135</v>
      </c>
      <c r="D1282" s="223" t="s">
        <v>135</v>
      </c>
      <c r="E1282" s="316">
        <v>0.35</v>
      </c>
      <c r="F1282" s="225" t="s">
        <v>441</v>
      </c>
      <c r="G1282" s="334" t="s">
        <v>16</v>
      </c>
      <c r="H1282" s="223">
        <v>2</v>
      </c>
      <c r="I1282" s="223">
        <v>1</v>
      </c>
      <c r="J1282" s="223">
        <v>3</v>
      </c>
      <c r="K1282" s="223">
        <v>2</v>
      </c>
      <c r="L1282" s="335">
        <v>2</v>
      </c>
      <c r="M1282" s="284">
        <f t="shared" si="48"/>
        <v>0.50042652380814845</v>
      </c>
      <c r="N1282" s="229"/>
    </row>
    <row r="1283" spans="1:14" x14ac:dyDescent="0.2">
      <c r="A1283" s="305" t="s">
        <v>395</v>
      </c>
      <c r="B1283" s="285" t="s">
        <v>398</v>
      </c>
      <c r="C1283" s="247" t="s">
        <v>13</v>
      </c>
      <c r="D1283" s="276" t="s">
        <v>135</v>
      </c>
      <c r="E1283" s="61">
        <v>0</v>
      </c>
      <c r="F1283" s="233" t="s">
        <v>400</v>
      </c>
      <c r="G1283" s="234" t="s">
        <v>16</v>
      </c>
      <c r="H1283" s="61"/>
      <c r="I1283" s="61"/>
      <c r="J1283" s="61" t="str">
        <f>IF( OR( ISBLANK(#REF!),ISBLANK(F1283), ISBLANK(#REF!), ISBLANK(H1283), ISBLANK(I1283) ), "", 1.5*SQRT(   EXP(2.21*(#REF!-1)) + EXP(2.21*(F1283-1)) + EXP(2.21*(#REF!-1)) + EXP(2.21*(H1283-1)) + EXP(2.21*I1283)   )/100 )</f>
        <v/>
      </c>
      <c r="K1283" s="61"/>
      <c r="L1283" s="62"/>
      <c r="M1283" s="63" t="str">
        <f t="shared" si="48"/>
        <v/>
      </c>
      <c r="N1283" s="235"/>
    </row>
    <row r="1284" spans="1:14" hidden="1" x14ac:dyDescent="0.2">
      <c r="A1284" s="305" t="s">
        <v>395</v>
      </c>
      <c r="B1284" s="285" t="s">
        <v>398</v>
      </c>
      <c r="C1284" s="247" t="s">
        <v>18</v>
      </c>
      <c r="D1284" s="276" t="s">
        <v>135</v>
      </c>
      <c r="E1284" s="311">
        <v>2.1311475409836071E-2</v>
      </c>
      <c r="F1284" s="233" t="s">
        <v>400</v>
      </c>
      <c r="G1284" s="234" t="s">
        <v>16</v>
      </c>
      <c r="H1284" s="232">
        <v>1</v>
      </c>
      <c r="I1284" s="232">
        <v>1</v>
      </c>
      <c r="J1284" s="232">
        <v>3</v>
      </c>
      <c r="K1284" s="232">
        <v>2</v>
      </c>
      <c r="L1284" s="283">
        <v>2</v>
      </c>
      <c r="M1284" s="284">
        <f t="shared" si="48"/>
        <v>0.48935255543384243</v>
      </c>
      <c r="N1284" s="235"/>
    </row>
    <row r="1285" spans="1:14" hidden="1" x14ac:dyDescent="0.2">
      <c r="A1285" s="305" t="s">
        <v>395</v>
      </c>
      <c r="B1285" s="285" t="s">
        <v>398</v>
      </c>
      <c r="C1285" s="247" t="s">
        <v>20</v>
      </c>
      <c r="D1285" s="276" t="s">
        <v>135</v>
      </c>
      <c r="E1285" s="311">
        <v>0.58246753246753258</v>
      </c>
      <c r="F1285" s="233" t="s">
        <v>400</v>
      </c>
      <c r="G1285" s="234" t="s">
        <v>16</v>
      </c>
      <c r="H1285" s="232">
        <v>1</v>
      </c>
      <c r="I1285" s="232">
        <v>1</v>
      </c>
      <c r="J1285" s="232">
        <v>3</v>
      </c>
      <c r="K1285" s="232">
        <v>2</v>
      </c>
      <c r="L1285" s="283">
        <v>2</v>
      </c>
      <c r="M1285" s="284">
        <f t="shared" ref="M1285:M1299" si="49">IF( OR( ISBLANK(H1285),ISBLANK(I1285), ISBLANK(J1285), ISBLANK(K1285), ISBLANK(L1285) ), "", 1.5*SQRT( EXP(2.21*(H1285-1)) + EXP(2.21*(I1285-1)) + EXP(2.21*(J1285-1)) + EXP(2.21*(K1285-1)) + EXP(2.21*L1285) )/100*2.45 )</f>
        <v>0.48935255543384243</v>
      </c>
      <c r="N1285" s="235"/>
    </row>
    <row r="1286" spans="1:14" hidden="1" x14ac:dyDescent="0.2">
      <c r="A1286" s="305" t="s">
        <v>395</v>
      </c>
      <c r="B1286" s="285" t="s">
        <v>398</v>
      </c>
      <c r="C1286" s="247" t="s">
        <v>22</v>
      </c>
      <c r="D1286" s="276" t="s">
        <v>135</v>
      </c>
      <c r="E1286" s="311">
        <v>0.60486111111111107</v>
      </c>
      <c r="F1286" s="233" t="s">
        <v>400</v>
      </c>
      <c r="G1286" s="234" t="s">
        <v>16</v>
      </c>
      <c r="H1286" s="232">
        <v>1</v>
      </c>
      <c r="I1286" s="232">
        <v>1</v>
      </c>
      <c r="J1286" s="232">
        <v>3</v>
      </c>
      <c r="K1286" s="232">
        <v>2</v>
      </c>
      <c r="L1286" s="283">
        <v>2</v>
      </c>
      <c r="M1286" s="284">
        <f t="shared" si="49"/>
        <v>0.48935255543384243</v>
      </c>
      <c r="N1286" s="235"/>
    </row>
    <row r="1287" spans="1:14" hidden="1" x14ac:dyDescent="0.2">
      <c r="A1287" s="305" t="s">
        <v>395</v>
      </c>
      <c r="B1287" s="285" t="s">
        <v>398</v>
      </c>
      <c r="C1287" s="247" t="s">
        <v>23</v>
      </c>
      <c r="D1287" s="276" t="s">
        <v>135</v>
      </c>
      <c r="E1287" s="311">
        <v>0.63219178082191785</v>
      </c>
      <c r="F1287" s="233" t="s">
        <v>400</v>
      </c>
      <c r="G1287" s="234" t="s">
        <v>16</v>
      </c>
      <c r="H1287" s="232">
        <v>1</v>
      </c>
      <c r="I1287" s="232">
        <v>1</v>
      </c>
      <c r="J1287" s="232">
        <v>3</v>
      </c>
      <c r="K1287" s="232">
        <v>2</v>
      </c>
      <c r="L1287" s="283">
        <v>2</v>
      </c>
      <c r="M1287" s="284">
        <f t="shared" si="49"/>
        <v>0.48935255543384243</v>
      </c>
      <c r="N1287" s="235"/>
    </row>
    <row r="1288" spans="1:14" hidden="1" x14ac:dyDescent="0.2">
      <c r="A1288" s="305" t="s">
        <v>395</v>
      </c>
      <c r="B1288" s="285" t="s">
        <v>398</v>
      </c>
      <c r="C1288" s="247" t="s">
        <v>24</v>
      </c>
      <c r="D1288" s="276" t="s">
        <v>135</v>
      </c>
      <c r="E1288" s="311">
        <v>0.41557377049180327</v>
      </c>
      <c r="F1288" s="233" t="s">
        <v>400</v>
      </c>
      <c r="G1288" s="234" t="s">
        <v>16</v>
      </c>
      <c r="H1288" s="232">
        <v>1</v>
      </c>
      <c r="I1288" s="232">
        <v>1</v>
      </c>
      <c r="J1288" s="232">
        <v>3</v>
      </c>
      <c r="K1288" s="232">
        <v>2</v>
      </c>
      <c r="L1288" s="283">
        <v>2</v>
      </c>
      <c r="M1288" s="284">
        <f t="shared" si="49"/>
        <v>0.48935255543384243</v>
      </c>
      <c r="N1288" s="235"/>
    </row>
    <row r="1289" spans="1:14" hidden="1" x14ac:dyDescent="0.2">
      <c r="A1289" s="305" t="s">
        <v>395</v>
      </c>
      <c r="B1289" s="285" t="s">
        <v>398</v>
      </c>
      <c r="C1289" s="247" t="s">
        <v>25</v>
      </c>
      <c r="D1289" s="276" t="s">
        <v>135</v>
      </c>
      <c r="E1289" s="311">
        <v>2.1666666666666671E-2</v>
      </c>
      <c r="F1289" s="233" t="s">
        <v>400</v>
      </c>
      <c r="G1289" s="234" t="s">
        <v>16</v>
      </c>
      <c r="H1289" s="232">
        <v>1</v>
      </c>
      <c r="I1289" s="232">
        <v>1</v>
      </c>
      <c r="J1289" s="232">
        <v>3</v>
      </c>
      <c r="K1289" s="232">
        <v>2</v>
      </c>
      <c r="L1289" s="283">
        <v>2</v>
      </c>
      <c r="M1289" s="284">
        <f t="shared" si="49"/>
        <v>0.48935255543384243</v>
      </c>
      <c r="N1289" s="235"/>
    </row>
    <row r="1290" spans="1:14" hidden="1" x14ac:dyDescent="0.2">
      <c r="A1290" s="305" t="s">
        <v>395</v>
      </c>
      <c r="B1290" s="285" t="s">
        <v>398</v>
      </c>
      <c r="C1290" s="247" t="s">
        <v>26</v>
      </c>
      <c r="D1290" s="276" t="s">
        <v>135</v>
      </c>
      <c r="E1290" s="311">
        <v>0.19696969696969699</v>
      </c>
      <c r="F1290" s="233" t="s">
        <v>400</v>
      </c>
      <c r="G1290" s="234" t="s">
        <v>16</v>
      </c>
      <c r="H1290" s="232">
        <v>1</v>
      </c>
      <c r="I1290" s="232">
        <v>1</v>
      </c>
      <c r="J1290" s="232">
        <v>3</v>
      </c>
      <c r="K1290" s="232">
        <v>2</v>
      </c>
      <c r="L1290" s="283">
        <v>2</v>
      </c>
      <c r="M1290" s="284">
        <f t="shared" si="49"/>
        <v>0.48935255543384243</v>
      </c>
      <c r="N1290" s="235"/>
    </row>
    <row r="1291" spans="1:14" hidden="1" x14ac:dyDescent="0.2">
      <c r="A1291" s="305" t="s">
        <v>395</v>
      </c>
      <c r="B1291" s="285" t="s">
        <v>398</v>
      </c>
      <c r="C1291" s="247" t="s">
        <v>27</v>
      </c>
      <c r="D1291" s="276" t="s">
        <v>135</v>
      </c>
      <c r="E1291" s="311">
        <v>1.645569620253165E-2</v>
      </c>
      <c r="F1291" s="233" t="s">
        <v>400</v>
      </c>
      <c r="G1291" s="234" t="s">
        <v>16</v>
      </c>
      <c r="H1291" s="232">
        <v>1</v>
      </c>
      <c r="I1291" s="232">
        <v>1</v>
      </c>
      <c r="J1291" s="232">
        <v>3</v>
      </c>
      <c r="K1291" s="232">
        <v>2</v>
      </c>
      <c r="L1291" s="283">
        <v>2</v>
      </c>
      <c r="M1291" s="284">
        <f t="shared" si="49"/>
        <v>0.48935255543384243</v>
      </c>
      <c r="N1291" s="235"/>
    </row>
    <row r="1292" spans="1:14" hidden="1" x14ac:dyDescent="0.2">
      <c r="A1292" s="305" t="s">
        <v>395</v>
      </c>
      <c r="B1292" s="285" t="s">
        <v>398</v>
      </c>
      <c r="C1292" s="247" t="s">
        <v>28</v>
      </c>
      <c r="D1292" s="276" t="s">
        <v>135</v>
      </c>
      <c r="E1292" s="311">
        <v>0.26866666666666672</v>
      </c>
      <c r="F1292" s="233" t="s">
        <v>400</v>
      </c>
      <c r="G1292" s="234" t="s">
        <v>16</v>
      </c>
      <c r="H1292" s="232">
        <v>1</v>
      </c>
      <c r="I1292" s="232">
        <v>1</v>
      </c>
      <c r="J1292" s="232">
        <v>3</v>
      </c>
      <c r="K1292" s="232">
        <v>2</v>
      </c>
      <c r="L1292" s="283">
        <v>2</v>
      </c>
      <c r="M1292" s="284">
        <f t="shared" si="49"/>
        <v>0.48935255543384243</v>
      </c>
      <c r="N1292" s="235"/>
    </row>
    <row r="1293" spans="1:14" hidden="1" x14ac:dyDescent="0.2">
      <c r="A1293" s="305" t="s">
        <v>395</v>
      </c>
      <c r="B1293" s="285" t="s">
        <v>398</v>
      </c>
      <c r="C1293" s="247" t="s">
        <v>30</v>
      </c>
      <c r="D1293" s="276" t="s">
        <v>135</v>
      </c>
      <c r="E1293" s="311">
        <v>1.120689655172414E-2</v>
      </c>
      <c r="F1293" s="233" t="s">
        <v>400</v>
      </c>
      <c r="G1293" s="234" t="s">
        <v>16</v>
      </c>
      <c r="H1293" s="232">
        <v>1</v>
      </c>
      <c r="I1293" s="232">
        <v>1</v>
      </c>
      <c r="J1293" s="232">
        <v>3</v>
      </c>
      <c r="K1293" s="232">
        <v>2</v>
      </c>
      <c r="L1293" s="283">
        <v>2</v>
      </c>
      <c r="M1293" s="284">
        <f t="shared" si="49"/>
        <v>0.48935255543384243</v>
      </c>
      <c r="N1293" s="235"/>
    </row>
    <row r="1294" spans="1:14" hidden="1" x14ac:dyDescent="0.2">
      <c r="A1294" s="305" t="s">
        <v>395</v>
      </c>
      <c r="B1294" s="285" t="s">
        <v>398</v>
      </c>
      <c r="C1294" s="247" t="s">
        <v>32</v>
      </c>
      <c r="D1294" s="276" t="s">
        <v>135</v>
      </c>
      <c r="E1294" s="311">
        <v>0.6326666666666666</v>
      </c>
      <c r="F1294" s="233" t="s">
        <v>400</v>
      </c>
      <c r="G1294" s="234" t="s">
        <v>16</v>
      </c>
      <c r="H1294" s="232">
        <v>1</v>
      </c>
      <c r="I1294" s="232">
        <v>1</v>
      </c>
      <c r="J1294" s="232">
        <v>3</v>
      </c>
      <c r="K1294" s="232">
        <v>2</v>
      </c>
      <c r="L1294" s="283">
        <v>2</v>
      </c>
      <c r="M1294" s="284">
        <f t="shared" si="49"/>
        <v>0.48935255543384243</v>
      </c>
      <c r="N1294" s="235"/>
    </row>
    <row r="1295" spans="1:14" hidden="1" x14ac:dyDescent="0.2">
      <c r="A1295" s="305" t="s">
        <v>395</v>
      </c>
      <c r="B1295" s="285" t="s">
        <v>398</v>
      </c>
      <c r="C1295" s="247" t="s">
        <v>34</v>
      </c>
      <c r="D1295" s="276" t="s">
        <v>135</v>
      </c>
      <c r="E1295" s="311">
        <v>0.47499999999999998</v>
      </c>
      <c r="F1295" s="233" t="s">
        <v>400</v>
      </c>
      <c r="G1295" s="234" t="s">
        <v>16</v>
      </c>
      <c r="H1295" s="232">
        <v>1</v>
      </c>
      <c r="I1295" s="232">
        <v>1</v>
      </c>
      <c r="J1295" s="232">
        <v>3</v>
      </c>
      <c r="K1295" s="232">
        <v>2</v>
      </c>
      <c r="L1295" s="283">
        <v>2</v>
      </c>
      <c r="M1295" s="284">
        <f t="shared" si="49"/>
        <v>0.48935255543384243</v>
      </c>
      <c r="N1295" s="235"/>
    </row>
    <row r="1296" spans="1:14" hidden="1" x14ac:dyDescent="0.2">
      <c r="A1296" s="305" t="s">
        <v>395</v>
      </c>
      <c r="B1296" s="285" t="s">
        <v>398</v>
      </c>
      <c r="C1296" s="247" t="s">
        <v>36</v>
      </c>
      <c r="D1296" s="276" t="s">
        <v>135</v>
      </c>
      <c r="E1296" s="311">
        <v>8.23943661971831E-2</v>
      </c>
      <c r="F1296" s="233" t="s">
        <v>400</v>
      </c>
      <c r="G1296" s="234" t="s">
        <v>16</v>
      </c>
      <c r="H1296" s="232">
        <v>1</v>
      </c>
      <c r="I1296" s="232">
        <v>1</v>
      </c>
      <c r="J1296" s="232">
        <v>3</v>
      </c>
      <c r="K1296" s="232">
        <v>2</v>
      </c>
      <c r="L1296" s="283">
        <v>2</v>
      </c>
      <c r="M1296" s="284">
        <f t="shared" si="49"/>
        <v>0.48935255543384243</v>
      </c>
      <c r="N1296" s="235"/>
    </row>
    <row r="1297" spans="1:14" hidden="1" x14ac:dyDescent="0.2">
      <c r="A1297" s="305" t="s">
        <v>395</v>
      </c>
      <c r="B1297" s="285" t="s">
        <v>398</v>
      </c>
      <c r="C1297" s="247" t="s">
        <v>37</v>
      </c>
      <c r="D1297" s="276" t="s">
        <v>135</v>
      </c>
      <c r="E1297" s="311">
        <v>0.31515151515151518</v>
      </c>
      <c r="F1297" s="233" t="s">
        <v>400</v>
      </c>
      <c r="G1297" s="234" t="s">
        <v>16</v>
      </c>
      <c r="H1297" s="232">
        <v>1</v>
      </c>
      <c r="I1297" s="232">
        <v>1</v>
      </c>
      <c r="J1297" s="232">
        <v>3</v>
      </c>
      <c r="K1297" s="232">
        <v>2</v>
      </c>
      <c r="L1297" s="283">
        <v>2</v>
      </c>
      <c r="M1297" s="284">
        <f t="shared" si="49"/>
        <v>0.48935255543384243</v>
      </c>
      <c r="N1297" s="235"/>
    </row>
    <row r="1298" spans="1:14" hidden="1" x14ac:dyDescent="0.2">
      <c r="A1298" s="305" t="s">
        <v>395</v>
      </c>
      <c r="B1298" s="285" t="s">
        <v>398</v>
      </c>
      <c r="C1298" s="247" t="s">
        <v>39</v>
      </c>
      <c r="D1298" s="276" t="s">
        <v>135</v>
      </c>
      <c r="E1298" s="311">
        <v>0.63030303030303036</v>
      </c>
      <c r="F1298" s="233" t="s">
        <v>400</v>
      </c>
      <c r="G1298" s="234" t="s">
        <v>16</v>
      </c>
      <c r="H1298" s="232">
        <v>1</v>
      </c>
      <c r="I1298" s="232">
        <v>1</v>
      </c>
      <c r="J1298" s="232">
        <v>3</v>
      </c>
      <c r="K1298" s="232">
        <v>2</v>
      </c>
      <c r="L1298" s="283">
        <v>2</v>
      </c>
      <c r="M1298" s="284">
        <f t="shared" si="49"/>
        <v>0.48935255543384243</v>
      </c>
      <c r="N1298" s="235"/>
    </row>
    <row r="1299" spans="1:14" hidden="1" x14ac:dyDescent="0.2">
      <c r="A1299" s="305" t="s">
        <v>395</v>
      </c>
      <c r="B1299" s="285" t="s">
        <v>398</v>
      </c>
      <c r="C1299" s="247" t="s">
        <v>40</v>
      </c>
      <c r="D1299" s="276" t="s">
        <v>135</v>
      </c>
      <c r="E1299" s="311">
        <v>0.40068493150684942</v>
      </c>
      <c r="F1299" s="233" t="s">
        <v>400</v>
      </c>
      <c r="G1299" s="234" t="s">
        <v>16</v>
      </c>
      <c r="H1299" s="232">
        <v>1</v>
      </c>
      <c r="I1299" s="232">
        <v>1</v>
      </c>
      <c r="J1299" s="232">
        <v>3</v>
      </c>
      <c r="K1299" s="232">
        <v>2</v>
      </c>
      <c r="L1299" s="283">
        <v>2</v>
      </c>
      <c r="M1299" s="284">
        <f t="shared" si="49"/>
        <v>0.48935255543384243</v>
      </c>
      <c r="N1299" s="235"/>
    </row>
    <row r="1300" spans="1:14" hidden="1" x14ac:dyDescent="0.2">
      <c r="A1300" s="305" t="s">
        <v>395</v>
      </c>
      <c r="B1300" s="285" t="s">
        <v>398</v>
      </c>
      <c r="C1300" s="247" t="s">
        <v>41</v>
      </c>
      <c r="D1300" s="276" t="s">
        <v>135</v>
      </c>
      <c r="E1300" s="61">
        <v>0</v>
      </c>
      <c r="F1300" s="233" t="s">
        <v>400</v>
      </c>
      <c r="G1300" s="234" t="s">
        <v>16</v>
      </c>
      <c r="H1300" s="61"/>
      <c r="I1300" s="61"/>
      <c r="J1300" s="61" t="str">
        <f>IF( OR( ISBLANK(#REF!),ISBLANK(F1300), ISBLANK(#REF!), ISBLANK(H1300), ISBLANK(I1300) ), "", 1.5*SQRT(   EXP(2.21*(#REF!-1)) + EXP(2.21*(F1300-1)) + EXP(2.21*(#REF!-1)) + EXP(2.21*(H1300-1)) + EXP(2.21*I1300)   )/100 )</f>
        <v/>
      </c>
      <c r="K1300" s="61"/>
      <c r="L1300" s="62"/>
      <c r="M1300" s="63" t="str">
        <f>IF( OR( ISBLANK(H1300),ISBLANK(I1300), ISBLANK(J1300), ISBLANK(K1300), ISBLANK(L1300) ), "", 1.5*SQRT(   EXP(2.21*(H1300-1)) + EXP(2.21*(I1300-1)) + EXP(2.21*(J1300-1)) + EXP(2.21*(K1300-1)) + EXP(2.21*L1300)   )/100*2.45 )</f>
        <v/>
      </c>
      <c r="N1300" s="235"/>
    </row>
    <row r="1301" spans="1:14" hidden="1" x14ac:dyDescent="0.2">
      <c r="A1301" s="305" t="s">
        <v>395</v>
      </c>
      <c r="B1301" s="285" t="s">
        <v>398</v>
      </c>
      <c r="C1301" s="247" t="s">
        <v>42</v>
      </c>
      <c r="D1301" s="276" t="s">
        <v>135</v>
      </c>
      <c r="E1301" s="311">
        <v>0.63311688311688308</v>
      </c>
      <c r="F1301" s="233" t="s">
        <v>400</v>
      </c>
      <c r="G1301" s="234" t="s">
        <v>16</v>
      </c>
      <c r="H1301" s="232">
        <v>1</v>
      </c>
      <c r="I1301" s="232">
        <v>1</v>
      </c>
      <c r="J1301" s="232">
        <v>3</v>
      </c>
      <c r="K1301" s="232">
        <v>2</v>
      </c>
      <c r="L1301" s="283">
        <v>2</v>
      </c>
      <c r="M1301" s="284">
        <f>IF( OR( ISBLANK(H1301),ISBLANK(I1301), ISBLANK(J1301), ISBLANK(K1301), ISBLANK(L1301) ), "", 1.5*SQRT(   EXP(2.21*(H1301-1)) + EXP(2.21*(I1301-1)) + EXP(2.21*(J1301-1)) + EXP(2.21*(K1301-1)) + EXP(2.21*L1301)   )/100*2.45 )</f>
        <v>0.48935255543384243</v>
      </c>
      <c r="N1301" s="235"/>
    </row>
    <row r="1302" spans="1:14" hidden="1" x14ac:dyDescent="0.2">
      <c r="A1302" s="305" t="s">
        <v>395</v>
      </c>
      <c r="B1302" s="285" t="s">
        <v>398</v>
      </c>
      <c r="C1302" s="247" t="s">
        <v>43</v>
      </c>
      <c r="D1302" s="276" t="s">
        <v>135</v>
      </c>
      <c r="E1302" s="61">
        <v>0</v>
      </c>
      <c r="F1302" s="233" t="s">
        <v>400</v>
      </c>
      <c r="G1302" s="234" t="s">
        <v>16</v>
      </c>
      <c r="H1302" s="61"/>
      <c r="I1302" s="61"/>
      <c r="J1302" s="61" t="str">
        <f>IF( OR( ISBLANK(#REF!),ISBLANK(F1302), ISBLANK(#REF!), ISBLANK(H1302), ISBLANK(I1302) ), "", 1.5*SQRT(   EXP(2.21*(#REF!-1)) + EXP(2.21*(F1302-1)) + EXP(2.21*(#REF!-1)) + EXP(2.21*(H1302-1)) + EXP(2.21*I1302)   )/100 )</f>
        <v/>
      </c>
      <c r="K1302" s="61"/>
      <c r="L1302" s="62"/>
      <c r="M1302" s="63" t="str">
        <f>IF( OR( ISBLANK(H1302),ISBLANK(I1302), ISBLANK(J1302), ISBLANK(K1302), ISBLANK(L1302) ), "", 1.5*SQRT(   EXP(2.21*(H1302-1)) + EXP(2.21*(I1302-1)) + EXP(2.21*(J1302-1)) + EXP(2.21*(K1302-1)) + EXP(2.21*L1302)   )/100*2.45 )</f>
        <v/>
      </c>
      <c r="N1302" s="235"/>
    </row>
    <row r="1303" spans="1:14" hidden="1" x14ac:dyDescent="0.2">
      <c r="A1303" s="305" t="s">
        <v>395</v>
      </c>
      <c r="B1303" s="285" t="s">
        <v>398</v>
      </c>
      <c r="C1303" s="247" t="s">
        <v>45</v>
      </c>
      <c r="D1303" s="276" t="s">
        <v>135</v>
      </c>
      <c r="E1303" s="311">
        <v>2.3214285714285719E-2</v>
      </c>
      <c r="F1303" s="233" t="s">
        <v>400</v>
      </c>
      <c r="G1303" s="234" t="s">
        <v>16</v>
      </c>
      <c r="H1303" s="232">
        <v>1</v>
      </c>
      <c r="I1303" s="232">
        <v>1</v>
      </c>
      <c r="J1303" s="232">
        <v>3</v>
      </c>
      <c r="K1303" s="232">
        <v>2</v>
      </c>
      <c r="L1303" s="283">
        <v>2</v>
      </c>
      <c r="M1303" s="284">
        <f>IF( OR( ISBLANK(H1303),ISBLANK(I1303), ISBLANK(J1303), ISBLANK(K1303), ISBLANK(L1303) ), "", 1.5*SQRT(   EXP(2.21*(H1303-1)) + EXP(2.21*(I1303-1)) + EXP(2.21*(J1303-1)) + EXP(2.21*(K1303-1)) + EXP(2.21*L1303)   )/100*2.45 )</f>
        <v>0.48935255543384243</v>
      </c>
      <c r="N1303" s="235"/>
    </row>
    <row r="1304" spans="1:14" hidden="1" x14ac:dyDescent="0.2">
      <c r="A1304" s="305" t="s">
        <v>395</v>
      </c>
      <c r="B1304" s="285" t="s">
        <v>398</v>
      </c>
      <c r="C1304" s="247" t="s">
        <v>46</v>
      </c>
      <c r="D1304" s="276" t="s">
        <v>135</v>
      </c>
      <c r="E1304" s="311">
        <v>0.36506849315068501</v>
      </c>
      <c r="F1304" s="233" t="s">
        <v>400</v>
      </c>
      <c r="G1304" s="234" t="s">
        <v>16</v>
      </c>
      <c r="H1304" s="232">
        <v>1</v>
      </c>
      <c r="I1304" s="232">
        <v>1</v>
      </c>
      <c r="J1304" s="232">
        <v>3</v>
      </c>
      <c r="K1304" s="232">
        <v>2</v>
      </c>
      <c r="L1304" s="283">
        <v>2</v>
      </c>
      <c r="M1304" s="284">
        <f t="shared" ref="M1304:M1310" si="50">IF( OR( ISBLANK(H1304),ISBLANK(I1304), ISBLANK(J1304), ISBLANK(K1304), ISBLANK(L1304) ), "", 1.5*SQRT( EXP(2.21*(H1304-1)) + EXP(2.21*(I1304-1)) + EXP(2.21*(J1304-1)) + EXP(2.21*(K1304-1)) + EXP(2.21*L1304) )/100*2.45 )</f>
        <v>0.48935255543384243</v>
      </c>
      <c r="N1304" s="235"/>
    </row>
    <row r="1305" spans="1:14" hidden="1" x14ac:dyDescent="0.2">
      <c r="A1305" s="305" t="s">
        <v>395</v>
      </c>
      <c r="B1305" s="285" t="s">
        <v>398</v>
      </c>
      <c r="C1305" s="247" t="s">
        <v>48</v>
      </c>
      <c r="D1305" s="276" t="s">
        <v>135</v>
      </c>
      <c r="E1305" s="311">
        <v>0.31544117647058828</v>
      </c>
      <c r="F1305" s="233" t="s">
        <v>400</v>
      </c>
      <c r="G1305" s="234" t="s">
        <v>16</v>
      </c>
      <c r="H1305" s="232">
        <v>1</v>
      </c>
      <c r="I1305" s="232">
        <v>1</v>
      </c>
      <c r="J1305" s="232">
        <v>3</v>
      </c>
      <c r="K1305" s="232">
        <v>2</v>
      </c>
      <c r="L1305" s="283">
        <v>2</v>
      </c>
      <c r="M1305" s="284">
        <f t="shared" si="50"/>
        <v>0.48935255543384243</v>
      </c>
      <c r="N1305" s="235"/>
    </row>
    <row r="1306" spans="1:14" hidden="1" x14ac:dyDescent="0.2">
      <c r="A1306" s="305" t="s">
        <v>395</v>
      </c>
      <c r="B1306" s="285" t="s">
        <v>398</v>
      </c>
      <c r="C1306" s="247" t="s">
        <v>50</v>
      </c>
      <c r="D1306" s="276" t="s">
        <v>135</v>
      </c>
      <c r="E1306" s="311">
        <v>0.5432835820895523</v>
      </c>
      <c r="F1306" s="233" t="s">
        <v>400</v>
      </c>
      <c r="G1306" s="234" t="s">
        <v>16</v>
      </c>
      <c r="H1306" s="232">
        <v>1</v>
      </c>
      <c r="I1306" s="232">
        <v>1</v>
      </c>
      <c r="J1306" s="232">
        <v>3</v>
      </c>
      <c r="K1306" s="232">
        <v>2</v>
      </c>
      <c r="L1306" s="283">
        <v>2</v>
      </c>
      <c r="M1306" s="284">
        <f t="shared" si="50"/>
        <v>0.48935255543384243</v>
      </c>
      <c r="N1306" s="235"/>
    </row>
    <row r="1307" spans="1:14" hidden="1" x14ac:dyDescent="0.2">
      <c r="A1307" s="305" t="s">
        <v>395</v>
      </c>
      <c r="B1307" s="285" t="s">
        <v>398</v>
      </c>
      <c r="C1307" s="247" t="s">
        <v>52</v>
      </c>
      <c r="D1307" s="276" t="s">
        <v>135</v>
      </c>
      <c r="E1307" s="311">
        <v>0.41785714285714293</v>
      </c>
      <c r="F1307" s="233" t="s">
        <v>400</v>
      </c>
      <c r="G1307" s="234" t="s">
        <v>16</v>
      </c>
      <c r="H1307" s="232">
        <v>1</v>
      </c>
      <c r="I1307" s="232">
        <v>1</v>
      </c>
      <c r="J1307" s="232">
        <v>3</v>
      </c>
      <c r="K1307" s="232">
        <v>2</v>
      </c>
      <c r="L1307" s="283">
        <v>2</v>
      </c>
      <c r="M1307" s="284">
        <f t="shared" si="50"/>
        <v>0.48935255543384243</v>
      </c>
      <c r="N1307" s="235"/>
    </row>
    <row r="1308" spans="1:14" hidden="1" x14ac:dyDescent="0.2">
      <c r="A1308" s="305" t="s">
        <v>395</v>
      </c>
      <c r="B1308" s="285" t="s">
        <v>398</v>
      </c>
      <c r="C1308" s="247" t="s">
        <v>54</v>
      </c>
      <c r="D1308" s="276" t="s">
        <v>135</v>
      </c>
      <c r="E1308" s="311">
        <v>0.33</v>
      </c>
      <c r="F1308" s="233" t="s">
        <v>400</v>
      </c>
      <c r="G1308" s="234" t="s">
        <v>16</v>
      </c>
      <c r="H1308" s="232">
        <v>1</v>
      </c>
      <c r="I1308" s="232">
        <v>1</v>
      </c>
      <c r="J1308" s="232">
        <v>3</v>
      </c>
      <c r="K1308" s="232">
        <v>2</v>
      </c>
      <c r="L1308" s="283">
        <v>2</v>
      </c>
      <c r="M1308" s="284">
        <f t="shared" si="50"/>
        <v>0.48935255543384243</v>
      </c>
      <c r="N1308" s="235"/>
    </row>
    <row r="1309" spans="1:14" hidden="1" x14ac:dyDescent="0.2">
      <c r="A1309" s="305" t="s">
        <v>395</v>
      </c>
      <c r="B1309" s="285" t="s">
        <v>398</v>
      </c>
      <c r="C1309" s="247" t="s">
        <v>55</v>
      </c>
      <c r="D1309" s="276" t="s">
        <v>135</v>
      </c>
      <c r="E1309" s="311">
        <v>0.41052631578947368</v>
      </c>
      <c r="F1309" s="233" t="s">
        <v>400</v>
      </c>
      <c r="G1309" s="234" t="s">
        <v>16</v>
      </c>
      <c r="H1309" s="232">
        <v>1</v>
      </c>
      <c r="I1309" s="232">
        <v>1</v>
      </c>
      <c r="J1309" s="232">
        <v>3</v>
      </c>
      <c r="K1309" s="232">
        <v>2</v>
      </c>
      <c r="L1309" s="283">
        <v>2</v>
      </c>
      <c r="M1309" s="284">
        <f t="shared" si="50"/>
        <v>0.48935255543384243</v>
      </c>
      <c r="N1309" s="235"/>
    </row>
    <row r="1310" spans="1:14" hidden="1" x14ac:dyDescent="0.2">
      <c r="A1310" s="305" t="s">
        <v>395</v>
      </c>
      <c r="B1310" s="285" t="s">
        <v>398</v>
      </c>
      <c r="C1310" s="247" t="s">
        <v>57</v>
      </c>
      <c r="D1310" s="276" t="s">
        <v>135</v>
      </c>
      <c r="E1310" s="311">
        <v>1.065573770491803E-2</v>
      </c>
      <c r="F1310" s="233" t="s">
        <v>400</v>
      </c>
      <c r="G1310" s="234" t="s">
        <v>16</v>
      </c>
      <c r="H1310" s="232">
        <v>1</v>
      </c>
      <c r="I1310" s="232">
        <v>1</v>
      </c>
      <c r="J1310" s="232">
        <v>3</v>
      </c>
      <c r="K1310" s="232">
        <v>2</v>
      </c>
      <c r="L1310" s="283">
        <v>2</v>
      </c>
      <c r="M1310" s="284">
        <f t="shared" si="50"/>
        <v>0.48935255543384243</v>
      </c>
      <c r="N1310" s="235"/>
    </row>
    <row r="1311" spans="1:14" hidden="1" x14ac:dyDescent="0.2">
      <c r="A1311" s="305" t="s">
        <v>395</v>
      </c>
      <c r="B1311" s="285" t="s">
        <v>398</v>
      </c>
      <c r="C1311" s="247" t="s">
        <v>59</v>
      </c>
      <c r="D1311" s="276" t="s">
        <v>135</v>
      </c>
      <c r="E1311" s="61">
        <v>0</v>
      </c>
      <c r="F1311" s="233" t="s">
        <v>400</v>
      </c>
      <c r="G1311" s="234" t="s">
        <v>16</v>
      </c>
      <c r="H1311" s="61"/>
      <c r="I1311" s="61"/>
      <c r="J1311" s="61" t="str">
        <f>IF( OR( ISBLANK(#REF!),ISBLANK(F1311), ISBLANK(#REF!), ISBLANK(H1311), ISBLANK(I1311) ), "", 1.5*SQRT(   EXP(2.21*(#REF!-1)) + EXP(2.21*(F1311-1)) + EXP(2.21*(#REF!-1)) + EXP(2.21*(H1311-1)) + EXP(2.21*I1311)   )/100 )</f>
        <v/>
      </c>
      <c r="K1311" s="61"/>
      <c r="L1311" s="62"/>
      <c r="M1311" s="63" t="str">
        <f>IF( OR( ISBLANK(H1311),ISBLANK(I1311), ISBLANK(J1311), ISBLANK(K1311), ISBLANK(L1311) ), "", 1.5*SQRT(   EXP(2.21*(H1311-1)) + EXP(2.21*(I1311-1)) + EXP(2.21*(J1311-1)) + EXP(2.21*(K1311-1)) + EXP(2.21*L1311)   )/100*2.45 )</f>
        <v/>
      </c>
      <c r="N1311" s="235"/>
    </row>
    <row r="1312" spans="1:14" hidden="1" x14ac:dyDescent="0.2">
      <c r="A1312" s="305" t="s">
        <v>395</v>
      </c>
      <c r="B1312" s="285" t="s">
        <v>398</v>
      </c>
      <c r="C1312" s="247" t="s">
        <v>60</v>
      </c>
      <c r="D1312" s="276" t="s">
        <v>135</v>
      </c>
      <c r="E1312" s="311">
        <v>0.196031746031746</v>
      </c>
      <c r="F1312" s="233" t="s">
        <v>400</v>
      </c>
      <c r="G1312" s="234" t="s">
        <v>16</v>
      </c>
      <c r="H1312" s="232">
        <v>1</v>
      </c>
      <c r="I1312" s="232">
        <v>1</v>
      </c>
      <c r="J1312" s="232">
        <v>3</v>
      </c>
      <c r="K1312" s="232">
        <v>2</v>
      </c>
      <c r="L1312" s="283">
        <v>2</v>
      </c>
      <c r="M1312" s="284">
        <f>IF( OR( ISBLANK(H1312),ISBLANK(I1312), ISBLANK(J1312), ISBLANK(K1312), ISBLANK(L1312) ), "", 1.5*SQRT(   EXP(2.21*(H1312-1)) + EXP(2.21*(I1312-1)) + EXP(2.21*(J1312-1)) + EXP(2.21*(K1312-1)) + EXP(2.21*L1312)   )/100*2.45 )</f>
        <v>0.48935255543384243</v>
      </c>
      <c r="N1312" s="235"/>
    </row>
    <row r="1313" spans="1:14" x14ac:dyDescent="0.2">
      <c r="A1313" s="312" t="s">
        <v>395</v>
      </c>
      <c r="B1313" s="281" t="s">
        <v>399</v>
      </c>
      <c r="C1313" s="238" t="s">
        <v>135</v>
      </c>
      <c r="D1313" s="239" t="s">
        <v>135</v>
      </c>
      <c r="E1313" s="240" t="s">
        <v>188</v>
      </c>
      <c r="F1313" s="241"/>
      <c r="G1313" s="242" t="s">
        <v>16</v>
      </c>
      <c r="H1313" s="240"/>
      <c r="I1313" s="240"/>
      <c r="J1313" s="240"/>
      <c r="K1313" s="240"/>
      <c r="L1313" s="243"/>
      <c r="M1313" s="244" t="str">
        <f>IF( OR( ISBLANK(H1313),ISBLANK(I1313), ISBLANK(J1313), ISBLANK(K1313), ISBLANK(L1313) ), "", 1.5*SQRT(   EXP(2.21*(H1313-1)) + EXP(2.21*(I1313-1)) + EXP(2.21*(J1313-1)) + EXP(2.21*(K1313-1)) + EXP(2.21*L1313)   )/100*2.45 )</f>
        <v/>
      </c>
      <c r="N1313" s="245"/>
    </row>
    <row r="1314" spans="1:14" x14ac:dyDescent="0.2">
      <c r="A1314" s="338" t="s">
        <v>396</v>
      </c>
      <c r="B1314" s="310" t="s">
        <v>440</v>
      </c>
      <c r="C1314" s="222" t="s">
        <v>135</v>
      </c>
      <c r="D1314" s="223" t="s">
        <v>135</v>
      </c>
      <c r="E1314" s="339">
        <v>0.96959276018099505</v>
      </c>
      <c r="F1314" s="233" t="s">
        <v>442</v>
      </c>
      <c r="G1314" s="234" t="s">
        <v>16</v>
      </c>
      <c r="H1314" s="232">
        <v>2</v>
      </c>
      <c r="I1314" s="232">
        <v>2</v>
      </c>
      <c r="J1314" s="232">
        <v>3</v>
      </c>
      <c r="K1314" s="232">
        <v>1</v>
      </c>
      <c r="L1314" s="283">
        <v>1</v>
      </c>
      <c r="M1314" s="284">
        <f>IF( OR( ISBLANK(H1314),ISBLANK(I1314), ISBLANK(J1314), ISBLANK(K1314), ISBLANK(L1314) ), "", 1.5*SQRT( EXP(2.21*(H1314-1)) + EXP(2.21*(I1314-1)) + EXP(2.21*(J1314-1)) + EXP(2.21*(K1314-1)) + EXP(2.21*L1314) )/100*2.45 )</f>
        <v>0.38795788889711302</v>
      </c>
      <c r="N1314" s="229"/>
    </row>
    <row r="1315" spans="1:14" x14ac:dyDescent="0.2">
      <c r="A1315" s="340" t="s">
        <v>396</v>
      </c>
      <c r="B1315" s="285" t="s">
        <v>398</v>
      </c>
      <c r="C1315" s="247" t="s">
        <v>13</v>
      </c>
      <c r="D1315" s="276" t="s">
        <v>135</v>
      </c>
      <c r="E1315" s="61">
        <v>0</v>
      </c>
      <c r="F1315" s="233" t="s">
        <v>400</v>
      </c>
      <c r="G1315" s="234" t="s">
        <v>16</v>
      </c>
      <c r="H1315" s="61"/>
      <c r="I1315" s="61"/>
      <c r="J1315" s="61" t="str">
        <f>IF( OR( ISBLANK(#REF!),ISBLANK(F1315), ISBLANK(#REF!), ISBLANK(H1315), ISBLANK(I1315) ), "", 1.5*SQRT(   EXP(2.21*(#REF!-1)) + EXP(2.21*(F1315-1)) + EXP(2.21*(#REF!-1)) + EXP(2.21*(H1315-1)) + EXP(2.21*I1315)   )/100 )</f>
        <v/>
      </c>
      <c r="K1315" s="61"/>
      <c r="L1315" s="62"/>
      <c r="M1315" s="63" t="str">
        <f>IF( OR( ISBLANK(H1315),ISBLANK(I1315), ISBLANK(J1315), ISBLANK(K1315), ISBLANK(L1315) ), "", 1.5*SQRT( EXP(2.21*(H1315-1)) + EXP(2.21*(I1315-1)) + EXP(2.21*(J1315-1)) + EXP(2.21*(K1315-1)) + EXP(2.21*L1315) )/100*2.45 )</f>
        <v/>
      </c>
      <c r="N1315" s="235"/>
    </row>
    <row r="1316" spans="1:14" hidden="1" x14ac:dyDescent="0.2">
      <c r="A1316" s="340" t="s">
        <v>396</v>
      </c>
      <c r="B1316" s="285" t="s">
        <v>398</v>
      </c>
      <c r="C1316" s="247" t="s">
        <v>18</v>
      </c>
      <c r="D1316" s="276" t="s">
        <v>135</v>
      </c>
      <c r="E1316" s="311">
        <v>9.9672131147540938E-4</v>
      </c>
      <c r="F1316" s="233" t="s">
        <v>400</v>
      </c>
      <c r="G1316" s="234" t="s">
        <v>16</v>
      </c>
      <c r="H1316" s="232">
        <v>1</v>
      </c>
      <c r="I1316" s="232">
        <v>1</v>
      </c>
      <c r="J1316" s="232">
        <v>3</v>
      </c>
      <c r="K1316" s="232">
        <v>2</v>
      </c>
      <c r="L1316" s="283">
        <v>2</v>
      </c>
      <c r="M1316" s="284">
        <f>IF( OR( ISBLANK(H1316),ISBLANK(I1316), ISBLANK(J1316), ISBLANK(K1316), ISBLANK(L1316) ), "", 1.5*SQRT(   EXP(2.21*(H1316-1)) + EXP(2.21*(I1316-1)) + EXP(2.21*(J1316-1)) + EXP(2.21*(K1316-1)) + EXP(2.21*L1316)   )/100*2.45 )</f>
        <v>0.48935255543384243</v>
      </c>
      <c r="N1316" s="235"/>
    </row>
    <row r="1317" spans="1:14" hidden="1" x14ac:dyDescent="0.2">
      <c r="A1317" s="340" t="s">
        <v>396</v>
      </c>
      <c r="B1317" s="285" t="s">
        <v>398</v>
      </c>
      <c r="C1317" s="247" t="s">
        <v>20</v>
      </c>
      <c r="D1317" s="276" t="s">
        <v>135</v>
      </c>
      <c r="E1317" s="311">
        <v>2.7241558441558431E-2</v>
      </c>
      <c r="F1317" s="233" t="s">
        <v>400</v>
      </c>
      <c r="G1317" s="234" t="s">
        <v>16</v>
      </c>
      <c r="H1317" s="232">
        <v>1</v>
      </c>
      <c r="I1317" s="232">
        <v>1</v>
      </c>
      <c r="J1317" s="232">
        <v>3</v>
      </c>
      <c r="K1317" s="232">
        <v>2</v>
      </c>
      <c r="L1317" s="283">
        <v>2</v>
      </c>
      <c r="M1317" s="284">
        <f t="shared" ref="M1317:M1331" si="51">IF( OR( ISBLANK(H1317),ISBLANK(I1317), ISBLANK(J1317), ISBLANK(K1317), ISBLANK(L1317) ), "", 1.5*SQRT( EXP(2.21*(H1317-1)) + EXP(2.21*(I1317-1)) + EXP(2.21*(J1317-1)) + EXP(2.21*(K1317-1)) + EXP(2.21*L1317) )/100*2.45 )</f>
        <v>0.48935255543384243</v>
      </c>
      <c r="N1317" s="235"/>
    </row>
    <row r="1318" spans="1:14" hidden="1" x14ac:dyDescent="0.2">
      <c r="A1318" s="340" t="s">
        <v>396</v>
      </c>
      <c r="B1318" s="285" t="s">
        <v>398</v>
      </c>
      <c r="C1318" s="247" t="s">
        <v>22</v>
      </c>
      <c r="D1318" s="276" t="s">
        <v>135</v>
      </c>
      <c r="E1318" s="311">
        <v>2.828888888888887E-2</v>
      </c>
      <c r="F1318" s="233" t="s">
        <v>400</v>
      </c>
      <c r="G1318" s="234" t="s">
        <v>16</v>
      </c>
      <c r="H1318" s="232">
        <v>1</v>
      </c>
      <c r="I1318" s="232">
        <v>1</v>
      </c>
      <c r="J1318" s="232">
        <v>3</v>
      </c>
      <c r="K1318" s="232">
        <v>2</v>
      </c>
      <c r="L1318" s="283">
        <v>2</v>
      </c>
      <c r="M1318" s="284">
        <f t="shared" si="51"/>
        <v>0.48935255543384243</v>
      </c>
      <c r="N1318" s="235"/>
    </row>
    <row r="1319" spans="1:14" hidden="1" x14ac:dyDescent="0.2">
      <c r="A1319" s="340" t="s">
        <v>396</v>
      </c>
      <c r="B1319" s="285" t="s">
        <v>398</v>
      </c>
      <c r="C1319" s="247" t="s">
        <v>23</v>
      </c>
      <c r="D1319" s="276" t="s">
        <v>135</v>
      </c>
      <c r="E1319" s="311">
        <v>2.9567123287671221E-2</v>
      </c>
      <c r="F1319" s="233" t="s">
        <v>400</v>
      </c>
      <c r="G1319" s="234" t="s">
        <v>16</v>
      </c>
      <c r="H1319" s="232">
        <v>1</v>
      </c>
      <c r="I1319" s="232">
        <v>1</v>
      </c>
      <c r="J1319" s="232">
        <v>3</v>
      </c>
      <c r="K1319" s="232">
        <v>2</v>
      </c>
      <c r="L1319" s="283">
        <v>2</v>
      </c>
      <c r="M1319" s="284">
        <f t="shared" si="51"/>
        <v>0.48935255543384243</v>
      </c>
      <c r="N1319" s="235"/>
    </row>
    <row r="1320" spans="1:14" hidden="1" x14ac:dyDescent="0.2">
      <c r="A1320" s="340" t="s">
        <v>396</v>
      </c>
      <c r="B1320" s="285" t="s">
        <v>398</v>
      </c>
      <c r="C1320" s="247" t="s">
        <v>24</v>
      </c>
      <c r="D1320" s="276" t="s">
        <v>135</v>
      </c>
      <c r="E1320" s="311">
        <v>1.9436065573770481E-2</v>
      </c>
      <c r="F1320" s="233" t="s">
        <v>400</v>
      </c>
      <c r="G1320" s="234" t="s">
        <v>16</v>
      </c>
      <c r="H1320" s="232">
        <v>1</v>
      </c>
      <c r="I1320" s="232">
        <v>1</v>
      </c>
      <c r="J1320" s="232">
        <v>3</v>
      </c>
      <c r="K1320" s="232">
        <v>2</v>
      </c>
      <c r="L1320" s="283">
        <v>2</v>
      </c>
      <c r="M1320" s="284">
        <f t="shared" si="51"/>
        <v>0.48935255543384243</v>
      </c>
      <c r="N1320" s="235"/>
    </row>
    <row r="1321" spans="1:14" hidden="1" x14ac:dyDescent="0.2">
      <c r="A1321" s="340" t="s">
        <v>396</v>
      </c>
      <c r="B1321" s="285" t="s">
        <v>398</v>
      </c>
      <c r="C1321" s="247" t="s">
        <v>25</v>
      </c>
      <c r="D1321" s="276" t="s">
        <v>135</v>
      </c>
      <c r="E1321" s="311">
        <v>1.0133333333333331E-3</v>
      </c>
      <c r="F1321" s="233" t="s">
        <v>400</v>
      </c>
      <c r="G1321" s="234" t="s">
        <v>16</v>
      </c>
      <c r="H1321" s="232">
        <v>1</v>
      </c>
      <c r="I1321" s="232">
        <v>1</v>
      </c>
      <c r="J1321" s="232">
        <v>3</v>
      </c>
      <c r="K1321" s="232">
        <v>2</v>
      </c>
      <c r="L1321" s="283">
        <v>2</v>
      </c>
      <c r="M1321" s="284">
        <f t="shared" si="51"/>
        <v>0.48935255543384243</v>
      </c>
      <c r="N1321" s="235"/>
    </row>
    <row r="1322" spans="1:14" hidden="1" x14ac:dyDescent="0.2">
      <c r="A1322" s="340" t="s">
        <v>396</v>
      </c>
      <c r="B1322" s="285" t="s">
        <v>398</v>
      </c>
      <c r="C1322" s="247" t="s">
        <v>26</v>
      </c>
      <c r="D1322" s="276" t="s">
        <v>135</v>
      </c>
      <c r="E1322" s="311">
        <v>9.2121212121212079E-3</v>
      </c>
      <c r="F1322" s="233" t="s">
        <v>400</v>
      </c>
      <c r="G1322" s="234" t="s">
        <v>16</v>
      </c>
      <c r="H1322" s="232">
        <v>1</v>
      </c>
      <c r="I1322" s="232">
        <v>1</v>
      </c>
      <c r="J1322" s="232">
        <v>3</v>
      </c>
      <c r="K1322" s="232">
        <v>2</v>
      </c>
      <c r="L1322" s="283">
        <v>2</v>
      </c>
      <c r="M1322" s="284">
        <f t="shared" si="51"/>
        <v>0.48935255543384243</v>
      </c>
      <c r="N1322" s="235"/>
    </row>
    <row r="1323" spans="1:14" hidden="1" x14ac:dyDescent="0.2">
      <c r="A1323" s="340" t="s">
        <v>396</v>
      </c>
      <c r="B1323" s="285" t="s">
        <v>398</v>
      </c>
      <c r="C1323" s="247" t="s">
        <v>27</v>
      </c>
      <c r="D1323" s="276" t="s">
        <v>135</v>
      </c>
      <c r="E1323" s="311">
        <v>7.6962025316455653E-4</v>
      </c>
      <c r="F1323" s="233" t="s">
        <v>400</v>
      </c>
      <c r="G1323" s="234" t="s">
        <v>16</v>
      </c>
      <c r="H1323" s="232">
        <v>1</v>
      </c>
      <c r="I1323" s="232">
        <v>1</v>
      </c>
      <c r="J1323" s="232">
        <v>3</v>
      </c>
      <c r="K1323" s="232">
        <v>2</v>
      </c>
      <c r="L1323" s="283">
        <v>2</v>
      </c>
      <c r="M1323" s="284">
        <f t="shared" si="51"/>
        <v>0.48935255543384243</v>
      </c>
      <c r="N1323" s="235"/>
    </row>
    <row r="1324" spans="1:14" hidden="1" x14ac:dyDescent="0.2">
      <c r="A1324" s="340" t="s">
        <v>396</v>
      </c>
      <c r="B1324" s="285" t="s">
        <v>398</v>
      </c>
      <c r="C1324" s="247" t="s">
        <v>28</v>
      </c>
      <c r="D1324" s="276" t="s">
        <v>135</v>
      </c>
      <c r="E1324" s="311">
        <v>1.2565333333333329E-2</v>
      </c>
      <c r="F1324" s="233" t="s">
        <v>400</v>
      </c>
      <c r="G1324" s="234" t="s">
        <v>16</v>
      </c>
      <c r="H1324" s="232">
        <v>1</v>
      </c>
      <c r="I1324" s="232">
        <v>1</v>
      </c>
      <c r="J1324" s="232">
        <v>3</v>
      </c>
      <c r="K1324" s="232">
        <v>2</v>
      </c>
      <c r="L1324" s="283">
        <v>2</v>
      </c>
      <c r="M1324" s="284">
        <f t="shared" si="51"/>
        <v>0.48935255543384243</v>
      </c>
      <c r="N1324" s="235"/>
    </row>
    <row r="1325" spans="1:14" hidden="1" x14ac:dyDescent="0.2">
      <c r="A1325" s="340" t="s">
        <v>396</v>
      </c>
      <c r="B1325" s="285" t="s">
        <v>398</v>
      </c>
      <c r="C1325" s="247" t="s">
        <v>30</v>
      </c>
      <c r="D1325" s="276" t="s">
        <v>135</v>
      </c>
      <c r="E1325" s="311">
        <v>5.2413793103448251E-4</v>
      </c>
      <c r="F1325" s="233" t="s">
        <v>400</v>
      </c>
      <c r="G1325" s="234" t="s">
        <v>16</v>
      </c>
      <c r="H1325" s="232">
        <v>1</v>
      </c>
      <c r="I1325" s="232">
        <v>1</v>
      </c>
      <c r="J1325" s="232">
        <v>3</v>
      </c>
      <c r="K1325" s="232">
        <v>2</v>
      </c>
      <c r="L1325" s="283">
        <v>2</v>
      </c>
      <c r="M1325" s="284">
        <f t="shared" si="51"/>
        <v>0.48935255543384243</v>
      </c>
      <c r="N1325" s="235"/>
    </row>
    <row r="1326" spans="1:14" hidden="1" x14ac:dyDescent="0.2">
      <c r="A1326" s="340" t="s">
        <v>396</v>
      </c>
      <c r="B1326" s="285" t="s">
        <v>398</v>
      </c>
      <c r="C1326" s="247" t="s">
        <v>32</v>
      </c>
      <c r="D1326" s="276" t="s">
        <v>135</v>
      </c>
      <c r="E1326" s="311">
        <v>2.9589333333333311E-2</v>
      </c>
      <c r="F1326" s="233" t="s">
        <v>400</v>
      </c>
      <c r="G1326" s="234" t="s">
        <v>16</v>
      </c>
      <c r="H1326" s="232">
        <v>1</v>
      </c>
      <c r="I1326" s="232">
        <v>1</v>
      </c>
      <c r="J1326" s="232">
        <v>3</v>
      </c>
      <c r="K1326" s="232">
        <v>2</v>
      </c>
      <c r="L1326" s="283">
        <v>2</v>
      </c>
      <c r="M1326" s="284">
        <f t="shared" si="51"/>
        <v>0.48935255543384243</v>
      </c>
      <c r="N1326" s="235"/>
    </row>
    <row r="1327" spans="1:14" hidden="1" x14ac:dyDescent="0.2">
      <c r="A1327" s="340" t="s">
        <v>396</v>
      </c>
      <c r="B1327" s="285" t="s">
        <v>398</v>
      </c>
      <c r="C1327" s="247" t="s">
        <v>34</v>
      </c>
      <c r="D1327" s="276" t="s">
        <v>135</v>
      </c>
      <c r="E1327" s="311">
        <v>2.2215384615384609E-2</v>
      </c>
      <c r="F1327" s="233" t="s">
        <v>400</v>
      </c>
      <c r="G1327" s="234" t="s">
        <v>16</v>
      </c>
      <c r="H1327" s="232">
        <v>1</v>
      </c>
      <c r="I1327" s="232">
        <v>1</v>
      </c>
      <c r="J1327" s="232">
        <v>3</v>
      </c>
      <c r="K1327" s="232">
        <v>2</v>
      </c>
      <c r="L1327" s="283">
        <v>2</v>
      </c>
      <c r="M1327" s="284">
        <f t="shared" si="51"/>
        <v>0.48935255543384243</v>
      </c>
      <c r="N1327" s="235"/>
    </row>
    <row r="1328" spans="1:14" hidden="1" x14ac:dyDescent="0.2">
      <c r="A1328" s="340" t="s">
        <v>396</v>
      </c>
      <c r="B1328" s="285" t="s">
        <v>398</v>
      </c>
      <c r="C1328" s="247" t="s">
        <v>36</v>
      </c>
      <c r="D1328" s="276" t="s">
        <v>135</v>
      </c>
      <c r="E1328" s="311">
        <v>3.8535211267605612E-3</v>
      </c>
      <c r="F1328" s="233" t="s">
        <v>400</v>
      </c>
      <c r="G1328" s="234" t="s">
        <v>16</v>
      </c>
      <c r="H1328" s="232">
        <v>1</v>
      </c>
      <c r="I1328" s="232">
        <v>1</v>
      </c>
      <c r="J1328" s="232">
        <v>3</v>
      </c>
      <c r="K1328" s="232">
        <v>2</v>
      </c>
      <c r="L1328" s="283">
        <v>2</v>
      </c>
      <c r="M1328" s="284">
        <f t="shared" si="51"/>
        <v>0.48935255543384243</v>
      </c>
      <c r="N1328" s="235"/>
    </row>
    <row r="1329" spans="1:14" hidden="1" x14ac:dyDescent="0.2">
      <c r="A1329" s="340" t="s">
        <v>396</v>
      </c>
      <c r="B1329" s="285" t="s">
        <v>398</v>
      </c>
      <c r="C1329" s="247" t="s">
        <v>37</v>
      </c>
      <c r="D1329" s="276" t="s">
        <v>135</v>
      </c>
      <c r="E1329" s="311">
        <v>1.4739393939393931E-2</v>
      </c>
      <c r="F1329" s="233" t="s">
        <v>400</v>
      </c>
      <c r="G1329" s="234" t="s">
        <v>16</v>
      </c>
      <c r="H1329" s="232">
        <v>1</v>
      </c>
      <c r="I1329" s="232">
        <v>1</v>
      </c>
      <c r="J1329" s="232">
        <v>3</v>
      </c>
      <c r="K1329" s="232">
        <v>2</v>
      </c>
      <c r="L1329" s="283">
        <v>2</v>
      </c>
      <c r="M1329" s="284">
        <f t="shared" si="51"/>
        <v>0.48935255543384243</v>
      </c>
      <c r="N1329" s="235"/>
    </row>
    <row r="1330" spans="1:14" hidden="1" x14ac:dyDescent="0.2">
      <c r="A1330" s="340" t="s">
        <v>396</v>
      </c>
      <c r="B1330" s="285" t="s">
        <v>398</v>
      </c>
      <c r="C1330" s="247" t="s">
        <v>39</v>
      </c>
      <c r="D1330" s="276" t="s">
        <v>135</v>
      </c>
      <c r="E1330" s="311">
        <v>2.9478787878787861E-2</v>
      </c>
      <c r="F1330" s="233" t="s">
        <v>400</v>
      </c>
      <c r="G1330" s="234" t="s">
        <v>16</v>
      </c>
      <c r="H1330" s="232">
        <v>1</v>
      </c>
      <c r="I1330" s="232">
        <v>1</v>
      </c>
      <c r="J1330" s="232">
        <v>3</v>
      </c>
      <c r="K1330" s="232">
        <v>2</v>
      </c>
      <c r="L1330" s="283">
        <v>2</v>
      </c>
      <c r="M1330" s="284">
        <f t="shared" si="51"/>
        <v>0.48935255543384243</v>
      </c>
      <c r="N1330" s="235"/>
    </row>
    <row r="1331" spans="1:14" hidden="1" x14ac:dyDescent="0.2">
      <c r="A1331" s="340" t="s">
        <v>396</v>
      </c>
      <c r="B1331" s="285" t="s">
        <v>398</v>
      </c>
      <c r="C1331" s="247" t="s">
        <v>40</v>
      </c>
      <c r="D1331" s="276" t="s">
        <v>135</v>
      </c>
      <c r="E1331" s="311">
        <v>1.8739726027397249E-2</v>
      </c>
      <c r="F1331" s="233" t="s">
        <v>400</v>
      </c>
      <c r="G1331" s="234" t="s">
        <v>16</v>
      </c>
      <c r="H1331" s="232">
        <v>1</v>
      </c>
      <c r="I1331" s="232">
        <v>1</v>
      </c>
      <c r="J1331" s="232">
        <v>3</v>
      </c>
      <c r="K1331" s="232">
        <v>2</v>
      </c>
      <c r="L1331" s="283">
        <v>2</v>
      </c>
      <c r="M1331" s="284">
        <f t="shared" si="51"/>
        <v>0.48935255543384243</v>
      </c>
      <c r="N1331" s="235"/>
    </row>
    <row r="1332" spans="1:14" hidden="1" x14ac:dyDescent="0.2">
      <c r="A1332" s="340" t="s">
        <v>396</v>
      </c>
      <c r="B1332" s="285" t="s">
        <v>398</v>
      </c>
      <c r="C1332" s="247" t="s">
        <v>41</v>
      </c>
      <c r="D1332" s="276" t="s">
        <v>135</v>
      </c>
      <c r="E1332" s="61">
        <v>0</v>
      </c>
      <c r="F1332" s="233" t="s">
        <v>400</v>
      </c>
      <c r="G1332" s="234" t="s">
        <v>16</v>
      </c>
      <c r="H1332" s="61"/>
      <c r="I1332" s="61"/>
      <c r="J1332" s="61" t="str">
        <f>IF( OR( ISBLANK(#REF!),ISBLANK(F1332), ISBLANK(#REF!), ISBLANK(H1332), ISBLANK(I1332) ), "", 1.5*SQRT(   EXP(2.21*(#REF!-1)) + EXP(2.21*(F1332-1)) + EXP(2.21*(#REF!-1)) + EXP(2.21*(H1332-1)) + EXP(2.21*I1332)   )/100 )</f>
        <v/>
      </c>
      <c r="K1332" s="61"/>
      <c r="L1332" s="62"/>
      <c r="M1332" s="63" t="str">
        <f>IF( OR( ISBLANK(H1332),ISBLANK(I1332), ISBLANK(J1332), ISBLANK(K1332), ISBLANK(L1332) ), "", 1.5*SQRT(   EXP(2.21*(H1332-1)) + EXP(2.21*(I1332-1)) + EXP(2.21*(J1332-1)) + EXP(2.21*(K1332-1)) + EXP(2.21*L1332)   )/100*2.45 )</f>
        <v/>
      </c>
      <c r="N1332" s="235"/>
    </row>
    <row r="1333" spans="1:14" hidden="1" x14ac:dyDescent="0.2">
      <c r="A1333" s="340" t="s">
        <v>396</v>
      </c>
      <c r="B1333" s="285" t="s">
        <v>398</v>
      </c>
      <c r="C1333" s="247" t="s">
        <v>42</v>
      </c>
      <c r="D1333" s="276" t="s">
        <v>135</v>
      </c>
      <c r="E1333" s="311">
        <v>2.961038961038959E-2</v>
      </c>
      <c r="F1333" s="233" t="s">
        <v>400</v>
      </c>
      <c r="G1333" s="234" t="s">
        <v>16</v>
      </c>
      <c r="H1333" s="232">
        <v>1</v>
      </c>
      <c r="I1333" s="232">
        <v>1</v>
      </c>
      <c r="J1333" s="232">
        <v>3</v>
      </c>
      <c r="K1333" s="232">
        <v>2</v>
      </c>
      <c r="L1333" s="283">
        <v>2</v>
      </c>
      <c r="M1333" s="284">
        <f>IF( OR( ISBLANK(H1333),ISBLANK(I1333), ISBLANK(J1333), ISBLANK(K1333), ISBLANK(L1333) ), "", 1.5*SQRT(   EXP(2.21*(H1333-1)) + EXP(2.21*(I1333-1)) + EXP(2.21*(J1333-1)) + EXP(2.21*(K1333-1)) + EXP(2.21*L1333)   )/100*2.45 )</f>
        <v>0.48935255543384243</v>
      </c>
      <c r="N1333" s="235"/>
    </row>
    <row r="1334" spans="1:14" hidden="1" x14ac:dyDescent="0.2">
      <c r="A1334" s="340" t="s">
        <v>396</v>
      </c>
      <c r="B1334" s="285" t="s">
        <v>398</v>
      </c>
      <c r="C1334" s="247" t="s">
        <v>43</v>
      </c>
      <c r="D1334" s="276" t="s">
        <v>135</v>
      </c>
      <c r="E1334" s="61">
        <v>0</v>
      </c>
      <c r="F1334" s="233" t="s">
        <v>400</v>
      </c>
      <c r="G1334" s="234" t="s">
        <v>16</v>
      </c>
      <c r="H1334" s="61"/>
      <c r="I1334" s="61"/>
      <c r="J1334" s="61" t="str">
        <f>IF( OR( ISBLANK(#REF!),ISBLANK(F1334), ISBLANK(#REF!), ISBLANK(H1334), ISBLANK(I1334) ), "", 1.5*SQRT(   EXP(2.21*(#REF!-1)) + EXP(2.21*(F1334-1)) + EXP(2.21*(#REF!-1)) + EXP(2.21*(H1334-1)) + EXP(2.21*I1334)   )/100 )</f>
        <v/>
      </c>
      <c r="K1334" s="61"/>
      <c r="L1334" s="62"/>
      <c r="M1334" s="63" t="str">
        <f>IF( OR( ISBLANK(H1334),ISBLANK(I1334), ISBLANK(J1334), ISBLANK(K1334), ISBLANK(L1334) ), "", 1.5*SQRT(   EXP(2.21*(H1334-1)) + EXP(2.21*(I1334-1)) + EXP(2.21*(J1334-1)) + EXP(2.21*(K1334-1)) + EXP(2.21*L1334)   )/100*2.45 )</f>
        <v/>
      </c>
      <c r="N1334" s="235"/>
    </row>
    <row r="1335" spans="1:14" hidden="1" x14ac:dyDescent="0.2">
      <c r="A1335" s="340" t="s">
        <v>396</v>
      </c>
      <c r="B1335" s="285" t="s">
        <v>398</v>
      </c>
      <c r="C1335" s="247" t="s">
        <v>45</v>
      </c>
      <c r="D1335" s="276" t="s">
        <v>135</v>
      </c>
      <c r="E1335" s="311">
        <v>1.0857142857142849E-3</v>
      </c>
      <c r="F1335" s="233" t="s">
        <v>400</v>
      </c>
      <c r="G1335" s="234" t="s">
        <v>16</v>
      </c>
      <c r="H1335" s="232">
        <v>1</v>
      </c>
      <c r="I1335" s="232">
        <v>1</v>
      </c>
      <c r="J1335" s="232">
        <v>3</v>
      </c>
      <c r="K1335" s="232">
        <v>2</v>
      </c>
      <c r="L1335" s="283">
        <v>2</v>
      </c>
      <c r="M1335" s="284">
        <f>IF( OR( ISBLANK(H1335),ISBLANK(I1335), ISBLANK(J1335), ISBLANK(K1335), ISBLANK(L1335) ), "", 1.5*SQRT(   EXP(2.21*(H1335-1)) + EXP(2.21*(I1335-1)) + EXP(2.21*(J1335-1)) + EXP(2.21*(K1335-1)) + EXP(2.21*L1335)   )/100*2.45 )</f>
        <v>0.48935255543384243</v>
      </c>
      <c r="N1335" s="235"/>
    </row>
    <row r="1336" spans="1:14" hidden="1" x14ac:dyDescent="0.2">
      <c r="A1336" s="340" t="s">
        <v>396</v>
      </c>
      <c r="B1336" s="285" t="s">
        <v>398</v>
      </c>
      <c r="C1336" s="247" t="s">
        <v>46</v>
      </c>
      <c r="D1336" s="276" t="s">
        <v>135</v>
      </c>
      <c r="E1336" s="311">
        <v>1.7073972602739719E-2</v>
      </c>
      <c r="F1336" s="233" t="s">
        <v>400</v>
      </c>
      <c r="G1336" s="234" t="s">
        <v>16</v>
      </c>
      <c r="H1336" s="232">
        <v>1</v>
      </c>
      <c r="I1336" s="232">
        <v>1</v>
      </c>
      <c r="J1336" s="232">
        <v>3</v>
      </c>
      <c r="K1336" s="232">
        <v>2</v>
      </c>
      <c r="L1336" s="283">
        <v>2</v>
      </c>
      <c r="M1336" s="284">
        <f t="shared" ref="M1336:M1342" si="52">IF( OR( ISBLANK(H1336),ISBLANK(I1336), ISBLANK(J1336), ISBLANK(K1336), ISBLANK(L1336) ), "", 1.5*SQRT( EXP(2.21*(H1336-1)) + EXP(2.21*(I1336-1)) + EXP(2.21*(J1336-1)) + EXP(2.21*(K1336-1)) + EXP(2.21*L1336) )/100*2.45 )</f>
        <v>0.48935255543384243</v>
      </c>
      <c r="N1336" s="235"/>
    </row>
    <row r="1337" spans="1:14" hidden="1" x14ac:dyDescent="0.2">
      <c r="A1337" s="340" t="s">
        <v>396</v>
      </c>
      <c r="B1337" s="285" t="s">
        <v>398</v>
      </c>
      <c r="C1337" s="247" t="s">
        <v>48</v>
      </c>
      <c r="D1337" s="276" t="s">
        <v>135</v>
      </c>
      <c r="E1337" s="311">
        <v>1.475294117647058E-2</v>
      </c>
      <c r="F1337" s="233" t="s">
        <v>400</v>
      </c>
      <c r="G1337" s="234" t="s">
        <v>16</v>
      </c>
      <c r="H1337" s="232">
        <v>1</v>
      </c>
      <c r="I1337" s="232">
        <v>1</v>
      </c>
      <c r="J1337" s="232">
        <v>3</v>
      </c>
      <c r="K1337" s="232">
        <v>2</v>
      </c>
      <c r="L1337" s="283">
        <v>2</v>
      </c>
      <c r="M1337" s="284">
        <f t="shared" si="52"/>
        <v>0.48935255543384243</v>
      </c>
      <c r="N1337" s="235"/>
    </row>
    <row r="1338" spans="1:14" hidden="1" x14ac:dyDescent="0.2">
      <c r="A1338" s="340" t="s">
        <v>396</v>
      </c>
      <c r="B1338" s="285" t="s">
        <v>398</v>
      </c>
      <c r="C1338" s="247" t="s">
        <v>50</v>
      </c>
      <c r="D1338" s="276" t="s">
        <v>135</v>
      </c>
      <c r="E1338" s="311">
        <v>2.5408955223880581E-2</v>
      </c>
      <c r="F1338" s="233" t="s">
        <v>400</v>
      </c>
      <c r="G1338" s="234" t="s">
        <v>16</v>
      </c>
      <c r="H1338" s="232">
        <v>1</v>
      </c>
      <c r="I1338" s="232">
        <v>1</v>
      </c>
      <c r="J1338" s="232">
        <v>3</v>
      </c>
      <c r="K1338" s="232">
        <v>2</v>
      </c>
      <c r="L1338" s="283">
        <v>2</v>
      </c>
      <c r="M1338" s="284">
        <f t="shared" si="52"/>
        <v>0.48935255543384243</v>
      </c>
      <c r="N1338" s="235"/>
    </row>
    <row r="1339" spans="1:14" hidden="1" x14ac:dyDescent="0.2">
      <c r="A1339" s="340" t="s">
        <v>396</v>
      </c>
      <c r="B1339" s="285" t="s">
        <v>398</v>
      </c>
      <c r="C1339" s="247" t="s">
        <v>52</v>
      </c>
      <c r="D1339" s="276" t="s">
        <v>135</v>
      </c>
      <c r="E1339" s="311">
        <v>1.9542857142857129E-2</v>
      </c>
      <c r="F1339" s="233" t="s">
        <v>400</v>
      </c>
      <c r="G1339" s="234" t="s">
        <v>16</v>
      </c>
      <c r="H1339" s="232">
        <v>1</v>
      </c>
      <c r="I1339" s="232">
        <v>1</v>
      </c>
      <c r="J1339" s="232">
        <v>3</v>
      </c>
      <c r="K1339" s="232">
        <v>2</v>
      </c>
      <c r="L1339" s="283">
        <v>2</v>
      </c>
      <c r="M1339" s="284">
        <f t="shared" si="52"/>
        <v>0.48935255543384243</v>
      </c>
      <c r="N1339" s="235"/>
    </row>
    <row r="1340" spans="1:14" hidden="1" x14ac:dyDescent="0.2">
      <c r="A1340" s="340" t="s">
        <v>396</v>
      </c>
      <c r="B1340" s="285" t="s">
        <v>398</v>
      </c>
      <c r="C1340" s="247" t="s">
        <v>54</v>
      </c>
      <c r="D1340" s="276" t="s">
        <v>135</v>
      </c>
      <c r="E1340" s="311">
        <v>1.543384615384614E-2</v>
      </c>
      <c r="F1340" s="233" t="s">
        <v>400</v>
      </c>
      <c r="G1340" s="234" t="s">
        <v>16</v>
      </c>
      <c r="H1340" s="232">
        <v>1</v>
      </c>
      <c r="I1340" s="232">
        <v>1</v>
      </c>
      <c r="J1340" s="232">
        <v>3</v>
      </c>
      <c r="K1340" s="232">
        <v>2</v>
      </c>
      <c r="L1340" s="283">
        <v>2</v>
      </c>
      <c r="M1340" s="284">
        <f t="shared" si="52"/>
        <v>0.48935255543384243</v>
      </c>
      <c r="N1340" s="235"/>
    </row>
    <row r="1341" spans="1:14" hidden="1" x14ac:dyDescent="0.2">
      <c r="A1341" s="340" t="s">
        <v>396</v>
      </c>
      <c r="B1341" s="285" t="s">
        <v>398</v>
      </c>
      <c r="C1341" s="247" t="s">
        <v>55</v>
      </c>
      <c r="D1341" s="276" t="s">
        <v>135</v>
      </c>
      <c r="E1341" s="311">
        <v>1.9199999999999991E-2</v>
      </c>
      <c r="F1341" s="233" t="s">
        <v>400</v>
      </c>
      <c r="G1341" s="234" t="s">
        <v>16</v>
      </c>
      <c r="H1341" s="232">
        <v>1</v>
      </c>
      <c r="I1341" s="232">
        <v>1</v>
      </c>
      <c r="J1341" s="232">
        <v>3</v>
      </c>
      <c r="K1341" s="232">
        <v>2</v>
      </c>
      <c r="L1341" s="283">
        <v>2</v>
      </c>
      <c r="M1341" s="284">
        <f t="shared" si="52"/>
        <v>0.48935255543384243</v>
      </c>
      <c r="N1341" s="235"/>
    </row>
    <row r="1342" spans="1:14" hidden="1" x14ac:dyDescent="0.2">
      <c r="A1342" s="340" t="s">
        <v>396</v>
      </c>
      <c r="B1342" s="285" t="s">
        <v>398</v>
      </c>
      <c r="C1342" s="247" t="s">
        <v>57</v>
      </c>
      <c r="D1342" s="276" t="s">
        <v>135</v>
      </c>
      <c r="E1342" s="311">
        <v>4.9836065573770469E-4</v>
      </c>
      <c r="F1342" s="233" t="s">
        <v>400</v>
      </c>
      <c r="G1342" s="234" t="s">
        <v>16</v>
      </c>
      <c r="H1342" s="232">
        <v>1</v>
      </c>
      <c r="I1342" s="232">
        <v>1</v>
      </c>
      <c r="J1342" s="232">
        <v>3</v>
      </c>
      <c r="K1342" s="232">
        <v>2</v>
      </c>
      <c r="L1342" s="283">
        <v>2</v>
      </c>
      <c r="M1342" s="284">
        <f t="shared" si="52"/>
        <v>0.48935255543384243</v>
      </c>
      <c r="N1342" s="235"/>
    </row>
    <row r="1343" spans="1:14" hidden="1" x14ac:dyDescent="0.2">
      <c r="A1343" s="340" t="s">
        <v>396</v>
      </c>
      <c r="B1343" s="285" t="s">
        <v>398</v>
      </c>
      <c r="C1343" s="247" t="s">
        <v>59</v>
      </c>
      <c r="D1343" s="276" t="s">
        <v>135</v>
      </c>
      <c r="E1343" s="61">
        <v>0</v>
      </c>
      <c r="F1343" s="233" t="s">
        <v>400</v>
      </c>
      <c r="G1343" s="234" t="s">
        <v>16</v>
      </c>
      <c r="H1343" s="61"/>
      <c r="I1343" s="61"/>
      <c r="J1343" s="61" t="str">
        <f>IF( OR( ISBLANK(#REF!),ISBLANK(F1343), ISBLANK(#REF!), ISBLANK(H1343), ISBLANK(I1343) ), "", 1.5*SQRT(   EXP(2.21*(#REF!-1)) + EXP(2.21*(F1343-1)) + EXP(2.21*(#REF!-1)) + EXP(2.21*(H1343-1)) + EXP(2.21*I1343)   )/100 )</f>
        <v/>
      </c>
      <c r="K1343" s="61"/>
      <c r="L1343" s="62"/>
      <c r="M1343" s="63" t="str">
        <f>IF( OR( ISBLANK(H1343),ISBLANK(I1343), ISBLANK(J1343), ISBLANK(K1343), ISBLANK(L1343) ), "", 1.5*SQRT(   EXP(2.21*(H1343-1)) + EXP(2.21*(I1343-1)) + EXP(2.21*(J1343-1)) + EXP(2.21*(K1343-1)) + EXP(2.21*L1343)   )/100*2.45 )</f>
        <v/>
      </c>
      <c r="N1343" s="235"/>
    </row>
    <row r="1344" spans="1:14" hidden="1" x14ac:dyDescent="0.2">
      <c r="A1344" s="340" t="s">
        <v>396</v>
      </c>
      <c r="B1344" s="285" t="s">
        <v>398</v>
      </c>
      <c r="C1344" s="247" t="s">
        <v>60</v>
      </c>
      <c r="D1344" s="276" t="s">
        <v>135</v>
      </c>
      <c r="E1344" s="311">
        <v>9.1682539682539626E-3</v>
      </c>
      <c r="F1344" s="233" t="s">
        <v>400</v>
      </c>
      <c r="G1344" s="234" t="s">
        <v>16</v>
      </c>
      <c r="H1344" s="232">
        <v>1</v>
      </c>
      <c r="I1344" s="232">
        <v>1</v>
      </c>
      <c r="J1344" s="232">
        <v>3</v>
      </c>
      <c r="K1344" s="232">
        <v>2</v>
      </c>
      <c r="L1344" s="283">
        <v>2</v>
      </c>
      <c r="M1344" s="284">
        <f>IF( OR( ISBLANK(H1344),ISBLANK(I1344), ISBLANK(J1344), ISBLANK(K1344), ISBLANK(L1344) ), "", 1.5*SQRT(   EXP(2.21*(H1344-1)) + EXP(2.21*(I1344-1)) + EXP(2.21*(J1344-1)) + EXP(2.21*(K1344-1)) + EXP(2.21*L1344)   )/100*2.45 )</f>
        <v>0.48935255543384243</v>
      </c>
      <c r="N1344" s="235"/>
    </row>
    <row r="1345" spans="1:14" x14ac:dyDescent="0.2">
      <c r="A1345" s="341" t="s">
        <v>396</v>
      </c>
      <c r="B1345" s="281" t="s">
        <v>399</v>
      </c>
      <c r="C1345" s="238" t="s">
        <v>135</v>
      </c>
      <c r="D1345" s="239" t="s">
        <v>135</v>
      </c>
      <c r="E1345" s="240" t="s">
        <v>188</v>
      </c>
      <c r="F1345" s="241"/>
      <c r="G1345" s="242" t="s">
        <v>16</v>
      </c>
      <c r="H1345" s="240"/>
      <c r="I1345" s="240"/>
      <c r="J1345" s="240"/>
      <c r="K1345" s="240"/>
      <c r="L1345" s="243"/>
      <c r="M1345" s="243" t="str">
        <f>IF( OR( ISBLANK(H1345),ISBLANK(I1345), ISBLANK(J1345), ISBLANK(K1345), ISBLANK(L1345) ), "", 1.5*SQRT( EXP(2.21*(H1345-1)) + EXP(2.21*(I1345-1)) + EXP(2.21*(J1345-1)) + EXP(2.21*(K1345-1)) + EXP(2.21*L1345) )/100*2.45 )</f>
        <v/>
      </c>
      <c r="N1345" s="245"/>
    </row>
    <row r="1346" spans="1:14" x14ac:dyDescent="0.2">
      <c r="A1346" s="340" t="s">
        <v>401</v>
      </c>
      <c r="B1346" s="310" t="s">
        <v>440</v>
      </c>
      <c r="C1346" s="222" t="s">
        <v>135</v>
      </c>
      <c r="D1346" s="232" t="s">
        <v>135</v>
      </c>
      <c r="E1346" s="316">
        <v>3.040723981900495E-2</v>
      </c>
      <c r="F1346" s="233" t="s">
        <v>439</v>
      </c>
      <c r="G1346" s="342" t="s">
        <v>16</v>
      </c>
      <c r="H1346" s="232">
        <v>2</v>
      </c>
      <c r="I1346" s="232">
        <v>2</v>
      </c>
      <c r="J1346" s="232">
        <v>3</v>
      </c>
      <c r="K1346" s="232">
        <v>1</v>
      </c>
      <c r="L1346" s="283">
        <v>1</v>
      </c>
      <c r="M1346" s="284">
        <f>IF( OR( ISBLANK(H1346),ISBLANK(I1346), ISBLANK(J1346), ISBLANK(K1346), ISBLANK(L1346) ), "", 1.5*SQRT( EXP(2.21*(H1346-1)) + EXP(2.21*(I1346-1)) + EXP(2.21*(J1346-1)) + EXP(2.21*(K1346-1)) + EXP(2.21*L1346) )/100*2.45 )</f>
        <v>0.38795788889711302</v>
      </c>
      <c r="N1346" s="235"/>
    </row>
    <row r="1347" spans="1:14" x14ac:dyDescent="0.2">
      <c r="A1347" s="340" t="s">
        <v>401</v>
      </c>
      <c r="B1347" s="285" t="s">
        <v>398</v>
      </c>
      <c r="C1347" s="247" t="s">
        <v>13</v>
      </c>
      <c r="D1347" s="276" t="s">
        <v>135</v>
      </c>
      <c r="E1347" s="61">
        <v>0</v>
      </c>
      <c r="F1347" s="233" t="s">
        <v>400</v>
      </c>
      <c r="G1347" s="234" t="s">
        <v>16</v>
      </c>
      <c r="H1347" s="61"/>
      <c r="I1347" s="61"/>
      <c r="J1347" s="61" t="str">
        <f>IF( OR( ISBLANK(#REF!),ISBLANK(F1347), ISBLANK(#REF!), ISBLANK(H1347), ISBLANK(I1347) ), "", 1.5*SQRT(   EXP(2.21*(#REF!-1)) + EXP(2.21*(F1347-1)) + EXP(2.21*(#REF!-1)) + EXP(2.21*(H1347-1)) + EXP(2.21*I1347)   )/100 )</f>
        <v/>
      </c>
      <c r="K1347" s="61"/>
      <c r="L1347" s="62"/>
      <c r="M1347" s="63" t="str">
        <f>IF( OR( ISBLANK(H1347),ISBLANK(I1347), ISBLANK(J1347), ISBLANK(K1347), ISBLANK(L1347) ), "", 1.5*SQRT( EXP(2.21*(H1347-1)) + EXP(2.21*(I1347-1)) + EXP(2.21*(J1347-1)) + EXP(2.21*(K1347-1)) + EXP(2.21*L1347) )/100*2.45 )</f>
        <v/>
      </c>
      <c r="N1347" s="235"/>
    </row>
    <row r="1348" spans="1:14" hidden="1" x14ac:dyDescent="0.2">
      <c r="A1348" s="340" t="s">
        <v>401</v>
      </c>
      <c r="B1348" s="285" t="s">
        <v>398</v>
      </c>
      <c r="C1348" s="247" t="s">
        <v>18</v>
      </c>
      <c r="D1348" s="276" t="s">
        <v>135</v>
      </c>
      <c r="E1348" s="311">
        <v>3.1790163934426227E-2</v>
      </c>
      <c r="F1348" s="233" t="s">
        <v>400</v>
      </c>
      <c r="G1348" s="234" t="s">
        <v>16</v>
      </c>
      <c r="H1348" s="232">
        <v>1</v>
      </c>
      <c r="I1348" s="232">
        <v>1</v>
      </c>
      <c r="J1348" s="232">
        <v>3</v>
      </c>
      <c r="K1348" s="232">
        <v>2</v>
      </c>
      <c r="L1348" s="283">
        <v>2</v>
      </c>
      <c r="M1348" s="284">
        <f>IF( OR( ISBLANK(H1348),ISBLANK(I1348), ISBLANK(J1348), ISBLANK(K1348), ISBLANK(L1348) ), "", 1.5*SQRT(   EXP(2.21*(H1348-1)) + EXP(2.21*(I1348-1)) + EXP(2.21*(J1348-1)) + EXP(2.21*(K1348-1)) + EXP(2.21*L1348)   )/100*2.45 )</f>
        <v>0.48935255543384243</v>
      </c>
      <c r="N1348" s="235"/>
    </row>
    <row r="1349" spans="1:14" hidden="1" x14ac:dyDescent="0.2">
      <c r="A1349" s="340" t="s">
        <v>401</v>
      </c>
      <c r="B1349" s="285" t="s">
        <v>398</v>
      </c>
      <c r="C1349" s="247" t="s">
        <v>20</v>
      </c>
      <c r="D1349" s="276" t="s">
        <v>135</v>
      </c>
      <c r="E1349" s="311">
        <v>0.86886233766233778</v>
      </c>
      <c r="F1349" s="233" t="s">
        <v>400</v>
      </c>
      <c r="G1349" s="234" t="s">
        <v>16</v>
      </c>
      <c r="H1349" s="232">
        <v>1</v>
      </c>
      <c r="I1349" s="232">
        <v>1</v>
      </c>
      <c r="J1349" s="232">
        <v>3</v>
      </c>
      <c r="K1349" s="232">
        <v>2</v>
      </c>
      <c r="L1349" s="283">
        <v>2</v>
      </c>
      <c r="M1349" s="284">
        <f t="shared" ref="M1349:M1363" si="53">IF( OR( ISBLANK(H1349),ISBLANK(I1349), ISBLANK(J1349), ISBLANK(K1349), ISBLANK(L1349) ), "", 1.5*SQRT( EXP(2.21*(H1349-1)) + EXP(2.21*(I1349-1)) + EXP(2.21*(J1349-1)) + EXP(2.21*(K1349-1)) + EXP(2.21*L1349) )/100*2.45 )</f>
        <v>0.48935255543384243</v>
      </c>
      <c r="N1349" s="235"/>
    </row>
    <row r="1350" spans="1:14" hidden="1" x14ac:dyDescent="0.2">
      <c r="A1350" s="340" t="s">
        <v>401</v>
      </c>
      <c r="B1350" s="285" t="s">
        <v>398</v>
      </c>
      <c r="C1350" s="247" t="s">
        <v>22</v>
      </c>
      <c r="D1350" s="276" t="s">
        <v>135</v>
      </c>
      <c r="E1350" s="311">
        <v>0.90226666666666655</v>
      </c>
      <c r="F1350" s="233" t="s">
        <v>400</v>
      </c>
      <c r="G1350" s="234" t="s">
        <v>16</v>
      </c>
      <c r="H1350" s="232">
        <v>1</v>
      </c>
      <c r="I1350" s="232">
        <v>1</v>
      </c>
      <c r="J1350" s="232">
        <v>3</v>
      </c>
      <c r="K1350" s="232">
        <v>2</v>
      </c>
      <c r="L1350" s="283">
        <v>2</v>
      </c>
      <c r="M1350" s="284">
        <f t="shared" si="53"/>
        <v>0.48935255543384243</v>
      </c>
      <c r="N1350" s="235"/>
    </row>
    <row r="1351" spans="1:14" hidden="1" x14ac:dyDescent="0.2">
      <c r="A1351" s="340" t="s">
        <v>401</v>
      </c>
      <c r="B1351" s="285" t="s">
        <v>398</v>
      </c>
      <c r="C1351" s="247" t="s">
        <v>23</v>
      </c>
      <c r="D1351" s="276" t="s">
        <v>135</v>
      </c>
      <c r="E1351" s="311">
        <v>0.94303561643835621</v>
      </c>
      <c r="F1351" s="233" t="s">
        <v>400</v>
      </c>
      <c r="G1351" s="234" t="s">
        <v>16</v>
      </c>
      <c r="H1351" s="232">
        <v>1</v>
      </c>
      <c r="I1351" s="232">
        <v>1</v>
      </c>
      <c r="J1351" s="232">
        <v>3</v>
      </c>
      <c r="K1351" s="232">
        <v>2</v>
      </c>
      <c r="L1351" s="283">
        <v>2</v>
      </c>
      <c r="M1351" s="284">
        <f t="shared" si="53"/>
        <v>0.48935255543384243</v>
      </c>
      <c r="N1351" s="235"/>
    </row>
    <row r="1352" spans="1:14" hidden="1" x14ac:dyDescent="0.2">
      <c r="A1352" s="340" t="s">
        <v>401</v>
      </c>
      <c r="B1352" s="285" t="s">
        <v>398</v>
      </c>
      <c r="C1352" s="247" t="s">
        <v>24</v>
      </c>
      <c r="D1352" s="276" t="s">
        <v>135</v>
      </c>
      <c r="E1352" s="311">
        <v>0.61990819672131148</v>
      </c>
      <c r="F1352" s="233" t="s">
        <v>400</v>
      </c>
      <c r="G1352" s="234" t="s">
        <v>16</v>
      </c>
      <c r="H1352" s="232">
        <v>1</v>
      </c>
      <c r="I1352" s="232">
        <v>1</v>
      </c>
      <c r="J1352" s="232">
        <v>3</v>
      </c>
      <c r="K1352" s="232">
        <v>2</v>
      </c>
      <c r="L1352" s="283">
        <v>2</v>
      </c>
      <c r="M1352" s="284">
        <f t="shared" si="53"/>
        <v>0.48935255543384243</v>
      </c>
      <c r="N1352" s="235"/>
    </row>
    <row r="1353" spans="1:14" hidden="1" x14ac:dyDescent="0.2">
      <c r="A1353" s="340" t="s">
        <v>401</v>
      </c>
      <c r="B1353" s="285" t="s">
        <v>398</v>
      </c>
      <c r="C1353" s="247" t="s">
        <v>25</v>
      </c>
      <c r="D1353" s="276" t="s">
        <v>135</v>
      </c>
      <c r="E1353" s="311">
        <v>3.2320000000000002E-2</v>
      </c>
      <c r="F1353" s="233" t="s">
        <v>400</v>
      </c>
      <c r="G1353" s="234" t="s">
        <v>16</v>
      </c>
      <c r="H1353" s="232">
        <v>1</v>
      </c>
      <c r="I1353" s="232">
        <v>1</v>
      </c>
      <c r="J1353" s="232">
        <v>3</v>
      </c>
      <c r="K1353" s="232">
        <v>2</v>
      </c>
      <c r="L1353" s="283">
        <v>2</v>
      </c>
      <c r="M1353" s="284">
        <f t="shared" si="53"/>
        <v>0.48935255543384243</v>
      </c>
      <c r="N1353" s="235"/>
    </row>
    <row r="1354" spans="1:14" hidden="1" x14ac:dyDescent="0.2">
      <c r="A1354" s="340" t="s">
        <v>401</v>
      </c>
      <c r="B1354" s="285" t="s">
        <v>398</v>
      </c>
      <c r="C1354" s="247" t="s">
        <v>26</v>
      </c>
      <c r="D1354" s="276" t="s">
        <v>135</v>
      </c>
      <c r="E1354" s="311">
        <v>0.29381818181818181</v>
      </c>
      <c r="F1354" s="233" t="s">
        <v>400</v>
      </c>
      <c r="G1354" s="234" t="s">
        <v>16</v>
      </c>
      <c r="H1354" s="232">
        <v>1</v>
      </c>
      <c r="I1354" s="232">
        <v>1</v>
      </c>
      <c r="J1354" s="232">
        <v>3</v>
      </c>
      <c r="K1354" s="232">
        <v>2</v>
      </c>
      <c r="L1354" s="283">
        <v>2</v>
      </c>
      <c r="M1354" s="284">
        <f t="shared" si="53"/>
        <v>0.48935255543384243</v>
      </c>
      <c r="N1354" s="235"/>
    </row>
    <row r="1355" spans="1:14" hidden="1" x14ac:dyDescent="0.2">
      <c r="A1355" s="340" t="s">
        <v>401</v>
      </c>
      <c r="B1355" s="285" t="s">
        <v>398</v>
      </c>
      <c r="C1355" s="247" t="s">
        <v>27</v>
      </c>
      <c r="D1355" s="276" t="s">
        <v>135</v>
      </c>
      <c r="E1355" s="311">
        <v>2.454683544303797E-2</v>
      </c>
      <c r="F1355" s="233" t="s">
        <v>400</v>
      </c>
      <c r="G1355" s="234" t="s">
        <v>16</v>
      </c>
      <c r="H1355" s="232">
        <v>1</v>
      </c>
      <c r="I1355" s="232">
        <v>1</v>
      </c>
      <c r="J1355" s="232">
        <v>3</v>
      </c>
      <c r="K1355" s="232">
        <v>2</v>
      </c>
      <c r="L1355" s="283">
        <v>2</v>
      </c>
      <c r="M1355" s="284">
        <f t="shared" si="53"/>
        <v>0.48935255543384243</v>
      </c>
      <c r="N1355" s="235"/>
    </row>
    <row r="1356" spans="1:14" hidden="1" x14ac:dyDescent="0.2">
      <c r="A1356" s="340" t="s">
        <v>401</v>
      </c>
      <c r="B1356" s="285" t="s">
        <v>398</v>
      </c>
      <c r="C1356" s="247" t="s">
        <v>28</v>
      </c>
      <c r="D1356" s="276" t="s">
        <v>135</v>
      </c>
      <c r="E1356" s="311">
        <v>0.40076800000000001</v>
      </c>
      <c r="F1356" s="233" t="s">
        <v>400</v>
      </c>
      <c r="G1356" s="234" t="s">
        <v>16</v>
      </c>
      <c r="H1356" s="232">
        <v>1</v>
      </c>
      <c r="I1356" s="232">
        <v>1</v>
      </c>
      <c r="J1356" s="232">
        <v>3</v>
      </c>
      <c r="K1356" s="232">
        <v>2</v>
      </c>
      <c r="L1356" s="283">
        <v>2</v>
      </c>
      <c r="M1356" s="284">
        <f t="shared" si="53"/>
        <v>0.48935255543384243</v>
      </c>
      <c r="N1356" s="235"/>
    </row>
    <row r="1357" spans="1:14" hidden="1" x14ac:dyDescent="0.2">
      <c r="A1357" s="340" t="s">
        <v>401</v>
      </c>
      <c r="B1357" s="285" t="s">
        <v>398</v>
      </c>
      <c r="C1357" s="247" t="s">
        <v>30</v>
      </c>
      <c r="D1357" s="276" t="s">
        <v>135</v>
      </c>
      <c r="E1357" s="311">
        <v>1.6717241379310351E-2</v>
      </c>
      <c r="F1357" s="233" t="s">
        <v>400</v>
      </c>
      <c r="G1357" s="234" t="s">
        <v>16</v>
      </c>
      <c r="H1357" s="232">
        <v>1</v>
      </c>
      <c r="I1357" s="232">
        <v>1</v>
      </c>
      <c r="J1357" s="232">
        <v>3</v>
      </c>
      <c r="K1357" s="232">
        <v>2</v>
      </c>
      <c r="L1357" s="283">
        <v>2</v>
      </c>
      <c r="M1357" s="284">
        <f t="shared" si="53"/>
        <v>0.48935255543384243</v>
      </c>
      <c r="N1357" s="235"/>
    </row>
    <row r="1358" spans="1:14" hidden="1" x14ac:dyDescent="0.2">
      <c r="A1358" s="340" t="s">
        <v>401</v>
      </c>
      <c r="B1358" s="285" t="s">
        <v>398</v>
      </c>
      <c r="C1358" s="247" t="s">
        <v>32</v>
      </c>
      <c r="D1358" s="276" t="s">
        <v>135</v>
      </c>
      <c r="E1358" s="311">
        <v>0.94374399999999992</v>
      </c>
      <c r="F1358" s="233" t="s">
        <v>400</v>
      </c>
      <c r="G1358" s="234" t="s">
        <v>16</v>
      </c>
      <c r="H1358" s="232">
        <v>1</v>
      </c>
      <c r="I1358" s="232">
        <v>1</v>
      </c>
      <c r="J1358" s="232">
        <v>3</v>
      </c>
      <c r="K1358" s="232">
        <v>2</v>
      </c>
      <c r="L1358" s="283">
        <v>2</v>
      </c>
      <c r="M1358" s="284">
        <f t="shared" si="53"/>
        <v>0.48935255543384243</v>
      </c>
      <c r="N1358" s="235"/>
    </row>
    <row r="1359" spans="1:14" hidden="1" x14ac:dyDescent="0.2">
      <c r="A1359" s="340" t="s">
        <v>401</v>
      </c>
      <c r="B1359" s="285" t="s">
        <v>398</v>
      </c>
      <c r="C1359" s="247" t="s">
        <v>34</v>
      </c>
      <c r="D1359" s="276" t="s">
        <v>135</v>
      </c>
      <c r="E1359" s="311">
        <v>0.7085538461538462</v>
      </c>
      <c r="F1359" s="233" t="s">
        <v>400</v>
      </c>
      <c r="G1359" s="234" t="s">
        <v>16</v>
      </c>
      <c r="H1359" s="232">
        <v>1</v>
      </c>
      <c r="I1359" s="232">
        <v>1</v>
      </c>
      <c r="J1359" s="232">
        <v>3</v>
      </c>
      <c r="K1359" s="232">
        <v>2</v>
      </c>
      <c r="L1359" s="283">
        <v>2</v>
      </c>
      <c r="M1359" s="284">
        <f t="shared" si="53"/>
        <v>0.48935255543384243</v>
      </c>
      <c r="N1359" s="235"/>
    </row>
    <row r="1360" spans="1:14" hidden="1" x14ac:dyDescent="0.2">
      <c r="A1360" s="340" t="s">
        <v>401</v>
      </c>
      <c r="B1360" s="285" t="s">
        <v>398</v>
      </c>
      <c r="C1360" s="247" t="s">
        <v>36</v>
      </c>
      <c r="D1360" s="276" t="s">
        <v>135</v>
      </c>
      <c r="E1360" s="311">
        <v>0.1229070422535211</v>
      </c>
      <c r="F1360" s="233" t="s">
        <v>400</v>
      </c>
      <c r="G1360" s="234" t="s">
        <v>16</v>
      </c>
      <c r="H1360" s="232">
        <v>1</v>
      </c>
      <c r="I1360" s="232">
        <v>1</v>
      </c>
      <c r="J1360" s="232">
        <v>3</v>
      </c>
      <c r="K1360" s="232">
        <v>2</v>
      </c>
      <c r="L1360" s="283">
        <v>2</v>
      </c>
      <c r="M1360" s="284">
        <f t="shared" si="53"/>
        <v>0.48935255543384243</v>
      </c>
      <c r="N1360" s="235"/>
    </row>
    <row r="1361" spans="1:14" hidden="1" x14ac:dyDescent="0.2">
      <c r="A1361" s="340" t="s">
        <v>401</v>
      </c>
      <c r="B1361" s="285" t="s">
        <v>398</v>
      </c>
      <c r="C1361" s="247" t="s">
        <v>37</v>
      </c>
      <c r="D1361" s="276" t="s">
        <v>135</v>
      </c>
      <c r="E1361" s="311">
        <v>0.47010909090909092</v>
      </c>
      <c r="F1361" s="233" t="s">
        <v>400</v>
      </c>
      <c r="G1361" s="234" t="s">
        <v>16</v>
      </c>
      <c r="H1361" s="232">
        <v>1</v>
      </c>
      <c r="I1361" s="232">
        <v>1</v>
      </c>
      <c r="J1361" s="232">
        <v>3</v>
      </c>
      <c r="K1361" s="232">
        <v>2</v>
      </c>
      <c r="L1361" s="283">
        <v>2</v>
      </c>
      <c r="M1361" s="284">
        <f t="shared" si="53"/>
        <v>0.48935255543384243</v>
      </c>
      <c r="N1361" s="235"/>
    </row>
    <row r="1362" spans="1:14" hidden="1" x14ac:dyDescent="0.2">
      <c r="A1362" s="340" t="s">
        <v>401</v>
      </c>
      <c r="B1362" s="285" t="s">
        <v>398</v>
      </c>
      <c r="C1362" s="247" t="s">
        <v>39</v>
      </c>
      <c r="D1362" s="276" t="s">
        <v>135</v>
      </c>
      <c r="E1362" s="311">
        <v>0.94021818181818184</v>
      </c>
      <c r="F1362" s="233" t="s">
        <v>400</v>
      </c>
      <c r="G1362" s="234" t="s">
        <v>16</v>
      </c>
      <c r="H1362" s="232">
        <v>1</v>
      </c>
      <c r="I1362" s="232">
        <v>1</v>
      </c>
      <c r="J1362" s="232">
        <v>3</v>
      </c>
      <c r="K1362" s="232">
        <v>2</v>
      </c>
      <c r="L1362" s="283">
        <v>2</v>
      </c>
      <c r="M1362" s="284">
        <f t="shared" si="53"/>
        <v>0.48935255543384243</v>
      </c>
      <c r="N1362" s="235"/>
    </row>
    <row r="1363" spans="1:14" hidden="1" x14ac:dyDescent="0.2">
      <c r="A1363" s="340" t="s">
        <v>401</v>
      </c>
      <c r="B1363" s="285" t="s">
        <v>398</v>
      </c>
      <c r="C1363" s="247" t="s">
        <v>40</v>
      </c>
      <c r="D1363" s="276" t="s">
        <v>135</v>
      </c>
      <c r="E1363" s="311">
        <v>0.59769863013698632</v>
      </c>
      <c r="F1363" s="233" t="s">
        <v>400</v>
      </c>
      <c r="G1363" s="234" t="s">
        <v>16</v>
      </c>
      <c r="H1363" s="232">
        <v>1</v>
      </c>
      <c r="I1363" s="232">
        <v>1</v>
      </c>
      <c r="J1363" s="232">
        <v>3</v>
      </c>
      <c r="K1363" s="232">
        <v>2</v>
      </c>
      <c r="L1363" s="283">
        <v>2</v>
      </c>
      <c r="M1363" s="284">
        <f t="shared" si="53"/>
        <v>0.48935255543384243</v>
      </c>
      <c r="N1363" s="235"/>
    </row>
    <row r="1364" spans="1:14" hidden="1" x14ac:dyDescent="0.2">
      <c r="A1364" s="340" t="s">
        <v>401</v>
      </c>
      <c r="B1364" s="285" t="s">
        <v>398</v>
      </c>
      <c r="C1364" s="247" t="s">
        <v>41</v>
      </c>
      <c r="D1364" s="276" t="s">
        <v>135</v>
      </c>
      <c r="E1364" s="61">
        <v>0</v>
      </c>
      <c r="F1364" s="233" t="s">
        <v>400</v>
      </c>
      <c r="G1364" s="234" t="s">
        <v>16</v>
      </c>
      <c r="H1364" s="61"/>
      <c r="I1364" s="61"/>
      <c r="J1364" s="61" t="str">
        <f>IF( OR( ISBLANK(#REF!),ISBLANK(F1364), ISBLANK(#REF!), ISBLANK(H1364), ISBLANK(I1364) ), "", 1.5*SQRT(   EXP(2.21*(#REF!-1)) + EXP(2.21*(F1364-1)) + EXP(2.21*(#REF!-1)) + EXP(2.21*(H1364-1)) + EXP(2.21*I1364)   )/100 )</f>
        <v/>
      </c>
      <c r="K1364" s="61"/>
      <c r="L1364" s="62"/>
      <c r="M1364" s="63" t="str">
        <f>IF( OR( ISBLANK(H1364),ISBLANK(I1364), ISBLANK(J1364), ISBLANK(K1364), ISBLANK(L1364) ), "", 1.5*SQRT(   EXP(2.21*(H1364-1)) + EXP(2.21*(I1364-1)) + EXP(2.21*(J1364-1)) + EXP(2.21*(K1364-1)) + EXP(2.21*L1364)   )/100*2.45 )</f>
        <v/>
      </c>
      <c r="N1364" s="235"/>
    </row>
    <row r="1365" spans="1:14" hidden="1" x14ac:dyDescent="0.2">
      <c r="A1365" s="340" t="s">
        <v>401</v>
      </c>
      <c r="B1365" s="285" t="s">
        <v>398</v>
      </c>
      <c r="C1365" s="247" t="s">
        <v>42</v>
      </c>
      <c r="D1365" s="276" t="s">
        <v>135</v>
      </c>
      <c r="E1365" s="311">
        <v>0.94441558441558437</v>
      </c>
      <c r="F1365" s="233" t="s">
        <v>400</v>
      </c>
      <c r="G1365" s="234" t="s">
        <v>16</v>
      </c>
      <c r="H1365" s="232">
        <v>1</v>
      </c>
      <c r="I1365" s="232">
        <v>1</v>
      </c>
      <c r="J1365" s="232">
        <v>3</v>
      </c>
      <c r="K1365" s="232">
        <v>2</v>
      </c>
      <c r="L1365" s="283">
        <v>2</v>
      </c>
      <c r="M1365" s="284">
        <f>IF( OR( ISBLANK(H1365),ISBLANK(I1365), ISBLANK(J1365), ISBLANK(K1365), ISBLANK(L1365) ), "", 1.5*SQRT(   EXP(2.21*(H1365-1)) + EXP(2.21*(I1365-1)) + EXP(2.21*(J1365-1)) + EXP(2.21*(K1365-1)) + EXP(2.21*L1365)   )/100*2.45 )</f>
        <v>0.48935255543384243</v>
      </c>
      <c r="N1365" s="235"/>
    </row>
    <row r="1366" spans="1:14" hidden="1" x14ac:dyDescent="0.2">
      <c r="A1366" s="340" t="s">
        <v>401</v>
      </c>
      <c r="B1366" s="285" t="s">
        <v>398</v>
      </c>
      <c r="C1366" s="247" t="s">
        <v>43</v>
      </c>
      <c r="D1366" s="276" t="s">
        <v>135</v>
      </c>
      <c r="E1366" s="61">
        <v>0</v>
      </c>
      <c r="F1366" s="233" t="s">
        <v>400</v>
      </c>
      <c r="G1366" s="234" t="s">
        <v>16</v>
      </c>
      <c r="H1366" s="61"/>
      <c r="I1366" s="61"/>
      <c r="J1366" s="61" t="str">
        <f>IF( OR( ISBLANK(#REF!),ISBLANK(F1366), ISBLANK(#REF!), ISBLANK(H1366), ISBLANK(I1366) ), "", 1.5*SQRT(   EXP(2.21*(#REF!-1)) + EXP(2.21*(F1366-1)) + EXP(2.21*(#REF!-1)) + EXP(2.21*(H1366-1)) + EXP(2.21*I1366)   )/100 )</f>
        <v/>
      </c>
      <c r="K1366" s="61"/>
      <c r="L1366" s="62"/>
      <c r="M1366" s="63" t="str">
        <f>IF( OR( ISBLANK(H1366),ISBLANK(I1366), ISBLANK(J1366), ISBLANK(K1366), ISBLANK(L1366) ), "", 1.5*SQRT(   EXP(2.21*(H1366-1)) + EXP(2.21*(I1366-1)) + EXP(2.21*(J1366-1)) + EXP(2.21*(K1366-1)) + EXP(2.21*L1366)   )/100*2.45 )</f>
        <v/>
      </c>
      <c r="N1366" s="235"/>
    </row>
    <row r="1367" spans="1:14" hidden="1" x14ac:dyDescent="0.2">
      <c r="A1367" s="340" t="s">
        <v>401</v>
      </c>
      <c r="B1367" s="285" t="s">
        <v>398</v>
      </c>
      <c r="C1367" s="247" t="s">
        <v>45</v>
      </c>
      <c r="D1367" s="276" t="s">
        <v>135</v>
      </c>
      <c r="E1367" s="311">
        <v>3.4628571428571432E-2</v>
      </c>
      <c r="F1367" s="233" t="s">
        <v>400</v>
      </c>
      <c r="G1367" s="234" t="s">
        <v>16</v>
      </c>
      <c r="H1367" s="232">
        <v>1</v>
      </c>
      <c r="I1367" s="232">
        <v>1</v>
      </c>
      <c r="J1367" s="232">
        <v>3</v>
      </c>
      <c r="K1367" s="232">
        <v>2</v>
      </c>
      <c r="L1367" s="283">
        <v>2</v>
      </c>
      <c r="M1367" s="284">
        <f>IF( OR( ISBLANK(H1367),ISBLANK(I1367), ISBLANK(J1367), ISBLANK(K1367), ISBLANK(L1367) ), "", 1.5*SQRT(   EXP(2.21*(H1367-1)) + EXP(2.21*(I1367-1)) + EXP(2.21*(J1367-1)) + EXP(2.21*(K1367-1)) + EXP(2.21*L1367)   )/100*2.45 )</f>
        <v>0.48935255543384243</v>
      </c>
      <c r="N1367" s="235"/>
    </row>
    <row r="1368" spans="1:14" hidden="1" x14ac:dyDescent="0.2">
      <c r="A1368" s="340" t="s">
        <v>401</v>
      </c>
      <c r="B1368" s="285" t="s">
        <v>398</v>
      </c>
      <c r="C1368" s="247" t="s">
        <v>46</v>
      </c>
      <c r="D1368" s="276" t="s">
        <v>135</v>
      </c>
      <c r="E1368" s="311">
        <v>0.5445698630136987</v>
      </c>
      <c r="F1368" s="233" t="s">
        <v>400</v>
      </c>
      <c r="G1368" s="234" t="s">
        <v>16</v>
      </c>
      <c r="H1368" s="232">
        <v>1</v>
      </c>
      <c r="I1368" s="232">
        <v>1</v>
      </c>
      <c r="J1368" s="232">
        <v>3</v>
      </c>
      <c r="K1368" s="232">
        <v>2</v>
      </c>
      <c r="L1368" s="283">
        <v>2</v>
      </c>
      <c r="M1368" s="284">
        <f t="shared" ref="M1368:M1374" si="54">IF( OR( ISBLANK(H1368),ISBLANK(I1368), ISBLANK(J1368), ISBLANK(K1368), ISBLANK(L1368) ), "", 1.5*SQRT( EXP(2.21*(H1368-1)) + EXP(2.21*(I1368-1)) + EXP(2.21*(J1368-1)) + EXP(2.21*(K1368-1)) + EXP(2.21*L1368) )/100*2.45 )</f>
        <v>0.48935255543384243</v>
      </c>
      <c r="N1368" s="235"/>
    </row>
    <row r="1369" spans="1:14" hidden="1" x14ac:dyDescent="0.2">
      <c r="A1369" s="340" t="s">
        <v>401</v>
      </c>
      <c r="B1369" s="285" t="s">
        <v>398</v>
      </c>
      <c r="C1369" s="247" t="s">
        <v>48</v>
      </c>
      <c r="D1369" s="276" t="s">
        <v>135</v>
      </c>
      <c r="E1369" s="311">
        <v>0.4705411764705883</v>
      </c>
      <c r="F1369" s="233" t="s">
        <v>400</v>
      </c>
      <c r="G1369" s="234" t="s">
        <v>16</v>
      </c>
      <c r="H1369" s="232">
        <v>1</v>
      </c>
      <c r="I1369" s="232">
        <v>1</v>
      </c>
      <c r="J1369" s="232">
        <v>3</v>
      </c>
      <c r="K1369" s="232">
        <v>2</v>
      </c>
      <c r="L1369" s="283">
        <v>2</v>
      </c>
      <c r="M1369" s="284">
        <f t="shared" si="54"/>
        <v>0.48935255543384243</v>
      </c>
      <c r="N1369" s="235"/>
    </row>
    <row r="1370" spans="1:14" hidden="1" x14ac:dyDescent="0.2">
      <c r="A1370" s="340" t="s">
        <v>401</v>
      </c>
      <c r="B1370" s="285" t="s">
        <v>398</v>
      </c>
      <c r="C1370" s="247" t="s">
        <v>50</v>
      </c>
      <c r="D1370" s="276" t="s">
        <v>135</v>
      </c>
      <c r="E1370" s="311">
        <v>0.8104119402985076</v>
      </c>
      <c r="F1370" s="233" t="s">
        <v>400</v>
      </c>
      <c r="G1370" s="234" t="s">
        <v>16</v>
      </c>
      <c r="H1370" s="232">
        <v>1</v>
      </c>
      <c r="I1370" s="232">
        <v>1</v>
      </c>
      <c r="J1370" s="232">
        <v>3</v>
      </c>
      <c r="K1370" s="232">
        <v>2</v>
      </c>
      <c r="L1370" s="283">
        <v>2</v>
      </c>
      <c r="M1370" s="284">
        <f t="shared" si="54"/>
        <v>0.48935255543384243</v>
      </c>
      <c r="N1370" s="235"/>
    </row>
    <row r="1371" spans="1:14" hidden="1" x14ac:dyDescent="0.2">
      <c r="A1371" s="340" t="s">
        <v>401</v>
      </c>
      <c r="B1371" s="285" t="s">
        <v>398</v>
      </c>
      <c r="C1371" s="247" t="s">
        <v>52</v>
      </c>
      <c r="D1371" s="276" t="s">
        <v>135</v>
      </c>
      <c r="E1371" s="311">
        <v>0.62331428571428582</v>
      </c>
      <c r="F1371" s="233" t="s">
        <v>400</v>
      </c>
      <c r="G1371" s="234" t="s">
        <v>16</v>
      </c>
      <c r="H1371" s="232">
        <v>1</v>
      </c>
      <c r="I1371" s="232">
        <v>1</v>
      </c>
      <c r="J1371" s="232">
        <v>3</v>
      </c>
      <c r="K1371" s="232">
        <v>2</v>
      </c>
      <c r="L1371" s="283">
        <v>2</v>
      </c>
      <c r="M1371" s="284">
        <f t="shared" si="54"/>
        <v>0.48935255543384243</v>
      </c>
      <c r="N1371" s="235"/>
    </row>
    <row r="1372" spans="1:14" hidden="1" x14ac:dyDescent="0.2">
      <c r="A1372" s="340" t="s">
        <v>401</v>
      </c>
      <c r="B1372" s="285" t="s">
        <v>398</v>
      </c>
      <c r="C1372" s="247" t="s">
        <v>54</v>
      </c>
      <c r="D1372" s="276" t="s">
        <v>135</v>
      </c>
      <c r="E1372" s="311">
        <v>0.49225846153846148</v>
      </c>
      <c r="F1372" s="233" t="s">
        <v>400</v>
      </c>
      <c r="G1372" s="234" t="s">
        <v>16</v>
      </c>
      <c r="H1372" s="232">
        <v>1</v>
      </c>
      <c r="I1372" s="232">
        <v>1</v>
      </c>
      <c r="J1372" s="232">
        <v>3</v>
      </c>
      <c r="K1372" s="232">
        <v>2</v>
      </c>
      <c r="L1372" s="283">
        <v>2</v>
      </c>
      <c r="M1372" s="284">
        <f t="shared" si="54"/>
        <v>0.48935255543384243</v>
      </c>
      <c r="N1372" s="235"/>
    </row>
    <row r="1373" spans="1:14" hidden="1" x14ac:dyDescent="0.2">
      <c r="A1373" s="340" t="s">
        <v>401</v>
      </c>
      <c r="B1373" s="285" t="s">
        <v>398</v>
      </c>
      <c r="C1373" s="247" t="s">
        <v>55</v>
      </c>
      <c r="D1373" s="276" t="s">
        <v>135</v>
      </c>
      <c r="E1373" s="311">
        <v>0.61237894736842113</v>
      </c>
      <c r="F1373" s="233" t="s">
        <v>400</v>
      </c>
      <c r="G1373" s="234" t="s">
        <v>16</v>
      </c>
      <c r="H1373" s="232">
        <v>1</v>
      </c>
      <c r="I1373" s="232">
        <v>1</v>
      </c>
      <c r="J1373" s="232">
        <v>3</v>
      </c>
      <c r="K1373" s="232">
        <v>2</v>
      </c>
      <c r="L1373" s="283">
        <v>2</v>
      </c>
      <c r="M1373" s="284">
        <f t="shared" si="54"/>
        <v>0.48935255543384243</v>
      </c>
      <c r="N1373" s="235"/>
    </row>
    <row r="1374" spans="1:14" hidden="1" x14ac:dyDescent="0.2">
      <c r="A1374" s="340" t="s">
        <v>401</v>
      </c>
      <c r="B1374" s="285" t="s">
        <v>398</v>
      </c>
      <c r="C1374" s="247" t="s">
        <v>57</v>
      </c>
      <c r="D1374" s="276" t="s">
        <v>135</v>
      </c>
      <c r="E1374" s="311">
        <v>1.589508196721312E-2</v>
      </c>
      <c r="F1374" s="233" t="s">
        <v>400</v>
      </c>
      <c r="G1374" s="234" t="s">
        <v>16</v>
      </c>
      <c r="H1374" s="232">
        <v>1</v>
      </c>
      <c r="I1374" s="232">
        <v>1</v>
      </c>
      <c r="J1374" s="232">
        <v>3</v>
      </c>
      <c r="K1374" s="232">
        <v>2</v>
      </c>
      <c r="L1374" s="283">
        <v>2</v>
      </c>
      <c r="M1374" s="284">
        <f t="shared" si="54"/>
        <v>0.48935255543384243</v>
      </c>
      <c r="N1374" s="235"/>
    </row>
    <row r="1375" spans="1:14" hidden="1" x14ac:dyDescent="0.2">
      <c r="A1375" s="340" t="s">
        <v>401</v>
      </c>
      <c r="B1375" s="285" t="s">
        <v>398</v>
      </c>
      <c r="C1375" s="247" t="s">
        <v>59</v>
      </c>
      <c r="D1375" s="276" t="s">
        <v>135</v>
      </c>
      <c r="E1375" s="61">
        <v>0</v>
      </c>
      <c r="F1375" s="233" t="s">
        <v>400</v>
      </c>
      <c r="G1375" s="234" t="s">
        <v>16</v>
      </c>
      <c r="H1375" s="61"/>
      <c r="I1375" s="61"/>
      <c r="J1375" s="61" t="str">
        <f>IF( OR( ISBLANK(#REF!),ISBLANK(F1375), ISBLANK(#REF!), ISBLANK(H1375), ISBLANK(I1375) ), "", 1.5*SQRT(   EXP(2.21*(#REF!-1)) + EXP(2.21*(F1375-1)) + EXP(2.21*(#REF!-1)) + EXP(2.21*(H1375-1)) + EXP(2.21*I1375)   )/100 )</f>
        <v/>
      </c>
      <c r="K1375" s="61"/>
      <c r="L1375" s="62"/>
      <c r="M1375" s="63" t="str">
        <f>IF( OR( ISBLANK(H1375),ISBLANK(I1375), ISBLANK(J1375), ISBLANK(K1375), ISBLANK(L1375) ), "", 1.5*SQRT(   EXP(2.21*(H1375-1)) + EXP(2.21*(I1375-1)) + EXP(2.21*(J1375-1)) + EXP(2.21*(K1375-1)) + EXP(2.21*L1375)   )/100*2.45 )</f>
        <v/>
      </c>
      <c r="N1375" s="235"/>
    </row>
    <row r="1376" spans="1:14" hidden="1" x14ac:dyDescent="0.2">
      <c r="A1376" s="340" t="s">
        <v>401</v>
      </c>
      <c r="B1376" s="285" t="s">
        <v>398</v>
      </c>
      <c r="C1376" s="247" t="s">
        <v>60</v>
      </c>
      <c r="D1376" s="276" t="s">
        <v>135</v>
      </c>
      <c r="E1376" s="311">
        <v>0.29241904761904758</v>
      </c>
      <c r="F1376" s="233" t="s">
        <v>400</v>
      </c>
      <c r="G1376" s="234" t="s">
        <v>16</v>
      </c>
      <c r="H1376" s="232">
        <v>1</v>
      </c>
      <c r="I1376" s="232">
        <v>1</v>
      </c>
      <c r="J1376" s="232">
        <v>3</v>
      </c>
      <c r="K1376" s="232">
        <v>2</v>
      </c>
      <c r="L1376" s="283">
        <v>2</v>
      </c>
      <c r="M1376" s="284">
        <f>IF( OR( ISBLANK(H1376),ISBLANK(I1376), ISBLANK(J1376), ISBLANK(K1376), ISBLANK(L1376) ), "", 1.5*SQRT(   EXP(2.21*(H1376-1)) + EXP(2.21*(I1376-1)) + EXP(2.21*(J1376-1)) + EXP(2.21*(K1376-1)) + EXP(2.21*L1376)   )/100*2.45 )</f>
        <v>0.48935255543384243</v>
      </c>
      <c r="N1376" s="235"/>
    </row>
    <row r="1377" spans="1:14" x14ac:dyDescent="0.2">
      <c r="A1377" s="341" t="s">
        <v>401</v>
      </c>
      <c r="B1377" s="281" t="s">
        <v>399</v>
      </c>
      <c r="C1377" s="238" t="s">
        <v>135</v>
      </c>
      <c r="D1377" s="239" t="s">
        <v>135</v>
      </c>
      <c r="E1377" s="240" t="s">
        <v>188</v>
      </c>
      <c r="F1377" s="241"/>
      <c r="G1377" s="343" t="s">
        <v>16</v>
      </c>
      <c r="H1377" s="240"/>
      <c r="I1377" s="240"/>
      <c r="J1377" s="240"/>
      <c r="K1377" s="240"/>
      <c r="L1377" s="243"/>
      <c r="M1377" s="243" t="str">
        <f>IF( OR( ISBLANK(H1377),ISBLANK(I1377), ISBLANK(J1377), ISBLANK(K1377), ISBLANK(L1377) ), "", 1.5*SQRT(   EXP(2.21*(H1377-1)) + EXP(2.21*(I1377-1)) + EXP(2.21*(J1377-1)) + EXP(2.21*(K1377-1)) + EXP(2.21*L1377)   )/100*2.45 )</f>
        <v/>
      </c>
      <c r="N1377" s="245"/>
    </row>
    <row r="1378" spans="1:14" x14ac:dyDescent="0.2">
      <c r="A1378" s="340" t="s">
        <v>404</v>
      </c>
      <c r="B1378" s="308" t="s">
        <v>440</v>
      </c>
      <c r="C1378" s="247" t="s">
        <v>13</v>
      </c>
      <c r="D1378" s="276" t="s">
        <v>135</v>
      </c>
      <c r="E1378" s="311">
        <v>0.9982238010657194</v>
      </c>
      <c r="F1378" s="233" t="s">
        <v>443</v>
      </c>
      <c r="G1378" s="234" t="s">
        <v>16</v>
      </c>
      <c r="H1378" s="232">
        <v>1</v>
      </c>
      <c r="I1378" s="232">
        <v>1</v>
      </c>
      <c r="J1378" s="232">
        <v>3</v>
      </c>
      <c r="K1378" s="232">
        <v>2</v>
      </c>
      <c r="L1378" s="283">
        <v>2</v>
      </c>
      <c r="M1378" s="63">
        <f t="shared" ref="M1378:M1409" si="55">IF( OR( ISBLANK(H1378),ISBLANK(I1378), ISBLANK(J1378), ISBLANK(K1378), ISBLANK(L1378) ), "", 1.5*SQRT( EXP(2.21*(H1378-1)) + EXP(2.21*(I1378-1)) + EXP(2.21*(J1378-1)) + EXP(2.21*(K1378-1)) + EXP(2.21*L1378) )/100*2.45 )</f>
        <v>0.48935255543384243</v>
      </c>
      <c r="N1378" s="235"/>
    </row>
    <row r="1379" spans="1:14" hidden="1" x14ac:dyDescent="0.2">
      <c r="A1379" s="340" t="s">
        <v>404</v>
      </c>
      <c r="B1379" s="308" t="s">
        <v>440</v>
      </c>
      <c r="C1379" s="247" t="s">
        <v>18</v>
      </c>
      <c r="D1379" s="276" t="s">
        <v>135</v>
      </c>
      <c r="E1379" s="61">
        <v>1</v>
      </c>
      <c r="F1379" s="233" t="s">
        <v>443</v>
      </c>
      <c r="G1379" s="342" t="s">
        <v>16</v>
      </c>
      <c r="H1379" s="61"/>
      <c r="I1379" s="61"/>
      <c r="J1379" s="61"/>
      <c r="K1379" s="61"/>
      <c r="L1379" s="62"/>
      <c r="M1379" s="62" t="str">
        <f t="shared" si="55"/>
        <v/>
      </c>
      <c r="N1379" s="235"/>
    </row>
    <row r="1380" spans="1:14" hidden="1" x14ac:dyDescent="0.2">
      <c r="A1380" s="340" t="s">
        <v>404</v>
      </c>
      <c r="B1380" s="308" t="s">
        <v>440</v>
      </c>
      <c r="C1380" s="247" t="s">
        <v>20</v>
      </c>
      <c r="D1380" s="276" t="s">
        <v>135</v>
      </c>
      <c r="E1380" s="311">
        <v>0.99874529485570895</v>
      </c>
      <c r="F1380" s="233" t="s">
        <v>443</v>
      </c>
      <c r="G1380" s="234" t="s">
        <v>16</v>
      </c>
      <c r="H1380" s="232">
        <v>1</v>
      </c>
      <c r="I1380" s="232">
        <v>1</v>
      </c>
      <c r="J1380" s="232">
        <v>3</v>
      </c>
      <c r="K1380" s="232">
        <v>2</v>
      </c>
      <c r="L1380" s="283">
        <v>2</v>
      </c>
      <c r="M1380" s="284">
        <f t="shared" si="55"/>
        <v>0.48935255543384243</v>
      </c>
      <c r="N1380" s="235"/>
    </row>
    <row r="1381" spans="1:14" hidden="1" x14ac:dyDescent="0.2">
      <c r="A1381" s="340" t="s">
        <v>404</v>
      </c>
      <c r="B1381" s="308" t="s">
        <v>440</v>
      </c>
      <c r="C1381" s="247" t="s">
        <v>22</v>
      </c>
      <c r="D1381" s="276" t="s">
        <v>135</v>
      </c>
      <c r="E1381" s="61">
        <v>1</v>
      </c>
      <c r="F1381" s="233" t="s">
        <v>443</v>
      </c>
      <c r="G1381" s="342" t="s">
        <v>16</v>
      </c>
      <c r="H1381" s="61"/>
      <c r="I1381" s="61"/>
      <c r="J1381" s="61"/>
      <c r="K1381" s="61"/>
      <c r="L1381" s="62"/>
      <c r="M1381" s="62" t="str">
        <f t="shared" si="55"/>
        <v/>
      </c>
      <c r="N1381" s="235"/>
    </row>
    <row r="1382" spans="1:14" hidden="1" x14ac:dyDescent="0.2">
      <c r="A1382" s="340" t="s">
        <v>404</v>
      </c>
      <c r="B1382" s="308" t="s">
        <v>440</v>
      </c>
      <c r="C1382" s="247" t="s">
        <v>23</v>
      </c>
      <c r="D1382" s="276" t="s">
        <v>135</v>
      </c>
      <c r="E1382" s="61">
        <v>1</v>
      </c>
      <c r="F1382" s="233" t="s">
        <v>443</v>
      </c>
      <c r="G1382" s="342" t="s">
        <v>16</v>
      </c>
      <c r="H1382" s="61"/>
      <c r="I1382" s="61"/>
      <c r="J1382" s="61"/>
      <c r="K1382" s="61"/>
      <c r="L1382" s="62"/>
      <c r="M1382" s="62" t="str">
        <f t="shared" si="55"/>
        <v/>
      </c>
      <c r="N1382" s="235"/>
    </row>
    <row r="1383" spans="1:14" hidden="1" x14ac:dyDescent="0.2">
      <c r="A1383" s="340" t="s">
        <v>404</v>
      </c>
      <c r="B1383" s="308" t="s">
        <v>440</v>
      </c>
      <c r="C1383" s="247" t="s">
        <v>24</v>
      </c>
      <c r="D1383" s="276" t="s">
        <v>135</v>
      </c>
      <c r="E1383" s="311">
        <v>0.79855715871254163</v>
      </c>
      <c r="F1383" s="233" t="s">
        <v>443</v>
      </c>
      <c r="G1383" s="234" t="s">
        <v>16</v>
      </c>
      <c r="H1383" s="232">
        <v>2</v>
      </c>
      <c r="I1383" s="232">
        <v>1</v>
      </c>
      <c r="J1383" s="232">
        <v>3</v>
      </c>
      <c r="K1383" s="232">
        <v>2</v>
      </c>
      <c r="L1383" s="283">
        <v>2</v>
      </c>
      <c r="M1383" s="284">
        <f t="shared" si="55"/>
        <v>0.50042652380814845</v>
      </c>
      <c r="N1383" s="235"/>
    </row>
    <row r="1384" spans="1:14" hidden="1" x14ac:dyDescent="0.2">
      <c r="A1384" s="340" t="s">
        <v>404</v>
      </c>
      <c r="B1384" s="308" t="s">
        <v>440</v>
      </c>
      <c r="C1384" s="247" t="s">
        <v>25</v>
      </c>
      <c r="D1384" s="276" t="s">
        <v>135</v>
      </c>
      <c r="E1384" s="311">
        <v>0.82774674115456237</v>
      </c>
      <c r="F1384" s="233" t="s">
        <v>443</v>
      </c>
      <c r="G1384" s="234" t="s">
        <v>16</v>
      </c>
      <c r="H1384" s="232">
        <v>2</v>
      </c>
      <c r="I1384" s="232">
        <v>1</v>
      </c>
      <c r="J1384" s="232">
        <v>3</v>
      </c>
      <c r="K1384" s="232">
        <v>2</v>
      </c>
      <c r="L1384" s="283">
        <v>2</v>
      </c>
      <c r="M1384" s="284">
        <f t="shared" si="55"/>
        <v>0.50042652380814845</v>
      </c>
      <c r="N1384" s="235"/>
    </row>
    <row r="1385" spans="1:14" hidden="1" x14ac:dyDescent="0.2">
      <c r="A1385" s="340" t="s">
        <v>404</v>
      </c>
      <c r="B1385" s="308" t="s">
        <v>440</v>
      </c>
      <c r="C1385" s="247" t="s">
        <v>26</v>
      </c>
      <c r="D1385" s="276" t="s">
        <v>135</v>
      </c>
      <c r="E1385" s="311">
        <v>0.61847389558232935</v>
      </c>
      <c r="F1385" s="233" t="s">
        <v>443</v>
      </c>
      <c r="G1385" s="234" t="s">
        <v>16</v>
      </c>
      <c r="H1385" s="232">
        <v>1</v>
      </c>
      <c r="I1385" s="232">
        <v>1</v>
      </c>
      <c r="J1385" s="232">
        <v>3</v>
      </c>
      <c r="K1385" s="232">
        <v>2</v>
      </c>
      <c r="L1385" s="283">
        <v>2</v>
      </c>
      <c r="M1385" s="284">
        <f t="shared" si="55"/>
        <v>0.48935255543384243</v>
      </c>
      <c r="N1385" s="235"/>
    </row>
    <row r="1386" spans="1:14" hidden="1" x14ac:dyDescent="0.2">
      <c r="A1386" s="340" t="s">
        <v>404</v>
      </c>
      <c r="B1386" s="308" t="s">
        <v>440</v>
      </c>
      <c r="C1386" s="247" t="s">
        <v>27</v>
      </c>
      <c r="D1386" s="276" t="s">
        <v>135</v>
      </c>
      <c r="E1386" s="311">
        <v>0.82774674115456237</v>
      </c>
      <c r="F1386" s="233" t="s">
        <v>443</v>
      </c>
      <c r="G1386" s="234" t="s">
        <v>16</v>
      </c>
      <c r="H1386" s="232">
        <v>2</v>
      </c>
      <c r="I1386" s="232">
        <v>1</v>
      </c>
      <c r="J1386" s="232">
        <v>3</v>
      </c>
      <c r="K1386" s="232">
        <v>2</v>
      </c>
      <c r="L1386" s="283">
        <v>2</v>
      </c>
      <c r="M1386" s="284">
        <f t="shared" si="55"/>
        <v>0.50042652380814845</v>
      </c>
      <c r="N1386" s="235"/>
    </row>
    <row r="1387" spans="1:14" hidden="1" x14ac:dyDescent="0.2">
      <c r="A1387" s="340" t="s">
        <v>404</v>
      </c>
      <c r="B1387" s="308" t="s">
        <v>440</v>
      </c>
      <c r="C1387" s="247" t="s">
        <v>28</v>
      </c>
      <c r="D1387" s="276" t="s">
        <v>135</v>
      </c>
      <c r="E1387" s="311">
        <v>0.82774674115456237</v>
      </c>
      <c r="F1387" s="233" t="s">
        <v>443</v>
      </c>
      <c r="G1387" s="234" t="s">
        <v>16</v>
      </c>
      <c r="H1387" s="232">
        <v>2</v>
      </c>
      <c r="I1387" s="232">
        <v>1</v>
      </c>
      <c r="J1387" s="232">
        <v>3</v>
      </c>
      <c r="K1387" s="232">
        <v>2</v>
      </c>
      <c r="L1387" s="283">
        <v>2</v>
      </c>
      <c r="M1387" s="284">
        <f t="shared" si="55"/>
        <v>0.50042652380814845</v>
      </c>
      <c r="N1387" s="235"/>
    </row>
    <row r="1388" spans="1:14" hidden="1" x14ac:dyDescent="0.2">
      <c r="A1388" s="340" t="s">
        <v>404</v>
      </c>
      <c r="B1388" s="308" t="s">
        <v>440</v>
      </c>
      <c r="C1388" s="247" t="s">
        <v>30</v>
      </c>
      <c r="D1388" s="276" t="s">
        <v>135</v>
      </c>
      <c r="E1388" s="311">
        <v>0.82774674115456237</v>
      </c>
      <c r="F1388" s="233" t="s">
        <v>443</v>
      </c>
      <c r="G1388" s="234" t="s">
        <v>16</v>
      </c>
      <c r="H1388" s="232">
        <v>1</v>
      </c>
      <c r="I1388" s="232">
        <v>1</v>
      </c>
      <c r="J1388" s="232">
        <v>3</v>
      </c>
      <c r="K1388" s="232">
        <v>2</v>
      </c>
      <c r="L1388" s="283">
        <v>2</v>
      </c>
      <c r="M1388" s="284">
        <f t="shared" si="55"/>
        <v>0.48935255543384243</v>
      </c>
      <c r="N1388" s="235"/>
    </row>
    <row r="1389" spans="1:14" hidden="1" x14ac:dyDescent="0.2">
      <c r="A1389" s="340" t="s">
        <v>404</v>
      </c>
      <c r="B1389" s="308" t="s">
        <v>440</v>
      </c>
      <c r="C1389" s="247" t="s">
        <v>32</v>
      </c>
      <c r="D1389" s="276" t="s">
        <v>135</v>
      </c>
      <c r="E1389" s="311">
        <v>0.99874529485570895</v>
      </c>
      <c r="F1389" s="233" t="s">
        <v>443</v>
      </c>
      <c r="G1389" s="234" t="s">
        <v>16</v>
      </c>
      <c r="H1389" s="232">
        <v>2</v>
      </c>
      <c r="I1389" s="232">
        <v>1</v>
      </c>
      <c r="J1389" s="232">
        <v>3</v>
      </c>
      <c r="K1389" s="232">
        <v>2</v>
      </c>
      <c r="L1389" s="283">
        <v>2</v>
      </c>
      <c r="M1389" s="284">
        <f t="shared" si="55"/>
        <v>0.50042652380814845</v>
      </c>
      <c r="N1389" s="235"/>
    </row>
    <row r="1390" spans="1:14" hidden="1" x14ac:dyDescent="0.2">
      <c r="A1390" s="340" t="s">
        <v>404</v>
      </c>
      <c r="B1390" s="308" t="s">
        <v>440</v>
      </c>
      <c r="C1390" s="247" t="s">
        <v>34</v>
      </c>
      <c r="D1390" s="276" t="s">
        <v>135</v>
      </c>
      <c r="E1390" s="311">
        <v>0.7407407407407407</v>
      </c>
      <c r="F1390" s="233" t="s">
        <v>443</v>
      </c>
      <c r="G1390" s="234" t="s">
        <v>16</v>
      </c>
      <c r="H1390" s="232">
        <v>1</v>
      </c>
      <c r="I1390" s="232">
        <v>1</v>
      </c>
      <c r="J1390" s="232">
        <v>3</v>
      </c>
      <c r="K1390" s="232">
        <v>2</v>
      </c>
      <c r="L1390" s="283">
        <v>2</v>
      </c>
      <c r="M1390" s="284">
        <f t="shared" si="55"/>
        <v>0.48935255543384243</v>
      </c>
      <c r="N1390" s="235"/>
    </row>
    <row r="1391" spans="1:14" hidden="1" x14ac:dyDescent="0.2">
      <c r="A1391" s="340" t="s">
        <v>404</v>
      </c>
      <c r="B1391" s="308" t="s">
        <v>440</v>
      </c>
      <c r="C1391" s="247" t="s">
        <v>36</v>
      </c>
      <c r="D1391" s="276" t="s">
        <v>135</v>
      </c>
      <c r="E1391" s="61">
        <v>1</v>
      </c>
      <c r="F1391" s="233" t="s">
        <v>443</v>
      </c>
      <c r="G1391" s="342" t="s">
        <v>16</v>
      </c>
      <c r="H1391" s="61"/>
      <c r="I1391" s="61"/>
      <c r="J1391" s="61"/>
      <c r="K1391" s="61"/>
      <c r="L1391" s="62"/>
      <c r="M1391" s="62" t="str">
        <f t="shared" si="55"/>
        <v/>
      </c>
      <c r="N1391" s="235"/>
    </row>
    <row r="1392" spans="1:14" hidden="1" x14ac:dyDescent="0.2">
      <c r="A1392" s="340" t="s">
        <v>404</v>
      </c>
      <c r="B1392" s="308" t="s">
        <v>440</v>
      </c>
      <c r="C1392" s="247" t="s">
        <v>37</v>
      </c>
      <c r="D1392" s="276" t="s">
        <v>135</v>
      </c>
      <c r="E1392" s="311">
        <v>0.82774674115456237</v>
      </c>
      <c r="F1392" s="233" t="s">
        <v>443</v>
      </c>
      <c r="G1392" s="234" t="s">
        <v>16</v>
      </c>
      <c r="H1392" s="232">
        <v>2</v>
      </c>
      <c r="I1392" s="232">
        <v>1</v>
      </c>
      <c r="J1392" s="232">
        <v>3</v>
      </c>
      <c r="K1392" s="232">
        <v>2</v>
      </c>
      <c r="L1392" s="283">
        <v>2</v>
      </c>
      <c r="M1392" s="284">
        <f t="shared" si="55"/>
        <v>0.50042652380814845</v>
      </c>
      <c r="N1392" s="235"/>
    </row>
    <row r="1393" spans="1:14" hidden="1" x14ac:dyDescent="0.2">
      <c r="A1393" s="340" t="s">
        <v>404</v>
      </c>
      <c r="B1393" s="308" t="s">
        <v>440</v>
      </c>
      <c r="C1393" s="247" t="s">
        <v>39</v>
      </c>
      <c r="D1393" s="276" t="s">
        <v>135</v>
      </c>
      <c r="E1393" s="61">
        <v>1</v>
      </c>
      <c r="F1393" s="233" t="s">
        <v>443</v>
      </c>
      <c r="G1393" s="342" t="s">
        <v>16</v>
      </c>
      <c r="H1393" s="61"/>
      <c r="I1393" s="61"/>
      <c r="J1393" s="61"/>
      <c r="K1393" s="61"/>
      <c r="L1393" s="62"/>
      <c r="M1393" s="62" t="str">
        <f t="shared" si="55"/>
        <v/>
      </c>
      <c r="N1393" s="235"/>
    </row>
    <row r="1394" spans="1:14" hidden="1" x14ac:dyDescent="0.2">
      <c r="A1394" s="340" t="s">
        <v>404</v>
      </c>
      <c r="B1394" s="308" t="s">
        <v>440</v>
      </c>
      <c r="C1394" s="247" t="s">
        <v>40</v>
      </c>
      <c r="D1394" s="276" t="s">
        <v>135</v>
      </c>
      <c r="E1394" s="61">
        <v>1</v>
      </c>
      <c r="F1394" s="233" t="s">
        <v>443</v>
      </c>
      <c r="G1394" s="342" t="s">
        <v>16</v>
      </c>
      <c r="H1394" s="61"/>
      <c r="I1394" s="61"/>
      <c r="J1394" s="61"/>
      <c r="K1394" s="61"/>
      <c r="L1394" s="62"/>
      <c r="M1394" s="62" t="str">
        <f t="shared" si="55"/>
        <v/>
      </c>
      <c r="N1394" s="235"/>
    </row>
    <row r="1395" spans="1:14" hidden="1" x14ac:dyDescent="0.2">
      <c r="A1395" s="340" t="s">
        <v>404</v>
      </c>
      <c r="B1395" s="308" t="s">
        <v>440</v>
      </c>
      <c r="C1395" s="247" t="s">
        <v>41</v>
      </c>
      <c r="D1395" s="276" t="s">
        <v>135</v>
      </c>
      <c r="E1395" s="232">
        <v>0.9982238010657194</v>
      </c>
      <c r="F1395" s="233" t="s">
        <v>443</v>
      </c>
      <c r="G1395" s="342" t="s">
        <v>16</v>
      </c>
      <c r="H1395" s="232">
        <v>2</v>
      </c>
      <c r="I1395" s="232">
        <v>1</v>
      </c>
      <c r="J1395" s="232">
        <v>3</v>
      </c>
      <c r="K1395" s="232">
        <v>2</v>
      </c>
      <c r="L1395" s="283">
        <v>2</v>
      </c>
      <c r="M1395" s="283">
        <f t="shared" si="55"/>
        <v>0.50042652380814845</v>
      </c>
      <c r="N1395" s="235"/>
    </row>
    <row r="1396" spans="1:14" hidden="1" x14ac:dyDescent="0.2">
      <c r="A1396" s="340" t="s">
        <v>404</v>
      </c>
      <c r="B1396" s="308" t="s">
        <v>440</v>
      </c>
      <c r="C1396" s="247" t="s">
        <v>42</v>
      </c>
      <c r="D1396" s="276" t="s">
        <v>135</v>
      </c>
      <c r="E1396" s="311">
        <v>0.99874529485570895</v>
      </c>
      <c r="F1396" s="233" t="s">
        <v>443</v>
      </c>
      <c r="G1396" s="234" t="s">
        <v>16</v>
      </c>
      <c r="H1396" s="232">
        <v>2</v>
      </c>
      <c r="I1396" s="232">
        <v>1</v>
      </c>
      <c r="J1396" s="232">
        <v>3</v>
      </c>
      <c r="K1396" s="232">
        <v>2</v>
      </c>
      <c r="L1396" s="283">
        <v>2</v>
      </c>
      <c r="M1396" s="284">
        <f t="shared" si="55"/>
        <v>0.50042652380814845</v>
      </c>
      <c r="N1396" s="235"/>
    </row>
    <row r="1397" spans="1:14" hidden="1" x14ac:dyDescent="0.2">
      <c r="A1397" s="340" t="s">
        <v>404</v>
      </c>
      <c r="B1397" s="308" t="s">
        <v>440</v>
      </c>
      <c r="C1397" s="247" t="s">
        <v>43</v>
      </c>
      <c r="D1397" s="276" t="s">
        <v>135</v>
      </c>
      <c r="E1397" s="311">
        <v>0.82774674115456237</v>
      </c>
      <c r="F1397" s="233" t="s">
        <v>443</v>
      </c>
      <c r="G1397" s="234" t="s">
        <v>16</v>
      </c>
      <c r="H1397" s="232">
        <v>2</v>
      </c>
      <c r="I1397" s="232">
        <v>1</v>
      </c>
      <c r="J1397" s="232">
        <v>3</v>
      </c>
      <c r="K1397" s="232">
        <v>2</v>
      </c>
      <c r="L1397" s="283">
        <v>2</v>
      </c>
      <c r="M1397" s="284">
        <f t="shared" si="55"/>
        <v>0.50042652380814845</v>
      </c>
      <c r="N1397" s="235"/>
    </row>
    <row r="1398" spans="1:14" hidden="1" x14ac:dyDescent="0.2">
      <c r="A1398" s="340" t="s">
        <v>404</v>
      </c>
      <c r="B1398" s="308" t="s">
        <v>440</v>
      </c>
      <c r="C1398" s="247" t="s">
        <v>45</v>
      </c>
      <c r="D1398" s="276" t="s">
        <v>135</v>
      </c>
      <c r="E1398" s="311">
        <v>0.82774674115456237</v>
      </c>
      <c r="F1398" s="233" t="s">
        <v>443</v>
      </c>
      <c r="G1398" s="234" t="s">
        <v>16</v>
      </c>
      <c r="H1398" s="232">
        <v>2</v>
      </c>
      <c r="I1398" s="232">
        <v>1</v>
      </c>
      <c r="J1398" s="232">
        <v>3</v>
      </c>
      <c r="K1398" s="232">
        <v>2</v>
      </c>
      <c r="L1398" s="283">
        <v>2</v>
      </c>
      <c r="M1398" s="284">
        <f t="shared" si="55"/>
        <v>0.50042652380814845</v>
      </c>
      <c r="N1398" s="235"/>
    </row>
    <row r="1399" spans="1:14" hidden="1" x14ac:dyDescent="0.2">
      <c r="A1399" s="340" t="s">
        <v>404</v>
      </c>
      <c r="B1399" s="308" t="s">
        <v>440</v>
      </c>
      <c r="C1399" s="247" t="s">
        <v>46</v>
      </c>
      <c r="D1399" s="276" t="s">
        <v>135</v>
      </c>
      <c r="E1399" s="311">
        <v>0.79855715871254163</v>
      </c>
      <c r="F1399" s="233" t="s">
        <v>443</v>
      </c>
      <c r="G1399" s="234" t="s">
        <v>16</v>
      </c>
      <c r="H1399" s="232">
        <v>2</v>
      </c>
      <c r="I1399" s="232">
        <v>1</v>
      </c>
      <c r="J1399" s="232">
        <v>3</v>
      </c>
      <c r="K1399" s="232">
        <v>2</v>
      </c>
      <c r="L1399" s="283">
        <v>2</v>
      </c>
      <c r="M1399" s="284">
        <f t="shared" si="55"/>
        <v>0.50042652380814845</v>
      </c>
      <c r="N1399" s="235"/>
    </row>
    <row r="1400" spans="1:14" hidden="1" x14ac:dyDescent="0.2">
      <c r="A1400" s="340" t="s">
        <v>404</v>
      </c>
      <c r="B1400" s="308" t="s">
        <v>440</v>
      </c>
      <c r="C1400" s="247" t="s">
        <v>48</v>
      </c>
      <c r="D1400" s="276" t="s">
        <v>135</v>
      </c>
      <c r="E1400" s="311">
        <v>0.99630314232902029</v>
      </c>
      <c r="F1400" s="233" t="s">
        <v>443</v>
      </c>
      <c r="G1400" s="234" t="s">
        <v>16</v>
      </c>
      <c r="H1400" s="232">
        <v>1</v>
      </c>
      <c r="I1400" s="232">
        <v>1</v>
      </c>
      <c r="J1400" s="232">
        <v>3</v>
      </c>
      <c r="K1400" s="232">
        <v>2</v>
      </c>
      <c r="L1400" s="283">
        <v>2</v>
      </c>
      <c r="M1400" s="284">
        <f t="shared" si="55"/>
        <v>0.48935255543384243</v>
      </c>
      <c r="N1400" s="235"/>
    </row>
    <row r="1401" spans="1:14" hidden="1" x14ac:dyDescent="0.2">
      <c r="A1401" s="340" t="s">
        <v>404</v>
      </c>
      <c r="B1401" s="308" t="s">
        <v>440</v>
      </c>
      <c r="C1401" s="247" t="s">
        <v>50</v>
      </c>
      <c r="D1401" s="276" t="s">
        <v>135</v>
      </c>
      <c r="E1401" s="311">
        <v>0.7407407407407407</v>
      </c>
      <c r="F1401" s="233" t="s">
        <v>443</v>
      </c>
      <c r="G1401" s="234" t="s">
        <v>16</v>
      </c>
      <c r="H1401" s="232">
        <v>2</v>
      </c>
      <c r="I1401" s="232">
        <v>1</v>
      </c>
      <c r="J1401" s="232">
        <v>3</v>
      </c>
      <c r="K1401" s="232">
        <v>2</v>
      </c>
      <c r="L1401" s="283">
        <v>2</v>
      </c>
      <c r="M1401" s="284">
        <f t="shared" si="55"/>
        <v>0.50042652380814845</v>
      </c>
      <c r="N1401" s="235"/>
    </row>
    <row r="1402" spans="1:14" hidden="1" x14ac:dyDescent="0.2">
      <c r="A1402" s="340" t="s">
        <v>404</v>
      </c>
      <c r="B1402" s="308" t="s">
        <v>440</v>
      </c>
      <c r="C1402" s="247" t="s">
        <v>52</v>
      </c>
      <c r="D1402" s="276" t="s">
        <v>135</v>
      </c>
      <c r="E1402" s="311">
        <v>0.79855715871254163</v>
      </c>
      <c r="F1402" s="233" t="s">
        <v>443</v>
      </c>
      <c r="G1402" s="234" t="s">
        <v>16</v>
      </c>
      <c r="H1402" s="232">
        <v>1</v>
      </c>
      <c r="I1402" s="232">
        <v>1</v>
      </c>
      <c r="J1402" s="232">
        <v>3</v>
      </c>
      <c r="K1402" s="232">
        <v>2</v>
      </c>
      <c r="L1402" s="283">
        <v>2</v>
      </c>
      <c r="M1402" s="284">
        <f t="shared" si="55"/>
        <v>0.48935255543384243</v>
      </c>
      <c r="N1402" s="235"/>
    </row>
    <row r="1403" spans="1:14" hidden="1" x14ac:dyDescent="0.2">
      <c r="A1403" s="340" t="s">
        <v>404</v>
      </c>
      <c r="B1403" s="308" t="s">
        <v>440</v>
      </c>
      <c r="C1403" s="247" t="s">
        <v>54</v>
      </c>
      <c r="D1403" s="276" t="s">
        <v>135</v>
      </c>
      <c r="E1403" s="311">
        <v>0.15909090909090909</v>
      </c>
      <c r="F1403" s="233" t="s">
        <v>443</v>
      </c>
      <c r="G1403" s="234" t="s">
        <v>16</v>
      </c>
      <c r="H1403" s="232">
        <v>1</v>
      </c>
      <c r="I1403" s="232">
        <v>1</v>
      </c>
      <c r="J1403" s="232">
        <v>3</v>
      </c>
      <c r="K1403" s="232">
        <v>2</v>
      </c>
      <c r="L1403" s="283">
        <v>2</v>
      </c>
      <c r="M1403" s="284">
        <f t="shared" si="55"/>
        <v>0.48935255543384243</v>
      </c>
      <c r="N1403" s="235"/>
    </row>
    <row r="1404" spans="1:14" hidden="1" x14ac:dyDescent="0.2">
      <c r="A1404" s="340" t="s">
        <v>404</v>
      </c>
      <c r="B1404" s="308" t="s">
        <v>440</v>
      </c>
      <c r="C1404" s="247" t="s">
        <v>55</v>
      </c>
      <c r="D1404" s="276" t="s">
        <v>135</v>
      </c>
      <c r="E1404" s="61">
        <v>1</v>
      </c>
      <c r="F1404" s="233" t="s">
        <v>443</v>
      </c>
      <c r="G1404" s="342" t="s">
        <v>16</v>
      </c>
      <c r="H1404" s="61"/>
      <c r="I1404" s="61"/>
      <c r="J1404" s="61"/>
      <c r="K1404" s="61"/>
      <c r="L1404" s="62"/>
      <c r="M1404" s="62" t="str">
        <f t="shared" si="55"/>
        <v/>
      </c>
      <c r="N1404" s="235"/>
    </row>
    <row r="1405" spans="1:14" hidden="1" x14ac:dyDescent="0.2">
      <c r="A1405" s="340" t="s">
        <v>404</v>
      </c>
      <c r="B1405" s="308" t="s">
        <v>440</v>
      </c>
      <c r="C1405" s="247" t="s">
        <v>57</v>
      </c>
      <c r="D1405" s="276" t="s">
        <v>135</v>
      </c>
      <c r="E1405" s="311">
        <v>0.82774674115456237</v>
      </c>
      <c r="F1405" s="233" t="s">
        <v>443</v>
      </c>
      <c r="G1405" s="234" t="s">
        <v>16</v>
      </c>
      <c r="H1405" s="232">
        <v>2</v>
      </c>
      <c r="I1405" s="232">
        <v>1</v>
      </c>
      <c r="J1405" s="232">
        <v>3</v>
      </c>
      <c r="K1405" s="232">
        <v>2</v>
      </c>
      <c r="L1405" s="283">
        <v>2</v>
      </c>
      <c r="M1405" s="284">
        <f t="shared" si="55"/>
        <v>0.50042652380814845</v>
      </c>
      <c r="N1405" s="235"/>
    </row>
    <row r="1406" spans="1:14" hidden="1" x14ac:dyDescent="0.2">
      <c r="A1406" s="340" t="s">
        <v>404</v>
      </c>
      <c r="B1406" s="308" t="s">
        <v>440</v>
      </c>
      <c r="C1406" s="247" t="s">
        <v>59</v>
      </c>
      <c r="D1406" s="276" t="s">
        <v>135</v>
      </c>
      <c r="E1406" s="311">
        <v>0.9982238010657194</v>
      </c>
      <c r="F1406" s="233" t="s">
        <v>443</v>
      </c>
      <c r="G1406" s="234" t="s">
        <v>16</v>
      </c>
      <c r="H1406" s="232">
        <v>2</v>
      </c>
      <c r="I1406" s="232">
        <v>1</v>
      </c>
      <c r="J1406" s="232">
        <v>3</v>
      </c>
      <c r="K1406" s="232">
        <v>2</v>
      </c>
      <c r="L1406" s="283">
        <v>2</v>
      </c>
      <c r="M1406" s="284">
        <f t="shared" si="55"/>
        <v>0.50042652380814845</v>
      </c>
      <c r="N1406" s="235"/>
    </row>
    <row r="1407" spans="1:14" hidden="1" x14ac:dyDescent="0.2">
      <c r="A1407" s="340" t="s">
        <v>404</v>
      </c>
      <c r="B1407" s="308" t="s">
        <v>440</v>
      </c>
      <c r="C1407" s="247" t="s">
        <v>60</v>
      </c>
      <c r="D1407" s="276" t="s">
        <v>135</v>
      </c>
      <c r="E1407" s="61">
        <v>1</v>
      </c>
      <c r="F1407" s="233" t="s">
        <v>443</v>
      </c>
      <c r="G1407" s="342" t="s">
        <v>16</v>
      </c>
      <c r="H1407" s="61"/>
      <c r="I1407" s="61"/>
      <c r="J1407" s="61"/>
      <c r="K1407" s="61"/>
      <c r="L1407" s="62"/>
      <c r="M1407" s="62" t="str">
        <f t="shared" si="55"/>
        <v/>
      </c>
      <c r="N1407" s="235"/>
    </row>
    <row r="1408" spans="1:14" x14ac:dyDescent="0.2">
      <c r="A1408" s="340" t="s">
        <v>404</v>
      </c>
      <c r="B1408" s="308" t="s">
        <v>444</v>
      </c>
      <c r="C1408" s="247" t="s">
        <v>13</v>
      </c>
      <c r="D1408" s="276" t="s">
        <v>135</v>
      </c>
      <c r="E1408" s="61">
        <v>0</v>
      </c>
      <c r="F1408" s="233" t="s">
        <v>443</v>
      </c>
      <c r="G1408" s="342" t="s">
        <v>16</v>
      </c>
      <c r="H1408" s="61"/>
      <c r="I1408" s="61"/>
      <c r="J1408" s="61"/>
      <c r="K1408" s="61"/>
      <c r="L1408" s="62"/>
      <c r="M1408" s="62" t="str">
        <f t="shared" si="55"/>
        <v/>
      </c>
      <c r="N1408" s="235"/>
    </row>
    <row r="1409" spans="1:14" hidden="1" x14ac:dyDescent="0.2">
      <c r="A1409" s="340" t="s">
        <v>404</v>
      </c>
      <c r="B1409" s="308" t="s">
        <v>444</v>
      </c>
      <c r="C1409" s="247" t="s">
        <v>18</v>
      </c>
      <c r="D1409" s="276" t="s">
        <v>135</v>
      </c>
      <c r="E1409" s="61">
        <v>0</v>
      </c>
      <c r="F1409" s="233" t="s">
        <v>443</v>
      </c>
      <c r="G1409" s="342" t="s">
        <v>16</v>
      </c>
      <c r="H1409" s="61"/>
      <c r="I1409" s="61"/>
      <c r="J1409" s="61"/>
      <c r="K1409" s="61"/>
      <c r="L1409" s="62"/>
      <c r="M1409" s="62" t="str">
        <f t="shared" si="55"/>
        <v/>
      </c>
      <c r="N1409" s="235"/>
    </row>
    <row r="1410" spans="1:14" hidden="1" x14ac:dyDescent="0.2">
      <c r="A1410" s="340" t="s">
        <v>404</v>
      </c>
      <c r="B1410" s="308" t="s">
        <v>444</v>
      </c>
      <c r="C1410" s="247" t="s">
        <v>20</v>
      </c>
      <c r="D1410" s="276" t="s">
        <v>135</v>
      </c>
      <c r="E1410" s="311">
        <v>8.2810539523212046E-2</v>
      </c>
      <c r="F1410" s="233" t="s">
        <v>443</v>
      </c>
      <c r="G1410" s="234" t="s">
        <v>16</v>
      </c>
      <c r="H1410" s="232">
        <v>1</v>
      </c>
      <c r="I1410" s="232">
        <v>1</v>
      </c>
      <c r="J1410" s="232">
        <v>3</v>
      </c>
      <c r="K1410" s="232">
        <v>2</v>
      </c>
      <c r="L1410" s="283">
        <v>2</v>
      </c>
      <c r="M1410" s="284">
        <f t="shared" ref="M1410:M1435" si="56">IF( OR( ISBLANK(H1410),ISBLANK(I1410), ISBLANK(J1410), ISBLANK(K1410), ISBLANK(L1410) ), "", 1.5*SQRT( EXP(2.21*(H1410-1)) + EXP(2.21*(I1410-1)) + EXP(2.21*(J1410-1)) + EXP(2.21*(K1410-1)) + EXP(2.21*L1410) )/100*2.45 )</f>
        <v>0.48935255543384243</v>
      </c>
      <c r="N1410" s="235"/>
    </row>
    <row r="1411" spans="1:14" hidden="1" x14ac:dyDescent="0.2">
      <c r="A1411" s="340" t="s">
        <v>404</v>
      </c>
      <c r="B1411" s="308" t="s">
        <v>444</v>
      </c>
      <c r="C1411" s="247" t="s">
        <v>22</v>
      </c>
      <c r="D1411" s="276" t="s">
        <v>135</v>
      </c>
      <c r="E1411" s="61">
        <v>0</v>
      </c>
      <c r="F1411" s="233" t="s">
        <v>443</v>
      </c>
      <c r="G1411" s="342" t="s">
        <v>16</v>
      </c>
      <c r="H1411" s="61"/>
      <c r="I1411" s="61"/>
      <c r="J1411" s="61"/>
      <c r="K1411" s="61"/>
      <c r="L1411" s="62"/>
      <c r="M1411" s="62" t="str">
        <f t="shared" si="56"/>
        <v/>
      </c>
      <c r="N1411" s="235"/>
    </row>
    <row r="1412" spans="1:14" hidden="1" x14ac:dyDescent="0.2">
      <c r="A1412" s="340" t="s">
        <v>404</v>
      </c>
      <c r="B1412" s="308" t="s">
        <v>444</v>
      </c>
      <c r="C1412" s="247" t="s">
        <v>23</v>
      </c>
      <c r="D1412" s="276" t="s">
        <v>135</v>
      </c>
      <c r="E1412" s="61">
        <v>0</v>
      </c>
      <c r="F1412" s="233" t="s">
        <v>443</v>
      </c>
      <c r="G1412" s="342" t="s">
        <v>16</v>
      </c>
      <c r="H1412" s="61"/>
      <c r="I1412" s="61"/>
      <c r="J1412" s="61"/>
      <c r="K1412" s="61"/>
      <c r="L1412" s="62"/>
      <c r="M1412" s="62" t="str">
        <f t="shared" si="56"/>
        <v/>
      </c>
      <c r="N1412" s="235"/>
    </row>
    <row r="1413" spans="1:14" hidden="1" x14ac:dyDescent="0.2">
      <c r="A1413" s="340" t="s">
        <v>404</v>
      </c>
      <c r="B1413" s="308" t="s">
        <v>444</v>
      </c>
      <c r="C1413" s="247" t="s">
        <v>24</v>
      </c>
      <c r="D1413" s="276" t="s">
        <v>135</v>
      </c>
      <c r="E1413" s="311">
        <v>2.2752497225305219E-2</v>
      </c>
      <c r="F1413" s="233" t="s">
        <v>443</v>
      </c>
      <c r="G1413" s="234" t="s">
        <v>16</v>
      </c>
      <c r="H1413" s="232">
        <v>2</v>
      </c>
      <c r="I1413" s="232">
        <v>1</v>
      </c>
      <c r="J1413" s="232">
        <v>3</v>
      </c>
      <c r="K1413" s="232">
        <v>2</v>
      </c>
      <c r="L1413" s="283">
        <v>2</v>
      </c>
      <c r="M1413" s="284">
        <f t="shared" si="56"/>
        <v>0.50042652380814845</v>
      </c>
      <c r="N1413" s="235"/>
    </row>
    <row r="1414" spans="1:14" hidden="1" x14ac:dyDescent="0.2">
      <c r="A1414" s="340" t="s">
        <v>404</v>
      </c>
      <c r="B1414" s="308" t="s">
        <v>444</v>
      </c>
      <c r="C1414" s="247" t="s">
        <v>25</v>
      </c>
      <c r="D1414" s="276" t="s">
        <v>135</v>
      </c>
      <c r="E1414" s="311">
        <v>3.7243947858473E-2</v>
      </c>
      <c r="F1414" s="233" t="s">
        <v>443</v>
      </c>
      <c r="G1414" s="234" t="s">
        <v>16</v>
      </c>
      <c r="H1414" s="232">
        <v>2</v>
      </c>
      <c r="I1414" s="232">
        <v>1</v>
      </c>
      <c r="J1414" s="232">
        <v>3</v>
      </c>
      <c r="K1414" s="232">
        <v>2</v>
      </c>
      <c r="L1414" s="283">
        <v>2</v>
      </c>
      <c r="M1414" s="284">
        <f t="shared" si="56"/>
        <v>0.50042652380814845</v>
      </c>
      <c r="N1414" s="235"/>
    </row>
    <row r="1415" spans="1:14" hidden="1" x14ac:dyDescent="0.2">
      <c r="A1415" s="340" t="s">
        <v>404</v>
      </c>
      <c r="B1415" s="308" t="s">
        <v>444</v>
      </c>
      <c r="C1415" s="247" t="s">
        <v>26</v>
      </c>
      <c r="D1415" s="276" t="s">
        <v>135</v>
      </c>
      <c r="E1415" s="311">
        <v>0.3253012048192771</v>
      </c>
      <c r="F1415" s="233" t="s">
        <v>443</v>
      </c>
      <c r="G1415" s="234" t="s">
        <v>16</v>
      </c>
      <c r="H1415" s="232">
        <v>1</v>
      </c>
      <c r="I1415" s="232">
        <v>1</v>
      </c>
      <c r="J1415" s="232">
        <v>3</v>
      </c>
      <c r="K1415" s="232">
        <v>2</v>
      </c>
      <c r="L1415" s="283">
        <v>2</v>
      </c>
      <c r="M1415" s="284">
        <f t="shared" si="56"/>
        <v>0.48935255543384243</v>
      </c>
      <c r="N1415" s="235"/>
    </row>
    <row r="1416" spans="1:14" hidden="1" x14ac:dyDescent="0.2">
      <c r="A1416" s="340" t="s">
        <v>404</v>
      </c>
      <c r="B1416" s="308" t="s">
        <v>444</v>
      </c>
      <c r="C1416" s="247" t="s">
        <v>27</v>
      </c>
      <c r="D1416" s="276" t="s">
        <v>135</v>
      </c>
      <c r="E1416" s="311">
        <v>3.7243947858473E-2</v>
      </c>
      <c r="F1416" s="233" t="s">
        <v>443</v>
      </c>
      <c r="G1416" s="234" t="s">
        <v>16</v>
      </c>
      <c r="H1416" s="232">
        <v>2</v>
      </c>
      <c r="I1416" s="232">
        <v>1</v>
      </c>
      <c r="J1416" s="232">
        <v>3</v>
      </c>
      <c r="K1416" s="232">
        <v>2</v>
      </c>
      <c r="L1416" s="283">
        <v>2</v>
      </c>
      <c r="M1416" s="284">
        <f t="shared" si="56"/>
        <v>0.50042652380814845</v>
      </c>
      <c r="N1416" s="235"/>
    </row>
    <row r="1417" spans="1:14" hidden="1" x14ac:dyDescent="0.2">
      <c r="A1417" s="340" t="s">
        <v>404</v>
      </c>
      <c r="B1417" s="308" t="s">
        <v>444</v>
      </c>
      <c r="C1417" s="247" t="s">
        <v>28</v>
      </c>
      <c r="D1417" s="276" t="s">
        <v>135</v>
      </c>
      <c r="E1417" s="311">
        <v>3.7243947858473E-2</v>
      </c>
      <c r="F1417" s="233" t="s">
        <v>443</v>
      </c>
      <c r="G1417" s="234" t="s">
        <v>16</v>
      </c>
      <c r="H1417" s="232">
        <v>2</v>
      </c>
      <c r="I1417" s="232">
        <v>1</v>
      </c>
      <c r="J1417" s="232">
        <v>3</v>
      </c>
      <c r="K1417" s="232">
        <v>2</v>
      </c>
      <c r="L1417" s="283">
        <v>2</v>
      </c>
      <c r="M1417" s="284">
        <f t="shared" si="56"/>
        <v>0.50042652380814845</v>
      </c>
      <c r="N1417" s="235"/>
    </row>
    <row r="1418" spans="1:14" hidden="1" x14ac:dyDescent="0.2">
      <c r="A1418" s="340" t="s">
        <v>404</v>
      </c>
      <c r="B1418" s="308" t="s">
        <v>444</v>
      </c>
      <c r="C1418" s="247" t="s">
        <v>30</v>
      </c>
      <c r="D1418" s="276" t="s">
        <v>135</v>
      </c>
      <c r="E1418" s="311">
        <v>3.7243947858473E-2</v>
      </c>
      <c r="F1418" s="233" t="s">
        <v>443</v>
      </c>
      <c r="G1418" s="234" t="s">
        <v>16</v>
      </c>
      <c r="H1418" s="232">
        <v>1</v>
      </c>
      <c r="I1418" s="232">
        <v>1</v>
      </c>
      <c r="J1418" s="232">
        <v>3</v>
      </c>
      <c r="K1418" s="232">
        <v>2</v>
      </c>
      <c r="L1418" s="283">
        <v>2</v>
      </c>
      <c r="M1418" s="284">
        <f t="shared" si="56"/>
        <v>0.48935255543384243</v>
      </c>
      <c r="N1418" s="235"/>
    </row>
    <row r="1419" spans="1:14" hidden="1" x14ac:dyDescent="0.2">
      <c r="A1419" s="340" t="s">
        <v>404</v>
      </c>
      <c r="B1419" s="308" t="s">
        <v>444</v>
      </c>
      <c r="C1419" s="247" t="s">
        <v>32</v>
      </c>
      <c r="D1419" s="276" t="s">
        <v>135</v>
      </c>
      <c r="E1419" s="311">
        <v>8.2810539523212046E-2</v>
      </c>
      <c r="F1419" s="233" t="s">
        <v>443</v>
      </c>
      <c r="G1419" s="234" t="s">
        <v>16</v>
      </c>
      <c r="H1419" s="232">
        <v>2</v>
      </c>
      <c r="I1419" s="232">
        <v>1</v>
      </c>
      <c r="J1419" s="232">
        <v>3</v>
      </c>
      <c r="K1419" s="232">
        <v>2</v>
      </c>
      <c r="L1419" s="283">
        <v>2</v>
      </c>
      <c r="M1419" s="284">
        <f t="shared" si="56"/>
        <v>0.50042652380814845</v>
      </c>
      <c r="N1419" s="235"/>
    </row>
    <row r="1420" spans="1:14" hidden="1" x14ac:dyDescent="0.2">
      <c r="A1420" s="340" t="s">
        <v>404</v>
      </c>
      <c r="B1420" s="308" t="s">
        <v>444</v>
      </c>
      <c r="C1420" s="247" t="s">
        <v>34</v>
      </c>
      <c r="D1420" s="276" t="s">
        <v>135</v>
      </c>
      <c r="E1420" s="311">
        <v>0.5</v>
      </c>
      <c r="F1420" s="233" t="s">
        <v>443</v>
      </c>
      <c r="G1420" s="234" t="s">
        <v>16</v>
      </c>
      <c r="H1420" s="232">
        <v>1</v>
      </c>
      <c r="I1420" s="232">
        <v>1</v>
      </c>
      <c r="J1420" s="232">
        <v>3</v>
      </c>
      <c r="K1420" s="232">
        <v>2</v>
      </c>
      <c r="L1420" s="283">
        <v>2</v>
      </c>
      <c r="M1420" s="284">
        <f t="shared" si="56"/>
        <v>0.48935255543384243</v>
      </c>
      <c r="N1420" s="235"/>
    </row>
    <row r="1421" spans="1:14" hidden="1" x14ac:dyDescent="0.2">
      <c r="A1421" s="340" t="s">
        <v>404</v>
      </c>
      <c r="B1421" s="308" t="s">
        <v>444</v>
      </c>
      <c r="C1421" s="247" t="s">
        <v>36</v>
      </c>
      <c r="D1421" s="276" t="s">
        <v>135</v>
      </c>
      <c r="E1421" s="61">
        <v>0</v>
      </c>
      <c r="F1421" s="233" t="s">
        <v>443</v>
      </c>
      <c r="G1421" s="342" t="s">
        <v>16</v>
      </c>
      <c r="H1421" s="61"/>
      <c r="I1421" s="61"/>
      <c r="J1421" s="61"/>
      <c r="K1421" s="61"/>
      <c r="L1421" s="62"/>
      <c r="M1421" s="62" t="str">
        <f t="shared" si="56"/>
        <v/>
      </c>
      <c r="N1421" s="235"/>
    </row>
    <row r="1422" spans="1:14" hidden="1" x14ac:dyDescent="0.2">
      <c r="A1422" s="340" t="s">
        <v>404</v>
      </c>
      <c r="B1422" s="308" t="s">
        <v>444</v>
      </c>
      <c r="C1422" s="247" t="s">
        <v>37</v>
      </c>
      <c r="D1422" s="276" t="s">
        <v>135</v>
      </c>
      <c r="E1422" s="311">
        <v>3.7243947858473E-2</v>
      </c>
      <c r="F1422" s="233" t="s">
        <v>443</v>
      </c>
      <c r="G1422" s="234" t="s">
        <v>16</v>
      </c>
      <c r="H1422" s="232">
        <v>2</v>
      </c>
      <c r="I1422" s="232">
        <v>1</v>
      </c>
      <c r="J1422" s="232">
        <v>3</v>
      </c>
      <c r="K1422" s="232">
        <v>2</v>
      </c>
      <c r="L1422" s="283">
        <v>2</v>
      </c>
      <c r="M1422" s="284">
        <f t="shared" si="56"/>
        <v>0.50042652380814845</v>
      </c>
      <c r="N1422" s="235"/>
    </row>
    <row r="1423" spans="1:14" hidden="1" x14ac:dyDescent="0.2">
      <c r="A1423" s="340" t="s">
        <v>404</v>
      </c>
      <c r="B1423" s="308" t="s">
        <v>444</v>
      </c>
      <c r="C1423" s="247" t="s">
        <v>39</v>
      </c>
      <c r="D1423" s="276" t="s">
        <v>135</v>
      </c>
      <c r="E1423" s="311">
        <v>0.1818181818181818</v>
      </c>
      <c r="F1423" s="233" t="s">
        <v>443</v>
      </c>
      <c r="G1423" s="234" t="s">
        <v>16</v>
      </c>
      <c r="H1423" s="232">
        <v>1</v>
      </c>
      <c r="I1423" s="232">
        <v>1</v>
      </c>
      <c r="J1423" s="232">
        <v>3</v>
      </c>
      <c r="K1423" s="232">
        <v>2</v>
      </c>
      <c r="L1423" s="283">
        <v>2</v>
      </c>
      <c r="M1423" s="284">
        <f t="shared" si="56"/>
        <v>0.48935255543384243</v>
      </c>
      <c r="N1423" s="235"/>
    </row>
    <row r="1424" spans="1:14" hidden="1" x14ac:dyDescent="0.2">
      <c r="A1424" s="340" t="s">
        <v>404</v>
      </c>
      <c r="B1424" s="308" t="s">
        <v>444</v>
      </c>
      <c r="C1424" s="247" t="s">
        <v>40</v>
      </c>
      <c r="D1424" s="276" t="s">
        <v>135</v>
      </c>
      <c r="E1424" s="311">
        <v>0.1818181818181818</v>
      </c>
      <c r="F1424" s="233" t="s">
        <v>443</v>
      </c>
      <c r="G1424" s="234" t="s">
        <v>16</v>
      </c>
      <c r="H1424" s="232">
        <v>2</v>
      </c>
      <c r="I1424" s="232">
        <v>1</v>
      </c>
      <c r="J1424" s="232">
        <v>3</v>
      </c>
      <c r="K1424" s="232">
        <v>2</v>
      </c>
      <c r="L1424" s="283">
        <v>2</v>
      </c>
      <c r="M1424" s="284">
        <f t="shared" si="56"/>
        <v>0.50042652380814845</v>
      </c>
      <c r="N1424" s="235"/>
    </row>
    <row r="1425" spans="1:14" hidden="1" x14ac:dyDescent="0.2">
      <c r="A1425" s="340" t="s">
        <v>404</v>
      </c>
      <c r="B1425" s="308" t="s">
        <v>444</v>
      </c>
      <c r="C1425" s="247" t="s">
        <v>41</v>
      </c>
      <c r="D1425" s="276" t="s">
        <v>135</v>
      </c>
      <c r="E1425" s="61">
        <v>0</v>
      </c>
      <c r="F1425" s="233" t="s">
        <v>443</v>
      </c>
      <c r="G1425" s="342" t="s">
        <v>16</v>
      </c>
      <c r="H1425" s="61"/>
      <c r="I1425" s="61"/>
      <c r="J1425" s="61"/>
      <c r="K1425" s="61"/>
      <c r="L1425" s="62"/>
      <c r="M1425" s="62" t="str">
        <f t="shared" si="56"/>
        <v/>
      </c>
      <c r="N1425" s="235"/>
    </row>
    <row r="1426" spans="1:14" hidden="1" x14ac:dyDescent="0.2">
      <c r="A1426" s="340" t="s">
        <v>404</v>
      </c>
      <c r="B1426" s="308" t="s">
        <v>444</v>
      </c>
      <c r="C1426" s="247" t="s">
        <v>42</v>
      </c>
      <c r="D1426" s="276" t="s">
        <v>135</v>
      </c>
      <c r="E1426" s="311">
        <v>8.2810539523212046E-2</v>
      </c>
      <c r="F1426" s="233" t="s">
        <v>443</v>
      </c>
      <c r="G1426" s="234" t="s">
        <v>16</v>
      </c>
      <c r="H1426" s="232">
        <v>2</v>
      </c>
      <c r="I1426" s="232">
        <v>1</v>
      </c>
      <c r="J1426" s="232">
        <v>3</v>
      </c>
      <c r="K1426" s="232">
        <v>2</v>
      </c>
      <c r="L1426" s="283">
        <v>2</v>
      </c>
      <c r="M1426" s="284">
        <f t="shared" si="56"/>
        <v>0.50042652380814845</v>
      </c>
      <c r="N1426" s="235"/>
    </row>
    <row r="1427" spans="1:14" hidden="1" x14ac:dyDescent="0.2">
      <c r="A1427" s="340" t="s">
        <v>404</v>
      </c>
      <c r="B1427" s="308" t="s">
        <v>444</v>
      </c>
      <c r="C1427" s="247" t="s">
        <v>43</v>
      </c>
      <c r="D1427" s="276" t="s">
        <v>135</v>
      </c>
      <c r="E1427" s="311">
        <v>3.7243947858473E-2</v>
      </c>
      <c r="F1427" s="233" t="s">
        <v>443</v>
      </c>
      <c r="G1427" s="234" t="s">
        <v>16</v>
      </c>
      <c r="H1427" s="232">
        <v>2</v>
      </c>
      <c r="I1427" s="232">
        <v>1</v>
      </c>
      <c r="J1427" s="232">
        <v>3</v>
      </c>
      <c r="K1427" s="232">
        <v>2</v>
      </c>
      <c r="L1427" s="283">
        <v>2</v>
      </c>
      <c r="M1427" s="284">
        <f t="shared" si="56"/>
        <v>0.50042652380814845</v>
      </c>
      <c r="N1427" s="235"/>
    </row>
    <row r="1428" spans="1:14" hidden="1" x14ac:dyDescent="0.2">
      <c r="A1428" s="340" t="s">
        <v>404</v>
      </c>
      <c r="B1428" s="308" t="s">
        <v>444</v>
      </c>
      <c r="C1428" s="247" t="s">
        <v>45</v>
      </c>
      <c r="D1428" s="276" t="s">
        <v>135</v>
      </c>
      <c r="E1428" s="311">
        <v>3.7243947858473E-2</v>
      </c>
      <c r="F1428" s="233" t="s">
        <v>443</v>
      </c>
      <c r="G1428" s="234" t="s">
        <v>16</v>
      </c>
      <c r="H1428" s="232">
        <v>2</v>
      </c>
      <c r="I1428" s="232">
        <v>1</v>
      </c>
      <c r="J1428" s="232">
        <v>3</v>
      </c>
      <c r="K1428" s="232">
        <v>2</v>
      </c>
      <c r="L1428" s="283">
        <v>2</v>
      </c>
      <c r="M1428" s="284">
        <f t="shared" si="56"/>
        <v>0.50042652380814845</v>
      </c>
      <c r="N1428" s="235"/>
    </row>
    <row r="1429" spans="1:14" hidden="1" x14ac:dyDescent="0.2">
      <c r="A1429" s="340" t="s">
        <v>404</v>
      </c>
      <c r="B1429" s="308" t="s">
        <v>444</v>
      </c>
      <c r="C1429" s="247" t="s">
        <v>46</v>
      </c>
      <c r="D1429" s="276" t="s">
        <v>135</v>
      </c>
      <c r="E1429" s="311">
        <v>2.2752497225305219E-2</v>
      </c>
      <c r="F1429" s="233" t="s">
        <v>443</v>
      </c>
      <c r="G1429" s="234" t="s">
        <v>16</v>
      </c>
      <c r="H1429" s="232">
        <v>2</v>
      </c>
      <c r="I1429" s="232">
        <v>1</v>
      </c>
      <c r="J1429" s="232">
        <v>3</v>
      </c>
      <c r="K1429" s="232">
        <v>2</v>
      </c>
      <c r="L1429" s="283">
        <v>2</v>
      </c>
      <c r="M1429" s="284">
        <f t="shared" si="56"/>
        <v>0.50042652380814845</v>
      </c>
      <c r="N1429" s="235"/>
    </row>
    <row r="1430" spans="1:14" hidden="1" x14ac:dyDescent="0.2">
      <c r="A1430" s="340" t="s">
        <v>404</v>
      </c>
      <c r="B1430" s="308" t="s">
        <v>444</v>
      </c>
      <c r="C1430" s="247" t="s">
        <v>48</v>
      </c>
      <c r="D1430" s="276" t="s">
        <v>135</v>
      </c>
      <c r="E1430" s="311">
        <v>0.14602587800369679</v>
      </c>
      <c r="F1430" s="233" t="s">
        <v>443</v>
      </c>
      <c r="G1430" s="234" t="s">
        <v>16</v>
      </c>
      <c r="H1430" s="232">
        <v>1</v>
      </c>
      <c r="I1430" s="232">
        <v>1</v>
      </c>
      <c r="J1430" s="232">
        <v>3</v>
      </c>
      <c r="K1430" s="232">
        <v>2</v>
      </c>
      <c r="L1430" s="283">
        <v>2</v>
      </c>
      <c r="M1430" s="284">
        <f t="shared" si="56"/>
        <v>0.48935255543384243</v>
      </c>
      <c r="N1430" s="235"/>
    </row>
    <row r="1431" spans="1:14" hidden="1" x14ac:dyDescent="0.2">
      <c r="A1431" s="340" t="s">
        <v>404</v>
      </c>
      <c r="B1431" s="308" t="s">
        <v>444</v>
      </c>
      <c r="C1431" s="247" t="s">
        <v>50</v>
      </c>
      <c r="D1431" s="276" t="s">
        <v>135</v>
      </c>
      <c r="E1431" s="311">
        <v>0.5</v>
      </c>
      <c r="F1431" s="233" t="s">
        <v>443</v>
      </c>
      <c r="G1431" s="234" t="s">
        <v>16</v>
      </c>
      <c r="H1431" s="232">
        <v>2</v>
      </c>
      <c r="I1431" s="232">
        <v>1</v>
      </c>
      <c r="J1431" s="232">
        <v>3</v>
      </c>
      <c r="K1431" s="232">
        <v>2</v>
      </c>
      <c r="L1431" s="283">
        <v>2</v>
      </c>
      <c r="M1431" s="284">
        <f t="shared" si="56"/>
        <v>0.50042652380814845</v>
      </c>
      <c r="N1431" s="235"/>
    </row>
    <row r="1432" spans="1:14" hidden="1" x14ac:dyDescent="0.2">
      <c r="A1432" s="340" t="s">
        <v>404</v>
      </c>
      <c r="B1432" s="308" t="s">
        <v>444</v>
      </c>
      <c r="C1432" s="247" t="s">
        <v>52</v>
      </c>
      <c r="D1432" s="276" t="s">
        <v>135</v>
      </c>
      <c r="E1432" s="311">
        <v>2.2752497225305219E-2</v>
      </c>
      <c r="F1432" s="233" t="s">
        <v>443</v>
      </c>
      <c r="G1432" s="234" t="s">
        <v>16</v>
      </c>
      <c r="H1432" s="232">
        <v>1</v>
      </c>
      <c r="I1432" s="232">
        <v>1</v>
      </c>
      <c r="J1432" s="232">
        <v>3</v>
      </c>
      <c r="K1432" s="232">
        <v>2</v>
      </c>
      <c r="L1432" s="283">
        <v>2</v>
      </c>
      <c r="M1432" s="284">
        <f t="shared" si="56"/>
        <v>0.48935255543384243</v>
      </c>
      <c r="N1432" s="235"/>
    </row>
    <row r="1433" spans="1:14" hidden="1" x14ac:dyDescent="0.2">
      <c r="A1433" s="340" t="s">
        <v>404</v>
      </c>
      <c r="B1433" s="308" t="s">
        <v>444</v>
      </c>
      <c r="C1433" s="247" t="s">
        <v>54</v>
      </c>
      <c r="D1433" s="276" t="s">
        <v>135</v>
      </c>
      <c r="E1433" s="311">
        <v>0.15454545454545451</v>
      </c>
      <c r="F1433" s="233" t="s">
        <v>443</v>
      </c>
      <c r="G1433" s="234" t="s">
        <v>16</v>
      </c>
      <c r="H1433" s="232">
        <v>1</v>
      </c>
      <c r="I1433" s="232">
        <v>1</v>
      </c>
      <c r="J1433" s="232">
        <v>3</v>
      </c>
      <c r="K1433" s="232">
        <v>2</v>
      </c>
      <c r="L1433" s="283">
        <v>2</v>
      </c>
      <c r="M1433" s="284">
        <f t="shared" si="56"/>
        <v>0.48935255543384243</v>
      </c>
      <c r="N1433" s="235"/>
    </row>
    <row r="1434" spans="1:14" hidden="1" x14ac:dyDescent="0.2">
      <c r="A1434" s="340" t="s">
        <v>404</v>
      </c>
      <c r="B1434" s="308" t="s">
        <v>444</v>
      </c>
      <c r="C1434" s="247" t="s">
        <v>55</v>
      </c>
      <c r="D1434" s="276" t="s">
        <v>135</v>
      </c>
      <c r="E1434" s="61">
        <v>0</v>
      </c>
      <c r="F1434" s="233" t="s">
        <v>443</v>
      </c>
      <c r="G1434" s="342" t="s">
        <v>16</v>
      </c>
      <c r="H1434" s="61"/>
      <c r="I1434" s="61"/>
      <c r="J1434" s="61"/>
      <c r="K1434" s="61"/>
      <c r="L1434" s="62"/>
      <c r="M1434" s="62" t="str">
        <f t="shared" si="56"/>
        <v/>
      </c>
      <c r="N1434" s="235"/>
    </row>
    <row r="1435" spans="1:14" hidden="1" x14ac:dyDescent="0.2">
      <c r="A1435" s="340" t="s">
        <v>404</v>
      </c>
      <c r="B1435" s="308" t="s">
        <v>444</v>
      </c>
      <c r="C1435" s="247" t="s">
        <v>57</v>
      </c>
      <c r="D1435" s="276" t="s">
        <v>135</v>
      </c>
      <c r="E1435" s="311">
        <v>3.7243947858473E-2</v>
      </c>
      <c r="F1435" s="233" t="s">
        <v>443</v>
      </c>
      <c r="G1435" s="234" t="s">
        <v>16</v>
      </c>
      <c r="H1435" s="232">
        <v>2</v>
      </c>
      <c r="I1435" s="232">
        <v>1</v>
      </c>
      <c r="J1435" s="232">
        <v>3</v>
      </c>
      <c r="K1435" s="232">
        <v>2</v>
      </c>
      <c r="L1435" s="283">
        <v>2</v>
      </c>
      <c r="M1435" s="284">
        <f t="shared" si="56"/>
        <v>0.50042652380814845</v>
      </c>
      <c r="N1435" s="235"/>
    </row>
    <row r="1436" spans="1:14" hidden="1" x14ac:dyDescent="0.2">
      <c r="A1436" s="340" t="s">
        <v>404</v>
      </c>
      <c r="B1436" s="308" t="s">
        <v>444</v>
      </c>
      <c r="C1436" s="247" t="s">
        <v>59</v>
      </c>
      <c r="D1436" s="276" t="s">
        <v>135</v>
      </c>
      <c r="E1436" s="61">
        <v>0</v>
      </c>
      <c r="F1436" s="233" t="s">
        <v>443</v>
      </c>
      <c r="G1436" s="234" t="s">
        <v>16</v>
      </c>
      <c r="H1436" s="61"/>
      <c r="I1436" s="61"/>
      <c r="J1436" s="61"/>
      <c r="K1436" s="61"/>
      <c r="L1436" s="62"/>
      <c r="M1436" s="63"/>
      <c r="N1436" s="235"/>
    </row>
    <row r="1437" spans="1:14" hidden="1" x14ac:dyDescent="0.2">
      <c r="A1437" s="340" t="s">
        <v>404</v>
      </c>
      <c r="B1437" s="308" t="s">
        <v>444</v>
      </c>
      <c r="C1437" s="247" t="s">
        <v>60</v>
      </c>
      <c r="D1437" s="276" t="s">
        <v>135</v>
      </c>
      <c r="E1437" s="61">
        <v>0</v>
      </c>
      <c r="F1437" s="233" t="s">
        <v>443</v>
      </c>
      <c r="G1437" s="342" t="s">
        <v>16</v>
      </c>
      <c r="H1437" s="61"/>
      <c r="I1437" s="61"/>
      <c r="J1437" s="61"/>
      <c r="K1437" s="61"/>
      <c r="L1437" s="62"/>
      <c r="M1437" s="62" t="str">
        <f t="shared" ref="M1437:M1484" si="57">IF( OR( ISBLANK(H1437),ISBLANK(I1437), ISBLANK(J1437), ISBLANK(K1437), ISBLANK(L1437) ), "", 1.5*SQRT( EXP(2.21*(H1437-1)) + EXP(2.21*(I1437-1)) + EXP(2.21*(J1437-1)) + EXP(2.21*(K1437-1)) + EXP(2.21*L1437) )/100*2.45 )</f>
        <v/>
      </c>
      <c r="N1437" s="235"/>
    </row>
    <row r="1438" spans="1:14" x14ac:dyDescent="0.2">
      <c r="A1438" s="340" t="s">
        <v>404</v>
      </c>
      <c r="B1438" s="308" t="s">
        <v>398</v>
      </c>
      <c r="C1438" s="247" t="s">
        <v>13</v>
      </c>
      <c r="D1438" s="276" t="s">
        <v>135</v>
      </c>
      <c r="E1438" s="61">
        <v>0</v>
      </c>
      <c r="F1438" s="233" t="s">
        <v>443</v>
      </c>
      <c r="G1438" s="342" t="s">
        <v>16</v>
      </c>
      <c r="H1438" s="61"/>
      <c r="I1438" s="61"/>
      <c r="J1438" s="61"/>
      <c r="K1438" s="61"/>
      <c r="L1438" s="62"/>
      <c r="M1438" s="62" t="str">
        <f t="shared" si="57"/>
        <v/>
      </c>
      <c r="N1438" s="235"/>
    </row>
    <row r="1439" spans="1:14" hidden="1" x14ac:dyDescent="0.2">
      <c r="A1439" s="340" t="s">
        <v>404</v>
      </c>
      <c r="B1439" s="308" t="s">
        <v>398</v>
      </c>
      <c r="C1439" s="247" t="s">
        <v>18</v>
      </c>
      <c r="D1439" s="276" t="s">
        <v>135</v>
      </c>
      <c r="E1439" s="61">
        <v>0</v>
      </c>
      <c r="F1439" s="233" t="s">
        <v>443</v>
      </c>
      <c r="G1439" s="342" t="s">
        <v>16</v>
      </c>
      <c r="H1439" s="61"/>
      <c r="I1439" s="61"/>
      <c r="J1439" s="61"/>
      <c r="K1439" s="61"/>
      <c r="L1439" s="62"/>
      <c r="M1439" s="62" t="str">
        <f t="shared" si="57"/>
        <v/>
      </c>
      <c r="N1439" s="235"/>
    </row>
    <row r="1440" spans="1:14" hidden="1" x14ac:dyDescent="0.2">
      <c r="A1440" s="340" t="s">
        <v>404</v>
      </c>
      <c r="B1440" s="308" t="s">
        <v>398</v>
      </c>
      <c r="C1440" s="247" t="s">
        <v>20</v>
      </c>
      <c r="D1440" s="276" t="s">
        <v>135</v>
      </c>
      <c r="E1440" s="311">
        <v>1.124346168260848E-3</v>
      </c>
      <c r="F1440" s="233" t="s">
        <v>443</v>
      </c>
      <c r="G1440" s="234" t="s">
        <v>16</v>
      </c>
      <c r="H1440" s="232">
        <v>1</v>
      </c>
      <c r="I1440" s="232">
        <v>1</v>
      </c>
      <c r="J1440" s="232">
        <v>3</v>
      </c>
      <c r="K1440" s="232">
        <v>2</v>
      </c>
      <c r="L1440" s="283">
        <v>2</v>
      </c>
      <c r="M1440" s="284">
        <f t="shared" si="57"/>
        <v>0.48935255543384243</v>
      </c>
      <c r="N1440" s="235"/>
    </row>
    <row r="1441" spans="1:14" hidden="1" x14ac:dyDescent="0.2">
      <c r="A1441" s="340" t="s">
        <v>404</v>
      </c>
      <c r="B1441" s="308" t="s">
        <v>398</v>
      </c>
      <c r="C1441" s="247" t="s">
        <v>22</v>
      </c>
      <c r="D1441" s="276" t="s">
        <v>135</v>
      </c>
      <c r="E1441" s="61">
        <v>0</v>
      </c>
      <c r="F1441" s="233" t="s">
        <v>443</v>
      </c>
      <c r="G1441" s="342" t="s">
        <v>16</v>
      </c>
      <c r="H1441" s="61"/>
      <c r="I1441" s="61"/>
      <c r="J1441" s="61"/>
      <c r="K1441" s="61"/>
      <c r="L1441" s="62"/>
      <c r="M1441" s="62" t="str">
        <f t="shared" si="57"/>
        <v/>
      </c>
      <c r="N1441" s="235"/>
    </row>
    <row r="1442" spans="1:14" hidden="1" x14ac:dyDescent="0.2">
      <c r="A1442" s="340" t="s">
        <v>404</v>
      </c>
      <c r="B1442" s="308" t="s">
        <v>398</v>
      </c>
      <c r="C1442" s="247" t="s">
        <v>23</v>
      </c>
      <c r="D1442" s="276" t="s">
        <v>135</v>
      </c>
      <c r="E1442" s="61">
        <v>0</v>
      </c>
      <c r="F1442" s="233" t="s">
        <v>443</v>
      </c>
      <c r="G1442" s="342" t="s">
        <v>16</v>
      </c>
      <c r="H1442" s="61"/>
      <c r="I1442" s="61"/>
      <c r="J1442" s="61"/>
      <c r="K1442" s="61"/>
      <c r="L1442" s="62"/>
      <c r="M1442" s="62" t="str">
        <f t="shared" si="57"/>
        <v/>
      </c>
      <c r="N1442" s="235"/>
    </row>
    <row r="1443" spans="1:14" hidden="1" x14ac:dyDescent="0.2">
      <c r="A1443" s="340" t="s">
        <v>404</v>
      </c>
      <c r="B1443" s="308" t="s">
        <v>398</v>
      </c>
      <c r="C1443" s="247" t="s">
        <v>24</v>
      </c>
      <c r="D1443" s="276" t="s">
        <v>135</v>
      </c>
      <c r="E1443" s="311">
        <v>1.8550816553036309E-2</v>
      </c>
      <c r="F1443" s="233" t="s">
        <v>443</v>
      </c>
      <c r="G1443" s="234" t="s">
        <v>16</v>
      </c>
      <c r="H1443" s="232">
        <v>2</v>
      </c>
      <c r="I1443" s="232">
        <v>1</v>
      </c>
      <c r="J1443" s="232">
        <v>3</v>
      </c>
      <c r="K1443" s="232">
        <v>2</v>
      </c>
      <c r="L1443" s="283">
        <v>2</v>
      </c>
      <c r="M1443" s="284">
        <f t="shared" si="57"/>
        <v>0.50042652380814845</v>
      </c>
      <c r="N1443" s="235"/>
    </row>
    <row r="1444" spans="1:14" hidden="1" x14ac:dyDescent="0.2">
      <c r="A1444" s="340" t="s">
        <v>404</v>
      </c>
      <c r="B1444" s="308" t="s">
        <v>398</v>
      </c>
      <c r="C1444" s="247" t="s">
        <v>25</v>
      </c>
      <c r="D1444" s="276" t="s">
        <v>135</v>
      </c>
      <c r="E1444" s="311">
        <v>1.9264110961279141E-4</v>
      </c>
      <c r="F1444" s="233" t="s">
        <v>443</v>
      </c>
      <c r="G1444" s="234" t="s">
        <v>16</v>
      </c>
      <c r="H1444" s="232">
        <v>2</v>
      </c>
      <c r="I1444" s="232">
        <v>1</v>
      </c>
      <c r="J1444" s="232">
        <v>3</v>
      </c>
      <c r="K1444" s="232">
        <v>2</v>
      </c>
      <c r="L1444" s="283">
        <v>2</v>
      </c>
      <c r="M1444" s="284">
        <f t="shared" si="57"/>
        <v>0.50042652380814845</v>
      </c>
      <c r="N1444" s="235"/>
    </row>
    <row r="1445" spans="1:14" hidden="1" x14ac:dyDescent="0.2">
      <c r="A1445" s="340" t="s">
        <v>404</v>
      </c>
      <c r="B1445" s="308" t="s">
        <v>398</v>
      </c>
      <c r="C1445" s="247" t="s">
        <v>26</v>
      </c>
      <c r="D1445" s="276" t="s">
        <v>135</v>
      </c>
      <c r="E1445" s="311">
        <v>3.7726664232688327E-2</v>
      </c>
      <c r="F1445" s="233" t="s">
        <v>443</v>
      </c>
      <c r="G1445" s="234" t="s">
        <v>16</v>
      </c>
      <c r="H1445" s="232">
        <v>1</v>
      </c>
      <c r="I1445" s="232">
        <v>1</v>
      </c>
      <c r="J1445" s="232">
        <v>3</v>
      </c>
      <c r="K1445" s="232">
        <v>2</v>
      </c>
      <c r="L1445" s="283">
        <v>2</v>
      </c>
      <c r="M1445" s="284">
        <f t="shared" si="57"/>
        <v>0.48935255543384243</v>
      </c>
      <c r="N1445" s="235"/>
    </row>
    <row r="1446" spans="1:14" hidden="1" x14ac:dyDescent="0.2">
      <c r="A1446" s="340" t="s">
        <v>404</v>
      </c>
      <c r="B1446" s="308" t="s">
        <v>398</v>
      </c>
      <c r="C1446" s="247" t="s">
        <v>27</v>
      </c>
      <c r="D1446" s="276" t="s">
        <v>135</v>
      </c>
      <c r="E1446" s="311">
        <v>1.9264110961279141E-4</v>
      </c>
      <c r="F1446" s="233" t="s">
        <v>443</v>
      </c>
      <c r="G1446" s="234" t="s">
        <v>16</v>
      </c>
      <c r="H1446" s="232">
        <v>2</v>
      </c>
      <c r="I1446" s="232">
        <v>1</v>
      </c>
      <c r="J1446" s="232">
        <v>3</v>
      </c>
      <c r="K1446" s="232">
        <v>2</v>
      </c>
      <c r="L1446" s="283">
        <v>2</v>
      </c>
      <c r="M1446" s="284">
        <f t="shared" si="57"/>
        <v>0.50042652380814845</v>
      </c>
      <c r="N1446" s="235"/>
    </row>
    <row r="1447" spans="1:14" hidden="1" x14ac:dyDescent="0.2">
      <c r="A1447" s="340" t="s">
        <v>404</v>
      </c>
      <c r="B1447" s="308" t="s">
        <v>398</v>
      </c>
      <c r="C1447" s="247" t="s">
        <v>28</v>
      </c>
      <c r="D1447" s="276" t="s">
        <v>135</v>
      </c>
      <c r="E1447" s="311">
        <v>1.9264110961279141E-4</v>
      </c>
      <c r="F1447" s="233" t="s">
        <v>443</v>
      </c>
      <c r="G1447" s="234" t="s">
        <v>16</v>
      </c>
      <c r="H1447" s="232">
        <v>2</v>
      </c>
      <c r="I1447" s="232">
        <v>1</v>
      </c>
      <c r="J1447" s="232">
        <v>3</v>
      </c>
      <c r="K1447" s="232">
        <v>2</v>
      </c>
      <c r="L1447" s="283">
        <v>2</v>
      </c>
      <c r="M1447" s="284">
        <f t="shared" si="57"/>
        <v>0.50042652380814845</v>
      </c>
      <c r="N1447" s="235"/>
    </row>
    <row r="1448" spans="1:14" hidden="1" x14ac:dyDescent="0.2">
      <c r="A1448" s="340" t="s">
        <v>404</v>
      </c>
      <c r="B1448" s="308" t="s">
        <v>398</v>
      </c>
      <c r="C1448" s="247" t="s">
        <v>30</v>
      </c>
      <c r="D1448" s="276" t="s">
        <v>135</v>
      </c>
      <c r="E1448" s="311">
        <v>1.9264110961279141E-4</v>
      </c>
      <c r="F1448" s="233" t="s">
        <v>443</v>
      </c>
      <c r="G1448" s="234" t="s">
        <v>16</v>
      </c>
      <c r="H1448" s="232">
        <v>1</v>
      </c>
      <c r="I1448" s="232">
        <v>1</v>
      </c>
      <c r="J1448" s="232">
        <v>3</v>
      </c>
      <c r="K1448" s="232">
        <v>2</v>
      </c>
      <c r="L1448" s="283">
        <v>2</v>
      </c>
      <c r="M1448" s="284">
        <f t="shared" si="57"/>
        <v>0.48935255543384243</v>
      </c>
      <c r="N1448" s="235"/>
    </row>
    <row r="1449" spans="1:14" hidden="1" x14ac:dyDescent="0.2">
      <c r="A1449" s="340" t="s">
        <v>404</v>
      </c>
      <c r="B1449" s="308" t="s">
        <v>398</v>
      </c>
      <c r="C1449" s="247" t="s">
        <v>32</v>
      </c>
      <c r="D1449" s="276" t="s">
        <v>135</v>
      </c>
      <c r="E1449" s="311">
        <v>1.124346168260848E-3</v>
      </c>
      <c r="F1449" s="233" t="s">
        <v>443</v>
      </c>
      <c r="G1449" s="234" t="s">
        <v>16</v>
      </c>
      <c r="H1449" s="232">
        <v>2</v>
      </c>
      <c r="I1449" s="232">
        <v>1</v>
      </c>
      <c r="J1449" s="232">
        <v>3</v>
      </c>
      <c r="K1449" s="232">
        <v>2</v>
      </c>
      <c r="L1449" s="283">
        <v>2</v>
      </c>
      <c r="M1449" s="284">
        <f t="shared" si="57"/>
        <v>0.50042652380814845</v>
      </c>
      <c r="N1449" s="235"/>
    </row>
    <row r="1450" spans="1:14" hidden="1" x14ac:dyDescent="0.2">
      <c r="A1450" s="340" t="s">
        <v>404</v>
      </c>
      <c r="B1450" s="308" t="s">
        <v>398</v>
      </c>
      <c r="C1450" s="247" t="s">
        <v>34</v>
      </c>
      <c r="D1450" s="276" t="s">
        <v>135</v>
      </c>
      <c r="E1450" s="311">
        <v>0.1759259259259259</v>
      </c>
      <c r="F1450" s="233" t="s">
        <v>443</v>
      </c>
      <c r="G1450" s="234" t="s">
        <v>16</v>
      </c>
      <c r="H1450" s="232">
        <v>1</v>
      </c>
      <c r="I1450" s="232">
        <v>1</v>
      </c>
      <c r="J1450" s="232">
        <v>3</v>
      </c>
      <c r="K1450" s="232">
        <v>2</v>
      </c>
      <c r="L1450" s="283">
        <v>2</v>
      </c>
      <c r="M1450" s="284">
        <f t="shared" si="57"/>
        <v>0.48935255543384243</v>
      </c>
      <c r="N1450" s="235"/>
    </row>
    <row r="1451" spans="1:14" hidden="1" x14ac:dyDescent="0.2">
      <c r="A1451" s="340" t="s">
        <v>404</v>
      </c>
      <c r="B1451" s="308" t="s">
        <v>398</v>
      </c>
      <c r="C1451" s="247" t="s">
        <v>36</v>
      </c>
      <c r="D1451" s="276" t="s">
        <v>135</v>
      </c>
      <c r="E1451" s="61">
        <v>0</v>
      </c>
      <c r="F1451" s="233" t="s">
        <v>443</v>
      </c>
      <c r="G1451" s="342" t="s">
        <v>16</v>
      </c>
      <c r="H1451" s="61"/>
      <c r="I1451" s="61"/>
      <c r="J1451" s="61"/>
      <c r="K1451" s="61"/>
      <c r="L1451" s="62"/>
      <c r="M1451" s="62" t="str">
        <f t="shared" si="57"/>
        <v/>
      </c>
      <c r="N1451" s="235"/>
    </row>
    <row r="1452" spans="1:14" hidden="1" x14ac:dyDescent="0.2">
      <c r="A1452" s="340" t="s">
        <v>404</v>
      </c>
      <c r="B1452" s="308" t="s">
        <v>398</v>
      </c>
      <c r="C1452" s="247" t="s">
        <v>37</v>
      </c>
      <c r="D1452" s="276" t="s">
        <v>135</v>
      </c>
      <c r="E1452" s="311">
        <v>1.9264110961279141E-4</v>
      </c>
      <c r="F1452" s="233" t="s">
        <v>443</v>
      </c>
      <c r="G1452" s="234" t="s">
        <v>16</v>
      </c>
      <c r="H1452" s="232">
        <v>2</v>
      </c>
      <c r="I1452" s="232">
        <v>1</v>
      </c>
      <c r="J1452" s="232">
        <v>3</v>
      </c>
      <c r="K1452" s="232">
        <v>2</v>
      </c>
      <c r="L1452" s="283">
        <v>2</v>
      </c>
      <c r="M1452" s="284">
        <f t="shared" si="57"/>
        <v>0.50042652380814845</v>
      </c>
      <c r="N1452" s="235"/>
    </row>
    <row r="1453" spans="1:14" hidden="1" x14ac:dyDescent="0.2">
      <c r="A1453" s="340" t="s">
        <v>404</v>
      </c>
      <c r="B1453" s="308" t="s">
        <v>398</v>
      </c>
      <c r="C1453" s="247" t="s">
        <v>39</v>
      </c>
      <c r="D1453" s="276" t="s">
        <v>135</v>
      </c>
      <c r="E1453" s="61">
        <v>0</v>
      </c>
      <c r="F1453" s="233" t="s">
        <v>443</v>
      </c>
      <c r="G1453" s="342" t="s">
        <v>16</v>
      </c>
      <c r="H1453" s="61"/>
      <c r="I1453" s="61"/>
      <c r="J1453" s="61"/>
      <c r="K1453" s="61"/>
      <c r="L1453" s="62"/>
      <c r="M1453" s="62" t="str">
        <f t="shared" si="57"/>
        <v/>
      </c>
      <c r="N1453" s="235"/>
    </row>
    <row r="1454" spans="1:14" hidden="1" x14ac:dyDescent="0.2">
      <c r="A1454" s="340" t="s">
        <v>404</v>
      </c>
      <c r="B1454" s="308" t="s">
        <v>398</v>
      </c>
      <c r="C1454" s="247" t="s">
        <v>40</v>
      </c>
      <c r="D1454" s="276" t="s">
        <v>135</v>
      </c>
      <c r="E1454" s="61">
        <v>0</v>
      </c>
      <c r="F1454" s="233" t="s">
        <v>443</v>
      </c>
      <c r="G1454" s="342" t="s">
        <v>16</v>
      </c>
      <c r="H1454" s="61"/>
      <c r="I1454" s="61"/>
      <c r="J1454" s="61"/>
      <c r="K1454" s="61"/>
      <c r="L1454" s="62"/>
      <c r="M1454" s="62" t="str">
        <f t="shared" si="57"/>
        <v/>
      </c>
      <c r="N1454" s="235"/>
    </row>
    <row r="1455" spans="1:14" hidden="1" x14ac:dyDescent="0.2">
      <c r="A1455" s="340" t="s">
        <v>404</v>
      </c>
      <c r="B1455" s="308" t="s">
        <v>398</v>
      </c>
      <c r="C1455" s="247" t="s">
        <v>41</v>
      </c>
      <c r="D1455" s="276" t="s">
        <v>135</v>
      </c>
      <c r="E1455" s="61">
        <v>0</v>
      </c>
      <c r="F1455" s="233" t="s">
        <v>443</v>
      </c>
      <c r="G1455" s="342" t="s">
        <v>16</v>
      </c>
      <c r="H1455" s="61"/>
      <c r="I1455" s="61"/>
      <c r="J1455" s="61"/>
      <c r="K1455" s="61"/>
      <c r="L1455" s="62"/>
      <c r="M1455" s="62" t="str">
        <f t="shared" si="57"/>
        <v/>
      </c>
      <c r="N1455" s="235"/>
    </row>
    <row r="1456" spans="1:14" hidden="1" x14ac:dyDescent="0.2">
      <c r="A1456" s="340" t="s">
        <v>404</v>
      </c>
      <c r="B1456" s="308" t="s">
        <v>398</v>
      </c>
      <c r="C1456" s="247" t="s">
        <v>42</v>
      </c>
      <c r="D1456" s="276" t="s">
        <v>135</v>
      </c>
      <c r="E1456" s="311">
        <v>1.124346168260848E-3</v>
      </c>
      <c r="F1456" s="233" t="s">
        <v>443</v>
      </c>
      <c r="G1456" s="234" t="s">
        <v>16</v>
      </c>
      <c r="H1456" s="232">
        <v>2</v>
      </c>
      <c r="I1456" s="232">
        <v>1</v>
      </c>
      <c r="J1456" s="232">
        <v>3</v>
      </c>
      <c r="K1456" s="232">
        <v>2</v>
      </c>
      <c r="L1456" s="283">
        <v>2</v>
      </c>
      <c r="M1456" s="284">
        <f t="shared" si="57"/>
        <v>0.50042652380814845</v>
      </c>
      <c r="N1456" s="235"/>
    </row>
    <row r="1457" spans="1:14" hidden="1" x14ac:dyDescent="0.2">
      <c r="A1457" s="340" t="s">
        <v>404</v>
      </c>
      <c r="B1457" s="308" t="s">
        <v>398</v>
      </c>
      <c r="C1457" s="247" t="s">
        <v>43</v>
      </c>
      <c r="D1457" s="276" t="s">
        <v>135</v>
      </c>
      <c r="E1457" s="311">
        <v>1.9264110961279141E-4</v>
      </c>
      <c r="F1457" s="233" t="s">
        <v>443</v>
      </c>
      <c r="G1457" s="234" t="s">
        <v>16</v>
      </c>
      <c r="H1457" s="232">
        <v>2</v>
      </c>
      <c r="I1457" s="232">
        <v>1</v>
      </c>
      <c r="J1457" s="232">
        <v>3</v>
      </c>
      <c r="K1457" s="232">
        <v>2</v>
      </c>
      <c r="L1457" s="283">
        <v>2</v>
      </c>
      <c r="M1457" s="284">
        <f t="shared" si="57"/>
        <v>0.50042652380814845</v>
      </c>
      <c r="N1457" s="235"/>
    </row>
    <row r="1458" spans="1:14" hidden="1" x14ac:dyDescent="0.2">
      <c r="A1458" s="340" t="s">
        <v>404</v>
      </c>
      <c r="B1458" s="308" t="s">
        <v>398</v>
      </c>
      <c r="C1458" s="247" t="s">
        <v>45</v>
      </c>
      <c r="D1458" s="276" t="s">
        <v>135</v>
      </c>
      <c r="E1458" s="311">
        <v>1.9264110961279141E-4</v>
      </c>
      <c r="F1458" s="233" t="s">
        <v>443</v>
      </c>
      <c r="G1458" s="234" t="s">
        <v>16</v>
      </c>
      <c r="H1458" s="232">
        <v>2</v>
      </c>
      <c r="I1458" s="232">
        <v>1</v>
      </c>
      <c r="J1458" s="232">
        <v>3</v>
      </c>
      <c r="K1458" s="232">
        <v>2</v>
      </c>
      <c r="L1458" s="283">
        <v>2</v>
      </c>
      <c r="M1458" s="284">
        <f t="shared" si="57"/>
        <v>0.50042652380814845</v>
      </c>
      <c r="N1458" s="235"/>
    </row>
    <row r="1459" spans="1:14" hidden="1" x14ac:dyDescent="0.2">
      <c r="A1459" s="340" t="s">
        <v>404</v>
      </c>
      <c r="B1459" s="308" t="s">
        <v>398</v>
      </c>
      <c r="C1459" s="247" t="s">
        <v>46</v>
      </c>
      <c r="D1459" s="276" t="s">
        <v>135</v>
      </c>
      <c r="E1459" s="311">
        <v>1.8550816553036309E-2</v>
      </c>
      <c r="F1459" s="233" t="s">
        <v>443</v>
      </c>
      <c r="G1459" s="234" t="s">
        <v>16</v>
      </c>
      <c r="H1459" s="232">
        <v>2</v>
      </c>
      <c r="I1459" s="232">
        <v>1</v>
      </c>
      <c r="J1459" s="232">
        <v>3</v>
      </c>
      <c r="K1459" s="232">
        <v>2</v>
      </c>
      <c r="L1459" s="283">
        <v>2</v>
      </c>
      <c r="M1459" s="284">
        <f t="shared" si="57"/>
        <v>0.50042652380814845</v>
      </c>
      <c r="N1459" s="235"/>
    </row>
    <row r="1460" spans="1:14" hidden="1" x14ac:dyDescent="0.2">
      <c r="A1460" s="340" t="s">
        <v>404</v>
      </c>
      <c r="B1460" s="308" t="s">
        <v>398</v>
      </c>
      <c r="C1460" s="247" t="s">
        <v>48</v>
      </c>
      <c r="D1460" s="276" t="s">
        <v>135</v>
      </c>
      <c r="E1460" s="311">
        <v>1.794063281504839E-3</v>
      </c>
      <c r="F1460" s="233" t="s">
        <v>443</v>
      </c>
      <c r="G1460" s="234" t="s">
        <v>16</v>
      </c>
      <c r="H1460" s="232">
        <v>1</v>
      </c>
      <c r="I1460" s="232">
        <v>1</v>
      </c>
      <c r="J1460" s="232">
        <v>3</v>
      </c>
      <c r="K1460" s="232">
        <v>2</v>
      </c>
      <c r="L1460" s="283">
        <v>2</v>
      </c>
      <c r="M1460" s="284">
        <f t="shared" si="57"/>
        <v>0.48935255543384243</v>
      </c>
      <c r="N1460" s="235"/>
    </row>
    <row r="1461" spans="1:14" hidden="1" x14ac:dyDescent="0.2">
      <c r="A1461" s="340" t="s">
        <v>404</v>
      </c>
      <c r="B1461" s="308" t="s">
        <v>398</v>
      </c>
      <c r="C1461" s="247" t="s">
        <v>50</v>
      </c>
      <c r="D1461" s="276" t="s">
        <v>135</v>
      </c>
      <c r="E1461" s="311">
        <v>0.1759259259259259</v>
      </c>
      <c r="F1461" s="233" t="s">
        <v>443</v>
      </c>
      <c r="G1461" s="234" t="s">
        <v>16</v>
      </c>
      <c r="H1461" s="232">
        <v>2</v>
      </c>
      <c r="I1461" s="232">
        <v>1</v>
      </c>
      <c r="J1461" s="232">
        <v>3</v>
      </c>
      <c r="K1461" s="232">
        <v>2</v>
      </c>
      <c r="L1461" s="283">
        <v>2</v>
      </c>
      <c r="M1461" s="284">
        <f t="shared" si="57"/>
        <v>0.50042652380814845</v>
      </c>
      <c r="N1461" s="235"/>
    </row>
    <row r="1462" spans="1:14" hidden="1" x14ac:dyDescent="0.2">
      <c r="A1462" s="340" t="s">
        <v>404</v>
      </c>
      <c r="B1462" s="308" t="s">
        <v>398</v>
      </c>
      <c r="C1462" s="247" t="s">
        <v>52</v>
      </c>
      <c r="D1462" s="276" t="s">
        <v>135</v>
      </c>
      <c r="E1462" s="311">
        <v>1.8550816553036309E-2</v>
      </c>
      <c r="F1462" s="233" t="s">
        <v>443</v>
      </c>
      <c r="G1462" s="234" t="s">
        <v>16</v>
      </c>
      <c r="H1462" s="232">
        <v>1</v>
      </c>
      <c r="I1462" s="232">
        <v>1</v>
      </c>
      <c r="J1462" s="232">
        <v>3</v>
      </c>
      <c r="K1462" s="232">
        <v>2</v>
      </c>
      <c r="L1462" s="283">
        <v>2</v>
      </c>
      <c r="M1462" s="284">
        <f t="shared" si="57"/>
        <v>0.48935255543384243</v>
      </c>
      <c r="N1462" s="235"/>
    </row>
    <row r="1463" spans="1:14" hidden="1" x14ac:dyDescent="0.2">
      <c r="A1463" s="340" t="s">
        <v>404</v>
      </c>
      <c r="B1463" s="308" t="s">
        <v>398</v>
      </c>
      <c r="C1463" s="247" t="s">
        <v>54</v>
      </c>
      <c r="D1463" s="276" t="s">
        <v>135</v>
      </c>
      <c r="E1463" s="311">
        <v>0.42692307692307691</v>
      </c>
      <c r="F1463" s="233" t="s">
        <v>443</v>
      </c>
      <c r="G1463" s="234" t="s">
        <v>16</v>
      </c>
      <c r="H1463" s="232">
        <v>1</v>
      </c>
      <c r="I1463" s="232">
        <v>1</v>
      </c>
      <c r="J1463" s="232">
        <v>3</v>
      </c>
      <c r="K1463" s="232">
        <v>2</v>
      </c>
      <c r="L1463" s="283">
        <v>2</v>
      </c>
      <c r="M1463" s="284">
        <f t="shared" si="57"/>
        <v>0.48935255543384243</v>
      </c>
      <c r="N1463" s="235"/>
    </row>
    <row r="1464" spans="1:14" hidden="1" x14ac:dyDescent="0.2">
      <c r="A1464" s="340" t="s">
        <v>404</v>
      </c>
      <c r="B1464" s="308" t="s">
        <v>398</v>
      </c>
      <c r="C1464" s="247" t="s">
        <v>55</v>
      </c>
      <c r="D1464" s="276" t="s">
        <v>135</v>
      </c>
      <c r="E1464" s="61">
        <v>0</v>
      </c>
      <c r="F1464" s="233" t="s">
        <v>443</v>
      </c>
      <c r="G1464" s="342" t="s">
        <v>16</v>
      </c>
      <c r="H1464" s="61"/>
      <c r="I1464" s="61"/>
      <c r="J1464" s="61"/>
      <c r="K1464" s="61"/>
      <c r="L1464" s="62"/>
      <c r="M1464" s="62" t="str">
        <f t="shared" si="57"/>
        <v/>
      </c>
      <c r="N1464" s="235"/>
    </row>
    <row r="1465" spans="1:14" hidden="1" x14ac:dyDescent="0.2">
      <c r="A1465" s="340" t="s">
        <v>404</v>
      </c>
      <c r="B1465" s="308" t="s">
        <v>398</v>
      </c>
      <c r="C1465" s="247" t="s">
        <v>57</v>
      </c>
      <c r="D1465" s="276" t="s">
        <v>135</v>
      </c>
      <c r="E1465" s="311">
        <v>1.9264110961279141E-4</v>
      </c>
      <c r="F1465" s="233" t="s">
        <v>443</v>
      </c>
      <c r="G1465" s="234" t="s">
        <v>16</v>
      </c>
      <c r="H1465" s="232">
        <v>2</v>
      </c>
      <c r="I1465" s="232">
        <v>1</v>
      </c>
      <c r="J1465" s="232">
        <v>3</v>
      </c>
      <c r="K1465" s="232">
        <v>2</v>
      </c>
      <c r="L1465" s="283">
        <v>2</v>
      </c>
      <c r="M1465" s="284">
        <f t="shared" si="57"/>
        <v>0.50042652380814845</v>
      </c>
      <c r="N1465" s="235"/>
    </row>
    <row r="1466" spans="1:14" hidden="1" x14ac:dyDescent="0.2">
      <c r="A1466" s="340" t="s">
        <v>404</v>
      </c>
      <c r="B1466" s="308" t="s">
        <v>398</v>
      </c>
      <c r="C1466" s="247" t="s">
        <v>59</v>
      </c>
      <c r="D1466" s="276" t="s">
        <v>135</v>
      </c>
      <c r="E1466" s="61">
        <v>0</v>
      </c>
      <c r="F1466" s="233" t="s">
        <v>443</v>
      </c>
      <c r="G1466" s="342" t="s">
        <v>16</v>
      </c>
      <c r="H1466" s="61"/>
      <c r="I1466" s="61"/>
      <c r="J1466" s="61"/>
      <c r="K1466" s="61"/>
      <c r="L1466" s="62"/>
      <c r="M1466" s="62" t="str">
        <f t="shared" si="57"/>
        <v/>
      </c>
      <c r="N1466" s="235"/>
    </row>
    <row r="1467" spans="1:14" hidden="1" x14ac:dyDescent="0.2">
      <c r="A1467" s="340" t="s">
        <v>404</v>
      </c>
      <c r="B1467" s="308" t="s">
        <v>398</v>
      </c>
      <c r="C1467" s="247" t="s">
        <v>60</v>
      </c>
      <c r="D1467" s="276" t="s">
        <v>135</v>
      </c>
      <c r="E1467" s="61">
        <v>0</v>
      </c>
      <c r="F1467" s="233" t="s">
        <v>443</v>
      </c>
      <c r="G1467" s="342" t="s">
        <v>16</v>
      </c>
      <c r="H1467" s="61"/>
      <c r="I1467" s="61"/>
      <c r="J1467" s="61"/>
      <c r="K1467" s="61"/>
      <c r="L1467" s="62"/>
      <c r="M1467" s="62" t="str">
        <f t="shared" si="57"/>
        <v/>
      </c>
      <c r="N1467" s="235"/>
    </row>
    <row r="1468" spans="1:14" x14ac:dyDescent="0.2">
      <c r="A1468" s="341" t="s">
        <v>404</v>
      </c>
      <c r="B1468" s="281" t="s">
        <v>399</v>
      </c>
      <c r="C1468" s="238" t="s">
        <v>135</v>
      </c>
      <c r="D1468" s="239" t="s">
        <v>135</v>
      </c>
      <c r="E1468" s="240" t="s">
        <v>188</v>
      </c>
      <c r="F1468" s="241"/>
      <c r="G1468" s="343" t="s">
        <v>16</v>
      </c>
      <c r="H1468" s="240"/>
      <c r="I1468" s="240"/>
      <c r="J1468" s="240"/>
      <c r="K1468" s="240"/>
      <c r="L1468" s="243"/>
      <c r="M1468" s="243" t="str">
        <f t="shared" si="57"/>
        <v/>
      </c>
      <c r="N1468" s="245"/>
    </row>
    <row r="1469" spans="1:14" x14ac:dyDescent="0.2">
      <c r="A1469" s="340" t="s">
        <v>435</v>
      </c>
      <c r="B1469" s="308" t="s">
        <v>440</v>
      </c>
      <c r="C1469" s="247" t="s">
        <v>13</v>
      </c>
      <c r="D1469" s="276" t="s">
        <v>135</v>
      </c>
      <c r="E1469" s="311">
        <v>0.22952607761782071</v>
      </c>
      <c r="F1469" s="233" t="s">
        <v>443</v>
      </c>
      <c r="G1469" s="234" t="s">
        <v>16</v>
      </c>
      <c r="H1469" s="232">
        <v>1</v>
      </c>
      <c r="I1469" s="232">
        <v>1</v>
      </c>
      <c r="J1469" s="232">
        <v>3</v>
      </c>
      <c r="K1469" s="232">
        <v>2</v>
      </c>
      <c r="L1469" s="283">
        <v>2</v>
      </c>
      <c r="M1469" s="284">
        <f t="shared" si="57"/>
        <v>0.48935255543384243</v>
      </c>
      <c r="N1469" s="235"/>
    </row>
    <row r="1470" spans="1:14" hidden="1" x14ac:dyDescent="0.2">
      <c r="A1470" s="340" t="s">
        <v>435</v>
      </c>
      <c r="B1470" s="308" t="s">
        <v>440</v>
      </c>
      <c r="C1470" s="247" t="s">
        <v>18</v>
      </c>
      <c r="D1470" s="276" t="s">
        <v>135</v>
      </c>
      <c r="E1470" s="311">
        <v>0.54857409860077522</v>
      </c>
      <c r="F1470" s="233" t="s">
        <v>443</v>
      </c>
      <c r="G1470" s="342" t="s">
        <v>16</v>
      </c>
      <c r="H1470" s="232">
        <v>1</v>
      </c>
      <c r="I1470" s="232">
        <v>1</v>
      </c>
      <c r="J1470" s="232">
        <v>3</v>
      </c>
      <c r="K1470" s="232">
        <v>2</v>
      </c>
      <c r="L1470" s="283">
        <v>2</v>
      </c>
      <c r="M1470" s="283">
        <f t="shared" si="57"/>
        <v>0.48935255543384243</v>
      </c>
      <c r="N1470" s="235"/>
    </row>
    <row r="1471" spans="1:14" hidden="1" x14ac:dyDescent="0.2">
      <c r="A1471" s="340" t="s">
        <v>435</v>
      </c>
      <c r="B1471" s="308" t="s">
        <v>440</v>
      </c>
      <c r="C1471" s="247" t="s">
        <v>20</v>
      </c>
      <c r="D1471" s="276" t="s">
        <v>135</v>
      </c>
      <c r="E1471" s="61">
        <v>0</v>
      </c>
      <c r="F1471" s="233" t="s">
        <v>443</v>
      </c>
      <c r="G1471" s="342" t="s">
        <v>16</v>
      </c>
      <c r="H1471" s="61"/>
      <c r="I1471" s="61"/>
      <c r="J1471" s="61"/>
      <c r="K1471" s="61"/>
      <c r="L1471" s="62"/>
      <c r="M1471" s="62" t="str">
        <f t="shared" si="57"/>
        <v/>
      </c>
      <c r="N1471" s="235"/>
    </row>
    <row r="1472" spans="1:14" hidden="1" x14ac:dyDescent="0.2">
      <c r="A1472" s="340" t="s">
        <v>435</v>
      </c>
      <c r="B1472" s="308" t="s">
        <v>440</v>
      </c>
      <c r="C1472" s="247" t="s">
        <v>22</v>
      </c>
      <c r="D1472" s="276" t="s">
        <v>135</v>
      </c>
      <c r="E1472" s="311">
        <v>0.92281618430659118</v>
      </c>
      <c r="F1472" s="233" t="s">
        <v>443</v>
      </c>
      <c r="G1472" s="342" t="s">
        <v>16</v>
      </c>
      <c r="H1472" s="232">
        <v>1</v>
      </c>
      <c r="I1472" s="232">
        <v>1</v>
      </c>
      <c r="J1472" s="232">
        <v>3</v>
      </c>
      <c r="K1472" s="232">
        <v>2</v>
      </c>
      <c r="L1472" s="283">
        <v>2</v>
      </c>
      <c r="M1472" s="283">
        <f t="shared" si="57"/>
        <v>0.48935255543384243</v>
      </c>
      <c r="N1472" s="235"/>
    </row>
    <row r="1473" spans="1:14" hidden="1" x14ac:dyDescent="0.2">
      <c r="A1473" s="340" t="s">
        <v>435</v>
      </c>
      <c r="B1473" s="308" t="s">
        <v>440</v>
      </c>
      <c r="C1473" s="247" t="s">
        <v>23</v>
      </c>
      <c r="D1473" s="276" t="s">
        <v>135</v>
      </c>
      <c r="E1473" s="61">
        <v>0</v>
      </c>
      <c r="F1473" s="233" t="s">
        <v>443</v>
      </c>
      <c r="G1473" s="342" t="s">
        <v>16</v>
      </c>
      <c r="H1473" s="61"/>
      <c r="I1473" s="61"/>
      <c r="J1473" s="61"/>
      <c r="K1473" s="61"/>
      <c r="L1473" s="62"/>
      <c r="M1473" s="62" t="str">
        <f t="shared" si="57"/>
        <v/>
      </c>
      <c r="N1473" s="235"/>
    </row>
    <row r="1474" spans="1:14" hidden="1" x14ac:dyDescent="0.2">
      <c r="A1474" s="340" t="s">
        <v>435</v>
      </c>
      <c r="B1474" s="308" t="s">
        <v>440</v>
      </c>
      <c r="C1474" s="247" t="s">
        <v>24</v>
      </c>
      <c r="D1474" s="276" t="s">
        <v>135</v>
      </c>
      <c r="E1474" s="311">
        <v>0.81727458103199135</v>
      </c>
      <c r="F1474" s="233" t="s">
        <v>443</v>
      </c>
      <c r="G1474" s="234" t="s">
        <v>16</v>
      </c>
      <c r="H1474" s="232">
        <v>2</v>
      </c>
      <c r="I1474" s="232">
        <v>1</v>
      </c>
      <c r="J1474" s="232">
        <v>3</v>
      </c>
      <c r="K1474" s="232">
        <v>2</v>
      </c>
      <c r="L1474" s="283">
        <v>2</v>
      </c>
      <c r="M1474" s="284">
        <f t="shared" si="57"/>
        <v>0.50042652380814845</v>
      </c>
      <c r="N1474" s="235"/>
    </row>
    <row r="1475" spans="1:14" hidden="1" x14ac:dyDescent="0.2">
      <c r="A1475" s="340" t="s">
        <v>435</v>
      </c>
      <c r="B1475" s="308" t="s">
        <v>440</v>
      </c>
      <c r="C1475" s="247" t="s">
        <v>25</v>
      </c>
      <c r="D1475" s="276" t="s">
        <v>135</v>
      </c>
      <c r="E1475" s="311">
        <v>0.44235574262572741</v>
      </c>
      <c r="F1475" s="233" t="s">
        <v>443</v>
      </c>
      <c r="G1475" s="234" t="s">
        <v>16</v>
      </c>
      <c r="H1475" s="232">
        <v>2</v>
      </c>
      <c r="I1475" s="232">
        <v>1</v>
      </c>
      <c r="J1475" s="232">
        <v>3</v>
      </c>
      <c r="K1475" s="232">
        <v>2</v>
      </c>
      <c r="L1475" s="283">
        <v>2</v>
      </c>
      <c r="M1475" s="284">
        <f t="shared" si="57"/>
        <v>0.50042652380814845</v>
      </c>
      <c r="N1475" s="235"/>
    </row>
    <row r="1476" spans="1:14" hidden="1" x14ac:dyDescent="0.2">
      <c r="A1476" s="340" t="s">
        <v>435</v>
      </c>
      <c r="B1476" s="308" t="s">
        <v>440</v>
      </c>
      <c r="C1476" s="247" t="s">
        <v>26</v>
      </c>
      <c r="D1476" s="276" t="s">
        <v>135</v>
      </c>
      <c r="E1476" s="61">
        <v>0</v>
      </c>
      <c r="F1476" s="233" t="s">
        <v>443</v>
      </c>
      <c r="G1476" s="342" t="s">
        <v>16</v>
      </c>
      <c r="H1476" s="61"/>
      <c r="I1476" s="61"/>
      <c r="J1476" s="61"/>
      <c r="K1476" s="61"/>
      <c r="L1476" s="62"/>
      <c r="M1476" s="62" t="str">
        <f t="shared" si="57"/>
        <v/>
      </c>
      <c r="N1476" s="235"/>
    </row>
    <row r="1477" spans="1:14" hidden="1" x14ac:dyDescent="0.2">
      <c r="A1477" s="340" t="s">
        <v>435</v>
      </c>
      <c r="B1477" s="308" t="s">
        <v>440</v>
      </c>
      <c r="C1477" s="247" t="s">
        <v>27</v>
      </c>
      <c r="D1477" s="276" t="s">
        <v>135</v>
      </c>
      <c r="E1477" s="311">
        <v>0.44235574262572741</v>
      </c>
      <c r="F1477" s="233" t="s">
        <v>443</v>
      </c>
      <c r="G1477" s="234" t="s">
        <v>16</v>
      </c>
      <c r="H1477" s="232">
        <v>2</v>
      </c>
      <c r="I1477" s="232">
        <v>1</v>
      </c>
      <c r="J1477" s="232">
        <v>3</v>
      </c>
      <c r="K1477" s="232">
        <v>2</v>
      </c>
      <c r="L1477" s="283">
        <v>2</v>
      </c>
      <c r="M1477" s="284">
        <f t="shared" si="57"/>
        <v>0.50042652380814845</v>
      </c>
      <c r="N1477" s="235"/>
    </row>
    <row r="1478" spans="1:14" hidden="1" x14ac:dyDescent="0.2">
      <c r="A1478" s="340" t="s">
        <v>435</v>
      </c>
      <c r="B1478" s="308" t="s">
        <v>440</v>
      </c>
      <c r="C1478" s="247" t="s">
        <v>28</v>
      </c>
      <c r="D1478" s="276" t="s">
        <v>135</v>
      </c>
      <c r="E1478" s="311">
        <v>0.44235574262572741</v>
      </c>
      <c r="F1478" s="233" t="s">
        <v>443</v>
      </c>
      <c r="G1478" s="234" t="s">
        <v>16</v>
      </c>
      <c r="H1478" s="232">
        <v>2</v>
      </c>
      <c r="I1478" s="232">
        <v>1</v>
      </c>
      <c r="J1478" s="232">
        <v>3</v>
      </c>
      <c r="K1478" s="232">
        <v>2</v>
      </c>
      <c r="L1478" s="283">
        <v>2</v>
      </c>
      <c r="M1478" s="284">
        <f t="shared" si="57"/>
        <v>0.50042652380814845</v>
      </c>
      <c r="N1478" s="235"/>
    </row>
    <row r="1479" spans="1:14" hidden="1" x14ac:dyDescent="0.2">
      <c r="A1479" s="340" t="s">
        <v>435</v>
      </c>
      <c r="B1479" s="308" t="s">
        <v>440</v>
      </c>
      <c r="C1479" s="247" t="s">
        <v>30</v>
      </c>
      <c r="D1479" s="276" t="s">
        <v>135</v>
      </c>
      <c r="E1479" s="311">
        <v>0.44235574262572741</v>
      </c>
      <c r="F1479" s="233" t="s">
        <v>443</v>
      </c>
      <c r="G1479" s="234" t="s">
        <v>16</v>
      </c>
      <c r="H1479" s="232">
        <v>1</v>
      </c>
      <c r="I1479" s="232">
        <v>1</v>
      </c>
      <c r="J1479" s="232">
        <v>3</v>
      </c>
      <c r="K1479" s="232">
        <v>2</v>
      </c>
      <c r="L1479" s="283">
        <v>2</v>
      </c>
      <c r="M1479" s="284">
        <f t="shared" si="57"/>
        <v>0.48935255543384243</v>
      </c>
      <c r="N1479" s="235"/>
    </row>
    <row r="1480" spans="1:14" hidden="1" x14ac:dyDescent="0.2">
      <c r="A1480" s="340" t="s">
        <v>435</v>
      </c>
      <c r="B1480" s="308" t="s">
        <v>440</v>
      </c>
      <c r="C1480" s="247" t="s">
        <v>32</v>
      </c>
      <c r="D1480" s="276" t="s">
        <v>135</v>
      </c>
      <c r="E1480" s="61">
        <v>0</v>
      </c>
      <c r="F1480" s="233" t="s">
        <v>443</v>
      </c>
      <c r="G1480" s="342" t="s">
        <v>16</v>
      </c>
      <c r="H1480" s="61"/>
      <c r="I1480" s="61"/>
      <c r="J1480" s="61"/>
      <c r="K1480" s="61"/>
      <c r="L1480" s="62"/>
      <c r="M1480" s="62" t="str">
        <f t="shared" si="57"/>
        <v/>
      </c>
      <c r="N1480" s="235"/>
    </row>
    <row r="1481" spans="1:14" hidden="1" x14ac:dyDescent="0.2">
      <c r="A1481" s="340" t="s">
        <v>435</v>
      </c>
      <c r="B1481" s="308" t="s">
        <v>440</v>
      </c>
      <c r="C1481" s="247" t="s">
        <v>34</v>
      </c>
      <c r="D1481" s="276" t="s">
        <v>135</v>
      </c>
      <c r="E1481" s="311">
        <v>0.24958183819640031</v>
      </c>
      <c r="F1481" s="233" t="s">
        <v>443</v>
      </c>
      <c r="G1481" s="234" t="s">
        <v>16</v>
      </c>
      <c r="H1481" s="232">
        <v>1</v>
      </c>
      <c r="I1481" s="232">
        <v>1</v>
      </c>
      <c r="J1481" s="232">
        <v>3</v>
      </c>
      <c r="K1481" s="232">
        <v>2</v>
      </c>
      <c r="L1481" s="283">
        <v>2</v>
      </c>
      <c r="M1481" s="284">
        <f t="shared" si="57"/>
        <v>0.48935255543384243</v>
      </c>
      <c r="N1481" s="235"/>
    </row>
    <row r="1482" spans="1:14" hidden="1" x14ac:dyDescent="0.2">
      <c r="A1482" s="340" t="s">
        <v>435</v>
      </c>
      <c r="B1482" s="308" t="s">
        <v>440</v>
      </c>
      <c r="C1482" s="247" t="s">
        <v>36</v>
      </c>
      <c r="D1482" s="276" t="s">
        <v>135</v>
      </c>
      <c r="E1482" s="311">
        <v>0.54857409860077522</v>
      </c>
      <c r="F1482" s="233" t="s">
        <v>443</v>
      </c>
      <c r="G1482" s="342" t="s">
        <v>16</v>
      </c>
      <c r="H1482" s="232">
        <v>2</v>
      </c>
      <c r="I1482" s="232">
        <v>1</v>
      </c>
      <c r="J1482" s="232">
        <v>3</v>
      </c>
      <c r="K1482" s="232">
        <v>2</v>
      </c>
      <c r="L1482" s="283">
        <v>2</v>
      </c>
      <c r="M1482" s="284">
        <f t="shared" si="57"/>
        <v>0.50042652380814845</v>
      </c>
      <c r="N1482" s="235"/>
    </row>
    <row r="1483" spans="1:14" hidden="1" x14ac:dyDescent="0.2">
      <c r="A1483" s="340" t="s">
        <v>435</v>
      </c>
      <c r="B1483" s="308" t="s">
        <v>440</v>
      </c>
      <c r="C1483" s="247" t="s">
        <v>37</v>
      </c>
      <c r="D1483" s="276" t="s">
        <v>135</v>
      </c>
      <c r="E1483" s="311">
        <v>0.44235574262572741</v>
      </c>
      <c r="F1483" s="233" t="s">
        <v>443</v>
      </c>
      <c r="G1483" s="234" t="s">
        <v>16</v>
      </c>
      <c r="H1483" s="232">
        <v>2</v>
      </c>
      <c r="I1483" s="232">
        <v>1</v>
      </c>
      <c r="J1483" s="232">
        <v>3</v>
      </c>
      <c r="K1483" s="232">
        <v>2</v>
      </c>
      <c r="L1483" s="283">
        <v>2</v>
      </c>
      <c r="M1483" s="284">
        <f t="shared" si="57"/>
        <v>0.50042652380814845</v>
      </c>
      <c r="N1483" s="235"/>
    </row>
    <row r="1484" spans="1:14" hidden="1" x14ac:dyDescent="0.2">
      <c r="A1484" s="340" t="s">
        <v>435</v>
      </c>
      <c r="B1484" s="308" t="s">
        <v>440</v>
      </c>
      <c r="C1484" s="247" t="s">
        <v>39</v>
      </c>
      <c r="D1484" s="276" t="s">
        <v>135</v>
      </c>
      <c r="E1484" s="61">
        <v>1</v>
      </c>
      <c r="F1484" s="233" t="s">
        <v>443</v>
      </c>
      <c r="G1484" s="342" t="s">
        <v>16</v>
      </c>
      <c r="H1484" s="61"/>
      <c r="I1484" s="61"/>
      <c r="J1484" s="61"/>
      <c r="K1484" s="61"/>
      <c r="L1484" s="62"/>
      <c r="M1484" s="62" t="str">
        <f t="shared" si="57"/>
        <v/>
      </c>
      <c r="N1484" s="235"/>
    </row>
    <row r="1485" spans="1:14" hidden="1" x14ac:dyDescent="0.2">
      <c r="A1485" s="340" t="s">
        <v>435</v>
      </c>
      <c r="B1485" s="308" t="s">
        <v>440</v>
      </c>
      <c r="C1485" s="247" t="s">
        <v>40</v>
      </c>
      <c r="D1485" s="276" t="s">
        <v>135</v>
      </c>
      <c r="E1485" s="344">
        <v>1</v>
      </c>
      <c r="F1485" s="345" t="s">
        <v>443</v>
      </c>
      <c r="G1485" s="346" t="s">
        <v>16</v>
      </c>
      <c r="H1485" s="344"/>
      <c r="I1485" s="344"/>
      <c r="J1485" s="344"/>
      <c r="K1485" s="344"/>
      <c r="L1485" s="347"/>
      <c r="M1485" s="347"/>
      <c r="N1485" s="235"/>
    </row>
    <row r="1486" spans="1:14" hidden="1" x14ac:dyDescent="0.2">
      <c r="A1486" s="340" t="s">
        <v>435</v>
      </c>
      <c r="B1486" s="308" t="s">
        <v>440</v>
      </c>
      <c r="C1486" s="247" t="s">
        <v>41</v>
      </c>
      <c r="D1486" s="276" t="s">
        <v>135</v>
      </c>
      <c r="E1486" s="311">
        <v>0.22952607761782071</v>
      </c>
      <c r="F1486" s="233" t="s">
        <v>443</v>
      </c>
      <c r="G1486" s="342" t="s">
        <v>16</v>
      </c>
      <c r="H1486" s="232">
        <v>2</v>
      </c>
      <c r="I1486" s="232">
        <v>1</v>
      </c>
      <c r="J1486" s="232">
        <v>3</v>
      </c>
      <c r="K1486" s="232">
        <v>2</v>
      </c>
      <c r="L1486" s="283">
        <v>2</v>
      </c>
      <c r="M1486" s="284">
        <f>IF( OR( ISBLANK(H1486),ISBLANK(I1486), ISBLANK(J1486), ISBLANK(K1486), ISBLANK(L1486) ), "", 1.5*SQRT( EXP(2.21*(H1486-1)) + EXP(2.21*(I1486-1)) + EXP(2.21*(J1486-1)) + EXP(2.21*(K1486-1)) + EXP(2.21*L1486) )/100*2.45 )</f>
        <v>0.50042652380814845</v>
      </c>
      <c r="N1486" s="235"/>
    </row>
    <row r="1487" spans="1:14" hidden="1" x14ac:dyDescent="0.2">
      <c r="A1487" s="340" t="s">
        <v>435</v>
      </c>
      <c r="B1487" s="308" t="s">
        <v>440</v>
      </c>
      <c r="C1487" s="247" t="s">
        <v>42</v>
      </c>
      <c r="D1487" s="276" t="s">
        <v>135</v>
      </c>
      <c r="E1487" s="61">
        <v>0</v>
      </c>
      <c r="F1487" s="233" t="s">
        <v>443</v>
      </c>
      <c r="G1487" s="342" t="s">
        <v>16</v>
      </c>
      <c r="H1487" s="61"/>
      <c r="I1487" s="61"/>
      <c r="J1487" s="61"/>
      <c r="K1487" s="61"/>
      <c r="L1487" s="62"/>
      <c r="M1487" s="62" t="str">
        <f>IF( OR( ISBLANK(H1487),ISBLANK(I1487), ISBLANK(J1487), ISBLANK(K1487), ISBLANK(L1487) ), "", 1.5*SQRT( EXP(2.21*(H1487-1)) + EXP(2.21*(I1487-1)) + EXP(2.21*(J1487-1)) + EXP(2.21*(K1487-1)) + EXP(2.21*L1487) )/100*2.45 )</f>
        <v/>
      </c>
      <c r="N1487" s="235"/>
    </row>
    <row r="1488" spans="1:14" hidden="1" x14ac:dyDescent="0.2">
      <c r="A1488" s="340" t="s">
        <v>435</v>
      </c>
      <c r="B1488" s="308" t="s">
        <v>440</v>
      </c>
      <c r="C1488" s="247" t="s">
        <v>43</v>
      </c>
      <c r="D1488" s="276" t="s">
        <v>135</v>
      </c>
      <c r="E1488" s="311">
        <v>0.44235574262572741</v>
      </c>
      <c r="F1488" s="233" t="s">
        <v>443</v>
      </c>
      <c r="G1488" s="234" t="s">
        <v>16</v>
      </c>
      <c r="H1488" s="232">
        <v>2</v>
      </c>
      <c r="I1488" s="232">
        <v>1</v>
      </c>
      <c r="J1488" s="232">
        <v>3</v>
      </c>
      <c r="K1488" s="232">
        <v>2</v>
      </c>
      <c r="L1488" s="283">
        <v>2</v>
      </c>
      <c r="M1488" s="284">
        <f>IF( OR( ISBLANK(H1488),ISBLANK(I1488), ISBLANK(J1488), ISBLANK(K1488), ISBLANK(L1488) ), "", 1.5*SQRT( EXP(2.21*(H1488-1)) + EXP(2.21*(I1488-1)) + EXP(2.21*(J1488-1)) + EXP(2.21*(K1488-1)) + EXP(2.21*L1488) )/100*2.45 )</f>
        <v>0.50042652380814845</v>
      </c>
      <c r="N1488" s="235"/>
    </row>
    <row r="1489" spans="1:14" hidden="1" x14ac:dyDescent="0.2">
      <c r="A1489" s="340" t="s">
        <v>435</v>
      </c>
      <c r="B1489" s="308" t="s">
        <v>440</v>
      </c>
      <c r="C1489" s="247" t="s">
        <v>45</v>
      </c>
      <c r="D1489" s="276" t="s">
        <v>135</v>
      </c>
      <c r="E1489" s="311">
        <v>0.44235574262572741</v>
      </c>
      <c r="F1489" s="233" t="s">
        <v>443</v>
      </c>
      <c r="G1489" s="234" t="s">
        <v>16</v>
      </c>
      <c r="H1489" s="232">
        <v>2</v>
      </c>
      <c r="I1489" s="232">
        <v>1</v>
      </c>
      <c r="J1489" s="232">
        <v>3</v>
      </c>
      <c r="K1489" s="232">
        <v>2</v>
      </c>
      <c r="L1489" s="283">
        <v>2</v>
      </c>
      <c r="M1489" s="284">
        <f>IF( OR( ISBLANK(H1489),ISBLANK(I1489), ISBLANK(J1489), ISBLANK(K1489), ISBLANK(L1489) ), "", 1.5*SQRT( EXP(2.21*(H1489-1)) + EXP(2.21*(I1489-1)) + EXP(2.21*(J1489-1)) + EXP(2.21*(K1489-1)) + EXP(2.21*L1489) )/100*2.45 )</f>
        <v>0.50042652380814845</v>
      </c>
      <c r="N1489" s="235"/>
    </row>
    <row r="1490" spans="1:14" hidden="1" x14ac:dyDescent="0.2">
      <c r="A1490" s="340" t="s">
        <v>435</v>
      </c>
      <c r="B1490" s="308" t="s">
        <v>440</v>
      </c>
      <c r="C1490" s="247" t="s">
        <v>46</v>
      </c>
      <c r="D1490" s="276" t="s">
        <v>135</v>
      </c>
      <c r="E1490" s="311">
        <v>0.81727458103199135</v>
      </c>
      <c r="F1490" s="233" t="s">
        <v>443</v>
      </c>
      <c r="G1490" s="234" t="s">
        <v>16</v>
      </c>
      <c r="H1490" s="232">
        <v>2</v>
      </c>
      <c r="I1490" s="232">
        <v>1</v>
      </c>
      <c r="J1490" s="232">
        <v>3</v>
      </c>
      <c r="K1490" s="232">
        <v>2</v>
      </c>
      <c r="L1490" s="283">
        <v>2</v>
      </c>
      <c r="M1490" s="284">
        <f>IF( OR( ISBLANK(H1490),ISBLANK(I1490), ISBLANK(J1490), ISBLANK(K1490), ISBLANK(L1490) ), "", 1.5*SQRT( EXP(2.21*(H1490-1)) + EXP(2.21*(I1490-1)) + EXP(2.21*(J1490-1)) + EXP(2.21*(K1490-1)) + EXP(2.21*L1490) )/100*2.45 )</f>
        <v>0.50042652380814845</v>
      </c>
      <c r="N1490" s="235"/>
    </row>
    <row r="1491" spans="1:14" hidden="1" x14ac:dyDescent="0.2">
      <c r="A1491" s="340" t="s">
        <v>435</v>
      </c>
      <c r="B1491" s="308" t="s">
        <v>440</v>
      </c>
      <c r="C1491" s="247" t="s">
        <v>48</v>
      </c>
      <c r="D1491" s="276" t="s">
        <v>135</v>
      </c>
      <c r="E1491" s="344">
        <v>0</v>
      </c>
      <c r="F1491" s="345" t="s">
        <v>443</v>
      </c>
      <c r="G1491" s="346" t="s">
        <v>16</v>
      </c>
      <c r="H1491" s="344"/>
      <c r="I1491" s="344"/>
      <c r="J1491" s="344"/>
      <c r="K1491" s="344"/>
      <c r="L1491" s="347"/>
      <c r="M1491" s="347"/>
      <c r="N1491" s="235"/>
    </row>
    <row r="1492" spans="1:14" hidden="1" x14ac:dyDescent="0.2">
      <c r="A1492" s="340" t="s">
        <v>435</v>
      </c>
      <c r="B1492" s="308" t="s">
        <v>440</v>
      </c>
      <c r="C1492" s="247" t="s">
        <v>50</v>
      </c>
      <c r="D1492" s="276" t="s">
        <v>135</v>
      </c>
      <c r="E1492" s="311">
        <v>0.24958183819640031</v>
      </c>
      <c r="F1492" s="233" t="s">
        <v>443</v>
      </c>
      <c r="G1492" s="234" t="s">
        <v>16</v>
      </c>
      <c r="H1492" s="232">
        <v>2</v>
      </c>
      <c r="I1492" s="232">
        <v>1</v>
      </c>
      <c r="J1492" s="232">
        <v>3</v>
      </c>
      <c r="K1492" s="232">
        <v>2</v>
      </c>
      <c r="L1492" s="283">
        <v>2</v>
      </c>
      <c r="M1492" s="284">
        <f t="shared" ref="M1492:M1498" si="58">IF( OR( ISBLANK(H1492),ISBLANK(I1492), ISBLANK(J1492), ISBLANK(K1492), ISBLANK(L1492) ), "", 1.5*SQRT( EXP(2.21*(H1492-1)) + EXP(2.21*(I1492-1)) + EXP(2.21*(J1492-1)) + EXP(2.21*(K1492-1)) + EXP(2.21*L1492) )/100*2.45 )</f>
        <v>0.50042652380814845</v>
      </c>
      <c r="N1492" s="235"/>
    </row>
    <row r="1493" spans="1:14" hidden="1" x14ac:dyDescent="0.2">
      <c r="A1493" s="340" t="s">
        <v>435</v>
      </c>
      <c r="B1493" s="308" t="s">
        <v>440</v>
      </c>
      <c r="C1493" s="247" t="s">
        <v>52</v>
      </c>
      <c r="D1493" s="276" t="s">
        <v>135</v>
      </c>
      <c r="E1493" s="311">
        <v>0.81727458103199135</v>
      </c>
      <c r="F1493" s="233" t="s">
        <v>443</v>
      </c>
      <c r="G1493" s="234" t="s">
        <v>16</v>
      </c>
      <c r="H1493" s="232">
        <v>1</v>
      </c>
      <c r="I1493" s="232">
        <v>1</v>
      </c>
      <c r="J1493" s="232">
        <v>3</v>
      </c>
      <c r="K1493" s="232">
        <v>2</v>
      </c>
      <c r="L1493" s="283">
        <v>2</v>
      </c>
      <c r="M1493" s="284">
        <f t="shared" si="58"/>
        <v>0.48935255543384243</v>
      </c>
      <c r="N1493" s="235"/>
    </row>
    <row r="1494" spans="1:14" hidden="1" x14ac:dyDescent="0.2">
      <c r="A1494" s="340" t="s">
        <v>435</v>
      </c>
      <c r="B1494" s="308" t="s">
        <v>440</v>
      </c>
      <c r="C1494" s="247" t="s">
        <v>54</v>
      </c>
      <c r="D1494" s="276" t="s">
        <v>135</v>
      </c>
      <c r="E1494" s="311">
        <v>0.35895191874187821</v>
      </c>
      <c r="F1494" s="233" t="s">
        <v>443</v>
      </c>
      <c r="G1494" s="234" t="s">
        <v>16</v>
      </c>
      <c r="H1494" s="232">
        <v>1</v>
      </c>
      <c r="I1494" s="232">
        <v>1</v>
      </c>
      <c r="J1494" s="232">
        <v>3</v>
      </c>
      <c r="K1494" s="232">
        <v>2</v>
      </c>
      <c r="L1494" s="283">
        <v>2</v>
      </c>
      <c r="M1494" s="284">
        <f t="shared" si="58"/>
        <v>0.48935255543384243</v>
      </c>
      <c r="N1494" s="235"/>
    </row>
    <row r="1495" spans="1:14" hidden="1" x14ac:dyDescent="0.2">
      <c r="A1495" s="340" t="s">
        <v>435</v>
      </c>
      <c r="B1495" s="308" t="s">
        <v>440</v>
      </c>
      <c r="C1495" s="247" t="s">
        <v>55</v>
      </c>
      <c r="D1495" s="276" t="s">
        <v>135</v>
      </c>
      <c r="E1495" s="311">
        <v>0.25934665619660391</v>
      </c>
      <c r="F1495" s="233" t="s">
        <v>443</v>
      </c>
      <c r="G1495" s="342" t="s">
        <v>16</v>
      </c>
      <c r="H1495" s="232">
        <v>1</v>
      </c>
      <c r="I1495" s="232">
        <v>1</v>
      </c>
      <c r="J1495" s="232">
        <v>3</v>
      </c>
      <c r="K1495" s="232">
        <v>2</v>
      </c>
      <c r="L1495" s="283">
        <v>2</v>
      </c>
      <c r="M1495" s="284">
        <f t="shared" si="58"/>
        <v>0.48935255543384243</v>
      </c>
      <c r="N1495" s="235"/>
    </row>
    <row r="1496" spans="1:14" hidden="1" x14ac:dyDescent="0.2">
      <c r="A1496" s="340" t="s">
        <v>435</v>
      </c>
      <c r="B1496" s="308" t="s">
        <v>440</v>
      </c>
      <c r="C1496" s="247" t="s">
        <v>57</v>
      </c>
      <c r="D1496" s="276" t="s">
        <v>135</v>
      </c>
      <c r="E1496" s="311">
        <v>0.44235574262572741</v>
      </c>
      <c r="F1496" s="233" t="s">
        <v>443</v>
      </c>
      <c r="G1496" s="234" t="s">
        <v>16</v>
      </c>
      <c r="H1496" s="232">
        <v>2</v>
      </c>
      <c r="I1496" s="232">
        <v>1</v>
      </c>
      <c r="J1496" s="232">
        <v>3</v>
      </c>
      <c r="K1496" s="232">
        <v>2</v>
      </c>
      <c r="L1496" s="283">
        <v>2</v>
      </c>
      <c r="M1496" s="284">
        <f t="shared" si="58"/>
        <v>0.50042652380814845</v>
      </c>
      <c r="N1496" s="235"/>
    </row>
    <row r="1497" spans="1:14" hidden="1" x14ac:dyDescent="0.2">
      <c r="A1497" s="340" t="s">
        <v>435</v>
      </c>
      <c r="B1497" s="308" t="s">
        <v>440</v>
      </c>
      <c r="C1497" s="247" t="s">
        <v>59</v>
      </c>
      <c r="D1497" s="276" t="s">
        <v>135</v>
      </c>
      <c r="E1497" s="311">
        <v>0.22952607761782071</v>
      </c>
      <c r="F1497" s="233" t="s">
        <v>443</v>
      </c>
      <c r="G1497" s="234" t="s">
        <v>16</v>
      </c>
      <c r="H1497" s="232">
        <v>2</v>
      </c>
      <c r="I1497" s="232">
        <v>1</v>
      </c>
      <c r="J1497" s="232">
        <v>3</v>
      </c>
      <c r="K1497" s="232">
        <v>2</v>
      </c>
      <c r="L1497" s="283">
        <v>2</v>
      </c>
      <c r="M1497" s="284">
        <f t="shared" si="58"/>
        <v>0.50042652380814845</v>
      </c>
      <c r="N1497" s="235"/>
    </row>
    <row r="1498" spans="1:14" hidden="1" x14ac:dyDescent="0.2">
      <c r="A1498" s="340" t="s">
        <v>435</v>
      </c>
      <c r="B1498" s="308" t="s">
        <v>440</v>
      </c>
      <c r="C1498" s="247" t="s">
        <v>60</v>
      </c>
      <c r="D1498" s="276" t="s">
        <v>135</v>
      </c>
      <c r="E1498" s="311">
        <v>0.54857409860077522</v>
      </c>
      <c r="F1498" s="233" t="s">
        <v>443</v>
      </c>
      <c r="G1498" s="342" t="s">
        <v>16</v>
      </c>
      <c r="H1498" s="232">
        <v>2</v>
      </c>
      <c r="I1498" s="232">
        <v>1</v>
      </c>
      <c r="J1498" s="232">
        <v>3</v>
      </c>
      <c r="K1498" s="232">
        <v>2</v>
      </c>
      <c r="L1498" s="283">
        <v>2</v>
      </c>
      <c r="M1498" s="283">
        <f t="shared" si="58"/>
        <v>0.50042652380814845</v>
      </c>
      <c r="N1498" s="235"/>
    </row>
    <row r="1499" spans="1:14" x14ac:dyDescent="0.2">
      <c r="A1499" s="340" t="s">
        <v>435</v>
      </c>
      <c r="B1499" s="308" t="s">
        <v>398</v>
      </c>
      <c r="C1499" s="247" t="s">
        <v>13</v>
      </c>
      <c r="D1499" s="276" t="s">
        <v>135</v>
      </c>
      <c r="E1499" s="344">
        <v>0</v>
      </c>
      <c r="F1499" s="345" t="s">
        <v>443</v>
      </c>
      <c r="G1499" s="346" t="s">
        <v>16</v>
      </c>
      <c r="H1499" s="344"/>
      <c r="I1499" s="344"/>
      <c r="J1499" s="344"/>
      <c r="K1499" s="344"/>
      <c r="L1499" s="347"/>
      <c r="M1499" s="347"/>
      <c r="N1499" s="235"/>
    </row>
    <row r="1500" spans="1:14" hidden="1" x14ac:dyDescent="0.2">
      <c r="A1500" s="340" t="s">
        <v>435</v>
      </c>
      <c r="B1500" s="308" t="s">
        <v>398</v>
      </c>
      <c r="C1500" s="247" t="s">
        <v>18</v>
      </c>
      <c r="D1500" s="276" t="s">
        <v>135</v>
      </c>
      <c r="E1500" s="311">
        <v>5.7277370619917712E-3</v>
      </c>
      <c r="F1500" s="233" t="s">
        <v>443</v>
      </c>
      <c r="G1500" s="342" t="s">
        <v>16</v>
      </c>
      <c r="H1500" s="232">
        <v>1</v>
      </c>
      <c r="I1500" s="232">
        <v>1</v>
      </c>
      <c r="J1500" s="232">
        <v>3</v>
      </c>
      <c r="K1500" s="232">
        <v>2</v>
      </c>
      <c r="L1500" s="283">
        <v>2</v>
      </c>
      <c r="M1500" s="283">
        <f>IF( OR( ISBLANK(H1500),ISBLANK(I1500), ISBLANK(J1500), ISBLANK(K1500), ISBLANK(L1500) ), "", 1.5*SQRT( EXP(2.21*(H1500-1)) + EXP(2.21*(I1500-1)) + EXP(2.21*(J1500-1)) + EXP(2.21*(K1500-1)) + EXP(2.21*L1500) )/100*2.45 )</f>
        <v>0.48935255543384243</v>
      </c>
      <c r="N1500" s="235"/>
    </row>
    <row r="1501" spans="1:14" hidden="1" x14ac:dyDescent="0.2">
      <c r="A1501" s="340" t="s">
        <v>435</v>
      </c>
      <c r="B1501" s="308" t="s">
        <v>398</v>
      </c>
      <c r="C1501" s="247" t="s">
        <v>20</v>
      </c>
      <c r="D1501" s="276" t="s">
        <v>135</v>
      </c>
      <c r="E1501" s="344">
        <v>0</v>
      </c>
      <c r="F1501" s="345" t="s">
        <v>443</v>
      </c>
      <c r="G1501" s="346" t="s">
        <v>16</v>
      </c>
      <c r="H1501" s="344"/>
      <c r="I1501" s="344"/>
      <c r="J1501" s="344"/>
      <c r="K1501" s="344"/>
      <c r="L1501" s="347"/>
      <c r="M1501" s="347"/>
      <c r="N1501" s="235"/>
    </row>
    <row r="1502" spans="1:14" hidden="1" x14ac:dyDescent="0.2">
      <c r="A1502" s="340" t="s">
        <v>435</v>
      </c>
      <c r="B1502" s="308" t="s">
        <v>398</v>
      </c>
      <c r="C1502" s="247" t="s">
        <v>22</v>
      </c>
      <c r="D1502" s="276" t="s">
        <v>135</v>
      </c>
      <c r="E1502" s="311">
        <v>7.1823828492477773E-2</v>
      </c>
      <c r="F1502" s="233" t="s">
        <v>443</v>
      </c>
      <c r="G1502" s="342" t="s">
        <v>16</v>
      </c>
      <c r="H1502" s="232">
        <v>1</v>
      </c>
      <c r="I1502" s="232">
        <v>1</v>
      </c>
      <c r="J1502" s="232">
        <v>3</v>
      </c>
      <c r="K1502" s="232">
        <v>2</v>
      </c>
      <c r="L1502" s="283">
        <v>2</v>
      </c>
      <c r="M1502" s="283">
        <f>IF( OR( ISBLANK(H1502),ISBLANK(I1502), ISBLANK(J1502), ISBLANK(K1502), ISBLANK(L1502) ), "", 1.5*SQRT( EXP(2.21*(H1502-1)) + EXP(2.21*(I1502-1)) + EXP(2.21*(J1502-1)) + EXP(2.21*(K1502-1)) + EXP(2.21*L1502) )/100*2.45 )</f>
        <v>0.48935255543384243</v>
      </c>
      <c r="N1502" s="235"/>
    </row>
    <row r="1503" spans="1:14" hidden="1" x14ac:dyDescent="0.2">
      <c r="A1503" s="340" t="s">
        <v>435</v>
      </c>
      <c r="B1503" s="308" t="s">
        <v>398</v>
      </c>
      <c r="C1503" s="247" t="s">
        <v>23</v>
      </c>
      <c r="D1503" s="276" t="s">
        <v>135</v>
      </c>
      <c r="E1503" s="344">
        <v>0</v>
      </c>
      <c r="F1503" s="345" t="s">
        <v>443</v>
      </c>
      <c r="G1503" s="346" t="s">
        <v>16</v>
      </c>
      <c r="H1503" s="344"/>
      <c r="I1503" s="344"/>
      <c r="J1503" s="344"/>
      <c r="K1503" s="344"/>
      <c r="L1503" s="347"/>
      <c r="M1503" s="347"/>
      <c r="N1503" s="235"/>
    </row>
    <row r="1504" spans="1:14" hidden="1" x14ac:dyDescent="0.2">
      <c r="A1504" s="340" t="s">
        <v>435</v>
      </c>
      <c r="B1504" s="308" t="s">
        <v>398</v>
      </c>
      <c r="C1504" s="247" t="s">
        <v>24</v>
      </c>
      <c r="D1504" s="276" t="s">
        <v>135</v>
      </c>
      <c r="E1504" s="311">
        <v>0.1162914747943985</v>
      </c>
      <c r="F1504" s="233" t="s">
        <v>443</v>
      </c>
      <c r="G1504" s="234" t="s">
        <v>16</v>
      </c>
      <c r="H1504" s="232">
        <v>2</v>
      </c>
      <c r="I1504" s="232">
        <v>1</v>
      </c>
      <c r="J1504" s="232">
        <v>3</v>
      </c>
      <c r="K1504" s="232">
        <v>2</v>
      </c>
      <c r="L1504" s="283">
        <v>2</v>
      </c>
      <c r="M1504" s="284">
        <f t="shared" ref="M1504:M1509" si="59">IF( OR( ISBLANK(H1504),ISBLANK(I1504), ISBLANK(J1504), ISBLANK(K1504), ISBLANK(L1504) ), "", 1.5*SQRT( EXP(2.21*(H1504-1)) + EXP(2.21*(I1504-1)) + EXP(2.21*(J1504-1)) + EXP(2.21*(K1504-1)) + EXP(2.21*L1504) )/100*2.45 )</f>
        <v>0.50042652380814845</v>
      </c>
      <c r="N1504" s="235"/>
    </row>
    <row r="1505" spans="1:14" hidden="1" x14ac:dyDescent="0.2">
      <c r="A1505" s="340" t="s">
        <v>435</v>
      </c>
      <c r="B1505" s="308" t="s">
        <v>398</v>
      </c>
      <c r="C1505" s="247" t="s">
        <v>25</v>
      </c>
      <c r="D1505" s="276" t="s">
        <v>135</v>
      </c>
      <c r="E1505" s="311">
        <v>1.841146738354198E-3</v>
      </c>
      <c r="F1505" s="233" t="s">
        <v>443</v>
      </c>
      <c r="G1505" s="234" t="s">
        <v>16</v>
      </c>
      <c r="H1505" s="232">
        <v>2</v>
      </c>
      <c r="I1505" s="232">
        <v>1</v>
      </c>
      <c r="J1505" s="232">
        <v>3</v>
      </c>
      <c r="K1505" s="232">
        <v>2</v>
      </c>
      <c r="L1505" s="283">
        <v>2</v>
      </c>
      <c r="M1505" s="284">
        <f t="shared" si="59"/>
        <v>0.50042652380814845</v>
      </c>
      <c r="N1505" s="235"/>
    </row>
    <row r="1506" spans="1:14" hidden="1" x14ac:dyDescent="0.2">
      <c r="A1506" s="340" t="s">
        <v>435</v>
      </c>
      <c r="B1506" s="308" t="s">
        <v>398</v>
      </c>
      <c r="C1506" s="247" t="s">
        <v>26</v>
      </c>
      <c r="D1506" s="276" t="s">
        <v>135</v>
      </c>
      <c r="E1506" s="311">
        <v>0.17873414041324931</v>
      </c>
      <c r="F1506" s="233" t="s">
        <v>443</v>
      </c>
      <c r="G1506" s="234" t="s">
        <v>16</v>
      </c>
      <c r="H1506" s="232">
        <v>1</v>
      </c>
      <c r="I1506" s="232">
        <v>1</v>
      </c>
      <c r="J1506" s="232">
        <v>3</v>
      </c>
      <c r="K1506" s="232">
        <v>2</v>
      </c>
      <c r="L1506" s="283">
        <v>2</v>
      </c>
      <c r="M1506" s="284">
        <f t="shared" si="59"/>
        <v>0.48935255543384243</v>
      </c>
      <c r="N1506" s="235"/>
    </row>
    <row r="1507" spans="1:14" hidden="1" x14ac:dyDescent="0.2">
      <c r="A1507" s="340" t="s">
        <v>435</v>
      </c>
      <c r="B1507" s="308" t="s">
        <v>398</v>
      </c>
      <c r="C1507" s="247" t="s">
        <v>27</v>
      </c>
      <c r="D1507" s="276" t="s">
        <v>135</v>
      </c>
      <c r="E1507" s="311">
        <v>1.841146738354198E-3</v>
      </c>
      <c r="F1507" s="233" t="s">
        <v>443</v>
      </c>
      <c r="G1507" s="234" t="s">
        <v>16</v>
      </c>
      <c r="H1507" s="232">
        <v>2</v>
      </c>
      <c r="I1507" s="232">
        <v>1</v>
      </c>
      <c r="J1507" s="232">
        <v>3</v>
      </c>
      <c r="K1507" s="232">
        <v>2</v>
      </c>
      <c r="L1507" s="283">
        <v>2</v>
      </c>
      <c r="M1507" s="284">
        <f t="shared" si="59"/>
        <v>0.50042652380814845</v>
      </c>
      <c r="N1507" s="235"/>
    </row>
    <row r="1508" spans="1:14" hidden="1" x14ac:dyDescent="0.2">
      <c r="A1508" s="340" t="s">
        <v>435</v>
      </c>
      <c r="B1508" s="308" t="s">
        <v>398</v>
      </c>
      <c r="C1508" s="247" t="s">
        <v>28</v>
      </c>
      <c r="D1508" s="276" t="s">
        <v>135</v>
      </c>
      <c r="E1508" s="311">
        <v>1.841146738354198E-3</v>
      </c>
      <c r="F1508" s="233" t="s">
        <v>443</v>
      </c>
      <c r="G1508" s="234" t="s">
        <v>16</v>
      </c>
      <c r="H1508" s="232">
        <v>2</v>
      </c>
      <c r="I1508" s="232">
        <v>1</v>
      </c>
      <c r="J1508" s="232">
        <v>3</v>
      </c>
      <c r="K1508" s="232">
        <v>2</v>
      </c>
      <c r="L1508" s="283">
        <v>2</v>
      </c>
      <c r="M1508" s="284">
        <f t="shared" si="59"/>
        <v>0.50042652380814845</v>
      </c>
      <c r="N1508" s="235"/>
    </row>
    <row r="1509" spans="1:14" hidden="1" x14ac:dyDescent="0.2">
      <c r="A1509" s="340" t="s">
        <v>435</v>
      </c>
      <c r="B1509" s="308" t="s">
        <v>398</v>
      </c>
      <c r="C1509" s="247" t="s">
        <v>30</v>
      </c>
      <c r="D1509" s="276" t="s">
        <v>135</v>
      </c>
      <c r="E1509" s="311">
        <v>1.841146738354198E-3</v>
      </c>
      <c r="F1509" s="233" t="s">
        <v>443</v>
      </c>
      <c r="G1509" s="234" t="s">
        <v>16</v>
      </c>
      <c r="H1509" s="232">
        <v>1</v>
      </c>
      <c r="I1509" s="232">
        <v>1</v>
      </c>
      <c r="J1509" s="232">
        <v>3</v>
      </c>
      <c r="K1509" s="232">
        <v>2</v>
      </c>
      <c r="L1509" s="283">
        <v>2</v>
      </c>
      <c r="M1509" s="284">
        <f t="shared" si="59"/>
        <v>0.48935255543384243</v>
      </c>
      <c r="N1509" s="235"/>
    </row>
    <row r="1510" spans="1:14" hidden="1" x14ac:dyDescent="0.2">
      <c r="A1510" s="340" t="s">
        <v>435</v>
      </c>
      <c r="B1510" s="308" t="s">
        <v>398</v>
      </c>
      <c r="C1510" s="247" t="s">
        <v>32</v>
      </c>
      <c r="D1510" s="276" t="s">
        <v>135</v>
      </c>
      <c r="E1510" s="344">
        <v>0</v>
      </c>
      <c r="F1510" s="345" t="s">
        <v>443</v>
      </c>
      <c r="G1510" s="346" t="s">
        <v>16</v>
      </c>
      <c r="H1510" s="344"/>
      <c r="I1510" s="344"/>
      <c r="J1510" s="344"/>
      <c r="K1510" s="344"/>
      <c r="L1510" s="347"/>
      <c r="M1510" s="347"/>
      <c r="N1510" s="235"/>
    </row>
    <row r="1511" spans="1:14" hidden="1" x14ac:dyDescent="0.2">
      <c r="A1511" s="340" t="s">
        <v>435</v>
      </c>
      <c r="B1511" s="308" t="s">
        <v>398</v>
      </c>
      <c r="C1511" s="247" t="s">
        <v>34</v>
      </c>
      <c r="D1511" s="276" t="s">
        <v>135</v>
      </c>
      <c r="E1511" s="311">
        <v>0.32570103273043982</v>
      </c>
      <c r="F1511" s="233" t="s">
        <v>443</v>
      </c>
      <c r="G1511" s="234" t="s">
        <v>16</v>
      </c>
      <c r="H1511" s="232">
        <v>1</v>
      </c>
      <c r="I1511" s="232">
        <v>1</v>
      </c>
      <c r="J1511" s="232">
        <v>3</v>
      </c>
      <c r="K1511" s="232">
        <v>2</v>
      </c>
      <c r="L1511" s="283">
        <v>2</v>
      </c>
      <c r="M1511" s="284">
        <f>IF( OR( ISBLANK(H1511),ISBLANK(I1511), ISBLANK(J1511), ISBLANK(K1511), ISBLANK(L1511) ), "", 1.5*SQRT( EXP(2.21*(H1511-1)) + EXP(2.21*(I1511-1)) + EXP(2.21*(J1511-1)) + EXP(2.21*(K1511-1)) + EXP(2.21*L1511) )/100*2.45 )</f>
        <v>0.48935255543384243</v>
      </c>
      <c r="N1511" s="235"/>
    </row>
    <row r="1512" spans="1:14" hidden="1" x14ac:dyDescent="0.2">
      <c r="A1512" s="340" t="s">
        <v>435</v>
      </c>
      <c r="B1512" s="308" t="s">
        <v>398</v>
      </c>
      <c r="C1512" s="247" t="s">
        <v>36</v>
      </c>
      <c r="D1512" s="276" t="s">
        <v>135</v>
      </c>
      <c r="E1512" s="311">
        <v>5.7277370619917712E-3</v>
      </c>
      <c r="F1512" s="233" t="s">
        <v>443</v>
      </c>
      <c r="G1512" s="342" t="s">
        <v>16</v>
      </c>
      <c r="H1512" s="232">
        <v>2</v>
      </c>
      <c r="I1512" s="232">
        <v>1</v>
      </c>
      <c r="J1512" s="232">
        <v>3</v>
      </c>
      <c r="K1512" s="232">
        <v>2</v>
      </c>
      <c r="L1512" s="283">
        <v>2</v>
      </c>
      <c r="M1512" s="284">
        <f>IF( OR( ISBLANK(H1512),ISBLANK(I1512), ISBLANK(J1512), ISBLANK(K1512), ISBLANK(L1512) ), "", 1.5*SQRT( EXP(2.21*(H1512-1)) + EXP(2.21*(I1512-1)) + EXP(2.21*(J1512-1)) + EXP(2.21*(K1512-1)) + EXP(2.21*L1512) )/100*2.45 )</f>
        <v>0.50042652380814845</v>
      </c>
      <c r="N1512" s="235"/>
    </row>
    <row r="1513" spans="1:14" hidden="1" x14ac:dyDescent="0.2">
      <c r="A1513" s="340" t="s">
        <v>435</v>
      </c>
      <c r="B1513" s="308" t="s">
        <v>398</v>
      </c>
      <c r="C1513" s="247" t="s">
        <v>37</v>
      </c>
      <c r="D1513" s="276" t="s">
        <v>135</v>
      </c>
      <c r="E1513" s="311">
        <v>1.841146738354198E-3</v>
      </c>
      <c r="F1513" s="233" t="s">
        <v>443</v>
      </c>
      <c r="G1513" s="234" t="s">
        <v>16</v>
      </c>
      <c r="H1513" s="232">
        <v>2</v>
      </c>
      <c r="I1513" s="232">
        <v>1</v>
      </c>
      <c r="J1513" s="232">
        <v>3</v>
      </c>
      <c r="K1513" s="232">
        <v>2</v>
      </c>
      <c r="L1513" s="283">
        <v>2</v>
      </c>
      <c r="M1513" s="284">
        <f>IF( OR( ISBLANK(H1513),ISBLANK(I1513), ISBLANK(J1513), ISBLANK(K1513), ISBLANK(L1513) ), "", 1.5*SQRT( EXP(2.21*(H1513-1)) + EXP(2.21*(I1513-1)) + EXP(2.21*(J1513-1)) + EXP(2.21*(K1513-1)) + EXP(2.21*L1513) )/100*2.45 )</f>
        <v>0.50042652380814845</v>
      </c>
      <c r="N1513" s="235"/>
    </row>
    <row r="1514" spans="1:14" hidden="1" x14ac:dyDescent="0.2">
      <c r="A1514" s="340" t="s">
        <v>435</v>
      </c>
      <c r="B1514" s="308" t="s">
        <v>398</v>
      </c>
      <c r="C1514" s="247" t="s">
        <v>39</v>
      </c>
      <c r="D1514" s="276" t="s">
        <v>135</v>
      </c>
      <c r="E1514" s="344">
        <v>0</v>
      </c>
      <c r="F1514" s="345" t="s">
        <v>443</v>
      </c>
      <c r="G1514" s="346" t="s">
        <v>16</v>
      </c>
      <c r="H1514" s="344"/>
      <c r="I1514" s="344"/>
      <c r="J1514" s="344"/>
      <c r="K1514" s="344"/>
      <c r="L1514" s="347"/>
      <c r="M1514" s="347"/>
      <c r="N1514" s="235"/>
    </row>
    <row r="1515" spans="1:14" hidden="1" x14ac:dyDescent="0.2">
      <c r="A1515" s="340" t="s">
        <v>435</v>
      </c>
      <c r="B1515" s="308" t="s">
        <v>398</v>
      </c>
      <c r="C1515" s="247" t="s">
        <v>40</v>
      </c>
      <c r="D1515" s="276" t="s">
        <v>135</v>
      </c>
      <c r="E1515" s="344">
        <v>0</v>
      </c>
      <c r="F1515" s="345" t="s">
        <v>443</v>
      </c>
      <c r="G1515" s="346" t="s">
        <v>16</v>
      </c>
      <c r="H1515" s="344"/>
      <c r="I1515" s="344"/>
      <c r="J1515" s="344"/>
      <c r="K1515" s="344"/>
      <c r="L1515" s="347"/>
      <c r="M1515" s="347"/>
      <c r="N1515" s="235"/>
    </row>
    <row r="1516" spans="1:14" hidden="1" x14ac:dyDescent="0.2">
      <c r="A1516" s="340" t="s">
        <v>435</v>
      </c>
      <c r="B1516" s="308" t="s">
        <v>398</v>
      </c>
      <c r="C1516" s="247" t="s">
        <v>41</v>
      </c>
      <c r="D1516" s="276" t="s">
        <v>135</v>
      </c>
      <c r="E1516" s="344">
        <v>0</v>
      </c>
      <c r="F1516" s="345" t="s">
        <v>443</v>
      </c>
      <c r="G1516" s="346" t="s">
        <v>16</v>
      </c>
      <c r="H1516" s="344"/>
      <c r="I1516" s="344"/>
      <c r="J1516" s="344"/>
      <c r="K1516" s="344"/>
      <c r="L1516" s="347"/>
      <c r="M1516" s="347"/>
      <c r="N1516" s="235"/>
    </row>
    <row r="1517" spans="1:14" hidden="1" x14ac:dyDescent="0.2">
      <c r="A1517" s="340" t="s">
        <v>435</v>
      </c>
      <c r="B1517" s="308" t="s">
        <v>398</v>
      </c>
      <c r="C1517" s="247" t="s">
        <v>42</v>
      </c>
      <c r="D1517" s="276" t="s">
        <v>135</v>
      </c>
      <c r="E1517" s="344">
        <v>0</v>
      </c>
      <c r="F1517" s="345" t="s">
        <v>443</v>
      </c>
      <c r="G1517" s="346" t="s">
        <v>16</v>
      </c>
      <c r="H1517" s="344"/>
      <c r="I1517" s="344"/>
      <c r="J1517" s="344"/>
      <c r="K1517" s="344"/>
      <c r="L1517" s="347"/>
      <c r="M1517" s="347"/>
      <c r="N1517" s="235"/>
    </row>
    <row r="1518" spans="1:14" hidden="1" x14ac:dyDescent="0.2">
      <c r="A1518" s="340" t="s">
        <v>435</v>
      </c>
      <c r="B1518" s="308" t="s">
        <v>398</v>
      </c>
      <c r="C1518" s="247" t="s">
        <v>43</v>
      </c>
      <c r="D1518" s="276" t="s">
        <v>135</v>
      </c>
      <c r="E1518" s="311">
        <v>1.841146738354198E-3</v>
      </c>
      <c r="F1518" s="233" t="s">
        <v>443</v>
      </c>
      <c r="G1518" s="234" t="s">
        <v>16</v>
      </c>
      <c r="H1518" s="232">
        <v>2</v>
      </c>
      <c r="I1518" s="232">
        <v>1</v>
      </c>
      <c r="J1518" s="232">
        <v>3</v>
      </c>
      <c r="K1518" s="232">
        <v>2</v>
      </c>
      <c r="L1518" s="283">
        <v>2</v>
      </c>
      <c r="M1518" s="284">
        <f>IF( OR( ISBLANK(H1518),ISBLANK(I1518), ISBLANK(J1518), ISBLANK(K1518), ISBLANK(L1518) ), "", 1.5*SQRT( EXP(2.21*(H1518-1)) + EXP(2.21*(I1518-1)) + EXP(2.21*(J1518-1)) + EXP(2.21*(K1518-1)) + EXP(2.21*L1518) )/100*2.45 )</f>
        <v>0.50042652380814845</v>
      </c>
      <c r="N1518" s="235"/>
    </row>
    <row r="1519" spans="1:14" hidden="1" x14ac:dyDescent="0.2">
      <c r="A1519" s="340" t="s">
        <v>435</v>
      </c>
      <c r="B1519" s="308" t="s">
        <v>398</v>
      </c>
      <c r="C1519" s="247" t="s">
        <v>45</v>
      </c>
      <c r="D1519" s="276" t="s">
        <v>135</v>
      </c>
      <c r="E1519" s="311">
        <v>1.841146738354198E-3</v>
      </c>
      <c r="F1519" s="233" t="s">
        <v>443</v>
      </c>
      <c r="G1519" s="234" t="s">
        <v>16</v>
      </c>
      <c r="H1519" s="232">
        <v>2</v>
      </c>
      <c r="I1519" s="232">
        <v>1</v>
      </c>
      <c r="J1519" s="232">
        <v>3</v>
      </c>
      <c r="K1519" s="232">
        <v>2</v>
      </c>
      <c r="L1519" s="283">
        <v>2</v>
      </c>
      <c r="M1519" s="284">
        <f>IF( OR( ISBLANK(H1519),ISBLANK(I1519), ISBLANK(J1519), ISBLANK(K1519), ISBLANK(L1519) ), "", 1.5*SQRT( EXP(2.21*(H1519-1)) + EXP(2.21*(I1519-1)) + EXP(2.21*(J1519-1)) + EXP(2.21*(K1519-1)) + EXP(2.21*L1519) )/100*2.45 )</f>
        <v>0.50042652380814845</v>
      </c>
      <c r="N1519" s="235"/>
    </row>
    <row r="1520" spans="1:14" hidden="1" x14ac:dyDescent="0.2">
      <c r="A1520" s="340" t="s">
        <v>435</v>
      </c>
      <c r="B1520" s="308" t="s">
        <v>398</v>
      </c>
      <c r="C1520" s="247" t="s">
        <v>46</v>
      </c>
      <c r="D1520" s="276" t="s">
        <v>135</v>
      </c>
      <c r="E1520" s="311">
        <v>0.1162914747943985</v>
      </c>
      <c r="F1520" s="233" t="s">
        <v>443</v>
      </c>
      <c r="G1520" s="234" t="s">
        <v>16</v>
      </c>
      <c r="H1520" s="232">
        <v>2</v>
      </c>
      <c r="I1520" s="232">
        <v>1</v>
      </c>
      <c r="J1520" s="232">
        <v>3</v>
      </c>
      <c r="K1520" s="232">
        <v>2</v>
      </c>
      <c r="L1520" s="283">
        <v>2</v>
      </c>
      <c r="M1520" s="284">
        <f>IF( OR( ISBLANK(H1520),ISBLANK(I1520), ISBLANK(J1520), ISBLANK(K1520), ISBLANK(L1520) ), "", 1.5*SQRT( EXP(2.21*(H1520-1)) + EXP(2.21*(I1520-1)) + EXP(2.21*(J1520-1)) + EXP(2.21*(K1520-1)) + EXP(2.21*L1520) )/100*2.45 )</f>
        <v>0.50042652380814845</v>
      </c>
      <c r="N1520" s="235"/>
    </row>
    <row r="1521" spans="1:14" hidden="1" x14ac:dyDescent="0.2">
      <c r="A1521" s="340" t="s">
        <v>435</v>
      </c>
      <c r="B1521" s="308" t="s">
        <v>398</v>
      </c>
      <c r="C1521" s="247" t="s">
        <v>48</v>
      </c>
      <c r="D1521" s="276" t="s">
        <v>135</v>
      </c>
      <c r="E1521" s="344">
        <v>0</v>
      </c>
      <c r="F1521" s="345" t="s">
        <v>443</v>
      </c>
      <c r="G1521" s="346" t="s">
        <v>16</v>
      </c>
      <c r="H1521" s="344"/>
      <c r="I1521" s="344"/>
      <c r="J1521" s="344"/>
      <c r="K1521" s="344"/>
      <c r="L1521" s="347"/>
      <c r="M1521" s="347"/>
      <c r="N1521" s="235"/>
    </row>
    <row r="1522" spans="1:14" hidden="1" x14ac:dyDescent="0.2">
      <c r="A1522" s="340" t="s">
        <v>435</v>
      </c>
      <c r="B1522" s="308" t="s">
        <v>398</v>
      </c>
      <c r="C1522" s="247" t="s">
        <v>50</v>
      </c>
      <c r="D1522" s="276" t="s">
        <v>135</v>
      </c>
      <c r="E1522" s="311">
        <v>0.32570103273043982</v>
      </c>
      <c r="F1522" s="233" t="s">
        <v>443</v>
      </c>
      <c r="G1522" s="234" t="s">
        <v>16</v>
      </c>
      <c r="H1522" s="232">
        <v>2</v>
      </c>
      <c r="I1522" s="232">
        <v>1</v>
      </c>
      <c r="J1522" s="232">
        <v>3</v>
      </c>
      <c r="K1522" s="232">
        <v>2</v>
      </c>
      <c r="L1522" s="283">
        <v>2</v>
      </c>
      <c r="M1522" s="284">
        <f>IF( OR( ISBLANK(H1522),ISBLANK(I1522), ISBLANK(J1522), ISBLANK(K1522), ISBLANK(L1522) ), "", 1.5*SQRT( EXP(2.21*(H1522-1)) + EXP(2.21*(I1522-1)) + EXP(2.21*(J1522-1)) + EXP(2.21*(K1522-1)) + EXP(2.21*L1522) )/100*2.45 )</f>
        <v>0.50042652380814845</v>
      </c>
      <c r="N1522" s="235"/>
    </row>
    <row r="1523" spans="1:14" hidden="1" x14ac:dyDescent="0.2">
      <c r="A1523" s="340" t="s">
        <v>435</v>
      </c>
      <c r="B1523" s="308" t="s">
        <v>398</v>
      </c>
      <c r="C1523" s="247" t="s">
        <v>52</v>
      </c>
      <c r="D1523" s="276" t="s">
        <v>135</v>
      </c>
      <c r="E1523" s="311">
        <v>0.1162914747943985</v>
      </c>
      <c r="F1523" s="233" t="s">
        <v>443</v>
      </c>
      <c r="G1523" s="234" t="s">
        <v>16</v>
      </c>
      <c r="H1523" s="232">
        <v>1</v>
      </c>
      <c r="I1523" s="232">
        <v>1</v>
      </c>
      <c r="J1523" s="232">
        <v>3</v>
      </c>
      <c r="K1523" s="232">
        <v>2</v>
      </c>
      <c r="L1523" s="283">
        <v>2</v>
      </c>
      <c r="M1523" s="284">
        <f>IF( OR( ISBLANK(H1523),ISBLANK(I1523), ISBLANK(J1523), ISBLANK(K1523), ISBLANK(L1523) ), "", 1.5*SQRT( EXP(2.21*(H1523-1)) + EXP(2.21*(I1523-1)) + EXP(2.21*(J1523-1)) + EXP(2.21*(K1523-1)) + EXP(2.21*L1523) )/100*2.45 )</f>
        <v>0.48935255543384243</v>
      </c>
      <c r="N1523" s="235"/>
    </row>
    <row r="1524" spans="1:14" hidden="1" x14ac:dyDescent="0.2">
      <c r="A1524" s="340" t="s">
        <v>435</v>
      </c>
      <c r="B1524" s="308" t="s">
        <v>398</v>
      </c>
      <c r="C1524" s="247" t="s">
        <v>54</v>
      </c>
      <c r="D1524" s="276" t="s">
        <v>135</v>
      </c>
      <c r="E1524" s="311">
        <v>0.13377295788784371</v>
      </c>
      <c r="F1524" s="233" t="s">
        <v>443</v>
      </c>
      <c r="G1524" s="234" t="s">
        <v>16</v>
      </c>
      <c r="H1524" s="232">
        <v>1</v>
      </c>
      <c r="I1524" s="232">
        <v>1</v>
      </c>
      <c r="J1524" s="232">
        <v>3</v>
      </c>
      <c r="K1524" s="232">
        <v>2</v>
      </c>
      <c r="L1524" s="283">
        <v>2</v>
      </c>
      <c r="M1524" s="284">
        <f>IF( OR( ISBLANK(H1524),ISBLANK(I1524), ISBLANK(J1524), ISBLANK(K1524), ISBLANK(L1524) ), "", 1.5*SQRT( EXP(2.21*(H1524-1)) + EXP(2.21*(I1524-1)) + EXP(2.21*(J1524-1)) + EXP(2.21*(K1524-1)) + EXP(2.21*L1524) )/100*2.45 )</f>
        <v>0.48935255543384243</v>
      </c>
      <c r="N1524" s="235"/>
    </row>
    <row r="1525" spans="1:14" hidden="1" x14ac:dyDescent="0.2">
      <c r="A1525" s="340" t="s">
        <v>435</v>
      </c>
      <c r="B1525" s="308" t="s">
        <v>398</v>
      </c>
      <c r="C1525" s="247" t="s">
        <v>55</v>
      </c>
      <c r="D1525" s="276" t="s">
        <v>135</v>
      </c>
      <c r="E1525" s="311">
        <v>0.27283416779114888</v>
      </c>
      <c r="F1525" s="233" t="s">
        <v>443</v>
      </c>
      <c r="G1525" s="342" t="s">
        <v>16</v>
      </c>
      <c r="H1525" s="232">
        <v>1</v>
      </c>
      <c r="I1525" s="232">
        <v>1</v>
      </c>
      <c r="J1525" s="232">
        <v>3</v>
      </c>
      <c r="K1525" s="232">
        <v>2</v>
      </c>
      <c r="L1525" s="283">
        <v>2</v>
      </c>
      <c r="M1525" s="284">
        <f>IF( OR( ISBLANK(H1525),ISBLANK(I1525), ISBLANK(J1525), ISBLANK(K1525), ISBLANK(L1525) ), "", 1.5*SQRT( EXP(2.21*(H1525-1)) + EXP(2.21*(I1525-1)) + EXP(2.21*(J1525-1)) + EXP(2.21*(K1525-1)) + EXP(2.21*L1525) )/100*2.45 )</f>
        <v>0.48935255543384243</v>
      </c>
      <c r="N1525" s="235"/>
    </row>
    <row r="1526" spans="1:14" hidden="1" x14ac:dyDescent="0.2">
      <c r="A1526" s="340" t="s">
        <v>435</v>
      </c>
      <c r="B1526" s="308" t="s">
        <v>398</v>
      </c>
      <c r="C1526" s="247" t="s">
        <v>57</v>
      </c>
      <c r="D1526" s="276" t="s">
        <v>135</v>
      </c>
      <c r="E1526" s="311">
        <v>1.841146738354198E-3</v>
      </c>
      <c r="F1526" s="233" t="s">
        <v>443</v>
      </c>
      <c r="G1526" s="234" t="s">
        <v>16</v>
      </c>
      <c r="H1526" s="232">
        <v>2</v>
      </c>
      <c r="I1526" s="232">
        <v>1</v>
      </c>
      <c r="J1526" s="232">
        <v>3</v>
      </c>
      <c r="K1526" s="232">
        <v>2</v>
      </c>
      <c r="L1526" s="283">
        <v>2</v>
      </c>
      <c r="M1526" s="284">
        <f>IF( OR( ISBLANK(H1526),ISBLANK(I1526), ISBLANK(J1526), ISBLANK(K1526), ISBLANK(L1526) ), "", 1.5*SQRT( EXP(2.21*(H1526-1)) + EXP(2.21*(I1526-1)) + EXP(2.21*(J1526-1)) + EXP(2.21*(K1526-1)) + EXP(2.21*L1526) )/100*2.45 )</f>
        <v>0.50042652380814845</v>
      </c>
      <c r="N1526" s="235"/>
    </row>
    <row r="1527" spans="1:14" hidden="1" x14ac:dyDescent="0.2">
      <c r="A1527" s="340" t="s">
        <v>435</v>
      </c>
      <c r="B1527" s="308" t="s">
        <v>398</v>
      </c>
      <c r="C1527" s="247" t="s">
        <v>59</v>
      </c>
      <c r="D1527" s="276" t="s">
        <v>135</v>
      </c>
      <c r="E1527" s="344">
        <v>0</v>
      </c>
      <c r="F1527" s="345" t="s">
        <v>443</v>
      </c>
      <c r="G1527" s="346" t="s">
        <v>16</v>
      </c>
      <c r="H1527" s="344"/>
      <c r="I1527" s="344"/>
      <c r="J1527" s="344"/>
      <c r="K1527" s="344"/>
      <c r="L1527" s="347"/>
      <c r="M1527" s="347"/>
      <c r="N1527" s="235"/>
    </row>
    <row r="1528" spans="1:14" hidden="1" x14ac:dyDescent="0.2">
      <c r="A1528" s="340" t="s">
        <v>435</v>
      </c>
      <c r="B1528" s="308" t="s">
        <v>398</v>
      </c>
      <c r="C1528" s="247" t="s">
        <v>60</v>
      </c>
      <c r="D1528" s="276" t="s">
        <v>135</v>
      </c>
      <c r="E1528" s="311">
        <v>5.7277370619917712E-3</v>
      </c>
      <c r="F1528" s="233" t="s">
        <v>443</v>
      </c>
      <c r="G1528" s="342" t="s">
        <v>16</v>
      </c>
      <c r="H1528" s="232">
        <v>2</v>
      </c>
      <c r="I1528" s="232">
        <v>1</v>
      </c>
      <c r="J1528" s="232">
        <v>3</v>
      </c>
      <c r="K1528" s="232">
        <v>2</v>
      </c>
      <c r="L1528" s="283">
        <v>2</v>
      </c>
      <c r="M1528" s="283">
        <f>IF( OR( ISBLANK(H1528),ISBLANK(I1528), ISBLANK(J1528), ISBLANK(K1528), ISBLANK(L1528) ), "", 1.5*SQRT( EXP(2.21*(H1528-1)) + EXP(2.21*(I1528-1)) + EXP(2.21*(J1528-1)) + EXP(2.21*(K1528-1)) + EXP(2.21*L1528) )/100*2.45 )</f>
        <v>0.50042652380814845</v>
      </c>
      <c r="N1528" s="235"/>
    </row>
    <row r="1529" spans="1:14" x14ac:dyDescent="0.2">
      <c r="A1529" s="341" t="s">
        <v>435</v>
      </c>
      <c r="B1529" s="281" t="s">
        <v>399</v>
      </c>
      <c r="C1529" s="238" t="s">
        <v>135</v>
      </c>
      <c r="D1529" s="239" t="s">
        <v>135</v>
      </c>
      <c r="E1529" s="240">
        <v>1</v>
      </c>
      <c r="F1529" s="241" t="s">
        <v>445</v>
      </c>
      <c r="G1529" s="343" t="s">
        <v>16</v>
      </c>
      <c r="H1529" s="240"/>
      <c r="I1529" s="240"/>
      <c r="J1529" s="240"/>
      <c r="K1529" s="240"/>
      <c r="L1529" s="243"/>
      <c r="M1529" s="243" t="str">
        <f>IF( OR( ISBLANK(H1529),ISBLANK(I1529), ISBLANK(J1529), ISBLANK(K1529), ISBLANK(L1529) ), "", 1.5*SQRT( EXP(2.21*(H1529-1)) + EXP(2.21*(I1529-1)) + EXP(2.21*(J1529-1)) + EXP(2.21*(K1529-1)) + EXP(2.21*L1529) )/100*2.45 )</f>
        <v/>
      </c>
      <c r="N1529" s="245"/>
    </row>
    <row r="1530" spans="1:14" x14ac:dyDescent="0.2">
      <c r="A1530" s="338" t="s">
        <v>436</v>
      </c>
      <c r="B1530" s="310" t="s">
        <v>440</v>
      </c>
      <c r="C1530" s="222" t="s">
        <v>135</v>
      </c>
      <c r="D1530" s="223" t="s">
        <v>135</v>
      </c>
      <c r="E1530" s="322">
        <v>0.51</v>
      </c>
      <c r="F1530" s="323" t="s">
        <v>439</v>
      </c>
      <c r="G1530" s="334" t="s">
        <v>16</v>
      </c>
      <c r="H1530" s="223">
        <v>2</v>
      </c>
      <c r="I1530" s="223">
        <v>2</v>
      </c>
      <c r="J1530" s="223">
        <v>3</v>
      </c>
      <c r="K1530" s="223">
        <v>1</v>
      </c>
      <c r="L1530" s="335">
        <v>3</v>
      </c>
      <c r="M1530" s="283">
        <f>IF( OR( ISBLANK(H1530),ISBLANK(I1530), ISBLANK(J1530), ISBLANK(K1530), ISBLANK(L1530) ), "", 1.5*SQRT( EXP(2.21*(H1530-1)) + EXP(2.21*(I1530-1)) + EXP(2.21*(J1530-1)) + EXP(2.21*(K1530-1)) + EXP(2.21*L1530) )/100*2.45 )</f>
        <v>1.0776024280428556</v>
      </c>
      <c r="N1530" s="229"/>
    </row>
    <row r="1531" spans="1:14" x14ac:dyDescent="0.2">
      <c r="A1531" s="340" t="s">
        <v>436</v>
      </c>
      <c r="B1531" s="308" t="s">
        <v>398</v>
      </c>
      <c r="C1531" s="247" t="s">
        <v>13</v>
      </c>
      <c r="D1531" s="276" t="s">
        <v>135</v>
      </c>
      <c r="E1531" s="61">
        <v>0</v>
      </c>
      <c r="F1531" s="233" t="s">
        <v>400</v>
      </c>
      <c r="G1531" s="234" t="s">
        <v>16</v>
      </c>
      <c r="H1531" s="61"/>
      <c r="I1531" s="61"/>
      <c r="J1531" s="61" t="str">
        <f>IF( OR( ISBLANK(#REF!),ISBLANK(F1531), ISBLANK(#REF!), ISBLANK(H1531), ISBLANK(I1531) ), "", 1.5*SQRT(   EXP(2.21*(#REF!-1)) + EXP(2.21*(F1531-1)) + EXP(2.21*(#REF!-1)) + EXP(2.21*(H1531-1)) + EXP(2.21*I1531)   )/100 )</f>
        <v/>
      </c>
      <c r="K1531" s="61"/>
      <c r="L1531" s="62"/>
      <c r="M1531" s="63" t="str">
        <f>IF( OR( ISBLANK(H1531),ISBLANK(I1531), ISBLANK(J1531), ISBLANK(K1531), ISBLANK(L1531) ), "", 1.5*SQRT(   EXP(2.21*(H1531-1)) + EXP(2.21*(I1531-1)) + EXP(2.21*(J1531-1)) + EXP(2.21*(K1531-1)) + EXP(2.21*L1531)   )/100*2.45 )</f>
        <v/>
      </c>
      <c r="N1531" s="235"/>
    </row>
    <row r="1532" spans="1:14" hidden="1" x14ac:dyDescent="0.2">
      <c r="A1532" s="306" t="s">
        <v>436</v>
      </c>
      <c r="B1532" s="308" t="s">
        <v>398</v>
      </c>
      <c r="C1532" s="247" t="s">
        <v>18</v>
      </c>
      <c r="D1532" s="276" t="s">
        <v>135</v>
      </c>
      <c r="E1532" s="311">
        <v>1.6065573770491809E-2</v>
      </c>
      <c r="F1532" s="233" t="s">
        <v>400</v>
      </c>
      <c r="G1532" s="234" t="s">
        <v>16</v>
      </c>
      <c r="H1532" s="232">
        <v>1</v>
      </c>
      <c r="I1532" s="232">
        <v>1</v>
      </c>
      <c r="J1532" s="232">
        <v>3</v>
      </c>
      <c r="K1532" s="232">
        <v>2</v>
      </c>
      <c r="L1532" s="283">
        <v>2</v>
      </c>
      <c r="M1532" s="284">
        <f>IF( OR( ISBLANK(H1532),ISBLANK(I1532), ISBLANK(J1532), ISBLANK(K1532), ISBLANK(L1532) ), "", 1.5*SQRT(   EXP(2.21*(H1532-1)) + EXP(2.21*(I1532-1)) + EXP(2.21*(J1532-1)) + EXP(2.21*(K1532-1)) + EXP(2.21*L1532)   )/100*2.45 )</f>
        <v>0.48935255543384243</v>
      </c>
      <c r="N1532" s="235"/>
    </row>
    <row r="1533" spans="1:14" hidden="1" x14ac:dyDescent="0.2">
      <c r="A1533" s="306" t="s">
        <v>436</v>
      </c>
      <c r="B1533" s="308" t="s">
        <v>398</v>
      </c>
      <c r="C1533" s="247" t="s">
        <v>20</v>
      </c>
      <c r="D1533" s="276" t="s">
        <v>135</v>
      </c>
      <c r="E1533" s="311">
        <v>0.43909090909090909</v>
      </c>
      <c r="F1533" s="233" t="s">
        <v>400</v>
      </c>
      <c r="G1533" s="234" t="s">
        <v>16</v>
      </c>
      <c r="H1533" s="232">
        <v>1</v>
      </c>
      <c r="I1533" s="232">
        <v>1</v>
      </c>
      <c r="J1533" s="232">
        <v>3</v>
      </c>
      <c r="K1533" s="232">
        <v>2</v>
      </c>
      <c r="L1533" s="283">
        <v>2</v>
      </c>
      <c r="M1533" s="284">
        <f t="shared" ref="M1533:M1547" si="60">IF( OR( ISBLANK(H1533),ISBLANK(I1533), ISBLANK(J1533), ISBLANK(K1533), ISBLANK(L1533) ), "", 1.5*SQRT( EXP(2.21*(H1533-1)) + EXP(2.21*(I1533-1)) + EXP(2.21*(J1533-1)) + EXP(2.21*(K1533-1)) + EXP(2.21*L1533) )/100*2.45 )</f>
        <v>0.48935255543384243</v>
      </c>
      <c r="N1533" s="235"/>
    </row>
    <row r="1534" spans="1:14" hidden="1" x14ac:dyDescent="0.2">
      <c r="A1534" s="306" t="s">
        <v>436</v>
      </c>
      <c r="B1534" s="308" t="s">
        <v>398</v>
      </c>
      <c r="C1534" s="247" t="s">
        <v>22</v>
      </c>
      <c r="D1534" s="276" t="s">
        <v>135</v>
      </c>
      <c r="E1534" s="311">
        <v>0.45597222222222222</v>
      </c>
      <c r="F1534" s="233" t="s">
        <v>400</v>
      </c>
      <c r="G1534" s="234" t="s">
        <v>16</v>
      </c>
      <c r="H1534" s="232">
        <v>1</v>
      </c>
      <c r="I1534" s="232">
        <v>1</v>
      </c>
      <c r="J1534" s="232">
        <v>3</v>
      </c>
      <c r="K1534" s="232">
        <v>2</v>
      </c>
      <c r="L1534" s="283">
        <v>2</v>
      </c>
      <c r="M1534" s="284">
        <f t="shared" si="60"/>
        <v>0.48935255543384243</v>
      </c>
      <c r="N1534" s="235"/>
    </row>
    <row r="1535" spans="1:14" hidden="1" x14ac:dyDescent="0.2">
      <c r="A1535" s="306" t="s">
        <v>436</v>
      </c>
      <c r="B1535" s="308" t="s">
        <v>398</v>
      </c>
      <c r="C1535" s="247" t="s">
        <v>23</v>
      </c>
      <c r="D1535" s="276" t="s">
        <v>135</v>
      </c>
      <c r="E1535" s="311">
        <v>0.47657534246575339</v>
      </c>
      <c r="F1535" s="233" t="s">
        <v>400</v>
      </c>
      <c r="G1535" s="234" t="s">
        <v>16</v>
      </c>
      <c r="H1535" s="232">
        <v>1</v>
      </c>
      <c r="I1535" s="232">
        <v>1</v>
      </c>
      <c r="J1535" s="232">
        <v>3</v>
      </c>
      <c r="K1535" s="232">
        <v>2</v>
      </c>
      <c r="L1535" s="283">
        <v>2</v>
      </c>
      <c r="M1535" s="284">
        <f t="shared" si="60"/>
        <v>0.48935255543384243</v>
      </c>
      <c r="N1535" s="235"/>
    </row>
    <row r="1536" spans="1:14" hidden="1" x14ac:dyDescent="0.2">
      <c r="A1536" s="306" t="s">
        <v>436</v>
      </c>
      <c r="B1536" s="308" t="s">
        <v>398</v>
      </c>
      <c r="C1536" s="247" t="s">
        <v>24</v>
      </c>
      <c r="D1536" s="276" t="s">
        <v>135</v>
      </c>
      <c r="E1536" s="311">
        <v>0.31327868852459018</v>
      </c>
      <c r="F1536" s="233" t="s">
        <v>400</v>
      </c>
      <c r="G1536" s="234" t="s">
        <v>16</v>
      </c>
      <c r="H1536" s="232">
        <v>1</v>
      </c>
      <c r="I1536" s="232">
        <v>1</v>
      </c>
      <c r="J1536" s="232">
        <v>3</v>
      </c>
      <c r="K1536" s="232">
        <v>2</v>
      </c>
      <c r="L1536" s="283">
        <v>2</v>
      </c>
      <c r="M1536" s="284">
        <f t="shared" si="60"/>
        <v>0.48935255543384243</v>
      </c>
      <c r="N1536" s="235"/>
    </row>
    <row r="1537" spans="1:14" hidden="1" x14ac:dyDescent="0.2">
      <c r="A1537" s="306" t="s">
        <v>436</v>
      </c>
      <c r="B1537" s="308" t="s">
        <v>398</v>
      </c>
      <c r="C1537" s="247" t="s">
        <v>25</v>
      </c>
      <c r="D1537" s="276" t="s">
        <v>135</v>
      </c>
      <c r="E1537" s="311">
        <v>1.6333333333333332E-2</v>
      </c>
      <c r="F1537" s="233" t="s">
        <v>400</v>
      </c>
      <c r="G1537" s="234" t="s">
        <v>16</v>
      </c>
      <c r="H1537" s="232">
        <v>1</v>
      </c>
      <c r="I1537" s="232">
        <v>1</v>
      </c>
      <c r="J1537" s="232">
        <v>3</v>
      </c>
      <c r="K1537" s="232">
        <v>2</v>
      </c>
      <c r="L1537" s="283">
        <v>2</v>
      </c>
      <c r="M1537" s="284">
        <f t="shared" si="60"/>
        <v>0.48935255543384243</v>
      </c>
      <c r="N1537" s="235"/>
    </row>
    <row r="1538" spans="1:14" hidden="1" x14ac:dyDescent="0.2">
      <c r="A1538" s="306" t="s">
        <v>436</v>
      </c>
      <c r="B1538" s="308" t="s">
        <v>398</v>
      </c>
      <c r="C1538" s="247" t="s">
        <v>26</v>
      </c>
      <c r="D1538" s="276" t="s">
        <v>135</v>
      </c>
      <c r="E1538" s="311">
        <v>0.1484848484848485</v>
      </c>
      <c r="F1538" s="233" t="s">
        <v>400</v>
      </c>
      <c r="G1538" s="234" t="s">
        <v>16</v>
      </c>
      <c r="H1538" s="232">
        <v>1</v>
      </c>
      <c r="I1538" s="232">
        <v>1</v>
      </c>
      <c r="J1538" s="232">
        <v>3</v>
      </c>
      <c r="K1538" s="232">
        <v>2</v>
      </c>
      <c r="L1538" s="283">
        <v>2</v>
      </c>
      <c r="M1538" s="284">
        <f t="shared" si="60"/>
        <v>0.48935255543384243</v>
      </c>
      <c r="N1538" s="235"/>
    </row>
    <row r="1539" spans="1:14" hidden="1" x14ac:dyDescent="0.2">
      <c r="A1539" s="306" t="s">
        <v>436</v>
      </c>
      <c r="B1539" s="308" t="s">
        <v>398</v>
      </c>
      <c r="C1539" s="247" t="s">
        <v>27</v>
      </c>
      <c r="D1539" s="276" t="s">
        <v>135</v>
      </c>
      <c r="E1539" s="311">
        <v>1.240506329113924E-2</v>
      </c>
      <c r="F1539" s="233" t="s">
        <v>400</v>
      </c>
      <c r="G1539" s="234" t="s">
        <v>16</v>
      </c>
      <c r="H1539" s="232">
        <v>1</v>
      </c>
      <c r="I1539" s="232">
        <v>1</v>
      </c>
      <c r="J1539" s="232">
        <v>3</v>
      </c>
      <c r="K1539" s="232">
        <v>2</v>
      </c>
      <c r="L1539" s="283">
        <v>2</v>
      </c>
      <c r="M1539" s="284">
        <f t="shared" si="60"/>
        <v>0.48935255543384243</v>
      </c>
      <c r="N1539" s="235"/>
    </row>
    <row r="1540" spans="1:14" hidden="1" x14ac:dyDescent="0.2">
      <c r="A1540" s="306" t="s">
        <v>436</v>
      </c>
      <c r="B1540" s="308" t="s">
        <v>398</v>
      </c>
      <c r="C1540" s="247" t="s">
        <v>28</v>
      </c>
      <c r="D1540" s="276" t="s">
        <v>135</v>
      </c>
      <c r="E1540" s="311">
        <v>0.20253333333333329</v>
      </c>
      <c r="F1540" s="233" t="s">
        <v>400</v>
      </c>
      <c r="G1540" s="234" t="s">
        <v>16</v>
      </c>
      <c r="H1540" s="232">
        <v>1</v>
      </c>
      <c r="I1540" s="232">
        <v>1</v>
      </c>
      <c r="J1540" s="232">
        <v>3</v>
      </c>
      <c r="K1540" s="232">
        <v>2</v>
      </c>
      <c r="L1540" s="283">
        <v>2</v>
      </c>
      <c r="M1540" s="284">
        <f t="shared" si="60"/>
        <v>0.48935255543384243</v>
      </c>
      <c r="N1540" s="235"/>
    </row>
    <row r="1541" spans="1:14" hidden="1" x14ac:dyDescent="0.2">
      <c r="A1541" s="306" t="s">
        <v>436</v>
      </c>
      <c r="B1541" s="308" t="s">
        <v>398</v>
      </c>
      <c r="C1541" s="247" t="s">
        <v>30</v>
      </c>
      <c r="D1541" s="276" t="s">
        <v>135</v>
      </c>
      <c r="E1541" s="311">
        <v>8.4482758620689664E-3</v>
      </c>
      <c r="F1541" s="233" t="s">
        <v>400</v>
      </c>
      <c r="G1541" s="234" t="s">
        <v>16</v>
      </c>
      <c r="H1541" s="232">
        <v>1</v>
      </c>
      <c r="I1541" s="232">
        <v>1</v>
      </c>
      <c r="J1541" s="232">
        <v>3</v>
      </c>
      <c r="K1541" s="232">
        <v>2</v>
      </c>
      <c r="L1541" s="283">
        <v>2</v>
      </c>
      <c r="M1541" s="284">
        <f t="shared" si="60"/>
        <v>0.48935255543384243</v>
      </c>
      <c r="N1541" s="235"/>
    </row>
    <row r="1542" spans="1:14" hidden="1" x14ac:dyDescent="0.2">
      <c r="A1542" s="306" t="s">
        <v>436</v>
      </c>
      <c r="B1542" s="308" t="s">
        <v>398</v>
      </c>
      <c r="C1542" s="247" t="s">
        <v>32</v>
      </c>
      <c r="D1542" s="276" t="s">
        <v>135</v>
      </c>
      <c r="E1542" s="311">
        <v>0.47693333333333332</v>
      </c>
      <c r="F1542" s="233" t="s">
        <v>400</v>
      </c>
      <c r="G1542" s="234" t="s">
        <v>16</v>
      </c>
      <c r="H1542" s="232">
        <v>1</v>
      </c>
      <c r="I1542" s="232">
        <v>1</v>
      </c>
      <c r="J1542" s="232">
        <v>3</v>
      </c>
      <c r="K1542" s="232">
        <v>2</v>
      </c>
      <c r="L1542" s="283">
        <v>2</v>
      </c>
      <c r="M1542" s="284">
        <f t="shared" si="60"/>
        <v>0.48935255543384243</v>
      </c>
      <c r="N1542" s="235"/>
    </row>
    <row r="1543" spans="1:14" hidden="1" x14ac:dyDescent="0.2">
      <c r="A1543" s="306" t="s">
        <v>436</v>
      </c>
      <c r="B1543" s="308" t="s">
        <v>398</v>
      </c>
      <c r="C1543" s="247" t="s">
        <v>34</v>
      </c>
      <c r="D1543" s="276" t="s">
        <v>135</v>
      </c>
      <c r="E1543" s="311">
        <v>0.35807692307692313</v>
      </c>
      <c r="F1543" s="233" t="s">
        <v>400</v>
      </c>
      <c r="G1543" s="234" t="s">
        <v>16</v>
      </c>
      <c r="H1543" s="232">
        <v>1</v>
      </c>
      <c r="I1543" s="232">
        <v>1</v>
      </c>
      <c r="J1543" s="232">
        <v>3</v>
      </c>
      <c r="K1543" s="232">
        <v>2</v>
      </c>
      <c r="L1543" s="283">
        <v>2</v>
      </c>
      <c r="M1543" s="284">
        <f t="shared" si="60"/>
        <v>0.48935255543384243</v>
      </c>
      <c r="N1543" s="235"/>
    </row>
    <row r="1544" spans="1:14" hidden="1" x14ac:dyDescent="0.2">
      <c r="A1544" s="306" t="s">
        <v>436</v>
      </c>
      <c r="B1544" s="308" t="s">
        <v>398</v>
      </c>
      <c r="C1544" s="247" t="s">
        <v>36</v>
      </c>
      <c r="D1544" s="276" t="s">
        <v>135</v>
      </c>
      <c r="E1544" s="311">
        <v>6.2112676056338023E-2</v>
      </c>
      <c r="F1544" s="233" t="s">
        <v>400</v>
      </c>
      <c r="G1544" s="234" t="s">
        <v>16</v>
      </c>
      <c r="H1544" s="232">
        <v>1</v>
      </c>
      <c r="I1544" s="232">
        <v>1</v>
      </c>
      <c r="J1544" s="232">
        <v>3</v>
      </c>
      <c r="K1544" s="232">
        <v>2</v>
      </c>
      <c r="L1544" s="283">
        <v>2</v>
      </c>
      <c r="M1544" s="284">
        <f t="shared" si="60"/>
        <v>0.48935255543384243</v>
      </c>
      <c r="N1544" s="235"/>
    </row>
    <row r="1545" spans="1:14" hidden="1" x14ac:dyDescent="0.2">
      <c r="A1545" s="306" t="s">
        <v>436</v>
      </c>
      <c r="B1545" s="308" t="s">
        <v>398</v>
      </c>
      <c r="C1545" s="247" t="s">
        <v>37</v>
      </c>
      <c r="D1545" s="276" t="s">
        <v>135</v>
      </c>
      <c r="E1545" s="311">
        <v>0.23757575757575761</v>
      </c>
      <c r="F1545" s="233" t="s">
        <v>400</v>
      </c>
      <c r="G1545" s="234" t="s">
        <v>16</v>
      </c>
      <c r="H1545" s="232">
        <v>1</v>
      </c>
      <c r="I1545" s="232">
        <v>1</v>
      </c>
      <c r="J1545" s="232">
        <v>3</v>
      </c>
      <c r="K1545" s="232">
        <v>2</v>
      </c>
      <c r="L1545" s="283">
        <v>2</v>
      </c>
      <c r="M1545" s="284">
        <f t="shared" si="60"/>
        <v>0.48935255543384243</v>
      </c>
      <c r="N1545" s="235"/>
    </row>
    <row r="1546" spans="1:14" hidden="1" x14ac:dyDescent="0.2">
      <c r="A1546" s="306" t="s">
        <v>436</v>
      </c>
      <c r="B1546" s="308" t="s">
        <v>398</v>
      </c>
      <c r="C1546" s="247" t="s">
        <v>39</v>
      </c>
      <c r="D1546" s="276" t="s">
        <v>135</v>
      </c>
      <c r="E1546" s="311">
        <v>0.47515151515151521</v>
      </c>
      <c r="F1546" s="233" t="s">
        <v>400</v>
      </c>
      <c r="G1546" s="234" t="s">
        <v>16</v>
      </c>
      <c r="H1546" s="232">
        <v>1</v>
      </c>
      <c r="I1546" s="232">
        <v>1</v>
      </c>
      <c r="J1546" s="232">
        <v>3</v>
      </c>
      <c r="K1546" s="232">
        <v>2</v>
      </c>
      <c r="L1546" s="283">
        <v>2</v>
      </c>
      <c r="M1546" s="284">
        <f t="shared" si="60"/>
        <v>0.48935255543384243</v>
      </c>
      <c r="N1546" s="235"/>
    </row>
    <row r="1547" spans="1:14" hidden="1" x14ac:dyDescent="0.2">
      <c r="A1547" s="306" t="s">
        <v>436</v>
      </c>
      <c r="B1547" s="308" t="s">
        <v>398</v>
      </c>
      <c r="C1547" s="247" t="s">
        <v>40</v>
      </c>
      <c r="D1547" s="276" t="s">
        <v>135</v>
      </c>
      <c r="E1547" s="311">
        <v>0.30205479452054801</v>
      </c>
      <c r="F1547" s="233" t="s">
        <v>400</v>
      </c>
      <c r="G1547" s="234" t="s">
        <v>16</v>
      </c>
      <c r="H1547" s="232">
        <v>1</v>
      </c>
      <c r="I1547" s="232">
        <v>1</v>
      </c>
      <c r="J1547" s="232">
        <v>3</v>
      </c>
      <c r="K1547" s="232">
        <v>2</v>
      </c>
      <c r="L1547" s="283">
        <v>2</v>
      </c>
      <c r="M1547" s="284">
        <f t="shared" si="60"/>
        <v>0.48935255543384243</v>
      </c>
      <c r="N1547" s="235"/>
    </row>
    <row r="1548" spans="1:14" hidden="1" x14ac:dyDescent="0.2">
      <c r="A1548" s="306" t="s">
        <v>436</v>
      </c>
      <c r="B1548" s="308" t="s">
        <v>398</v>
      </c>
      <c r="C1548" s="247" t="s">
        <v>41</v>
      </c>
      <c r="D1548" s="276" t="s">
        <v>135</v>
      </c>
      <c r="E1548" s="61">
        <v>0</v>
      </c>
      <c r="F1548" s="233" t="s">
        <v>400</v>
      </c>
      <c r="G1548" s="234" t="s">
        <v>16</v>
      </c>
      <c r="H1548" s="61"/>
      <c r="I1548" s="61"/>
      <c r="J1548" s="61" t="str">
        <f>IF( OR( ISBLANK(#REF!),ISBLANK(F1548), ISBLANK(#REF!), ISBLANK(H1548), ISBLANK(I1548) ), "", 1.5*SQRT(   EXP(2.21*(#REF!-1)) + EXP(2.21*(F1548-1)) + EXP(2.21*(#REF!-1)) + EXP(2.21*(H1548-1)) + EXP(2.21*I1548)   )/100 )</f>
        <v/>
      </c>
      <c r="K1548" s="61"/>
      <c r="L1548" s="62"/>
      <c r="M1548" s="63" t="str">
        <f>IF( OR( ISBLANK(H1548),ISBLANK(I1548), ISBLANK(J1548), ISBLANK(K1548), ISBLANK(L1548) ), "", 1.5*SQRT(   EXP(2.21*(H1548-1)) + EXP(2.21*(I1548-1)) + EXP(2.21*(J1548-1)) + EXP(2.21*(K1548-1)) + EXP(2.21*L1548)   )/100*2.45 )</f>
        <v/>
      </c>
      <c r="N1548" s="235"/>
    </row>
    <row r="1549" spans="1:14" hidden="1" x14ac:dyDescent="0.2">
      <c r="A1549" s="306" t="s">
        <v>436</v>
      </c>
      <c r="B1549" s="308" t="s">
        <v>398</v>
      </c>
      <c r="C1549" s="247" t="s">
        <v>42</v>
      </c>
      <c r="D1549" s="276" t="s">
        <v>135</v>
      </c>
      <c r="E1549" s="311">
        <v>0.47727272727272718</v>
      </c>
      <c r="F1549" s="233" t="s">
        <v>400</v>
      </c>
      <c r="G1549" s="234" t="s">
        <v>16</v>
      </c>
      <c r="H1549" s="232">
        <v>1</v>
      </c>
      <c r="I1549" s="232">
        <v>1</v>
      </c>
      <c r="J1549" s="232">
        <v>3</v>
      </c>
      <c r="K1549" s="232">
        <v>2</v>
      </c>
      <c r="L1549" s="283">
        <v>2</v>
      </c>
      <c r="M1549" s="284">
        <f>IF( OR( ISBLANK(H1549),ISBLANK(I1549), ISBLANK(J1549), ISBLANK(K1549), ISBLANK(L1549) ), "", 1.5*SQRT(   EXP(2.21*(H1549-1)) + EXP(2.21*(I1549-1)) + EXP(2.21*(J1549-1)) + EXP(2.21*(K1549-1)) + EXP(2.21*L1549)   )/100*2.45 )</f>
        <v>0.48935255543384243</v>
      </c>
      <c r="N1549" s="235"/>
    </row>
    <row r="1550" spans="1:14" hidden="1" x14ac:dyDescent="0.2">
      <c r="A1550" s="306" t="s">
        <v>436</v>
      </c>
      <c r="B1550" s="308" t="s">
        <v>398</v>
      </c>
      <c r="C1550" s="247" t="s">
        <v>43</v>
      </c>
      <c r="D1550" s="276" t="s">
        <v>135</v>
      </c>
      <c r="E1550" s="61">
        <v>0</v>
      </c>
      <c r="F1550" s="233" t="s">
        <v>400</v>
      </c>
      <c r="G1550" s="234" t="s">
        <v>16</v>
      </c>
      <c r="H1550" s="61"/>
      <c r="I1550" s="61"/>
      <c r="J1550" s="61" t="str">
        <f>IF( OR( ISBLANK(#REF!),ISBLANK(F1550), ISBLANK(#REF!), ISBLANK(H1550), ISBLANK(I1550) ), "", 1.5*SQRT(   EXP(2.21*(#REF!-1)) + EXP(2.21*(F1550-1)) + EXP(2.21*(#REF!-1)) + EXP(2.21*(H1550-1)) + EXP(2.21*I1550)   )/100 )</f>
        <v/>
      </c>
      <c r="K1550" s="61"/>
      <c r="L1550" s="62"/>
      <c r="M1550" s="63" t="str">
        <f>IF( OR( ISBLANK(H1550),ISBLANK(I1550), ISBLANK(J1550), ISBLANK(K1550), ISBLANK(L1550) ), "", 1.5*SQRT(   EXP(2.21*(H1550-1)) + EXP(2.21*(I1550-1)) + EXP(2.21*(J1550-1)) + EXP(2.21*(K1550-1)) + EXP(2.21*L1550)   )/100*2.45 )</f>
        <v/>
      </c>
      <c r="N1550" s="235"/>
    </row>
    <row r="1551" spans="1:14" hidden="1" x14ac:dyDescent="0.2">
      <c r="A1551" s="306" t="s">
        <v>436</v>
      </c>
      <c r="B1551" s="308" t="s">
        <v>398</v>
      </c>
      <c r="C1551" s="247" t="s">
        <v>45</v>
      </c>
      <c r="D1551" s="276" t="s">
        <v>135</v>
      </c>
      <c r="E1551" s="311">
        <v>1.7500000000000002E-2</v>
      </c>
      <c r="F1551" s="233" t="s">
        <v>400</v>
      </c>
      <c r="G1551" s="234" t="s">
        <v>16</v>
      </c>
      <c r="H1551" s="232">
        <v>1</v>
      </c>
      <c r="I1551" s="232">
        <v>1</v>
      </c>
      <c r="J1551" s="232">
        <v>3</v>
      </c>
      <c r="K1551" s="232">
        <v>2</v>
      </c>
      <c r="L1551" s="283">
        <v>2</v>
      </c>
      <c r="M1551" s="284">
        <f>IF( OR( ISBLANK(H1551),ISBLANK(I1551), ISBLANK(J1551), ISBLANK(K1551), ISBLANK(L1551) ), "", 1.5*SQRT(   EXP(2.21*(H1551-1)) + EXP(2.21*(I1551-1)) + EXP(2.21*(J1551-1)) + EXP(2.21*(K1551-1)) + EXP(2.21*L1551)   )/100*2.45 )</f>
        <v>0.48935255543384243</v>
      </c>
      <c r="N1551" s="235"/>
    </row>
    <row r="1552" spans="1:14" hidden="1" x14ac:dyDescent="0.2">
      <c r="A1552" s="306" t="s">
        <v>436</v>
      </c>
      <c r="B1552" s="308" t="s">
        <v>398</v>
      </c>
      <c r="C1552" s="247" t="s">
        <v>46</v>
      </c>
      <c r="D1552" s="276" t="s">
        <v>135</v>
      </c>
      <c r="E1552" s="311">
        <v>0.27520547945205481</v>
      </c>
      <c r="F1552" s="233" t="s">
        <v>400</v>
      </c>
      <c r="G1552" s="234" t="s">
        <v>16</v>
      </c>
      <c r="H1552" s="232">
        <v>1</v>
      </c>
      <c r="I1552" s="232">
        <v>1</v>
      </c>
      <c r="J1552" s="232">
        <v>3</v>
      </c>
      <c r="K1552" s="232">
        <v>2</v>
      </c>
      <c r="L1552" s="283">
        <v>2</v>
      </c>
      <c r="M1552" s="284">
        <f t="shared" ref="M1552:M1558" si="61">IF( OR( ISBLANK(H1552),ISBLANK(I1552), ISBLANK(J1552), ISBLANK(K1552), ISBLANK(L1552) ), "", 1.5*SQRT( EXP(2.21*(H1552-1)) + EXP(2.21*(I1552-1)) + EXP(2.21*(J1552-1)) + EXP(2.21*(K1552-1)) + EXP(2.21*L1552) )/100*2.45 )</f>
        <v>0.48935255543384243</v>
      </c>
      <c r="N1552" s="235"/>
    </row>
    <row r="1553" spans="1:14" hidden="1" x14ac:dyDescent="0.2">
      <c r="A1553" s="306" t="s">
        <v>436</v>
      </c>
      <c r="B1553" s="308" t="s">
        <v>398</v>
      </c>
      <c r="C1553" s="247" t="s">
        <v>48</v>
      </c>
      <c r="D1553" s="276" t="s">
        <v>135</v>
      </c>
      <c r="E1553" s="311">
        <v>0.23779411764705891</v>
      </c>
      <c r="F1553" s="233" t="s">
        <v>400</v>
      </c>
      <c r="G1553" s="234" t="s">
        <v>16</v>
      </c>
      <c r="H1553" s="232">
        <v>1</v>
      </c>
      <c r="I1553" s="232">
        <v>1</v>
      </c>
      <c r="J1553" s="232">
        <v>3</v>
      </c>
      <c r="K1553" s="232">
        <v>2</v>
      </c>
      <c r="L1553" s="283">
        <v>2</v>
      </c>
      <c r="M1553" s="284">
        <f t="shared" si="61"/>
        <v>0.48935255543384243</v>
      </c>
      <c r="N1553" s="235"/>
    </row>
    <row r="1554" spans="1:14" hidden="1" x14ac:dyDescent="0.2">
      <c r="A1554" s="306" t="s">
        <v>436</v>
      </c>
      <c r="B1554" s="308" t="s">
        <v>398</v>
      </c>
      <c r="C1554" s="247" t="s">
        <v>50</v>
      </c>
      <c r="D1554" s="276" t="s">
        <v>135</v>
      </c>
      <c r="E1554" s="311">
        <v>0.40955223880597019</v>
      </c>
      <c r="F1554" s="233" t="s">
        <v>400</v>
      </c>
      <c r="G1554" s="234" t="s">
        <v>16</v>
      </c>
      <c r="H1554" s="232">
        <v>1</v>
      </c>
      <c r="I1554" s="232">
        <v>1</v>
      </c>
      <c r="J1554" s="232">
        <v>3</v>
      </c>
      <c r="K1554" s="232">
        <v>2</v>
      </c>
      <c r="L1554" s="283">
        <v>2</v>
      </c>
      <c r="M1554" s="284">
        <f t="shared" si="61"/>
        <v>0.48935255543384243</v>
      </c>
      <c r="N1554" s="235"/>
    </row>
    <row r="1555" spans="1:14" hidden="1" x14ac:dyDescent="0.2">
      <c r="A1555" s="306" t="s">
        <v>436</v>
      </c>
      <c r="B1555" s="308" t="s">
        <v>398</v>
      </c>
      <c r="C1555" s="247" t="s">
        <v>52</v>
      </c>
      <c r="D1555" s="276" t="s">
        <v>135</v>
      </c>
      <c r="E1555" s="311">
        <v>0.315</v>
      </c>
      <c r="F1555" s="233" t="s">
        <v>400</v>
      </c>
      <c r="G1555" s="234" t="s">
        <v>16</v>
      </c>
      <c r="H1555" s="232">
        <v>1</v>
      </c>
      <c r="I1555" s="232">
        <v>1</v>
      </c>
      <c r="J1555" s="232">
        <v>3</v>
      </c>
      <c r="K1555" s="232">
        <v>2</v>
      </c>
      <c r="L1555" s="283">
        <v>2</v>
      </c>
      <c r="M1555" s="284">
        <f t="shared" si="61"/>
        <v>0.48935255543384243</v>
      </c>
      <c r="N1555" s="235"/>
    </row>
    <row r="1556" spans="1:14" hidden="1" x14ac:dyDescent="0.2">
      <c r="A1556" s="306" t="s">
        <v>436</v>
      </c>
      <c r="B1556" s="308" t="s">
        <v>398</v>
      </c>
      <c r="C1556" s="247" t="s">
        <v>54</v>
      </c>
      <c r="D1556" s="276" t="s">
        <v>135</v>
      </c>
      <c r="E1556" s="311">
        <v>0.24876923076923069</v>
      </c>
      <c r="F1556" s="233" t="s">
        <v>400</v>
      </c>
      <c r="G1556" s="234" t="s">
        <v>16</v>
      </c>
      <c r="H1556" s="232">
        <v>1</v>
      </c>
      <c r="I1556" s="232">
        <v>1</v>
      </c>
      <c r="J1556" s="232">
        <v>3</v>
      </c>
      <c r="K1556" s="232">
        <v>2</v>
      </c>
      <c r="L1556" s="283">
        <v>2</v>
      </c>
      <c r="M1556" s="284">
        <f t="shared" si="61"/>
        <v>0.48935255543384243</v>
      </c>
      <c r="N1556" s="235"/>
    </row>
    <row r="1557" spans="1:14" hidden="1" x14ac:dyDescent="0.2">
      <c r="A1557" s="306" t="s">
        <v>436</v>
      </c>
      <c r="B1557" s="308" t="s">
        <v>398</v>
      </c>
      <c r="C1557" s="247" t="s">
        <v>55</v>
      </c>
      <c r="D1557" s="276" t="s">
        <v>135</v>
      </c>
      <c r="E1557" s="311">
        <v>0.30947368421052629</v>
      </c>
      <c r="F1557" s="233" t="s">
        <v>400</v>
      </c>
      <c r="G1557" s="234" t="s">
        <v>16</v>
      </c>
      <c r="H1557" s="232">
        <v>1</v>
      </c>
      <c r="I1557" s="232">
        <v>1</v>
      </c>
      <c r="J1557" s="232">
        <v>3</v>
      </c>
      <c r="K1557" s="232">
        <v>2</v>
      </c>
      <c r="L1557" s="283">
        <v>2</v>
      </c>
      <c r="M1557" s="284">
        <f t="shared" si="61"/>
        <v>0.48935255543384243</v>
      </c>
      <c r="N1557" s="235"/>
    </row>
    <row r="1558" spans="1:14" hidden="1" x14ac:dyDescent="0.2">
      <c r="A1558" s="306" t="s">
        <v>436</v>
      </c>
      <c r="B1558" s="308" t="s">
        <v>398</v>
      </c>
      <c r="C1558" s="247" t="s">
        <v>57</v>
      </c>
      <c r="D1558" s="276" t="s">
        <v>135</v>
      </c>
      <c r="E1558" s="311">
        <v>8.0327868852459027E-3</v>
      </c>
      <c r="F1558" s="233" t="s">
        <v>400</v>
      </c>
      <c r="G1558" s="234" t="s">
        <v>16</v>
      </c>
      <c r="H1558" s="232">
        <v>1</v>
      </c>
      <c r="I1558" s="232">
        <v>1</v>
      </c>
      <c r="J1558" s="232">
        <v>3</v>
      </c>
      <c r="K1558" s="232">
        <v>2</v>
      </c>
      <c r="L1558" s="283">
        <v>2</v>
      </c>
      <c r="M1558" s="284">
        <f t="shared" si="61"/>
        <v>0.48935255543384243</v>
      </c>
      <c r="N1558" s="235"/>
    </row>
    <row r="1559" spans="1:14" hidden="1" x14ac:dyDescent="0.2">
      <c r="A1559" s="306" t="s">
        <v>436</v>
      </c>
      <c r="B1559" s="308" t="s">
        <v>398</v>
      </c>
      <c r="C1559" s="247" t="s">
        <v>59</v>
      </c>
      <c r="D1559" s="276" t="s">
        <v>135</v>
      </c>
      <c r="E1559" s="61">
        <v>0</v>
      </c>
      <c r="F1559" s="233" t="s">
        <v>400</v>
      </c>
      <c r="G1559" s="234" t="s">
        <v>16</v>
      </c>
      <c r="H1559" s="61"/>
      <c r="I1559" s="61"/>
      <c r="J1559" s="61" t="str">
        <f>IF( OR( ISBLANK(#REF!),ISBLANK(F1559), ISBLANK(#REF!), ISBLANK(H1559), ISBLANK(I1559) ), "", 1.5*SQRT(   EXP(2.21*(#REF!-1)) + EXP(2.21*(F1559-1)) + EXP(2.21*(#REF!-1)) + EXP(2.21*(H1559-1)) + EXP(2.21*I1559)   )/100 )</f>
        <v/>
      </c>
      <c r="K1559" s="61"/>
      <c r="L1559" s="62"/>
      <c r="M1559" s="63" t="str">
        <f>IF( OR( ISBLANK(H1559),ISBLANK(I1559), ISBLANK(J1559), ISBLANK(K1559), ISBLANK(L1559) ), "", 1.5*SQRT(   EXP(2.21*(H1559-1)) + EXP(2.21*(I1559-1)) + EXP(2.21*(J1559-1)) + EXP(2.21*(K1559-1)) + EXP(2.21*L1559)   )/100*2.45 )</f>
        <v/>
      </c>
      <c r="N1559" s="235"/>
    </row>
    <row r="1560" spans="1:14" hidden="1" x14ac:dyDescent="0.2">
      <c r="A1560" s="306" t="s">
        <v>436</v>
      </c>
      <c r="B1560" s="308" t="s">
        <v>398</v>
      </c>
      <c r="C1560" s="247" t="s">
        <v>60</v>
      </c>
      <c r="D1560" s="276" t="s">
        <v>135</v>
      </c>
      <c r="E1560" s="311">
        <v>0.14777777777777781</v>
      </c>
      <c r="F1560" s="233" t="s">
        <v>400</v>
      </c>
      <c r="G1560" s="234" t="s">
        <v>16</v>
      </c>
      <c r="H1560" s="232">
        <v>1</v>
      </c>
      <c r="I1560" s="232">
        <v>1</v>
      </c>
      <c r="J1560" s="232">
        <v>3</v>
      </c>
      <c r="K1560" s="232">
        <v>2</v>
      </c>
      <c r="L1560" s="283">
        <v>2</v>
      </c>
      <c r="M1560" s="284">
        <f>IF( OR( ISBLANK(H1560),ISBLANK(I1560), ISBLANK(J1560), ISBLANK(K1560), ISBLANK(L1560) ), "", 1.5*SQRT(   EXP(2.21*(H1560-1)) + EXP(2.21*(I1560-1)) + EXP(2.21*(J1560-1)) + EXP(2.21*(K1560-1)) + EXP(2.21*L1560)   )/100*2.45 )</f>
        <v>0.48935255543384243</v>
      </c>
      <c r="N1560" s="235"/>
    </row>
    <row r="1561" spans="1:14" x14ac:dyDescent="0.2">
      <c r="A1561" s="341" t="s">
        <v>436</v>
      </c>
      <c r="B1561" s="281" t="s">
        <v>399</v>
      </c>
      <c r="C1561" s="238" t="s">
        <v>135</v>
      </c>
      <c r="D1561" s="239" t="s">
        <v>135</v>
      </c>
      <c r="E1561" s="240" t="s">
        <v>188</v>
      </c>
      <c r="F1561" s="241"/>
      <c r="G1561" s="343" t="s">
        <v>16</v>
      </c>
      <c r="H1561" s="240"/>
      <c r="I1561" s="240"/>
      <c r="J1561" s="240"/>
      <c r="K1561" s="240"/>
      <c r="L1561" s="243"/>
      <c r="M1561" s="243" t="str">
        <f>IF( OR( ISBLANK(H1561),ISBLANK(I1561), ISBLANK(J1561), ISBLANK(K1561), ISBLANK(L1561) ), "", 1.5*SQRT(   EXP(2.21*(H1561-1)) + EXP(2.21*(I1561-1)) + EXP(2.21*(J1561-1)) + EXP(2.21*(K1561-1)) + EXP(2.21*L1561)   )/100*2.45 )</f>
        <v/>
      </c>
      <c r="N1561" s="245"/>
    </row>
    <row r="1562" spans="1:14" x14ac:dyDescent="0.2">
      <c r="A1562" s="348" t="s">
        <v>438</v>
      </c>
      <c r="B1562" s="310" t="s">
        <v>440</v>
      </c>
      <c r="C1562" s="222" t="s">
        <v>135</v>
      </c>
      <c r="D1562" s="223" t="s">
        <v>135</v>
      </c>
      <c r="E1562" s="223">
        <v>0.9</v>
      </c>
      <c r="F1562" s="225" t="s">
        <v>439</v>
      </c>
      <c r="G1562" s="334" t="s">
        <v>16</v>
      </c>
      <c r="H1562" s="223">
        <v>2</v>
      </c>
      <c r="I1562" s="223">
        <v>2</v>
      </c>
      <c r="J1562" s="223">
        <v>3</v>
      </c>
      <c r="K1562" s="223">
        <v>1</v>
      </c>
      <c r="L1562" s="335">
        <v>3</v>
      </c>
      <c r="M1562" s="284">
        <f>IF( OR( ISBLANK(H1562),ISBLANK(I1562), ISBLANK(J1562), ISBLANK(K1562), ISBLANK(L1562) ), "", 1.5*SQRT(   EXP(2.21*(H1562-1)) + EXP(2.21*(I1562-1)) + EXP(2.21*(J1562-1)) + EXP(2.21*(K1562-1)) + EXP(2.21*L1562)   )/100*2.45 )</f>
        <v>1.0776024280428556</v>
      </c>
      <c r="N1562" s="229"/>
    </row>
    <row r="1563" spans="1:14" x14ac:dyDescent="0.2">
      <c r="A1563" s="349" t="s">
        <v>438</v>
      </c>
      <c r="B1563" s="308" t="s">
        <v>398</v>
      </c>
      <c r="C1563" s="247" t="s">
        <v>13</v>
      </c>
      <c r="D1563" s="276" t="s">
        <v>135</v>
      </c>
      <c r="E1563" s="344">
        <v>0</v>
      </c>
      <c r="F1563" s="345" t="s">
        <v>443</v>
      </c>
      <c r="G1563" s="346" t="s">
        <v>16</v>
      </c>
      <c r="H1563" s="344"/>
      <c r="I1563" s="344"/>
      <c r="J1563" s="344"/>
      <c r="K1563" s="344"/>
      <c r="L1563" s="347"/>
      <c r="M1563" s="347"/>
      <c r="N1563" s="235"/>
    </row>
    <row r="1564" spans="1:14" hidden="1" x14ac:dyDescent="0.2">
      <c r="A1564" s="349" t="s">
        <v>438</v>
      </c>
      <c r="B1564" s="308" t="s">
        <v>398</v>
      </c>
      <c r="C1564" s="247" t="s">
        <v>18</v>
      </c>
      <c r="D1564" s="276" t="s">
        <v>135</v>
      </c>
      <c r="E1564" s="311">
        <v>3.2786885245901641E-2</v>
      </c>
      <c r="F1564" s="233" t="s">
        <v>443</v>
      </c>
      <c r="G1564" s="342" t="s">
        <v>16</v>
      </c>
      <c r="H1564" s="232">
        <v>1</v>
      </c>
      <c r="I1564" s="232">
        <v>1</v>
      </c>
      <c r="J1564" s="232">
        <v>3</v>
      </c>
      <c r="K1564" s="232">
        <v>2</v>
      </c>
      <c r="L1564" s="283">
        <v>2</v>
      </c>
      <c r="M1564" s="283">
        <f>IF( OR( ISBLANK(H1564),ISBLANK(I1564), ISBLANK(J1564), ISBLANK(K1564), ISBLANK(L1564) ), "", 1.5*SQRT(   EXP(2.21*(H1564-1)) + EXP(2.21*(I1564-1)) + EXP(2.21*(J1564-1)) + EXP(2.21*(K1564-1)) + EXP(2.21*L1564)   )/100*2.45 )</f>
        <v>0.48935255543384243</v>
      </c>
      <c r="N1564" s="235"/>
    </row>
    <row r="1565" spans="1:14" hidden="1" x14ac:dyDescent="0.2">
      <c r="A1565" s="349" t="s">
        <v>438</v>
      </c>
      <c r="B1565" s="308" t="s">
        <v>398</v>
      </c>
      <c r="C1565" s="247" t="s">
        <v>20</v>
      </c>
      <c r="D1565" s="276" t="s">
        <v>135</v>
      </c>
      <c r="E1565" s="350">
        <v>0.89610389610389618</v>
      </c>
      <c r="F1565" s="345" t="s">
        <v>443</v>
      </c>
      <c r="G1565" s="346" t="s">
        <v>16</v>
      </c>
      <c r="H1565" s="232">
        <v>1</v>
      </c>
      <c r="I1565" s="232">
        <v>1</v>
      </c>
      <c r="J1565" s="232">
        <v>3</v>
      </c>
      <c r="K1565" s="232">
        <v>2</v>
      </c>
      <c r="L1565" s="283">
        <v>2</v>
      </c>
      <c r="M1565" s="283">
        <f t="shared" ref="M1565:M1579" si="62">IF( OR( ISBLANK(H1565),ISBLANK(I1565), ISBLANK(J1565), ISBLANK(K1565), ISBLANK(L1565) ), "", 1.5*SQRT( EXP(2.21*(H1565-1)) + EXP(2.21*(I1565-1)) + EXP(2.21*(J1565-1)) + EXP(2.21*(K1565-1)) + EXP(2.21*L1565) )/100*2.45 )</f>
        <v>0.48935255543384243</v>
      </c>
      <c r="N1565" s="235"/>
    </row>
    <row r="1566" spans="1:14" hidden="1" x14ac:dyDescent="0.2">
      <c r="A1566" s="349" t="s">
        <v>438</v>
      </c>
      <c r="B1566" s="308" t="s">
        <v>398</v>
      </c>
      <c r="C1566" s="247" t="s">
        <v>22</v>
      </c>
      <c r="D1566" s="276" t="s">
        <v>135</v>
      </c>
      <c r="E1566" s="311">
        <v>0.93055555555555547</v>
      </c>
      <c r="F1566" s="233" t="s">
        <v>443</v>
      </c>
      <c r="G1566" s="342" t="s">
        <v>16</v>
      </c>
      <c r="H1566" s="232">
        <v>1</v>
      </c>
      <c r="I1566" s="232">
        <v>1</v>
      </c>
      <c r="J1566" s="232">
        <v>3</v>
      </c>
      <c r="K1566" s="232">
        <v>2</v>
      </c>
      <c r="L1566" s="283">
        <v>2</v>
      </c>
      <c r="M1566" s="283">
        <f t="shared" si="62"/>
        <v>0.48935255543384243</v>
      </c>
      <c r="N1566" s="235"/>
    </row>
    <row r="1567" spans="1:14" hidden="1" x14ac:dyDescent="0.2">
      <c r="A1567" s="349" t="s">
        <v>438</v>
      </c>
      <c r="B1567" s="308" t="s">
        <v>398</v>
      </c>
      <c r="C1567" s="247" t="s">
        <v>23</v>
      </c>
      <c r="D1567" s="276" t="s">
        <v>135</v>
      </c>
      <c r="E1567" s="350">
        <v>0.9726027397260274</v>
      </c>
      <c r="F1567" s="345" t="s">
        <v>443</v>
      </c>
      <c r="G1567" s="346" t="s">
        <v>16</v>
      </c>
      <c r="H1567" s="232">
        <v>1</v>
      </c>
      <c r="I1567" s="232">
        <v>1</v>
      </c>
      <c r="J1567" s="232">
        <v>3</v>
      </c>
      <c r="K1567" s="232">
        <v>2</v>
      </c>
      <c r="L1567" s="283">
        <v>2</v>
      </c>
      <c r="M1567" s="283">
        <f t="shared" si="62"/>
        <v>0.48935255543384243</v>
      </c>
      <c r="N1567" s="235"/>
    </row>
    <row r="1568" spans="1:14" hidden="1" x14ac:dyDescent="0.2">
      <c r="A1568" s="349" t="s">
        <v>438</v>
      </c>
      <c r="B1568" s="308" t="s">
        <v>398</v>
      </c>
      <c r="C1568" s="247" t="s">
        <v>24</v>
      </c>
      <c r="D1568" s="276" t="s">
        <v>135</v>
      </c>
      <c r="E1568" s="311">
        <v>0.63934426229508201</v>
      </c>
      <c r="F1568" s="233" t="s">
        <v>443</v>
      </c>
      <c r="G1568" s="234" t="s">
        <v>16</v>
      </c>
      <c r="H1568" s="232">
        <v>2</v>
      </c>
      <c r="I1568" s="232">
        <v>1</v>
      </c>
      <c r="J1568" s="232">
        <v>3</v>
      </c>
      <c r="K1568" s="232">
        <v>2</v>
      </c>
      <c r="L1568" s="283">
        <v>2</v>
      </c>
      <c r="M1568" s="283">
        <f t="shared" si="62"/>
        <v>0.50042652380814845</v>
      </c>
      <c r="N1568" s="235"/>
    </row>
    <row r="1569" spans="1:14" hidden="1" x14ac:dyDescent="0.2">
      <c r="A1569" s="349" t="s">
        <v>438</v>
      </c>
      <c r="B1569" s="308" t="s">
        <v>398</v>
      </c>
      <c r="C1569" s="247" t="s">
        <v>25</v>
      </c>
      <c r="D1569" s="276" t="s">
        <v>135</v>
      </c>
      <c r="E1569" s="311">
        <v>3.3333333333333333E-2</v>
      </c>
      <c r="F1569" s="233" t="s">
        <v>443</v>
      </c>
      <c r="G1569" s="234" t="s">
        <v>16</v>
      </c>
      <c r="H1569" s="232">
        <v>2</v>
      </c>
      <c r="I1569" s="232">
        <v>1</v>
      </c>
      <c r="J1569" s="232">
        <v>3</v>
      </c>
      <c r="K1569" s="232">
        <v>2</v>
      </c>
      <c r="L1569" s="283">
        <v>2</v>
      </c>
      <c r="M1569" s="283">
        <f t="shared" si="62"/>
        <v>0.50042652380814845</v>
      </c>
      <c r="N1569" s="235"/>
    </row>
    <row r="1570" spans="1:14" hidden="1" x14ac:dyDescent="0.2">
      <c r="A1570" s="349" t="s">
        <v>438</v>
      </c>
      <c r="B1570" s="308" t="s">
        <v>398</v>
      </c>
      <c r="C1570" s="247" t="s">
        <v>26</v>
      </c>
      <c r="D1570" s="276" t="s">
        <v>135</v>
      </c>
      <c r="E1570" s="311">
        <v>0.30303030303030298</v>
      </c>
      <c r="F1570" s="233" t="s">
        <v>443</v>
      </c>
      <c r="G1570" s="234" t="s">
        <v>16</v>
      </c>
      <c r="H1570" s="232">
        <v>1</v>
      </c>
      <c r="I1570" s="232">
        <v>1</v>
      </c>
      <c r="J1570" s="232">
        <v>3</v>
      </c>
      <c r="K1570" s="232">
        <v>2</v>
      </c>
      <c r="L1570" s="283">
        <v>2</v>
      </c>
      <c r="M1570" s="283">
        <f t="shared" si="62"/>
        <v>0.48935255543384243</v>
      </c>
      <c r="N1570" s="235"/>
    </row>
    <row r="1571" spans="1:14" hidden="1" x14ac:dyDescent="0.2">
      <c r="A1571" s="349" t="s">
        <v>438</v>
      </c>
      <c r="B1571" s="308" t="s">
        <v>398</v>
      </c>
      <c r="C1571" s="247" t="s">
        <v>27</v>
      </c>
      <c r="D1571" s="276" t="s">
        <v>135</v>
      </c>
      <c r="E1571" s="311">
        <v>2.5316455696202531E-2</v>
      </c>
      <c r="F1571" s="233" t="s">
        <v>443</v>
      </c>
      <c r="G1571" s="234" t="s">
        <v>16</v>
      </c>
      <c r="H1571" s="232">
        <v>2</v>
      </c>
      <c r="I1571" s="232">
        <v>1</v>
      </c>
      <c r="J1571" s="232">
        <v>3</v>
      </c>
      <c r="K1571" s="232">
        <v>2</v>
      </c>
      <c r="L1571" s="283">
        <v>2</v>
      </c>
      <c r="M1571" s="283">
        <f t="shared" si="62"/>
        <v>0.50042652380814845</v>
      </c>
      <c r="N1571" s="235"/>
    </row>
    <row r="1572" spans="1:14" hidden="1" x14ac:dyDescent="0.2">
      <c r="A1572" s="349" t="s">
        <v>438</v>
      </c>
      <c r="B1572" s="308" t="s">
        <v>398</v>
      </c>
      <c r="C1572" s="247" t="s">
        <v>28</v>
      </c>
      <c r="D1572" s="276" t="s">
        <v>135</v>
      </c>
      <c r="E1572" s="311">
        <v>0.41333333333333327</v>
      </c>
      <c r="F1572" s="233" t="s">
        <v>443</v>
      </c>
      <c r="G1572" s="234" t="s">
        <v>16</v>
      </c>
      <c r="H1572" s="232">
        <v>2</v>
      </c>
      <c r="I1572" s="232">
        <v>1</v>
      </c>
      <c r="J1572" s="232">
        <v>3</v>
      </c>
      <c r="K1572" s="232">
        <v>2</v>
      </c>
      <c r="L1572" s="283">
        <v>2</v>
      </c>
      <c r="M1572" s="283">
        <f t="shared" si="62"/>
        <v>0.50042652380814845</v>
      </c>
      <c r="N1572" s="235"/>
    </row>
    <row r="1573" spans="1:14" hidden="1" x14ac:dyDescent="0.2">
      <c r="A1573" s="349" t="s">
        <v>438</v>
      </c>
      <c r="B1573" s="308" t="s">
        <v>398</v>
      </c>
      <c r="C1573" s="247" t="s">
        <v>30</v>
      </c>
      <c r="D1573" s="276" t="s">
        <v>135</v>
      </c>
      <c r="E1573" s="311">
        <v>1.7241379310344831E-2</v>
      </c>
      <c r="F1573" s="233" t="s">
        <v>443</v>
      </c>
      <c r="G1573" s="234" t="s">
        <v>16</v>
      </c>
      <c r="H1573" s="232">
        <v>1</v>
      </c>
      <c r="I1573" s="232">
        <v>1</v>
      </c>
      <c r="J1573" s="232">
        <v>3</v>
      </c>
      <c r="K1573" s="232">
        <v>2</v>
      </c>
      <c r="L1573" s="283">
        <v>2</v>
      </c>
      <c r="M1573" s="283">
        <f t="shared" si="62"/>
        <v>0.48935255543384243</v>
      </c>
      <c r="N1573" s="235"/>
    </row>
    <row r="1574" spans="1:14" hidden="1" x14ac:dyDescent="0.2">
      <c r="A1574" s="349" t="s">
        <v>438</v>
      </c>
      <c r="B1574" s="308" t="s">
        <v>398</v>
      </c>
      <c r="C1574" s="247" t="s">
        <v>32</v>
      </c>
      <c r="D1574" s="276" t="s">
        <v>135</v>
      </c>
      <c r="E1574" s="350">
        <v>0.97333333333333327</v>
      </c>
      <c r="F1574" s="345" t="s">
        <v>443</v>
      </c>
      <c r="G1574" s="346" t="s">
        <v>16</v>
      </c>
      <c r="H1574" s="232">
        <v>1</v>
      </c>
      <c r="I1574" s="232">
        <v>1</v>
      </c>
      <c r="J1574" s="232">
        <v>3</v>
      </c>
      <c r="K1574" s="232">
        <v>2</v>
      </c>
      <c r="L1574" s="283">
        <v>2</v>
      </c>
      <c r="M1574" s="283">
        <f t="shared" si="62"/>
        <v>0.48935255543384243</v>
      </c>
      <c r="N1574" s="235"/>
    </row>
    <row r="1575" spans="1:14" hidden="1" x14ac:dyDescent="0.2">
      <c r="A1575" s="349" t="s">
        <v>438</v>
      </c>
      <c r="B1575" s="308" t="s">
        <v>398</v>
      </c>
      <c r="C1575" s="247" t="s">
        <v>34</v>
      </c>
      <c r="D1575" s="276" t="s">
        <v>135</v>
      </c>
      <c r="E1575" s="311">
        <v>0.73076923076923084</v>
      </c>
      <c r="F1575" s="233" t="s">
        <v>443</v>
      </c>
      <c r="G1575" s="234" t="s">
        <v>16</v>
      </c>
      <c r="H1575" s="232">
        <v>1</v>
      </c>
      <c r="I1575" s="232">
        <v>1</v>
      </c>
      <c r="J1575" s="232">
        <v>3</v>
      </c>
      <c r="K1575" s="232">
        <v>2</v>
      </c>
      <c r="L1575" s="283">
        <v>2</v>
      </c>
      <c r="M1575" s="283">
        <f t="shared" si="62"/>
        <v>0.48935255543384243</v>
      </c>
      <c r="N1575" s="235"/>
    </row>
    <row r="1576" spans="1:14" hidden="1" x14ac:dyDescent="0.2">
      <c r="A1576" s="349" t="s">
        <v>438</v>
      </c>
      <c r="B1576" s="308" t="s">
        <v>398</v>
      </c>
      <c r="C1576" s="247" t="s">
        <v>36</v>
      </c>
      <c r="D1576" s="276" t="s">
        <v>135</v>
      </c>
      <c r="E1576" s="311">
        <v>0.12676056338028169</v>
      </c>
      <c r="F1576" s="233" t="s">
        <v>443</v>
      </c>
      <c r="G1576" s="342" t="s">
        <v>16</v>
      </c>
      <c r="H1576" s="232">
        <v>2</v>
      </c>
      <c r="I1576" s="232">
        <v>1</v>
      </c>
      <c r="J1576" s="232">
        <v>3</v>
      </c>
      <c r="K1576" s="232">
        <v>2</v>
      </c>
      <c r="L1576" s="283">
        <v>2</v>
      </c>
      <c r="M1576" s="283">
        <f t="shared" si="62"/>
        <v>0.50042652380814845</v>
      </c>
      <c r="N1576" s="235"/>
    </row>
    <row r="1577" spans="1:14" hidden="1" x14ac:dyDescent="0.2">
      <c r="A1577" s="349" t="s">
        <v>438</v>
      </c>
      <c r="B1577" s="308" t="s">
        <v>398</v>
      </c>
      <c r="C1577" s="247" t="s">
        <v>37</v>
      </c>
      <c r="D1577" s="276" t="s">
        <v>135</v>
      </c>
      <c r="E1577" s="311">
        <v>0.48484848484848492</v>
      </c>
      <c r="F1577" s="233" t="s">
        <v>443</v>
      </c>
      <c r="G1577" s="234" t="s">
        <v>16</v>
      </c>
      <c r="H1577" s="232">
        <v>2</v>
      </c>
      <c r="I1577" s="232">
        <v>1</v>
      </c>
      <c r="J1577" s="232">
        <v>3</v>
      </c>
      <c r="K1577" s="232">
        <v>2</v>
      </c>
      <c r="L1577" s="283">
        <v>2</v>
      </c>
      <c r="M1577" s="283">
        <f t="shared" si="62"/>
        <v>0.50042652380814845</v>
      </c>
      <c r="N1577" s="235"/>
    </row>
    <row r="1578" spans="1:14" hidden="1" x14ac:dyDescent="0.2">
      <c r="A1578" s="349" t="s">
        <v>438</v>
      </c>
      <c r="B1578" s="308" t="s">
        <v>398</v>
      </c>
      <c r="C1578" s="247" t="s">
        <v>39</v>
      </c>
      <c r="D1578" s="276" t="s">
        <v>135</v>
      </c>
      <c r="E1578" s="350">
        <v>0.96969696969696972</v>
      </c>
      <c r="F1578" s="345" t="s">
        <v>443</v>
      </c>
      <c r="G1578" s="346" t="s">
        <v>16</v>
      </c>
      <c r="H1578" s="232">
        <v>1</v>
      </c>
      <c r="I1578" s="232">
        <v>1</v>
      </c>
      <c r="J1578" s="232">
        <v>3</v>
      </c>
      <c r="K1578" s="232">
        <v>2</v>
      </c>
      <c r="L1578" s="283">
        <v>2</v>
      </c>
      <c r="M1578" s="283">
        <f t="shared" si="62"/>
        <v>0.48935255543384243</v>
      </c>
      <c r="N1578" s="235"/>
    </row>
    <row r="1579" spans="1:14" hidden="1" x14ac:dyDescent="0.2">
      <c r="A1579" s="349" t="s">
        <v>438</v>
      </c>
      <c r="B1579" s="308" t="s">
        <v>398</v>
      </c>
      <c r="C1579" s="247" t="s">
        <v>40</v>
      </c>
      <c r="D1579" s="276" t="s">
        <v>135</v>
      </c>
      <c r="E1579" s="350">
        <v>0.61643835616438358</v>
      </c>
      <c r="F1579" s="345" t="s">
        <v>443</v>
      </c>
      <c r="G1579" s="346" t="s">
        <v>16</v>
      </c>
      <c r="H1579" s="232">
        <v>1</v>
      </c>
      <c r="I1579" s="232">
        <v>1</v>
      </c>
      <c r="J1579" s="232">
        <v>3</v>
      </c>
      <c r="K1579" s="232">
        <v>2</v>
      </c>
      <c r="L1579" s="283">
        <v>2</v>
      </c>
      <c r="M1579" s="283">
        <f t="shared" si="62"/>
        <v>0.48935255543384243</v>
      </c>
      <c r="N1579" s="235"/>
    </row>
    <row r="1580" spans="1:14" hidden="1" x14ac:dyDescent="0.2">
      <c r="A1580" s="349" t="s">
        <v>438</v>
      </c>
      <c r="B1580" s="308" t="s">
        <v>398</v>
      </c>
      <c r="C1580" s="247" t="s">
        <v>41</v>
      </c>
      <c r="D1580" s="276" t="s">
        <v>135</v>
      </c>
      <c r="E1580" s="344">
        <v>0</v>
      </c>
      <c r="F1580" s="345" t="s">
        <v>443</v>
      </c>
      <c r="G1580" s="346" t="s">
        <v>16</v>
      </c>
      <c r="H1580" s="344"/>
      <c r="I1580" s="344"/>
      <c r="J1580" s="344"/>
      <c r="K1580" s="344"/>
      <c r="L1580" s="347"/>
      <c r="M1580" s="347"/>
      <c r="N1580" s="235"/>
    </row>
    <row r="1581" spans="1:14" hidden="1" x14ac:dyDescent="0.2">
      <c r="A1581" s="349" t="s">
        <v>438</v>
      </c>
      <c r="B1581" s="308" t="s">
        <v>398</v>
      </c>
      <c r="C1581" s="247" t="s">
        <v>42</v>
      </c>
      <c r="D1581" s="276" t="s">
        <v>135</v>
      </c>
      <c r="E1581" s="350">
        <v>0.97402597402597402</v>
      </c>
      <c r="F1581" s="345" t="s">
        <v>443</v>
      </c>
      <c r="G1581" s="346" t="s">
        <v>16</v>
      </c>
      <c r="H1581" s="232">
        <v>1</v>
      </c>
      <c r="I1581" s="232">
        <v>1</v>
      </c>
      <c r="J1581" s="232">
        <v>3</v>
      </c>
      <c r="K1581" s="232">
        <v>2</v>
      </c>
      <c r="L1581" s="283">
        <v>2</v>
      </c>
      <c r="M1581" s="283">
        <f>IF( OR( ISBLANK(H1581),ISBLANK(I1581), ISBLANK(J1581), ISBLANK(K1581), ISBLANK(L1581) ), "", 1.5*SQRT( EXP(2.21*(H1581-1)) + EXP(2.21*(I1581-1)) + EXP(2.21*(J1581-1)) + EXP(2.21*(K1581-1)) + EXP(2.21*L1581) )/100*2.45 )</f>
        <v>0.48935255543384243</v>
      </c>
      <c r="N1581" s="235"/>
    </row>
    <row r="1582" spans="1:14" hidden="1" x14ac:dyDescent="0.2">
      <c r="A1582" s="349" t="s">
        <v>438</v>
      </c>
      <c r="B1582" s="308" t="s">
        <v>398</v>
      </c>
      <c r="C1582" s="247" t="s">
        <v>43</v>
      </c>
      <c r="D1582" s="276" t="s">
        <v>135</v>
      </c>
      <c r="E1582" s="61">
        <v>0</v>
      </c>
      <c r="F1582" s="233" t="s">
        <v>443</v>
      </c>
      <c r="G1582" s="234" t="s">
        <v>16</v>
      </c>
      <c r="H1582" s="61"/>
      <c r="I1582" s="61"/>
      <c r="J1582" s="61"/>
      <c r="K1582" s="61"/>
      <c r="L1582" s="62"/>
      <c r="M1582" s="63"/>
      <c r="N1582" s="235"/>
    </row>
    <row r="1583" spans="1:14" hidden="1" x14ac:dyDescent="0.2">
      <c r="A1583" s="349" t="s">
        <v>438</v>
      </c>
      <c r="B1583" s="308" t="s">
        <v>398</v>
      </c>
      <c r="C1583" s="247" t="s">
        <v>45</v>
      </c>
      <c r="D1583" s="276" t="s">
        <v>135</v>
      </c>
      <c r="E1583" s="311">
        <v>3.5714285714285712E-2</v>
      </c>
      <c r="F1583" s="233" t="s">
        <v>443</v>
      </c>
      <c r="G1583" s="234" t="s">
        <v>16</v>
      </c>
      <c r="H1583" s="232">
        <v>2</v>
      </c>
      <c r="I1583" s="232">
        <v>1</v>
      </c>
      <c r="J1583" s="232">
        <v>3</v>
      </c>
      <c r="K1583" s="232">
        <v>2</v>
      </c>
      <c r="L1583" s="283">
        <v>2</v>
      </c>
      <c r="M1583" s="284">
        <f>IF( OR( ISBLANK(H1583),ISBLANK(I1583), ISBLANK(J1583), ISBLANK(K1583), ISBLANK(L1583) ), "", 1.5*SQRT(   EXP(2.21*(H1583-1)) + EXP(2.21*(I1583-1)) + EXP(2.21*(J1583-1)) + EXP(2.21*(K1583-1)) + EXP(2.21*L1583)   )/100*2.45 )</f>
        <v>0.50042652380814845</v>
      </c>
      <c r="N1583" s="235"/>
    </row>
    <row r="1584" spans="1:14" hidden="1" x14ac:dyDescent="0.2">
      <c r="A1584" s="349" t="s">
        <v>438</v>
      </c>
      <c r="B1584" s="308" t="s">
        <v>398</v>
      </c>
      <c r="C1584" s="247" t="s">
        <v>46</v>
      </c>
      <c r="D1584" s="276" t="s">
        <v>135</v>
      </c>
      <c r="E1584" s="311">
        <v>0.56164383561643838</v>
      </c>
      <c r="F1584" s="233" t="s">
        <v>443</v>
      </c>
      <c r="G1584" s="234" t="s">
        <v>16</v>
      </c>
      <c r="H1584" s="232">
        <v>2</v>
      </c>
      <c r="I1584" s="232">
        <v>1</v>
      </c>
      <c r="J1584" s="232">
        <v>3</v>
      </c>
      <c r="K1584" s="232">
        <v>2</v>
      </c>
      <c r="L1584" s="283">
        <v>2</v>
      </c>
      <c r="M1584" s="284">
        <f>IF( OR( ISBLANK(H1584),ISBLANK(I1584), ISBLANK(J1584), ISBLANK(K1584), ISBLANK(L1584) ), "", 1.5*SQRT( EXP(2.21*(H1584-1)) + EXP(2.21*(I1584-1)) + EXP(2.21*(J1584-1)) + EXP(2.21*(K1584-1)) + EXP(2.21*L1584) )/100*2.45 )</f>
        <v>0.50042652380814845</v>
      </c>
      <c r="N1584" s="235"/>
    </row>
    <row r="1585" spans="1:14" hidden="1" x14ac:dyDescent="0.2">
      <c r="A1585" s="349" t="s">
        <v>438</v>
      </c>
      <c r="B1585" s="308" t="s">
        <v>398</v>
      </c>
      <c r="C1585" s="247" t="s">
        <v>48</v>
      </c>
      <c r="D1585" s="276" t="s">
        <v>135</v>
      </c>
      <c r="E1585" s="350">
        <v>0.48529411764705888</v>
      </c>
      <c r="F1585" s="345" t="s">
        <v>443</v>
      </c>
      <c r="G1585" s="346" t="s">
        <v>16</v>
      </c>
      <c r="H1585" s="232">
        <v>2</v>
      </c>
      <c r="I1585" s="232">
        <v>1</v>
      </c>
      <c r="J1585" s="232">
        <v>3</v>
      </c>
      <c r="K1585" s="232">
        <v>2</v>
      </c>
      <c r="L1585" s="283">
        <v>2</v>
      </c>
      <c r="M1585" s="284">
        <f>IF( OR( ISBLANK(H1585),ISBLANK(I1585), ISBLANK(J1585), ISBLANK(K1585), ISBLANK(L1585) ), "", 1.5*SQRT( EXP(2.21*(H1585-1)) + EXP(2.21*(I1585-1)) + EXP(2.21*(J1585-1)) + EXP(2.21*(K1585-1)) + EXP(2.21*L1585) )/100*2.45 )</f>
        <v>0.50042652380814845</v>
      </c>
      <c r="N1585" s="235"/>
    </row>
    <row r="1586" spans="1:14" hidden="1" x14ac:dyDescent="0.2">
      <c r="A1586" s="349" t="s">
        <v>438</v>
      </c>
      <c r="B1586" s="308" t="s">
        <v>398</v>
      </c>
      <c r="C1586" s="247" t="s">
        <v>50</v>
      </c>
      <c r="D1586" s="276" t="s">
        <v>135</v>
      </c>
      <c r="E1586" s="311">
        <v>0.83582089552238814</v>
      </c>
      <c r="F1586" s="233" t="s">
        <v>443</v>
      </c>
      <c r="G1586" s="234" t="s">
        <v>16</v>
      </c>
      <c r="H1586" s="232">
        <v>2</v>
      </c>
      <c r="I1586" s="232">
        <v>1</v>
      </c>
      <c r="J1586" s="232">
        <v>3</v>
      </c>
      <c r="K1586" s="232">
        <v>2</v>
      </c>
      <c r="L1586" s="283">
        <v>2</v>
      </c>
      <c r="M1586" s="284">
        <f>IF( OR( ISBLANK(H1586),ISBLANK(I1586), ISBLANK(J1586), ISBLANK(K1586), ISBLANK(L1586) ), "", 1.5*SQRT(   EXP(2.21*(H1586-1)) + EXP(2.21*(I1586-1)) + EXP(2.21*(J1586-1)) + EXP(2.21*(K1586-1)) + EXP(2.21*L1586)   )/100*2.45 )</f>
        <v>0.50042652380814845</v>
      </c>
      <c r="N1586" s="235"/>
    </row>
    <row r="1587" spans="1:14" hidden="1" x14ac:dyDescent="0.2">
      <c r="A1587" s="349" t="s">
        <v>438</v>
      </c>
      <c r="B1587" s="308" t="s">
        <v>398</v>
      </c>
      <c r="C1587" s="247" t="s">
        <v>52</v>
      </c>
      <c r="D1587" s="276" t="s">
        <v>135</v>
      </c>
      <c r="E1587" s="311">
        <v>0.6428571428571429</v>
      </c>
      <c r="F1587" s="233" t="s">
        <v>443</v>
      </c>
      <c r="G1587" s="234" t="s">
        <v>16</v>
      </c>
      <c r="H1587" s="232">
        <v>1</v>
      </c>
      <c r="I1587" s="232">
        <v>1</v>
      </c>
      <c r="J1587" s="232">
        <v>3</v>
      </c>
      <c r="K1587" s="232">
        <v>2</v>
      </c>
      <c r="L1587" s="283">
        <v>2</v>
      </c>
      <c r="M1587" s="284">
        <f>IF( OR( ISBLANK(H1587),ISBLANK(I1587), ISBLANK(J1587), ISBLANK(K1587), ISBLANK(L1587) ), "", 1.5*SQRT( EXP(2.21*(H1587-1)) + EXP(2.21*(I1587-1)) + EXP(2.21*(J1587-1)) + EXP(2.21*(K1587-1)) + EXP(2.21*L1587) )/100*2.45 )</f>
        <v>0.48935255543384243</v>
      </c>
      <c r="N1587" s="235"/>
    </row>
    <row r="1588" spans="1:14" hidden="1" x14ac:dyDescent="0.2">
      <c r="A1588" s="349" t="s">
        <v>438</v>
      </c>
      <c r="B1588" s="308" t="s">
        <v>398</v>
      </c>
      <c r="C1588" s="247" t="s">
        <v>54</v>
      </c>
      <c r="D1588" s="276" t="s">
        <v>135</v>
      </c>
      <c r="E1588" s="311">
        <v>0.50769230769230766</v>
      </c>
      <c r="F1588" s="233" t="s">
        <v>443</v>
      </c>
      <c r="G1588" s="234" t="s">
        <v>16</v>
      </c>
      <c r="H1588" s="232">
        <v>1</v>
      </c>
      <c r="I1588" s="232">
        <v>1</v>
      </c>
      <c r="J1588" s="232">
        <v>3</v>
      </c>
      <c r="K1588" s="232">
        <v>2</v>
      </c>
      <c r="L1588" s="283">
        <v>2</v>
      </c>
      <c r="M1588" s="284">
        <f>IF( OR( ISBLANK(H1588),ISBLANK(I1588), ISBLANK(J1588), ISBLANK(K1588), ISBLANK(L1588) ), "", 1.5*SQRT( EXP(2.21*(H1588-1)) + EXP(2.21*(I1588-1)) + EXP(2.21*(J1588-1)) + EXP(2.21*(K1588-1)) + EXP(2.21*L1588) )/100*2.45 )</f>
        <v>0.48935255543384243</v>
      </c>
      <c r="N1588" s="235"/>
    </row>
    <row r="1589" spans="1:14" hidden="1" x14ac:dyDescent="0.2">
      <c r="A1589" s="349" t="s">
        <v>438</v>
      </c>
      <c r="B1589" s="308" t="s">
        <v>398</v>
      </c>
      <c r="C1589" s="247" t="s">
        <v>55</v>
      </c>
      <c r="D1589" s="276" t="s">
        <v>135</v>
      </c>
      <c r="E1589" s="311">
        <v>0.63157894736842113</v>
      </c>
      <c r="F1589" s="233" t="s">
        <v>443</v>
      </c>
      <c r="G1589" s="342" t="s">
        <v>16</v>
      </c>
      <c r="H1589" s="232">
        <v>1</v>
      </c>
      <c r="I1589" s="232">
        <v>1</v>
      </c>
      <c r="J1589" s="232">
        <v>3</v>
      </c>
      <c r="K1589" s="232">
        <v>2</v>
      </c>
      <c r="L1589" s="283">
        <v>2</v>
      </c>
      <c r="M1589" s="284">
        <f>IF( OR( ISBLANK(H1589),ISBLANK(I1589), ISBLANK(J1589), ISBLANK(K1589), ISBLANK(L1589) ), "", 1.5*SQRT( EXP(2.21*(H1589-1)) + EXP(2.21*(I1589-1)) + EXP(2.21*(J1589-1)) + EXP(2.21*(K1589-1)) + EXP(2.21*L1589) )/100*2.45 )</f>
        <v>0.48935255543384243</v>
      </c>
      <c r="N1589" s="235"/>
    </row>
    <row r="1590" spans="1:14" hidden="1" x14ac:dyDescent="0.2">
      <c r="A1590" s="349" t="s">
        <v>438</v>
      </c>
      <c r="B1590" s="308" t="s">
        <v>398</v>
      </c>
      <c r="C1590" s="247" t="s">
        <v>57</v>
      </c>
      <c r="D1590" s="276" t="s">
        <v>135</v>
      </c>
      <c r="E1590" s="311">
        <v>1.6393442622950821E-2</v>
      </c>
      <c r="F1590" s="233" t="s">
        <v>443</v>
      </c>
      <c r="G1590" s="234" t="s">
        <v>16</v>
      </c>
      <c r="H1590" s="232">
        <v>2</v>
      </c>
      <c r="I1590" s="232">
        <v>1</v>
      </c>
      <c r="J1590" s="232">
        <v>3</v>
      </c>
      <c r="K1590" s="232">
        <v>2</v>
      </c>
      <c r="L1590" s="283">
        <v>2</v>
      </c>
      <c r="M1590" s="284">
        <f>IF( OR( ISBLANK(H1590),ISBLANK(I1590), ISBLANK(J1590), ISBLANK(K1590), ISBLANK(L1590) ), "", 1.5*SQRT( EXP(2.21*(H1590-1)) + EXP(2.21*(I1590-1)) + EXP(2.21*(J1590-1)) + EXP(2.21*(K1590-1)) + EXP(2.21*L1590) )/100*2.45 )</f>
        <v>0.50042652380814845</v>
      </c>
      <c r="N1590" s="235"/>
    </row>
    <row r="1591" spans="1:14" hidden="1" x14ac:dyDescent="0.2">
      <c r="A1591" s="349" t="s">
        <v>438</v>
      </c>
      <c r="B1591" s="308" t="s">
        <v>398</v>
      </c>
      <c r="C1591" s="247" t="s">
        <v>59</v>
      </c>
      <c r="D1591" s="276" t="s">
        <v>135</v>
      </c>
      <c r="E1591" s="344">
        <v>0</v>
      </c>
      <c r="F1591" s="345" t="s">
        <v>443</v>
      </c>
      <c r="G1591" s="346" t="s">
        <v>16</v>
      </c>
      <c r="H1591" s="344"/>
      <c r="I1591" s="344"/>
      <c r="J1591" s="344"/>
      <c r="K1591" s="344"/>
      <c r="L1591" s="347"/>
      <c r="M1591" s="347"/>
      <c r="N1591" s="235"/>
    </row>
    <row r="1592" spans="1:14" hidden="1" x14ac:dyDescent="0.2">
      <c r="A1592" s="349" t="s">
        <v>438</v>
      </c>
      <c r="B1592" s="308" t="s">
        <v>398</v>
      </c>
      <c r="C1592" s="247" t="s">
        <v>60</v>
      </c>
      <c r="D1592" s="276" t="s">
        <v>135</v>
      </c>
      <c r="E1592" s="311">
        <v>0.30158730158730163</v>
      </c>
      <c r="F1592" s="233" t="s">
        <v>443</v>
      </c>
      <c r="G1592" s="342" t="s">
        <v>16</v>
      </c>
      <c r="H1592" s="232">
        <v>2</v>
      </c>
      <c r="I1592" s="232">
        <v>1</v>
      </c>
      <c r="J1592" s="232">
        <v>3</v>
      </c>
      <c r="K1592" s="232">
        <v>2</v>
      </c>
      <c r="L1592" s="283">
        <v>2</v>
      </c>
      <c r="M1592" s="283">
        <f>IF( OR( ISBLANK(H1592),ISBLANK(I1592), ISBLANK(J1592), ISBLANK(K1592), ISBLANK(L1592) ), "", 1.5*SQRT(   EXP(2.21*(H1592-1)) + EXP(2.21*(I1592-1)) + EXP(2.21*(J1592-1)) + EXP(2.21*(K1592-1)) + EXP(2.21*L1592)   )/100*2.45 )</f>
        <v>0.50042652380814845</v>
      </c>
      <c r="N1592" s="235"/>
    </row>
    <row r="1593" spans="1:14" x14ac:dyDescent="0.2">
      <c r="A1593" s="351" t="s">
        <v>438</v>
      </c>
      <c r="B1593" s="281" t="s">
        <v>399</v>
      </c>
      <c r="C1593" s="238" t="s">
        <v>135</v>
      </c>
      <c r="D1593" s="239" t="s">
        <v>135</v>
      </c>
      <c r="E1593" s="240" t="s">
        <v>188</v>
      </c>
      <c r="F1593" s="241"/>
      <c r="G1593" s="343" t="s">
        <v>16</v>
      </c>
      <c r="H1593" s="240"/>
      <c r="I1593" s="240"/>
      <c r="J1593" s="240"/>
      <c r="K1593" s="240"/>
      <c r="L1593" s="243"/>
      <c r="M1593" s="243" t="str">
        <f>IF( OR( ISBLANK(H1593),ISBLANK(I1593), ISBLANK(J1593), ISBLANK(K1593), ISBLANK(L1593) ), "", 1.5*SQRT(   EXP(2.21*(H1593-1)) + EXP(2.21*(I1593-1)) + EXP(2.21*(J1593-1)) + EXP(2.21*(K1593-1)) + EXP(2.21*L1593)   )/100*2.45 )</f>
        <v/>
      </c>
      <c r="N1593" s="245"/>
    </row>
    <row r="1594" spans="1:14" x14ac:dyDescent="0.2">
      <c r="A1594" s="352" t="s">
        <v>399</v>
      </c>
      <c r="B1594" s="353" t="s">
        <v>446</v>
      </c>
      <c r="C1594" s="238" t="s">
        <v>135</v>
      </c>
      <c r="D1594" s="298" t="s">
        <v>135</v>
      </c>
      <c r="E1594" s="299">
        <v>1</v>
      </c>
      <c r="F1594" s="300"/>
      <c r="G1594" s="354" t="s">
        <v>16</v>
      </c>
      <c r="H1594" s="299"/>
      <c r="I1594" s="299"/>
      <c r="J1594" s="299"/>
      <c r="K1594" s="299"/>
      <c r="L1594" s="302"/>
      <c r="M1594" s="302" t="str">
        <f>IF( OR( ISBLANK(H1594),ISBLANK(I1594), ISBLANK(J1594), ISBLANK(K1594), ISBLANK(L1594) ), "", 1.5*SQRT(   EXP(2.21*(H1594-1)) + EXP(2.21*(I1594-1)) + EXP(2.21*(J1594-1)) + EXP(2.21*(K1594-1)) + EXP(2.21*L1594)   )/100*2.45 )</f>
        <v/>
      </c>
      <c r="N1594" s="304"/>
    </row>
  </sheetData>
  <autoFilter ref="A1:N1594" xr:uid="{00000000-0009-0000-0000-000003000000}">
    <filterColumn colId="2">
      <filters>
        <filter val="any"/>
        <filter val="AT"/>
      </filters>
    </filterColumn>
  </autoFilter>
  <conditionalFormatting sqref="H2:L4 H35:L35 H66:L67 H128:L130 H167:L167 H198:L198 H229:L229 H260:L260 H471:L476 H507:L507 H568:L568 H599:L613 H644:L644 H675:L675 H706:L706 H737:L737 H798:L804 H806:L1153 H1186:L1186 H1217:L1218 H1249:L1250 H1281:L1282 H1313:L1314 H1345:L1346 H1377:L1483 H1487:L1490 H1492:L1498 H1500:L1500 H1502:L1502 H1504:L1509 H1511:L1513 H1518:L1520 H1522:L1526 H1528:L1530 H1561:L1562 H1564:L1564 H1566:L1566 H1568:L1573 H1575:L1577 H1582:L1584 H1586:L1590 H1592:L1594">
    <cfRule type="dataBar" priority="524">
      <dataBar>
        <cfvo type="min"/>
        <cfvo type="max"/>
        <color rgb="FFFFB628"/>
      </dataBar>
    </cfRule>
  </conditionalFormatting>
  <conditionalFormatting sqref="H2:L4">
    <cfRule type="dataBar" priority="500">
      <dataBar>
        <cfvo type="min"/>
        <cfvo type="max"/>
        <color rgb="FFFFB628"/>
      </dataBar>
    </cfRule>
  </conditionalFormatting>
  <conditionalFormatting sqref="H5:L34">
    <cfRule type="dataBar" priority="471">
      <dataBar>
        <cfvo type="min"/>
        <cfvo type="max"/>
        <color rgb="FFFFB628"/>
      </dataBar>
    </cfRule>
  </conditionalFormatting>
  <conditionalFormatting sqref="H35:L35 H66:L67 H128:L130 H167:L167 H198:L198 H229:L229">
    <cfRule type="dataBar" priority="498">
      <dataBar>
        <cfvo type="min"/>
        <cfvo type="max"/>
        <color rgb="FFFFB628"/>
      </dataBar>
    </cfRule>
  </conditionalFormatting>
  <conditionalFormatting sqref="H36:L65">
    <cfRule type="dataBar" priority="469">
      <dataBar>
        <cfvo type="min"/>
        <cfvo type="max"/>
        <color rgb="FFFFB628"/>
      </dataBar>
    </cfRule>
  </conditionalFormatting>
  <conditionalFormatting sqref="H68:L97">
    <cfRule type="dataBar" priority="467">
      <dataBar>
        <cfvo type="min"/>
        <cfvo type="max"/>
        <color rgb="FFFFB628"/>
      </dataBar>
    </cfRule>
  </conditionalFormatting>
  <conditionalFormatting sqref="H98:L127">
    <cfRule type="dataBar" priority="465">
      <dataBar>
        <cfvo type="min"/>
        <cfvo type="max"/>
        <color rgb="FFFFB628"/>
      </dataBar>
    </cfRule>
  </conditionalFormatting>
  <conditionalFormatting sqref="H131:L160">
    <cfRule type="dataBar" priority="463">
      <dataBar>
        <cfvo type="min"/>
        <cfvo type="max"/>
        <color rgb="FFFFB628"/>
      </dataBar>
    </cfRule>
  </conditionalFormatting>
  <conditionalFormatting sqref="H161:L161">
    <cfRule type="dataBar" priority="27">
      <dataBar>
        <cfvo type="min"/>
        <cfvo type="max"/>
        <color rgb="FFFFB628"/>
      </dataBar>
    </cfRule>
    <cfRule type="dataBar" priority="26">
      <dataBar>
        <cfvo type="min"/>
        <cfvo type="max"/>
        <color rgb="FFFFB628"/>
      </dataBar>
    </cfRule>
  </conditionalFormatting>
  <conditionalFormatting sqref="H162:L162">
    <cfRule type="dataBar" priority="29">
      <dataBar>
        <cfvo type="min"/>
        <cfvo type="max"/>
        <color rgb="FFFFB628"/>
      </dataBar>
    </cfRule>
    <cfRule type="dataBar" priority="28">
      <dataBar>
        <cfvo type="min"/>
        <cfvo type="max"/>
        <color rgb="FFFFB628"/>
      </dataBar>
    </cfRule>
  </conditionalFormatting>
  <conditionalFormatting sqref="H163:L163">
    <cfRule type="dataBar" priority="31">
      <dataBar>
        <cfvo type="min"/>
        <cfvo type="max"/>
        <color rgb="FFFFB628"/>
      </dataBar>
    </cfRule>
    <cfRule type="dataBar" priority="30">
      <dataBar>
        <cfvo type="min"/>
        <cfvo type="max"/>
        <color rgb="FFFFB628"/>
      </dataBar>
    </cfRule>
  </conditionalFormatting>
  <conditionalFormatting sqref="H164:L164">
    <cfRule type="dataBar" priority="32">
      <dataBar>
        <cfvo type="min"/>
        <cfvo type="max"/>
        <color rgb="FFFFB628"/>
      </dataBar>
    </cfRule>
    <cfRule type="dataBar" priority="33">
      <dataBar>
        <cfvo type="min"/>
        <cfvo type="max"/>
        <color rgb="FFFFB628"/>
      </dataBar>
    </cfRule>
  </conditionalFormatting>
  <conditionalFormatting sqref="H165:L165">
    <cfRule type="dataBar" priority="34">
      <dataBar>
        <cfvo type="min"/>
        <cfvo type="max"/>
        <color rgb="FFFFB628"/>
      </dataBar>
    </cfRule>
    <cfRule type="dataBar" priority="35">
      <dataBar>
        <cfvo type="min"/>
        <cfvo type="max"/>
        <color rgb="FFFFB628"/>
      </dataBar>
    </cfRule>
  </conditionalFormatting>
  <conditionalFormatting sqref="H166:L166">
    <cfRule type="dataBar" priority="36">
      <dataBar>
        <cfvo type="min"/>
        <cfvo type="max"/>
        <color rgb="FFFFB628"/>
      </dataBar>
    </cfRule>
    <cfRule type="dataBar" priority="37">
      <dataBar>
        <cfvo type="min"/>
        <cfvo type="max"/>
        <color rgb="FFFFB628"/>
      </dataBar>
    </cfRule>
  </conditionalFormatting>
  <conditionalFormatting sqref="H168:L197">
    <cfRule type="dataBar" priority="461">
      <dataBar>
        <cfvo type="min"/>
        <cfvo type="max"/>
        <color rgb="FFFFB628"/>
      </dataBar>
    </cfRule>
  </conditionalFormatting>
  <conditionalFormatting sqref="H199:L228">
    <cfRule type="dataBar" priority="459">
      <dataBar>
        <cfvo type="min"/>
        <cfvo type="max"/>
        <color rgb="FFFFB628"/>
      </dataBar>
    </cfRule>
  </conditionalFormatting>
  <conditionalFormatting sqref="H230:L259">
    <cfRule type="dataBar" priority="457">
      <dataBar>
        <cfvo type="min"/>
        <cfvo type="max"/>
        <color rgb="FFFFB628"/>
      </dataBar>
    </cfRule>
  </conditionalFormatting>
  <conditionalFormatting sqref="H260:L260 H471:L471">
    <cfRule type="dataBar" priority="496">
      <dataBar>
        <cfvo type="min"/>
        <cfvo type="max"/>
        <color rgb="FFFFB628"/>
      </dataBar>
    </cfRule>
  </conditionalFormatting>
  <conditionalFormatting sqref="H261:L290">
    <cfRule type="dataBar" priority="455">
      <dataBar>
        <cfvo type="min"/>
        <cfvo type="max"/>
        <color rgb="FFFFB628"/>
      </dataBar>
    </cfRule>
  </conditionalFormatting>
  <conditionalFormatting sqref="H291:L320">
    <cfRule type="dataBar" priority="453">
      <dataBar>
        <cfvo type="min"/>
        <cfvo type="max"/>
        <color rgb="FFFFB628"/>
      </dataBar>
    </cfRule>
  </conditionalFormatting>
  <conditionalFormatting sqref="H321:L350">
    <cfRule type="dataBar" priority="451">
      <dataBar>
        <cfvo type="min"/>
        <cfvo type="max"/>
        <color rgb="FFFFB628"/>
      </dataBar>
    </cfRule>
  </conditionalFormatting>
  <conditionalFormatting sqref="H351:L380">
    <cfRule type="dataBar" priority="449">
      <dataBar>
        <cfvo type="min"/>
        <cfvo type="max"/>
        <color rgb="FFFFB628"/>
      </dataBar>
    </cfRule>
  </conditionalFormatting>
  <conditionalFormatting sqref="H381:L410">
    <cfRule type="dataBar" priority="447">
      <dataBar>
        <cfvo type="min"/>
        <cfvo type="max"/>
        <color rgb="FFFFB628"/>
      </dataBar>
    </cfRule>
  </conditionalFormatting>
  <conditionalFormatting sqref="H411:L440">
    <cfRule type="dataBar" priority="445">
      <dataBar>
        <cfvo type="min"/>
        <cfvo type="max"/>
        <color rgb="FFFFB628"/>
      </dataBar>
    </cfRule>
  </conditionalFormatting>
  <conditionalFormatting sqref="H441:L470">
    <cfRule type="dataBar" priority="443">
      <dataBar>
        <cfvo type="min"/>
        <cfvo type="max"/>
        <color rgb="FFFFB628"/>
      </dataBar>
    </cfRule>
  </conditionalFormatting>
  <conditionalFormatting sqref="H472:L476 H507:L507 H599:L599">
    <cfRule type="dataBar" priority="502">
      <dataBar>
        <cfvo type="min"/>
        <cfvo type="max"/>
        <color rgb="FFFFB628"/>
      </dataBar>
    </cfRule>
  </conditionalFormatting>
  <conditionalFormatting sqref="H477:L477">
    <cfRule type="dataBar" priority="384">
      <dataBar>
        <cfvo type="min"/>
        <cfvo type="max"/>
        <color rgb="FFFFB628"/>
      </dataBar>
    </cfRule>
    <cfRule type="dataBar" priority="382">
      <dataBar>
        <cfvo type="min"/>
        <cfvo type="max"/>
        <color rgb="FFFFB628"/>
      </dataBar>
    </cfRule>
  </conditionalFormatting>
  <conditionalFormatting sqref="H478:L481 H484:L484 H486:L496 H498:L502 H505:L506">
    <cfRule type="dataBar" priority="429">
      <dataBar>
        <cfvo type="min"/>
        <cfvo type="max"/>
        <color rgb="FFFFB628"/>
      </dataBar>
    </cfRule>
  </conditionalFormatting>
  <conditionalFormatting sqref="H482:L482">
    <cfRule type="dataBar" priority="372">
      <dataBar>
        <cfvo type="min"/>
        <cfvo type="max"/>
        <color rgb="FFFFB628"/>
      </dataBar>
    </cfRule>
    <cfRule type="dataBar" priority="374">
      <dataBar>
        <cfvo type="min"/>
        <cfvo type="max"/>
        <color rgb="FFFFB628"/>
      </dataBar>
    </cfRule>
  </conditionalFormatting>
  <conditionalFormatting sqref="H483:L483">
    <cfRule type="dataBar" priority="367">
      <dataBar>
        <cfvo type="min"/>
        <cfvo type="max"/>
        <color rgb="FFFFB628"/>
      </dataBar>
    </cfRule>
    <cfRule type="dataBar" priority="369">
      <dataBar>
        <cfvo type="min"/>
        <cfvo type="max"/>
        <color rgb="FFFFB628"/>
      </dataBar>
    </cfRule>
  </conditionalFormatting>
  <conditionalFormatting sqref="H485:L485">
    <cfRule type="dataBar" priority="362">
      <dataBar>
        <cfvo type="min"/>
        <cfvo type="max"/>
        <color rgb="FFFFB628"/>
      </dataBar>
    </cfRule>
    <cfRule type="dataBar" priority="364">
      <dataBar>
        <cfvo type="min"/>
        <cfvo type="max"/>
        <color rgb="FFFFB628"/>
      </dataBar>
    </cfRule>
  </conditionalFormatting>
  <conditionalFormatting sqref="H497:L497">
    <cfRule type="dataBar" priority="377">
      <dataBar>
        <cfvo type="min"/>
        <cfvo type="max"/>
        <color rgb="FFFFB628"/>
      </dataBar>
    </cfRule>
    <cfRule type="dataBar" priority="379">
      <dataBar>
        <cfvo type="min"/>
        <cfvo type="max"/>
        <color rgb="FFFFB628"/>
      </dataBar>
    </cfRule>
  </conditionalFormatting>
  <conditionalFormatting sqref="H503:L503">
    <cfRule type="dataBar" priority="357">
      <dataBar>
        <cfvo type="min"/>
        <cfvo type="max"/>
        <color rgb="FFFFB628"/>
      </dataBar>
    </cfRule>
    <cfRule type="dataBar" priority="359">
      <dataBar>
        <cfvo type="min"/>
        <cfvo type="max"/>
        <color rgb="FFFFB628"/>
      </dataBar>
    </cfRule>
  </conditionalFormatting>
  <conditionalFormatting sqref="H504:L504">
    <cfRule type="dataBar" priority="354">
      <dataBar>
        <cfvo type="min"/>
        <cfvo type="max"/>
        <color rgb="FFFFB628"/>
      </dataBar>
    </cfRule>
    <cfRule type="dataBar" priority="352">
      <dataBar>
        <cfvo type="min"/>
        <cfvo type="max"/>
        <color rgb="FFFFB628"/>
      </dataBar>
    </cfRule>
  </conditionalFormatting>
  <conditionalFormatting sqref="H508:L567">
    <cfRule type="dataBar" priority="425">
      <dataBar>
        <cfvo type="min"/>
        <cfvo type="max"/>
        <color rgb="FFFFB628"/>
      </dataBar>
    </cfRule>
  </conditionalFormatting>
  <conditionalFormatting sqref="H568:L568">
    <cfRule type="dataBar" priority="424">
      <dataBar>
        <cfvo type="min"/>
        <cfvo type="max"/>
        <color rgb="FFFFB628"/>
      </dataBar>
    </cfRule>
  </conditionalFormatting>
  <conditionalFormatting sqref="H569:L598">
    <cfRule type="dataBar" priority="441">
      <dataBar>
        <cfvo type="min"/>
        <cfvo type="max"/>
        <color rgb="FFFFB628"/>
      </dataBar>
    </cfRule>
  </conditionalFormatting>
  <conditionalFormatting sqref="H600:L601">
    <cfRule type="dataBar" priority="473">
      <dataBar>
        <cfvo type="min"/>
        <cfvo type="max"/>
        <color rgb="FFFFB628"/>
      </dataBar>
    </cfRule>
  </conditionalFormatting>
  <conditionalFormatting sqref="H602:L612">
    <cfRule type="dataBar" priority="506">
      <dataBar>
        <cfvo type="min"/>
        <cfvo type="max"/>
        <color rgb="FFFFB628"/>
      </dataBar>
    </cfRule>
  </conditionalFormatting>
  <conditionalFormatting sqref="H613:L613 H644:L644 H675:L675 H706:L706 H737:L737 H798:L804">
    <cfRule type="dataBar" priority="508">
      <dataBar>
        <cfvo type="min"/>
        <cfvo type="max"/>
        <color rgb="FFFFB628"/>
      </dataBar>
    </cfRule>
  </conditionalFormatting>
  <conditionalFormatting sqref="H614:L643">
    <cfRule type="dataBar" priority="439">
      <dataBar>
        <cfvo type="min"/>
        <cfvo type="max"/>
        <color rgb="FFFFB628"/>
      </dataBar>
    </cfRule>
  </conditionalFormatting>
  <conditionalFormatting sqref="H645:L674">
    <cfRule type="dataBar" priority="437">
      <dataBar>
        <cfvo type="min"/>
        <cfvo type="max"/>
        <color rgb="FFFFB628"/>
      </dataBar>
    </cfRule>
  </conditionalFormatting>
  <conditionalFormatting sqref="H676:L705">
    <cfRule type="dataBar" priority="435">
      <dataBar>
        <cfvo type="min"/>
        <cfvo type="max"/>
        <color rgb="FFFFB628"/>
      </dataBar>
    </cfRule>
  </conditionalFormatting>
  <conditionalFormatting sqref="H707:L736">
    <cfRule type="dataBar" priority="433">
      <dataBar>
        <cfvo type="min"/>
        <cfvo type="max"/>
        <color rgb="FFFFB628"/>
      </dataBar>
    </cfRule>
  </conditionalFormatting>
  <conditionalFormatting sqref="H738:L767">
    <cfRule type="dataBar" priority="431">
      <dataBar>
        <cfvo type="min"/>
        <cfvo type="max"/>
        <color rgb="FFFFB628"/>
      </dataBar>
    </cfRule>
  </conditionalFormatting>
  <conditionalFormatting sqref="H768:L768">
    <cfRule type="dataBar" priority="389">
      <dataBar>
        <cfvo type="min"/>
        <cfvo type="max"/>
        <color rgb="FFFFB628"/>
      </dataBar>
    </cfRule>
    <cfRule type="dataBar" priority="387">
      <dataBar>
        <cfvo type="min"/>
        <cfvo type="max"/>
        <color rgb="FFFFB628"/>
      </dataBar>
    </cfRule>
  </conditionalFormatting>
  <conditionalFormatting sqref="H769:L772 H775:L775 H777:L787 H789:L793 H796:L797">
    <cfRule type="dataBar" priority="427">
      <dataBar>
        <cfvo type="min"/>
        <cfvo type="max"/>
        <color rgb="FFFFB628"/>
      </dataBar>
    </cfRule>
  </conditionalFormatting>
  <conditionalFormatting sqref="H773:L773">
    <cfRule type="dataBar" priority="392">
      <dataBar>
        <cfvo type="min"/>
        <cfvo type="max"/>
        <color rgb="FFFFB628"/>
      </dataBar>
    </cfRule>
    <cfRule type="dataBar" priority="394">
      <dataBar>
        <cfvo type="min"/>
        <cfvo type="max"/>
        <color rgb="FFFFB628"/>
      </dataBar>
    </cfRule>
  </conditionalFormatting>
  <conditionalFormatting sqref="H774:L774">
    <cfRule type="dataBar" priority="397">
      <dataBar>
        <cfvo type="min"/>
        <cfvo type="max"/>
        <color rgb="FFFFB628"/>
      </dataBar>
    </cfRule>
    <cfRule type="dataBar" priority="399">
      <dataBar>
        <cfvo type="min"/>
        <cfvo type="max"/>
        <color rgb="FFFFB628"/>
      </dataBar>
    </cfRule>
  </conditionalFormatting>
  <conditionalFormatting sqref="H776:L776">
    <cfRule type="dataBar" priority="404">
      <dataBar>
        <cfvo type="min"/>
        <cfvo type="max"/>
        <color rgb="FFFFB628"/>
      </dataBar>
    </cfRule>
    <cfRule type="dataBar" priority="402">
      <dataBar>
        <cfvo type="min"/>
        <cfvo type="max"/>
        <color rgb="FFFFB628"/>
      </dataBar>
    </cfRule>
  </conditionalFormatting>
  <conditionalFormatting sqref="H788:L788">
    <cfRule type="dataBar" priority="409">
      <dataBar>
        <cfvo type="min"/>
        <cfvo type="max"/>
        <color rgb="FFFFB628"/>
      </dataBar>
    </cfRule>
    <cfRule type="dataBar" priority="407">
      <dataBar>
        <cfvo type="min"/>
        <cfvo type="max"/>
        <color rgb="FFFFB628"/>
      </dataBar>
    </cfRule>
  </conditionalFormatting>
  <conditionalFormatting sqref="H794:L794">
    <cfRule type="dataBar" priority="413">
      <dataBar>
        <cfvo type="min"/>
        <cfvo type="max"/>
        <color rgb="FFFFB628"/>
      </dataBar>
    </cfRule>
    <cfRule type="dataBar" priority="412">
      <dataBar>
        <cfvo type="min"/>
        <cfvo type="max"/>
        <color rgb="FFFFB628"/>
      </dataBar>
    </cfRule>
  </conditionalFormatting>
  <conditionalFormatting sqref="H795:L795">
    <cfRule type="dataBar" priority="414">
      <dataBar>
        <cfvo type="min"/>
        <cfvo type="max"/>
        <color rgb="FFFFB628"/>
      </dataBar>
    </cfRule>
    <cfRule type="dataBar" priority="416">
      <dataBar>
        <cfvo type="min"/>
        <cfvo type="max"/>
        <color rgb="FFFFB628"/>
      </dataBar>
    </cfRule>
  </conditionalFormatting>
  <conditionalFormatting sqref="H805:L805">
    <cfRule type="dataBar" priority="21">
      <dataBar>
        <cfvo type="min"/>
        <cfvo type="max"/>
        <color rgb="FFFFB628"/>
      </dataBar>
    </cfRule>
    <cfRule type="dataBar" priority="20">
      <dataBar>
        <cfvo type="min"/>
        <cfvo type="max"/>
        <color rgb="FFFFB628"/>
      </dataBar>
    </cfRule>
    <cfRule type="dataBar" priority="19">
      <dataBar>
        <cfvo type="min"/>
        <cfvo type="max"/>
        <color rgb="FFFFB628"/>
      </dataBar>
    </cfRule>
  </conditionalFormatting>
  <conditionalFormatting sqref="H806:L806">
    <cfRule type="dataBar" priority="421">
      <dataBar>
        <cfvo type="min"/>
        <cfvo type="max"/>
        <color rgb="FFFFB628"/>
      </dataBar>
    </cfRule>
  </conditionalFormatting>
  <conditionalFormatting sqref="H807:L818 H820:L835 H837:L848 H850:L852 H854:L854 H856:L863 H865:L865 H867:L878 H880:L882 H884:L884 H886:L893 H895:L895">
    <cfRule type="dataBar" priority="422">
      <dataBar>
        <cfvo type="min"/>
        <cfvo type="max"/>
        <color rgb="FFFFB628"/>
      </dataBar>
    </cfRule>
  </conditionalFormatting>
  <conditionalFormatting sqref="H819:L819">
    <cfRule type="dataBar" priority="419">
      <dataBar>
        <cfvo type="min"/>
        <cfvo type="max"/>
        <color rgb="FFFFB628"/>
      </dataBar>
    </cfRule>
  </conditionalFormatting>
  <conditionalFormatting sqref="H836:L836">
    <cfRule type="dataBar" priority="350">
      <dataBar>
        <cfvo type="min"/>
        <cfvo type="max"/>
        <color rgb="FFFFB628"/>
      </dataBar>
    </cfRule>
  </conditionalFormatting>
  <conditionalFormatting sqref="H849:L849">
    <cfRule type="dataBar" priority="348">
      <dataBar>
        <cfvo type="min"/>
        <cfvo type="max"/>
        <color rgb="FFFFB628"/>
      </dataBar>
    </cfRule>
  </conditionalFormatting>
  <conditionalFormatting sqref="H853:L853">
    <cfRule type="dataBar" priority="346">
      <dataBar>
        <cfvo type="min"/>
        <cfvo type="max"/>
        <color rgb="FFFFB628"/>
      </dataBar>
    </cfRule>
  </conditionalFormatting>
  <conditionalFormatting sqref="H855:L855">
    <cfRule type="dataBar" priority="344">
      <dataBar>
        <cfvo type="min"/>
        <cfvo type="max"/>
        <color rgb="FFFFB628"/>
      </dataBar>
    </cfRule>
  </conditionalFormatting>
  <conditionalFormatting sqref="H864:L864">
    <cfRule type="dataBar" priority="342">
      <dataBar>
        <cfvo type="min"/>
        <cfvo type="max"/>
        <color rgb="FFFFB628"/>
      </dataBar>
    </cfRule>
  </conditionalFormatting>
  <conditionalFormatting sqref="H866:L866">
    <cfRule type="dataBar" priority="14">
      <dataBar>
        <cfvo type="min"/>
        <cfvo type="max"/>
        <color rgb="FFFFB628"/>
      </dataBar>
    </cfRule>
  </conditionalFormatting>
  <conditionalFormatting sqref="H879:L879">
    <cfRule type="dataBar" priority="4">
      <dataBar>
        <cfvo type="min"/>
        <cfvo type="max"/>
        <color rgb="FFFFB628"/>
      </dataBar>
    </cfRule>
  </conditionalFormatting>
  <conditionalFormatting sqref="H883:L883">
    <cfRule type="dataBar" priority="1">
      <dataBar>
        <cfvo type="min"/>
        <cfvo type="max"/>
        <color rgb="FFFFB628"/>
      </dataBar>
    </cfRule>
  </conditionalFormatting>
  <conditionalFormatting sqref="H885:L885">
    <cfRule type="dataBar" priority="2">
      <dataBar>
        <cfvo type="min"/>
        <cfvo type="max"/>
        <color rgb="FFFFB628"/>
      </dataBar>
    </cfRule>
  </conditionalFormatting>
  <conditionalFormatting sqref="H894:L894">
    <cfRule type="dataBar" priority="3">
      <dataBar>
        <cfvo type="min"/>
        <cfvo type="max"/>
        <color rgb="FFFFB628"/>
      </dataBar>
    </cfRule>
  </conditionalFormatting>
  <conditionalFormatting sqref="H896:L926">
    <cfRule type="dataBar" priority="509">
      <dataBar>
        <cfvo type="min"/>
        <cfvo type="max"/>
        <color rgb="FFFFB628"/>
      </dataBar>
    </cfRule>
  </conditionalFormatting>
  <conditionalFormatting sqref="H927:L927">
    <cfRule type="dataBar" priority="339">
      <dataBar>
        <cfvo type="min"/>
        <cfvo type="max"/>
        <color rgb="FFFFB628"/>
      </dataBar>
    </cfRule>
  </conditionalFormatting>
  <conditionalFormatting sqref="H928:L928">
    <cfRule type="dataBar" priority="488">
      <dataBar>
        <cfvo type="min"/>
        <cfvo type="max"/>
        <color rgb="FFFFB628"/>
      </dataBar>
    </cfRule>
  </conditionalFormatting>
  <conditionalFormatting sqref="H929:L929">
    <cfRule type="dataBar" priority="489">
      <dataBar>
        <cfvo type="min"/>
        <cfvo type="max"/>
        <color rgb="FFFFB628"/>
      </dataBar>
    </cfRule>
  </conditionalFormatting>
  <conditionalFormatting sqref="H930:L930">
    <cfRule type="dataBar" priority="341">
      <dataBar>
        <cfvo type="min"/>
        <cfvo type="max"/>
        <color rgb="FFFFB628"/>
      </dataBar>
    </cfRule>
  </conditionalFormatting>
  <conditionalFormatting sqref="H931:L931">
    <cfRule type="dataBar" priority="486">
      <dataBar>
        <cfvo type="min"/>
        <cfvo type="max"/>
        <color rgb="FFFFB628"/>
      </dataBar>
    </cfRule>
  </conditionalFormatting>
  <conditionalFormatting sqref="H932:L932">
    <cfRule type="dataBar" priority="484">
      <dataBar>
        <cfvo type="min"/>
        <cfvo type="max"/>
        <color rgb="FFFFB628"/>
      </dataBar>
    </cfRule>
  </conditionalFormatting>
  <conditionalFormatting sqref="H933:L933">
    <cfRule type="dataBar" priority="482">
      <dataBar>
        <cfvo type="min"/>
        <cfvo type="max"/>
        <color rgb="FFFFB628"/>
      </dataBar>
    </cfRule>
  </conditionalFormatting>
  <conditionalFormatting sqref="H934:L934">
    <cfRule type="dataBar" priority="329">
      <dataBar>
        <cfvo type="min"/>
        <cfvo type="max"/>
        <color rgb="FFFFB628"/>
      </dataBar>
    </cfRule>
  </conditionalFormatting>
  <conditionalFormatting sqref="H935:L964">
    <cfRule type="dataBar" priority="327">
      <dataBar>
        <cfvo type="min"/>
        <cfvo type="max"/>
        <color rgb="FFFFB628"/>
      </dataBar>
    </cfRule>
  </conditionalFormatting>
  <conditionalFormatting sqref="H965:L994">
    <cfRule type="dataBar" priority="325">
      <dataBar>
        <cfvo type="min"/>
        <cfvo type="max"/>
        <color rgb="FFFFB628"/>
      </dataBar>
    </cfRule>
  </conditionalFormatting>
  <conditionalFormatting sqref="H995:L995">
    <cfRule type="dataBar" priority="331">
      <dataBar>
        <cfvo type="min"/>
        <cfvo type="max"/>
        <color rgb="FFFFB628"/>
      </dataBar>
    </cfRule>
  </conditionalFormatting>
  <conditionalFormatting sqref="H996:L996">
    <cfRule type="dataBar" priority="334">
      <dataBar>
        <cfvo type="min"/>
        <cfvo type="max"/>
        <color rgb="FFFFB628"/>
      </dataBar>
    </cfRule>
  </conditionalFormatting>
  <conditionalFormatting sqref="H997:L997">
    <cfRule type="dataBar" priority="332">
      <dataBar>
        <cfvo type="min"/>
        <cfvo type="max"/>
        <color rgb="FFFFB628"/>
      </dataBar>
    </cfRule>
  </conditionalFormatting>
  <conditionalFormatting sqref="H998:L1027">
    <cfRule type="dataBar" priority="323">
      <dataBar>
        <cfvo type="min"/>
        <cfvo type="max"/>
        <color rgb="FFFFB628"/>
      </dataBar>
    </cfRule>
  </conditionalFormatting>
  <conditionalFormatting sqref="H1028:L1028">
    <cfRule type="dataBar" priority="480">
      <dataBar>
        <cfvo type="min"/>
        <cfvo type="max"/>
        <color rgb="FFFFB628"/>
      </dataBar>
    </cfRule>
  </conditionalFormatting>
  <conditionalFormatting sqref="H1029:L1059">
    <cfRule type="dataBar" priority="321">
      <dataBar>
        <cfvo type="min"/>
        <cfvo type="max"/>
        <color rgb="FFFFB628"/>
      </dataBar>
    </cfRule>
  </conditionalFormatting>
  <conditionalFormatting sqref="H1060:L1089">
    <cfRule type="dataBar" priority="512">
      <dataBar>
        <cfvo type="min"/>
        <cfvo type="max"/>
        <color rgb="FFFFB628"/>
      </dataBar>
    </cfRule>
  </conditionalFormatting>
  <conditionalFormatting sqref="H1084:L1084">
    <cfRule type="dataBar" priority="317">
      <dataBar>
        <cfvo type="min"/>
        <cfvo type="max"/>
        <color rgb="FFFFB628"/>
      </dataBar>
    </cfRule>
  </conditionalFormatting>
  <conditionalFormatting sqref="H1085:L1085">
    <cfRule type="dataBar" priority="315">
      <dataBar>
        <cfvo type="min"/>
        <cfvo type="max"/>
        <color rgb="FFFFB628"/>
      </dataBar>
    </cfRule>
  </conditionalFormatting>
  <conditionalFormatting sqref="H1086:L1086">
    <cfRule type="dataBar" priority="313">
      <dataBar>
        <cfvo type="min"/>
        <cfvo type="max"/>
        <color rgb="FFFFB628"/>
      </dataBar>
    </cfRule>
  </conditionalFormatting>
  <conditionalFormatting sqref="H1087:L1087">
    <cfRule type="dataBar" priority="311">
      <dataBar>
        <cfvo type="min"/>
        <cfvo type="max"/>
        <color rgb="FFFFB628"/>
      </dataBar>
    </cfRule>
  </conditionalFormatting>
  <conditionalFormatting sqref="H1088:L1088">
    <cfRule type="dataBar" priority="319">
      <dataBar>
        <cfvo type="min"/>
        <cfvo type="max"/>
        <color rgb="FFFFB628"/>
      </dataBar>
    </cfRule>
  </conditionalFormatting>
  <conditionalFormatting sqref="H1089:L1089">
    <cfRule type="dataBar" priority="309">
      <dataBar>
        <cfvo type="min"/>
        <cfvo type="max"/>
        <color rgb="FFFFB628"/>
      </dataBar>
    </cfRule>
  </conditionalFormatting>
  <conditionalFormatting sqref="H1090:L1090 H1153:L1153">
    <cfRule type="dataBar" priority="491">
      <dataBar>
        <cfvo type="min"/>
        <cfvo type="max"/>
        <color rgb="FFFFB628"/>
      </dataBar>
    </cfRule>
  </conditionalFormatting>
  <conditionalFormatting sqref="H1091:L1121">
    <cfRule type="dataBar" priority="306">
      <dataBar>
        <cfvo type="min"/>
        <cfvo type="max"/>
        <color rgb="FFFFB628"/>
      </dataBar>
    </cfRule>
  </conditionalFormatting>
  <conditionalFormatting sqref="H1122:L1122">
    <cfRule type="dataBar" priority="518">
      <dataBar>
        <cfvo type="min"/>
        <cfvo type="max"/>
        <color rgb="FFFFB628"/>
      </dataBar>
    </cfRule>
  </conditionalFormatting>
  <conditionalFormatting sqref="H1123:L1123">
    <cfRule type="dataBar" priority="196">
      <dataBar>
        <cfvo type="min"/>
        <cfvo type="max"/>
        <color rgb="FFFFB628"/>
      </dataBar>
    </cfRule>
  </conditionalFormatting>
  <conditionalFormatting sqref="H1124:L1139 H1141:L1141 H1143:L1150 H1152:L1152">
    <cfRule type="dataBar" priority="521">
      <dataBar>
        <cfvo type="min"/>
        <cfvo type="max"/>
        <color rgb="FFFFB628"/>
      </dataBar>
    </cfRule>
  </conditionalFormatting>
  <conditionalFormatting sqref="H1140:L1140">
    <cfRule type="dataBar" priority="194">
      <dataBar>
        <cfvo type="min"/>
        <cfvo type="max"/>
        <color rgb="FFFFB628"/>
      </dataBar>
    </cfRule>
  </conditionalFormatting>
  <conditionalFormatting sqref="H1142:L1142">
    <cfRule type="dataBar" priority="192">
      <dataBar>
        <cfvo type="min"/>
        <cfvo type="max"/>
        <color rgb="FFFFB628"/>
      </dataBar>
    </cfRule>
  </conditionalFormatting>
  <conditionalFormatting sqref="H1151:L1151">
    <cfRule type="dataBar" priority="190">
      <dataBar>
        <cfvo type="min"/>
        <cfvo type="max"/>
        <color rgb="FFFFB628"/>
      </dataBar>
    </cfRule>
  </conditionalFormatting>
  <conditionalFormatting sqref="H1154:L1154">
    <cfRule type="dataBar" priority="517">
      <dataBar>
        <cfvo type="min"/>
        <cfvo type="max"/>
        <color rgb="FFFFB628"/>
      </dataBar>
    </cfRule>
  </conditionalFormatting>
  <conditionalFormatting sqref="H1155:L1155">
    <cfRule type="dataBar" priority="183">
      <dataBar>
        <cfvo type="min"/>
        <cfvo type="max"/>
        <color rgb="FFFFB628"/>
      </dataBar>
    </cfRule>
  </conditionalFormatting>
  <conditionalFormatting sqref="H1155:L1184">
    <cfRule type="dataBar" priority="185">
      <dataBar>
        <cfvo type="min"/>
        <cfvo type="max"/>
        <color rgb="FFFFB628"/>
      </dataBar>
    </cfRule>
  </conditionalFormatting>
  <conditionalFormatting sqref="H1156:L1171 H1173:L1173 H1175:L1182 H1184:L1184">
    <cfRule type="dataBar" priority="189">
      <dataBar>
        <cfvo type="min"/>
        <cfvo type="max"/>
        <color rgb="FFFFB628"/>
      </dataBar>
    </cfRule>
  </conditionalFormatting>
  <conditionalFormatting sqref="H1172:L1172">
    <cfRule type="dataBar" priority="181">
      <dataBar>
        <cfvo type="min"/>
        <cfvo type="max"/>
        <color rgb="FFFFB628"/>
      </dataBar>
    </cfRule>
  </conditionalFormatting>
  <conditionalFormatting sqref="H1174:L1174">
    <cfRule type="dataBar" priority="179">
      <dataBar>
        <cfvo type="min"/>
        <cfvo type="max"/>
        <color rgb="FFFFB628"/>
      </dataBar>
    </cfRule>
  </conditionalFormatting>
  <conditionalFormatting sqref="H1183:L1183">
    <cfRule type="dataBar" priority="177">
      <dataBar>
        <cfvo type="min"/>
        <cfvo type="max"/>
        <color rgb="FFFFB628"/>
      </dataBar>
    </cfRule>
  </conditionalFormatting>
  <conditionalFormatting sqref="H1185:L1185">
    <cfRule type="dataBar" priority="174">
      <dataBar>
        <cfvo type="min"/>
        <cfvo type="max"/>
        <color rgb="FFFFB628"/>
      </dataBar>
    </cfRule>
    <cfRule type="dataBar" priority="176">
      <dataBar>
        <cfvo type="min"/>
        <cfvo type="max"/>
        <color rgb="FFFFB628"/>
      </dataBar>
    </cfRule>
  </conditionalFormatting>
  <conditionalFormatting sqref="H1186:L1186">
    <cfRule type="dataBar" priority="474">
      <dataBar>
        <cfvo type="min"/>
        <cfvo type="max"/>
        <color rgb="FFFFB628"/>
      </dataBar>
    </cfRule>
  </conditionalFormatting>
  <conditionalFormatting sqref="H1187:L1187">
    <cfRule type="dataBar" priority="167">
      <dataBar>
        <cfvo type="min"/>
        <cfvo type="max"/>
        <color rgb="FFFFB628"/>
      </dataBar>
    </cfRule>
  </conditionalFormatting>
  <conditionalFormatting sqref="H1187:L1216">
    <cfRule type="dataBar" priority="169">
      <dataBar>
        <cfvo type="min"/>
        <cfvo type="max"/>
        <color rgb="FFFFB628"/>
      </dataBar>
    </cfRule>
  </conditionalFormatting>
  <conditionalFormatting sqref="H1188:L1203 H1205:L1205 H1207:L1214 H1216:L1216">
    <cfRule type="dataBar" priority="173">
      <dataBar>
        <cfvo type="min"/>
        <cfvo type="max"/>
        <color rgb="FFFFB628"/>
      </dataBar>
    </cfRule>
  </conditionalFormatting>
  <conditionalFormatting sqref="H1204:L1204">
    <cfRule type="dataBar" priority="165">
      <dataBar>
        <cfvo type="min"/>
        <cfvo type="max"/>
        <color rgb="FFFFB628"/>
      </dataBar>
    </cfRule>
  </conditionalFormatting>
  <conditionalFormatting sqref="H1206:L1206">
    <cfRule type="dataBar" priority="163">
      <dataBar>
        <cfvo type="min"/>
        <cfvo type="max"/>
        <color rgb="FFFFB628"/>
      </dataBar>
    </cfRule>
  </conditionalFormatting>
  <conditionalFormatting sqref="H1215:L1215">
    <cfRule type="dataBar" priority="161">
      <dataBar>
        <cfvo type="min"/>
        <cfvo type="max"/>
        <color rgb="FFFFB628"/>
      </dataBar>
    </cfRule>
  </conditionalFormatting>
  <conditionalFormatting sqref="H1217:L1217">
    <cfRule type="dataBar" priority="476">
      <dataBar>
        <cfvo type="min"/>
        <cfvo type="max"/>
        <color rgb="FFFFB628"/>
      </dataBar>
    </cfRule>
  </conditionalFormatting>
  <conditionalFormatting sqref="H1218:L1218 H1250:L1250 H1282:L1282">
    <cfRule type="dataBar" priority="531">
      <dataBar>
        <cfvo type="min"/>
        <cfvo type="max"/>
        <color rgb="FFFFB628"/>
      </dataBar>
    </cfRule>
  </conditionalFormatting>
  <conditionalFormatting sqref="H1219:L1219">
    <cfRule type="dataBar" priority="148">
      <dataBar>
        <cfvo type="min"/>
        <cfvo type="max"/>
        <color rgb="FFFFB628"/>
      </dataBar>
    </cfRule>
  </conditionalFormatting>
  <conditionalFormatting sqref="H1219:L1248">
    <cfRule type="dataBar" priority="150">
      <dataBar>
        <cfvo type="min"/>
        <cfvo type="max"/>
        <color rgb="FFFFB628"/>
      </dataBar>
    </cfRule>
  </conditionalFormatting>
  <conditionalFormatting sqref="H1220:L1235 H1237:L1237 H1239:L1246 H1248:L1248">
    <cfRule type="dataBar" priority="154">
      <dataBar>
        <cfvo type="min"/>
        <cfvo type="max"/>
        <color rgb="FFFFB628"/>
      </dataBar>
    </cfRule>
  </conditionalFormatting>
  <conditionalFormatting sqref="H1236:L1236">
    <cfRule type="dataBar" priority="146">
      <dataBar>
        <cfvo type="min"/>
        <cfvo type="max"/>
        <color rgb="FFFFB628"/>
      </dataBar>
    </cfRule>
  </conditionalFormatting>
  <conditionalFormatting sqref="H1238:L1238">
    <cfRule type="dataBar" priority="144">
      <dataBar>
        <cfvo type="min"/>
        <cfvo type="max"/>
        <color rgb="FFFFB628"/>
      </dataBar>
    </cfRule>
  </conditionalFormatting>
  <conditionalFormatting sqref="H1247:L1247">
    <cfRule type="dataBar" priority="142">
      <dataBar>
        <cfvo type="min"/>
        <cfvo type="max"/>
        <color rgb="FFFFB628"/>
      </dataBar>
    </cfRule>
  </conditionalFormatting>
  <conditionalFormatting sqref="H1249:L1249">
    <cfRule type="dataBar" priority="159">
      <dataBar>
        <cfvo type="min"/>
        <cfvo type="max"/>
        <color rgb="FFFFB628"/>
      </dataBar>
    </cfRule>
  </conditionalFormatting>
  <conditionalFormatting sqref="H1251:L1251">
    <cfRule type="dataBar" priority="135">
      <dataBar>
        <cfvo type="min"/>
        <cfvo type="max"/>
        <color rgb="FFFFB628"/>
      </dataBar>
    </cfRule>
  </conditionalFormatting>
  <conditionalFormatting sqref="H1251:L1280">
    <cfRule type="dataBar" priority="137">
      <dataBar>
        <cfvo type="min"/>
        <cfvo type="max"/>
        <color rgb="FFFFB628"/>
      </dataBar>
    </cfRule>
  </conditionalFormatting>
  <conditionalFormatting sqref="H1252:L1267 H1269:L1269 H1271:L1278 H1280:L1280">
    <cfRule type="dataBar" priority="141">
      <dataBar>
        <cfvo type="min"/>
        <cfvo type="max"/>
        <color rgb="FFFFB628"/>
      </dataBar>
    </cfRule>
  </conditionalFormatting>
  <conditionalFormatting sqref="H1268:L1268">
    <cfRule type="dataBar" priority="133">
      <dataBar>
        <cfvo type="min"/>
        <cfvo type="max"/>
        <color rgb="FFFFB628"/>
      </dataBar>
    </cfRule>
  </conditionalFormatting>
  <conditionalFormatting sqref="H1270:L1270">
    <cfRule type="dataBar" priority="131">
      <dataBar>
        <cfvo type="min"/>
        <cfvo type="max"/>
        <color rgb="FFFFB628"/>
      </dataBar>
    </cfRule>
  </conditionalFormatting>
  <conditionalFormatting sqref="H1279:L1279">
    <cfRule type="dataBar" priority="129">
      <dataBar>
        <cfvo type="min"/>
        <cfvo type="max"/>
        <color rgb="FFFFB628"/>
      </dataBar>
    </cfRule>
  </conditionalFormatting>
  <conditionalFormatting sqref="H1281:L1281">
    <cfRule type="dataBar" priority="157">
      <dataBar>
        <cfvo type="min"/>
        <cfvo type="max"/>
        <color rgb="FFFFB628"/>
      </dataBar>
    </cfRule>
  </conditionalFormatting>
  <conditionalFormatting sqref="H1283:L1283">
    <cfRule type="dataBar" priority="48">
      <dataBar>
        <cfvo type="min"/>
        <cfvo type="max"/>
        <color rgb="FFFFB628"/>
      </dataBar>
    </cfRule>
  </conditionalFormatting>
  <conditionalFormatting sqref="H1283:L1312">
    <cfRule type="dataBar" priority="50">
      <dataBar>
        <cfvo type="min"/>
        <cfvo type="max"/>
        <color rgb="FFFFB628"/>
      </dataBar>
    </cfRule>
  </conditionalFormatting>
  <conditionalFormatting sqref="H1284:L1299 H1301:L1301 H1303:L1310 H1312:L1312">
    <cfRule type="dataBar" priority="54">
      <dataBar>
        <cfvo type="min"/>
        <cfvo type="max"/>
        <color rgb="FFFFB628"/>
      </dataBar>
    </cfRule>
  </conditionalFormatting>
  <conditionalFormatting sqref="H1300:L1300">
    <cfRule type="dataBar" priority="46">
      <dataBar>
        <cfvo type="min"/>
        <cfvo type="max"/>
        <color rgb="FFFFB628"/>
      </dataBar>
    </cfRule>
  </conditionalFormatting>
  <conditionalFormatting sqref="H1302:L1302">
    <cfRule type="dataBar" priority="44">
      <dataBar>
        <cfvo type="min"/>
        <cfvo type="max"/>
        <color rgb="FFFFB628"/>
      </dataBar>
    </cfRule>
  </conditionalFormatting>
  <conditionalFormatting sqref="H1311:L1311">
    <cfRule type="dataBar" priority="42">
      <dataBar>
        <cfvo type="min"/>
        <cfvo type="max"/>
        <color rgb="FFFFB628"/>
      </dataBar>
    </cfRule>
  </conditionalFormatting>
  <conditionalFormatting sqref="H1313:L1313">
    <cfRule type="dataBar" priority="155">
      <dataBar>
        <cfvo type="min"/>
        <cfvo type="max"/>
        <color rgb="FFFFB628"/>
      </dataBar>
    </cfRule>
  </conditionalFormatting>
  <conditionalFormatting sqref="H1314:L1314">
    <cfRule type="dataBar" priority="492">
      <dataBar>
        <cfvo type="min"/>
        <cfvo type="max"/>
        <color rgb="FFFFB628"/>
      </dataBar>
    </cfRule>
  </conditionalFormatting>
  <conditionalFormatting sqref="H1315:L1315">
    <cfRule type="dataBar" priority="77">
      <dataBar>
        <cfvo type="min"/>
        <cfvo type="max"/>
        <color rgb="FFFFB628"/>
      </dataBar>
    </cfRule>
  </conditionalFormatting>
  <conditionalFormatting sqref="H1315:L1344">
    <cfRule type="dataBar" priority="79">
      <dataBar>
        <cfvo type="min"/>
        <cfvo type="max"/>
        <color rgb="FFFFB628"/>
      </dataBar>
    </cfRule>
  </conditionalFormatting>
  <conditionalFormatting sqref="H1316:L1331 H1333:L1333 H1335:L1342 H1344:L1344">
    <cfRule type="dataBar" priority="83">
      <dataBar>
        <cfvo type="min"/>
        <cfvo type="max"/>
        <color rgb="FFFFB628"/>
      </dataBar>
    </cfRule>
  </conditionalFormatting>
  <conditionalFormatting sqref="H1332:L1332">
    <cfRule type="dataBar" priority="75">
      <dataBar>
        <cfvo type="min"/>
        <cfvo type="max"/>
        <color rgb="FFFFB628"/>
      </dataBar>
    </cfRule>
  </conditionalFormatting>
  <conditionalFormatting sqref="H1334:L1334">
    <cfRule type="dataBar" priority="73">
      <dataBar>
        <cfvo type="min"/>
        <cfvo type="max"/>
        <color rgb="FFFFB628"/>
      </dataBar>
    </cfRule>
  </conditionalFormatting>
  <conditionalFormatting sqref="H1343:L1343">
    <cfRule type="dataBar" priority="71">
      <dataBar>
        <cfvo type="min"/>
        <cfvo type="max"/>
        <color rgb="FFFFB628"/>
      </dataBar>
    </cfRule>
  </conditionalFormatting>
  <conditionalFormatting sqref="H1345:L1345">
    <cfRule type="dataBar" priority="527">
      <dataBar>
        <cfvo type="min"/>
        <cfvo type="max"/>
        <color rgb="FFFFB628"/>
      </dataBar>
    </cfRule>
  </conditionalFormatting>
  <conditionalFormatting sqref="H1346:L1346 H1377:L1377">
    <cfRule type="dataBar" priority="529">
      <dataBar>
        <cfvo type="min"/>
        <cfvo type="max"/>
        <color rgb="FFFFB628"/>
      </dataBar>
    </cfRule>
  </conditionalFormatting>
  <conditionalFormatting sqref="H1347:L1347">
    <cfRule type="dataBar" priority="64">
      <dataBar>
        <cfvo type="min"/>
        <cfvo type="max"/>
        <color rgb="FFFFB628"/>
      </dataBar>
    </cfRule>
  </conditionalFormatting>
  <conditionalFormatting sqref="H1347:L1376">
    <cfRule type="dataBar" priority="66">
      <dataBar>
        <cfvo type="min"/>
        <cfvo type="max"/>
        <color rgb="FFFFB628"/>
      </dataBar>
    </cfRule>
  </conditionalFormatting>
  <conditionalFormatting sqref="H1348:L1363 H1365:L1365 H1367:L1374 H1376:L1376">
    <cfRule type="dataBar" priority="70">
      <dataBar>
        <cfvo type="min"/>
        <cfvo type="max"/>
        <color rgb="FFFFB628"/>
      </dataBar>
    </cfRule>
  </conditionalFormatting>
  <conditionalFormatting sqref="H1364:L1364">
    <cfRule type="dataBar" priority="62">
      <dataBar>
        <cfvo type="min"/>
        <cfvo type="max"/>
        <color rgb="FFFFB628"/>
      </dataBar>
    </cfRule>
  </conditionalFormatting>
  <conditionalFormatting sqref="H1366:L1366">
    <cfRule type="dataBar" priority="60">
      <dataBar>
        <cfvo type="min"/>
        <cfvo type="max"/>
        <color rgb="FFFFB628"/>
      </dataBar>
    </cfRule>
  </conditionalFormatting>
  <conditionalFormatting sqref="H1375:L1375">
    <cfRule type="dataBar" priority="58">
      <dataBar>
        <cfvo type="min"/>
        <cfvo type="max"/>
        <color rgb="FFFFB628"/>
      </dataBar>
    </cfRule>
  </conditionalFormatting>
  <conditionalFormatting sqref="H1378:L1378 H1380:L1380 H1383:L1390 H1392:L1392 H1396:L1403 H1405:L1406 H1410:L1410 H1413:L1420 H1422:L1424 H1426:L1433 H1435:L1436 H1440:L1440 H1443:L1450 H1452:L1452 H1456:L1463 H1465:L1465">
    <cfRule type="dataBar" priority="515">
      <dataBar>
        <cfvo type="min"/>
        <cfvo type="max"/>
        <color rgb="FFFFB628"/>
      </dataBar>
    </cfRule>
  </conditionalFormatting>
  <conditionalFormatting sqref="H1379:L1379">
    <cfRule type="dataBar" priority="289">
      <dataBar>
        <cfvo type="min"/>
        <cfvo type="max"/>
        <color rgb="FFFFB628"/>
      </dataBar>
    </cfRule>
  </conditionalFormatting>
  <conditionalFormatting sqref="H1381:L1381">
    <cfRule type="dataBar" priority="287">
      <dataBar>
        <cfvo type="min"/>
        <cfvo type="max"/>
        <color rgb="FFFFB628"/>
      </dataBar>
    </cfRule>
  </conditionalFormatting>
  <conditionalFormatting sqref="H1382:L1382">
    <cfRule type="dataBar" priority="285">
      <dataBar>
        <cfvo type="min"/>
        <cfvo type="max"/>
        <color rgb="FFFFB628"/>
      </dataBar>
    </cfRule>
  </conditionalFormatting>
  <conditionalFormatting sqref="H1391:L1391">
    <cfRule type="dataBar" priority="283">
      <dataBar>
        <cfvo type="min"/>
        <cfvo type="max"/>
        <color rgb="FFFFB628"/>
      </dataBar>
    </cfRule>
  </conditionalFormatting>
  <conditionalFormatting sqref="H1393:L1393">
    <cfRule type="dataBar" priority="281">
      <dataBar>
        <cfvo type="min"/>
        <cfvo type="max"/>
        <color rgb="FFFFB628"/>
      </dataBar>
    </cfRule>
  </conditionalFormatting>
  <conditionalFormatting sqref="H1394:L1394">
    <cfRule type="dataBar" priority="279">
      <dataBar>
        <cfvo type="min"/>
        <cfvo type="max"/>
        <color rgb="FFFFB628"/>
      </dataBar>
    </cfRule>
  </conditionalFormatting>
  <conditionalFormatting sqref="H1395:L1395">
    <cfRule type="dataBar" priority="214">
      <dataBar>
        <cfvo type="min"/>
        <cfvo type="max"/>
        <color rgb="FFFFB628"/>
      </dataBar>
    </cfRule>
    <cfRule type="dataBar" priority="277">
      <dataBar>
        <cfvo type="min"/>
        <cfvo type="max"/>
        <color rgb="FFFFB628"/>
      </dataBar>
    </cfRule>
  </conditionalFormatting>
  <conditionalFormatting sqref="H1404:L1404">
    <cfRule type="dataBar" priority="275">
      <dataBar>
        <cfvo type="min"/>
        <cfvo type="max"/>
        <color rgb="FFFFB628"/>
      </dataBar>
    </cfRule>
  </conditionalFormatting>
  <conditionalFormatting sqref="H1407:L1407">
    <cfRule type="dataBar" priority="273">
      <dataBar>
        <cfvo type="min"/>
        <cfvo type="max"/>
        <color rgb="FFFFB628"/>
      </dataBar>
    </cfRule>
  </conditionalFormatting>
  <conditionalFormatting sqref="H1408:L1408">
    <cfRule type="dataBar" priority="304">
      <dataBar>
        <cfvo type="min"/>
        <cfvo type="max"/>
        <color rgb="FFFFB628"/>
      </dataBar>
    </cfRule>
  </conditionalFormatting>
  <conditionalFormatting sqref="H1409:L1409">
    <cfRule type="dataBar" priority="303">
      <dataBar>
        <cfvo type="min"/>
        <cfvo type="max"/>
        <color rgb="FFFFB628"/>
      </dataBar>
    </cfRule>
  </conditionalFormatting>
  <conditionalFormatting sqref="H1411:L1411">
    <cfRule type="dataBar" priority="301">
      <dataBar>
        <cfvo type="min"/>
        <cfvo type="max"/>
        <color rgb="FFFFB628"/>
      </dataBar>
    </cfRule>
  </conditionalFormatting>
  <conditionalFormatting sqref="H1412:L1412">
    <cfRule type="dataBar" priority="299">
      <dataBar>
        <cfvo type="min"/>
        <cfvo type="max"/>
        <color rgb="FFFFB628"/>
      </dataBar>
    </cfRule>
  </conditionalFormatting>
  <conditionalFormatting sqref="H1421:L1421">
    <cfRule type="dataBar" priority="297">
      <dataBar>
        <cfvo type="min"/>
        <cfvo type="max"/>
        <color rgb="FFFFB628"/>
      </dataBar>
    </cfRule>
  </conditionalFormatting>
  <conditionalFormatting sqref="H1425:L1425">
    <cfRule type="dataBar" priority="295">
      <dataBar>
        <cfvo type="min"/>
        <cfvo type="max"/>
        <color rgb="FFFFB628"/>
      </dataBar>
    </cfRule>
  </conditionalFormatting>
  <conditionalFormatting sqref="H1434:L1434">
    <cfRule type="dataBar" priority="293">
      <dataBar>
        <cfvo type="min"/>
        <cfvo type="max"/>
        <color rgb="FFFFB628"/>
      </dataBar>
    </cfRule>
  </conditionalFormatting>
  <conditionalFormatting sqref="H1437:L1437">
    <cfRule type="dataBar" priority="291">
      <dataBar>
        <cfvo type="min"/>
        <cfvo type="max"/>
        <color rgb="FFFFB628"/>
      </dataBar>
    </cfRule>
  </conditionalFormatting>
  <conditionalFormatting sqref="H1438:L1438">
    <cfRule type="dataBar" priority="271">
      <dataBar>
        <cfvo type="min"/>
        <cfvo type="max"/>
        <color rgb="FFFFB628"/>
      </dataBar>
    </cfRule>
  </conditionalFormatting>
  <conditionalFormatting sqref="H1439:L1439">
    <cfRule type="dataBar" priority="270">
      <dataBar>
        <cfvo type="min"/>
        <cfvo type="max"/>
        <color rgb="FFFFB628"/>
      </dataBar>
    </cfRule>
  </conditionalFormatting>
  <conditionalFormatting sqref="H1441:L1441">
    <cfRule type="dataBar" priority="268">
      <dataBar>
        <cfvo type="min"/>
        <cfvo type="max"/>
        <color rgb="FFFFB628"/>
      </dataBar>
    </cfRule>
  </conditionalFormatting>
  <conditionalFormatting sqref="H1442:L1442">
    <cfRule type="dataBar" priority="266">
      <dataBar>
        <cfvo type="min"/>
        <cfvo type="max"/>
        <color rgb="FFFFB628"/>
      </dataBar>
    </cfRule>
  </conditionalFormatting>
  <conditionalFormatting sqref="H1451:L1451">
    <cfRule type="dataBar" priority="264">
      <dataBar>
        <cfvo type="min"/>
        <cfvo type="max"/>
        <color rgb="FFFFB628"/>
      </dataBar>
    </cfRule>
  </conditionalFormatting>
  <conditionalFormatting sqref="H1453:L1453">
    <cfRule type="dataBar" priority="256">
      <dataBar>
        <cfvo type="min"/>
        <cfvo type="max"/>
        <color rgb="FFFFB628"/>
      </dataBar>
    </cfRule>
  </conditionalFormatting>
  <conditionalFormatting sqref="H1454:L1454">
    <cfRule type="dataBar" priority="254">
      <dataBar>
        <cfvo type="min"/>
        <cfvo type="max"/>
        <color rgb="FFFFB628"/>
      </dataBar>
    </cfRule>
  </conditionalFormatting>
  <conditionalFormatting sqref="H1455:L1455">
    <cfRule type="dataBar" priority="262">
      <dataBar>
        <cfvo type="min"/>
        <cfvo type="max"/>
        <color rgb="FFFFB628"/>
      </dataBar>
    </cfRule>
  </conditionalFormatting>
  <conditionalFormatting sqref="H1464:L1464">
    <cfRule type="dataBar" priority="260">
      <dataBar>
        <cfvo type="min"/>
        <cfvo type="max"/>
        <color rgb="FFFFB628"/>
      </dataBar>
    </cfRule>
  </conditionalFormatting>
  <conditionalFormatting sqref="H1466:L1466">
    <cfRule type="dataBar" priority="252">
      <dataBar>
        <cfvo type="min"/>
        <cfvo type="max"/>
        <color rgb="FFFFB628"/>
      </dataBar>
    </cfRule>
  </conditionalFormatting>
  <conditionalFormatting sqref="H1467:L1467">
    <cfRule type="dataBar" priority="258">
      <dataBar>
        <cfvo type="min"/>
        <cfvo type="max"/>
        <color rgb="FFFFB628"/>
      </dataBar>
    </cfRule>
  </conditionalFormatting>
  <conditionalFormatting sqref="H1468:L1468 H1529:L1529">
    <cfRule type="dataBar" priority="478">
      <dataBar>
        <cfvo type="min"/>
        <cfvo type="max"/>
        <color rgb="FFFFB628"/>
      </dataBar>
    </cfRule>
  </conditionalFormatting>
  <conditionalFormatting sqref="H1469:L1469 H1474:L1475 H1477:L1479 H1481:L1481 H1483:L1483 H1488:L1490 H1492:L1494 H1496:L1497">
    <cfRule type="dataBar" priority="251">
      <dataBar>
        <cfvo type="min"/>
        <cfvo type="max"/>
        <color rgb="FFFFB628"/>
      </dataBar>
    </cfRule>
  </conditionalFormatting>
  <conditionalFormatting sqref="H1470:L1470">
    <cfRule type="dataBar" priority="248">
      <dataBar>
        <cfvo type="min"/>
        <cfvo type="max"/>
        <color rgb="FFFFB628"/>
      </dataBar>
    </cfRule>
    <cfRule type="dataBar" priority="238">
      <dataBar>
        <cfvo type="min"/>
        <cfvo type="max"/>
        <color rgb="FFFFB628"/>
      </dataBar>
    </cfRule>
  </conditionalFormatting>
  <conditionalFormatting sqref="H1471:L1471">
    <cfRule type="dataBar" priority="208">
      <dataBar>
        <cfvo type="min"/>
        <cfvo type="max"/>
        <color rgb="FFFFB628"/>
      </dataBar>
    </cfRule>
  </conditionalFormatting>
  <conditionalFormatting sqref="H1472:L1472">
    <cfRule type="dataBar" priority="237">
      <dataBar>
        <cfvo type="min"/>
        <cfvo type="max"/>
        <color rgb="FFFFB628"/>
      </dataBar>
    </cfRule>
    <cfRule type="dataBar" priority="246">
      <dataBar>
        <cfvo type="min"/>
        <cfvo type="max"/>
        <color rgb="FFFFB628"/>
      </dataBar>
    </cfRule>
  </conditionalFormatting>
  <conditionalFormatting sqref="H1473:L1473">
    <cfRule type="dataBar" priority="210">
      <dataBar>
        <cfvo type="min"/>
        <cfvo type="max"/>
        <color rgb="FFFFB628"/>
      </dataBar>
    </cfRule>
  </conditionalFormatting>
  <conditionalFormatting sqref="H1476:L1476">
    <cfRule type="dataBar" priority="212">
      <dataBar>
        <cfvo type="min"/>
        <cfvo type="max"/>
        <color rgb="FFFFB628"/>
      </dataBar>
    </cfRule>
  </conditionalFormatting>
  <conditionalFormatting sqref="H1480:L1480">
    <cfRule type="dataBar" priority="206">
      <dataBar>
        <cfvo type="min"/>
        <cfvo type="max"/>
        <color rgb="FFFFB628"/>
      </dataBar>
    </cfRule>
  </conditionalFormatting>
  <conditionalFormatting sqref="H1482:L1482">
    <cfRule type="dataBar" priority="244">
      <dataBar>
        <cfvo type="min"/>
        <cfvo type="max"/>
        <color rgb="FFFFB628"/>
      </dataBar>
    </cfRule>
    <cfRule type="dataBar" priority="236">
      <dataBar>
        <cfvo type="min"/>
        <cfvo type="max"/>
        <color rgb="FFFFB628"/>
      </dataBar>
    </cfRule>
  </conditionalFormatting>
  <conditionalFormatting sqref="H1484:L1484">
    <cfRule type="dataBar" priority="203">
      <dataBar>
        <cfvo type="min"/>
        <cfvo type="max"/>
        <color rgb="FFFFB628"/>
      </dataBar>
    </cfRule>
    <cfRule type="dataBar" priority="201">
      <dataBar>
        <cfvo type="min"/>
        <cfvo type="max"/>
        <color rgb="FFFFB628"/>
      </dataBar>
    </cfRule>
  </conditionalFormatting>
  <conditionalFormatting sqref="H1486:L1486">
    <cfRule type="dataBar" priority="234">
      <dataBar>
        <cfvo type="min"/>
        <cfvo type="max"/>
        <color rgb="FFFFB628"/>
      </dataBar>
    </cfRule>
    <cfRule type="dataBar" priority="235">
      <dataBar>
        <cfvo type="min"/>
        <cfvo type="max"/>
        <color rgb="FFFFB628"/>
      </dataBar>
    </cfRule>
  </conditionalFormatting>
  <conditionalFormatting sqref="H1487:L1487">
    <cfRule type="dataBar" priority="204">
      <dataBar>
        <cfvo type="min"/>
        <cfvo type="max"/>
        <color rgb="FFFFB628"/>
      </dataBar>
    </cfRule>
  </conditionalFormatting>
  <conditionalFormatting sqref="H1495:L1495">
    <cfRule type="dataBar" priority="233">
      <dataBar>
        <cfvo type="min"/>
        <cfvo type="max"/>
        <color rgb="FFFFB628"/>
      </dataBar>
    </cfRule>
    <cfRule type="dataBar" priority="241">
      <dataBar>
        <cfvo type="min"/>
        <cfvo type="max"/>
        <color rgb="FFFFB628"/>
      </dataBar>
    </cfRule>
  </conditionalFormatting>
  <conditionalFormatting sqref="H1498:L1498">
    <cfRule type="dataBar" priority="232">
      <dataBar>
        <cfvo type="min"/>
        <cfvo type="max"/>
        <color rgb="FFFFB628"/>
      </dataBar>
    </cfRule>
    <cfRule type="dataBar" priority="239">
      <dataBar>
        <cfvo type="min"/>
        <cfvo type="max"/>
        <color rgb="FFFFB628"/>
      </dataBar>
    </cfRule>
  </conditionalFormatting>
  <conditionalFormatting sqref="H1500:L1500">
    <cfRule type="dataBar" priority="228">
      <dataBar>
        <cfvo type="min"/>
        <cfvo type="max"/>
        <color rgb="FFFFB628"/>
      </dataBar>
    </cfRule>
    <cfRule type="dataBar" priority="219">
      <dataBar>
        <cfvo type="min"/>
        <cfvo type="max"/>
        <color rgb="FFFFB628"/>
      </dataBar>
    </cfRule>
  </conditionalFormatting>
  <conditionalFormatting sqref="H1502:L1502">
    <cfRule type="dataBar" priority="226">
      <dataBar>
        <cfvo type="min"/>
        <cfvo type="max"/>
        <color rgb="FFFFB628"/>
      </dataBar>
    </cfRule>
    <cfRule type="dataBar" priority="218">
      <dataBar>
        <cfvo type="min"/>
        <cfvo type="max"/>
        <color rgb="FFFFB628"/>
      </dataBar>
    </cfRule>
  </conditionalFormatting>
  <conditionalFormatting sqref="H1504:L1509 H1511:L1511 H1513:L1513 H1518:L1520 H1522:L1524 H1526:L1526">
    <cfRule type="dataBar" priority="231">
      <dataBar>
        <cfvo type="min"/>
        <cfvo type="max"/>
        <color rgb="FFFFB628"/>
      </dataBar>
    </cfRule>
  </conditionalFormatting>
  <conditionalFormatting sqref="H1512:L1512">
    <cfRule type="dataBar" priority="224">
      <dataBar>
        <cfvo type="min"/>
        <cfvo type="max"/>
        <color rgb="FFFFB628"/>
      </dataBar>
    </cfRule>
    <cfRule type="dataBar" priority="217">
      <dataBar>
        <cfvo type="min"/>
        <cfvo type="max"/>
        <color rgb="FFFFB628"/>
      </dataBar>
    </cfRule>
  </conditionalFormatting>
  <conditionalFormatting sqref="H1525:L1525">
    <cfRule type="dataBar" priority="222">
      <dataBar>
        <cfvo type="min"/>
        <cfvo type="max"/>
        <color rgb="FFFFB628"/>
      </dataBar>
    </cfRule>
    <cfRule type="dataBar" priority="216">
      <dataBar>
        <cfvo type="min"/>
        <cfvo type="max"/>
        <color rgb="FFFFB628"/>
      </dataBar>
    </cfRule>
  </conditionalFormatting>
  <conditionalFormatting sqref="H1528:L1528">
    <cfRule type="dataBar" priority="220">
      <dataBar>
        <cfvo type="min"/>
        <cfvo type="max"/>
        <color rgb="FFFFB628"/>
      </dataBar>
    </cfRule>
    <cfRule type="dataBar" priority="215">
      <dataBar>
        <cfvo type="min"/>
        <cfvo type="max"/>
        <color rgb="FFFFB628"/>
      </dataBar>
    </cfRule>
  </conditionalFormatting>
  <conditionalFormatting sqref="H1530:L1530 H1561:L1562 H1593:L1593">
    <cfRule type="dataBar" priority="522">
      <dataBar>
        <cfvo type="min"/>
        <cfvo type="max"/>
        <color rgb="FFFFB628"/>
      </dataBar>
    </cfRule>
  </conditionalFormatting>
  <conditionalFormatting sqref="H1531:L1531">
    <cfRule type="dataBar" priority="90">
      <dataBar>
        <cfvo type="min"/>
        <cfvo type="max"/>
        <color rgb="FFFFB628"/>
      </dataBar>
    </cfRule>
  </conditionalFormatting>
  <conditionalFormatting sqref="H1531:L1560">
    <cfRule type="dataBar" priority="92">
      <dataBar>
        <cfvo type="min"/>
        <cfvo type="max"/>
        <color rgb="FFFFB628"/>
      </dataBar>
    </cfRule>
  </conditionalFormatting>
  <conditionalFormatting sqref="H1532:L1547 H1549:L1549 H1551:L1558 H1560:L1560">
    <cfRule type="dataBar" priority="96">
      <dataBar>
        <cfvo type="min"/>
        <cfvo type="max"/>
        <color rgb="FFFFB628"/>
      </dataBar>
    </cfRule>
  </conditionalFormatting>
  <conditionalFormatting sqref="H1548:L1548">
    <cfRule type="dataBar" priority="88">
      <dataBar>
        <cfvo type="min"/>
        <cfvo type="max"/>
        <color rgb="FFFFB628"/>
      </dataBar>
    </cfRule>
  </conditionalFormatting>
  <conditionalFormatting sqref="H1550:L1550">
    <cfRule type="dataBar" priority="86">
      <dataBar>
        <cfvo type="min"/>
        <cfvo type="max"/>
        <color rgb="FFFFB628"/>
      </dataBar>
    </cfRule>
  </conditionalFormatting>
  <conditionalFormatting sqref="H1559:L1559">
    <cfRule type="dataBar" priority="84">
      <dataBar>
        <cfvo type="min"/>
        <cfvo type="max"/>
        <color rgb="FFFFB628"/>
      </dataBar>
    </cfRule>
  </conditionalFormatting>
  <conditionalFormatting sqref="H1564:L1564">
    <cfRule type="dataBar" priority="116">
      <dataBar>
        <cfvo type="min"/>
        <cfvo type="max"/>
        <color rgb="FFFFB628"/>
      </dataBar>
    </cfRule>
    <cfRule type="dataBar" priority="125">
      <dataBar>
        <cfvo type="min"/>
        <cfvo type="max"/>
        <color rgb="FFFFB628"/>
      </dataBar>
    </cfRule>
  </conditionalFormatting>
  <conditionalFormatting sqref="H1565:L1565">
    <cfRule type="dataBar" priority="109">
      <dataBar>
        <cfvo type="min"/>
        <cfvo type="max"/>
        <color rgb="FFFFB628"/>
      </dataBar>
    </cfRule>
    <cfRule type="dataBar" priority="110">
      <dataBar>
        <cfvo type="min"/>
        <cfvo type="max"/>
        <color rgb="FFFFB628"/>
      </dataBar>
    </cfRule>
    <cfRule type="dataBar" priority="111">
      <dataBar>
        <cfvo type="min"/>
        <cfvo type="max"/>
        <color rgb="FFFFB628"/>
      </dataBar>
    </cfRule>
  </conditionalFormatting>
  <conditionalFormatting sqref="H1566:L1566">
    <cfRule type="dataBar" priority="115">
      <dataBar>
        <cfvo type="min"/>
        <cfvo type="max"/>
        <color rgb="FFFFB628"/>
      </dataBar>
    </cfRule>
    <cfRule type="dataBar" priority="123">
      <dataBar>
        <cfvo type="min"/>
        <cfvo type="max"/>
        <color rgb="FFFFB628"/>
      </dataBar>
    </cfRule>
  </conditionalFormatting>
  <conditionalFormatting sqref="H1567:L1567">
    <cfRule type="dataBar" priority="108">
      <dataBar>
        <cfvo type="min"/>
        <cfvo type="max"/>
        <color rgb="FFFFB628"/>
      </dataBar>
    </cfRule>
    <cfRule type="dataBar" priority="107">
      <dataBar>
        <cfvo type="min"/>
        <cfvo type="max"/>
        <color rgb="FFFFB628"/>
      </dataBar>
    </cfRule>
    <cfRule type="dataBar" priority="106">
      <dataBar>
        <cfvo type="min"/>
        <cfvo type="max"/>
        <color rgb="FFFFB628"/>
      </dataBar>
    </cfRule>
  </conditionalFormatting>
  <conditionalFormatting sqref="H1568:L1573 H1575:L1575 H1577:L1577 H1582:L1584 H1586:L1588 H1590:L1590">
    <cfRule type="dataBar" priority="128">
      <dataBar>
        <cfvo type="min"/>
        <cfvo type="max"/>
        <color rgb="FFFFB628"/>
      </dataBar>
    </cfRule>
  </conditionalFormatting>
  <conditionalFormatting sqref="H1574:L1574">
    <cfRule type="dataBar" priority="103">
      <dataBar>
        <cfvo type="min"/>
        <cfvo type="max"/>
        <color rgb="FFFFB628"/>
      </dataBar>
    </cfRule>
    <cfRule type="dataBar" priority="105">
      <dataBar>
        <cfvo type="min"/>
        <cfvo type="max"/>
        <color rgb="FFFFB628"/>
      </dataBar>
    </cfRule>
    <cfRule type="dataBar" priority="104">
      <dataBar>
        <cfvo type="min"/>
        <cfvo type="max"/>
        <color rgb="FFFFB628"/>
      </dataBar>
    </cfRule>
  </conditionalFormatting>
  <conditionalFormatting sqref="H1576:L1576">
    <cfRule type="dataBar" priority="121">
      <dataBar>
        <cfvo type="min"/>
        <cfvo type="max"/>
        <color rgb="FFFFB628"/>
      </dataBar>
    </cfRule>
    <cfRule type="dataBar" priority="114">
      <dataBar>
        <cfvo type="min"/>
        <cfvo type="max"/>
        <color rgb="FFFFB628"/>
      </dataBar>
    </cfRule>
  </conditionalFormatting>
  <conditionalFormatting sqref="H1578:L1579">
    <cfRule type="dataBar" priority="100">
      <dataBar>
        <cfvo type="min"/>
        <cfvo type="max"/>
        <color rgb="FFFFB628"/>
      </dataBar>
    </cfRule>
    <cfRule type="dataBar" priority="102">
      <dataBar>
        <cfvo type="min"/>
        <cfvo type="max"/>
        <color rgb="FFFFB628"/>
      </dataBar>
    </cfRule>
    <cfRule type="dataBar" priority="101">
      <dataBar>
        <cfvo type="min"/>
        <cfvo type="max"/>
        <color rgb="FFFFB628"/>
      </dataBar>
    </cfRule>
  </conditionalFormatting>
  <conditionalFormatting sqref="H1581:L1581">
    <cfRule type="dataBar" priority="97">
      <dataBar>
        <cfvo type="min"/>
        <cfvo type="max"/>
        <color rgb="FFFFB628"/>
      </dataBar>
    </cfRule>
    <cfRule type="dataBar" priority="98">
      <dataBar>
        <cfvo type="min"/>
        <cfvo type="max"/>
        <color rgb="FFFFB628"/>
      </dataBar>
    </cfRule>
    <cfRule type="dataBar" priority="99">
      <dataBar>
        <cfvo type="min"/>
        <cfvo type="max"/>
        <color rgb="FFFFB628"/>
      </dataBar>
    </cfRule>
  </conditionalFormatting>
  <conditionalFormatting sqref="H1585:L1585">
    <cfRule type="dataBar" priority="23">
      <dataBar>
        <cfvo type="min"/>
        <cfvo type="max"/>
        <color rgb="FFFFB628"/>
      </dataBar>
    </cfRule>
    <cfRule type="dataBar" priority="24">
      <dataBar>
        <cfvo type="min"/>
        <cfvo type="max"/>
        <color rgb="FFFFB628"/>
      </dataBar>
    </cfRule>
  </conditionalFormatting>
  <conditionalFormatting sqref="H1589:L1589">
    <cfRule type="dataBar" priority="119">
      <dataBar>
        <cfvo type="min"/>
        <cfvo type="max"/>
        <color rgb="FFFFB628"/>
      </dataBar>
    </cfRule>
    <cfRule type="dataBar" priority="113">
      <dataBar>
        <cfvo type="min"/>
        <cfvo type="max"/>
        <color rgb="FFFFB628"/>
      </dataBar>
    </cfRule>
  </conditionalFormatting>
  <conditionalFormatting sqref="H1592:L1592">
    <cfRule type="dataBar" priority="117">
      <dataBar>
        <cfvo type="min"/>
        <cfvo type="max"/>
        <color rgb="FFFFB628"/>
      </dataBar>
    </cfRule>
    <cfRule type="dataBar" priority="112">
      <dataBar>
        <cfvo type="min"/>
        <cfvo type="max"/>
        <color rgb="FFFFB628"/>
      </dataBar>
    </cfRule>
  </conditionalFormatting>
  <conditionalFormatting sqref="H1594:L1594">
    <cfRule type="dataBar" priority="504">
      <dataBar>
        <cfvo type="min"/>
        <cfvo type="max"/>
        <color rgb="FFFFB628"/>
      </dataBar>
    </cfRule>
  </conditionalFormatting>
  <conditionalFormatting sqref="M2:M4 M35 M66:M67 M128:M130 M161:M167 M198 M229 M260 M471:M476 M507 M568 M599:M613 M644 M675 M706 M737 M798:M804 M806:M1153 M1186 M1217:M1218 M1249:M1250 M1281 M1313:M1314 M1345:M1346 M1377:M1484 M1486:M1490 M1492:M1498 M1500 M1502 M1504:M1509 M1511:M1513 M1518:M1520 M1522:M1526 M1528:M1530 M1561 M1564:M1579 M1581:M1590 M1592:M1594">
    <cfRule type="dataBar" priority="526">
      <dataBar>
        <cfvo type="min"/>
        <cfvo type="max"/>
        <color rgb="FF638EC6"/>
      </dataBar>
    </cfRule>
    <cfRule type="dataBar" priority="525">
      <dataBar>
        <cfvo type="min"/>
        <cfvo type="max"/>
        <color rgb="FF00B0F0"/>
      </dataBar>
    </cfRule>
  </conditionalFormatting>
  <conditionalFormatting sqref="M2:M4">
    <cfRule type="dataBar" priority="501">
      <dataBar>
        <cfvo type="min"/>
        <cfvo type="max"/>
        <color rgb="FF3FCDFF"/>
      </dataBar>
    </cfRule>
  </conditionalFormatting>
  <conditionalFormatting sqref="M5:M34">
    <cfRule type="dataBar" priority="472">
      <dataBar>
        <cfvo type="min"/>
        <cfvo type="max"/>
        <color rgb="FF3FCDFF"/>
      </dataBar>
    </cfRule>
  </conditionalFormatting>
  <conditionalFormatting sqref="M36:M65">
    <cfRule type="dataBar" priority="470">
      <dataBar>
        <cfvo type="min"/>
        <cfvo type="max"/>
        <color rgb="FF3FCDFF"/>
      </dataBar>
    </cfRule>
  </conditionalFormatting>
  <conditionalFormatting sqref="M66:M67 M35 M128:M130 M161:M167 M198 M229">
    <cfRule type="dataBar" priority="499">
      <dataBar>
        <cfvo type="min"/>
        <cfvo type="max"/>
        <color rgb="FF3FCDFF"/>
      </dataBar>
    </cfRule>
  </conditionalFormatting>
  <conditionalFormatting sqref="M68:M97">
    <cfRule type="dataBar" priority="468">
      <dataBar>
        <cfvo type="min"/>
        <cfvo type="max"/>
        <color rgb="FF3FCDFF"/>
      </dataBar>
    </cfRule>
  </conditionalFormatting>
  <conditionalFormatting sqref="M98:M127">
    <cfRule type="dataBar" priority="466">
      <dataBar>
        <cfvo type="min"/>
        <cfvo type="max"/>
        <color rgb="FF3FCDFF"/>
      </dataBar>
    </cfRule>
  </conditionalFormatting>
  <conditionalFormatting sqref="M131:M160">
    <cfRule type="dataBar" priority="464">
      <dataBar>
        <cfvo type="min"/>
        <cfvo type="max"/>
        <color rgb="FF3FCDFF"/>
      </dataBar>
    </cfRule>
  </conditionalFormatting>
  <conditionalFormatting sqref="M168:M197">
    <cfRule type="dataBar" priority="462">
      <dataBar>
        <cfvo type="min"/>
        <cfvo type="max"/>
        <color rgb="FF3FCDFF"/>
      </dataBar>
    </cfRule>
  </conditionalFormatting>
  <conditionalFormatting sqref="M199:M228">
    <cfRule type="dataBar" priority="460">
      <dataBar>
        <cfvo type="min"/>
        <cfvo type="max"/>
        <color rgb="FF3FCDFF"/>
      </dataBar>
    </cfRule>
  </conditionalFormatting>
  <conditionalFormatting sqref="M230:M259">
    <cfRule type="dataBar" priority="458">
      <dataBar>
        <cfvo type="min"/>
        <cfvo type="max"/>
        <color rgb="FF3FCDFF"/>
      </dataBar>
    </cfRule>
  </conditionalFormatting>
  <conditionalFormatting sqref="M261:M290">
    <cfRule type="dataBar" priority="456">
      <dataBar>
        <cfvo type="min"/>
        <cfvo type="max"/>
        <color rgb="FF3FCDFF"/>
      </dataBar>
    </cfRule>
  </conditionalFormatting>
  <conditionalFormatting sqref="M291:M320">
    <cfRule type="dataBar" priority="454">
      <dataBar>
        <cfvo type="min"/>
        <cfvo type="max"/>
        <color rgb="FF3FCDFF"/>
      </dataBar>
    </cfRule>
  </conditionalFormatting>
  <conditionalFormatting sqref="M321:M350">
    <cfRule type="dataBar" priority="452">
      <dataBar>
        <cfvo type="min"/>
        <cfvo type="max"/>
        <color rgb="FF3FCDFF"/>
      </dataBar>
    </cfRule>
  </conditionalFormatting>
  <conditionalFormatting sqref="M351:M380">
    <cfRule type="dataBar" priority="450">
      <dataBar>
        <cfvo type="min"/>
        <cfvo type="max"/>
        <color rgb="FF3FCDFF"/>
      </dataBar>
    </cfRule>
  </conditionalFormatting>
  <conditionalFormatting sqref="M381:M410">
    <cfRule type="dataBar" priority="448">
      <dataBar>
        <cfvo type="min"/>
        <cfvo type="max"/>
        <color rgb="FF3FCDFF"/>
      </dataBar>
    </cfRule>
  </conditionalFormatting>
  <conditionalFormatting sqref="M411:M440">
    <cfRule type="dataBar" priority="446">
      <dataBar>
        <cfvo type="min"/>
        <cfvo type="max"/>
        <color rgb="FF3FCDFF"/>
      </dataBar>
    </cfRule>
  </conditionalFormatting>
  <conditionalFormatting sqref="M441:M470">
    <cfRule type="dataBar" priority="444">
      <dataBar>
        <cfvo type="min"/>
        <cfvo type="max"/>
        <color rgb="FF3FCDFF"/>
      </dataBar>
    </cfRule>
  </conditionalFormatting>
  <conditionalFormatting sqref="M471 M260">
    <cfRule type="dataBar" priority="497">
      <dataBar>
        <cfvo type="min"/>
        <cfvo type="max"/>
        <color rgb="FF3FCDFF"/>
      </dataBar>
    </cfRule>
  </conditionalFormatting>
  <conditionalFormatting sqref="M472:M476 M507 M568 M599">
    <cfRule type="dataBar" priority="503">
      <dataBar>
        <cfvo type="min"/>
        <cfvo type="max"/>
        <color rgb="FF3FCDFF"/>
      </dataBar>
    </cfRule>
  </conditionalFormatting>
  <conditionalFormatting sqref="M477">
    <cfRule type="dataBar" priority="386">
      <dataBar>
        <cfvo type="min"/>
        <cfvo type="max"/>
        <color rgb="FF638EC6"/>
      </dataBar>
    </cfRule>
    <cfRule type="dataBar" priority="385">
      <dataBar>
        <cfvo type="min"/>
        <cfvo type="max"/>
        <color rgb="FF00B0F0"/>
      </dataBar>
    </cfRule>
    <cfRule type="dataBar" priority="383">
      <dataBar>
        <cfvo type="min"/>
        <cfvo type="max"/>
        <color rgb="FF3FCDFF"/>
      </dataBar>
    </cfRule>
  </conditionalFormatting>
  <conditionalFormatting sqref="M478:M481 M484 M486:M496 M498:M502 M505:M506">
    <cfRule type="dataBar" priority="430">
      <dataBar>
        <cfvo type="min"/>
        <cfvo type="max"/>
        <color rgb="FF3FCDFF"/>
      </dataBar>
    </cfRule>
  </conditionalFormatting>
  <conditionalFormatting sqref="M482">
    <cfRule type="dataBar" priority="376">
      <dataBar>
        <cfvo type="min"/>
        <cfvo type="max"/>
        <color rgb="FF638EC6"/>
      </dataBar>
    </cfRule>
    <cfRule type="dataBar" priority="375">
      <dataBar>
        <cfvo type="min"/>
        <cfvo type="max"/>
        <color rgb="FF00B0F0"/>
      </dataBar>
    </cfRule>
    <cfRule type="dataBar" priority="373">
      <dataBar>
        <cfvo type="min"/>
        <cfvo type="max"/>
        <color rgb="FF3FCDFF"/>
      </dataBar>
    </cfRule>
  </conditionalFormatting>
  <conditionalFormatting sqref="M483">
    <cfRule type="dataBar" priority="371">
      <dataBar>
        <cfvo type="min"/>
        <cfvo type="max"/>
        <color rgb="FF638EC6"/>
      </dataBar>
    </cfRule>
    <cfRule type="dataBar" priority="370">
      <dataBar>
        <cfvo type="min"/>
        <cfvo type="max"/>
        <color rgb="FF00B0F0"/>
      </dataBar>
    </cfRule>
    <cfRule type="dataBar" priority="368">
      <dataBar>
        <cfvo type="min"/>
        <cfvo type="max"/>
        <color rgb="FF3FCDFF"/>
      </dataBar>
    </cfRule>
  </conditionalFormatting>
  <conditionalFormatting sqref="M485">
    <cfRule type="dataBar" priority="366">
      <dataBar>
        <cfvo type="min"/>
        <cfvo type="max"/>
        <color rgb="FF638EC6"/>
      </dataBar>
    </cfRule>
    <cfRule type="dataBar" priority="363">
      <dataBar>
        <cfvo type="min"/>
        <cfvo type="max"/>
        <color rgb="FF3FCDFF"/>
      </dataBar>
    </cfRule>
    <cfRule type="dataBar" priority="365">
      <dataBar>
        <cfvo type="min"/>
        <cfvo type="max"/>
        <color rgb="FF00B0F0"/>
      </dataBar>
    </cfRule>
  </conditionalFormatting>
  <conditionalFormatting sqref="M497">
    <cfRule type="dataBar" priority="381">
      <dataBar>
        <cfvo type="min"/>
        <cfvo type="max"/>
        <color rgb="FF638EC6"/>
      </dataBar>
    </cfRule>
    <cfRule type="dataBar" priority="378">
      <dataBar>
        <cfvo type="min"/>
        <cfvo type="max"/>
        <color rgb="FF3FCDFF"/>
      </dataBar>
    </cfRule>
    <cfRule type="dataBar" priority="380">
      <dataBar>
        <cfvo type="min"/>
        <cfvo type="max"/>
        <color rgb="FF00B0F0"/>
      </dataBar>
    </cfRule>
  </conditionalFormatting>
  <conditionalFormatting sqref="M503">
    <cfRule type="dataBar" priority="360">
      <dataBar>
        <cfvo type="min"/>
        <cfvo type="max"/>
        <color rgb="FF00B0F0"/>
      </dataBar>
    </cfRule>
    <cfRule type="dataBar" priority="358">
      <dataBar>
        <cfvo type="min"/>
        <cfvo type="max"/>
        <color rgb="FF3FCDFF"/>
      </dataBar>
    </cfRule>
    <cfRule type="dataBar" priority="361">
      <dataBar>
        <cfvo type="min"/>
        <cfvo type="max"/>
        <color rgb="FF638EC6"/>
      </dataBar>
    </cfRule>
  </conditionalFormatting>
  <conditionalFormatting sqref="M504">
    <cfRule type="dataBar" priority="356">
      <dataBar>
        <cfvo type="min"/>
        <cfvo type="max"/>
        <color rgb="FF638EC6"/>
      </dataBar>
    </cfRule>
    <cfRule type="dataBar" priority="355">
      <dataBar>
        <cfvo type="min"/>
        <cfvo type="max"/>
        <color rgb="FF00B0F0"/>
      </dataBar>
    </cfRule>
    <cfRule type="dataBar" priority="353">
      <dataBar>
        <cfvo type="min"/>
        <cfvo type="max"/>
        <color rgb="FF3FCDFF"/>
      </dataBar>
    </cfRule>
  </conditionalFormatting>
  <conditionalFormatting sqref="M508:M567">
    <cfRule type="dataBar" priority="426">
      <dataBar>
        <cfvo type="min"/>
        <cfvo type="max"/>
        <color rgb="FF3FCDFF"/>
      </dataBar>
    </cfRule>
  </conditionalFormatting>
  <conditionalFormatting sqref="M569:M598">
    <cfRule type="dataBar" priority="442">
      <dataBar>
        <cfvo type="min"/>
        <cfvo type="max"/>
        <color rgb="FF3FCDFF"/>
      </dataBar>
    </cfRule>
  </conditionalFormatting>
  <conditionalFormatting sqref="M600:M612">
    <cfRule type="dataBar" priority="507">
      <dataBar>
        <cfvo type="min"/>
        <cfvo type="max"/>
        <color rgb="FF3FCDFF"/>
      </dataBar>
    </cfRule>
  </conditionalFormatting>
  <conditionalFormatting sqref="M614:M643">
    <cfRule type="dataBar" priority="440">
      <dataBar>
        <cfvo type="min"/>
        <cfvo type="max"/>
        <color rgb="FF3FCDFF"/>
      </dataBar>
    </cfRule>
  </conditionalFormatting>
  <conditionalFormatting sqref="M644 M613 M675 M706 M737 M798:M804 M806">
    <cfRule type="dataBar" priority="511">
      <dataBar>
        <cfvo type="min"/>
        <cfvo type="max"/>
        <color rgb="FF3FCDFF"/>
      </dataBar>
    </cfRule>
  </conditionalFormatting>
  <conditionalFormatting sqref="M645:M674">
    <cfRule type="dataBar" priority="438">
      <dataBar>
        <cfvo type="min"/>
        <cfvo type="max"/>
        <color rgb="FF3FCDFF"/>
      </dataBar>
    </cfRule>
  </conditionalFormatting>
  <conditionalFormatting sqref="M676:M705">
    <cfRule type="dataBar" priority="436">
      <dataBar>
        <cfvo type="min"/>
        <cfvo type="max"/>
        <color rgb="FF3FCDFF"/>
      </dataBar>
    </cfRule>
  </conditionalFormatting>
  <conditionalFormatting sqref="M707:M736">
    <cfRule type="dataBar" priority="434">
      <dataBar>
        <cfvo type="min"/>
        <cfvo type="max"/>
        <color rgb="FF3FCDFF"/>
      </dataBar>
    </cfRule>
  </conditionalFormatting>
  <conditionalFormatting sqref="M738:M767">
    <cfRule type="dataBar" priority="432">
      <dataBar>
        <cfvo type="min"/>
        <cfvo type="max"/>
        <color rgb="FF3FCDFF"/>
      </dataBar>
    </cfRule>
  </conditionalFormatting>
  <conditionalFormatting sqref="M768">
    <cfRule type="dataBar" priority="391">
      <dataBar>
        <cfvo type="min"/>
        <cfvo type="max"/>
        <color rgb="FF638EC6"/>
      </dataBar>
    </cfRule>
    <cfRule type="dataBar" priority="388">
      <dataBar>
        <cfvo type="min"/>
        <cfvo type="max"/>
        <color rgb="FF3FCDFF"/>
      </dataBar>
    </cfRule>
    <cfRule type="dataBar" priority="390">
      <dataBar>
        <cfvo type="min"/>
        <cfvo type="max"/>
        <color rgb="FF00B0F0"/>
      </dataBar>
    </cfRule>
  </conditionalFormatting>
  <conditionalFormatting sqref="M769:M772 M775 M777:M787 M789:M793 M796:M797">
    <cfRule type="dataBar" priority="428">
      <dataBar>
        <cfvo type="min"/>
        <cfvo type="max"/>
        <color rgb="FF3FCDFF"/>
      </dataBar>
    </cfRule>
  </conditionalFormatting>
  <conditionalFormatting sqref="M773">
    <cfRule type="dataBar" priority="393">
      <dataBar>
        <cfvo type="min"/>
        <cfvo type="max"/>
        <color rgb="FF3FCDFF"/>
      </dataBar>
    </cfRule>
    <cfRule type="dataBar" priority="396">
      <dataBar>
        <cfvo type="min"/>
        <cfvo type="max"/>
        <color rgb="FF638EC6"/>
      </dataBar>
    </cfRule>
    <cfRule type="dataBar" priority="395">
      <dataBar>
        <cfvo type="min"/>
        <cfvo type="max"/>
        <color rgb="FF00B0F0"/>
      </dataBar>
    </cfRule>
  </conditionalFormatting>
  <conditionalFormatting sqref="M774">
    <cfRule type="dataBar" priority="400">
      <dataBar>
        <cfvo type="min"/>
        <cfvo type="max"/>
        <color rgb="FF00B0F0"/>
      </dataBar>
    </cfRule>
    <cfRule type="dataBar" priority="398">
      <dataBar>
        <cfvo type="min"/>
        <cfvo type="max"/>
        <color rgb="FF3FCDFF"/>
      </dataBar>
    </cfRule>
    <cfRule type="dataBar" priority="401">
      <dataBar>
        <cfvo type="min"/>
        <cfvo type="max"/>
        <color rgb="FF638EC6"/>
      </dataBar>
    </cfRule>
  </conditionalFormatting>
  <conditionalFormatting sqref="M776">
    <cfRule type="dataBar" priority="406">
      <dataBar>
        <cfvo type="min"/>
        <cfvo type="max"/>
        <color rgb="FF638EC6"/>
      </dataBar>
    </cfRule>
    <cfRule type="dataBar" priority="403">
      <dataBar>
        <cfvo type="min"/>
        <cfvo type="max"/>
        <color rgb="FF3FCDFF"/>
      </dataBar>
    </cfRule>
    <cfRule type="dataBar" priority="405">
      <dataBar>
        <cfvo type="min"/>
        <cfvo type="max"/>
        <color rgb="FF00B0F0"/>
      </dataBar>
    </cfRule>
  </conditionalFormatting>
  <conditionalFormatting sqref="M788">
    <cfRule type="dataBar" priority="408">
      <dataBar>
        <cfvo type="min"/>
        <cfvo type="max"/>
        <color rgb="FF3FCDFF"/>
      </dataBar>
    </cfRule>
    <cfRule type="dataBar" priority="410">
      <dataBar>
        <cfvo type="min"/>
        <cfvo type="max"/>
        <color rgb="FF00B0F0"/>
      </dataBar>
    </cfRule>
    <cfRule type="dataBar" priority="411">
      <dataBar>
        <cfvo type="min"/>
        <cfvo type="max"/>
        <color rgb="FF638EC6"/>
      </dataBar>
    </cfRule>
  </conditionalFormatting>
  <conditionalFormatting sqref="M794:M795">
    <cfRule type="dataBar" priority="418">
      <dataBar>
        <cfvo type="min"/>
        <cfvo type="max"/>
        <color rgb="FF638EC6"/>
      </dataBar>
    </cfRule>
    <cfRule type="dataBar" priority="417">
      <dataBar>
        <cfvo type="min"/>
        <cfvo type="max"/>
        <color rgb="FF00B0F0"/>
      </dataBar>
    </cfRule>
    <cfRule type="dataBar" priority="415">
      <dataBar>
        <cfvo type="min"/>
        <cfvo type="max"/>
        <color rgb="FF3FCDFF"/>
      </dataBar>
    </cfRule>
  </conditionalFormatting>
  <conditionalFormatting sqref="M805">
    <cfRule type="dataBar" priority="22">
      <dataBar>
        <cfvo type="min"/>
        <cfvo type="max"/>
        <color rgb="FF3FCDFF"/>
      </dataBar>
    </cfRule>
    <cfRule type="dataBar" priority="16">
      <dataBar>
        <cfvo type="min"/>
        <cfvo type="max"/>
        <color rgb="FF00B0F0"/>
      </dataBar>
    </cfRule>
    <cfRule type="dataBar" priority="18">
      <dataBar>
        <cfvo type="min"/>
        <cfvo type="max"/>
        <color rgb="FF638EC6"/>
      </dataBar>
    </cfRule>
    <cfRule type="dataBar" priority="17">
      <dataBar>
        <cfvo type="min"/>
        <cfvo type="max"/>
        <color rgb="FF00B0F0"/>
      </dataBar>
    </cfRule>
  </conditionalFormatting>
  <conditionalFormatting sqref="M807:M818 M820:M835 M837:M848 M850:M852 M854 M856:M863 M865 M867:M878 M880:M895">
    <cfRule type="dataBar" priority="423">
      <dataBar>
        <cfvo type="min"/>
        <cfvo type="max"/>
        <color rgb="FF3FCDFF"/>
      </dataBar>
    </cfRule>
  </conditionalFormatting>
  <conditionalFormatting sqref="M819">
    <cfRule type="dataBar" priority="420">
      <dataBar>
        <cfvo type="min"/>
        <cfvo type="max"/>
        <color rgb="FF3FCDFF"/>
      </dataBar>
    </cfRule>
  </conditionalFormatting>
  <conditionalFormatting sqref="M836">
    <cfRule type="dataBar" priority="351">
      <dataBar>
        <cfvo type="min"/>
        <cfvo type="max"/>
        <color rgb="FF3FCDFF"/>
      </dataBar>
    </cfRule>
  </conditionalFormatting>
  <conditionalFormatting sqref="M849">
    <cfRule type="dataBar" priority="349">
      <dataBar>
        <cfvo type="min"/>
        <cfvo type="max"/>
        <color rgb="FF3FCDFF"/>
      </dataBar>
    </cfRule>
  </conditionalFormatting>
  <conditionalFormatting sqref="M853">
    <cfRule type="dataBar" priority="347">
      <dataBar>
        <cfvo type="min"/>
        <cfvo type="max"/>
        <color rgb="FF3FCDFF"/>
      </dataBar>
    </cfRule>
  </conditionalFormatting>
  <conditionalFormatting sqref="M855">
    <cfRule type="dataBar" priority="345">
      <dataBar>
        <cfvo type="min"/>
        <cfvo type="max"/>
        <color rgb="FF3FCDFF"/>
      </dataBar>
    </cfRule>
  </conditionalFormatting>
  <conditionalFormatting sqref="M864">
    <cfRule type="dataBar" priority="343">
      <dataBar>
        <cfvo type="min"/>
        <cfvo type="max"/>
        <color rgb="FF3FCDFF"/>
      </dataBar>
    </cfRule>
  </conditionalFormatting>
  <conditionalFormatting sqref="M866">
    <cfRule type="dataBar" priority="15">
      <dataBar>
        <cfvo type="min"/>
        <cfvo type="max"/>
        <color rgb="FF3FCDFF"/>
      </dataBar>
    </cfRule>
  </conditionalFormatting>
  <conditionalFormatting sqref="M879">
    <cfRule type="dataBar" priority="5">
      <dataBar>
        <cfvo type="min"/>
        <cfvo type="max"/>
        <color rgb="FF3FCDFF"/>
      </dataBar>
    </cfRule>
  </conditionalFormatting>
  <conditionalFormatting sqref="M896:M926">
    <cfRule type="dataBar" priority="510">
      <dataBar>
        <cfvo type="min"/>
        <cfvo type="max"/>
        <color rgb="FF3FCDFF"/>
      </dataBar>
    </cfRule>
  </conditionalFormatting>
  <conditionalFormatting sqref="M927">
    <cfRule type="dataBar" priority="340">
      <dataBar>
        <cfvo type="min"/>
        <cfvo type="max"/>
        <color rgb="FF3FCDFF"/>
      </dataBar>
    </cfRule>
  </conditionalFormatting>
  <conditionalFormatting sqref="M928">
    <cfRule type="dataBar" priority="338">
      <dataBar>
        <cfvo type="min"/>
        <cfvo type="max"/>
        <color rgb="FF3FCDFF"/>
      </dataBar>
    </cfRule>
  </conditionalFormatting>
  <conditionalFormatting sqref="M928:M929">
    <cfRule type="dataBar" priority="490">
      <dataBar>
        <cfvo type="min"/>
        <cfvo type="max"/>
        <color rgb="FF3FCDFF"/>
      </dataBar>
    </cfRule>
  </conditionalFormatting>
  <conditionalFormatting sqref="M929">
    <cfRule type="dataBar" priority="337">
      <dataBar>
        <cfvo type="min"/>
        <cfvo type="max"/>
        <color rgb="FF3FCDFF"/>
      </dataBar>
    </cfRule>
  </conditionalFormatting>
  <conditionalFormatting sqref="M930:M931">
    <cfRule type="dataBar" priority="487">
      <dataBar>
        <cfvo type="min"/>
        <cfvo type="max"/>
        <color rgb="FF3FCDFF"/>
      </dataBar>
    </cfRule>
  </conditionalFormatting>
  <conditionalFormatting sqref="M932">
    <cfRule type="dataBar" priority="485">
      <dataBar>
        <cfvo type="min"/>
        <cfvo type="max"/>
        <color rgb="FF3FCDFF"/>
      </dataBar>
    </cfRule>
  </conditionalFormatting>
  <conditionalFormatting sqref="M933">
    <cfRule type="dataBar" priority="483">
      <dataBar>
        <cfvo type="min"/>
        <cfvo type="max"/>
        <color rgb="FF3FCDFF"/>
      </dataBar>
    </cfRule>
    <cfRule type="dataBar" priority="336">
      <dataBar>
        <cfvo type="min"/>
        <cfvo type="max"/>
        <color rgb="FF3FCDFF"/>
      </dataBar>
    </cfRule>
  </conditionalFormatting>
  <conditionalFormatting sqref="M934">
    <cfRule type="dataBar" priority="330">
      <dataBar>
        <cfvo type="min"/>
        <cfvo type="max"/>
        <color rgb="FF3FCDFF"/>
      </dataBar>
    </cfRule>
  </conditionalFormatting>
  <conditionalFormatting sqref="M935:M964">
    <cfRule type="dataBar" priority="328">
      <dataBar>
        <cfvo type="min"/>
        <cfvo type="max"/>
        <color rgb="FF3FCDFF"/>
      </dataBar>
    </cfRule>
  </conditionalFormatting>
  <conditionalFormatting sqref="M965:M994">
    <cfRule type="dataBar" priority="326">
      <dataBar>
        <cfvo type="min"/>
        <cfvo type="max"/>
        <color rgb="FF3FCDFF"/>
      </dataBar>
    </cfRule>
  </conditionalFormatting>
  <conditionalFormatting sqref="M995:M996">
    <cfRule type="dataBar" priority="335">
      <dataBar>
        <cfvo type="min"/>
        <cfvo type="max"/>
        <color rgb="FF3FCDFF"/>
      </dataBar>
    </cfRule>
  </conditionalFormatting>
  <conditionalFormatting sqref="M997">
    <cfRule type="dataBar" priority="333">
      <dataBar>
        <cfvo type="min"/>
        <cfvo type="max"/>
        <color rgb="FF3FCDFF"/>
      </dataBar>
    </cfRule>
  </conditionalFormatting>
  <conditionalFormatting sqref="M998:M1027">
    <cfRule type="dataBar" priority="324">
      <dataBar>
        <cfvo type="min"/>
        <cfvo type="max"/>
        <color rgb="FF3FCDFF"/>
      </dataBar>
    </cfRule>
  </conditionalFormatting>
  <conditionalFormatting sqref="M1028">
    <cfRule type="dataBar" priority="481">
      <dataBar>
        <cfvo type="min"/>
        <cfvo type="max"/>
        <color rgb="FF3FCDFF"/>
      </dataBar>
    </cfRule>
  </conditionalFormatting>
  <conditionalFormatting sqref="M1029:M1058">
    <cfRule type="dataBar" priority="322">
      <dataBar>
        <cfvo type="min"/>
        <cfvo type="max"/>
        <color rgb="FF3FCDFF"/>
      </dataBar>
    </cfRule>
  </conditionalFormatting>
  <conditionalFormatting sqref="M1060:M1083">
    <cfRule type="dataBar" priority="308">
      <dataBar>
        <cfvo type="min"/>
        <cfvo type="max"/>
        <color rgb="FF3FCDFF"/>
      </dataBar>
    </cfRule>
    <cfRule type="dataBar" priority="513">
      <dataBar>
        <cfvo type="min"/>
        <cfvo type="max"/>
        <color rgb="FF3FCDFF"/>
      </dataBar>
    </cfRule>
  </conditionalFormatting>
  <conditionalFormatting sqref="M1084">
    <cfRule type="dataBar" priority="318">
      <dataBar>
        <cfvo type="min"/>
        <cfvo type="max"/>
        <color rgb="FF3FCDFF"/>
      </dataBar>
    </cfRule>
  </conditionalFormatting>
  <conditionalFormatting sqref="M1085">
    <cfRule type="dataBar" priority="316">
      <dataBar>
        <cfvo type="min"/>
        <cfvo type="max"/>
        <color rgb="FF3FCDFF"/>
      </dataBar>
    </cfRule>
  </conditionalFormatting>
  <conditionalFormatting sqref="M1086">
    <cfRule type="dataBar" priority="314">
      <dataBar>
        <cfvo type="min"/>
        <cfvo type="max"/>
        <color rgb="FF3FCDFF"/>
      </dataBar>
    </cfRule>
  </conditionalFormatting>
  <conditionalFormatting sqref="M1087:M1088">
    <cfRule type="dataBar" priority="312">
      <dataBar>
        <cfvo type="min"/>
        <cfvo type="max"/>
        <color rgb="FF3FCDFF"/>
      </dataBar>
    </cfRule>
  </conditionalFormatting>
  <conditionalFormatting sqref="M1088">
    <cfRule type="dataBar" priority="320">
      <dataBar>
        <cfvo type="min"/>
        <cfvo type="max"/>
        <color rgb="FF3FCDFF"/>
      </dataBar>
    </cfRule>
  </conditionalFormatting>
  <conditionalFormatting sqref="M1089">
    <cfRule type="dataBar" priority="310">
      <dataBar>
        <cfvo type="min"/>
        <cfvo type="max"/>
        <color rgb="FF3FCDFF"/>
      </dataBar>
    </cfRule>
  </conditionalFormatting>
  <conditionalFormatting sqref="M1090 M1059 M1121 M1153">
    <cfRule type="dataBar" priority="516">
      <dataBar>
        <cfvo type="min"/>
        <cfvo type="max"/>
        <color rgb="FF3FCDFF"/>
      </dataBar>
    </cfRule>
  </conditionalFormatting>
  <conditionalFormatting sqref="M1091:M1120">
    <cfRule type="dataBar" priority="307">
      <dataBar>
        <cfvo type="min"/>
        <cfvo type="max"/>
        <color rgb="FF3FCDFF"/>
      </dataBar>
    </cfRule>
  </conditionalFormatting>
  <conditionalFormatting sqref="M1122">
    <cfRule type="dataBar" priority="519">
      <dataBar>
        <cfvo type="min"/>
        <cfvo type="max"/>
        <color rgb="FF3FCDFF"/>
      </dataBar>
    </cfRule>
  </conditionalFormatting>
  <conditionalFormatting sqref="M1123">
    <cfRule type="dataBar" priority="197">
      <dataBar>
        <cfvo type="min"/>
        <cfvo type="max"/>
        <color rgb="FF3FCDFF"/>
      </dataBar>
    </cfRule>
  </conditionalFormatting>
  <conditionalFormatting sqref="M1124:M1139 M1141 M1143:M1150 M1152">
    <cfRule type="dataBar" priority="520">
      <dataBar>
        <cfvo type="min"/>
        <cfvo type="max"/>
        <color rgb="FF3FCDFF"/>
      </dataBar>
    </cfRule>
  </conditionalFormatting>
  <conditionalFormatting sqref="M1140">
    <cfRule type="dataBar" priority="195">
      <dataBar>
        <cfvo type="min"/>
        <cfvo type="max"/>
        <color rgb="FF3FCDFF"/>
      </dataBar>
    </cfRule>
  </conditionalFormatting>
  <conditionalFormatting sqref="M1142">
    <cfRule type="dataBar" priority="193">
      <dataBar>
        <cfvo type="min"/>
        <cfvo type="max"/>
        <color rgb="FF3FCDFF"/>
      </dataBar>
    </cfRule>
  </conditionalFormatting>
  <conditionalFormatting sqref="M1151">
    <cfRule type="dataBar" priority="191">
      <dataBar>
        <cfvo type="min"/>
        <cfvo type="max"/>
        <color rgb="FF3FCDFF"/>
      </dataBar>
    </cfRule>
  </conditionalFormatting>
  <conditionalFormatting sqref="M1155">
    <cfRule type="dataBar" priority="184">
      <dataBar>
        <cfvo type="min"/>
        <cfvo type="max"/>
        <color rgb="FF3FCDFF"/>
      </dataBar>
    </cfRule>
  </conditionalFormatting>
  <conditionalFormatting sqref="M1155:M1185">
    <cfRule type="dataBar" priority="187">
      <dataBar>
        <cfvo type="min"/>
        <cfvo type="max"/>
        <color rgb="FF638EC6"/>
      </dataBar>
    </cfRule>
    <cfRule type="dataBar" priority="186">
      <dataBar>
        <cfvo type="min"/>
        <cfvo type="max"/>
        <color rgb="FF00B0F0"/>
      </dataBar>
    </cfRule>
  </conditionalFormatting>
  <conditionalFormatting sqref="M1156:M1171 M1173 M1175:M1182 M1184">
    <cfRule type="dataBar" priority="188">
      <dataBar>
        <cfvo type="min"/>
        <cfvo type="max"/>
        <color rgb="FF3FCDFF"/>
      </dataBar>
    </cfRule>
  </conditionalFormatting>
  <conditionalFormatting sqref="M1172">
    <cfRule type="dataBar" priority="182">
      <dataBar>
        <cfvo type="min"/>
        <cfvo type="max"/>
        <color rgb="FF3FCDFF"/>
      </dataBar>
    </cfRule>
  </conditionalFormatting>
  <conditionalFormatting sqref="M1174">
    <cfRule type="dataBar" priority="180">
      <dataBar>
        <cfvo type="min"/>
        <cfvo type="max"/>
        <color rgb="FF3FCDFF"/>
      </dataBar>
    </cfRule>
  </conditionalFormatting>
  <conditionalFormatting sqref="M1183">
    <cfRule type="dataBar" priority="178">
      <dataBar>
        <cfvo type="min"/>
        <cfvo type="max"/>
        <color rgb="FF3FCDFF"/>
      </dataBar>
    </cfRule>
  </conditionalFormatting>
  <conditionalFormatting sqref="M1185">
    <cfRule type="dataBar" priority="175">
      <dataBar>
        <cfvo type="min"/>
        <cfvo type="max"/>
        <color rgb="FF3FCDFF"/>
      </dataBar>
    </cfRule>
  </conditionalFormatting>
  <conditionalFormatting sqref="M1186">
    <cfRule type="dataBar" priority="475">
      <dataBar>
        <cfvo type="min"/>
        <cfvo type="max"/>
        <color rgb="FF3FCDFF"/>
      </dataBar>
    </cfRule>
  </conditionalFormatting>
  <conditionalFormatting sqref="M1187">
    <cfRule type="dataBar" priority="168">
      <dataBar>
        <cfvo type="min"/>
        <cfvo type="max"/>
        <color rgb="FF3FCDFF"/>
      </dataBar>
    </cfRule>
  </conditionalFormatting>
  <conditionalFormatting sqref="M1187:M1216">
    <cfRule type="dataBar" priority="171">
      <dataBar>
        <cfvo type="min"/>
        <cfvo type="max"/>
        <color rgb="FF638EC6"/>
      </dataBar>
    </cfRule>
    <cfRule type="dataBar" priority="170">
      <dataBar>
        <cfvo type="min"/>
        <cfvo type="max"/>
        <color rgb="FF00B0F0"/>
      </dataBar>
    </cfRule>
  </conditionalFormatting>
  <conditionalFormatting sqref="M1188:M1203 M1205 M1207:M1214 M1216">
    <cfRule type="dataBar" priority="172">
      <dataBar>
        <cfvo type="min"/>
        <cfvo type="max"/>
        <color rgb="FF3FCDFF"/>
      </dataBar>
    </cfRule>
  </conditionalFormatting>
  <conditionalFormatting sqref="M1204">
    <cfRule type="dataBar" priority="166">
      <dataBar>
        <cfvo type="min"/>
        <cfvo type="max"/>
        <color rgb="FF3FCDFF"/>
      </dataBar>
    </cfRule>
  </conditionalFormatting>
  <conditionalFormatting sqref="M1206">
    <cfRule type="dataBar" priority="164">
      <dataBar>
        <cfvo type="min"/>
        <cfvo type="max"/>
        <color rgb="FF3FCDFF"/>
      </dataBar>
    </cfRule>
  </conditionalFormatting>
  <conditionalFormatting sqref="M1215">
    <cfRule type="dataBar" priority="162">
      <dataBar>
        <cfvo type="min"/>
        <cfvo type="max"/>
        <color rgb="FF3FCDFF"/>
      </dataBar>
    </cfRule>
  </conditionalFormatting>
  <conditionalFormatting sqref="M1217">
    <cfRule type="dataBar" priority="477">
      <dataBar>
        <cfvo type="min"/>
        <cfvo type="max"/>
        <color rgb="FF3FCDFF"/>
      </dataBar>
    </cfRule>
  </conditionalFormatting>
  <conditionalFormatting sqref="M1219">
    <cfRule type="dataBar" priority="149">
      <dataBar>
        <cfvo type="min"/>
        <cfvo type="max"/>
        <color rgb="FF3FCDFF"/>
      </dataBar>
    </cfRule>
  </conditionalFormatting>
  <conditionalFormatting sqref="M1219:M1248">
    <cfRule type="dataBar" priority="152">
      <dataBar>
        <cfvo type="min"/>
        <cfvo type="max"/>
        <color rgb="FF638EC6"/>
      </dataBar>
    </cfRule>
    <cfRule type="dataBar" priority="151">
      <dataBar>
        <cfvo type="min"/>
        <cfvo type="max"/>
        <color rgb="FF00B0F0"/>
      </dataBar>
    </cfRule>
  </conditionalFormatting>
  <conditionalFormatting sqref="M1220:M1235 M1237 M1239:M1246 M1248">
    <cfRule type="dataBar" priority="153">
      <dataBar>
        <cfvo type="min"/>
        <cfvo type="max"/>
        <color rgb="FF3FCDFF"/>
      </dataBar>
    </cfRule>
  </conditionalFormatting>
  <conditionalFormatting sqref="M1236">
    <cfRule type="dataBar" priority="147">
      <dataBar>
        <cfvo type="min"/>
        <cfvo type="max"/>
        <color rgb="FF3FCDFF"/>
      </dataBar>
    </cfRule>
  </conditionalFormatting>
  <conditionalFormatting sqref="M1238">
    <cfRule type="dataBar" priority="145">
      <dataBar>
        <cfvo type="min"/>
        <cfvo type="max"/>
        <color rgb="FF3FCDFF"/>
      </dataBar>
    </cfRule>
  </conditionalFormatting>
  <conditionalFormatting sqref="M1247">
    <cfRule type="dataBar" priority="143">
      <dataBar>
        <cfvo type="min"/>
        <cfvo type="max"/>
        <color rgb="FF3FCDFF"/>
      </dataBar>
    </cfRule>
  </conditionalFormatting>
  <conditionalFormatting sqref="M1249">
    <cfRule type="dataBar" priority="160">
      <dataBar>
        <cfvo type="min"/>
        <cfvo type="max"/>
        <color rgb="FF3FCDFF"/>
      </dataBar>
    </cfRule>
  </conditionalFormatting>
  <conditionalFormatting sqref="M1250 M1218">
    <cfRule type="dataBar" priority="532">
      <dataBar>
        <cfvo type="min"/>
        <cfvo type="max"/>
        <color rgb="FF3FCDFF"/>
      </dataBar>
    </cfRule>
  </conditionalFormatting>
  <conditionalFormatting sqref="M1251">
    <cfRule type="dataBar" priority="136">
      <dataBar>
        <cfvo type="min"/>
        <cfvo type="max"/>
        <color rgb="FF3FCDFF"/>
      </dataBar>
    </cfRule>
  </conditionalFormatting>
  <conditionalFormatting sqref="M1251:M1280">
    <cfRule type="dataBar" priority="138">
      <dataBar>
        <cfvo type="min"/>
        <cfvo type="max"/>
        <color rgb="FF00B0F0"/>
      </dataBar>
    </cfRule>
    <cfRule type="dataBar" priority="139">
      <dataBar>
        <cfvo type="min"/>
        <cfvo type="max"/>
        <color rgb="FF638EC6"/>
      </dataBar>
    </cfRule>
  </conditionalFormatting>
  <conditionalFormatting sqref="M1252:M1267 M1269 M1271:M1278 M1280">
    <cfRule type="dataBar" priority="140">
      <dataBar>
        <cfvo type="min"/>
        <cfvo type="max"/>
        <color rgb="FF3FCDFF"/>
      </dataBar>
    </cfRule>
  </conditionalFormatting>
  <conditionalFormatting sqref="M1268">
    <cfRule type="dataBar" priority="134">
      <dataBar>
        <cfvo type="min"/>
        <cfvo type="max"/>
        <color rgb="FF3FCDFF"/>
      </dataBar>
    </cfRule>
  </conditionalFormatting>
  <conditionalFormatting sqref="M1270">
    <cfRule type="dataBar" priority="132">
      <dataBar>
        <cfvo type="min"/>
        <cfvo type="max"/>
        <color rgb="FF3FCDFF"/>
      </dataBar>
    </cfRule>
  </conditionalFormatting>
  <conditionalFormatting sqref="M1279">
    <cfRule type="dataBar" priority="130">
      <dataBar>
        <cfvo type="min"/>
        <cfvo type="max"/>
        <color rgb="FF3FCDFF"/>
      </dataBar>
    </cfRule>
  </conditionalFormatting>
  <conditionalFormatting sqref="M1281">
    <cfRule type="dataBar" priority="158">
      <dataBar>
        <cfvo type="min"/>
        <cfvo type="max"/>
        <color rgb="FF3FCDFF"/>
      </dataBar>
    </cfRule>
  </conditionalFormatting>
  <conditionalFormatting sqref="M1282">
    <cfRule type="dataBar" priority="57">
      <dataBar>
        <cfvo type="min"/>
        <cfvo type="max"/>
        <color rgb="FF3FCDFF"/>
      </dataBar>
    </cfRule>
    <cfRule type="dataBar" priority="55">
      <dataBar>
        <cfvo type="min"/>
        <cfvo type="max"/>
        <color rgb="FF00B0F0"/>
      </dataBar>
    </cfRule>
    <cfRule type="dataBar" priority="56">
      <dataBar>
        <cfvo type="min"/>
        <cfvo type="max"/>
        <color rgb="FF638EC6"/>
      </dataBar>
    </cfRule>
  </conditionalFormatting>
  <conditionalFormatting sqref="M1283">
    <cfRule type="dataBar" priority="49">
      <dataBar>
        <cfvo type="min"/>
        <cfvo type="max"/>
        <color rgb="FF3FCDFF"/>
      </dataBar>
    </cfRule>
  </conditionalFormatting>
  <conditionalFormatting sqref="M1283:M1312">
    <cfRule type="dataBar" priority="51">
      <dataBar>
        <cfvo type="min"/>
        <cfvo type="max"/>
        <color rgb="FF00B0F0"/>
      </dataBar>
    </cfRule>
    <cfRule type="dataBar" priority="52">
      <dataBar>
        <cfvo type="min"/>
        <cfvo type="max"/>
        <color rgb="FF638EC6"/>
      </dataBar>
    </cfRule>
  </conditionalFormatting>
  <conditionalFormatting sqref="M1284:M1299 M1301 M1303:M1310 M1312">
    <cfRule type="dataBar" priority="53">
      <dataBar>
        <cfvo type="min"/>
        <cfvo type="max"/>
        <color rgb="FF3FCDFF"/>
      </dataBar>
    </cfRule>
  </conditionalFormatting>
  <conditionalFormatting sqref="M1300">
    <cfRule type="dataBar" priority="47">
      <dataBar>
        <cfvo type="min"/>
        <cfvo type="max"/>
        <color rgb="FF3FCDFF"/>
      </dataBar>
    </cfRule>
  </conditionalFormatting>
  <conditionalFormatting sqref="M1302">
    <cfRule type="dataBar" priority="45">
      <dataBar>
        <cfvo type="min"/>
        <cfvo type="max"/>
        <color rgb="FF3FCDFF"/>
      </dataBar>
    </cfRule>
  </conditionalFormatting>
  <conditionalFormatting sqref="M1311">
    <cfRule type="dataBar" priority="43">
      <dataBar>
        <cfvo type="min"/>
        <cfvo type="max"/>
        <color rgb="FF3FCDFF"/>
      </dataBar>
    </cfRule>
  </conditionalFormatting>
  <conditionalFormatting sqref="M1313">
    <cfRule type="dataBar" priority="156">
      <dataBar>
        <cfvo type="min"/>
        <cfvo type="max"/>
        <color rgb="FF3FCDFF"/>
      </dataBar>
    </cfRule>
  </conditionalFormatting>
  <conditionalFormatting sqref="M1314">
    <cfRule type="dataBar" priority="493">
      <dataBar>
        <cfvo type="min"/>
        <cfvo type="max"/>
        <color rgb="FF3FCDFF"/>
      </dataBar>
    </cfRule>
  </conditionalFormatting>
  <conditionalFormatting sqref="M1315">
    <cfRule type="dataBar" priority="78">
      <dataBar>
        <cfvo type="min"/>
        <cfvo type="max"/>
        <color rgb="FF3FCDFF"/>
      </dataBar>
    </cfRule>
  </conditionalFormatting>
  <conditionalFormatting sqref="M1315:M1344">
    <cfRule type="dataBar" priority="81">
      <dataBar>
        <cfvo type="min"/>
        <cfvo type="max"/>
        <color rgb="FF638EC6"/>
      </dataBar>
    </cfRule>
    <cfRule type="dataBar" priority="80">
      <dataBar>
        <cfvo type="min"/>
        <cfvo type="max"/>
        <color rgb="FF00B0F0"/>
      </dataBar>
    </cfRule>
  </conditionalFormatting>
  <conditionalFormatting sqref="M1316:M1331 M1333 M1335:M1342 M1344">
    <cfRule type="dataBar" priority="82">
      <dataBar>
        <cfvo type="min"/>
        <cfvo type="max"/>
        <color rgb="FF3FCDFF"/>
      </dataBar>
    </cfRule>
  </conditionalFormatting>
  <conditionalFormatting sqref="M1332">
    <cfRule type="dataBar" priority="76">
      <dataBar>
        <cfvo type="min"/>
        <cfvo type="max"/>
        <color rgb="FF3FCDFF"/>
      </dataBar>
    </cfRule>
  </conditionalFormatting>
  <conditionalFormatting sqref="M1334">
    <cfRule type="dataBar" priority="74">
      <dataBar>
        <cfvo type="min"/>
        <cfvo type="max"/>
        <color rgb="FF3FCDFF"/>
      </dataBar>
    </cfRule>
  </conditionalFormatting>
  <conditionalFormatting sqref="M1343">
    <cfRule type="dataBar" priority="72">
      <dataBar>
        <cfvo type="min"/>
        <cfvo type="max"/>
        <color rgb="FF3FCDFF"/>
      </dataBar>
    </cfRule>
  </conditionalFormatting>
  <conditionalFormatting sqref="M1345">
    <cfRule type="dataBar" priority="528">
      <dataBar>
        <cfvo type="min"/>
        <cfvo type="max"/>
        <color rgb="FF3FCDFF"/>
      </dataBar>
    </cfRule>
  </conditionalFormatting>
  <conditionalFormatting sqref="M1347">
    <cfRule type="dataBar" priority="65">
      <dataBar>
        <cfvo type="min"/>
        <cfvo type="max"/>
        <color rgb="FF3FCDFF"/>
      </dataBar>
    </cfRule>
  </conditionalFormatting>
  <conditionalFormatting sqref="M1347:M1376">
    <cfRule type="dataBar" priority="68">
      <dataBar>
        <cfvo type="min"/>
        <cfvo type="max"/>
        <color rgb="FF638EC6"/>
      </dataBar>
    </cfRule>
    <cfRule type="dataBar" priority="67">
      <dataBar>
        <cfvo type="min"/>
        <cfvo type="max"/>
        <color rgb="FF00B0F0"/>
      </dataBar>
    </cfRule>
  </conditionalFormatting>
  <conditionalFormatting sqref="M1348:M1363 M1365 M1367:M1374 M1376">
    <cfRule type="dataBar" priority="69">
      <dataBar>
        <cfvo type="min"/>
        <cfvo type="max"/>
        <color rgb="FF3FCDFF"/>
      </dataBar>
    </cfRule>
  </conditionalFormatting>
  <conditionalFormatting sqref="M1364">
    <cfRule type="dataBar" priority="63">
      <dataBar>
        <cfvo type="min"/>
        <cfvo type="max"/>
        <color rgb="FF3FCDFF"/>
      </dataBar>
    </cfRule>
  </conditionalFormatting>
  <conditionalFormatting sqref="M1366">
    <cfRule type="dataBar" priority="61">
      <dataBar>
        <cfvo type="min"/>
        <cfvo type="max"/>
        <color rgb="FF3FCDFF"/>
      </dataBar>
    </cfRule>
  </conditionalFormatting>
  <conditionalFormatting sqref="M1375">
    <cfRule type="dataBar" priority="59">
      <dataBar>
        <cfvo type="min"/>
        <cfvo type="max"/>
        <color rgb="FF3FCDFF"/>
      </dataBar>
    </cfRule>
  </conditionalFormatting>
  <conditionalFormatting sqref="M1377 M1346">
    <cfRule type="dataBar" priority="530">
      <dataBar>
        <cfvo type="min"/>
        <cfvo type="max"/>
        <color rgb="FF3FCDFF"/>
      </dataBar>
    </cfRule>
  </conditionalFormatting>
  <conditionalFormatting sqref="M1379">
    <cfRule type="dataBar" priority="290">
      <dataBar>
        <cfvo type="min"/>
        <cfvo type="max"/>
        <color rgb="FF3FCDFF"/>
      </dataBar>
    </cfRule>
  </conditionalFormatting>
  <conditionalFormatting sqref="M1380 M1378 M1383:M1390 M1392 M1396:M1403 M1405:M1406 M1410 M1413:M1420 M1422:M1424 M1426:M1433 M1435:M1436 M1440 M1443:M1450 M1452 M1456:M1463 M1465">
    <cfRule type="dataBar" priority="514">
      <dataBar>
        <cfvo type="min"/>
        <cfvo type="max"/>
        <color rgb="FF3FCDFF"/>
      </dataBar>
    </cfRule>
  </conditionalFormatting>
  <conditionalFormatting sqref="M1381">
    <cfRule type="dataBar" priority="288">
      <dataBar>
        <cfvo type="min"/>
        <cfvo type="max"/>
        <color rgb="FF3FCDFF"/>
      </dataBar>
    </cfRule>
  </conditionalFormatting>
  <conditionalFormatting sqref="M1382">
    <cfRule type="dataBar" priority="286">
      <dataBar>
        <cfvo type="min"/>
        <cfvo type="max"/>
        <color rgb="FF3FCDFF"/>
      </dataBar>
    </cfRule>
  </conditionalFormatting>
  <conditionalFormatting sqref="M1391">
    <cfRule type="dataBar" priority="284">
      <dataBar>
        <cfvo type="min"/>
        <cfvo type="max"/>
        <color rgb="FF3FCDFF"/>
      </dataBar>
    </cfRule>
  </conditionalFormatting>
  <conditionalFormatting sqref="M1393">
    <cfRule type="dataBar" priority="282">
      <dataBar>
        <cfvo type="min"/>
        <cfvo type="max"/>
        <color rgb="FF3FCDFF"/>
      </dataBar>
    </cfRule>
  </conditionalFormatting>
  <conditionalFormatting sqref="M1394">
    <cfRule type="dataBar" priority="280">
      <dataBar>
        <cfvo type="min"/>
        <cfvo type="max"/>
        <color rgb="FF3FCDFF"/>
      </dataBar>
    </cfRule>
  </conditionalFormatting>
  <conditionalFormatting sqref="M1395">
    <cfRule type="dataBar" priority="278">
      <dataBar>
        <cfvo type="min"/>
        <cfvo type="max"/>
        <color rgb="FF3FCDFF"/>
      </dataBar>
    </cfRule>
  </conditionalFormatting>
  <conditionalFormatting sqref="M1404">
    <cfRule type="dataBar" priority="276">
      <dataBar>
        <cfvo type="min"/>
        <cfvo type="max"/>
        <color rgb="FF3FCDFF"/>
      </dataBar>
    </cfRule>
  </conditionalFormatting>
  <conditionalFormatting sqref="M1407">
    <cfRule type="dataBar" priority="274">
      <dataBar>
        <cfvo type="min"/>
        <cfvo type="max"/>
        <color rgb="FF3FCDFF"/>
      </dataBar>
    </cfRule>
  </conditionalFormatting>
  <conditionalFormatting sqref="M1408:M1409">
    <cfRule type="dataBar" priority="305">
      <dataBar>
        <cfvo type="min"/>
        <cfvo type="max"/>
        <color rgb="FF3FCDFF"/>
      </dataBar>
    </cfRule>
  </conditionalFormatting>
  <conditionalFormatting sqref="M1411">
    <cfRule type="dataBar" priority="302">
      <dataBar>
        <cfvo type="min"/>
        <cfvo type="max"/>
        <color rgb="FF3FCDFF"/>
      </dataBar>
    </cfRule>
  </conditionalFormatting>
  <conditionalFormatting sqref="M1412">
    <cfRule type="dataBar" priority="300">
      <dataBar>
        <cfvo type="min"/>
        <cfvo type="max"/>
        <color rgb="FF3FCDFF"/>
      </dataBar>
    </cfRule>
  </conditionalFormatting>
  <conditionalFormatting sqref="M1421">
    <cfRule type="dataBar" priority="298">
      <dataBar>
        <cfvo type="min"/>
        <cfvo type="max"/>
        <color rgb="FF3FCDFF"/>
      </dataBar>
    </cfRule>
  </conditionalFormatting>
  <conditionalFormatting sqref="M1425">
    <cfRule type="dataBar" priority="296">
      <dataBar>
        <cfvo type="min"/>
        <cfvo type="max"/>
        <color rgb="FF3FCDFF"/>
      </dataBar>
    </cfRule>
  </conditionalFormatting>
  <conditionalFormatting sqref="M1434">
    <cfRule type="dataBar" priority="294">
      <dataBar>
        <cfvo type="min"/>
        <cfvo type="max"/>
        <color rgb="FF3FCDFF"/>
      </dataBar>
    </cfRule>
  </conditionalFormatting>
  <conditionalFormatting sqref="M1437">
    <cfRule type="dataBar" priority="292">
      <dataBar>
        <cfvo type="min"/>
        <cfvo type="max"/>
        <color rgb="FF3FCDFF"/>
      </dataBar>
    </cfRule>
  </conditionalFormatting>
  <conditionalFormatting sqref="M1438:M1439">
    <cfRule type="dataBar" priority="272">
      <dataBar>
        <cfvo type="min"/>
        <cfvo type="max"/>
        <color rgb="FF3FCDFF"/>
      </dataBar>
    </cfRule>
  </conditionalFormatting>
  <conditionalFormatting sqref="M1441">
    <cfRule type="dataBar" priority="269">
      <dataBar>
        <cfvo type="min"/>
        <cfvo type="max"/>
        <color rgb="FF3FCDFF"/>
      </dataBar>
    </cfRule>
  </conditionalFormatting>
  <conditionalFormatting sqref="M1442">
    <cfRule type="dataBar" priority="267">
      <dataBar>
        <cfvo type="min"/>
        <cfvo type="max"/>
        <color rgb="FF3FCDFF"/>
      </dataBar>
    </cfRule>
  </conditionalFormatting>
  <conditionalFormatting sqref="M1451">
    <cfRule type="dataBar" priority="265">
      <dataBar>
        <cfvo type="min"/>
        <cfvo type="max"/>
        <color rgb="FF3FCDFF"/>
      </dataBar>
    </cfRule>
  </conditionalFormatting>
  <conditionalFormatting sqref="M1453">
    <cfRule type="dataBar" priority="257">
      <dataBar>
        <cfvo type="min"/>
        <cfvo type="max"/>
        <color rgb="FF3FCDFF"/>
      </dataBar>
    </cfRule>
  </conditionalFormatting>
  <conditionalFormatting sqref="M1454">
    <cfRule type="dataBar" priority="255">
      <dataBar>
        <cfvo type="min"/>
        <cfvo type="max"/>
        <color rgb="FF3FCDFF"/>
      </dataBar>
    </cfRule>
  </conditionalFormatting>
  <conditionalFormatting sqref="M1455">
    <cfRule type="dataBar" priority="263">
      <dataBar>
        <cfvo type="min"/>
        <cfvo type="max"/>
        <color rgb="FF3FCDFF"/>
      </dataBar>
    </cfRule>
  </conditionalFormatting>
  <conditionalFormatting sqref="M1464">
    <cfRule type="dataBar" priority="261">
      <dataBar>
        <cfvo type="min"/>
        <cfvo type="max"/>
        <color rgb="FF3FCDFF"/>
      </dataBar>
    </cfRule>
  </conditionalFormatting>
  <conditionalFormatting sqref="M1466">
    <cfRule type="dataBar" priority="253">
      <dataBar>
        <cfvo type="min"/>
        <cfvo type="max"/>
        <color rgb="FF3FCDFF"/>
      </dataBar>
    </cfRule>
  </conditionalFormatting>
  <conditionalFormatting sqref="M1467">
    <cfRule type="dataBar" priority="259">
      <dataBar>
        <cfvo type="min"/>
        <cfvo type="max"/>
        <color rgb="FF3FCDFF"/>
      </dataBar>
    </cfRule>
  </conditionalFormatting>
  <conditionalFormatting sqref="M1470">
    <cfRule type="dataBar" priority="249">
      <dataBar>
        <cfvo type="min"/>
        <cfvo type="max"/>
        <color rgb="FF3FCDFF"/>
      </dataBar>
    </cfRule>
  </conditionalFormatting>
  <conditionalFormatting sqref="M1471">
    <cfRule type="dataBar" priority="209">
      <dataBar>
        <cfvo type="min"/>
        <cfvo type="max"/>
        <color rgb="FF3FCDFF"/>
      </dataBar>
    </cfRule>
  </conditionalFormatting>
  <conditionalFormatting sqref="M1472">
    <cfRule type="dataBar" priority="247">
      <dataBar>
        <cfvo type="min"/>
        <cfvo type="max"/>
        <color rgb="FF3FCDFF"/>
      </dataBar>
    </cfRule>
  </conditionalFormatting>
  <conditionalFormatting sqref="M1473">
    <cfRule type="dataBar" priority="211">
      <dataBar>
        <cfvo type="min"/>
        <cfvo type="max"/>
        <color rgb="FF3FCDFF"/>
      </dataBar>
    </cfRule>
  </conditionalFormatting>
  <conditionalFormatting sqref="M1474:M1475 M1469 M1477:M1479 M1481:M1483 M1486 M1488:M1490 M1492:M1497">
    <cfRule type="dataBar" priority="250">
      <dataBar>
        <cfvo type="min"/>
        <cfvo type="max"/>
        <color rgb="FF3FCDFF"/>
      </dataBar>
    </cfRule>
  </conditionalFormatting>
  <conditionalFormatting sqref="M1476">
    <cfRule type="dataBar" priority="213">
      <dataBar>
        <cfvo type="min"/>
        <cfvo type="max"/>
        <color rgb="FF3FCDFF"/>
      </dataBar>
    </cfRule>
  </conditionalFormatting>
  <conditionalFormatting sqref="M1480">
    <cfRule type="dataBar" priority="207">
      <dataBar>
        <cfvo type="min"/>
        <cfvo type="max"/>
        <color rgb="FF3FCDFF"/>
      </dataBar>
    </cfRule>
  </conditionalFormatting>
  <conditionalFormatting sqref="M1482">
    <cfRule type="dataBar" priority="245">
      <dataBar>
        <cfvo type="min"/>
        <cfvo type="max"/>
        <color rgb="FF3FCDFF"/>
      </dataBar>
    </cfRule>
  </conditionalFormatting>
  <conditionalFormatting sqref="M1484">
    <cfRule type="dataBar" priority="202">
      <dataBar>
        <cfvo type="min"/>
        <cfvo type="max"/>
        <color rgb="FF3FCDFF"/>
      </dataBar>
    </cfRule>
  </conditionalFormatting>
  <conditionalFormatting sqref="M1486">
    <cfRule type="dataBar" priority="243">
      <dataBar>
        <cfvo type="min"/>
        <cfvo type="max"/>
        <color rgb="FF3FCDFF"/>
      </dataBar>
    </cfRule>
  </conditionalFormatting>
  <conditionalFormatting sqref="M1487">
    <cfRule type="dataBar" priority="205">
      <dataBar>
        <cfvo type="min"/>
        <cfvo type="max"/>
        <color rgb="FF3FCDFF"/>
      </dataBar>
    </cfRule>
  </conditionalFormatting>
  <conditionalFormatting sqref="M1495">
    <cfRule type="dataBar" priority="242">
      <dataBar>
        <cfvo type="min"/>
        <cfvo type="max"/>
        <color rgb="FF3FCDFF"/>
      </dataBar>
    </cfRule>
  </conditionalFormatting>
  <conditionalFormatting sqref="M1498">
    <cfRule type="dataBar" priority="240">
      <dataBar>
        <cfvo type="min"/>
        <cfvo type="max"/>
        <color rgb="FF3FCDFF"/>
      </dataBar>
    </cfRule>
  </conditionalFormatting>
  <conditionalFormatting sqref="M1500">
    <cfRule type="dataBar" priority="229">
      <dataBar>
        <cfvo type="min"/>
        <cfvo type="max"/>
        <color rgb="FF3FCDFF"/>
      </dataBar>
    </cfRule>
  </conditionalFormatting>
  <conditionalFormatting sqref="M1502">
    <cfRule type="dataBar" priority="227">
      <dataBar>
        <cfvo type="min"/>
        <cfvo type="max"/>
        <color rgb="FF3FCDFF"/>
      </dataBar>
    </cfRule>
  </conditionalFormatting>
  <conditionalFormatting sqref="M1504:M1509 M1511:M1513 M1518:M1520 M1522:M1526">
    <cfRule type="dataBar" priority="230">
      <dataBar>
        <cfvo type="min"/>
        <cfvo type="max"/>
        <color rgb="FF3FCDFF"/>
      </dataBar>
    </cfRule>
  </conditionalFormatting>
  <conditionalFormatting sqref="M1512">
    <cfRule type="dataBar" priority="225">
      <dataBar>
        <cfvo type="min"/>
        <cfvo type="max"/>
        <color rgb="FF3FCDFF"/>
      </dataBar>
    </cfRule>
  </conditionalFormatting>
  <conditionalFormatting sqref="M1525">
    <cfRule type="dataBar" priority="223">
      <dataBar>
        <cfvo type="min"/>
        <cfvo type="max"/>
        <color rgb="FF3FCDFF"/>
      </dataBar>
    </cfRule>
  </conditionalFormatting>
  <conditionalFormatting sqref="M1528">
    <cfRule type="dataBar" priority="221">
      <dataBar>
        <cfvo type="min"/>
        <cfvo type="max"/>
        <color rgb="FF3FCDFF"/>
      </dataBar>
    </cfRule>
  </conditionalFormatting>
  <conditionalFormatting sqref="M1529 M1468">
    <cfRule type="dataBar" priority="479">
      <dataBar>
        <cfvo type="min"/>
        <cfvo type="max"/>
        <color rgb="FF3FCDFF"/>
      </dataBar>
    </cfRule>
  </conditionalFormatting>
  <conditionalFormatting sqref="M1530">
    <cfRule type="dataBar" priority="41">
      <dataBar>
        <cfvo type="min"/>
        <cfvo type="max"/>
        <color rgb="FF3FCDFF"/>
      </dataBar>
    </cfRule>
  </conditionalFormatting>
  <conditionalFormatting sqref="M1531">
    <cfRule type="dataBar" priority="91">
      <dataBar>
        <cfvo type="min"/>
        <cfvo type="max"/>
        <color rgb="FF3FCDFF"/>
      </dataBar>
    </cfRule>
  </conditionalFormatting>
  <conditionalFormatting sqref="M1531:M1560">
    <cfRule type="dataBar" priority="94">
      <dataBar>
        <cfvo type="min"/>
        <cfvo type="max"/>
        <color rgb="FF638EC6"/>
      </dataBar>
    </cfRule>
    <cfRule type="dataBar" priority="93">
      <dataBar>
        <cfvo type="min"/>
        <cfvo type="max"/>
        <color rgb="FF00B0F0"/>
      </dataBar>
    </cfRule>
  </conditionalFormatting>
  <conditionalFormatting sqref="M1532:M1547 M1549 M1551:M1558 M1560">
    <cfRule type="dataBar" priority="95">
      <dataBar>
        <cfvo type="min"/>
        <cfvo type="max"/>
        <color rgb="FF3FCDFF"/>
      </dataBar>
    </cfRule>
  </conditionalFormatting>
  <conditionalFormatting sqref="M1548">
    <cfRule type="dataBar" priority="89">
      <dataBar>
        <cfvo type="min"/>
        <cfvo type="max"/>
        <color rgb="FF3FCDFF"/>
      </dataBar>
    </cfRule>
  </conditionalFormatting>
  <conditionalFormatting sqref="M1550">
    <cfRule type="dataBar" priority="87">
      <dataBar>
        <cfvo type="min"/>
        <cfvo type="max"/>
        <color rgb="FF3FCDFF"/>
      </dataBar>
    </cfRule>
  </conditionalFormatting>
  <conditionalFormatting sqref="M1559">
    <cfRule type="dataBar" priority="85">
      <dataBar>
        <cfvo type="min"/>
        <cfvo type="max"/>
        <color rgb="FF3FCDFF"/>
      </dataBar>
    </cfRule>
  </conditionalFormatting>
  <conditionalFormatting sqref="M1561 M1530 M1593">
    <cfRule type="dataBar" priority="523">
      <dataBar>
        <cfvo type="min"/>
        <cfvo type="max"/>
        <color rgb="FF3FCDFF"/>
      </dataBar>
    </cfRule>
  </conditionalFormatting>
  <conditionalFormatting sqref="M1562">
    <cfRule type="dataBar" priority="40">
      <dataBar>
        <cfvo type="min"/>
        <cfvo type="max"/>
        <color rgb="FF3FCDFF"/>
      </dataBar>
    </cfRule>
    <cfRule type="dataBar" priority="39">
      <dataBar>
        <cfvo type="min"/>
        <cfvo type="max"/>
        <color rgb="FF638EC6"/>
      </dataBar>
    </cfRule>
    <cfRule type="dataBar" priority="38">
      <dataBar>
        <cfvo type="min"/>
        <cfvo type="max"/>
        <color rgb="FF00B0F0"/>
      </dataBar>
    </cfRule>
  </conditionalFormatting>
  <conditionalFormatting sqref="M1564:M1579">
    <cfRule type="dataBar" priority="126">
      <dataBar>
        <cfvo type="min"/>
        <cfvo type="max"/>
        <color rgb="FF3FCDFF"/>
      </dataBar>
    </cfRule>
  </conditionalFormatting>
  <conditionalFormatting sqref="M1581">
    <cfRule type="dataBar" priority="25">
      <dataBar>
        <cfvo type="min"/>
        <cfvo type="max"/>
        <color rgb="FF3FCDFF"/>
      </dataBar>
    </cfRule>
  </conditionalFormatting>
  <conditionalFormatting sqref="M1582:M1590">
    <cfRule type="dataBar" priority="127">
      <dataBar>
        <cfvo type="min"/>
        <cfvo type="max"/>
        <color rgb="FF3FCDFF"/>
      </dataBar>
    </cfRule>
  </conditionalFormatting>
  <conditionalFormatting sqref="M1589">
    <cfRule type="dataBar" priority="120">
      <dataBar>
        <cfvo type="min"/>
        <cfvo type="max"/>
        <color rgb="FF3FCDFF"/>
      </dataBar>
    </cfRule>
  </conditionalFormatting>
  <conditionalFormatting sqref="M1592">
    <cfRule type="dataBar" priority="118">
      <dataBar>
        <cfvo type="min"/>
        <cfvo type="max"/>
        <color rgb="FF3FCDFF"/>
      </dataBar>
    </cfRule>
  </conditionalFormatting>
  <conditionalFormatting sqref="M1594">
    <cfRule type="dataBar" priority="505">
      <dataBar>
        <cfvo type="min"/>
        <cfvo type="max"/>
        <color rgb="FF3FCDFF"/>
      </dataBar>
    </cfRule>
  </conditionalFormatting>
  <conditionalFormatting sqref="M1154:N1154 N1185">
    <cfRule type="dataBar" priority="199">
      <dataBar>
        <cfvo type="min"/>
        <cfvo type="max"/>
        <color rgb="FF00B0F0"/>
      </dataBar>
    </cfRule>
    <cfRule type="dataBar" priority="198">
      <dataBar>
        <cfvo type="min"/>
        <cfvo type="max"/>
        <color rgb="FF3FCDFF"/>
      </dataBar>
    </cfRule>
    <cfRule type="dataBar" priority="200">
      <dataBar>
        <cfvo type="min"/>
        <cfvo type="max"/>
        <color rgb="FF638EC6"/>
      </dataBar>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theme="6" tint="0.79998168889431442"/>
  </sheetPr>
  <dimension ref="A1:N181"/>
  <sheetViews>
    <sheetView zoomScale="150" zoomScaleNormal="110" workbookViewId="0">
      <pane ySplit="1" topLeftCell="A39" activePane="bottomLeft" state="frozen"/>
      <selection activeCell="C2" sqref="C2"/>
      <selection pane="bottomLeft" activeCell="F46" sqref="F46"/>
    </sheetView>
  </sheetViews>
  <sheetFormatPr baseColWidth="10" defaultRowHeight="16" x14ac:dyDescent="0.2"/>
  <cols>
    <col min="1" max="1" width="20.83203125" bestFit="1" customWidth="1"/>
    <col min="2" max="2" width="18.83203125" customWidth="1"/>
    <col min="6" max="6" width="48.5" customWidth="1"/>
    <col min="7" max="7" width="3.5" customWidth="1"/>
    <col min="14" max="14" width="29.6640625" bestFit="1" customWidth="1"/>
  </cols>
  <sheetData>
    <row r="1" spans="1:14" x14ac:dyDescent="0.2">
      <c r="A1" s="359" t="s">
        <v>185</v>
      </c>
      <c r="B1" s="360" t="s">
        <v>186</v>
      </c>
      <c r="C1" s="211" t="s">
        <v>1</v>
      </c>
      <c r="D1" s="361" t="s">
        <v>2</v>
      </c>
      <c r="E1" s="362" t="s">
        <v>3</v>
      </c>
      <c r="F1" s="363" t="s">
        <v>4</v>
      </c>
      <c r="G1" s="364" t="s">
        <v>16</v>
      </c>
      <c r="H1" s="365" t="s">
        <v>5</v>
      </c>
      <c r="I1" s="365" t="s">
        <v>6</v>
      </c>
      <c r="J1" s="365" t="s">
        <v>7</v>
      </c>
      <c r="K1" s="365" t="s">
        <v>8</v>
      </c>
      <c r="L1" s="366" t="s">
        <v>9</v>
      </c>
      <c r="M1" s="367" t="s">
        <v>10</v>
      </c>
      <c r="N1" s="368" t="s">
        <v>158</v>
      </c>
    </row>
    <row r="2" spans="1:14" x14ac:dyDescent="0.2">
      <c r="A2" s="369" t="s">
        <v>12</v>
      </c>
      <c r="B2" s="370" t="s">
        <v>447</v>
      </c>
      <c r="C2" s="371" t="s">
        <v>135</v>
      </c>
      <c r="D2" s="372" t="s">
        <v>135</v>
      </c>
      <c r="E2" s="373">
        <f>0.004*0.001/100</f>
        <v>4.0000000000000001E-8</v>
      </c>
      <c r="F2" s="374" t="s">
        <v>448</v>
      </c>
      <c r="G2" s="375" t="s">
        <v>16</v>
      </c>
      <c r="H2" s="376">
        <v>2</v>
      </c>
      <c r="I2" s="376">
        <v>3</v>
      </c>
      <c r="J2" s="376">
        <v>3</v>
      </c>
      <c r="K2" s="376">
        <v>2</v>
      </c>
      <c r="L2" s="377">
        <v>2</v>
      </c>
      <c r="M2" s="378">
        <f>IF( OR( ISBLANK(H2),ISBLANK(I2), ISBLANK(J2), ISBLANK(K2), ISBLANK(L2) ), "", 1.5*SQRT(   EXP(2.21*(H2-1)) + EXP(2.21*(I2-1)) + EXP(2.21*(J2-1)) + EXP(2.21*(K2-1)) + EXP(2.21*L2)   )/100*2.45 )</f>
        <v>0.60108474454521421</v>
      </c>
      <c r="N2" s="379"/>
    </row>
    <row r="3" spans="1:14" x14ac:dyDescent="0.2">
      <c r="A3" s="369" t="s">
        <v>12</v>
      </c>
      <c r="B3" s="370" t="s">
        <v>447</v>
      </c>
      <c r="C3" s="371" t="s">
        <v>135</v>
      </c>
      <c r="D3" s="372" t="s">
        <v>135</v>
      </c>
      <c r="E3" s="373">
        <f>0.004*0.01/100</f>
        <v>4.0000000000000003E-7</v>
      </c>
      <c r="F3" s="374" t="s">
        <v>448</v>
      </c>
      <c r="G3" s="375" t="s">
        <v>16</v>
      </c>
      <c r="H3" s="376">
        <v>2</v>
      </c>
      <c r="I3" s="376">
        <v>3</v>
      </c>
      <c r="J3" s="376">
        <v>3</v>
      </c>
      <c r="K3" s="376">
        <v>2</v>
      </c>
      <c r="L3" s="377">
        <v>2</v>
      </c>
      <c r="M3" s="378">
        <f>IF( OR( ISBLANK(H3),ISBLANK(I3), ISBLANK(J3), ISBLANK(K3), ISBLANK(L3) ), "", 1.5*SQRT( EXP(2.21*(H3-1)) + EXP(2.21*(I3-1)) + EXP(2.21*(J3-1)) + EXP(2.21*(K3-1)) + EXP(2.21*L3) )/100*2.45 )</f>
        <v>0.60108474454521421</v>
      </c>
      <c r="N3" s="379"/>
    </row>
    <row r="4" spans="1:14" x14ac:dyDescent="0.2">
      <c r="A4" s="369" t="s">
        <v>12</v>
      </c>
      <c r="B4" s="370" t="s">
        <v>447</v>
      </c>
      <c r="C4" s="380" t="s">
        <v>135</v>
      </c>
      <c r="D4" s="372" t="s">
        <v>135</v>
      </c>
      <c r="E4" s="376">
        <v>2.204000000000002E-7</v>
      </c>
      <c r="F4" s="374" t="s">
        <v>449</v>
      </c>
      <c r="G4" s="375" t="s">
        <v>16</v>
      </c>
      <c r="H4" s="376">
        <v>2</v>
      </c>
      <c r="I4" s="376">
        <v>2</v>
      </c>
      <c r="J4" s="376">
        <v>2</v>
      </c>
      <c r="K4" s="376">
        <v>2</v>
      </c>
      <c r="L4" s="377">
        <v>2</v>
      </c>
      <c r="M4" s="378">
        <f>IF( OR( ISBLANK(H4),ISBLANK(I4), ISBLANK(J4), ISBLANK(K4), ISBLANK(L4) ), "", 1.5*SQRT( EXP(2.21*(H4-1)) + EXP(2.21*(I4-1)) + EXP(2.21*(J4-1)) + EXP(2.21*(K4-1)) + EXP(2.21*L4) )/100*2.45 )</f>
        <v>0.40183591897512122</v>
      </c>
      <c r="N4" s="381"/>
    </row>
    <row r="5" spans="1:14" x14ac:dyDescent="0.2">
      <c r="A5" s="369" t="s">
        <v>12</v>
      </c>
      <c r="B5" s="370" t="s">
        <v>450</v>
      </c>
      <c r="C5" s="380" t="s">
        <v>135</v>
      </c>
      <c r="D5" s="372" t="s">
        <v>135</v>
      </c>
      <c r="E5" s="376">
        <v>1.520000000000001E-8</v>
      </c>
      <c r="F5" s="374" t="s">
        <v>449</v>
      </c>
      <c r="G5" s="375" t="s">
        <v>16</v>
      </c>
      <c r="H5" s="376">
        <v>2</v>
      </c>
      <c r="I5" s="376">
        <v>2</v>
      </c>
      <c r="J5" s="376">
        <v>2</v>
      </c>
      <c r="K5" s="376">
        <v>2</v>
      </c>
      <c r="L5" s="377">
        <v>2</v>
      </c>
      <c r="M5" s="378">
        <f>IF( OR( ISBLANK(H5),ISBLANK(I5), ISBLANK(J5), ISBLANK(K5), ISBLANK(L5) ), "", 1.5*SQRT( EXP(2.21*(H5-1)) + EXP(2.21*(I5-1)) + EXP(2.21*(J5-1)) + EXP(2.21*(K5-1)) + EXP(2.21*L5) )/100*2.45 )</f>
        <v>0.40183591897512122</v>
      </c>
      <c r="N5" s="381"/>
    </row>
    <row r="6" spans="1:14" x14ac:dyDescent="0.2">
      <c r="A6" s="369" t="s">
        <v>12</v>
      </c>
      <c r="B6" s="382" t="s">
        <v>451</v>
      </c>
      <c r="C6" s="371" t="s">
        <v>135</v>
      </c>
      <c r="D6" s="372" t="s">
        <v>135</v>
      </c>
      <c r="E6" s="373">
        <v>9.9599999999999995E-6</v>
      </c>
      <c r="F6" s="374" t="s">
        <v>448</v>
      </c>
      <c r="G6" s="375" t="s">
        <v>16</v>
      </c>
      <c r="H6" s="376">
        <v>2</v>
      </c>
      <c r="I6" s="376">
        <v>3</v>
      </c>
      <c r="J6" s="376">
        <v>3</v>
      </c>
      <c r="K6" s="376">
        <v>3</v>
      </c>
      <c r="L6" s="377">
        <v>2</v>
      </c>
      <c r="M6" s="378">
        <v>0.60108474454521421</v>
      </c>
      <c r="N6" s="379"/>
    </row>
    <row r="7" spans="1:14" x14ac:dyDescent="0.2">
      <c r="A7" s="369" t="s">
        <v>12</v>
      </c>
      <c r="B7" s="382" t="s">
        <v>451</v>
      </c>
      <c r="C7" s="371" t="s">
        <v>135</v>
      </c>
      <c r="D7" s="372" t="s">
        <v>135</v>
      </c>
      <c r="E7" s="373">
        <v>9.9599999999999995E-5</v>
      </c>
      <c r="F7" s="374" t="s">
        <v>448</v>
      </c>
      <c r="G7" s="375" t="s">
        <v>16</v>
      </c>
      <c r="H7" s="376">
        <v>2</v>
      </c>
      <c r="I7" s="376">
        <v>3</v>
      </c>
      <c r="J7" s="376">
        <v>3</v>
      </c>
      <c r="K7" s="376">
        <v>3</v>
      </c>
      <c r="L7" s="377">
        <v>2</v>
      </c>
      <c r="M7" s="378">
        <v>0.60108474454521421</v>
      </c>
      <c r="N7" s="379"/>
    </row>
    <row r="8" spans="1:14" x14ac:dyDescent="0.2">
      <c r="A8" s="369" t="s">
        <v>12</v>
      </c>
      <c r="B8" s="382" t="s">
        <v>451</v>
      </c>
      <c r="C8" s="383" t="s">
        <v>135</v>
      </c>
      <c r="D8" s="384" t="s">
        <v>135</v>
      </c>
      <c r="E8" s="376">
        <v>4.5600000000000038E-8</v>
      </c>
      <c r="F8" s="374" t="str">
        <f>F4</f>
        <v>BKV GmbH. ‘Sonderbetrachtung Pelletverluste’, 2022.</v>
      </c>
      <c r="G8" s="375" t="s">
        <v>16</v>
      </c>
      <c r="H8" s="376">
        <f>H4</f>
        <v>2</v>
      </c>
      <c r="I8" s="376">
        <v>2</v>
      </c>
      <c r="J8" s="376">
        <f>J4</f>
        <v>2</v>
      </c>
      <c r="K8" s="376">
        <v>2</v>
      </c>
      <c r="L8" s="377">
        <f>L4</f>
        <v>2</v>
      </c>
      <c r="M8" s="378">
        <f t="shared" ref="M8:M39" si="0">IF( OR( ISBLANK(H8),ISBLANK(I8), ISBLANK(J8), ISBLANK(K8), ISBLANK(L8) ), "", 1.5*SQRT( EXP(2.21*(H8-1)) + EXP(2.21*(I8-1)) + EXP(2.21*(J8-1)) + EXP(2.21*(K8-1)) + EXP(2.21*L8) )/100*2.45 )</f>
        <v>0.40183591897512122</v>
      </c>
      <c r="N8" s="381"/>
    </row>
    <row r="9" spans="1:14" x14ac:dyDescent="0.2">
      <c r="A9" s="385" t="s">
        <v>100</v>
      </c>
      <c r="B9" s="386" t="s">
        <v>447</v>
      </c>
      <c r="C9" s="380" t="s">
        <v>135</v>
      </c>
      <c r="D9" s="387" t="s">
        <v>135</v>
      </c>
      <c r="E9" s="388">
        <v>2.5850000000000019E-6</v>
      </c>
      <c r="F9" s="389" t="str">
        <f>F4</f>
        <v>BKV GmbH. ‘Sonderbetrachtung Pelletverluste’, 2022.</v>
      </c>
      <c r="G9" s="390" t="s">
        <v>16</v>
      </c>
      <c r="H9" s="391">
        <f>H4</f>
        <v>2</v>
      </c>
      <c r="I9" s="391">
        <v>2</v>
      </c>
      <c r="J9" s="391">
        <f>J4</f>
        <v>2</v>
      </c>
      <c r="K9" s="391">
        <f>K4</f>
        <v>2</v>
      </c>
      <c r="L9" s="392">
        <f>L4</f>
        <v>2</v>
      </c>
      <c r="M9" s="393">
        <f t="shared" si="0"/>
        <v>0.40183591897512122</v>
      </c>
      <c r="N9" s="381"/>
    </row>
    <row r="10" spans="1:14" x14ac:dyDescent="0.2">
      <c r="A10" s="394" t="s">
        <v>100</v>
      </c>
      <c r="B10" s="370" t="s">
        <v>447</v>
      </c>
      <c r="C10" s="380" t="s">
        <v>135</v>
      </c>
      <c r="D10" s="372" t="s">
        <v>135</v>
      </c>
      <c r="E10" s="373">
        <v>4.0000000000000001E-8</v>
      </c>
      <c r="F10" s="374" t="s">
        <v>448</v>
      </c>
      <c r="G10" s="375" t="s">
        <v>16</v>
      </c>
      <c r="H10" s="376">
        <v>2</v>
      </c>
      <c r="I10" s="376">
        <v>3</v>
      </c>
      <c r="J10" s="376">
        <v>3</v>
      </c>
      <c r="K10" s="376">
        <v>2</v>
      </c>
      <c r="L10" s="377">
        <v>2</v>
      </c>
      <c r="M10" s="378">
        <f t="shared" si="0"/>
        <v>0.60108474454521421</v>
      </c>
      <c r="N10" s="381"/>
    </row>
    <row r="11" spans="1:14" x14ac:dyDescent="0.2">
      <c r="A11" s="394" t="s">
        <v>100</v>
      </c>
      <c r="B11" s="370" t="s">
        <v>447</v>
      </c>
      <c r="C11" s="380" t="s">
        <v>135</v>
      </c>
      <c r="D11" s="372" t="s">
        <v>135</v>
      </c>
      <c r="E11" s="373">
        <v>3.9999999999999998E-7</v>
      </c>
      <c r="F11" s="374" t="s">
        <v>448</v>
      </c>
      <c r="G11" s="375" t="s">
        <v>16</v>
      </c>
      <c r="H11" s="376">
        <v>2</v>
      </c>
      <c r="I11" s="376">
        <v>3</v>
      </c>
      <c r="J11" s="376">
        <v>3</v>
      </c>
      <c r="K11" s="376">
        <v>2</v>
      </c>
      <c r="L11" s="377">
        <v>2</v>
      </c>
      <c r="M11" s="378">
        <f t="shared" si="0"/>
        <v>0.60108474454521421</v>
      </c>
      <c r="N11" s="381"/>
    </row>
    <row r="12" spans="1:14" x14ac:dyDescent="0.2">
      <c r="A12" s="394" t="s">
        <v>100</v>
      </c>
      <c r="B12" s="370" t="s">
        <v>450</v>
      </c>
      <c r="C12" s="380" t="s">
        <v>135</v>
      </c>
      <c r="D12" s="372" t="s">
        <v>135</v>
      </c>
      <c r="E12" s="373">
        <v>1.100000000000001E-7</v>
      </c>
      <c r="F12" s="374" t="str">
        <f>F8</f>
        <v>BKV GmbH. ‘Sonderbetrachtung Pelletverluste’, 2022.</v>
      </c>
      <c r="G12" s="375" t="s">
        <v>16</v>
      </c>
      <c r="H12" s="376">
        <f>H8</f>
        <v>2</v>
      </c>
      <c r="I12" s="376">
        <f>I8</f>
        <v>2</v>
      </c>
      <c r="J12" s="376">
        <f>J8</f>
        <v>2</v>
      </c>
      <c r="K12" s="376">
        <f>K8</f>
        <v>2</v>
      </c>
      <c r="L12" s="377">
        <f>L8</f>
        <v>2</v>
      </c>
      <c r="M12" s="378">
        <f t="shared" si="0"/>
        <v>0.40183591897512122</v>
      </c>
      <c r="N12" s="381"/>
    </row>
    <row r="13" spans="1:14" x14ac:dyDescent="0.2">
      <c r="A13" s="394" t="s">
        <v>100</v>
      </c>
      <c r="B13" s="382" t="s">
        <v>451</v>
      </c>
      <c r="C13" s="380" t="s">
        <v>135</v>
      </c>
      <c r="D13" s="372" t="s">
        <v>135</v>
      </c>
      <c r="E13" s="373">
        <v>9.9599999999999995E-6</v>
      </c>
      <c r="F13" s="374" t="s">
        <v>448</v>
      </c>
      <c r="G13" s="375" t="s">
        <v>16</v>
      </c>
      <c r="H13" s="376">
        <v>2</v>
      </c>
      <c r="I13" s="376">
        <v>3</v>
      </c>
      <c r="J13" s="376">
        <v>3</v>
      </c>
      <c r="K13" s="376">
        <v>3</v>
      </c>
      <c r="L13" s="377">
        <v>2</v>
      </c>
      <c r="M13" s="378">
        <f t="shared" si="0"/>
        <v>0.67913051197703389</v>
      </c>
      <c r="N13" s="381"/>
    </row>
    <row r="14" spans="1:14" x14ac:dyDescent="0.2">
      <c r="A14" s="394" t="s">
        <v>100</v>
      </c>
      <c r="B14" s="382" t="s">
        <v>451</v>
      </c>
      <c r="C14" s="380" t="s">
        <v>135</v>
      </c>
      <c r="D14" s="372" t="s">
        <v>135</v>
      </c>
      <c r="E14" s="373">
        <v>9.9599999999999995E-5</v>
      </c>
      <c r="F14" s="374" t="s">
        <v>448</v>
      </c>
      <c r="G14" s="375" t="s">
        <v>16</v>
      </c>
      <c r="H14" s="376">
        <v>2</v>
      </c>
      <c r="I14" s="376">
        <v>3</v>
      </c>
      <c r="J14" s="376">
        <v>3</v>
      </c>
      <c r="K14" s="376">
        <v>3</v>
      </c>
      <c r="L14" s="377">
        <v>2</v>
      </c>
      <c r="M14" s="378">
        <f t="shared" si="0"/>
        <v>0.67913051197703389</v>
      </c>
      <c r="N14" s="381"/>
    </row>
    <row r="15" spans="1:14" x14ac:dyDescent="0.2">
      <c r="A15" s="394" t="s">
        <v>100</v>
      </c>
      <c r="B15" s="382" t="s">
        <v>451</v>
      </c>
      <c r="C15" s="383" t="s">
        <v>135</v>
      </c>
      <c r="D15" s="384" t="s">
        <v>135</v>
      </c>
      <c r="E15" s="373">
        <v>3.3000000000000028E-7</v>
      </c>
      <c r="F15" s="374" t="str">
        <f>F9</f>
        <v>BKV GmbH. ‘Sonderbetrachtung Pelletverluste’, 2022.</v>
      </c>
      <c r="G15" s="375" t="s">
        <v>16</v>
      </c>
      <c r="H15" s="376">
        <v>2</v>
      </c>
      <c r="I15" s="376">
        <v>2</v>
      </c>
      <c r="J15" s="376">
        <v>2</v>
      </c>
      <c r="K15" s="376">
        <v>2</v>
      </c>
      <c r="L15" s="377">
        <v>2</v>
      </c>
      <c r="M15" s="378">
        <f t="shared" si="0"/>
        <v>0.40183591897512122</v>
      </c>
      <c r="N15" s="381"/>
    </row>
    <row r="16" spans="1:14" x14ac:dyDescent="0.2">
      <c r="A16" s="385" t="s">
        <v>187</v>
      </c>
      <c r="B16" s="386" t="s">
        <v>447</v>
      </c>
      <c r="C16" s="380" t="s">
        <v>135</v>
      </c>
      <c r="D16" s="387" t="s">
        <v>135</v>
      </c>
      <c r="E16" s="388">
        <v>6.9999999999999999E-6</v>
      </c>
      <c r="F16" s="389" t="str">
        <f>F9</f>
        <v>BKV GmbH. ‘Sonderbetrachtung Pelletverluste’, 2022.</v>
      </c>
      <c r="G16" s="390" t="s">
        <v>16</v>
      </c>
      <c r="H16" s="391">
        <f>H4</f>
        <v>2</v>
      </c>
      <c r="I16" s="391">
        <f>I4</f>
        <v>2</v>
      </c>
      <c r="J16" s="391">
        <f>J4</f>
        <v>2</v>
      </c>
      <c r="K16" s="391">
        <v>2</v>
      </c>
      <c r="L16" s="392">
        <f>L4</f>
        <v>2</v>
      </c>
      <c r="M16" s="395">
        <f t="shared" si="0"/>
        <v>0.40183591897512122</v>
      </c>
      <c r="N16" s="381"/>
    </row>
    <row r="17" spans="1:14" x14ac:dyDescent="0.2">
      <c r="A17" s="394" t="s">
        <v>187</v>
      </c>
      <c r="B17" s="370" t="s">
        <v>447</v>
      </c>
      <c r="C17" s="380" t="s">
        <v>135</v>
      </c>
      <c r="D17" s="372" t="s">
        <v>135</v>
      </c>
      <c r="E17" s="373">
        <v>2.5000000000000002E-6</v>
      </c>
      <c r="F17" s="374" t="s">
        <v>448</v>
      </c>
      <c r="G17" s="375" t="s">
        <v>16</v>
      </c>
      <c r="H17" s="376">
        <v>2</v>
      </c>
      <c r="I17" s="376">
        <v>3</v>
      </c>
      <c r="J17" s="376">
        <v>3</v>
      </c>
      <c r="K17" s="376">
        <v>3</v>
      </c>
      <c r="L17" s="377">
        <v>2</v>
      </c>
      <c r="M17" s="396">
        <f t="shared" si="0"/>
        <v>0.67913051197703389</v>
      </c>
      <c r="N17" s="381"/>
    </row>
    <row r="18" spans="1:14" x14ac:dyDescent="0.2">
      <c r="A18" s="394" t="s">
        <v>187</v>
      </c>
      <c r="B18" s="370" t="s">
        <v>447</v>
      </c>
      <c r="C18" s="380" t="s">
        <v>135</v>
      </c>
      <c r="D18" s="372" t="s">
        <v>135</v>
      </c>
      <c r="E18" s="373">
        <v>2.5000000000000001E-5</v>
      </c>
      <c r="F18" s="374" t="s">
        <v>448</v>
      </c>
      <c r="G18" s="375" t="s">
        <v>16</v>
      </c>
      <c r="H18" s="376">
        <v>2</v>
      </c>
      <c r="I18" s="376">
        <v>3</v>
      </c>
      <c r="J18" s="376">
        <v>3</v>
      </c>
      <c r="K18" s="376">
        <v>3</v>
      </c>
      <c r="L18" s="377">
        <v>2</v>
      </c>
      <c r="M18" s="396">
        <f t="shared" si="0"/>
        <v>0.67913051197703389</v>
      </c>
      <c r="N18" s="381"/>
    </row>
    <row r="19" spans="1:14" x14ac:dyDescent="0.2">
      <c r="A19" s="394" t="s">
        <v>187</v>
      </c>
      <c r="B19" s="370" t="s">
        <v>450</v>
      </c>
      <c r="C19" s="380" t="s">
        <v>135</v>
      </c>
      <c r="D19" s="372" t="s">
        <v>135</v>
      </c>
      <c r="E19" s="373">
        <v>9.9999999999999995E-7</v>
      </c>
      <c r="F19" s="374" t="str">
        <f>F15</f>
        <v>BKV GmbH. ‘Sonderbetrachtung Pelletverluste’, 2022.</v>
      </c>
      <c r="G19" s="375" t="s">
        <v>16</v>
      </c>
      <c r="H19" s="376">
        <v>2</v>
      </c>
      <c r="I19" s="376">
        <v>2</v>
      </c>
      <c r="J19" s="376">
        <v>2</v>
      </c>
      <c r="K19" s="376">
        <v>2</v>
      </c>
      <c r="L19" s="377">
        <v>2</v>
      </c>
      <c r="M19" s="396">
        <f t="shared" si="0"/>
        <v>0.40183591897512122</v>
      </c>
      <c r="N19" s="381"/>
    </row>
    <row r="20" spans="1:14" x14ac:dyDescent="0.2">
      <c r="A20" s="394" t="s">
        <v>187</v>
      </c>
      <c r="B20" s="382" t="s">
        <v>451</v>
      </c>
      <c r="C20" s="380" t="s">
        <v>135</v>
      </c>
      <c r="D20" s="372" t="s">
        <v>135</v>
      </c>
      <c r="E20" s="373">
        <v>7.5000000000000002E-6</v>
      </c>
      <c r="F20" s="374" t="s">
        <v>448</v>
      </c>
      <c r="G20" s="375" t="s">
        <v>16</v>
      </c>
      <c r="H20" s="376">
        <v>2</v>
      </c>
      <c r="I20" s="376">
        <v>3</v>
      </c>
      <c r="J20" s="376">
        <v>3</v>
      </c>
      <c r="K20" s="376">
        <v>3</v>
      </c>
      <c r="L20" s="377">
        <v>2</v>
      </c>
      <c r="M20" s="396">
        <f t="shared" si="0"/>
        <v>0.67913051197703389</v>
      </c>
      <c r="N20" s="381"/>
    </row>
    <row r="21" spans="1:14" x14ac:dyDescent="0.2">
      <c r="A21" s="394" t="s">
        <v>187</v>
      </c>
      <c r="B21" s="382" t="s">
        <v>451</v>
      </c>
      <c r="C21" s="380" t="s">
        <v>135</v>
      </c>
      <c r="D21" s="372" t="s">
        <v>135</v>
      </c>
      <c r="E21" s="373">
        <v>7.4999999999999993E-5</v>
      </c>
      <c r="F21" s="374" t="s">
        <v>448</v>
      </c>
      <c r="G21" s="375" t="s">
        <v>16</v>
      </c>
      <c r="H21" s="376">
        <v>2</v>
      </c>
      <c r="I21" s="376">
        <v>3</v>
      </c>
      <c r="J21" s="376">
        <v>3</v>
      </c>
      <c r="K21" s="376">
        <v>3</v>
      </c>
      <c r="L21" s="377">
        <v>2</v>
      </c>
      <c r="M21" s="396">
        <f t="shared" si="0"/>
        <v>0.67913051197703389</v>
      </c>
      <c r="N21" s="381"/>
    </row>
    <row r="22" spans="1:14" x14ac:dyDescent="0.2">
      <c r="A22" s="394" t="s">
        <v>187</v>
      </c>
      <c r="B22" s="382" t="s">
        <v>451</v>
      </c>
      <c r="C22" s="383" t="s">
        <v>135</v>
      </c>
      <c r="D22" s="384" t="s">
        <v>135</v>
      </c>
      <c r="E22" s="373">
        <v>1.9999999999999999E-6</v>
      </c>
      <c r="F22" s="374" t="str">
        <f>F16</f>
        <v>BKV GmbH. ‘Sonderbetrachtung Pelletverluste’, 2022.</v>
      </c>
      <c r="G22" s="375" t="s">
        <v>16</v>
      </c>
      <c r="H22" s="376">
        <v>2</v>
      </c>
      <c r="I22" s="376">
        <v>2</v>
      </c>
      <c r="J22" s="376">
        <v>2</v>
      </c>
      <c r="K22" s="376">
        <v>2</v>
      </c>
      <c r="L22" s="377">
        <v>2</v>
      </c>
      <c r="M22" s="378">
        <f t="shared" si="0"/>
        <v>0.40183591897512122</v>
      </c>
      <c r="N22" s="381"/>
    </row>
    <row r="23" spans="1:14" x14ac:dyDescent="0.2">
      <c r="A23" s="385" t="s">
        <v>192</v>
      </c>
      <c r="B23" s="386" t="s">
        <v>452</v>
      </c>
      <c r="C23" s="380" t="s">
        <v>135</v>
      </c>
      <c r="D23" s="387" t="s">
        <v>135</v>
      </c>
      <c r="E23" s="388">
        <v>2.204000000000002E-7</v>
      </c>
      <c r="F23" s="389" t="str">
        <f>F16</f>
        <v>BKV GmbH. ‘Sonderbetrachtung Pelletverluste’, 2022.</v>
      </c>
      <c r="G23" s="390" t="s">
        <v>16</v>
      </c>
      <c r="H23" s="391">
        <f>H4</f>
        <v>2</v>
      </c>
      <c r="I23" s="391">
        <f>I4</f>
        <v>2</v>
      </c>
      <c r="J23" s="391">
        <f>J4</f>
        <v>2</v>
      </c>
      <c r="K23" s="391">
        <f>K4</f>
        <v>2</v>
      </c>
      <c r="L23" s="392">
        <f>L4</f>
        <v>2</v>
      </c>
      <c r="M23" s="393">
        <f t="shared" si="0"/>
        <v>0.40183591897512122</v>
      </c>
      <c r="N23" s="381"/>
    </row>
    <row r="24" spans="1:14" x14ac:dyDescent="0.2">
      <c r="A24" s="394" t="s">
        <v>192</v>
      </c>
      <c r="B24" s="370" t="s">
        <v>452</v>
      </c>
      <c r="C24" s="380" t="s">
        <v>135</v>
      </c>
      <c r="D24" s="372" t="s">
        <v>135</v>
      </c>
      <c r="E24" s="373">
        <v>4.0000000000000001E-8</v>
      </c>
      <c r="F24" s="374" t="s">
        <v>448</v>
      </c>
      <c r="G24" s="375" t="s">
        <v>16</v>
      </c>
      <c r="H24" s="376">
        <v>2</v>
      </c>
      <c r="I24" s="376">
        <v>3</v>
      </c>
      <c r="J24" s="376">
        <v>3</v>
      </c>
      <c r="K24" s="376">
        <v>2</v>
      </c>
      <c r="L24" s="377">
        <v>2</v>
      </c>
      <c r="M24" s="378">
        <f t="shared" si="0"/>
        <v>0.60108474454521421</v>
      </c>
      <c r="N24" s="381"/>
    </row>
    <row r="25" spans="1:14" x14ac:dyDescent="0.2">
      <c r="A25" s="394" t="s">
        <v>192</v>
      </c>
      <c r="B25" s="370" t="s">
        <v>452</v>
      </c>
      <c r="C25" s="380" t="s">
        <v>135</v>
      </c>
      <c r="D25" s="372" t="s">
        <v>135</v>
      </c>
      <c r="E25" s="373">
        <v>3.9999999999999998E-7</v>
      </c>
      <c r="F25" s="374" t="s">
        <v>448</v>
      </c>
      <c r="G25" s="375" t="s">
        <v>16</v>
      </c>
      <c r="H25" s="376">
        <v>2</v>
      </c>
      <c r="I25" s="376">
        <v>3</v>
      </c>
      <c r="J25" s="376">
        <v>3</v>
      </c>
      <c r="K25" s="376">
        <v>2</v>
      </c>
      <c r="L25" s="377">
        <v>2</v>
      </c>
      <c r="M25" s="378">
        <f t="shared" si="0"/>
        <v>0.60108474454521421</v>
      </c>
      <c r="N25" s="381"/>
    </row>
    <row r="26" spans="1:14" x14ac:dyDescent="0.2">
      <c r="A26" s="394" t="s">
        <v>192</v>
      </c>
      <c r="B26" s="370" t="s">
        <v>450</v>
      </c>
      <c r="C26" s="380" t="s">
        <v>135</v>
      </c>
      <c r="D26" s="372" t="s">
        <v>135</v>
      </c>
      <c r="E26" s="373">
        <v>1.520000000000001E-8</v>
      </c>
      <c r="F26" s="374" t="str">
        <f>F22</f>
        <v>BKV GmbH. ‘Sonderbetrachtung Pelletverluste’, 2022.</v>
      </c>
      <c r="G26" s="375" t="s">
        <v>16</v>
      </c>
      <c r="H26" s="376">
        <v>2</v>
      </c>
      <c r="I26" s="376">
        <v>2</v>
      </c>
      <c r="J26" s="376">
        <v>2</v>
      </c>
      <c r="K26" s="376">
        <v>2</v>
      </c>
      <c r="L26" s="377">
        <v>2</v>
      </c>
      <c r="M26" s="378">
        <f t="shared" si="0"/>
        <v>0.40183591897512122</v>
      </c>
      <c r="N26" s="381"/>
    </row>
    <row r="27" spans="1:14" x14ac:dyDescent="0.2">
      <c r="A27" s="394" t="s">
        <v>192</v>
      </c>
      <c r="B27" s="382" t="s">
        <v>451</v>
      </c>
      <c r="C27" s="380" t="s">
        <v>135</v>
      </c>
      <c r="D27" s="372" t="s">
        <v>135</v>
      </c>
      <c r="E27" s="373">
        <v>9.9599999999999995E-6</v>
      </c>
      <c r="F27" s="374" t="s">
        <v>448</v>
      </c>
      <c r="G27" s="375" t="s">
        <v>16</v>
      </c>
      <c r="H27" s="376">
        <v>2</v>
      </c>
      <c r="I27" s="376">
        <v>3</v>
      </c>
      <c r="J27" s="376">
        <v>3</v>
      </c>
      <c r="K27" s="376">
        <v>3</v>
      </c>
      <c r="L27" s="377">
        <v>2</v>
      </c>
      <c r="M27" s="378">
        <f t="shared" si="0"/>
        <v>0.67913051197703389</v>
      </c>
      <c r="N27" s="381"/>
    </row>
    <row r="28" spans="1:14" x14ac:dyDescent="0.2">
      <c r="A28" s="394" t="s">
        <v>192</v>
      </c>
      <c r="B28" s="382" t="s">
        <v>451</v>
      </c>
      <c r="C28" s="380" t="s">
        <v>135</v>
      </c>
      <c r="D28" s="372" t="s">
        <v>135</v>
      </c>
      <c r="E28" s="373">
        <v>9.9599999999999995E-5</v>
      </c>
      <c r="F28" s="374" t="s">
        <v>448</v>
      </c>
      <c r="G28" s="375" t="s">
        <v>16</v>
      </c>
      <c r="H28" s="376">
        <v>2</v>
      </c>
      <c r="I28" s="376">
        <v>3</v>
      </c>
      <c r="J28" s="376">
        <v>3</v>
      </c>
      <c r="K28" s="376">
        <v>3</v>
      </c>
      <c r="L28" s="377">
        <v>2</v>
      </c>
      <c r="M28" s="378">
        <f t="shared" si="0"/>
        <v>0.67913051197703389</v>
      </c>
      <c r="N28" s="381"/>
    </row>
    <row r="29" spans="1:14" x14ac:dyDescent="0.2">
      <c r="A29" s="394" t="s">
        <v>192</v>
      </c>
      <c r="B29" s="397" t="s">
        <v>451</v>
      </c>
      <c r="C29" s="383" t="s">
        <v>135</v>
      </c>
      <c r="D29" s="372" t="s">
        <v>135</v>
      </c>
      <c r="E29" s="398">
        <v>4.5600000000000038E-8</v>
      </c>
      <c r="F29" s="399" t="str">
        <f>F23</f>
        <v>BKV GmbH. ‘Sonderbetrachtung Pelletverluste’, 2022.</v>
      </c>
      <c r="G29" s="375" t="s">
        <v>16</v>
      </c>
      <c r="H29" s="376">
        <f>H8</f>
        <v>2</v>
      </c>
      <c r="I29" s="376">
        <f>I8</f>
        <v>2</v>
      </c>
      <c r="J29" s="376">
        <f>J8</f>
        <v>2</v>
      </c>
      <c r="K29" s="376">
        <f>K8</f>
        <v>2</v>
      </c>
      <c r="L29" s="377">
        <f>L8</f>
        <v>2</v>
      </c>
      <c r="M29" s="378">
        <f t="shared" si="0"/>
        <v>0.40183591897512122</v>
      </c>
      <c r="N29" s="381"/>
    </row>
    <row r="30" spans="1:14" x14ac:dyDescent="0.2">
      <c r="A30" s="400" t="s">
        <v>136</v>
      </c>
      <c r="B30" s="386" t="s">
        <v>447</v>
      </c>
      <c r="C30" s="380" t="s">
        <v>135</v>
      </c>
      <c r="D30" s="387" t="s">
        <v>135</v>
      </c>
      <c r="E30" s="401">
        <v>1.5510000000000009E-6</v>
      </c>
      <c r="F30" s="374" t="s">
        <v>449</v>
      </c>
      <c r="G30" s="390" t="s">
        <v>16</v>
      </c>
      <c r="H30" s="391">
        <f>H4</f>
        <v>2</v>
      </c>
      <c r="I30" s="391">
        <f>I4</f>
        <v>2</v>
      </c>
      <c r="J30" s="391">
        <f>J4</f>
        <v>2</v>
      </c>
      <c r="K30" s="391">
        <f>K4</f>
        <v>2</v>
      </c>
      <c r="L30" s="392">
        <f>L4</f>
        <v>2</v>
      </c>
      <c r="M30" s="393">
        <f t="shared" si="0"/>
        <v>0.40183591897512122</v>
      </c>
      <c r="N30" s="381"/>
    </row>
    <row r="31" spans="1:14" x14ac:dyDescent="0.2">
      <c r="A31" s="402" t="s">
        <v>136</v>
      </c>
      <c r="B31" s="370" t="s">
        <v>447</v>
      </c>
      <c r="C31" s="380" t="s">
        <v>135</v>
      </c>
      <c r="D31" s="372" t="s">
        <v>135</v>
      </c>
      <c r="E31" s="401">
        <v>4.0000000000000001E-8</v>
      </c>
      <c r="F31" s="374" t="s">
        <v>448</v>
      </c>
      <c r="G31" s="375" t="s">
        <v>16</v>
      </c>
      <c r="H31" s="376">
        <v>2</v>
      </c>
      <c r="I31" s="376">
        <v>3</v>
      </c>
      <c r="J31" s="376">
        <v>3</v>
      </c>
      <c r="K31" s="376">
        <v>2</v>
      </c>
      <c r="L31" s="377">
        <v>2</v>
      </c>
      <c r="M31" s="378">
        <f t="shared" si="0"/>
        <v>0.60108474454521421</v>
      </c>
      <c r="N31" s="381"/>
    </row>
    <row r="32" spans="1:14" x14ac:dyDescent="0.2">
      <c r="A32" s="402" t="s">
        <v>136</v>
      </c>
      <c r="B32" s="370" t="s">
        <v>447</v>
      </c>
      <c r="C32" s="380" t="s">
        <v>135</v>
      </c>
      <c r="D32" s="372" t="s">
        <v>135</v>
      </c>
      <c r="E32" s="401">
        <v>3.9999999999999998E-7</v>
      </c>
      <c r="F32" s="374" t="s">
        <v>448</v>
      </c>
      <c r="G32" s="375" t="s">
        <v>16</v>
      </c>
      <c r="H32" s="376">
        <v>2</v>
      </c>
      <c r="I32" s="376">
        <v>3</v>
      </c>
      <c r="J32" s="376">
        <v>3</v>
      </c>
      <c r="K32" s="376">
        <v>2</v>
      </c>
      <c r="L32" s="377">
        <v>2</v>
      </c>
      <c r="M32" s="378">
        <f t="shared" si="0"/>
        <v>0.60108474454521421</v>
      </c>
      <c r="N32" s="381"/>
    </row>
    <row r="33" spans="1:14" x14ac:dyDescent="0.2">
      <c r="A33" s="402" t="s">
        <v>136</v>
      </c>
      <c r="B33" s="370" t="s">
        <v>450</v>
      </c>
      <c r="C33" s="380" t="s">
        <v>135</v>
      </c>
      <c r="D33" s="372" t="s">
        <v>135</v>
      </c>
      <c r="E33" s="376">
        <v>6.6000000000000062E-8</v>
      </c>
      <c r="F33" s="374" t="s">
        <v>449</v>
      </c>
      <c r="G33" s="375" t="s">
        <v>16</v>
      </c>
      <c r="H33" s="376">
        <v>2</v>
      </c>
      <c r="I33" s="376">
        <v>2</v>
      </c>
      <c r="J33" s="376">
        <v>2</v>
      </c>
      <c r="K33" s="376">
        <v>2</v>
      </c>
      <c r="L33" s="377">
        <v>2</v>
      </c>
      <c r="M33" s="378">
        <f t="shared" si="0"/>
        <v>0.40183591897512122</v>
      </c>
      <c r="N33" s="381"/>
    </row>
    <row r="34" spans="1:14" x14ac:dyDescent="0.2">
      <c r="A34" s="402" t="s">
        <v>136</v>
      </c>
      <c r="B34" s="382" t="s">
        <v>451</v>
      </c>
      <c r="C34" s="380" t="s">
        <v>135</v>
      </c>
      <c r="D34" s="372" t="s">
        <v>135</v>
      </c>
      <c r="E34" s="373">
        <v>9.9599999999999995E-6</v>
      </c>
      <c r="F34" s="374" t="s">
        <v>448</v>
      </c>
      <c r="G34" s="375" t="s">
        <v>16</v>
      </c>
      <c r="H34" s="376">
        <v>2</v>
      </c>
      <c r="I34" s="376">
        <v>3</v>
      </c>
      <c r="J34" s="376">
        <v>3</v>
      </c>
      <c r="K34" s="376">
        <v>3</v>
      </c>
      <c r="L34" s="377">
        <v>2</v>
      </c>
      <c r="M34" s="378">
        <f t="shared" si="0"/>
        <v>0.67913051197703389</v>
      </c>
      <c r="N34" s="381"/>
    </row>
    <row r="35" spans="1:14" x14ac:dyDescent="0.2">
      <c r="A35" s="402" t="s">
        <v>136</v>
      </c>
      <c r="B35" s="382" t="s">
        <v>451</v>
      </c>
      <c r="C35" s="380" t="s">
        <v>135</v>
      </c>
      <c r="D35" s="372" t="s">
        <v>135</v>
      </c>
      <c r="E35" s="373">
        <v>9.9599999999999995E-5</v>
      </c>
      <c r="F35" s="374" t="s">
        <v>448</v>
      </c>
      <c r="G35" s="375" t="s">
        <v>16</v>
      </c>
      <c r="H35" s="376">
        <v>2</v>
      </c>
      <c r="I35" s="376">
        <v>3</v>
      </c>
      <c r="J35" s="376">
        <v>3</v>
      </c>
      <c r="K35" s="376">
        <v>3</v>
      </c>
      <c r="L35" s="377">
        <v>2</v>
      </c>
      <c r="M35" s="378">
        <f t="shared" si="0"/>
        <v>0.67913051197703389</v>
      </c>
      <c r="N35" s="381"/>
    </row>
    <row r="36" spans="1:14" x14ac:dyDescent="0.2">
      <c r="A36" s="403" t="s">
        <v>136</v>
      </c>
      <c r="B36" s="397" t="s">
        <v>451</v>
      </c>
      <c r="C36" s="404" t="s">
        <v>135</v>
      </c>
      <c r="D36" s="384" t="s">
        <v>135</v>
      </c>
      <c r="E36" s="405">
        <v>1.9800000000000021E-7</v>
      </c>
      <c r="F36" s="399" t="s">
        <v>449</v>
      </c>
      <c r="G36" s="406" t="s">
        <v>16</v>
      </c>
      <c r="H36" s="398">
        <v>2</v>
      </c>
      <c r="I36" s="398">
        <v>1</v>
      </c>
      <c r="J36" s="398">
        <v>2</v>
      </c>
      <c r="K36" s="398">
        <v>2</v>
      </c>
      <c r="L36" s="407">
        <v>2</v>
      </c>
      <c r="M36" s="408">
        <f t="shared" si="0"/>
        <v>0.38795788889711302</v>
      </c>
      <c r="N36" s="467"/>
    </row>
    <row r="37" spans="1:14" x14ac:dyDescent="0.2">
      <c r="A37" s="402" t="s">
        <v>132</v>
      </c>
      <c r="B37" s="370" t="s">
        <v>452</v>
      </c>
      <c r="C37" s="380" t="s">
        <v>135</v>
      </c>
      <c r="D37" s="372" t="s">
        <v>135</v>
      </c>
      <c r="E37" s="373">
        <f>0.025/1000</f>
        <v>2.5000000000000001E-5</v>
      </c>
      <c r="F37" s="374" t="s">
        <v>453</v>
      </c>
      <c r="G37" s="375" t="s">
        <v>16</v>
      </c>
      <c r="H37" s="376">
        <v>2</v>
      </c>
      <c r="I37" s="376">
        <v>2</v>
      </c>
      <c r="J37" s="376">
        <v>3</v>
      </c>
      <c r="K37" s="376">
        <v>2</v>
      </c>
      <c r="L37" s="377">
        <v>1</v>
      </c>
      <c r="M37" s="378">
        <f t="shared" si="0"/>
        <v>0.40183591897512122</v>
      </c>
      <c r="N37" s="381"/>
    </row>
    <row r="38" spans="1:14" x14ac:dyDescent="0.2">
      <c r="A38" s="402" t="s">
        <v>132</v>
      </c>
      <c r="B38" s="370" t="s">
        <v>452</v>
      </c>
      <c r="C38" s="380" t="s">
        <v>135</v>
      </c>
      <c r="D38" s="372" t="s">
        <v>135</v>
      </c>
      <c r="E38" s="376">
        <f>0.008/100</f>
        <v>8.0000000000000007E-5</v>
      </c>
      <c r="F38" s="374" t="s">
        <v>454</v>
      </c>
      <c r="G38" s="375" t="s">
        <v>16</v>
      </c>
      <c r="H38" s="376">
        <v>2</v>
      </c>
      <c r="I38" s="376">
        <v>3</v>
      </c>
      <c r="J38" s="376">
        <v>3</v>
      </c>
      <c r="K38" s="376">
        <v>2</v>
      </c>
      <c r="L38" s="377">
        <v>1</v>
      </c>
      <c r="M38" s="378">
        <f t="shared" si="0"/>
        <v>0.51126068492676302</v>
      </c>
      <c r="N38" s="381"/>
    </row>
    <row r="39" spans="1:14" x14ac:dyDescent="0.2">
      <c r="A39" s="402" t="s">
        <v>132</v>
      </c>
      <c r="B39" s="370" t="s">
        <v>452</v>
      </c>
      <c r="C39" s="380" t="s">
        <v>135</v>
      </c>
      <c r="D39" s="372" t="s">
        <v>135</v>
      </c>
      <c r="E39" s="376">
        <f>0.021/100</f>
        <v>2.1000000000000001E-4</v>
      </c>
      <c r="F39" s="374" t="s">
        <v>454</v>
      </c>
      <c r="G39" s="375" t="s">
        <v>16</v>
      </c>
      <c r="H39" s="376">
        <v>2</v>
      </c>
      <c r="I39" s="376">
        <v>3</v>
      </c>
      <c r="J39" s="376">
        <v>3</v>
      </c>
      <c r="K39" s="376">
        <v>2</v>
      </c>
      <c r="L39" s="377">
        <v>1</v>
      </c>
      <c r="M39" s="378">
        <f t="shared" si="0"/>
        <v>0.51126068492676302</v>
      </c>
      <c r="N39" s="467"/>
    </row>
    <row r="40" spans="1:14" x14ac:dyDescent="0.2">
      <c r="A40" s="410" t="s">
        <v>189</v>
      </c>
      <c r="B40" s="386" t="s">
        <v>447</v>
      </c>
      <c r="C40" s="411" t="s">
        <v>135</v>
      </c>
      <c r="D40" s="387" t="s">
        <v>135</v>
      </c>
      <c r="E40" s="388">
        <v>4.0000000000000001E-8</v>
      </c>
      <c r="F40" s="412" t="s">
        <v>448</v>
      </c>
      <c r="G40" s="390" t="s">
        <v>16</v>
      </c>
      <c r="H40" s="391">
        <v>2</v>
      </c>
      <c r="I40" s="391">
        <v>3</v>
      </c>
      <c r="J40" s="391">
        <v>3</v>
      </c>
      <c r="K40" s="391">
        <v>2</v>
      </c>
      <c r="L40" s="392">
        <v>2</v>
      </c>
      <c r="M40" s="393">
        <v>0.51126068492676302</v>
      </c>
      <c r="N40" s="379"/>
    </row>
    <row r="41" spans="1:14" x14ac:dyDescent="0.2">
      <c r="A41" s="413" t="s">
        <v>189</v>
      </c>
      <c r="B41" s="370" t="s">
        <v>447</v>
      </c>
      <c r="C41" s="371" t="s">
        <v>135</v>
      </c>
      <c r="D41" s="372" t="s">
        <v>135</v>
      </c>
      <c r="E41" s="373">
        <v>3.9999999999999998E-7</v>
      </c>
      <c r="F41" s="414" t="s">
        <v>448</v>
      </c>
      <c r="G41" s="375" t="s">
        <v>16</v>
      </c>
      <c r="H41" s="376">
        <v>2</v>
      </c>
      <c r="I41" s="376">
        <v>3</v>
      </c>
      <c r="J41" s="376">
        <v>3</v>
      </c>
      <c r="K41" s="376">
        <v>2</v>
      </c>
      <c r="L41" s="377">
        <v>2</v>
      </c>
      <c r="M41" s="378">
        <v>0.51126068492676302</v>
      </c>
      <c r="N41" s="379"/>
    </row>
    <row r="42" spans="1:14" x14ac:dyDescent="0.2">
      <c r="A42" s="413" t="s">
        <v>189</v>
      </c>
      <c r="B42" s="415" t="s">
        <v>451</v>
      </c>
      <c r="C42" s="371" t="s">
        <v>135</v>
      </c>
      <c r="D42" s="372" t="s">
        <v>135</v>
      </c>
      <c r="E42" s="373">
        <v>9.9599999999999995E-6</v>
      </c>
      <c r="F42" s="414" t="s">
        <v>448</v>
      </c>
      <c r="G42" s="375" t="s">
        <v>16</v>
      </c>
      <c r="H42" s="376">
        <v>2</v>
      </c>
      <c r="I42" s="376">
        <v>3</v>
      </c>
      <c r="J42" s="376">
        <v>3</v>
      </c>
      <c r="K42" s="376">
        <v>3</v>
      </c>
      <c r="L42" s="377">
        <v>2</v>
      </c>
      <c r="M42" s="378">
        <v>0.60108474454521421</v>
      </c>
      <c r="N42" s="416"/>
    </row>
    <row r="43" spans="1:14" x14ac:dyDescent="0.2">
      <c r="A43" s="413" t="s">
        <v>189</v>
      </c>
      <c r="B43" s="415" t="s">
        <v>451</v>
      </c>
      <c r="C43" s="417" t="s">
        <v>135</v>
      </c>
      <c r="D43" s="384" t="s">
        <v>135</v>
      </c>
      <c r="E43" s="373">
        <v>9.9599999999999995E-5</v>
      </c>
      <c r="F43" s="414" t="s">
        <v>448</v>
      </c>
      <c r="G43" s="375" t="s">
        <v>16</v>
      </c>
      <c r="H43" s="376">
        <v>2</v>
      </c>
      <c r="I43" s="376">
        <v>3</v>
      </c>
      <c r="J43" s="376">
        <v>3</v>
      </c>
      <c r="K43" s="376">
        <v>3</v>
      </c>
      <c r="L43" s="377">
        <v>2</v>
      </c>
      <c r="M43" s="378">
        <v>0.60108474454521421</v>
      </c>
      <c r="N43" s="379"/>
    </row>
    <row r="44" spans="1:14" x14ac:dyDescent="0.2">
      <c r="A44" s="410" t="s">
        <v>196</v>
      </c>
      <c r="B44" s="386" t="s">
        <v>452</v>
      </c>
      <c r="C44" s="380" t="s">
        <v>135</v>
      </c>
      <c r="D44" s="387" t="s">
        <v>135</v>
      </c>
      <c r="E44" s="391">
        <f t="shared" ref="E44:E49" si="1">0.01/100</f>
        <v>1E-4</v>
      </c>
      <c r="F44" s="389" t="s">
        <v>455</v>
      </c>
      <c r="G44" s="390" t="s">
        <v>16</v>
      </c>
      <c r="H44" s="391">
        <v>1</v>
      </c>
      <c r="I44" s="391">
        <v>1</v>
      </c>
      <c r="J44" s="391">
        <v>1</v>
      </c>
      <c r="K44" s="391">
        <v>1</v>
      </c>
      <c r="L44" s="392">
        <v>3</v>
      </c>
      <c r="M44" s="393">
        <f t="shared" ref="M44:M65" si="2">IF( OR( ISBLANK(H44),ISBLANK(I44), ISBLANK(J44), ISBLANK(K44), ISBLANK(L44) ), "", 1.5*SQRT( EXP(2.21*(H44-1)) + EXP(2.21*(I44-1)) + EXP(2.21*(J44-1)) + EXP(2.21*(K44-1)) + EXP(2.21*L44) )/100*2.45 )</f>
        <v>1.0141150152164344</v>
      </c>
      <c r="N44" s="381"/>
    </row>
    <row r="45" spans="1:14" x14ac:dyDescent="0.2">
      <c r="A45" s="418" t="s">
        <v>196</v>
      </c>
      <c r="B45" s="397" t="s">
        <v>451</v>
      </c>
      <c r="C45" s="383" t="s">
        <v>135</v>
      </c>
      <c r="D45" s="384" t="s">
        <v>135</v>
      </c>
      <c r="E45" s="398">
        <f t="shared" si="1"/>
        <v>1E-4</v>
      </c>
      <c r="F45" s="399" t="s">
        <v>455</v>
      </c>
      <c r="G45" s="406" t="s">
        <v>16</v>
      </c>
      <c r="H45" s="398">
        <v>1</v>
      </c>
      <c r="I45" s="398">
        <v>1</v>
      </c>
      <c r="J45" s="398">
        <v>1</v>
      </c>
      <c r="K45" s="398">
        <v>1</v>
      </c>
      <c r="L45" s="407">
        <v>3</v>
      </c>
      <c r="M45" s="408">
        <f t="shared" si="2"/>
        <v>1.0141150152164344</v>
      </c>
      <c r="N45" s="381"/>
    </row>
    <row r="46" spans="1:14" x14ac:dyDescent="0.2">
      <c r="A46" s="410" t="s">
        <v>385</v>
      </c>
      <c r="B46" s="419" t="s">
        <v>456</v>
      </c>
      <c r="C46" s="380" t="s">
        <v>135</v>
      </c>
      <c r="D46" s="391" t="s">
        <v>135</v>
      </c>
      <c r="E46" s="391">
        <f t="shared" si="1"/>
        <v>1E-4</v>
      </c>
      <c r="F46" s="389" t="s">
        <v>455</v>
      </c>
      <c r="G46" s="390" t="s">
        <v>16</v>
      </c>
      <c r="H46" s="391">
        <v>1</v>
      </c>
      <c r="I46" s="391">
        <v>1</v>
      </c>
      <c r="J46" s="391">
        <v>1</v>
      </c>
      <c r="K46" s="391">
        <v>1</v>
      </c>
      <c r="L46" s="392">
        <v>3</v>
      </c>
      <c r="M46" s="393">
        <f t="shared" si="2"/>
        <v>1.0141150152164344</v>
      </c>
      <c r="N46" s="381"/>
    </row>
    <row r="47" spans="1:14" x14ac:dyDescent="0.2">
      <c r="A47" s="413" t="s">
        <v>387</v>
      </c>
      <c r="B47" s="382" t="s">
        <v>456</v>
      </c>
      <c r="C47" s="380" t="s">
        <v>135</v>
      </c>
      <c r="D47" s="376" t="s">
        <v>135</v>
      </c>
      <c r="E47" s="376">
        <f t="shared" si="1"/>
        <v>1E-4</v>
      </c>
      <c r="F47" s="374" t="s">
        <v>455</v>
      </c>
      <c r="G47" s="375" t="s">
        <v>16</v>
      </c>
      <c r="H47" s="376">
        <v>1</v>
      </c>
      <c r="I47" s="376">
        <v>1</v>
      </c>
      <c r="J47" s="376">
        <v>1</v>
      </c>
      <c r="K47" s="376">
        <v>1</v>
      </c>
      <c r="L47" s="377">
        <v>3</v>
      </c>
      <c r="M47" s="378">
        <f t="shared" si="2"/>
        <v>1.0141150152164344</v>
      </c>
      <c r="N47" s="381"/>
    </row>
    <row r="48" spans="1:14" x14ac:dyDescent="0.2">
      <c r="A48" s="413" t="s">
        <v>383</v>
      </c>
      <c r="B48" s="382" t="s">
        <v>456</v>
      </c>
      <c r="C48" s="380" t="s">
        <v>135</v>
      </c>
      <c r="D48" s="376" t="s">
        <v>135</v>
      </c>
      <c r="E48" s="376">
        <f t="shared" si="1"/>
        <v>1E-4</v>
      </c>
      <c r="F48" s="374" t="s">
        <v>455</v>
      </c>
      <c r="G48" s="375" t="s">
        <v>16</v>
      </c>
      <c r="H48" s="376">
        <v>1</v>
      </c>
      <c r="I48" s="376">
        <v>1</v>
      </c>
      <c r="J48" s="376">
        <v>1</v>
      </c>
      <c r="K48" s="376">
        <v>1</v>
      </c>
      <c r="L48" s="377">
        <v>3</v>
      </c>
      <c r="M48" s="378">
        <f t="shared" si="2"/>
        <v>1.0141150152164344</v>
      </c>
      <c r="N48" s="381"/>
    </row>
    <row r="49" spans="1:14" x14ac:dyDescent="0.2">
      <c r="A49" s="418" t="s">
        <v>393</v>
      </c>
      <c r="B49" s="397" t="s">
        <v>456</v>
      </c>
      <c r="C49" s="383" t="s">
        <v>135</v>
      </c>
      <c r="D49" s="398" t="s">
        <v>135</v>
      </c>
      <c r="E49" s="398">
        <f t="shared" si="1"/>
        <v>1E-4</v>
      </c>
      <c r="F49" s="399" t="s">
        <v>455</v>
      </c>
      <c r="G49" s="406" t="s">
        <v>16</v>
      </c>
      <c r="H49" s="398">
        <v>1</v>
      </c>
      <c r="I49" s="398">
        <v>1</v>
      </c>
      <c r="J49" s="398">
        <v>1</v>
      </c>
      <c r="K49" s="398">
        <v>1</v>
      </c>
      <c r="L49" s="407">
        <v>3</v>
      </c>
      <c r="M49" s="408">
        <f t="shared" si="2"/>
        <v>1.0141150152164344</v>
      </c>
      <c r="N49" s="409"/>
    </row>
    <row r="50" spans="1:14" hidden="1" x14ac:dyDescent="0.2">
      <c r="A50" s="420" t="s">
        <v>388</v>
      </c>
      <c r="B50" s="421" t="s">
        <v>457</v>
      </c>
      <c r="C50" s="422" t="s">
        <v>13</v>
      </c>
      <c r="D50" s="252" t="s">
        <v>135</v>
      </c>
      <c r="E50" s="423">
        <v>1.142330116275239E-3</v>
      </c>
      <c r="F50" s="250" t="s">
        <v>133</v>
      </c>
      <c r="G50" s="251" t="s">
        <v>16</v>
      </c>
      <c r="H50" s="252">
        <v>1</v>
      </c>
      <c r="I50" s="252">
        <v>2</v>
      </c>
      <c r="J50" s="252">
        <v>3</v>
      </c>
      <c r="K50" s="252">
        <v>3</v>
      </c>
      <c r="L50" s="253">
        <v>3</v>
      </c>
      <c r="M50" s="254">
        <f t="shared" si="2"/>
        <v>1.123005955058592</v>
      </c>
      <c r="N50" s="255"/>
    </row>
    <row r="51" spans="1:14" hidden="1" x14ac:dyDescent="0.2">
      <c r="A51" s="420" t="s">
        <v>388</v>
      </c>
      <c r="B51" s="421" t="s">
        <v>457</v>
      </c>
      <c r="C51" s="422" t="s">
        <v>13</v>
      </c>
      <c r="D51" s="252" t="s">
        <v>135</v>
      </c>
      <c r="E51" s="423">
        <v>1.454567014723805E-2</v>
      </c>
      <c r="F51" s="250" t="s">
        <v>133</v>
      </c>
      <c r="G51" s="251"/>
      <c r="H51" s="252">
        <v>1</v>
      </c>
      <c r="I51" s="252">
        <v>2</v>
      </c>
      <c r="J51" s="252">
        <v>3</v>
      </c>
      <c r="K51" s="252">
        <v>3</v>
      </c>
      <c r="L51" s="253">
        <v>3</v>
      </c>
      <c r="M51" s="254">
        <f t="shared" si="2"/>
        <v>1.123005955058592</v>
      </c>
      <c r="N51" s="255"/>
    </row>
    <row r="52" spans="1:14" hidden="1" x14ac:dyDescent="0.2">
      <c r="A52" s="420" t="s">
        <v>388</v>
      </c>
      <c r="B52" s="421" t="s">
        <v>457</v>
      </c>
      <c r="C52" s="422" t="s">
        <v>18</v>
      </c>
      <c r="D52" s="252" t="s">
        <v>135</v>
      </c>
      <c r="E52" s="423">
        <v>2.8968345465924441E-3</v>
      </c>
      <c r="F52" s="250" t="s">
        <v>133</v>
      </c>
      <c r="G52" s="251"/>
      <c r="H52" s="252">
        <v>1</v>
      </c>
      <c r="I52" s="252">
        <v>2</v>
      </c>
      <c r="J52" s="252">
        <v>3</v>
      </c>
      <c r="K52" s="252">
        <v>3</v>
      </c>
      <c r="L52" s="253">
        <v>3</v>
      </c>
      <c r="M52" s="254">
        <f t="shared" si="2"/>
        <v>1.123005955058592</v>
      </c>
      <c r="N52" s="255"/>
    </row>
    <row r="53" spans="1:14" hidden="1" x14ac:dyDescent="0.2">
      <c r="A53" s="420" t="s">
        <v>388</v>
      </c>
      <c r="B53" s="421" t="s">
        <v>457</v>
      </c>
      <c r="C53" s="422" t="s">
        <v>18</v>
      </c>
      <c r="D53" s="252" t="s">
        <v>135</v>
      </c>
      <c r="E53" s="423">
        <v>3.6886359893277133E-2</v>
      </c>
      <c r="F53" s="250" t="s">
        <v>133</v>
      </c>
      <c r="G53" s="251"/>
      <c r="H53" s="252">
        <v>1</v>
      </c>
      <c r="I53" s="252">
        <v>2</v>
      </c>
      <c r="J53" s="252">
        <v>3</v>
      </c>
      <c r="K53" s="252">
        <v>3</v>
      </c>
      <c r="L53" s="253">
        <v>3</v>
      </c>
      <c r="M53" s="254">
        <f t="shared" si="2"/>
        <v>1.123005955058592</v>
      </c>
      <c r="N53" s="255"/>
    </row>
    <row r="54" spans="1:14" hidden="1" x14ac:dyDescent="0.2">
      <c r="A54" s="420" t="s">
        <v>388</v>
      </c>
      <c r="B54" s="421" t="s">
        <v>457</v>
      </c>
      <c r="C54" s="422" t="s">
        <v>20</v>
      </c>
      <c r="D54" s="252" t="s">
        <v>135</v>
      </c>
      <c r="E54" s="423">
        <v>3.52435850983234E-3</v>
      </c>
      <c r="F54" s="250" t="s">
        <v>133</v>
      </c>
      <c r="G54" s="251"/>
      <c r="H54" s="252">
        <v>1</v>
      </c>
      <c r="I54" s="252">
        <v>2</v>
      </c>
      <c r="J54" s="252">
        <v>3</v>
      </c>
      <c r="K54" s="252">
        <v>3</v>
      </c>
      <c r="L54" s="253">
        <v>3</v>
      </c>
      <c r="M54" s="254">
        <f t="shared" si="2"/>
        <v>1.123005955058592</v>
      </c>
      <c r="N54" s="255"/>
    </row>
    <row r="55" spans="1:14" hidden="1" x14ac:dyDescent="0.2">
      <c r="A55" s="420" t="s">
        <v>388</v>
      </c>
      <c r="B55" s="421" t="s">
        <v>457</v>
      </c>
      <c r="C55" s="422" t="s">
        <v>20</v>
      </c>
      <c r="D55" s="252" t="s">
        <v>135</v>
      </c>
      <c r="E55" s="423">
        <v>4.4876831691865127E-2</v>
      </c>
      <c r="F55" s="250" t="s">
        <v>133</v>
      </c>
      <c r="G55" s="251"/>
      <c r="H55" s="252">
        <v>1</v>
      </c>
      <c r="I55" s="252">
        <v>2</v>
      </c>
      <c r="J55" s="252">
        <v>3</v>
      </c>
      <c r="K55" s="252">
        <v>3</v>
      </c>
      <c r="L55" s="253">
        <v>3</v>
      </c>
      <c r="M55" s="254">
        <f t="shared" si="2"/>
        <v>1.123005955058592</v>
      </c>
      <c r="N55" s="255"/>
    </row>
    <row r="56" spans="1:14" hidden="1" x14ac:dyDescent="0.2">
      <c r="A56" s="420" t="s">
        <v>388</v>
      </c>
      <c r="B56" s="421" t="s">
        <v>457</v>
      </c>
      <c r="C56" s="422" t="s">
        <v>22</v>
      </c>
      <c r="D56" s="252" t="s">
        <v>135</v>
      </c>
      <c r="E56" s="423">
        <v>2.3530089923910541E-3</v>
      </c>
      <c r="F56" s="250" t="s">
        <v>133</v>
      </c>
      <c r="G56" s="251"/>
      <c r="H56" s="252">
        <v>1</v>
      </c>
      <c r="I56" s="252">
        <v>2</v>
      </c>
      <c r="J56" s="252">
        <v>3</v>
      </c>
      <c r="K56" s="252">
        <v>3</v>
      </c>
      <c r="L56" s="253">
        <v>3</v>
      </c>
      <c r="M56" s="254">
        <f t="shared" si="2"/>
        <v>1.123005955058592</v>
      </c>
      <c r="N56" s="255"/>
    </row>
    <row r="57" spans="1:14" hidden="1" x14ac:dyDescent="0.2">
      <c r="A57" s="420" t="s">
        <v>388</v>
      </c>
      <c r="B57" s="421" t="s">
        <v>457</v>
      </c>
      <c r="C57" s="422" t="s">
        <v>22</v>
      </c>
      <c r="D57" s="252" t="s">
        <v>135</v>
      </c>
      <c r="E57" s="423">
        <v>2.9961647836446101E-2</v>
      </c>
      <c r="F57" s="250" t="s">
        <v>133</v>
      </c>
      <c r="G57" s="251"/>
      <c r="H57" s="252">
        <v>1</v>
      </c>
      <c r="I57" s="252">
        <v>2</v>
      </c>
      <c r="J57" s="252">
        <v>3</v>
      </c>
      <c r="K57" s="252">
        <v>3</v>
      </c>
      <c r="L57" s="253">
        <v>3</v>
      </c>
      <c r="M57" s="254">
        <f t="shared" si="2"/>
        <v>1.123005955058592</v>
      </c>
      <c r="N57" s="255"/>
    </row>
    <row r="58" spans="1:14" hidden="1" x14ac:dyDescent="0.2">
      <c r="A58" s="420" t="s">
        <v>388</v>
      </c>
      <c r="B58" s="421" t="s">
        <v>457</v>
      </c>
      <c r="C58" s="422" t="s">
        <v>23</v>
      </c>
      <c r="D58" s="252" t="s">
        <v>135</v>
      </c>
      <c r="E58" s="423">
        <v>2.366876379327382E-3</v>
      </c>
      <c r="F58" s="250" t="s">
        <v>133</v>
      </c>
      <c r="G58" s="251"/>
      <c r="H58" s="252">
        <v>1</v>
      </c>
      <c r="I58" s="252">
        <v>2</v>
      </c>
      <c r="J58" s="252">
        <v>3</v>
      </c>
      <c r="K58" s="252">
        <v>3</v>
      </c>
      <c r="L58" s="253">
        <v>3</v>
      </c>
      <c r="M58" s="254">
        <f t="shared" si="2"/>
        <v>1.123005955058592</v>
      </c>
      <c r="N58" s="255"/>
    </row>
    <row r="59" spans="1:14" hidden="1" x14ac:dyDescent="0.2">
      <c r="A59" s="420" t="s">
        <v>388</v>
      </c>
      <c r="B59" s="421" t="s">
        <v>457</v>
      </c>
      <c r="C59" s="422" t="s">
        <v>23</v>
      </c>
      <c r="D59" s="252" t="s">
        <v>135</v>
      </c>
      <c r="E59" s="423">
        <v>3.0138225896768671E-2</v>
      </c>
      <c r="F59" s="250" t="s">
        <v>133</v>
      </c>
      <c r="G59" s="251"/>
      <c r="H59" s="252">
        <v>1</v>
      </c>
      <c r="I59" s="252">
        <v>2</v>
      </c>
      <c r="J59" s="252">
        <v>3</v>
      </c>
      <c r="K59" s="252">
        <v>3</v>
      </c>
      <c r="L59" s="253">
        <v>3</v>
      </c>
      <c r="M59" s="254">
        <f t="shared" si="2"/>
        <v>1.123005955058592</v>
      </c>
      <c r="N59" s="255"/>
    </row>
    <row r="60" spans="1:14" hidden="1" x14ac:dyDescent="0.2">
      <c r="A60" s="420" t="s">
        <v>388</v>
      </c>
      <c r="B60" s="421" t="s">
        <v>457</v>
      </c>
      <c r="C60" s="422" t="s">
        <v>24</v>
      </c>
      <c r="D60" s="252" t="s">
        <v>135</v>
      </c>
      <c r="E60" s="423">
        <v>2.5022563325537732E-3</v>
      </c>
      <c r="F60" s="250" t="s">
        <v>133</v>
      </c>
      <c r="G60" s="251"/>
      <c r="H60" s="252">
        <v>1</v>
      </c>
      <c r="I60" s="252">
        <v>2</v>
      </c>
      <c r="J60" s="252">
        <v>3</v>
      </c>
      <c r="K60" s="252">
        <v>3</v>
      </c>
      <c r="L60" s="253">
        <v>3</v>
      </c>
      <c r="M60" s="254">
        <f t="shared" si="2"/>
        <v>1.123005955058592</v>
      </c>
      <c r="N60" s="255"/>
    </row>
    <row r="61" spans="1:14" hidden="1" x14ac:dyDescent="0.2">
      <c r="A61" s="420" t="s">
        <v>388</v>
      </c>
      <c r="B61" s="421" t="s">
        <v>457</v>
      </c>
      <c r="C61" s="422" t="s">
        <v>24</v>
      </c>
      <c r="D61" s="252" t="s">
        <v>135</v>
      </c>
      <c r="E61" s="423">
        <v>3.1862063967851378E-2</v>
      </c>
      <c r="F61" s="250" t="s">
        <v>133</v>
      </c>
      <c r="G61" s="251"/>
      <c r="H61" s="252">
        <v>1</v>
      </c>
      <c r="I61" s="252">
        <v>2</v>
      </c>
      <c r="J61" s="252">
        <v>3</v>
      </c>
      <c r="K61" s="252">
        <v>3</v>
      </c>
      <c r="L61" s="253">
        <v>3</v>
      </c>
      <c r="M61" s="254">
        <f t="shared" si="2"/>
        <v>1.123005955058592</v>
      </c>
      <c r="N61" s="255"/>
    </row>
    <row r="62" spans="1:14" hidden="1" x14ac:dyDescent="0.2">
      <c r="A62" s="420" t="s">
        <v>388</v>
      </c>
      <c r="B62" s="421" t="s">
        <v>457</v>
      </c>
      <c r="C62" s="422" t="s">
        <v>25</v>
      </c>
      <c r="D62" s="252" t="s">
        <v>135</v>
      </c>
      <c r="E62" s="423">
        <v>1.510655818702856E-3</v>
      </c>
      <c r="F62" s="250" t="s">
        <v>133</v>
      </c>
      <c r="G62" s="251"/>
      <c r="H62" s="252">
        <v>1</v>
      </c>
      <c r="I62" s="252">
        <v>2</v>
      </c>
      <c r="J62" s="252">
        <v>3</v>
      </c>
      <c r="K62" s="252">
        <v>3</v>
      </c>
      <c r="L62" s="253">
        <v>3</v>
      </c>
      <c r="M62" s="254">
        <f t="shared" si="2"/>
        <v>1.123005955058592</v>
      </c>
      <c r="N62" s="255"/>
    </row>
    <row r="63" spans="1:14" hidden="1" x14ac:dyDescent="0.2">
      <c r="A63" s="420" t="s">
        <v>388</v>
      </c>
      <c r="B63" s="421" t="s">
        <v>457</v>
      </c>
      <c r="C63" s="422" t="s">
        <v>25</v>
      </c>
      <c r="D63" s="252" t="s">
        <v>135</v>
      </c>
      <c r="E63" s="423">
        <v>1.9235684091483029E-2</v>
      </c>
      <c r="F63" s="250" t="s">
        <v>133</v>
      </c>
      <c r="G63" s="251"/>
      <c r="H63" s="252">
        <v>1</v>
      </c>
      <c r="I63" s="252">
        <v>2</v>
      </c>
      <c r="J63" s="252">
        <v>3</v>
      </c>
      <c r="K63" s="252">
        <v>3</v>
      </c>
      <c r="L63" s="253">
        <v>3</v>
      </c>
      <c r="M63" s="254">
        <f t="shared" si="2"/>
        <v>1.123005955058592</v>
      </c>
      <c r="N63" s="255"/>
    </row>
    <row r="64" spans="1:14" hidden="1" x14ac:dyDescent="0.2">
      <c r="A64" s="420" t="s">
        <v>388</v>
      </c>
      <c r="B64" s="421" t="s">
        <v>457</v>
      </c>
      <c r="C64" s="422" t="s">
        <v>26</v>
      </c>
      <c r="D64" s="252" t="s">
        <v>135</v>
      </c>
      <c r="E64" s="423">
        <v>1.262887446885602E-3</v>
      </c>
      <c r="F64" s="250" t="s">
        <v>133</v>
      </c>
      <c r="G64" s="251"/>
      <c r="H64" s="252">
        <v>1</v>
      </c>
      <c r="I64" s="252">
        <v>2</v>
      </c>
      <c r="J64" s="252">
        <v>3</v>
      </c>
      <c r="K64" s="252">
        <v>3</v>
      </c>
      <c r="L64" s="253">
        <v>3</v>
      </c>
      <c r="M64" s="254">
        <f t="shared" si="2"/>
        <v>1.123005955058592</v>
      </c>
      <c r="N64" s="255"/>
    </row>
    <row r="65" spans="1:14" hidden="1" x14ac:dyDescent="0.2">
      <c r="A65" s="420" t="s">
        <v>388</v>
      </c>
      <c r="B65" s="421" t="s">
        <v>457</v>
      </c>
      <c r="C65" s="422" t="s">
        <v>26</v>
      </c>
      <c r="D65" s="252" t="s">
        <v>135</v>
      </c>
      <c r="E65" s="423">
        <v>1.6080766823676668E-2</v>
      </c>
      <c r="F65" s="250" t="s">
        <v>133</v>
      </c>
      <c r="G65" s="251"/>
      <c r="H65" s="252">
        <v>1</v>
      </c>
      <c r="I65" s="252">
        <v>2</v>
      </c>
      <c r="J65" s="252">
        <v>3</v>
      </c>
      <c r="K65" s="252">
        <v>3</v>
      </c>
      <c r="L65" s="253">
        <v>3</v>
      </c>
      <c r="M65" s="254">
        <f t="shared" si="2"/>
        <v>1.123005955058592</v>
      </c>
      <c r="N65" s="255"/>
    </row>
    <row r="66" spans="1:14" hidden="1" x14ac:dyDescent="0.2">
      <c r="A66" s="420" t="s">
        <v>388</v>
      </c>
      <c r="B66" s="421" t="s">
        <v>457</v>
      </c>
      <c r="C66" s="422" t="s">
        <v>27</v>
      </c>
      <c r="D66" s="252" t="s">
        <v>135</v>
      </c>
      <c r="E66" s="423">
        <v>1.1675121051418029E-3</v>
      </c>
      <c r="F66" s="250" t="s">
        <v>133</v>
      </c>
      <c r="G66" s="251"/>
      <c r="H66" s="252">
        <v>1</v>
      </c>
      <c r="I66" s="252">
        <v>2</v>
      </c>
      <c r="J66" s="252">
        <v>3</v>
      </c>
      <c r="K66" s="252">
        <v>3</v>
      </c>
      <c r="L66" s="253">
        <v>3</v>
      </c>
      <c r="M66" s="254">
        <f>IF( OR( ISBLANK(H66),ISBLANK(I66), ISBLANK(J66), ISBLANK(K66), ISBLANK(L66) ), "", 1.5*SQRT(   EXP(2.21*(H66-1)) + EXP(2.21*(I66-1)) + EXP(2.21*(J66-1)) + EXP(2.21*(K66-1)) + EXP(2.21*L66)   )/100*2.45 )</f>
        <v>1.123005955058592</v>
      </c>
      <c r="N66" s="255"/>
    </row>
    <row r="67" spans="1:14" hidden="1" x14ac:dyDescent="0.2">
      <c r="A67" s="420" t="s">
        <v>388</v>
      </c>
      <c r="B67" s="421" t="s">
        <v>457</v>
      </c>
      <c r="C67" s="422" t="s">
        <v>27</v>
      </c>
      <c r="D67" s="252" t="s">
        <v>135</v>
      </c>
      <c r="E67" s="423">
        <v>1.4866320805472301E-2</v>
      </c>
      <c r="F67" s="250" t="s">
        <v>133</v>
      </c>
      <c r="G67" s="251"/>
      <c r="H67" s="252">
        <v>1</v>
      </c>
      <c r="I67" s="252">
        <v>2</v>
      </c>
      <c r="J67" s="252">
        <v>3</v>
      </c>
      <c r="K67" s="252">
        <v>3</v>
      </c>
      <c r="L67" s="253">
        <v>3</v>
      </c>
      <c r="M67" s="254">
        <f t="shared" ref="M67:M98" si="3">IF( OR( ISBLANK(H67),ISBLANK(I67), ISBLANK(J67), ISBLANK(K67), ISBLANK(L67) ), "", 1.5*SQRT( EXP(2.21*(H67-1)) + EXP(2.21*(I67-1)) + EXP(2.21*(J67-1)) + EXP(2.21*(K67-1)) + EXP(2.21*L67) )/100*2.45 )</f>
        <v>1.123005955058592</v>
      </c>
      <c r="N67" s="255"/>
    </row>
    <row r="68" spans="1:14" hidden="1" x14ac:dyDescent="0.2">
      <c r="A68" s="420" t="s">
        <v>388</v>
      </c>
      <c r="B68" s="421" t="s">
        <v>457</v>
      </c>
      <c r="C68" s="422" t="s">
        <v>28</v>
      </c>
      <c r="D68" s="252" t="s">
        <v>135</v>
      </c>
      <c r="E68" s="423">
        <v>2.4974472149939058E-3</v>
      </c>
      <c r="F68" s="250" t="s">
        <v>133</v>
      </c>
      <c r="G68" s="251"/>
      <c r="H68" s="252">
        <v>1</v>
      </c>
      <c r="I68" s="252">
        <v>2</v>
      </c>
      <c r="J68" s="252">
        <v>3</v>
      </c>
      <c r="K68" s="252">
        <v>3</v>
      </c>
      <c r="L68" s="253">
        <v>3</v>
      </c>
      <c r="M68" s="254">
        <f t="shared" si="3"/>
        <v>1.123005955058592</v>
      </c>
      <c r="N68" s="255"/>
    </row>
    <row r="69" spans="1:14" hidden="1" x14ac:dyDescent="0.2">
      <c r="A69" s="420" t="s">
        <v>388</v>
      </c>
      <c r="B69" s="421" t="s">
        <v>457</v>
      </c>
      <c r="C69" s="422" t="s">
        <v>28</v>
      </c>
      <c r="D69" s="252" t="s">
        <v>135</v>
      </c>
      <c r="E69" s="423">
        <v>3.1800827870922407E-2</v>
      </c>
      <c r="F69" s="250" t="s">
        <v>133</v>
      </c>
      <c r="G69" s="251"/>
      <c r="H69" s="252">
        <v>1</v>
      </c>
      <c r="I69" s="252">
        <v>2</v>
      </c>
      <c r="J69" s="252">
        <v>3</v>
      </c>
      <c r="K69" s="252">
        <v>3</v>
      </c>
      <c r="L69" s="253">
        <v>3</v>
      </c>
      <c r="M69" s="254">
        <f t="shared" si="3"/>
        <v>1.123005955058592</v>
      </c>
      <c r="N69" s="255"/>
    </row>
    <row r="70" spans="1:14" hidden="1" x14ac:dyDescent="0.2">
      <c r="A70" s="420" t="s">
        <v>388</v>
      </c>
      <c r="B70" s="421" t="s">
        <v>457</v>
      </c>
      <c r="C70" s="422" t="s">
        <v>30</v>
      </c>
      <c r="D70" s="252" t="s">
        <v>135</v>
      </c>
      <c r="E70" s="423">
        <v>1.5E-3</v>
      </c>
      <c r="F70" s="250" t="s">
        <v>133</v>
      </c>
      <c r="G70" s="251"/>
      <c r="H70" s="252">
        <v>1</v>
      </c>
      <c r="I70" s="252">
        <v>2</v>
      </c>
      <c r="J70" s="252">
        <v>3</v>
      </c>
      <c r="K70" s="252">
        <v>3</v>
      </c>
      <c r="L70" s="253">
        <v>3</v>
      </c>
      <c r="M70" s="254">
        <f t="shared" si="3"/>
        <v>1.123005955058592</v>
      </c>
      <c r="N70" s="255"/>
    </row>
    <row r="71" spans="1:14" hidden="1" x14ac:dyDescent="0.2">
      <c r="A71" s="420" t="s">
        <v>388</v>
      </c>
      <c r="B71" s="421" t="s">
        <v>457</v>
      </c>
      <c r="C71" s="422" t="s">
        <v>30</v>
      </c>
      <c r="D71" s="252" t="s">
        <v>135</v>
      </c>
      <c r="E71" s="423">
        <v>1.9099999999999999E-2</v>
      </c>
      <c r="F71" s="250" t="s">
        <v>133</v>
      </c>
      <c r="G71" s="251"/>
      <c r="H71" s="252">
        <v>1</v>
      </c>
      <c r="I71" s="252">
        <v>2</v>
      </c>
      <c r="J71" s="252">
        <v>3</v>
      </c>
      <c r="K71" s="252">
        <v>3</v>
      </c>
      <c r="L71" s="253">
        <v>3</v>
      </c>
      <c r="M71" s="254">
        <f t="shared" si="3"/>
        <v>1.123005955058592</v>
      </c>
      <c r="N71" s="255"/>
    </row>
    <row r="72" spans="1:14" hidden="1" x14ac:dyDescent="0.2">
      <c r="A72" s="420" t="s">
        <v>388</v>
      </c>
      <c r="B72" s="421" t="s">
        <v>457</v>
      </c>
      <c r="C72" s="422" t="s">
        <v>32</v>
      </c>
      <c r="D72" s="252" t="s">
        <v>135</v>
      </c>
      <c r="E72" s="423">
        <v>4.7344938897855666E-3</v>
      </c>
      <c r="F72" s="250" t="s">
        <v>133</v>
      </c>
      <c r="G72" s="251"/>
      <c r="H72" s="252">
        <v>1</v>
      </c>
      <c r="I72" s="252">
        <v>2</v>
      </c>
      <c r="J72" s="252">
        <v>3</v>
      </c>
      <c r="K72" s="252">
        <v>3</v>
      </c>
      <c r="L72" s="253">
        <v>3</v>
      </c>
      <c r="M72" s="254">
        <f t="shared" si="3"/>
        <v>1.123005955058592</v>
      </c>
      <c r="N72" s="255"/>
    </row>
    <row r="73" spans="1:14" hidden="1" x14ac:dyDescent="0.2">
      <c r="A73" s="420" t="s">
        <v>388</v>
      </c>
      <c r="B73" s="421" t="s">
        <v>457</v>
      </c>
      <c r="C73" s="422" t="s">
        <v>32</v>
      </c>
      <c r="D73" s="252" t="s">
        <v>135</v>
      </c>
      <c r="E73" s="423">
        <v>6.0285888863269549E-2</v>
      </c>
      <c r="F73" s="250" t="s">
        <v>133</v>
      </c>
      <c r="G73" s="251"/>
      <c r="H73" s="252">
        <v>1</v>
      </c>
      <c r="I73" s="252">
        <v>2</v>
      </c>
      <c r="J73" s="252">
        <v>3</v>
      </c>
      <c r="K73" s="252">
        <v>3</v>
      </c>
      <c r="L73" s="253">
        <v>3</v>
      </c>
      <c r="M73" s="254">
        <f t="shared" si="3"/>
        <v>1.123005955058592</v>
      </c>
      <c r="N73" s="255"/>
    </row>
    <row r="74" spans="1:14" hidden="1" x14ac:dyDescent="0.2">
      <c r="A74" s="420" t="s">
        <v>388</v>
      </c>
      <c r="B74" s="421" t="s">
        <v>457</v>
      </c>
      <c r="C74" s="422" t="s">
        <v>34</v>
      </c>
      <c r="D74" s="252" t="s">
        <v>135</v>
      </c>
      <c r="E74" s="423">
        <v>2.3875951118284529E-3</v>
      </c>
      <c r="F74" s="250" t="s">
        <v>133</v>
      </c>
      <c r="G74" s="251"/>
      <c r="H74" s="252">
        <v>1</v>
      </c>
      <c r="I74" s="252">
        <v>2</v>
      </c>
      <c r="J74" s="252">
        <v>3</v>
      </c>
      <c r="K74" s="252">
        <v>3</v>
      </c>
      <c r="L74" s="253">
        <v>3</v>
      </c>
      <c r="M74" s="254">
        <f t="shared" si="3"/>
        <v>1.123005955058592</v>
      </c>
      <c r="N74" s="255"/>
    </row>
    <row r="75" spans="1:14" hidden="1" x14ac:dyDescent="0.2">
      <c r="A75" s="420" t="s">
        <v>388</v>
      </c>
      <c r="B75" s="421" t="s">
        <v>457</v>
      </c>
      <c r="C75" s="422" t="s">
        <v>34</v>
      </c>
      <c r="D75" s="252" t="s">
        <v>135</v>
      </c>
      <c r="E75" s="423">
        <v>3.0402044423948969E-2</v>
      </c>
      <c r="F75" s="250" t="s">
        <v>133</v>
      </c>
      <c r="G75" s="251"/>
      <c r="H75" s="252">
        <v>1</v>
      </c>
      <c r="I75" s="252">
        <v>2</v>
      </c>
      <c r="J75" s="252">
        <v>3</v>
      </c>
      <c r="K75" s="252">
        <v>3</v>
      </c>
      <c r="L75" s="253">
        <v>3</v>
      </c>
      <c r="M75" s="254">
        <f t="shared" si="3"/>
        <v>1.123005955058592</v>
      </c>
      <c r="N75" s="255"/>
    </row>
    <row r="76" spans="1:14" hidden="1" x14ac:dyDescent="0.2">
      <c r="A76" s="420" t="s">
        <v>388</v>
      </c>
      <c r="B76" s="421" t="s">
        <v>457</v>
      </c>
      <c r="C76" s="422" t="s">
        <v>36</v>
      </c>
      <c r="D76" s="252" t="s">
        <v>135</v>
      </c>
      <c r="E76" s="423">
        <v>1.4018248295398399E-3</v>
      </c>
      <c r="F76" s="250" t="s">
        <v>133</v>
      </c>
      <c r="G76" s="251"/>
      <c r="H76" s="252">
        <v>1</v>
      </c>
      <c r="I76" s="252">
        <v>2</v>
      </c>
      <c r="J76" s="252">
        <v>3</v>
      </c>
      <c r="K76" s="252">
        <v>3</v>
      </c>
      <c r="L76" s="253">
        <v>3</v>
      </c>
      <c r="M76" s="254">
        <f t="shared" si="3"/>
        <v>1.123005955058592</v>
      </c>
      <c r="N76" s="255"/>
    </row>
    <row r="77" spans="1:14" hidden="1" x14ac:dyDescent="0.2">
      <c r="A77" s="420" t="s">
        <v>388</v>
      </c>
      <c r="B77" s="421" t="s">
        <v>457</v>
      </c>
      <c r="C77" s="422" t="s">
        <v>36</v>
      </c>
      <c r="D77" s="252" t="s">
        <v>135</v>
      </c>
      <c r="E77" s="423">
        <v>1.784990282947397E-2</v>
      </c>
      <c r="F77" s="250" t="s">
        <v>133</v>
      </c>
      <c r="G77" s="251"/>
      <c r="H77" s="252">
        <v>1</v>
      </c>
      <c r="I77" s="252">
        <v>2</v>
      </c>
      <c r="J77" s="252">
        <v>3</v>
      </c>
      <c r="K77" s="252">
        <v>3</v>
      </c>
      <c r="L77" s="253">
        <v>3</v>
      </c>
      <c r="M77" s="254">
        <f t="shared" si="3"/>
        <v>1.123005955058592</v>
      </c>
      <c r="N77" s="255"/>
    </row>
    <row r="78" spans="1:14" hidden="1" x14ac:dyDescent="0.2">
      <c r="A78" s="420" t="s">
        <v>388</v>
      </c>
      <c r="B78" s="421" t="s">
        <v>457</v>
      </c>
      <c r="C78" s="422" t="s">
        <v>37</v>
      </c>
      <c r="D78" s="252" t="s">
        <v>135</v>
      </c>
      <c r="E78" s="423">
        <v>3.4927369149181462E-3</v>
      </c>
      <c r="F78" s="250" t="s">
        <v>133</v>
      </c>
      <c r="G78" s="251"/>
      <c r="H78" s="252">
        <v>1</v>
      </c>
      <c r="I78" s="252">
        <v>2</v>
      </c>
      <c r="J78" s="252">
        <v>3</v>
      </c>
      <c r="K78" s="252">
        <v>3</v>
      </c>
      <c r="L78" s="253">
        <v>3</v>
      </c>
      <c r="M78" s="254">
        <f t="shared" si="3"/>
        <v>1.123005955058592</v>
      </c>
      <c r="N78" s="255"/>
    </row>
    <row r="79" spans="1:14" hidden="1" x14ac:dyDescent="0.2">
      <c r="A79" s="420" t="s">
        <v>388</v>
      </c>
      <c r="B79" s="421" t="s">
        <v>457</v>
      </c>
      <c r="C79" s="422" t="s">
        <v>37</v>
      </c>
      <c r="D79" s="252" t="s">
        <v>135</v>
      </c>
      <c r="E79" s="423">
        <v>4.4474183383291059E-2</v>
      </c>
      <c r="F79" s="250" t="s">
        <v>133</v>
      </c>
      <c r="G79" s="251"/>
      <c r="H79" s="252">
        <v>1</v>
      </c>
      <c r="I79" s="252">
        <v>2</v>
      </c>
      <c r="J79" s="252">
        <v>3</v>
      </c>
      <c r="K79" s="252">
        <v>3</v>
      </c>
      <c r="L79" s="253">
        <v>3</v>
      </c>
      <c r="M79" s="254">
        <f t="shared" si="3"/>
        <v>1.123005955058592</v>
      </c>
      <c r="N79" s="255"/>
    </row>
    <row r="80" spans="1:14" hidden="1" x14ac:dyDescent="0.2">
      <c r="A80" s="420" t="s">
        <v>388</v>
      </c>
      <c r="B80" s="421" t="s">
        <v>457</v>
      </c>
      <c r="C80" s="422" t="s">
        <v>39</v>
      </c>
      <c r="D80" s="252" t="s">
        <v>135</v>
      </c>
      <c r="E80" s="423">
        <v>1.5892321881484899E-3</v>
      </c>
      <c r="F80" s="250" t="s">
        <v>133</v>
      </c>
      <c r="G80" s="251"/>
      <c r="H80" s="252">
        <v>1</v>
      </c>
      <c r="I80" s="252">
        <v>2</v>
      </c>
      <c r="J80" s="252">
        <v>3</v>
      </c>
      <c r="K80" s="252">
        <v>3</v>
      </c>
      <c r="L80" s="253">
        <v>3</v>
      </c>
      <c r="M80" s="254">
        <f t="shared" si="3"/>
        <v>1.123005955058592</v>
      </c>
      <c r="N80" s="255"/>
    </row>
    <row r="81" spans="1:14" hidden="1" x14ac:dyDescent="0.2">
      <c r="A81" s="420" t="s">
        <v>388</v>
      </c>
      <c r="B81" s="421" t="s">
        <v>457</v>
      </c>
      <c r="C81" s="422" t="s">
        <v>39</v>
      </c>
      <c r="D81" s="252" t="s">
        <v>135</v>
      </c>
      <c r="E81" s="423">
        <v>2.0236223195757439E-2</v>
      </c>
      <c r="F81" s="250" t="s">
        <v>133</v>
      </c>
      <c r="G81" s="251"/>
      <c r="H81" s="252">
        <v>1</v>
      </c>
      <c r="I81" s="252">
        <v>2</v>
      </c>
      <c r="J81" s="252">
        <v>3</v>
      </c>
      <c r="K81" s="252">
        <v>3</v>
      </c>
      <c r="L81" s="253">
        <v>3</v>
      </c>
      <c r="M81" s="254">
        <f t="shared" si="3"/>
        <v>1.123005955058592</v>
      </c>
      <c r="N81" s="255"/>
    </row>
    <row r="82" spans="1:14" hidden="1" x14ac:dyDescent="0.2">
      <c r="A82" s="420" t="s">
        <v>388</v>
      </c>
      <c r="B82" s="421" t="s">
        <v>457</v>
      </c>
      <c r="C82" s="422" t="s">
        <v>40</v>
      </c>
      <c r="D82" s="252" t="s">
        <v>135</v>
      </c>
      <c r="E82" s="423">
        <v>1.6319378108633361E-3</v>
      </c>
      <c r="F82" s="250" t="s">
        <v>133</v>
      </c>
      <c r="G82" s="251"/>
      <c r="H82" s="252">
        <v>1</v>
      </c>
      <c r="I82" s="252">
        <v>2</v>
      </c>
      <c r="J82" s="252">
        <v>3</v>
      </c>
      <c r="K82" s="252">
        <v>3</v>
      </c>
      <c r="L82" s="253">
        <v>3</v>
      </c>
      <c r="M82" s="254">
        <f t="shared" si="3"/>
        <v>1.123005955058592</v>
      </c>
      <c r="N82" s="255"/>
    </row>
    <row r="83" spans="1:14" hidden="1" x14ac:dyDescent="0.2">
      <c r="A83" s="420" t="s">
        <v>388</v>
      </c>
      <c r="B83" s="421" t="s">
        <v>457</v>
      </c>
      <c r="C83" s="422" t="s">
        <v>40</v>
      </c>
      <c r="D83" s="252" t="s">
        <v>135</v>
      </c>
      <c r="E83" s="423">
        <v>2.078000812499315E-2</v>
      </c>
      <c r="F83" s="250" t="s">
        <v>133</v>
      </c>
      <c r="G83" s="251"/>
      <c r="H83" s="252">
        <v>1</v>
      </c>
      <c r="I83" s="252">
        <v>2</v>
      </c>
      <c r="J83" s="252">
        <v>3</v>
      </c>
      <c r="K83" s="252">
        <v>3</v>
      </c>
      <c r="L83" s="253">
        <v>3</v>
      </c>
      <c r="M83" s="254">
        <f t="shared" si="3"/>
        <v>1.123005955058592</v>
      </c>
      <c r="N83" s="255"/>
    </row>
    <row r="84" spans="1:14" hidden="1" x14ac:dyDescent="0.2">
      <c r="A84" s="420" t="s">
        <v>388</v>
      </c>
      <c r="B84" s="421" t="s">
        <v>457</v>
      </c>
      <c r="C84" s="422" t="s">
        <v>41</v>
      </c>
      <c r="D84" s="252" t="s">
        <v>135</v>
      </c>
      <c r="E84" s="423">
        <v>2.0270101123225411E-3</v>
      </c>
      <c r="F84" s="250" t="s">
        <v>133</v>
      </c>
      <c r="G84" s="251"/>
      <c r="H84" s="252">
        <v>1</v>
      </c>
      <c r="I84" s="252">
        <v>2</v>
      </c>
      <c r="J84" s="252">
        <v>3</v>
      </c>
      <c r="K84" s="252">
        <v>3</v>
      </c>
      <c r="L84" s="253">
        <v>3</v>
      </c>
      <c r="M84" s="254">
        <f t="shared" si="3"/>
        <v>1.123005955058592</v>
      </c>
      <c r="N84" s="255"/>
    </row>
    <row r="85" spans="1:14" hidden="1" x14ac:dyDescent="0.2">
      <c r="A85" s="420" t="s">
        <v>388</v>
      </c>
      <c r="B85" s="421" t="s">
        <v>457</v>
      </c>
      <c r="C85" s="422" t="s">
        <v>41</v>
      </c>
      <c r="D85" s="252" t="s">
        <v>135</v>
      </c>
      <c r="E85" s="423">
        <v>2.5810595430240349E-2</v>
      </c>
      <c r="F85" s="250" t="s">
        <v>133</v>
      </c>
      <c r="G85" s="251"/>
      <c r="H85" s="252">
        <v>1</v>
      </c>
      <c r="I85" s="252">
        <v>2</v>
      </c>
      <c r="J85" s="252">
        <v>3</v>
      </c>
      <c r="K85" s="252">
        <v>3</v>
      </c>
      <c r="L85" s="253">
        <v>3</v>
      </c>
      <c r="M85" s="254">
        <f t="shared" si="3"/>
        <v>1.123005955058592</v>
      </c>
      <c r="N85" s="255"/>
    </row>
    <row r="86" spans="1:14" hidden="1" x14ac:dyDescent="0.2">
      <c r="A86" s="420" t="s">
        <v>388</v>
      </c>
      <c r="B86" s="421" t="s">
        <v>457</v>
      </c>
      <c r="C86" s="422" t="s">
        <v>42</v>
      </c>
      <c r="D86" s="252" t="s">
        <v>135</v>
      </c>
      <c r="E86" s="423">
        <v>1.01162752396324E-3</v>
      </c>
      <c r="F86" s="250" t="s">
        <v>133</v>
      </c>
      <c r="G86" s="251"/>
      <c r="H86" s="252">
        <v>1</v>
      </c>
      <c r="I86" s="252">
        <v>2</v>
      </c>
      <c r="J86" s="252">
        <v>3</v>
      </c>
      <c r="K86" s="252">
        <v>3</v>
      </c>
      <c r="L86" s="253">
        <v>3</v>
      </c>
      <c r="M86" s="254">
        <f t="shared" si="3"/>
        <v>1.123005955058592</v>
      </c>
      <c r="N86" s="255"/>
    </row>
    <row r="87" spans="1:14" hidden="1" x14ac:dyDescent="0.2">
      <c r="A87" s="420" t="s">
        <v>388</v>
      </c>
      <c r="B87" s="421" t="s">
        <v>457</v>
      </c>
      <c r="C87" s="422" t="s">
        <v>42</v>
      </c>
      <c r="D87" s="252" t="s">
        <v>135</v>
      </c>
      <c r="E87" s="423">
        <v>1.2881390471798589E-2</v>
      </c>
      <c r="F87" s="250" t="s">
        <v>133</v>
      </c>
      <c r="G87" s="251"/>
      <c r="H87" s="252">
        <v>1</v>
      </c>
      <c r="I87" s="252">
        <v>2</v>
      </c>
      <c r="J87" s="252">
        <v>3</v>
      </c>
      <c r="K87" s="252">
        <v>3</v>
      </c>
      <c r="L87" s="253">
        <v>3</v>
      </c>
      <c r="M87" s="254">
        <f t="shared" si="3"/>
        <v>1.123005955058592</v>
      </c>
      <c r="N87" s="255"/>
    </row>
    <row r="88" spans="1:14" hidden="1" x14ac:dyDescent="0.2">
      <c r="A88" s="420" t="s">
        <v>388</v>
      </c>
      <c r="B88" s="421" t="s">
        <v>457</v>
      </c>
      <c r="C88" s="422" t="s">
        <v>43</v>
      </c>
      <c r="D88" s="252" t="s">
        <v>135</v>
      </c>
      <c r="E88" s="423">
        <v>1.8618860963799859E-3</v>
      </c>
      <c r="F88" s="250" t="s">
        <v>133</v>
      </c>
      <c r="G88" s="251"/>
      <c r="H88" s="252">
        <v>1</v>
      </c>
      <c r="I88" s="252">
        <v>2</v>
      </c>
      <c r="J88" s="252">
        <v>3</v>
      </c>
      <c r="K88" s="252">
        <v>3</v>
      </c>
      <c r="L88" s="253">
        <v>3</v>
      </c>
      <c r="M88" s="254">
        <f t="shared" si="3"/>
        <v>1.123005955058592</v>
      </c>
      <c r="N88" s="255"/>
    </row>
    <row r="89" spans="1:14" hidden="1" x14ac:dyDescent="0.2">
      <c r="A89" s="420" t="s">
        <v>388</v>
      </c>
      <c r="B89" s="421" t="s">
        <v>457</v>
      </c>
      <c r="C89" s="422" t="s">
        <v>43</v>
      </c>
      <c r="D89" s="252" t="s">
        <v>135</v>
      </c>
      <c r="E89" s="423">
        <v>2.3708016293905159E-2</v>
      </c>
      <c r="F89" s="250" t="s">
        <v>133</v>
      </c>
      <c r="G89" s="251"/>
      <c r="H89" s="252">
        <v>1</v>
      </c>
      <c r="I89" s="252">
        <v>2</v>
      </c>
      <c r="J89" s="252">
        <v>3</v>
      </c>
      <c r="K89" s="252">
        <v>3</v>
      </c>
      <c r="L89" s="253">
        <v>3</v>
      </c>
      <c r="M89" s="254">
        <f t="shared" si="3"/>
        <v>1.123005955058592</v>
      </c>
      <c r="N89" s="255"/>
    </row>
    <row r="90" spans="1:14" hidden="1" x14ac:dyDescent="0.2">
      <c r="A90" s="420" t="s">
        <v>388</v>
      </c>
      <c r="B90" s="421" t="s">
        <v>457</v>
      </c>
      <c r="C90" s="422" t="s">
        <v>45</v>
      </c>
      <c r="D90" s="252" t="s">
        <v>135</v>
      </c>
      <c r="E90" s="423">
        <v>1.066339470997069E-3</v>
      </c>
      <c r="F90" s="250" t="s">
        <v>133</v>
      </c>
      <c r="G90" s="251"/>
      <c r="H90" s="252">
        <v>1</v>
      </c>
      <c r="I90" s="252">
        <v>2</v>
      </c>
      <c r="J90" s="252">
        <v>3</v>
      </c>
      <c r="K90" s="252">
        <v>3</v>
      </c>
      <c r="L90" s="253">
        <v>3</v>
      </c>
      <c r="M90" s="254">
        <f t="shared" si="3"/>
        <v>1.123005955058592</v>
      </c>
      <c r="N90" s="255"/>
    </row>
    <row r="91" spans="1:14" hidden="1" x14ac:dyDescent="0.2">
      <c r="A91" s="420" t="s">
        <v>388</v>
      </c>
      <c r="B91" s="421" t="s">
        <v>457</v>
      </c>
      <c r="C91" s="422" t="s">
        <v>45</v>
      </c>
      <c r="D91" s="252" t="s">
        <v>135</v>
      </c>
      <c r="E91" s="423">
        <v>1.357805593069601E-2</v>
      </c>
      <c r="F91" s="250" t="s">
        <v>133</v>
      </c>
      <c r="G91" s="251"/>
      <c r="H91" s="252">
        <v>1</v>
      </c>
      <c r="I91" s="252">
        <v>2</v>
      </c>
      <c r="J91" s="252">
        <v>3</v>
      </c>
      <c r="K91" s="252">
        <v>3</v>
      </c>
      <c r="L91" s="253">
        <v>3</v>
      </c>
      <c r="M91" s="254">
        <f t="shared" si="3"/>
        <v>1.123005955058592</v>
      </c>
      <c r="N91" s="255"/>
    </row>
    <row r="92" spans="1:14" hidden="1" x14ac:dyDescent="0.2">
      <c r="A92" s="420" t="s">
        <v>388</v>
      </c>
      <c r="B92" s="421" t="s">
        <v>457</v>
      </c>
      <c r="C92" s="422" t="s">
        <v>46</v>
      </c>
      <c r="D92" s="252" t="s">
        <v>135</v>
      </c>
      <c r="E92" s="423">
        <v>3.3239731216443218E-3</v>
      </c>
      <c r="F92" s="250" t="s">
        <v>133</v>
      </c>
      <c r="G92" s="251"/>
      <c r="H92" s="252">
        <v>1</v>
      </c>
      <c r="I92" s="252">
        <v>2</v>
      </c>
      <c r="J92" s="252">
        <v>3</v>
      </c>
      <c r="K92" s="252">
        <v>3</v>
      </c>
      <c r="L92" s="253">
        <v>3</v>
      </c>
      <c r="M92" s="254">
        <f t="shared" si="3"/>
        <v>1.123005955058592</v>
      </c>
      <c r="N92" s="255"/>
    </row>
    <row r="93" spans="1:14" hidden="1" x14ac:dyDescent="0.2">
      <c r="A93" s="420" t="s">
        <v>388</v>
      </c>
      <c r="B93" s="421" t="s">
        <v>457</v>
      </c>
      <c r="C93" s="422" t="s">
        <v>46</v>
      </c>
      <c r="D93" s="252" t="s">
        <v>135</v>
      </c>
      <c r="E93" s="423">
        <v>4.2325257748937702E-2</v>
      </c>
      <c r="F93" s="250" t="s">
        <v>133</v>
      </c>
      <c r="G93" s="251"/>
      <c r="H93" s="252">
        <v>1</v>
      </c>
      <c r="I93" s="252">
        <v>2</v>
      </c>
      <c r="J93" s="252">
        <v>3</v>
      </c>
      <c r="K93" s="252">
        <v>3</v>
      </c>
      <c r="L93" s="253">
        <v>3</v>
      </c>
      <c r="M93" s="254">
        <f t="shared" si="3"/>
        <v>1.123005955058592</v>
      </c>
      <c r="N93" s="255"/>
    </row>
    <row r="94" spans="1:14" hidden="1" x14ac:dyDescent="0.2">
      <c r="A94" s="420" t="s">
        <v>388</v>
      </c>
      <c r="B94" s="421" t="s">
        <v>457</v>
      </c>
      <c r="C94" s="422" t="s">
        <v>48</v>
      </c>
      <c r="D94" s="252" t="s">
        <v>135</v>
      </c>
      <c r="E94" s="423">
        <v>2.852597252873942E-3</v>
      </c>
      <c r="F94" s="250" t="s">
        <v>133</v>
      </c>
      <c r="G94" s="251"/>
      <c r="H94" s="252">
        <v>1</v>
      </c>
      <c r="I94" s="252">
        <v>2</v>
      </c>
      <c r="J94" s="252">
        <v>3</v>
      </c>
      <c r="K94" s="252">
        <v>3</v>
      </c>
      <c r="L94" s="253">
        <v>3</v>
      </c>
      <c r="M94" s="254">
        <f t="shared" si="3"/>
        <v>1.123005955058592</v>
      </c>
      <c r="N94" s="255"/>
    </row>
    <row r="95" spans="1:14" hidden="1" x14ac:dyDescent="0.2">
      <c r="A95" s="420" t="s">
        <v>388</v>
      </c>
      <c r="B95" s="421" t="s">
        <v>457</v>
      </c>
      <c r="C95" s="422" t="s">
        <v>48</v>
      </c>
      <c r="D95" s="252" t="s">
        <v>135</v>
      </c>
      <c r="E95" s="423">
        <v>3.6323071686594863E-2</v>
      </c>
      <c r="F95" s="250" t="s">
        <v>133</v>
      </c>
      <c r="G95" s="251"/>
      <c r="H95" s="252">
        <v>1</v>
      </c>
      <c r="I95" s="252">
        <v>2</v>
      </c>
      <c r="J95" s="252">
        <v>3</v>
      </c>
      <c r="K95" s="252">
        <v>3</v>
      </c>
      <c r="L95" s="253">
        <v>3</v>
      </c>
      <c r="M95" s="254">
        <f t="shared" si="3"/>
        <v>1.123005955058592</v>
      </c>
      <c r="N95" s="255"/>
    </row>
    <row r="96" spans="1:14" hidden="1" x14ac:dyDescent="0.2">
      <c r="A96" s="420" t="s">
        <v>388</v>
      </c>
      <c r="B96" s="421" t="s">
        <v>457</v>
      </c>
      <c r="C96" s="422" t="s">
        <v>50</v>
      </c>
      <c r="D96" s="252" t="s">
        <v>135</v>
      </c>
      <c r="E96" s="423">
        <v>3.3290951612371948E-3</v>
      </c>
      <c r="F96" s="250" t="s">
        <v>133</v>
      </c>
      <c r="G96" s="251"/>
      <c r="H96" s="252">
        <v>1</v>
      </c>
      <c r="I96" s="252">
        <v>2</v>
      </c>
      <c r="J96" s="252">
        <v>3</v>
      </c>
      <c r="K96" s="252">
        <v>3</v>
      </c>
      <c r="L96" s="253">
        <v>3</v>
      </c>
      <c r="M96" s="254">
        <f t="shared" si="3"/>
        <v>1.123005955058592</v>
      </c>
      <c r="N96" s="255"/>
    </row>
    <row r="97" spans="1:14" hidden="1" x14ac:dyDescent="0.2">
      <c r="A97" s="420" t="s">
        <v>388</v>
      </c>
      <c r="B97" s="421" t="s">
        <v>457</v>
      </c>
      <c r="C97" s="422" t="s">
        <v>50</v>
      </c>
      <c r="D97" s="252" t="s">
        <v>135</v>
      </c>
      <c r="E97" s="423">
        <v>4.239047838642028E-2</v>
      </c>
      <c r="F97" s="250" t="s">
        <v>133</v>
      </c>
      <c r="G97" s="251"/>
      <c r="H97" s="252">
        <v>1</v>
      </c>
      <c r="I97" s="252">
        <v>2</v>
      </c>
      <c r="J97" s="252">
        <v>3</v>
      </c>
      <c r="K97" s="252">
        <v>3</v>
      </c>
      <c r="L97" s="253">
        <v>3</v>
      </c>
      <c r="M97" s="254">
        <f t="shared" si="3"/>
        <v>1.123005955058592</v>
      </c>
      <c r="N97" s="255"/>
    </row>
    <row r="98" spans="1:14" hidden="1" x14ac:dyDescent="0.2">
      <c r="A98" s="420" t="s">
        <v>388</v>
      </c>
      <c r="B98" s="421" t="s">
        <v>457</v>
      </c>
      <c r="C98" s="422" t="s">
        <v>52</v>
      </c>
      <c r="D98" s="252" t="s">
        <v>135</v>
      </c>
      <c r="E98" s="423">
        <v>3.7221252346915259E-3</v>
      </c>
      <c r="F98" s="250" t="s">
        <v>133</v>
      </c>
      <c r="G98" s="251"/>
      <c r="H98" s="252">
        <v>1</v>
      </c>
      <c r="I98" s="252">
        <v>2</v>
      </c>
      <c r="J98" s="252">
        <v>3</v>
      </c>
      <c r="K98" s="252">
        <v>3</v>
      </c>
      <c r="L98" s="253">
        <v>3</v>
      </c>
      <c r="M98" s="254">
        <f t="shared" si="3"/>
        <v>1.123005955058592</v>
      </c>
      <c r="N98" s="255"/>
    </row>
    <row r="99" spans="1:14" hidden="1" x14ac:dyDescent="0.2">
      <c r="A99" s="420" t="s">
        <v>388</v>
      </c>
      <c r="B99" s="421" t="s">
        <v>457</v>
      </c>
      <c r="C99" s="422" t="s">
        <v>52</v>
      </c>
      <c r="D99" s="252" t="s">
        <v>135</v>
      </c>
      <c r="E99" s="423">
        <v>4.7395061321738763E-2</v>
      </c>
      <c r="F99" s="250" t="s">
        <v>133</v>
      </c>
      <c r="G99" s="251"/>
      <c r="H99" s="252">
        <v>1</v>
      </c>
      <c r="I99" s="252">
        <v>2</v>
      </c>
      <c r="J99" s="252">
        <v>3</v>
      </c>
      <c r="K99" s="252">
        <v>3</v>
      </c>
      <c r="L99" s="253">
        <v>3</v>
      </c>
      <c r="M99" s="254">
        <f t="shared" ref="M99:M129" si="4">IF( OR( ISBLANK(H99),ISBLANK(I99), ISBLANK(J99), ISBLANK(K99), ISBLANK(L99) ), "", 1.5*SQRT( EXP(2.21*(H99-1)) + EXP(2.21*(I99-1)) + EXP(2.21*(J99-1)) + EXP(2.21*(K99-1)) + EXP(2.21*L99) )/100*2.45 )</f>
        <v>1.123005955058592</v>
      </c>
      <c r="N99" s="255"/>
    </row>
    <row r="100" spans="1:14" hidden="1" x14ac:dyDescent="0.2">
      <c r="A100" s="420" t="s">
        <v>388</v>
      </c>
      <c r="B100" s="421" t="s">
        <v>457</v>
      </c>
      <c r="C100" s="422" t="s">
        <v>54</v>
      </c>
      <c r="D100" s="252" t="s">
        <v>135</v>
      </c>
      <c r="E100" s="423">
        <v>1.5078395204058111E-3</v>
      </c>
      <c r="F100" s="250" t="s">
        <v>133</v>
      </c>
      <c r="G100" s="251"/>
      <c r="H100" s="252">
        <v>1</v>
      </c>
      <c r="I100" s="252">
        <v>2</v>
      </c>
      <c r="J100" s="252">
        <v>3</v>
      </c>
      <c r="K100" s="252">
        <v>3</v>
      </c>
      <c r="L100" s="253">
        <v>3</v>
      </c>
      <c r="M100" s="254">
        <f t="shared" si="4"/>
        <v>1.123005955058592</v>
      </c>
      <c r="N100" s="255"/>
    </row>
    <row r="101" spans="1:14" hidden="1" x14ac:dyDescent="0.2">
      <c r="A101" s="420" t="s">
        <v>388</v>
      </c>
      <c r="B101" s="421" t="s">
        <v>457</v>
      </c>
      <c r="C101" s="422" t="s">
        <v>54</v>
      </c>
      <c r="D101" s="252" t="s">
        <v>135</v>
      </c>
      <c r="E101" s="423">
        <v>1.919982322650066E-2</v>
      </c>
      <c r="F101" s="250" t="s">
        <v>133</v>
      </c>
      <c r="G101" s="251"/>
      <c r="H101" s="252">
        <v>1</v>
      </c>
      <c r="I101" s="252">
        <v>2</v>
      </c>
      <c r="J101" s="252">
        <v>3</v>
      </c>
      <c r="K101" s="252">
        <v>3</v>
      </c>
      <c r="L101" s="253">
        <v>3</v>
      </c>
      <c r="M101" s="254">
        <f t="shared" si="4"/>
        <v>1.123005955058592</v>
      </c>
      <c r="N101" s="255"/>
    </row>
    <row r="102" spans="1:14" hidden="1" x14ac:dyDescent="0.2">
      <c r="A102" s="420" t="s">
        <v>388</v>
      </c>
      <c r="B102" s="421" t="s">
        <v>457</v>
      </c>
      <c r="C102" s="422" t="s">
        <v>55</v>
      </c>
      <c r="D102" s="252" t="s">
        <v>135</v>
      </c>
      <c r="E102" s="423">
        <v>2.172930597186996E-3</v>
      </c>
      <c r="F102" s="250" t="s">
        <v>133</v>
      </c>
      <c r="G102" s="251"/>
      <c r="H102" s="252">
        <v>1</v>
      </c>
      <c r="I102" s="252">
        <v>2</v>
      </c>
      <c r="J102" s="252">
        <v>3</v>
      </c>
      <c r="K102" s="252">
        <v>3</v>
      </c>
      <c r="L102" s="253">
        <v>3</v>
      </c>
      <c r="M102" s="254">
        <f t="shared" si="4"/>
        <v>1.123005955058592</v>
      </c>
      <c r="N102" s="255"/>
    </row>
    <row r="103" spans="1:14" hidden="1" x14ac:dyDescent="0.2">
      <c r="A103" s="420" t="s">
        <v>388</v>
      </c>
      <c r="B103" s="421" t="s">
        <v>457</v>
      </c>
      <c r="C103" s="422" t="s">
        <v>55</v>
      </c>
      <c r="D103" s="252" t="s">
        <v>135</v>
      </c>
      <c r="E103" s="423">
        <v>2.766864960418108E-2</v>
      </c>
      <c r="F103" s="250" t="s">
        <v>133</v>
      </c>
      <c r="G103" s="251"/>
      <c r="H103" s="252">
        <v>1</v>
      </c>
      <c r="I103" s="252">
        <v>2</v>
      </c>
      <c r="J103" s="252">
        <v>3</v>
      </c>
      <c r="K103" s="252">
        <v>3</v>
      </c>
      <c r="L103" s="253">
        <v>3</v>
      </c>
      <c r="M103" s="254">
        <f t="shared" si="4"/>
        <v>1.123005955058592</v>
      </c>
      <c r="N103" s="255"/>
    </row>
    <row r="104" spans="1:14" hidden="1" x14ac:dyDescent="0.2">
      <c r="A104" s="420" t="s">
        <v>388</v>
      </c>
      <c r="B104" s="421" t="s">
        <v>457</v>
      </c>
      <c r="C104" s="422" t="s">
        <v>57</v>
      </c>
      <c r="D104" s="252" t="s">
        <v>135</v>
      </c>
      <c r="E104" s="423">
        <v>1.066339470997069E-3</v>
      </c>
      <c r="F104" s="250" t="s">
        <v>133</v>
      </c>
      <c r="G104" s="251"/>
      <c r="H104" s="252">
        <v>1</v>
      </c>
      <c r="I104" s="252">
        <v>2</v>
      </c>
      <c r="J104" s="252">
        <v>3</v>
      </c>
      <c r="K104" s="252">
        <v>3</v>
      </c>
      <c r="L104" s="253">
        <v>3</v>
      </c>
      <c r="M104" s="254">
        <f t="shared" si="4"/>
        <v>1.123005955058592</v>
      </c>
      <c r="N104" s="255"/>
    </row>
    <row r="105" spans="1:14" hidden="1" x14ac:dyDescent="0.2">
      <c r="A105" s="420" t="s">
        <v>388</v>
      </c>
      <c r="B105" s="421" t="s">
        <v>457</v>
      </c>
      <c r="C105" s="422" t="s">
        <v>57</v>
      </c>
      <c r="D105" s="252" t="s">
        <v>135</v>
      </c>
      <c r="E105" s="423">
        <v>1.357805593069601E-2</v>
      </c>
      <c r="F105" s="250" t="s">
        <v>133</v>
      </c>
      <c r="G105" s="251"/>
      <c r="H105" s="252">
        <v>1</v>
      </c>
      <c r="I105" s="252">
        <v>2</v>
      </c>
      <c r="J105" s="252">
        <v>3</v>
      </c>
      <c r="K105" s="252">
        <v>3</v>
      </c>
      <c r="L105" s="253">
        <v>3</v>
      </c>
      <c r="M105" s="254">
        <f t="shared" si="4"/>
        <v>1.123005955058592</v>
      </c>
      <c r="N105" s="255"/>
    </row>
    <row r="106" spans="1:14" x14ac:dyDescent="0.2">
      <c r="A106" s="420" t="s">
        <v>388</v>
      </c>
      <c r="B106" s="421" t="s">
        <v>457</v>
      </c>
      <c r="C106" s="422" t="s">
        <v>59</v>
      </c>
      <c r="D106" s="252" t="s">
        <v>135</v>
      </c>
      <c r="E106" s="423">
        <v>1.5E-3</v>
      </c>
      <c r="F106" s="250" t="s">
        <v>133</v>
      </c>
      <c r="G106" s="251"/>
      <c r="H106" s="252">
        <v>1</v>
      </c>
      <c r="I106" s="252">
        <v>2</v>
      </c>
      <c r="J106" s="252">
        <v>3</v>
      </c>
      <c r="K106" s="252">
        <v>3</v>
      </c>
      <c r="L106" s="253">
        <v>3</v>
      </c>
      <c r="M106" s="254">
        <f t="shared" si="4"/>
        <v>1.123005955058592</v>
      </c>
      <c r="N106" s="255"/>
    </row>
    <row r="107" spans="1:14" x14ac:dyDescent="0.2">
      <c r="A107" s="420" t="s">
        <v>388</v>
      </c>
      <c r="B107" s="421" t="s">
        <v>457</v>
      </c>
      <c r="C107" s="422" t="s">
        <v>59</v>
      </c>
      <c r="D107" s="252" t="s">
        <v>135</v>
      </c>
      <c r="E107" s="423">
        <v>1.9099999999999999E-2</v>
      </c>
      <c r="F107" s="250" t="s">
        <v>133</v>
      </c>
      <c r="G107" s="251"/>
      <c r="H107" s="252">
        <v>1</v>
      </c>
      <c r="I107" s="252">
        <v>2</v>
      </c>
      <c r="J107" s="252">
        <v>3</v>
      </c>
      <c r="K107" s="252">
        <v>3</v>
      </c>
      <c r="L107" s="253">
        <v>3</v>
      </c>
      <c r="M107" s="254">
        <f t="shared" si="4"/>
        <v>1.123005955058592</v>
      </c>
      <c r="N107" s="255"/>
    </row>
    <row r="108" spans="1:14" hidden="1" x14ac:dyDescent="0.2">
      <c r="A108" s="420" t="s">
        <v>388</v>
      </c>
      <c r="B108" s="421" t="s">
        <v>457</v>
      </c>
      <c r="C108" s="422" t="s">
        <v>60</v>
      </c>
      <c r="D108" s="252" t="s">
        <v>135</v>
      </c>
      <c r="E108" s="423">
        <v>1.953028755887876E-3</v>
      </c>
      <c r="F108" s="250" t="s">
        <v>133</v>
      </c>
      <c r="G108" s="424" t="s">
        <v>16</v>
      </c>
      <c r="H108" s="252">
        <v>1</v>
      </c>
      <c r="I108" s="252">
        <v>2</v>
      </c>
      <c r="J108" s="252">
        <v>3</v>
      </c>
      <c r="K108" s="252">
        <v>3</v>
      </c>
      <c r="L108" s="253">
        <v>3</v>
      </c>
      <c r="M108" s="254">
        <f t="shared" si="4"/>
        <v>1.123005955058592</v>
      </c>
      <c r="N108" s="255"/>
    </row>
    <row r="109" spans="1:14" hidden="1" x14ac:dyDescent="0.2">
      <c r="A109" s="425" t="s">
        <v>388</v>
      </c>
      <c r="B109" s="426" t="s">
        <v>457</v>
      </c>
      <c r="C109" s="427" t="s">
        <v>60</v>
      </c>
      <c r="D109" s="291" t="s">
        <v>135</v>
      </c>
      <c r="E109" s="428">
        <v>2.486856615830562E-2</v>
      </c>
      <c r="F109" s="289" t="s">
        <v>133</v>
      </c>
      <c r="G109" s="429" t="s">
        <v>16</v>
      </c>
      <c r="H109" s="291">
        <v>1</v>
      </c>
      <c r="I109" s="291">
        <v>2</v>
      </c>
      <c r="J109" s="291">
        <v>3</v>
      </c>
      <c r="K109" s="291">
        <v>3</v>
      </c>
      <c r="L109" s="292">
        <v>3</v>
      </c>
      <c r="M109" s="293">
        <f t="shared" si="4"/>
        <v>1.123005955058592</v>
      </c>
      <c r="N109" s="294"/>
    </row>
    <row r="110" spans="1:14" hidden="1" x14ac:dyDescent="0.2">
      <c r="A110" s="420" t="s">
        <v>384</v>
      </c>
      <c r="B110" s="421" t="s">
        <v>457</v>
      </c>
      <c r="C110" s="422" t="s">
        <v>13</v>
      </c>
      <c r="D110" s="252" t="s">
        <v>135</v>
      </c>
      <c r="E110" s="423">
        <v>1.142330116275239E-3</v>
      </c>
      <c r="F110" s="250" t="s">
        <v>133</v>
      </c>
      <c r="G110" s="251" t="s">
        <v>16</v>
      </c>
      <c r="H110" s="252">
        <v>1</v>
      </c>
      <c r="I110" s="252">
        <v>2</v>
      </c>
      <c r="J110" s="252">
        <v>3</v>
      </c>
      <c r="K110" s="252">
        <v>3</v>
      </c>
      <c r="L110" s="253">
        <v>3</v>
      </c>
      <c r="M110" s="254">
        <f t="shared" si="4"/>
        <v>1.123005955058592</v>
      </c>
      <c r="N110" s="255"/>
    </row>
    <row r="111" spans="1:14" hidden="1" x14ac:dyDescent="0.2">
      <c r="A111" s="420" t="s">
        <v>384</v>
      </c>
      <c r="B111" s="421" t="s">
        <v>457</v>
      </c>
      <c r="C111" s="422" t="s">
        <v>13</v>
      </c>
      <c r="D111" s="252" t="s">
        <v>135</v>
      </c>
      <c r="E111" s="423">
        <v>1.454567014723805E-2</v>
      </c>
      <c r="F111" s="250" t="s">
        <v>133</v>
      </c>
      <c r="G111" s="251"/>
      <c r="H111" s="252">
        <v>1</v>
      </c>
      <c r="I111" s="252">
        <v>2</v>
      </c>
      <c r="J111" s="252">
        <v>3</v>
      </c>
      <c r="K111" s="252">
        <v>3</v>
      </c>
      <c r="L111" s="253">
        <v>3</v>
      </c>
      <c r="M111" s="254">
        <f t="shared" si="4"/>
        <v>1.123005955058592</v>
      </c>
      <c r="N111" s="255"/>
    </row>
    <row r="112" spans="1:14" hidden="1" x14ac:dyDescent="0.2">
      <c r="A112" s="420" t="s">
        <v>384</v>
      </c>
      <c r="B112" s="421" t="s">
        <v>457</v>
      </c>
      <c r="C112" s="422" t="s">
        <v>18</v>
      </c>
      <c r="D112" s="252" t="s">
        <v>135</v>
      </c>
      <c r="E112" s="423">
        <v>2.8968345465924441E-3</v>
      </c>
      <c r="F112" s="250" t="s">
        <v>133</v>
      </c>
      <c r="G112" s="251"/>
      <c r="H112" s="252">
        <v>1</v>
      </c>
      <c r="I112" s="252">
        <v>2</v>
      </c>
      <c r="J112" s="252">
        <v>3</v>
      </c>
      <c r="K112" s="252">
        <v>3</v>
      </c>
      <c r="L112" s="253">
        <v>3</v>
      </c>
      <c r="M112" s="254">
        <f t="shared" si="4"/>
        <v>1.123005955058592</v>
      </c>
      <c r="N112" s="255"/>
    </row>
    <row r="113" spans="1:14" hidden="1" x14ac:dyDescent="0.2">
      <c r="A113" s="420" t="s">
        <v>384</v>
      </c>
      <c r="B113" s="421" t="s">
        <v>457</v>
      </c>
      <c r="C113" s="422" t="s">
        <v>18</v>
      </c>
      <c r="D113" s="252" t="s">
        <v>135</v>
      </c>
      <c r="E113" s="423">
        <v>3.6886359893277133E-2</v>
      </c>
      <c r="F113" s="250" t="s">
        <v>133</v>
      </c>
      <c r="G113" s="251"/>
      <c r="H113" s="252">
        <v>1</v>
      </c>
      <c r="I113" s="252">
        <v>2</v>
      </c>
      <c r="J113" s="252">
        <v>3</v>
      </c>
      <c r="K113" s="252">
        <v>3</v>
      </c>
      <c r="L113" s="253">
        <v>3</v>
      </c>
      <c r="M113" s="254">
        <f t="shared" si="4"/>
        <v>1.123005955058592</v>
      </c>
      <c r="N113" s="255"/>
    </row>
    <row r="114" spans="1:14" hidden="1" x14ac:dyDescent="0.2">
      <c r="A114" s="420" t="s">
        <v>384</v>
      </c>
      <c r="B114" s="421" t="s">
        <v>457</v>
      </c>
      <c r="C114" s="422" t="s">
        <v>20</v>
      </c>
      <c r="D114" s="252" t="s">
        <v>135</v>
      </c>
      <c r="E114" s="423">
        <v>3.52435850983234E-3</v>
      </c>
      <c r="F114" s="250" t="s">
        <v>133</v>
      </c>
      <c r="G114" s="251"/>
      <c r="H114" s="252">
        <v>1</v>
      </c>
      <c r="I114" s="252">
        <v>2</v>
      </c>
      <c r="J114" s="252">
        <v>3</v>
      </c>
      <c r="K114" s="252">
        <v>3</v>
      </c>
      <c r="L114" s="253">
        <v>3</v>
      </c>
      <c r="M114" s="254">
        <f t="shared" si="4"/>
        <v>1.123005955058592</v>
      </c>
      <c r="N114" s="255"/>
    </row>
    <row r="115" spans="1:14" hidden="1" x14ac:dyDescent="0.2">
      <c r="A115" s="420" t="s">
        <v>384</v>
      </c>
      <c r="B115" s="421" t="s">
        <v>457</v>
      </c>
      <c r="C115" s="422" t="s">
        <v>20</v>
      </c>
      <c r="D115" s="252" t="s">
        <v>135</v>
      </c>
      <c r="E115" s="423">
        <v>4.4876831691865127E-2</v>
      </c>
      <c r="F115" s="250" t="s">
        <v>133</v>
      </c>
      <c r="G115" s="251"/>
      <c r="H115" s="252">
        <v>1</v>
      </c>
      <c r="I115" s="252">
        <v>2</v>
      </c>
      <c r="J115" s="252">
        <v>3</v>
      </c>
      <c r="K115" s="252">
        <v>3</v>
      </c>
      <c r="L115" s="253">
        <v>3</v>
      </c>
      <c r="M115" s="254">
        <f t="shared" si="4"/>
        <v>1.123005955058592</v>
      </c>
      <c r="N115" s="255"/>
    </row>
    <row r="116" spans="1:14" hidden="1" x14ac:dyDescent="0.2">
      <c r="A116" s="420" t="s">
        <v>384</v>
      </c>
      <c r="B116" s="421" t="s">
        <v>457</v>
      </c>
      <c r="C116" s="422" t="s">
        <v>22</v>
      </c>
      <c r="D116" s="252" t="s">
        <v>135</v>
      </c>
      <c r="E116" s="423">
        <v>2.3530089923910541E-3</v>
      </c>
      <c r="F116" s="250" t="s">
        <v>133</v>
      </c>
      <c r="G116" s="251"/>
      <c r="H116" s="252">
        <v>1</v>
      </c>
      <c r="I116" s="252">
        <v>2</v>
      </c>
      <c r="J116" s="252">
        <v>3</v>
      </c>
      <c r="K116" s="252">
        <v>3</v>
      </c>
      <c r="L116" s="253">
        <v>3</v>
      </c>
      <c r="M116" s="254">
        <f t="shared" si="4"/>
        <v>1.123005955058592</v>
      </c>
      <c r="N116" s="255"/>
    </row>
    <row r="117" spans="1:14" hidden="1" x14ac:dyDescent="0.2">
      <c r="A117" s="420" t="s">
        <v>384</v>
      </c>
      <c r="B117" s="421" t="s">
        <v>457</v>
      </c>
      <c r="C117" s="422" t="s">
        <v>22</v>
      </c>
      <c r="D117" s="252" t="s">
        <v>135</v>
      </c>
      <c r="E117" s="423">
        <v>2.9961647836446101E-2</v>
      </c>
      <c r="F117" s="250" t="s">
        <v>133</v>
      </c>
      <c r="G117" s="251"/>
      <c r="H117" s="252">
        <v>1</v>
      </c>
      <c r="I117" s="252">
        <v>2</v>
      </c>
      <c r="J117" s="252">
        <v>3</v>
      </c>
      <c r="K117" s="252">
        <v>3</v>
      </c>
      <c r="L117" s="253">
        <v>3</v>
      </c>
      <c r="M117" s="254">
        <f t="shared" si="4"/>
        <v>1.123005955058592</v>
      </c>
      <c r="N117" s="255"/>
    </row>
    <row r="118" spans="1:14" hidden="1" x14ac:dyDescent="0.2">
      <c r="A118" s="420" t="s">
        <v>384</v>
      </c>
      <c r="B118" s="421" t="s">
        <v>457</v>
      </c>
      <c r="C118" s="422" t="s">
        <v>23</v>
      </c>
      <c r="D118" s="252" t="s">
        <v>135</v>
      </c>
      <c r="E118" s="423">
        <v>2.366876379327382E-3</v>
      </c>
      <c r="F118" s="250" t="s">
        <v>133</v>
      </c>
      <c r="G118" s="251"/>
      <c r="H118" s="252">
        <v>1</v>
      </c>
      <c r="I118" s="252">
        <v>2</v>
      </c>
      <c r="J118" s="252">
        <v>3</v>
      </c>
      <c r="K118" s="252">
        <v>3</v>
      </c>
      <c r="L118" s="253">
        <v>3</v>
      </c>
      <c r="M118" s="254">
        <f t="shared" si="4"/>
        <v>1.123005955058592</v>
      </c>
      <c r="N118" s="255"/>
    </row>
    <row r="119" spans="1:14" hidden="1" x14ac:dyDescent="0.2">
      <c r="A119" s="420" t="s">
        <v>384</v>
      </c>
      <c r="B119" s="421" t="s">
        <v>457</v>
      </c>
      <c r="C119" s="422" t="s">
        <v>23</v>
      </c>
      <c r="D119" s="252" t="s">
        <v>135</v>
      </c>
      <c r="E119" s="423">
        <v>3.0138225896768671E-2</v>
      </c>
      <c r="F119" s="250" t="s">
        <v>133</v>
      </c>
      <c r="G119" s="251"/>
      <c r="H119" s="252">
        <v>1</v>
      </c>
      <c r="I119" s="252">
        <v>2</v>
      </c>
      <c r="J119" s="252">
        <v>3</v>
      </c>
      <c r="K119" s="252">
        <v>3</v>
      </c>
      <c r="L119" s="253">
        <v>3</v>
      </c>
      <c r="M119" s="254">
        <f t="shared" si="4"/>
        <v>1.123005955058592</v>
      </c>
      <c r="N119" s="255"/>
    </row>
    <row r="120" spans="1:14" hidden="1" x14ac:dyDescent="0.2">
      <c r="A120" s="420" t="s">
        <v>384</v>
      </c>
      <c r="B120" s="421" t="s">
        <v>457</v>
      </c>
      <c r="C120" s="422" t="s">
        <v>24</v>
      </c>
      <c r="D120" s="252" t="s">
        <v>135</v>
      </c>
      <c r="E120" s="423">
        <v>2.5022563325537732E-3</v>
      </c>
      <c r="F120" s="250" t="s">
        <v>133</v>
      </c>
      <c r="G120" s="251"/>
      <c r="H120" s="252">
        <v>1</v>
      </c>
      <c r="I120" s="252">
        <v>2</v>
      </c>
      <c r="J120" s="252">
        <v>3</v>
      </c>
      <c r="K120" s="252">
        <v>3</v>
      </c>
      <c r="L120" s="253">
        <v>3</v>
      </c>
      <c r="M120" s="254">
        <f t="shared" si="4"/>
        <v>1.123005955058592</v>
      </c>
      <c r="N120" s="255"/>
    </row>
    <row r="121" spans="1:14" hidden="1" x14ac:dyDescent="0.2">
      <c r="A121" s="420" t="s">
        <v>384</v>
      </c>
      <c r="B121" s="421" t="s">
        <v>457</v>
      </c>
      <c r="C121" s="422" t="s">
        <v>24</v>
      </c>
      <c r="D121" s="252" t="s">
        <v>135</v>
      </c>
      <c r="E121" s="423">
        <v>3.1862063967851378E-2</v>
      </c>
      <c r="F121" s="250" t="s">
        <v>133</v>
      </c>
      <c r="G121" s="251"/>
      <c r="H121" s="252">
        <v>1</v>
      </c>
      <c r="I121" s="252">
        <v>2</v>
      </c>
      <c r="J121" s="252">
        <v>3</v>
      </c>
      <c r="K121" s="252">
        <v>3</v>
      </c>
      <c r="L121" s="253">
        <v>3</v>
      </c>
      <c r="M121" s="254">
        <f t="shared" si="4"/>
        <v>1.123005955058592</v>
      </c>
      <c r="N121" s="255"/>
    </row>
    <row r="122" spans="1:14" hidden="1" x14ac:dyDescent="0.2">
      <c r="A122" s="420" t="s">
        <v>384</v>
      </c>
      <c r="B122" s="421" t="s">
        <v>457</v>
      </c>
      <c r="C122" s="422" t="s">
        <v>25</v>
      </c>
      <c r="D122" s="252" t="s">
        <v>135</v>
      </c>
      <c r="E122" s="423">
        <v>1.510655818702856E-3</v>
      </c>
      <c r="F122" s="250" t="s">
        <v>133</v>
      </c>
      <c r="G122" s="251"/>
      <c r="H122" s="252">
        <v>1</v>
      </c>
      <c r="I122" s="252">
        <v>2</v>
      </c>
      <c r="J122" s="252">
        <v>3</v>
      </c>
      <c r="K122" s="252">
        <v>3</v>
      </c>
      <c r="L122" s="253">
        <v>3</v>
      </c>
      <c r="M122" s="254">
        <f t="shared" si="4"/>
        <v>1.123005955058592</v>
      </c>
      <c r="N122" s="255"/>
    </row>
    <row r="123" spans="1:14" hidden="1" x14ac:dyDescent="0.2">
      <c r="A123" s="420" t="s">
        <v>384</v>
      </c>
      <c r="B123" s="421" t="s">
        <v>457</v>
      </c>
      <c r="C123" s="422" t="s">
        <v>25</v>
      </c>
      <c r="D123" s="252" t="s">
        <v>135</v>
      </c>
      <c r="E123" s="423">
        <v>1.9235684091483029E-2</v>
      </c>
      <c r="F123" s="250" t="s">
        <v>133</v>
      </c>
      <c r="G123" s="251"/>
      <c r="H123" s="252">
        <v>1</v>
      </c>
      <c r="I123" s="252">
        <v>2</v>
      </c>
      <c r="J123" s="252">
        <v>3</v>
      </c>
      <c r="K123" s="252">
        <v>3</v>
      </c>
      <c r="L123" s="253">
        <v>3</v>
      </c>
      <c r="M123" s="254">
        <f t="shared" si="4"/>
        <v>1.123005955058592</v>
      </c>
      <c r="N123" s="255"/>
    </row>
    <row r="124" spans="1:14" hidden="1" x14ac:dyDescent="0.2">
      <c r="A124" s="420" t="s">
        <v>384</v>
      </c>
      <c r="B124" s="421" t="s">
        <v>457</v>
      </c>
      <c r="C124" s="422" t="s">
        <v>26</v>
      </c>
      <c r="D124" s="252" t="s">
        <v>135</v>
      </c>
      <c r="E124" s="423">
        <v>1.262887446885602E-3</v>
      </c>
      <c r="F124" s="250" t="s">
        <v>133</v>
      </c>
      <c r="G124" s="251"/>
      <c r="H124" s="252">
        <v>1</v>
      </c>
      <c r="I124" s="252">
        <v>2</v>
      </c>
      <c r="J124" s="252">
        <v>3</v>
      </c>
      <c r="K124" s="252">
        <v>3</v>
      </c>
      <c r="L124" s="253">
        <v>3</v>
      </c>
      <c r="M124" s="254">
        <f t="shared" si="4"/>
        <v>1.123005955058592</v>
      </c>
      <c r="N124" s="255"/>
    </row>
    <row r="125" spans="1:14" hidden="1" x14ac:dyDescent="0.2">
      <c r="A125" s="420" t="s">
        <v>384</v>
      </c>
      <c r="B125" s="421" t="s">
        <v>457</v>
      </c>
      <c r="C125" s="422" t="s">
        <v>26</v>
      </c>
      <c r="D125" s="252" t="s">
        <v>135</v>
      </c>
      <c r="E125" s="423">
        <v>1.6080766823676668E-2</v>
      </c>
      <c r="F125" s="250" t="s">
        <v>133</v>
      </c>
      <c r="G125" s="251"/>
      <c r="H125" s="252">
        <v>1</v>
      </c>
      <c r="I125" s="252">
        <v>2</v>
      </c>
      <c r="J125" s="252">
        <v>3</v>
      </c>
      <c r="K125" s="252">
        <v>3</v>
      </c>
      <c r="L125" s="253">
        <v>3</v>
      </c>
      <c r="M125" s="254">
        <f t="shared" si="4"/>
        <v>1.123005955058592</v>
      </c>
      <c r="N125" s="255"/>
    </row>
    <row r="126" spans="1:14" hidden="1" x14ac:dyDescent="0.2">
      <c r="A126" s="420" t="s">
        <v>384</v>
      </c>
      <c r="B126" s="421" t="s">
        <v>457</v>
      </c>
      <c r="C126" s="422" t="s">
        <v>27</v>
      </c>
      <c r="D126" s="252" t="s">
        <v>135</v>
      </c>
      <c r="E126" s="423">
        <v>1.1675121051418029E-3</v>
      </c>
      <c r="F126" s="250" t="s">
        <v>133</v>
      </c>
      <c r="G126" s="251"/>
      <c r="H126" s="252">
        <v>1</v>
      </c>
      <c r="I126" s="252">
        <v>2</v>
      </c>
      <c r="J126" s="252">
        <v>3</v>
      </c>
      <c r="K126" s="252">
        <v>3</v>
      </c>
      <c r="L126" s="253">
        <v>3</v>
      </c>
      <c r="M126" s="254">
        <f t="shared" si="4"/>
        <v>1.123005955058592</v>
      </c>
      <c r="N126" s="255"/>
    </row>
    <row r="127" spans="1:14" hidden="1" x14ac:dyDescent="0.2">
      <c r="A127" s="420" t="s">
        <v>384</v>
      </c>
      <c r="B127" s="421" t="s">
        <v>457</v>
      </c>
      <c r="C127" s="422" t="s">
        <v>27</v>
      </c>
      <c r="D127" s="252" t="s">
        <v>135</v>
      </c>
      <c r="E127" s="423">
        <v>1.4866320805472301E-2</v>
      </c>
      <c r="F127" s="250" t="s">
        <v>133</v>
      </c>
      <c r="G127" s="251"/>
      <c r="H127" s="252">
        <v>1</v>
      </c>
      <c r="I127" s="252">
        <v>2</v>
      </c>
      <c r="J127" s="252">
        <v>3</v>
      </c>
      <c r="K127" s="252">
        <v>3</v>
      </c>
      <c r="L127" s="253">
        <v>3</v>
      </c>
      <c r="M127" s="254">
        <f t="shared" si="4"/>
        <v>1.123005955058592</v>
      </c>
      <c r="N127" s="255"/>
    </row>
    <row r="128" spans="1:14" hidden="1" x14ac:dyDescent="0.2">
      <c r="A128" s="420" t="s">
        <v>384</v>
      </c>
      <c r="B128" s="421" t="s">
        <v>457</v>
      </c>
      <c r="C128" s="422" t="s">
        <v>28</v>
      </c>
      <c r="D128" s="252" t="s">
        <v>135</v>
      </c>
      <c r="E128" s="423">
        <v>2.4974472149939058E-3</v>
      </c>
      <c r="F128" s="250" t="s">
        <v>133</v>
      </c>
      <c r="G128" s="251"/>
      <c r="H128" s="252">
        <v>1</v>
      </c>
      <c r="I128" s="252">
        <v>2</v>
      </c>
      <c r="J128" s="252">
        <v>3</v>
      </c>
      <c r="K128" s="252">
        <v>3</v>
      </c>
      <c r="L128" s="253">
        <v>3</v>
      </c>
      <c r="M128" s="254">
        <f t="shared" si="4"/>
        <v>1.123005955058592</v>
      </c>
      <c r="N128" s="255"/>
    </row>
    <row r="129" spans="1:14" hidden="1" x14ac:dyDescent="0.2">
      <c r="A129" s="420" t="s">
        <v>384</v>
      </c>
      <c r="B129" s="421" t="s">
        <v>457</v>
      </c>
      <c r="C129" s="422" t="s">
        <v>28</v>
      </c>
      <c r="D129" s="252" t="s">
        <v>135</v>
      </c>
      <c r="E129" s="423">
        <v>3.1800827870922407E-2</v>
      </c>
      <c r="F129" s="250" t="s">
        <v>133</v>
      </c>
      <c r="G129" s="251"/>
      <c r="H129" s="252">
        <v>1</v>
      </c>
      <c r="I129" s="252">
        <v>2</v>
      </c>
      <c r="J129" s="252">
        <v>3</v>
      </c>
      <c r="K129" s="252">
        <v>3</v>
      </c>
      <c r="L129" s="253">
        <v>3</v>
      </c>
      <c r="M129" s="254">
        <f t="shared" si="4"/>
        <v>1.123005955058592</v>
      </c>
      <c r="N129" s="255"/>
    </row>
    <row r="130" spans="1:14" hidden="1" x14ac:dyDescent="0.2">
      <c r="A130" s="420" t="s">
        <v>384</v>
      </c>
      <c r="B130" s="421" t="s">
        <v>457</v>
      </c>
      <c r="C130" s="422" t="s">
        <v>30</v>
      </c>
      <c r="D130" s="252" t="s">
        <v>135</v>
      </c>
      <c r="E130" s="423">
        <v>1.5E-3</v>
      </c>
      <c r="F130" s="250" t="s">
        <v>133</v>
      </c>
      <c r="G130" s="251"/>
      <c r="H130" s="252">
        <v>1</v>
      </c>
      <c r="I130" s="252">
        <v>2</v>
      </c>
      <c r="J130" s="252">
        <v>3</v>
      </c>
      <c r="K130" s="252">
        <v>3</v>
      </c>
      <c r="L130" s="253">
        <v>3</v>
      </c>
      <c r="M130" s="254">
        <f>IF( OR( ISBLANK(H130),ISBLANK(I130), ISBLANK(J130), ISBLANK(K130), ISBLANK(L130) ), "", 1.5*SQRT(   EXP(2.21*(H130-1)) + EXP(2.21*(I130-1)) + EXP(2.21*(J130-1)) + EXP(2.21*(K130-1)) + EXP(2.21*L130)   )/100*2.45 )</f>
        <v>1.123005955058592</v>
      </c>
      <c r="N130" s="255"/>
    </row>
    <row r="131" spans="1:14" hidden="1" x14ac:dyDescent="0.2">
      <c r="A131" s="420" t="s">
        <v>384</v>
      </c>
      <c r="B131" s="421" t="s">
        <v>457</v>
      </c>
      <c r="C131" s="422" t="s">
        <v>30</v>
      </c>
      <c r="D131" s="252" t="s">
        <v>135</v>
      </c>
      <c r="E131" s="423">
        <v>1.9099999999999999E-2</v>
      </c>
      <c r="F131" s="250" t="s">
        <v>133</v>
      </c>
      <c r="G131" s="251"/>
      <c r="H131" s="252">
        <v>1</v>
      </c>
      <c r="I131" s="252">
        <v>2</v>
      </c>
      <c r="J131" s="252">
        <v>3</v>
      </c>
      <c r="K131" s="252">
        <v>3</v>
      </c>
      <c r="L131" s="253">
        <v>3</v>
      </c>
      <c r="M131" s="254">
        <f t="shared" ref="M131:M162" si="5">IF( OR( ISBLANK(H131),ISBLANK(I131), ISBLANK(J131), ISBLANK(K131), ISBLANK(L131) ), "", 1.5*SQRT( EXP(2.21*(H131-1)) + EXP(2.21*(I131-1)) + EXP(2.21*(J131-1)) + EXP(2.21*(K131-1)) + EXP(2.21*L131) )/100*2.45 )</f>
        <v>1.123005955058592</v>
      </c>
      <c r="N131" s="255"/>
    </row>
    <row r="132" spans="1:14" hidden="1" x14ac:dyDescent="0.2">
      <c r="A132" s="420" t="s">
        <v>384</v>
      </c>
      <c r="B132" s="421" t="s">
        <v>457</v>
      </c>
      <c r="C132" s="422" t="s">
        <v>32</v>
      </c>
      <c r="D132" s="252" t="s">
        <v>135</v>
      </c>
      <c r="E132" s="423">
        <v>4.7344938897855666E-3</v>
      </c>
      <c r="F132" s="250" t="s">
        <v>133</v>
      </c>
      <c r="G132" s="251"/>
      <c r="H132" s="252">
        <v>1</v>
      </c>
      <c r="I132" s="252">
        <v>2</v>
      </c>
      <c r="J132" s="252">
        <v>3</v>
      </c>
      <c r="K132" s="252">
        <v>3</v>
      </c>
      <c r="L132" s="253">
        <v>3</v>
      </c>
      <c r="M132" s="254">
        <f t="shared" si="5"/>
        <v>1.123005955058592</v>
      </c>
      <c r="N132" s="255"/>
    </row>
    <row r="133" spans="1:14" hidden="1" x14ac:dyDescent="0.2">
      <c r="A133" s="420" t="s">
        <v>384</v>
      </c>
      <c r="B133" s="421" t="s">
        <v>457</v>
      </c>
      <c r="C133" s="422" t="s">
        <v>32</v>
      </c>
      <c r="D133" s="252" t="s">
        <v>135</v>
      </c>
      <c r="E133" s="423">
        <v>6.0285888863269549E-2</v>
      </c>
      <c r="F133" s="250" t="s">
        <v>133</v>
      </c>
      <c r="G133" s="251"/>
      <c r="H133" s="252">
        <v>1</v>
      </c>
      <c r="I133" s="252">
        <v>2</v>
      </c>
      <c r="J133" s="252">
        <v>3</v>
      </c>
      <c r="K133" s="252">
        <v>3</v>
      </c>
      <c r="L133" s="253">
        <v>3</v>
      </c>
      <c r="M133" s="254">
        <f t="shared" si="5"/>
        <v>1.123005955058592</v>
      </c>
      <c r="N133" s="255"/>
    </row>
    <row r="134" spans="1:14" hidden="1" x14ac:dyDescent="0.2">
      <c r="A134" s="420" t="s">
        <v>384</v>
      </c>
      <c r="B134" s="421" t="s">
        <v>457</v>
      </c>
      <c r="C134" s="422" t="s">
        <v>34</v>
      </c>
      <c r="D134" s="252" t="s">
        <v>135</v>
      </c>
      <c r="E134" s="423">
        <v>2.3875951118284529E-3</v>
      </c>
      <c r="F134" s="250" t="s">
        <v>133</v>
      </c>
      <c r="G134" s="251"/>
      <c r="H134" s="252">
        <v>1</v>
      </c>
      <c r="I134" s="252">
        <v>2</v>
      </c>
      <c r="J134" s="252">
        <v>3</v>
      </c>
      <c r="K134" s="252">
        <v>3</v>
      </c>
      <c r="L134" s="253">
        <v>3</v>
      </c>
      <c r="M134" s="254">
        <f t="shared" si="5"/>
        <v>1.123005955058592</v>
      </c>
      <c r="N134" s="255"/>
    </row>
    <row r="135" spans="1:14" hidden="1" x14ac:dyDescent="0.2">
      <c r="A135" s="420" t="s">
        <v>384</v>
      </c>
      <c r="B135" s="421" t="s">
        <v>457</v>
      </c>
      <c r="C135" s="422" t="s">
        <v>34</v>
      </c>
      <c r="D135" s="252" t="s">
        <v>135</v>
      </c>
      <c r="E135" s="423">
        <v>3.0402044423948969E-2</v>
      </c>
      <c r="F135" s="250" t="s">
        <v>133</v>
      </c>
      <c r="G135" s="251"/>
      <c r="H135" s="252">
        <v>1</v>
      </c>
      <c r="I135" s="252">
        <v>2</v>
      </c>
      <c r="J135" s="252">
        <v>3</v>
      </c>
      <c r="K135" s="252">
        <v>3</v>
      </c>
      <c r="L135" s="253">
        <v>3</v>
      </c>
      <c r="M135" s="254">
        <f t="shared" si="5"/>
        <v>1.123005955058592</v>
      </c>
      <c r="N135" s="255"/>
    </row>
    <row r="136" spans="1:14" hidden="1" x14ac:dyDescent="0.2">
      <c r="A136" s="420" t="s">
        <v>384</v>
      </c>
      <c r="B136" s="421" t="s">
        <v>457</v>
      </c>
      <c r="C136" s="422" t="s">
        <v>36</v>
      </c>
      <c r="D136" s="252" t="s">
        <v>135</v>
      </c>
      <c r="E136" s="423">
        <v>1.4018248295398399E-3</v>
      </c>
      <c r="F136" s="250" t="s">
        <v>133</v>
      </c>
      <c r="G136" s="251"/>
      <c r="H136" s="252">
        <v>1</v>
      </c>
      <c r="I136" s="252">
        <v>2</v>
      </c>
      <c r="J136" s="252">
        <v>3</v>
      </c>
      <c r="K136" s="252">
        <v>3</v>
      </c>
      <c r="L136" s="253">
        <v>3</v>
      </c>
      <c r="M136" s="254">
        <f t="shared" si="5"/>
        <v>1.123005955058592</v>
      </c>
      <c r="N136" s="255"/>
    </row>
    <row r="137" spans="1:14" hidden="1" x14ac:dyDescent="0.2">
      <c r="A137" s="420" t="s">
        <v>384</v>
      </c>
      <c r="B137" s="421" t="s">
        <v>457</v>
      </c>
      <c r="C137" s="422" t="s">
        <v>36</v>
      </c>
      <c r="D137" s="252" t="s">
        <v>135</v>
      </c>
      <c r="E137" s="423">
        <v>1.784990282947397E-2</v>
      </c>
      <c r="F137" s="250" t="s">
        <v>133</v>
      </c>
      <c r="G137" s="251"/>
      <c r="H137" s="252">
        <v>1</v>
      </c>
      <c r="I137" s="252">
        <v>2</v>
      </c>
      <c r="J137" s="252">
        <v>3</v>
      </c>
      <c r="K137" s="252">
        <v>3</v>
      </c>
      <c r="L137" s="253">
        <v>3</v>
      </c>
      <c r="M137" s="254">
        <f t="shared" si="5"/>
        <v>1.123005955058592</v>
      </c>
      <c r="N137" s="255"/>
    </row>
    <row r="138" spans="1:14" hidden="1" x14ac:dyDescent="0.2">
      <c r="A138" s="420" t="s">
        <v>384</v>
      </c>
      <c r="B138" s="421" t="s">
        <v>457</v>
      </c>
      <c r="C138" s="422" t="s">
        <v>37</v>
      </c>
      <c r="D138" s="252" t="s">
        <v>135</v>
      </c>
      <c r="E138" s="423">
        <v>3.4927369149181462E-3</v>
      </c>
      <c r="F138" s="250" t="s">
        <v>133</v>
      </c>
      <c r="G138" s="251"/>
      <c r="H138" s="252">
        <v>1</v>
      </c>
      <c r="I138" s="252">
        <v>2</v>
      </c>
      <c r="J138" s="252">
        <v>3</v>
      </c>
      <c r="K138" s="252">
        <v>3</v>
      </c>
      <c r="L138" s="253">
        <v>3</v>
      </c>
      <c r="M138" s="254">
        <f t="shared" si="5"/>
        <v>1.123005955058592</v>
      </c>
      <c r="N138" s="255"/>
    </row>
    <row r="139" spans="1:14" hidden="1" x14ac:dyDescent="0.2">
      <c r="A139" s="420" t="s">
        <v>384</v>
      </c>
      <c r="B139" s="421" t="s">
        <v>457</v>
      </c>
      <c r="C139" s="422" t="s">
        <v>37</v>
      </c>
      <c r="D139" s="252" t="s">
        <v>135</v>
      </c>
      <c r="E139" s="423">
        <v>4.4474183383291059E-2</v>
      </c>
      <c r="F139" s="250" t="s">
        <v>133</v>
      </c>
      <c r="G139" s="251"/>
      <c r="H139" s="252">
        <v>1</v>
      </c>
      <c r="I139" s="252">
        <v>2</v>
      </c>
      <c r="J139" s="252">
        <v>3</v>
      </c>
      <c r="K139" s="252">
        <v>3</v>
      </c>
      <c r="L139" s="253">
        <v>3</v>
      </c>
      <c r="M139" s="254">
        <f t="shared" si="5"/>
        <v>1.123005955058592</v>
      </c>
      <c r="N139" s="255"/>
    </row>
    <row r="140" spans="1:14" hidden="1" x14ac:dyDescent="0.2">
      <c r="A140" s="420" t="s">
        <v>384</v>
      </c>
      <c r="B140" s="421" t="s">
        <v>457</v>
      </c>
      <c r="C140" s="422" t="s">
        <v>39</v>
      </c>
      <c r="D140" s="252" t="s">
        <v>135</v>
      </c>
      <c r="E140" s="423">
        <v>1.5892321881484899E-3</v>
      </c>
      <c r="F140" s="250" t="s">
        <v>133</v>
      </c>
      <c r="G140" s="251"/>
      <c r="H140" s="252">
        <v>1</v>
      </c>
      <c r="I140" s="252">
        <v>2</v>
      </c>
      <c r="J140" s="252">
        <v>3</v>
      </c>
      <c r="K140" s="252">
        <v>3</v>
      </c>
      <c r="L140" s="253">
        <v>3</v>
      </c>
      <c r="M140" s="254">
        <f t="shared" si="5"/>
        <v>1.123005955058592</v>
      </c>
      <c r="N140" s="255"/>
    </row>
    <row r="141" spans="1:14" hidden="1" x14ac:dyDescent="0.2">
      <c r="A141" s="420" t="s">
        <v>384</v>
      </c>
      <c r="B141" s="421" t="s">
        <v>457</v>
      </c>
      <c r="C141" s="422" t="s">
        <v>39</v>
      </c>
      <c r="D141" s="252" t="s">
        <v>135</v>
      </c>
      <c r="E141" s="423">
        <v>2.0236223195757439E-2</v>
      </c>
      <c r="F141" s="250" t="s">
        <v>133</v>
      </c>
      <c r="G141" s="251"/>
      <c r="H141" s="252">
        <v>1</v>
      </c>
      <c r="I141" s="252">
        <v>2</v>
      </c>
      <c r="J141" s="252">
        <v>3</v>
      </c>
      <c r="K141" s="252">
        <v>3</v>
      </c>
      <c r="L141" s="253">
        <v>3</v>
      </c>
      <c r="M141" s="254">
        <f t="shared" si="5"/>
        <v>1.123005955058592</v>
      </c>
      <c r="N141" s="255"/>
    </row>
    <row r="142" spans="1:14" hidden="1" x14ac:dyDescent="0.2">
      <c r="A142" s="420" t="s">
        <v>384</v>
      </c>
      <c r="B142" s="421" t="s">
        <v>457</v>
      </c>
      <c r="C142" s="422" t="s">
        <v>40</v>
      </c>
      <c r="D142" s="252" t="s">
        <v>135</v>
      </c>
      <c r="E142" s="423">
        <v>1.6319378108633361E-3</v>
      </c>
      <c r="F142" s="250" t="s">
        <v>133</v>
      </c>
      <c r="G142" s="251"/>
      <c r="H142" s="252">
        <v>1</v>
      </c>
      <c r="I142" s="252">
        <v>2</v>
      </c>
      <c r="J142" s="252">
        <v>3</v>
      </c>
      <c r="K142" s="252">
        <v>3</v>
      </c>
      <c r="L142" s="253">
        <v>3</v>
      </c>
      <c r="M142" s="254">
        <f t="shared" si="5"/>
        <v>1.123005955058592</v>
      </c>
      <c r="N142" s="255"/>
    </row>
    <row r="143" spans="1:14" hidden="1" x14ac:dyDescent="0.2">
      <c r="A143" s="420" t="s">
        <v>384</v>
      </c>
      <c r="B143" s="421" t="s">
        <v>457</v>
      </c>
      <c r="C143" s="422" t="s">
        <v>40</v>
      </c>
      <c r="D143" s="252" t="s">
        <v>135</v>
      </c>
      <c r="E143" s="423">
        <v>2.078000812499315E-2</v>
      </c>
      <c r="F143" s="250" t="s">
        <v>133</v>
      </c>
      <c r="G143" s="251"/>
      <c r="H143" s="252">
        <v>1</v>
      </c>
      <c r="I143" s="252">
        <v>2</v>
      </c>
      <c r="J143" s="252">
        <v>3</v>
      </c>
      <c r="K143" s="252">
        <v>3</v>
      </c>
      <c r="L143" s="253">
        <v>3</v>
      </c>
      <c r="M143" s="254">
        <f t="shared" si="5"/>
        <v>1.123005955058592</v>
      </c>
      <c r="N143" s="255"/>
    </row>
    <row r="144" spans="1:14" hidden="1" x14ac:dyDescent="0.2">
      <c r="A144" s="420" t="s">
        <v>384</v>
      </c>
      <c r="B144" s="421" t="s">
        <v>457</v>
      </c>
      <c r="C144" s="422" t="s">
        <v>41</v>
      </c>
      <c r="D144" s="252" t="s">
        <v>135</v>
      </c>
      <c r="E144" s="423">
        <v>2.0270101123225411E-3</v>
      </c>
      <c r="F144" s="250" t="s">
        <v>133</v>
      </c>
      <c r="G144" s="251"/>
      <c r="H144" s="252">
        <v>1</v>
      </c>
      <c r="I144" s="252">
        <v>2</v>
      </c>
      <c r="J144" s="252">
        <v>3</v>
      </c>
      <c r="K144" s="252">
        <v>3</v>
      </c>
      <c r="L144" s="253">
        <v>3</v>
      </c>
      <c r="M144" s="254">
        <f t="shared" si="5"/>
        <v>1.123005955058592</v>
      </c>
      <c r="N144" s="255"/>
    </row>
    <row r="145" spans="1:14" hidden="1" x14ac:dyDescent="0.2">
      <c r="A145" s="420" t="s">
        <v>384</v>
      </c>
      <c r="B145" s="421" t="s">
        <v>457</v>
      </c>
      <c r="C145" s="422" t="s">
        <v>41</v>
      </c>
      <c r="D145" s="252" t="s">
        <v>135</v>
      </c>
      <c r="E145" s="423">
        <v>2.5810595430240349E-2</v>
      </c>
      <c r="F145" s="250" t="s">
        <v>133</v>
      </c>
      <c r="G145" s="251"/>
      <c r="H145" s="252">
        <v>1</v>
      </c>
      <c r="I145" s="252">
        <v>2</v>
      </c>
      <c r="J145" s="252">
        <v>3</v>
      </c>
      <c r="K145" s="252">
        <v>3</v>
      </c>
      <c r="L145" s="253">
        <v>3</v>
      </c>
      <c r="M145" s="254">
        <f t="shared" si="5"/>
        <v>1.123005955058592</v>
      </c>
      <c r="N145" s="255"/>
    </row>
    <row r="146" spans="1:14" hidden="1" x14ac:dyDescent="0.2">
      <c r="A146" s="420" t="s">
        <v>384</v>
      </c>
      <c r="B146" s="421" t="s">
        <v>457</v>
      </c>
      <c r="C146" s="422" t="s">
        <v>42</v>
      </c>
      <c r="D146" s="252" t="s">
        <v>135</v>
      </c>
      <c r="E146" s="423">
        <v>1.01162752396324E-3</v>
      </c>
      <c r="F146" s="250" t="s">
        <v>133</v>
      </c>
      <c r="G146" s="251"/>
      <c r="H146" s="252">
        <v>1</v>
      </c>
      <c r="I146" s="252">
        <v>2</v>
      </c>
      <c r="J146" s="252">
        <v>3</v>
      </c>
      <c r="K146" s="252">
        <v>3</v>
      </c>
      <c r="L146" s="253">
        <v>3</v>
      </c>
      <c r="M146" s="254">
        <f t="shared" si="5"/>
        <v>1.123005955058592</v>
      </c>
      <c r="N146" s="255"/>
    </row>
    <row r="147" spans="1:14" hidden="1" x14ac:dyDescent="0.2">
      <c r="A147" s="420" t="s">
        <v>384</v>
      </c>
      <c r="B147" s="421" t="s">
        <v>457</v>
      </c>
      <c r="C147" s="422" t="s">
        <v>42</v>
      </c>
      <c r="D147" s="252" t="s">
        <v>135</v>
      </c>
      <c r="E147" s="423">
        <v>1.2881390471798589E-2</v>
      </c>
      <c r="F147" s="250" t="s">
        <v>133</v>
      </c>
      <c r="G147" s="251"/>
      <c r="H147" s="252">
        <v>1</v>
      </c>
      <c r="I147" s="252">
        <v>2</v>
      </c>
      <c r="J147" s="252">
        <v>3</v>
      </c>
      <c r="K147" s="252">
        <v>3</v>
      </c>
      <c r="L147" s="253">
        <v>3</v>
      </c>
      <c r="M147" s="254">
        <f t="shared" si="5"/>
        <v>1.123005955058592</v>
      </c>
      <c r="N147" s="255"/>
    </row>
    <row r="148" spans="1:14" hidden="1" x14ac:dyDescent="0.2">
      <c r="A148" s="420" t="s">
        <v>384</v>
      </c>
      <c r="B148" s="421" t="s">
        <v>457</v>
      </c>
      <c r="C148" s="422" t="s">
        <v>43</v>
      </c>
      <c r="D148" s="252" t="s">
        <v>135</v>
      </c>
      <c r="E148" s="423">
        <v>1.8618860963799859E-3</v>
      </c>
      <c r="F148" s="250" t="s">
        <v>133</v>
      </c>
      <c r="G148" s="251"/>
      <c r="H148" s="252">
        <v>1</v>
      </c>
      <c r="I148" s="252">
        <v>2</v>
      </c>
      <c r="J148" s="252">
        <v>3</v>
      </c>
      <c r="K148" s="252">
        <v>3</v>
      </c>
      <c r="L148" s="253">
        <v>3</v>
      </c>
      <c r="M148" s="254">
        <f t="shared" si="5"/>
        <v>1.123005955058592</v>
      </c>
      <c r="N148" s="255"/>
    </row>
    <row r="149" spans="1:14" hidden="1" x14ac:dyDescent="0.2">
      <c r="A149" s="420" t="s">
        <v>384</v>
      </c>
      <c r="B149" s="421" t="s">
        <v>457</v>
      </c>
      <c r="C149" s="422" t="s">
        <v>43</v>
      </c>
      <c r="D149" s="252" t="s">
        <v>135</v>
      </c>
      <c r="E149" s="423">
        <v>2.3708016293905159E-2</v>
      </c>
      <c r="F149" s="250" t="s">
        <v>133</v>
      </c>
      <c r="G149" s="251"/>
      <c r="H149" s="252">
        <v>1</v>
      </c>
      <c r="I149" s="252">
        <v>2</v>
      </c>
      <c r="J149" s="252">
        <v>3</v>
      </c>
      <c r="K149" s="252">
        <v>3</v>
      </c>
      <c r="L149" s="253">
        <v>3</v>
      </c>
      <c r="M149" s="254">
        <f t="shared" si="5"/>
        <v>1.123005955058592</v>
      </c>
      <c r="N149" s="255"/>
    </row>
    <row r="150" spans="1:14" hidden="1" x14ac:dyDescent="0.2">
      <c r="A150" s="420" t="s">
        <v>384</v>
      </c>
      <c r="B150" s="421" t="s">
        <v>457</v>
      </c>
      <c r="C150" s="422" t="s">
        <v>45</v>
      </c>
      <c r="D150" s="252" t="s">
        <v>135</v>
      </c>
      <c r="E150" s="423">
        <v>1.066339470997069E-3</v>
      </c>
      <c r="F150" s="250" t="s">
        <v>133</v>
      </c>
      <c r="G150" s="251"/>
      <c r="H150" s="252">
        <v>1</v>
      </c>
      <c r="I150" s="252">
        <v>2</v>
      </c>
      <c r="J150" s="252">
        <v>3</v>
      </c>
      <c r="K150" s="252">
        <v>3</v>
      </c>
      <c r="L150" s="253">
        <v>3</v>
      </c>
      <c r="M150" s="254">
        <f t="shared" si="5"/>
        <v>1.123005955058592</v>
      </c>
      <c r="N150" s="255"/>
    </row>
    <row r="151" spans="1:14" hidden="1" x14ac:dyDescent="0.2">
      <c r="A151" s="420" t="s">
        <v>384</v>
      </c>
      <c r="B151" s="421" t="s">
        <v>457</v>
      </c>
      <c r="C151" s="422" t="s">
        <v>45</v>
      </c>
      <c r="D151" s="252" t="s">
        <v>135</v>
      </c>
      <c r="E151" s="423">
        <v>1.357805593069601E-2</v>
      </c>
      <c r="F151" s="250" t="s">
        <v>133</v>
      </c>
      <c r="G151" s="251"/>
      <c r="H151" s="252">
        <v>1</v>
      </c>
      <c r="I151" s="252">
        <v>2</v>
      </c>
      <c r="J151" s="252">
        <v>3</v>
      </c>
      <c r="K151" s="252">
        <v>3</v>
      </c>
      <c r="L151" s="253">
        <v>3</v>
      </c>
      <c r="M151" s="254">
        <f t="shared" si="5"/>
        <v>1.123005955058592</v>
      </c>
      <c r="N151" s="255"/>
    </row>
    <row r="152" spans="1:14" hidden="1" x14ac:dyDescent="0.2">
      <c r="A152" s="420" t="s">
        <v>384</v>
      </c>
      <c r="B152" s="421" t="s">
        <v>457</v>
      </c>
      <c r="C152" s="422" t="s">
        <v>46</v>
      </c>
      <c r="D152" s="252" t="s">
        <v>135</v>
      </c>
      <c r="E152" s="423">
        <v>3.3239731216443218E-3</v>
      </c>
      <c r="F152" s="250" t="s">
        <v>133</v>
      </c>
      <c r="G152" s="251"/>
      <c r="H152" s="252">
        <v>1</v>
      </c>
      <c r="I152" s="252">
        <v>2</v>
      </c>
      <c r="J152" s="252">
        <v>3</v>
      </c>
      <c r="K152" s="252">
        <v>3</v>
      </c>
      <c r="L152" s="253">
        <v>3</v>
      </c>
      <c r="M152" s="254">
        <f t="shared" si="5"/>
        <v>1.123005955058592</v>
      </c>
      <c r="N152" s="255"/>
    </row>
    <row r="153" spans="1:14" hidden="1" x14ac:dyDescent="0.2">
      <c r="A153" s="420" t="s">
        <v>384</v>
      </c>
      <c r="B153" s="421" t="s">
        <v>457</v>
      </c>
      <c r="C153" s="422" t="s">
        <v>46</v>
      </c>
      <c r="D153" s="252" t="s">
        <v>135</v>
      </c>
      <c r="E153" s="423">
        <v>4.2325257748937702E-2</v>
      </c>
      <c r="F153" s="250" t="s">
        <v>133</v>
      </c>
      <c r="G153" s="251"/>
      <c r="H153" s="252">
        <v>1</v>
      </c>
      <c r="I153" s="252">
        <v>2</v>
      </c>
      <c r="J153" s="252">
        <v>3</v>
      </c>
      <c r="K153" s="252">
        <v>3</v>
      </c>
      <c r="L153" s="253">
        <v>3</v>
      </c>
      <c r="M153" s="254">
        <f t="shared" si="5"/>
        <v>1.123005955058592</v>
      </c>
      <c r="N153" s="255"/>
    </row>
    <row r="154" spans="1:14" hidden="1" x14ac:dyDescent="0.2">
      <c r="A154" s="420" t="s">
        <v>384</v>
      </c>
      <c r="B154" s="421" t="s">
        <v>457</v>
      </c>
      <c r="C154" s="422" t="s">
        <v>48</v>
      </c>
      <c r="D154" s="252" t="s">
        <v>135</v>
      </c>
      <c r="E154" s="423">
        <v>2.852597252873942E-3</v>
      </c>
      <c r="F154" s="250" t="s">
        <v>133</v>
      </c>
      <c r="G154" s="251"/>
      <c r="H154" s="252">
        <v>1</v>
      </c>
      <c r="I154" s="252">
        <v>2</v>
      </c>
      <c r="J154" s="252">
        <v>3</v>
      </c>
      <c r="K154" s="252">
        <v>3</v>
      </c>
      <c r="L154" s="253">
        <v>3</v>
      </c>
      <c r="M154" s="254">
        <f t="shared" si="5"/>
        <v>1.123005955058592</v>
      </c>
      <c r="N154" s="255"/>
    </row>
    <row r="155" spans="1:14" hidden="1" x14ac:dyDescent="0.2">
      <c r="A155" s="420" t="s">
        <v>384</v>
      </c>
      <c r="B155" s="421" t="s">
        <v>457</v>
      </c>
      <c r="C155" s="422" t="s">
        <v>48</v>
      </c>
      <c r="D155" s="252" t="s">
        <v>135</v>
      </c>
      <c r="E155" s="423">
        <v>3.6323071686594863E-2</v>
      </c>
      <c r="F155" s="250" t="s">
        <v>133</v>
      </c>
      <c r="G155" s="251"/>
      <c r="H155" s="252">
        <v>1</v>
      </c>
      <c r="I155" s="252">
        <v>2</v>
      </c>
      <c r="J155" s="252">
        <v>3</v>
      </c>
      <c r="K155" s="252">
        <v>3</v>
      </c>
      <c r="L155" s="253">
        <v>3</v>
      </c>
      <c r="M155" s="254">
        <f t="shared" si="5"/>
        <v>1.123005955058592</v>
      </c>
      <c r="N155" s="255"/>
    </row>
    <row r="156" spans="1:14" hidden="1" x14ac:dyDescent="0.2">
      <c r="A156" s="420" t="s">
        <v>384</v>
      </c>
      <c r="B156" s="421" t="s">
        <v>457</v>
      </c>
      <c r="C156" s="422" t="s">
        <v>50</v>
      </c>
      <c r="D156" s="252" t="s">
        <v>135</v>
      </c>
      <c r="E156" s="423">
        <v>3.3290951612371948E-3</v>
      </c>
      <c r="F156" s="250" t="s">
        <v>133</v>
      </c>
      <c r="G156" s="251"/>
      <c r="H156" s="252">
        <v>1</v>
      </c>
      <c r="I156" s="252">
        <v>2</v>
      </c>
      <c r="J156" s="252">
        <v>3</v>
      </c>
      <c r="K156" s="252">
        <v>3</v>
      </c>
      <c r="L156" s="253">
        <v>3</v>
      </c>
      <c r="M156" s="254">
        <f t="shared" si="5"/>
        <v>1.123005955058592</v>
      </c>
      <c r="N156" s="255"/>
    </row>
    <row r="157" spans="1:14" hidden="1" x14ac:dyDescent="0.2">
      <c r="A157" s="420" t="s">
        <v>384</v>
      </c>
      <c r="B157" s="421" t="s">
        <v>457</v>
      </c>
      <c r="C157" s="422" t="s">
        <v>50</v>
      </c>
      <c r="D157" s="252" t="s">
        <v>135</v>
      </c>
      <c r="E157" s="423">
        <v>4.239047838642028E-2</v>
      </c>
      <c r="F157" s="250" t="s">
        <v>133</v>
      </c>
      <c r="G157" s="251"/>
      <c r="H157" s="252">
        <v>1</v>
      </c>
      <c r="I157" s="252">
        <v>2</v>
      </c>
      <c r="J157" s="252">
        <v>3</v>
      </c>
      <c r="K157" s="252">
        <v>3</v>
      </c>
      <c r="L157" s="253">
        <v>3</v>
      </c>
      <c r="M157" s="254">
        <f t="shared" si="5"/>
        <v>1.123005955058592</v>
      </c>
      <c r="N157" s="255"/>
    </row>
    <row r="158" spans="1:14" hidden="1" x14ac:dyDescent="0.2">
      <c r="A158" s="420" t="s">
        <v>384</v>
      </c>
      <c r="B158" s="421" t="s">
        <v>457</v>
      </c>
      <c r="C158" s="422" t="s">
        <v>52</v>
      </c>
      <c r="D158" s="252" t="s">
        <v>135</v>
      </c>
      <c r="E158" s="423">
        <v>3.7221252346915259E-3</v>
      </c>
      <c r="F158" s="250" t="s">
        <v>133</v>
      </c>
      <c r="G158" s="251"/>
      <c r="H158" s="252">
        <v>1</v>
      </c>
      <c r="I158" s="252">
        <v>2</v>
      </c>
      <c r="J158" s="252">
        <v>3</v>
      </c>
      <c r="K158" s="252">
        <v>3</v>
      </c>
      <c r="L158" s="253">
        <v>3</v>
      </c>
      <c r="M158" s="254">
        <f t="shared" si="5"/>
        <v>1.123005955058592</v>
      </c>
      <c r="N158" s="255"/>
    </row>
    <row r="159" spans="1:14" hidden="1" x14ac:dyDescent="0.2">
      <c r="A159" s="420" t="s">
        <v>384</v>
      </c>
      <c r="B159" s="421" t="s">
        <v>457</v>
      </c>
      <c r="C159" s="422" t="s">
        <v>52</v>
      </c>
      <c r="D159" s="252" t="s">
        <v>135</v>
      </c>
      <c r="E159" s="423">
        <v>4.7395061321738763E-2</v>
      </c>
      <c r="F159" s="250" t="s">
        <v>133</v>
      </c>
      <c r="G159" s="251"/>
      <c r="H159" s="252">
        <v>1</v>
      </c>
      <c r="I159" s="252">
        <v>2</v>
      </c>
      <c r="J159" s="252">
        <v>3</v>
      </c>
      <c r="K159" s="252">
        <v>3</v>
      </c>
      <c r="L159" s="253">
        <v>3</v>
      </c>
      <c r="M159" s="254">
        <f t="shared" si="5"/>
        <v>1.123005955058592</v>
      </c>
      <c r="N159" s="255"/>
    </row>
    <row r="160" spans="1:14" hidden="1" x14ac:dyDescent="0.2">
      <c r="A160" s="420" t="s">
        <v>384</v>
      </c>
      <c r="B160" s="421" t="s">
        <v>457</v>
      </c>
      <c r="C160" s="422" t="s">
        <v>54</v>
      </c>
      <c r="D160" s="252" t="s">
        <v>135</v>
      </c>
      <c r="E160" s="423">
        <v>1.5078395204058111E-3</v>
      </c>
      <c r="F160" s="250" t="s">
        <v>133</v>
      </c>
      <c r="G160" s="251"/>
      <c r="H160" s="252">
        <v>1</v>
      </c>
      <c r="I160" s="252">
        <v>2</v>
      </c>
      <c r="J160" s="252">
        <v>3</v>
      </c>
      <c r="K160" s="252">
        <v>3</v>
      </c>
      <c r="L160" s="253">
        <v>3</v>
      </c>
      <c r="M160" s="254">
        <f t="shared" si="5"/>
        <v>1.123005955058592</v>
      </c>
      <c r="N160" s="255"/>
    </row>
    <row r="161" spans="1:14" hidden="1" x14ac:dyDescent="0.2">
      <c r="A161" s="420" t="s">
        <v>384</v>
      </c>
      <c r="B161" s="421" t="s">
        <v>457</v>
      </c>
      <c r="C161" s="422" t="s">
        <v>54</v>
      </c>
      <c r="D161" s="252" t="s">
        <v>135</v>
      </c>
      <c r="E161" s="423">
        <v>1.919982322650066E-2</v>
      </c>
      <c r="F161" s="250" t="s">
        <v>133</v>
      </c>
      <c r="G161" s="251"/>
      <c r="H161" s="252">
        <v>1</v>
      </c>
      <c r="I161" s="252">
        <v>2</v>
      </c>
      <c r="J161" s="252">
        <v>3</v>
      </c>
      <c r="K161" s="252">
        <v>3</v>
      </c>
      <c r="L161" s="253">
        <v>3</v>
      </c>
      <c r="M161" s="254">
        <f t="shared" si="5"/>
        <v>1.123005955058592</v>
      </c>
      <c r="N161" s="255"/>
    </row>
    <row r="162" spans="1:14" hidden="1" x14ac:dyDescent="0.2">
      <c r="A162" s="420" t="s">
        <v>384</v>
      </c>
      <c r="B162" s="421" t="s">
        <v>457</v>
      </c>
      <c r="C162" s="422" t="s">
        <v>55</v>
      </c>
      <c r="D162" s="252" t="s">
        <v>135</v>
      </c>
      <c r="E162" s="423">
        <v>2.172930597186996E-3</v>
      </c>
      <c r="F162" s="250" t="s">
        <v>133</v>
      </c>
      <c r="G162" s="251"/>
      <c r="H162" s="252">
        <v>1</v>
      </c>
      <c r="I162" s="252">
        <v>2</v>
      </c>
      <c r="J162" s="252">
        <v>3</v>
      </c>
      <c r="K162" s="252">
        <v>3</v>
      </c>
      <c r="L162" s="253">
        <v>3</v>
      </c>
      <c r="M162" s="254">
        <f t="shared" si="5"/>
        <v>1.123005955058592</v>
      </c>
      <c r="N162" s="255"/>
    </row>
    <row r="163" spans="1:14" hidden="1" x14ac:dyDescent="0.2">
      <c r="A163" s="420" t="s">
        <v>384</v>
      </c>
      <c r="B163" s="421" t="s">
        <v>457</v>
      </c>
      <c r="C163" s="422" t="s">
        <v>55</v>
      </c>
      <c r="D163" s="252" t="s">
        <v>135</v>
      </c>
      <c r="E163" s="423">
        <v>2.766864960418108E-2</v>
      </c>
      <c r="F163" s="250" t="s">
        <v>133</v>
      </c>
      <c r="G163" s="251"/>
      <c r="H163" s="252">
        <v>1</v>
      </c>
      <c r="I163" s="252">
        <v>2</v>
      </c>
      <c r="J163" s="252">
        <v>3</v>
      </c>
      <c r="K163" s="252">
        <v>3</v>
      </c>
      <c r="L163" s="253">
        <v>3</v>
      </c>
      <c r="M163" s="254">
        <f t="shared" ref="M163:M181" si="6">IF( OR( ISBLANK(H163),ISBLANK(I163), ISBLANK(J163), ISBLANK(K163), ISBLANK(L163) ), "", 1.5*SQRT( EXP(2.21*(H163-1)) + EXP(2.21*(I163-1)) + EXP(2.21*(J163-1)) + EXP(2.21*(K163-1)) + EXP(2.21*L163) )/100*2.45 )</f>
        <v>1.123005955058592</v>
      </c>
      <c r="N163" s="255"/>
    </row>
    <row r="164" spans="1:14" hidden="1" x14ac:dyDescent="0.2">
      <c r="A164" s="420" t="s">
        <v>384</v>
      </c>
      <c r="B164" s="421" t="s">
        <v>457</v>
      </c>
      <c r="C164" s="422" t="s">
        <v>57</v>
      </c>
      <c r="D164" s="252" t="s">
        <v>135</v>
      </c>
      <c r="E164" s="423">
        <v>1.066339470997069E-3</v>
      </c>
      <c r="F164" s="250" t="s">
        <v>133</v>
      </c>
      <c r="G164" s="251"/>
      <c r="H164" s="252">
        <v>1</v>
      </c>
      <c r="I164" s="252">
        <v>2</v>
      </c>
      <c r="J164" s="252">
        <v>3</v>
      </c>
      <c r="K164" s="252">
        <v>3</v>
      </c>
      <c r="L164" s="253">
        <v>3</v>
      </c>
      <c r="M164" s="254">
        <f t="shared" si="6"/>
        <v>1.123005955058592</v>
      </c>
      <c r="N164" s="255"/>
    </row>
    <row r="165" spans="1:14" hidden="1" x14ac:dyDescent="0.2">
      <c r="A165" s="420" t="s">
        <v>384</v>
      </c>
      <c r="B165" s="421" t="s">
        <v>457</v>
      </c>
      <c r="C165" s="422" t="s">
        <v>57</v>
      </c>
      <c r="D165" s="252" t="s">
        <v>135</v>
      </c>
      <c r="E165" s="423">
        <v>1.357805593069601E-2</v>
      </c>
      <c r="F165" s="250" t="s">
        <v>133</v>
      </c>
      <c r="G165" s="251"/>
      <c r="H165" s="252">
        <v>1</v>
      </c>
      <c r="I165" s="252">
        <v>2</v>
      </c>
      <c r="J165" s="252">
        <v>3</v>
      </c>
      <c r="K165" s="252">
        <v>3</v>
      </c>
      <c r="L165" s="253">
        <v>3</v>
      </c>
      <c r="M165" s="254">
        <f t="shared" si="6"/>
        <v>1.123005955058592</v>
      </c>
      <c r="N165" s="255"/>
    </row>
    <row r="166" spans="1:14" x14ac:dyDescent="0.2">
      <c r="A166" s="420" t="s">
        <v>384</v>
      </c>
      <c r="B166" s="421" t="s">
        <v>457</v>
      </c>
      <c r="C166" s="422" t="s">
        <v>59</v>
      </c>
      <c r="D166" s="252" t="s">
        <v>135</v>
      </c>
      <c r="E166" s="423">
        <v>1.5E-3</v>
      </c>
      <c r="F166" s="250" t="s">
        <v>133</v>
      </c>
      <c r="G166" s="251"/>
      <c r="H166" s="252">
        <v>1</v>
      </c>
      <c r="I166" s="252">
        <v>2</v>
      </c>
      <c r="J166" s="252">
        <v>3</v>
      </c>
      <c r="K166" s="252">
        <v>3</v>
      </c>
      <c r="L166" s="253">
        <v>3</v>
      </c>
      <c r="M166" s="254">
        <f t="shared" si="6"/>
        <v>1.123005955058592</v>
      </c>
      <c r="N166" s="255"/>
    </row>
    <row r="167" spans="1:14" x14ac:dyDescent="0.2">
      <c r="A167" s="420" t="s">
        <v>384</v>
      </c>
      <c r="B167" s="421" t="s">
        <v>457</v>
      </c>
      <c r="C167" s="422" t="s">
        <v>59</v>
      </c>
      <c r="D167" s="252" t="s">
        <v>135</v>
      </c>
      <c r="E167" s="423">
        <v>1.9099999999999999E-2</v>
      </c>
      <c r="F167" s="250" t="s">
        <v>133</v>
      </c>
      <c r="G167" s="251"/>
      <c r="H167" s="252">
        <v>1</v>
      </c>
      <c r="I167" s="252">
        <v>2</v>
      </c>
      <c r="J167" s="252">
        <v>3</v>
      </c>
      <c r="K167" s="252">
        <v>3</v>
      </c>
      <c r="L167" s="253">
        <v>3</v>
      </c>
      <c r="M167" s="254">
        <f t="shared" si="6"/>
        <v>1.123005955058592</v>
      </c>
      <c r="N167" s="255"/>
    </row>
    <row r="168" spans="1:14" hidden="1" x14ac:dyDescent="0.2">
      <c r="A168" s="420" t="s">
        <v>384</v>
      </c>
      <c r="B168" s="421" t="s">
        <v>457</v>
      </c>
      <c r="C168" s="422" t="s">
        <v>60</v>
      </c>
      <c r="D168" s="252" t="s">
        <v>135</v>
      </c>
      <c r="E168" s="423">
        <v>1.953028755887876E-3</v>
      </c>
      <c r="F168" s="250" t="s">
        <v>133</v>
      </c>
      <c r="G168" s="424" t="s">
        <v>16</v>
      </c>
      <c r="H168" s="252">
        <v>1</v>
      </c>
      <c r="I168" s="252">
        <v>2</v>
      </c>
      <c r="J168" s="252">
        <v>3</v>
      </c>
      <c r="K168" s="252">
        <v>3</v>
      </c>
      <c r="L168" s="253">
        <v>3</v>
      </c>
      <c r="M168" s="254">
        <f t="shared" si="6"/>
        <v>1.123005955058592</v>
      </c>
      <c r="N168" s="255"/>
    </row>
    <row r="169" spans="1:14" hidden="1" x14ac:dyDescent="0.2">
      <c r="A169" s="420" t="s">
        <v>384</v>
      </c>
      <c r="B169" s="421" t="s">
        <v>457</v>
      </c>
      <c r="C169" s="427" t="s">
        <v>60</v>
      </c>
      <c r="D169" s="291" t="s">
        <v>135</v>
      </c>
      <c r="E169" s="428">
        <v>2.486856615830562E-2</v>
      </c>
      <c r="F169" s="289" t="s">
        <v>133</v>
      </c>
      <c r="G169" s="429" t="s">
        <v>16</v>
      </c>
      <c r="H169" s="291">
        <v>1</v>
      </c>
      <c r="I169" s="291">
        <v>2</v>
      </c>
      <c r="J169" s="291">
        <v>3</v>
      </c>
      <c r="K169" s="291">
        <v>3</v>
      </c>
      <c r="L169" s="292">
        <v>3</v>
      </c>
      <c r="M169" s="293">
        <f t="shared" si="6"/>
        <v>1.123005955058592</v>
      </c>
      <c r="N169" s="294"/>
    </row>
    <row r="170" spans="1:14" x14ac:dyDescent="0.2">
      <c r="A170" s="430" t="s">
        <v>396</v>
      </c>
      <c r="B170" s="431" t="s">
        <v>447</v>
      </c>
      <c r="C170" s="432" t="s">
        <v>135</v>
      </c>
      <c r="D170" s="433" t="s">
        <v>135</v>
      </c>
      <c r="E170" s="434">
        <v>1.8000000000000001E-4</v>
      </c>
      <c r="F170" s="267" t="s">
        <v>458</v>
      </c>
      <c r="G170" s="268" t="s">
        <v>16</v>
      </c>
      <c r="H170" s="269">
        <v>3</v>
      </c>
      <c r="I170" s="269">
        <v>1</v>
      </c>
      <c r="J170" s="269">
        <v>2</v>
      </c>
      <c r="K170" s="269">
        <v>2</v>
      </c>
      <c r="L170" s="270">
        <v>1</v>
      </c>
      <c r="M170" s="271">
        <f t="shared" si="6"/>
        <v>0.38795788889711297</v>
      </c>
      <c r="N170" s="272" t="s">
        <v>459</v>
      </c>
    </row>
    <row r="171" spans="1:14" x14ac:dyDescent="0.2">
      <c r="A171" s="435" t="s">
        <v>396</v>
      </c>
      <c r="B171" s="436" t="s">
        <v>451</v>
      </c>
      <c r="C171" s="437" t="s">
        <v>135</v>
      </c>
      <c r="D171" s="248" t="s">
        <v>135</v>
      </c>
      <c r="E171" s="438">
        <v>2.29787234042553E-5</v>
      </c>
      <c r="F171" s="250" t="s">
        <v>458</v>
      </c>
      <c r="G171" s="251" t="s">
        <v>16</v>
      </c>
      <c r="H171" s="252">
        <v>3</v>
      </c>
      <c r="I171" s="252">
        <v>1</v>
      </c>
      <c r="J171" s="252">
        <v>2</v>
      </c>
      <c r="K171" s="252">
        <v>2</v>
      </c>
      <c r="L171" s="253">
        <v>2</v>
      </c>
      <c r="M171" s="254">
        <f t="shared" si="6"/>
        <v>0.50042652380814845</v>
      </c>
      <c r="N171" s="255"/>
    </row>
    <row r="172" spans="1:14" x14ac:dyDescent="0.2">
      <c r="A172" s="430" t="s">
        <v>401</v>
      </c>
      <c r="B172" s="431" t="s">
        <v>447</v>
      </c>
      <c r="C172" s="432" t="s">
        <v>135</v>
      </c>
      <c r="D172" s="433" t="s">
        <v>135</v>
      </c>
      <c r="E172" s="434">
        <v>1.8000000000000001E-4</v>
      </c>
      <c r="F172" s="267" t="s">
        <v>458</v>
      </c>
      <c r="G172" s="268" t="s">
        <v>16</v>
      </c>
      <c r="H172" s="269">
        <v>3</v>
      </c>
      <c r="I172" s="269">
        <v>1</v>
      </c>
      <c r="J172" s="269">
        <v>2</v>
      </c>
      <c r="K172" s="269">
        <v>2</v>
      </c>
      <c r="L172" s="270">
        <v>1</v>
      </c>
      <c r="M172" s="271">
        <f t="shared" si="6"/>
        <v>0.38795788889711297</v>
      </c>
      <c r="N172" s="272"/>
    </row>
    <row r="173" spans="1:14" x14ac:dyDescent="0.2">
      <c r="A173" s="439" t="s">
        <v>401</v>
      </c>
      <c r="B173" s="440" t="s">
        <v>451</v>
      </c>
      <c r="C173" s="437" t="s">
        <v>135</v>
      </c>
      <c r="D173" s="441" t="s">
        <v>135</v>
      </c>
      <c r="E173" s="442">
        <v>2.29787234042553E-5</v>
      </c>
      <c r="F173" s="250" t="s">
        <v>458</v>
      </c>
      <c r="G173" s="290" t="s">
        <v>16</v>
      </c>
      <c r="H173" s="252">
        <v>3</v>
      </c>
      <c r="I173" s="252">
        <v>1</v>
      </c>
      <c r="J173" s="252">
        <v>2</v>
      </c>
      <c r="K173" s="252">
        <v>2</v>
      </c>
      <c r="L173" s="253">
        <v>2</v>
      </c>
      <c r="M173" s="254">
        <f t="shared" si="6"/>
        <v>0.50042652380814845</v>
      </c>
      <c r="N173" s="294"/>
    </row>
    <row r="174" spans="1:14" x14ac:dyDescent="0.2">
      <c r="A174" s="435" t="s">
        <v>404</v>
      </c>
      <c r="B174" s="443" t="s">
        <v>447</v>
      </c>
      <c r="C174" s="432" t="s">
        <v>135</v>
      </c>
      <c r="D174" s="248" t="s">
        <v>135</v>
      </c>
      <c r="E174" s="438">
        <v>1.8000000000000001E-4</v>
      </c>
      <c r="F174" s="267" t="s">
        <v>458</v>
      </c>
      <c r="G174" s="251" t="s">
        <v>16</v>
      </c>
      <c r="H174" s="252">
        <v>3</v>
      </c>
      <c r="I174" s="252">
        <v>1</v>
      </c>
      <c r="J174" s="252">
        <v>2</v>
      </c>
      <c r="K174" s="252">
        <v>2</v>
      </c>
      <c r="L174" s="253">
        <v>1</v>
      </c>
      <c r="M174" s="254">
        <f t="shared" si="6"/>
        <v>0.38795788889711297</v>
      </c>
      <c r="N174" s="255"/>
    </row>
    <row r="175" spans="1:14" x14ac:dyDescent="0.2">
      <c r="A175" s="435" t="s">
        <v>404</v>
      </c>
      <c r="B175" s="436" t="s">
        <v>451</v>
      </c>
      <c r="C175" s="437" t="s">
        <v>135</v>
      </c>
      <c r="D175" s="248" t="s">
        <v>135</v>
      </c>
      <c r="E175" s="442">
        <v>2.29787234042553E-5</v>
      </c>
      <c r="F175" s="250" t="s">
        <v>458</v>
      </c>
      <c r="G175" s="251" t="s">
        <v>16</v>
      </c>
      <c r="H175" s="252">
        <v>3</v>
      </c>
      <c r="I175" s="252">
        <v>1</v>
      </c>
      <c r="J175" s="252">
        <v>2</v>
      </c>
      <c r="K175" s="252">
        <v>2</v>
      </c>
      <c r="L175" s="253">
        <v>2</v>
      </c>
      <c r="M175" s="254">
        <f t="shared" si="6"/>
        <v>0.50042652380814845</v>
      </c>
      <c r="N175" s="255"/>
    </row>
    <row r="176" spans="1:14" x14ac:dyDescent="0.2">
      <c r="A176" s="430" t="s">
        <v>435</v>
      </c>
      <c r="B176" s="431" t="s">
        <v>452</v>
      </c>
      <c r="C176" s="432" t="s">
        <v>135</v>
      </c>
      <c r="D176" s="433" t="s">
        <v>135</v>
      </c>
      <c r="E176" s="269">
        <v>1.6E-2</v>
      </c>
      <c r="F176" s="267" t="s">
        <v>458</v>
      </c>
      <c r="G176" s="268" t="s">
        <v>16</v>
      </c>
      <c r="H176" s="269">
        <v>3</v>
      </c>
      <c r="I176" s="269">
        <v>1</v>
      </c>
      <c r="J176" s="269">
        <v>2</v>
      </c>
      <c r="K176" s="269">
        <v>2</v>
      </c>
      <c r="L176" s="270">
        <v>1</v>
      </c>
      <c r="M176" s="271">
        <f t="shared" si="6"/>
        <v>0.38795788889711297</v>
      </c>
      <c r="N176" s="272"/>
    </row>
    <row r="177" spans="1:14" x14ac:dyDescent="0.2">
      <c r="A177" s="435" t="s">
        <v>435</v>
      </c>
      <c r="B177" s="436" t="s">
        <v>451</v>
      </c>
      <c r="C177" s="432" t="s">
        <v>135</v>
      </c>
      <c r="D177" s="248" t="s">
        <v>135</v>
      </c>
      <c r="E177" s="252">
        <v>1E-3</v>
      </c>
      <c r="F177" s="250" t="s">
        <v>455</v>
      </c>
      <c r="G177" s="251" t="s">
        <v>16</v>
      </c>
      <c r="H177" s="252">
        <v>3</v>
      </c>
      <c r="I177" s="252">
        <v>3</v>
      </c>
      <c r="J177" s="252">
        <v>3</v>
      </c>
      <c r="K177" s="252">
        <v>3</v>
      </c>
      <c r="L177" s="253">
        <v>3</v>
      </c>
      <c r="M177" s="254">
        <f t="shared" si="6"/>
        <v>1.2132328390150593</v>
      </c>
      <c r="N177" s="255"/>
    </row>
    <row r="178" spans="1:14" x14ac:dyDescent="0.2">
      <c r="A178" s="439" t="s">
        <v>435</v>
      </c>
      <c r="B178" s="440" t="s">
        <v>460</v>
      </c>
      <c r="C178" s="437" t="s">
        <v>135</v>
      </c>
      <c r="D178" s="441" t="s">
        <v>135</v>
      </c>
      <c r="E178" s="291">
        <v>1E-3</v>
      </c>
      <c r="F178" s="289" t="s">
        <v>455</v>
      </c>
      <c r="G178" s="290" t="s">
        <v>16</v>
      </c>
      <c r="H178" s="291">
        <v>3</v>
      </c>
      <c r="I178" s="291">
        <v>3</v>
      </c>
      <c r="J178" s="291">
        <v>3</v>
      </c>
      <c r="K178" s="291">
        <v>3</v>
      </c>
      <c r="L178" s="292">
        <v>3</v>
      </c>
      <c r="M178" s="293">
        <f t="shared" si="6"/>
        <v>1.2132328390150593</v>
      </c>
      <c r="N178" s="294"/>
    </row>
    <row r="179" spans="1:14" x14ac:dyDescent="0.2">
      <c r="A179" s="430" t="s">
        <v>436</v>
      </c>
      <c r="B179" s="431" t="s">
        <v>452</v>
      </c>
      <c r="C179" s="432" t="s">
        <v>135</v>
      </c>
      <c r="D179" s="433" t="s">
        <v>135</v>
      </c>
      <c r="E179" s="269">
        <v>1.6E-2</v>
      </c>
      <c r="F179" s="267" t="s">
        <v>458</v>
      </c>
      <c r="G179" s="268" t="s">
        <v>16</v>
      </c>
      <c r="H179" s="269">
        <v>3</v>
      </c>
      <c r="I179" s="269">
        <v>1</v>
      </c>
      <c r="J179" s="269">
        <v>2</v>
      </c>
      <c r="K179" s="269">
        <v>2</v>
      </c>
      <c r="L179" s="270">
        <v>1</v>
      </c>
      <c r="M179" s="271">
        <f t="shared" si="6"/>
        <v>0.38795788889711297</v>
      </c>
      <c r="N179" s="272"/>
    </row>
    <row r="180" spans="1:14" x14ac:dyDescent="0.2">
      <c r="A180" s="435" t="s">
        <v>436</v>
      </c>
      <c r="B180" s="436" t="s">
        <v>451</v>
      </c>
      <c r="C180" s="432" t="s">
        <v>135</v>
      </c>
      <c r="D180" s="248" t="s">
        <v>135</v>
      </c>
      <c r="E180" s="252">
        <v>1E-3</v>
      </c>
      <c r="F180" s="250" t="s">
        <v>455</v>
      </c>
      <c r="G180" s="251" t="s">
        <v>16</v>
      </c>
      <c r="H180" s="252">
        <v>3</v>
      </c>
      <c r="I180" s="252">
        <v>3</v>
      </c>
      <c r="J180" s="252">
        <v>3</v>
      </c>
      <c r="K180" s="252">
        <v>3</v>
      </c>
      <c r="L180" s="253">
        <v>3</v>
      </c>
      <c r="M180" s="254">
        <f t="shared" si="6"/>
        <v>1.2132328390150593</v>
      </c>
      <c r="N180" s="255"/>
    </row>
    <row r="181" spans="1:14" x14ac:dyDescent="0.2">
      <c r="A181" s="439" t="s">
        <v>436</v>
      </c>
      <c r="B181" s="440" t="s">
        <v>460</v>
      </c>
      <c r="C181" s="437" t="s">
        <v>135</v>
      </c>
      <c r="D181" s="441" t="s">
        <v>135</v>
      </c>
      <c r="E181" s="291">
        <v>1E-3</v>
      </c>
      <c r="F181" s="289" t="s">
        <v>455</v>
      </c>
      <c r="G181" s="290" t="s">
        <v>16</v>
      </c>
      <c r="H181" s="291">
        <v>3</v>
      </c>
      <c r="I181" s="291">
        <v>3</v>
      </c>
      <c r="J181" s="291">
        <v>3</v>
      </c>
      <c r="K181" s="291">
        <v>3</v>
      </c>
      <c r="L181" s="292">
        <v>3</v>
      </c>
      <c r="M181" s="293">
        <f t="shared" si="6"/>
        <v>1.2132328390150593</v>
      </c>
      <c r="N181" s="294"/>
    </row>
  </sheetData>
  <autoFilter ref="A1:N181" xr:uid="{00000000-0009-0000-0000-000004000000}">
    <filterColumn colId="2">
      <filters>
        <filter val="any"/>
        <filter val="CH"/>
      </filters>
    </filterColumn>
  </autoFilter>
  <conditionalFormatting sqref="H2:L2">
    <cfRule type="dataBar" priority="14">
      <dataBar>
        <cfvo type="min"/>
        <cfvo type="max"/>
        <color rgb="FFFFB628"/>
      </dataBar>
    </cfRule>
  </conditionalFormatting>
  <conditionalFormatting sqref="H2:L49">
    <cfRule type="dataBar" priority="11">
      <dataBar>
        <cfvo type="min"/>
        <cfvo type="max"/>
        <color rgb="FFFFB628"/>
      </dataBar>
    </cfRule>
  </conditionalFormatting>
  <conditionalFormatting sqref="H3:L3">
    <cfRule type="dataBar" priority="16">
      <dataBar>
        <cfvo type="min"/>
        <cfvo type="max"/>
        <color rgb="FFFFB628"/>
      </dataBar>
    </cfRule>
  </conditionalFormatting>
  <conditionalFormatting sqref="H4:L5 H8:L39 H44:L49">
    <cfRule type="dataBar" priority="23">
      <dataBar>
        <cfvo type="min"/>
        <cfvo type="max"/>
        <color rgb="FFFFB628"/>
      </dataBar>
    </cfRule>
    <cfRule type="dataBar" priority="20">
      <dataBar>
        <cfvo type="min"/>
        <cfvo type="max"/>
        <color rgb="FFFFB628"/>
      </dataBar>
    </cfRule>
    <cfRule type="dataBar" priority="19">
      <dataBar>
        <cfvo type="min"/>
        <cfvo type="max"/>
        <color rgb="FFFFB628"/>
      </dataBar>
    </cfRule>
  </conditionalFormatting>
  <conditionalFormatting sqref="H6:L7">
    <cfRule type="dataBar" priority="12">
      <dataBar>
        <cfvo type="min"/>
        <cfvo type="max"/>
        <color rgb="FFFFB628"/>
      </dataBar>
    </cfRule>
  </conditionalFormatting>
  <conditionalFormatting sqref="H40:L43">
    <cfRule type="dataBar" priority="18">
      <dataBar>
        <cfvo type="min"/>
        <cfvo type="max"/>
        <color rgb="FFFFB628"/>
      </dataBar>
    </cfRule>
  </conditionalFormatting>
  <conditionalFormatting sqref="H50:L169">
    <cfRule type="dataBar" priority="1">
      <dataBar>
        <cfvo type="min"/>
        <cfvo type="max"/>
        <color rgb="FFFFB628"/>
      </dataBar>
    </cfRule>
    <cfRule type="dataBar" priority="3">
      <dataBar>
        <cfvo type="min"/>
        <cfvo type="max"/>
        <color rgb="FFFFB628"/>
      </dataBar>
    </cfRule>
    <cfRule type="dataBar" priority="2">
      <dataBar>
        <cfvo type="min"/>
        <cfvo type="max"/>
        <color rgb="FFFFB628"/>
      </dataBar>
    </cfRule>
  </conditionalFormatting>
  <conditionalFormatting sqref="H170:L181">
    <cfRule type="dataBar" priority="26">
      <dataBar>
        <cfvo type="min"/>
        <cfvo type="max"/>
        <color rgb="FFFFB628"/>
      </dataBar>
    </cfRule>
  </conditionalFormatting>
  <conditionalFormatting sqref="M2">
    <cfRule type="dataBar" priority="15">
      <dataBar>
        <cfvo type="min"/>
        <cfvo type="max"/>
        <color rgb="FF3FCDFF"/>
      </dataBar>
    </cfRule>
  </conditionalFormatting>
  <conditionalFormatting sqref="M2:M49">
    <cfRule type="dataBar" priority="10">
      <dataBar>
        <cfvo type="min"/>
        <cfvo type="max"/>
        <color rgb="FF00B0F0"/>
      </dataBar>
    </cfRule>
  </conditionalFormatting>
  <conditionalFormatting sqref="M3">
    <cfRule type="dataBar" priority="17">
      <dataBar>
        <cfvo type="min"/>
        <cfvo type="max"/>
        <color rgb="FF3FCDFF"/>
      </dataBar>
    </cfRule>
  </conditionalFormatting>
  <conditionalFormatting sqref="M4:M5 M8:M39 M44:M49">
    <cfRule type="dataBar" priority="21">
      <dataBar>
        <cfvo type="min"/>
        <cfvo type="max"/>
        <color rgb="FF00B0F0"/>
      </dataBar>
    </cfRule>
    <cfRule type="dataBar" priority="22">
      <dataBar>
        <cfvo type="min"/>
        <cfvo type="max"/>
        <color rgb="FF638EC6"/>
      </dataBar>
    </cfRule>
    <cfRule type="dataBar" priority="24">
      <dataBar>
        <cfvo type="min"/>
        <cfvo type="max"/>
        <color rgb="FF3FCDFF"/>
      </dataBar>
    </cfRule>
  </conditionalFormatting>
  <conditionalFormatting sqref="M6:M7">
    <cfRule type="dataBar" priority="13">
      <dataBar>
        <cfvo type="min"/>
        <cfvo type="max"/>
        <color rgb="FF3FCDFF"/>
      </dataBar>
    </cfRule>
  </conditionalFormatting>
  <conditionalFormatting sqref="M40:M43">
    <cfRule type="dataBar" priority="25">
      <dataBar>
        <cfvo type="min"/>
        <cfvo type="max"/>
        <color rgb="FF3FCDFF"/>
      </dataBar>
    </cfRule>
  </conditionalFormatting>
  <conditionalFormatting sqref="M50:M169">
    <cfRule type="dataBar" priority="9">
      <dataBar>
        <cfvo type="min"/>
        <cfvo type="max"/>
        <color rgb="FF008AEF"/>
      </dataBar>
    </cfRule>
    <cfRule type="dataBar" priority="8">
      <dataBar>
        <cfvo type="min"/>
        <cfvo type="max"/>
        <color rgb="FF00B0F0"/>
      </dataBar>
    </cfRule>
    <cfRule type="dataBar" priority="7">
      <dataBar>
        <cfvo type="min"/>
        <cfvo type="max"/>
        <color rgb="FF3FCDFF"/>
      </dataBar>
    </cfRule>
    <cfRule type="dataBar" priority="6">
      <dataBar>
        <cfvo type="min"/>
        <cfvo type="max"/>
        <color rgb="FF008AEF"/>
      </dataBar>
    </cfRule>
    <cfRule type="dataBar" priority="5">
      <dataBar>
        <cfvo type="min"/>
        <cfvo type="max"/>
        <color rgb="FF00B0F0"/>
      </dataBar>
    </cfRule>
    <cfRule type="dataBar" priority="4">
      <dataBar>
        <cfvo type="min"/>
        <cfvo type="max"/>
        <color rgb="FF00B0F0"/>
      </dataBar>
    </cfRule>
  </conditionalFormatting>
  <conditionalFormatting sqref="M170:M181">
    <cfRule type="dataBar" priority="27">
      <dataBar>
        <cfvo type="min"/>
        <cfvo type="max"/>
        <color rgb="FF3FCDFF"/>
      </dataBar>
    </cfRule>
  </conditionalFormatting>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6" tint="0.79998168889431442"/>
  </sheetPr>
  <dimension ref="A1:N2587"/>
  <sheetViews>
    <sheetView zoomScale="150" zoomScaleNormal="120" workbookViewId="0">
      <pane ySplit="1" topLeftCell="A2190" activePane="bottomLeft" state="frozen"/>
      <selection activeCell="C2" sqref="C2"/>
      <selection pane="bottomLeft" activeCell="B2456" sqref="B2456"/>
    </sheetView>
  </sheetViews>
  <sheetFormatPr baseColWidth="10" defaultRowHeight="16" x14ac:dyDescent="0.2"/>
  <cols>
    <col min="1" max="1" width="23.6640625" bestFit="1" customWidth="1"/>
    <col min="2" max="2" width="18" bestFit="1" customWidth="1"/>
    <col min="6" max="6" width="48" customWidth="1"/>
    <col min="7" max="7" width="3.33203125" customWidth="1"/>
    <col min="14" max="14" width="48.5" customWidth="1"/>
  </cols>
  <sheetData>
    <row r="1" spans="1:14" x14ac:dyDescent="0.2">
      <c r="A1" s="359" t="s">
        <v>185</v>
      </c>
      <c r="B1" s="360" t="s">
        <v>186</v>
      </c>
      <c r="C1" s="211" t="s">
        <v>1</v>
      </c>
      <c r="D1" s="361" t="s">
        <v>2</v>
      </c>
      <c r="E1" s="362" t="s">
        <v>3</v>
      </c>
      <c r="F1" s="363" t="s">
        <v>4</v>
      </c>
      <c r="G1" s="364" t="s">
        <v>16</v>
      </c>
      <c r="H1" s="365" t="s">
        <v>5</v>
      </c>
      <c r="I1" s="365" t="s">
        <v>6</v>
      </c>
      <c r="J1" s="365" t="s">
        <v>7</v>
      </c>
      <c r="K1" s="365" t="s">
        <v>8</v>
      </c>
      <c r="L1" s="366" t="s">
        <v>9</v>
      </c>
      <c r="M1" s="367" t="s">
        <v>10</v>
      </c>
      <c r="N1" s="368" t="s">
        <v>158</v>
      </c>
    </row>
    <row r="2" spans="1:14" x14ac:dyDescent="0.2">
      <c r="A2" s="444" t="s">
        <v>200</v>
      </c>
      <c r="B2" s="445" t="s">
        <v>461</v>
      </c>
      <c r="C2" s="446" t="s">
        <v>135</v>
      </c>
      <c r="D2" s="447" t="s">
        <v>14</v>
      </c>
      <c r="E2" s="391">
        <v>0.1017</v>
      </c>
      <c r="F2" s="389" t="s">
        <v>462</v>
      </c>
      <c r="G2" s="390" t="s">
        <v>16</v>
      </c>
      <c r="H2" s="391">
        <v>2</v>
      </c>
      <c r="I2" s="391">
        <v>4</v>
      </c>
      <c r="J2" s="391">
        <v>1</v>
      </c>
      <c r="K2" s="391">
        <v>1</v>
      </c>
      <c r="L2" s="392">
        <v>2</v>
      </c>
      <c r="M2" s="271">
        <f>IF( OR( ISBLANK(H2),ISBLANK(I2), ISBLANK(J2), ISBLANK(K2), ISBLANK(L2) ), "", 1.5*SQRT(   EXP(2.21*(H2-1)) + EXP(2.21*(I2-1)) + EXP(2.21*(J2-1)) + EXP(2.21*(K2-1)) + EXP(2.21*L2)   )/100*2.45 )</f>
        <v>1.0725046436742278</v>
      </c>
      <c r="N2" s="272"/>
    </row>
    <row r="3" spans="1:14" x14ac:dyDescent="0.2">
      <c r="A3" s="246" t="s">
        <v>200</v>
      </c>
      <c r="B3" s="448" t="s">
        <v>461</v>
      </c>
      <c r="C3" s="449" t="s">
        <v>135</v>
      </c>
      <c r="D3" s="450" t="s">
        <v>62</v>
      </c>
      <c r="E3" s="376">
        <v>0.28570000000000001</v>
      </c>
      <c r="F3" s="374" t="s">
        <v>462</v>
      </c>
      <c r="G3" s="375" t="s">
        <v>16</v>
      </c>
      <c r="H3" s="376">
        <v>2</v>
      </c>
      <c r="I3" s="376">
        <v>4</v>
      </c>
      <c r="J3" s="376">
        <v>1</v>
      </c>
      <c r="K3" s="376">
        <v>1</v>
      </c>
      <c r="L3" s="377">
        <v>2</v>
      </c>
      <c r="M3" s="254">
        <f t="shared" ref="M3:M33" si="0">IF( OR( ISBLANK(H3),ISBLANK(I3), ISBLANK(J3), ISBLANK(K3), ISBLANK(L3) ), "", 1.5*SQRT( EXP(2.21*(H3-1)) + EXP(2.21*(I3-1)) + EXP(2.21*(J3-1)) + EXP(2.21*(K3-1)) + EXP(2.21*L3) )/100*2.45 )</f>
        <v>1.0725046436742278</v>
      </c>
      <c r="N3" s="255"/>
    </row>
    <row r="4" spans="1:14" x14ac:dyDescent="0.2">
      <c r="A4" s="246" t="s">
        <v>200</v>
      </c>
      <c r="B4" s="448" t="s">
        <v>461</v>
      </c>
      <c r="C4" s="449" t="s">
        <v>135</v>
      </c>
      <c r="D4" s="451" t="s">
        <v>64</v>
      </c>
      <c r="E4" s="376">
        <v>0.18840000000000001</v>
      </c>
      <c r="F4" s="374" t="s">
        <v>462</v>
      </c>
      <c r="G4" s="375" t="s">
        <v>16</v>
      </c>
      <c r="H4" s="376">
        <v>2</v>
      </c>
      <c r="I4" s="376">
        <v>4</v>
      </c>
      <c r="J4" s="376">
        <v>1</v>
      </c>
      <c r="K4" s="376">
        <v>1</v>
      </c>
      <c r="L4" s="377">
        <v>2</v>
      </c>
      <c r="M4" s="254">
        <f t="shared" si="0"/>
        <v>1.0725046436742278</v>
      </c>
      <c r="N4" s="255"/>
    </row>
    <row r="5" spans="1:14" x14ac:dyDescent="0.2">
      <c r="A5" s="246" t="s">
        <v>200</v>
      </c>
      <c r="B5" s="448" t="s">
        <v>461</v>
      </c>
      <c r="C5" s="449" t="s">
        <v>135</v>
      </c>
      <c r="D5" s="452" t="s">
        <v>66</v>
      </c>
      <c r="E5" s="376">
        <v>0.2</v>
      </c>
      <c r="F5" s="374" t="s">
        <v>462</v>
      </c>
      <c r="G5" s="375" t="s">
        <v>16</v>
      </c>
      <c r="H5" s="376">
        <v>2</v>
      </c>
      <c r="I5" s="376">
        <v>4</v>
      </c>
      <c r="J5" s="376">
        <v>1</v>
      </c>
      <c r="K5" s="376">
        <v>1</v>
      </c>
      <c r="L5" s="377">
        <v>2</v>
      </c>
      <c r="M5" s="254">
        <f t="shared" si="0"/>
        <v>1.0725046436742278</v>
      </c>
      <c r="N5" s="255"/>
    </row>
    <row r="6" spans="1:14" x14ac:dyDescent="0.2">
      <c r="A6" s="246" t="s">
        <v>200</v>
      </c>
      <c r="B6" s="448" t="s">
        <v>461</v>
      </c>
      <c r="C6" s="449" t="s">
        <v>135</v>
      </c>
      <c r="D6" s="453" t="s">
        <v>94</v>
      </c>
      <c r="E6" s="527">
        <v>0.2</v>
      </c>
      <c r="F6" s="333" t="s">
        <v>462</v>
      </c>
      <c r="G6" s="528" t="s">
        <v>16</v>
      </c>
      <c r="H6" s="376">
        <v>2</v>
      </c>
      <c r="I6" s="376">
        <v>4</v>
      </c>
      <c r="J6" s="376">
        <v>1</v>
      </c>
      <c r="K6" s="376">
        <v>1</v>
      </c>
      <c r="L6" s="377">
        <v>2</v>
      </c>
      <c r="M6" s="254">
        <f t="shared" si="0"/>
        <v>1.0725046436742278</v>
      </c>
      <c r="N6" s="255"/>
    </row>
    <row r="7" spans="1:14" x14ac:dyDescent="0.2">
      <c r="A7" s="246" t="s">
        <v>200</v>
      </c>
      <c r="B7" s="448" t="s">
        <v>461</v>
      </c>
      <c r="C7" s="449" t="s">
        <v>135</v>
      </c>
      <c r="D7" s="457" t="s">
        <v>96</v>
      </c>
      <c r="E7" s="376">
        <v>0.2</v>
      </c>
      <c r="F7" s="374" t="s">
        <v>462</v>
      </c>
      <c r="G7" s="375" t="s">
        <v>16</v>
      </c>
      <c r="H7" s="376">
        <v>2</v>
      </c>
      <c r="I7" s="376">
        <v>4</v>
      </c>
      <c r="J7" s="376">
        <v>1</v>
      </c>
      <c r="K7" s="376">
        <v>1</v>
      </c>
      <c r="L7" s="377">
        <v>2</v>
      </c>
      <c r="M7" s="254">
        <f t="shared" si="0"/>
        <v>1.0725046436742278</v>
      </c>
      <c r="N7" s="255"/>
    </row>
    <row r="8" spans="1:14" x14ac:dyDescent="0.2">
      <c r="A8" s="246" t="s">
        <v>200</v>
      </c>
      <c r="B8" s="448" t="s">
        <v>461</v>
      </c>
      <c r="C8" s="449" t="s">
        <v>135</v>
      </c>
      <c r="D8" s="458" t="s">
        <v>98</v>
      </c>
      <c r="E8" s="376">
        <v>0.2</v>
      </c>
      <c r="F8" s="374" t="s">
        <v>462</v>
      </c>
      <c r="G8" s="375" t="s">
        <v>16</v>
      </c>
      <c r="H8" s="376">
        <v>2</v>
      </c>
      <c r="I8" s="376">
        <v>4</v>
      </c>
      <c r="J8" s="376">
        <v>1</v>
      </c>
      <c r="K8" s="376">
        <v>1</v>
      </c>
      <c r="L8" s="377">
        <v>2</v>
      </c>
      <c r="M8" s="254">
        <f t="shared" si="0"/>
        <v>1.0725046436742278</v>
      </c>
      <c r="N8" s="255"/>
    </row>
    <row r="9" spans="1:14" hidden="1" x14ac:dyDescent="0.2">
      <c r="A9" s="246" t="s">
        <v>200</v>
      </c>
      <c r="B9" s="459" t="s">
        <v>463</v>
      </c>
      <c r="C9" s="247" t="s">
        <v>13</v>
      </c>
      <c r="D9" s="248" t="s">
        <v>135</v>
      </c>
      <c r="E9" s="249">
        <v>4.9383419689119179E-4</v>
      </c>
      <c r="F9" s="250" t="s">
        <v>133</v>
      </c>
      <c r="G9" s="251" t="s">
        <v>16</v>
      </c>
      <c r="H9" s="252">
        <v>1</v>
      </c>
      <c r="I9" s="252">
        <v>1</v>
      </c>
      <c r="J9" s="252">
        <v>3</v>
      </c>
      <c r="K9" s="252">
        <v>3</v>
      </c>
      <c r="L9" s="253">
        <v>3</v>
      </c>
      <c r="M9" s="254">
        <f t="shared" si="0"/>
        <v>1.1181151966036349</v>
      </c>
      <c r="N9" s="255"/>
    </row>
    <row r="10" spans="1:14" hidden="1" x14ac:dyDescent="0.2">
      <c r="A10" s="246" t="s">
        <v>200</v>
      </c>
      <c r="B10" s="459" t="s">
        <v>463</v>
      </c>
      <c r="C10" s="247" t="s">
        <v>18</v>
      </c>
      <c r="D10" s="248" t="s">
        <v>135</v>
      </c>
      <c r="E10" s="249">
        <v>6.2141809290953553E-4</v>
      </c>
      <c r="F10" s="250" t="s">
        <v>133</v>
      </c>
      <c r="G10" s="251" t="s">
        <v>16</v>
      </c>
      <c r="H10" s="252">
        <v>1</v>
      </c>
      <c r="I10" s="252">
        <v>1</v>
      </c>
      <c r="J10" s="252">
        <v>3</v>
      </c>
      <c r="K10" s="252">
        <v>3</v>
      </c>
      <c r="L10" s="253">
        <v>3</v>
      </c>
      <c r="M10" s="254">
        <f t="shared" si="0"/>
        <v>1.1181151966036349</v>
      </c>
      <c r="N10" s="255"/>
    </row>
    <row r="11" spans="1:14" hidden="1" x14ac:dyDescent="0.2">
      <c r="A11" s="246" t="s">
        <v>200</v>
      </c>
      <c r="B11" s="459" t="s">
        <v>463</v>
      </c>
      <c r="C11" s="247" t="s">
        <v>20</v>
      </c>
      <c r="D11" s="248" t="s">
        <v>135</v>
      </c>
      <c r="E11" s="249">
        <v>1.717297297297297E-3</v>
      </c>
      <c r="F11" s="250" t="s">
        <v>133</v>
      </c>
      <c r="G11" s="251" t="s">
        <v>16</v>
      </c>
      <c r="H11" s="252">
        <v>1</v>
      </c>
      <c r="I11" s="252">
        <v>1</v>
      </c>
      <c r="J11" s="252">
        <v>3</v>
      </c>
      <c r="K11" s="252">
        <v>3</v>
      </c>
      <c r="L11" s="253">
        <v>3</v>
      </c>
      <c r="M11" s="254">
        <f t="shared" si="0"/>
        <v>1.1181151966036349</v>
      </c>
      <c r="N11" s="255"/>
    </row>
    <row r="12" spans="1:14" hidden="1" x14ac:dyDescent="0.2">
      <c r="A12" s="246" t="s">
        <v>200</v>
      </c>
      <c r="B12" s="459" t="s">
        <v>463</v>
      </c>
      <c r="C12" s="247" t="s">
        <v>22</v>
      </c>
      <c r="D12" s="248" t="s">
        <v>135</v>
      </c>
      <c r="E12" s="249">
        <v>1.397291666666666E-3</v>
      </c>
      <c r="F12" s="250" t="s">
        <v>133</v>
      </c>
      <c r="G12" s="251" t="s">
        <v>16</v>
      </c>
      <c r="H12" s="252">
        <v>1</v>
      </c>
      <c r="I12" s="252">
        <v>1</v>
      </c>
      <c r="J12" s="252">
        <v>3</v>
      </c>
      <c r="K12" s="252">
        <v>3</v>
      </c>
      <c r="L12" s="253">
        <v>3</v>
      </c>
      <c r="M12" s="254">
        <f t="shared" si="0"/>
        <v>1.1181151966036349</v>
      </c>
      <c r="N12" s="255"/>
    </row>
    <row r="13" spans="1:14" hidden="1" x14ac:dyDescent="0.2">
      <c r="A13" s="246" t="s">
        <v>200</v>
      </c>
      <c r="B13" s="459" t="s">
        <v>463</v>
      </c>
      <c r="C13" s="247" t="s">
        <v>23</v>
      </c>
      <c r="D13" s="248" t="s">
        <v>135</v>
      </c>
      <c r="E13" s="249">
        <v>1.868823529411765E-3</v>
      </c>
      <c r="F13" s="250" t="s">
        <v>133</v>
      </c>
      <c r="G13" s="251" t="s">
        <v>16</v>
      </c>
      <c r="H13" s="252">
        <v>1</v>
      </c>
      <c r="I13" s="252">
        <v>1</v>
      </c>
      <c r="J13" s="252">
        <v>3</v>
      </c>
      <c r="K13" s="252">
        <v>3</v>
      </c>
      <c r="L13" s="253">
        <v>3</v>
      </c>
      <c r="M13" s="254">
        <f t="shared" si="0"/>
        <v>1.1181151966036349</v>
      </c>
      <c r="N13" s="255"/>
    </row>
    <row r="14" spans="1:14" hidden="1" x14ac:dyDescent="0.2">
      <c r="A14" s="246" t="s">
        <v>200</v>
      </c>
      <c r="B14" s="459" t="s">
        <v>463</v>
      </c>
      <c r="C14" s="247" t="s">
        <v>24</v>
      </c>
      <c r="D14" s="248" t="s">
        <v>135</v>
      </c>
      <c r="E14" s="249">
        <v>8.3605263157894745E-4</v>
      </c>
      <c r="F14" s="250" t="s">
        <v>133</v>
      </c>
      <c r="G14" s="251" t="s">
        <v>16</v>
      </c>
      <c r="H14" s="252">
        <v>1</v>
      </c>
      <c r="I14" s="252">
        <v>1</v>
      </c>
      <c r="J14" s="252">
        <v>3</v>
      </c>
      <c r="K14" s="252">
        <v>3</v>
      </c>
      <c r="L14" s="253">
        <v>3</v>
      </c>
      <c r="M14" s="254">
        <f t="shared" si="0"/>
        <v>1.1181151966036349</v>
      </c>
      <c r="N14" s="255"/>
    </row>
    <row r="15" spans="1:14" hidden="1" x14ac:dyDescent="0.2">
      <c r="A15" s="246" t="s">
        <v>200</v>
      </c>
      <c r="B15" s="459" t="s">
        <v>463</v>
      </c>
      <c r="C15" s="247" t="s">
        <v>25</v>
      </c>
      <c r="D15" s="248" t="s">
        <v>135</v>
      </c>
      <c r="E15" s="249">
        <v>4.2932432432432442E-4</v>
      </c>
      <c r="F15" s="250" t="s">
        <v>133</v>
      </c>
      <c r="G15" s="251" t="s">
        <v>16</v>
      </c>
      <c r="H15" s="252">
        <v>1</v>
      </c>
      <c r="I15" s="252">
        <v>1</v>
      </c>
      <c r="J15" s="252">
        <v>3</v>
      </c>
      <c r="K15" s="252">
        <v>3</v>
      </c>
      <c r="L15" s="253">
        <v>3</v>
      </c>
      <c r="M15" s="254">
        <f t="shared" si="0"/>
        <v>1.1181151966036349</v>
      </c>
      <c r="N15" s="255"/>
    </row>
    <row r="16" spans="1:14" hidden="1" x14ac:dyDescent="0.2">
      <c r="A16" s="246" t="s">
        <v>200</v>
      </c>
      <c r="B16" s="459" t="s">
        <v>463</v>
      </c>
      <c r="C16" s="247" t="s">
        <v>26</v>
      </c>
      <c r="D16" s="248" t="s">
        <v>135</v>
      </c>
      <c r="E16" s="249">
        <v>2.9808888888888888E-3</v>
      </c>
      <c r="F16" s="250" t="s">
        <v>133</v>
      </c>
      <c r="G16" s="251" t="s">
        <v>16</v>
      </c>
      <c r="H16" s="252">
        <v>1</v>
      </c>
      <c r="I16" s="252">
        <v>1</v>
      </c>
      <c r="J16" s="252">
        <v>3</v>
      </c>
      <c r="K16" s="252">
        <v>3</v>
      </c>
      <c r="L16" s="253">
        <v>3</v>
      </c>
      <c r="M16" s="254">
        <f t="shared" si="0"/>
        <v>1.1181151966036349</v>
      </c>
      <c r="N16" s="255"/>
    </row>
    <row r="17" spans="1:14" hidden="1" x14ac:dyDescent="0.2">
      <c r="A17" s="246" t="s">
        <v>200</v>
      </c>
      <c r="B17" s="459" t="s">
        <v>463</v>
      </c>
      <c r="C17" s="247" t="s">
        <v>27</v>
      </c>
      <c r="D17" s="248" t="s">
        <v>135</v>
      </c>
      <c r="E17" s="249">
        <v>3.4595281306715062E-4</v>
      </c>
      <c r="F17" s="250" t="s">
        <v>133</v>
      </c>
      <c r="G17" s="251" t="s">
        <v>16</v>
      </c>
      <c r="H17" s="252">
        <v>1</v>
      </c>
      <c r="I17" s="252">
        <v>1</v>
      </c>
      <c r="J17" s="252">
        <v>3</v>
      </c>
      <c r="K17" s="252">
        <v>3</v>
      </c>
      <c r="L17" s="253">
        <v>3</v>
      </c>
      <c r="M17" s="254">
        <f t="shared" si="0"/>
        <v>1.1181151966036349</v>
      </c>
      <c r="N17" s="255"/>
    </row>
    <row r="18" spans="1:14" hidden="1" x14ac:dyDescent="0.2">
      <c r="A18" s="246" t="s">
        <v>200</v>
      </c>
      <c r="B18" s="459" t="s">
        <v>463</v>
      </c>
      <c r="C18" s="247" t="s">
        <v>28</v>
      </c>
      <c r="D18" s="248" t="s">
        <v>135</v>
      </c>
      <c r="E18" s="249">
        <v>7.4149012567324962E-4</v>
      </c>
      <c r="F18" s="250" t="s">
        <v>133</v>
      </c>
      <c r="G18" s="251" t="s">
        <v>16</v>
      </c>
      <c r="H18" s="252">
        <v>1</v>
      </c>
      <c r="I18" s="252">
        <v>1</v>
      </c>
      <c r="J18" s="252">
        <v>3</v>
      </c>
      <c r="K18" s="252">
        <v>3</v>
      </c>
      <c r="L18" s="253">
        <v>3</v>
      </c>
      <c r="M18" s="254">
        <f t="shared" si="0"/>
        <v>1.1181151966036349</v>
      </c>
      <c r="N18" s="255"/>
    </row>
    <row r="19" spans="1:14" hidden="1" x14ac:dyDescent="0.2">
      <c r="A19" s="246" t="s">
        <v>200</v>
      </c>
      <c r="B19" s="459" t="s">
        <v>463</v>
      </c>
      <c r="C19" s="247" t="s">
        <v>30</v>
      </c>
      <c r="D19" s="248" t="s">
        <v>135</v>
      </c>
      <c r="E19" s="249">
        <v>5.242574257425742E-4</v>
      </c>
      <c r="F19" s="250" t="s">
        <v>133</v>
      </c>
      <c r="G19" s="251" t="s">
        <v>16</v>
      </c>
      <c r="H19" s="252">
        <v>1</v>
      </c>
      <c r="I19" s="252">
        <v>1</v>
      </c>
      <c r="J19" s="252">
        <v>3</v>
      </c>
      <c r="K19" s="252">
        <v>3</v>
      </c>
      <c r="L19" s="253">
        <v>3</v>
      </c>
      <c r="M19" s="254">
        <f t="shared" si="0"/>
        <v>1.1181151966036349</v>
      </c>
      <c r="N19" s="255"/>
    </row>
    <row r="20" spans="1:14" hidden="1" x14ac:dyDescent="0.2">
      <c r="A20" s="246" t="s">
        <v>200</v>
      </c>
      <c r="B20" s="459" t="s">
        <v>463</v>
      </c>
      <c r="C20" s="247" t="s">
        <v>32</v>
      </c>
      <c r="D20" s="248" t="s">
        <v>135</v>
      </c>
      <c r="E20" s="249">
        <v>1.23378640776699E-3</v>
      </c>
      <c r="F20" s="250" t="s">
        <v>133</v>
      </c>
      <c r="G20" s="251" t="s">
        <v>16</v>
      </c>
      <c r="H20" s="252">
        <v>1</v>
      </c>
      <c r="I20" s="252">
        <v>1</v>
      </c>
      <c r="J20" s="252">
        <v>3</v>
      </c>
      <c r="K20" s="252">
        <v>3</v>
      </c>
      <c r="L20" s="253">
        <v>3</v>
      </c>
      <c r="M20" s="254">
        <f t="shared" si="0"/>
        <v>1.1181151966036349</v>
      </c>
      <c r="N20" s="255"/>
    </row>
    <row r="21" spans="1:14" hidden="1" x14ac:dyDescent="0.2">
      <c r="A21" s="246" t="s">
        <v>200</v>
      </c>
      <c r="B21" s="459" t="s">
        <v>463</v>
      </c>
      <c r="C21" s="247" t="s">
        <v>34</v>
      </c>
      <c r="D21" s="248" t="s">
        <v>135</v>
      </c>
      <c r="E21" s="249">
        <v>1.5009448818897641E-3</v>
      </c>
      <c r="F21" s="250" t="s">
        <v>133</v>
      </c>
      <c r="G21" s="251" t="s">
        <v>16</v>
      </c>
      <c r="H21" s="252">
        <v>1</v>
      </c>
      <c r="I21" s="252">
        <v>1</v>
      </c>
      <c r="J21" s="252">
        <v>3</v>
      </c>
      <c r="K21" s="252">
        <v>3</v>
      </c>
      <c r="L21" s="253">
        <v>3</v>
      </c>
      <c r="M21" s="254">
        <f t="shared" si="0"/>
        <v>1.1181151966036349</v>
      </c>
      <c r="N21" s="255"/>
    </row>
    <row r="22" spans="1:14" hidden="1" x14ac:dyDescent="0.2">
      <c r="A22" s="246" t="s">
        <v>200</v>
      </c>
      <c r="B22" s="459" t="s">
        <v>463</v>
      </c>
      <c r="C22" s="247" t="s">
        <v>36</v>
      </c>
      <c r="D22" s="248" t="s">
        <v>135</v>
      </c>
      <c r="E22" s="249">
        <v>1.4482051282051281E-3</v>
      </c>
      <c r="F22" s="250" t="s">
        <v>133</v>
      </c>
      <c r="G22" s="251" t="s">
        <v>16</v>
      </c>
      <c r="H22" s="252">
        <v>1</v>
      </c>
      <c r="I22" s="252">
        <v>1</v>
      </c>
      <c r="J22" s="252">
        <v>3</v>
      </c>
      <c r="K22" s="252">
        <v>3</v>
      </c>
      <c r="L22" s="253">
        <v>3</v>
      </c>
      <c r="M22" s="254">
        <f t="shared" si="0"/>
        <v>1.1181151966036349</v>
      </c>
      <c r="N22" s="255"/>
    </row>
    <row r="23" spans="1:14" hidden="1" x14ac:dyDescent="0.2">
      <c r="A23" s="246" t="s">
        <v>200</v>
      </c>
      <c r="B23" s="459" t="s">
        <v>463</v>
      </c>
      <c r="C23" s="247" t="s">
        <v>37</v>
      </c>
      <c r="D23" s="248" t="s">
        <v>135</v>
      </c>
      <c r="E23" s="249">
        <v>6.0483967935871753E-3</v>
      </c>
      <c r="F23" s="250" t="s">
        <v>133</v>
      </c>
      <c r="G23" s="251" t="s">
        <v>16</v>
      </c>
      <c r="H23" s="252">
        <v>1</v>
      </c>
      <c r="I23" s="252">
        <v>1</v>
      </c>
      <c r="J23" s="252">
        <v>3</v>
      </c>
      <c r="K23" s="252">
        <v>3</v>
      </c>
      <c r="L23" s="253">
        <v>3</v>
      </c>
      <c r="M23" s="254">
        <f t="shared" si="0"/>
        <v>1.1181151966036349</v>
      </c>
      <c r="N23" s="255"/>
    </row>
    <row r="24" spans="1:14" hidden="1" x14ac:dyDescent="0.2">
      <c r="A24" s="246" t="s">
        <v>200</v>
      </c>
      <c r="B24" s="459" t="s">
        <v>463</v>
      </c>
      <c r="C24" s="247" t="s">
        <v>39</v>
      </c>
      <c r="D24" s="248" t="s">
        <v>135</v>
      </c>
      <c r="E24" s="249">
        <v>2.9662407862407862E-3</v>
      </c>
      <c r="F24" s="250" t="s">
        <v>133</v>
      </c>
      <c r="G24" s="251" t="s">
        <v>16</v>
      </c>
      <c r="H24" s="252">
        <v>1</v>
      </c>
      <c r="I24" s="252">
        <v>1</v>
      </c>
      <c r="J24" s="252">
        <v>3</v>
      </c>
      <c r="K24" s="252">
        <v>3</v>
      </c>
      <c r="L24" s="253">
        <v>3</v>
      </c>
      <c r="M24" s="254">
        <f t="shared" si="0"/>
        <v>1.1181151966036349</v>
      </c>
      <c r="N24" s="255"/>
    </row>
    <row r="25" spans="1:14" hidden="1" x14ac:dyDescent="0.2">
      <c r="A25" s="246" t="s">
        <v>200</v>
      </c>
      <c r="B25" s="459" t="s">
        <v>463</v>
      </c>
      <c r="C25" s="247" t="s">
        <v>40</v>
      </c>
      <c r="D25" s="248" t="s">
        <v>135</v>
      </c>
      <c r="E25" s="249">
        <v>9.5857758620689656E-4</v>
      </c>
      <c r="F25" s="250" t="s">
        <v>133</v>
      </c>
      <c r="G25" s="251" t="s">
        <v>16</v>
      </c>
      <c r="H25" s="252">
        <v>1</v>
      </c>
      <c r="I25" s="252">
        <v>1</v>
      </c>
      <c r="J25" s="252">
        <v>3</v>
      </c>
      <c r="K25" s="252">
        <v>3</v>
      </c>
      <c r="L25" s="253">
        <v>3</v>
      </c>
      <c r="M25" s="254">
        <f t="shared" si="0"/>
        <v>1.1181151966036349</v>
      </c>
      <c r="N25" s="255"/>
    </row>
    <row r="26" spans="1:14" hidden="1" x14ac:dyDescent="0.2">
      <c r="A26" s="246" t="s">
        <v>200</v>
      </c>
      <c r="B26" s="459" t="s">
        <v>463</v>
      </c>
      <c r="C26" s="247" t="s">
        <v>41</v>
      </c>
      <c r="D26" s="248" t="s">
        <v>135</v>
      </c>
      <c r="E26" s="249">
        <v>4.352054794520548E-4</v>
      </c>
      <c r="F26" s="250" t="s">
        <v>133</v>
      </c>
      <c r="G26" s="251" t="s">
        <v>16</v>
      </c>
      <c r="H26" s="252">
        <v>1</v>
      </c>
      <c r="I26" s="252">
        <v>1</v>
      </c>
      <c r="J26" s="252">
        <v>3</v>
      </c>
      <c r="K26" s="252">
        <v>3</v>
      </c>
      <c r="L26" s="253">
        <v>3</v>
      </c>
      <c r="M26" s="254">
        <f t="shared" si="0"/>
        <v>1.1181151966036349</v>
      </c>
      <c r="N26" s="255"/>
    </row>
    <row r="27" spans="1:14" hidden="1" x14ac:dyDescent="0.2">
      <c r="A27" s="246" t="s">
        <v>200</v>
      </c>
      <c r="B27" s="459" t="s">
        <v>463</v>
      </c>
      <c r="C27" s="247" t="s">
        <v>42</v>
      </c>
      <c r="D27" s="248" t="s">
        <v>135</v>
      </c>
      <c r="E27" s="249">
        <v>2.1274553571428568E-3</v>
      </c>
      <c r="F27" s="250" t="s">
        <v>133</v>
      </c>
      <c r="G27" s="251" t="s">
        <v>16</v>
      </c>
      <c r="H27" s="252">
        <v>1</v>
      </c>
      <c r="I27" s="252">
        <v>1</v>
      </c>
      <c r="J27" s="252">
        <v>3</v>
      </c>
      <c r="K27" s="252">
        <v>3</v>
      </c>
      <c r="L27" s="253">
        <v>3</v>
      </c>
      <c r="M27" s="254">
        <f t="shared" si="0"/>
        <v>1.1181151966036349</v>
      </c>
      <c r="N27" s="255"/>
    </row>
    <row r="28" spans="1:14" hidden="1" x14ac:dyDescent="0.2">
      <c r="A28" s="246" t="s">
        <v>200</v>
      </c>
      <c r="B28" s="459" t="s">
        <v>463</v>
      </c>
      <c r="C28" s="247" t="s">
        <v>43</v>
      </c>
      <c r="D28" s="248" t="s">
        <v>135</v>
      </c>
      <c r="E28" s="249">
        <v>4.9737769080234839E-4</v>
      </c>
      <c r="F28" s="250" t="s">
        <v>133</v>
      </c>
      <c r="G28" s="251" t="s">
        <v>16</v>
      </c>
      <c r="H28" s="252">
        <v>1</v>
      </c>
      <c r="I28" s="252">
        <v>1</v>
      </c>
      <c r="J28" s="252">
        <v>3</v>
      </c>
      <c r="K28" s="252">
        <v>3</v>
      </c>
      <c r="L28" s="253">
        <v>3</v>
      </c>
      <c r="M28" s="254">
        <f t="shared" si="0"/>
        <v>1.1181151966036349</v>
      </c>
      <c r="N28" s="255"/>
    </row>
    <row r="29" spans="1:14" x14ac:dyDescent="0.2">
      <c r="A29" s="246" t="s">
        <v>200</v>
      </c>
      <c r="B29" s="459" t="s">
        <v>463</v>
      </c>
      <c r="C29" s="247" t="s">
        <v>45</v>
      </c>
      <c r="D29" s="248" t="s">
        <v>135</v>
      </c>
      <c r="E29" s="249">
        <v>6.8784844384303125E-4</v>
      </c>
      <c r="F29" s="250" t="s">
        <v>133</v>
      </c>
      <c r="G29" s="251" t="s">
        <v>16</v>
      </c>
      <c r="H29" s="252">
        <v>1</v>
      </c>
      <c r="I29" s="252">
        <v>1</v>
      </c>
      <c r="J29" s="252">
        <v>3</v>
      </c>
      <c r="K29" s="252">
        <v>3</v>
      </c>
      <c r="L29" s="253">
        <v>3</v>
      </c>
      <c r="M29" s="254">
        <f t="shared" si="0"/>
        <v>1.1181151966036349</v>
      </c>
      <c r="N29" s="255"/>
    </row>
    <row r="30" spans="1:14" hidden="1" x14ac:dyDescent="0.2">
      <c r="A30" s="246" t="s">
        <v>200</v>
      </c>
      <c r="B30" s="459" t="s">
        <v>463</v>
      </c>
      <c r="C30" s="247" t="s">
        <v>46</v>
      </c>
      <c r="D30" s="248" t="s">
        <v>135</v>
      </c>
      <c r="E30" s="249">
        <v>1.2553495440729479E-3</v>
      </c>
      <c r="F30" s="250" t="s">
        <v>133</v>
      </c>
      <c r="G30" s="251" t="s">
        <v>16</v>
      </c>
      <c r="H30" s="252">
        <v>1</v>
      </c>
      <c r="I30" s="252">
        <v>1</v>
      </c>
      <c r="J30" s="252">
        <v>3</v>
      </c>
      <c r="K30" s="252">
        <v>3</v>
      </c>
      <c r="L30" s="253">
        <v>3</v>
      </c>
      <c r="M30" s="254">
        <f t="shared" si="0"/>
        <v>1.1181151966036349</v>
      </c>
      <c r="N30" s="255"/>
    </row>
    <row r="31" spans="1:14" hidden="1" x14ac:dyDescent="0.2">
      <c r="A31" s="246" t="s">
        <v>200</v>
      </c>
      <c r="B31" s="459" t="s">
        <v>463</v>
      </c>
      <c r="C31" s="247" t="s">
        <v>48</v>
      </c>
      <c r="D31" s="248" t="s">
        <v>135</v>
      </c>
      <c r="E31" s="249">
        <v>9.3994082840236678E-4</v>
      </c>
      <c r="F31" s="250" t="s">
        <v>133</v>
      </c>
      <c r="G31" s="251" t="s">
        <v>16</v>
      </c>
      <c r="H31" s="252">
        <v>1</v>
      </c>
      <c r="I31" s="252">
        <v>1</v>
      </c>
      <c r="J31" s="252">
        <v>3</v>
      </c>
      <c r="K31" s="252">
        <v>3</v>
      </c>
      <c r="L31" s="253">
        <v>3</v>
      </c>
      <c r="M31" s="254">
        <f t="shared" si="0"/>
        <v>1.1181151966036349</v>
      </c>
      <c r="N31" s="255"/>
    </row>
    <row r="32" spans="1:14" hidden="1" x14ac:dyDescent="0.2">
      <c r="A32" s="246" t="s">
        <v>200</v>
      </c>
      <c r="B32" s="459" t="s">
        <v>463</v>
      </c>
      <c r="C32" s="247" t="s">
        <v>50</v>
      </c>
      <c r="D32" s="248" t="s">
        <v>135</v>
      </c>
      <c r="E32" s="249">
        <v>5.72327205882353E-3</v>
      </c>
      <c r="F32" s="250" t="s">
        <v>133</v>
      </c>
      <c r="G32" s="251" t="s">
        <v>16</v>
      </c>
      <c r="H32" s="252">
        <v>1</v>
      </c>
      <c r="I32" s="252">
        <v>1</v>
      </c>
      <c r="J32" s="252">
        <v>3</v>
      </c>
      <c r="K32" s="252">
        <v>3</v>
      </c>
      <c r="L32" s="253">
        <v>3</v>
      </c>
      <c r="M32" s="254">
        <f t="shared" si="0"/>
        <v>1.1181151966036349</v>
      </c>
      <c r="N32" s="255"/>
    </row>
    <row r="33" spans="1:14" hidden="1" x14ac:dyDescent="0.2">
      <c r="A33" s="246" t="s">
        <v>200</v>
      </c>
      <c r="B33" s="459" t="s">
        <v>463</v>
      </c>
      <c r="C33" s="247" t="s">
        <v>52</v>
      </c>
      <c r="D33" s="248" t="s">
        <v>135</v>
      </c>
      <c r="E33" s="249">
        <v>9.2086956521739128E-4</v>
      </c>
      <c r="F33" s="250" t="s">
        <v>133</v>
      </c>
      <c r="G33" s="251" t="s">
        <v>16</v>
      </c>
      <c r="H33" s="252">
        <v>1</v>
      </c>
      <c r="I33" s="252">
        <v>1</v>
      </c>
      <c r="J33" s="252">
        <v>3</v>
      </c>
      <c r="K33" s="252">
        <v>3</v>
      </c>
      <c r="L33" s="253">
        <v>3</v>
      </c>
      <c r="M33" s="254">
        <f t="shared" si="0"/>
        <v>1.1181151966036349</v>
      </c>
      <c r="N33" s="255"/>
    </row>
    <row r="34" spans="1:14" hidden="1" x14ac:dyDescent="0.2">
      <c r="A34" s="246" t="s">
        <v>200</v>
      </c>
      <c r="B34" s="459" t="s">
        <v>463</v>
      </c>
      <c r="C34" s="247" t="s">
        <v>54</v>
      </c>
      <c r="D34" s="248" t="s">
        <v>135</v>
      </c>
      <c r="E34" s="249">
        <v>5.8833333333333329E-4</v>
      </c>
      <c r="F34" s="250" t="s">
        <v>133</v>
      </c>
      <c r="G34" s="251" t="s">
        <v>16</v>
      </c>
      <c r="H34" s="252">
        <v>1</v>
      </c>
      <c r="I34" s="252">
        <v>1</v>
      </c>
      <c r="J34" s="252">
        <v>3</v>
      </c>
      <c r="K34" s="252">
        <v>3</v>
      </c>
      <c r="L34" s="253">
        <v>3</v>
      </c>
      <c r="M34" s="254">
        <f>IF( OR( ISBLANK(H34),ISBLANK(I34), ISBLANK(J34), ISBLANK(K34), ISBLANK(L34) ), "", 1.5*SQRT(   EXP(2.21*(H34-1)) + EXP(2.21*(I34-1)) + EXP(2.21*(J34-1)) + EXP(2.21*(K34-1)) + EXP(2.21*L34)   )/100*2.45 )</f>
        <v>1.1181151966036349</v>
      </c>
      <c r="N34" s="255"/>
    </row>
    <row r="35" spans="1:14" hidden="1" x14ac:dyDescent="0.2">
      <c r="A35" s="246" t="s">
        <v>200</v>
      </c>
      <c r="B35" s="459" t="s">
        <v>463</v>
      </c>
      <c r="C35" s="247" t="s">
        <v>55</v>
      </c>
      <c r="D35" s="248" t="s">
        <v>135</v>
      </c>
      <c r="E35" s="249">
        <v>1.2708000000000001E-3</v>
      </c>
      <c r="F35" s="250" t="s">
        <v>133</v>
      </c>
      <c r="G35" s="251" t="s">
        <v>16</v>
      </c>
      <c r="H35" s="252">
        <v>1</v>
      </c>
      <c r="I35" s="252">
        <v>1</v>
      </c>
      <c r="J35" s="252">
        <v>3</v>
      </c>
      <c r="K35" s="252">
        <v>3</v>
      </c>
      <c r="L35" s="253">
        <v>3</v>
      </c>
      <c r="M35" s="254">
        <f t="shared" ref="M35:M65" si="1">IF( OR( ISBLANK(H35),ISBLANK(I35), ISBLANK(J35), ISBLANK(K35), ISBLANK(L35) ), "", 1.5*SQRT( EXP(2.21*(H35-1)) + EXP(2.21*(I35-1)) + EXP(2.21*(J35-1)) + EXP(2.21*(K35-1)) + EXP(2.21*L35) )/100*2.45 )</f>
        <v>1.1181151966036349</v>
      </c>
      <c r="N35" s="255"/>
    </row>
    <row r="36" spans="1:14" hidden="1" x14ac:dyDescent="0.2">
      <c r="A36" s="246" t="s">
        <v>200</v>
      </c>
      <c r="B36" s="459" t="s">
        <v>463</v>
      </c>
      <c r="C36" s="247" t="s">
        <v>57</v>
      </c>
      <c r="D36" s="248" t="s">
        <v>135</v>
      </c>
      <c r="E36" s="249">
        <v>5.8562211981566818E-4</v>
      </c>
      <c r="F36" s="250" t="s">
        <v>133</v>
      </c>
      <c r="G36" s="251" t="s">
        <v>16</v>
      </c>
      <c r="H36" s="252">
        <v>1</v>
      </c>
      <c r="I36" s="252">
        <v>1</v>
      </c>
      <c r="J36" s="252">
        <v>3</v>
      </c>
      <c r="K36" s="252">
        <v>3</v>
      </c>
      <c r="L36" s="253">
        <v>3</v>
      </c>
      <c r="M36" s="254">
        <f t="shared" si="1"/>
        <v>1.1181151966036349</v>
      </c>
      <c r="N36" s="255"/>
    </row>
    <row r="37" spans="1:14" hidden="1" x14ac:dyDescent="0.2">
      <c r="A37" s="246" t="s">
        <v>200</v>
      </c>
      <c r="B37" s="459" t="s">
        <v>463</v>
      </c>
      <c r="C37" s="247" t="s">
        <v>59</v>
      </c>
      <c r="D37" s="248" t="s">
        <v>135</v>
      </c>
      <c r="E37" s="249">
        <v>2.7E-4</v>
      </c>
      <c r="F37" s="250" t="s">
        <v>133</v>
      </c>
      <c r="G37" s="251" t="s">
        <v>16</v>
      </c>
      <c r="H37" s="252">
        <v>1</v>
      </c>
      <c r="I37" s="252">
        <v>1</v>
      </c>
      <c r="J37" s="252">
        <v>3</v>
      </c>
      <c r="K37" s="252">
        <v>3</v>
      </c>
      <c r="L37" s="253">
        <v>3</v>
      </c>
      <c r="M37" s="254">
        <f t="shared" si="1"/>
        <v>1.1181151966036349</v>
      </c>
      <c r="N37" s="255"/>
    </row>
    <row r="38" spans="1:14" hidden="1" x14ac:dyDescent="0.2">
      <c r="A38" s="246" t="s">
        <v>200</v>
      </c>
      <c r="B38" s="459" t="s">
        <v>463</v>
      </c>
      <c r="C38" s="247" t="s">
        <v>60</v>
      </c>
      <c r="D38" s="248" t="s">
        <v>135</v>
      </c>
      <c r="E38" s="249">
        <v>1.23511879049676E-3</v>
      </c>
      <c r="F38" s="250" t="s">
        <v>133</v>
      </c>
      <c r="G38" s="251" t="s">
        <v>16</v>
      </c>
      <c r="H38" s="252">
        <v>1</v>
      </c>
      <c r="I38" s="252">
        <v>1</v>
      </c>
      <c r="J38" s="252">
        <v>3</v>
      </c>
      <c r="K38" s="252">
        <v>3</v>
      </c>
      <c r="L38" s="253">
        <v>3</v>
      </c>
      <c r="M38" s="254">
        <f t="shared" si="1"/>
        <v>1.1181151966036349</v>
      </c>
      <c r="N38" s="255"/>
    </row>
    <row r="39" spans="1:14" x14ac:dyDescent="0.2">
      <c r="A39" s="444" t="s">
        <v>207</v>
      </c>
      <c r="B39" s="445" t="s">
        <v>461</v>
      </c>
      <c r="C39" s="446" t="s">
        <v>135</v>
      </c>
      <c r="D39" s="447" t="s">
        <v>14</v>
      </c>
      <c r="E39" s="391">
        <v>0.13950000000000001</v>
      </c>
      <c r="F39" s="389" t="s">
        <v>462</v>
      </c>
      <c r="G39" s="390" t="s">
        <v>16</v>
      </c>
      <c r="H39" s="391">
        <v>2</v>
      </c>
      <c r="I39" s="391">
        <v>4</v>
      </c>
      <c r="J39" s="391">
        <v>1</v>
      </c>
      <c r="K39" s="391">
        <v>1</v>
      </c>
      <c r="L39" s="392">
        <v>2</v>
      </c>
      <c r="M39" s="271">
        <f t="shared" si="1"/>
        <v>1.0725046436742278</v>
      </c>
      <c r="N39" s="272"/>
    </row>
    <row r="40" spans="1:14" x14ac:dyDescent="0.2">
      <c r="A40" s="246" t="s">
        <v>207</v>
      </c>
      <c r="B40" s="448" t="s">
        <v>461</v>
      </c>
      <c r="C40" s="449" t="s">
        <v>135</v>
      </c>
      <c r="D40" s="450" t="s">
        <v>62</v>
      </c>
      <c r="E40" s="376">
        <v>0.24110000000000001</v>
      </c>
      <c r="F40" s="374" t="s">
        <v>462</v>
      </c>
      <c r="G40" s="375" t="s">
        <v>16</v>
      </c>
      <c r="H40" s="376">
        <v>2</v>
      </c>
      <c r="I40" s="376">
        <v>4</v>
      </c>
      <c r="J40" s="376">
        <v>1</v>
      </c>
      <c r="K40" s="376">
        <v>1</v>
      </c>
      <c r="L40" s="377">
        <v>2</v>
      </c>
      <c r="M40" s="254">
        <f t="shared" si="1"/>
        <v>1.0725046436742278</v>
      </c>
      <c r="N40" s="255"/>
    </row>
    <row r="41" spans="1:14" x14ac:dyDescent="0.2">
      <c r="A41" s="246" t="s">
        <v>207</v>
      </c>
      <c r="B41" s="448" t="s">
        <v>461</v>
      </c>
      <c r="C41" s="449" t="s">
        <v>135</v>
      </c>
      <c r="D41" s="451" t="s">
        <v>64</v>
      </c>
      <c r="E41" s="376">
        <v>0.17499999999999999</v>
      </c>
      <c r="F41" s="374" t="s">
        <v>462</v>
      </c>
      <c r="G41" s="375" t="s">
        <v>16</v>
      </c>
      <c r="H41" s="376">
        <v>2</v>
      </c>
      <c r="I41" s="376">
        <v>4</v>
      </c>
      <c r="J41" s="376">
        <v>1</v>
      </c>
      <c r="K41" s="376">
        <v>1</v>
      </c>
      <c r="L41" s="377">
        <v>2</v>
      </c>
      <c r="M41" s="254">
        <f t="shared" si="1"/>
        <v>1.0725046436742278</v>
      </c>
      <c r="N41" s="255"/>
    </row>
    <row r="42" spans="1:14" x14ac:dyDescent="0.2">
      <c r="A42" s="246" t="s">
        <v>207</v>
      </c>
      <c r="B42" s="448" t="s">
        <v>461</v>
      </c>
      <c r="C42" s="449" t="s">
        <v>135</v>
      </c>
      <c r="D42" s="452" t="s">
        <v>66</v>
      </c>
      <c r="E42" s="376">
        <v>0.22220000000000001</v>
      </c>
      <c r="F42" s="374" t="s">
        <v>462</v>
      </c>
      <c r="G42" s="375" t="s">
        <v>16</v>
      </c>
      <c r="H42" s="376">
        <v>2</v>
      </c>
      <c r="I42" s="376">
        <v>4</v>
      </c>
      <c r="J42" s="376">
        <v>1</v>
      </c>
      <c r="K42" s="376">
        <v>1</v>
      </c>
      <c r="L42" s="377">
        <v>2</v>
      </c>
      <c r="M42" s="254">
        <f t="shared" si="1"/>
        <v>1.0725046436742278</v>
      </c>
      <c r="N42" s="255"/>
    </row>
    <row r="43" spans="1:14" x14ac:dyDescent="0.2">
      <c r="A43" s="246" t="s">
        <v>207</v>
      </c>
      <c r="B43" s="448" t="s">
        <v>461</v>
      </c>
      <c r="C43" s="449" t="s">
        <v>135</v>
      </c>
      <c r="D43" s="453" t="s">
        <v>94</v>
      </c>
      <c r="E43" s="454">
        <v>0</v>
      </c>
      <c r="F43" s="374" t="s">
        <v>464</v>
      </c>
      <c r="G43" s="375" t="s">
        <v>16</v>
      </c>
      <c r="H43" s="454"/>
      <c r="I43" s="454"/>
      <c r="J43" s="454"/>
      <c r="K43" s="454"/>
      <c r="L43" s="455"/>
      <c r="M43" s="456" t="str">
        <f t="shared" si="1"/>
        <v/>
      </c>
      <c r="N43" s="255"/>
    </row>
    <row r="44" spans="1:14" x14ac:dyDescent="0.2">
      <c r="A44" s="246" t="s">
        <v>207</v>
      </c>
      <c r="B44" s="448" t="s">
        <v>461</v>
      </c>
      <c r="C44" s="449" t="s">
        <v>135</v>
      </c>
      <c r="D44" s="457" t="s">
        <v>96</v>
      </c>
      <c r="E44" s="454">
        <v>0</v>
      </c>
      <c r="F44" s="374" t="s">
        <v>462</v>
      </c>
      <c r="G44" s="375" t="s">
        <v>16</v>
      </c>
      <c r="H44" s="454"/>
      <c r="I44" s="454"/>
      <c r="J44" s="454"/>
      <c r="K44" s="454"/>
      <c r="L44" s="455"/>
      <c r="M44" s="456" t="str">
        <f t="shared" si="1"/>
        <v/>
      </c>
      <c r="N44" s="255"/>
    </row>
    <row r="45" spans="1:14" x14ac:dyDescent="0.2">
      <c r="A45" s="246" t="s">
        <v>207</v>
      </c>
      <c r="B45" s="448" t="s">
        <v>461</v>
      </c>
      <c r="C45" s="449" t="s">
        <v>135</v>
      </c>
      <c r="D45" s="458" t="s">
        <v>98</v>
      </c>
      <c r="E45" s="376">
        <v>0.22220000000000001</v>
      </c>
      <c r="F45" s="374" t="s">
        <v>462</v>
      </c>
      <c r="G45" s="375" t="s">
        <v>16</v>
      </c>
      <c r="H45" s="376">
        <v>2</v>
      </c>
      <c r="I45" s="376">
        <v>4</v>
      </c>
      <c r="J45" s="376">
        <v>1</v>
      </c>
      <c r="K45" s="376">
        <v>1</v>
      </c>
      <c r="L45" s="377">
        <v>2</v>
      </c>
      <c r="M45" s="254">
        <f t="shared" si="1"/>
        <v>1.0725046436742278</v>
      </c>
      <c r="N45" s="255"/>
    </row>
    <row r="46" spans="1:14" hidden="1" x14ac:dyDescent="0.2">
      <c r="A46" s="246" t="s">
        <v>207</v>
      </c>
      <c r="B46" s="459" t="s">
        <v>463</v>
      </c>
      <c r="C46" s="247" t="s">
        <v>13</v>
      </c>
      <c r="D46" s="248" t="s">
        <v>135</v>
      </c>
      <c r="E46" s="249">
        <v>4.9383419689119179E-4</v>
      </c>
      <c r="F46" s="250" t="s">
        <v>133</v>
      </c>
      <c r="G46" s="251" t="s">
        <v>16</v>
      </c>
      <c r="H46" s="252">
        <v>1</v>
      </c>
      <c r="I46" s="252">
        <v>1</v>
      </c>
      <c r="J46" s="252">
        <v>3</v>
      </c>
      <c r="K46" s="252">
        <v>3</v>
      </c>
      <c r="L46" s="253">
        <v>3</v>
      </c>
      <c r="M46" s="254">
        <f t="shared" si="1"/>
        <v>1.1181151966036349</v>
      </c>
      <c r="N46" s="255"/>
    </row>
    <row r="47" spans="1:14" hidden="1" x14ac:dyDescent="0.2">
      <c r="A47" s="246" t="s">
        <v>207</v>
      </c>
      <c r="B47" s="459" t="s">
        <v>463</v>
      </c>
      <c r="C47" s="247" t="s">
        <v>18</v>
      </c>
      <c r="D47" s="248" t="s">
        <v>135</v>
      </c>
      <c r="E47" s="249">
        <v>6.2141809290953553E-4</v>
      </c>
      <c r="F47" s="250" t="s">
        <v>133</v>
      </c>
      <c r="G47" s="251" t="s">
        <v>16</v>
      </c>
      <c r="H47" s="252">
        <v>1</v>
      </c>
      <c r="I47" s="252">
        <v>1</v>
      </c>
      <c r="J47" s="252">
        <v>3</v>
      </c>
      <c r="K47" s="252">
        <v>3</v>
      </c>
      <c r="L47" s="253">
        <v>3</v>
      </c>
      <c r="M47" s="254">
        <f t="shared" si="1"/>
        <v>1.1181151966036349</v>
      </c>
      <c r="N47" s="255"/>
    </row>
    <row r="48" spans="1:14" hidden="1" x14ac:dyDescent="0.2">
      <c r="A48" s="246" t="s">
        <v>207</v>
      </c>
      <c r="B48" s="459" t="s">
        <v>463</v>
      </c>
      <c r="C48" s="247" t="s">
        <v>20</v>
      </c>
      <c r="D48" s="248" t="s">
        <v>135</v>
      </c>
      <c r="E48" s="249">
        <v>1.717297297297297E-3</v>
      </c>
      <c r="F48" s="250" t="s">
        <v>133</v>
      </c>
      <c r="G48" s="251" t="s">
        <v>16</v>
      </c>
      <c r="H48" s="252">
        <v>1</v>
      </c>
      <c r="I48" s="252">
        <v>1</v>
      </c>
      <c r="J48" s="252">
        <v>3</v>
      </c>
      <c r="K48" s="252">
        <v>3</v>
      </c>
      <c r="L48" s="253">
        <v>3</v>
      </c>
      <c r="M48" s="254">
        <f t="shared" si="1"/>
        <v>1.1181151966036349</v>
      </c>
      <c r="N48" s="255"/>
    </row>
    <row r="49" spans="1:14" hidden="1" x14ac:dyDescent="0.2">
      <c r="A49" s="246" t="s">
        <v>207</v>
      </c>
      <c r="B49" s="459" t="s">
        <v>463</v>
      </c>
      <c r="C49" s="247" t="s">
        <v>22</v>
      </c>
      <c r="D49" s="248" t="s">
        <v>135</v>
      </c>
      <c r="E49" s="249">
        <v>1.397291666666666E-3</v>
      </c>
      <c r="F49" s="250" t="s">
        <v>133</v>
      </c>
      <c r="G49" s="251" t="s">
        <v>16</v>
      </c>
      <c r="H49" s="252">
        <v>1</v>
      </c>
      <c r="I49" s="252">
        <v>1</v>
      </c>
      <c r="J49" s="252">
        <v>3</v>
      </c>
      <c r="K49" s="252">
        <v>3</v>
      </c>
      <c r="L49" s="253">
        <v>3</v>
      </c>
      <c r="M49" s="254">
        <f t="shared" si="1"/>
        <v>1.1181151966036349</v>
      </c>
      <c r="N49" s="255"/>
    </row>
    <row r="50" spans="1:14" hidden="1" x14ac:dyDescent="0.2">
      <c r="A50" s="246" t="s">
        <v>207</v>
      </c>
      <c r="B50" s="459" t="s">
        <v>463</v>
      </c>
      <c r="C50" s="247" t="s">
        <v>23</v>
      </c>
      <c r="D50" s="248" t="s">
        <v>135</v>
      </c>
      <c r="E50" s="249">
        <v>1.868823529411765E-3</v>
      </c>
      <c r="F50" s="250" t="s">
        <v>133</v>
      </c>
      <c r="G50" s="251" t="s">
        <v>16</v>
      </c>
      <c r="H50" s="252">
        <v>1</v>
      </c>
      <c r="I50" s="252">
        <v>1</v>
      </c>
      <c r="J50" s="252">
        <v>3</v>
      </c>
      <c r="K50" s="252">
        <v>3</v>
      </c>
      <c r="L50" s="253">
        <v>3</v>
      </c>
      <c r="M50" s="254">
        <f t="shared" si="1"/>
        <v>1.1181151966036349</v>
      </c>
      <c r="N50" s="255"/>
    </row>
    <row r="51" spans="1:14" hidden="1" x14ac:dyDescent="0.2">
      <c r="A51" s="246" t="s">
        <v>207</v>
      </c>
      <c r="B51" s="459" t="s">
        <v>463</v>
      </c>
      <c r="C51" s="247" t="s">
        <v>24</v>
      </c>
      <c r="D51" s="248" t="s">
        <v>135</v>
      </c>
      <c r="E51" s="249">
        <v>8.3605263157894745E-4</v>
      </c>
      <c r="F51" s="250" t="s">
        <v>133</v>
      </c>
      <c r="G51" s="251" t="s">
        <v>16</v>
      </c>
      <c r="H51" s="252">
        <v>1</v>
      </c>
      <c r="I51" s="252">
        <v>1</v>
      </c>
      <c r="J51" s="252">
        <v>3</v>
      </c>
      <c r="K51" s="252">
        <v>3</v>
      </c>
      <c r="L51" s="253">
        <v>3</v>
      </c>
      <c r="M51" s="254">
        <f t="shared" si="1"/>
        <v>1.1181151966036349</v>
      </c>
      <c r="N51" s="255"/>
    </row>
    <row r="52" spans="1:14" hidden="1" x14ac:dyDescent="0.2">
      <c r="A52" s="246" t="s">
        <v>207</v>
      </c>
      <c r="B52" s="459" t="s">
        <v>463</v>
      </c>
      <c r="C52" s="247" t="s">
        <v>25</v>
      </c>
      <c r="D52" s="248" t="s">
        <v>135</v>
      </c>
      <c r="E52" s="249">
        <v>4.2932432432432442E-4</v>
      </c>
      <c r="F52" s="250" t="s">
        <v>133</v>
      </c>
      <c r="G52" s="251" t="s">
        <v>16</v>
      </c>
      <c r="H52" s="252">
        <v>1</v>
      </c>
      <c r="I52" s="252">
        <v>1</v>
      </c>
      <c r="J52" s="252">
        <v>3</v>
      </c>
      <c r="K52" s="252">
        <v>3</v>
      </c>
      <c r="L52" s="253">
        <v>3</v>
      </c>
      <c r="M52" s="254">
        <f t="shared" si="1"/>
        <v>1.1181151966036349</v>
      </c>
      <c r="N52" s="255"/>
    </row>
    <row r="53" spans="1:14" hidden="1" x14ac:dyDescent="0.2">
      <c r="A53" s="246" t="s">
        <v>207</v>
      </c>
      <c r="B53" s="459" t="s">
        <v>463</v>
      </c>
      <c r="C53" s="247" t="s">
        <v>26</v>
      </c>
      <c r="D53" s="248" t="s">
        <v>135</v>
      </c>
      <c r="E53" s="249">
        <v>2.9808888888888888E-3</v>
      </c>
      <c r="F53" s="250" t="s">
        <v>133</v>
      </c>
      <c r="G53" s="251" t="s">
        <v>16</v>
      </c>
      <c r="H53" s="252">
        <v>1</v>
      </c>
      <c r="I53" s="252">
        <v>1</v>
      </c>
      <c r="J53" s="252">
        <v>3</v>
      </c>
      <c r="K53" s="252">
        <v>3</v>
      </c>
      <c r="L53" s="253">
        <v>3</v>
      </c>
      <c r="M53" s="254">
        <f t="shared" si="1"/>
        <v>1.1181151966036349</v>
      </c>
      <c r="N53" s="255"/>
    </row>
    <row r="54" spans="1:14" hidden="1" x14ac:dyDescent="0.2">
      <c r="A54" s="246" t="s">
        <v>207</v>
      </c>
      <c r="B54" s="459" t="s">
        <v>463</v>
      </c>
      <c r="C54" s="247" t="s">
        <v>27</v>
      </c>
      <c r="D54" s="248" t="s">
        <v>135</v>
      </c>
      <c r="E54" s="249">
        <v>3.4595281306715062E-4</v>
      </c>
      <c r="F54" s="250" t="s">
        <v>133</v>
      </c>
      <c r="G54" s="251" t="s">
        <v>16</v>
      </c>
      <c r="H54" s="252">
        <v>1</v>
      </c>
      <c r="I54" s="252">
        <v>1</v>
      </c>
      <c r="J54" s="252">
        <v>3</v>
      </c>
      <c r="K54" s="252">
        <v>3</v>
      </c>
      <c r="L54" s="253">
        <v>3</v>
      </c>
      <c r="M54" s="254">
        <f t="shared" si="1"/>
        <v>1.1181151966036349</v>
      </c>
      <c r="N54" s="255"/>
    </row>
    <row r="55" spans="1:14" hidden="1" x14ac:dyDescent="0.2">
      <c r="A55" s="246" t="s">
        <v>207</v>
      </c>
      <c r="B55" s="459" t="s">
        <v>463</v>
      </c>
      <c r="C55" s="247" t="s">
        <v>28</v>
      </c>
      <c r="D55" s="248" t="s">
        <v>135</v>
      </c>
      <c r="E55" s="249">
        <v>7.4149012567324962E-4</v>
      </c>
      <c r="F55" s="250" t="s">
        <v>133</v>
      </c>
      <c r="G55" s="251" t="s">
        <v>16</v>
      </c>
      <c r="H55" s="252">
        <v>1</v>
      </c>
      <c r="I55" s="252">
        <v>1</v>
      </c>
      <c r="J55" s="252">
        <v>3</v>
      </c>
      <c r="K55" s="252">
        <v>3</v>
      </c>
      <c r="L55" s="253">
        <v>3</v>
      </c>
      <c r="M55" s="254">
        <f t="shared" si="1"/>
        <v>1.1181151966036349</v>
      </c>
      <c r="N55" s="255"/>
    </row>
    <row r="56" spans="1:14" hidden="1" x14ac:dyDescent="0.2">
      <c r="A56" s="246" t="s">
        <v>207</v>
      </c>
      <c r="B56" s="459" t="s">
        <v>463</v>
      </c>
      <c r="C56" s="247" t="s">
        <v>30</v>
      </c>
      <c r="D56" s="248" t="s">
        <v>135</v>
      </c>
      <c r="E56" s="249">
        <v>5.242574257425742E-4</v>
      </c>
      <c r="F56" s="250" t="s">
        <v>133</v>
      </c>
      <c r="G56" s="251" t="s">
        <v>16</v>
      </c>
      <c r="H56" s="252">
        <v>1</v>
      </c>
      <c r="I56" s="252">
        <v>1</v>
      </c>
      <c r="J56" s="252">
        <v>3</v>
      </c>
      <c r="K56" s="252">
        <v>3</v>
      </c>
      <c r="L56" s="253">
        <v>3</v>
      </c>
      <c r="M56" s="254">
        <f t="shared" si="1"/>
        <v>1.1181151966036349</v>
      </c>
      <c r="N56" s="255"/>
    </row>
    <row r="57" spans="1:14" hidden="1" x14ac:dyDescent="0.2">
      <c r="A57" s="246" t="s">
        <v>207</v>
      </c>
      <c r="B57" s="459" t="s">
        <v>463</v>
      </c>
      <c r="C57" s="247" t="s">
        <v>32</v>
      </c>
      <c r="D57" s="248" t="s">
        <v>135</v>
      </c>
      <c r="E57" s="249">
        <v>1.23378640776699E-3</v>
      </c>
      <c r="F57" s="250" t="s">
        <v>133</v>
      </c>
      <c r="G57" s="251" t="s">
        <v>16</v>
      </c>
      <c r="H57" s="252">
        <v>1</v>
      </c>
      <c r="I57" s="252">
        <v>1</v>
      </c>
      <c r="J57" s="252">
        <v>3</v>
      </c>
      <c r="K57" s="252">
        <v>3</v>
      </c>
      <c r="L57" s="253">
        <v>3</v>
      </c>
      <c r="M57" s="254">
        <f t="shared" si="1"/>
        <v>1.1181151966036349</v>
      </c>
      <c r="N57" s="255"/>
    </row>
    <row r="58" spans="1:14" hidden="1" x14ac:dyDescent="0.2">
      <c r="A58" s="246" t="s">
        <v>207</v>
      </c>
      <c r="B58" s="459" t="s">
        <v>463</v>
      </c>
      <c r="C58" s="247" t="s">
        <v>34</v>
      </c>
      <c r="D58" s="248" t="s">
        <v>135</v>
      </c>
      <c r="E58" s="249">
        <v>1.5009448818897641E-3</v>
      </c>
      <c r="F58" s="250" t="s">
        <v>133</v>
      </c>
      <c r="G58" s="251" t="s">
        <v>16</v>
      </c>
      <c r="H58" s="252">
        <v>1</v>
      </c>
      <c r="I58" s="252">
        <v>1</v>
      </c>
      <c r="J58" s="252">
        <v>3</v>
      </c>
      <c r="K58" s="252">
        <v>3</v>
      </c>
      <c r="L58" s="253">
        <v>3</v>
      </c>
      <c r="M58" s="254">
        <f t="shared" si="1"/>
        <v>1.1181151966036349</v>
      </c>
      <c r="N58" s="255"/>
    </row>
    <row r="59" spans="1:14" hidden="1" x14ac:dyDescent="0.2">
      <c r="A59" s="246" t="s">
        <v>207</v>
      </c>
      <c r="B59" s="459" t="s">
        <v>463</v>
      </c>
      <c r="C59" s="247" t="s">
        <v>36</v>
      </c>
      <c r="D59" s="248" t="s">
        <v>135</v>
      </c>
      <c r="E59" s="249">
        <v>1.4482051282051281E-3</v>
      </c>
      <c r="F59" s="250" t="s">
        <v>133</v>
      </c>
      <c r="G59" s="251" t="s">
        <v>16</v>
      </c>
      <c r="H59" s="252">
        <v>1</v>
      </c>
      <c r="I59" s="252">
        <v>1</v>
      </c>
      <c r="J59" s="252">
        <v>3</v>
      </c>
      <c r="K59" s="252">
        <v>3</v>
      </c>
      <c r="L59" s="253">
        <v>3</v>
      </c>
      <c r="M59" s="254">
        <f t="shared" si="1"/>
        <v>1.1181151966036349</v>
      </c>
      <c r="N59" s="255"/>
    </row>
    <row r="60" spans="1:14" hidden="1" x14ac:dyDescent="0.2">
      <c r="A60" s="246" t="s">
        <v>207</v>
      </c>
      <c r="B60" s="459" t="s">
        <v>463</v>
      </c>
      <c r="C60" s="247" t="s">
        <v>37</v>
      </c>
      <c r="D60" s="248" t="s">
        <v>135</v>
      </c>
      <c r="E60" s="249">
        <v>6.0483967935871753E-3</v>
      </c>
      <c r="F60" s="250" t="s">
        <v>133</v>
      </c>
      <c r="G60" s="251" t="s">
        <v>16</v>
      </c>
      <c r="H60" s="252">
        <v>1</v>
      </c>
      <c r="I60" s="252">
        <v>1</v>
      </c>
      <c r="J60" s="252">
        <v>3</v>
      </c>
      <c r="K60" s="252">
        <v>3</v>
      </c>
      <c r="L60" s="253">
        <v>3</v>
      </c>
      <c r="M60" s="254">
        <f t="shared" si="1"/>
        <v>1.1181151966036349</v>
      </c>
      <c r="N60" s="255"/>
    </row>
    <row r="61" spans="1:14" hidden="1" x14ac:dyDescent="0.2">
      <c r="A61" s="246" t="s">
        <v>207</v>
      </c>
      <c r="B61" s="459" t="s">
        <v>463</v>
      </c>
      <c r="C61" s="247" t="s">
        <v>39</v>
      </c>
      <c r="D61" s="248" t="s">
        <v>135</v>
      </c>
      <c r="E61" s="249">
        <v>2.9662407862407862E-3</v>
      </c>
      <c r="F61" s="250" t="s">
        <v>133</v>
      </c>
      <c r="G61" s="251" t="s">
        <v>16</v>
      </c>
      <c r="H61" s="252">
        <v>1</v>
      </c>
      <c r="I61" s="252">
        <v>1</v>
      </c>
      <c r="J61" s="252">
        <v>3</v>
      </c>
      <c r="K61" s="252">
        <v>3</v>
      </c>
      <c r="L61" s="253">
        <v>3</v>
      </c>
      <c r="M61" s="254">
        <f t="shared" si="1"/>
        <v>1.1181151966036349</v>
      </c>
      <c r="N61" s="255"/>
    </row>
    <row r="62" spans="1:14" hidden="1" x14ac:dyDescent="0.2">
      <c r="A62" s="246" t="s">
        <v>207</v>
      </c>
      <c r="B62" s="459" t="s">
        <v>463</v>
      </c>
      <c r="C62" s="247" t="s">
        <v>40</v>
      </c>
      <c r="D62" s="248" t="s">
        <v>135</v>
      </c>
      <c r="E62" s="249">
        <v>9.5857758620689656E-4</v>
      </c>
      <c r="F62" s="250" t="s">
        <v>133</v>
      </c>
      <c r="G62" s="251" t="s">
        <v>16</v>
      </c>
      <c r="H62" s="252">
        <v>1</v>
      </c>
      <c r="I62" s="252">
        <v>1</v>
      </c>
      <c r="J62" s="252">
        <v>3</v>
      </c>
      <c r="K62" s="252">
        <v>3</v>
      </c>
      <c r="L62" s="253">
        <v>3</v>
      </c>
      <c r="M62" s="254">
        <f t="shared" si="1"/>
        <v>1.1181151966036349</v>
      </c>
      <c r="N62" s="255"/>
    </row>
    <row r="63" spans="1:14" hidden="1" x14ac:dyDescent="0.2">
      <c r="A63" s="246" t="s">
        <v>207</v>
      </c>
      <c r="B63" s="459" t="s">
        <v>463</v>
      </c>
      <c r="C63" s="247" t="s">
        <v>41</v>
      </c>
      <c r="D63" s="248" t="s">
        <v>135</v>
      </c>
      <c r="E63" s="249">
        <v>4.352054794520548E-4</v>
      </c>
      <c r="F63" s="250" t="s">
        <v>133</v>
      </c>
      <c r="G63" s="251" t="s">
        <v>16</v>
      </c>
      <c r="H63" s="252">
        <v>1</v>
      </c>
      <c r="I63" s="252">
        <v>1</v>
      </c>
      <c r="J63" s="252">
        <v>3</v>
      </c>
      <c r="K63" s="252">
        <v>3</v>
      </c>
      <c r="L63" s="253">
        <v>3</v>
      </c>
      <c r="M63" s="254">
        <f t="shared" si="1"/>
        <v>1.1181151966036349</v>
      </c>
      <c r="N63" s="255"/>
    </row>
    <row r="64" spans="1:14" hidden="1" x14ac:dyDescent="0.2">
      <c r="A64" s="246" t="s">
        <v>207</v>
      </c>
      <c r="B64" s="459" t="s">
        <v>463</v>
      </c>
      <c r="C64" s="247" t="s">
        <v>42</v>
      </c>
      <c r="D64" s="248" t="s">
        <v>135</v>
      </c>
      <c r="E64" s="249">
        <v>2.1274553571428568E-3</v>
      </c>
      <c r="F64" s="250" t="s">
        <v>133</v>
      </c>
      <c r="G64" s="251" t="s">
        <v>16</v>
      </c>
      <c r="H64" s="252">
        <v>1</v>
      </c>
      <c r="I64" s="252">
        <v>1</v>
      </c>
      <c r="J64" s="252">
        <v>3</v>
      </c>
      <c r="K64" s="252">
        <v>3</v>
      </c>
      <c r="L64" s="253">
        <v>3</v>
      </c>
      <c r="M64" s="254">
        <f t="shared" si="1"/>
        <v>1.1181151966036349</v>
      </c>
      <c r="N64" s="255"/>
    </row>
    <row r="65" spans="1:14" hidden="1" x14ac:dyDescent="0.2">
      <c r="A65" s="246" t="s">
        <v>207</v>
      </c>
      <c r="B65" s="459" t="s">
        <v>463</v>
      </c>
      <c r="C65" s="247" t="s">
        <v>43</v>
      </c>
      <c r="D65" s="248" t="s">
        <v>135</v>
      </c>
      <c r="E65" s="249">
        <v>4.9737769080234839E-4</v>
      </c>
      <c r="F65" s="250" t="s">
        <v>133</v>
      </c>
      <c r="G65" s="251" t="s">
        <v>16</v>
      </c>
      <c r="H65" s="252">
        <v>1</v>
      </c>
      <c r="I65" s="252">
        <v>1</v>
      </c>
      <c r="J65" s="252">
        <v>3</v>
      </c>
      <c r="K65" s="252">
        <v>3</v>
      </c>
      <c r="L65" s="253">
        <v>3</v>
      </c>
      <c r="M65" s="254">
        <f t="shared" si="1"/>
        <v>1.1181151966036349</v>
      </c>
      <c r="N65" s="255"/>
    </row>
    <row r="66" spans="1:14" x14ac:dyDescent="0.2">
      <c r="A66" s="246" t="s">
        <v>207</v>
      </c>
      <c r="B66" s="459" t="s">
        <v>463</v>
      </c>
      <c r="C66" s="247" t="s">
        <v>45</v>
      </c>
      <c r="D66" s="248" t="s">
        <v>135</v>
      </c>
      <c r="E66" s="249">
        <v>6.8784844384303125E-4</v>
      </c>
      <c r="F66" s="250" t="s">
        <v>133</v>
      </c>
      <c r="G66" s="251" t="s">
        <v>16</v>
      </c>
      <c r="H66" s="252">
        <v>1</v>
      </c>
      <c r="I66" s="252">
        <v>1</v>
      </c>
      <c r="J66" s="252">
        <v>3</v>
      </c>
      <c r="K66" s="252">
        <v>3</v>
      </c>
      <c r="L66" s="253">
        <v>3</v>
      </c>
      <c r="M66" s="254">
        <f>IF( OR( ISBLANK(H66),ISBLANK(I66), ISBLANK(J66), ISBLANK(K66), ISBLANK(L66) ), "", 1.5*SQRT(   EXP(2.21*(H66-1)) + EXP(2.21*(I66-1)) + EXP(2.21*(J66-1)) + EXP(2.21*(K66-1)) + EXP(2.21*L66)   )/100*2.45 )</f>
        <v>1.1181151966036349</v>
      </c>
      <c r="N66" s="255"/>
    </row>
    <row r="67" spans="1:14" hidden="1" x14ac:dyDescent="0.2">
      <c r="A67" s="246" t="s">
        <v>207</v>
      </c>
      <c r="B67" s="459" t="s">
        <v>463</v>
      </c>
      <c r="C67" s="247" t="s">
        <v>46</v>
      </c>
      <c r="D67" s="248" t="s">
        <v>135</v>
      </c>
      <c r="E67" s="249">
        <v>1.2553495440729479E-3</v>
      </c>
      <c r="F67" s="250" t="s">
        <v>133</v>
      </c>
      <c r="G67" s="251" t="s">
        <v>16</v>
      </c>
      <c r="H67" s="252">
        <v>1</v>
      </c>
      <c r="I67" s="252">
        <v>1</v>
      </c>
      <c r="J67" s="252">
        <v>3</v>
      </c>
      <c r="K67" s="252">
        <v>3</v>
      </c>
      <c r="L67" s="253">
        <v>3</v>
      </c>
      <c r="M67" s="254">
        <f t="shared" ref="M67:M75" si="2">IF( OR( ISBLANK(H67),ISBLANK(I67), ISBLANK(J67), ISBLANK(K67), ISBLANK(L67) ), "", 1.5*SQRT( EXP(2.21*(H67-1)) + EXP(2.21*(I67-1)) + EXP(2.21*(J67-1)) + EXP(2.21*(K67-1)) + EXP(2.21*L67) )/100*2.45 )</f>
        <v>1.1181151966036349</v>
      </c>
      <c r="N67" s="255"/>
    </row>
    <row r="68" spans="1:14" hidden="1" x14ac:dyDescent="0.2">
      <c r="A68" s="246" t="s">
        <v>207</v>
      </c>
      <c r="B68" s="459" t="s">
        <v>463</v>
      </c>
      <c r="C68" s="247" t="s">
        <v>48</v>
      </c>
      <c r="D68" s="248" t="s">
        <v>135</v>
      </c>
      <c r="E68" s="249">
        <v>9.3994082840236678E-4</v>
      </c>
      <c r="F68" s="250" t="s">
        <v>133</v>
      </c>
      <c r="G68" s="251" t="s">
        <v>16</v>
      </c>
      <c r="H68" s="252">
        <v>1</v>
      </c>
      <c r="I68" s="252">
        <v>1</v>
      </c>
      <c r="J68" s="252">
        <v>3</v>
      </c>
      <c r="K68" s="252">
        <v>3</v>
      </c>
      <c r="L68" s="253">
        <v>3</v>
      </c>
      <c r="M68" s="254">
        <f t="shared" si="2"/>
        <v>1.1181151966036349</v>
      </c>
      <c r="N68" s="255"/>
    </row>
    <row r="69" spans="1:14" hidden="1" x14ac:dyDescent="0.2">
      <c r="A69" s="246" t="s">
        <v>207</v>
      </c>
      <c r="B69" s="459" t="s">
        <v>463</v>
      </c>
      <c r="C69" s="247" t="s">
        <v>50</v>
      </c>
      <c r="D69" s="248" t="s">
        <v>135</v>
      </c>
      <c r="E69" s="249">
        <v>5.72327205882353E-3</v>
      </c>
      <c r="F69" s="250" t="s">
        <v>133</v>
      </c>
      <c r="G69" s="251" t="s">
        <v>16</v>
      </c>
      <c r="H69" s="252">
        <v>1</v>
      </c>
      <c r="I69" s="252">
        <v>1</v>
      </c>
      <c r="J69" s="252">
        <v>3</v>
      </c>
      <c r="K69" s="252">
        <v>3</v>
      </c>
      <c r="L69" s="253">
        <v>3</v>
      </c>
      <c r="M69" s="254">
        <f t="shared" si="2"/>
        <v>1.1181151966036349</v>
      </c>
      <c r="N69" s="255"/>
    </row>
    <row r="70" spans="1:14" hidden="1" x14ac:dyDescent="0.2">
      <c r="A70" s="246" t="s">
        <v>207</v>
      </c>
      <c r="B70" s="459" t="s">
        <v>463</v>
      </c>
      <c r="C70" s="247" t="s">
        <v>52</v>
      </c>
      <c r="D70" s="248" t="s">
        <v>135</v>
      </c>
      <c r="E70" s="249">
        <v>9.2086956521739128E-4</v>
      </c>
      <c r="F70" s="250" t="s">
        <v>133</v>
      </c>
      <c r="G70" s="251" t="s">
        <v>16</v>
      </c>
      <c r="H70" s="252">
        <v>1</v>
      </c>
      <c r="I70" s="252">
        <v>1</v>
      </c>
      <c r="J70" s="252">
        <v>3</v>
      </c>
      <c r="K70" s="252">
        <v>3</v>
      </c>
      <c r="L70" s="253">
        <v>3</v>
      </c>
      <c r="M70" s="254">
        <f t="shared" si="2"/>
        <v>1.1181151966036349</v>
      </c>
      <c r="N70" s="255"/>
    </row>
    <row r="71" spans="1:14" hidden="1" x14ac:dyDescent="0.2">
      <c r="A71" s="246" t="s">
        <v>207</v>
      </c>
      <c r="B71" s="459" t="s">
        <v>463</v>
      </c>
      <c r="C71" s="247" t="s">
        <v>54</v>
      </c>
      <c r="D71" s="248" t="s">
        <v>135</v>
      </c>
      <c r="E71" s="249">
        <v>5.8833333333333329E-4</v>
      </c>
      <c r="F71" s="250" t="s">
        <v>133</v>
      </c>
      <c r="G71" s="251" t="s">
        <v>16</v>
      </c>
      <c r="H71" s="252">
        <v>1</v>
      </c>
      <c r="I71" s="252">
        <v>1</v>
      </c>
      <c r="J71" s="252">
        <v>3</v>
      </c>
      <c r="K71" s="252">
        <v>3</v>
      </c>
      <c r="L71" s="253">
        <v>3</v>
      </c>
      <c r="M71" s="254">
        <f t="shared" si="2"/>
        <v>1.1181151966036349</v>
      </c>
      <c r="N71" s="255"/>
    </row>
    <row r="72" spans="1:14" hidden="1" x14ac:dyDescent="0.2">
      <c r="A72" s="246" t="s">
        <v>207</v>
      </c>
      <c r="B72" s="459" t="s">
        <v>463</v>
      </c>
      <c r="C72" s="247" t="s">
        <v>55</v>
      </c>
      <c r="D72" s="248" t="s">
        <v>135</v>
      </c>
      <c r="E72" s="249">
        <v>1.2708000000000001E-3</v>
      </c>
      <c r="F72" s="250" t="s">
        <v>133</v>
      </c>
      <c r="G72" s="251" t="s">
        <v>16</v>
      </c>
      <c r="H72" s="252">
        <v>1</v>
      </c>
      <c r="I72" s="252">
        <v>1</v>
      </c>
      <c r="J72" s="252">
        <v>3</v>
      </c>
      <c r="K72" s="252">
        <v>3</v>
      </c>
      <c r="L72" s="253">
        <v>3</v>
      </c>
      <c r="M72" s="254">
        <f t="shared" si="2"/>
        <v>1.1181151966036349</v>
      </c>
      <c r="N72" s="255"/>
    </row>
    <row r="73" spans="1:14" hidden="1" x14ac:dyDescent="0.2">
      <c r="A73" s="246" t="s">
        <v>207</v>
      </c>
      <c r="B73" s="459" t="s">
        <v>463</v>
      </c>
      <c r="C73" s="247" t="s">
        <v>57</v>
      </c>
      <c r="D73" s="248" t="s">
        <v>135</v>
      </c>
      <c r="E73" s="249">
        <v>5.8562211981566818E-4</v>
      </c>
      <c r="F73" s="250" t="s">
        <v>133</v>
      </c>
      <c r="G73" s="251" t="s">
        <v>16</v>
      </c>
      <c r="H73" s="252">
        <v>1</v>
      </c>
      <c r="I73" s="252">
        <v>1</v>
      </c>
      <c r="J73" s="252">
        <v>3</v>
      </c>
      <c r="K73" s="252">
        <v>3</v>
      </c>
      <c r="L73" s="253">
        <v>3</v>
      </c>
      <c r="M73" s="254">
        <f t="shared" si="2"/>
        <v>1.1181151966036349</v>
      </c>
      <c r="N73" s="255"/>
    </row>
    <row r="74" spans="1:14" hidden="1" x14ac:dyDescent="0.2">
      <c r="A74" s="246" t="s">
        <v>207</v>
      </c>
      <c r="B74" s="459" t="s">
        <v>463</v>
      </c>
      <c r="C74" s="247" t="s">
        <v>59</v>
      </c>
      <c r="D74" s="248" t="s">
        <v>135</v>
      </c>
      <c r="E74" s="249">
        <v>2.7E-4</v>
      </c>
      <c r="F74" s="250" t="s">
        <v>133</v>
      </c>
      <c r="G74" s="251" t="s">
        <v>16</v>
      </c>
      <c r="H74" s="252">
        <v>1</v>
      </c>
      <c r="I74" s="252">
        <v>1</v>
      </c>
      <c r="J74" s="252">
        <v>3</v>
      </c>
      <c r="K74" s="252">
        <v>3</v>
      </c>
      <c r="L74" s="253">
        <v>3</v>
      </c>
      <c r="M74" s="254">
        <f t="shared" si="2"/>
        <v>1.1181151966036349</v>
      </c>
      <c r="N74" s="255"/>
    </row>
    <row r="75" spans="1:14" hidden="1" x14ac:dyDescent="0.2">
      <c r="A75" s="246" t="s">
        <v>207</v>
      </c>
      <c r="B75" s="459" t="s">
        <v>463</v>
      </c>
      <c r="C75" s="247" t="s">
        <v>60</v>
      </c>
      <c r="D75" s="248" t="s">
        <v>135</v>
      </c>
      <c r="E75" s="249">
        <v>1.23511879049676E-3</v>
      </c>
      <c r="F75" s="250" t="s">
        <v>133</v>
      </c>
      <c r="G75" s="251" t="s">
        <v>16</v>
      </c>
      <c r="H75" s="252">
        <v>1</v>
      </c>
      <c r="I75" s="252">
        <v>1</v>
      </c>
      <c r="J75" s="252">
        <v>3</v>
      </c>
      <c r="K75" s="252">
        <v>3</v>
      </c>
      <c r="L75" s="253">
        <v>3</v>
      </c>
      <c r="M75" s="254">
        <f t="shared" si="2"/>
        <v>1.1181151966036349</v>
      </c>
      <c r="N75" s="255"/>
    </row>
    <row r="76" spans="1:14" x14ac:dyDescent="0.2">
      <c r="A76" s="444" t="s">
        <v>215</v>
      </c>
      <c r="B76" s="445" t="s">
        <v>461</v>
      </c>
      <c r="C76" s="446" t="s">
        <v>135</v>
      </c>
      <c r="D76" s="447" t="s">
        <v>14</v>
      </c>
      <c r="E76" s="460">
        <v>0</v>
      </c>
      <c r="F76" s="389" t="s">
        <v>462</v>
      </c>
      <c r="G76" s="390" t="s">
        <v>16</v>
      </c>
      <c r="H76" s="460"/>
      <c r="I76" s="460"/>
      <c r="J76" s="460"/>
      <c r="K76" s="460"/>
      <c r="L76" s="461"/>
      <c r="M76" s="462"/>
      <c r="N76" s="272"/>
    </row>
    <row r="77" spans="1:14" x14ac:dyDescent="0.2">
      <c r="A77" s="246" t="s">
        <v>215</v>
      </c>
      <c r="B77" s="448" t="s">
        <v>461</v>
      </c>
      <c r="C77" s="449" t="s">
        <v>135</v>
      </c>
      <c r="D77" s="450" t="s">
        <v>62</v>
      </c>
      <c r="E77" s="454">
        <v>0</v>
      </c>
      <c r="F77" s="374" t="s">
        <v>462</v>
      </c>
      <c r="G77" s="375" t="s">
        <v>16</v>
      </c>
      <c r="H77" s="454"/>
      <c r="I77" s="454"/>
      <c r="J77" s="454"/>
      <c r="K77" s="454"/>
      <c r="L77" s="455"/>
      <c r="M77" s="456"/>
      <c r="N77" s="255"/>
    </row>
    <row r="78" spans="1:14" x14ac:dyDescent="0.2">
      <c r="A78" s="246" t="s">
        <v>215</v>
      </c>
      <c r="B78" s="448" t="s">
        <v>461</v>
      </c>
      <c r="C78" s="449" t="s">
        <v>135</v>
      </c>
      <c r="D78" s="451" t="s">
        <v>64</v>
      </c>
      <c r="E78" s="454">
        <v>0</v>
      </c>
      <c r="F78" s="374" t="s">
        <v>462</v>
      </c>
      <c r="G78" s="375" t="s">
        <v>16</v>
      </c>
      <c r="H78" s="454"/>
      <c r="I78" s="454"/>
      <c r="J78" s="454"/>
      <c r="K78" s="454"/>
      <c r="L78" s="455"/>
      <c r="M78" s="456"/>
      <c r="N78" s="255"/>
    </row>
    <row r="79" spans="1:14" x14ac:dyDescent="0.2">
      <c r="A79" s="246" t="s">
        <v>215</v>
      </c>
      <c r="B79" s="448" t="s">
        <v>461</v>
      </c>
      <c r="C79" s="449" t="s">
        <v>135</v>
      </c>
      <c r="D79" s="452" t="s">
        <v>66</v>
      </c>
      <c r="E79" s="376">
        <v>0.35439999999999999</v>
      </c>
      <c r="F79" s="374" t="s">
        <v>462</v>
      </c>
      <c r="G79" s="375" t="s">
        <v>16</v>
      </c>
      <c r="H79" s="376">
        <v>2</v>
      </c>
      <c r="I79" s="376">
        <v>4</v>
      </c>
      <c r="J79" s="376">
        <v>1</v>
      </c>
      <c r="K79" s="376">
        <v>1</v>
      </c>
      <c r="L79" s="377">
        <v>2</v>
      </c>
      <c r="M79" s="254">
        <f>IF( OR( ISBLANK(H79),ISBLANK(I79), ISBLANK(J79), ISBLANK(K79), ISBLANK(L79) ), "", 1.5*SQRT(   EXP(2.21*(H79-1)) + EXP(2.21*(I79-1)) + EXP(2.21*(J79-1)) + EXP(2.21*(K79-1)) + EXP(2.21*L79)   )/100*2.45 )</f>
        <v>1.0725046436742278</v>
      </c>
      <c r="N79" s="255"/>
    </row>
    <row r="80" spans="1:14" x14ac:dyDescent="0.2">
      <c r="A80" s="246" t="s">
        <v>215</v>
      </c>
      <c r="B80" s="448" t="s">
        <v>461</v>
      </c>
      <c r="C80" s="449" t="s">
        <v>135</v>
      </c>
      <c r="D80" s="453" t="s">
        <v>94</v>
      </c>
      <c r="E80" s="454">
        <v>0</v>
      </c>
      <c r="F80" s="374" t="s">
        <v>464</v>
      </c>
      <c r="G80" s="375" t="s">
        <v>16</v>
      </c>
      <c r="H80" s="454"/>
      <c r="I80" s="454"/>
      <c r="J80" s="454"/>
      <c r="K80" s="454"/>
      <c r="L80" s="455"/>
      <c r="M80" s="456" t="str">
        <f t="shared" ref="M80:M111" si="3">IF( OR( ISBLANK(H80),ISBLANK(I80), ISBLANK(J80), ISBLANK(K80), ISBLANK(L80) ), "", 1.5*SQRT( EXP(2.21*(H80-1)) + EXP(2.21*(I80-1)) + EXP(2.21*(J80-1)) + EXP(2.21*(K80-1)) + EXP(2.21*L80) )/100*2.45 )</f>
        <v/>
      </c>
      <c r="N80" s="255"/>
    </row>
    <row r="81" spans="1:14" x14ac:dyDescent="0.2">
      <c r="A81" s="246" t="s">
        <v>215</v>
      </c>
      <c r="B81" s="448" t="s">
        <v>461</v>
      </c>
      <c r="C81" s="449" t="s">
        <v>135</v>
      </c>
      <c r="D81" s="457" t="s">
        <v>96</v>
      </c>
      <c r="E81" s="454">
        <v>0</v>
      </c>
      <c r="F81" s="374" t="s">
        <v>462</v>
      </c>
      <c r="G81" s="375" t="s">
        <v>16</v>
      </c>
      <c r="H81" s="454"/>
      <c r="I81" s="454"/>
      <c r="J81" s="454"/>
      <c r="K81" s="454"/>
      <c r="L81" s="455"/>
      <c r="M81" s="456" t="str">
        <f t="shared" si="3"/>
        <v/>
      </c>
      <c r="N81" s="255"/>
    </row>
    <row r="82" spans="1:14" x14ac:dyDescent="0.2">
      <c r="A82" s="246" t="s">
        <v>215</v>
      </c>
      <c r="B82" s="448" t="s">
        <v>461</v>
      </c>
      <c r="C82" s="449" t="s">
        <v>135</v>
      </c>
      <c r="D82" s="458" t="s">
        <v>98</v>
      </c>
      <c r="E82" s="376">
        <v>0.35439999999999999</v>
      </c>
      <c r="F82" s="374" t="s">
        <v>462</v>
      </c>
      <c r="G82" s="375" t="s">
        <v>16</v>
      </c>
      <c r="H82" s="376">
        <v>2</v>
      </c>
      <c r="I82" s="376">
        <v>4</v>
      </c>
      <c r="J82" s="376">
        <v>1</v>
      </c>
      <c r="K82" s="376">
        <v>1</v>
      </c>
      <c r="L82" s="377">
        <v>2</v>
      </c>
      <c r="M82" s="254">
        <f t="shared" si="3"/>
        <v>1.0725046436742278</v>
      </c>
      <c r="N82" s="255"/>
    </row>
    <row r="83" spans="1:14" hidden="1" x14ac:dyDescent="0.2">
      <c r="A83" s="246" t="s">
        <v>215</v>
      </c>
      <c r="B83" s="459" t="s">
        <v>463</v>
      </c>
      <c r="C83" s="247" t="s">
        <v>13</v>
      </c>
      <c r="D83" s="248" t="s">
        <v>135</v>
      </c>
      <c r="E83" s="249">
        <v>4.9383419689119179E-4</v>
      </c>
      <c r="F83" s="250" t="s">
        <v>133</v>
      </c>
      <c r="G83" s="251" t="s">
        <v>16</v>
      </c>
      <c r="H83" s="252">
        <v>1</v>
      </c>
      <c r="I83" s="252">
        <v>1</v>
      </c>
      <c r="J83" s="252">
        <v>3</v>
      </c>
      <c r="K83" s="252">
        <v>3</v>
      </c>
      <c r="L83" s="253">
        <v>3</v>
      </c>
      <c r="M83" s="254">
        <f t="shared" si="3"/>
        <v>1.1181151966036349</v>
      </c>
      <c r="N83" s="255"/>
    </row>
    <row r="84" spans="1:14" hidden="1" x14ac:dyDescent="0.2">
      <c r="A84" s="246" t="s">
        <v>215</v>
      </c>
      <c r="B84" s="459" t="s">
        <v>463</v>
      </c>
      <c r="C84" s="247" t="s">
        <v>18</v>
      </c>
      <c r="D84" s="248" t="s">
        <v>135</v>
      </c>
      <c r="E84" s="249">
        <v>6.2141809290953553E-4</v>
      </c>
      <c r="F84" s="250" t="s">
        <v>133</v>
      </c>
      <c r="G84" s="251" t="s">
        <v>16</v>
      </c>
      <c r="H84" s="252">
        <v>1</v>
      </c>
      <c r="I84" s="252">
        <v>1</v>
      </c>
      <c r="J84" s="252">
        <v>3</v>
      </c>
      <c r="K84" s="252">
        <v>3</v>
      </c>
      <c r="L84" s="253">
        <v>3</v>
      </c>
      <c r="M84" s="254">
        <f t="shared" si="3"/>
        <v>1.1181151966036349</v>
      </c>
      <c r="N84" s="255"/>
    </row>
    <row r="85" spans="1:14" hidden="1" x14ac:dyDescent="0.2">
      <c r="A85" s="246" t="s">
        <v>215</v>
      </c>
      <c r="B85" s="459" t="s">
        <v>463</v>
      </c>
      <c r="C85" s="247" t="s">
        <v>20</v>
      </c>
      <c r="D85" s="248" t="s">
        <v>135</v>
      </c>
      <c r="E85" s="249">
        <v>1.717297297297297E-3</v>
      </c>
      <c r="F85" s="250" t="s">
        <v>133</v>
      </c>
      <c r="G85" s="251" t="s">
        <v>16</v>
      </c>
      <c r="H85" s="252">
        <v>1</v>
      </c>
      <c r="I85" s="252">
        <v>1</v>
      </c>
      <c r="J85" s="252">
        <v>3</v>
      </c>
      <c r="K85" s="252">
        <v>3</v>
      </c>
      <c r="L85" s="253">
        <v>3</v>
      </c>
      <c r="M85" s="254">
        <f t="shared" si="3"/>
        <v>1.1181151966036349</v>
      </c>
      <c r="N85" s="255"/>
    </row>
    <row r="86" spans="1:14" hidden="1" x14ac:dyDescent="0.2">
      <c r="A86" s="246" t="s">
        <v>215</v>
      </c>
      <c r="B86" s="459" t="s">
        <v>463</v>
      </c>
      <c r="C86" s="247" t="s">
        <v>22</v>
      </c>
      <c r="D86" s="248" t="s">
        <v>135</v>
      </c>
      <c r="E86" s="249">
        <v>1.397291666666666E-3</v>
      </c>
      <c r="F86" s="250" t="s">
        <v>133</v>
      </c>
      <c r="G86" s="251" t="s">
        <v>16</v>
      </c>
      <c r="H86" s="252">
        <v>1</v>
      </c>
      <c r="I86" s="252">
        <v>1</v>
      </c>
      <c r="J86" s="252">
        <v>3</v>
      </c>
      <c r="K86" s="252">
        <v>3</v>
      </c>
      <c r="L86" s="253">
        <v>3</v>
      </c>
      <c r="M86" s="254">
        <f t="shared" si="3"/>
        <v>1.1181151966036349</v>
      </c>
      <c r="N86" s="255"/>
    </row>
    <row r="87" spans="1:14" hidden="1" x14ac:dyDescent="0.2">
      <c r="A87" s="246" t="s">
        <v>215</v>
      </c>
      <c r="B87" s="459" t="s">
        <v>463</v>
      </c>
      <c r="C87" s="247" t="s">
        <v>23</v>
      </c>
      <c r="D87" s="248" t="s">
        <v>135</v>
      </c>
      <c r="E87" s="249">
        <v>1.868823529411765E-3</v>
      </c>
      <c r="F87" s="250" t="s">
        <v>133</v>
      </c>
      <c r="G87" s="251" t="s">
        <v>16</v>
      </c>
      <c r="H87" s="252">
        <v>1</v>
      </c>
      <c r="I87" s="252">
        <v>1</v>
      </c>
      <c r="J87" s="252">
        <v>3</v>
      </c>
      <c r="K87" s="252">
        <v>3</v>
      </c>
      <c r="L87" s="253">
        <v>3</v>
      </c>
      <c r="M87" s="254">
        <f t="shared" si="3"/>
        <v>1.1181151966036349</v>
      </c>
      <c r="N87" s="255"/>
    </row>
    <row r="88" spans="1:14" hidden="1" x14ac:dyDescent="0.2">
      <c r="A88" s="246" t="s">
        <v>215</v>
      </c>
      <c r="B88" s="459" t="s">
        <v>463</v>
      </c>
      <c r="C88" s="247" t="s">
        <v>24</v>
      </c>
      <c r="D88" s="248" t="s">
        <v>135</v>
      </c>
      <c r="E88" s="249">
        <v>8.3605263157894745E-4</v>
      </c>
      <c r="F88" s="250" t="s">
        <v>133</v>
      </c>
      <c r="G88" s="251" t="s">
        <v>16</v>
      </c>
      <c r="H88" s="252">
        <v>1</v>
      </c>
      <c r="I88" s="252">
        <v>1</v>
      </c>
      <c r="J88" s="252">
        <v>3</v>
      </c>
      <c r="K88" s="252">
        <v>3</v>
      </c>
      <c r="L88" s="253">
        <v>3</v>
      </c>
      <c r="M88" s="254">
        <f t="shared" si="3"/>
        <v>1.1181151966036349</v>
      </c>
      <c r="N88" s="255"/>
    </row>
    <row r="89" spans="1:14" hidden="1" x14ac:dyDescent="0.2">
      <c r="A89" s="246" t="s">
        <v>215</v>
      </c>
      <c r="B89" s="459" t="s">
        <v>463</v>
      </c>
      <c r="C89" s="247" t="s">
        <v>25</v>
      </c>
      <c r="D89" s="248" t="s">
        <v>135</v>
      </c>
      <c r="E89" s="249">
        <v>4.2932432432432442E-4</v>
      </c>
      <c r="F89" s="250" t="s">
        <v>133</v>
      </c>
      <c r="G89" s="251" t="s">
        <v>16</v>
      </c>
      <c r="H89" s="252">
        <v>1</v>
      </c>
      <c r="I89" s="252">
        <v>1</v>
      </c>
      <c r="J89" s="252">
        <v>3</v>
      </c>
      <c r="K89" s="252">
        <v>3</v>
      </c>
      <c r="L89" s="253">
        <v>3</v>
      </c>
      <c r="M89" s="254">
        <f t="shared" si="3"/>
        <v>1.1181151966036349</v>
      </c>
      <c r="N89" s="255"/>
    </row>
    <row r="90" spans="1:14" hidden="1" x14ac:dyDescent="0.2">
      <c r="A90" s="246" t="s">
        <v>215</v>
      </c>
      <c r="B90" s="459" t="s">
        <v>463</v>
      </c>
      <c r="C90" s="247" t="s">
        <v>26</v>
      </c>
      <c r="D90" s="248" t="s">
        <v>135</v>
      </c>
      <c r="E90" s="249">
        <v>2.9808888888888888E-3</v>
      </c>
      <c r="F90" s="250" t="s">
        <v>133</v>
      </c>
      <c r="G90" s="251" t="s">
        <v>16</v>
      </c>
      <c r="H90" s="252">
        <v>1</v>
      </c>
      <c r="I90" s="252">
        <v>1</v>
      </c>
      <c r="J90" s="252">
        <v>3</v>
      </c>
      <c r="K90" s="252">
        <v>3</v>
      </c>
      <c r="L90" s="253">
        <v>3</v>
      </c>
      <c r="M90" s="254">
        <f t="shared" si="3"/>
        <v>1.1181151966036349</v>
      </c>
      <c r="N90" s="255"/>
    </row>
    <row r="91" spans="1:14" hidden="1" x14ac:dyDescent="0.2">
      <c r="A91" s="246" t="s">
        <v>215</v>
      </c>
      <c r="B91" s="459" t="s">
        <v>463</v>
      </c>
      <c r="C91" s="247" t="s">
        <v>27</v>
      </c>
      <c r="D91" s="248" t="s">
        <v>135</v>
      </c>
      <c r="E91" s="249">
        <v>3.4595281306715062E-4</v>
      </c>
      <c r="F91" s="250" t="s">
        <v>133</v>
      </c>
      <c r="G91" s="251" t="s">
        <v>16</v>
      </c>
      <c r="H91" s="252">
        <v>1</v>
      </c>
      <c r="I91" s="252">
        <v>1</v>
      </c>
      <c r="J91" s="252">
        <v>3</v>
      </c>
      <c r="K91" s="252">
        <v>3</v>
      </c>
      <c r="L91" s="253">
        <v>3</v>
      </c>
      <c r="M91" s="254">
        <f t="shared" si="3"/>
        <v>1.1181151966036349</v>
      </c>
      <c r="N91" s="255"/>
    </row>
    <row r="92" spans="1:14" hidden="1" x14ac:dyDescent="0.2">
      <c r="A92" s="246" t="s">
        <v>215</v>
      </c>
      <c r="B92" s="459" t="s">
        <v>463</v>
      </c>
      <c r="C92" s="247" t="s">
        <v>28</v>
      </c>
      <c r="D92" s="248" t="s">
        <v>135</v>
      </c>
      <c r="E92" s="249">
        <v>7.4149012567324962E-4</v>
      </c>
      <c r="F92" s="250" t="s">
        <v>133</v>
      </c>
      <c r="G92" s="251" t="s">
        <v>16</v>
      </c>
      <c r="H92" s="252">
        <v>1</v>
      </c>
      <c r="I92" s="252">
        <v>1</v>
      </c>
      <c r="J92" s="252">
        <v>3</v>
      </c>
      <c r="K92" s="252">
        <v>3</v>
      </c>
      <c r="L92" s="253">
        <v>3</v>
      </c>
      <c r="M92" s="254">
        <f t="shared" si="3"/>
        <v>1.1181151966036349</v>
      </c>
      <c r="N92" s="255"/>
    </row>
    <row r="93" spans="1:14" hidden="1" x14ac:dyDescent="0.2">
      <c r="A93" s="246" t="s">
        <v>215</v>
      </c>
      <c r="B93" s="459" t="s">
        <v>463</v>
      </c>
      <c r="C93" s="247" t="s">
        <v>30</v>
      </c>
      <c r="D93" s="248" t="s">
        <v>135</v>
      </c>
      <c r="E93" s="249">
        <v>5.242574257425742E-4</v>
      </c>
      <c r="F93" s="250" t="s">
        <v>133</v>
      </c>
      <c r="G93" s="251" t="s">
        <v>16</v>
      </c>
      <c r="H93" s="252">
        <v>1</v>
      </c>
      <c r="I93" s="252">
        <v>1</v>
      </c>
      <c r="J93" s="252">
        <v>3</v>
      </c>
      <c r="K93" s="252">
        <v>3</v>
      </c>
      <c r="L93" s="253">
        <v>3</v>
      </c>
      <c r="M93" s="254">
        <f t="shared" si="3"/>
        <v>1.1181151966036349</v>
      </c>
      <c r="N93" s="255"/>
    </row>
    <row r="94" spans="1:14" hidden="1" x14ac:dyDescent="0.2">
      <c r="A94" s="246" t="s">
        <v>215</v>
      </c>
      <c r="B94" s="459" t="s">
        <v>463</v>
      </c>
      <c r="C94" s="247" t="s">
        <v>32</v>
      </c>
      <c r="D94" s="248" t="s">
        <v>135</v>
      </c>
      <c r="E94" s="249">
        <v>1.23378640776699E-3</v>
      </c>
      <c r="F94" s="250" t="s">
        <v>133</v>
      </c>
      <c r="G94" s="251" t="s">
        <v>16</v>
      </c>
      <c r="H94" s="252">
        <v>1</v>
      </c>
      <c r="I94" s="252">
        <v>1</v>
      </c>
      <c r="J94" s="252">
        <v>3</v>
      </c>
      <c r="K94" s="252">
        <v>3</v>
      </c>
      <c r="L94" s="253">
        <v>3</v>
      </c>
      <c r="M94" s="254">
        <f t="shared" si="3"/>
        <v>1.1181151966036349</v>
      </c>
      <c r="N94" s="255"/>
    </row>
    <row r="95" spans="1:14" hidden="1" x14ac:dyDescent="0.2">
      <c r="A95" s="246" t="s">
        <v>215</v>
      </c>
      <c r="B95" s="459" t="s">
        <v>463</v>
      </c>
      <c r="C95" s="247" t="s">
        <v>34</v>
      </c>
      <c r="D95" s="248" t="s">
        <v>135</v>
      </c>
      <c r="E95" s="249">
        <v>1.5009448818897641E-3</v>
      </c>
      <c r="F95" s="250" t="s">
        <v>133</v>
      </c>
      <c r="G95" s="251" t="s">
        <v>16</v>
      </c>
      <c r="H95" s="252">
        <v>1</v>
      </c>
      <c r="I95" s="252">
        <v>1</v>
      </c>
      <c r="J95" s="252">
        <v>3</v>
      </c>
      <c r="K95" s="252">
        <v>3</v>
      </c>
      <c r="L95" s="253">
        <v>3</v>
      </c>
      <c r="M95" s="254">
        <f t="shared" si="3"/>
        <v>1.1181151966036349</v>
      </c>
      <c r="N95" s="255"/>
    </row>
    <row r="96" spans="1:14" hidden="1" x14ac:dyDescent="0.2">
      <c r="A96" s="246" t="s">
        <v>215</v>
      </c>
      <c r="B96" s="459" t="s">
        <v>463</v>
      </c>
      <c r="C96" s="247" t="s">
        <v>36</v>
      </c>
      <c r="D96" s="248" t="s">
        <v>135</v>
      </c>
      <c r="E96" s="249">
        <v>1.4482051282051281E-3</v>
      </c>
      <c r="F96" s="250" t="s">
        <v>133</v>
      </c>
      <c r="G96" s="251" t="s">
        <v>16</v>
      </c>
      <c r="H96" s="252">
        <v>1</v>
      </c>
      <c r="I96" s="252">
        <v>1</v>
      </c>
      <c r="J96" s="252">
        <v>3</v>
      </c>
      <c r="K96" s="252">
        <v>3</v>
      </c>
      <c r="L96" s="253">
        <v>3</v>
      </c>
      <c r="M96" s="254">
        <f t="shared" si="3"/>
        <v>1.1181151966036349</v>
      </c>
      <c r="N96" s="255"/>
    </row>
    <row r="97" spans="1:14" hidden="1" x14ac:dyDescent="0.2">
      <c r="A97" s="246" t="s">
        <v>215</v>
      </c>
      <c r="B97" s="459" t="s">
        <v>463</v>
      </c>
      <c r="C97" s="247" t="s">
        <v>37</v>
      </c>
      <c r="D97" s="248" t="s">
        <v>135</v>
      </c>
      <c r="E97" s="249">
        <v>6.0483967935871753E-3</v>
      </c>
      <c r="F97" s="250" t="s">
        <v>133</v>
      </c>
      <c r="G97" s="251" t="s">
        <v>16</v>
      </c>
      <c r="H97" s="252">
        <v>1</v>
      </c>
      <c r="I97" s="252">
        <v>1</v>
      </c>
      <c r="J97" s="252">
        <v>3</v>
      </c>
      <c r="K97" s="252">
        <v>3</v>
      </c>
      <c r="L97" s="253">
        <v>3</v>
      </c>
      <c r="M97" s="254">
        <f t="shared" si="3"/>
        <v>1.1181151966036349</v>
      </c>
      <c r="N97" s="255"/>
    </row>
    <row r="98" spans="1:14" hidden="1" x14ac:dyDescent="0.2">
      <c r="A98" s="246" t="s">
        <v>215</v>
      </c>
      <c r="B98" s="459" t="s">
        <v>463</v>
      </c>
      <c r="C98" s="247" t="s">
        <v>39</v>
      </c>
      <c r="D98" s="248" t="s">
        <v>135</v>
      </c>
      <c r="E98" s="249">
        <v>2.9662407862407862E-3</v>
      </c>
      <c r="F98" s="250" t="s">
        <v>133</v>
      </c>
      <c r="G98" s="251" t="s">
        <v>16</v>
      </c>
      <c r="H98" s="252">
        <v>1</v>
      </c>
      <c r="I98" s="252">
        <v>1</v>
      </c>
      <c r="J98" s="252">
        <v>3</v>
      </c>
      <c r="K98" s="252">
        <v>3</v>
      </c>
      <c r="L98" s="253">
        <v>3</v>
      </c>
      <c r="M98" s="254">
        <f t="shared" si="3"/>
        <v>1.1181151966036349</v>
      </c>
      <c r="N98" s="255"/>
    </row>
    <row r="99" spans="1:14" hidden="1" x14ac:dyDescent="0.2">
      <c r="A99" s="246" t="s">
        <v>215</v>
      </c>
      <c r="B99" s="459" t="s">
        <v>463</v>
      </c>
      <c r="C99" s="247" t="s">
        <v>40</v>
      </c>
      <c r="D99" s="248" t="s">
        <v>135</v>
      </c>
      <c r="E99" s="249">
        <v>9.5857758620689656E-4</v>
      </c>
      <c r="F99" s="250" t="s">
        <v>133</v>
      </c>
      <c r="G99" s="251" t="s">
        <v>16</v>
      </c>
      <c r="H99" s="252">
        <v>1</v>
      </c>
      <c r="I99" s="252">
        <v>1</v>
      </c>
      <c r="J99" s="252">
        <v>3</v>
      </c>
      <c r="K99" s="252">
        <v>3</v>
      </c>
      <c r="L99" s="253">
        <v>3</v>
      </c>
      <c r="M99" s="254">
        <f t="shared" si="3"/>
        <v>1.1181151966036349</v>
      </c>
      <c r="N99" s="255"/>
    </row>
    <row r="100" spans="1:14" hidden="1" x14ac:dyDescent="0.2">
      <c r="A100" s="246" t="s">
        <v>215</v>
      </c>
      <c r="B100" s="459" t="s">
        <v>463</v>
      </c>
      <c r="C100" s="247" t="s">
        <v>41</v>
      </c>
      <c r="D100" s="248" t="s">
        <v>135</v>
      </c>
      <c r="E100" s="249">
        <v>4.352054794520548E-4</v>
      </c>
      <c r="F100" s="250" t="s">
        <v>133</v>
      </c>
      <c r="G100" s="251" t="s">
        <v>16</v>
      </c>
      <c r="H100" s="252">
        <v>1</v>
      </c>
      <c r="I100" s="252">
        <v>1</v>
      </c>
      <c r="J100" s="252">
        <v>3</v>
      </c>
      <c r="K100" s="252">
        <v>3</v>
      </c>
      <c r="L100" s="253">
        <v>3</v>
      </c>
      <c r="M100" s="254">
        <f t="shared" si="3"/>
        <v>1.1181151966036349</v>
      </c>
      <c r="N100" s="255"/>
    </row>
    <row r="101" spans="1:14" hidden="1" x14ac:dyDescent="0.2">
      <c r="A101" s="246" t="s">
        <v>215</v>
      </c>
      <c r="B101" s="459" t="s">
        <v>463</v>
      </c>
      <c r="C101" s="247" t="s">
        <v>42</v>
      </c>
      <c r="D101" s="248" t="s">
        <v>135</v>
      </c>
      <c r="E101" s="249">
        <v>2.1274553571428568E-3</v>
      </c>
      <c r="F101" s="250" t="s">
        <v>133</v>
      </c>
      <c r="G101" s="251" t="s">
        <v>16</v>
      </c>
      <c r="H101" s="252">
        <v>1</v>
      </c>
      <c r="I101" s="252">
        <v>1</v>
      </c>
      <c r="J101" s="252">
        <v>3</v>
      </c>
      <c r="K101" s="252">
        <v>3</v>
      </c>
      <c r="L101" s="253">
        <v>3</v>
      </c>
      <c r="M101" s="254">
        <f t="shared" si="3"/>
        <v>1.1181151966036349</v>
      </c>
      <c r="N101" s="255"/>
    </row>
    <row r="102" spans="1:14" hidden="1" x14ac:dyDescent="0.2">
      <c r="A102" s="246" t="s">
        <v>215</v>
      </c>
      <c r="B102" s="459" t="s">
        <v>463</v>
      </c>
      <c r="C102" s="247" t="s">
        <v>43</v>
      </c>
      <c r="D102" s="248" t="s">
        <v>135</v>
      </c>
      <c r="E102" s="249">
        <v>4.9737769080234839E-4</v>
      </c>
      <c r="F102" s="250" t="s">
        <v>133</v>
      </c>
      <c r="G102" s="251" t="s">
        <v>16</v>
      </c>
      <c r="H102" s="252">
        <v>1</v>
      </c>
      <c r="I102" s="252">
        <v>1</v>
      </c>
      <c r="J102" s="252">
        <v>3</v>
      </c>
      <c r="K102" s="252">
        <v>3</v>
      </c>
      <c r="L102" s="253">
        <v>3</v>
      </c>
      <c r="M102" s="254">
        <f t="shared" si="3"/>
        <v>1.1181151966036349</v>
      </c>
      <c r="N102" s="255"/>
    </row>
    <row r="103" spans="1:14" x14ac:dyDescent="0.2">
      <c r="A103" s="246" t="s">
        <v>215</v>
      </c>
      <c r="B103" s="459" t="s">
        <v>463</v>
      </c>
      <c r="C103" s="247" t="s">
        <v>45</v>
      </c>
      <c r="D103" s="248" t="s">
        <v>135</v>
      </c>
      <c r="E103" s="249">
        <v>6.8784844384303125E-4</v>
      </c>
      <c r="F103" s="250" t="s">
        <v>133</v>
      </c>
      <c r="G103" s="251" t="s">
        <v>16</v>
      </c>
      <c r="H103" s="252">
        <v>1</v>
      </c>
      <c r="I103" s="252">
        <v>1</v>
      </c>
      <c r="J103" s="252">
        <v>3</v>
      </c>
      <c r="K103" s="252">
        <v>3</v>
      </c>
      <c r="L103" s="253">
        <v>3</v>
      </c>
      <c r="M103" s="254">
        <f t="shared" si="3"/>
        <v>1.1181151966036349</v>
      </c>
      <c r="N103" s="255"/>
    </row>
    <row r="104" spans="1:14" hidden="1" x14ac:dyDescent="0.2">
      <c r="A104" s="246" t="s">
        <v>215</v>
      </c>
      <c r="B104" s="459" t="s">
        <v>463</v>
      </c>
      <c r="C104" s="247" t="s">
        <v>46</v>
      </c>
      <c r="D104" s="248" t="s">
        <v>135</v>
      </c>
      <c r="E104" s="249">
        <v>1.2553495440729479E-3</v>
      </c>
      <c r="F104" s="250" t="s">
        <v>133</v>
      </c>
      <c r="G104" s="251" t="s">
        <v>16</v>
      </c>
      <c r="H104" s="252">
        <v>1</v>
      </c>
      <c r="I104" s="252">
        <v>1</v>
      </c>
      <c r="J104" s="252">
        <v>3</v>
      </c>
      <c r="K104" s="252">
        <v>3</v>
      </c>
      <c r="L104" s="253">
        <v>3</v>
      </c>
      <c r="M104" s="254">
        <f t="shared" si="3"/>
        <v>1.1181151966036349</v>
      </c>
      <c r="N104" s="255"/>
    </row>
    <row r="105" spans="1:14" hidden="1" x14ac:dyDescent="0.2">
      <c r="A105" s="246" t="s">
        <v>215</v>
      </c>
      <c r="B105" s="459" t="s">
        <v>463</v>
      </c>
      <c r="C105" s="247" t="s">
        <v>48</v>
      </c>
      <c r="D105" s="248" t="s">
        <v>135</v>
      </c>
      <c r="E105" s="249">
        <v>9.3994082840236678E-4</v>
      </c>
      <c r="F105" s="250" t="s">
        <v>133</v>
      </c>
      <c r="G105" s="251" t="s">
        <v>16</v>
      </c>
      <c r="H105" s="252">
        <v>1</v>
      </c>
      <c r="I105" s="252">
        <v>1</v>
      </c>
      <c r="J105" s="252">
        <v>3</v>
      </c>
      <c r="K105" s="252">
        <v>3</v>
      </c>
      <c r="L105" s="253">
        <v>3</v>
      </c>
      <c r="M105" s="254">
        <f t="shared" si="3"/>
        <v>1.1181151966036349</v>
      </c>
      <c r="N105" s="255"/>
    </row>
    <row r="106" spans="1:14" hidden="1" x14ac:dyDescent="0.2">
      <c r="A106" s="246" t="s">
        <v>215</v>
      </c>
      <c r="B106" s="459" t="s">
        <v>463</v>
      </c>
      <c r="C106" s="247" t="s">
        <v>50</v>
      </c>
      <c r="D106" s="248" t="s">
        <v>135</v>
      </c>
      <c r="E106" s="249">
        <v>5.72327205882353E-3</v>
      </c>
      <c r="F106" s="250" t="s">
        <v>133</v>
      </c>
      <c r="G106" s="251" t="s">
        <v>16</v>
      </c>
      <c r="H106" s="252">
        <v>1</v>
      </c>
      <c r="I106" s="252">
        <v>1</v>
      </c>
      <c r="J106" s="252">
        <v>3</v>
      </c>
      <c r="K106" s="252">
        <v>3</v>
      </c>
      <c r="L106" s="253">
        <v>3</v>
      </c>
      <c r="M106" s="254">
        <f t="shared" si="3"/>
        <v>1.1181151966036349</v>
      </c>
      <c r="N106" s="255"/>
    </row>
    <row r="107" spans="1:14" hidden="1" x14ac:dyDescent="0.2">
      <c r="A107" s="246" t="s">
        <v>215</v>
      </c>
      <c r="B107" s="459" t="s">
        <v>463</v>
      </c>
      <c r="C107" s="247" t="s">
        <v>52</v>
      </c>
      <c r="D107" s="248" t="s">
        <v>135</v>
      </c>
      <c r="E107" s="249">
        <v>9.2086956521739128E-4</v>
      </c>
      <c r="F107" s="250" t="s">
        <v>133</v>
      </c>
      <c r="G107" s="251" t="s">
        <v>16</v>
      </c>
      <c r="H107" s="252">
        <v>1</v>
      </c>
      <c r="I107" s="252">
        <v>1</v>
      </c>
      <c r="J107" s="252">
        <v>3</v>
      </c>
      <c r="K107" s="252">
        <v>3</v>
      </c>
      <c r="L107" s="253">
        <v>3</v>
      </c>
      <c r="M107" s="254">
        <f t="shared" si="3"/>
        <v>1.1181151966036349</v>
      </c>
      <c r="N107" s="255"/>
    </row>
    <row r="108" spans="1:14" hidden="1" x14ac:dyDescent="0.2">
      <c r="A108" s="246" t="s">
        <v>215</v>
      </c>
      <c r="B108" s="459" t="s">
        <v>463</v>
      </c>
      <c r="C108" s="247" t="s">
        <v>54</v>
      </c>
      <c r="D108" s="248" t="s">
        <v>135</v>
      </c>
      <c r="E108" s="249">
        <v>5.8833333333333329E-4</v>
      </c>
      <c r="F108" s="250" t="s">
        <v>133</v>
      </c>
      <c r="G108" s="251" t="s">
        <v>16</v>
      </c>
      <c r="H108" s="252">
        <v>1</v>
      </c>
      <c r="I108" s="252">
        <v>1</v>
      </c>
      <c r="J108" s="252">
        <v>3</v>
      </c>
      <c r="K108" s="252">
        <v>3</v>
      </c>
      <c r="L108" s="253">
        <v>3</v>
      </c>
      <c r="M108" s="254">
        <f t="shared" si="3"/>
        <v>1.1181151966036349</v>
      </c>
      <c r="N108" s="255"/>
    </row>
    <row r="109" spans="1:14" hidden="1" x14ac:dyDescent="0.2">
      <c r="A109" s="246" t="s">
        <v>215</v>
      </c>
      <c r="B109" s="459" t="s">
        <v>463</v>
      </c>
      <c r="C109" s="247" t="s">
        <v>55</v>
      </c>
      <c r="D109" s="248" t="s">
        <v>135</v>
      </c>
      <c r="E109" s="249">
        <v>1.2708000000000001E-3</v>
      </c>
      <c r="F109" s="250" t="s">
        <v>133</v>
      </c>
      <c r="G109" s="251" t="s">
        <v>16</v>
      </c>
      <c r="H109" s="252">
        <v>1</v>
      </c>
      <c r="I109" s="252">
        <v>1</v>
      </c>
      <c r="J109" s="252">
        <v>3</v>
      </c>
      <c r="K109" s="252">
        <v>3</v>
      </c>
      <c r="L109" s="253">
        <v>3</v>
      </c>
      <c r="M109" s="254">
        <f t="shared" si="3"/>
        <v>1.1181151966036349</v>
      </c>
      <c r="N109" s="255"/>
    </row>
    <row r="110" spans="1:14" hidden="1" x14ac:dyDescent="0.2">
      <c r="A110" s="246" t="s">
        <v>215</v>
      </c>
      <c r="B110" s="459" t="s">
        <v>463</v>
      </c>
      <c r="C110" s="247" t="s">
        <v>57</v>
      </c>
      <c r="D110" s="248" t="s">
        <v>135</v>
      </c>
      <c r="E110" s="249">
        <v>5.8562211981566818E-4</v>
      </c>
      <c r="F110" s="250" t="s">
        <v>133</v>
      </c>
      <c r="G110" s="251" t="s">
        <v>16</v>
      </c>
      <c r="H110" s="252">
        <v>1</v>
      </c>
      <c r="I110" s="252">
        <v>1</v>
      </c>
      <c r="J110" s="252">
        <v>3</v>
      </c>
      <c r="K110" s="252">
        <v>3</v>
      </c>
      <c r="L110" s="253">
        <v>3</v>
      </c>
      <c r="M110" s="254">
        <f t="shared" si="3"/>
        <v>1.1181151966036349</v>
      </c>
      <c r="N110" s="255"/>
    </row>
    <row r="111" spans="1:14" hidden="1" x14ac:dyDescent="0.2">
      <c r="A111" s="246" t="s">
        <v>215</v>
      </c>
      <c r="B111" s="459" t="s">
        <v>463</v>
      </c>
      <c r="C111" s="247" t="s">
        <v>59</v>
      </c>
      <c r="D111" s="248" t="s">
        <v>135</v>
      </c>
      <c r="E111" s="249">
        <v>2.7E-4</v>
      </c>
      <c r="F111" s="250" t="s">
        <v>133</v>
      </c>
      <c r="G111" s="251" t="s">
        <v>16</v>
      </c>
      <c r="H111" s="252">
        <v>1</v>
      </c>
      <c r="I111" s="252">
        <v>1</v>
      </c>
      <c r="J111" s="252">
        <v>3</v>
      </c>
      <c r="K111" s="252">
        <v>3</v>
      </c>
      <c r="L111" s="253">
        <v>3</v>
      </c>
      <c r="M111" s="254">
        <f t="shared" si="3"/>
        <v>1.1181151966036349</v>
      </c>
      <c r="N111" s="255"/>
    </row>
    <row r="112" spans="1:14" hidden="1" x14ac:dyDescent="0.2">
      <c r="A112" s="246" t="s">
        <v>215</v>
      </c>
      <c r="B112" s="459" t="s">
        <v>463</v>
      </c>
      <c r="C112" s="247" t="s">
        <v>60</v>
      </c>
      <c r="D112" s="248" t="s">
        <v>135</v>
      </c>
      <c r="E112" s="249">
        <v>1.23511879049676E-3</v>
      </c>
      <c r="F112" s="250" t="s">
        <v>133</v>
      </c>
      <c r="G112" s="251" t="s">
        <v>16</v>
      </c>
      <c r="H112" s="252">
        <v>1</v>
      </c>
      <c r="I112" s="252">
        <v>1</v>
      </c>
      <c r="J112" s="252">
        <v>3</v>
      </c>
      <c r="K112" s="252">
        <v>3</v>
      </c>
      <c r="L112" s="253">
        <v>3</v>
      </c>
      <c r="M112" s="254">
        <f t="shared" ref="M112:M142" si="4">IF( OR( ISBLANK(H112),ISBLANK(I112), ISBLANK(J112), ISBLANK(K112), ISBLANK(L112) ), "", 1.5*SQRT( EXP(2.21*(H112-1)) + EXP(2.21*(I112-1)) + EXP(2.21*(J112-1)) + EXP(2.21*(K112-1)) + EXP(2.21*L112) )/100*2.45 )</f>
        <v>1.1181151966036349</v>
      </c>
      <c r="N112" s="255"/>
    </row>
    <row r="113" spans="1:14" x14ac:dyDescent="0.2">
      <c r="A113" s="444" t="s">
        <v>223</v>
      </c>
      <c r="B113" s="445" t="s">
        <v>461</v>
      </c>
      <c r="C113" s="446" t="s">
        <v>135</v>
      </c>
      <c r="D113" s="447" t="s">
        <v>14</v>
      </c>
      <c r="E113" s="460">
        <v>0</v>
      </c>
      <c r="F113" s="389" t="s">
        <v>462</v>
      </c>
      <c r="G113" s="390" t="s">
        <v>16</v>
      </c>
      <c r="H113" s="460"/>
      <c r="I113" s="460"/>
      <c r="J113" s="460"/>
      <c r="K113" s="460"/>
      <c r="L113" s="461"/>
      <c r="M113" s="462" t="str">
        <f t="shared" si="4"/>
        <v/>
      </c>
      <c r="N113" s="272"/>
    </row>
    <row r="114" spans="1:14" x14ac:dyDescent="0.2">
      <c r="A114" s="246" t="s">
        <v>223</v>
      </c>
      <c r="B114" s="448" t="s">
        <v>461</v>
      </c>
      <c r="C114" s="449" t="s">
        <v>135</v>
      </c>
      <c r="D114" s="450" t="s">
        <v>62</v>
      </c>
      <c r="E114" s="376">
        <v>0.1176</v>
      </c>
      <c r="F114" s="374" t="s">
        <v>462</v>
      </c>
      <c r="G114" s="375" t="s">
        <v>16</v>
      </c>
      <c r="H114" s="376">
        <v>2</v>
      </c>
      <c r="I114" s="376">
        <v>4</v>
      </c>
      <c r="J114" s="376">
        <v>1</v>
      </c>
      <c r="K114" s="376">
        <v>1</v>
      </c>
      <c r="L114" s="377">
        <v>2</v>
      </c>
      <c r="M114" s="254">
        <f t="shared" si="4"/>
        <v>1.0725046436742278</v>
      </c>
      <c r="N114" s="255"/>
    </row>
    <row r="115" spans="1:14" x14ac:dyDescent="0.2">
      <c r="A115" s="246" t="s">
        <v>223</v>
      </c>
      <c r="B115" s="448" t="s">
        <v>461</v>
      </c>
      <c r="C115" s="449" t="s">
        <v>135</v>
      </c>
      <c r="D115" s="451" t="s">
        <v>64</v>
      </c>
      <c r="E115" s="376">
        <v>0.05</v>
      </c>
      <c r="F115" s="374" t="s">
        <v>462</v>
      </c>
      <c r="G115" s="375" t="s">
        <v>16</v>
      </c>
      <c r="H115" s="376">
        <v>2</v>
      </c>
      <c r="I115" s="376">
        <v>4</v>
      </c>
      <c r="J115" s="376">
        <v>1</v>
      </c>
      <c r="K115" s="376">
        <v>1</v>
      </c>
      <c r="L115" s="377">
        <v>2</v>
      </c>
      <c r="M115" s="254">
        <f t="shared" si="4"/>
        <v>1.0725046436742278</v>
      </c>
      <c r="N115" s="255"/>
    </row>
    <row r="116" spans="1:14" x14ac:dyDescent="0.2">
      <c r="A116" s="246" t="s">
        <v>223</v>
      </c>
      <c r="B116" s="448" t="s">
        <v>461</v>
      </c>
      <c r="C116" s="449" t="s">
        <v>135</v>
      </c>
      <c r="D116" s="452" t="s">
        <v>66</v>
      </c>
      <c r="E116" s="376">
        <v>5.5E-2</v>
      </c>
      <c r="F116" s="374" t="s">
        <v>462</v>
      </c>
      <c r="G116" s="375" t="s">
        <v>16</v>
      </c>
      <c r="H116" s="376">
        <v>2</v>
      </c>
      <c r="I116" s="376">
        <v>4</v>
      </c>
      <c r="J116" s="376">
        <v>1</v>
      </c>
      <c r="K116" s="376">
        <v>1</v>
      </c>
      <c r="L116" s="377">
        <v>2</v>
      </c>
      <c r="M116" s="254">
        <f t="shared" si="4"/>
        <v>1.0725046436742278</v>
      </c>
      <c r="N116" s="255"/>
    </row>
    <row r="117" spans="1:14" x14ac:dyDescent="0.2">
      <c r="A117" s="246" t="s">
        <v>223</v>
      </c>
      <c r="B117" s="448" t="s">
        <v>461</v>
      </c>
      <c r="C117" s="449" t="s">
        <v>135</v>
      </c>
      <c r="D117" s="453" t="s">
        <v>94</v>
      </c>
      <c r="E117" s="454">
        <v>0</v>
      </c>
      <c r="F117" s="374" t="s">
        <v>464</v>
      </c>
      <c r="G117" s="375" t="s">
        <v>16</v>
      </c>
      <c r="H117" s="454"/>
      <c r="I117" s="454"/>
      <c r="J117" s="454"/>
      <c r="K117" s="454"/>
      <c r="L117" s="455"/>
      <c r="M117" s="456" t="str">
        <f t="shared" si="4"/>
        <v/>
      </c>
      <c r="N117" s="255"/>
    </row>
    <row r="118" spans="1:14" x14ac:dyDescent="0.2">
      <c r="A118" s="246" t="s">
        <v>223</v>
      </c>
      <c r="B118" s="448" t="s">
        <v>461</v>
      </c>
      <c r="C118" s="449" t="s">
        <v>135</v>
      </c>
      <c r="D118" s="457" t="s">
        <v>96</v>
      </c>
      <c r="E118" s="376">
        <v>7.4999999999999997E-2</v>
      </c>
      <c r="F118" s="374" t="s">
        <v>462</v>
      </c>
      <c r="G118" s="375" t="s">
        <v>16</v>
      </c>
      <c r="H118" s="376">
        <v>2</v>
      </c>
      <c r="I118" s="376">
        <v>4</v>
      </c>
      <c r="J118" s="376">
        <v>1</v>
      </c>
      <c r="K118" s="376">
        <v>1</v>
      </c>
      <c r="L118" s="377">
        <v>2</v>
      </c>
      <c r="M118" s="254">
        <f t="shared" si="4"/>
        <v>1.0725046436742278</v>
      </c>
      <c r="N118" s="255"/>
    </row>
    <row r="119" spans="1:14" x14ac:dyDescent="0.2">
      <c r="A119" s="246" t="s">
        <v>223</v>
      </c>
      <c r="B119" s="448" t="s">
        <v>461</v>
      </c>
      <c r="C119" s="449" t="s">
        <v>135</v>
      </c>
      <c r="D119" s="458" t="s">
        <v>98</v>
      </c>
      <c r="E119" s="376">
        <v>8.2299999999999998E-2</v>
      </c>
      <c r="F119" s="374" t="s">
        <v>462</v>
      </c>
      <c r="G119" s="375" t="s">
        <v>16</v>
      </c>
      <c r="H119" s="376">
        <v>2</v>
      </c>
      <c r="I119" s="376">
        <v>4</v>
      </c>
      <c r="J119" s="376">
        <v>1</v>
      </c>
      <c r="K119" s="376">
        <v>1</v>
      </c>
      <c r="L119" s="377">
        <v>2</v>
      </c>
      <c r="M119" s="254">
        <f t="shared" si="4"/>
        <v>1.0725046436742278</v>
      </c>
      <c r="N119" s="255"/>
    </row>
    <row r="120" spans="1:14" hidden="1" x14ac:dyDescent="0.2">
      <c r="A120" s="246" t="s">
        <v>223</v>
      </c>
      <c r="B120" s="459" t="s">
        <v>463</v>
      </c>
      <c r="C120" s="247" t="s">
        <v>13</v>
      </c>
      <c r="D120" s="248" t="s">
        <v>135</v>
      </c>
      <c r="E120" s="249">
        <v>4.9383419689119179E-4</v>
      </c>
      <c r="F120" s="250" t="s">
        <v>133</v>
      </c>
      <c r="G120" s="251" t="s">
        <v>16</v>
      </c>
      <c r="H120" s="252">
        <v>1</v>
      </c>
      <c r="I120" s="252">
        <v>1</v>
      </c>
      <c r="J120" s="252">
        <v>3</v>
      </c>
      <c r="K120" s="252">
        <v>3</v>
      </c>
      <c r="L120" s="253">
        <v>3</v>
      </c>
      <c r="M120" s="254">
        <f t="shared" si="4"/>
        <v>1.1181151966036349</v>
      </c>
      <c r="N120" s="255"/>
    </row>
    <row r="121" spans="1:14" hidden="1" x14ac:dyDescent="0.2">
      <c r="A121" s="246" t="s">
        <v>223</v>
      </c>
      <c r="B121" s="459" t="s">
        <v>463</v>
      </c>
      <c r="C121" s="247" t="s">
        <v>18</v>
      </c>
      <c r="D121" s="248" t="s">
        <v>135</v>
      </c>
      <c r="E121" s="249">
        <v>6.2141809290953553E-4</v>
      </c>
      <c r="F121" s="250" t="s">
        <v>133</v>
      </c>
      <c r="G121" s="251" t="s">
        <v>16</v>
      </c>
      <c r="H121" s="252">
        <v>1</v>
      </c>
      <c r="I121" s="252">
        <v>1</v>
      </c>
      <c r="J121" s="252">
        <v>3</v>
      </c>
      <c r="K121" s="252">
        <v>3</v>
      </c>
      <c r="L121" s="253">
        <v>3</v>
      </c>
      <c r="M121" s="254">
        <f t="shared" si="4"/>
        <v>1.1181151966036349</v>
      </c>
      <c r="N121" s="255"/>
    </row>
    <row r="122" spans="1:14" hidden="1" x14ac:dyDescent="0.2">
      <c r="A122" s="246" t="s">
        <v>223</v>
      </c>
      <c r="B122" s="459" t="s">
        <v>463</v>
      </c>
      <c r="C122" s="247" t="s">
        <v>20</v>
      </c>
      <c r="D122" s="248" t="s">
        <v>135</v>
      </c>
      <c r="E122" s="249">
        <v>1.717297297297297E-3</v>
      </c>
      <c r="F122" s="250" t="s">
        <v>133</v>
      </c>
      <c r="G122" s="251" t="s">
        <v>16</v>
      </c>
      <c r="H122" s="252">
        <v>1</v>
      </c>
      <c r="I122" s="252">
        <v>1</v>
      </c>
      <c r="J122" s="252">
        <v>3</v>
      </c>
      <c r="K122" s="252">
        <v>3</v>
      </c>
      <c r="L122" s="253">
        <v>3</v>
      </c>
      <c r="M122" s="254">
        <f t="shared" si="4"/>
        <v>1.1181151966036349</v>
      </c>
      <c r="N122" s="255"/>
    </row>
    <row r="123" spans="1:14" hidden="1" x14ac:dyDescent="0.2">
      <c r="A123" s="246" t="s">
        <v>223</v>
      </c>
      <c r="B123" s="459" t="s">
        <v>463</v>
      </c>
      <c r="C123" s="247" t="s">
        <v>22</v>
      </c>
      <c r="D123" s="248" t="s">
        <v>135</v>
      </c>
      <c r="E123" s="249">
        <v>1.397291666666666E-3</v>
      </c>
      <c r="F123" s="250" t="s">
        <v>133</v>
      </c>
      <c r="G123" s="251" t="s">
        <v>16</v>
      </c>
      <c r="H123" s="252">
        <v>1</v>
      </c>
      <c r="I123" s="252">
        <v>1</v>
      </c>
      <c r="J123" s="252">
        <v>3</v>
      </c>
      <c r="K123" s="252">
        <v>3</v>
      </c>
      <c r="L123" s="253">
        <v>3</v>
      </c>
      <c r="M123" s="254">
        <f t="shared" si="4"/>
        <v>1.1181151966036349</v>
      </c>
      <c r="N123" s="255"/>
    </row>
    <row r="124" spans="1:14" hidden="1" x14ac:dyDescent="0.2">
      <c r="A124" s="246" t="s">
        <v>223</v>
      </c>
      <c r="B124" s="459" t="s">
        <v>463</v>
      </c>
      <c r="C124" s="247" t="s">
        <v>23</v>
      </c>
      <c r="D124" s="248" t="s">
        <v>135</v>
      </c>
      <c r="E124" s="249">
        <v>1.868823529411765E-3</v>
      </c>
      <c r="F124" s="250" t="s">
        <v>133</v>
      </c>
      <c r="G124" s="251" t="s">
        <v>16</v>
      </c>
      <c r="H124" s="252">
        <v>1</v>
      </c>
      <c r="I124" s="252">
        <v>1</v>
      </c>
      <c r="J124" s="252">
        <v>3</v>
      </c>
      <c r="K124" s="252">
        <v>3</v>
      </c>
      <c r="L124" s="253">
        <v>3</v>
      </c>
      <c r="M124" s="254">
        <f t="shared" si="4"/>
        <v>1.1181151966036349</v>
      </c>
      <c r="N124" s="255"/>
    </row>
    <row r="125" spans="1:14" hidden="1" x14ac:dyDescent="0.2">
      <c r="A125" s="246" t="s">
        <v>223</v>
      </c>
      <c r="B125" s="459" t="s">
        <v>463</v>
      </c>
      <c r="C125" s="247" t="s">
        <v>24</v>
      </c>
      <c r="D125" s="248" t="s">
        <v>135</v>
      </c>
      <c r="E125" s="249">
        <v>8.3605263157894745E-4</v>
      </c>
      <c r="F125" s="250" t="s">
        <v>133</v>
      </c>
      <c r="G125" s="251" t="s">
        <v>16</v>
      </c>
      <c r="H125" s="252">
        <v>1</v>
      </c>
      <c r="I125" s="252">
        <v>1</v>
      </c>
      <c r="J125" s="252">
        <v>3</v>
      </c>
      <c r="K125" s="252">
        <v>3</v>
      </c>
      <c r="L125" s="253">
        <v>3</v>
      </c>
      <c r="M125" s="254">
        <f t="shared" si="4"/>
        <v>1.1181151966036349</v>
      </c>
      <c r="N125" s="255"/>
    </row>
    <row r="126" spans="1:14" hidden="1" x14ac:dyDescent="0.2">
      <c r="A126" s="246" t="s">
        <v>223</v>
      </c>
      <c r="B126" s="459" t="s">
        <v>463</v>
      </c>
      <c r="C126" s="247" t="s">
        <v>25</v>
      </c>
      <c r="D126" s="248" t="s">
        <v>135</v>
      </c>
      <c r="E126" s="249">
        <v>4.2932432432432442E-4</v>
      </c>
      <c r="F126" s="250" t="s">
        <v>133</v>
      </c>
      <c r="G126" s="251" t="s">
        <v>16</v>
      </c>
      <c r="H126" s="252">
        <v>1</v>
      </c>
      <c r="I126" s="252">
        <v>1</v>
      </c>
      <c r="J126" s="252">
        <v>3</v>
      </c>
      <c r="K126" s="252">
        <v>3</v>
      </c>
      <c r="L126" s="253">
        <v>3</v>
      </c>
      <c r="M126" s="254">
        <f t="shared" si="4"/>
        <v>1.1181151966036349</v>
      </c>
      <c r="N126" s="255"/>
    </row>
    <row r="127" spans="1:14" hidden="1" x14ac:dyDescent="0.2">
      <c r="A127" s="246" t="s">
        <v>223</v>
      </c>
      <c r="B127" s="459" t="s">
        <v>463</v>
      </c>
      <c r="C127" s="247" t="s">
        <v>26</v>
      </c>
      <c r="D127" s="248" t="s">
        <v>135</v>
      </c>
      <c r="E127" s="249">
        <v>2.9808888888888888E-3</v>
      </c>
      <c r="F127" s="250" t="s">
        <v>133</v>
      </c>
      <c r="G127" s="251" t="s">
        <v>16</v>
      </c>
      <c r="H127" s="252">
        <v>1</v>
      </c>
      <c r="I127" s="252">
        <v>1</v>
      </c>
      <c r="J127" s="252">
        <v>3</v>
      </c>
      <c r="K127" s="252">
        <v>3</v>
      </c>
      <c r="L127" s="253">
        <v>3</v>
      </c>
      <c r="M127" s="254">
        <f t="shared" si="4"/>
        <v>1.1181151966036349</v>
      </c>
      <c r="N127" s="255"/>
    </row>
    <row r="128" spans="1:14" hidden="1" x14ac:dyDescent="0.2">
      <c r="A128" s="246" t="s">
        <v>223</v>
      </c>
      <c r="B128" s="459" t="s">
        <v>463</v>
      </c>
      <c r="C128" s="247" t="s">
        <v>27</v>
      </c>
      <c r="D128" s="248" t="s">
        <v>135</v>
      </c>
      <c r="E128" s="249">
        <v>3.4595281306715062E-4</v>
      </c>
      <c r="F128" s="250" t="s">
        <v>133</v>
      </c>
      <c r="G128" s="251" t="s">
        <v>16</v>
      </c>
      <c r="H128" s="252">
        <v>1</v>
      </c>
      <c r="I128" s="252">
        <v>1</v>
      </c>
      <c r="J128" s="252">
        <v>3</v>
      </c>
      <c r="K128" s="252">
        <v>3</v>
      </c>
      <c r="L128" s="253">
        <v>3</v>
      </c>
      <c r="M128" s="254">
        <f t="shared" si="4"/>
        <v>1.1181151966036349</v>
      </c>
      <c r="N128" s="255"/>
    </row>
    <row r="129" spans="1:14" hidden="1" x14ac:dyDescent="0.2">
      <c r="A129" s="246" t="s">
        <v>223</v>
      </c>
      <c r="B129" s="459" t="s">
        <v>463</v>
      </c>
      <c r="C129" s="247" t="s">
        <v>28</v>
      </c>
      <c r="D129" s="248" t="s">
        <v>135</v>
      </c>
      <c r="E129" s="249">
        <v>7.4149012567324962E-4</v>
      </c>
      <c r="F129" s="250" t="s">
        <v>133</v>
      </c>
      <c r="G129" s="251" t="s">
        <v>16</v>
      </c>
      <c r="H129" s="252">
        <v>1</v>
      </c>
      <c r="I129" s="252">
        <v>1</v>
      </c>
      <c r="J129" s="252">
        <v>3</v>
      </c>
      <c r="K129" s="252">
        <v>3</v>
      </c>
      <c r="L129" s="253">
        <v>3</v>
      </c>
      <c r="M129" s="254">
        <f t="shared" si="4"/>
        <v>1.1181151966036349</v>
      </c>
      <c r="N129" s="255"/>
    </row>
    <row r="130" spans="1:14" hidden="1" x14ac:dyDescent="0.2">
      <c r="A130" s="246" t="s">
        <v>223</v>
      </c>
      <c r="B130" s="459" t="s">
        <v>463</v>
      </c>
      <c r="C130" s="247" t="s">
        <v>30</v>
      </c>
      <c r="D130" s="248" t="s">
        <v>135</v>
      </c>
      <c r="E130" s="249">
        <v>5.242574257425742E-4</v>
      </c>
      <c r="F130" s="250" t="s">
        <v>133</v>
      </c>
      <c r="G130" s="251" t="s">
        <v>16</v>
      </c>
      <c r="H130" s="252">
        <v>1</v>
      </c>
      <c r="I130" s="252">
        <v>1</v>
      </c>
      <c r="J130" s="252">
        <v>3</v>
      </c>
      <c r="K130" s="252">
        <v>3</v>
      </c>
      <c r="L130" s="253">
        <v>3</v>
      </c>
      <c r="M130" s="254">
        <f t="shared" si="4"/>
        <v>1.1181151966036349</v>
      </c>
      <c r="N130" s="255"/>
    </row>
    <row r="131" spans="1:14" hidden="1" x14ac:dyDescent="0.2">
      <c r="A131" s="246" t="s">
        <v>223</v>
      </c>
      <c r="B131" s="459" t="s">
        <v>463</v>
      </c>
      <c r="C131" s="247" t="s">
        <v>32</v>
      </c>
      <c r="D131" s="248" t="s">
        <v>135</v>
      </c>
      <c r="E131" s="249">
        <v>1.23378640776699E-3</v>
      </c>
      <c r="F131" s="250" t="s">
        <v>133</v>
      </c>
      <c r="G131" s="251" t="s">
        <v>16</v>
      </c>
      <c r="H131" s="252">
        <v>1</v>
      </c>
      <c r="I131" s="252">
        <v>1</v>
      </c>
      <c r="J131" s="252">
        <v>3</v>
      </c>
      <c r="K131" s="252">
        <v>3</v>
      </c>
      <c r="L131" s="253">
        <v>3</v>
      </c>
      <c r="M131" s="254">
        <f t="shared" si="4"/>
        <v>1.1181151966036349</v>
      </c>
      <c r="N131" s="255"/>
    </row>
    <row r="132" spans="1:14" hidden="1" x14ac:dyDescent="0.2">
      <c r="A132" s="246" t="s">
        <v>223</v>
      </c>
      <c r="B132" s="459" t="s">
        <v>463</v>
      </c>
      <c r="C132" s="247" t="s">
        <v>34</v>
      </c>
      <c r="D132" s="248" t="s">
        <v>135</v>
      </c>
      <c r="E132" s="249">
        <v>1.5009448818897641E-3</v>
      </c>
      <c r="F132" s="250" t="s">
        <v>133</v>
      </c>
      <c r="G132" s="251" t="s">
        <v>16</v>
      </c>
      <c r="H132" s="252">
        <v>1</v>
      </c>
      <c r="I132" s="252">
        <v>1</v>
      </c>
      <c r="J132" s="252">
        <v>3</v>
      </c>
      <c r="K132" s="252">
        <v>3</v>
      </c>
      <c r="L132" s="253">
        <v>3</v>
      </c>
      <c r="M132" s="254">
        <f t="shared" si="4"/>
        <v>1.1181151966036349</v>
      </c>
      <c r="N132" s="255"/>
    </row>
    <row r="133" spans="1:14" hidden="1" x14ac:dyDescent="0.2">
      <c r="A133" s="246" t="s">
        <v>223</v>
      </c>
      <c r="B133" s="459" t="s">
        <v>463</v>
      </c>
      <c r="C133" s="247" t="s">
        <v>36</v>
      </c>
      <c r="D133" s="248" t="s">
        <v>135</v>
      </c>
      <c r="E133" s="249">
        <v>1.4482051282051281E-3</v>
      </c>
      <c r="F133" s="250" t="s">
        <v>133</v>
      </c>
      <c r="G133" s="251" t="s">
        <v>16</v>
      </c>
      <c r="H133" s="252">
        <v>1</v>
      </c>
      <c r="I133" s="252">
        <v>1</v>
      </c>
      <c r="J133" s="252">
        <v>3</v>
      </c>
      <c r="K133" s="252">
        <v>3</v>
      </c>
      <c r="L133" s="253">
        <v>3</v>
      </c>
      <c r="M133" s="254">
        <f t="shared" si="4"/>
        <v>1.1181151966036349</v>
      </c>
      <c r="N133" s="255"/>
    </row>
    <row r="134" spans="1:14" hidden="1" x14ac:dyDescent="0.2">
      <c r="A134" s="246" t="s">
        <v>223</v>
      </c>
      <c r="B134" s="459" t="s">
        <v>463</v>
      </c>
      <c r="C134" s="247" t="s">
        <v>37</v>
      </c>
      <c r="D134" s="248" t="s">
        <v>135</v>
      </c>
      <c r="E134" s="249">
        <v>6.0483967935871753E-3</v>
      </c>
      <c r="F134" s="250" t="s">
        <v>133</v>
      </c>
      <c r="G134" s="251" t="s">
        <v>16</v>
      </c>
      <c r="H134" s="252">
        <v>1</v>
      </c>
      <c r="I134" s="252">
        <v>1</v>
      </c>
      <c r="J134" s="252">
        <v>3</v>
      </c>
      <c r="K134" s="252">
        <v>3</v>
      </c>
      <c r="L134" s="253">
        <v>3</v>
      </c>
      <c r="M134" s="254">
        <f t="shared" si="4"/>
        <v>1.1181151966036349</v>
      </c>
      <c r="N134" s="255"/>
    </row>
    <row r="135" spans="1:14" hidden="1" x14ac:dyDescent="0.2">
      <c r="A135" s="246" t="s">
        <v>223</v>
      </c>
      <c r="B135" s="459" t="s">
        <v>463</v>
      </c>
      <c r="C135" s="247" t="s">
        <v>39</v>
      </c>
      <c r="D135" s="248" t="s">
        <v>135</v>
      </c>
      <c r="E135" s="249">
        <v>2.9662407862407862E-3</v>
      </c>
      <c r="F135" s="250" t="s">
        <v>133</v>
      </c>
      <c r="G135" s="251" t="s">
        <v>16</v>
      </c>
      <c r="H135" s="252">
        <v>1</v>
      </c>
      <c r="I135" s="252">
        <v>1</v>
      </c>
      <c r="J135" s="252">
        <v>3</v>
      </c>
      <c r="K135" s="252">
        <v>3</v>
      </c>
      <c r="L135" s="253">
        <v>3</v>
      </c>
      <c r="M135" s="254">
        <f t="shared" si="4"/>
        <v>1.1181151966036349</v>
      </c>
      <c r="N135" s="255"/>
    </row>
    <row r="136" spans="1:14" hidden="1" x14ac:dyDescent="0.2">
      <c r="A136" s="246" t="s">
        <v>223</v>
      </c>
      <c r="B136" s="459" t="s">
        <v>463</v>
      </c>
      <c r="C136" s="247" t="s">
        <v>40</v>
      </c>
      <c r="D136" s="248" t="s">
        <v>135</v>
      </c>
      <c r="E136" s="249">
        <v>9.5857758620689656E-4</v>
      </c>
      <c r="F136" s="250" t="s">
        <v>133</v>
      </c>
      <c r="G136" s="251" t="s">
        <v>16</v>
      </c>
      <c r="H136" s="252">
        <v>1</v>
      </c>
      <c r="I136" s="252">
        <v>1</v>
      </c>
      <c r="J136" s="252">
        <v>3</v>
      </c>
      <c r="K136" s="252">
        <v>3</v>
      </c>
      <c r="L136" s="253">
        <v>3</v>
      </c>
      <c r="M136" s="254">
        <f t="shared" si="4"/>
        <v>1.1181151966036349</v>
      </c>
      <c r="N136" s="255"/>
    </row>
    <row r="137" spans="1:14" hidden="1" x14ac:dyDescent="0.2">
      <c r="A137" s="246" t="s">
        <v>223</v>
      </c>
      <c r="B137" s="459" t="s">
        <v>463</v>
      </c>
      <c r="C137" s="247" t="s">
        <v>41</v>
      </c>
      <c r="D137" s="248" t="s">
        <v>135</v>
      </c>
      <c r="E137" s="249">
        <v>4.352054794520548E-4</v>
      </c>
      <c r="F137" s="250" t="s">
        <v>133</v>
      </c>
      <c r="G137" s="251" t="s">
        <v>16</v>
      </c>
      <c r="H137" s="252">
        <v>1</v>
      </c>
      <c r="I137" s="252">
        <v>1</v>
      </c>
      <c r="J137" s="252">
        <v>3</v>
      </c>
      <c r="K137" s="252">
        <v>3</v>
      </c>
      <c r="L137" s="253">
        <v>3</v>
      </c>
      <c r="M137" s="254">
        <f t="shared" si="4"/>
        <v>1.1181151966036349</v>
      </c>
      <c r="N137" s="255"/>
    </row>
    <row r="138" spans="1:14" hidden="1" x14ac:dyDescent="0.2">
      <c r="A138" s="246" t="s">
        <v>223</v>
      </c>
      <c r="B138" s="459" t="s">
        <v>463</v>
      </c>
      <c r="C138" s="247" t="s">
        <v>42</v>
      </c>
      <c r="D138" s="248" t="s">
        <v>135</v>
      </c>
      <c r="E138" s="249">
        <v>2.1274553571428568E-3</v>
      </c>
      <c r="F138" s="250" t="s">
        <v>133</v>
      </c>
      <c r="G138" s="251" t="s">
        <v>16</v>
      </c>
      <c r="H138" s="252">
        <v>1</v>
      </c>
      <c r="I138" s="252">
        <v>1</v>
      </c>
      <c r="J138" s="252">
        <v>3</v>
      </c>
      <c r="K138" s="252">
        <v>3</v>
      </c>
      <c r="L138" s="253">
        <v>3</v>
      </c>
      <c r="M138" s="254">
        <f t="shared" si="4"/>
        <v>1.1181151966036349</v>
      </c>
      <c r="N138" s="255"/>
    </row>
    <row r="139" spans="1:14" hidden="1" x14ac:dyDescent="0.2">
      <c r="A139" s="246" t="s">
        <v>223</v>
      </c>
      <c r="B139" s="459" t="s">
        <v>463</v>
      </c>
      <c r="C139" s="247" t="s">
        <v>43</v>
      </c>
      <c r="D139" s="248" t="s">
        <v>135</v>
      </c>
      <c r="E139" s="249">
        <v>4.9737769080234839E-4</v>
      </c>
      <c r="F139" s="250" t="s">
        <v>133</v>
      </c>
      <c r="G139" s="251" t="s">
        <v>16</v>
      </c>
      <c r="H139" s="252">
        <v>1</v>
      </c>
      <c r="I139" s="252">
        <v>1</v>
      </c>
      <c r="J139" s="252">
        <v>3</v>
      </c>
      <c r="K139" s="252">
        <v>3</v>
      </c>
      <c r="L139" s="253">
        <v>3</v>
      </c>
      <c r="M139" s="254">
        <f t="shared" si="4"/>
        <v>1.1181151966036349</v>
      </c>
      <c r="N139" s="255"/>
    </row>
    <row r="140" spans="1:14" x14ac:dyDescent="0.2">
      <c r="A140" s="246" t="s">
        <v>223</v>
      </c>
      <c r="B140" s="459" t="s">
        <v>463</v>
      </c>
      <c r="C140" s="247" t="s">
        <v>45</v>
      </c>
      <c r="D140" s="248" t="s">
        <v>135</v>
      </c>
      <c r="E140" s="249">
        <v>6.8784844384303125E-4</v>
      </c>
      <c r="F140" s="250" t="s">
        <v>133</v>
      </c>
      <c r="G140" s="251" t="s">
        <v>16</v>
      </c>
      <c r="H140" s="252">
        <v>1</v>
      </c>
      <c r="I140" s="252">
        <v>1</v>
      </c>
      <c r="J140" s="252">
        <v>3</v>
      </c>
      <c r="K140" s="252">
        <v>3</v>
      </c>
      <c r="L140" s="253">
        <v>3</v>
      </c>
      <c r="M140" s="254">
        <f t="shared" si="4"/>
        <v>1.1181151966036349</v>
      </c>
      <c r="N140" s="255"/>
    </row>
    <row r="141" spans="1:14" hidden="1" x14ac:dyDescent="0.2">
      <c r="A141" s="246" t="s">
        <v>223</v>
      </c>
      <c r="B141" s="459" t="s">
        <v>463</v>
      </c>
      <c r="C141" s="247" t="s">
        <v>46</v>
      </c>
      <c r="D141" s="248" t="s">
        <v>135</v>
      </c>
      <c r="E141" s="249">
        <v>1.2553495440729479E-3</v>
      </c>
      <c r="F141" s="250" t="s">
        <v>133</v>
      </c>
      <c r="G141" s="251" t="s">
        <v>16</v>
      </c>
      <c r="H141" s="252">
        <v>1</v>
      </c>
      <c r="I141" s="252">
        <v>1</v>
      </c>
      <c r="J141" s="252">
        <v>3</v>
      </c>
      <c r="K141" s="252">
        <v>3</v>
      </c>
      <c r="L141" s="253">
        <v>3</v>
      </c>
      <c r="M141" s="254">
        <f t="shared" si="4"/>
        <v>1.1181151966036349</v>
      </c>
      <c r="N141" s="255"/>
    </row>
    <row r="142" spans="1:14" hidden="1" x14ac:dyDescent="0.2">
      <c r="A142" s="246" t="s">
        <v>223</v>
      </c>
      <c r="B142" s="459" t="s">
        <v>463</v>
      </c>
      <c r="C142" s="247" t="s">
        <v>48</v>
      </c>
      <c r="D142" s="248" t="s">
        <v>135</v>
      </c>
      <c r="E142" s="249">
        <v>9.3994082840236678E-4</v>
      </c>
      <c r="F142" s="250" t="s">
        <v>133</v>
      </c>
      <c r="G142" s="251" t="s">
        <v>16</v>
      </c>
      <c r="H142" s="252">
        <v>1</v>
      </c>
      <c r="I142" s="252">
        <v>1</v>
      </c>
      <c r="J142" s="252">
        <v>3</v>
      </c>
      <c r="K142" s="252">
        <v>3</v>
      </c>
      <c r="L142" s="253">
        <v>3</v>
      </c>
      <c r="M142" s="254">
        <f t="shared" si="4"/>
        <v>1.1181151966036349</v>
      </c>
      <c r="N142" s="255"/>
    </row>
    <row r="143" spans="1:14" hidden="1" x14ac:dyDescent="0.2">
      <c r="A143" s="246" t="s">
        <v>223</v>
      </c>
      <c r="B143" s="459" t="s">
        <v>463</v>
      </c>
      <c r="C143" s="247" t="s">
        <v>50</v>
      </c>
      <c r="D143" s="248" t="s">
        <v>135</v>
      </c>
      <c r="E143" s="249">
        <v>5.72327205882353E-3</v>
      </c>
      <c r="F143" s="250" t="s">
        <v>133</v>
      </c>
      <c r="G143" s="251" t="s">
        <v>16</v>
      </c>
      <c r="H143" s="252">
        <v>1</v>
      </c>
      <c r="I143" s="252">
        <v>1</v>
      </c>
      <c r="J143" s="252">
        <v>3</v>
      </c>
      <c r="K143" s="252">
        <v>3</v>
      </c>
      <c r="L143" s="253">
        <v>3</v>
      </c>
      <c r="M143" s="254">
        <f>IF( OR( ISBLANK(H143),ISBLANK(I143), ISBLANK(J143), ISBLANK(K143), ISBLANK(L143) ), "", 1.5*SQRT(   EXP(2.21*(H143-1)) + EXP(2.21*(I143-1)) + EXP(2.21*(J143-1)) + EXP(2.21*(K143-1)) + EXP(2.21*L143)   )/100*2.45 )</f>
        <v>1.1181151966036349</v>
      </c>
      <c r="N143" s="255"/>
    </row>
    <row r="144" spans="1:14" hidden="1" x14ac:dyDescent="0.2">
      <c r="A144" s="246" t="s">
        <v>223</v>
      </c>
      <c r="B144" s="459" t="s">
        <v>463</v>
      </c>
      <c r="C144" s="247" t="s">
        <v>52</v>
      </c>
      <c r="D144" s="248" t="s">
        <v>135</v>
      </c>
      <c r="E144" s="249">
        <v>9.2086956521739128E-4</v>
      </c>
      <c r="F144" s="250" t="s">
        <v>133</v>
      </c>
      <c r="G144" s="251" t="s">
        <v>16</v>
      </c>
      <c r="H144" s="252">
        <v>1</v>
      </c>
      <c r="I144" s="252">
        <v>1</v>
      </c>
      <c r="J144" s="252">
        <v>3</v>
      </c>
      <c r="K144" s="252">
        <v>3</v>
      </c>
      <c r="L144" s="253">
        <v>3</v>
      </c>
      <c r="M144" s="254">
        <f t="shared" ref="M144:M175" si="5">IF( OR( ISBLANK(H144),ISBLANK(I144), ISBLANK(J144), ISBLANK(K144), ISBLANK(L144) ), "", 1.5*SQRT( EXP(2.21*(H144-1)) + EXP(2.21*(I144-1)) + EXP(2.21*(J144-1)) + EXP(2.21*(K144-1)) + EXP(2.21*L144) )/100*2.45 )</f>
        <v>1.1181151966036349</v>
      </c>
      <c r="N144" s="255"/>
    </row>
    <row r="145" spans="1:14" hidden="1" x14ac:dyDescent="0.2">
      <c r="A145" s="246" t="s">
        <v>223</v>
      </c>
      <c r="B145" s="459" t="s">
        <v>463</v>
      </c>
      <c r="C145" s="247" t="s">
        <v>54</v>
      </c>
      <c r="D145" s="248" t="s">
        <v>135</v>
      </c>
      <c r="E145" s="249">
        <v>5.8833333333333329E-4</v>
      </c>
      <c r="F145" s="250" t="s">
        <v>133</v>
      </c>
      <c r="G145" s="251" t="s">
        <v>16</v>
      </c>
      <c r="H145" s="252">
        <v>1</v>
      </c>
      <c r="I145" s="252">
        <v>1</v>
      </c>
      <c r="J145" s="252">
        <v>3</v>
      </c>
      <c r="K145" s="252">
        <v>3</v>
      </c>
      <c r="L145" s="253">
        <v>3</v>
      </c>
      <c r="M145" s="254">
        <f t="shared" si="5"/>
        <v>1.1181151966036349</v>
      </c>
      <c r="N145" s="255"/>
    </row>
    <row r="146" spans="1:14" hidden="1" x14ac:dyDescent="0.2">
      <c r="A146" s="246" t="s">
        <v>223</v>
      </c>
      <c r="B146" s="459" t="s">
        <v>463</v>
      </c>
      <c r="C146" s="247" t="s">
        <v>55</v>
      </c>
      <c r="D146" s="248" t="s">
        <v>135</v>
      </c>
      <c r="E146" s="249">
        <v>1.2708000000000001E-3</v>
      </c>
      <c r="F146" s="250" t="s">
        <v>133</v>
      </c>
      <c r="G146" s="251" t="s">
        <v>16</v>
      </c>
      <c r="H146" s="252">
        <v>1</v>
      </c>
      <c r="I146" s="252">
        <v>1</v>
      </c>
      <c r="J146" s="252">
        <v>3</v>
      </c>
      <c r="K146" s="252">
        <v>3</v>
      </c>
      <c r="L146" s="253">
        <v>3</v>
      </c>
      <c r="M146" s="254">
        <f t="shared" si="5"/>
        <v>1.1181151966036349</v>
      </c>
      <c r="N146" s="255"/>
    </row>
    <row r="147" spans="1:14" hidden="1" x14ac:dyDescent="0.2">
      <c r="A147" s="246" t="s">
        <v>223</v>
      </c>
      <c r="B147" s="459" t="s">
        <v>463</v>
      </c>
      <c r="C147" s="247" t="s">
        <v>57</v>
      </c>
      <c r="D147" s="248" t="s">
        <v>135</v>
      </c>
      <c r="E147" s="249">
        <v>5.8562211981566818E-4</v>
      </c>
      <c r="F147" s="250" t="s">
        <v>133</v>
      </c>
      <c r="G147" s="251" t="s">
        <v>16</v>
      </c>
      <c r="H147" s="252">
        <v>1</v>
      </c>
      <c r="I147" s="252">
        <v>1</v>
      </c>
      <c r="J147" s="252">
        <v>3</v>
      </c>
      <c r="K147" s="252">
        <v>3</v>
      </c>
      <c r="L147" s="253">
        <v>3</v>
      </c>
      <c r="M147" s="254">
        <f t="shared" si="5"/>
        <v>1.1181151966036349</v>
      </c>
      <c r="N147" s="255"/>
    </row>
    <row r="148" spans="1:14" hidden="1" x14ac:dyDescent="0.2">
      <c r="A148" s="246" t="s">
        <v>223</v>
      </c>
      <c r="B148" s="459" t="s">
        <v>463</v>
      </c>
      <c r="C148" s="247" t="s">
        <v>59</v>
      </c>
      <c r="D148" s="248" t="s">
        <v>135</v>
      </c>
      <c r="E148" s="249">
        <v>2.7E-4</v>
      </c>
      <c r="F148" s="250" t="s">
        <v>133</v>
      </c>
      <c r="G148" s="251" t="s">
        <v>16</v>
      </c>
      <c r="H148" s="252">
        <v>1</v>
      </c>
      <c r="I148" s="252">
        <v>1</v>
      </c>
      <c r="J148" s="252">
        <v>3</v>
      </c>
      <c r="K148" s="252">
        <v>3</v>
      </c>
      <c r="L148" s="253">
        <v>3</v>
      </c>
      <c r="M148" s="254">
        <f t="shared" si="5"/>
        <v>1.1181151966036349</v>
      </c>
      <c r="N148" s="255"/>
    </row>
    <row r="149" spans="1:14" hidden="1" x14ac:dyDescent="0.2">
      <c r="A149" s="246" t="s">
        <v>223</v>
      </c>
      <c r="B149" s="459" t="s">
        <v>463</v>
      </c>
      <c r="C149" s="247" t="s">
        <v>60</v>
      </c>
      <c r="D149" s="248" t="s">
        <v>135</v>
      </c>
      <c r="E149" s="249">
        <v>1.23511879049676E-3</v>
      </c>
      <c r="F149" s="250" t="s">
        <v>133</v>
      </c>
      <c r="G149" s="251" t="s">
        <v>16</v>
      </c>
      <c r="H149" s="252">
        <v>1</v>
      </c>
      <c r="I149" s="252">
        <v>1</v>
      </c>
      <c r="J149" s="252">
        <v>3</v>
      </c>
      <c r="K149" s="252">
        <v>3</v>
      </c>
      <c r="L149" s="253">
        <v>3</v>
      </c>
      <c r="M149" s="254">
        <f t="shared" si="5"/>
        <v>1.1181151966036349</v>
      </c>
      <c r="N149" s="255"/>
    </row>
    <row r="150" spans="1:14" hidden="1" x14ac:dyDescent="0.2">
      <c r="A150" s="444" t="s">
        <v>256</v>
      </c>
      <c r="B150" s="463" t="s">
        <v>463</v>
      </c>
      <c r="C150" s="265" t="s">
        <v>13</v>
      </c>
      <c r="D150" s="433" t="s">
        <v>135</v>
      </c>
      <c r="E150" s="266">
        <v>4.9383419689119179E-4</v>
      </c>
      <c r="F150" s="267" t="s">
        <v>133</v>
      </c>
      <c r="G150" s="268" t="s">
        <v>16</v>
      </c>
      <c r="H150" s="269">
        <v>1</v>
      </c>
      <c r="I150" s="269">
        <v>1</v>
      </c>
      <c r="J150" s="269">
        <v>3</v>
      </c>
      <c r="K150" s="269">
        <v>3</v>
      </c>
      <c r="L150" s="270">
        <v>3</v>
      </c>
      <c r="M150" s="271">
        <f t="shared" si="5"/>
        <v>1.1181151966036349</v>
      </c>
      <c r="N150" s="272"/>
    </row>
    <row r="151" spans="1:14" hidden="1" x14ac:dyDescent="0.2">
      <c r="A151" s="246" t="s">
        <v>256</v>
      </c>
      <c r="B151" s="459" t="s">
        <v>463</v>
      </c>
      <c r="C151" s="247" t="s">
        <v>18</v>
      </c>
      <c r="D151" s="248" t="s">
        <v>135</v>
      </c>
      <c r="E151" s="249">
        <v>6.2141809290953553E-4</v>
      </c>
      <c r="F151" s="250" t="s">
        <v>133</v>
      </c>
      <c r="G151" s="251" t="s">
        <v>16</v>
      </c>
      <c r="H151" s="252">
        <v>1</v>
      </c>
      <c r="I151" s="252">
        <v>1</v>
      </c>
      <c r="J151" s="252">
        <v>3</v>
      </c>
      <c r="K151" s="252">
        <v>3</v>
      </c>
      <c r="L151" s="253">
        <v>3</v>
      </c>
      <c r="M151" s="254">
        <f t="shared" si="5"/>
        <v>1.1181151966036349</v>
      </c>
      <c r="N151" s="255"/>
    </row>
    <row r="152" spans="1:14" hidden="1" x14ac:dyDescent="0.2">
      <c r="A152" s="246" t="s">
        <v>256</v>
      </c>
      <c r="B152" s="459" t="s">
        <v>463</v>
      </c>
      <c r="C152" s="247" t="s">
        <v>20</v>
      </c>
      <c r="D152" s="248" t="s">
        <v>135</v>
      </c>
      <c r="E152" s="249">
        <v>1.717297297297297E-3</v>
      </c>
      <c r="F152" s="250" t="s">
        <v>133</v>
      </c>
      <c r="G152" s="251" t="s">
        <v>16</v>
      </c>
      <c r="H152" s="252">
        <v>1</v>
      </c>
      <c r="I152" s="252">
        <v>1</v>
      </c>
      <c r="J152" s="252">
        <v>3</v>
      </c>
      <c r="K152" s="252">
        <v>3</v>
      </c>
      <c r="L152" s="253">
        <v>3</v>
      </c>
      <c r="M152" s="254">
        <f t="shared" si="5"/>
        <v>1.1181151966036349</v>
      </c>
      <c r="N152" s="255"/>
    </row>
    <row r="153" spans="1:14" hidden="1" x14ac:dyDescent="0.2">
      <c r="A153" s="246" t="s">
        <v>256</v>
      </c>
      <c r="B153" s="459" t="s">
        <v>463</v>
      </c>
      <c r="C153" s="247" t="s">
        <v>22</v>
      </c>
      <c r="D153" s="248" t="s">
        <v>135</v>
      </c>
      <c r="E153" s="249">
        <v>1.397291666666666E-3</v>
      </c>
      <c r="F153" s="250" t="s">
        <v>133</v>
      </c>
      <c r="G153" s="251" t="s">
        <v>16</v>
      </c>
      <c r="H153" s="252">
        <v>1</v>
      </c>
      <c r="I153" s="252">
        <v>1</v>
      </c>
      <c r="J153" s="252">
        <v>3</v>
      </c>
      <c r="K153" s="252">
        <v>3</v>
      </c>
      <c r="L153" s="253">
        <v>3</v>
      </c>
      <c r="M153" s="254">
        <f t="shared" si="5"/>
        <v>1.1181151966036349</v>
      </c>
      <c r="N153" s="255"/>
    </row>
    <row r="154" spans="1:14" hidden="1" x14ac:dyDescent="0.2">
      <c r="A154" s="246" t="s">
        <v>256</v>
      </c>
      <c r="B154" s="459" t="s">
        <v>463</v>
      </c>
      <c r="C154" s="247" t="s">
        <v>23</v>
      </c>
      <c r="D154" s="248" t="s">
        <v>135</v>
      </c>
      <c r="E154" s="249">
        <v>1.868823529411765E-3</v>
      </c>
      <c r="F154" s="250" t="s">
        <v>133</v>
      </c>
      <c r="G154" s="251" t="s">
        <v>16</v>
      </c>
      <c r="H154" s="252">
        <v>1</v>
      </c>
      <c r="I154" s="252">
        <v>1</v>
      </c>
      <c r="J154" s="252">
        <v>3</v>
      </c>
      <c r="K154" s="252">
        <v>3</v>
      </c>
      <c r="L154" s="253">
        <v>3</v>
      </c>
      <c r="M154" s="254">
        <f t="shared" si="5"/>
        <v>1.1181151966036349</v>
      </c>
      <c r="N154" s="255"/>
    </row>
    <row r="155" spans="1:14" hidden="1" x14ac:dyDescent="0.2">
      <c r="A155" s="246" t="s">
        <v>256</v>
      </c>
      <c r="B155" s="459" t="s">
        <v>463</v>
      </c>
      <c r="C155" s="247" t="s">
        <v>24</v>
      </c>
      <c r="D155" s="248" t="s">
        <v>135</v>
      </c>
      <c r="E155" s="249">
        <v>8.3605263157894745E-4</v>
      </c>
      <c r="F155" s="250" t="s">
        <v>133</v>
      </c>
      <c r="G155" s="251" t="s">
        <v>16</v>
      </c>
      <c r="H155" s="252">
        <v>1</v>
      </c>
      <c r="I155" s="252">
        <v>1</v>
      </c>
      <c r="J155" s="252">
        <v>3</v>
      </c>
      <c r="K155" s="252">
        <v>3</v>
      </c>
      <c r="L155" s="253">
        <v>3</v>
      </c>
      <c r="M155" s="254">
        <f t="shared" si="5"/>
        <v>1.1181151966036349</v>
      </c>
      <c r="N155" s="255"/>
    </row>
    <row r="156" spans="1:14" hidden="1" x14ac:dyDescent="0.2">
      <c r="A156" s="246" t="s">
        <v>256</v>
      </c>
      <c r="B156" s="459" t="s">
        <v>463</v>
      </c>
      <c r="C156" s="247" t="s">
        <v>25</v>
      </c>
      <c r="D156" s="248" t="s">
        <v>135</v>
      </c>
      <c r="E156" s="249">
        <v>4.2932432432432442E-4</v>
      </c>
      <c r="F156" s="250" t="s">
        <v>133</v>
      </c>
      <c r="G156" s="251" t="s">
        <v>16</v>
      </c>
      <c r="H156" s="252">
        <v>1</v>
      </c>
      <c r="I156" s="252">
        <v>1</v>
      </c>
      <c r="J156" s="252">
        <v>3</v>
      </c>
      <c r="K156" s="252">
        <v>3</v>
      </c>
      <c r="L156" s="253">
        <v>3</v>
      </c>
      <c r="M156" s="254">
        <f t="shared" si="5"/>
        <v>1.1181151966036349</v>
      </c>
      <c r="N156" s="255"/>
    </row>
    <row r="157" spans="1:14" hidden="1" x14ac:dyDescent="0.2">
      <c r="A157" s="246" t="s">
        <v>256</v>
      </c>
      <c r="B157" s="459" t="s">
        <v>463</v>
      </c>
      <c r="C157" s="247" t="s">
        <v>26</v>
      </c>
      <c r="D157" s="248" t="s">
        <v>135</v>
      </c>
      <c r="E157" s="249">
        <v>2.9808888888888888E-3</v>
      </c>
      <c r="F157" s="250" t="s">
        <v>133</v>
      </c>
      <c r="G157" s="251" t="s">
        <v>16</v>
      </c>
      <c r="H157" s="252">
        <v>1</v>
      </c>
      <c r="I157" s="252">
        <v>1</v>
      </c>
      <c r="J157" s="252">
        <v>3</v>
      </c>
      <c r="K157" s="252">
        <v>3</v>
      </c>
      <c r="L157" s="253">
        <v>3</v>
      </c>
      <c r="M157" s="254">
        <f t="shared" si="5"/>
        <v>1.1181151966036349</v>
      </c>
      <c r="N157" s="255"/>
    </row>
    <row r="158" spans="1:14" hidden="1" x14ac:dyDescent="0.2">
      <c r="A158" s="246" t="s">
        <v>256</v>
      </c>
      <c r="B158" s="459" t="s">
        <v>463</v>
      </c>
      <c r="C158" s="247" t="s">
        <v>27</v>
      </c>
      <c r="D158" s="248" t="s">
        <v>135</v>
      </c>
      <c r="E158" s="249">
        <v>3.4595281306715062E-4</v>
      </c>
      <c r="F158" s="250" t="s">
        <v>133</v>
      </c>
      <c r="G158" s="251" t="s">
        <v>16</v>
      </c>
      <c r="H158" s="252">
        <v>1</v>
      </c>
      <c r="I158" s="252">
        <v>1</v>
      </c>
      <c r="J158" s="252">
        <v>3</v>
      </c>
      <c r="K158" s="252">
        <v>3</v>
      </c>
      <c r="L158" s="253">
        <v>3</v>
      </c>
      <c r="M158" s="254">
        <f t="shared" si="5"/>
        <v>1.1181151966036349</v>
      </c>
      <c r="N158" s="255"/>
    </row>
    <row r="159" spans="1:14" hidden="1" x14ac:dyDescent="0.2">
      <c r="A159" s="246" t="s">
        <v>256</v>
      </c>
      <c r="B159" s="459" t="s">
        <v>463</v>
      </c>
      <c r="C159" s="247" t="s">
        <v>28</v>
      </c>
      <c r="D159" s="248" t="s">
        <v>135</v>
      </c>
      <c r="E159" s="249">
        <v>7.4149012567324962E-4</v>
      </c>
      <c r="F159" s="250" t="s">
        <v>133</v>
      </c>
      <c r="G159" s="251" t="s">
        <v>16</v>
      </c>
      <c r="H159" s="252">
        <v>1</v>
      </c>
      <c r="I159" s="252">
        <v>1</v>
      </c>
      <c r="J159" s="252">
        <v>3</v>
      </c>
      <c r="K159" s="252">
        <v>3</v>
      </c>
      <c r="L159" s="253">
        <v>3</v>
      </c>
      <c r="M159" s="254">
        <f t="shared" si="5"/>
        <v>1.1181151966036349</v>
      </c>
      <c r="N159" s="255"/>
    </row>
    <row r="160" spans="1:14" hidden="1" x14ac:dyDescent="0.2">
      <c r="A160" s="246" t="s">
        <v>256</v>
      </c>
      <c r="B160" s="459" t="s">
        <v>463</v>
      </c>
      <c r="C160" s="247" t="s">
        <v>30</v>
      </c>
      <c r="D160" s="248" t="s">
        <v>135</v>
      </c>
      <c r="E160" s="249">
        <v>5.242574257425742E-4</v>
      </c>
      <c r="F160" s="250" t="s">
        <v>133</v>
      </c>
      <c r="G160" s="251" t="s">
        <v>16</v>
      </c>
      <c r="H160" s="252">
        <v>1</v>
      </c>
      <c r="I160" s="252">
        <v>1</v>
      </c>
      <c r="J160" s="252">
        <v>3</v>
      </c>
      <c r="K160" s="252">
        <v>3</v>
      </c>
      <c r="L160" s="253">
        <v>3</v>
      </c>
      <c r="M160" s="254">
        <f t="shared" si="5"/>
        <v>1.1181151966036349</v>
      </c>
      <c r="N160" s="255"/>
    </row>
    <row r="161" spans="1:14" hidden="1" x14ac:dyDescent="0.2">
      <c r="A161" s="246" t="s">
        <v>256</v>
      </c>
      <c r="B161" s="459" t="s">
        <v>463</v>
      </c>
      <c r="C161" s="247" t="s">
        <v>32</v>
      </c>
      <c r="D161" s="248" t="s">
        <v>135</v>
      </c>
      <c r="E161" s="249">
        <v>1.23378640776699E-3</v>
      </c>
      <c r="F161" s="250" t="s">
        <v>133</v>
      </c>
      <c r="G161" s="251" t="s">
        <v>16</v>
      </c>
      <c r="H161" s="252">
        <v>1</v>
      </c>
      <c r="I161" s="252">
        <v>1</v>
      </c>
      <c r="J161" s="252">
        <v>3</v>
      </c>
      <c r="K161" s="252">
        <v>3</v>
      </c>
      <c r="L161" s="253">
        <v>3</v>
      </c>
      <c r="M161" s="254">
        <f t="shared" si="5"/>
        <v>1.1181151966036349</v>
      </c>
      <c r="N161" s="255"/>
    </row>
    <row r="162" spans="1:14" hidden="1" x14ac:dyDescent="0.2">
      <c r="A162" s="246" t="s">
        <v>256</v>
      </c>
      <c r="B162" s="459" t="s">
        <v>463</v>
      </c>
      <c r="C162" s="247" t="s">
        <v>34</v>
      </c>
      <c r="D162" s="248" t="s">
        <v>135</v>
      </c>
      <c r="E162" s="249">
        <v>1.5009448818897641E-3</v>
      </c>
      <c r="F162" s="250" t="s">
        <v>133</v>
      </c>
      <c r="G162" s="251" t="s">
        <v>16</v>
      </c>
      <c r="H162" s="252">
        <v>1</v>
      </c>
      <c r="I162" s="252">
        <v>1</v>
      </c>
      <c r="J162" s="252">
        <v>3</v>
      </c>
      <c r="K162" s="252">
        <v>3</v>
      </c>
      <c r="L162" s="253">
        <v>3</v>
      </c>
      <c r="M162" s="254">
        <f t="shared" si="5"/>
        <v>1.1181151966036349</v>
      </c>
      <c r="N162" s="255"/>
    </row>
    <row r="163" spans="1:14" hidden="1" x14ac:dyDescent="0.2">
      <c r="A163" s="246" t="s">
        <v>256</v>
      </c>
      <c r="B163" s="459" t="s">
        <v>463</v>
      </c>
      <c r="C163" s="247" t="s">
        <v>36</v>
      </c>
      <c r="D163" s="248" t="s">
        <v>135</v>
      </c>
      <c r="E163" s="249">
        <v>1.4482051282051281E-3</v>
      </c>
      <c r="F163" s="250" t="s">
        <v>133</v>
      </c>
      <c r="G163" s="251" t="s">
        <v>16</v>
      </c>
      <c r="H163" s="252">
        <v>1</v>
      </c>
      <c r="I163" s="252">
        <v>1</v>
      </c>
      <c r="J163" s="252">
        <v>3</v>
      </c>
      <c r="K163" s="252">
        <v>3</v>
      </c>
      <c r="L163" s="253">
        <v>3</v>
      </c>
      <c r="M163" s="254">
        <f t="shared" si="5"/>
        <v>1.1181151966036349</v>
      </c>
      <c r="N163" s="255"/>
    </row>
    <row r="164" spans="1:14" hidden="1" x14ac:dyDescent="0.2">
      <c r="A164" s="246" t="s">
        <v>256</v>
      </c>
      <c r="B164" s="459" t="s">
        <v>463</v>
      </c>
      <c r="C164" s="247" t="s">
        <v>37</v>
      </c>
      <c r="D164" s="248" t="s">
        <v>135</v>
      </c>
      <c r="E164" s="249">
        <v>6.0483967935871753E-3</v>
      </c>
      <c r="F164" s="250" t="s">
        <v>133</v>
      </c>
      <c r="G164" s="251" t="s">
        <v>16</v>
      </c>
      <c r="H164" s="252">
        <v>1</v>
      </c>
      <c r="I164" s="252">
        <v>1</v>
      </c>
      <c r="J164" s="252">
        <v>3</v>
      </c>
      <c r="K164" s="252">
        <v>3</v>
      </c>
      <c r="L164" s="253">
        <v>3</v>
      </c>
      <c r="M164" s="254">
        <f t="shared" si="5"/>
        <v>1.1181151966036349</v>
      </c>
      <c r="N164" s="255"/>
    </row>
    <row r="165" spans="1:14" hidden="1" x14ac:dyDescent="0.2">
      <c r="A165" s="246" t="s">
        <v>256</v>
      </c>
      <c r="B165" s="459" t="s">
        <v>463</v>
      </c>
      <c r="C165" s="247" t="s">
        <v>39</v>
      </c>
      <c r="D165" s="248" t="s">
        <v>135</v>
      </c>
      <c r="E165" s="249">
        <v>2.9662407862407862E-3</v>
      </c>
      <c r="F165" s="250" t="s">
        <v>133</v>
      </c>
      <c r="G165" s="251" t="s">
        <v>16</v>
      </c>
      <c r="H165" s="252">
        <v>1</v>
      </c>
      <c r="I165" s="252">
        <v>1</v>
      </c>
      <c r="J165" s="252">
        <v>3</v>
      </c>
      <c r="K165" s="252">
        <v>3</v>
      </c>
      <c r="L165" s="253">
        <v>3</v>
      </c>
      <c r="M165" s="254">
        <f t="shared" si="5"/>
        <v>1.1181151966036349</v>
      </c>
      <c r="N165" s="255"/>
    </row>
    <row r="166" spans="1:14" hidden="1" x14ac:dyDescent="0.2">
      <c r="A166" s="246" t="s">
        <v>256</v>
      </c>
      <c r="B166" s="459" t="s">
        <v>463</v>
      </c>
      <c r="C166" s="247" t="s">
        <v>40</v>
      </c>
      <c r="D166" s="248" t="s">
        <v>135</v>
      </c>
      <c r="E166" s="249">
        <v>9.5857758620689656E-4</v>
      </c>
      <c r="F166" s="250" t="s">
        <v>133</v>
      </c>
      <c r="G166" s="251" t="s">
        <v>16</v>
      </c>
      <c r="H166" s="252">
        <v>1</v>
      </c>
      <c r="I166" s="252">
        <v>1</v>
      </c>
      <c r="J166" s="252">
        <v>3</v>
      </c>
      <c r="K166" s="252">
        <v>3</v>
      </c>
      <c r="L166" s="253">
        <v>3</v>
      </c>
      <c r="M166" s="254">
        <f t="shared" si="5"/>
        <v>1.1181151966036349</v>
      </c>
      <c r="N166" s="255"/>
    </row>
    <row r="167" spans="1:14" hidden="1" x14ac:dyDescent="0.2">
      <c r="A167" s="246" t="s">
        <v>256</v>
      </c>
      <c r="B167" s="459" t="s">
        <v>463</v>
      </c>
      <c r="C167" s="247" t="s">
        <v>41</v>
      </c>
      <c r="D167" s="248" t="s">
        <v>135</v>
      </c>
      <c r="E167" s="249">
        <v>4.352054794520548E-4</v>
      </c>
      <c r="F167" s="250" t="s">
        <v>133</v>
      </c>
      <c r="G167" s="251" t="s">
        <v>16</v>
      </c>
      <c r="H167" s="252">
        <v>1</v>
      </c>
      <c r="I167" s="252">
        <v>1</v>
      </c>
      <c r="J167" s="252">
        <v>3</v>
      </c>
      <c r="K167" s="252">
        <v>3</v>
      </c>
      <c r="L167" s="253">
        <v>3</v>
      </c>
      <c r="M167" s="254">
        <f t="shared" si="5"/>
        <v>1.1181151966036349</v>
      </c>
      <c r="N167" s="255"/>
    </row>
    <row r="168" spans="1:14" hidden="1" x14ac:dyDescent="0.2">
      <c r="A168" s="246" t="s">
        <v>256</v>
      </c>
      <c r="B168" s="459" t="s">
        <v>463</v>
      </c>
      <c r="C168" s="247" t="s">
        <v>42</v>
      </c>
      <c r="D168" s="248" t="s">
        <v>135</v>
      </c>
      <c r="E168" s="249">
        <v>2.1274553571428568E-3</v>
      </c>
      <c r="F168" s="250" t="s">
        <v>133</v>
      </c>
      <c r="G168" s="251" t="s">
        <v>16</v>
      </c>
      <c r="H168" s="252">
        <v>1</v>
      </c>
      <c r="I168" s="252">
        <v>1</v>
      </c>
      <c r="J168" s="252">
        <v>3</v>
      </c>
      <c r="K168" s="252">
        <v>3</v>
      </c>
      <c r="L168" s="253">
        <v>3</v>
      </c>
      <c r="M168" s="254">
        <f t="shared" si="5"/>
        <v>1.1181151966036349</v>
      </c>
      <c r="N168" s="255"/>
    </row>
    <row r="169" spans="1:14" hidden="1" x14ac:dyDescent="0.2">
      <c r="A169" s="246" t="s">
        <v>256</v>
      </c>
      <c r="B169" s="459" t="s">
        <v>463</v>
      </c>
      <c r="C169" s="247" t="s">
        <v>43</v>
      </c>
      <c r="D169" s="248" t="s">
        <v>135</v>
      </c>
      <c r="E169" s="249">
        <v>4.9737769080234839E-4</v>
      </c>
      <c r="F169" s="250" t="s">
        <v>133</v>
      </c>
      <c r="G169" s="251" t="s">
        <v>16</v>
      </c>
      <c r="H169" s="252">
        <v>1</v>
      </c>
      <c r="I169" s="252">
        <v>1</v>
      </c>
      <c r="J169" s="252">
        <v>3</v>
      </c>
      <c r="K169" s="252">
        <v>3</v>
      </c>
      <c r="L169" s="253">
        <v>3</v>
      </c>
      <c r="M169" s="254">
        <f t="shared" si="5"/>
        <v>1.1181151966036349</v>
      </c>
      <c r="N169" s="255"/>
    </row>
    <row r="170" spans="1:14" x14ac:dyDescent="0.2">
      <c r="A170" s="246" t="s">
        <v>256</v>
      </c>
      <c r="B170" s="459" t="s">
        <v>463</v>
      </c>
      <c r="C170" s="247" t="s">
        <v>45</v>
      </c>
      <c r="D170" s="248" t="s">
        <v>135</v>
      </c>
      <c r="E170" s="249">
        <v>6.8784844384303125E-4</v>
      </c>
      <c r="F170" s="250" t="s">
        <v>133</v>
      </c>
      <c r="G170" s="251" t="s">
        <v>16</v>
      </c>
      <c r="H170" s="252">
        <v>1</v>
      </c>
      <c r="I170" s="252">
        <v>1</v>
      </c>
      <c r="J170" s="252">
        <v>3</v>
      </c>
      <c r="K170" s="252">
        <v>3</v>
      </c>
      <c r="L170" s="253">
        <v>3</v>
      </c>
      <c r="M170" s="254">
        <f t="shared" si="5"/>
        <v>1.1181151966036349</v>
      </c>
      <c r="N170" s="255"/>
    </row>
    <row r="171" spans="1:14" hidden="1" x14ac:dyDescent="0.2">
      <c r="A171" s="246" t="s">
        <v>256</v>
      </c>
      <c r="B171" s="459" t="s">
        <v>463</v>
      </c>
      <c r="C171" s="247" t="s">
        <v>46</v>
      </c>
      <c r="D171" s="248" t="s">
        <v>135</v>
      </c>
      <c r="E171" s="249">
        <v>1.2553495440729479E-3</v>
      </c>
      <c r="F171" s="250" t="s">
        <v>133</v>
      </c>
      <c r="G171" s="251" t="s">
        <v>16</v>
      </c>
      <c r="H171" s="252">
        <v>1</v>
      </c>
      <c r="I171" s="252">
        <v>1</v>
      </c>
      <c r="J171" s="252">
        <v>3</v>
      </c>
      <c r="K171" s="252">
        <v>3</v>
      </c>
      <c r="L171" s="253">
        <v>3</v>
      </c>
      <c r="M171" s="254">
        <f t="shared" si="5"/>
        <v>1.1181151966036349</v>
      </c>
      <c r="N171" s="255"/>
    </row>
    <row r="172" spans="1:14" hidden="1" x14ac:dyDescent="0.2">
      <c r="A172" s="246" t="s">
        <v>256</v>
      </c>
      <c r="B172" s="459" t="s">
        <v>463</v>
      </c>
      <c r="C172" s="247" t="s">
        <v>48</v>
      </c>
      <c r="D172" s="248" t="s">
        <v>135</v>
      </c>
      <c r="E172" s="249">
        <v>9.3994082840236678E-4</v>
      </c>
      <c r="F172" s="250" t="s">
        <v>133</v>
      </c>
      <c r="G172" s="251" t="s">
        <v>16</v>
      </c>
      <c r="H172" s="252">
        <v>1</v>
      </c>
      <c r="I172" s="252">
        <v>1</v>
      </c>
      <c r="J172" s="252">
        <v>3</v>
      </c>
      <c r="K172" s="252">
        <v>3</v>
      </c>
      <c r="L172" s="253">
        <v>3</v>
      </c>
      <c r="M172" s="254">
        <f t="shared" si="5"/>
        <v>1.1181151966036349</v>
      </c>
      <c r="N172" s="255"/>
    </row>
    <row r="173" spans="1:14" hidden="1" x14ac:dyDescent="0.2">
      <c r="A173" s="246" t="s">
        <v>256</v>
      </c>
      <c r="B173" s="459" t="s">
        <v>463</v>
      </c>
      <c r="C173" s="247" t="s">
        <v>50</v>
      </c>
      <c r="D173" s="248" t="s">
        <v>135</v>
      </c>
      <c r="E173" s="249">
        <v>5.72327205882353E-3</v>
      </c>
      <c r="F173" s="250" t="s">
        <v>133</v>
      </c>
      <c r="G173" s="251" t="s">
        <v>16</v>
      </c>
      <c r="H173" s="252">
        <v>1</v>
      </c>
      <c r="I173" s="252">
        <v>1</v>
      </c>
      <c r="J173" s="252">
        <v>3</v>
      </c>
      <c r="K173" s="252">
        <v>3</v>
      </c>
      <c r="L173" s="253">
        <v>3</v>
      </c>
      <c r="M173" s="254">
        <f t="shared" si="5"/>
        <v>1.1181151966036349</v>
      </c>
      <c r="N173" s="255"/>
    </row>
    <row r="174" spans="1:14" hidden="1" x14ac:dyDescent="0.2">
      <c r="A174" s="246" t="s">
        <v>256</v>
      </c>
      <c r="B174" s="459" t="s">
        <v>463</v>
      </c>
      <c r="C174" s="247" t="s">
        <v>52</v>
      </c>
      <c r="D174" s="248" t="s">
        <v>135</v>
      </c>
      <c r="E174" s="249">
        <v>9.2086956521739128E-4</v>
      </c>
      <c r="F174" s="250" t="s">
        <v>133</v>
      </c>
      <c r="G174" s="251" t="s">
        <v>16</v>
      </c>
      <c r="H174" s="252">
        <v>1</v>
      </c>
      <c r="I174" s="252">
        <v>1</v>
      </c>
      <c r="J174" s="252">
        <v>3</v>
      </c>
      <c r="K174" s="252">
        <v>3</v>
      </c>
      <c r="L174" s="253">
        <v>3</v>
      </c>
      <c r="M174" s="254">
        <f t="shared" si="5"/>
        <v>1.1181151966036349</v>
      </c>
      <c r="N174" s="255"/>
    </row>
    <row r="175" spans="1:14" hidden="1" x14ac:dyDescent="0.2">
      <c r="A175" s="246" t="s">
        <v>256</v>
      </c>
      <c r="B175" s="459" t="s">
        <v>463</v>
      </c>
      <c r="C175" s="247" t="s">
        <v>54</v>
      </c>
      <c r="D175" s="248" t="s">
        <v>135</v>
      </c>
      <c r="E175" s="249">
        <v>5.8833333333333329E-4</v>
      </c>
      <c r="F175" s="250" t="s">
        <v>133</v>
      </c>
      <c r="G175" s="251" t="s">
        <v>16</v>
      </c>
      <c r="H175" s="252">
        <v>1</v>
      </c>
      <c r="I175" s="252">
        <v>1</v>
      </c>
      <c r="J175" s="252">
        <v>3</v>
      </c>
      <c r="K175" s="252">
        <v>3</v>
      </c>
      <c r="L175" s="253">
        <v>3</v>
      </c>
      <c r="M175" s="254">
        <f t="shared" si="5"/>
        <v>1.1181151966036349</v>
      </c>
      <c r="N175" s="255"/>
    </row>
    <row r="176" spans="1:14" hidden="1" x14ac:dyDescent="0.2">
      <c r="A176" s="246" t="s">
        <v>256</v>
      </c>
      <c r="B176" s="459" t="s">
        <v>463</v>
      </c>
      <c r="C176" s="247" t="s">
        <v>55</v>
      </c>
      <c r="D176" s="248" t="s">
        <v>135</v>
      </c>
      <c r="E176" s="249">
        <v>1.2708000000000001E-3</v>
      </c>
      <c r="F176" s="250" t="s">
        <v>133</v>
      </c>
      <c r="G176" s="251" t="s">
        <v>16</v>
      </c>
      <c r="H176" s="252">
        <v>1</v>
      </c>
      <c r="I176" s="252">
        <v>1</v>
      </c>
      <c r="J176" s="252">
        <v>3</v>
      </c>
      <c r="K176" s="252">
        <v>3</v>
      </c>
      <c r="L176" s="253">
        <v>3</v>
      </c>
      <c r="M176" s="254">
        <f t="shared" ref="M176:M206" si="6">IF( OR( ISBLANK(H176),ISBLANK(I176), ISBLANK(J176), ISBLANK(K176), ISBLANK(L176) ), "", 1.5*SQRT( EXP(2.21*(H176-1)) + EXP(2.21*(I176-1)) + EXP(2.21*(J176-1)) + EXP(2.21*(K176-1)) + EXP(2.21*L176) )/100*2.45 )</f>
        <v>1.1181151966036349</v>
      </c>
      <c r="N176" s="255"/>
    </row>
    <row r="177" spans="1:14" hidden="1" x14ac:dyDescent="0.2">
      <c r="A177" s="246" t="s">
        <v>256</v>
      </c>
      <c r="B177" s="459" t="s">
        <v>463</v>
      </c>
      <c r="C177" s="247" t="s">
        <v>57</v>
      </c>
      <c r="D177" s="248" t="s">
        <v>135</v>
      </c>
      <c r="E177" s="249">
        <v>5.8562211981566818E-4</v>
      </c>
      <c r="F177" s="250" t="s">
        <v>133</v>
      </c>
      <c r="G177" s="251" t="s">
        <v>16</v>
      </c>
      <c r="H177" s="252">
        <v>1</v>
      </c>
      <c r="I177" s="252">
        <v>1</v>
      </c>
      <c r="J177" s="252">
        <v>3</v>
      </c>
      <c r="K177" s="252">
        <v>3</v>
      </c>
      <c r="L177" s="253">
        <v>3</v>
      </c>
      <c r="M177" s="254">
        <f t="shared" si="6"/>
        <v>1.1181151966036349</v>
      </c>
      <c r="N177" s="255"/>
    </row>
    <row r="178" spans="1:14" hidden="1" x14ac:dyDescent="0.2">
      <c r="A178" s="246" t="s">
        <v>256</v>
      </c>
      <c r="B178" s="459" t="s">
        <v>463</v>
      </c>
      <c r="C178" s="247" t="s">
        <v>59</v>
      </c>
      <c r="D178" s="248" t="s">
        <v>135</v>
      </c>
      <c r="E178" s="249">
        <v>2.7E-4</v>
      </c>
      <c r="F178" s="250" t="s">
        <v>133</v>
      </c>
      <c r="G178" s="251" t="s">
        <v>16</v>
      </c>
      <c r="H178" s="252">
        <v>1</v>
      </c>
      <c r="I178" s="252">
        <v>1</v>
      </c>
      <c r="J178" s="252">
        <v>3</v>
      </c>
      <c r="K178" s="252">
        <v>3</v>
      </c>
      <c r="L178" s="253">
        <v>3</v>
      </c>
      <c r="M178" s="254">
        <f t="shared" si="6"/>
        <v>1.1181151966036349</v>
      </c>
      <c r="N178" s="255"/>
    </row>
    <row r="179" spans="1:14" hidden="1" x14ac:dyDescent="0.2">
      <c r="A179" s="246" t="s">
        <v>256</v>
      </c>
      <c r="B179" s="459" t="s">
        <v>463</v>
      </c>
      <c r="C179" s="247" t="s">
        <v>60</v>
      </c>
      <c r="D179" s="248" t="s">
        <v>135</v>
      </c>
      <c r="E179" s="249">
        <v>1.23511879049676E-3</v>
      </c>
      <c r="F179" s="250" t="s">
        <v>133</v>
      </c>
      <c r="G179" s="251" t="s">
        <v>16</v>
      </c>
      <c r="H179" s="252">
        <v>1</v>
      </c>
      <c r="I179" s="252">
        <v>1</v>
      </c>
      <c r="J179" s="252">
        <v>3</v>
      </c>
      <c r="K179" s="252">
        <v>3</v>
      </c>
      <c r="L179" s="253">
        <v>3</v>
      </c>
      <c r="M179" s="254">
        <f t="shared" si="6"/>
        <v>1.1181151966036349</v>
      </c>
      <c r="N179" s="255"/>
    </row>
    <row r="180" spans="1:14" hidden="1" x14ac:dyDescent="0.2">
      <c r="A180" s="246" t="s">
        <v>256</v>
      </c>
      <c r="B180" s="421" t="s">
        <v>465</v>
      </c>
      <c r="C180" s="422" t="s">
        <v>13</v>
      </c>
      <c r="D180" s="252" t="s">
        <v>135</v>
      </c>
      <c r="E180" s="423">
        <v>1.142330116275239E-3</v>
      </c>
      <c r="F180" s="250" t="s">
        <v>133</v>
      </c>
      <c r="G180" s="251" t="s">
        <v>16</v>
      </c>
      <c r="H180" s="252">
        <v>1</v>
      </c>
      <c r="I180" s="252">
        <v>2</v>
      </c>
      <c r="J180" s="252">
        <v>3</v>
      </c>
      <c r="K180" s="252">
        <v>3</v>
      </c>
      <c r="L180" s="253">
        <v>3</v>
      </c>
      <c r="M180" s="254">
        <f t="shared" si="6"/>
        <v>1.123005955058592</v>
      </c>
      <c r="N180" s="255"/>
    </row>
    <row r="181" spans="1:14" hidden="1" x14ac:dyDescent="0.2">
      <c r="A181" s="246" t="s">
        <v>256</v>
      </c>
      <c r="B181" s="448" t="s">
        <v>465</v>
      </c>
      <c r="C181" s="422" t="s">
        <v>13</v>
      </c>
      <c r="D181" s="252" t="s">
        <v>135</v>
      </c>
      <c r="E181" s="423">
        <v>1.454567014723805E-2</v>
      </c>
      <c r="F181" s="250" t="s">
        <v>133</v>
      </c>
      <c r="G181" s="251"/>
      <c r="H181" s="252">
        <v>1</v>
      </c>
      <c r="I181" s="252">
        <v>2</v>
      </c>
      <c r="J181" s="252">
        <v>3</v>
      </c>
      <c r="K181" s="252">
        <v>3</v>
      </c>
      <c r="L181" s="253">
        <v>3</v>
      </c>
      <c r="M181" s="254">
        <f t="shared" si="6"/>
        <v>1.123005955058592</v>
      </c>
      <c r="N181" s="255"/>
    </row>
    <row r="182" spans="1:14" hidden="1" x14ac:dyDescent="0.2">
      <c r="A182" s="246" t="s">
        <v>256</v>
      </c>
      <c r="B182" s="448" t="s">
        <v>465</v>
      </c>
      <c r="C182" s="422" t="s">
        <v>18</v>
      </c>
      <c r="D182" s="252" t="s">
        <v>135</v>
      </c>
      <c r="E182" s="423">
        <v>2.8968345465924441E-3</v>
      </c>
      <c r="F182" s="250" t="s">
        <v>133</v>
      </c>
      <c r="G182" s="251"/>
      <c r="H182" s="252">
        <v>1</v>
      </c>
      <c r="I182" s="252">
        <v>2</v>
      </c>
      <c r="J182" s="252">
        <v>3</v>
      </c>
      <c r="K182" s="252">
        <v>3</v>
      </c>
      <c r="L182" s="253">
        <v>3</v>
      </c>
      <c r="M182" s="254">
        <f t="shared" si="6"/>
        <v>1.123005955058592</v>
      </c>
      <c r="N182" s="255"/>
    </row>
    <row r="183" spans="1:14" hidden="1" x14ac:dyDescent="0.2">
      <c r="A183" s="246" t="s">
        <v>256</v>
      </c>
      <c r="B183" s="448" t="s">
        <v>465</v>
      </c>
      <c r="C183" s="422" t="s">
        <v>18</v>
      </c>
      <c r="D183" s="252" t="s">
        <v>135</v>
      </c>
      <c r="E183" s="423">
        <v>3.6886359893277133E-2</v>
      </c>
      <c r="F183" s="250" t="s">
        <v>133</v>
      </c>
      <c r="G183" s="251"/>
      <c r="H183" s="252">
        <v>1</v>
      </c>
      <c r="I183" s="252">
        <v>2</v>
      </c>
      <c r="J183" s="252">
        <v>3</v>
      </c>
      <c r="K183" s="252">
        <v>3</v>
      </c>
      <c r="L183" s="253">
        <v>3</v>
      </c>
      <c r="M183" s="254">
        <f t="shared" si="6"/>
        <v>1.123005955058592</v>
      </c>
      <c r="N183" s="255"/>
    </row>
    <row r="184" spans="1:14" hidden="1" x14ac:dyDescent="0.2">
      <c r="A184" s="246" t="s">
        <v>256</v>
      </c>
      <c r="B184" s="448" t="s">
        <v>465</v>
      </c>
      <c r="C184" s="422" t="s">
        <v>20</v>
      </c>
      <c r="D184" s="252" t="s">
        <v>135</v>
      </c>
      <c r="E184" s="423">
        <v>3.52435850983234E-3</v>
      </c>
      <c r="F184" s="250" t="s">
        <v>133</v>
      </c>
      <c r="G184" s="251"/>
      <c r="H184" s="252">
        <v>1</v>
      </c>
      <c r="I184" s="252">
        <v>2</v>
      </c>
      <c r="J184" s="252">
        <v>3</v>
      </c>
      <c r="K184" s="252">
        <v>3</v>
      </c>
      <c r="L184" s="253">
        <v>3</v>
      </c>
      <c r="M184" s="254">
        <f t="shared" si="6"/>
        <v>1.123005955058592</v>
      </c>
      <c r="N184" s="255"/>
    </row>
    <row r="185" spans="1:14" hidden="1" x14ac:dyDescent="0.2">
      <c r="A185" s="246" t="s">
        <v>256</v>
      </c>
      <c r="B185" s="448" t="s">
        <v>465</v>
      </c>
      <c r="C185" s="422" t="s">
        <v>20</v>
      </c>
      <c r="D185" s="252" t="s">
        <v>135</v>
      </c>
      <c r="E185" s="423">
        <v>4.4876831691865127E-2</v>
      </c>
      <c r="F185" s="250" t="s">
        <v>133</v>
      </c>
      <c r="G185" s="251"/>
      <c r="H185" s="252">
        <v>1</v>
      </c>
      <c r="I185" s="252">
        <v>2</v>
      </c>
      <c r="J185" s="252">
        <v>3</v>
      </c>
      <c r="K185" s="252">
        <v>3</v>
      </c>
      <c r="L185" s="253">
        <v>3</v>
      </c>
      <c r="M185" s="254">
        <f t="shared" si="6"/>
        <v>1.123005955058592</v>
      </c>
      <c r="N185" s="255"/>
    </row>
    <row r="186" spans="1:14" hidden="1" x14ac:dyDescent="0.2">
      <c r="A186" s="246" t="s">
        <v>256</v>
      </c>
      <c r="B186" s="448" t="s">
        <v>465</v>
      </c>
      <c r="C186" s="422" t="s">
        <v>22</v>
      </c>
      <c r="D186" s="252" t="s">
        <v>135</v>
      </c>
      <c r="E186" s="423">
        <v>2.3530089923910541E-3</v>
      </c>
      <c r="F186" s="250" t="s">
        <v>133</v>
      </c>
      <c r="G186" s="251"/>
      <c r="H186" s="252">
        <v>1</v>
      </c>
      <c r="I186" s="252">
        <v>2</v>
      </c>
      <c r="J186" s="252">
        <v>3</v>
      </c>
      <c r="K186" s="252">
        <v>3</v>
      </c>
      <c r="L186" s="253">
        <v>3</v>
      </c>
      <c r="M186" s="254">
        <f t="shared" si="6"/>
        <v>1.123005955058592</v>
      </c>
      <c r="N186" s="255"/>
    </row>
    <row r="187" spans="1:14" hidden="1" x14ac:dyDescent="0.2">
      <c r="A187" s="246" t="s">
        <v>256</v>
      </c>
      <c r="B187" s="448" t="s">
        <v>465</v>
      </c>
      <c r="C187" s="422" t="s">
        <v>22</v>
      </c>
      <c r="D187" s="252" t="s">
        <v>135</v>
      </c>
      <c r="E187" s="423">
        <v>2.9961647836446101E-2</v>
      </c>
      <c r="F187" s="250" t="s">
        <v>133</v>
      </c>
      <c r="G187" s="251"/>
      <c r="H187" s="252">
        <v>1</v>
      </c>
      <c r="I187" s="252">
        <v>2</v>
      </c>
      <c r="J187" s="252">
        <v>3</v>
      </c>
      <c r="K187" s="252">
        <v>3</v>
      </c>
      <c r="L187" s="253">
        <v>3</v>
      </c>
      <c r="M187" s="254">
        <f t="shared" si="6"/>
        <v>1.123005955058592</v>
      </c>
      <c r="N187" s="255"/>
    </row>
    <row r="188" spans="1:14" hidden="1" x14ac:dyDescent="0.2">
      <c r="A188" s="246" t="s">
        <v>256</v>
      </c>
      <c r="B188" s="448" t="s">
        <v>465</v>
      </c>
      <c r="C188" s="422" t="s">
        <v>23</v>
      </c>
      <c r="D188" s="252" t="s">
        <v>135</v>
      </c>
      <c r="E188" s="423">
        <v>2.366876379327382E-3</v>
      </c>
      <c r="F188" s="250" t="s">
        <v>133</v>
      </c>
      <c r="G188" s="251"/>
      <c r="H188" s="252">
        <v>1</v>
      </c>
      <c r="I188" s="252">
        <v>2</v>
      </c>
      <c r="J188" s="252">
        <v>3</v>
      </c>
      <c r="K188" s="252">
        <v>3</v>
      </c>
      <c r="L188" s="253">
        <v>3</v>
      </c>
      <c r="M188" s="254">
        <f t="shared" si="6"/>
        <v>1.123005955058592</v>
      </c>
      <c r="N188" s="255"/>
    </row>
    <row r="189" spans="1:14" hidden="1" x14ac:dyDescent="0.2">
      <c r="A189" s="246" t="s">
        <v>256</v>
      </c>
      <c r="B189" s="448" t="s">
        <v>465</v>
      </c>
      <c r="C189" s="422" t="s">
        <v>23</v>
      </c>
      <c r="D189" s="252" t="s">
        <v>135</v>
      </c>
      <c r="E189" s="423">
        <v>3.0138225896768671E-2</v>
      </c>
      <c r="F189" s="250" t="s">
        <v>133</v>
      </c>
      <c r="G189" s="251"/>
      <c r="H189" s="252">
        <v>1</v>
      </c>
      <c r="I189" s="252">
        <v>2</v>
      </c>
      <c r="J189" s="252">
        <v>3</v>
      </c>
      <c r="K189" s="252">
        <v>3</v>
      </c>
      <c r="L189" s="253">
        <v>3</v>
      </c>
      <c r="M189" s="254">
        <f t="shared" si="6"/>
        <v>1.123005955058592</v>
      </c>
      <c r="N189" s="255"/>
    </row>
    <row r="190" spans="1:14" hidden="1" x14ac:dyDescent="0.2">
      <c r="A190" s="246" t="s">
        <v>256</v>
      </c>
      <c r="B190" s="448" t="s">
        <v>465</v>
      </c>
      <c r="C190" s="422" t="s">
        <v>24</v>
      </c>
      <c r="D190" s="252" t="s">
        <v>135</v>
      </c>
      <c r="E190" s="423">
        <v>2.5022563325537732E-3</v>
      </c>
      <c r="F190" s="250" t="s">
        <v>133</v>
      </c>
      <c r="G190" s="251"/>
      <c r="H190" s="252">
        <v>1</v>
      </c>
      <c r="I190" s="252">
        <v>2</v>
      </c>
      <c r="J190" s="252">
        <v>3</v>
      </c>
      <c r="K190" s="252">
        <v>3</v>
      </c>
      <c r="L190" s="253">
        <v>3</v>
      </c>
      <c r="M190" s="254">
        <f t="shared" si="6"/>
        <v>1.123005955058592</v>
      </c>
      <c r="N190" s="255"/>
    </row>
    <row r="191" spans="1:14" hidden="1" x14ac:dyDescent="0.2">
      <c r="A191" s="246" t="s">
        <v>256</v>
      </c>
      <c r="B191" s="448" t="s">
        <v>465</v>
      </c>
      <c r="C191" s="422" t="s">
        <v>24</v>
      </c>
      <c r="D191" s="252" t="s">
        <v>135</v>
      </c>
      <c r="E191" s="423">
        <v>3.1862063967851378E-2</v>
      </c>
      <c r="F191" s="250" t="s">
        <v>133</v>
      </c>
      <c r="G191" s="251"/>
      <c r="H191" s="252">
        <v>1</v>
      </c>
      <c r="I191" s="252">
        <v>2</v>
      </c>
      <c r="J191" s="252">
        <v>3</v>
      </c>
      <c r="K191" s="252">
        <v>3</v>
      </c>
      <c r="L191" s="253">
        <v>3</v>
      </c>
      <c r="M191" s="254">
        <f t="shared" si="6"/>
        <v>1.123005955058592</v>
      </c>
      <c r="N191" s="255"/>
    </row>
    <row r="192" spans="1:14" hidden="1" x14ac:dyDescent="0.2">
      <c r="A192" s="246" t="s">
        <v>256</v>
      </c>
      <c r="B192" s="448" t="s">
        <v>465</v>
      </c>
      <c r="C192" s="422" t="s">
        <v>25</v>
      </c>
      <c r="D192" s="252" t="s">
        <v>135</v>
      </c>
      <c r="E192" s="423">
        <v>1.510655818702856E-3</v>
      </c>
      <c r="F192" s="250" t="s">
        <v>133</v>
      </c>
      <c r="G192" s="251"/>
      <c r="H192" s="252">
        <v>1</v>
      </c>
      <c r="I192" s="252">
        <v>2</v>
      </c>
      <c r="J192" s="252">
        <v>3</v>
      </c>
      <c r="K192" s="252">
        <v>3</v>
      </c>
      <c r="L192" s="253">
        <v>3</v>
      </c>
      <c r="M192" s="254">
        <f t="shared" si="6"/>
        <v>1.123005955058592</v>
      </c>
      <c r="N192" s="255"/>
    </row>
    <row r="193" spans="1:14" hidden="1" x14ac:dyDescent="0.2">
      <c r="A193" s="246" t="s">
        <v>256</v>
      </c>
      <c r="B193" s="448" t="s">
        <v>465</v>
      </c>
      <c r="C193" s="422" t="s">
        <v>25</v>
      </c>
      <c r="D193" s="252" t="s">
        <v>135</v>
      </c>
      <c r="E193" s="423">
        <v>1.9235684091483029E-2</v>
      </c>
      <c r="F193" s="250" t="s">
        <v>133</v>
      </c>
      <c r="G193" s="251"/>
      <c r="H193" s="252">
        <v>1</v>
      </c>
      <c r="I193" s="252">
        <v>2</v>
      </c>
      <c r="J193" s="252">
        <v>3</v>
      </c>
      <c r="K193" s="252">
        <v>3</v>
      </c>
      <c r="L193" s="253">
        <v>3</v>
      </c>
      <c r="M193" s="254">
        <f t="shared" si="6"/>
        <v>1.123005955058592</v>
      </c>
      <c r="N193" s="255"/>
    </row>
    <row r="194" spans="1:14" hidden="1" x14ac:dyDescent="0.2">
      <c r="A194" s="246" t="s">
        <v>256</v>
      </c>
      <c r="B194" s="448" t="s">
        <v>465</v>
      </c>
      <c r="C194" s="422" t="s">
        <v>26</v>
      </c>
      <c r="D194" s="252" t="s">
        <v>135</v>
      </c>
      <c r="E194" s="423">
        <v>1.262887446885602E-3</v>
      </c>
      <c r="F194" s="250" t="s">
        <v>133</v>
      </c>
      <c r="G194" s="251"/>
      <c r="H194" s="252">
        <v>1</v>
      </c>
      <c r="I194" s="252">
        <v>2</v>
      </c>
      <c r="J194" s="252">
        <v>3</v>
      </c>
      <c r="K194" s="252">
        <v>3</v>
      </c>
      <c r="L194" s="253">
        <v>3</v>
      </c>
      <c r="M194" s="254">
        <f t="shared" si="6"/>
        <v>1.123005955058592</v>
      </c>
      <c r="N194" s="255"/>
    </row>
    <row r="195" spans="1:14" hidden="1" x14ac:dyDescent="0.2">
      <c r="A195" s="246" t="s">
        <v>256</v>
      </c>
      <c r="B195" s="448" t="s">
        <v>465</v>
      </c>
      <c r="C195" s="422" t="s">
        <v>26</v>
      </c>
      <c r="D195" s="252" t="s">
        <v>135</v>
      </c>
      <c r="E195" s="423">
        <v>1.6080766823676668E-2</v>
      </c>
      <c r="F195" s="250" t="s">
        <v>133</v>
      </c>
      <c r="G195" s="251"/>
      <c r="H195" s="252">
        <v>1</v>
      </c>
      <c r="I195" s="252">
        <v>2</v>
      </c>
      <c r="J195" s="252">
        <v>3</v>
      </c>
      <c r="K195" s="252">
        <v>3</v>
      </c>
      <c r="L195" s="253">
        <v>3</v>
      </c>
      <c r="M195" s="254">
        <f t="shared" si="6"/>
        <v>1.123005955058592</v>
      </c>
      <c r="N195" s="255"/>
    </row>
    <row r="196" spans="1:14" hidden="1" x14ac:dyDescent="0.2">
      <c r="A196" s="246" t="s">
        <v>256</v>
      </c>
      <c r="B196" s="448" t="s">
        <v>465</v>
      </c>
      <c r="C196" s="422" t="s">
        <v>27</v>
      </c>
      <c r="D196" s="252" t="s">
        <v>135</v>
      </c>
      <c r="E196" s="423">
        <v>1.1675121051418029E-3</v>
      </c>
      <c r="F196" s="250" t="s">
        <v>133</v>
      </c>
      <c r="G196" s="251"/>
      <c r="H196" s="252">
        <v>1</v>
      </c>
      <c r="I196" s="252">
        <v>2</v>
      </c>
      <c r="J196" s="252">
        <v>3</v>
      </c>
      <c r="K196" s="252">
        <v>3</v>
      </c>
      <c r="L196" s="253">
        <v>3</v>
      </c>
      <c r="M196" s="254">
        <f t="shared" si="6"/>
        <v>1.123005955058592</v>
      </c>
      <c r="N196" s="255"/>
    </row>
    <row r="197" spans="1:14" hidden="1" x14ac:dyDescent="0.2">
      <c r="A197" s="246" t="s">
        <v>256</v>
      </c>
      <c r="B197" s="448" t="s">
        <v>465</v>
      </c>
      <c r="C197" s="422" t="s">
        <v>27</v>
      </c>
      <c r="D197" s="252" t="s">
        <v>135</v>
      </c>
      <c r="E197" s="423">
        <v>1.4866320805472301E-2</v>
      </c>
      <c r="F197" s="250" t="s">
        <v>133</v>
      </c>
      <c r="G197" s="251"/>
      <c r="H197" s="252">
        <v>1</v>
      </c>
      <c r="I197" s="252">
        <v>2</v>
      </c>
      <c r="J197" s="252">
        <v>3</v>
      </c>
      <c r="K197" s="252">
        <v>3</v>
      </c>
      <c r="L197" s="253">
        <v>3</v>
      </c>
      <c r="M197" s="254">
        <f t="shared" si="6"/>
        <v>1.123005955058592</v>
      </c>
      <c r="N197" s="255"/>
    </row>
    <row r="198" spans="1:14" hidden="1" x14ac:dyDescent="0.2">
      <c r="A198" s="246" t="s">
        <v>256</v>
      </c>
      <c r="B198" s="448" t="s">
        <v>465</v>
      </c>
      <c r="C198" s="422" t="s">
        <v>28</v>
      </c>
      <c r="D198" s="252" t="s">
        <v>135</v>
      </c>
      <c r="E198" s="423">
        <v>2.4974472149939058E-3</v>
      </c>
      <c r="F198" s="250" t="s">
        <v>133</v>
      </c>
      <c r="G198" s="251"/>
      <c r="H198" s="252">
        <v>1</v>
      </c>
      <c r="I198" s="252">
        <v>2</v>
      </c>
      <c r="J198" s="252">
        <v>3</v>
      </c>
      <c r="K198" s="252">
        <v>3</v>
      </c>
      <c r="L198" s="253">
        <v>3</v>
      </c>
      <c r="M198" s="254">
        <f t="shared" si="6"/>
        <v>1.123005955058592</v>
      </c>
      <c r="N198" s="255"/>
    </row>
    <row r="199" spans="1:14" hidden="1" x14ac:dyDescent="0.2">
      <c r="A199" s="246" t="s">
        <v>256</v>
      </c>
      <c r="B199" s="448" t="s">
        <v>465</v>
      </c>
      <c r="C199" s="422" t="s">
        <v>28</v>
      </c>
      <c r="D199" s="252" t="s">
        <v>135</v>
      </c>
      <c r="E199" s="423">
        <v>3.1800827870922407E-2</v>
      </c>
      <c r="F199" s="250" t="s">
        <v>133</v>
      </c>
      <c r="G199" s="251"/>
      <c r="H199" s="252">
        <v>1</v>
      </c>
      <c r="I199" s="252">
        <v>2</v>
      </c>
      <c r="J199" s="252">
        <v>3</v>
      </c>
      <c r="K199" s="252">
        <v>3</v>
      </c>
      <c r="L199" s="253">
        <v>3</v>
      </c>
      <c r="M199" s="254">
        <f t="shared" si="6"/>
        <v>1.123005955058592</v>
      </c>
      <c r="N199" s="255"/>
    </row>
    <row r="200" spans="1:14" hidden="1" x14ac:dyDescent="0.2">
      <c r="A200" s="246" t="s">
        <v>256</v>
      </c>
      <c r="B200" s="448" t="s">
        <v>465</v>
      </c>
      <c r="C200" s="422" t="s">
        <v>30</v>
      </c>
      <c r="D200" s="252" t="s">
        <v>135</v>
      </c>
      <c r="E200" s="423">
        <v>1.5E-3</v>
      </c>
      <c r="F200" s="250" t="s">
        <v>133</v>
      </c>
      <c r="G200" s="251"/>
      <c r="H200" s="252">
        <v>1</v>
      </c>
      <c r="I200" s="252">
        <v>2</v>
      </c>
      <c r="J200" s="252">
        <v>3</v>
      </c>
      <c r="K200" s="252">
        <v>3</v>
      </c>
      <c r="L200" s="253">
        <v>3</v>
      </c>
      <c r="M200" s="254">
        <f t="shared" si="6"/>
        <v>1.123005955058592</v>
      </c>
      <c r="N200" s="255"/>
    </row>
    <row r="201" spans="1:14" hidden="1" x14ac:dyDescent="0.2">
      <c r="A201" s="246" t="s">
        <v>256</v>
      </c>
      <c r="B201" s="448" t="s">
        <v>465</v>
      </c>
      <c r="C201" s="422" t="s">
        <v>30</v>
      </c>
      <c r="D201" s="252" t="s">
        <v>135</v>
      </c>
      <c r="E201" s="423">
        <v>1.9099999999999999E-2</v>
      </c>
      <c r="F201" s="250" t="s">
        <v>133</v>
      </c>
      <c r="G201" s="251"/>
      <c r="H201" s="252">
        <v>1</v>
      </c>
      <c r="I201" s="252">
        <v>2</v>
      </c>
      <c r="J201" s="252">
        <v>3</v>
      </c>
      <c r="K201" s="252">
        <v>3</v>
      </c>
      <c r="L201" s="253">
        <v>3</v>
      </c>
      <c r="M201" s="254">
        <f t="shared" si="6"/>
        <v>1.123005955058592</v>
      </c>
      <c r="N201" s="255"/>
    </row>
    <row r="202" spans="1:14" hidden="1" x14ac:dyDescent="0.2">
      <c r="A202" s="246" t="s">
        <v>256</v>
      </c>
      <c r="B202" s="448" t="s">
        <v>465</v>
      </c>
      <c r="C202" s="422" t="s">
        <v>32</v>
      </c>
      <c r="D202" s="252" t="s">
        <v>135</v>
      </c>
      <c r="E202" s="423">
        <v>4.7344938897855666E-3</v>
      </c>
      <c r="F202" s="250" t="s">
        <v>133</v>
      </c>
      <c r="G202" s="251"/>
      <c r="H202" s="252">
        <v>1</v>
      </c>
      <c r="I202" s="252">
        <v>2</v>
      </c>
      <c r="J202" s="252">
        <v>3</v>
      </c>
      <c r="K202" s="252">
        <v>3</v>
      </c>
      <c r="L202" s="253">
        <v>3</v>
      </c>
      <c r="M202" s="254">
        <f t="shared" si="6"/>
        <v>1.123005955058592</v>
      </c>
      <c r="N202" s="255"/>
    </row>
    <row r="203" spans="1:14" hidden="1" x14ac:dyDescent="0.2">
      <c r="A203" s="246" t="s">
        <v>256</v>
      </c>
      <c r="B203" s="448" t="s">
        <v>465</v>
      </c>
      <c r="C203" s="422" t="s">
        <v>32</v>
      </c>
      <c r="D203" s="252" t="s">
        <v>135</v>
      </c>
      <c r="E203" s="423">
        <v>6.0285888863269549E-2</v>
      </c>
      <c r="F203" s="250" t="s">
        <v>133</v>
      </c>
      <c r="G203" s="251"/>
      <c r="H203" s="252">
        <v>1</v>
      </c>
      <c r="I203" s="252">
        <v>2</v>
      </c>
      <c r="J203" s="252">
        <v>3</v>
      </c>
      <c r="K203" s="252">
        <v>3</v>
      </c>
      <c r="L203" s="253">
        <v>3</v>
      </c>
      <c r="M203" s="254">
        <f t="shared" si="6"/>
        <v>1.123005955058592</v>
      </c>
      <c r="N203" s="255"/>
    </row>
    <row r="204" spans="1:14" hidden="1" x14ac:dyDescent="0.2">
      <c r="A204" s="246" t="s">
        <v>256</v>
      </c>
      <c r="B204" s="448" t="s">
        <v>465</v>
      </c>
      <c r="C204" s="422" t="s">
        <v>34</v>
      </c>
      <c r="D204" s="252" t="s">
        <v>135</v>
      </c>
      <c r="E204" s="423">
        <v>2.3875951118284529E-3</v>
      </c>
      <c r="F204" s="250" t="s">
        <v>133</v>
      </c>
      <c r="G204" s="251"/>
      <c r="H204" s="252">
        <v>1</v>
      </c>
      <c r="I204" s="252">
        <v>2</v>
      </c>
      <c r="J204" s="252">
        <v>3</v>
      </c>
      <c r="K204" s="252">
        <v>3</v>
      </c>
      <c r="L204" s="253">
        <v>3</v>
      </c>
      <c r="M204" s="254">
        <f t="shared" si="6"/>
        <v>1.123005955058592</v>
      </c>
      <c r="N204" s="255"/>
    </row>
    <row r="205" spans="1:14" hidden="1" x14ac:dyDescent="0.2">
      <c r="A205" s="246" t="s">
        <v>256</v>
      </c>
      <c r="B205" s="448" t="s">
        <v>465</v>
      </c>
      <c r="C205" s="422" t="s">
        <v>34</v>
      </c>
      <c r="D205" s="252" t="s">
        <v>135</v>
      </c>
      <c r="E205" s="423">
        <v>3.0402044423948969E-2</v>
      </c>
      <c r="F205" s="250" t="s">
        <v>133</v>
      </c>
      <c r="G205" s="251"/>
      <c r="H205" s="252">
        <v>1</v>
      </c>
      <c r="I205" s="252">
        <v>2</v>
      </c>
      <c r="J205" s="252">
        <v>3</v>
      </c>
      <c r="K205" s="252">
        <v>3</v>
      </c>
      <c r="L205" s="253">
        <v>3</v>
      </c>
      <c r="M205" s="254">
        <f t="shared" si="6"/>
        <v>1.123005955058592</v>
      </c>
      <c r="N205" s="255"/>
    </row>
    <row r="206" spans="1:14" hidden="1" x14ac:dyDescent="0.2">
      <c r="A206" s="246" t="s">
        <v>256</v>
      </c>
      <c r="B206" s="448" t="s">
        <v>465</v>
      </c>
      <c r="C206" s="422" t="s">
        <v>36</v>
      </c>
      <c r="D206" s="252" t="s">
        <v>135</v>
      </c>
      <c r="E206" s="423">
        <v>1.4018248295398399E-3</v>
      </c>
      <c r="F206" s="250" t="s">
        <v>133</v>
      </c>
      <c r="G206" s="251"/>
      <c r="H206" s="252">
        <v>1</v>
      </c>
      <c r="I206" s="252">
        <v>2</v>
      </c>
      <c r="J206" s="252">
        <v>3</v>
      </c>
      <c r="K206" s="252">
        <v>3</v>
      </c>
      <c r="L206" s="253">
        <v>3</v>
      </c>
      <c r="M206" s="254">
        <f t="shared" si="6"/>
        <v>1.123005955058592</v>
      </c>
      <c r="N206" s="255"/>
    </row>
    <row r="207" spans="1:14" hidden="1" x14ac:dyDescent="0.2">
      <c r="A207" s="246" t="s">
        <v>256</v>
      </c>
      <c r="B207" s="448" t="s">
        <v>465</v>
      </c>
      <c r="C207" s="422" t="s">
        <v>36</v>
      </c>
      <c r="D207" s="252" t="s">
        <v>135</v>
      </c>
      <c r="E207" s="423">
        <v>1.784990282947397E-2</v>
      </c>
      <c r="F207" s="250" t="s">
        <v>133</v>
      </c>
      <c r="G207" s="251"/>
      <c r="H207" s="252">
        <v>1</v>
      </c>
      <c r="I207" s="252">
        <v>2</v>
      </c>
      <c r="J207" s="252">
        <v>3</v>
      </c>
      <c r="K207" s="252">
        <v>3</v>
      </c>
      <c r="L207" s="253">
        <v>3</v>
      </c>
      <c r="M207" s="254">
        <f>IF( OR( ISBLANK(H207),ISBLANK(I207), ISBLANK(J207), ISBLANK(K207), ISBLANK(L207) ), "", 1.5*SQRT(   EXP(2.21*(H207-1)) + EXP(2.21*(I207-1)) + EXP(2.21*(J207-1)) + EXP(2.21*(K207-1)) + EXP(2.21*L207)   )/100*2.45 )</f>
        <v>1.123005955058592</v>
      </c>
      <c r="N207" s="255"/>
    </row>
    <row r="208" spans="1:14" hidden="1" x14ac:dyDescent="0.2">
      <c r="A208" s="246" t="s">
        <v>256</v>
      </c>
      <c r="B208" s="448" t="s">
        <v>465</v>
      </c>
      <c r="C208" s="422" t="s">
        <v>37</v>
      </c>
      <c r="D208" s="252" t="s">
        <v>135</v>
      </c>
      <c r="E208" s="423">
        <v>3.4927369149181462E-3</v>
      </c>
      <c r="F208" s="250" t="s">
        <v>133</v>
      </c>
      <c r="G208" s="251"/>
      <c r="H208" s="252">
        <v>1</v>
      </c>
      <c r="I208" s="252">
        <v>2</v>
      </c>
      <c r="J208" s="252">
        <v>3</v>
      </c>
      <c r="K208" s="252">
        <v>3</v>
      </c>
      <c r="L208" s="253">
        <v>3</v>
      </c>
      <c r="M208" s="254">
        <f t="shared" ref="M208:M239" si="7">IF( OR( ISBLANK(H208),ISBLANK(I208), ISBLANK(J208), ISBLANK(K208), ISBLANK(L208) ), "", 1.5*SQRT( EXP(2.21*(H208-1)) + EXP(2.21*(I208-1)) + EXP(2.21*(J208-1)) + EXP(2.21*(K208-1)) + EXP(2.21*L208) )/100*2.45 )</f>
        <v>1.123005955058592</v>
      </c>
      <c r="N208" s="255"/>
    </row>
    <row r="209" spans="1:14" hidden="1" x14ac:dyDescent="0.2">
      <c r="A209" s="246" t="s">
        <v>256</v>
      </c>
      <c r="B209" s="448" t="s">
        <v>465</v>
      </c>
      <c r="C209" s="422" t="s">
        <v>37</v>
      </c>
      <c r="D209" s="252" t="s">
        <v>135</v>
      </c>
      <c r="E209" s="423">
        <v>4.4474183383291059E-2</v>
      </c>
      <c r="F209" s="250" t="s">
        <v>133</v>
      </c>
      <c r="G209" s="251"/>
      <c r="H209" s="252">
        <v>1</v>
      </c>
      <c r="I209" s="252">
        <v>2</v>
      </c>
      <c r="J209" s="252">
        <v>3</v>
      </c>
      <c r="K209" s="252">
        <v>3</v>
      </c>
      <c r="L209" s="253">
        <v>3</v>
      </c>
      <c r="M209" s="254">
        <f t="shared" si="7"/>
        <v>1.123005955058592</v>
      </c>
      <c r="N209" s="255"/>
    </row>
    <row r="210" spans="1:14" hidden="1" x14ac:dyDescent="0.2">
      <c r="A210" s="246" t="s">
        <v>256</v>
      </c>
      <c r="B210" s="448" t="s">
        <v>465</v>
      </c>
      <c r="C210" s="422" t="s">
        <v>39</v>
      </c>
      <c r="D210" s="252" t="s">
        <v>135</v>
      </c>
      <c r="E210" s="423">
        <v>1.5892321881484899E-3</v>
      </c>
      <c r="F210" s="250" t="s">
        <v>133</v>
      </c>
      <c r="G210" s="251"/>
      <c r="H210" s="252">
        <v>1</v>
      </c>
      <c r="I210" s="252">
        <v>2</v>
      </c>
      <c r="J210" s="252">
        <v>3</v>
      </c>
      <c r="K210" s="252">
        <v>3</v>
      </c>
      <c r="L210" s="253">
        <v>3</v>
      </c>
      <c r="M210" s="254">
        <f t="shared" si="7"/>
        <v>1.123005955058592</v>
      </c>
      <c r="N210" s="255"/>
    </row>
    <row r="211" spans="1:14" hidden="1" x14ac:dyDescent="0.2">
      <c r="A211" s="246" t="s">
        <v>256</v>
      </c>
      <c r="B211" s="448" t="s">
        <v>465</v>
      </c>
      <c r="C211" s="422" t="s">
        <v>39</v>
      </c>
      <c r="D211" s="252" t="s">
        <v>135</v>
      </c>
      <c r="E211" s="423">
        <v>2.0236223195757439E-2</v>
      </c>
      <c r="F211" s="250" t="s">
        <v>133</v>
      </c>
      <c r="G211" s="251"/>
      <c r="H211" s="252">
        <v>1</v>
      </c>
      <c r="I211" s="252">
        <v>2</v>
      </c>
      <c r="J211" s="252">
        <v>3</v>
      </c>
      <c r="K211" s="252">
        <v>3</v>
      </c>
      <c r="L211" s="253">
        <v>3</v>
      </c>
      <c r="M211" s="254">
        <f t="shared" si="7"/>
        <v>1.123005955058592</v>
      </c>
      <c r="N211" s="255"/>
    </row>
    <row r="212" spans="1:14" hidden="1" x14ac:dyDescent="0.2">
      <c r="A212" s="246" t="s">
        <v>256</v>
      </c>
      <c r="B212" s="448" t="s">
        <v>465</v>
      </c>
      <c r="C212" s="422" t="s">
        <v>40</v>
      </c>
      <c r="D212" s="252" t="s">
        <v>135</v>
      </c>
      <c r="E212" s="423">
        <v>1.6319378108633361E-3</v>
      </c>
      <c r="F212" s="250" t="s">
        <v>133</v>
      </c>
      <c r="G212" s="251"/>
      <c r="H212" s="252">
        <v>1</v>
      </c>
      <c r="I212" s="252">
        <v>2</v>
      </c>
      <c r="J212" s="252">
        <v>3</v>
      </c>
      <c r="K212" s="252">
        <v>3</v>
      </c>
      <c r="L212" s="253">
        <v>3</v>
      </c>
      <c r="M212" s="254">
        <f t="shared" si="7"/>
        <v>1.123005955058592</v>
      </c>
      <c r="N212" s="255"/>
    </row>
    <row r="213" spans="1:14" hidden="1" x14ac:dyDescent="0.2">
      <c r="A213" s="246" t="s">
        <v>256</v>
      </c>
      <c r="B213" s="448" t="s">
        <v>465</v>
      </c>
      <c r="C213" s="422" t="s">
        <v>40</v>
      </c>
      <c r="D213" s="252" t="s">
        <v>135</v>
      </c>
      <c r="E213" s="423">
        <v>2.078000812499315E-2</v>
      </c>
      <c r="F213" s="250" t="s">
        <v>133</v>
      </c>
      <c r="G213" s="251"/>
      <c r="H213" s="252">
        <v>1</v>
      </c>
      <c r="I213" s="252">
        <v>2</v>
      </c>
      <c r="J213" s="252">
        <v>3</v>
      </c>
      <c r="K213" s="252">
        <v>3</v>
      </c>
      <c r="L213" s="253">
        <v>3</v>
      </c>
      <c r="M213" s="254">
        <f t="shared" si="7"/>
        <v>1.123005955058592</v>
      </c>
      <c r="N213" s="255"/>
    </row>
    <row r="214" spans="1:14" hidden="1" x14ac:dyDescent="0.2">
      <c r="A214" s="246" t="s">
        <v>256</v>
      </c>
      <c r="B214" s="448" t="s">
        <v>465</v>
      </c>
      <c r="C214" s="422" t="s">
        <v>41</v>
      </c>
      <c r="D214" s="252" t="s">
        <v>135</v>
      </c>
      <c r="E214" s="423">
        <v>2.0270101123225411E-3</v>
      </c>
      <c r="F214" s="250" t="s">
        <v>133</v>
      </c>
      <c r="G214" s="251"/>
      <c r="H214" s="252">
        <v>1</v>
      </c>
      <c r="I214" s="252">
        <v>2</v>
      </c>
      <c r="J214" s="252">
        <v>3</v>
      </c>
      <c r="K214" s="252">
        <v>3</v>
      </c>
      <c r="L214" s="253">
        <v>3</v>
      </c>
      <c r="M214" s="254">
        <f t="shared" si="7"/>
        <v>1.123005955058592</v>
      </c>
      <c r="N214" s="255"/>
    </row>
    <row r="215" spans="1:14" hidden="1" x14ac:dyDescent="0.2">
      <c r="A215" s="246" t="s">
        <v>256</v>
      </c>
      <c r="B215" s="448" t="s">
        <v>465</v>
      </c>
      <c r="C215" s="422" t="s">
        <v>41</v>
      </c>
      <c r="D215" s="252" t="s">
        <v>135</v>
      </c>
      <c r="E215" s="423">
        <v>2.5810595430240349E-2</v>
      </c>
      <c r="F215" s="250" t="s">
        <v>133</v>
      </c>
      <c r="G215" s="251"/>
      <c r="H215" s="252">
        <v>1</v>
      </c>
      <c r="I215" s="252">
        <v>2</v>
      </c>
      <c r="J215" s="252">
        <v>3</v>
      </c>
      <c r="K215" s="252">
        <v>3</v>
      </c>
      <c r="L215" s="253">
        <v>3</v>
      </c>
      <c r="M215" s="254">
        <f t="shared" si="7"/>
        <v>1.123005955058592</v>
      </c>
      <c r="N215" s="255"/>
    </row>
    <row r="216" spans="1:14" hidden="1" x14ac:dyDescent="0.2">
      <c r="A216" s="246" t="s">
        <v>256</v>
      </c>
      <c r="B216" s="448" t="s">
        <v>465</v>
      </c>
      <c r="C216" s="422" t="s">
        <v>42</v>
      </c>
      <c r="D216" s="252" t="s">
        <v>135</v>
      </c>
      <c r="E216" s="423">
        <v>1.01162752396324E-3</v>
      </c>
      <c r="F216" s="250" t="s">
        <v>133</v>
      </c>
      <c r="G216" s="251"/>
      <c r="H216" s="252">
        <v>1</v>
      </c>
      <c r="I216" s="252">
        <v>2</v>
      </c>
      <c r="J216" s="252">
        <v>3</v>
      </c>
      <c r="K216" s="252">
        <v>3</v>
      </c>
      <c r="L216" s="253">
        <v>3</v>
      </c>
      <c r="M216" s="254">
        <f t="shared" si="7"/>
        <v>1.123005955058592</v>
      </c>
      <c r="N216" s="255"/>
    </row>
    <row r="217" spans="1:14" hidden="1" x14ac:dyDescent="0.2">
      <c r="A217" s="246" t="s">
        <v>256</v>
      </c>
      <c r="B217" s="448" t="s">
        <v>465</v>
      </c>
      <c r="C217" s="422" t="s">
        <v>42</v>
      </c>
      <c r="D217" s="252" t="s">
        <v>135</v>
      </c>
      <c r="E217" s="423">
        <v>1.2881390471798589E-2</v>
      </c>
      <c r="F217" s="250" t="s">
        <v>133</v>
      </c>
      <c r="G217" s="251"/>
      <c r="H217" s="252">
        <v>1</v>
      </c>
      <c r="I217" s="252">
        <v>2</v>
      </c>
      <c r="J217" s="252">
        <v>3</v>
      </c>
      <c r="K217" s="252">
        <v>3</v>
      </c>
      <c r="L217" s="253">
        <v>3</v>
      </c>
      <c r="M217" s="254">
        <f t="shared" si="7"/>
        <v>1.123005955058592</v>
      </c>
      <c r="N217" s="255"/>
    </row>
    <row r="218" spans="1:14" hidden="1" x14ac:dyDescent="0.2">
      <c r="A218" s="246" t="s">
        <v>256</v>
      </c>
      <c r="B218" s="448" t="s">
        <v>465</v>
      </c>
      <c r="C218" s="422" t="s">
        <v>43</v>
      </c>
      <c r="D218" s="252" t="s">
        <v>135</v>
      </c>
      <c r="E218" s="423">
        <v>1.8618860963799859E-3</v>
      </c>
      <c r="F218" s="250" t="s">
        <v>133</v>
      </c>
      <c r="G218" s="251"/>
      <c r="H218" s="252">
        <v>1</v>
      </c>
      <c r="I218" s="252">
        <v>2</v>
      </c>
      <c r="J218" s="252">
        <v>3</v>
      </c>
      <c r="K218" s="252">
        <v>3</v>
      </c>
      <c r="L218" s="253">
        <v>3</v>
      </c>
      <c r="M218" s="254">
        <f t="shared" si="7"/>
        <v>1.123005955058592</v>
      </c>
      <c r="N218" s="255"/>
    </row>
    <row r="219" spans="1:14" hidden="1" x14ac:dyDescent="0.2">
      <c r="A219" s="246" t="s">
        <v>256</v>
      </c>
      <c r="B219" s="448" t="s">
        <v>465</v>
      </c>
      <c r="C219" s="422" t="s">
        <v>43</v>
      </c>
      <c r="D219" s="252" t="s">
        <v>135</v>
      </c>
      <c r="E219" s="423">
        <v>2.3708016293905159E-2</v>
      </c>
      <c r="F219" s="250" t="s">
        <v>133</v>
      </c>
      <c r="G219" s="251"/>
      <c r="H219" s="252">
        <v>1</v>
      </c>
      <c r="I219" s="252">
        <v>2</v>
      </c>
      <c r="J219" s="252">
        <v>3</v>
      </c>
      <c r="K219" s="252">
        <v>3</v>
      </c>
      <c r="L219" s="253">
        <v>3</v>
      </c>
      <c r="M219" s="254">
        <f t="shared" si="7"/>
        <v>1.123005955058592</v>
      </c>
      <c r="N219" s="255"/>
    </row>
    <row r="220" spans="1:14" x14ac:dyDescent="0.2">
      <c r="A220" s="246" t="s">
        <v>256</v>
      </c>
      <c r="B220" s="448" t="s">
        <v>465</v>
      </c>
      <c r="C220" s="422" t="s">
        <v>45</v>
      </c>
      <c r="D220" s="252" t="s">
        <v>135</v>
      </c>
      <c r="E220" s="423">
        <v>1.066339470997069E-3</v>
      </c>
      <c r="F220" s="250" t="s">
        <v>133</v>
      </c>
      <c r="G220" s="251"/>
      <c r="H220" s="252">
        <v>1</v>
      </c>
      <c r="I220" s="252">
        <v>2</v>
      </c>
      <c r="J220" s="252">
        <v>3</v>
      </c>
      <c r="K220" s="252">
        <v>3</v>
      </c>
      <c r="L220" s="253">
        <v>3</v>
      </c>
      <c r="M220" s="254">
        <f t="shared" si="7"/>
        <v>1.123005955058592</v>
      </c>
      <c r="N220" s="255"/>
    </row>
    <row r="221" spans="1:14" x14ac:dyDescent="0.2">
      <c r="A221" s="246" t="s">
        <v>256</v>
      </c>
      <c r="B221" s="448" t="s">
        <v>465</v>
      </c>
      <c r="C221" s="422" t="s">
        <v>45</v>
      </c>
      <c r="D221" s="252" t="s">
        <v>135</v>
      </c>
      <c r="E221" s="423">
        <v>1.357805593069601E-2</v>
      </c>
      <c r="F221" s="250" t="s">
        <v>133</v>
      </c>
      <c r="G221" s="251"/>
      <c r="H221" s="252">
        <v>1</v>
      </c>
      <c r="I221" s="252">
        <v>2</v>
      </c>
      <c r="J221" s="252">
        <v>3</v>
      </c>
      <c r="K221" s="252">
        <v>3</v>
      </c>
      <c r="L221" s="253">
        <v>3</v>
      </c>
      <c r="M221" s="254">
        <f t="shared" si="7"/>
        <v>1.123005955058592</v>
      </c>
      <c r="N221" s="255"/>
    </row>
    <row r="222" spans="1:14" hidden="1" x14ac:dyDescent="0.2">
      <c r="A222" s="246" t="s">
        <v>256</v>
      </c>
      <c r="B222" s="448" t="s">
        <v>465</v>
      </c>
      <c r="C222" s="422" t="s">
        <v>46</v>
      </c>
      <c r="D222" s="252" t="s">
        <v>135</v>
      </c>
      <c r="E222" s="423">
        <v>3.3239731216443218E-3</v>
      </c>
      <c r="F222" s="250" t="s">
        <v>133</v>
      </c>
      <c r="G222" s="251"/>
      <c r="H222" s="252">
        <v>1</v>
      </c>
      <c r="I222" s="252">
        <v>2</v>
      </c>
      <c r="J222" s="252">
        <v>3</v>
      </c>
      <c r="K222" s="252">
        <v>3</v>
      </c>
      <c r="L222" s="253">
        <v>3</v>
      </c>
      <c r="M222" s="254">
        <f t="shared" si="7"/>
        <v>1.123005955058592</v>
      </c>
      <c r="N222" s="255"/>
    </row>
    <row r="223" spans="1:14" hidden="1" x14ac:dyDescent="0.2">
      <c r="A223" s="246" t="s">
        <v>256</v>
      </c>
      <c r="B223" s="448" t="s">
        <v>465</v>
      </c>
      <c r="C223" s="422" t="s">
        <v>46</v>
      </c>
      <c r="D223" s="252" t="s">
        <v>135</v>
      </c>
      <c r="E223" s="423">
        <v>4.2325257748937702E-2</v>
      </c>
      <c r="F223" s="250" t="s">
        <v>133</v>
      </c>
      <c r="G223" s="251"/>
      <c r="H223" s="252">
        <v>1</v>
      </c>
      <c r="I223" s="252">
        <v>2</v>
      </c>
      <c r="J223" s="252">
        <v>3</v>
      </c>
      <c r="K223" s="252">
        <v>3</v>
      </c>
      <c r="L223" s="253">
        <v>3</v>
      </c>
      <c r="M223" s="254">
        <f t="shared" si="7"/>
        <v>1.123005955058592</v>
      </c>
      <c r="N223" s="255"/>
    </row>
    <row r="224" spans="1:14" hidden="1" x14ac:dyDescent="0.2">
      <c r="A224" s="246" t="s">
        <v>256</v>
      </c>
      <c r="B224" s="448" t="s">
        <v>465</v>
      </c>
      <c r="C224" s="422" t="s">
        <v>48</v>
      </c>
      <c r="D224" s="252" t="s">
        <v>135</v>
      </c>
      <c r="E224" s="423">
        <v>2.852597252873942E-3</v>
      </c>
      <c r="F224" s="250" t="s">
        <v>133</v>
      </c>
      <c r="G224" s="251"/>
      <c r="H224" s="252">
        <v>1</v>
      </c>
      <c r="I224" s="252">
        <v>2</v>
      </c>
      <c r="J224" s="252">
        <v>3</v>
      </c>
      <c r="K224" s="252">
        <v>3</v>
      </c>
      <c r="L224" s="253">
        <v>3</v>
      </c>
      <c r="M224" s="254">
        <f t="shared" si="7"/>
        <v>1.123005955058592</v>
      </c>
      <c r="N224" s="255"/>
    </row>
    <row r="225" spans="1:14" hidden="1" x14ac:dyDescent="0.2">
      <c r="A225" s="246" t="s">
        <v>256</v>
      </c>
      <c r="B225" s="448" t="s">
        <v>465</v>
      </c>
      <c r="C225" s="422" t="s">
        <v>48</v>
      </c>
      <c r="D225" s="252" t="s">
        <v>135</v>
      </c>
      <c r="E225" s="423">
        <v>3.6323071686594863E-2</v>
      </c>
      <c r="F225" s="250" t="s">
        <v>133</v>
      </c>
      <c r="G225" s="251"/>
      <c r="H225" s="252">
        <v>1</v>
      </c>
      <c r="I225" s="252">
        <v>2</v>
      </c>
      <c r="J225" s="252">
        <v>3</v>
      </c>
      <c r="K225" s="252">
        <v>3</v>
      </c>
      <c r="L225" s="253">
        <v>3</v>
      </c>
      <c r="M225" s="254">
        <f t="shared" si="7"/>
        <v>1.123005955058592</v>
      </c>
      <c r="N225" s="255"/>
    </row>
    <row r="226" spans="1:14" hidden="1" x14ac:dyDescent="0.2">
      <c r="A226" s="246" t="s">
        <v>256</v>
      </c>
      <c r="B226" s="448" t="s">
        <v>465</v>
      </c>
      <c r="C226" s="422" t="s">
        <v>50</v>
      </c>
      <c r="D226" s="252" t="s">
        <v>135</v>
      </c>
      <c r="E226" s="423">
        <v>3.3290951612371948E-3</v>
      </c>
      <c r="F226" s="250" t="s">
        <v>133</v>
      </c>
      <c r="G226" s="251"/>
      <c r="H226" s="252">
        <v>1</v>
      </c>
      <c r="I226" s="252">
        <v>2</v>
      </c>
      <c r="J226" s="252">
        <v>3</v>
      </c>
      <c r="K226" s="252">
        <v>3</v>
      </c>
      <c r="L226" s="253">
        <v>3</v>
      </c>
      <c r="M226" s="254">
        <f t="shared" si="7"/>
        <v>1.123005955058592</v>
      </c>
      <c r="N226" s="255"/>
    </row>
    <row r="227" spans="1:14" hidden="1" x14ac:dyDescent="0.2">
      <c r="A227" s="246" t="s">
        <v>256</v>
      </c>
      <c r="B227" s="448" t="s">
        <v>465</v>
      </c>
      <c r="C227" s="422" t="s">
        <v>50</v>
      </c>
      <c r="D227" s="252" t="s">
        <v>135</v>
      </c>
      <c r="E227" s="423">
        <v>4.239047838642028E-2</v>
      </c>
      <c r="F227" s="250" t="s">
        <v>133</v>
      </c>
      <c r="G227" s="251"/>
      <c r="H227" s="252">
        <v>1</v>
      </c>
      <c r="I227" s="252">
        <v>2</v>
      </c>
      <c r="J227" s="252">
        <v>3</v>
      </c>
      <c r="K227" s="252">
        <v>3</v>
      </c>
      <c r="L227" s="253">
        <v>3</v>
      </c>
      <c r="M227" s="254">
        <f t="shared" si="7"/>
        <v>1.123005955058592</v>
      </c>
      <c r="N227" s="255"/>
    </row>
    <row r="228" spans="1:14" hidden="1" x14ac:dyDescent="0.2">
      <c r="A228" s="246" t="s">
        <v>256</v>
      </c>
      <c r="B228" s="448" t="s">
        <v>465</v>
      </c>
      <c r="C228" s="422" t="s">
        <v>52</v>
      </c>
      <c r="D228" s="252" t="s">
        <v>135</v>
      </c>
      <c r="E228" s="423">
        <v>3.7221252346915259E-3</v>
      </c>
      <c r="F228" s="250" t="s">
        <v>133</v>
      </c>
      <c r="G228" s="251"/>
      <c r="H228" s="252">
        <v>1</v>
      </c>
      <c r="I228" s="252">
        <v>2</v>
      </c>
      <c r="J228" s="252">
        <v>3</v>
      </c>
      <c r="K228" s="252">
        <v>3</v>
      </c>
      <c r="L228" s="253">
        <v>3</v>
      </c>
      <c r="M228" s="254">
        <f t="shared" si="7"/>
        <v>1.123005955058592</v>
      </c>
      <c r="N228" s="255"/>
    </row>
    <row r="229" spans="1:14" hidden="1" x14ac:dyDescent="0.2">
      <c r="A229" s="246" t="s">
        <v>256</v>
      </c>
      <c r="B229" s="448" t="s">
        <v>465</v>
      </c>
      <c r="C229" s="422" t="s">
        <v>52</v>
      </c>
      <c r="D229" s="252" t="s">
        <v>135</v>
      </c>
      <c r="E229" s="423">
        <v>4.7395061321738763E-2</v>
      </c>
      <c r="F229" s="250" t="s">
        <v>133</v>
      </c>
      <c r="G229" s="251"/>
      <c r="H229" s="252">
        <v>1</v>
      </c>
      <c r="I229" s="252">
        <v>2</v>
      </c>
      <c r="J229" s="252">
        <v>3</v>
      </c>
      <c r="K229" s="252">
        <v>3</v>
      </c>
      <c r="L229" s="253">
        <v>3</v>
      </c>
      <c r="M229" s="254">
        <f t="shared" si="7"/>
        <v>1.123005955058592</v>
      </c>
      <c r="N229" s="255"/>
    </row>
    <row r="230" spans="1:14" hidden="1" x14ac:dyDescent="0.2">
      <c r="A230" s="246" t="s">
        <v>256</v>
      </c>
      <c r="B230" s="448" t="s">
        <v>465</v>
      </c>
      <c r="C230" s="422" t="s">
        <v>54</v>
      </c>
      <c r="D230" s="252" t="s">
        <v>135</v>
      </c>
      <c r="E230" s="423">
        <v>1.5078395204058111E-3</v>
      </c>
      <c r="F230" s="250" t="s">
        <v>133</v>
      </c>
      <c r="G230" s="251"/>
      <c r="H230" s="252">
        <v>1</v>
      </c>
      <c r="I230" s="252">
        <v>2</v>
      </c>
      <c r="J230" s="252">
        <v>3</v>
      </c>
      <c r="K230" s="252">
        <v>3</v>
      </c>
      <c r="L230" s="253">
        <v>3</v>
      </c>
      <c r="M230" s="254">
        <f t="shared" si="7"/>
        <v>1.123005955058592</v>
      </c>
      <c r="N230" s="255"/>
    </row>
    <row r="231" spans="1:14" hidden="1" x14ac:dyDescent="0.2">
      <c r="A231" s="246" t="s">
        <v>256</v>
      </c>
      <c r="B231" s="448" t="s">
        <v>465</v>
      </c>
      <c r="C231" s="422" t="s">
        <v>54</v>
      </c>
      <c r="D231" s="252" t="s">
        <v>135</v>
      </c>
      <c r="E231" s="423">
        <v>1.919982322650066E-2</v>
      </c>
      <c r="F231" s="250" t="s">
        <v>133</v>
      </c>
      <c r="G231" s="251"/>
      <c r="H231" s="252">
        <v>1</v>
      </c>
      <c r="I231" s="252">
        <v>2</v>
      </c>
      <c r="J231" s="252">
        <v>3</v>
      </c>
      <c r="K231" s="252">
        <v>3</v>
      </c>
      <c r="L231" s="253">
        <v>3</v>
      </c>
      <c r="M231" s="254">
        <f t="shared" si="7"/>
        <v>1.123005955058592</v>
      </c>
      <c r="N231" s="255"/>
    </row>
    <row r="232" spans="1:14" hidden="1" x14ac:dyDescent="0.2">
      <c r="A232" s="246" t="s">
        <v>256</v>
      </c>
      <c r="B232" s="448" t="s">
        <v>465</v>
      </c>
      <c r="C232" s="422" t="s">
        <v>55</v>
      </c>
      <c r="D232" s="252" t="s">
        <v>135</v>
      </c>
      <c r="E232" s="423">
        <v>2.172930597186996E-3</v>
      </c>
      <c r="F232" s="250" t="s">
        <v>133</v>
      </c>
      <c r="G232" s="251"/>
      <c r="H232" s="252">
        <v>1</v>
      </c>
      <c r="I232" s="252">
        <v>2</v>
      </c>
      <c r="J232" s="252">
        <v>3</v>
      </c>
      <c r="K232" s="252">
        <v>3</v>
      </c>
      <c r="L232" s="253">
        <v>3</v>
      </c>
      <c r="M232" s="254">
        <f t="shared" si="7"/>
        <v>1.123005955058592</v>
      </c>
      <c r="N232" s="255"/>
    </row>
    <row r="233" spans="1:14" hidden="1" x14ac:dyDescent="0.2">
      <c r="A233" s="246" t="s">
        <v>256</v>
      </c>
      <c r="B233" s="448" t="s">
        <v>465</v>
      </c>
      <c r="C233" s="422" t="s">
        <v>55</v>
      </c>
      <c r="D233" s="252" t="s">
        <v>135</v>
      </c>
      <c r="E233" s="423">
        <v>2.766864960418108E-2</v>
      </c>
      <c r="F233" s="250" t="s">
        <v>133</v>
      </c>
      <c r="G233" s="251"/>
      <c r="H233" s="252">
        <v>1</v>
      </c>
      <c r="I233" s="252">
        <v>2</v>
      </c>
      <c r="J233" s="252">
        <v>3</v>
      </c>
      <c r="K233" s="252">
        <v>3</v>
      </c>
      <c r="L233" s="253">
        <v>3</v>
      </c>
      <c r="M233" s="254">
        <f t="shared" si="7"/>
        <v>1.123005955058592</v>
      </c>
      <c r="N233" s="255"/>
    </row>
    <row r="234" spans="1:14" hidden="1" x14ac:dyDescent="0.2">
      <c r="A234" s="246" t="s">
        <v>256</v>
      </c>
      <c r="B234" s="448" t="s">
        <v>465</v>
      </c>
      <c r="C234" s="422" t="s">
        <v>57</v>
      </c>
      <c r="D234" s="252" t="s">
        <v>135</v>
      </c>
      <c r="E234" s="423">
        <v>1.066339470997069E-3</v>
      </c>
      <c r="F234" s="250" t="s">
        <v>133</v>
      </c>
      <c r="G234" s="251"/>
      <c r="H234" s="252">
        <v>1</v>
      </c>
      <c r="I234" s="252">
        <v>2</v>
      </c>
      <c r="J234" s="252">
        <v>3</v>
      </c>
      <c r="K234" s="252">
        <v>3</v>
      </c>
      <c r="L234" s="253">
        <v>3</v>
      </c>
      <c r="M234" s="254">
        <f t="shared" si="7"/>
        <v>1.123005955058592</v>
      </c>
      <c r="N234" s="255"/>
    </row>
    <row r="235" spans="1:14" hidden="1" x14ac:dyDescent="0.2">
      <c r="A235" s="246" t="s">
        <v>256</v>
      </c>
      <c r="B235" s="448" t="s">
        <v>465</v>
      </c>
      <c r="C235" s="422" t="s">
        <v>57</v>
      </c>
      <c r="D235" s="252" t="s">
        <v>135</v>
      </c>
      <c r="E235" s="423">
        <v>1.357805593069601E-2</v>
      </c>
      <c r="F235" s="250" t="s">
        <v>133</v>
      </c>
      <c r="G235" s="251"/>
      <c r="H235" s="252">
        <v>1</v>
      </c>
      <c r="I235" s="252">
        <v>2</v>
      </c>
      <c r="J235" s="252">
        <v>3</v>
      </c>
      <c r="K235" s="252">
        <v>3</v>
      </c>
      <c r="L235" s="253">
        <v>3</v>
      </c>
      <c r="M235" s="254">
        <f t="shared" si="7"/>
        <v>1.123005955058592</v>
      </c>
      <c r="N235" s="255"/>
    </row>
    <row r="236" spans="1:14" hidden="1" x14ac:dyDescent="0.2">
      <c r="A236" s="246" t="s">
        <v>256</v>
      </c>
      <c r="B236" s="448" t="s">
        <v>465</v>
      </c>
      <c r="C236" s="422" t="s">
        <v>59</v>
      </c>
      <c r="D236" s="252" t="s">
        <v>135</v>
      </c>
      <c r="E236" s="423">
        <v>1.5E-3</v>
      </c>
      <c r="F236" s="250" t="s">
        <v>133</v>
      </c>
      <c r="G236" s="251"/>
      <c r="H236" s="252">
        <v>1</v>
      </c>
      <c r="I236" s="252">
        <v>2</v>
      </c>
      <c r="J236" s="252">
        <v>3</v>
      </c>
      <c r="K236" s="252">
        <v>3</v>
      </c>
      <c r="L236" s="253">
        <v>3</v>
      </c>
      <c r="M236" s="254">
        <f t="shared" si="7"/>
        <v>1.123005955058592</v>
      </c>
      <c r="N236" s="255"/>
    </row>
    <row r="237" spans="1:14" hidden="1" x14ac:dyDescent="0.2">
      <c r="A237" s="246" t="s">
        <v>256</v>
      </c>
      <c r="B237" s="448" t="s">
        <v>465</v>
      </c>
      <c r="C237" s="422" t="s">
        <v>59</v>
      </c>
      <c r="D237" s="252" t="s">
        <v>135</v>
      </c>
      <c r="E237" s="423">
        <v>1.9099999999999999E-2</v>
      </c>
      <c r="F237" s="250" t="s">
        <v>133</v>
      </c>
      <c r="G237" s="251"/>
      <c r="H237" s="252">
        <v>1</v>
      </c>
      <c r="I237" s="252">
        <v>2</v>
      </c>
      <c r="J237" s="252">
        <v>3</v>
      </c>
      <c r="K237" s="252">
        <v>3</v>
      </c>
      <c r="L237" s="253">
        <v>3</v>
      </c>
      <c r="M237" s="254">
        <f t="shared" si="7"/>
        <v>1.123005955058592</v>
      </c>
      <c r="N237" s="255"/>
    </row>
    <row r="238" spans="1:14" hidden="1" x14ac:dyDescent="0.2">
      <c r="A238" s="246" t="s">
        <v>256</v>
      </c>
      <c r="B238" s="448" t="s">
        <v>465</v>
      </c>
      <c r="C238" s="422" t="s">
        <v>60</v>
      </c>
      <c r="D238" s="252" t="s">
        <v>135</v>
      </c>
      <c r="E238" s="423">
        <v>1.953028755887876E-3</v>
      </c>
      <c r="F238" s="250" t="s">
        <v>133</v>
      </c>
      <c r="G238" s="424" t="s">
        <v>16</v>
      </c>
      <c r="H238" s="252">
        <v>1</v>
      </c>
      <c r="I238" s="252">
        <v>2</v>
      </c>
      <c r="J238" s="252">
        <v>3</v>
      </c>
      <c r="K238" s="252">
        <v>3</v>
      </c>
      <c r="L238" s="253">
        <v>3</v>
      </c>
      <c r="M238" s="254">
        <f t="shared" si="7"/>
        <v>1.123005955058592</v>
      </c>
      <c r="N238" s="255"/>
    </row>
    <row r="239" spans="1:14" hidden="1" x14ac:dyDescent="0.2">
      <c r="A239" s="464" t="s">
        <v>256</v>
      </c>
      <c r="B239" s="465" t="s">
        <v>465</v>
      </c>
      <c r="C239" s="427" t="s">
        <v>60</v>
      </c>
      <c r="D239" s="291" t="s">
        <v>135</v>
      </c>
      <c r="E239" s="428">
        <v>2.486856615830562E-2</v>
      </c>
      <c r="F239" s="289" t="s">
        <v>133</v>
      </c>
      <c r="G239" s="429" t="s">
        <v>16</v>
      </c>
      <c r="H239" s="291">
        <v>1</v>
      </c>
      <c r="I239" s="291">
        <v>2</v>
      </c>
      <c r="J239" s="291">
        <v>3</v>
      </c>
      <c r="K239" s="291">
        <v>3</v>
      </c>
      <c r="L239" s="292">
        <v>3</v>
      </c>
      <c r="M239" s="293">
        <f t="shared" si="7"/>
        <v>1.123005955058592</v>
      </c>
      <c r="N239" s="294"/>
    </row>
    <row r="240" spans="1:14" hidden="1" x14ac:dyDescent="0.2">
      <c r="A240" s="246" t="s">
        <v>264</v>
      </c>
      <c r="B240" s="463" t="s">
        <v>463</v>
      </c>
      <c r="C240" s="265" t="s">
        <v>13</v>
      </c>
      <c r="D240" s="433" t="s">
        <v>135</v>
      </c>
      <c r="E240" s="266">
        <v>4.9383419689119179E-4</v>
      </c>
      <c r="F240" s="267" t="s">
        <v>133</v>
      </c>
      <c r="G240" s="268" t="s">
        <v>16</v>
      </c>
      <c r="H240" s="269">
        <v>1</v>
      </c>
      <c r="I240" s="269">
        <v>1</v>
      </c>
      <c r="J240" s="269">
        <v>3</v>
      </c>
      <c r="K240" s="269">
        <v>3</v>
      </c>
      <c r="L240" s="270">
        <v>3</v>
      </c>
      <c r="M240" s="271">
        <f t="shared" ref="M240:M270" si="8">IF( OR( ISBLANK(H240),ISBLANK(I240), ISBLANK(J240), ISBLANK(K240), ISBLANK(L240) ), "", 1.5*SQRT( EXP(2.21*(H240-1)) + EXP(2.21*(I240-1)) + EXP(2.21*(J240-1)) + EXP(2.21*(K240-1)) + EXP(2.21*L240) )/100*2.45 )</f>
        <v>1.1181151966036349</v>
      </c>
      <c r="N240" s="272"/>
    </row>
    <row r="241" spans="1:14" hidden="1" x14ac:dyDescent="0.2">
      <c r="A241" s="246" t="s">
        <v>264</v>
      </c>
      <c r="B241" s="459" t="s">
        <v>463</v>
      </c>
      <c r="C241" s="247" t="s">
        <v>18</v>
      </c>
      <c r="D241" s="248" t="s">
        <v>135</v>
      </c>
      <c r="E241" s="249">
        <v>6.2141809290953553E-4</v>
      </c>
      <c r="F241" s="250" t="s">
        <v>133</v>
      </c>
      <c r="G241" s="251" t="s">
        <v>16</v>
      </c>
      <c r="H241" s="252">
        <v>1</v>
      </c>
      <c r="I241" s="252">
        <v>1</v>
      </c>
      <c r="J241" s="252">
        <v>3</v>
      </c>
      <c r="K241" s="252">
        <v>3</v>
      </c>
      <c r="L241" s="253">
        <v>3</v>
      </c>
      <c r="M241" s="254">
        <f t="shared" si="8"/>
        <v>1.1181151966036349</v>
      </c>
      <c r="N241" s="255"/>
    </row>
    <row r="242" spans="1:14" hidden="1" x14ac:dyDescent="0.2">
      <c r="A242" s="246" t="s">
        <v>264</v>
      </c>
      <c r="B242" s="459" t="s">
        <v>463</v>
      </c>
      <c r="C242" s="247" t="s">
        <v>20</v>
      </c>
      <c r="D242" s="248" t="s">
        <v>135</v>
      </c>
      <c r="E242" s="249">
        <v>1.717297297297297E-3</v>
      </c>
      <c r="F242" s="250" t="s">
        <v>133</v>
      </c>
      <c r="G242" s="251" t="s">
        <v>16</v>
      </c>
      <c r="H242" s="252">
        <v>1</v>
      </c>
      <c r="I242" s="252">
        <v>1</v>
      </c>
      <c r="J242" s="252">
        <v>3</v>
      </c>
      <c r="K242" s="252">
        <v>3</v>
      </c>
      <c r="L242" s="253">
        <v>3</v>
      </c>
      <c r="M242" s="254">
        <f t="shared" si="8"/>
        <v>1.1181151966036349</v>
      </c>
      <c r="N242" s="255"/>
    </row>
    <row r="243" spans="1:14" hidden="1" x14ac:dyDescent="0.2">
      <c r="A243" s="246" t="s">
        <v>264</v>
      </c>
      <c r="B243" s="459" t="s">
        <v>463</v>
      </c>
      <c r="C243" s="247" t="s">
        <v>22</v>
      </c>
      <c r="D243" s="248" t="s">
        <v>135</v>
      </c>
      <c r="E243" s="249">
        <v>1.397291666666666E-3</v>
      </c>
      <c r="F243" s="250" t="s">
        <v>133</v>
      </c>
      <c r="G243" s="251" t="s">
        <v>16</v>
      </c>
      <c r="H243" s="252">
        <v>1</v>
      </c>
      <c r="I243" s="252">
        <v>1</v>
      </c>
      <c r="J243" s="252">
        <v>3</v>
      </c>
      <c r="K243" s="252">
        <v>3</v>
      </c>
      <c r="L243" s="253">
        <v>3</v>
      </c>
      <c r="M243" s="254">
        <f t="shared" si="8"/>
        <v>1.1181151966036349</v>
      </c>
      <c r="N243" s="255"/>
    </row>
    <row r="244" spans="1:14" hidden="1" x14ac:dyDescent="0.2">
      <c r="A244" s="246" t="s">
        <v>264</v>
      </c>
      <c r="B244" s="459" t="s">
        <v>463</v>
      </c>
      <c r="C244" s="247" t="s">
        <v>23</v>
      </c>
      <c r="D244" s="248" t="s">
        <v>135</v>
      </c>
      <c r="E244" s="249">
        <v>1.868823529411765E-3</v>
      </c>
      <c r="F244" s="250" t="s">
        <v>133</v>
      </c>
      <c r="G244" s="251" t="s">
        <v>16</v>
      </c>
      <c r="H244" s="252">
        <v>1</v>
      </c>
      <c r="I244" s="252">
        <v>1</v>
      </c>
      <c r="J244" s="252">
        <v>3</v>
      </c>
      <c r="K244" s="252">
        <v>3</v>
      </c>
      <c r="L244" s="253">
        <v>3</v>
      </c>
      <c r="M244" s="254">
        <f t="shared" si="8"/>
        <v>1.1181151966036349</v>
      </c>
      <c r="N244" s="255"/>
    </row>
    <row r="245" spans="1:14" hidden="1" x14ac:dyDescent="0.2">
      <c r="A245" s="246" t="s">
        <v>264</v>
      </c>
      <c r="B245" s="459" t="s">
        <v>463</v>
      </c>
      <c r="C245" s="247" t="s">
        <v>24</v>
      </c>
      <c r="D245" s="248" t="s">
        <v>135</v>
      </c>
      <c r="E245" s="249">
        <v>8.3605263157894745E-4</v>
      </c>
      <c r="F245" s="250" t="s">
        <v>133</v>
      </c>
      <c r="G245" s="251" t="s">
        <v>16</v>
      </c>
      <c r="H245" s="252">
        <v>1</v>
      </c>
      <c r="I245" s="252">
        <v>1</v>
      </c>
      <c r="J245" s="252">
        <v>3</v>
      </c>
      <c r="K245" s="252">
        <v>3</v>
      </c>
      <c r="L245" s="253">
        <v>3</v>
      </c>
      <c r="M245" s="254">
        <f t="shared" si="8"/>
        <v>1.1181151966036349</v>
      </c>
      <c r="N245" s="255"/>
    </row>
    <row r="246" spans="1:14" hidden="1" x14ac:dyDescent="0.2">
      <c r="A246" s="246" t="s">
        <v>264</v>
      </c>
      <c r="B246" s="459" t="s">
        <v>463</v>
      </c>
      <c r="C246" s="247" t="s">
        <v>25</v>
      </c>
      <c r="D246" s="248" t="s">
        <v>135</v>
      </c>
      <c r="E246" s="249">
        <v>4.2932432432432442E-4</v>
      </c>
      <c r="F246" s="250" t="s">
        <v>133</v>
      </c>
      <c r="G246" s="251" t="s">
        <v>16</v>
      </c>
      <c r="H246" s="252">
        <v>1</v>
      </c>
      <c r="I246" s="252">
        <v>1</v>
      </c>
      <c r="J246" s="252">
        <v>3</v>
      </c>
      <c r="K246" s="252">
        <v>3</v>
      </c>
      <c r="L246" s="253">
        <v>3</v>
      </c>
      <c r="M246" s="254">
        <f t="shared" si="8"/>
        <v>1.1181151966036349</v>
      </c>
      <c r="N246" s="255"/>
    </row>
    <row r="247" spans="1:14" hidden="1" x14ac:dyDescent="0.2">
      <c r="A247" s="246" t="s">
        <v>264</v>
      </c>
      <c r="B247" s="459" t="s">
        <v>463</v>
      </c>
      <c r="C247" s="247" t="s">
        <v>26</v>
      </c>
      <c r="D247" s="248" t="s">
        <v>135</v>
      </c>
      <c r="E247" s="249">
        <v>2.9808888888888888E-3</v>
      </c>
      <c r="F247" s="250" t="s">
        <v>133</v>
      </c>
      <c r="G247" s="251" t="s">
        <v>16</v>
      </c>
      <c r="H247" s="252">
        <v>1</v>
      </c>
      <c r="I247" s="252">
        <v>1</v>
      </c>
      <c r="J247" s="252">
        <v>3</v>
      </c>
      <c r="K247" s="252">
        <v>3</v>
      </c>
      <c r="L247" s="253">
        <v>3</v>
      </c>
      <c r="M247" s="254">
        <f t="shared" si="8"/>
        <v>1.1181151966036349</v>
      </c>
      <c r="N247" s="255"/>
    </row>
    <row r="248" spans="1:14" hidden="1" x14ac:dyDescent="0.2">
      <c r="A248" s="246" t="s">
        <v>264</v>
      </c>
      <c r="B248" s="459" t="s">
        <v>463</v>
      </c>
      <c r="C248" s="247" t="s">
        <v>27</v>
      </c>
      <c r="D248" s="248" t="s">
        <v>135</v>
      </c>
      <c r="E248" s="249">
        <v>3.4595281306715062E-4</v>
      </c>
      <c r="F248" s="250" t="s">
        <v>133</v>
      </c>
      <c r="G248" s="251" t="s">
        <v>16</v>
      </c>
      <c r="H248" s="252">
        <v>1</v>
      </c>
      <c r="I248" s="252">
        <v>1</v>
      </c>
      <c r="J248" s="252">
        <v>3</v>
      </c>
      <c r="K248" s="252">
        <v>3</v>
      </c>
      <c r="L248" s="253">
        <v>3</v>
      </c>
      <c r="M248" s="254">
        <f t="shared" si="8"/>
        <v>1.1181151966036349</v>
      </c>
      <c r="N248" s="255"/>
    </row>
    <row r="249" spans="1:14" hidden="1" x14ac:dyDescent="0.2">
      <c r="A249" s="246" t="s">
        <v>264</v>
      </c>
      <c r="B249" s="459" t="s">
        <v>463</v>
      </c>
      <c r="C249" s="247" t="s">
        <v>28</v>
      </c>
      <c r="D249" s="248" t="s">
        <v>135</v>
      </c>
      <c r="E249" s="249">
        <v>7.4149012567324962E-4</v>
      </c>
      <c r="F249" s="250" t="s">
        <v>133</v>
      </c>
      <c r="G249" s="251" t="s">
        <v>16</v>
      </c>
      <c r="H249" s="252">
        <v>1</v>
      </c>
      <c r="I249" s="252">
        <v>1</v>
      </c>
      <c r="J249" s="252">
        <v>3</v>
      </c>
      <c r="K249" s="252">
        <v>3</v>
      </c>
      <c r="L249" s="253">
        <v>3</v>
      </c>
      <c r="M249" s="254">
        <f t="shared" si="8"/>
        <v>1.1181151966036349</v>
      </c>
      <c r="N249" s="255"/>
    </row>
    <row r="250" spans="1:14" hidden="1" x14ac:dyDescent="0.2">
      <c r="A250" s="246" t="s">
        <v>264</v>
      </c>
      <c r="B250" s="459" t="s">
        <v>463</v>
      </c>
      <c r="C250" s="247" t="s">
        <v>30</v>
      </c>
      <c r="D250" s="248" t="s">
        <v>135</v>
      </c>
      <c r="E250" s="249">
        <v>5.242574257425742E-4</v>
      </c>
      <c r="F250" s="250" t="s">
        <v>133</v>
      </c>
      <c r="G250" s="251" t="s">
        <v>16</v>
      </c>
      <c r="H250" s="252">
        <v>1</v>
      </c>
      <c r="I250" s="252">
        <v>1</v>
      </c>
      <c r="J250" s="252">
        <v>3</v>
      </c>
      <c r="K250" s="252">
        <v>3</v>
      </c>
      <c r="L250" s="253">
        <v>3</v>
      </c>
      <c r="M250" s="254">
        <f t="shared" si="8"/>
        <v>1.1181151966036349</v>
      </c>
      <c r="N250" s="255"/>
    </row>
    <row r="251" spans="1:14" hidden="1" x14ac:dyDescent="0.2">
      <c r="A251" s="246" t="s">
        <v>264</v>
      </c>
      <c r="B251" s="459" t="s">
        <v>463</v>
      </c>
      <c r="C251" s="247" t="s">
        <v>32</v>
      </c>
      <c r="D251" s="248" t="s">
        <v>135</v>
      </c>
      <c r="E251" s="249">
        <v>1.23378640776699E-3</v>
      </c>
      <c r="F251" s="250" t="s">
        <v>133</v>
      </c>
      <c r="G251" s="251" t="s">
        <v>16</v>
      </c>
      <c r="H251" s="252">
        <v>1</v>
      </c>
      <c r="I251" s="252">
        <v>1</v>
      </c>
      <c r="J251" s="252">
        <v>3</v>
      </c>
      <c r="K251" s="252">
        <v>3</v>
      </c>
      <c r="L251" s="253">
        <v>3</v>
      </c>
      <c r="M251" s="254">
        <f t="shared" si="8"/>
        <v>1.1181151966036349</v>
      </c>
      <c r="N251" s="255"/>
    </row>
    <row r="252" spans="1:14" hidden="1" x14ac:dyDescent="0.2">
      <c r="A252" s="246" t="s">
        <v>264</v>
      </c>
      <c r="B252" s="459" t="s">
        <v>463</v>
      </c>
      <c r="C252" s="247" t="s">
        <v>34</v>
      </c>
      <c r="D252" s="248" t="s">
        <v>135</v>
      </c>
      <c r="E252" s="249">
        <v>1.5009448818897641E-3</v>
      </c>
      <c r="F252" s="250" t="s">
        <v>133</v>
      </c>
      <c r="G252" s="251" t="s">
        <v>16</v>
      </c>
      <c r="H252" s="252">
        <v>1</v>
      </c>
      <c r="I252" s="252">
        <v>1</v>
      </c>
      <c r="J252" s="252">
        <v>3</v>
      </c>
      <c r="K252" s="252">
        <v>3</v>
      </c>
      <c r="L252" s="253">
        <v>3</v>
      </c>
      <c r="M252" s="254">
        <f t="shared" si="8"/>
        <v>1.1181151966036349</v>
      </c>
      <c r="N252" s="255"/>
    </row>
    <row r="253" spans="1:14" hidden="1" x14ac:dyDescent="0.2">
      <c r="A253" s="246" t="s">
        <v>264</v>
      </c>
      <c r="B253" s="459" t="s">
        <v>463</v>
      </c>
      <c r="C253" s="247" t="s">
        <v>36</v>
      </c>
      <c r="D253" s="248" t="s">
        <v>135</v>
      </c>
      <c r="E253" s="249">
        <v>1.4482051282051281E-3</v>
      </c>
      <c r="F253" s="250" t="s">
        <v>133</v>
      </c>
      <c r="G253" s="251" t="s">
        <v>16</v>
      </c>
      <c r="H253" s="252">
        <v>1</v>
      </c>
      <c r="I253" s="252">
        <v>1</v>
      </c>
      <c r="J253" s="252">
        <v>3</v>
      </c>
      <c r="K253" s="252">
        <v>3</v>
      </c>
      <c r="L253" s="253">
        <v>3</v>
      </c>
      <c r="M253" s="254">
        <f t="shared" si="8"/>
        <v>1.1181151966036349</v>
      </c>
      <c r="N253" s="255"/>
    </row>
    <row r="254" spans="1:14" hidden="1" x14ac:dyDescent="0.2">
      <c r="A254" s="246" t="s">
        <v>264</v>
      </c>
      <c r="B254" s="459" t="s">
        <v>463</v>
      </c>
      <c r="C254" s="247" t="s">
        <v>37</v>
      </c>
      <c r="D254" s="248" t="s">
        <v>135</v>
      </c>
      <c r="E254" s="249">
        <v>6.0483967935871753E-3</v>
      </c>
      <c r="F254" s="250" t="s">
        <v>133</v>
      </c>
      <c r="G254" s="251" t="s">
        <v>16</v>
      </c>
      <c r="H254" s="252">
        <v>1</v>
      </c>
      <c r="I254" s="252">
        <v>1</v>
      </c>
      <c r="J254" s="252">
        <v>3</v>
      </c>
      <c r="K254" s="252">
        <v>3</v>
      </c>
      <c r="L254" s="253">
        <v>3</v>
      </c>
      <c r="M254" s="254">
        <f t="shared" si="8"/>
        <v>1.1181151966036349</v>
      </c>
      <c r="N254" s="255"/>
    </row>
    <row r="255" spans="1:14" hidden="1" x14ac:dyDescent="0.2">
      <c r="A255" s="246" t="s">
        <v>264</v>
      </c>
      <c r="B255" s="459" t="s">
        <v>463</v>
      </c>
      <c r="C255" s="247" t="s">
        <v>39</v>
      </c>
      <c r="D255" s="248" t="s">
        <v>135</v>
      </c>
      <c r="E255" s="249">
        <v>2.9662407862407862E-3</v>
      </c>
      <c r="F255" s="250" t="s">
        <v>133</v>
      </c>
      <c r="G255" s="251" t="s">
        <v>16</v>
      </c>
      <c r="H255" s="252">
        <v>1</v>
      </c>
      <c r="I255" s="252">
        <v>1</v>
      </c>
      <c r="J255" s="252">
        <v>3</v>
      </c>
      <c r="K255" s="252">
        <v>3</v>
      </c>
      <c r="L255" s="253">
        <v>3</v>
      </c>
      <c r="M255" s="254">
        <f t="shared" si="8"/>
        <v>1.1181151966036349</v>
      </c>
      <c r="N255" s="255"/>
    </row>
    <row r="256" spans="1:14" hidden="1" x14ac:dyDescent="0.2">
      <c r="A256" s="246" t="s">
        <v>264</v>
      </c>
      <c r="B256" s="459" t="s">
        <v>463</v>
      </c>
      <c r="C256" s="247" t="s">
        <v>40</v>
      </c>
      <c r="D256" s="248" t="s">
        <v>135</v>
      </c>
      <c r="E256" s="249">
        <v>9.5857758620689656E-4</v>
      </c>
      <c r="F256" s="250" t="s">
        <v>133</v>
      </c>
      <c r="G256" s="251" t="s">
        <v>16</v>
      </c>
      <c r="H256" s="252">
        <v>1</v>
      </c>
      <c r="I256" s="252">
        <v>1</v>
      </c>
      <c r="J256" s="252">
        <v>3</v>
      </c>
      <c r="K256" s="252">
        <v>3</v>
      </c>
      <c r="L256" s="253">
        <v>3</v>
      </c>
      <c r="M256" s="254">
        <f t="shared" si="8"/>
        <v>1.1181151966036349</v>
      </c>
      <c r="N256" s="255"/>
    </row>
    <row r="257" spans="1:14" hidden="1" x14ac:dyDescent="0.2">
      <c r="A257" s="246" t="s">
        <v>264</v>
      </c>
      <c r="B257" s="459" t="s">
        <v>463</v>
      </c>
      <c r="C257" s="247" t="s">
        <v>41</v>
      </c>
      <c r="D257" s="248" t="s">
        <v>135</v>
      </c>
      <c r="E257" s="249">
        <v>4.352054794520548E-4</v>
      </c>
      <c r="F257" s="250" t="s">
        <v>133</v>
      </c>
      <c r="G257" s="251" t="s">
        <v>16</v>
      </c>
      <c r="H257" s="252">
        <v>1</v>
      </c>
      <c r="I257" s="252">
        <v>1</v>
      </c>
      <c r="J257" s="252">
        <v>3</v>
      </c>
      <c r="K257" s="252">
        <v>3</v>
      </c>
      <c r="L257" s="253">
        <v>3</v>
      </c>
      <c r="M257" s="254">
        <f t="shared" si="8"/>
        <v>1.1181151966036349</v>
      </c>
      <c r="N257" s="255"/>
    </row>
    <row r="258" spans="1:14" hidden="1" x14ac:dyDescent="0.2">
      <c r="A258" s="246" t="s">
        <v>264</v>
      </c>
      <c r="B258" s="459" t="s">
        <v>463</v>
      </c>
      <c r="C258" s="247" t="s">
        <v>42</v>
      </c>
      <c r="D258" s="248" t="s">
        <v>135</v>
      </c>
      <c r="E258" s="249">
        <v>2.1274553571428568E-3</v>
      </c>
      <c r="F258" s="250" t="s">
        <v>133</v>
      </c>
      <c r="G258" s="251" t="s">
        <v>16</v>
      </c>
      <c r="H258" s="252">
        <v>1</v>
      </c>
      <c r="I258" s="252">
        <v>1</v>
      </c>
      <c r="J258" s="252">
        <v>3</v>
      </c>
      <c r="K258" s="252">
        <v>3</v>
      </c>
      <c r="L258" s="253">
        <v>3</v>
      </c>
      <c r="M258" s="254">
        <f t="shared" si="8"/>
        <v>1.1181151966036349</v>
      </c>
      <c r="N258" s="255"/>
    </row>
    <row r="259" spans="1:14" hidden="1" x14ac:dyDescent="0.2">
      <c r="A259" s="246" t="s">
        <v>264</v>
      </c>
      <c r="B259" s="459" t="s">
        <v>463</v>
      </c>
      <c r="C259" s="247" t="s">
        <v>43</v>
      </c>
      <c r="D259" s="248" t="s">
        <v>135</v>
      </c>
      <c r="E259" s="249">
        <v>4.9737769080234839E-4</v>
      </c>
      <c r="F259" s="250" t="s">
        <v>133</v>
      </c>
      <c r="G259" s="251" t="s">
        <v>16</v>
      </c>
      <c r="H259" s="252">
        <v>1</v>
      </c>
      <c r="I259" s="252">
        <v>1</v>
      </c>
      <c r="J259" s="252">
        <v>3</v>
      </c>
      <c r="K259" s="252">
        <v>3</v>
      </c>
      <c r="L259" s="253">
        <v>3</v>
      </c>
      <c r="M259" s="254">
        <f t="shared" si="8"/>
        <v>1.1181151966036349</v>
      </c>
      <c r="N259" s="255"/>
    </row>
    <row r="260" spans="1:14" x14ac:dyDescent="0.2">
      <c r="A260" s="246" t="s">
        <v>264</v>
      </c>
      <c r="B260" s="459" t="s">
        <v>463</v>
      </c>
      <c r="C260" s="247" t="s">
        <v>45</v>
      </c>
      <c r="D260" s="248" t="s">
        <v>135</v>
      </c>
      <c r="E260" s="249">
        <v>6.8784844384303125E-4</v>
      </c>
      <c r="F260" s="250" t="s">
        <v>133</v>
      </c>
      <c r="G260" s="251" t="s">
        <v>16</v>
      </c>
      <c r="H260" s="252">
        <v>1</v>
      </c>
      <c r="I260" s="252">
        <v>1</v>
      </c>
      <c r="J260" s="252">
        <v>3</v>
      </c>
      <c r="K260" s="252">
        <v>3</v>
      </c>
      <c r="L260" s="253">
        <v>3</v>
      </c>
      <c r="M260" s="254">
        <f t="shared" si="8"/>
        <v>1.1181151966036349</v>
      </c>
      <c r="N260" s="255"/>
    </row>
    <row r="261" spans="1:14" hidden="1" x14ac:dyDescent="0.2">
      <c r="A261" s="246" t="s">
        <v>264</v>
      </c>
      <c r="B261" s="459" t="s">
        <v>463</v>
      </c>
      <c r="C261" s="247" t="s">
        <v>46</v>
      </c>
      <c r="D261" s="248" t="s">
        <v>135</v>
      </c>
      <c r="E261" s="249">
        <v>1.2553495440729479E-3</v>
      </c>
      <c r="F261" s="250" t="s">
        <v>133</v>
      </c>
      <c r="G261" s="251" t="s">
        <v>16</v>
      </c>
      <c r="H261" s="252">
        <v>1</v>
      </c>
      <c r="I261" s="252">
        <v>1</v>
      </c>
      <c r="J261" s="252">
        <v>3</v>
      </c>
      <c r="K261" s="252">
        <v>3</v>
      </c>
      <c r="L261" s="253">
        <v>3</v>
      </c>
      <c r="M261" s="254">
        <f t="shared" si="8"/>
        <v>1.1181151966036349</v>
      </c>
      <c r="N261" s="255"/>
    </row>
    <row r="262" spans="1:14" hidden="1" x14ac:dyDescent="0.2">
      <c r="A262" s="246" t="s">
        <v>264</v>
      </c>
      <c r="B262" s="459" t="s">
        <v>463</v>
      </c>
      <c r="C262" s="247" t="s">
        <v>48</v>
      </c>
      <c r="D262" s="248" t="s">
        <v>135</v>
      </c>
      <c r="E262" s="249">
        <v>9.3994082840236678E-4</v>
      </c>
      <c r="F262" s="250" t="s">
        <v>133</v>
      </c>
      <c r="G262" s="251" t="s">
        <v>16</v>
      </c>
      <c r="H262" s="252">
        <v>1</v>
      </c>
      <c r="I262" s="252">
        <v>1</v>
      </c>
      <c r="J262" s="252">
        <v>3</v>
      </c>
      <c r="K262" s="252">
        <v>3</v>
      </c>
      <c r="L262" s="253">
        <v>3</v>
      </c>
      <c r="M262" s="254">
        <f t="shared" si="8"/>
        <v>1.1181151966036349</v>
      </c>
      <c r="N262" s="255"/>
    </row>
    <row r="263" spans="1:14" hidden="1" x14ac:dyDescent="0.2">
      <c r="A263" s="246" t="s">
        <v>264</v>
      </c>
      <c r="B263" s="459" t="s">
        <v>463</v>
      </c>
      <c r="C263" s="247" t="s">
        <v>50</v>
      </c>
      <c r="D263" s="248" t="s">
        <v>135</v>
      </c>
      <c r="E263" s="249">
        <v>5.72327205882353E-3</v>
      </c>
      <c r="F263" s="250" t="s">
        <v>133</v>
      </c>
      <c r="G263" s="251" t="s">
        <v>16</v>
      </c>
      <c r="H263" s="252">
        <v>1</v>
      </c>
      <c r="I263" s="252">
        <v>1</v>
      </c>
      <c r="J263" s="252">
        <v>3</v>
      </c>
      <c r="K263" s="252">
        <v>3</v>
      </c>
      <c r="L263" s="253">
        <v>3</v>
      </c>
      <c r="M263" s="254">
        <f t="shared" si="8"/>
        <v>1.1181151966036349</v>
      </c>
      <c r="N263" s="255"/>
    </row>
    <row r="264" spans="1:14" hidden="1" x14ac:dyDescent="0.2">
      <c r="A264" s="246" t="s">
        <v>264</v>
      </c>
      <c r="B264" s="459" t="s">
        <v>463</v>
      </c>
      <c r="C264" s="247" t="s">
        <v>52</v>
      </c>
      <c r="D264" s="248" t="s">
        <v>135</v>
      </c>
      <c r="E264" s="249">
        <v>9.2086956521739128E-4</v>
      </c>
      <c r="F264" s="250" t="s">
        <v>133</v>
      </c>
      <c r="G264" s="251" t="s">
        <v>16</v>
      </c>
      <c r="H264" s="252">
        <v>1</v>
      </c>
      <c r="I264" s="252">
        <v>1</v>
      </c>
      <c r="J264" s="252">
        <v>3</v>
      </c>
      <c r="K264" s="252">
        <v>3</v>
      </c>
      <c r="L264" s="253">
        <v>3</v>
      </c>
      <c r="M264" s="254">
        <f t="shared" si="8"/>
        <v>1.1181151966036349</v>
      </c>
      <c r="N264" s="255"/>
    </row>
    <row r="265" spans="1:14" hidden="1" x14ac:dyDescent="0.2">
      <c r="A265" s="246" t="s">
        <v>264</v>
      </c>
      <c r="B265" s="459" t="s">
        <v>463</v>
      </c>
      <c r="C265" s="247" t="s">
        <v>54</v>
      </c>
      <c r="D265" s="248" t="s">
        <v>135</v>
      </c>
      <c r="E265" s="249">
        <v>5.8833333333333329E-4</v>
      </c>
      <c r="F265" s="250" t="s">
        <v>133</v>
      </c>
      <c r="G265" s="251" t="s">
        <v>16</v>
      </c>
      <c r="H265" s="252">
        <v>1</v>
      </c>
      <c r="I265" s="252">
        <v>1</v>
      </c>
      <c r="J265" s="252">
        <v>3</v>
      </c>
      <c r="K265" s="252">
        <v>3</v>
      </c>
      <c r="L265" s="253">
        <v>3</v>
      </c>
      <c r="M265" s="254">
        <f t="shared" si="8"/>
        <v>1.1181151966036349</v>
      </c>
      <c r="N265" s="255"/>
    </row>
    <row r="266" spans="1:14" hidden="1" x14ac:dyDescent="0.2">
      <c r="A266" s="246" t="s">
        <v>264</v>
      </c>
      <c r="B266" s="459" t="s">
        <v>463</v>
      </c>
      <c r="C266" s="247" t="s">
        <v>55</v>
      </c>
      <c r="D266" s="248" t="s">
        <v>135</v>
      </c>
      <c r="E266" s="249">
        <v>1.2708000000000001E-3</v>
      </c>
      <c r="F266" s="250" t="s">
        <v>133</v>
      </c>
      <c r="G266" s="251" t="s">
        <v>16</v>
      </c>
      <c r="H266" s="252">
        <v>1</v>
      </c>
      <c r="I266" s="252">
        <v>1</v>
      </c>
      <c r="J266" s="252">
        <v>3</v>
      </c>
      <c r="K266" s="252">
        <v>3</v>
      </c>
      <c r="L266" s="253">
        <v>3</v>
      </c>
      <c r="M266" s="254">
        <f t="shared" si="8"/>
        <v>1.1181151966036349</v>
      </c>
      <c r="N266" s="255"/>
    </row>
    <row r="267" spans="1:14" hidden="1" x14ac:dyDescent="0.2">
      <c r="A267" s="246" t="s">
        <v>264</v>
      </c>
      <c r="B267" s="459" t="s">
        <v>463</v>
      </c>
      <c r="C267" s="247" t="s">
        <v>57</v>
      </c>
      <c r="D267" s="248" t="s">
        <v>135</v>
      </c>
      <c r="E267" s="249">
        <v>5.8562211981566818E-4</v>
      </c>
      <c r="F267" s="250" t="s">
        <v>133</v>
      </c>
      <c r="G267" s="251" t="s">
        <v>16</v>
      </c>
      <c r="H267" s="252">
        <v>1</v>
      </c>
      <c r="I267" s="252">
        <v>1</v>
      </c>
      <c r="J267" s="252">
        <v>3</v>
      </c>
      <c r="K267" s="252">
        <v>3</v>
      </c>
      <c r="L267" s="253">
        <v>3</v>
      </c>
      <c r="M267" s="254">
        <f t="shared" si="8"/>
        <v>1.1181151966036349</v>
      </c>
      <c r="N267" s="255"/>
    </row>
    <row r="268" spans="1:14" hidden="1" x14ac:dyDescent="0.2">
      <c r="A268" s="246" t="s">
        <v>264</v>
      </c>
      <c r="B268" s="459" t="s">
        <v>463</v>
      </c>
      <c r="C268" s="247" t="s">
        <v>59</v>
      </c>
      <c r="D268" s="248" t="s">
        <v>135</v>
      </c>
      <c r="E268" s="249">
        <v>2.7E-4</v>
      </c>
      <c r="F268" s="250" t="s">
        <v>133</v>
      </c>
      <c r="G268" s="251" t="s">
        <v>16</v>
      </c>
      <c r="H268" s="252">
        <v>1</v>
      </c>
      <c r="I268" s="252">
        <v>1</v>
      </c>
      <c r="J268" s="252">
        <v>3</v>
      </c>
      <c r="K268" s="252">
        <v>3</v>
      </c>
      <c r="L268" s="253">
        <v>3</v>
      </c>
      <c r="M268" s="254">
        <f t="shared" si="8"/>
        <v>1.1181151966036349</v>
      </c>
      <c r="N268" s="255"/>
    </row>
    <row r="269" spans="1:14" hidden="1" x14ac:dyDescent="0.2">
      <c r="A269" s="246" t="s">
        <v>264</v>
      </c>
      <c r="B269" s="459" t="s">
        <v>463</v>
      </c>
      <c r="C269" s="247" t="s">
        <v>60</v>
      </c>
      <c r="D269" s="248" t="s">
        <v>135</v>
      </c>
      <c r="E269" s="249">
        <v>1.23511879049676E-3</v>
      </c>
      <c r="F269" s="250" t="s">
        <v>133</v>
      </c>
      <c r="G269" s="251" t="s">
        <v>16</v>
      </c>
      <c r="H269" s="252">
        <v>1</v>
      </c>
      <c r="I269" s="252">
        <v>1</v>
      </c>
      <c r="J269" s="252">
        <v>3</v>
      </c>
      <c r="K269" s="252">
        <v>3</v>
      </c>
      <c r="L269" s="253">
        <v>3</v>
      </c>
      <c r="M269" s="254">
        <f t="shared" si="8"/>
        <v>1.1181151966036349</v>
      </c>
      <c r="N269" s="255"/>
    </row>
    <row r="270" spans="1:14" hidden="1" x14ac:dyDescent="0.2">
      <c r="A270" s="246" t="s">
        <v>264</v>
      </c>
      <c r="B270" s="421" t="s">
        <v>465</v>
      </c>
      <c r="C270" s="422" t="s">
        <v>13</v>
      </c>
      <c r="D270" s="252" t="s">
        <v>135</v>
      </c>
      <c r="E270" s="423">
        <v>1.142330116275239E-3</v>
      </c>
      <c r="F270" s="250" t="s">
        <v>133</v>
      </c>
      <c r="G270" s="251" t="s">
        <v>16</v>
      </c>
      <c r="H270" s="252">
        <v>1</v>
      </c>
      <c r="I270" s="252">
        <v>2</v>
      </c>
      <c r="J270" s="252">
        <v>3</v>
      </c>
      <c r="K270" s="252">
        <v>3</v>
      </c>
      <c r="L270" s="253">
        <v>3</v>
      </c>
      <c r="M270" s="254">
        <f t="shared" si="8"/>
        <v>1.123005955058592</v>
      </c>
      <c r="N270" s="255"/>
    </row>
    <row r="271" spans="1:14" hidden="1" x14ac:dyDescent="0.2">
      <c r="A271" s="246" t="s">
        <v>264</v>
      </c>
      <c r="B271" s="448" t="s">
        <v>465</v>
      </c>
      <c r="C271" s="422" t="s">
        <v>13</v>
      </c>
      <c r="D271" s="252" t="s">
        <v>135</v>
      </c>
      <c r="E271" s="423">
        <v>1.454567014723805E-2</v>
      </c>
      <c r="F271" s="250" t="s">
        <v>133</v>
      </c>
      <c r="G271" s="251"/>
      <c r="H271" s="252">
        <v>1</v>
      </c>
      <c r="I271" s="252">
        <v>2</v>
      </c>
      <c r="J271" s="252">
        <v>3</v>
      </c>
      <c r="K271" s="252">
        <v>3</v>
      </c>
      <c r="L271" s="253">
        <v>3</v>
      </c>
      <c r="M271" s="254">
        <f>IF( OR( ISBLANK(H271),ISBLANK(I271), ISBLANK(J271), ISBLANK(K271), ISBLANK(L271) ), "", 1.5*SQRT(   EXP(2.21*(H271-1)) + EXP(2.21*(I271-1)) + EXP(2.21*(J271-1)) + EXP(2.21*(K271-1)) + EXP(2.21*L271)   )/100*2.45 )</f>
        <v>1.123005955058592</v>
      </c>
      <c r="N271" s="255"/>
    </row>
    <row r="272" spans="1:14" hidden="1" x14ac:dyDescent="0.2">
      <c r="A272" s="246" t="s">
        <v>264</v>
      </c>
      <c r="B272" s="448" t="s">
        <v>465</v>
      </c>
      <c r="C272" s="422" t="s">
        <v>18</v>
      </c>
      <c r="D272" s="252" t="s">
        <v>135</v>
      </c>
      <c r="E272" s="423">
        <v>2.8968345465924441E-3</v>
      </c>
      <c r="F272" s="250" t="s">
        <v>133</v>
      </c>
      <c r="G272" s="251"/>
      <c r="H272" s="252">
        <v>1</v>
      </c>
      <c r="I272" s="252">
        <v>2</v>
      </c>
      <c r="J272" s="252">
        <v>3</v>
      </c>
      <c r="K272" s="252">
        <v>3</v>
      </c>
      <c r="L272" s="253">
        <v>3</v>
      </c>
      <c r="M272" s="254">
        <f t="shared" ref="M272:M303" si="9">IF( OR( ISBLANK(H272),ISBLANK(I272), ISBLANK(J272), ISBLANK(K272), ISBLANK(L272) ), "", 1.5*SQRT( EXP(2.21*(H272-1)) + EXP(2.21*(I272-1)) + EXP(2.21*(J272-1)) + EXP(2.21*(K272-1)) + EXP(2.21*L272) )/100*2.45 )</f>
        <v>1.123005955058592</v>
      </c>
      <c r="N272" s="255"/>
    </row>
    <row r="273" spans="1:14" hidden="1" x14ac:dyDescent="0.2">
      <c r="A273" s="246" t="s">
        <v>264</v>
      </c>
      <c r="B273" s="448" t="s">
        <v>465</v>
      </c>
      <c r="C273" s="422" t="s">
        <v>18</v>
      </c>
      <c r="D273" s="252" t="s">
        <v>135</v>
      </c>
      <c r="E273" s="423">
        <v>3.6886359893277133E-2</v>
      </c>
      <c r="F273" s="250" t="s">
        <v>133</v>
      </c>
      <c r="G273" s="251"/>
      <c r="H273" s="252">
        <v>1</v>
      </c>
      <c r="I273" s="252">
        <v>2</v>
      </c>
      <c r="J273" s="252">
        <v>3</v>
      </c>
      <c r="K273" s="252">
        <v>3</v>
      </c>
      <c r="L273" s="253">
        <v>3</v>
      </c>
      <c r="M273" s="254">
        <f t="shared" si="9"/>
        <v>1.123005955058592</v>
      </c>
      <c r="N273" s="255"/>
    </row>
    <row r="274" spans="1:14" hidden="1" x14ac:dyDescent="0.2">
      <c r="A274" s="246" t="s">
        <v>264</v>
      </c>
      <c r="B274" s="448" t="s">
        <v>465</v>
      </c>
      <c r="C274" s="422" t="s">
        <v>20</v>
      </c>
      <c r="D274" s="252" t="s">
        <v>135</v>
      </c>
      <c r="E274" s="423">
        <v>3.52435850983234E-3</v>
      </c>
      <c r="F274" s="250" t="s">
        <v>133</v>
      </c>
      <c r="G274" s="251"/>
      <c r="H274" s="252">
        <v>1</v>
      </c>
      <c r="I274" s="252">
        <v>2</v>
      </c>
      <c r="J274" s="252">
        <v>3</v>
      </c>
      <c r="K274" s="252">
        <v>3</v>
      </c>
      <c r="L274" s="253">
        <v>3</v>
      </c>
      <c r="M274" s="254">
        <f t="shared" si="9"/>
        <v>1.123005955058592</v>
      </c>
      <c r="N274" s="255"/>
    </row>
    <row r="275" spans="1:14" hidden="1" x14ac:dyDescent="0.2">
      <c r="A275" s="246" t="s">
        <v>264</v>
      </c>
      <c r="B275" s="448" t="s">
        <v>465</v>
      </c>
      <c r="C275" s="422" t="s">
        <v>20</v>
      </c>
      <c r="D275" s="252" t="s">
        <v>135</v>
      </c>
      <c r="E275" s="423">
        <v>4.4876831691865127E-2</v>
      </c>
      <c r="F275" s="250" t="s">
        <v>133</v>
      </c>
      <c r="G275" s="251"/>
      <c r="H275" s="252">
        <v>1</v>
      </c>
      <c r="I275" s="252">
        <v>2</v>
      </c>
      <c r="J275" s="252">
        <v>3</v>
      </c>
      <c r="K275" s="252">
        <v>3</v>
      </c>
      <c r="L275" s="253">
        <v>3</v>
      </c>
      <c r="M275" s="254">
        <f t="shared" si="9"/>
        <v>1.123005955058592</v>
      </c>
      <c r="N275" s="255"/>
    </row>
    <row r="276" spans="1:14" hidden="1" x14ac:dyDescent="0.2">
      <c r="A276" s="246" t="s">
        <v>264</v>
      </c>
      <c r="B276" s="448" t="s">
        <v>465</v>
      </c>
      <c r="C276" s="422" t="s">
        <v>22</v>
      </c>
      <c r="D276" s="252" t="s">
        <v>135</v>
      </c>
      <c r="E276" s="423">
        <v>2.3530089923910541E-3</v>
      </c>
      <c r="F276" s="250" t="s">
        <v>133</v>
      </c>
      <c r="G276" s="251"/>
      <c r="H276" s="252">
        <v>1</v>
      </c>
      <c r="I276" s="252">
        <v>2</v>
      </c>
      <c r="J276" s="252">
        <v>3</v>
      </c>
      <c r="K276" s="252">
        <v>3</v>
      </c>
      <c r="L276" s="253">
        <v>3</v>
      </c>
      <c r="M276" s="254">
        <f t="shared" si="9"/>
        <v>1.123005955058592</v>
      </c>
      <c r="N276" s="255"/>
    </row>
    <row r="277" spans="1:14" hidden="1" x14ac:dyDescent="0.2">
      <c r="A277" s="246" t="s">
        <v>264</v>
      </c>
      <c r="B277" s="448" t="s">
        <v>465</v>
      </c>
      <c r="C277" s="422" t="s">
        <v>22</v>
      </c>
      <c r="D277" s="252" t="s">
        <v>135</v>
      </c>
      <c r="E277" s="423">
        <v>2.9961647836446101E-2</v>
      </c>
      <c r="F277" s="250" t="s">
        <v>133</v>
      </c>
      <c r="G277" s="251"/>
      <c r="H277" s="252">
        <v>1</v>
      </c>
      <c r="I277" s="252">
        <v>2</v>
      </c>
      <c r="J277" s="252">
        <v>3</v>
      </c>
      <c r="K277" s="252">
        <v>3</v>
      </c>
      <c r="L277" s="253">
        <v>3</v>
      </c>
      <c r="M277" s="254">
        <f t="shared" si="9"/>
        <v>1.123005955058592</v>
      </c>
      <c r="N277" s="255"/>
    </row>
    <row r="278" spans="1:14" hidden="1" x14ac:dyDescent="0.2">
      <c r="A278" s="246" t="s">
        <v>264</v>
      </c>
      <c r="B278" s="448" t="s">
        <v>465</v>
      </c>
      <c r="C278" s="422" t="s">
        <v>23</v>
      </c>
      <c r="D278" s="252" t="s">
        <v>135</v>
      </c>
      <c r="E278" s="423">
        <v>2.366876379327382E-3</v>
      </c>
      <c r="F278" s="250" t="s">
        <v>133</v>
      </c>
      <c r="G278" s="251"/>
      <c r="H278" s="252">
        <v>1</v>
      </c>
      <c r="I278" s="252">
        <v>2</v>
      </c>
      <c r="J278" s="252">
        <v>3</v>
      </c>
      <c r="K278" s="252">
        <v>3</v>
      </c>
      <c r="L278" s="253">
        <v>3</v>
      </c>
      <c r="M278" s="254">
        <f t="shared" si="9"/>
        <v>1.123005955058592</v>
      </c>
      <c r="N278" s="255"/>
    </row>
    <row r="279" spans="1:14" hidden="1" x14ac:dyDescent="0.2">
      <c r="A279" s="246" t="s">
        <v>264</v>
      </c>
      <c r="B279" s="448" t="s">
        <v>465</v>
      </c>
      <c r="C279" s="422" t="s">
        <v>23</v>
      </c>
      <c r="D279" s="252" t="s">
        <v>135</v>
      </c>
      <c r="E279" s="423">
        <v>3.0138225896768671E-2</v>
      </c>
      <c r="F279" s="250" t="s">
        <v>133</v>
      </c>
      <c r="G279" s="251"/>
      <c r="H279" s="252">
        <v>1</v>
      </c>
      <c r="I279" s="252">
        <v>2</v>
      </c>
      <c r="J279" s="252">
        <v>3</v>
      </c>
      <c r="K279" s="252">
        <v>3</v>
      </c>
      <c r="L279" s="253">
        <v>3</v>
      </c>
      <c r="M279" s="254">
        <f t="shared" si="9"/>
        <v>1.123005955058592</v>
      </c>
      <c r="N279" s="255"/>
    </row>
    <row r="280" spans="1:14" hidden="1" x14ac:dyDescent="0.2">
      <c r="A280" s="246" t="s">
        <v>264</v>
      </c>
      <c r="B280" s="448" t="s">
        <v>465</v>
      </c>
      <c r="C280" s="422" t="s">
        <v>24</v>
      </c>
      <c r="D280" s="252" t="s">
        <v>135</v>
      </c>
      <c r="E280" s="423">
        <v>2.5022563325537732E-3</v>
      </c>
      <c r="F280" s="250" t="s">
        <v>133</v>
      </c>
      <c r="G280" s="251"/>
      <c r="H280" s="252">
        <v>1</v>
      </c>
      <c r="I280" s="252">
        <v>2</v>
      </c>
      <c r="J280" s="252">
        <v>3</v>
      </c>
      <c r="K280" s="252">
        <v>3</v>
      </c>
      <c r="L280" s="253">
        <v>3</v>
      </c>
      <c r="M280" s="254">
        <f t="shared" si="9"/>
        <v>1.123005955058592</v>
      </c>
      <c r="N280" s="255"/>
    </row>
    <row r="281" spans="1:14" hidden="1" x14ac:dyDescent="0.2">
      <c r="A281" s="246" t="s">
        <v>264</v>
      </c>
      <c r="B281" s="448" t="s">
        <v>465</v>
      </c>
      <c r="C281" s="422" t="s">
        <v>24</v>
      </c>
      <c r="D281" s="252" t="s">
        <v>135</v>
      </c>
      <c r="E281" s="423">
        <v>3.1862063967851378E-2</v>
      </c>
      <c r="F281" s="250" t="s">
        <v>133</v>
      </c>
      <c r="G281" s="251"/>
      <c r="H281" s="252">
        <v>1</v>
      </c>
      <c r="I281" s="252">
        <v>2</v>
      </c>
      <c r="J281" s="252">
        <v>3</v>
      </c>
      <c r="K281" s="252">
        <v>3</v>
      </c>
      <c r="L281" s="253">
        <v>3</v>
      </c>
      <c r="M281" s="254">
        <f t="shared" si="9"/>
        <v>1.123005955058592</v>
      </c>
      <c r="N281" s="255"/>
    </row>
    <row r="282" spans="1:14" hidden="1" x14ac:dyDescent="0.2">
      <c r="A282" s="246" t="s">
        <v>264</v>
      </c>
      <c r="B282" s="448" t="s">
        <v>465</v>
      </c>
      <c r="C282" s="422" t="s">
        <v>25</v>
      </c>
      <c r="D282" s="252" t="s">
        <v>135</v>
      </c>
      <c r="E282" s="423">
        <v>1.510655818702856E-3</v>
      </c>
      <c r="F282" s="250" t="s">
        <v>133</v>
      </c>
      <c r="G282" s="251"/>
      <c r="H282" s="252">
        <v>1</v>
      </c>
      <c r="I282" s="252">
        <v>2</v>
      </c>
      <c r="J282" s="252">
        <v>3</v>
      </c>
      <c r="K282" s="252">
        <v>3</v>
      </c>
      <c r="L282" s="253">
        <v>3</v>
      </c>
      <c r="M282" s="254">
        <f t="shared" si="9"/>
        <v>1.123005955058592</v>
      </c>
      <c r="N282" s="255"/>
    </row>
    <row r="283" spans="1:14" hidden="1" x14ac:dyDescent="0.2">
      <c r="A283" s="246" t="s">
        <v>264</v>
      </c>
      <c r="B283" s="448" t="s">
        <v>465</v>
      </c>
      <c r="C283" s="422" t="s">
        <v>25</v>
      </c>
      <c r="D283" s="252" t="s">
        <v>135</v>
      </c>
      <c r="E283" s="423">
        <v>1.9235684091483029E-2</v>
      </c>
      <c r="F283" s="250" t="s">
        <v>133</v>
      </c>
      <c r="G283" s="251"/>
      <c r="H283" s="252">
        <v>1</v>
      </c>
      <c r="I283" s="252">
        <v>2</v>
      </c>
      <c r="J283" s="252">
        <v>3</v>
      </c>
      <c r="K283" s="252">
        <v>3</v>
      </c>
      <c r="L283" s="253">
        <v>3</v>
      </c>
      <c r="M283" s="254">
        <f t="shared" si="9"/>
        <v>1.123005955058592</v>
      </c>
      <c r="N283" s="255"/>
    </row>
    <row r="284" spans="1:14" hidden="1" x14ac:dyDescent="0.2">
      <c r="A284" s="246" t="s">
        <v>264</v>
      </c>
      <c r="B284" s="448" t="s">
        <v>465</v>
      </c>
      <c r="C284" s="422" t="s">
        <v>26</v>
      </c>
      <c r="D284" s="252" t="s">
        <v>135</v>
      </c>
      <c r="E284" s="423">
        <v>1.262887446885602E-3</v>
      </c>
      <c r="F284" s="250" t="s">
        <v>133</v>
      </c>
      <c r="G284" s="251"/>
      <c r="H284" s="252">
        <v>1</v>
      </c>
      <c r="I284" s="252">
        <v>2</v>
      </c>
      <c r="J284" s="252">
        <v>3</v>
      </c>
      <c r="K284" s="252">
        <v>3</v>
      </c>
      <c r="L284" s="253">
        <v>3</v>
      </c>
      <c r="M284" s="254">
        <f t="shared" si="9"/>
        <v>1.123005955058592</v>
      </c>
      <c r="N284" s="255"/>
    </row>
    <row r="285" spans="1:14" hidden="1" x14ac:dyDescent="0.2">
      <c r="A285" s="246" t="s">
        <v>264</v>
      </c>
      <c r="B285" s="448" t="s">
        <v>465</v>
      </c>
      <c r="C285" s="422" t="s">
        <v>26</v>
      </c>
      <c r="D285" s="252" t="s">
        <v>135</v>
      </c>
      <c r="E285" s="423">
        <v>1.6080766823676668E-2</v>
      </c>
      <c r="F285" s="250" t="s">
        <v>133</v>
      </c>
      <c r="G285" s="251"/>
      <c r="H285" s="252">
        <v>1</v>
      </c>
      <c r="I285" s="252">
        <v>2</v>
      </c>
      <c r="J285" s="252">
        <v>3</v>
      </c>
      <c r="K285" s="252">
        <v>3</v>
      </c>
      <c r="L285" s="253">
        <v>3</v>
      </c>
      <c r="M285" s="254">
        <f t="shared" si="9"/>
        <v>1.123005955058592</v>
      </c>
      <c r="N285" s="255"/>
    </row>
    <row r="286" spans="1:14" hidden="1" x14ac:dyDescent="0.2">
      <c r="A286" s="246" t="s">
        <v>264</v>
      </c>
      <c r="B286" s="448" t="s">
        <v>465</v>
      </c>
      <c r="C286" s="422" t="s">
        <v>27</v>
      </c>
      <c r="D286" s="252" t="s">
        <v>135</v>
      </c>
      <c r="E286" s="423">
        <v>1.1675121051418029E-3</v>
      </c>
      <c r="F286" s="250" t="s">
        <v>133</v>
      </c>
      <c r="G286" s="251"/>
      <c r="H286" s="252">
        <v>1</v>
      </c>
      <c r="I286" s="252">
        <v>2</v>
      </c>
      <c r="J286" s="252">
        <v>3</v>
      </c>
      <c r="K286" s="252">
        <v>3</v>
      </c>
      <c r="L286" s="253">
        <v>3</v>
      </c>
      <c r="M286" s="254">
        <f t="shared" si="9"/>
        <v>1.123005955058592</v>
      </c>
      <c r="N286" s="255"/>
    </row>
    <row r="287" spans="1:14" hidden="1" x14ac:dyDescent="0.2">
      <c r="A287" s="246" t="s">
        <v>264</v>
      </c>
      <c r="B287" s="448" t="s">
        <v>465</v>
      </c>
      <c r="C287" s="422" t="s">
        <v>27</v>
      </c>
      <c r="D287" s="252" t="s">
        <v>135</v>
      </c>
      <c r="E287" s="423">
        <v>1.4866320805472301E-2</v>
      </c>
      <c r="F287" s="250" t="s">
        <v>133</v>
      </c>
      <c r="G287" s="251"/>
      <c r="H287" s="252">
        <v>1</v>
      </c>
      <c r="I287" s="252">
        <v>2</v>
      </c>
      <c r="J287" s="252">
        <v>3</v>
      </c>
      <c r="K287" s="252">
        <v>3</v>
      </c>
      <c r="L287" s="253">
        <v>3</v>
      </c>
      <c r="M287" s="254">
        <f t="shared" si="9"/>
        <v>1.123005955058592</v>
      </c>
      <c r="N287" s="255"/>
    </row>
    <row r="288" spans="1:14" hidden="1" x14ac:dyDescent="0.2">
      <c r="A288" s="246" t="s">
        <v>264</v>
      </c>
      <c r="B288" s="448" t="s">
        <v>465</v>
      </c>
      <c r="C288" s="422" t="s">
        <v>28</v>
      </c>
      <c r="D288" s="252" t="s">
        <v>135</v>
      </c>
      <c r="E288" s="423">
        <v>2.4974472149939058E-3</v>
      </c>
      <c r="F288" s="250" t="s">
        <v>133</v>
      </c>
      <c r="G288" s="251"/>
      <c r="H288" s="252">
        <v>1</v>
      </c>
      <c r="I288" s="252">
        <v>2</v>
      </c>
      <c r="J288" s="252">
        <v>3</v>
      </c>
      <c r="K288" s="252">
        <v>3</v>
      </c>
      <c r="L288" s="253">
        <v>3</v>
      </c>
      <c r="M288" s="254">
        <f t="shared" si="9"/>
        <v>1.123005955058592</v>
      </c>
      <c r="N288" s="255"/>
    </row>
    <row r="289" spans="1:14" hidden="1" x14ac:dyDescent="0.2">
      <c r="A289" s="246" t="s">
        <v>264</v>
      </c>
      <c r="B289" s="448" t="s">
        <v>465</v>
      </c>
      <c r="C289" s="422" t="s">
        <v>28</v>
      </c>
      <c r="D289" s="252" t="s">
        <v>135</v>
      </c>
      <c r="E289" s="423">
        <v>3.1800827870922407E-2</v>
      </c>
      <c r="F289" s="250" t="s">
        <v>133</v>
      </c>
      <c r="G289" s="251"/>
      <c r="H289" s="252">
        <v>1</v>
      </c>
      <c r="I289" s="252">
        <v>2</v>
      </c>
      <c r="J289" s="252">
        <v>3</v>
      </c>
      <c r="K289" s="252">
        <v>3</v>
      </c>
      <c r="L289" s="253">
        <v>3</v>
      </c>
      <c r="M289" s="254">
        <f t="shared" si="9"/>
        <v>1.123005955058592</v>
      </c>
      <c r="N289" s="255"/>
    </row>
    <row r="290" spans="1:14" hidden="1" x14ac:dyDescent="0.2">
      <c r="A290" s="246" t="s">
        <v>264</v>
      </c>
      <c r="B290" s="448" t="s">
        <v>465</v>
      </c>
      <c r="C290" s="422" t="s">
        <v>30</v>
      </c>
      <c r="D290" s="252" t="s">
        <v>135</v>
      </c>
      <c r="E290" s="423">
        <v>1.5E-3</v>
      </c>
      <c r="F290" s="250" t="s">
        <v>133</v>
      </c>
      <c r="G290" s="251"/>
      <c r="H290" s="252">
        <v>1</v>
      </c>
      <c r="I290" s="252">
        <v>2</v>
      </c>
      <c r="J290" s="252">
        <v>3</v>
      </c>
      <c r="K290" s="252">
        <v>3</v>
      </c>
      <c r="L290" s="253">
        <v>3</v>
      </c>
      <c r="M290" s="254">
        <f t="shared" si="9"/>
        <v>1.123005955058592</v>
      </c>
      <c r="N290" s="255"/>
    </row>
    <row r="291" spans="1:14" hidden="1" x14ac:dyDescent="0.2">
      <c r="A291" s="246" t="s">
        <v>264</v>
      </c>
      <c r="B291" s="448" t="s">
        <v>465</v>
      </c>
      <c r="C291" s="422" t="s">
        <v>30</v>
      </c>
      <c r="D291" s="252" t="s">
        <v>135</v>
      </c>
      <c r="E291" s="423">
        <v>1.9099999999999999E-2</v>
      </c>
      <c r="F291" s="250" t="s">
        <v>133</v>
      </c>
      <c r="G291" s="251"/>
      <c r="H291" s="252">
        <v>1</v>
      </c>
      <c r="I291" s="252">
        <v>2</v>
      </c>
      <c r="J291" s="252">
        <v>3</v>
      </c>
      <c r="K291" s="252">
        <v>3</v>
      </c>
      <c r="L291" s="253">
        <v>3</v>
      </c>
      <c r="M291" s="254">
        <f t="shared" si="9"/>
        <v>1.123005955058592</v>
      </c>
      <c r="N291" s="255"/>
    </row>
    <row r="292" spans="1:14" hidden="1" x14ac:dyDescent="0.2">
      <c r="A292" s="246" t="s">
        <v>264</v>
      </c>
      <c r="B292" s="448" t="s">
        <v>465</v>
      </c>
      <c r="C292" s="422" t="s">
        <v>32</v>
      </c>
      <c r="D292" s="252" t="s">
        <v>135</v>
      </c>
      <c r="E292" s="423">
        <v>4.7344938897855666E-3</v>
      </c>
      <c r="F292" s="250" t="s">
        <v>133</v>
      </c>
      <c r="G292" s="251"/>
      <c r="H292" s="252">
        <v>1</v>
      </c>
      <c r="I292" s="252">
        <v>2</v>
      </c>
      <c r="J292" s="252">
        <v>3</v>
      </c>
      <c r="K292" s="252">
        <v>3</v>
      </c>
      <c r="L292" s="253">
        <v>3</v>
      </c>
      <c r="M292" s="254">
        <f t="shared" si="9"/>
        <v>1.123005955058592</v>
      </c>
      <c r="N292" s="255"/>
    </row>
    <row r="293" spans="1:14" hidden="1" x14ac:dyDescent="0.2">
      <c r="A293" s="246" t="s">
        <v>264</v>
      </c>
      <c r="B293" s="448" t="s">
        <v>465</v>
      </c>
      <c r="C293" s="422" t="s">
        <v>32</v>
      </c>
      <c r="D293" s="252" t="s">
        <v>135</v>
      </c>
      <c r="E293" s="423">
        <v>6.0285888863269549E-2</v>
      </c>
      <c r="F293" s="250" t="s">
        <v>133</v>
      </c>
      <c r="G293" s="251"/>
      <c r="H293" s="252">
        <v>1</v>
      </c>
      <c r="I293" s="252">
        <v>2</v>
      </c>
      <c r="J293" s="252">
        <v>3</v>
      </c>
      <c r="K293" s="252">
        <v>3</v>
      </c>
      <c r="L293" s="253">
        <v>3</v>
      </c>
      <c r="M293" s="254">
        <f t="shared" si="9"/>
        <v>1.123005955058592</v>
      </c>
      <c r="N293" s="255"/>
    </row>
    <row r="294" spans="1:14" hidden="1" x14ac:dyDescent="0.2">
      <c r="A294" s="246" t="s">
        <v>264</v>
      </c>
      <c r="B294" s="448" t="s">
        <v>465</v>
      </c>
      <c r="C294" s="422" t="s">
        <v>34</v>
      </c>
      <c r="D294" s="252" t="s">
        <v>135</v>
      </c>
      <c r="E294" s="423">
        <v>2.3875951118284529E-3</v>
      </c>
      <c r="F294" s="250" t="s">
        <v>133</v>
      </c>
      <c r="G294" s="251"/>
      <c r="H294" s="252">
        <v>1</v>
      </c>
      <c r="I294" s="252">
        <v>2</v>
      </c>
      <c r="J294" s="252">
        <v>3</v>
      </c>
      <c r="K294" s="252">
        <v>3</v>
      </c>
      <c r="L294" s="253">
        <v>3</v>
      </c>
      <c r="M294" s="254">
        <f t="shared" si="9"/>
        <v>1.123005955058592</v>
      </c>
      <c r="N294" s="255"/>
    </row>
    <row r="295" spans="1:14" hidden="1" x14ac:dyDescent="0.2">
      <c r="A295" s="246" t="s">
        <v>264</v>
      </c>
      <c r="B295" s="448" t="s">
        <v>465</v>
      </c>
      <c r="C295" s="422" t="s">
        <v>34</v>
      </c>
      <c r="D295" s="252" t="s">
        <v>135</v>
      </c>
      <c r="E295" s="423">
        <v>3.0402044423948969E-2</v>
      </c>
      <c r="F295" s="250" t="s">
        <v>133</v>
      </c>
      <c r="G295" s="251"/>
      <c r="H295" s="252">
        <v>1</v>
      </c>
      <c r="I295" s="252">
        <v>2</v>
      </c>
      <c r="J295" s="252">
        <v>3</v>
      </c>
      <c r="K295" s="252">
        <v>3</v>
      </c>
      <c r="L295" s="253">
        <v>3</v>
      </c>
      <c r="M295" s="254">
        <f t="shared" si="9"/>
        <v>1.123005955058592</v>
      </c>
      <c r="N295" s="255"/>
    </row>
    <row r="296" spans="1:14" hidden="1" x14ac:dyDescent="0.2">
      <c r="A296" s="246" t="s">
        <v>264</v>
      </c>
      <c r="B296" s="448" t="s">
        <v>465</v>
      </c>
      <c r="C296" s="422" t="s">
        <v>36</v>
      </c>
      <c r="D296" s="252" t="s">
        <v>135</v>
      </c>
      <c r="E296" s="423">
        <v>1.4018248295398399E-3</v>
      </c>
      <c r="F296" s="250" t="s">
        <v>133</v>
      </c>
      <c r="G296" s="251"/>
      <c r="H296" s="252">
        <v>1</v>
      </c>
      <c r="I296" s="252">
        <v>2</v>
      </c>
      <c r="J296" s="252">
        <v>3</v>
      </c>
      <c r="K296" s="252">
        <v>3</v>
      </c>
      <c r="L296" s="253">
        <v>3</v>
      </c>
      <c r="M296" s="254">
        <f t="shared" si="9"/>
        <v>1.123005955058592</v>
      </c>
      <c r="N296" s="255"/>
    </row>
    <row r="297" spans="1:14" hidden="1" x14ac:dyDescent="0.2">
      <c r="A297" s="246" t="s">
        <v>264</v>
      </c>
      <c r="B297" s="448" t="s">
        <v>465</v>
      </c>
      <c r="C297" s="422" t="s">
        <v>36</v>
      </c>
      <c r="D297" s="252" t="s">
        <v>135</v>
      </c>
      <c r="E297" s="423">
        <v>1.784990282947397E-2</v>
      </c>
      <c r="F297" s="250" t="s">
        <v>133</v>
      </c>
      <c r="G297" s="251"/>
      <c r="H297" s="252">
        <v>1</v>
      </c>
      <c r="I297" s="252">
        <v>2</v>
      </c>
      <c r="J297" s="252">
        <v>3</v>
      </c>
      <c r="K297" s="252">
        <v>3</v>
      </c>
      <c r="L297" s="253">
        <v>3</v>
      </c>
      <c r="M297" s="254">
        <f t="shared" si="9"/>
        <v>1.123005955058592</v>
      </c>
      <c r="N297" s="255"/>
    </row>
    <row r="298" spans="1:14" hidden="1" x14ac:dyDescent="0.2">
      <c r="A298" s="246" t="s">
        <v>264</v>
      </c>
      <c r="B298" s="448" t="s">
        <v>465</v>
      </c>
      <c r="C298" s="422" t="s">
        <v>37</v>
      </c>
      <c r="D298" s="252" t="s">
        <v>135</v>
      </c>
      <c r="E298" s="423">
        <v>3.4927369149181462E-3</v>
      </c>
      <c r="F298" s="250" t="s">
        <v>133</v>
      </c>
      <c r="G298" s="251"/>
      <c r="H298" s="252">
        <v>1</v>
      </c>
      <c r="I298" s="252">
        <v>2</v>
      </c>
      <c r="J298" s="252">
        <v>3</v>
      </c>
      <c r="K298" s="252">
        <v>3</v>
      </c>
      <c r="L298" s="253">
        <v>3</v>
      </c>
      <c r="M298" s="254">
        <f t="shared" si="9"/>
        <v>1.123005955058592</v>
      </c>
      <c r="N298" s="255"/>
    </row>
    <row r="299" spans="1:14" hidden="1" x14ac:dyDescent="0.2">
      <c r="A299" s="246" t="s">
        <v>264</v>
      </c>
      <c r="B299" s="448" t="s">
        <v>465</v>
      </c>
      <c r="C299" s="422" t="s">
        <v>37</v>
      </c>
      <c r="D299" s="252" t="s">
        <v>135</v>
      </c>
      <c r="E299" s="423">
        <v>4.4474183383291059E-2</v>
      </c>
      <c r="F299" s="250" t="s">
        <v>133</v>
      </c>
      <c r="G299" s="251"/>
      <c r="H299" s="252">
        <v>1</v>
      </c>
      <c r="I299" s="252">
        <v>2</v>
      </c>
      <c r="J299" s="252">
        <v>3</v>
      </c>
      <c r="K299" s="252">
        <v>3</v>
      </c>
      <c r="L299" s="253">
        <v>3</v>
      </c>
      <c r="M299" s="254">
        <f t="shared" si="9"/>
        <v>1.123005955058592</v>
      </c>
      <c r="N299" s="255"/>
    </row>
    <row r="300" spans="1:14" hidden="1" x14ac:dyDescent="0.2">
      <c r="A300" s="246" t="s">
        <v>264</v>
      </c>
      <c r="B300" s="448" t="s">
        <v>465</v>
      </c>
      <c r="C300" s="422" t="s">
        <v>39</v>
      </c>
      <c r="D300" s="252" t="s">
        <v>135</v>
      </c>
      <c r="E300" s="423">
        <v>1.5892321881484899E-3</v>
      </c>
      <c r="F300" s="250" t="s">
        <v>133</v>
      </c>
      <c r="G300" s="251"/>
      <c r="H300" s="252">
        <v>1</v>
      </c>
      <c r="I300" s="252">
        <v>2</v>
      </c>
      <c r="J300" s="252">
        <v>3</v>
      </c>
      <c r="K300" s="252">
        <v>3</v>
      </c>
      <c r="L300" s="253">
        <v>3</v>
      </c>
      <c r="M300" s="254">
        <f t="shared" si="9"/>
        <v>1.123005955058592</v>
      </c>
      <c r="N300" s="255"/>
    </row>
    <row r="301" spans="1:14" hidden="1" x14ac:dyDescent="0.2">
      <c r="A301" s="246" t="s">
        <v>264</v>
      </c>
      <c r="B301" s="448" t="s">
        <v>465</v>
      </c>
      <c r="C301" s="422" t="s">
        <v>39</v>
      </c>
      <c r="D301" s="252" t="s">
        <v>135</v>
      </c>
      <c r="E301" s="423">
        <v>2.0236223195757439E-2</v>
      </c>
      <c r="F301" s="250" t="s">
        <v>133</v>
      </c>
      <c r="G301" s="251"/>
      <c r="H301" s="252">
        <v>1</v>
      </c>
      <c r="I301" s="252">
        <v>2</v>
      </c>
      <c r="J301" s="252">
        <v>3</v>
      </c>
      <c r="K301" s="252">
        <v>3</v>
      </c>
      <c r="L301" s="253">
        <v>3</v>
      </c>
      <c r="M301" s="254">
        <f t="shared" si="9"/>
        <v>1.123005955058592</v>
      </c>
      <c r="N301" s="255"/>
    </row>
    <row r="302" spans="1:14" hidden="1" x14ac:dyDescent="0.2">
      <c r="A302" s="246" t="s">
        <v>264</v>
      </c>
      <c r="B302" s="448" t="s">
        <v>465</v>
      </c>
      <c r="C302" s="422" t="s">
        <v>40</v>
      </c>
      <c r="D302" s="252" t="s">
        <v>135</v>
      </c>
      <c r="E302" s="423">
        <v>1.6319378108633361E-3</v>
      </c>
      <c r="F302" s="250" t="s">
        <v>133</v>
      </c>
      <c r="G302" s="251"/>
      <c r="H302" s="252">
        <v>1</v>
      </c>
      <c r="I302" s="252">
        <v>2</v>
      </c>
      <c r="J302" s="252">
        <v>3</v>
      </c>
      <c r="K302" s="252">
        <v>3</v>
      </c>
      <c r="L302" s="253">
        <v>3</v>
      </c>
      <c r="M302" s="254">
        <f t="shared" si="9"/>
        <v>1.123005955058592</v>
      </c>
      <c r="N302" s="255"/>
    </row>
    <row r="303" spans="1:14" hidden="1" x14ac:dyDescent="0.2">
      <c r="A303" s="246" t="s">
        <v>264</v>
      </c>
      <c r="B303" s="448" t="s">
        <v>465</v>
      </c>
      <c r="C303" s="422" t="s">
        <v>40</v>
      </c>
      <c r="D303" s="252" t="s">
        <v>135</v>
      </c>
      <c r="E303" s="423">
        <v>2.078000812499315E-2</v>
      </c>
      <c r="F303" s="250" t="s">
        <v>133</v>
      </c>
      <c r="G303" s="251"/>
      <c r="H303" s="252">
        <v>1</v>
      </c>
      <c r="I303" s="252">
        <v>2</v>
      </c>
      <c r="J303" s="252">
        <v>3</v>
      </c>
      <c r="K303" s="252">
        <v>3</v>
      </c>
      <c r="L303" s="253">
        <v>3</v>
      </c>
      <c r="M303" s="254">
        <f t="shared" si="9"/>
        <v>1.123005955058592</v>
      </c>
      <c r="N303" s="255"/>
    </row>
    <row r="304" spans="1:14" hidden="1" x14ac:dyDescent="0.2">
      <c r="A304" s="246" t="s">
        <v>264</v>
      </c>
      <c r="B304" s="448" t="s">
        <v>465</v>
      </c>
      <c r="C304" s="422" t="s">
        <v>41</v>
      </c>
      <c r="D304" s="252" t="s">
        <v>135</v>
      </c>
      <c r="E304" s="423">
        <v>2.0270101123225411E-3</v>
      </c>
      <c r="F304" s="250" t="s">
        <v>133</v>
      </c>
      <c r="G304" s="251"/>
      <c r="H304" s="252">
        <v>1</v>
      </c>
      <c r="I304" s="252">
        <v>2</v>
      </c>
      <c r="J304" s="252">
        <v>3</v>
      </c>
      <c r="K304" s="252">
        <v>3</v>
      </c>
      <c r="L304" s="253">
        <v>3</v>
      </c>
      <c r="M304" s="254">
        <f t="shared" ref="M304:M334" si="10">IF( OR( ISBLANK(H304),ISBLANK(I304), ISBLANK(J304), ISBLANK(K304), ISBLANK(L304) ), "", 1.5*SQRT( EXP(2.21*(H304-1)) + EXP(2.21*(I304-1)) + EXP(2.21*(J304-1)) + EXP(2.21*(K304-1)) + EXP(2.21*L304) )/100*2.45 )</f>
        <v>1.123005955058592</v>
      </c>
      <c r="N304" s="255"/>
    </row>
    <row r="305" spans="1:14" hidden="1" x14ac:dyDescent="0.2">
      <c r="A305" s="246" t="s">
        <v>264</v>
      </c>
      <c r="B305" s="448" t="s">
        <v>465</v>
      </c>
      <c r="C305" s="422" t="s">
        <v>41</v>
      </c>
      <c r="D305" s="252" t="s">
        <v>135</v>
      </c>
      <c r="E305" s="423">
        <v>2.5810595430240349E-2</v>
      </c>
      <c r="F305" s="250" t="s">
        <v>133</v>
      </c>
      <c r="G305" s="251"/>
      <c r="H305" s="252">
        <v>1</v>
      </c>
      <c r="I305" s="252">
        <v>2</v>
      </c>
      <c r="J305" s="252">
        <v>3</v>
      </c>
      <c r="K305" s="252">
        <v>3</v>
      </c>
      <c r="L305" s="253">
        <v>3</v>
      </c>
      <c r="M305" s="254">
        <f t="shared" si="10"/>
        <v>1.123005955058592</v>
      </c>
      <c r="N305" s="255"/>
    </row>
    <row r="306" spans="1:14" hidden="1" x14ac:dyDescent="0.2">
      <c r="A306" s="246" t="s">
        <v>264</v>
      </c>
      <c r="B306" s="448" t="s">
        <v>465</v>
      </c>
      <c r="C306" s="422" t="s">
        <v>42</v>
      </c>
      <c r="D306" s="252" t="s">
        <v>135</v>
      </c>
      <c r="E306" s="423">
        <v>1.01162752396324E-3</v>
      </c>
      <c r="F306" s="250" t="s">
        <v>133</v>
      </c>
      <c r="G306" s="251"/>
      <c r="H306" s="252">
        <v>1</v>
      </c>
      <c r="I306" s="252">
        <v>2</v>
      </c>
      <c r="J306" s="252">
        <v>3</v>
      </c>
      <c r="K306" s="252">
        <v>3</v>
      </c>
      <c r="L306" s="253">
        <v>3</v>
      </c>
      <c r="M306" s="254">
        <f t="shared" si="10"/>
        <v>1.123005955058592</v>
      </c>
      <c r="N306" s="255"/>
    </row>
    <row r="307" spans="1:14" hidden="1" x14ac:dyDescent="0.2">
      <c r="A307" s="246" t="s">
        <v>264</v>
      </c>
      <c r="B307" s="448" t="s">
        <v>465</v>
      </c>
      <c r="C307" s="422" t="s">
        <v>42</v>
      </c>
      <c r="D307" s="252" t="s">
        <v>135</v>
      </c>
      <c r="E307" s="423">
        <v>1.2881390471798589E-2</v>
      </c>
      <c r="F307" s="250" t="s">
        <v>133</v>
      </c>
      <c r="G307" s="251"/>
      <c r="H307" s="252">
        <v>1</v>
      </c>
      <c r="I307" s="252">
        <v>2</v>
      </c>
      <c r="J307" s="252">
        <v>3</v>
      </c>
      <c r="K307" s="252">
        <v>3</v>
      </c>
      <c r="L307" s="253">
        <v>3</v>
      </c>
      <c r="M307" s="254">
        <f t="shared" si="10"/>
        <v>1.123005955058592</v>
      </c>
      <c r="N307" s="255"/>
    </row>
    <row r="308" spans="1:14" hidden="1" x14ac:dyDescent="0.2">
      <c r="A308" s="246" t="s">
        <v>264</v>
      </c>
      <c r="B308" s="448" t="s">
        <v>465</v>
      </c>
      <c r="C308" s="422" t="s">
        <v>43</v>
      </c>
      <c r="D308" s="252" t="s">
        <v>135</v>
      </c>
      <c r="E308" s="423">
        <v>1.8618860963799859E-3</v>
      </c>
      <c r="F308" s="250" t="s">
        <v>133</v>
      </c>
      <c r="G308" s="251"/>
      <c r="H308" s="252">
        <v>1</v>
      </c>
      <c r="I308" s="252">
        <v>2</v>
      </c>
      <c r="J308" s="252">
        <v>3</v>
      </c>
      <c r="K308" s="252">
        <v>3</v>
      </c>
      <c r="L308" s="253">
        <v>3</v>
      </c>
      <c r="M308" s="254">
        <f t="shared" si="10"/>
        <v>1.123005955058592</v>
      </c>
      <c r="N308" s="255"/>
    </row>
    <row r="309" spans="1:14" hidden="1" x14ac:dyDescent="0.2">
      <c r="A309" s="246" t="s">
        <v>264</v>
      </c>
      <c r="B309" s="448" t="s">
        <v>465</v>
      </c>
      <c r="C309" s="422" t="s">
        <v>43</v>
      </c>
      <c r="D309" s="252" t="s">
        <v>135</v>
      </c>
      <c r="E309" s="423">
        <v>2.3708016293905159E-2</v>
      </c>
      <c r="F309" s="250" t="s">
        <v>133</v>
      </c>
      <c r="G309" s="251"/>
      <c r="H309" s="252">
        <v>1</v>
      </c>
      <c r="I309" s="252">
        <v>2</v>
      </c>
      <c r="J309" s="252">
        <v>3</v>
      </c>
      <c r="K309" s="252">
        <v>3</v>
      </c>
      <c r="L309" s="253">
        <v>3</v>
      </c>
      <c r="M309" s="254">
        <f t="shared" si="10"/>
        <v>1.123005955058592</v>
      </c>
      <c r="N309" s="255"/>
    </row>
    <row r="310" spans="1:14" x14ac:dyDescent="0.2">
      <c r="A310" s="246" t="s">
        <v>264</v>
      </c>
      <c r="B310" s="448" t="s">
        <v>465</v>
      </c>
      <c r="C310" s="422" t="s">
        <v>45</v>
      </c>
      <c r="D310" s="252" t="s">
        <v>135</v>
      </c>
      <c r="E310" s="423">
        <v>1.066339470997069E-3</v>
      </c>
      <c r="F310" s="250" t="s">
        <v>133</v>
      </c>
      <c r="G310" s="251"/>
      <c r="H310" s="252">
        <v>1</v>
      </c>
      <c r="I310" s="252">
        <v>2</v>
      </c>
      <c r="J310" s="252">
        <v>3</v>
      </c>
      <c r="K310" s="252">
        <v>3</v>
      </c>
      <c r="L310" s="253">
        <v>3</v>
      </c>
      <c r="M310" s="254">
        <f t="shared" si="10"/>
        <v>1.123005955058592</v>
      </c>
      <c r="N310" s="255"/>
    </row>
    <row r="311" spans="1:14" x14ac:dyDescent="0.2">
      <c r="A311" s="246" t="s">
        <v>264</v>
      </c>
      <c r="B311" s="448" t="s">
        <v>465</v>
      </c>
      <c r="C311" s="422" t="s">
        <v>45</v>
      </c>
      <c r="D311" s="252" t="s">
        <v>135</v>
      </c>
      <c r="E311" s="423">
        <v>1.357805593069601E-2</v>
      </c>
      <c r="F311" s="250" t="s">
        <v>133</v>
      </c>
      <c r="G311" s="251"/>
      <c r="H311" s="252">
        <v>1</v>
      </c>
      <c r="I311" s="252">
        <v>2</v>
      </c>
      <c r="J311" s="252">
        <v>3</v>
      </c>
      <c r="K311" s="252">
        <v>3</v>
      </c>
      <c r="L311" s="253">
        <v>3</v>
      </c>
      <c r="M311" s="254">
        <f t="shared" si="10"/>
        <v>1.123005955058592</v>
      </c>
      <c r="N311" s="255"/>
    </row>
    <row r="312" spans="1:14" hidden="1" x14ac:dyDescent="0.2">
      <c r="A312" s="246" t="s">
        <v>264</v>
      </c>
      <c r="B312" s="448" t="s">
        <v>465</v>
      </c>
      <c r="C312" s="422" t="s">
        <v>46</v>
      </c>
      <c r="D312" s="252" t="s">
        <v>135</v>
      </c>
      <c r="E312" s="423">
        <v>3.3239731216443218E-3</v>
      </c>
      <c r="F312" s="250" t="s">
        <v>133</v>
      </c>
      <c r="G312" s="251"/>
      <c r="H312" s="252">
        <v>1</v>
      </c>
      <c r="I312" s="252">
        <v>2</v>
      </c>
      <c r="J312" s="252">
        <v>3</v>
      </c>
      <c r="K312" s="252">
        <v>3</v>
      </c>
      <c r="L312" s="253">
        <v>3</v>
      </c>
      <c r="M312" s="254">
        <f t="shared" si="10"/>
        <v>1.123005955058592</v>
      </c>
      <c r="N312" s="255"/>
    </row>
    <row r="313" spans="1:14" hidden="1" x14ac:dyDescent="0.2">
      <c r="A313" s="246" t="s">
        <v>264</v>
      </c>
      <c r="B313" s="448" t="s">
        <v>465</v>
      </c>
      <c r="C313" s="422" t="s">
        <v>46</v>
      </c>
      <c r="D313" s="252" t="s">
        <v>135</v>
      </c>
      <c r="E313" s="423">
        <v>4.2325257748937702E-2</v>
      </c>
      <c r="F313" s="250" t="s">
        <v>133</v>
      </c>
      <c r="G313" s="251"/>
      <c r="H313" s="252">
        <v>1</v>
      </c>
      <c r="I313" s="252">
        <v>2</v>
      </c>
      <c r="J313" s="252">
        <v>3</v>
      </c>
      <c r="K313" s="252">
        <v>3</v>
      </c>
      <c r="L313" s="253">
        <v>3</v>
      </c>
      <c r="M313" s="254">
        <f t="shared" si="10"/>
        <v>1.123005955058592</v>
      </c>
      <c r="N313" s="255"/>
    </row>
    <row r="314" spans="1:14" hidden="1" x14ac:dyDescent="0.2">
      <c r="A314" s="246" t="s">
        <v>264</v>
      </c>
      <c r="B314" s="448" t="s">
        <v>465</v>
      </c>
      <c r="C314" s="422" t="s">
        <v>48</v>
      </c>
      <c r="D314" s="252" t="s">
        <v>135</v>
      </c>
      <c r="E314" s="423">
        <v>2.852597252873942E-3</v>
      </c>
      <c r="F314" s="250" t="s">
        <v>133</v>
      </c>
      <c r="G314" s="251"/>
      <c r="H314" s="252">
        <v>1</v>
      </c>
      <c r="I314" s="252">
        <v>2</v>
      </c>
      <c r="J314" s="252">
        <v>3</v>
      </c>
      <c r="K314" s="252">
        <v>3</v>
      </c>
      <c r="L314" s="253">
        <v>3</v>
      </c>
      <c r="M314" s="254">
        <f t="shared" si="10"/>
        <v>1.123005955058592</v>
      </c>
      <c r="N314" s="255"/>
    </row>
    <row r="315" spans="1:14" hidden="1" x14ac:dyDescent="0.2">
      <c r="A315" s="246" t="s">
        <v>264</v>
      </c>
      <c r="B315" s="448" t="s">
        <v>465</v>
      </c>
      <c r="C315" s="422" t="s">
        <v>48</v>
      </c>
      <c r="D315" s="252" t="s">
        <v>135</v>
      </c>
      <c r="E315" s="423">
        <v>3.6323071686594863E-2</v>
      </c>
      <c r="F315" s="250" t="s">
        <v>133</v>
      </c>
      <c r="G315" s="251"/>
      <c r="H315" s="252">
        <v>1</v>
      </c>
      <c r="I315" s="252">
        <v>2</v>
      </c>
      <c r="J315" s="252">
        <v>3</v>
      </c>
      <c r="K315" s="252">
        <v>3</v>
      </c>
      <c r="L315" s="253">
        <v>3</v>
      </c>
      <c r="M315" s="254">
        <f t="shared" si="10"/>
        <v>1.123005955058592</v>
      </c>
      <c r="N315" s="255"/>
    </row>
    <row r="316" spans="1:14" hidden="1" x14ac:dyDescent="0.2">
      <c r="A316" s="246" t="s">
        <v>264</v>
      </c>
      <c r="B316" s="448" t="s">
        <v>465</v>
      </c>
      <c r="C316" s="422" t="s">
        <v>50</v>
      </c>
      <c r="D316" s="252" t="s">
        <v>135</v>
      </c>
      <c r="E316" s="423">
        <v>3.3290951612371948E-3</v>
      </c>
      <c r="F316" s="250" t="s">
        <v>133</v>
      </c>
      <c r="G316" s="251"/>
      <c r="H316" s="252">
        <v>1</v>
      </c>
      <c r="I316" s="252">
        <v>2</v>
      </c>
      <c r="J316" s="252">
        <v>3</v>
      </c>
      <c r="K316" s="252">
        <v>3</v>
      </c>
      <c r="L316" s="253">
        <v>3</v>
      </c>
      <c r="M316" s="254">
        <f t="shared" si="10"/>
        <v>1.123005955058592</v>
      </c>
      <c r="N316" s="255"/>
    </row>
    <row r="317" spans="1:14" hidden="1" x14ac:dyDescent="0.2">
      <c r="A317" s="246" t="s">
        <v>264</v>
      </c>
      <c r="B317" s="448" t="s">
        <v>465</v>
      </c>
      <c r="C317" s="422" t="s">
        <v>50</v>
      </c>
      <c r="D317" s="252" t="s">
        <v>135</v>
      </c>
      <c r="E317" s="423">
        <v>4.239047838642028E-2</v>
      </c>
      <c r="F317" s="250" t="s">
        <v>133</v>
      </c>
      <c r="G317" s="251"/>
      <c r="H317" s="252">
        <v>1</v>
      </c>
      <c r="I317" s="252">
        <v>2</v>
      </c>
      <c r="J317" s="252">
        <v>3</v>
      </c>
      <c r="K317" s="252">
        <v>3</v>
      </c>
      <c r="L317" s="253">
        <v>3</v>
      </c>
      <c r="M317" s="254">
        <f t="shared" si="10"/>
        <v>1.123005955058592</v>
      </c>
      <c r="N317" s="255"/>
    </row>
    <row r="318" spans="1:14" hidden="1" x14ac:dyDescent="0.2">
      <c r="A318" s="246" t="s">
        <v>264</v>
      </c>
      <c r="B318" s="448" t="s">
        <v>465</v>
      </c>
      <c r="C318" s="422" t="s">
        <v>52</v>
      </c>
      <c r="D318" s="252" t="s">
        <v>135</v>
      </c>
      <c r="E318" s="423">
        <v>3.7221252346915259E-3</v>
      </c>
      <c r="F318" s="250" t="s">
        <v>133</v>
      </c>
      <c r="G318" s="251"/>
      <c r="H318" s="252">
        <v>1</v>
      </c>
      <c r="I318" s="252">
        <v>2</v>
      </c>
      <c r="J318" s="252">
        <v>3</v>
      </c>
      <c r="K318" s="252">
        <v>3</v>
      </c>
      <c r="L318" s="253">
        <v>3</v>
      </c>
      <c r="M318" s="254">
        <f t="shared" si="10"/>
        <v>1.123005955058592</v>
      </c>
      <c r="N318" s="255"/>
    </row>
    <row r="319" spans="1:14" hidden="1" x14ac:dyDescent="0.2">
      <c r="A319" s="246" t="s">
        <v>264</v>
      </c>
      <c r="B319" s="448" t="s">
        <v>465</v>
      </c>
      <c r="C319" s="422" t="s">
        <v>52</v>
      </c>
      <c r="D319" s="252" t="s">
        <v>135</v>
      </c>
      <c r="E319" s="423">
        <v>4.7395061321738763E-2</v>
      </c>
      <c r="F319" s="250" t="s">
        <v>133</v>
      </c>
      <c r="G319" s="251"/>
      <c r="H319" s="252">
        <v>1</v>
      </c>
      <c r="I319" s="252">
        <v>2</v>
      </c>
      <c r="J319" s="252">
        <v>3</v>
      </c>
      <c r="K319" s="252">
        <v>3</v>
      </c>
      <c r="L319" s="253">
        <v>3</v>
      </c>
      <c r="M319" s="254">
        <f t="shared" si="10"/>
        <v>1.123005955058592</v>
      </c>
      <c r="N319" s="255"/>
    </row>
    <row r="320" spans="1:14" hidden="1" x14ac:dyDescent="0.2">
      <c r="A320" s="246" t="s">
        <v>264</v>
      </c>
      <c r="B320" s="448" t="s">
        <v>465</v>
      </c>
      <c r="C320" s="422" t="s">
        <v>54</v>
      </c>
      <c r="D320" s="252" t="s">
        <v>135</v>
      </c>
      <c r="E320" s="423">
        <v>1.5078395204058111E-3</v>
      </c>
      <c r="F320" s="250" t="s">
        <v>133</v>
      </c>
      <c r="G320" s="251"/>
      <c r="H320" s="252">
        <v>1</v>
      </c>
      <c r="I320" s="252">
        <v>2</v>
      </c>
      <c r="J320" s="252">
        <v>3</v>
      </c>
      <c r="K320" s="252">
        <v>3</v>
      </c>
      <c r="L320" s="253">
        <v>3</v>
      </c>
      <c r="M320" s="254">
        <f t="shared" si="10"/>
        <v>1.123005955058592</v>
      </c>
      <c r="N320" s="255"/>
    </row>
    <row r="321" spans="1:14" hidden="1" x14ac:dyDescent="0.2">
      <c r="A321" s="246" t="s">
        <v>264</v>
      </c>
      <c r="B321" s="448" t="s">
        <v>465</v>
      </c>
      <c r="C321" s="422" t="s">
        <v>54</v>
      </c>
      <c r="D321" s="252" t="s">
        <v>135</v>
      </c>
      <c r="E321" s="423">
        <v>1.919982322650066E-2</v>
      </c>
      <c r="F321" s="250" t="s">
        <v>133</v>
      </c>
      <c r="G321" s="251"/>
      <c r="H321" s="252">
        <v>1</v>
      </c>
      <c r="I321" s="252">
        <v>2</v>
      </c>
      <c r="J321" s="252">
        <v>3</v>
      </c>
      <c r="K321" s="252">
        <v>3</v>
      </c>
      <c r="L321" s="253">
        <v>3</v>
      </c>
      <c r="M321" s="254">
        <f t="shared" si="10"/>
        <v>1.123005955058592</v>
      </c>
      <c r="N321" s="255"/>
    </row>
    <row r="322" spans="1:14" hidden="1" x14ac:dyDescent="0.2">
      <c r="A322" s="246" t="s">
        <v>264</v>
      </c>
      <c r="B322" s="448" t="s">
        <v>465</v>
      </c>
      <c r="C322" s="422" t="s">
        <v>55</v>
      </c>
      <c r="D322" s="252" t="s">
        <v>135</v>
      </c>
      <c r="E322" s="423">
        <v>2.172930597186996E-3</v>
      </c>
      <c r="F322" s="250" t="s">
        <v>133</v>
      </c>
      <c r="G322" s="251"/>
      <c r="H322" s="252">
        <v>1</v>
      </c>
      <c r="I322" s="252">
        <v>2</v>
      </c>
      <c r="J322" s="252">
        <v>3</v>
      </c>
      <c r="K322" s="252">
        <v>3</v>
      </c>
      <c r="L322" s="253">
        <v>3</v>
      </c>
      <c r="M322" s="254">
        <f t="shared" si="10"/>
        <v>1.123005955058592</v>
      </c>
      <c r="N322" s="255"/>
    </row>
    <row r="323" spans="1:14" hidden="1" x14ac:dyDescent="0.2">
      <c r="A323" s="246" t="s">
        <v>264</v>
      </c>
      <c r="B323" s="448" t="s">
        <v>465</v>
      </c>
      <c r="C323" s="422" t="s">
        <v>55</v>
      </c>
      <c r="D323" s="252" t="s">
        <v>135</v>
      </c>
      <c r="E323" s="423">
        <v>2.766864960418108E-2</v>
      </c>
      <c r="F323" s="250" t="s">
        <v>133</v>
      </c>
      <c r="G323" s="251"/>
      <c r="H323" s="252">
        <v>1</v>
      </c>
      <c r="I323" s="252">
        <v>2</v>
      </c>
      <c r="J323" s="252">
        <v>3</v>
      </c>
      <c r="K323" s="252">
        <v>3</v>
      </c>
      <c r="L323" s="253">
        <v>3</v>
      </c>
      <c r="M323" s="254">
        <f t="shared" si="10"/>
        <v>1.123005955058592</v>
      </c>
      <c r="N323" s="255"/>
    </row>
    <row r="324" spans="1:14" hidden="1" x14ac:dyDescent="0.2">
      <c r="A324" s="246" t="s">
        <v>264</v>
      </c>
      <c r="B324" s="448" t="s">
        <v>465</v>
      </c>
      <c r="C324" s="422" t="s">
        <v>57</v>
      </c>
      <c r="D324" s="252" t="s">
        <v>135</v>
      </c>
      <c r="E324" s="423">
        <v>1.066339470997069E-3</v>
      </c>
      <c r="F324" s="250" t="s">
        <v>133</v>
      </c>
      <c r="G324" s="251"/>
      <c r="H324" s="252">
        <v>1</v>
      </c>
      <c r="I324" s="252">
        <v>2</v>
      </c>
      <c r="J324" s="252">
        <v>3</v>
      </c>
      <c r="K324" s="252">
        <v>3</v>
      </c>
      <c r="L324" s="253">
        <v>3</v>
      </c>
      <c r="M324" s="254">
        <f t="shared" si="10"/>
        <v>1.123005955058592</v>
      </c>
      <c r="N324" s="255"/>
    </row>
    <row r="325" spans="1:14" hidden="1" x14ac:dyDescent="0.2">
      <c r="A325" s="246" t="s">
        <v>264</v>
      </c>
      <c r="B325" s="448" t="s">
        <v>465</v>
      </c>
      <c r="C325" s="422" t="s">
        <v>57</v>
      </c>
      <c r="D325" s="252" t="s">
        <v>135</v>
      </c>
      <c r="E325" s="423">
        <v>1.357805593069601E-2</v>
      </c>
      <c r="F325" s="250" t="s">
        <v>133</v>
      </c>
      <c r="G325" s="251"/>
      <c r="H325" s="252">
        <v>1</v>
      </c>
      <c r="I325" s="252">
        <v>2</v>
      </c>
      <c r="J325" s="252">
        <v>3</v>
      </c>
      <c r="K325" s="252">
        <v>3</v>
      </c>
      <c r="L325" s="253">
        <v>3</v>
      </c>
      <c r="M325" s="254">
        <f t="shared" si="10"/>
        <v>1.123005955058592</v>
      </c>
      <c r="N325" s="255"/>
    </row>
    <row r="326" spans="1:14" hidden="1" x14ac:dyDescent="0.2">
      <c r="A326" s="246" t="s">
        <v>264</v>
      </c>
      <c r="B326" s="448" t="s">
        <v>465</v>
      </c>
      <c r="C326" s="422" t="s">
        <v>59</v>
      </c>
      <c r="D326" s="252" t="s">
        <v>135</v>
      </c>
      <c r="E326" s="423">
        <v>1.5E-3</v>
      </c>
      <c r="F326" s="250" t="s">
        <v>133</v>
      </c>
      <c r="G326" s="251"/>
      <c r="H326" s="252">
        <v>1</v>
      </c>
      <c r="I326" s="252">
        <v>2</v>
      </c>
      <c r="J326" s="252">
        <v>3</v>
      </c>
      <c r="K326" s="252">
        <v>3</v>
      </c>
      <c r="L326" s="253">
        <v>3</v>
      </c>
      <c r="M326" s="254">
        <f t="shared" si="10"/>
        <v>1.123005955058592</v>
      </c>
      <c r="N326" s="255"/>
    </row>
    <row r="327" spans="1:14" hidden="1" x14ac:dyDescent="0.2">
      <c r="A327" s="246" t="s">
        <v>264</v>
      </c>
      <c r="B327" s="448" t="s">
        <v>465</v>
      </c>
      <c r="C327" s="422" t="s">
        <v>59</v>
      </c>
      <c r="D327" s="252" t="s">
        <v>135</v>
      </c>
      <c r="E327" s="423">
        <v>1.9099999999999999E-2</v>
      </c>
      <c r="F327" s="250" t="s">
        <v>133</v>
      </c>
      <c r="G327" s="251"/>
      <c r="H327" s="252">
        <v>1</v>
      </c>
      <c r="I327" s="252">
        <v>2</v>
      </c>
      <c r="J327" s="252">
        <v>3</v>
      </c>
      <c r="K327" s="252">
        <v>3</v>
      </c>
      <c r="L327" s="253">
        <v>3</v>
      </c>
      <c r="M327" s="254">
        <f t="shared" si="10"/>
        <v>1.123005955058592</v>
      </c>
      <c r="N327" s="255"/>
    </row>
    <row r="328" spans="1:14" hidden="1" x14ac:dyDescent="0.2">
      <c r="A328" s="246" t="s">
        <v>264</v>
      </c>
      <c r="B328" s="448" t="s">
        <v>465</v>
      </c>
      <c r="C328" s="422" t="s">
        <v>60</v>
      </c>
      <c r="D328" s="252" t="s">
        <v>135</v>
      </c>
      <c r="E328" s="423">
        <v>1.953028755887876E-3</v>
      </c>
      <c r="F328" s="250" t="s">
        <v>133</v>
      </c>
      <c r="G328" s="424" t="s">
        <v>16</v>
      </c>
      <c r="H328" s="252">
        <v>1</v>
      </c>
      <c r="I328" s="252">
        <v>2</v>
      </c>
      <c r="J328" s="252">
        <v>3</v>
      </c>
      <c r="K328" s="252">
        <v>3</v>
      </c>
      <c r="L328" s="253">
        <v>3</v>
      </c>
      <c r="M328" s="254">
        <f t="shared" si="10"/>
        <v>1.123005955058592</v>
      </c>
      <c r="N328" s="255"/>
    </row>
    <row r="329" spans="1:14" hidden="1" x14ac:dyDescent="0.2">
      <c r="A329" s="246" t="s">
        <v>264</v>
      </c>
      <c r="B329" s="465" t="s">
        <v>465</v>
      </c>
      <c r="C329" s="427" t="s">
        <v>60</v>
      </c>
      <c r="D329" s="291" t="s">
        <v>135</v>
      </c>
      <c r="E329" s="428">
        <v>2.486856615830562E-2</v>
      </c>
      <c r="F329" s="289" t="s">
        <v>133</v>
      </c>
      <c r="G329" s="429" t="s">
        <v>16</v>
      </c>
      <c r="H329" s="291">
        <v>1</v>
      </c>
      <c r="I329" s="291">
        <v>2</v>
      </c>
      <c r="J329" s="291">
        <v>3</v>
      </c>
      <c r="K329" s="291">
        <v>3</v>
      </c>
      <c r="L329" s="292">
        <v>3</v>
      </c>
      <c r="M329" s="293">
        <f t="shared" si="10"/>
        <v>1.123005955058592</v>
      </c>
      <c r="N329" s="294"/>
    </row>
    <row r="330" spans="1:14" hidden="1" x14ac:dyDescent="0.2">
      <c r="A330" s="444" t="s">
        <v>272</v>
      </c>
      <c r="B330" s="463" t="s">
        <v>463</v>
      </c>
      <c r="C330" s="265" t="s">
        <v>13</v>
      </c>
      <c r="D330" s="433" t="s">
        <v>135</v>
      </c>
      <c r="E330" s="266">
        <v>4.9383419689119179E-4</v>
      </c>
      <c r="F330" s="267" t="s">
        <v>133</v>
      </c>
      <c r="G330" s="268" t="s">
        <v>16</v>
      </c>
      <c r="H330" s="269">
        <v>1</v>
      </c>
      <c r="I330" s="269">
        <v>1</v>
      </c>
      <c r="J330" s="269">
        <v>3</v>
      </c>
      <c r="K330" s="269">
        <v>3</v>
      </c>
      <c r="L330" s="270">
        <v>3</v>
      </c>
      <c r="M330" s="271">
        <f t="shared" si="10"/>
        <v>1.1181151966036349</v>
      </c>
      <c r="N330" s="272"/>
    </row>
    <row r="331" spans="1:14" hidden="1" x14ac:dyDescent="0.2">
      <c r="A331" s="246" t="s">
        <v>272</v>
      </c>
      <c r="B331" s="459" t="s">
        <v>463</v>
      </c>
      <c r="C331" s="247" t="s">
        <v>18</v>
      </c>
      <c r="D331" s="248" t="s">
        <v>135</v>
      </c>
      <c r="E331" s="249">
        <v>6.2141809290953553E-4</v>
      </c>
      <c r="F331" s="250" t="s">
        <v>133</v>
      </c>
      <c r="G331" s="251" t="s">
        <v>16</v>
      </c>
      <c r="H331" s="252">
        <v>1</v>
      </c>
      <c r="I331" s="252">
        <v>1</v>
      </c>
      <c r="J331" s="252">
        <v>3</v>
      </c>
      <c r="K331" s="252">
        <v>3</v>
      </c>
      <c r="L331" s="253">
        <v>3</v>
      </c>
      <c r="M331" s="254">
        <f t="shared" si="10"/>
        <v>1.1181151966036349</v>
      </c>
      <c r="N331" s="255"/>
    </row>
    <row r="332" spans="1:14" hidden="1" x14ac:dyDescent="0.2">
      <c r="A332" s="246" t="s">
        <v>272</v>
      </c>
      <c r="B332" s="459" t="s">
        <v>463</v>
      </c>
      <c r="C332" s="247" t="s">
        <v>20</v>
      </c>
      <c r="D332" s="248" t="s">
        <v>135</v>
      </c>
      <c r="E332" s="249">
        <v>1.717297297297297E-3</v>
      </c>
      <c r="F332" s="250" t="s">
        <v>133</v>
      </c>
      <c r="G332" s="251" t="s">
        <v>16</v>
      </c>
      <c r="H332" s="252">
        <v>1</v>
      </c>
      <c r="I332" s="252">
        <v>1</v>
      </c>
      <c r="J332" s="252">
        <v>3</v>
      </c>
      <c r="K332" s="252">
        <v>3</v>
      </c>
      <c r="L332" s="253">
        <v>3</v>
      </c>
      <c r="M332" s="254">
        <f t="shared" si="10"/>
        <v>1.1181151966036349</v>
      </c>
      <c r="N332" s="255"/>
    </row>
    <row r="333" spans="1:14" hidden="1" x14ac:dyDescent="0.2">
      <c r="A333" s="246" t="s">
        <v>272</v>
      </c>
      <c r="B333" s="459" t="s">
        <v>463</v>
      </c>
      <c r="C333" s="247" t="s">
        <v>22</v>
      </c>
      <c r="D333" s="248" t="s">
        <v>135</v>
      </c>
      <c r="E333" s="249">
        <v>1.397291666666666E-3</v>
      </c>
      <c r="F333" s="250" t="s">
        <v>133</v>
      </c>
      <c r="G333" s="251" t="s">
        <v>16</v>
      </c>
      <c r="H333" s="252">
        <v>1</v>
      </c>
      <c r="I333" s="252">
        <v>1</v>
      </c>
      <c r="J333" s="252">
        <v>3</v>
      </c>
      <c r="K333" s="252">
        <v>3</v>
      </c>
      <c r="L333" s="253">
        <v>3</v>
      </c>
      <c r="M333" s="254">
        <f t="shared" si="10"/>
        <v>1.1181151966036349</v>
      </c>
      <c r="N333" s="255"/>
    </row>
    <row r="334" spans="1:14" hidden="1" x14ac:dyDescent="0.2">
      <c r="A334" s="246" t="s">
        <v>272</v>
      </c>
      <c r="B334" s="459" t="s">
        <v>463</v>
      </c>
      <c r="C334" s="247" t="s">
        <v>23</v>
      </c>
      <c r="D334" s="248" t="s">
        <v>135</v>
      </c>
      <c r="E334" s="249">
        <v>1.868823529411765E-3</v>
      </c>
      <c r="F334" s="250" t="s">
        <v>133</v>
      </c>
      <c r="G334" s="251" t="s">
        <v>16</v>
      </c>
      <c r="H334" s="252">
        <v>1</v>
      </c>
      <c r="I334" s="252">
        <v>1</v>
      </c>
      <c r="J334" s="252">
        <v>3</v>
      </c>
      <c r="K334" s="252">
        <v>3</v>
      </c>
      <c r="L334" s="253">
        <v>3</v>
      </c>
      <c r="M334" s="254">
        <f t="shared" si="10"/>
        <v>1.1181151966036349</v>
      </c>
      <c r="N334" s="255"/>
    </row>
    <row r="335" spans="1:14" hidden="1" x14ac:dyDescent="0.2">
      <c r="A335" s="246" t="s">
        <v>272</v>
      </c>
      <c r="B335" s="459" t="s">
        <v>463</v>
      </c>
      <c r="C335" s="247" t="s">
        <v>24</v>
      </c>
      <c r="D335" s="248" t="s">
        <v>135</v>
      </c>
      <c r="E335" s="249">
        <v>8.3605263157894745E-4</v>
      </c>
      <c r="F335" s="250" t="s">
        <v>133</v>
      </c>
      <c r="G335" s="251" t="s">
        <v>16</v>
      </c>
      <c r="H335" s="252">
        <v>1</v>
      </c>
      <c r="I335" s="252">
        <v>1</v>
      </c>
      <c r="J335" s="252">
        <v>3</v>
      </c>
      <c r="K335" s="252">
        <v>3</v>
      </c>
      <c r="L335" s="253">
        <v>3</v>
      </c>
      <c r="M335" s="254">
        <f>IF( OR( ISBLANK(H335),ISBLANK(I335), ISBLANK(J335), ISBLANK(K335), ISBLANK(L335) ), "", 1.5*SQRT(   EXP(2.21*(H335-1)) + EXP(2.21*(I335-1)) + EXP(2.21*(J335-1)) + EXP(2.21*(K335-1)) + EXP(2.21*L335)   )/100*2.45 )</f>
        <v>1.1181151966036349</v>
      </c>
      <c r="N335" s="255"/>
    </row>
    <row r="336" spans="1:14" hidden="1" x14ac:dyDescent="0.2">
      <c r="A336" s="246" t="s">
        <v>272</v>
      </c>
      <c r="B336" s="459" t="s">
        <v>463</v>
      </c>
      <c r="C336" s="247" t="s">
        <v>25</v>
      </c>
      <c r="D336" s="248" t="s">
        <v>135</v>
      </c>
      <c r="E336" s="249">
        <v>4.2932432432432442E-4</v>
      </c>
      <c r="F336" s="250" t="s">
        <v>133</v>
      </c>
      <c r="G336" s="251" t="s">
        <v>16</v>
      </c>
      <c r="H336" s="252">
        <v>1</v>
      </c>
      <c r="I336" s="252">
        <v>1</v>
      </c>
      <c r="J336" s="252">
        <v>3</v>
      </c>
      <c r="K336" s="252">
        <v>3</v>
      </c>
      <c r="L336" s="253">
        <v>3</v>
      </c>
      <c r="M336" s="254">
        <f t="shared" ref="M336:M367" si="11">IF( OR( ISBLANK(H336),ISBLANK(I336), ISBLANK(J336), ISBLANK(K336), ISBLANK(L336) ), "", 1.5*SQRT( EXP(2.21*(H336-1)) + EXP(2.21*(I336-1)) + EXP(2.21*(J336-1)) + EXP(2.21*(K336-1)) + EXP(2.21*L336) )/100*2.45 )</f>
        <v>1.1181151966036349</v>
      </c>
      <c r="N336" s="255"/>
    </row>
    <row r="337" spans="1:14" hidden="1" x14ac:dyDescent="0.2">
      <c r="A337" s="246" t="s">
        <v>272</v>
      </c>
      <c r="B337" s="459" t="s">
        <v>463</v>
      </c>
      <c r="C337" s="247" t="s">
        <v>26</v>
      </c>
      <c r="D337" s="248" t="s">
        <v>135</v>
      </c>
      <c r="E337" s="249">
        <v>2.9808888888888888E-3</v>
      </c>
      <c r="F337" s="250" t="s">
        <v>133</v>
      </c>
      <c r="G337" s="251" t="s">
        <v>16</v>
      </c>
      <c r="H337" s="252">
        <v>1</v>
      </c>
      <c r="I337" s="252">
        <v>1</v>
      </c>
      <c r="J337" s="252">
        <v>3</v>
      </c>
      <c r="K337" s="252">
        <v>3</v>
      </c>
      <c r="L337" s="253">
        <v>3</v>
      </c>
      <c r="M337" s="254">
        <f t="shared" si="11"/>
        <v>1.1181151966036349</v>
      </c>
      <c r="N337" s="255"/>
    </row>
    <row r="338" spans="1:14" hidden="1" x14ac:dyDescent="0.2">
      <c r="A338" s="246" t="s">
        <v>272</v>
      </c>
      <c r="B338" s="459" t="s">
        <v>463</v>
      </c>
      <c r="C338" s="247" t="s">
        <v>27</v>
      </c>
      <c r="D338" s="248" t="s">
        <v>135</v>
      </c>
      <c r="E338" s="249">
        <v>3.4595281306715062E-4</v>
      </c>
      <c r="F338" s="250" t="s">
        <v>133</v>
      </c>
      <c r="G338" s="251" t="s">
        <v>16</v>
      </c>
      <c r="H338" s="252">
        <v>1</v>
      </c>
      <c r="I338" s="252">
        <v>1</v>
      </c>
      <c r="J338" s="252">
        <v>3</v>
      </c>
      <c r="K338" s="252">
        <v>3</v>
      </c>
      <c r="L338" s="253">
        <v>3</v>
      </c>
      <c r="M338" s="254">
        <f t="shared" si="11"/>
        <v>1.1181151966036349</v>
      </c>
      <c r="N338" s="255"/>
    </row>
    <row r="339" spans="1:14" hidden="1" x14ac:dyDescent="0.2">
      <c r="A339" s="246" t="s">
        <v>272</v>
      </c>
      <c r="B339" s="459" t="s">
        <v>463</v>
      </c>
      <c r="C339" s="247" t="s">
        <v>28</v>
      </c>
      <c r="D339" s="248" t="s">
        <v>135</v>
      </c>
      <c r="E339" s="249">
        <v>7.4149012567324962E-4</v>
      </c>
      <c r="F339" s="250" t="s">
        <v>133</v>
      </c>
      <c r="G339" s="251" t="s">
        <v>16</v>
      </c>
      <c r="H339" s="252">
        <v>1</v>
      </c>
      <c r="I339" s="252">
        <v>1</v>
      </c>
      <c r="J339" s="252">
        <v>3</v>
      </c>
      <c r="K339" s="252">
        <v>3</v>
      </c>
      <c r="L339" s="253">
        <v>3</v>
      </c>
      <c r="M339" s="254">
        <f t="shared" si="11"/>
        <v>1.1181151966036349</v>
      </c>
      <c r="N339" s="255"/>
    </row>
    <row r="340" spans="1:14" hidden="1" x14ac:dyDescent="0.2">
      <c r="A340" s="246" t="s">
        <v>272</v>
      </c>
      <c r="B340" s="459" t="s">
        <v>463</v>
      </c>
      <c r="C340" s="247" t="s">
        <v>30</v>
      </c>
      <c r="D340" s="248" t="s">
        <v>135</v>
      </c>
      <c r="E340" s="249">
        <v>5.242574257425742E-4</v>
      </c>
      <c r="F340" s="250" t="s">
        <v>133</v>
      </c>
      <c r="G340" s="251" t="s">
        <v>16</v>
      </c>
      <c r="H340" s="252">
        <v>1</v>
      </c>
      <c r="I340" s="252">
        <v>1</v>
      </c>
      <c r="J340" s="252">
        <v>3</v>
      </c>
      <c r="K340" s="252">
        <v>3</v>
      </c>
      <c r="L340" s="253">
        <v>3</v>
      </c>
      <c r="M340" s="254">
        <f t="shared" si="11"/>
        <v>1.1181151966036349</v>
      </c>
      <c r="N340" s="255"/>
    </row>
    <row r="341" spans="1:14" hidden="1" x14ac:dyDescent="0.2">
      <c r="A341" s="246" t="s">
        <v>272</v>
      </c>
      <c r="B341" s="459" t="s">
        <v>463</v>
      </c>
      <c r="C341" s="247" t="s">
        <v>32</v>
      </c>
      <c r="D341" s="248" t="s">
        <v>135</v>
      </c>
      <c r="E341" s="249">
        <v>1.23378640776699E-3</v>
      </c>
      <c r="F341" s="250" t="s">
        <v>133</v>
      </c>
      <c r="G341" s="251" t="s">
        <v>16</v>
      </c>
      <c r="H341" s="252">
        <v>1</v>
      </c>
      <c r="I341" s="252">
        <v>1</v>
      </c>
      <c r="J341" s="252">
        <v>3</v>
      </c>
      <c r="K341" s="252">
        <v>3</v>
      </c>
      <c r="L341" s="253">
        <v>3</v>
      </c>
      <c r="M341" s="254">
        <f t="shared" si="11"/>
        <v>1.1181151966036349</v>
      </c>
      <c r="N341" s="255"/>
    </row>
    <row r="342" spans="1:14" hidden="1" x14ac:dyDescent="0.2">
      <c r="A342" s="246" t="s">
        <v>272</v>
      </c>
      <c r="B342" s="459" t="s">
        <v>463</v>
      </c>
      <c r="C342" s="247" t="s">
        <v>34</v>
      </c>
      <c r="D342" s="248" t="s">
        <v>135</v>
      </c>
      <c r="E342" s="249">
        <v>1.5009448818897641E-3</v>
      </c>
      <c r="F342" s="250" t="s">
        <v>133</v>
      </c>
      <c r="G342" s="251" t="s">
        <v>16</v>
      </c>
      <c r="H342" s="252">
        <v>1</v>
      </c>
      <c r="I342" s="252">
        <v>1</v>
      </c>
      <c r="J342" s="252">
        <v>3</v>
      </c>
      <c r="K342" s="252">
        <v>3</v>
      </c>
      <c r="L342" s="253">
        <v>3</v>
      </c>
      <c r="M342" s="254">
        <f t="shared" si="11"/>
        <v>1.1181151966036349</v>
      </c>
      <c r="N342" s="255"/>
    </row>
    <row r="343" spans="1:14" hidden="1" x14ac:dyDescent="0.2">
      <c r="A343" s="246" t="s">
        <v>272</v>
      </c>
      <c r="B343" s="459" t="s">
        <v>463</v>
      </c>
      <c r="C343" s="247" t="s">
        <v>36</v>
      </c>
      <c r="D343" s="248" t="s">
        <v>135</v>
      </c>
      <c r="E343" s="249">
        <v>1.4482051282051281E-3</v>
      </c>
      <c r="F343" s="250" t="s">
        <v>133</v>
      </c>
      <c r="G343" s="251" t="s">
        <v>16</v>
      </c>
      <c r="H343" s="252">
        <v>1</v>
      </c>
      <c r="I343" s="252">
        <v>1</v>
      </c>
      <c r="J343" s="252">
        <v>3</v>
      </c>
      <c r="K343" s="252">
        <v>3</v>
      </c>
      <c r="L343" s="253">
        <v>3</v>
      </c>
      <c r="M343" s="254">
        <f t="shared" si="11"/>
        <v>1.1181151966036349</v>
      </c>
      <c r="N343" s="255"/>
    </row>
    <row r="344" spans="1:14" hidden="1" x14ac:dyDescent="0.2">
      <c r="A344" s="246" t="s">
        <v>272</v>
      </c>
      <c r="B344" s="459" t="s">
        <v>463</v>
      </c>
      <c r="C344" s="247" t="s">
        <v>37</v>
      </c>
      <c r="D344" s="248" t="s">
        <v>135</v>
      </c>
      <c r="E344" s="249">
        <v>6.0483967935871753E-3</v>
      </c>
      <c r="F344" s="250" t="s">
        <v>133</v>
      </c>
      <c r="G344" s="251" t="s">
        <v>16</v>
      </c>
      <c r="H344" s="252">
        <v>1</v>
      </c>
      <c r="I344" s="252">
        <v>1</v>
      </c>
      <c r="J344" s="252">
        <v>3</v>
      </c>
      <c r="K344" s="252">
        <v>3</v>
      </c>
      <c r="L344" s="253">
        <v>3</v>
      </c>
      <c r="M344" s="254">
        <f t="shared" si="11"/>
        <v>1.1181151966036349</v>
      </c>
      <c r="N344" s="255"/>
    </row>
    <row r="345" spans="1:14" hidden="1" x14ac:dyDescent="0.2">
      <c r="A345" s="246" t="s">
        <v>272</v>
      </c>
      <c r="B345" s="459" t="s">
        <v>463</v>
      </c>
      <c r="C345" s="247" t="s">
        <v>39</v>
      </c>
      <c r="D345" s="248" t="s">
        <v>135</v>
      </c>
      <c r="E345" s="249">
        <v>2.9662407862407862E-3</v>
      </c>
      <c r="F345" s="250" t="s">
        <v>133</v>
      </c>
      <c r="G345" s="251" t="s">
        <v>16</v>
      </c>
      <c r="H345" s="252">
        <v>1</v>
      </c>
      <c r="I345" s="252">
        <v>1</v>
      </c>
      <c r="J345" s="252">
        <v>3</v>
      </c>
      <c r="K345" s="252">
        <v>3</v>
      </c>
      <c r="L345" s="253">
        <v>3</v>
      </c>
      <c r="M345" s="254">
        <f t="shared" si="11"/>
        <v>1.1181151966036349</v>
      </c>
      <c r="N345" s="255"/>
    </row>
    <row r="346" spans="1:14" hidden="1" x14ac:dyDescent="0.2">
      <c r="A346" s="246" t="s">
        <v>272</v>
      </c>
      <c r="B346" s="459" t="s">
        <v>463</v>
      </c>
      <c r="C346" s="247" t="s">
        <v>40</v>
      </c>
      <c r="D346" s="248" t="s">
        <v>135</v>
      </c>
      <c r="E346" s="249">
        <v>9.5857758620689656E-4</v>
      </c>
      <c r="F346" s="250" t="s">
        <v>133</v>
      </c>
      <c r="G346" s="251" t="s">
        <v>16</v>
      </c>
      <c r="H346" s="252">
        <v>1</v>
      </c>
      <c r="I346" s="252">
        <v>1</v>
      </c>
      <c r="J346" s="252">
        <v>3</v>
      </c>
      <c r="K346" s="252">
        <v>3</v>
      </c>
      <c r="L346" s="253">
        <v>3</v>
      </c>
      <c r="M346" s="254">
        <f t="shared" si="11"/>
        <v>1.1181151966036349</v>
      </c>
      <c r="N346" s="255"/>
    </row>
    <row r="347" spans="1:14" hidden="1" x14ac:dyDescent="0.2">
      <c r="A347" s="246" t="s">
        <v>272</v>
      </c>
      <c r="B347" s="459" t="s">
        <v>463</v>
      </c>
      <c r="C347" s="247" t="s">
        <v>41</v>
      </c>
      <c r="D347" s="248" t="s">
        <v>135</v>
      </c>
      <c r="E347" s="249">
        <v>4.352054794520548E-4</v>
      </c>
      <c r="F347" s="250" t="s">
        <v>133</v>
      </c>
      <c r="G347" s="251" t="s">
        <v>16</v>
      </c>
      <c r="H347" s="252">
        <v>1</v>
      </c>
      <c r="I347" s="252">
        <v>1</v>
      </c>
      <c r="J347" s="252">
        <v>3</v>
      </c>
      <c r="K347" s="252">
        <v>3</v>
      </c>
      <c r="L347" s="253">
        <v>3</v>
      </c>
      <c r="M347" s="254">
        <f t="shared" si="11"/>
        <v>1.1181151966036349</v>
      </c>
      <c r="N347" s="255"/>
    </row>
    <row r="348" spans="1:14" hidden="1" x14ac:dyDescent="0.2">
      <c r="A348" s="246" t="s">
        <v>272</v>
      </c>
      <c r="B348" s="459" t="s">
        <v>463</v>
      </c>
      <c r="C348" s="247" t="s">
        <v>42</v>
      </c>
      <c r="D348" s="248" t="s">
        <v>135</v>
      </c>
      <c r="E348" s="249">
        <v>2.1274553571428568E-3</v>
      </c>
      <c r="F348" s="250" t="s">
        <v>133</v>
      </c>
      <c r="G348" s="251" t="s">
        <v>16</v>
      </c>
      <c r="H348" s="252">
        <v>1</v>
      </c>
      <c r="I348" s="252">
        <v>1</v>
      </c>
      <c r="J348" s="252">
        <v>3</v>
      </c>
      <c r="K348" s="252">
        <v>3</v>
      </c>
      <c r="L348" s="253">
        <v>3</v>
      </c>
      <c r="M348" s="254">
        <f t="shared" si="11"/>
        <v>1.1181151966036349</v>
      </c>
      <c r="N348" s="255"/>
    </row>
    <row r="349" spans="1:14" hidden="1" x14ac:dyDescent="0.2">
      <c r="A349" s="246" t="s">
        <v>272</v>
      </c>
      <c r="B349" s="459" t="s">
        <v>463</v>
      </c>
      <c r="C349" s="247" t="s">
        <v>43</v>
      </c>
      <c r="D349" s="248" t="s">
        <v>135</v>
      </c>
      <c r="E349" s="249">
        <v>4.9737769080234839E-4</v>
      </c>
      <c r="F349" s="250" t="s">
        <v>133</v>
      </c>
      <c r="G349" s="251" t="s">
        <v>16</v>
      </c>
      <c r="H349" s="252">
        <v>1</v>
      </c>
      <c r="I349" s="252">
        <v>1</v>
      </c>
      <c r="J349" s="252">
        <v>3</v>
      </c>
      <c r="K349" s="252">
        <v>3</v>
      </c>
      <c r="L349" s="253">
        <v>3</v>
      </c>
      <c r="M349" s="254">
        <f t="shared" si="11"/>
        <v>1.1181151966036349</v>
      </c>
      <c r="N349" s="255"/>
    </row>
    <row r="350" spans="1:14" x14ac:dyDescent="0.2">
      <c r="A350" s="246" t="s">
        <v>272</v>
      </c>
      <c r="B350" s="459" t="s">
        <v>463</v>
      </c>
      <c r="C350" s="247" t="s">
        <v>45</v>
      </c>
      <c r="D350" s="248" t="s">
        <v>135</v>
      </c>
      <c r="E350" s="249">
        <v>6.8784844384303125E-4</v>
      </c>
      <c r="F350" s="250" t="s">
        <v>133</v>
      </c>
      <c r="G350" s="251" t="s">
        <v>16</v>
      </c>
      <c r="H350" s="252">
        <v>1</v>
      </c>
      <c r="I350" s="252">
        <v>1</v>
      </c>
      <c r="J350" s="252">
        <v>3</v>
      </c>
      <c r="K350" s="252">
        <v>3</v>
      </c>
      <c r="L350" s="253">
        <v>3</v>
      </c>
      <c r="M350" s="254">
        <f t="shared" si="11"/>
        <v>1.1181151966036349</v>
      </c>
      <c r="N350" s="255"/>
    </row>
    <row r="351" spans="1:14" hidden="1" x14ac:dyDescent="0.2">
      <c r="A351" s="246" t="s">
        <v>272</v>
      </c>
      <c r="B351" s="459" t="s">
        <v>463</v>
      </c>
      <c r="C351" s="247" t="s">
        <v>46</v>
      </c>
      <c r="D351" s="248" t="s">
        <v>135</v>
      </c>
      <c r="E351" s="249">
        <v>1.2553495440729479E-3</v>
      </c>
      <c r="F351" s="250" t="s">
        <v>133</v>
      </c>
      <c r="G351" s="251" t="s">
        <v>16</v>
      </c>
      <c r="H351" s="252">
        <v>1</v>
      </c>
      <c r="I351" s="252">
        <v>1</v>
      </c>
      <c r="J351" s="252">
        <v>3</v>
      </c>
      <c r="K351" s="252">
        <v>3</v>
      </c>
      <c r="L351" s="253">
        <v>3</v>
      </c>
      <c r="M351" s="254">
        <f t="shared" si="11"/>
        <v>1.1181151966036349</v>
      </c>
      <c r="N351" s="255"/>
    </row>
    <row r="352" spans="1:14" hidden="1" x14ac:dyDescent="0.2">
      <c r="A352" s="246" t="s">
        <v>272</v>
      </c>
      <c r="B352" s="459" t="s">
        <v>463</v>
      </c>
      <c r="C352" s="247" t="s">
        <v>48</v>
      </c>
      <c r="D352" s="248" t="s">
        <v>135</v>
      </c>
      <c r="E352" s="249">
        <v>9.3994082840236678E-4</v>
      </c>
      <c r="F352" s="250" t="s">
        <v>133</v>
      </c>
      <c r="G352" s="251" t="s">
        <v>16</v>
      </c>
      <c r="H352" s="252">
        <v>1</v>
      </c>
      <c r="I352" s="252">
        <v>1</v>
      </c>
      <c r="J352" s="252">
        <v>3</v>
      </c>
      <c r="K352" s="252">
        <v>3</v>
      </c>
      <c r="L352" s="253">
        <v>3</v>
      </c>
      <c r="M352" s="254">
        <f t="shared" si="11"/>
        <v>1.1181151966036349</v>
      </c>
      <c r="N352" s="255"/>
    </row>
    <row r="353" spans="1:14" hidden="1" x14ac:dyDescent="0.2">
      <c r="A353" s="246" t="s">
        <v>272</v>
      </c>
      <c r="B353" s="459" t="s">
        <v>463</v>
      </c>
      <c r="C353" s="247" t="s">
        <v>50</v>
      </c>
      <c r="D353" s="248" t="s">
        <v>135</v>
      </c>
      <c r="E353" s="249">
        <v>5.72327205882353E-3</v>
      </c>
      <c r="F353" s="250" t="s">
        <v>133</v>
      </c>
      <c r="G353" s="251" t="s">
        <v>16</v>
      </c>
      <c r="H353" s="252">
        <v>1</v>
      </c>
      <c r="I353" s="252">
        <v>1</v>
      </c>
      <c r="J353" s="252">
        <v>3</v>
      </c>
      <c r="K353" s="252">
        <v>3</v>
      </c>
      <c r="L353" s="253">
        <v>3</v>
      </c>
      <c r="M353" s="254">
        <f t="shared" si="11"/>
        <v>1.1181151966036349</v>
      </c>
      <c r="N353" s="255"/>
    </row>
    <row r="354" spans="1:14" hidden="1" x14ac:dyDescent="0.2">
      <c r="A354" s="246" t="s">
        <v>272</v>
      </c>
      <c r="B354" s="459" t="s">
        <v>463</v>
      </c>
      <c r="C354" s="247" t="s">
        <v>52</v>
      </c>
      <c r="D354" s="248" t="s">
        <v>135</v>
      </c>
      <c r="E354" s="249">
        <v>9.2086956521739128E-4</v>
      </c>
      <c r="F354" s="250" t="s">
        <v>133</v>
      </c>
      <c r="G354" s="251" t="s">
        <v>16</v>
      </c>
      <c r="H354" s="252">
        <v>1</v>
      </c>
      <c r="I354" s="252">
        <v>1</v>
      </c>
      <c r="J354" s="252">
        <v>3</v>
      </c>
      <c r="K354" s="252">
        <v>3</v>
      </c>
      <c r="L354" s="253">
        <v>3</v>
      </c>
      <c r="M354" s="254">
        <f t="shared" si="11"/>
        <v>1.1181151966036349</v>
      </c>
      <c r="N354" s="255"/>
    </row>
    <row r="355" spans="1:14" hidden="1" x14ac:dyDescent="0.2">
      <c r="A355" s="246" t="s">
        <v>272</v>
      </c>
      <c r="B355" s="459" t="s">
        <v>463</v>
      </c>
      <c r="C355" s="247" t="s">
        <v>54</v>
      </c>
      <c r="D355" s="248" t="s">
        <v>135</v>
      </c>
      <c r="E355" s="249">
        <v>5.8833333333333329E-4</v>
      </c>
      <c r="F355" s="250" t="s">
        <v>133</v>
      </c>
      <c r="G355" s="251" t="s">
        <v>16</v>
      </c>
      <c r="H355" s="252">
        <v>1</v>
      </c>
      <c r="I355" s="252">
        <v>1</v>
      </c>
      <c r="J355" s="252">
        <v>3</v>
      </c>
      <c r="K355" s="252">
        <v>3</v>
      </c>
      <c r="L355" s="253">
        <v>3</v>
      </c>
      <c r="M355" s="254">
        <f t="shared" si="11"/>
        <v>1.1181151966036349</v>
      </c>
      <c r="N355" s="255"/>
    </row>
    <row r="356" spans="1:14" hidden="1" x14ac:dyDescent="0.2">
      <c r="A356" s="246" t="s">
        <v>272</v>
      </c>
      <c r="B356" s="459" t="s">
        <v>463</v>
      </c>
      <c r="C356" s="247" t="s">
        <v>55</v>
      </c>
      <c r="D356" s="248" t="s">
        <v>135</v>
      </c>
      <c r="E356" s="249">
        <v>1.2708000000000001E-3</v>
      </c>
      <c r="F356" s="250" t="s">
        <v>133</v>
      </c>
      <c r="G356" s="251" t="s">
        <v>16</v>
      </c>
      <c r="H356" s="252">
        <v>1</v>
      </c>
      <c r="I356" s="252">
        <v>1</v>
      </c>
      <c r="J356" s="252">
        <v>3</v>
      </c>
      <c r="K356" s="252">
        <v>3</v>
      </c>
      <c r="L356" s="253">
        <v>3</v>
      </c>
      <c r="M356" s="254">
        <f t="shared" si="11"/>
        <v>1.1181151966036349</v>
      </c>
      <c r="N356" s="255"/>
    </row>
    <row r="357" spans="1:14" hidden="1" x14ac:dyDescent="0.2">
      <c r="A357" s="246" t="s">
        <v>272</v>
      </c>
      <c r="B357" s="459" t="s">
        <v>463</v>
      </c>
      <c r="C357" s="247" t="s">
        <v>57</v>
      </c>
      <c r="D357" s="248" t="s">
        <v>135</v>
      </c>
      <c r="E357" s="249">
        <v>5.8562211981566818E-4</v>
      </c>
      <c r="F357" s="250" t="s">
        <v>133</v>
      </c>
      <c r="G357" s="251" t="s">
        <v>16</v>
      </c>
      <c r="H357" s="252">
        <v>1</v>
      </c>
      <c r="I357" s="252">
        <v>1</v>
      </c>
      <c r="J357" s="252">
        <v>3</v>
      </c>
      <c r="K357" s="252">
        <v>3</v>
      </c>
      <c r="L357" s="253">
        <v>3</v>
      </c>
      <c r="M357" s="254">
        <f t="shared" si="11"/>
        <v>1.1181151966036349</v>
      </c>
      <c r="N357" s="255"/>
    </row>
    <row r="358" spans="1:14" hidden="1" x14ac:dyDescent="0.2">
      <c r="A358" s="246" t="s">
        <v>272</v>
      </c>
      <c r="B358" s="459" t="s">
        <v>463</v>
      </c>
      <c r="C358" s="247" t="s">
        <v>59</v>
      </c>
      <c r="D358" s="248" t="s">
        <v>135</v>
      </c>
      <c r="E358" s="249">
        <v>2.7E-4</v>
      </c>
      <c r="F358" s="250" t="s">
        <v>133</v>
      </c>
      <c r="G358" s="251" t="s">
        <v>16</v>
      </c>
      <c r="H358" s="252">
        <v>1</v>
      </c>
      <c r="I358" s="252">
        <v>1</v>
      </c>
      <c r="J358" s="252">
        <v>3</v>
      </c>
      <c r="K358" s="252">
        <v>3</v>
      </c>
      <c r="L358" s="253">
        <v>3</v>
      </c>
      <c r="M358" s="254">
        <f t="shared" si="11"/>
        <v>1.1181151966036349</v>
      </c>
      <c r="N358" s="255"/>
    </row>
    <row r="359" spans="1:14" hidden="1" x14ac:dyDescent="0.2">
      <c r="A359" s="246" t="s">
        <v>272</v>
      </c>
      <c r="B359" s="459" t="s">
        <v>463</v>
      </c>
      <c r="C359" s="247" t="s">
        <v>60</v>
      </c>
      <c r="D359" s="248" t="s">
        <v>135</v>
      </c>
      <c r="E359" s="249">
        <v>1.23511879049676E-3</v>
      </c>
      <c r="F359" s="250" t="s">
        <v>133</v>
      </c>
      <c r="G359" s="251" t="s">
        <v>16</v>
      </c>
      <c r="H359" s="252">
        <v>1</v>
      </c>
      <c r="I359" s="252">
        <v>1</v>
      </c>
      <c r="J359" s="252">
        <v>3</v>
      </c>
      <c r="K359" s="252">
        <v>3</v>
      </c>
      <c r="L359" s="253">
        <v>3</v>
      </c>
      <c r="M359" s="254">
        <f t="shared" si="11"/>
        <v>1.1181151966036349</v>
      </c>
      <c r="N359" s="255"/>
    </row>
    <row r="360" spans="1:14" hidden="1" x14ac:dyDescent="0.2">
      <c r="A360" s="246" t="s">
        <v>272</v>
      </c>
      <c r="B360" s="421" t="s">
        <v>465</v>
      </c>
      <c r="C360" s="422" t="s">
        <v>13</v>
      </c>
      <c r="D360" s="252" t="s">
        <v>135</v>
      </c>
      <c r="E360" s="423">
        <v>1.142330116275239E-3</v>
      </c>
      <c r="F360" s="250" t="s">
        <v>133</v>
      </c>
      <c r="G360" s="251" t="s">
        <v>16</v>
      </c>
      <c r="H360" s="252">
        <v>1</v>
      </c>
      <c r="I360" s="252">
        <v>2</v>
      </c>
      <c r="J360" s="252">
        <v>3</v>
      </c>
      <c r="K360" s="252">
        <v>3</v>
      </c>
      <c r="L360" s="253">
        <v>3</v>
      </c>
      <c r="M360" s="254">
        <f t="shared" si="11"/>
        <v>1.123005955058592</v>
      </c>
      <c r="N360" s="255"/>
    </row>
    <row r="361" spans="1:14" hidden="1" x14ac:dyDescent="0.2">
      <c r="A361" s="246" t="s">
        <v>272</v>
      </c>
      <c r="B361" s="448" t="s">
        <v>465</v>
      </c>
      <c r="C361" s="422" t="s">
        <v>13</v>
      </c>
      <c r="D361" s="252" t="s">
        <v>135</v>
      </c>
      <c r="E361" s="423">
        <v>1.454567014723805E-2</v>
      </c>
      <c r="F361" s="250" t="s">
        <v>133</v>
      </c>
      <c r="G361" s="251"/>
      <c r="H361" s="252">
        <v>1</v>
      </c>
      <c r="I361" s="252">
        <v>2</v>
      </c>
      <c r="J361" s="252">
        <v>3</v>
      </c>
      <c r="K361" s="252">
        <v>3</v>
      </c>
      <c r="L361" s="253">
        <v>3</v>
      </c>
      <c r="M361" s="254">
        <f t="shared" si="11"/>
        <v>1.123005955058592</v>
      </c>
      <c r="N361" s="255"/>
    </row>
    <row r="362" spans="1:14" hidden="1" x14ac:dyDescent="0.2">
      <c r="A362" s="246" t="s">
        <v>272</v>
      </c>
      <c r="B362" s="448" t="s">
        <v>465</v>
      </c>
      <c r="C362" s="422" t="s">
        <v>18</v>
      </c>
      <c r="D362" s="252" t="s">
        <v>135</v>
      </c>
      <c r="E362" s="423">
        <v>2.8968345465924441E-3</v>
      </c>
      <c r="F362" s="250" t="s">
        <v>133</v>
      </c>
      <c r="G362" s="251"/>
      <c r="H362" s="252">
        <v>1</v>
      </c>
      <c r="I362" s="252">
        <v>2</v>
      </c>
      <c r="J362" s="252">
        <v>3</v>
      </c>
      <c r="K362" s="252">
        <v>3</v>
      </c>
      <c r="L362" s="253">
        <v>3</v>
      </c>
      <c r="M362" s="254">
        <f t="shared" si="11"/>
        <v>1.123005955058592</v>
      </c>
      <c r="N362" s="255"/>
    </row>
    <row r="363" spans="1:14" hidden="1" x14ac:dyDescent="0.2">
      <c r="A363" s="246" t="s">
        <v>272</v>
      </c>
      <c r="B363" s="448" t="s">
        <v>465</v>
      </c>
      <c r="C363" s="422" t="s">
        <v>18</v>
      </c>
      <c r="D363" s="252" t="s">
        <v>135</v>
      </c>
      <c r="E363" s="423">
        <v>3.6886359893277133E-2</v>
      </c>
      <c r="F363" s="250" t="s">
        <v>133</v>
      </c>
      <c r="G363" s="251"/>
      <c r="H363" s="252">
        <v>1</v>
      </c>
      <c r="I363" s="252">
        <v>2</v>
      </c>
      <c r="J363" s="252">
        <v>3</v>
      </c>
      <c r="K363" s="252">
        <v>3</v>
      </c>
      <c r="L363" s="253">
        <v>3</v>
      </c>
      <c r="M363" s="254">
        <f t="shared" si="11"/>
        <v>1.123005955058592</v>
      </c>
      <c r="N363" s="255"/>
    </row>
    <row r="364" spans="1:14" hidden="1" x14ac:dyDescent="0.2">
      <c r="A364" s="246" t="s">
        <v>272</v>
      </c>
      <c r="B364" s="448" t="s">
        <v>465</v>
      </c>
      <c r="C364" s="422" t="s">
        <v>20</v>
      </c>
      <c r="D364" s="252" t="s">
        <v>135</v>
      </c>
      <c r="E364" s="423">
        <v>3.52435850983234E-3</v>
      </c>
      <c r="F364" s="250" t="s">
        <v>133</v>
      </c>
      <c r="G364" s="251"/>
      <c r="H364" s="252">
        <v>1</v>
      </c>
      <c r="I364" s="252">
        <v>2</v>
      </c>
      <c r="J364" s="252">
        <v>3</v>
      </c>
      <c r="K364" s="252">
        <v>3</v>
      </c>
      <c r="L364" s="253">
        <v>3</v>
      </c>
      <c r="M364" s="254">
        <f t="shared" si="11"/>
        <v>1.123005955058592</v>
      </c>
      <c r="N364" s="255"/>
    </row>
    <row r="365" spans="1:14" hidden="1" x14ac:dyDescent="0.2">
      <c r="A365" s="246" t="s">
        <v>272</v>
      </c>
      <c r="B365" s="448" t="s">
        <v>465</v>
      </c>
      <c r="C365" s="422" t="s">
        <v>20</v>
      </c>
      <c r="D365" s="252" t="s">
        <v>135</v>
      </c>
      <c r="E365" s="423">
        <v>4.4876831691865127E-2</v>
      </c>
      <c r="F365" s="250" t="s">
        <v>133</v>
      </c>
      <c r="G365" s="251"/>
      <c r="H365" s="252">
        <v>1</v>
      </c>
      <c r="I365" s="252">
        <v>2</v>
      </c>
      <c r="J365" s="252">
        <v>3</v>
      </c>
      <c r="K365" s="252">
        <v>3</v>
      </c>
      <c r="L365" s="253">
        <v>3</v>
      </c>
      <c r="M365" s="254">
        <f t="shared" si="11"/>
        <v>1.123005955058592</v>
      </c>
      <c r="N365" s="255"/>
    </row>
    <row r="366" spans="1:14" hidden="1" x14ac:dyDescent="0.2">
      <c r="A366" s="246" t="s">
        <v>272</v>
      </c>
      <c r="B366" s="448" t="s">
        <v>465</v>
      </c>
      <c r="C366" s="422" t="s">
        <v>22</v>
      </c>
      <c r="D366" s="252" t="s">
        <v>135</v>
      </c>
      <c r="E366" s="423">
        <v>2.3530089923910541E-3</v>
      </c>
      <c r="F366" s="250" t="s">
        <v>133</v>
      </c>
      <c r="G366" s="251"/>
      <c r="H366" s="252">
        <v>1</v>
      </c>
      <c r="I366" s="252">
        <v>2</v>
      </c>
      <c r="J366" s="252">
        <v>3</v>
      </c>
      <c r="K366" s="252">
        <v>3</v>
      </c>
      <c r="L366" s="253">
        <v>3</v>
      </c>
      <c r="M366" s="254">
        <f t="shared" si="11"/>
        <v>1.123005955058592</v>
      </c>
      <c r="N366" s="255"/>
    </row>
    <row r="367" spans="1:14" hidden="1" x14ac:dyDescent="0.2">
      <c r="A367" s="246" t="s">
        <v>272</v>
      </c>
      <c r="B367" s="448" t="s">
        <v>465</v>
      </c>
      <c r="C367" s="422" t="s">
        <v>22</v>
      </c>
      <c r="D367" s="252" t="s">
        <v>135</v>
      </c>
      <c r="E367" s="423">
        <v>2.9961647836446101E-2</v>
      </c>
      <c r="F367" s="250" t="s">
        <v>133</v>
      </c>
      <c r="G367" s="251"/>
      <c r="H367" s="252">
        <v>1</v>
      </c>
      <c r="I367" s="252">
        <v>2</v>
      </c>
      <c r="J367" s="252">
        <v>3</v>
      </c>
      <c r="K367" s="252">
        <v>3</v>
      </c>
      <c r="L367" s="253">
        <v>3</v>
      </c>
      <c r="M367" s="254">
        <f t="shared" si="11"/>
        <v>1.123005955058592</v>
      </c>
      <c r="N367" s="255"/>
    </row>
    <row r="368" spans="1:14" hidden="1" x14ac:dyDescent="0.2">
      <c r="A368" s="246" t="s">
        <v>272</v>
      </c>
      <c r="B368" s="448" t="s">
        <v>465</v>
      </c>
      <c r="C368" s="422" t="s">
        <v>23</v>
      </c>
      <c r="D368" s="252" t="s">
        <v>135</v>
      </c>
      <c r="E368" s="423">
        <v>2.366876379327382E-3</v>
      </c>
      <c r="F368" s="250" t="s">
        <v>133</v>
      </c>
      <c r="G368" s="251"/>
      <c r="H368" s="252">
        <v>1</v>
      </c>
      <c r="I368" s="252">
        <v>2</v>
      </c>
      <c r="J368" s="252">
        <v>3</v>
      </c>
      <c r="K368" s="252">
        <v>3</v>
      </c>
      <c r="L368" s="253">
        <v>3</v>
      </c>
      <c r="M368" s="254">
        <f t="shared" ref="M368:M398" si="12">IF( OR( ISBLANK(H368),ISBLANK(I368), ISBLANK(J368), ISBLANK(K368), ISBLANK(L368) ), "", 1.5*SQRT( EXP(2.21*(H368-1)) + EXP(2.21*(I368-1)) + EXP(2.21*(J368-1)) + EXP(2.21*(K368-1)) + EXP(2.21*L368) )/100*2.45 )</f>
        <v>1.123005955058592</v>
      </c>
      <c r="N368" s="255"/>
    </row>
    <row r="369" spans="1:14" hidden="1" x14ac:dyDescent="0.2">
      <c r="A369" s="246" t="s">
        <v>272</v>
      </c>
      <c r="B369" s="448" t="s">
        <v>465</v>
      </c>
      <c r="C369" s="422" t="s">
        <v>23</v>
      </c>
      <c r="D369" s="252" t="s">
        <v>135</v>
      </c>
      <c r="E369" s="423">
        <v>3.0138225896768671E-2</v>
      </c>
      <c r="F369" s="250" t="s">
        <v>133</v>
      </c>
      <c r="G369" s="251"/>
      <c r="H369" s="252">
        <v>1</v>
      </c>
      <c r="I369" s="252">
        <v>2</v>
      </c>
      <c r="J369" s="252">
        <v>3</v>
      </c>
      <c r="K369" s="252">
        <v>3</v>
      </c>
      <c r="L369" s="253">
        <v>3</v>
      </c>
      <c r="M369" s="254">
        <f t="shared" si="12"/>
        <v>1.123005955058592</v>
      </c>
      <c r="N369" s="255"/>
    </row>
    <row r="370" spans="1:14" hidden="1" x14ac:dyDescent="0.2">
      <c r="A370" s="246" t="s">
        <v>272</v>
      </c>
      <c r="B370" s="448" t="s">
        <v>465</v>
      </c>
      <c r="C370" s="422" t="s">
        <v>24</v>
      </c>
      <c r="D370" s="252" t="s">
        <v>135</v>
      </c>
      <c r="E370" s="423">
        <v>2.5022563325537732E-3</v>
      </c>
      <c r="F370" s="250" t="s">
        <v>133</v>
      </c>
      <c r="G370" s="251"/>
      <c r="H370" s="252">
        <v>1</v>
      </c>
      <c r="I370" s="252">
        <v>2</v>
      </c>
      <c r="J370" s="252">
        <v>3</v>
      </c>
      <c r="K370" s="252">
        <v>3</v>
      </c>
      <c r="L370" s="253">
        <v>3</v>
      </c>
      <c r="M370" s="254">
        <f t="shared" si="12"/>
        <v>1.123005955058592</v>
      </c>
      <c r="N370" s="255"/>
    </row>
    <row r="371" spans="1:14" hidden="1" x14ac:dyDescent="0.2">
      <c r="A371" s="246" t="s">
        <v>272</v>
      </c>
      <c r="B371" s="448" t="s">
        <v>465</v>
      </c>
      <c r="C371" s="422" t="s">
        <v>24</v>
      </c>
      <c r="D371" s="252" t="s">
        <v>135</v>
      </c>
      <c r="E371" s="423">
        <v>3.1862063967851378E-2</v>
      </c>
      <c r="F371" s="250" t="s">
        <v>133</v>
      </c>
      <c r="G371" s="251"/>
      <c r="H371" s="252">
        <v>1</v>
      </c>
      <c r="I371" s="252">
        <v>2</v>
      </c>
      <c r="J371" s="252">
        <v>3</v>
      </c>
      <c r="K371" s="252">
        <v>3</v>
      </c>
      <c r="L371" s="253">
        <v>3</v>
      </c>
      <c r="M371" s="254">
        <f t="shared" si="12"/>
        <v>1.123005955058592</v>
      </c>
      <c r="N371" s="255"/>
    </row>
    <row r="372" spans="1:14" hidden="1" x14ac:dyDescent="0.2">
      <c r="A372" s="246" t="s">
        <v>272</v>
      </c>
      <c r="B372" s="448" t="s">
        <v>465</v>
      </c>
      <c r="C372" s="422" t="s">
        <v>25</v>
      </c>
      <c r="D372" s="252" t="s">
        <v>135</v>
      </c>
      <c r="E372" s="423">
        <v>1.510655818702856E-3</v>
      </c>
      <c r="F372" s="250" t="s">
        <v>133</v>
      </c>
      <c r="G372" s="251"/>
      <c r="H372" s="252">
        <v>1</v>
      </c>
      <c r="I372" s="252">
        <v>2</v>
      </c>
      <c r="J372" s="252">
        <v>3</v>
      </c>
      <c r="K372" s="252">
        <v>3</v>
      </c>
      <c r="L372" s="253">
        <v>3</v>
      </c>
      <c r="M372" s="254">
        <f t="shared" si="12"/>
        <v>1.123005955058592</v>
      </c>
      <c r="N372" s="255"/>
    </row>
    <row r="373" spans="1:14" hidden="1" x14ac:dyDescent="0.2">
      <c r="A373" s="246" t="s">
        <v>272</v>
      </c>
      <c r="B373" s="448" t="s">
        <v>465</v>
      </c>
      <c r="C373" s="422" t="s">
        <v>25</v>
      </c>
      <c r="D373" s="252" t="s">
        <v>135</v>
      </c>
      <c r="E373" s="423">
        <v>1.9235684091483029E-2</v>
      </c>
      <c r="F373" s="250" t="s">
        <v>133</v>
      </c>
      <c r="G373" s="251"/>
      <c r="H373" s="252">
        <v>1</v>
      </c>
      <c r="I373" s="252">
        <v>2</v>
      </c>
      <c r="J373" s="252">
        <v>3</v>
      </c>
      <c r="K373" s="252">
        <v>3</v>
      </c>
      <c r="L373" s="253">
        <v>3</v>
      </c>
      <c r="M373" s="254">
        <f t="shared" si="12"/>
        <v>1.123005955058592</v>
      </c>
      <c r="N373" s="255"/>
    </row>
    <row r="374" spans="1:14" hidden="1" x14ac:dyDescent="0.2">
      <c r="A374" s="246" t="s">
        <v>272</v>
      </c>
      <c r="B374" s="448" t="s">
        <v>465</v>
      </c>
      <c r="C374" s="422" t="s">
        <v>26</v>
      </c>
      <c r="D374" s="252" t="s">
        <v>135</v>
      </c>
      <c r="E374" s="423">
        <v>1.262887446885602E-3</v>
      </c>
      <c r="F374" s="250" t="s">
        <v>133</v>
      </c>
      <c r="G374" s="251"/>
      <c r="H374" s="252">
        <v>1</v>
      </c>
      <c r="I374" s="252">
        <v>2</v>
      </c>
      <c r="J374" s="252">
        <v>3</v>
      </c>
      <c r="K374" s="252">
        <v>3</v>
      </c>
      <c r="L374" s="253">
        <v>3</v>
      </c>
      <c r="M374" s="254">
        <f t="shared" si="12"/>
        <v>1.123005955058592</v>
      </c>
      <c r="N374" s="255"/>
    </row>
    <row r="375" spans="1:14" hidden="1" x14ac:dyDescent="0.2">
      <c r="A375" s="246" t="s">
        <v>272</v>
      </c>
      <c r="B375" s="448" t="s">
        <v>465</v>
      </c>
      <c r="C375" s="422" t="s">
        <v>26</v>
      </c>
      <c r="D375" s="252" t="s">
        <v>135</v>
      </c>
      <c r="E375" s="423">
        <v>1.6080766823676668E-2</v>
      </c>
      <c r="F375" s="250" t="s">
        <v>133</v>
      </c>
      <c r="G375" s="251"/>
      <c r="H375" s="252">
        <v>1</v>
      </c>
      <c r="I375" s="252">
        <v>2</v>
      </c>
      <c r="J375" s="252">
        <v>3</v>
      </c>
      <c r="K375" s="252">
        <v>3</v>
      </c>
      <c r="L375" s="253">
        <v>3</v>
      </c>
      <c r="M375" s="254">
        <f t="shared" si="12"/>
        <v>1.123005955058592</v>
      </c>
      <c r="N375" s="255"/>
    </row>
    <row r="376" spans="1:14" hidden="1" x14ac:dyDescent="0.2">
      <c r="A376" s="246" t="s">
        <v>272</v>
      </c>
      <c r="B376" s="448" t="s">
        <v>465</v>
      </c>
      <c r="C376" s="422" t="s">
        <v>27</v>
      </c>
      <c r="D376" s="252" t="s">
        <v>135</v>
      </c>
      <c r="E376" s="423">
        <v>1.1675121051418029E-3</v>
      </c>
      <c r="F376" s="250" t="s">
        <v>133</v>
      </c>
      <c r="G376" s="251"/>
      <c r="H376" s="252">
        <v>1</v>
      </c>
      <c r="I376" s="252">
        <v>2</v>
      </c>
      <c r="J376" s="252">
        <v>3</v>
      </c>
      <c r="K376" s="252">
        <v>3</v>
      </c>
      <c r="L376" s="253">
        <v>3</v>
      </c>
      <c r="M376" s="254">
        <f t="shared" si="12"/>
        <v>1.123005955058592</v>
      </c>
      <c r="N376" s="255"/>
    </row>
    <row r="377" spans="1:14" hidden="1" x14ac:dyDescent="0.2">
      <c r="A377" s="246" t="s">
        <v>272</v>
      </c>
      <c r="B377" s="448" t="s">
        <v>465</v>
      </c>
      <c r="C377" s="422" t="s">
        <v>27</v>
      </c>
      <c r="D377" s="252" t="s">
        <v>135</v>
      </c>
      <c r="E377" s="423">
        <v>1.4866320805472301E-2</v>
      </c>
      <c r="F377" s="250" t="s">
        <v>133</v>
      </c>
      <c r="G377" s="251"/>
      <c r="H377" s="252">
        <v>1</v>
      </c>
      <c r="I377" s="252">
        <v>2</v>
      </c>
      <c r="J377" s="252">
        <v>3</v>
      </c>
      <c r="K377" s="252">
        <v>3</v>
      </c>
      <c r="L377" s="253">
        <v>3</v>
      </c>
      <c r="M377" s="254">
        <f t="shared" si="12"/>
        <v>1.123005955058592</v>
      </c>
      <c r="N377" s="255"/>
    </row>
    <row r="378" spans="1:14" hidden="1" x14ac:dyDescent="0.2">
      <c r="A378" s="246" t="s">
        <v>272</v>
      </c>
      <c r="B378" s="448" t="s">
        <v>465</v>
      </c>
      <c r="C378" s="422" t="s">
        <v>28</v>
      </c>
      <c r="D378" s="252" t="s">
        <v>135</v>
      </c>
      <c r="E378" s="423">
        <v>2.4974472149939058E-3</v>
      </c>
      <c r="F378" s="250" t="s">
        <v>133</v>
      </c>
      <c r="G378" s="251"/>
      <c r="H378" s="252">
        <v>1</v>
      </c>
      <c r="I378" s="252">
        <v>2</v>
      </c>
      <c r="J378" s="252">
        <v>3</v>
      </c>
      <c r="K378" s="252">
        <v>3</v>
      </c>
      <c r="L378" s="253">
        <v>3</v>
      </c>
      <c r="M378" s="254">
        <f t="shared" si="12"/>
        <v>1.123005955058592</v>
      </c>
      <c r="N378" s="255"/>
    </row>
    <row r="379" spans="1:14" hidden="1" x14ac:dyDescent="0.2">
      <c r="A379" s="246" t="s">
        <v>272</v>
      </c>
      <c r="B379" s="448" t="s">
        <v>465</v>
      </c>
      <c r="C379" s="422" t="s">
        <v>28</v>
      </c>
      <c r="D379" s="252" t="s">
        <v>135</v>
      </c>
      <c r="E379" s="423">
        <v>3.1800827870922407E-2</v>
      </c>
      <c r="F379" s="250" t="s">
        <v>133</v>
      </c>
      <c r="G379" s="251"/>
      <c r="H379" s="252">
        <v>1</v>
      </c>
      <c r="I379" s="252">
        <v>2</v>
      </c>
      <c r="J379" s="252">
        <v>3</v>
      </c>
      <c r="K379" s="252">
        <v>3</v>
      </c>
      <c r="L379" s="253">
        <v>3</v>
      </c>
      <c r="M379" s="254">
        <f t="shared" si="12"/>
        <v>1.123005955058592</v>
      </c>
      <c r="N379" s="255"/>
    </row>
    <row r="380" spans="1:14" hidden="1" x14ac:dyDescent="0.2">
      <c r="A380" s="246" t="s">
        <v>272</v>
      </c>
      <c r="B380" s="448" t="s">
        <v>465</v>
      </c>
      <c r="C380" s="422" t="s">
        <v>30</v>
      </c>
      <c r="D380" s="252" t="s">
        <v>135</v>
      </c>
      <c r="E380" s="423">
        <v>1.5E-3</v>
      </c>
      <c r="F380" s="250" t="s">
        <v>133</v>
      </c>
      <c r="G380" s="251"/>
      <c r="H380" s="252">
        <v>1</v>
      </c>
      <c r="I380" s="252">
        <v>2</v>
      </c>
      <c r="J380" s="252">
        <v>3</v>
      </c>
      <c r="K380" s="252">
        <v>3</v>
      </c>
      <c r="L380" s="253">
        <v>3</v>
      </c>
      <c r="M380" s="254">
        <f t="shared" si="12"/>
        <v>1.123005955058592</v>
      </c>
      <c r="N380" s="255"/>
    </row>
    <row r="381" spans="1:14" hidden="1" x14ac:dyDescent="0.2">
      <c r="A381" s="246" t="s">
        <v>272</v>
      </c>
      <c r="B381" s="448" t="s">
        <v>465</v>
      </c>
      <c r="C381" s="422" t="s">
        <v>30</v>
      </c>
      <c r="D381" s="252" t="s">
        <v>135</v>
      </c>
      <c r="E381" s="423">
        <v>1.9099999999999999E-2</v>
      </c>
      <c r="F381" s="250" t="s">
        <v>133</v>
      </c>
      <c r="G381" s="251"/>
      <c r="H381" s="252">
        <v>1</v>
      </c>
      <c r="I381" s="252">
        <v>2</v>
      </c>
      <c r="J381" s="252">
        <v>3</v>
      </c>
      <c r="K381" s="252">
        <v>3</v>
      </c>
      <c r="L381" s="253">
        <v>3</v>
      </c>
      <c r="M381" s="254">
        <f t="shared" si="12"/>
        <v>1.123005955058592</v>
      </c>
      <c r="N381" s="255"/>
    </row>
    <row r="382" spans="1:14" hidden="1" x14ac:dyDescent="0.2">
      <c r="A382" s="246" t="s">
        <v>272</v>
      </c>
      <c r="B382" s="448" t="s">
        <v>465</v>
      </c>
      <c r="C382" s="422" t="s">
        <v>32</v>
      </c>
      <c r="D382" s="252" t="s">
        <v>135</v>
      </c>
      <c r="E382" s="423">
        <v>4.7344938897855666E-3</v>
      </c>
      <c r="F382" s="250" t="s">
        <v>133</v>
      </c>
      <c r="G382" s="251"/>
      <c r="H382" s="252">
        <v>1</v>
      </c>
      <c r="I382" s="252">
        <v>2</v>
      </c>
      <c r="J382" s="252">
        <v>3</v>
      </c>
      <c r="K382" s="252">
        <v>3</v>
      </c>
      <c r="L382" s="253">
        <v>3</v>
      </c>
      <c r="M382" s="254">
        <f t="shared" si="12"/>
        <v>1.123005955058592</v>
      </c>
      <c r="N382" s="255"/>
    </row>
    <row r="383" spans="1:14" hidden="1" x14ac:dyDescent="0.2">
      <c r="A383" s="246" t="s">
        <v>272</v>
      </c>
      <c r="B383" s="448" t="s">
        <v>465</v>
      </c>
      <c r="C383" s="422" t="s">
        <v>32</v>
      </c>
      <c r="D383" s="252" t="s">
        <v>135</v>
      </c>
      <c r="E383" s="423">
        <v>6.0285888863269549E-2</v>
      </c>
      <c r="F383" s="250" t="s">
        <v>133</v>
      </c>
      <c r="G383" s="251"/>
      <c r="H383" s="252">
        <v>1</v>
      </c>
      <c r="I383" s="252">
        <v>2</v>
      </c>
      <c r="J383" s="252">
        <v>3</v>
      </c>
      <c r="K383" s="252">
        <v>3</v>
      </c>
      <c r="L383" s="253">
        <v>3</v>
      </c>
      <c r="M383" s="254">
        <f t="shared" si="12"/>
        <v>1.123005955058592</v>
      </c>
      <c r="N383" s="255"/>
    </row>
    <row r="384" spans="1:14" hidden="1" x14ac:dyDescent="0.2">
      <c r="A384" s="246" t="s">
        <v>272</v>
      </c>
      <c r="B384" s="448" t="s">
        <v>465</v>
      </c>
      <c r="C384" s="422" t="s">
        <v>34</v>
      </c>
      <c r="D384" s="252" t="s">
        <v>135</v>
      </c>
      <c r="E384" s="423">
        <v>2.3875951118284529E-3</v>
      </c>
      <c r="F384" s="250" t="s">
        <v>133</v>
      </c>
      <c r="G384" s="251"/>
      <c r="H384" s="252">
        <v>1</v>
      </c>
      <c r="I384" s="252">
        <v>2</v>
      </c>
      <c r="J384" s="252">
        <v>3</v>
      </c>
      <c r="K384" s="252">
        <v>3</v>
      </c>
      <c r="L384" s="253">
        <v>3</v>
      </c>
      <c r="M384" s="254">
        <f t="shared" si="12"/>
        <v>1.123005955058592</v>
      </c>
      <c r="N384" s="255"/>
    </row>
    <row r="385" spans="1:14" hidden="1" x14ac:dyDescent="0.2">
      <c r="A385" s="246" t="s">
        <v>272</v>
      </c>
      <c r="B385" s="448" t="s">
        <v>465</v>
      </c>
      <c r="C385" s="422" t="s">
        <v>34</v>
      </c>
      <c r="D385" s="252" t="s">
        <v>135</v>
      </c>
      <c r="E385" s="423">
        <v>3.0402044423948969E-2</v>
      </c>
      <c r="F385" s="250" t="s">
        <v>133</v>
      </c>
      <c r="G385" s="251"/>
      <c r="H385" s="252">
        <v>1</v>
      </c>
      <c r="I385" s="252">
        <v>2</v>
      </c>
      <c r="J385" s="252">
        <v>3</v>
      </c>
      <c r="K385" s="252">
        <v>3</v>
      </c>
      <c r="L385" s="253">
        <v>3</v>
      </c>
      <c r="M385" s="254">
        <f t="shared" si="12"/>
        <v>1.123005955058592</v>
      </c>
      <c r="N385" s="255"/>
    </row>
    <row r="386" spans="1:14" hidden="1" x14ac:dyDescent="0.2">
      <c r="A386" s="246" t="s">
        <v>272</v>
      </c>
      <c r="B386" s="448" t="s">
        <v>465</v>
      </c>
      <c r="C386" s="422" t="s">
        <v>36</v>
      </c>
      <c r="D386" s="252" t="s">
        <v>135</v>
      </c>
      <c r="E386" s="423">
        <v>1.4018248295398399E-3</v>
      </c>
      <c r="F386" s="250" t="s">
        <v>133</v>
      </c>
      <c r="G386" s="251"/>
      <c r="H386" s="252">
        <v>1</v>
      </c>
      <c r="I386" s="252">
        <v>2</v>
      </c>
      <c r="J386" s="252">
        <v>3</v>
      </c>
      <c r="K386" s="252">
        <v>3</v>
      </c>
      <c r="L386" s="253">
        <v>3</v>
      </c>
      <c r="M386" s="254">
        <f t="shared" si="12"/>
        <v>1.123005955058592</v>
      </c>
      <c r="N386" s="255"/>
    </row>
    <row r="387" spans="1:14" hidden="1" x14ac:dyDescent="0.2">
      <c r="A387" s="246" t="s">
        <v>272</v>
      </c>
      <c r="B387" s="448" t="s">
        <v>465</v>
      </c>
      <c r="C387" s="422" t="s">
        <v>36</v>
      </c>
      <c r="D387" s="252" t="s">
        <v>135</v>
      </c>
      <c r="E387" s="423">
        <v>1.784990282947397E-2</v>
      </c>
      <c r="F387" s="250" t="s">
        <v>133</v>
      </c>
      <c r="G387" s="251"/>
      <c r="H387" s="252">
        <v>1</v>
      </c>
      <c r="I387" s="252">
        <v>2</v>
      </c>
      <c r="J387" s="252">
        <v>3</v>
      </c>
      <c r="K387" s="252">
        <v>3</v>
      </c>
      <c r="L387" s="253">
        <v>3</v>
      </c>
      <c r="M387" s="254">
        <f t="shared" si="12"/>
        <v>1.123005955058592</v>
      </c>
      <c r="N387" s="255"/>
    </row>
    <row r="388" spans="1:14" hidden="1" x14ac:dyDescent="0.2">
      <c r="A388" s="246" t="s">
        <v>272</v>
      </c>
      <c r="B388" s="448" t="s">
        <v>465</v>
      </c>
      <c r="C388" s="422" t="s">
        <v>37</v>
      </c>
      <c r="D388" s="252" t="s">
        <v>135</v>
      </c>
      <c r="E388" s="423">
        <v>3.4927369149181462E-3</v>
      </c>
      <c r="F388" s="250" t="s">
        <v>133</v>
      </c>
      <c r="G388" s="251"/>
      <c r="H388" s="252">
        <v>1</v>
      </c>
      <c r="I388" s="252">
        <v>2</v>
      </c>
      <c r="J388" s="252">
        <v>3</v>
      </c>
      <c r="K388" s="252">
        <v>3</v>
      </c>
      <c r="L388" s="253">
        <v>3</v>
      </c>
      <c r="M388" s="254">
        <f t="shared" si="12"/>
        <v>1.123005955058592</v>
      </c>
      <c r="N388" s="255"/>
    </row>
    <row r="389" spans="1:14" hidden="1" x14ac:dyDescent="0.2">
      <c r="A389" s="246" t="s">
        <v>272</v>
      </c>
      <c r="B389" s="448" t="s">
        <v>465</v>
      </c>
      <c r="C389" s="422" t="s">
        <v>37</v>
      </c>
      <c r="D389" s="252" t="s">
        <v>135</v>
      </c>
      <c r="E389" s="423">
        <v>4.4474183383291059E-2</v>
      </c>
      <c r="F389" s="250" t="s">
        <v>133</v>
      </c>
      <c r="G389" s="251"/>
      <c r="H389" s="252">
        <v>1</v>
      </c>
      <c r="I389" s="252">
        <v>2</v>
      </c>
      <c r="J389" s="252">
        <v>3</v>
      </c>
      <c r="K389" s="252">
        <v>3</v>
      </c>
      <c r="L389" s="253">
        <v>3</v>
      </c>
      <c r="M389" s="254">
        <f t="shared" si="12"/>
        <v>1.123005955058592</v>
      </c>
      <c r="N389" s="255"/>
    </row>
    <row r="390" spans="1:14" hidden="1" x14ac:dyDescent="0.2">
      <c r="A390" s="246" t="s">
        <v>272</v>
      </c>
      <c r="B390" s="448" t="s">
        <v>465</v>
      </c>
      <c r="C390" s="422" t="s">
        <v>39</v>
      </c>
      <c r="D390" s="252" t="s">
        <v>135</v>
      </c>
      <c r="E390" s="423">
        <v>1.5892321881484899E-3</v>
      </c>
      <c r="F390" s="250" t="s">
        <v>133</v>
      </c>
      <c r="G390" s="251"/>
      <c r="H390" s="252">
        <v>1</v>
      </c>
      <c r="I390" s="252">
        <v>2</v>
      </c>
      <c r="J390" s="252">
        <v>3</v>
      </c>
      <c r="K390" s="252">
        <v>3</v>
      </c>
      <c r="L390" s="253">
        <v>3</v>
      </c>
      <c r="M390" s="254">
        <f t="shared" si="12"/>
        <v>1.123005955058592</v>
      </c>
      <c r="N390" s="255"/>
    </row>
    <row r="391" spans="1:14" hidden="1" x14ac:dyDescent="0.2">
      <c r="A391" s="246" t="s">
        <v>272</v>
      </c>
      <c r="B391" s="448" t="s">
        <v>465</v>
      </c>
      <c r="C391" s="422" t="s">
        <v>39</v>
      </c>
      <c r="D391" s="252" t="s">
        <v>135</v>
      </c>
      <c r="E391" s="423">
        <v>2.0236223195757439E-2</v>
      </c>
      <c r="F391" s="250" t="s">
        <v>133</v>
      </c>
      <c r="G391" s="251"/>
      <c r="H391" s="252">
        <v>1</v>
      </c>
      <c r="I391" s="252">
        <v>2</v>
      </c>
      <c r="J391" s="252">
        <v>3</v>
      </c>
      <c r="K391" s="252">
        <v>3</v>
      </c>
      <c r="L391" s="253">
        <v>3</v>
      </c>
      <c r="M391" s="254">
        <f t="shared" si="12"/>
        <v>1.123005955058592</v>
      </c>
      <c r="N391" s="255"/>
    </row>
    <row r="392" spans="1:14" hidden="1" x14ac:dyDescent="0.2">
      <c r="A392" s="246" t="s">
        <v>272</v>
      </c>
      <c r="B392" s="448" t="s">
        <v>465</v>
      </c>
      <c r="C392" s="422" t="s">
        <v>40</v>
      </c>
      <c r="D392" s="252" t="s">
        <v>135</v>
      </c>
      <c r="E392" s="423">
        <v>1.6319378108633361E-3</v>
      </c>
      <c r="F392" s="250" t="s">
        <v>133</v>
      </c>
      <c r="G392" s="251"/>
      <c r="H392" s="252">
        <v>1</v>
      </c>
      <c r="I392" s="252">
        <v>2</v>
      </c>
      <c r="J392" s="252">
        <v>3</v>
      </c>
      <c r="K392" s="252">
        <v>3</v>
      </c>
      <c r="L392" s="253">
        <v>3</v>
      </c>
      <c r="M392" s="254">
        <f t="shared" si="12"/>
        <v>1.123005955058592</v>
      </c>
      <c r="N392" s="255"/>
    </row>
    <row r="393" spans="1:14" hidden="1" x14ac:dyDescent="0.2">
      <c r="A393" s="246" t="s">
        <v>272</v>
      </c>
      <c r="B393" s="448" t="s">
        <v>465</v>
      </c>
      <c r="C393" s="422" t="s">
        <v>40</v>
      </c>
      <c r="D393" s="252" t="s">
        <v>135</v>
      </c>
      <c r="E393" s="423">
        <v>2.078000812499315E-2</v>
      </c>
      <c r="F393" s="250" t="s">
        <v>133</v>
      </c>
      <c r="G393" s="251"/>
      <c r="H393" s="252">
        <v>1</v>
      </c>
      <c r="I393" s="252">
        <v>2</v>
      </c>
      <c r="J393" s="252">
        <v>3</v>
      </c>
      <c r="K393" s="252">
        <v>3</v>
      </c>
      <c r="L393" s="253">
        <v>3</v>
      </c>
      <c r="M393" s="254">
        <f t="shared" si="12"/>
        <v>1.123005955058592</v>
      </c>
      <c r="N393" s="255"/>
    </row>
    <row r="394" spans="1:14" hidden="1" x14ac:dyDescent="0.2">
      <c r="A394" s="246" t="s">
        <v>272</v>
      </c>
      <c r="B394" s="448" t="s">
        <v>465</v>
      </c>
      <c r="C394" s="422" t="s">
        <v>41</v>
      </c>
      <c r="D394" s="252" t="s">
        <v>135</v>
      </c>
      <c r="E394" s="423">
        <v>2.0270101123225411E-3</v>
      </c>
      <c r="F394" s="250" t="s">
        <v>133</v>
      </c>
      <c r="G394" s="251"/>
      <c r="H394" s="252">
        <v>1</v>
      </c>
      <c r="I394" s="252">
        <v>2</v>
      </c>
      <c r="J394" s="252">
        <v>3</v>
      </c>
      <c r="K394" s="252">
        <v>3</v>
      </c>
      <c r="L394" s="253">
        <v>3</v>
      </c>
      <c r="M394" s="254">
        <f t="shared" si="12"/>
        <v>1.123005955058592</v>
      </c>
      <c r="N394" s="255"/>
    </row>
    <row r="395" spans="1:14" hidden="1" x14ac:dyDescent="0.2">
      <c r="A395" s="246" t="s">
        <v>272</v>
      </c>
      <c r="B395" s="448" t="s">
        <v>465</v>
      </c>
      <c r="C395" s="422" t="s">
        <v>41</v>
      </c>
      <c r="D395" s="252" t="s">
        <v>135</v>
      </c>
      <c r="E395" s="423">
        <v>2.5810595430240349E-2</v>
      </c>
      <c r="F395" s="250" t="s">
        <v>133</v>
      </c>
      <c r="G395" s="251"/>
      <c r="H395" s="252">
        <v>1</v>
      </c>
      <c r="I395" s="252">
        <v>2</v>
      </c>
      <c r="J395" s="252">
        <v>3</v>
      </c>
      <c r="K395" s="252">
        <v>3</v>
      </c>
      <c r="L395" s="253">
        <v>3</v>
      </c>
      <c r="M395" s="254">
        <f t="shared" si="12"/>
        <v>1.123005955058592</v>
      </c>
      <c r="N395" s="255"/>
    </row>
    <row r="396" spans="1:14" hidden="1" x14ac:dyDescent="0.2">
      <c r="A396" s="246" t="s">
        <v>272</v>
      </c>
      <c r="B396" s="448" t="s">
        <v>465</v>
      </c>
      <c r="C396" s="422" t="s">
        <v>42</v>
      </c>
      <c r="D396" s="252" t="s">
        <v>135</v>
      </c>
      <c r="E396" s="423">
        <v>1.01162752396324E-3</v>
      </c>
      <c r="F396" s="250" t="s">
        <v>133</v>
      </c>
      <c r="G396" s="251"/>
      <c r="H396" s="252">
        <v>1</v>
      </c>
      <c r="I396" s="252">
        <v>2</v>
      </c>
      <c r="J396" s="252">
        <v>3</v>
      </c>
      <c r="K396" s="252">
        <v>3</v>
      </c>
      <c r="L396" s="253">
        <v>3</v>
      </c>
      <c r="M396" s="254">
        <f t="shared" si="12"/>
        <v>1.123005955058592</v>
      </c>
      <c r="N396" s="255"/>
    </row>
    <row r="397" spans="1:14" hidden="1" x14ac:dyDescent="0.2">
      <c r="A397" s="246" t="s">
        <v>272</v>
      </c>
      <c r="B397" s="448" t="s">
        <v>465</v>
      </c>
      <c r="C397" s="422" t="s">
        <v>42</v>
      </c>
      <c r="D397" s="252" t="s">
        <v>135</v>
      </c>
      <c r="E397" s="423">
        <v>1.2881390471798589E-2</v>
      </c>
      <c r="F397" s="250" t="s">
        <v>133</v>
      </c>
      <c r="G397" s="251"/>
      <c r="H397" s="252">
        <v>1</v>
      </c>
      <c r="I397" s="252">
        <v>2</v>
      </c>
      <c r="J397" s="252">
        <v>3</v>
      </c>
      <c r="K397" s="252">
        <v>3</v>
      </c>
      <c r="L397" s="253">
        <v>3</v>
      </c>
      <c r="M397" s="254">
        <f t="shared" si="12"/>
        <v>1.123005955058592</v>
      </c>
      <c r="N397" s="255"/>
    </row>
    <row r="398" spans="1:14" hidden="1" x14ac:dyDescent="0.2">
      <c r="A398" s="246" t="s">
        <v>272</v>
      </c>
      <c r="B398" s="448" t="s">
        <v>465</v>
      </c>
      <c r="C398" s="422" t="s">
        <v>43</v>
      </c>
      <c r="D398" s="252" t="s">
        <v>135</v>
      </c>
      <c r="E398" s="423">
        <v>1.8618860963799859E-3</v>
      </c>
      <c r="F398" s="250" t="s">
        <v>133</v>
      </c>
      <c r="G398" s="251"/>
      <c r="H398" s="252">
        <v>1</v>
      </c>
      <c r="I398" s="252">
        <v>2</v>
      </c>
      <c r="J398" s="252">
        <v>3</v>
      </c>
      <c r="K398" s="252">
        <v>3</v>
      </c>
      <c r="L398" s="253">
        <v>3</v>
      </c>
      <c r="M398" s="254">
        <f t="shared" si="12"/>
        <v>1.123005955058592</v>
      </c>
      <c r="N398" s="255"/>
    </row>
    <row r="399" spans="1:14" hidden="1" x14ac:dyDescent="0.2">
      <c r="A399" s="246" t="s">
        <v>272</v>
      </c>
      <c r="B399" s="448" t="s">
        <v>465</v>
      </c>
      <c r="C399" s="422" t="s">
        <v>43</v>
      </c>
      <c r="D399" s="252" t="s">
        <v>135</v>
      </c>
      <c r="E399" s="423">
        <v>2.3708016293905159E-2</v>
      </c>
      <c r="F399" s="250" t="s">
        <v>133</v>
      </c>
      <c r="G399" s="251"/>
      <c r="H399" s="252">
        <v>1</v>
      </c>
      <c r="I399" s="252">
        <v>2</v>
      </c>
      <c r="J399" s="252">
        <v>3</v>
      </c>
      <c r="K399" s="252">
        <v>3</v>
      </c>
      <c r="L399" s="253">
        <v>3</v>
      </c>
      <c r="M399" s="254">
        <f>IF( OR( ISBLANK(H399),ISBLANK(I399), ISBLANK(J399), ISBLANK(K399), ISBLANK(L399) ), "", 1.5*SQRT(   EXP(2.21*(H399-1)) + EXP(2.21*(I399-1)) + EXP(2.21*(J399-1)) + EXP(2.21*(K399-1)) + EXP(2.21*L399)   )/100*2.45 )</f>
        <v>1.123005955058592</v>
      </c>
      <c r="N399" s="255"/>
    </row>
    <row r="400" spans="1:14" x14ac:dyDescent="0.2">
      <c r="A400" s="246" t="s">
        <v>272</v>
      </c>
      <c r="B400" s="448" t="s">
        <v>465</v>
      </c>
      <c r="C400" s="422" t="s">
        <v>45</v>
      </c>
      <c r="D400" s="252" t="s">
        <v>135</v>
      </c>
      <c r="E400" s="423">
        <v>1.066339470997069E-3</v>
      </c>
      <c r="F400" s="250" t="s">
        <v>133</v>
      </c>
      <c r="G400" s="251"/>
      <c r="H400" s="252">
        <v>1</v>
      </c>
      <c r="I400" s="252">
        <v>2</v>
      </c>
      <c r="J400" s="252">
        <v>3</v>
      </c>
      <c r="K400" s="252">
        <v>3</v>
      </c>
      <c r="L400" s="253">
        <v>3</v>
      </c>
      <c r="M400" s="254">
        <f t="shared" ref="M400:M431" si="13">IF( OR( ISBLANK(H400),ISBLANK(I400), ISBLANK(J400), ISBLANK(K400), ISBLANK(L400) ), "", 1.5*SQRT( EXP(2.21*(H400-1)) + EXP(2.21*(I400-1)) + EXP(2.21*(J400-1)) + EXP(2.21*(K400-1)) + EXP(2.21*L400) )/100*2.45 )</f>
        <v>1.123005955058592</v>
      </c>
      <c r="N400" s="255"/>
    </row>
    <row r="401" spans="1:14" x14ac:dyDescent="0.2">
      <c r="A401" s="246" t="s">
        <v>272</v>
      </c>
      <c r="B401" s="448" t="s">
        <v>465</v>
      </c>
      <c r="C401" s="422" t="s">
        <v>45</v>
      </c>
      <c r="D401" s="252" t="s">
        <v>135</v>
      </c>
      <c r="E401" s="423">
        <v>1.357805593069601E-2</v>
      </c>
      <c r="F401" s="250" t="s">
        <v>133</v>
      </c>
      <c r="G401" s="251"/>
      <c r="H401" s="252">
        <v>1</v>
      </c>
      <c r="I401" s="252">
        <v>2</v>
      </c>
      <c r="J401" s="252">
        <v>3</v>
      </c>
      <c r="K401" s="252">
        <v>3</v>
      </c>
      <c r="L401" s="253">
        <v>3</v>
      </c>
      <c r="M401" s="254">
        <f t="shared" si="13"/>
        <v>1.123005955058592</v>
      </c>
      <c r="N401" s="255"/>
    </row>
    <row r="402" spans="1:14" hidden="1" x14ac:dyDescent="0.2">
      <c r="A402" s="246" t="s">
        <v>272</v>
      </c>
      <c r="B402" s="448" t="s">
        <v>465</v>
      </c>
      <c r="C402" s="422" t="s">
        <v>46</v>
      </c>
      <c r="D402" s="252" t="s">
        <v>135</v>
      </c>
      <c r="E402" s="423">
        <v>3.3239731216443218E-3</v>
      </c>
      <c r="F402" s="250" t="s">
        <v>133</v>
      </c>
      <c r="G402" s="251"/>
      <c r="H402" s="252">
        <v>1</v>
      </c>
      <c r="I402" s="252">
        <v>2</v>
      </c>
      <c r="J402" s="252">
        <v>3</v>
      </c>
      <c r="K402" s="252">
        <v>3</v>
      </c>
      <c r="L402" s="253">
        <v>3</v>
      </c>
      <c r="M402" s="254">
        <f t="shared" si="13"/>
        <v>1.123005955058592</v>
      </c>
      <c r="N402" s="255"/>
    </row>
    <row r="403" spans="1:14" hidden="1" x14ac:dyDescent="0.2">
      <c r="A403" s="246" t="s">
        <v>272</v>
      </c>
      <c r="B403" s="448" t="s">
        <v>465</v>
      </c>
      <c r="C403" s="422" t="s">
        <v>46</v>
      </c>
      <c r="D403" s="252" t="s">
        <v>135</v>
      </c>
      <c r="E403" s="423">
        <v>4.2325257748937702E-2</v>
      </c>
      <c r="F403" s="250" t="s">
        <v>133</v>
      </c>
      <c r="G403" s="251"/>
      <c r="H403" s="252">
        <v>1</v>
      </c>
      <c r="I403" s="252">
        <v>2</v>
      </c>
      <c r="J403" s="252">
        <v>3</v>
      </c>
      <c r="K403" s="252">
        <v>3</v>
      </c>
      <c r="L403" s="253">
        <v>3</v>
      </c>
      <c r="M403" s="254">
        <f t="shared" si="13"/>
        <v>1.123005955058592</v>
      </c>
      <c r="N403" s="255"/>
    </row>
    <row r="404" spans="1:14" hidden="1" x14ac:dyDescent="0.2">
      <c r="A404" s="246" t="s">
        <v>272</v>
      </c>
      <c r="B404" s="448" t="s">
        <v>465</v>
      </c>
      <c r="C404" s="422" t="s">
        <v>48</v>
      </c>
      <c r="D404" s="252" t="s">
        <v>135</v>
      </c>
      <c r="E404" s="423">
        <v>2.852597252873942E-3</v>
      </c>
      <c r="F404" s="250" t="s">
        <v>133</v>
      </c>
      <c r="G404" s="251"/>
      <c r="H404" s="252">
        <v>1</v>
      </c>
      <c r="I404" s="252">
        <v>2</v>
      </c>
      <c r="J404" s="252">
        <v>3</v>
      </c>
      <c r="K404" s="252">
        <v>3</v>
      </c>
      <c r="L404" s="253">
        <v>3</v>
      </c>
      <c r="M404" s="254">
        <f t="shared" si="13"/>
        <v>1.123005955058592</v>
      </c>
      <c r="N404" s="255"/>
    </row>
    <row r="405" spans="1:14" hidden="1" x14ac:dyDescent="0.2">
      <c r="A405" s="246" t="s">
        <v>272</v>
      </c>
      <c r="B405" s="448" t="s">
        <v>465</v>
      </c>
      <c r="C405" s="422" t="s">
        <v>48</v>
      </c>
      <c r="D405" s="252" t="s">
        <v>135</v>
      </c>
      <c r="E405" s="423">
        <v>3.6323071686594863E-2</v>
      </c>
      <c r="F405" s="250" t="s">
        <v>133</v>
      </c>
      <c r="G405" s="251"/>
      <c r="H405" s="252">
        <v>1</v>
      </c>
      <c r="I405" s="252">
        <v>2</v>
      </c>
      <c r="J405" s="252">
        <v>3</v>
      </c>
      <c r="K405" s="252">
        <v>3</v>
      </c>
      <c r="L405" s="253">
        <v>3</v>
      </c>
      <c r="M405" s="254">
        <f t="shared" si="13"/>
        <v>1.123005955058592</v>
      </c>
      <c r="N405" s="255"/>
    </row>
    <row r="406" spans="1:14" hidden="1" x14ac:dyDescent="0.2">
      <c r="A406" s="246" t="s">
        <v>272</v>
      </c>
      <c r="B406" s="448" t="s">
        <v>465</v>
      </c>
      <c r="C406" s="422" t="s">
        <v>50</v>
      </c>
      <c r="D406" s="252" t="s">
        <v>135</v>
      </c>
      <c r="E406" s="423">
        <v>3.3290951612371948E-3</v>
      </c>
      <c r="F406" s="250" t="s">
        <v>133</v>
      </c>
      <c r="G406" s="251"/>
      <c r="H406" s="252">
        <v>1</v>
      </c>
      <c r="I406" s="252">
        <v>2</v>
      </c>
      <c r="J406" s="252">
        <v>3</v>
      </c>
      <c r="K406" s="252">
        <v>3</v>
      </c>
      <c r="L406" s="253">
        <v>3</v>
      </c>
      <c r="M406" s="254">
        <f t="shared" si="13"/>
        <v>1.123005955058592</v>
      </c>
      <c r="N406" s="255"/>
    </row>
    <row r="407" spans="1:14" hidden="1" x14ac:dyDescent="0.2">
      <c r="A407" s="246" t="s">
        <v>272</v>
      </c>
      <c r="B407" s="448" t="s">
        <v>465</v>
      </c>
      <c r="C407" s="422" t="s">
        <v>50</v>
      </c>
      <c r="D407" s="252" t="s">
        <v>135</v>
      </c>
      <c r="E407" s="423">
        <v>4.239047838642028E-2</v>
      </c>
      <c r="F407" s="250" t="s">
        <v>133</v>
      </c>
      <c r="G407" s="251"/>
      <c r="H407" s="252">
        <v>1</v>
      </c>
      <c r="I407" s="252">
        <v>2</v>
      </c>
      <c r="J407" s="252">
        <v>3</v>
      </c>
      <c r="K407" s="252">
        <v>3</v>
      </c>
      <c r="L407" s="253">
        <v>3</v>
      </c>
      <c r="M407" s="254">
        <f t="shared" si="13"/>
        <v>1.123005955058592</v>
      </c>
      <c r="N407" s="255"/>
    </row>
    <row r="408" spans="1:14" hidden="1" x14ac:dyDescent="0.2">
      <c r="A408" s="246" t="s">
        <v>272</v>
      </c>
      <c r="B408" s="448" t="s">
        <v>465</v>
      </c>
      <c r="C408" s="422" t="s">
        <v>52</v>
      </c>
      <c r="D408" s="252" t="s">
        <v>135</v>
      </c>
      <c r="E408" s="423">
        <v>3.7221252346915259E-3</v>
      </c>
      <c r="F408" s="250" t="s">
        <v>133</v>
      </c>
      <c r="G408" s="251"/>
      <c r="H408" s="252">
        <v>1</v>
      </c>
      <c r="I408" s="252">
        <v>2</v>
      </c>
      <c r="J408" s="252">
        <v>3</v>
      </c>
      <c r="K408" s="252">
        <v>3</v>
      </c>
      <c r="L408" s="253">
        <v>3</v>
      </c>
      <c r="M408" s="254">
        <f t="shared" si="13"/>
        <v>1.123005955058592</v>
      </c>
      <c r="N408" s="255"/>
    </row>
    <row r="409" spans="1:14" hidden="1" x14ac:dyDescent="0.2">
      <c r="A409" s="246" t="s">
        <v>272</v>
      </c>
      <c r="B409" s="448" t="s">
        <v>465</v>
      </c>
      <c r="C409" s="422" t="s">
        <v>52</v>
      </c>
      <c r="D409" s="252" t="s">
        <v>135</v>
      </c>
      <c r="E409" s="423">
        <v>4.7395061321738763E-2</v>
      </c>
      <c r="F409" s="250" t="s">
        <v>133</v>
      </c>
      <c r="G409" s="251"/>
      <c r="H409" s="252">
        <v>1</v>
      </c>
      <c r="I409" s="252">
        <v>2</v>
      </c>
      <c r="J409" s="252">
        <v>3</v>
      </c>
      <c r="K409" s="252">
        <v>3</v>
      </c>
      <c r="L409" s="253">
        <v>3</v>
      </c>
      <c r="M409" s="254">
        <f t="shared" si="13"/>
        <v>1.123005955058592</v>
      </c>
      <c r="N409" s="255"/>
    </row>
    <row r="410" spans="1:14" hidden="1" x14ac:dyDescent="0.2">
      <c r="A410" s="246" t="s">
        <v>272</v>
      </c>
      <c r="B410" s="448" t="s">
        <v>465</v>
      </c>
      <c r="C410" s="422" t="s">
        <v>54</v>
      </c>
      <c r="D410" s="252" t="s">
        <v>135</v>
      </c>
      <c r="E410" s="423">
        <v>1.5078395204058111E-3</v>
      </c>
      <c r="F410" s="250" t="s">
        <v>133</v>
      </c>
      <c r="G410" s="251"/>
      <c r="H410" s="252">
        <v>1</v>
      </c>
      <c r="I410" s="252">
        <v>2</v>
      </c>
      <c r="J410" s="252">
        <v>3</v>
      </c>
      <c r="K410" s="252">
        <v>3</v>
      </c>
      <c r="L410" s="253">
        <v>3</v>
      </c>
      <c r="M410" s="254">
        <f t="shared" si="13"/>
        <v>1.123005955058592</v>
      </c>
      <c r="N410" s="255"/>
    </row>
    <row r="411" spans="1:14" hidden="1" x14ac:dyDescent="0.2">
      <c r="A411" s="246" t="s">
        <v>272</v>
      </c>
      <c r="B411" s="448" t="s">
        <v>465</v>
      </c>
      <c r="C411" s="422" t="s">
        <v>54</v>
      </c>
      <c r="D411" s="252" t="s">
        <v>135</v>
      </c>
      <c r="E411" s="423">
        <v>1.919982322650066E-2</v>
      </c>
      <c r="F411" s="250" t="s">
        <v>133</v>
      </c>
      <c r="G411" s="251"/>
      <c r="H411" s="252">
        <v>1</v>
      </c>
      <c r="I411" s="252">
        <v>2</v>
      </c>
      <c r="J411" s="252">
        <v>3</v>
      </c>
      <c r="K411" s="252">
        <v>3</v>
      </c>
      <c r="L411" s="253">
        <v>3</v>
      </c>
      <c r="M411" s="254">
        <f t="shared" si="13"/>
        <v>1.123005955058592</v>
      </c>
      <c r="N411" s="255"/>
    </row>
    <row r="412" spans="1:14" hidden="1" x14ac:dyDescent="0.2">
      <c r="A412" s="246" t="s">
        <v>272</v>
      </c>
      <c r="B412" s="448" t="s">
        <v>465</v>
      </c>
      <c r="C412" s="422" t="s">
        <v>55</v>
      </c>
      <c r="D412" s="252" t="s">
        <v>135</v>
      </c>
      <c r="E412" s="423">
        <v>2.172930597186996E-3</v>
      </c>
      <c r="F412" s="250" t="s">
        <v>133</v>
      </c>
      <c r="G412" s="251"/>
      <c r="H412" s="252">
        <v>1</v>
      </c>
      <c r="I412" s="252">
        <v>2</v>
      </c>
      <c r="J412" s="252">
        <v>3</v>
      </c>
      <c r="K412" s="252">
        <v>3</v>
      </c>
      <c r="L412" s="253">
        <v>3</v>
      </c>
      <c r="M412" s="254">
        <f t="shared" si="13"/>
        <v>1.123005955058592</v>
      </c>
      <c r="N412" s="255"/>
    </row>
    <row r="413" spans="1:14" hidden="1" x14ac:dyDescent="0.2">
      <c r="A413" s="246" t="s">
        <v>272</v>
      </c>
      <c r="B413" s="448" t="s">
        <v>465</v>
      </c>
      <c r="C413" s="422" t="s">
        <v>55</v>
      </c>
      <c r="D413" s="252" t="s">
        <v>135</v>
      </c>
      <c r="E413" s="423">
        <v>2.766864960418108E-2</v>
      </c>
      <c r="F413" s="250" t="s">
        <v>133</v>
      </c>
      <c r="G413" s="251"/>
      <c r="H413" s="252">
        <v>1</v>
      </c>
      <c r="I413" s="252">
        <v>2</v>
      </c>
      <c r="J413" s="252">
        <v>3</v>
      </c>
      <c r="K413" s="252">
        <v>3</v>
      </c>
      <c r="L413" s="253">
        <v>3</v>
      </c>
      <c r="M413" s="254">
        <f t="shared" si="13"/>
        <v>1.123005955058592</v>
      </c>
      <c r="N413" s="255"/>
    </row>
    <row r="414" spans="1:14" hidden="1" x14ac:dyDescent="0.2">
      <c r="A414" s="246" t="s">
        <v>272</v>
      </c>
      <c r="B414" s="448" t="s">
        <v>465</v>
      </c>
      <c r="C414" s="422" t="s">
        <v>57</v>
      </c>
      <c r="D414" s="252" t="s">
        <v>135</v>
      </c>
      <c r="E414" s="423">
        <v>1.066339470997069E-3</v>
      </c>
      <c r="F414" s="250" t="s">
        <v>133</v>
      </c>
      <c r="G414" s="251"/>
      <c r="H414" s="252">
        <v>1</v>
      </c>
      <c r="I414" s="252">
        <v>2</v>
      </c>
      <c r="J414" s="252">
        <v>3</v>
      </c>
      <c r="K414" s="252">
        <v>3</v>
      </c>
      <c r="L414" s="253">
        <v>3</v>
      </c>
      <c r="M414" s="254">
        <f t="shared" si="13"/>
        <v>1.123005955058592</v>
      </c>
      <c r="N414" s="255"/>
    </row>
    <row r="415" spans="1:14" hidden="1" x14ac:dyDescent="0.2">
      <c r="A415" s="246" t="s">
        <v>272</v>
      </c>
      <c r="B415" s="448" t="s">
        <v>465</v>
      </c>
      <c r="C415" s="422" t="s">
        <v>57</v>
      </c>
      <c r="D415" s="252" t="s">
        <v>135</v>
      </c>
      <c r="E415" s="423">
        <v>1.357805593069601E-2</v>
      </c>
      <c r="F415" s="250" t="s">
        <v>133</v>
      </c>
      <c r="G415" s="251"/>
      <c r="H415" s="252">
        <v>1</v>
      </c>
      <c r="I415" s="252">
        <v>2</v>
      </c>
      <c r="J415" s="252">
        <v>3</v>
      </c>
      <c r="K415" s="252">
        <v>3</v>
      </c>
      <c r="L415" s="253">
        <v>3</v>
      </c>
      <c r="M415" s="254">
        <f t="shared" si="13"/>
        <v>1.123005955058592</v>
      </c>
      <c r="N415" s="255"/>
    </row>
    <row r="416" spans="1:14" hidden="1" x14ac:dyDescent="0.2">
      <c r="A416" s="246" t="s">
        <v>272</v>
      </c>
      <c r="B416" s="448" t="s">
        <v>465</v>
      </c>
      <c r="C416" s="422" t="s">
        <v>59</v>
      </c>
      <c r="D416" s="252" t="s">
        <v>135</v>
      </c>
      <c r="E416" s="423">
        <v>1.5E-3</v>
      </c>
      <c r="F416" s="250" t="s">
        <v>133</v>
      </c>
      <c r="G416" s="251"/>
      <c r="H416" s="252">
        <v>1</v>
      </c>
      <c r="I416" s="252">
        <v>2</v>
      </c>
      <c r="J416" s="252">
        <v>3</v>
      </c>
      <c r="K416" s="252">
        <v>3</v>
      </c>
      <c r="L416" s="253">
        <v>3</v>
      </c>
      <c r="M416" s="254">
        <f t="shared" si="13"/>
        <v>1.123005955058592</v>
      </c>
      <c r="N416" s="255"/>
    </row>
    <row r="417" spans="1:14" hidden="1" x14ac:dyDescent="0.2">
      <c r="A417" s="246" t="s">
        <v>272</v>
      </c>
      <c r="B417" s="448" t="s">
        <v>465</v>
      </c>
      <c r="C417" s="422" t="s">
        <v>59</v>
      </c>
      <c r="D417" s="252" t="s">
        <v>135</v>
      </c>
      <c r="E417" s="423">
        <v>1.9099999999999999E-2</v>
      </c>
      <c r="F417" s="250" t="s">
        <v>133</v>
      </c>
      <c r="G417" s="251"/>
      <c r="H417" s="252">
        <v>1</v>
      </c>
      <c r="I417" s="252">
        <v>2</v>
      </c>
      <c r="J417" s="252">
        <v>3</v>
      </c>
      <c r="K417" s="252">
        <v>3</v>
      </c>
      <c r="L417" s="253">
        <v>3</v>
      </c>
      <c r="M417" s="254">
        <f t="shared" si="13"/>
        <v>1.123005955058592</v>
      </c>
      <c r="N417" s="255"/>
    </row>
    <row r="418" spans="1:14" hidden="1" x14ac:dyDescent="0.2">
      <c r="A418" s="246" t="s">
        <v>272</v>
      </c>
      <c r="B418" s="448" t="s">
        <v>465</v>
      </c>
      <c r="C418" s="422" t="s">
        <v>60</v>
      </c>
      <c r="D418" s="252" t="s">
        <v>135</v>
      </c>
      <c r="E418" s="423">
        <v>1.953028755887876E-3</v>
      </c>
      <c r="F418" s="250" t="s">
        <v>133</v>
      </c>
      <c r="G418" s="424" t="s">
        <v>16</v>
      </c>
      <c r="H418" s="252">
        <v>1</v>
      </c>
      <c r="I418" s="252">
        <v>2</v>
      </c>
      <c r="J418" s="252">
        <v>3</v>
      </c>
      <c r="K418" s="252">
        <v>3</v>
      </c>
      <c r="L418" s="253">
        <v>3</v>
      </c>
      <c r="M418" s="254">
        <f t="shared" si="13"/>
        <v>1.123005955058592</v>
      </c>
      <c r="N418" s="255"/>
    </row>
    <row r="419" spans="1:14" hidden="1" x14ac:dyDescent="0.2">
      <c r="A419" s="464" t="s">
        <v>272</v>
      </c>
      <c r="B419" s="465" t="s">
        <v>465</v>
      </c>
      <c r="C419" s="427" t="s">
        <v>60</v>
      </c>
      <c r="D419" s="291" t="s">
        <v>135</v>
      </c>
      <c r="E419" s="428">
        <v>2.486856615830562E-2</v>
      </c>
      <c r="F419" s="289" t="s">
        <v>133</v>
      </c>
      <c r="G419" s="429" t="s">
        <v>16</v>
      </c>
      <c r="H419" s="291">
        <v>1</v>
      </c>
      <c r="I419" s="291">
        <v>2</v>
      </c>
      <c r="J419" s="291">
        <v>3</v>
      </c>
      <c r="K419" s="291">
        <v>3</v>
      </c>
      <c r="L419" s="292">
        <v>3</v>
      </c>
      <c r="M419" s="293">
        <f t="shared" si="13"/>
        <v>1.123005955058592</v>
      </c>
      <c r="N419" s="294"/>
    </row>
    <row r="420" spans="1:14" hidden="1" x14ac:dyDescent="0.2">
      <c r="A420" s="246" t="s">
        <v>248</v>
      </c>
      <c r="B420" s="448" t="s">
        <v>466</v>
      </c>
      <c r="C420" s="422" t="s">
        <v>13</v>
      </c>
      <c r="D420" s="252" t="s">
        <v>135</v>
      </c>
      <c r="E420" s="423">
        <v>1.142330116275239E-3</v>
      </c>
      <c r="F420" s="250" t="s">
        <v>133</v>
      </c>
      <c r="G420" s="251" t="s">
        <v>16</v>
      </c>
      <c r="H420" s="252">
        <v>1</v>
      </c>
      <c r="I420" s="252">
        <v>2</v>
      </c>
      <c r="J420" s="252">
        <v>3</v>
      </c>
      <c r="K420" s="252">
        <v>3</v>
      </c>
      <c r="L420" s="253">
        <v>3</v>
      </c>
      <c r="M420" s="254">
        <f t="shared" si="13"/>
        <v>1.123005955058592</v>
      </c>
      <c r="N420" s="255"/>
    </row>
    <row r="421" spans="1:14" hidden="1" x14ac:dyDescent="0.2">
      <c r="A421" s="246" t="s">
        <v>248</v>
      </c>
      <c r="B421" s="448" t="s">
        <v>466</v>
      </c>
      <c r="C421" s="422" t="s">
        <v>13</v>
      </c>
      <c r="D421" s="252" t="s">
        <v>135</v>
      </c>
      <c r="E421" s="423">
        <v>1.454567014723805E-2</v>
      </c>
      <c r="F421" s="250" t="s">
        <v>133</v>
      </c>
      <c r="G421" s="251"/>
      <c r="H421" s="252">
        <v>1</v>
      </c>
      <c r="I421" s="252">
        <v>2</v>
      </c>
      <c r="J421" s="252">
        <v>3</v>
      </c>
      <c r="K421" s="252">
        <v>3</v>
      </c>
      <c r="L421" s="253">
        <v>3</v>
      </c>
      <c r="M421" s="254">
        <f t="shared" si="13"/>
        <v>1.123005955058592</v>
      </c>
      <c r="N421" s="255"/>
    </row>
    <row r="422" spans="1:14" hidden="1" x14ac:dyDescent="0.2">
      <c r="A422" s="246" t="s">
        <v>248</v>
      </c>
      <c r="B422" s="448" t="s">
        <v>466</v>
      </c>
      <c r="C422" s="422" t="s">
        <v>18</v>
      </c>
      <c r="D422" s="252" t="s">
        <v>135</v>
      </c>
      <c r="E422" s="423">
        <v>2.8968345465924441E-3</v>
      </c>
      <c r="F422" s="250" t="s">
        <v>133</v>
      </c>
      <c r="G422" s="251"/>
      <c r="H422" s="252">
        <v>1</v>
      </c>
      <c r="I422" s="252">
        <v>2</v>
      </c>
      <c r="J422" s="252">
        <v>3</v>
      </c>
      <c r="K422" s="252">
        <v>3</v>
      </c>
      <c r="L422" s="253">
        <v>3</v>
      </c>
      <c r="M422" s="254">
        <f t="shared" si="13"/>
        <v>1.123005955058592</v>
      </c>
      <c r="N422" s="255"/>
    </row>
    <row r="423" spans="1:14" hidden="1" x14ac:dyDescent="0.2">
      <c r="A423" s="246" t="s">
        <v>248</v>
      </c>
      <c r="B423" s="448" t="s">
        <v>466</v>
      </c>
      <c r="C423" s="422" t="s">
        <v>18</v>
      </c>
      <c r="D423" s="252" t="s">
        <v>135</v>
      </c>
      <c r="E423" s="423">
        <v>3.6886359893277133E-2</v>
      </c>
      <c r="F423" s="250" t="s">
        <v>133</v>
      </c>
      <c r="G423" s="251"/>
      <c r="H423" s="252">
        <v>1</v>
      </c>
      <c r="I423" s="252">
        <v>2</v>
      </c>
      <c r="J423" s="252">
        <v>3</v>
      </c>
      <c r="K423" s="252">
        <v>3</v>
      </c>
      <c r="L423" s="253">
        <v>3</v>
      </c>
      <c r="M423" s="254">
        <f t="shared" si="13"/>
        <v>1.123005955058592</v>
      </c>
      <c r="N423" s="255"/>
    </row>
    <row r="424" spans="1:14" hidden="1" x14ac:dyDescent="0.2">
      <c r="A424" s="246" t="s">
        <v>248</v>
      </c>
      <c r="B424" s="448" t="s">
        <v>466</v>
      </c>
      <c r="C424" s="422" t="s">
        <v>20</v>
      </c>
      <c r="D424" s="252" t="s">
        <v>135</v>
      </c>
      <c r="E424" s="423">
        <v>3.52435850983234E-3</v>
      </c>
      <c r="F424" s="250" t="s">
        <v>133</v>
      </c>
      <c r="G424" s="251"/>
      <c r="H424" s="252">
        <v>1</v>
      </c>
      <c r="I424" s="252">
        <v>2</v>
      </c>
      <c r="J424" s="252">
        <v>3</v>
      </c>
      <c r="K424" s="252">
        <v>3</v>
      </c>
      <c r="L424" s="253">
        <v>3</v>
      </c>
      <c r="M424" s="254">
        <f t="shared" si="13"/>
        <v>1.123005955058592</v>
      </c>
      <c r="N424" s="255"/>
    </row>
    <row r="425" spans="1:14" hidden="1" x14ac:dyDescent="0.2">
      <c r="A425" s="246" t="s">
        <v>248</v>
      </c>
      <c r="B425" s="448" t="s">
        <v>466</v>
      </c>
      <c r="C425" s="422" t="s">
        <v>20</v>
      </c>
      <c r="D425" s="252" t="s">
        <v>135</v>
      </c>
      <c r="E425" s="423">
        <v>4.4876831691865127E-2</v>
      </c>
      <c r="F425" s="250" t="s">
        <v>133</v>
      </c>
      <c r="G425" s="251"/>
      <c r="H425" s="252">
        <v>1</v>
      </c>
      <c r="I425" s="252">
        <v>2</v>
      </c>
      <c r="J425" s="252">
        <v>3</v>
      </c>
      <c r="K425" s="252">
        <v>3</v>
      </c>
      <c r="L425" s="253">
        <v>3</v>
      </c>
      <c r="M425" s="254">
        <f t="shared" si="13"/>
        <v>1.123005955058592</v>
      </c>
      <c r="N425" s="255"/>
    </row>
    <row r="426" spans="1:14" hidden="1" x14ac:dyDescent="0.2">
      <c r="A426" s="246" t="s">
        <v>248</v>
      </c>
      <c r="B426" s="448" t="s">
        <v>466</v>
      </c>
      <c r="C426" s="422" t="s">
        <v>22</v>
      </c>
      <c r="D426" s="252" t="s">
        <v>135</v>
      </c>
      <c r="E426" s="423">
        <v>2.3530089923910541E-3</v>
      </c>
      <c r="F426" s="250" t="s">
        <v>133</v>
      </c>
      <c r="G426" s="251"/>
      <c r="H426" s="252">
        <v>1</v>
      </c>
      <c r="I426" s="252">
        <v>2</v>
      </c>
      <c r="J426" s="252">
        <v>3</v>
      </c>
      <c r="K426" s="252">
        <v>3</v>
      </c>
      <c r="L426" s="253">
        <v>3</v>
      </c>
      <c r="M426" s="254">
        <f t="shared" si="13"/>
        <v>1.123005955058592</v>
      </c>
      <c r="N426" s="255"/>
    </row>
    <row r="427" spans="1:14" hidden="1" x14ac:dyDescent="0.2">
      <c r="A427" s="246" t="s">
        <v>248</v>
      </c>
      <c r="B427" s="448" t="s">
        <v>466</v>
      </c>
      <c r="C427" s="422" t="s">
        <v>22</v>
      </c>
      <c r="D427" s="252" t="s">
        <v>135</v>
      </c>
      <c r="E427" s="423">
        <v>2.9961647836446101E-2</v>
      </c>
      <c r="F427" s="250" t="s">
        <v>133</v>
      </c>
      <c r="G427" s="251"/>
      <c r="H427" s="252">
        <v>1</v>
      </c>
      <c r="I427" s="252">
        <v>2</v>
      </c>
      <c r="J427" s="252">
        <v>3</v>
      </c>
      <c r="K427" s="252">
        <v>3</v>
      </c>
      <c r="L427" s="253">
        <v>3</v>
      </c>
      <c r="M427" s="254">
        <f t="shared" si="13"/>
        <v>1.123005955058592</v>
      </c>
      <c r="N427" s="255"/>
    </row>
    <row r="428" spans="1:14" hidden="1" x14ac:dyDescent="0.2">
      <c r="A428" s="246" t="s">
        <v>248</v>
      </c>
      <c r="B428" s="448" t="s">
        <v>466</v>
      </c>
      <c r="C428" s="422" t="s">
        <v>23</v>
      </c>
      <c r="D428" s="252" t="s">
        <v>135</v>
      </c>
      <c r="E428" s="423">
        <v>2.366876379327382E-3</v>
      </c>
      <c r="F428" s="250" t="s">
        <v>133</v>
      </c>
      <c r="G428" s="251"/>
      <c r="H428" s="252">
        <v>1</v>
      </c>
      <c r="I428" s="252">
        <v>2</v>
      </c>
      <c r="J428" s="252">
        <v>3</v>
      </c>
      <c r="K428" s="252">
        <v>3</v>
      </c>
      <c r="L428" s="253">
        <v>3</v>
      </c>
      <c r="M428" s="254">
        <f t="shared" si="13"/>
        <v>1.123005955058592</v>
      </c>
      <c r="N428" s="255"/>
    </row>
    <row r="429" spans="1:14" hidden="1" x14ac:dyDescent="0.2">
      <c r="A429" s="246" t="s">
        <v>248</v>
      </c>
      <c r="B429" s="448" t="s">
        <v>466</v>
      </c>
      <c r="C429" s="422" t="s">
        <v>23</v>
      </c>
      <c r="D429" s="252" t="s">
        <v>135</v>
      </c>
      <c r="E429" s="423">
        <v>3.0138225896768671E-2</v>
      </c>
      <c r="F429" s="250" t="s">
        <v>133</v>
      </c>
      <c r="G429" s="251"/>
      <c r="H429" s="252">
        <v>1</v>
      </c>
      <c r="I429" s="252">
        <v>2</v>
      </c>
      <c r="J429" s="252">
        <v>3</v>
      </c>
      <c r="K429" s="252">
        <v>3</v>
      </c>
      <c r="L429" s="253">
        <v>3</v>
      </c>
      <c r="M429" s="254">
        <f t="shared" si="13"/>
        <v>1.123005955058592</v>
      </c>
      <c r="N429" s="255"/>
    </row>
    <row r="430" spans="1:14" hidden="1" x14ac:dyDescent="0.2">
      <c r="A430" s="246" t="s">
        <v>248</v>
      </c>
      <c r="B430" s="448" t="s">
        <v>466</v>
      </c>
      <c r="C430" s="422" t="s">
        <v>24</v>
      </c>
      <c r="D430" s="252" t="s">
        <v>135</v>
      </c>
      <c r="E430" s="423">
        <v>2.5022563325537732E-3</v>
      </c>
      <c r="F430" s="250" t="s">
        <v>133</v>
      </c>
      <c r="G430" s="251"/>
      <c r="H430" s="252">
        <v>1</v>
      </c>
      <c r="I430" s="252">
        <v>2</v>
      </c>
      <c r="J430" s="252">
        <v>3</v>
      </c>
      <c r="K430" s="252">
        <v>3</v>
      </c>
      <c r="L430" s="253">
        <v>3</v>
      </c>
      <c r="M430" s="254">
        <f t="shared" si="13"/>
        <v>1.123005955058592</v>
      </c>
      <c r="N430" s="255"/>
    </row>
    <row r="431" spans="1:14" hidden="1" x14ac:dyDescent="0.2">
      <c r="A431" s="246" t="s">
        <v>248</v>
      </c>
      <c r="B431" s="448" t="s">
        <v>466</v>
      </c>
      <c r="C431" s="422" t="s">
        <v>24</v>
      </c>
      <c r="D431" s="252" t="s">
        <v>135</v>
      </c>
      <c r="E431" s="423">
        <v>3.1862063967851378E-2</v>
      </c>
      <c r="F431" s="250" t="s">
        <v>133</v>
      </c>
      <c r="G431" s="251"/>
      <c r="H431" s="252">
        <v>1</v>
      </c>
      <c r="I431" s="252">
        <v>2</v>
      </c>
      <c r="J431" s="252">
        <v>3</v>
      </c>
      <c r="K431" s="252">
        <v>3</v>
      </c>
      <c r="L431" s="253">
        <v>3</v>
      </c>
      <c r="M431" s="254">
        <f t="shared" si="13"/>
        <v>1.123005955058592</v>
      </c>
      <c r="N431" s="255"/>
    </row>
    <row r="432" spans="1:14" hidden="1" x14ac:dyDescent="0.2">
      <c r="A432" s="246" t="s">
        <v>248</v>
      </c>
      <c r="B432" s="448" t="s">
        <v>466</v>
      </c>
      <c r="C432" s="422" t="s">
        <v>25</v>
      </c>
      <c r="D432" s="252" t="s">
        <v>135</v>
      </c>
      <c r="E432" s="423">
        <v>1.510655818702856E-3</v>
      </c>
      <c r="F432" s="250" t="s">
        <v>133</v>
      </c>
      <c r="G432" s="251"/>
      <c r="H432" s="252">
        <v>1</v>
      </c>
      <c r="I432" s="252">
        <v>2</v>
      </c>
      <c r="J432" s="252">
        <v>3</v>
      </c>
      <c r="K432" s="252">
        <v>3</v>
      </c>
      <c r="L432" s="253">
        <v>3</v>
      </c>
      <c r="M432" s="254">
        <f t="shared" ref="M432:M462" si="14">IF( OR( ISBLANK(H432),ISBLANK(I432), ISBLANK(J432), ISBLANK(K432), ISBLANK(L432) ), "", 1.5*SQRT( EXP(2.21*(H432-1)) + EXP(2.21*(I432-1)) + EXP(2.21*(J432-1)) + EXP(2.21*(K432-1)) + EXP(2.21*L432) )/100*2.45 )</f>
        <v>1.123005955058592</v>
      </c>
      <c r="N432" s="255"/>
    </row>
    <row r="433" spans="1:14" hidden="1" x14ac:dyDescent="0.2">
      <c r="A433" s="246" t="s">
        <v>248</v>
      </c>
      <c r="B433" s="448" t="s">
        <v>466</v>
      </c>
      <c r="C433" s="422" t="s">
        <v>25</v>
      </c>
      <c r="D433" s="252" t="s">
        <v>135</v>
      </c>
      <c r="E433" s="423">
        <v>1.9235684091483029E-2</v>
      </c>
      <c r="F433" s="250" t="s">
        <v>133</v>
      </c>
      <c r="G433" s="251"/>
      <c r="H433" s="252">
        <v>1</v>
      </c>
      <c r="I433" s="252">
        <v>2</v>
      </c>
      <c r="J433" s="252">
        <v>3</v>
      </c>
      <c r="K433" s="252">
        <v>3</v>
      </c>
      <c r="L433" s="253">
        <v>3</v>
      </c>
      <c r="M433" s="254">
        <f t="shared" si="14"/>
        <v>1.123005955058592</v>
      </c>
      <c r="N433" s="255"/>
    </row>
    <row r="434" spans="1:14" hidden="1" x14ac:dyDescent="0.2">
      <c r="A434" s="246" t="s">
        <v>248</v>
      </c>
      <c r="B434" s="448" t="s">
        <v>466</v>
      </c>
      <c r="C434" s="422" t="s">
        <v>26</v>
      </c>
      <c r="D434" s="252" t="s">
        <v>135</v>
      </c>
      <c r="E434" s="423">
        <v>1.262887446885602E-3</v>
      </c>
      <c r="F434" s="250" t="s">
        <v>133</v>
      </c>
      <c r="G434" s="251"/>
      <c r="H434" s="252">
        <v>1</v>
      </c>
      <c r="I434" s="252">
        <v>2</v>
      </c>
      <c r="J434" s="252">
        <v>3</v>
      </c>
      <c r="K434" s="252">
        <v>3</v>
      </c>
      <c r="L434" s="253">
        <v>3</v>
      </c>
      <c r="M434" s="254">
        <f t="shared" si="14"/>
        <v>1.123005955058592</v>
      </c>
      <c r="N434" s="255"/>
    </row>
    <row r="435" spans="1:14" hidden="1" x14ac:dyDescent="0.2">
      <c r="A435" s="246" t="s">
        <v>248</v>
      </c>
      <c r="B435" s="448" t="s">
        <v>466</v>
      </c>
      <c r="C435" s="422" t="s">
        <v>26</v>
      </c>
      <c r="D435" s="252" t="s">
        <v>135</v>
      </c>
      <c r="E435" s="423">
        <v>1.6080766823676668E-2</v>
      </c>
      <c r="F435" s="250" t="s">
        <v>133</v>
      </c>
      <c r="G435" s="251"/>
      <c r="H435" s="252">
        <v>1</v>
      </c>
      <c r="I435" s="252">
        <v>2</v>
      </c>
      <c r="J435" s="252">
        <v>3</v>
      </c>
      <c r="K435" s="252">
        <v>3</v>
      </c>
      <c r="L435" s="253">
        <v>3</v>
      </c>
      <c r="M435" s="254">
        <f t="shared" si="14"/>
        <v>1.123005955058592</v>
      </c>
      <c r="N435" s="255"/>
    </row>
    <row r="436" spans="1:14" hidden="1" x14ac:dyDescent="0.2">
      <c r="A436" s="246" t="s">
        <v>248</v>
      </c>
      <c r="B436" s="448" t="s">
        <v>466</v>
      </c>
      <c r="C436" s="422" t="s">
        <v>27</v>
      </c>
      <c r="D436" s="252" t="s">
        <v>135</v>
      </c>
      <c r="E436" s="423">
        <v>1.1675121051418029E-3</v>
      </c>
      <c r="F436" s="250" t="s">
        <v>133</v>
      </c>
      <c r="G436" s="251"/>
      <c r="H436" s="252">
        <v>1</v>
      </c>
      <c r="I436" s="252">
        <v>2</v>
      </c>
      <c r="J436" s="252">
        <v>3</v>
      </c>
      <c r="K436" s="252">
        <v>3</v>
      </c>
      <c r="L436" s="253">
        <v>3</v>
      </c>
      <c r="M436" s="254">
        <f t="shared" si="14"/>
        <v>1.123005955058592</v>
      </c>
      <c r="N436" s="255"/>
    </row>
    <row r="437" spans="1:14" hidden="1" x14ac:dyDescent="0.2">
      <c r="A437" s="246" t="s">
        <v>248</v>
      </c>
      <c r="B437" s="448" t="s">
        <v>466</v>
      </c>
      <c r="C437" s="422" t="s">
        <v>27</v>
      </c>
      <c r="D437" s="252" t="s">
        <v>135</v>
      </c>
      <c r="E437" s="423">
        <v>1.4866320805472301E-2</v>
      </c>
      <c r="F437" s="250" t="s">
        <v>133</v>
      </c>
      <c r="G437" s="251"/>
      <c r="H437" s="252">
        <v>1</v>
      </c>
      <c r="I437" s="252">
        <v>2</v>
      </c>
      <c r="J437" s="252">
        <v>3</v>
      </c>
      <c r="K437" s="252">
        <v>3</v>
      </c>
      <c r="L437" s="253">
        <v>3</v>
      </c>
      <c r="M437" s="254">
        <f t="shared" si="14"/>
        <v>1.123005955058592</v>
      </c>
      <c r="N437" s="255"/>
    </row>
    <row r="438" spans="1:14" hidden="1" x14ac:dyDescent="0.2">
      <c r="A438" s="246" t="s">
        <v>248</v>
      </c>
      <c r="B438" s="448" t="s">
        <v>466</v>
      </c>
      <c r="C438" s="422" t="s">
        <v>28</v>
      </c>
      <c r="D438" s="252" t="s">
        <v>135</v>
      </c>
      <c r="E438" s="423">
        <v>2.4974472149939058E-3</v>
      </c>
      <c r="F438" s="250" t="s">
        <v>133</v>
      </c>
      <c r="G438" s="251"/>
      <c r="H438" s="252">
        <v>1</v>
      </c>
      <c r="I438" s="252">
        <v>2</v>
      </c>
      <c r="J438" s="252">
        <v>3</v>
      </c>
      <c r="K438" s="252">
        <v>3</v>
      </c>
      <c r="L438" s="253">
        <v>3</v>
      </c>
      <c r="M438" s="254">
        <f t="shared" si="14"/>
        <v>1.123005955058592</v>
      </c>
      <c r="N438" s="255"/>
    </row>
    <row r="439" spans="1:14" hidden="1" x14ac:dyDescent="0.2">
      <c r="A439" s="246" t="s">
        <v>248</v>
      </c>
      <c r="B439" s="448" t="s">
        <v>466</v>
      </c>
      <c r="C439" s="422" t="s">
        <v>28</v>
      </c>
      <c r="D439" s="252" t="s">
        <v>135</v>
      </c>
      <c r="E439" s="423">
        <v>3.1800827870922407E-2</v>
      </c>
      <c r="F439" s="250" t="s">
        <v>133</v>
      </c>
      <c r="G439" s="251"/>
      <c r="H439" s="252">
        <v>1</v>
      </c>
      <c r="I439" s="252">
        <v>2</v>
      </c>
      <c r="J439" s="252">
        <v>3</v>
      </c>
      <c r="K439" s="252">
        <v>3</v>
      </c>
      <c r="L439" s="253">
        <v>3</v>
      </c>
      <c r="M439" s="254">
        <f t="shared" si="14"/>
        <v>1.123005955058592</v>
      </c>
      <c r="N439" s="255"/>
    </row>
    <row r="440" spans="1:14" hidden="1" x14ac:dyDescent="0.2">
      <c r="A440" s="246" t="s">
        <v>248</v>
      </c>
      <c r="B440" s="448" t="s">
        <v>466</v>
      </c>
      <c r="C440" s="422" t="s">
        <v>30</v>
      </c>
      <c r="D440" s="252" t="s">
        <v>135</v>
      </c>
      <c r="E440" s="423">
        <v>1.5E-3</v>
      </c>
      <c r="F440" s="250" t="s">
        <v>133</v>
      </c>
      <c r="G440" s="251"/>
      <c r="H440" s="252">
        <v>1</v>
      </c>
      <c r="I440" s="252">
        <v>2</v>
      </c>
      <c r="J440" s="252">
        <v>3</v>
      </c>
      <c r="K440" s="252">
        <v>3</v>
      </c>
      <c r="L440" s="253">
        <v>3</v>
      </c>
      <c r="M440" s="254">
        <f t="shared" si="14"/>
        <v>1.123005955058592</v>
      </c>
      <c r="N440" s="255"/>
    </row>
    <row r="441" spans="1:14" hidden="1" x14ac:dyDescent="0.2">
      <c r="A441" s="246" t="s">
        <v>248</v>
      </c>
      <c r="B441" s="448" t="s">
        <v>466</v>
      </c>
      <c r="C441" s="422" t="s">
        <v>30</v>
      </c>
      <c r="D441" s="252" t="s">
        <v>135</v>
      </c>
      <c r="E441" s="423">
        <v>1.9099999999999999E-2</v>
      </c>
      <c r="F441" s="250" t="s">
        <v>133</v>
      </c>
      <c r="G441" s="251"/>
      <c r="H441" s="252">
        <v>1</v>
      </c>
      <c r="I441" s="252">
        <v>2</v>
      </c>
      <c r="J441" s="252">
        <v>3</v>
      </c>
      <c r="K441" s="252">
        <v>3</v>
      </c>
      <c r="L441" s="253">
        <v>3</v>
      </c>
      <c r="M441" s="254">
        <f t="shared" si="14"/>
        <v>1.123005955058592</v>
      </c>
      <c r="N441" s="255"/>
    </row>
    <row r="442" spans="1:14" hidden="1" x14ac:dyDescent="0.2">
      <c r="A442" s="246" t="s">
        <v>248</v>
      </c>
      <c r="B442" s="448" t="s">
        <v>466</v>
      </c>
      <c r="C442" s="422" t="s">
        <v>32</v>
      </c>
      <c r="D442" s="252" t="s">
        <v>135</v>
      </c>
      <c r="E442" s="423">
        <v>4.7344938897855666E-3</v>
      </c>
      <c r="F442" s="250" t="s">
        <v>133</v>
      </c>
      <c r="G442" s="251"/>
      <c r="H442" s="252">
        <v>1</v>
      </c>
      <c r="I442" s="252">
        <v>2</v>
      </c>
      <c r="J442" s="252">
        <v>3</v>
      </c>
      <c r="K442" s="252">
        <v>3</v>
      </c>
      <c r="L442" s="253">
        <v>3</v>
      </c>
      <c r="M442" s="254">
        <f t="shared" si="14"/>
        <v>1.123005955058592</v>
      </c>
      <c r="N442" s="255"/>
    </row>
    <row r="443" spans="1:14" hidden="1" x14ac:dyDescent="0.2">
      <c r="A443" s="246" t="s">
        <v>248</v>
      </c>
      <c r="B443" s="448" t="s">
        <v>466</v>
      </c>
      <c r="C443" s="422" t="s">
        <v>32</v>
      </c>
      <c r="D443" s="252" t="s">
        <v>135</v>
      </c>
      <c r="E443" s="423">
        <v>6.0285888863269549E-2</v>
      </c>
      <c r="F443" s="250" t="s">
        <v>133</v>
      </c>
      <c r="G443" s="251"/>
      <c r="H443" s="252">
        <v>1</v>
      </c>
      <c r="I443" s="252">
        <v>2</v>
      </c>
      <c r="J443" s="252">
        <v>3</v>
      </c>
      <c r="K443" s="252">
        <v>3</v>
      </c>
      <c r="L443" s="253">
        <v>3</v>
      </c>
      <c r="M443" s="254">
        <f t="shared" si="14"/>
        <v>1.123005955058592</v>
      </c>
      <c r="N443" s="255"/>
    </row>
    <row r="444" spans="1:14" hidden="1" x14ac:dyDescent="0.2">
      <c r="A444" s="246" t="s">
        <v>248</v>
      </c>
      <c r="B444" s="448" t="s">
        <v>466</v>
      </c>
      <c r="C444" s="422" t="s">
        <v>34</v>
      </c>
      <c r="D444" s="252" t="s">
        <v>135</v>
      </c>
      <c r="E444" s="423">
        <v>2.3875951118284529E-3</v>
      </c>
      <c r="F444" s="250" t="s">
        <v>133</v>
      </c>
      <c r="G444" s="251"/>
      <c r="H444" s="252">
        <v>1</v>
      </c>
      <c r="I444" s="252">
        <v>2</v>
      </c>
      <c r="J444" s="252">
        <v>3</v>
      </c>
      <c r="K444" s="252">
        <v>3</v>
      </c>
      <c r="L444" s="253">
        <v>3</v>
      </c>
      <c r="M444" s="254">
        <f t="shared" si="14"/>
        <v>1.123005955058592</v>
      </c>
      <c r="N444" s="255"/>
    </row>
    <row r="445" spans="1:14" hidden="1" x14ac:dyDescent="0.2">
      <c r="A445" s="246" t="s">
        <v>248</v>
      </c>
      <c r="B445" s="448" t="s">
        <v>466</v>
      </c>
      <c r="C445" s="422" t="s">
        <v>34</v>
      </c>
      <c r="D445" s="252" t="s">
        <v>135</v>
      </c>
      <c r="E445" s="423">
        <v>3.0402044423948969E-2</v>
      </c>
      <c r="F445" s="250" t="s">
        <v>133</v>
      </c>
      <c r="G445" s="251"/>
      <c r="H445" s="252">
        <v>1</v>
      </c>
      <c r="I445" s="252">
        <v>2</v>
      </c>
      <c r="J445" s="252">
        <v>3</v>
      </c>
      <c r="K445" s="252">
        <v>3</v>
      </c>
      <c r="L445" s="253">
        <v>3</v>
      </c>
      <c r="M445" s="254">
        <f t="shared" si="14"/>
        <v>1.123005955058592</v>
      </c>
      <c r="N445" s="255"/>
    </row>
    <row r="446" spans="1:14" hidden="1" x14ac:dyDescent="0.2">
      <c r="A446" s="246" t="s">
        <v>248</v>
      </c>
      <c r="B446" s="448" t="s">
        <v>466</v>
      </c>
      <c r="C446" s="422" t="s">
        <v>36</v>
      </c>
      <c r="D446" s="252" t="s">
        <v>135</v>
      </c>
      <c r="E446" s="423">
        <v>1.4018248295398399E-3</v>
      </c>
      <c r="F446" s="250" t="s">
        <v>133</v>
      </c>
      <c r="G446" s="251"/>
      <c r="H446" s="252">
        <v>1</v>
      </c>
      <c r="I446" s="252">
        <v>2</v>
      </c>
      <c r="J446" s="252">
        <v>3</v>
      </c>
      <c r="K446" s="252">
        <v>3</v>
      </c>
      <c r="L446" s="253">
        <v>3</v>
      </c>
      <c r="M446" s="254">
        <f t="shared" si="14"/>
        <v>1.123005955058592</v>
      </c>
      <c r="N446" s="255"/>
    </row>
    <row r="447" spans="1:14" hidden="1" x14ac:dyDescent="0.2">
      <c r="A447" s="246" t="s">
        <v>248</v>
      </c>
      <c r="B447" s="448" t="s">
        <v>466</v>
      </c>
      <c r="C447" s="422" t="s">
        <v>36</v>
      </c>
      <c r="D447" s="252" t="s">
        <v>135</v>
      </c>
      <c r="E447" s="423">
        <v>1.784990282947397E-2</v>
      </c>
      <c r="F447" s="250" t="s">
        <v>133</v>
      </c>
      <c r="G447" s="251"/>
      <c r="H447" s="252">
        <v>1</v>
      </c>
      <c r="I447" s="252">
        <v>2</v>
      </c>
      <c r="J447" s="252">
        <v>3</v>
      </c>
      <c r="K447" s="252">
        <v>3</v>
      </c>
      <c r="L447" s="253">
        <v>3</v>
      </c>
      <c r="M447" s="254">
        <f t="shared" si="14"/>
        <v>1.123005955058592</v>
      </c>
      <c r="N447" s="255"/>
    </row>
    <row r="448" spans="1:14" hidden="1" x14ac:dyDescent="0.2">
      <c r="A448" s="246" t="s">
        <v>248</v>
      </c>
      <c r="B448" s="448" t="s">
        <v>466</v>
      </c>
      <c r="C448" s="422" t="s">
        <v>37</v>
      </c>
      <c r="D448" s="252" t="s">
        <v>135</v>
      </c>
      <c r="E448" s="423">
        <v>3.4927369149181462E-3</v>
      </c>
      <c r="F448" s="250" t="s">
        <v>133</v>
      </c>
      <c r="G448" s="251"/>
      <c r="H448" s="252">
        <v>1</v>
      </c>
      <c r="I448" s="252">
        <v>2</v>
      </c>
      <c r="J448" s="252">
        <v>3</v>
      </c>
      <c r="K448" s="252">
        <v>3</v>
      </c>
      <c r="L448" s="253">
        <v>3</v>
      </c>
      <c r="M448" s="254">
        <f t="shared" si="14"/>
        <v>1.123005955058592</v>
      </c>
      <c r="N448" s="255"/>
    </row>
    <row r="449" spans="1:14" hidden="1" x14ac:dyDescent="0.2">
      <c r="A449" s="246" t="s">
        <v>248</v>
      </c>
      <c r="B449" s="448" t="s">
        <v>466</v>
      </c>
      <c r="C449" s="422" t="s">
        <v>37</v>
      </c>
      <c r="D449" s="252" t="s">
        <v>135</v>
      </c>
      <c r="E449" s="423">
        <v>4.4474183383291059E-2</v>
      </c>
      <c r="F449" s="250" t="s">
        <v>133</v>
      </c>
      <c r="G449" s="251"/>
      <c r="H449" s="252">
        <v>1</v>
      </c>
      <c r="I449" s="252">
        <v>2</v>
      </c>
      <c r="J449" s="252">
        <v>3</v>
      </c>
      <c r="K449" s="252">
        <v>3</v>
      </c>
      <c r="L449" s="253">
        <v>3</v>
      </c>
      <c r="M449" s="254">
        <f t="shared" si="14"/>
        <v>1.123005955058592</v>
      </c>
      <c r="N449" s="255"/>
    </row>
    <row r="450" spans="1:14" hidden="1" x14ac:dyDescent="0.2">
      <c r="A450" s="246" t="s">
        <v>248</v>
      </c>
      <c r="B450" s="448" t="s">
        <v>466</v>
      </c>
      <c r="C450" s="422" t="s">
        <v>39</v>
      </c>
      <c r="D450" s="252" t="s">
        <v>135</v>
      </c>
      <c r="E450" s="423">
        <v>1.5892321881484899E-3</v>
      </c>
      <c r="F450" s="250" t="s">
        <v>133</v>
      </c>
      <c r="G450" s="251"/>
      <c r="H450" s="252">
        <v>1</v>
      </c>
      <c r="I450" s="252">
        <v>2</v>
      </c>
      <c r="J450" s="252">
        <v>3</v>
      </c>
      <c r="K450" s="252">
        <v>3</v>
      </c>
      <c r="L450" s="253">
        <v>3</v>
      </c>
      <c r="M450" s="254">
        <f t="shared" si="14"/>
        <v>1.123005955058592</v>
      </c>
      <c r="N450" s="255"/>
    </row>
    <row r="451" spans="1:14" hidden="1" x14ac:dyDescent="0.2">
      <c r="A451" s="246" t="s">
        <v>248</v>
      </c>
      <c r="B451" s="448" t="s">
        <v>466</v>
      </c>
      <c r="C451" s="422" t="s">
        <v>39</v>
      </c>
      <c r="D451" s="252" t="s">
        <v>135</v>
      </c>
      <c r="E451" s="423">
        <v>2.0236223195757439E-2</v>
      </c>
      <c r="F451" s="250" t="s">
        <v>133</v>
      </c>
      <c r="G451" s="251"/>
      <c r="H451" s="252">
        <v>1</v>
      </c>
      <c r="I451" s="252">
        <v>2</v>
      </c>
      <c r="J451" s="252">
        <v>3</v>
      </c>
      <c r="K451" s="252">
        <v>3</v>
      </c>
      <c r="L451" s="253">
        <v>3</v>
      </c>
      <c r="M451" s="254">
        <f t="shared" si="14"/>
        <v>1.123005955058592</v>
      </c>
      <c r="N451" s="255"/>
    </row>
    <row r="452" spans="1:14" hidden="1" x14ac:dyDescent="0.2">
      <c r="A452" s="246" t="s">
        <v>248</v>
      </c>
      <c r="B452" s="448" t="s">
        <v>466</v>
      </c>
      <c r="C452" s="422" t="s">
        <v>40</v>
      </c>
      <c r="D452" s="252" t="s">
        <v>135</v>
      </c>
      <c r="E452" s="423">
        <v>1.6319378108633361E-3</v>
      </c>
      <c r="F452" s="250" t="s">
        <v>133</v>
      </c>
      <c r="G452" s="251"/>
      <c r="H452" s="252">
        <v>1</v>
      </c>
      <c r="I452" s="252">
        <v>2</v>
      </c>
      <c r="J452" s="252">
        <v>3</v>
      </c>
      <c r="K452" s="252">
        <v>3</v>
      </c>
      <c r="L452" s="253">
        <v>3</v>
      </c>
      <c r="M452" s="254">
        <f t="shared" si="14"/>
        <v>1.123005955058592</v>
      </c>
      <c r="N452" s="255"/>
    </row>
    <row r="453" spans="1:14" hidden="1" x14ac:dyDescent="0.2">
      <c r="A453" s="246" t="s">
        <v>248</v>
      </c>
      <c r="B453" s="448" t="s">
        <v>466</v>
      </c>
      <c r="C453" s="422" t="s">
        <v>40</v>
      </c>
      <c r="D453" s="252" t="s">
        <v>135</v>
      </c>
      <c r="E453" s="423">
        <v>2.078000812499315E-2</v>
      </c>
      <c r="F453" s="250" t="s">
        <v>133</v>
      </c>
      <c r="G453" s="251"/>
      <c r="H453" s="252">
        <v>1</v>
      </c>
      <c r="I453" s="252">
        <v>2</v>
      </c>
      <c r="J453" s="252">
        <v>3</v>
      </c>
      <c r="K453" s="252">
        <v>3</v>
      </c>
      <c r="L453" s="253">
        <v>3</v>
      </c>
      <c r="M453" s="254">
        <f t="shared" si="14"/>
        <v>1.123005955058592</v>
      </c>
      <c r="N453" s="255"/>
    </row>
    <row r="454" spans="1:14" hidden="1" x14ac:dyDescent="0.2">
      <c r="A454" s="246" t="s">
        <v>248</v>
      </c>
      <c r="B454" s="448" t="s">
        <v>466</v>
      </c>
      <c r="C454" s="422" t="s">
        <v>41</v>
      </c>
      <c r="D454" s="252" t="s">
        <v>135</v>
      </c>
      <c r="E454" s="423">
        <v>2.0270101123225411E-3</v>
      </c>
      <c r="F454" s="250" t="s">
        <v>133</v>
      </c>
      <c r="G454" s="251"/>
      <c r="H454" s="252">
        <v>1</v>
      </c>
      <c r="I454" s="252">
        <v>2</v>
      </c>
      <c r="J454" s="252">
        <v>3</v>
      </c>
      <c r="K454" s="252">
        <v>3</v>
      </c>
      <c r="L454" s="253">
        <v>3</v>
      </c>
      <c r="M454" s="254">
        <f t="shared" si="14"/>
        <v>1.123005955058592</v>
      </c>
      <c r="N454" s="255"/>
    </row>
    <row r="455" spans="1:14" hidden="1" x14ac:dyDescent="0.2">
      <c r="A455" s="246" t="s">
        <v>248</v>
      </c>
      <c r="B455" s="448" t="s">
        <v>466</v>
      </c>
      <c r="C455" s="422" t="s">
        <v>41</v>
      </c>
      <c r="D455" s="252" t="s">
        <v>135</v>
      </c>
      <c r="E455" s="423">
        <v>2.5810595430240349E-2</v>
      </c>
      <c r="F455" s="250" t="s">
        <v>133</v>
      </c>
      <c r="G455" s="251"/>
      <c r="H455" s="252">
        <v>1</v>
      </c>
      <c r="I455" s="252">
        <v>2</v>
      </c>
      <c r="J455" s="252">
        <v>3</v>
      </c>
      <c r="K455" s="252">
        <v>3</v>
      </c>
      <c r="L455" s="253">
        <v>3</v>
      </c>
      <c r="M455" s="254">
        <f t="shared" si="14"/>
        <v>1.123005955058592</v>
      </c>
      <c r="N455" s="255"/>
    </row>
    <row r="456" spans="1:14" hidden="1" x14ac:dyDescent="0.2">
      <c r="A456" s="246" t="s">
        <v>248</v>
      </c>
      <c r="B456" s="448" t="s">
        <v>466</v>
      </c>
      <c r="C456" s="422" t="s">
        <v>42</v>
      </c>
      <c r="D456" s="252" t="s">
        <v>135</v>
      </c>
      <c r="E456" s="423">
        <v>1.01162752396324E-3</v>
      </c>
      <c r="F456" s="250" t="s">
        <v>133</v>
      </c>
      <c r="G456" s="251"/>
      <c r="H456" s="252">
        <v>1</v>
      </c>
      <c r="I456" s="252">
        <v>2</v>
      </c>
      <c r="J456" s="252">
        <v>3</v>
      </c>
      <c r="K456" s="252">
        <v>3</v>
      </c>
      <c r="L456" s="253">
        <v>3</v>
      </c>
      <c r="M456" s="254">
        <f t="shared" si="14"/>
        <v>1.123005955058592</v>
      </c>
      <c r="N456" s="255"/>
    </row>
    <row r="457" spans="1:14" hidden="1" x14ac:dyDescent="0.2">
      <c r="A457" s="246" t="s">
        <v>248</v>
      </c>
      <c r="B457" s="448" t="s">
        <v>466</v>
      </c>
      <c r="C457" s="422" t="s">
        <v>42</v>
      </c>
      <c r="D457" s="252" t="s">
        <v>135</v>
      </c>
      <c r="E457" s="423">
        <v>1.2881390471798589E-2</v>
      </c>
      <c r="F457" s="250" t="s">
        <v>133</v>
      </c>
      <c r="G457" s="251"/>
      <c r="H457" s="252">
        <v>1</v>
      </c>
      <c r="I457" s="252">
        <v>2</v>
      </c>
      <c r="J457" s="252">
        <v>3</v>
      </c>
      <c r="K457" s="252">
        <v>3</v>
      </c>
      <c r="L457" s="253">
        <v>3</v>
      </c>
      <c r="M457" s="254">
        <f t="shared" si="14"/>
        <v>1.123005955058592</v>
      </c>
      <c r="N457" s="255"/>
    </row>
    <row r="458" spans="1:14" hidden="1" x14ac:dyDescent="0.2">
      <c r="A458" s="246" t="s">
        <v>248</v>
      </c>
      <c r="B458" s="448" t="s">
        <v>466</v>
      </c>
      <c r="C458" s="422" t="s">
        <v>43</v>
      </c>
      <c r="D458" s="252" t="s">
        <v>135</v>
      </c>
      <c r="E458" s="423">
        <v>1.8618860963799859E-3</v>
      </c>
      <c r="F458" s="250" t="s">
        <v>133</v>
      </c>
      <c r="G458" s="251"/>
      <c r="H458" s="252">
        <v>1</v>
      </c>
      <c r="I458" s="252">
        <v>2</v>
      </c>
      <c r="J458" s="252">
        <v>3</v>
      </c>
      <c r="K458" s="252">
        <v>3</v>
      </c>
      <c r="L458" s="253">
        <v>3</v>
      </c>
      <c r="M458" s="254">
        <f t="shared" si="14"/>
        <v>1.123005955058592</v>
      </c>
      <c r="N458" s="255"/>
    </row>
    <row r="459" spans="1:14" hidden="1" x14ac:dyDescent="0.2">
      <c r="A459" s="246" t="s">
        <v>248</v>
      </c>
      <c r="B459" s="448" t="s">
        <v>466</v>
      </c>
      <c r="C459" s="422" t="s">
        <v>43</v>
      </c>
      <c r="D459" s="252" t="s">
        <v>135</v>
      </c>
      <c r="E459" s="423">
        <v>2.3708016293905159E-2</v>
      </c>
      <c r="F459" s="250" t="s">
        <v>133</v>
      </c>
      <c r="G459" s="251"/>
      <c r="H459" s="252">
        <v>1</v>
      </c>
      <c r="I459" s="252">
        <v>2</v>
      </c>
      <c r="J459" s="252">
        <v>3</v>
      </c>
      <c r="K459" s="252">
        <v>3</v>
      </c>
      <c r="L459" s="253">
        <v>3</v>
      </c>
      <c r="M459" s="254">
        <f t="shared" si="14"/>
        <v>1.123005955058592</v>
      </c>
      <c r="N459" s="255"/>
    </row>
    <row r="460" spans="1:14" x14ac:dyDescent="0.2">
      <c r="A460" s="246" t="s">
        <v>248</v>
      </c>
      <c r="B460" s="448" t="s">
        <v>466</v>
      </c>
      <c r="C460" s="422" t="s">
        <v>45</v>
      </c>
      <c r="D460" s="252" t="s">
        <v>135</v>
      </c>
      <c r="E460" s="423">
        <v>1.066339470997069E-3</v>
      </c>
      <c r="F460" s="250" t="s">
        <v>133</v>
      </c>
      <c r="G460" s="251"/>
      <c r="H460" s="252">
        <v>1</v>
      </c>
      <c r="I460" s="252">
        <v>2</v>
      </c>
      <c r="J460" s="252">
        <v>3</v>
      </c>
      <c r="K460" s="252">
        <v>3</v>
      </c>
      <c r="L460" s="253">
        <v>3</v>
      </c>
      <c r="M460" s="254">
        <f t="shared" si="14"/>
        <v>1.123005955058592</v>
      </c>
      <c r="N460" s="255"/>
    </row>
    <row r="461" spans="1:14" x14ac:dyDescent="0.2">
      <c r="A461" s="246" t="s">
        <v>248</v>
      </c>
      <c r="B461" s="448" t="s">
        <v>466</v>
      </c>
      <c r="C461" s="422" t="s">
        <v>45</v>
      </c>
      <c r="D461" s="252" t="s">
        <v>135</v>
      </c>
      <c r="E461" s="423">
        <v>1.357805593069601E-2</v>
      </c>
      <c r="F461" s="250" t="s">
        <v>133</v>
      </c>
      <c r="G461" s="251"/>
      <c r="H461" s="252">
        <v>1</v>
      </c>
      <c r="I461" s="252">
        <v>2</v>
      </c>
      <c r="J461" s="252">
        <v>3</v>
      </c>
      <c r="K461" s="252">
        <v>3</v>
      </c>
      <c r="L461" s="253">
        <v>3</v>
      </c>
      <c r="M461" s="254">
        <f t="shared" si="14"/>
        <v>1.123005955058592</v>
      </c>
      <c r="N461" s="255"/>
    </row>
    <row r="462" spans="1:14" hidden="1" x14ac:dyDescent="0.2">
      <c r="A462" s="246" t="s">
        <v>248</v>
      </c>
      <c r="B462" s="448" t="s">
        <v>466</v>
      </c>
      <c r="C462" s="422" t="s">
        <v>46</v>
      </c>
      <c r="D462" s="252" t="s">
        <v>135</v>
      </c>
      <c r="E462" s="423">
        <v>3.3239731216443218E-3</v>
      </c>
      <c r="F462" s="250" t="s">
        <v>133</v>
      </c>
      <c r="G462" s="251"/>
      <c r="H462" s="252">
        <v>1</v>
      </c>
      <c r="I462" s="252">
        <v>2</v>
      </c>
      <c r="J462" s="252">
        <v>3</v>
      </c>
      <c r="K462" s="252">
        <v>3</v>
      </c>
      <c r="L462" s="253">
        <v>3</v>
      </c>
      <c r="M462" s="254">
        <f t="shared" si="14"/>
        <v>1.123005955058592</v>
      </c>
      <c r="N462" s="255"/>
    </row>
    <row r="463" spans="1:14" hidden="1" x14ac:dyDescent="0.2">
      <c r="A463" s="246" t="s">
        <v>248</v>
      </c>
      <c r="B463" s="448" t="s">
        <v>466</v>
      </c>
      <c r="C463" s="422" t="s">
        <v>46</v>
      </c>
      <c r="D463" s="252" t="s">
        <v>135</v>
      </c>
      <c r="E463" s="423">
        <v>4.2325257748937702E-2</v>
      </c>
      <c r="F463" s="250" t="s">
        <v>133</v>
      </c>
      <c r="G463" s="251"/>
      <c r="H463" s="252">
        <v>1</v>
      </c>
      <c r="I463" s="252">
        <v>2</v>
      </c>
      <c r="J463" s="252">
        <v>3</v>
      </c>
      <c r="K463" s="252">
        <v>3</v>
      </c>
      <c r="L463" s="253">
        <v>3</v>
      </c>
      <c r="M463" s="254">
        <f>IF( OR( ISBLANK(H463),ISBLANK(I463), ISBLANK(J463), ISBLANK(K463), ISBLANK(L463) ), "", 1.5*SQRT(   EXP(2.21*(H463-1)) + EXP(2.21*(I463-1)) + EXP(2.21*(J463-1)) + EXP(2.21*(K463-1)) + EXP(2.21*L463)   )/100*2.45 )</f>
        <v>1.123005955058592</v>
      </c>
      <c r="N463" s="255"/>
    </row>
    <row r="464" spans="1:14" hidden="1" x14ac:dyDescent="0.2">
      <c r="A464" s="246" t="s">
        <v>248</v>
      </c>
      <c r="B464" s="448" t="s">
        <v>466</v>
      </c>
      <c r="C464" s="422" t="s">
        <v>48</v>
      </c>
      <c r="D464" s="252" t="s">
        <v>135</v>
      </c>
      <c r="E464" s="423">
        <v>2.852597252873942E-3</v>
      </c>
      <c r="F464" s="250" t="s">
        <v>133</v>
      </c>
      <c r="G464" s="251"/>
      <c r="H464" s="252">
        <v>1</v>
      </c>
      <c r="I464" s="252">
        <v>2</v>
      </c>
      <c r="J464" s="252">
        <v>3</v>
      </c>
      <c r="K464" s="252">
        <v>3</v>
      </c>
      <c r="L464" s="253">
        <v>3</v>
      </c>
      <c r="M464" s="254">
        <f t="shared" ref="M464:M495" si="15">IF( OR( ISBLANK(H464),ISBLANK(I464), ISBLANK(J464), ISBLANK(K464), ISBLANK(L464) ), "", 1.5*SQRT( EXP(2.21*(H464-1)) + EXP(2.21*(I464-1)) + EXP(2.21*(J464-1)) + EXP(2.21*(K464-1)) + EXP(2.21*L464) )/100*2.45 )</f>
        <v>1.123005955058592</v>
      </c>
      <c r="N464" s="255"/>
    </row>
    <row r="465" spans="1:14" hidden="1" x14ac:dyDescent="0.2">
      <c r="A465" s="246" t="s">
        <v>248</v>
      </c>
      <c r="B465" s="448" t="s">
        <v>466</v>
      </c>
      <c r="C465" s="422" t="s">
        <v>48</v>
      </c>
      <c r="D465" s="252" t="s">
        <v>135</v>
      </c>
      <c r="E465" s="423">
        <v>3.6323071686594863E-2</v>
      </c>
      <c r="F465" s="250" t="s">
        <v>133</v>
      </c>
      <c r="G465" s="251"/>
      <c r="H465" s="252">
        <v>1</v>
      </c>
      <c r="I465" s="252">
        <v>2</v>
      </c>
      <c r="J465" s="252">
        <v>3</v>
      </c>
      <c r="K465" s="252">
        <v>3</v>
      </c>
      <c r="L465" s="253">
        <v>3</v>
      </c>
      <c r="M465" s="254">
        <f t="shared" si="15"/>
        <v>1.123005955058592</v>
      </c>
      <c r="N465" s="255"/>
    </row>
    <row r="466" spans="1:14" hidden="1" x14ac:dyDescent="0.2">
      <c r="A466" s="246" t="s">
        <v>248</v>
      </c>
      <c r="B466" s="448" t="s">
        <v>466</v>
      </c>
      <c r="C466" s="422" t="s">
        <v>50</v>
      </c>
      <c r="D466" s="252" t="s">
        <v>135</v>
      </c>
      <c r="E466" s="423">
        <v>3.3290951612371948E-3</v>
      </c>
      <c r="F466" s="250" t="s">
        <v>133</v>
      </c>
      <c r="G466" s="251"/>
      <c r="H466" s="252">
        <v>1</v>
      </c>
      <c r="I466" s="252">
        <v>2</v>
      </c>
      <c r="J466" s="252">
        <v>3</v>
      </c>
      <c r="K466" s="252">
        <v>3</v>
      </c>
      <c r="L466" s="253">
        <v>3</v>
      </c>
      <c r="M466" s="254">
        <f t="shared" si="15"/>
        <v>1.123005955058592</v>
      </c>
      <c r="N466" s="255"/>
    </row>
    <row r="467" spans="1:14" hidden="1" x14ac:dyDescent="0.2">
      <c r="A467" s="246" t="s">
        <v>248</v>
      </c>
      <c r="B467" s="448" t="s">
        <v>466</v>
      </c>
      <c r="C467" s="422" t="s">
        <v>50</v>
      </c>
      <c r="D467" s="252" t="s">
        <v>135</v>
      </c>
      <c r="E467" s="423">
        <v>4.239047838642028E-2</v>
      </c>
      <c r="F467" s="250" t="s">
        <v>133</v>
      </c>
      <c r="G467" s="251"/>
      <c r="H467" s="252">
        <v>1</v>
      </c>
      <c r="I467" s="252">
        <v>2</v>
      </c>
      <c r="J467" s="252">
        <v>3</v>
      </c>
      <c r="K467" s="252">
        <v>3</v>
      </c>
      <c r="L467" s="253">
        <v>3</v>
      </c>
      <c r="M467" s="254">
        <f t="shared" si="15"/>
        <v>1.123005955058592</v>
      </c>
      <c r="N467" s="255"/>
    </row>
    <row r="468" spans="1:14" hidden="1" x14ac:dyDescent="0.2">
      <c r="A468" s="246" t="s">
        <v>248</v>
      </c>
      <c r="B468" s="448" t="s">
        <v>466</v>
      </c>
      <c r="C468" s="422" t="s">
        <v>52</v>
      </c>
      <c r="D468" s="252" t="s">
        <v>135</v>
      </c>
      <c r="E468" s="423">
        <v>3.7221252346915259E-3</v>
      </c>
      <c r="F468" s="250" t="s">
        <v>133</v>
      </c>
      <c r="G468" s="251"/>
      <c r="H468" s="252">
        <v>1</v>
      </c>
      <c r="I468" s="252">
        <v>2</v>
      </c>
      <c r="J468" s="252">
        <v>3</v>
      </c>
      <c r="K468" s="252">
        <v>3</v>
      </c>
      <c r="L468" s="253">
        <v>3</v>
      </c>
      <c r="M468" s="254">
        <f t="shared" si="15"/>
        <v>1.123005955058592</v>
      </c>
      <c r="N468" s="255"/>
    </row>
    <row r="469" spans="1:14" hidden="1" x14ac:dyDescent="0.2">
      <c r="A469" s="246" t="s">
        <v>248</v>
      </c>
      <c r="B469" s="448" t="s">
        <v>466</v>
      </c>
      <c r="C469" s="422" t="s">
        <v>52</v>
      </c>
      <c r="D469" s="252" t="s">
        <v>135</v>
      </c>
      <c r="E469" s="423">
        <v>4.7395061321738763E-2</v>
      </c>
      <c r="F469" s="250" t="s">
        <v>133</v>
      </c>
      <c r="G469" s="251"/>
      <c r="H469" s="252">
        <v>1</v>
      </c>
      <c r="I469" s="252">
        <v>2</v>
      </c>
      <c r="J469" s="252">
        <v>3</v>
      </c>
      <c r="K469" s="252">
        <v>3</v>
      </c>
      <c r="L469" s="253">
        <v>3</v>
      </c>
      <c r="M469" s="254">
        <f t="shared" si="15"/>
        <v>1.123005955058592</v>
      </c>
      <c r="N469" s="255"/>
    </row>
    <row r="470" spans="1:14" hidden="1" x14ac:dyDescent="0.2">
      <c r="A470" s="246" t="s">
        <v>248</v>
      </c>
      <c r="B470" s="448" t="s">
        <v>466</v>
      </c>
      <c r="C470" s="422" t="s">
        <v>54</v>
      </c>
      <c r="D470" s="252" t="s">
        <v>135</v>
      </c>
      <c r="E470" s="423">
        <v>1.5078395204058111E-3</v>
      </c>
      <c r="F470" s="250" t="s">
        <v>133</v>
      </c>
      <c r="G470" s="251"/>
      <c r="H470" s="252">
        <v>1</v>
      </c>
      <c r="I470" s="252">
        <v>2</v>
      </c>
      <c r="J470" s="252">
        <v>3</v>
      </c>
      <c r="K470" s="252">
        <v>3</v>
      </c>
      <c r="L470" s="253">
        <v>3</v>
      </c>
      <c r="M470" s="254">
        <f t="shared" si="15"/>
        <v>1.123005955058592</v>
      </c>
      <c r="N470" s="255"/>
    </row>
    <row r="471" spans="1:14" hidden="1" x14ac:dyDescent="0.2">
      <c r="A471" s="246" t="s">
        <v>248</v>
      </c>
      <c r="B471" s="448" t="s">
        <v>466</v>
      </c>
      <c r="C471" s="422" t="s">
        <v>54</v>
      </c>
      <c r="D471" s="252" t="s">
        <v>135</v>
      </c>
      <c r="E471" s="423">
        <v>1.919982322650066E-2</v>
      </c>
      <c r="F471" s="250" t="s">
        <v>133</v>
      </c>
      <c r="G471" s="251"/>
      <c r="H471" s="252">
        <v>1</v>
      </c>
      <c r="I471" s="252">
        <v>2</v>
      </c>
      <c r="J471" s="252">
        <v>3</v>
      </c>
      <c r="K471" s="252">
        <v>3</v>
      </c>
      <c r="L471" s="253">
        <v>3</v>
      </c>
      <c r="M471" s="254">
        <f t="shared" si="15"/>
        <v>1.123005955058592</v>
      </c>
      <c r="N471" s="255"/>
    </row>
    <row r="472" spans="1:14" hidden="1" x14ac:dyDescent="0.2">
      <c r="A472" s="246" t="s">
        <v>248</v>
      </c>
      <c r="B472" s="448" t="s">
        <v>466</v>
      </c>
      <c r="C472" s="422" t="s">
        <v>55</v>
      </c>
      <c r="D472" s="252" t="s">
        <v>135</v>
      </c>
      <c r="E472" s="423">
        <v>2.172930597186996E-3</v>
      </c>
      <c r="F472" s="250" t="s">
        <v>133</v>
      </c>
      <c r="G472" s="251"/>
      <c r="H472" s="252">
        <v>1</v>
      </c>
      <c r="I472" s="252">
        <v>2</v>
      </c>
      <c r="J472" s="252">
        <v>3</v>
      </c>
      <c r="K472" s="252">
        <v>3</v>
      </c>
      <c r="L472" s="253">
        <v>3</v>
      </c>
      <c r="M472" s="254">
        <f t="shared" si="15"/>
        <v>1.123005955058592</v>
      </c>
      <c r="N472" s="255"/>
    </row>
    <row r="473" spans="1:14" hidden="1" x14ac:dyDescent="0.2">
      <c r="A473" s="246" t="s">
        <v>248</v>
      </c>
      <c r="B473" s="448" t="s">
        <v>466</v>
      </c>
      <c r="C473" s="422" t="s">
        <v>55</v>
      </c>
      <c r="D473" s="252" t="s">
        <v>135</v>
      </c>
      <c r="E473" s="423">
        <v>2.766864960418108E-2</v>
      </c>
      <c r="F473" s="250" t="s">
        <v>133</v>
      </c>
      <c r="G473" s="251"/>
      <c r="H473" s="252">
        <v>1</v>
      </c>
      <c r="I473" s="252">
        <v>2</v>
      </c>
      <c r="J473" s="252">
        <v>3</v>
      </c>
      <c r="K473" s="252">
        <v>3</v>
      </c>
      <c r="L473" s="253">
        <v>3</v>
      </c>
      <c r="M473" s="254">
        <f t="shared" si="15"/>
        <v>1.123005955058592</v>
      </c>
      <c r="N473" s="255"/>
    </row>
    <row r="474" spans="1:14" hidden="1" x14ac:dyDescent="0.2">
      <c r="A474" s="246" t="s">
        <v>248</v>
      </c>
      <c r="B474" s="448" t="s">
        <v>466</v>
      </c>
      <c r="C474" s="422" t="s">
        <v>57</v>
      </c>
      <c r="D474" s="252" t="s">
        <v>135</v>
      </c>
      <c r="E474" s="423">
        <v>1.066339470997069E-3</v>
      </c>
      <c r="F474" s="250" t="s">
        <v>133</v>
      </c>
      <c r="G474" s="251"/>
      <c r="H474" s="252">
        <v>1</v>
      </c>
      <c r="I474" s="252">
        <v>2</v>
      </c>
      <c r="J474" s="252">
        <v>3</v>
      </c>
      <c r="K474" s="252">
        <v>3</v>
      </c>
      <c r="L474" s="253">
        <v>3</v>
      </c>
      <c r="M474" s="254">
        <f t="shared" si="15"/>
        <v>1.123005955058592</v>
      </c>
      <c r="N474" s="255"/>
    </row>
    <row r="475" spans="1:14" hidden="1" x14ac:dyDescent="0.2">
      <c r="A475" s="246" t="s">
        <v>248</v>
      </c>
      <c r="B475" s="448" t="s">
        <v>466</v>
      </c>
      <c r="C475" s="422" t="s">
        <v>57</v>
      </c>
      <c r="D475" s="252" t="s">
        <v>135</v>
      </c>
      <c r="E475" s="423">
        <v>1.357805593069601E-2</v>
      </c>
      <c r="F475" s="250" t="s">
        <v>133</v>
      </c>
      <c r="G475" s="251"/>
      <c r="H475" s="252">
        <v>1</v>
      </c>
      <c r="I475" s="252">
        <v>2</v>
      </c>
      <c r="J475" s="252">
        <v>3</v>
      </c>
      <c r="K475" s="252">
        <v>3</v>
      </c>
      <c r="L475" s="253">
        <v>3</v>
      </c>
      <c r="M475" s="254">
        <f t="shared" si="15"/>
        <v>1.123005955058592</v>
      </c>
      <c r="N475" s="255"/>
    </row>
    <row r="476" spans="1:14" hidden="1" x14ac:dyDescent="0.2">
      <c r="A476" s="246" t="s">
        <v>248</v>
      </c>
      <c r="B476" s="448" t="s">
        <v>466</v>
      </c>
      <c r="C476" s="422" t="s">
        <v>59</v>
      </c>
      <c r="D476" s="252" t="s">
        <v>135</v>
      </c>
      <c r="E476" s="423">
        <v>1.5E-3</v>
      </c>
      <c r="F476" s="250" t="s">
        <v>133</v>
      </c>
      <c r="G476" s="251"/>
      <c r="H476" s="252">
        <v>1</v>
      </c>
      <c r="I476" s="252">
        <v>2</v>
      </c>
      <c r="J476" s="252">
        <v>3</v>
      </c>
      <c r="K476" s="252">
        <v>3</v>
      </c>
      <c r="L476" s="253">
        <v>3</v>
      </c>
      <c r="M476" s="254">
        <f t="shared" si="15"/>
        <v>1.123005955058592</v>
      </c>
      <c r="N476" s="255"/>
    </row>
    <row r="477" spans="1:14" hidden="1" x14ac:dyDescent="0.2">
      <c r="A477" s="246" t="s">
        <v>248</v>
      </c>
      <c r="B477" s="448" t="s">
        <v>466</v>
      </c>
      <c r="C477" s="422" t="s">
        <v>59</v>
      </c>
      <c r="D477" s="252" t="s">
        <v>135</v>
      </c>
      <c r="E477" s="423">
        <v>1.9099999999999999E-2</v>
      </c>
      <c r="F477" s="250" t="s">
        <v>133</v>
      </c>
      <c r="G477" s="251"/>
      <c r="H477" s="252">
        <v>1</v>
      </c>
      <c r="I477" s="252">
        <v>2</v>
      </c>
      <c r="J477" s="252">
        <v>3</v>
      </c>
      <c r="K477" s="252">
        <v>3</v>
      </c>
      <c r="L477" s="253">
        <v>3</v>
      </c>
      <c r="M477" s="254">
        <f t="shared" si="15"/>
        <v>1.123005955058592</v>
      </c>
      <c r="N477" s="255"/>
    </row>
    <row r="478" spans="1:14" hidden="1" x14ac:dyDescent="0.2">
      <c r="A478" s="246" t="s">
        <v>248</v>
      </c>
      <c r="B478" s="448" t="s">
        <v>466</v>
      </c>
      <c r="C478" s="422" t="s">
        <v>60</v>
      </c>
      <c r="D478" s="252" t="s">
        <v>135</v>
      </c>
      <c r="E478" s="423">
        <v>1.953028755887876E-3</v>
      </c>
      <c r="F478" s="250" t="s">
        <v>133</v>
      </c>
      <c r="G478" s="424" t="s">
        <v>16</v>
      </c>
      <c r="H478" s="252">
        <v>1</v>
      </c>
      <c r="I478" s="252">
        <v>2</v>
      </c>
      <c r="J478" s="252">
        <v>3</v>
      </c>
      <c r="K478" s="252">
        <v>3</v>
      </c>
      <c r="L478" s="253">
        <v>3</v>
      </c>
      <c r="M478" s="254">
        <f t="shared" si="15"/>
        <v>1.123005955058592</v>
      </c>
      <c r="N478" s="255"/>
    </row>
    <row r="479" spans="1:14" hidden="1" x14ac:dyDescent="0.2">
      <c r="A479" s="464" t="s">
        <v>248</v>
      </c>
      <c r="B479" s="465" t="s">
        <v>466</v>
      </c>
      <c r="C479" s="427" t="s">
        <v>60</v>
      </c>
      <c r="D479" s="291" t="s">
        <v>135</v>
      </c>
      <c r="E479" s="428">
        <v>2.486856615830562E-2</v>
      </c>
      <c r="F479" s="289" t="s">
        <v>133</v>
      </c>
      <c r="G479" s="429" t="s">
        <v>16</v>
      </c>
      <c r="H479" s="291">
        <v>1</v>
      </c>
      <c r="I479" s="291">
        <v>2</v>
      </c>
      <c r="J479" s="291">
        <v>3</v>
      </c>
      <c r="K479" s="291">
        <v>3</v>
      </c>
      <c r="L479" s="292">
        <v>3</v>
      </c>
      <c r="M479" s="293">
        <f t="shared" si="15"/>
        <v>1.123005955058592</v>
      </c>
      <c r="N479" s="294"/>
    </row>
    <row r="480" spans="1:14" x14ac:dyDescent="0.2">
      <c r="A480" s="246" t="s">
        <v>279</v>
      </c>
      <c r="B480" s="466" t="s">
        <v>451</v>
      </c>
      <c r="C480" s="467" t="s">
        <v>135</v>
      </c>
      <c r="D480" s="252" t="s">
        <v>135</v>
      </c>
      <c r="E480" s="438">
        <v>8.9999999999999996E-7</v>
      </c>
      <c r="F480" s="250" t="s">
        <v>467</v>
      </c>
      <c r="G480" s="424" t="s">
        <v>16</v>
      </c>
      <c r="H480" s="252">
        <v>2</v>
      </c>
      <c r="I480" s="252">
        <v>1</v>
      </c>
      <c r="J480" s="252">
        <v>3</v>
      </c>
      <c r="K480" s="252">
        <v>1</v>
      </c>
      <c r="L480" s="253">
        <v>2</v>
      </c>
      <c r="M480" s="254">
        <f t="shared" si="15"/>
        <v>0.48935255543384243</v>
      </c>
      <c r="N480" s="255"/>
    </row>
    <row r="481" spans="1:14" x14ac:dyDescent="0.2">
      <c r="A481" s="464" t="s">
        <v>279</v>
      </c>
      <c r="B481" s="468" t="s">
        <v>468</v>
      </c>
      <c r="C481" s="404" t="s">
        <v>135</v>
      </c>
      <c r="D481" s="291" t="s">
        <v>135</v>
      </c>
      <c r="E481" s="442">
        <v>6.2999999999999998E-6</v>
      </c>
      <c r="F481" s="289" t="s">
        <v>467</v>
      </c>
      <c r="G481" s="290" t="s">
        <v>16</v>
      </c>
      <c r="H481" s="291">
        <v>2</v>
      </c>
      <c r="I481" s="291">
        <v>1</v>
      </c>
      <c r="J481" s="291">
        <v>3</v>
      </c>
      <c r="K481" s="291">
        <v>1</v>
      </c>
      <c r="L481" s="292">
        <v>2</v>
      </c>
      <c r="M481" s="293">
        <f t="shared" si="15"/>
        <v>0.48935255543384243</v>
      </c>
      <c r="N481" s="294"/>
    </row>
    <row r="482" spans="1:14" hidden="1" x14ac:dyDescent="0.2">
      <c r="A482" s="246" t="s">
        <v>287</v>
      </c>
      <c r="B482" s="448" t="s">
        <v>466</v>
      </c>
      <c r="C482" s="422" t="s">
        <v>13</v>
      </c>
      <c r="D482" s="252" t="s">
        <v>135</v>
      </c>
      <c r="E482" s="423">
        <v>1.142330116275239E-3</v>
      </c>
      <c r="F482" s="250" t="s">
        <v>133</v>
      </c>
      <c r="G482" s="251" t="s">
        <v>16</v>
      </c>
      <c r="H482" s="252">
        <v>1</v>
      </c>
      <c r="I482" s="252">
        <v>2</v>
      </c>
      <c r="J482" s="252">
        <v>3</v>
      </c>
      <c r="K482" s="252">
        <v>3</v>
      </c>
      <c r="L482" s="253">
        <v>3</v>
      </c>
      <c r="M482" s="254">
        <f t="shared" si="15"/>
        <v>1.123005955058592</v>
      </c>
      <c r="N482" s="255"/>
    </row>
    <row r="483" spans="1:14" hidden="1" x14ac:dyDescent="0.2">
      <c r="A483" s="246" t="s">
        <v>287</v>
      </c>
      <c r="B483" s="448" t="s">
        <v>466</v>
      </c>
      <c r="C483" s="422" t="s">
        <v>13</v>
      </c>
      <c r="D483" s="252" t="s">
        <v>135</v>
      </c>
      <c r="E483" s="423">
        <v>1.454567014723805E-2</v>
      </c>
      <c r="F483" s="250" t="s">
        <v>133</v>
      </c>
      <c r="G483" s="251"/>
      <c r="H483" s="252">
        <v>1</v>
      </c>
      <c r="I483" s="252">
        <v>2</v>
      </c>
      <c r="J483" s="252">
        <v>3</v>
      </c>
      <c r="K483" s="252">
        <v>3</v>
      </c>
      <c r="L483" s="253">
        <v>3</v>
      </c>
      <c r="M483" s="254">
        <f t="shared" si="15"/>
        <v>1.123005955058592</v>
      </c>
      <c r="N483" s="255"/>
    </row>
    <row r="484" spans="1:14" hidden="1" x14ac:dyDescent="0.2">
      <c r="A484" s="246" t="s">
        <v>287</v>
      </c>
      <c r="B484" s="448" t="s">
        <v>466</v>
      </c>
      <c r="C484" s="422" t="s">
        <v>18</v>
      </c>
      <c r="D484" s="252" t="s">
        <v>135</v>
      </c>
      <c r="E484" s="423">
        <v>2.8968345465924441E-3</v>
      </c>
      <c r="F484" s="250" t="s">
        <v>133</v>
      </c>
      <c r="G484" s="251"/>
      <c r="H484" s="252">
        <v>1</v>
      </c>
      <c r="I484" s="252">
        <v>2</v>
      </c>
      <c r="J484" s="252">
        <v>3</v>
      </c>
      <c r="K484" s="252">
        <v>3</v>
      </c>
      <c r="L484" s="253">
        <v>3</v>
      </c>
      <c r="M484" s="254">
        <f t="shared" si="15"/>
        <v>1.123005955058592</v>
      </c>
      <c r="N484" s="255"/>
    </row>
    <row r="485" spans="1:14" hidden="1" x14ac:dyDescent="0.2">
      <c r="A485" s="246" t="s">
        <v>287</v>
      </c>
      <c r="B485" s="448" t="s">
        <v>466</v>
      </c>
      <c r="C485" s="422" t="s">
        <v>18</v>
      </c>
      <c r="D485" s="252" t="s">
        <v>135</v>
      </c>
      <c r="E485" s="423">
        <v>3.6886359893277133E-2</v>
      </c>
      <c r="F485" s="250" t="s">
        <v>133</v>
      </c>
      <c r="G485" s="251"/>
      <c r="H485" s="252">
        <v>1</v>
      </c>
      <c r="I485" s="252">
        <v>2</v>
      </c>
      <c r="J485" s="252">
        <v>3</v>
      </c>
      <c r="K485" s="252">
        <v>3</v>
      </c>
      <c r="L485" s="253">
        <v>3</v>
      </c>
      <c r="M485" s="254">
        <f t="shared" si="15"/>
        <v>1.123005955058592</v>
      </c>
      <c r="N485" s="255"/>
    </row>
    <row r="486" spans="1:14" hidden="1" x14ac:dyDescent="0.2">
      <c r="A486" s="246" t="s">
        <v>287</v>
      </c>
      <c r="B486" s="448" t="s">
        <v>466</v>
      </c>
      <c r="C486" s="422" t="s">
        <v>20</v>
      </c>
      <c r="D486" s="252" t="s">
        <v>135</v>
      </c>
      <c r="E486" s="423">
        <v>3.52435850983234E-3</v>
      </c>
      <c r="F486" s="250" t="s">
        <v>133</v>
      </c>
      <c r="G486" s="251"/>
      <c r="H486" s="252">
        <v>1</v>
      </c>
      <c r="I486" s="252">
        <v>2</v>
      </c>
      <c r="J486" s="252">
        <v>3</v>
      </c>
      <c r="K486" s="252">
        <v>3</v>
      </c>
      <c r="L486" s="253">
        <v>3</v>
      </c>
      <c r="M486" s="254">
        <f t="shared" si="15"/>
        <v>1.123005955058592</v>
      </c>
      <c r="N486" s="255"/>
    </row>
    <row r="487" spans="1:14" hidden="1" x14ac:dyDescent="0.2">
      <c r="A487" s="246" t="s">
        <v>287</v>
      </c>
      <c r="B487" s="448" t="s">
        <v>466</v>
      </c>
      <c r="C487" s="422" t="s">
        <v>20</v>
      </c>
      <c r="D487" s="252" t="s">
        <v>135</v>
      </c>
      <c r="E487" s="423">
        <v>4.4876831691865127E-2</v>
      </c>
      <c r="F487" s="250" t="s">
        <v>133</v>
      </c>
      <c r="G487" s="251"/>
      <c r="H487" s="252">
        <v>1</v>
      </c>
      <c r="I487" s="252">
        <v>2</v>
      </c>
      <c r="J487" s="252">
        <v>3</v>
      </c>
      <c r="K487" s="252">
        <v>3</v>
      </c>
      <c r="L487" s="253">
        <v>3</v>
      </c>
      <c r="M487" s="254">
        <f t="shared" si="15"/>
        <v>1.123005955058592</v>
      </c>
      <c r="N487" s="255"/>
    </row>
    <row r="488" spans="1:14" hidden="1" x14ac:dyDescent="0.2">
      <c r="A488" s="246" t="s">
        <v>287</v>
      </c>
      <c r="B488" s="448" t="s">
        <v>466</v>
      </c>
      <c r="C488" s="422" t="s">
        <v>22</v>
      </c>
      <c r="D488" s="252" t="s">
        <v>135</v>
      </c>
      <c r="E488" s="423">
        <v>2.3530089923910541E-3</v>
      </c>
      <c r="F488" s="250" t="s">
        <v>133</v>
      </c>
      <c r="G488" s="251"/>
      <c r="H488" s="252">
        <v>1</v>
      </c>
      <c r="I488" s="252">
        <v>2</v>
      </c>
      <c r="J488" s="252">
        <v>3</v>
      </c>
      <c r="K488" s="252">
        <v>3</v>
      </c>
      <c r="L488" s="253">
        <v>3</v>
      </c>
      <c r="M488" s="254">
        <f t="shared" si="15"/>
        <v>1.123005955058592</v>
      </c>
      <c r="N488" s="255"/>
    </row>
    <row r="489" spans="1:14" hidden="1" x14ac:dyDescent="0.2">
      <c r="A489" s="246" t="s">
        <v>287</v>
      </c>
      <c r="B489" s="448" t="s">
        <v>466</v>
      </c>
      <c r="C489" s="422" t="s">
        <v>22</v>
      </c>
      <c r="D489" s="252" t="s">
        <v>135</v>
      </c>
      <c r="E489" s="423">
        <v>2.9961647836446101E-2</v>
      </c>
      <c r="F489" s="250" t="s">
        <v>133</v>
      </c>
      <c r="G489" s="251"/>
      <c r="H489" s="252">
        <v>1</v>
      </c>
      <c r="I489" s="252">
        <v>2</v>
      </c>
      <c r="J489" s="252">
        <v>3</v>
      </c>
      <c r="K489" s="252">
        <v>3</v>
      </c>
      <c r="L489" s="253">
        <v>3</v>
      </c>
      <c r="M489" s="254">
        <f t="shared" si="15"/>
        <v>1.123005955058592</v>
      </c>
      <c r="N489" s="255"/>
    </row>
    <row r="490" spans="1:14" hidden="1" x14ac:dyDescent="0.2">
      <c r="A490" s="246" t="s">
        <v>287</v>
      </c>
      <c r="B490" s="448" t="s">
        <v>466</v>
      </c>
      <c r="C490" s="422" t="s">
        <v>23</v>
      </c>
      <c r="D490" s="252" t="s">
        <v>135</v>
      </c>
      <c r="E490" s="423">
        <v>2.366876379327382E-3</v>
      </c>
      <c r="F490" s="250" t="s">
        <v>133</v>
      </c>
      <c r="G490" s="251"/>
      <c r="H490" s="252">
        <v>1</v>
      </c>
      <c r="I490" s="252">
        <v>2</v>
      </c>
      <c r="J490" s="252">
        <v>3</v>
      </c>
      <c r="K490" s="252">
        <v>3</v>
      </c>
      <c r="L490" s="253">
        <v>3</v>
      </c>
      <c r="M490" s="254">
        <f t="shared" si="15"/>
        <v>1.123005955058592</v>
      </c>
      <c r="N490" s="255"/>
    </row>
    <row r="491" spans="1:14" hidden="1" x14ac:dyDescent="0.2">
      <c r="A491" s="246" t="s">
        <v>287</v>
      </c>
      <c r="B491" s="448" t="s">
        <v>466</v>
      </c>
      <c r="C491" s="422" t="s">
        <v>23</v>
      </c>
      <c r="D491" s="252" t="s">
        <v>135</v>
      </c>
      <c r="E491" s="423">
        <v>3.0138225896768671E-2</v>
      </c>
      <c r="F491" s="250" t="s">
        <v>133</v>
      </c>
      <c r="G491" s="251"/>
      <c r="H491" s="252">
        <v>1</v>
      </c>
      <c r="I491" s="252">
        <v>2</v>
      </c>
      <c r="J491" s="252">
        <v>3</v>
      </c>
      <c r="K491" s="252">
        <v>3</v>
      </c>
      <c r="L491" s="253">
        <v>3</v>
      </c>
      <c r="M491" s="254">
        <f t="shared" si="15"/>
        <v>1.123005955058592</v>
      </c>
      <c r="N491" s="255"/>
    </row>
    <row r="492" spans="1:14" hidden="1" x14ac:dyDescent="0.2">
      <c r="A492" s="246" t="s">
        <v>287</v>
      </c>
      <c r="B492" s="448" t="s">
        <v>466</v>
      </c>
      <c r="C492" s="422" t="s">
        <v>24</v>
      </c>
      <c r="D492" s="252" t="s">
        <v>135</v>
      </c>
      <c r="E492" s="423">
        <v>2.5022563325537732E-3</v>
      </c>
      <c r="F492" s="250" t="s">
        <v>133</v>
      </c>
      <c r="G492" s="251"/>
      <c r="H492" s="252">
        <v>1</v>
      </c>
      <c r="I492" s="252">
        <v>2</v>
      </c>
      <c r="J492" s="252">
        <v>3</v>
      </c>
      <c r="K492" s="252">
        <v>3</v>
      </c>
      <c r="L492" s="253">
        <v>3</v>
      </c>
      <c r="M492" s="254">
        <f t="shared" si="15"/>
        <v>1.123005955058592</v>
      </c>
      <c r="N492" s="255"/>
    </row>
    <row r="493" spans="1:14" hidden="1" x14ac:dyDescent="0.2">
      <c r="A493" s="246" t="s">
        <v>287</v>
      </c>
      <c r="B493" s="448" t="s">
        <v>466</v>
      </c>
      <c r="C493" s="422" t="s">
        <v>24</v>
      </c>
      <c r="D493" s="252" t="s">
        <v>135</v>
      </c>
      <c r="E493" s="423">
        <v>3.1862063967851378E-2</v>
      </c>
      <c r="F493" s="250" t="s">
        <v>133</v>
      </c>
      <c r="G493" s="251"/>
      <c r="H493" s="252">
        <v>1</v>
      </c>
      <c r="I493" s="252">
        <v>2</v>
      </c>
      <c r="J493" s="252">
        <v>3</v>
      </c>
      <c r="K493" s="252">
        <v>3</v>
      </c>
      <c r="L493" s="253">
        <v>3</v>
      </c>
      <c r="M493" s="254">
        <f t="shared" si="15"/>
        <v>1.123005955058592</v>
      </c>
      <c r="N493" s="255"/>
    </row>
    <row r="494" spans="1:14" hidden="1" x14ac:dyDescent="0.2">
      <c r="A494" s="246" t="s">
        <v>287</v>
      </c>
      <c r="B494" s="448" t="s">
        <v>466</v>
      </c>
      <c r="C494" s="422" t="s">
        <v>25</v>
      </c>
      <c r="D494" s="252" t="s">
        <v>135</v>
      </c>
      <c r="E494" s="423">
        <v>1.510655818702856E-3</v>
      </c>
      <c r="F494" s="250" t="s">
        <v>133</v>
      </c>
      <c r="G494" s="251"/>
      <c r="H494" s="252">
        <v>1</v>
      </c>
      <c r="I494" s="252">
        <v>2</v>
      </c>
      <c r="J494" s="252">
        <v>3</v>
      </c>
      <c r="K494" s="252">
        <v>3</v>
      </c>
      <c r="L494" s="253">
        <v>3</v>
      </c>
      <c r="M494" s="254">
        <f t="shared" si="15"/>
        <v>1.123005955058592</v>
      </c>
      <c r="N494" s="255"/>
    </row>
    <row r="495" spans="1:14" hidden="1" x14ac:dyDescent="0.2">
      <c r="A495" s="246" t="s">
        <v>287</v>
      </c>
      <c r="B495" s="448" t="s">
        <v>466</v>
      </c>
      <c r="C495" s="422" t="s">
        <v>25</v>
      </c>
      <c r="D495" s="252" t="s">
        <v>135</v>
      </c>
      <c r="E495" s="423">
        <v>1.9235684091483029E-2</v>
      </c>
      <c r="F495" s="250" t="s">
        <v>133</v>
      </c>
      <c r="G495" s="251"/>
      <c r="H495" s="252">
        <v>1</v>
      </c>
      <c r="I495" s="252">
        <v>2</v>
      </c>
      <c r="J495" s="252">
        <v>3</v>
      </c>
      <c r="K495" s="252">
        <v>3</v>
      </c>
      <c r="L495" s="253">
        <v>3</v>
      </c>
      <c r="M495" s="254">
        <f t="shared" si="15"/>
        <v>1.123005955058592</v>
      </c>
      <c r="N495" s="255"/>
    </row>
    <row r="496" spans="1:14" hidden="1" x14ac:dyDescent="0.2">
      <c r="A496" s="246" t="s">
        <v>287</v>
      </c>
      <c r="B496" s="448" t="s">
        <v>466</v>
      </c>
      <c r="C496" s="422" t="s">
        <v>26</v>
      </c>
      <c r="D496" s="252" t="s">
        <v>135</v>
      </c>
      <c r="E496" s="423">
        <v>1.262887446885602E-3</v>
      </c>
      <c r="F496" s="250" t="s">
        <v>133</v>
      </c>
      <c r="G496" s="251"/>
      <c r="H496" s="252">
        <v>1</v>
      </c>
      <c r="I496" s="252">
        <v>2</v>
      </c>
      <c r="J496" s="252">
        <v>3</v>
      </c>
      <c r="K496" s="252">
        <v>3</v>
      </c>
      <c r="L496" s="253">
        <v>3</v>
      </c>
      <c r="M496" s="254">
        <f t="shared" ref="M496:M526" si="16">IF( OR( ISBLANK(H496),ISBLANK(I496), ISBLANK(J496), ISBLANK(K496), ISBLANK(L496) ), "", 1.5*SQRT( EXP(2.21*(H496-1)) + EXP(2.21*(I496-1)) + EXP(2.21*(J496-1)) + EXP(2.21*(K496-1)) + EXP(2.21*L496) )/100*2.45 )</f>
        <v>1.123005955058592</v>
      </c>
      <c r="N496" s="255"/>
    </row>
    <row r="497" spans="1:14" hidden="1" x14ac:dyDescent="0.2">
      <c r="A497" s="246" t="s">
        <v>287</v>
      </c>
      <c r="B497" s="448" t="s">
        <v>466</v>
      </c>
      <c r="C497" s="422" t="s">
        <v>26</v>
      </c>
      <c r="D497" s="252" t="s">
        <v>135</v>
      </c>
      <c r="E497" s="423">
        <v>1.6080766823676668E-2</v>
      </c>
      <c r="F497" s="250" t="s">
        <v>133</v>
      </c>
      <c r="G497" s="251"/>
      <c r="H497" s="252">
        <v>1</v>
      </c>
      <c r="I497" s="252">
        <v>2</v>
      </c>
      <c r="J497" s="252">
        <v>3</v>
      </c>
      <c r="K497" s="252">
        <v>3</v>
      </c>
      <c r="L497" s="253">
        <v>3</v>
      </c>
      <c r="M497" s="254">
        <f t="shared" si="16"/>
        <v>1.123005955058592</v>
      </c>
      <c r="N497" s="255"/>
    </row>
    <row r="498" spans="1:14" hidden="1" x14ac:dyDescent="0.2">
      <c r="A498" s="246" t="s">
        <v>287</v>
      </c>
      <c r="B498" s="448" t="s">
        <v>466</v>
      </c>
      <c r="C498" s="422" t="s">
        <v>27</v>
      </c>
      <c r="D498" s="252" t="s">
        <v>135</v>
      </c>
      <c r="E498" s="423">
        <v>1.1675121051418029E-3</v>
      </c>
      <c r="F498" s="250" t="s">
        <v>133</v>
      </c>
      <c r="G498" s="251"/>
      <c r="H498" s="252">
        <v>1</v>
      </c>
      <c r="I498" s="252">
        <v>2</v>
      </c>
      <c r="J498" s="252">
        <v>3</v>
      </c>
      <c r="K498" s="252">
        <v>3</v>
      </c>
      <c r="L498" s="253">
        <v>3</v>
      </c>
      <c r="M498" s="254">
        <f t="shared" si="16"/>
        <v>1.123005955058592</v>
      </c>
      <c r="N498" s="255"/>
    </row>
    <row r="499" spans="1:14" hidden="1" x14ac:dyDescent="0.2">
      <c r="A499" s="246" t="s">
        <v>287</v>
      </c>
      <c r="B499" s="448" t="s">
        <v>466</v>
      </c>
      <c r="C499" s="422" t="s">
        <v>27</v>
      </c>
      <c r="D499" s="252" t="s">
        <v>135</v>
      </c>
      <c r="E499" s="423">
        <v>1.4866320805472301E-2</v>
      </c>
      <c r="F499" s="250" t="s">
        <v>133</v>
      </c>
      <c r="G499" s="251"/>
      <c r="H499" s="252">
        <v>1</v>
      </c>
      <c r="I499" s="252">
        <v>2</v>
      </c>
      <c r="J499" s="252">
        <v>3</v>
      </c>
      <c r="K499" s="252">
        <v>3</v>
      </c>
      <c r="L499" s="253">
        <v>3</v>
      </c>
      <c r="M499" s="254">
        <f t="shared" si="16"/>
        <v>1.123005955058592</v>
      </c>
      <c r="N499" s="255"/>
    </row>
    <row r="500" spans="1:14" hidden="1" x14ac:dyDescent="0.2">
      <c r="A500" s="246" t="s">
        <v>287</v>
      </c>
      <c r="B500" s="448" t="s">
        <v>466</v>
      </c>
      <c r="C500" s="422" t="s">
        <v>28</v>
      </c>
      <c r="D500" s="252" t="s">
        <v>135</v>
      </c>
      <c r="E500" s="423">
        <v>2.4974472149939058E-3</v>
      </c>
      <c r="F500" s="250" t="s">
        <v>133</v>
      </c>
      <c r="G500" s="251"/>
      <c r="H500" s="252">
        <v>1</v>
      </c>
      <c r="I500" s="252">
        <v>2</v>
      </c>
      <c r="J500" s="252">
        <v>3</v>
      </c>
      <c r="K500" s="252">
        <v>3</v>
      </c>
      <c r="L500" s="253">
        <v>3</v>
      </c>
      <c r="M500" s="254">
        <f t="shared" si="16"/>
        <v>1.123005955058592</v>
      </c>
      <c r="N500" s="255"/>
    </row>
    <row r="501" spans="1:14" hidden="1" x14ac:dyDescent="0.2">
      <c r="A501" s="246" t="s">
        <v>287</v>
      </c>
      <c r="B501" s="448" t="s">
        <v>466</v>
      </c>
      <c r="C501" s="422" t="s">
        <v>28</v>
      </c>
      <c r="D501" s="252" t="s">
        <v>135</v>
      </c>
      <c r="E501" s="423">
        <v>3.1800827870922407E-2</v>
      </c>
      <c r="F501" s="250" t="s">
        <v>133</v>
      </c>
      <c r="G501" s="251"/>
      <c r="H501" s="252">
        <v>1</v>
      </c>
      <c r="I501" s="252">
        <v>2</v>
      </c>
      <c r="J501" s="252">
        <v>3</v>
      </c>
      <c r="K501" s="252">
        <v>3</v>
      </c>
      <c r="L501" s="253">
        <v>3</v>
      </c>
      <c r="M501" s="254">
        <f t="shared" si="16"/>
        <v>1.123005955058592</v>
      </c>
      <c r="N501" s="255"/>
    </row>
    <row r="502" spans="1:14" hidden="1" x14ac:dyDescent="0.2">
      <c r="A502" s="246" t="s">
        <v>287</v>
      </c>
      <c r="B502" s="448" t="s">
        <v>466</v>
      </c>
      <c r="C502" s="422" t="s">
        <v>30</v>
      </c>
      <c r="D502" s="252" t="s">
        <v>135</v>
      </c>
      <c r="E502" s="423">
        <v>1.5E-3</v>
      </c>
      <c r="F502" s="250" t="s">
        <v>133</v>
      </c>
      <c r="G502" s="251"/>
      <c r="H502" s="252">
        <v>1</v>
      </c>
      <c r="I502" s="252">
        <v>2</v>
      </c>
      <c r="J502" s="252">
        <v>3</v>
      </c>
      <c r="K502" s="252">
        <v>3</v>
      </c>
      <c r="L502" s="253">
        <v>3</v>
      </c>
      <c r="M502" s="254">
        <f t="shared" si="16"/>
        <v>1.123005955058592</v>
      </c>
      <c r="N502" s="255"/>
    </row>
    <row r="503" spans="1:14" hidden="1" x14ac:dyDescent="0.2">
      <c r="A503" s="246" t="s">
        <v>287</v>
      </c>
      <c r="B503" s="448" t="s">
        <v>466</v>
      </c>
      <c r="C503" s="422" t="s">
        <v>30</v>
      </c>
      <c r="D503" s="252" t="s">
        <v>135</v>
      </c>
      <c r="E503" s="423">
        <v>1.9099999999999999E-2</v>
      </c>
      <c r="F503" s="250" t="s">
        <v>133</v>
      </c>
      <c r="G503" s="251"/>
      <c r="H503" s="252">
        <v>1</v>
      </c>
      <c r="I503" s="252">
        <v>2</v>
      </c>
      <c r="J503" s="252">
        <v>3</v>
      </c>
      <c r="K503" s="252">
        <v>3</v>
      </c>
      <c r="L503" s="253">
        <v>3</v>
      </c>
      <c r="M503" s="254">
        <f t="shared" si="16"/>
        <v>1.123005955058592</v>
      </c>
      <c r="N503" s="255"/>
    </row>
    <row r="504" spans="1:14" hidden="1" x14ac:dyDescent="0.2">
      <c r="A504" s="246" t="s">
        <v>287</v>
      </c>
      <c r="B504" s="448" t="s">
        <v>466</v>
      </c>
      <c r="C504" s="422" t="s">
        <v>32</v>
      </c>
      <c r="D504" s="252" t="s">
        <v>135</v>
      </c>
      <c r="E504" s="423">
        <v>4.7344938897855666E-3</v>
      </c>
      <c r="F504" s="250" t="s">
        <v>133</v>
      </c>
      <c r="G504" s="251"/>
      <c r="H504" s="252">
        <v>1</v>
      </c>
      <c r="I504" s="252">
        <v>2</v>
      </c>
      <c r="J504" s="252">
        <v>3</v>
      </c>
      <c r="K504" s="252">
        <v>3</v>
      </c>
      <c r="L504" s="253">
        <v>3</v>
      </c>
      <c r="M504" s="254">
        <f t="shared" si="16"/>
        <v>1.123005955058592</v>
      </c>
      <c r="N504" s="255"/>
    </row>
    <row r="505" spans="1:14" hidden="1" x14ac:dyDescent="0.2">
      <c r="A505" s="246" t="s">
        <v>287</v>
      </c>
      <c r="B505" s="448" t="s">
        <v>466</v>
      </c>
      <c r="C505" s="422" t="s">
        <v>32</v>
      </c>
      <c r="D505" s="252" t="s">
        <v>135</v>
      </c>
      <c r="E505" s="423">
        <v>6.0285888863269549E-2</v>
      </c>
      <c r="F505" s="250" t="s">
        <v>133</v>
      </c>
      <c r="G505" s="251"/>
      <c r="H505" s="252">
        <v>1</v>
      </c>
      <c r="I505" s="252">
        <v>2</v>
      </c>
      <c r="J505" s="252">
        <v>3</v>
      </c>
      <c r="K505" s="252">
        <v>3</v>
      </c>
      <c r="L505" s="253">
        <v>3</v>
      </c>
      <c r="M505" s="254">
        <f t="shared" si="16"/>
        <v>1.123005955058592</v>
      </c>
      <c r="N505" s="255"/>
    </row>
    <row r="506" spans="1:14" hidden="1" x14ac:dyDescent="0.2">
      <c r="A506" s="246" t="s">
        <v>287</v>
      </c>
      <c r="B506" s="448" t="s">
        <v>466</v>
      </c>
      <c r="C506" s="422" t="s">
        <v>34</v>
      </c>
      <c r="D506" s="252" t="s">
        <v>135</v>
      </c>
      <c r="E506" s="423">
        <v>2.3875951118284529E-3</v>
      </c>
      <c r="F506" s="250" t="s">
        <v>133</v>
      </c>
      <c r="G506" s="251"/>
      <c r="H506" s="252">
        <v>1</v>
      </c>
      <c r="I506" s="252">
        <v>2</v>
      </c>
      <c r="J506" s="252">
        <v>3</v>
      </c>
      <c r="K506" s="252">
        <v>3</v>
      </c>
      <c r="L506" s="253">
        <v>3</v>
      </c>
      <c r="M506" s="254">
        <f t="shared" si="16"/>
        <v>1.123005955058592</v>
      </c>
      <c r="N506" s="255"/>
    </row>
    <row r="507" spans="1:14" hidden="1" x14ac:dyDescent="0.2">
      <c r="A507" s="246" t="s">
        <v>287</v>
      </c>
      <c r="B507" s="448" t="s">
        <v>466</v>
      </c>
      <c r="C507" s="422" t="s">
        <v>34</v>
      </c>
      <c r="D507" s="252" t="s">
        <v>135</v>
      </c>
      <c r="E507" s="423">
        <v>3.0402044423948969E-2</v>
      </c>
      <c r="F507" s="250" t="s">
        <v>133</v>
      </c>
      <c r="G507" s="251"/>
      <c r="H507" s="252">
        <v>1</v>
      </c>
      <c r="I507" s="252">
        <v>2</v>
      </c>
      <c r="J507" s="252">
        <v>3</v>
      </c>
      <c r="K507" s="252">
        <v>3</v>
      </c>
      <c r="L507" s="253">
        <v>3</v>
      </c>
      <c r="M507" s="254">
        <f t="shared" si="16"/>
        <v>1.123005955058592</v>
      </c>
      <c r="N507" s="255"/>
    </row>
    <row r="508" spans="1:14" hidden="1" x14ac:dyDescent="0.2">
      <c r="A508" s="246" t="s">
        <v>287</v>
      </c>
      <c r="B508" s="448" t="s">
        <v>466</v>
      </c>
      <c r="C508" s="422" t="s">
        <v>36</v>
      </c>
      <c r="D508" s="252" t="s">
        <v>135</v>
      </c>
      <c r="E508" s="423">
        <v>1.4018248295398399E-3</v>
      </c>
      <c r="F508" s="250" t="s">
        <v>133</v>
      </c>
      <c r="G508" s="251"/>
      <c r="H508" s="252">
        <v>1</v>
      </c>
      <c r="I508" s="252">
        <v>2</v>
      </c>
      <c r="J508" s="252">
        <v>3</v>
      </c>
      <c r="K508" s="252">
        <v>3</v>
      </c>
      <c r="L508" s="253">
        <v>3</v>
      </c>
      <c r="M508" s="254">
        <f t="shared" si="16"/>
        <v>1.123005955058592</v>
      </c>
      <c r="N508" s="255"/>
    </row>
    <row r="509" spans="1:14" hidden="1" x14ac:dyDescent="0.2">
      <c r="A509" s="246" t="s">
        <v>287</v>
      </c>
      <c r="B509" s="448" t="s">
        <v>466</v>
      </c>
      <c r="C509" s="422" t="s">
        <v>36</v>
      </c>
      <c r="D509" s="252" t="s">
        <v>135</v>
      </c>
      <c r="E509" s="423">
        <v>1.784990282947397E-2</v>
      </c>
      <c r="F509" s="250" t="s">
        <v>133</v>
      </c>
      <c r="G509" s="251"/>
      <c r="H509" s="252">
        <v>1</v>
      </c>
      <c r="I509" s="252">
        <v>2</v>
      </c>
      <c r="J509" s="252">
        <v>3</v>
      </c>
      <c r="K509" s="252">
        <v>3</v>
      </c>
      <c r="L509" s="253">
        <v>3</v>
      </c>
      <c r="M509" s="254">
        <f t="shared" si="16"/>
        <v>1.123005955058592</v>
      </c>
      <c r="N509" s="255"/>
    </row>
    <row r="510" spans="1:14" hidden="1" x14ac:dyDescent="0.2">
      <c r="A510" s="246" t="s">
        <v>287</v>
      </c>
      <c r="B510" s="448" t="s">
        <v>466</v>
      </c>
      <c r="C510" s="422" t="s">
        <v>37</v>
      </c>
      <c r="D510" s="252" t="s">
        <v>135</v>
      </c>
      <c r="E510" s="423">
        <v>3.4927369149181462E-3</v>
      </c>
      <c r="F510" s="250" t="s">
        <v>133</v>
      </c>
      <c r="G510" s="251"/>
      <c r="H510" s="252">
        <v>1</v>
      </c>
      <c r="I510" s="252">
        <v>2</v>
      </c>
      <c r="J510" s="252">
        <v>3</v>
      </c>
      <c r="K510" s="252">
        <v>3</v>
      </c>
      <c r="L510" s="253">
        <v>3</v>
      </c>
      <c r="M510" s="254">
        <f t="shared" si="16"/>
        <v>1.123005955058592</v>
      </c>
      <c r="N510" s="255"/>
    </row>
    <row r="511" spans="1:14" hidden="1" x14ac:dyDescent="0.2">
      <c r="A511" s="246" t="s">
        <v>287</v>
      </c>
      <c r="B511" s="448" t="s">
        <v>466</v>
      </c>
      <c r="C511" s="422" t="s">
        <v>37</v>
      </c>
      <c r="D511" s="252" t="s">
        <v>135</v>
      </c>
      <c r="E511" s="423">
        <v>4.4474183383291059E-2</v>
      </c>
      <c r="F511" s="250" t="s">
        <v>133</v>
      </c>
      <c r="G511" s="251"/>
      <c r="H511" s="252">
        <v>1</v>
      </c>
      <c r="I511" s="252">
        <v>2</v>
      </c>
      <c r="J511" s="252">
        <v>3</v>
      </c>
      <c r="K511" s="252">
        <v>3</v>
      </c>
      <c r="L511" s="253">
        <v>3</v>
      </c>
      <c r="M511" s="254">
        <f t="shared" si="16"/>
        <v>1.123005955058592</v>
      </c>
      <c r="N511" s="255"/>
    </row>
    <row r="512" spans="1:14" hidden="1" x14ac:dyDescent="0.2">
      <c r="A512" s="246" t="s">
        <v>287</v>
      </c>
      <c r="B512" s="448" t="s">
        <v>466</v>
      </c>
      <c r="C512" s="422" t="s">
        <v>39</v>
      </c>
      <c r="D512" s="252" t="s">
        <v>135</v>
      </c>
      <c r="E512" s="423">
        <v>1.5892321881484899E-3</v>
      </c>
      <c r="F512" s="250" t="s">
        <v>133</v>
      </c>
      <c r="G512" s="251"/>
      <c r="H512" s="252">
        <v>1</v>
      </c>
      <c r="I512" s="252">
        <v>2</v>
      </c>
      <c r="J512" s="252">
        <v>3</v>
      </c>
      <c r="K512" s="252">
        <v>3</v>
      </c>
      <c r="L512" s="253">
        <v>3</v>
      </c>
      <c r="M512" s="254">
        <f t="shared" si="16"/>
        <v>1.123005955058592</v>
      </c>
      <c r="N512" s="255"/>
    </row>
    <row r="513" spans="1:14" hidden="1" x14ac:dyDescent="0.2">
      <c r="A513" s="246" t="s">
        <v>287</v>
      </c>
      <c r="B513" s="448" t="s">
        <v>466</v>
      </c>
      <c r="C513" s="422" t="s">
        <v>39</v>
      </c>
      <c r="D513" s="252" t="s">
        <v>135</v>
      </c>
      <c r="E513" s="423">
        <v>2.0236223195757439E-2</v>
      </c>
      <c r="F513" s="250" t="s">
        <v>133</v>
      </c>
      <c r="G513" s="251"/>
      <c r="H513" s="252">
        <v>1</v>
      </c>
      <c r="I513" s="252">
        <v>2</v>
      </c>
      <c r="J513" s="252">
        <v>3</v>
      </c>
      <c r="K513" s="252">
        <v>3</v>
      </c>
      <c r="L513" s="253">
        <v>3</v>
      </c>
      <c r="M513" s="254">
        <f t="shared" si="16"/>
        <v>1.123005955058592</v>
      </c>
      <c r="N513" s="255"/>
    </row>
    <row r="514" spans="1:14" hidden="1" x14ac:dyDescent="0.2">
      <c r="A514" s="246" t="s">
        <v>287</v>
      </c>
      <c r="B514" s="448" t="s">
        <v>466</v>
      </c>
      <c r="C514" s="422" t="s">
        <v>40</v>
      </c>
      <c r="D514" s="252" t="s">
        <v>135</v>
      </c>
      <c r="E514" s="423">
        <v>1.6319378108633361E-3</v>
      </c>
      <c r="F514" s="250" t="s">
        <v>133</v>
      </c>
      <c r="G514" s="251"/>
      <c r="H514" s="252">
        <v>1</v>
      </c>
      <c r="I514" s="252">
        <v>2</v>
      </c>
      <c r="J514" s="252">
        <v>3</v>
      </c>
      <c r="K514" s="252">
        <v>3</v>
      </c>
      <c r="L514" s="253">
        <v>3</v>
      </c>
      <c r="M514" s="254">
        <f t="shared" si="16"/>
        <v>1.123005955058592</v>
      </c>
      <c r="N514" s="255"/>
    </row>
    <row r="515" spans="1:14" hidden="1" x14ac:dyDescent="0.2">
      <c r="A515" s="246" t="s">
        <v>287</v>
      </c>
      <c r="B515" s="448" t="s">
        <v>466</v>
      </c>
      <c r="C515" s="422" t="s">
        <v>40</v>
      </c>
      <c r="D515" s="252" t="s">
        <v>135</v>
      </c>
      <c r="E515" s="423">
        <v>2.078000812499315E-2</v>
      </c>
      <c r="F515" s="250" t="s">
        <v>133</v>
      </c>
      <c r="G515" s="251"/>
      <c r="H515" s="252">
        <v>1</v>
      </c>
      <c r="I515" s="252">
        <v>2</v>
      </c>
      <c r="J515" s="252">
        <v>3</v>
      </c>
      <c r="K515" s="252">
        <v>3</v>
      </c>
      <c r="L515" s="253">
        <v>3</v>
      </c>
      <c r="M515" s="254">
        <f t="shared" si="16"/>
        <v>1.123005955058592</v>
      </c>
      <c r="N515" s="255"/>
    </row>
    <row r="516" spans="1:14" hidden="1" x14ac:dyDescent="0.2">
      <c r="A516" s="246" t="s">
        <v>287</v>
      </c>
      <c r="B516" s="448" t="s">
        <v>466</v>
      </c>
      <c r="C516" s="422" t="s">
        <v>41</v>
      </c>
      <c r="D516" s="252" t="s">
        <v>135</v>
      </c>
      <c r="E516" s="423">
        <v>2.0270101123225411E-3</v>
      </c>
      <c r="F516" s="250" t="s">
        <v>133</v>
      </c>
      <c r="G516" s="251"/>
      <c r="H516" s="252">
        <v>1</v>
      </c>
      <c r="I516" s="252">
        <v>2</v>
      </c>
      <c r="J516" s="252">
        <v>3</v>
      </c>
      <c r="K516" s="252">
        <v>3</v>
      </c>
      <c r="L516" s="253">
        <v>3</v>
      </c>
      <c r="M516" s="254">
        <f t="shared" si="16"/>
        <v>1.123005955058592</v>
      </c>
      <c r="N516" s="255"/>
    </row>
    <row r="517" spans="1:14" hidden="1" x14ac:dyDescent="0.2">
      <c r="A517" s="246" t="s">
        <v>287</v>
      </c>
      <c r="B517" s="448" t="s">
        <v>466</v>
      </c>
      <c r="C517" s="422" t="s">
        <v>41</v>
      </c>
      <c r="D517" s="252" t="s">
        <v>135</v>
      </c>
      <c r="E517" s="423">
        <v>2.5810595430240349E-2</v>
      </c>
      <c r="F517" s="250" t="s">
        <v>133</v>
      </c>
      <c r="G517" s="251"/>
      <c r="H517" s="252">
        <v>1</v>
      </c>
      <c r="I517" s="252">
        <v>2</v>
      </c>
      <c r="J517" s="252">
        <v>3</v>
      </c>
      <c r="K517" s="252">
        <v>3</v>
      </c>
      <c r="L517" s="253">
        <v>3</v>
      </c>
      <c r="M517" s="254">
        <f t="shared" si="16"/>
        <v>1.123005955058592</v>
      </c>
      <c r="N517" s="255"/>
    </row>
    <row r="518" spans="1:14" hidden="1" x14ac:dyDescent="0.2">
      <c r="A518" s="246" t="s">
        <v>287</v>
      </c>
      <c r="B518" s="448" t="s">
        <v>466</v>
      </c>
      <c r="C518" s="422" t="s">
        <v>42</v>
      </c>
      <c r="D518" s="252" t="s">
        <v>135</v>
      </c>
      <c r="E518" s="423">
        <v>1.01162752396324E-3</v>
      </c>
      <c r="F518" s="250" t="s">
        <v>133</v>
      </c>
      <c r="G518" s="251"/>
      <c r="H518" s="252">
        <v>1</v>
      </c>
      <c r="I518" s="252">
        <v>2</v>
      </c>
      <c r="J518" s="252">
        <v>3</v>
      </c>
      <c r="K518" s="252">
        <v>3</v>
      </c>
      <c r="L518" s="253">
        <v>3</v>
      </c>
      <c r="M518" s="254">
        <f t="shared" si="16"/>
        <v>1.123005955058592</v>
      </c>
      <c r="N518" s="255"/>
    </row>
    <row r="519" spans="1:14" hidden="1" x14ac:dyDescent="0.2">
      <c r="A519" s="246" t="s">
        <v>287</v>
      </c>
      <c r="B519" s="448" t="s">
        <v>466</v>
      </c>
      <c r="C519" s="422" t="s">
        <v>42</v>
      </c>
      <c r="D519" s="252" t="s">
        <v>135</v>
      </c>
      <c r="E519" s="423">
        <v>1.2881390471798589E-2</v>
      </c>
      <c r="F519" s="250" t="s">
        <v>133</v>
      </c>
      <c r="G519" s="251"/>
      <c r="H519" s="252">
        <v>1</v>
      </c>
      <c r="I519" s="252">
        <v>2</v>
      </c>
      <c r="J519" s="252">
        <v>3</v>
      </c>
      <c r="K519" s="252">
        <v>3</v>
      </c>
      <c r="L519" s="253">
        <v>3</v>
      </c>
      <c r="M519" s="254">
        <f t="shared" si="16"/>
        <v>1.123005955058592</v>
      </c>
      <c r="N519" s="255"/>
    </row>
    <row r="520" spans="1:14" hidden="1" x14ac:dyDescent="0.2">
      <c r="A520" s="246" t="s">
        <v>287</v>
      </c>
      <c r="B520" s="448" t="s">
        <v>466</v>
      </c>
      <c r="C520" s="422" t="s">
        <v>43</v>
      </c>
      <c r="D520" s="252" t="s">
        <v>135</v>
      </c>
      <c r="E520" s="423">
        <v>1.8618860963799859E-3</v>
      </c>
      <c r="F520" s="250" t="s">
        <v>133</v>
      </c>
      <c r="G520" s="251"/>
      <c r="H520" s="252">
        <v>1</v>
      </c>
      <c r="I520" s="252">
        <v>2</v>
      </c>
      <c r="J520" s="252">
        <v>3</v>
      </c>
      <c r="K520" s="252">
        <v>3</v>
      </c>
      <c r="L520" s="253">
        <v>3</v>
      </c>
      <c r="M520" s="254">
        <f t="shared" si="16"/>
        <v>1.123005955058592</v>
      </c>
      <c r="N520" s="255"/>
    </row>
    <row r="521" spans="1:14" hidden="1" x14ac:dyDescent="0.2">
      <c r="A521" s="246" t="s">
        <v>287</v>
      </c>
      <c r="B521" s="448" t="s">
        <v>466</v>
      </c>
      <c r="C521" s="422" t="s">
        <v>43</v>
      </c>
      <c r="D521" s="252" t="s">
        <v>135</v>
      </c>
      <c r="E521" s="423">
        <v>2.3708016293905159E-2</v>
      </c>
      <c r="F521" s="250" t="s">
        <v>133</v>
      </c>
      <c r="G521" s="251"/>
      <c r="H521" s="252">
        <v>1</v>
      </c>
      <c r="I521" s="252">
        <v>2</v>
      </c>
      <c r="J521" s="252">
        <v>3</v>
      </c>
      <c r="K521" s="252">
        <v>3</v>
      </c>
      <c r="L521" s="253">
        <v>3</v>
      </c>
      <c r="M521" s="254">
        <f t="shared" si="16"/>
        <v>1.123005955058592</v>
      </c>
      <c r="N521" s="255"/>
    </row>
    <row r="522" spans="1:14" x14ac:dyDescent="0.2">
      <c r="A522" s="246" t="s">
        <v>287</v>
      </c>
      <c r="B522" s="448" t="s">
        <v>466</v>
      </c>
      <c r="C522" s="422" t="s">
        <v>45</v>
      </c>
      <c r="D522" s="252" t="s">
        <v>135</v>
      </c>
      <c r="E522" s="423">
        <v>1.066339470997069E-3</v>
      </c>
      <c r="F522" s="250" t="s">
        <v>133</v>
      </c>
      <c r="G522" s="251"/>
      <c r="H522" s="252">
        <v>1</v>
      </c>
      <c r="I522" s="252">
        <v>2</v>
      </c>
      <c r="J522" s="252">
        <v>3</v>
      </c>
      <c r="K522" s="252">
        <v>3</v>
      </c>
      <c r="L522" s="253">
        <v>3</v>
      </c>
      <c r="M522" s="254">
        <f t="shared" si="16"/>
        <v>1.123005955058592</v>
      </c>
      <c r="N522" s="255"/>
    </row>
    <row r="523" spans="1:14" x14ac:dyDescent="0.2">
      <c r="A523" s="246" t="s">
        <v>287</v>
      </c>
      <c r="B523" s="448" t="s">
        <v>466</v>
      </c>
      <c r="C523" s="422" t="s">
        <v>45</v>
      </c>
      <c r="D523" s="252" t="s">
        <v>135</v>
      </c>
      <c r="E523" s="423">
        <v>1.357805593069601E-2</v>
      </c>
      <c r="F523" s="250" t="s">
        <v>133</v>
      </c>
      <c r="G523" s="251"/>
      <c r="H523" s="252">
        <v>1</v>
      </c>
      <c r="I523" s="252">
        <v>2</v>
      </c>
      <c r="J523" s="252">
        <v>3</v>
      </c>
      <c r="K523" s="252">
        <v>3</v>
      </c>
      <c r="L523" s="253">
        <v>3</v>
      </c>
      <c r="M523" s="254">
        <f t="shared" si="16"/>
        <v>1.123005955058592</v>
      </c>
      <c r="N523" s="255"/>
    </row>
    <row r="524" spans="1:14" hidden="1" x14ac:dyDescent="0.2">
      <c r="A524" s="246" t="s">
        <v>287</v>
      </c>
      <c r="B524" s="448" t="s">
        <v>466</v>
      </c>
      <c r="C524" s="422" t="s">
        <v>46</v>
      </c>
      <c r="D524" s="252" t="s">
        <v>135</v>
      </c>
      <c r="E524" s="423">
        <v>3.3239731216443218E-3</v>
      </c>
      <c r="F524" s="250" t="s">
        <v>133</v>
      </c>
      <c r="G524" s="251"/>
      <c r="H524" s="252">
        <v>1</v>
      </c>
      <c r="I524" s="252">
        <v>2</v>
      </c>
      <c r="J524" s="252">
        <v>3</v>
      </c>
      <c r="K524" s="252">
        <v>3</v>
      </c>
      <c r="L524" s="253">
        <v>3</v>
      </c>
      <c r="M524" s="254">
        <f t="shared" si="16"/>
        <v>1.123005955058592</v>
      </c>
      <c r="N524" s="255"/>
    </row>
    <row r="525" spans="1:14" hidden="1" x14ac:dyDescent="0.2">
      <c r="A525" s="246" t="s">
        <v>287</v>
      </c>
      <c r="B525" s="448" t="s">
        <v>466</v>
      </c>
      <c r="C525" s="422" t="s">
        <v>46</v>
      </c>
      <c r="D525" s="252" t="s">
        <v>135</v>
      </c>
      <c r="E525" s="423">
        <v>4.2325257748937702E-2</v>
      </c>
      <c r="F525" s="250" t="s">
        <v>133</v>
      </c>
      <c r="G525" s="251"/>
      <c r="H525" s="252">
        <v>1</v>
      </c>
      <c r="I525" s="252">
        <v>2</v>
      </c>
      <c r="J525" s="252">
        <v>3</v>
      </c>
      <c r="K525" s="252">
        <v>3</v>
      </c>
      <c r="L525" s="253">
        <v>3</v>
      </c>
      <c r="M525" s="254">
        <f t="shared" si="16"/>
        <v>1.123005955058592</v>
      </c>
      <c r="N525" s="255"/>
    </row>
    <row r="526" spans="1:14" hidden="1" x14ac:dyDescent="0.2">
      <c r="A526" s="246" t="s">
        <v>287</v>
      </c>
      <c r="B526" s="448" t="s">
        <v>466</v>
      </c>
      <c r="C526" s="422" t="s">
        <v>48</v>
      </c>
      <c r="D526" s="252" t="s">
        <v>135</v>
      </c>
      <c r="E526" s="423">
        <v>2.852597252873942E-3</v>
      </c>
      <c r="F526" s="250" t="s">
        <v>133</v>
      </c>
      <c r="G526" s="251"/>
      <c r="H526" s="252">
        <v>1</v>
      </c>
      <c r="I526" s="252">
        <v>2</v>
      </c>
      <c r="J526" s="252">
        <v>3</v>
      </c>
      <c r="K526" s="252">
        <v>3</v>
      </c>
      <c r="L526" s="253">
        <v>3</v>
      </c>
      <c r="M526" s="254">
        <f t="shared" si="16"/>
        <v>1.123005955058592</v>
      </c>
      <c r="N526" s="255"/>
    </row>
    <row r="527" spans="1:14" hidden="1" x14ac:dyDescent="0.2">
      <c r="A527" s="246" t="s">
        <v>287</v>
      </c>
      <c r="B527" s="448" t="s">
        <v>466</v>
      </c>
      <c r="C527" s="422" t="s">
        <v>48</v>
      </c>
      <c r="D527" s="252" t="s">
        <v>135</v>
      </c>
      <c r="E527" s="423">
        <v>3.6323071686594863E-2</v>
      </c>
      <c r="F527" s="250" t="s">
        <v>133</v>
      </c>
      <c r="G527" s="251"/>
      <c r="H527" s="252">
        <v>1</v>
      </c>
      <c r="I527" s="252">
        <v>2</v>
      </c>
      <c r="J527" s="252">
        <v>3</v>
      </c>
      <c r="K527" s="252">
        <v>3</v>
      </c>
      <c r="L527" s="253">
        <v>3</v>
      </c>
      <c r="M527" s="254">
        <f>IF( OR( ISBLANK(H527),ISBLANK(I527), ISBLANK(J527), ISBLANK(K527), ISBLANK(L527) ), "", 1.5*SQRT(   EXP(2.21*(H527-1)) + EXP(2.21*(I527-1)) + EXP(2.21*(J527-1)) + EXP(2.21*(K527-1)) + EXP(2.21*L527)   )/100*2.45 )</f>
        <v>1.123005955058592</v>
      </c>
      <c r="N527" s="255"/>
    </row>
    <row r="528" spans="1:14" hidden="1" x14ac:dyDescent="0.2">
      <c r="A528" s="246" t="s">
        <v>287</v>
      </c>
      <c r="B528" s="448" t="s">
        <v>466</v>
      </c>
      <c r="C528" s="422" t="s">
        <v>50</v>
      </c>
      <c r="D528" s="252" t="s">
        <v>135</v>
      </c>
      <c r="E528" s="423">
        <v>3.3290951612371948E-3</v>
      </c>
      <c r="F528" s="250" t="s">
        <v>133</v>
      </c>
      <c r="G528" s="251"/>
      <c r="H528" s="252">
        <v>1</v>
      </c>
      <c r="I528" s="252">
        <v>2</v>
      </c>
      <c r="J528" s="252">
        <v>3</v>
      </c>
      <c r="K528" s="252">
        <v>3</v>
      </c>
      <c r="L528" s="253">
        <v>3</v>
      </c>
      <c r="M528" s="254">
        <f t="shared" ref="M528:M559" si="17">IF( OR( ISBLANK(H528),ISBLANK(I528), ISBLANK(J528), ISBLANK(K528), ISBLANK(L528) ), "", 1.5*SQRT( EXP(2.21*(H528-1)) + EXP(2.21*(I528-1)) + EXP(2.21*(J528-1)) + EXP(2.21*(K528-1)) + EXP(2.21*L528) )/100*2.45 )</f>
        <v>1.123005955058592</v>
      </c>
      <c r="N528" s="255"/>
    </row>
    <row r="529" spans="1:14" hidden="1" x14ac:dyDescent="0.2">
      <c r="A529" s="246" t="s">
        <v>287</v>
      </c>
      <c r="B529" s="448" t="s">
        <v>466</v>
      </c>
      <c r="C529" s="422" t="s">
        <v>50</v>
      </c>
      <c r="D529" s="252" t="s">
        <v>135</v>
      </c>
      <c r="E529" s="423">
        <v>4.239047838642028E-2</v>
      </c>
      <c r="F529" s="250" t="s">
        <v>133</v>
      </c>
      <c r="G529" s="251"/>
      <c r="H529" s="252">
        <v>1</v>
      </c>
      <c r="I529" s="252">
        <v>2</v>
      </c>
      <c r="J529" s="252">
        <v>3</v>
      </c>
      <c r="K529" s="252">
        <v>3</v>
      </c>
      <c r="L529" s="253">
        <v>3</v>
      </c>
      <c r="M529" s="254">
        <f t="shared" si="17"/>
        <v>1.123005955058592</v>
      </c>
      <c r="N529" s="255"/>
    </row>
    <row r="530" spans="1:14" hidden="1" x14ac:dyDescent="0.2">
      <c r="A530" s="246" t="s">
        <v>287</v>
      </c>
      <c r="B530" s="448" t="s">
        <v>466</v>
      </c>
      <c r="C530" s="422" t="s">
        <v>52</v>
      </c>
      <c r="D530" s="252" t="s">
        <v>135</v>
      </c>
      <c r="E530" s="423">
        <v>3.7221252346915259E-3</v>
      </c>
      <c r="F530" s="250" t="s">
        <v>133</v>
      </c>
      <c r="G530" s="251"/>
      <c r="H530" s="252">
        <v>1</v>
      </c>
      <c r="I530" s="252">
        <v>2</v>
      </c>
      <c r="J530" s="252">
        <v>3</v>
      </c>
      <c r="K530" s="252">
        <v>3</v>
      </c>
      <c r="L530" s="253">
        <v>3</v>
      </c>
      <c r="M530" s="254">
        <f t="shared" si="17"/>
        <v>1.123005955058592</v>
      </c>
      <c r="N530" s="255"/>
    </row>
    <row r="531" spans="1:14" hidden="1" x14ac:dyDescent="0.2">
      <c r="A531" s="246" t="s">
        <v>287</v>
      </c>
      <c r="B531" s="448" t="s">
        <v>466</v>
      </c>
      <c r="C531" s="422" t="s">
        <v>52</v>
      </c>
      <c r="D531" s="252" t="s">
        <v>135</v>
      </c>
      <c r="E531" s="423">
        <v>4.7395061321738763E-2</v>
      </c>
      <c r="F531" s="250" t="s">
        <v>133</v>
      </c>
      <c r="G531" s="251"/>
      <c r="H531" s="252">
        <v>1</v>
      </c>
      <c r="I531" s="252">
        <v>2</v>
      </c>
      <c r="J531" s="252">
        <v>3</v>
      </c>
      <c r="K531" s="252">
        <v>3</v>
      </c>
      <c r="L531" s="253">
        <v>3</v>
      </c>
      <c r="M531" s="254">
        <f t="shared" si="17"/>
        <v>1.123005955058592</v>
      </c>
      <c r="N531" s="255"/>
    </row>
    <row r="532" spans="1:14" hidden="1" x14ac:dyDescent="0.2">
      <c r="A532" s="246" t="s">
        <v>287</v>
      </c>
      <c r="B532" s="448" t="s">
        <v>466</v>
      </c>
      <c r="C532" s="422" t="s">
        <v>54</v>
      </c>
      <c r="D532" s="252" t="s">
        <v>135</v>
      </c>
      <c r="E532" s="423">
        <v>1.5078395204058111E-3</v>
      </c>
      <c r="F532" s="250" t="s">
        <v>133</v>
      </c>
      <c r="G532" s="251"/>
      <c r="H532" s="252">
        <v>1</v>
      </c>
      <c r="I532" s="252">
        <v>2</v>
      </c>
      <c r="J532" s="252">
        <v>3</v>
      </c>
      <c r="K532" s="252">
        <v>3</v>
      </c>
      <c r="L532" s="253">
        <v>3</v>
      </c>
      <c r="M532" s="254">
        <f t="shared" si="17"/>
        <v>1.123005955058592</v>
      </c>
      <c r="N532" s="255"/>
    </row>
    <row r="533" spans="1:14" hidden="1" x14ac:dyDescent="0.2">
      <c r="A533" s="246" t="s">
        <v>287</v>
      </c>
      <c r="B533" s="448" t="s">
        <v>466</v>
      </c>
      <c r="C533" s="422" t="s">
        <v>54</v>
      </c>
      <c r="D533" s="252" t="s">
        <v>135</v>
      </c>
      <c r="E533" s="423">
        <v>1.919982322650066E-2</v>
      </c>
      <c r="F533" s="250" t="s">
        <v>133</v>
      </c>
      <c r="G533" s="251"/>
      <c r="H533" s="252">
        <v>1</v>
      </c>
      <c r="I533" s="252">
        <v>2</v>
      </c>
      <c r="J533" s="252">
        <v>3</v>
      </c>
      <c r="K533" s="252">
        <v>3</v>
      </c>
      <c r="L533" s="253">
        <v>3</v>
      </c>
      <c r="M533" s="254">
        <f t="shared" si="17"/>
        <v>1.123005955058592</v>
      </c>
      <c r="N533" s="255"/>
    </row>
    <row r="534" spans="1:14" hidden="1" x14ac:dyDescent="0.2">
      <c r="A534" s="246" t="s">
        <v>287</v>
      </c>
      <c r="B534" s="448" t="s">
        <v>466</v>
      </c>
      <c r="C534" s="422" t="s">
        <v>55</v>
      </c>
      <c r="D534" s="252" t="s">
        <v>135</v>
      </c>
      <c r="E534" s="423">
        <v>2.172930597186996E-3</v>
      </c>
      <c r="F534" s="250" t="s">
        <v>133</v>
      </c>
      <c r="G534" s="251"/>
      <c r="H534" s="252">
        <v>1</v>
      </c>
      <c r="I534" s="252">
        <v>2</v>
      </c>
      <c r="J534" s="252">
        <v>3</v>
      </c>
      <c r="K534" s="252">
        <v>3</v>
      </c>
      <c r="L534" s="253">
        <v>3</v>
      </c>
      <c r="M534" s="254">
        <f t="shared" si="17"/>
        <v>1.123005955058592</v>
      </c>
      <c r="N534" s="255"/>
    </row>
    <row r="535" spans="1:14" hidden="1" x14ac:dyDescent="0.2">
      <c r="A535" s="246" t="s">
        <v>287</v>
      </c>
      <c r="B535" s="448" t="s">
        <v>466</v>
      </c>
      <c r="C535" s="422" t="s">
        <v>55</v>
      </c>
      <c r="D535" s="252" t="s">
        <v>135</v>
      </c>
      <c r="E535" s="423">
        <v>2.766864960418108E-2</v>
      </c>
      <c r="F535" s="250" t="s">
        <v>133</v>
      </c>
      <c r="G535" s="251"/>
      <c r="H535" s="252">
        <v>1</v>
      </c>
      <c r="I535" s="252">
        <v>2</v>
      </c>
      <c r="J535" s="252">
        <v>3</v>
      </c>
      <c r="K535" s="252">
        <v>3</v>
      </c>
      <c r="L535" s="253">
        <v>3</v>
      </c>
      <c r="M535" s="254">
        <f t="shared" si="17"/>
        <v>1.123005955058592</v>
      </c>
      <c r="N535" s="255"/>
    </row>
    <row r="536" spans="1:14" hidden="1" x14ac:dyDescent="0.2">
      <c r="A536" s="246" t="s">
        <v>287</v>
      </c>
      <c r="B536" s="448" t="s">
        <v>466</v>
      </c>
      <c r="C536" s="422" t="s">
        <v>57</v>
      </c>
      <c r="D536" s="252" t="s">
        <v>135</v>
      </c>
      <c r="E536" s="423">
        <v>1.066339470997069E-3</v>
      </c>
      <c r="F536" s="250" t="s">
        <v>133</v>
      </c>
      <c r="G536" s="251"/>
      <c r="H536" s="252">
        <v>1</v>
      </c>
      <c r="I536" s="252">
        <v>2</v>
      </c>
      <c r="J536" s="252">
        <v>3</v>
      </c>
      <c r="K536" s="252">
        <v>3</v>
      </c>
      <c r="L536" s="253">
        <v>3</v>
      </c>
      <c r="M536" s="254">
        <f t="shared" si="17"/>
        <v>1.123005955058592</v>
      </c>
      <c r="N536" s="255"/>
    </row>
    <row r="537" spans="1:14" hidden="1" x14ac:dyDescent="0.2">
      <c r="A537" s="246" t="s">
        <v>287</v>
      </c>
      <c r="B537" s="448" t="s">
        <v>466</v>
      </c>
      <c r="C537" s="422" t="s">
        <v>57</v>
      </c>
      <c r="D537" s="252" t="s">
        <v>135</v>
      </c>
      <c r="E537" s="423">
        <v>1.357805593069601E-2</v>
      </c>
      <c r="F537" s="250" t="s">
        <v>133</v>
      </c>
      <c r="G537" s="251"/>
      <c r="H537" s="252">
        <v>1</v>
      </c>
      <c r="I537" s="252">
        <v>2</v>
      </c>
      <c r="J537" s="252">
        <v>3</v>
      </c>
      <c r="K537" s="252">
        <v>3</v>
      </c>
      <c r="L537" s="253">
        <v>3</v>
      </c>
      <c r="M537" s="254">
        <f t="shared" si="17"/>
        <v>1.123005955058592</v>
      </c>
      <c r="N537" s="255"/>
    </row>
    <row r="538" spans="1:14" hidden="1" x14ac:dyDescent="0.2">
      <c r="A538" s="246" t="s">
        <v>287</v>
      </c>
      <c r="B538" s="448" t="s">
        <v>466</v>
      </c>
      <c r="C538" s="422" t="s">
        <v>59</v>
      </c>
      <c r="D538" s="252" t="s">
        <v>135</v>
      </c>
      <c r="E538" s="423">
        <v>1.5E-3</v>
      </c>
      <c r="F538" s="250" t="s">
        <v>133</v>
      </c>
      <c r="G538" s="251"/>
      <c r="H538" s="252">
        <v>1</v>
      </c>
      <c r="I538" s="252">
        <v>2</v>
      </c>
      <c r="J538" s="252">
        <v>3</v>
      </c>
      <c r="K538" s="252">
        <v>3</v>
      </c>
      <c r="L538" s="253">
        <v>3</v>
      </c>
      <c r="M538" s="254">
        <f t="shared" si="17"/>
        <v>1.123005955058592</v>
      </c>
      <c r="N538" s="255"/>
    </row>
    <row r="539" spans="1:14" hidden="1" x14ac:dyDescent="0.2">
      <c r="A539" s="246" t="s">
        <v>287</v>
      </c>
      <c r="B539" s="448" t="s">
        <v>466</v>
      </c>
      <c r="C539" s="422" t="s">
        <v>59</v>
      </c>
      <c r="D539" s="252" t="s">
        <v>135</v>
      </c>
      <c r="E539" s="423">
        <v>1.9099999999999999E-2</v>
      </c>
      <c r="F539" s="250" t="s">
        <v>133</v>
      </c>
      <c r="G539" s="251"/>
      <c r="H539" s="252">
        <v>1</v>
      </c>
      <c r="I539" s="252">
        <v>2</v>
      </c>
      <c r="J539" s="252">
        <v>3</v>
      </c>
      <c r="K539" s="252">
        <v>3</v>
      </c>
      <c r="L539" s="253">
        <v>3</v>
      </c>
      <c r="M539" s="254">
        <f t="shared" si="17"/>
        <v>1.123005955058592</v>
      </c>
      <c r="N539" s="255"/>
    </row>
    <row r="540" spans="1:14" hidden="1" x14ac:dyDescent="0.2">
      <c r="A540" s="246" t="s">
        <v>287</v>
      </c>
      <c r="B540" s="448" t="s">
        <v>466</v>
      </c>
      <c r="C540" s="422" t="s">
        <v>60</v>
      </c>
      <c r="D540" s="252" t="s">
        <v>135</v>
      </c>
      <c r="E540" s="423">
        <v>1.953028755887876E-3</v>
      </c>
      <c r="F540" s="250" t="s">
        <v>133</v>
      </c>
      <c r="G540" s="424" t="s">
        <v>16</v>
      </c>
      <c r="H540" s="252">
        <v>1</v>
      </c>
      <c r="I540" s="252">
        <v>2</v>
      </c>
      <c r="J540" s="252">
        <v>3</v>
      </c>
      <c r="K540" s="252">
        <v>3</v>
      </c>
      <c r="L540" s="253">
        <v>3</v>
      </c>
      <c r="M540" s="254">
        <f t="shared" si="17"/>
        <v>1.123005955058592</v>
      </c>
      <c r="N540" s="255"/>
    </row>
    <row r="541" spans="1:14" hidden="1" x14ac:dyDescent="0.2">
      <c r="A541" s="246" t="s">
        <v>287</v>
      </c>
      <c r="B541" s="448" t="s">
        <v>466</v>
      </c>
      <c r="C541" s="422" t="s">
        <v>60</v>
      </c>
      <c r="D541" s="252" t="s">
        <v>135</v>
      </c>
      <c r="E541" s="423">
        <v>2.486856615830562E-2</v>
      </c>
      <c r="F541" s="250" t="s">
        <v>133</v>
      </c>
      <c r="G541" s="424" t="s">
        <v>16</v>
      </c>
      <c r="H541" s="252">
        <v>1</v>
      </c>
      <c r="I541" s="252">
        <v>2</v>
      </c>
      <c r="J541" s="252">
        <v>3</v>
      </c>
      <c r="K541" s="252">
        <v>3</v>
      </c>
      <c r="L541" s="253">
        <v>3</v>
      </c>
      <c r="M541" s="254">
        <f t="shared" si="17"/>
        <v>1.123005955058592</v>
      </c>
      <c r="N541" s="255"/>
    </row>
    <row r="542" spans="1:14" x14ac:dyDescent="0.2">
      <c r="A542" s="246" t="s">
        <v>287</v>
      </c>
      <c r="B542" s="466" t="s">
        <v>460</v>
      </c>
      <c r="C542" s="467" t="s">
        <v>135</v>
      </c>
      <c r="D542" s="469" t="s">
        <v>14</v>
      </c>
      <c r="E542" s="470">
        <v>0</v>
      </c>
      <c r="F542" s="250"/>
      <c r="G542" s="251" t="s">
        <v>16</v>
      </c>
      <c r="H542" s="470"/>
      <c r="I542" s="470"/>
      <c r="J542" s="470"/>
      <c r="K542" s="470"/>
      <c r="L542" s="471"/>
      <c r="M542" s="456" t="str">
        <f t="shared" si="17"/>
        <v/>
      </c>
      <c r="N542" s="255"/>
    </row>
    <row r="543" spans="1:14" x14ac:dyDescent="0.2">
      <c r="A543" s="246" t="s">
        <v>287</v>
      </c>
      <c r="B543" s="466" t="s">
        <v>460</v>
      </c>
      <c r="C543" s="467" t="s">
        <v>135</v>
      </c>
      <c r="D543" s="450" t="s">
        <v>62</v>
      </c>
      <c r="E543" s="470">
        <v>0</v>
      </c>
      <c r="F543" s="250"/>
      <c r="G543" s="251" t="s">
        <v>16</v>
      </c>
      <c r="H543" s="470"/>
      <c r="I543" s="470"/>
      <c r="J543" s="470"/>
      <c r="K543" s="470"/>
      <c r="L543" s="471"/>
      <c r="M543" s="456" t="str">
        <f t="shared" si="17"/>
        <v/>
      </c>
      <c r="N543" s="255"/>
    </row>
    <row r="544" spans="1:14" x14ac:dyDescent="0.2">
      <c r="A544" s="246" t="s">
        <v>287</v>
      </c>
      <c r="B544" s="466" t="s">
        <v>460</v>
      </c>
      <c r="C544" s="467" t="s">
        <v>135</v>
      </c>
      <c r="D544" s="451" t="s">
        <v>64</v>
      </c>
      <c r="E544" s="470">
        <v>0</v>
      </c>
      <c r="F544" s="250"/>
      <c r="G544" s="251" t="s">
        <v>16</v>
      </c>
      <c r="H544" s="470"/>
      <c r="I544" s="470"/>
      <c r="J544" s="470"/>
      <c r="K544" s="470"/>
      <c r="L544" s="471"/>
      <c r="M544" s="456" t="str">
        <f t="shared" si="17"/>
        <v/>
      </c>
      <c r="N544" s="255"/>
    </row>
    <row r="545" spans="1:14" x14ac:dyDescent="0.2">
      <c r="A545" s="246" t="s">
        <v>287</v>
      </c>
      <c r="B545" s="466" t="s">
        <v>460</v>
      </c>
      <c r="C545" s="467" t="s">
        <v>135</v>
      </c>
      <c r="D545" s="452" t="s">
        <v>66</v>
      </c>
      <c r="E545" s="438">
        <v>1.005E-3</v>
      </c>
      <c r="F545" s="250" t="s">
        <v>469</v>
      </c>
      <c r="G545" s="251" t="s">
        <v>16</v>
      </c>
      <c r="H545" s="252">
        <v>2</v>
      </c>
      <c r="I545" s="252">
        <v>3</v>
      </c>
      <c r="J545" s="252">
        <v>1</v>
      </c>
      <c r="K545" s="252">
        <v>1</v>
      </c>
      <c r="L545" s="253">
        <v>2</v>
      </c>
      <c r="M545" s="254">
        <f t="shared" si="17"/>
        <v>0.48935255543384243</v>
      </c>
      <c r="N545" s="255" t="s">
        <v>470</v>
      </c>
    </row>
    <row r="546" spans="1:14" x14ac:dyDescent="0.2">
      <c r="A546" s="246" t="s">
        <v>287</v>
      </c>
      <c r="B546" s="466" t="s">
        <v>460</v>
      </c>
      <c r="C546" s="467" t="s">
        <v>135</v>
      </c>
      <c r="D546" s="452" t="s">
        <v>66</v>
      </c>
      <c r="E546" s="438">
        <v>9.5000000000000005E-5</v>
      </c>
      <c r="F546" s="250" t="s">
        <v>471</v>
      </c>
      <c r="G546" s="251" t="s">
        <v>16</v>
      </c>
      <c r="H546" s="252">
        <v>2</v>
      </c>
      <c r="I546" s="252">
        <v>3</v>
      </c>
      <c r="J546" s="252">
        <v>1</v>
      </c>
      <c r="K546" s="252">
        <v>1</v>
      </c>
      <c r="L546" s="253">
        <v>2</v>
      </c>
      <c r="M546" s="254">
        <f t="shared" si="17"/>
        <v>0.48935255543384243</v>
      </c>
      <c r="N546" s="255" t="s">
        <v>472</v>
      </c>
    </row>
    <row r="547" spans="1:14" x14ac:dyDescent="0.2">
      <c r="A547" s="246" t="s">
        <v>287</v>
      </c>
      <c r="B547" s="466" t="s">
        <v>460</v>
      </c>
      <c r="C547" s="467" t="s">
        <v>135</v>
      </c>
      <c r="D547" s="453" t="s">
        <v>94</v>
      </c>
      <c r="E547" s="438">
        <v>1E-4</v>
      </c>
      <c r="F547" s="250" t="s">
        <v>473</v>
      </c>
      <c r="G547" s="251" t="s">
        <v>16</v>
      </c>
      <c r="H547" s="252">
        <v>2</v>
      </c>
      <c r="I547" s="252">
        <v>3</v>
      </c>
      <c r="J547" s="252">
        <v>1</v>
      </c>
      <c r="K547" s="252">
        <v>1</v>
      </c>
      <c r="L547" s="253">
        <v>2</v>
      </c>
      <c r="M547" s="254">
        <f t="shared" si="17"/>
        <v>0.48935255543384243</v>
      </c>
      <c r="N547" s="255" t="s">
        <v>474</v>
      </c>
    </row>
    <row r="548" spans="1:14" x14ac:dyDescent="0.2">
      <c r="A548" s="246" t="s">
        <v>287</v>
      </c>
      <c r="B548" s="466" t="s">
        <v>460</v>
      </c>
      <c r="C548" s="467" t="s">
        <v>135</v>
      </c>
      <c r="D548" s="457" t="s">
        <v>96</v>
      </c>
      <c r="E548" s="470">
        <v>0</v>
      </c>
      <c r="F548" s="250"/>
      <c r="G548" s="251" t="s">
        <v>16</v>
      </c>
      <c r="H548" s="470"/>
      <c r="I548" s="470"/>
      <c r="J548" s="470"/>
      <c r="K548" s="470"/>
      <c r="L548" s="471"/>
      <c r="M548" s="456" t="str">
        <f t="shared" si="17"/>
        <v/>
      </c>
      <c r="N548" s="255"/>
    </row>
    <row r="549" spans="1:14" x14ac:dyDescent="0.2">
      <c r="A549" s="464" t="s">
        <v>287</v>
      </c>
      <c r="B549" s="468" t="s">
        <v>460</v>
      </c>
      <c r="C549" s="404" t="s">
        <v>135</v>
      </c>
      <c r="D549" s="472" t="s">
        <v>98</v>
      </c>
      <c r="E549" s="473">
        <v>0</v>
      </c>
      <c r="F549" s="289"/>
      <c r="G549" s="290" t="s">
        <v>16</v>
      </c>
      <c r="H549" s="473"/>
      <c r="I549" s="473"/>
      <c r="J549" s="473"/>
      <c r="K549" s="473"/>
      <c r="L549" s="474"/>
      <c r="M549" s="475" t="str">
        <f t="shared" si="17"/>
        <v/>
      </c>
      <c r="N549" s="294"/>
    </row>
    <row r="550" spans="1:14" x14ac:dyDescent="0.2">
      <c r="A550" s="246" t="s">
        <v>295</v>
      </c>
      <c r="B550" s="466" t="s">
        <v>475</v>
      </c>
      <c r="C550" s="467" t="s">
        <v>135</v>
      </c>
      <c r="D550" s="252" t="s">
        <v>135</v>
      </c>
      <c r="E550" s="252">
        <v>1E-3</v>
      </c>
      <c r="F550" s="250" t="s">
        <v>455</v>
      </c>
      <c r="G550" s="251" t="s">
        <v>16</v>
      </c>
      <c r="H550" s="252">
        <v>1</v>
      </c>
      <c r="I550" s="252">
        <v>1</v>
      </c>
      <c r="J550" s="252">
        <v>1</v>
      </c>
      <c r="K550" s="252">
        <v>1</v>
      </c>
      <c r="L550" s="253">
        <v>3</v>
      </c>
      <c r="M550" s="254">
        <f t="shared" si="17"/>
        <v>1.0141150152164344</v>
      </c>
      <c r="N550" s="255"/>
    </row>
    <row r="551" spans="1:14" hidden="1" x14ac:dyDescent="0.2">
      <c r="A551" s="246" t="s">
        <v>295</v>
      </c>
      <c r="B551" s="448" t="s">
        <v>466</v>
      </c>
      <c r="C551" s="422" t="s">
        <v>13</v>
      </c>
      <c r="D551" s="252" t="s">
        <v>135</v>
      </c>
      <c r="E551" s="423">
        <v>1.142330116275239E-3</v>
      </c>
      <c r="F551" s="250" t="s">
        <v>133</v>
      </c>
      <c r="G551" s="251" t="s">
        <v>16</v>
      </c>
      <c r="H551" s="252">
        <v>1</v>
      </c>
      <c r="I551" s="252">
        <v>2</v>
      </c>
      <c r="J551" s="252">
        <v>3</v>
      </c>
      <c r="K551" s="252">
        <v>3</v>
      </c>
      <c r="L551" s="253">
        <v>3</v>
      </c>
      <c r="M551" s="254">
        <f t="shared" si="17"/>
        <v>1.123005955058592</v>
      </c>
      <c r="N551" s="255"/>
    </row>
    <row r="552" spans="1:14" hidden="1" x14ac:dyDescent="0.2">
      <c r="A552" s="246" t="s">
        <v>295</v>
      </c>
      <c r="B552" s="448" t="s">
        <v>466</v>
      </c>
      <c r="C552" s="422" t="s">
        <v>13</v>
      </c>
      <c r="D552" s="252" t="s">
        <v>135</v>
      </c>
      <c r="E552" s="423">
        <v>1.454567014723805E-2</v>
      </c>
      <c r="F552" s="250" t="s">
        <v>133</v>
      </c>
      <c r="G552" s="251"/>
      <c r="H552" s="252">
        <v>1</v>
      </c>
      <c r="I552" s="252">
        <v>2</v>
      </c>
      <c r="J552" s="252">
        <v>3</v>
      </c>
      <c r="K552" s="252">
        <v>3</v>
      </c>
      <c r="L552" s="253">
        <v>3</v>
      </c>
      <c r="M552" s="254">
        <f t="shared" si="17"/>
        <v>1.123005955058592</v>
      </c>
      <c r="N552" s="255"/>
    </row>
    <row r="553" spans="1:14" hidden="1" x14ac:dyDescent="0.2">
      <c r="A553" s="246" t="s">
        <v>295</v>
      </c>
      <c r="B553" s="448" t="s">
        <v>466</v>
      </c>
      <c r="C553" s="422" t="s">
        <v>18</v>
      </c>
      <c r="D553" s="252" t="s">
        <v>135</v>
      </c>
      <c r="E553" s="423">
        <v>2.8968345465924441E-3</v>
      </c>
      <c r="F553" s="250" t="s">
        <v>133</v>
      </c>
      <c r="G553" s="251"/>
      <c r="H553" s="252">
        <v>1</v>
      </c>
      <c r="I553" s="252">
        <v>2</v>
      </c>
      <c r="J553" s="252">
        <v>3</v>
      </c>
      <c r="K553" s="252">
        <v>3</v>
      </c>
      <c r="L553" s="253">
        <v>3</v>
      </c>
      <c r="M553" s="254">
        <f t="shared" si="17"/>
        <v>1.123005955058592</v>
      </c>
      <c r="N553" s="255"/>
    </row>
    <row r="554" spans="1:14" hidden="1" x14ac:dyDescent="0.2">
      <c r="A554" s="246" t="s">
        <v>295</v>
      </c>
      <c r="B554" s="448" t="s">
        <v>466</v>
      </c>
      <c r="C554" s="422" t="s">
        <v>18</v>
      </c>
      <c r="D554" s="252" t="s">
        <v>135</v>
      </c>
      <c r="E554" s="423">
        <v>3.6886359893277133E-2</v>
      </c>
      <c r="F554" s="250" t="s">
        <v>133</v>
      </c>
      <c r="G554" s="251"/>
      <c r="H554" s="252">
        <v>1</v>
      </c>
      <c r="I554" s="252">
        <v>2</v>
      </c>
      <c r="J554" s="252">
        <v>3</v>
      </c>
      <c r="K554" s="252">
        <v>3</v>
      </c>
      <c r="L554" s="253">
        <v>3</v>
      </c>
      <c r="M554" s="254">
        <f t="shared" si="17"/>
        <v>1.123005955058592</v>
      </c>
      <c r="N554" s="255"/>
    </row>
    <row r="555" spans="1:14" hidden="1" x14ac:dyDescent="0.2">
      <c r="A555" s="246" t="s">
        <v>295</v>
      </c>
      <c r="B555" s="448" t="s">
        <v>466</v>
      </c>
      <c r="C555" s="422" t="s">
        <v>20</v>
      </c>
      <c r="D555" s="252" t="s">
        <v>135</v>
      </c>
      <c r="E555" s="423">
        <v>3.52435850983234E-3</v>
      </c>
      <c r="F555" s="250" t="s">
        <v>133</v>
      </c>
      <c r="G555" s="251"/>
      <c r="H555" s="252">
        <v>1</v>
      </c>
      <c r="I555" s="252">
        <v>2</v>
      </c>
      <c r="J555" s="252">
        <v>3</v>
      </c>
      <c r="K555" s="252">
        <v>3</v>
      </c>
      <c r="L555" s="253">
        <v>3</v>
      </c>
      <c r="M555" s="254">
        <f t="shared" si="17"/>
        <v>1.123005955058592</v>
      </c>
      <c r="N555" s="255"/>
    </row>
    <row r="556" spans="1:14" hidden="1" x14ac:dyDescent="0.2">
      <c r="A556" s="246" t="s">
        <v>295</v>
      </c>
      <c r="B556" s="448" t="s">
        <v>466</v>
      </c>
      <c r="C556" s="422" t="s">
        <v>20</v>
      </c>
      <c r="D556" s="252" t="s">
        <v>135</v>
      </c>
      <c r="E556" s="423">
        <v>4.4876831691865127E-2</v>
      </c>
      <c r="F556" s="250" t="s">
        <v>133</v>
      </c>
      <c r="G556" s="251"/>
      <c r="H556" s="252">
        <v>1</v>
      </c>
      <c r="I556" s="252">
        <v>2</v>
      </c>
      <c r="J556" s="252">
        <v>3</v>
      </c>
      <c r="K556" s="252">
        <v>3</v>
      </c>
      <c r="L556" s="253">
        <v>3</v>
      </c>
      <c r="M556" s="254">
        <f t="shared" si="17"/>
        <v>1.123005955058592</v>
      </c>
      <c r="N556" s="255"/>
    </row>
    <row r="557" spans="1:14" hidden="1" x14ac:dyDescent="0.2">
      <c r="A557" s="246" t="s">
        <v>295</v>
      </c>
      <c r="B557" s="448" t="s">
        <v>466</v>
      </c>
      <c r="C557" s="422" t="s">
        <v>22</v>
      </c>
      <c r="D557" s="252" t="s">
        <v>135</v>
      </c>
      <c r="E557" s="423">
        <v>2.3530089923910541E-3</v>
      </c>
      <c r="F557" s="250" t="s">
        <v>133</v>
      </c>
      <c r="G557" s="251"/>
      <c r="H557" s="252">
        <v>1</v>
      </c>
      <c r="I557" s="252">
        <v>2</v>
      </c>
      <c r="J557" s="252">
        <v>3</v>
      </c>
      <c r="K557" s="252">
        <v>3</v>
      </c>
      <c r="L557" s="253">
        <v>3</v>
      </c>
      <c r="M557" s="254">
        <f t="shared" si="17"/>
        <v>1.123005955058592</v>
      </c>
      <c r="N557" s="255"/>
    </row>
    <row r="558" spans="1:14" hidden="1" x14ac:dyDescent="0.2">
      <c r="A558" s="246" t="s">
        <v>295</v>
      </c>
      <c r="B558" s="448" t="s">
        <v>466</v>
      </c>
      <c r="C558" s="422" t="s">
        <v>22</v>
      </c>
      <c r="D558" s="252" t="s">
        <v>135</v>
      </c>
      <c r="E558" s="423">
        <v>2.9961647836446101E-2</v>
      </c>
      <c r="F558" s="250" t="s">
        <v>133</v>
      </c>
      <c r="G558" s="251"/>
      <c r="H558" s="252">
        <v>1</v>
      </c>
      <c r="I558" s="252">
        <v>2</v>
      </c>
      <c r="J558" s="252">
        <v>3</v>
      </c>
      <c r="K558" s="252">
        <v>3</v>
      </c>
      <c r="L558" s="253">
        <v>3</v>
      </c>
      <c r="M558" s="254">
        <f t="shared" si="17"/>
        <v>1.123005955058592</v>
      </c>
      <c r="N558" s="255"/>
    </row>
    <row r="559" spans="1:14" hidden="1" x14ac:dyDescent="0.2">
      <c r="A559" s="246" t="s">
        <v>295</v>
      </c>
      <c r="B559" s="448" t="s">
        <v>466</v>
      </c>
      <c r="C559" s="422" t="s">
        <v>23</v>
      </c>
      <c r="D559" s="252" t="s">
        <v>135</v>
      </c>
      <c r="E559" s="423">
        <v>2.366876379327382E-3</v>
      </c>
      <c r="F559" s="250" t="s">
        <v>133</v>
      </c>
      <c r="G559" s="251"/>
      <c r="H559" s="252">
        <v>1</v>
      </c>
      <c r="I559" s="252">
        <v>2</v>
      </c>
      <c r="J559" s="252">
        <v>3</v>
      </c>
      <c r="K559" s="252">
        <v>3</v>
      </c>
      <c r="L559" s="253">
        <v>3</v>
      </c>
      <c r="M559" s="254">
        <f t="shared" si="17"/>
        <v>1.123005955058592</v>
      </c>
      <c r="N559" s="255"/>
    </row>
    <row r="560" spans="1:14" hidden="1" x14ac:dyDescent="0.2">
      <c r="A560" s="246" t="s">
        <v>295</v>
      </c>
      <c r="B560" s="448" t="s">
        <v>466</v>
      </c>
      <c r="C560" s="422" t="s">
        <v>23</v>
      </c>
      <c r="D560" s="252" t="s">
        <v>135</v>
      </c>
      <c r="E560" s="423">
        <v>3.0138225896768671E-2</v>
      </c>
      <c r="F560" s="250" t="s">
        <v>133</v>
      </c>
      <c r="G560" s="251"/>
      <c r="H560" s="252">
        <v>1</v>
      </c>
      <c r="I560" s="252">
        <v>2</v>
      </c>
      <c r="J560" s="252">
        <v>3</v>
      </c>
      <c r="K560" s="252">
        <v>3</v>
      </c>
      <c r="L560" s="253">
        <v>3</v>
      </c>
      <c r="M560" s="254">
        <f t="shared" ref="M560:M590" si="18">IF( OR( ISBLANK(H560),ISBLANK(I560), ISBLANK(J560), ISBLANK(K560), ISBLANK(L560) ), "", 1.5*SQRT( EXP(2.21*(H560-1)) + EXP(2.21*(I560-1)) + EXP(2.21*(J560-1)) + EXP(2.21*(K560-1)) + EXP(2.21*L560) )/100*2.45 )</f>
        <v>1.123005955058592</v>
      </c>
      <c r="N560" s="255"/>
    </row>
    <row r="561" spans="1:14" hidden="1" x14ac:dyDescent="0.2">
      <c r="A561" s="246" t="s">
        <v>295</v>
      </c>
      <c r="B561" s="448" t="s">
        <v>466</v>
      </c>
      <c r="C561" s="422" t="s">
        <v>24</v>
      </c>
      <c r="D561" s="252" t="s">
        <v>135</v>
      </c>
      <c r="E561" s="423">
        <v>2.5022563325537732E-3</v>
      </c>
      <c r="F561" s="250" t="s">
        <v>133</v>
      </c>
      <c r="G561" s="251"/>
      <c r="H561" s="252">
        <v>1</v>
      </c>
      <c r="I561" s="252">
        <v>2</v>
      </c>
      <c r="J561" s="252">
        <v>3</v>
      </c>
      <c r="K561" s="252">
        <v>3</v>
      </c>
      <c r="L561" s="253">
        <v>3</v>
      </c>
      <c r="M561" s="254">
        <f t="shared" si="18"/>
        <v>1.123005955058592</v>
      </c>
      <c r="N561" s="255"/>
    </row>
    <row r="562" spans="1:14" hidden="1" x14ac:dyDescent="0.2">
      <c r="A562" s="246" t="s">
        <v>295</v>
      </c>
      <c r="B562" s="448" t="s">
        <v>466</v>
      </c>
      <c r="C562" s="422" t="s">
        <v>24</v>
      </c>
      <c r="D562" s="252" t="s">
        <v>135</v>
      </c>
      <c r="E562" s="423">
        <v>3.1862063967851378E-2</v>
      </c>
      <c r="F562" s="250" t="s">
        <v>133</v>
      </c>
      <c r="G562" s="251"/>
      <c r="H562" s="252">
        <v>1</v>
      </c>
      <c r="I562" s="252">
        <v>2</v>
      </c>
      <c r="J562" s="252">
        <v>3</v>
      </c>
      <c r="K562" s="252">
        <v>3</v>
      </c>
      <c r="L562" s="253">
        <v>3</v>
      </c>
      <c r="M562" s="254">
        <f t="shared" si="18"/>
        <v>1.123005955058592</v>
      </c>
      <c r="N562" s="255"/>
    </row>
    <row r="563" spans="1:14" hidden="1" x14ac:dyDescent="0.2">
      <c r="A563" s="246" t="s">
        <v>295</v>
      </c>
      <c r="B563" s="448" t="s">
        <v>466</v>
      </c>
      <c r="C563" s="422" t="s">
        <v>25</v>
      </c>
      <c r="D563" s="252" t="s">
        <v>135</v>
      </c>
      <c r="E563" s="423">
        <v>1.510655818702856E-3</v>
      </c>
      <c r="F563" s="250" t="s">
        <v>133</v>
      </c>
      <c r="G563" s="251"/>
      <c r="H563" s="252">
        <v>1</v>
      </c>
      <c r="I563" s="252">
        <v>2</v>
      </c>
      <c r="J563" s="252">
        <v>3</v>
      </c>
      <c r="K563" s="252">
        <v>3</v>
      </c>
      <c r="L563" s="253">
        <v>3</v>
      </c>
      <c r="M563" s="254">
        <f t="shared" si="18"/>
        <v>1.123005955058592</v>
      </c>
      <c r="N563" s="255"/>
    </row>
    <row r="564" spans="1:14" hidden="1" x14ac:dyDescent="0.2">
      <c r="A564" s="246" t="s">
        <v>295</v>
      </c>
      <c r="B564" s="448" t="s">
        <v>466</v>
      </c>
      <c r="C564" s="422" t="s">
        <v>25</v>
      </c>
      <c r="D564" s="252" t="s">
        <v>135</v>
      </c>
      <c r="E564" s="423">
        <v>1.9235684091483029E-2</v>
      </c>
      <c r="F564" s="250" t="s">
        <v>133</v>
      </c>
      <c r="G564" s="251"/>
      <c r="H564" s="252">
        <v>1</v>
      </c>
      <c r="I564" s="252">
        <v>2</v>
      </c>
      <c r="J564" s="252">
        <v>3</v>
      </c>
      <c r="K564" s="252">
        <v>3</v>
      </c>
      <c r="L564" s="253">
        <v>3</v>
      </c>
      <c r="M564" s="254">
        <f t="shared" si="18"/>
        <v>1.123005955058592</v>
      </c>
      <c r="N564" s="255"/>
    </row>
    <row r="565" spans="1:14" hidden="1" x14ac:dyDescent="0.2">
      <c r="A565" s="246" t="s">
        <v>295</v>
      </c>
      <c r="B565" s="448" t="s">
        <v>466</v>
      </c>
      <c r="C565" s="422" t="s">
        <v>26</v>
      </c>
      <c r="D565" s="252" t="s">
        <v>135</v>
      </c>
      <c r="E565" s="423">
        <v>1.262887446885602E-3</v>
      </c>
      <c r="F565" s="250" t="s">
        <v>133</v>
      </c>
      <c r="G565" s="251"/>
      <c r="H565" s="252">
        <v>1</v>
      </c>
      <c r="I565" s="252">
        <v>2</v>
      </c>
      <c r="J565" s="252">
        <v>3</v>
      </c>
      <c r="K565" s="252">
        <v>3</v>
      </c>
      <c r="L565" s="253">
        <v>3</v>
      </c>
      <c r="M565" s="254">
        <f t="shared" si="18"/>
        <v>1.123005955058592</v>
      </c>
      <c r="N565" s="255"/>
    </row>
    <row r="566" spans="1:14" hidden="1" x14ac:dyDescent="0.2">
      <c r="A566" s="246" t="s">
        <v>295</v>
      </c>
      <c r="B566" s="448" t="s">
        <v>466</v>
      </c>
      <c r="C566" s="422" t="s">
        <v>26</v>
      </c>
      <c r="D566" s="252" t="s">
        <v>135</v>
      </c>
      <c r="E566" s="423">
        <v>1.6080766823676668E-2</v>
      </c>
      <c r="F566" s="250" t="s">
        <v>133</v>
      </c>
      <c r="G566" s="251"/>
      <c r="H566" s="252">
        <v>1</v>
      </c>
      <c r="I566" s="252">
        <v>2</v>
      </c>
      <c r="J566" s="252">
        <v>3</v>
      </c>
      <c r="K566" s="252">
        <v>3</v>
      </c>
      <c r="L566" s="253">
        <v>3</v>
      </c>
      <c r="M566" s="254">
        <f t="shared" si="18"/>
        <v>1.123005955058592</v>
      </c>
      <c r="N566" s="255"/>
    </row>
    <row r="567" spans="1:14" hidden="1" x14ac:dyDescent="0.2">
      <c r="A567" s="246" t="s">
        <v>295</v>
      </c>
      <c r="B567" s="448" t="s">
        <v>466</v>
      </c>
      <c r="C567" s="422" t="s">
        <v>27</v>
      </c>
      <c r="D567" s="252" t="s">
        <v>135</v>
      </c>
      <c r="E567" s="423">
        <v>1.1675121051418029E-3</v>
      </c>
      <c r="F567" s="250" t="s">
        <v>133</v>
      </c>
      <c r="G567" s="251"/>
      <c r="H567" s="252">
        <v>1</v>
      </c>
      <c r="I567" s="252">
        <v>2</v>
      </c>
      <c r="J567" s="252">
        <v>3</v>
      </c>
      <c r="K567" s="252">
        <v>3</v>
      </c>
      <c r="L567" s="253">
        <v>3</v>
      </c>
      <c r="M567" s="254">
        <f t="shared" si="18"/>
        <v>1.123005955058592</v>
      </c>
      <c r="N567" s="255"/>
    </row>
    <row r="568" spans="1:14" hidden="1" x14ac:dyDescent="0.2">
      <c r="A568" s="246" t="s">
        <v>295</v>
      </c>
      <c r="B568" s="448" t="s">
        <v>466</v>
      </c>
      <c r="C568" s="422" t="s">
        <v>27</v>
      </c>
      <c r="D568" s="252" t="s">
        <v>135</v>
      </c>
      <c r="E568" s="423">
        <v>1.4866320805472301E-2</v>
      </c>
      <c r="F568" s="250" t="s">
        <v>133</v>
      </c>
      <c r="G568" s="251"/>
      <c r="H568" s="252">
        <v>1</v>
      </c>
      <c r="I568" s="252">
        <v>2</v>
      </c>
      <c r="J568" s="252">
        <v>3</v>
      </c>
      <c r="K568" s="252">
        <v>3</v>
      </c>
      <c r="L568" s="253">
        <v>3</v>
      </c>
      <c r="M568" s="254">
        <f t="shared" si="18"/>
        <v>1.123005955058592</v>
      </c>
      <c r="N568" s="255"/>
    </row>
    <row r="569" spans="1:14" hidden="1" x14ac:dyDescent="0.2">
      <c r="A569" s="246" t="s">
        <v>295</v>
      </c>
      <c r="B569" s="448" t="s">
        <v>466</v>
      </c>
      <c r="C569" s="422" t="s">
        <v>28</v>
      </c>
      <c r="D569" s="252" t="s">
        <v>135</v>
      </c>
      <c r="E569" s="423">
        <v>2.4974472149939058E-3</v>
      </c>
      <c r="F569" s="250" t="s">
        <v>133</v>
      </c>
      <c r="G569" s="251"/>
      <c r="H569" s="252">
        <v>1</v>
      </c>
      <c r="I569" s="252">
        <v>2</v>
      </c>
      <c r="J569" s="252">
        <v>3</v>
      </c>
      <c r="K569" s="252">
        <v>3</v>
      </c>
      <c r="L569" s="253">
        <v>3</v>
      </c>
      <c r="M569" s="254">
        <f t="shared" si="18"/>
        <v>1.123005955058592</v>
      </c>
      <c r="N569" s="255"/>
    </row>
    <row r="570" spans="1:14" hidden="1" x14ac:dyDescent="0.2">
      <c r="A570" s="246" t="s">
        <v>295</v>
      </c>
      <c r="B570" s="448" t="s">
        <v>466</v>
      </c>
      <c r="C570" s="422" t="s">
        <v>28</v>
      </c>
      <c r="D570" s="252" t="s">
        <v>135</v>
      </c>
      <c r="E570" s="423">
        <v>3.1800827870922407E-2</v>
      </c>
      <c r="F570" s="250" t="s">
        <v>133</v>
      </c>
      <c r="G570" s="251"/>
      <c r="H570" s="252">
        <v>1</v>
      </c>
      <c r="I570" s="252">
        <v>2</v>
      </c>
      <c r="J570" s="252">
        <v>3</v>
      </c>
      <c r="K570" s="252">
        <v>3</v>
      </c>
      <c r="L570" s="253">
        <v>3</v>
      </c>
      <c r="M570" s="254">
        <f t="shared" si="18"/>
        <v>1.123005955058592</v>
      </c>
      <c r="N570" s="255"/>
    </row>
    <row r="571" spans="1:14" hidden="1" x14ac:dyDescent="0.2">
      <c r="A571" s="246" t="s">
        <v>295</v>
      </c>
      <c r="B571" s="448" t="s">
        <v>466</v>
      </c>
      <c r="C571" s="422" t="s">
        <v>30</v>
      </c>
      <c r="D571" s="252" t="s">
        <v>135</v>
      </c>
      <c r="E571" s="423">
        <v>1.5E-3</v>
      </c>
      <c r="F571" s="250" t="s">
        <v>133</v>
      </c>
      <c r="G571" s="251"/>
      <c r="H571" s="252">
        <v>1</v>
      </c>
      <c r="I571" s="252">
        <v>2</v>
      </c>
      <c r="J571" s="252">
        <v>3</v>
      </c>
      <c r="K571" s="252">
        <v>3</v>
      </c>
      <c r="L571" s="253">
        <v>3</v>
      </c>
      <c r="M571" s="254">
        <f t="shared" si="18"/>
        <v>1.123005955058592</v>
      </c>
      <c r="N571" s="255"/>
    </row>
    <row r="572" spans="1:14" hidden="1" x14ac:dyDescent="0.2">
      <c r="A572" s="246" t="s">
        <v>295</v>
      </c>
      <c r="B572" s="448" t="s">
        <v>466</v>
      </c>
      <c r="C572" s="422" t="s">
        <v>30</v>
      </c>
      <c r="D572" s="252" t="s">
        <v>135</v>
      </c>
      <c r="E572" s="423">
        <v>1.9099999999999999E-2</v>
      </c>
      <c r="F572" s="250" t="s">
        <v>133</v>
      </c>
      <c r="G572" s="251"/>
      <c r="H572" s="252">
        <v>1</v>
      </c>
      <c r="I572" s="252">
        <v>2</v>
      </c>
      <c r="J572" s="252">
        <v>3</v>
      </c>
      <c r="K572" s="252">
        <v>3</v>
      </c>
      <c r="L572" s="253">
        <v>3</v>
      </c>
      <c r="M572" s="254">
        <f t="shared" si="18"/>
        <v>1.123005955058592</v>
      </c>
      <c r="N572" s="255"/>
    </row>
    <row r="573" spans="1:14" hidden="1" x14ac:dyDescent="0.2">
      <c r="A573" s="246" t="s">
        <v>295</v>
      </c>
      <c r="B573" s="448" t="s">
        <v>466</v>
      </c>
      <c r="C573" s="422" t="s">
        <v>32</v>
      </c>
      <c r="D573" s="252" t="s">
        <v>135</v>
      </c>
      <c r="E573" s="423">
        <v>4.7344938897855666E-3</v>
      </c>
      <c r="F573" s="250" t="s">
        <v>133</v>
      </c>
      <c r="G573" s="251"/>
      <c r="H573" s="252">
        <v>1</v>
      </c>
      <c r="I573" s="252">
        <v>2</v>
      </c>
      <c r="J573" s="252">
        <v>3</v>
      </c>
      <c r="K573" s="252">
        <v>3</v>
      </c>
      <c r="L573" s="253">
        <v>3</v>
      </c>
      <c r="M573" s="254">
        <f t="shared" si="18"/>
        <v>1.123005955058592</v>
      </c>
      <c r="N573" s="255"/>
    </row>
    <row r="574" spans="1:14" hidden="1" x14ac:dyDescent="0.2">
      <c r="A574" s="246" t="s">
        <v>295</v>
      </c>
      <c r="B574" s="448" t="s">
        <v>466</v>
      </c>
      <c r="C574" s="422" t="s">
        <v>32</v>
      </c>
      <c r="D574" s="252" t="s">
        <v>135</v>
      </c>
      <c r="E574" s="423">
        <v>6.0285888863269549E-2</v>
      </c>
      <c r="F574" s="250" t="s">
        <v>133</v>
      </c>
      <c r="G574" s="251"/>
      <c r="H574" s="252">
        <v>1</v>
      </c>
      <c r="I574" s="252">
        <v>2</v>
      </c>
      <c r="J574" s="252">
        <v>3</v>
      </c>
      <c r="K574" s="252">
        <v>3</v>
      </c>
      <c r="L574" s="253">
        <v>3</v>
      </c>
      <c r="M574" s="254">
        <f t="shared" si="18"/>
        <v>1.123005955058592</v>
      </c>
      <c r="N574" s="255"/>
    </row>
    <row r="575" spans="1:14" hidden="1" x14ac:dyDescent="0.2">
      <c r="A575" s="246" t="s">
        <v>295</v>
      </c>
      <c r="B575" s="448" t="s">
        <v>466</v>
      </c>
      <c r="C575" s="422" t="s">
        <v>34</v>
      </c>
      <c r="D575" s="252" t="s">
        <v>135</v>
      </c>
      <c r="E575" s="423">
        <v>2.3875951118284529E-3</v>
      </c>
      <c r="F575" s="250" t="s">
        <v>133</v>
      </c>
      <c r="G575" s="251"/>
      <c r="H575" s="252">
        <v>1</v>
      </c>
      <c r="I575" s="252">
        <v>2</v>
      </c>
      <c r="J575" s="252">
        <v>3</v>
      </c>
      <c r="K575" s="252">
        <v>3</v>
      </c>
      <c r="L575" s="253">
        <v>3</v>
      </c>
      <c r="M575" s="254">
        <f t="shared" si="18"/>
        <v>1.123005955058592</v>
      </c>
      <c r="N575" s="255"/>
    </row>
    <row r="576" spans="1:14" hidden="1" x14ac:dyDescent="0.2">
      <c r="A576" s="246" t="s">
        <v>295</v>
      </c>
      <c r="B576" s="448" t="s">
        <v>466</v>
      </c>
      <c r="C576" s="422" t="s">
        <v>34</v>
      </c>
      <c r="D576" s="252" t="s">
        <v>135</v>
      </c>
      <c r="E576" s="423">
        <v>3.0402044423948969E-2</v>
      </c>
      <c r="F576" s="250" t="s">
        <v>133</v>
      </c>
      <c r="G576" s="251"/>
      <c r="H576" s="252">
        <v>1</v>
      </c>
      <c r="I576" s="252">
        <v>2</v>
      </c>
      <c r="J576" s="252">
        <v>3</v>
      </c>
      <c r="K576" s="252">
        <v>3</v>
      </c>
      <c r="L576" s="253">
        <v>3</v>
      </c>
      <c r="M576" s="254">
        <f t="shared" si="18"/>
        <v>1.123005955058592</v>
      </c>
      <c r="N576" s="255"/>
    </row>
    <row r="577" spans="1:14" hidden="1" x14ac:dyDescent="0.2">
      <c r="A577" s="246" t="s">
        <v>295</v>
      </c>
      <c r="B577" s="448" t="s">
        <v>466</v>
      </c>
      <c r="C577" s="422" t="s">
        <v>36</v>
      </c>
      <c r="D577" s="252" t="s">
        <v>135</v>
      </c>
      <c r="E577" s="423">
        <v>1.4018248295398399E-3</v>
      </c>
      <c r="F577" s="250" t="s">
        <v>133</v>
      </c>
      <c r="G577" s="251"/>
      <c r="H577" s="252">
        <v>1</v>
      </c>
      <c r="I577" s="252">
        <v>2</v>
      </c>
      <c r="J577" s="252">
        <v>3</v>
      </c>
      <c r="K577" s="252">
        <v>3</v>
      </c>
      <c r="L577" s="253">
        <v>3</v>
      </c>
      <c r="M577" s="254">
        <f t="shared" si="18"/>
        <v>1.123005955058592</v>
      </c>
      <c r="N577" s="255"/>
    </row>
    <row r="578" spans="1:14" hidden="1" x14ac:dyDescent="0.2">
      <c r="A578" s="246" t="s">
        <v>295</v>
      </c>
      <c r="B578" s="448" t="s">
        <v>466</v>
      </c>
      <c r="C578" s="422" t="s">
        <v>36</v>
      </c>
      <c r="D578" s="252" t="s">
        <v>135</v>
      </c>
      <c r="E578" s="423">
        <v>1.784990282947397E-2</v>
      </c>
      <c r="F578" s="250" t="s">
        <v>133</v>
      </c>
      <c r="G578" s="251"/>
      <c r="H578" s="252">
        <v>1</v>
      </c>
      <c r="I578" s="252">
        <v>2</v>
      </c>
      <c r="J578" s="252">
        <v>3</v>
      </c>
      <c r="K578" s="252">
        <v>3</v>
      </c>
      <c r="L578" s="253">
        <v>3</v>
      </c>
      <c r="M578" s="254">
        <f t="shared" si="18"/>
        <v>1.123005955058592</v>
      </c>
      <c r="N578" s="255"/>
    </row>
    <row r="579" spans="1:14" hidden="1" x14ac:dyDescent="0.2">
      <c r="A579" s="246" t="s">
        <v>295</v>
      </c>
      <c r="B579" s="448" t="s">
        <v>466</v>
      </c>
      <c r="C579" s="422" t="s">
        <v>37</v>
      </c>
      <c r="D579" s="252" t="s">
        <v>135</v>
      </c>
      <c r="E579" s="423">
        <v>3.4927369149181462E-3</v>
      </c>
      <c r="F579" s="250" t="s">
        <v>133</v>
      </c>
      <c r="G579" s="251"/>
      <c r="H579" s="252">
        <v>1</v>
      </c>
      <c r="I579" s="252">
        <v>2</v>
      </c>
      <c r="J579" s="252">
        <v>3</v>
      </c>
      <c r="K579" s="252">
        <v>3</v>
      </c>
      <c r="L579" s="253">
        <v>3</v>
      </c>
      <c r="M579" s="254">
        <f t="shared" si="18"/>
        <v>1.123005955058592</v>
      </c>
      <c r="N579" s="255"/>
    </row>
    <row r="580" spans="1:14" hidden="1" x14ac:dyDescent="0.2">
      <c r="A580" s="246" t="s">
        <v>295</v>
      </c>
      <c r="B580" s="448" t="s">
        <v>466</v>
      </c>
      <c r="C580" s="422" t="s">
        <v>37</v>
      </c>
      <c r="D580" s="252" t="s">
        <v>135</v>
      </c>
      <c r="E580" s="423">
        <v>4.4474183383291059E-2</v>
      </c>
      <c r="F580" s="250" t="s">
        <v>133</v>
      </c>
      <c r="G580" s="251"/>
      <c r="H580" s="252">
        <v>1</v>
      </c>
      <c r="I580" s="252">
        <v>2</v>
      </c>
      <c r="J580" s="252">
        <v>3</v>
      </c>
      <c r="K580" s="252">
        <v>3</v>
      </c>
      <c r="L580" s="253">
        <v>3</v>
      </c>
      <c r="M580" s="254">
        <f t="shared" si="18"/>
        <v>1.123005955058592</v>
      </c>
      <c r="N580" s="255"/>
    </row>
    <row r="581" spans="1:14" hidden="1" x14ac:dyDescent="0.2">
      <c r="A581" s="246" t="s">
        <v>295</v>
      </c>
      <c r="B581" s="448" t="s">
        <v>466</v>
      </c>
      <c r="C581" s="422" t="s">
        <v>39</v>
      </c>
      <c r="D581" s="252" t="s">
        <v>135</v>
      </c>
      <c r="E581" s="423">
        <v>1.5892321881484899E-3</v>
      </c>
      <c r="F581" s="250" t="s">
        <v>133</v>
      </c>
      <c r="G581" s="251"/>
      <c r="H581" s="252">
        <v>1</v>
      </c>
      <c r="I581" s="252">
        <v>2</v>
      </c>
      <c r="J581" s="252">
        <v>3</v>
      </c>
      <c r="K581" s="252">
        <v>3</v>
      </c>
      <c r="L581" s="253">
        <v>3</v>
      </c>
      <c r="M581" s="254">
        <f t="shared" si="18"/>
        <v>1.123005955058592</v>
      </c>
      <c r="N581" s="255"/>
    </row>
    <row r="582" spans="1:14" hidden="1" x14ac:dyDescent="0.2">
      <c r="A582" s="246" t="s">
        <v>295</v>
      </c>
      <c r="B582" s="448" t="s">
        <v>466</v>
      </c>
      <c r="C582" s="422" t="s">
        <v>39</v>
      </c>
      <c r="D582" s="252" t="s">
        <v>135</v>
      </c>
      <c r="E582" s="423">
        <v>2.0236223195757439E-2</v>
      </c>
      <c r="F582" s="250" t="s">
        <v>133</v>
      </c>
      <c r="G582" s="251"/>
      <c r="H582" s="252">
        <v>1</v>
      </c>
      <c r="I582" s="252">
        <v>2</v>
      </c>
      <c r="J582" s="252">
        <v>3</v>
      </c>
      <c r="K582" s="252">
        <v>3</v>
      </c>
      <c r="L582" s="253">
        <v>3</v>
      </c>
      <c r="M582" s="254">
        <f t="shared" si="18"/>
        <v>1.123005955058592</v>
      </c>
      <c r="N582" s="255"/>
    </row>
    <row r="583" spans="1:14" hidden="1" x14ac:dyDescent="0.2">
      <c r="A583" s="246" t="s">
        <v>295</v>
      </c>
      <c r="B583" s="448" t="s">
        <v>466</v>
      </c>
      <c r="C583" s="422" t="s">
        <v>40</v>
      </c>
      <c r="D583" s="252" t="s">
        <v>135</v>
      </c>
      <c r="E583" s="423">
        <v>1.6319378108633361E-3</v>
      </c>
      <c r="F583" s="250" t="s">
        <v>133</v>
      </c>
      <c r="G583" s="251"/>
      <c r="H583" s="252">
        <v>1</v>
      </c>
      <c r="I583" s="252">
        <v>2</v>
      </c>
      <c r="J583" s="252">
        <v>3</v>
      </c>
      <c r="K583" s="252">
        <v>3</v>
      </c>
      <c r="L583" s="253">
        <v>3</v>
      </c>
      <c r="M583" s="254">
        <f t="shared" si="18"/>
        <v>1.123005955058592</v>
      </c>
      <c r="N583" s="255"/>
    </row>
    <row r="584" spans="1:14" hidden="1" x14ac:dyDescent="0.2">
      <c r="A584" s="246" t="s">
        <v>295</v>
      </c>
      <c r="B584" s="448" t="s">
        <v>466</v>
      </c>
      <c r="C584" s="422" t="s">
        <v>40</v>
      </c>
      <c r="D584" s="252" t="s">
        <v>135</v>
      </c>
      <c r="E584" s="423">
        <v>2.078000812499315E-2</v>
      </c>
      <c r="F584" s="250" t="s">
        <v>133</v>
      </c>
      <c r="G584" s="251"/>
      <c r="H584" s="252">
        <v>1</v>
      </c>
      <c r="I584" s="252">
        <v>2</v>
      </c>
      <c r="J584" s="252">
        <v>3</v>
      </c>
      <c r="K584" s="252">
        <v>3</v>
      </c>
      <c r="L584" s="253">
        <v>3</v>
      </c>
      <c r="M584" s="254">
        <f t="shared" si="18"/>
        <v>1.123005955058592</v>
      </c>
      <c r="N584" s="255"/>
    </row>
    <row r="585" spans="1:14" hidden="1" x14ac:dyDescent="0.2">
      <c r="A585" s="246" t="s">
        <v>295</v>
      </c>
      <c r="B585" s="448" t="s">
        <v>466</v>
      </c>
      <c r="C585" s="422" t="s">
        <v>41</v>
      </c>
      <c r="D585" s="252" t="s">
        <v>135</v>
      </c>
      <c r="E585" s="423">
        <v>2.0270101123225411E-3</v>
      </c>
      <c r="F585" s="250" t="s">
        <v>133</v>
      </c>
      <c r="G585" s="251"/>
      <c r="H585" s="252">
        <v>1</v>
      </c>
      <c r="I585" s="252">
        <v>2</v>
      </c>
      <c r="J585" s="252">
        <v>3</v>
      </c>
      <c r="K585" s="252">
        <v>3</v>
      </c>
      <c r="L585" s="253">
        <v>3</v>
      </c>
      <c r="M585" s="254">
        <f t="shared" si="18"/>
        <v>1.123005955058592</v>
      </c>
      <c r="N585" s="255"/>
    </row>
    <row r="586" spans="1:14" hidden="1" x14ac:dyDescent="0.2">
      <c r="A586" s="246" t="s">
        <v>295</v>
      </c>
      <c r="B586" s="448" t="s">
        <v>466</v>
      </c>
      <c r="C586" s="422" t="s">
        <v>41</v>
      </c>
      <c r="D586" s="252" t="s">
        <v>135</v>
      </c>
      <c r="E586" s="423">
        <v>2.5810595430240349E-2</v>
      </c>
      <c r="F586" s="250" t="s">
        <v>133</v>
      </c>
      <c r="G586" s="251"/>
      <c r="H586" s="252">
        <v>1</v>
      </c>
      <c r="I586" s="252">
        <v>2</v>
      </c>
      <c r="J586" s="252">
        <v>3</v>
      </c>
      <c r="K586" s="252">
        <v>3</v>
      </c>
      <c r="L586" s="253">
        <v>3</v>
      </c>
      <c r="M586" s="254">
        <f t="shared" si="18"/>
        <v>1.123005955058592</v>
      </c>
      <c r="N586" s="255"/>
    </row>
    <row r="587" spans="1:14" hidden="1" x14ac:dyDescent="0.2">
      <c r="A587" s="246" t="s">
        <v>295</v>
      </c>
      <c r="B587" s="448" t="s">
        <v>466</v>
      </c>
      <c r="C587" s="422" t="s">
        <v>42</v>
      </c>
      <c r="D587" s="252" t="s">
        <v>135</v>
      </c>
      <c r="E587" s="423">
        <v>1.01162752396324E-3</v>
      </c>
      <c r="F587" s="250" t="s">
        <v>133</v>
      </c>
      <c r="G587" s="251"/>
      <c r="H587" s="252">
        <v>1</v>
      </c>
      <c r="I587" s="252">
        <v>2</v>
      </c>
      <c r="J587" s="252">
        <v>3</v>
      </c>
      <c r="K587" s="252">
        <v>3</v>
      </c>
      <c r="L587" s="253">
        <v>3</v>
      </c>
      <c r="M587" s="254">
        <f t="shared" si="18"/>
        <v>1.123005955058592</v>
      </c>
      <c r="N587" s="255"/>
    </row>
    <row r="588" spans="1:14" hidden="1" x14ac:dyDescent="0.2">
      <c r="A588" s="246" t="s">
        <v>295</v>
      </c>
      <c r="B588" s="448" t="s">
        <v>466</v>
      </c>
      <c r="C588" s="422" t="s">
        <v>42</v>
      </c>
      <c r="D588" s="252" t="s">
        <v>135</v>
      </c>
      <c r="E588" s="423">
        <v>1.2881390471798589E-2</v>
      </c>
      <c r="F588" s="250" t="s">
        <v>133</v>
      </c>
      <c r="G588" s="251"/>
      <c r="H588" s="252">
        <v>1</v>
      </c>
      <c r="I588" s="252">
        <v>2</v>
      </c>
      <c r="J588" s="252">
        <v>3</v>
      </c>
      <c r="K588" s="252">
        <v>3</v>
      </c>
      <c r="L588" s="253">
        <v>3</v>
      </c>
      <c r="M588" s="254">
        <f t="shared" si="18"/>
        <v>1.123005955058592</v>
      </c>
      <c r="N588" s="255"/>
    </row>
    <row r="589" spans="1:14" hidden="1" x14ac:dyDescent="0.2">
      <c r="A589" s="246" t="s">
        <v>295</v>
      </c>
      <c r="B589" s="448" t="s">
        <v>466</v>
      </c>
      <c r="C589" s="422" t="s">
        <v>43</v>
      </c>
      <c r="D589" s="252" t="s">
        <v>135</v>
      </c>
      <c r="E589" s="423">
        <v>1.8618860963799859E-3</v>
      </c>
      <c r="F589" s="250" t="s">
        <v>133</v>
      </c>
      <c r="G589" s="251"/>
      <c r="H589" s="252">
        <v>1</v>
      </c>
      <c r="I589" s="252">
        <v>2</v>
      </c>
      <c r="J589" s="252">
        <v>3</v>
      </c>
      <c r="K589" s="252">
        <v>3</v>
      </c>
      <c r="L589" s="253">
        <v>3</v>
      </c>
      <c r="M589" s="254">
        <f t="shared" si="18"/>
        <v>1.123005955058592</v>
      </c>
      <c r="N589" s="255"/>
    </row>
    <row r="590" spans="1:14" hidden="1" x14ac:dyDescent="0.2">
      <c r="A590" s="246" t="s">
        <v>295</v>
      </c>
      <c r="B590" s="448" t="s">
        <v>466</v>
      </c>
      <c r="C590" s="422" t="s">
        <v>43</v>
      </c>
      <c r="D590" s="252" t="s">
        <v>135</v>
      </c>
      <c r="E590" s="423">
        <v>2.3708016293905159E-2</v>
      </c>
      <c r="F590" s="250" t="s">
        <v>133</v>
      </c>
      <c r="G590" s="251"/>
      <c r="H590" s="252">
        <v>1</v>
      </c>
      <c r="I590" s="252">
        <v>2</v>
      </c>
      <c r="J590" s="252">
        <v>3</v>
      </c>
      <c r="K590" s="252">
        <v>3</v>
      </c>
      <c r="L590" s="253">
        <v>3</v>
      </c>
      <c r="M590" s="254">
        <f t="shared" si="18"/>
        <v>1.123005955058592</v>
      </c>
      <c r="N590" s="255"/>
    </row>
    <row r="591" spans="1:14" x14ac:dyDescent="0.2">
      <c r="A591" s="246" t="s">
        <v>295</v>
      </c>
      <c r="B591" s="448" t="s">
        <v>466</v>
      </c>
      <c r="C591" s="422" t="s">
        <v>45</v>
      </c>
      <c r="D591" s="252" t="s">
        <v>135</v>
      </c>
      <c r="E591" s="423">
        <v>1.066339470997069E-3</v>
      </c>
      <c r="F591" s="250" t="s">
        <v>133</v>
      </c>
      <c r="G591" s="251"/>
      <c r="H591" s="252">
        <v>1</v>
      </c>
      <c r="I591" s="252">
        <v>2</v>
      </c>
      <c r="J591" s="252">
        <v>3</v>
      </c>
      <c r="K591" s="252">
        <v>3</v>
      </c>
      <c r="L591" s="253">
        <v>3</v>
      </c>
      <c r="M591" s="254">
        <f>IF( OR( ISBLANK(H591),ISBLANK(I591), ISBLANK(J591), ISBLANK(K591), ISBLANK(L591) ), "", 1.5*SQRT(   EXP(2.21*(H591-1)) + EXP(2.21*(I591-1)) + EXP(2.21*(J591-1)) + EXP(2.21*(K591-1)) + EXP(2.21*L591)   )/100*2.45 )</f>
        <v>1.123005955058592</v>
      </c>
      <c r="N591" s="255"/>
    </row>
    <row r="592" spans="1:14" x14ac:dyDescent="0.2">
      <c r="A592" s="246" t="s">
        <v>295</v>
      </c>
      <c r="B592" s="448" t="s">
        <v>466</v>
      </c>
      <c r="C592" s="422" t="s">
        <v>45</v>
      </c>
      <c r="D592" s="252" t="s">
        <v>135</v>
      </c>
      <c r="E592" s="423">
        <v>1.357805593069601E-2</v>
      </c>
      <c r="F592" s="250" t="s">
        <v>133</v>
      </c>
      <c r="G592" s="251"/>
      <c r="H592" s="252">
        <v>1</v>
      </c>
      <c r="I592" s="252">
        <v>2</v>
      </c>
      <c r="J592" s="252">
        <v>3</v>
      </c>
      <c r="K592" s="252">
        <v>3</v>
      </c>
      <c r="L592" s="253">
        <v>3</v>
      </c>
      <c r="M592" s="254">
        <f t="shared" ref="M592:M623" si="19">IF( OR( ISBLANK(H592),ISBLANK(I592), ISBLANK(J592), ISBLANK(K592), ISBLANK(L592) ), "", 1.5*SQRT( EXP(2.21*(H592-1)) + EXP(2.21*(I592-1)) + EXP(2.21*(J592-1)) + EXP(2.21*(K592-1)) + EXP(2.21*L592) )/100*2.45 )</f>
        <v>1.123005955058592</v>
      </c>
      <c r="N592" s="255"/>
    </row>
    <row r="593" spans="1:14" hidden="1" x14ac:dyDescent="0.2">
      <c r="A593" s="246" t="s">
        <v>295</v>
      </c>
      <c r="B593" s="448" t="s">
        <v>466</v>
      </c>
      <c r="C593" s="422" t="s">
        <v>46</v>
      </c>
      <c r="D593" s="252" t="s">
        <v>135</v>
      </c>
      <c r="E593" s="423">
        <v>3.3239731216443218E-3</v>
      </c>
      <c r="F593" s="250" t="s">
        <v>133</v>
      </c>
      <c r="G593" s="251"/>
      <c r="H593" s="252">
        <v>1</v>
      </c>
      <c r="I593" s="252">
        <v>2</v>
      </c>
      <c r="J593" s="252">
        <v>3</v>
      </c>
      <c r="K593" s="252">
        <v>3</v>
      </c>
      <c r="L593" s="253">
        <v>3</v>
      </c>
      <c r="M593" s="254">
        <f t="shared" si="19"/>
        <v>1.123005955058592</v>
      </c>
      <c r="N593" s="255"/>
    </row>
    <row r="594" spans="1:14" hidden="1" x14ac:dyDescent="0.2">
      <c r="A594" s="246" t="s">
        <v>295</v>
      </c>
      <c r="B594" s="448" t="s">
        <v>466</v>
      </c>
      <c r="C594" s="422" t="s">
        <v>46</v>
      </c>
      <c r="D594" s="252" t="s">
        <v>135</v>
      </c>
      <c r="E594" s="423">
        <v>4.2325257748937702E-2</v>
      </c>
      <c r="F594" s="250" t="s">
        <v>133</v>
      </c>
      <c r="G594" s="251"/>
      <c r="H594" s="252">
        <v>1</v>
      </c>
      <c r="I594" s="252">
        <v>2</v>
      </c>
      <c r="J594" s="252">
        <v>3</v>
      </c>
      <c r="K594" s="252">
        <v>3</v>
      </c>
      <c r="L594" s="253">
        <v>3</v>
      </c>
      <c r="M594" s="254">
        <f t="shared" si="19"/>
        <v>1.123005955058592</v>
      </c>
      <c r="N594" s="255"/>
    </row>
    <row r="595" spans="1:14" hidden="1" x14ac:dyDescent="0.2">
      <c r="A595" s="246" t="s">
        <v>295</v>
      </c>
      <c r="B595" s="448" t="s">
        <v>466</v>
      </c>
      <c r="C595" s="422" t="s">
        <v>48</v>
      </c>
      <c r="D595" s="252" t="s">
        <v>135</v>
      </c>
      <c r="E595" s="423">
        <v>2.852597252873942E-3</v>
      </c>
      <c r="F595" s="250" t="s">
        <v>133</v>
      </c>
      <c r="G595" s="251"/>
      <c r="H595" s="252">
        <v>1</v>
      </c>
      <c r="I595" s="252">
        <v>2</v>
      </c>
      <c r="J595" s="252">
        <v>3</v>
      </c>
      <c r="K595" s="252">
        <v>3</v>
      </c>
      <c r="L595" s="253">
        <v>3</v>
      </c>
      <c r="M595" s="254">
        <f t="shared" si="19"/>
        <v>1.123005955058592</v>
      </c>
      <c r="N595" s="255"/>
    </row>
    <row r="596" spans="1:14" hidden="1" x14ac:dyDescent="0.2">
      <c r="A596" s="246" t="s">
        <v>295</v>
      </c>
      <c r="B596" s="448" t="s">
        <v>466</v>
      </c>
      <c r="C596" s="422" t="s">
        <v>48</v>
      </c>
      <c r="D596" s="252" t="s">
        <v>135</v>
      </c>
      <c r="E596" s="423">
        <v>3.6323071686594863E-2</v>
      </c>
      <c r="F596" s="250" t="s">
        <v>133</v>
      </c>
      <c r="G596" s="251"/>
      <c r="H596" s="252">
        <v>1</v>
      </c>
      <c r="I596" s="252">
        <v>2</v>
      </c>
      <c r="J596" s="252">
        <v>3</v>
      </c>
      <c r="K596" s="252">
        <v>3</v>
      </c>
      <c r="L596" s="253">
        <v>3</v>
      </c>
      <c r="M596" s="254">
        <f t="shared" si="19"/>
        <v>1.123005955058592</v>
      </c>
      <c r="N596" s="255"/>
    </row>
    <row r="597" spans="1:14" hidden="1" x14ac:dyDescent="0.2">
      <c r="A597" s="246" t="s">
        <v>295</v>
      </c>
      <c r="B597" s="448" t="s">
        <v>466</v>
      </c>
      <c r="C597" s="422" t="s">
        <v>50</v>
      </c>
      <c r="D597" s="252" t="s">
        <v>135</v>
      </c>
      <c r="E597" s="423">
        <v>3.3290951612371948E-3</v>
      </c>
      <c r="F597" s="250" t="s">
        <v>133</v>
      </c>
      <c r="G597" s="251"/>
      <c r="H597" s="252">
        <v>1</v>
      </c>
      <c r="I597" s="252">
        <v>2</v>
      </c>
      <c r="J597" s="252">
        <v>3</v>
      </c>
      <c r="K597" s="252">
        <v>3</v>
      </c>
      <c r="L597" s="253">
        <v>3</v>
      </c>
      <c r="M597" s="254">
        <f t="shared" si="19"/>
        <v>1.123005955058592</v>
      </c>
      <c r="N597" s="255"/>
    </row>
    <row r="598" spans="1:14" hidden="1" x14ac:dyDescent="0.2">
      <c r="A598" s="246" t="s">
        <v>295</v>
      </c>
      <c r="B598" s="448" t="s">
        <v>466</v>
      </c>
      <c r="C598" s="422" t="s">
        <v>50</v>
      </c>
      <c r="D598" s="252" t="s">
        <v>135</v>
      </c>
      <c r="E598" s="423">
        <v>4.239047838642028E-2</v>
      </c>
      <c r="F598" s="250" t="s">
        <v>133</v>
      </c>
      <c r="G598" s="251"/>
      <c r="H598" s="252">
        <v>1</v>
      </c>
      <c r="I598" s="252">
        <v>2</v>
      </c>
      <c r="J598" s="252">
        <v>3</v>
      </c>
      <c r="K598" s="252">
        <v>3</v>
      </c>
      <c r="L598" s="253">
        <v>3</v>
      </c>
      <c r="M598" s="254">
        <f t="shared" si="19"/>
        <v>1.123005955058592</v>
      </c>
      <c r="N598" s="255"/>
    </row>
    <row r="599" spans="1:14" hidden="1" x14ac:dyDescent="0.2">
      <c r="A599" s="246" t="s">
        <v>295</v>
      </c>
      <c r="B599" s="448" t="s">
        <v>466</v>
      </c>
      <c r="C599" s="422" t="s">
        <v>52</v>
      </c>
      <c r="D599" s="252" t="s">
        <v>135</v>
      </c>
      <c r="E599" s="423">
        <v>3.7221252346915259E-3</v>
      </c>
      <c r="F599" s="250" t="s">
        <v>133</v>
      </c>
      <c r="G599" s="251"/>
      <c r="H599" s="252">
        <v>1</v>
      </c>
      <c r="I599" s="252">
        <v>2</v>
      </c>
      <c r="J599" s="252">
        <v>3</v>
      </c>
      <c r="K599" s="252">
        <v>3</v>
      </c>
      <c r="L599" s="253">
        <v>3</v>
      </c>
      <c r="M599" s="254">
        <f t="shared" si="19"/>
        <v>1.123005955058592</v>
      </c>
      <c r="N599" s="255"/>
    </row>
    <row r="600" spans="1:14" hidden="1" x14ac:dyDescent="0.2">
      <c r="A600" s="246" t="s">
        <v>295</v>
      </c>
      <c r="B600" s="448" t="s">
        <v>466</v>
      </c>
      <c r="C600" s="422" t="s">
        <v>52</v>
      </c>
      <c r="D600" s="252" t="s">
        <v>135</v>
      </c>
      <c r="E600" s="423">
        <v>4.7395061321738763E-2</v>
      </c>
      <c r="F600" s="250" t="s">
        <v>133</v>
      </c>
      <c r="G600" s="251"/>
      <c r="H600" s="252">
        <v>1</v>
      </c>
      <c r="I600" s="252">
        <v>2</v>
      </c>
      <c r="J600" s="252">
        <v>3</v>
      </c>
      <c r="K600" s="252">
        <v>3</v>
      </c>
      <c r="L600" s="253">
        <v>3</v>
      </c>
      <c r="M600" s="254">
        <f t="shared" si="19"/>
        <v>1.123005955058592</v>
      </c>
      <c r="N600" s="255"/>
    </row>
    <row r="601" spans="1:14" hidden="1" x14ac:dyDescent="0.2">
      <c r="A601" s="246" t="s">
        <v>295</v>
      </c>
      <c r="B601" s="448" t="s">
        <v>466</v>
      </c>
      <c r="C601" s="422" t="s">
        <v>54</v>
      </c>
      <c r="D601" s="252" t="s">
        <v>135</v>
      </c>
      <c r="E601" s="423">
        <v>1.5078395204058111E-3</v>
      </c>
      <c r="F601" s="250" t="s">
        <v>133</v>
      </c>
      <c r="G601" s="251"/>
      <c r="H601" s="252">
        <v>1</v>
      </c>
      <c r="I601" s="252">
        <v>2</v>
      </c>
      <c r="J601" s="252">
        <v>3</v>
      </c>
      <c r="K601" s="252">
        <v>3</v>
      </c>
      <c r="L601" s="253">
        <v>3</v>
      </c>
      <c r="M601" s="254">
        <f t="shared" si="19"/>
        <v>1.123005955058592</v>
      </c>
      <c r="N601" s="255"/>
    </row>
    <row r="602" spans="1:14" hidden="1" x14ac:dyDescent="0.2">
      <c r="A602" s="246" t="s">
        <v>295</v>
      </c>
      <c r="B602" s="448" t="s">
        <v>466</v>
      </c>
      <c r="C602" s="422" t="s">
        <v>54</v>
      </c>
      <c r="D602" s="252" t="s">
        <v>135</v>
      </c>
      <c r="E602" s="423">
        <v>1.919982322650066E-2</v>
      </c>
      <c r="F602" s="250" t="s">
        <v>133</v>
      </c>
      <c r="G602" s="251"/>
      <c r="H602" s="252">
        <v>1</v>
      </c>
      <c r="I602" s="252">
        <v>2</v>
      </c>
      <c r="J602" s="252">
        <v>3</v>
      </c>
      <c r="K602" s="252">
        <v>3</v>
      </c>
      <c r="L602" s="253">
        <v>3</v>
      </c>
      <c r="M602" s="254">
        <f t="shared" si="19"/>
        <v>1.123005955058592</v>
      </c>
      <c r="N602" s="255"/>
    </row>
    <row r="603" spans="1:14" hidden="1" x14ac:dyDescent="0.2">
      <c r="A603" s="246" t="s">
        <v>295</v>
      </c>
      <c r="B603" s="448" t="s">
        <v>466</v>
      </c>
      <c r="C603" s="422" t="s">
        <v>55</v>
      </c>
      <c r="D603" s="252" t="s">
        <v>135</v>
      </c>
      <c r="E603" s="423">
        <v>2.172930597186996E-3</v>
      </c>
      <c r="F603" s="250" t="s">
        <v>133</v>
      </c>
      <c r="G603" s="251"/>
      <c r="H603" s="252">
        <v>1</v>
      </c>
      <c r="I603" s="252">
        <v>2</v>
      </c>
      <c r="J603" s="252">
        <v>3</v>
      </c>
      <c r="K603" s="252">
        <v>3</v>
      </c>
      <c r="L603" s="253">
        <v>3</v>
      </c>
      <c r="M603" s="254">
        <f t="shared" si="19"/>
        <v>1.123005955058592</v>
      </c>
      <c r="N603" s="255"/>
    </row>
    <row r="604" spans="1:14" hidden="1" x14ac:dyDescent="0.2">
      <c r="A604" s="246" t="s">
        <v>295</v>
      </c>
      <c r="B604" s="448" t="s">
        <v>466</v>
      </c>
      <c r="C604" s="422" t="s">
        <v>55</v>
      </c>
      <c r="D604" s="252" t="s">
        <v>135</v>
      </c>
      <c r="E604" s="423">
        <v>2.766864960418108E-2</v>
      </c>
      <c r="F604" s="250" t="s">
        <v>133</v>
      </c>
      <c r="G604" s="251"/>
      <c r="H604" s="252">
        <v>1</v>
      </c>
      <c r="I604" s="252">
        <v>2</v>
      </c>
      <c r="J604" s="252">
        <v>3</v>
      </c>
      <c r="K604" s="252">
        <v>3</v>
      </c>
      <c r="L604" s="253">
        <v>3</v>
      </c>
      <c r="M604" s="254">
        <f t="shared" si="19"/>
        <v>1.123005955058592</v>
      </c>
      <c r="N604" s="255"/>
    </row>
    <row r="605" spans="1:14" hidden="1" x14ac:dyDescent="0.2">
      <c r="A605" s="246" t="s">
        <v>295</v>
      </c>
      <c r="B605" s="448" t="s">
        <v>466</v>
      </c>
      <c r="C605" s="422" t="s">
        <v>57</v>
      </c>
      <c r="D605" s="252" t="s">
        <v>135</v>
      </c>
      <c r="E605" s="423">
        <v>1.066339470997069E-3</v>
      </c>
      <c r="F605" s="250" t="s">
        <v>133</v>
      </c>
      <c r="G605" s="251"/>
      <c r="H605" s="252">
        <v>1</v>
      </c>
      <c r="I605" s="252">
        <v>2</v>
      </c>
      <c r="J605" s="252">
        <v>3</v>
      </c>
      <c r="K605" s="252">
        <v>3</v>
      </c>
      <c r="L605" s="253">
        <v>3</v>
      </c>
      <c r="M605" s="254">
        <f t="shared" si="19"/>
        <v>1.123005955058592</v>
      </c>
      <c r="N605" s="255"/>
    </row>
    <row r="606" spans="1:14" hidden="1" x14ac:dyDescent="0.2">
      <c r="A606" s="246" t="s">
        <v>295</v>
      </c>
      <c r="B606" s="448" t="s">
        <v>466</v>
      </c>
      <c r="C606" s="422" t="s">
        <v>57</v>
      </c>
      <c r="D606" s="252" t="s">
        <v>135</v>
      </c>
      <c r="E606" s="423">
        <v>1.357805593069601E-2</v>
      </c>
      <c r="F606" s="250" t="s">
        <v>133</v>
      </c>
      <c r="G606" s="251"/>
      <c r="H606" s="252">
        <v>1</v>
      </c>
      <c r="I606" s="252">
        <v>2</v>
      </c>
      <c r="J606" s="252">
        <v>3</v>
      </c>
      <c r="K606" s="252">
        <v>3</v>
      </c>
      <c r="L606" s="253">
        <v>3</v>
      </c>
      <c r="M606" s="254">
        <f t="shared" si="19"/>
        <v>1.123005955058592</v>
      </c>
      <c r="N606" s="255"/>
    </row>
    <row r="607" spans="1:14" hidden="1" x14ac:dyDescent="0.2">
      <c r="A607" s="246" t="s">
        <v>295</v>
      </c>
      <c r="B607" s="448" t="s">
        <v>466</v>
      </c>
      <c r="C607" s="422" t="s">
        <v>59</v>
      </c>
      <c r="D607" s="252" t="s">
        <v>135</v>
      </c>
      <c r="E607" s="423">
        <v>1.5E-3</v>
      </c>
      <c r="F607" s="250" t="s">
        <v>133</v>
      </c>
      <c r="G607" s="251"/>
      <c r="H607" s="252">
        <v>1</v>
      </c>
      <c r="I607" s="252">
        <v>2</v>
      </c>
      <c r="J607" s="252">
        <v>3</v>
      </c>
      <c r="K607" s="252">
        <v>3</v>
      </c>
      <c r="L607" s="253">
        <v>3</v>
      </c>
      <c r="M607" s="254">
        <f t="shared" si="19"/>
        <v>1.123005955058592</v>
      </c>
      <c r="N607" s="255"/>
    </row>
    <row r="608" spans="1:14" hidden="1" x14ac:dyDescent="0.2">
      <c r="A608" s="246" t="s">
        <v>295</v>
      </c>
      <c r="B608" s="448" t="s">
        <v>466</v>
      </c>
      <c r="C608" s="422" t="s">
        <v>59</v>
      </c>
      <c r="D608" s="252" t="s">
        <v>135</v>
      </c>
      <c r="E608" s="423">
        <v>1.9099999999999999E-2</v>
      </c>
      <c r="F608" s="250" t="s">
        <v>133</v>
      </c>
      <c r="G608" s="251"/>
      <c r="H608" s="252">
        <v>1</v>
      </c>
      <c r="I608" s="252">
        <v>2</v>
      </c>
      <c r="J608" s="252">
        <v>3</v>
      </c>
      <c r="K608" s="252">
        <v>3</v>
      </c>
      <c r="L608" s="253">
        <v>3</v>
      </c>
      <c r="M608" s="254">
        <f t="shared" si="19"/>
        <v>1.123005955058592</v>
      </c>
      <c r="N608" s="255"/>
    </row>
    <row r="609" spans="1:14" hidden="1" x14ac:dyDescent="0.2">
      <c r="A609" s="246" t="s">
        <v>295</v>
      </c>
      <c r="B609" s="448" t="s">
        <v>466</v>
      </c>
      <c r="C609" s="422" t="s">
        <v>60</v>
      </c>
      <c r="D609" s="252" t="s">
        <v>135</v>
      </c>
      <c r="E609" s="423">
        <v>1.953028755887876E-3</v>
      </c>
      <c r="F609" s="250" t="s">
        <v>133</v>
      </c>
      <c r="G609" s="424" t="s">
        <v>16</v>
      </c>
      <c r="H609" s="252">
        <v>1</v>
      </c>
      <c r="I609" s="252">
        <v>2</v>
      </c>
      <c r="J609" s="252">
        <v>3</v>
      </c>
      <c r="K609" s="252">
        <v>3</v>
      </c>
      <c r="L609" s="253">
        <v>3</v>
      </c>
      <c r="M609" s="254">
        <f t="shared" si="19"/>
        <v>1.123005955058592</v>
      </c>
      <c r="N609" s="255"/>
    </row>
    <row r="610" spans="1:14" hidden="1" x14ac:dyDescent="0.2">
      <c r="A610" s="464" t="s">
        <v>295</v>
      </c>
      <c r="B610" s="465" t="s">
        <v>466</v>
      </c>
      <c r="C610" s="427" t="s">
        <v>60</v>
      </c>
      <c r="D610" s="291" t="s">
        <v>135</v>
      </c>
      <c r="E610" s="428">
        <v>2.486856615830562E-2</v>
      </c>
      <c r="F610" s="289" t="s">
        <v>133</v>
      </c>
      <c r="G610" s="429" t="s">
        <v>16</v>
      </c>
      <c r="H610" s="291">
        <v>1</v>
      </c>
      <c r="I610" s="291">
        <v>2</v>
      </c>
      <c r="J610" s="291">
        <v>3</v>
      </c>
      <c r="K610" s="291">
        <v>3</v>
      </c>
      <c r="L610" s="292">
        <v>3</v>
      </c>
      <c r="M610" s="293">
        <f t="shared" si="19"/>
        <v>1.123005955058592</v>
      </c>
      <c r="N610" s="294"/>
    </row>
    <row r="611" spans="1:14" hidden="1" x14ac:dyDescent="0.2">
      <c r="A611" s="246" t="s">
        <v>311</v>
      </c>
      <c r="B611" s="448" t="s">
        <v>466</v>
      </c>
      <c r="C611" s="422" t="s">
        <v>13</v>
      </c>
      <c r="D611" s="252" t="s">
        <v>135</v>
      </c>
      <c r="E611" s="423">
        <v>1.142330116275239E-3</v>
      </c>
      <c r="F611" s="250" t="s">
        <v>133</v>
      </c>
      <c r="G611" s="251" t="s">
        <v>16</v>
      </c>
      <c r="H611" s="252">
        <v>1</v>
      </c>
      <c r="I611" s="252">
        <v>2</v>
      </c>
      <c r="J611" s="252">
        <v>3</v>
      </c>
      <c r="K611" s="252">
        <v>3</v>
      </c>
      <c r="L611" s="253">
        <v>3</v>
      </c>
      <c r="M611" s="254">
        <f t="shared" si="19"/>
        <v>1.123005955058592</v>
      </c>
      <c r="N611" s="255"/>
    </row>
    <row r="612" spans="1:14" hidden="1" x14ac:dyDescent="0.2">
      <c r="A612" s="246" t="s">
        <v>311</v>
      </c>
      <c r="B612" s="448" t="s">
        <v>466</v>
      </c>
      <c r="C612" s="422" t="s">
        <v>13</v>
      </c>
      <c r="D612" s="252" t="s">
        <v>135</v>
      </c>
      <c r="E612" s="423">
        <v>1.454567014723805E-2</v>
      </c>
      <c r="F612" s="250" t="s">
        <v>133</v>
      </c>
      <c r="G612" s="251"/>
      <c r="H612" s="252">
        <v>1</v>
      </c>
      <c r="I612" s="252">
        <v>2</v>
      </c>
      <c r="J612" s="252">
        <v>3</v>
      </c>
      <c r="K612" s="252">
        <v>3</v>
      </c>
      <c r="L612" s="253">
        <v>3</v>
      </c>
      <c r="M612" s="254">
        <f t="shared" si="19"/>
        <v>1.123005955058592</v>
      </c>
      <c r="N612" s="255"/>
    </row>
    <row r="613" spans="1:14" hidden="1" x14ac:dyDescent="0.2">
      <c r="A613" s="246" t="s">
        <v>311</v>
      </c>
      <c r="B613" s="448" t="s">
        <v>466</v>
      </c>
      <c r="C613" s="422" t="s">
        <v>18</v>
      </c>
      <c r="D613" s="252" t="s">
        <v>135</v>
      </c>
      <c r="E613" s="423">
        <v>2.8968345465924441E-3</v>
      </c>
      <c r="F613" s="250" t="s">
        <v>133</v>
      </c>
      <c r="G613" s="251"/>
      <c r="H613" s="252">
        <v>1</v>
      </c>
      <c r="I613" s="252">
        <v>2</v>
      </c>
      <c r="J613" s="252">
        <v>3</v>
      </c>
      <c r="K613" s="252">
        <v>3</v>
      </c>
      <c r="L613" s="253">
        <v>3</v>
      </c>
      <c r="M613" s="254">
        <f t="shared" si="19"/>
        <v>1.123005955058592</v>
      </c>
      <c r="N613" s="255"/>
    </row>
    <row r="614" spans="1:14" hidden="1" x14ac:dyDescent="0.2">
      <c r="A614" s="246" t="s">
        <v>311</v>
      </c>
      <c r="B614" s="448" t="s">
        <v>466</v>
      </c>
      <c r="C614" s="422" t="s">
        <v>18</v>
      </c>
      <c r="D614" s="252" t="s">
        <v>135</v>
      </c>
      <c r="E614" s="423">
        <v>3.6886359893277133E-2</v>
      </c>
      <c r="F614" s="250" t="s">
        <v>133</v>
      </c>
      <c r="G614" s="251"/>
      <c r="H614" s="252">
        <v>1</v>
      </c>
      <c r="I614" s="252">
        <v>2</v>
      </c>
      <c r="J614" s="252">
        <v>3</v>
      </c>
      <c r="K614" s="252">
        <v>3</v>
      </c>
      <c r="L614" s="253">
        <v>3</v>
      </c>
      <c r="M614" s="254">
        <f t="shared" si="19"/>
        <v>1.123005955058592</v>
      </c>
      <c r="N614" s="255"/>
    </row>
    <row r="615" spans="1:14" hidden="1" x14ac:dyDescent="0.2">
      <c r="A615" s="246" t="s">
        <v>311</v>
      </c>
      <c r="B615" s="448" t="s">
        <v>466</v>
      </c>
      <c r="C615" s="422" t="s">
        <v>20</v>
      </c>
      <c r="D615" s="252" t="s">
        <v>135</v>
      </c>
      <c r="E615" s="423">
        <v>3.52435850983234E-3</v>
      </c>
      <c r="F615" s="250" t="s">
        <v>133</v>
      </c>
      <c r="G615" s="251"/>
      <c r="H615" s="252">
        <v>1</v>
      </c>
      <c r="I615" s="252">
        <v>2</v>
      </c>
      <c r="J615" s="252">
        <v>3</v>
      </c>
      <c r="K615" s="252">
        <v>3</v>
      </c>
      <c r="L615" s="253">
        <v>3</v>
      </c>
      <c r="M615" s="254">
        <f t="shared" si="19"/>
        <v>1.123005955058592</v>
      </c>
      <c r="N615" s="255"/>
    </row>
    <row r="616" spans="1:14" hidden="1" x14ac:dyDescent="0.2">
      <c r="A616" s="246" t="s">
        <v>311</v>
      </c>
      <c r="B616" s="448" t="s">
        <v>466</v>
      </c>
      <c r="C616" s="422" t="s">
        <v>20</v>
      </c>
      <c r="D616" s="252" t="s">
        <v>135</v>
      </c>
      <c r="E616" s="423">
        <v>4.4876831691865127E-2</v>
      </c>
      <c r="F616" s="250" t="s">
        <v>133</v>
      </c>
      <c r="G616" s="251"/>
      <c r="H616" s="252">
        <v>1</v>
      </c>
      <c r="I616" s="252">
        <v>2</v>
      </c>
      <c r="J616" s="252">
        <v>3</v>
      </c>
      <c r="K616" s="252">
        <v>3</v>
      </c>
      <c r="L616" s="253">
        <v>3</v>
      </c>
      <c r="M616" s="254">
        <f t="shared" si="19"/>
        <v>1.123005955058592</v>
      </c>
      <c r="N616" s="255"/>
    </row>
    <row r="617" spans="1:14" hidden="1" x14ac:dyDescent="0.2">
      <c r="A617" s="246" t="s">
        <v>311</v>
      </c>
      <c r="B617" s="448" t="s">
        <v>466</v>
      </c>
      <c r="C617" s="422" t="s">
        <v>22</v>
      </c>
      <c r="D617" s="252" t="s">
        <v>135</v>
      </c>
      <c r="E617" s="423">
        <v>2.3530089923910541E-3</v>
      </c>
      <c r="F617" s="250" t="s">
        <v>133</v>
      </c>
      <c r="G617" s="251"/>
      <c r="H617" s="252">
        <v>1</v>
      </c>
      <c r="I617" s="252">
        <v>2</v>
      </c>
      <c r="J617" s="252">
        <v>3</v>
      </c>
      <c r="K617" s="252">
        <v>3</v>
      </c>
      <c r="L617" s="253">
        <v>3</v>
      </c>
      <c r="M617" s="254">
        <f t="shared" si="19"/>
        <v>1.123005955058592</v>
      </c>
      <c r="N617" s="255"/>
    </row>
    <row r="618" spans="1:14" hidden="1" x14ac:dyDescent="0.2">
      <c r="A618" s="246" t="s">
        <v>311</v>
      </c>
      <c r="B618" s="448" t="s">
        <v>466</v>
      </c>
      <c r="C618" s="422" t="s">
        <v>22</v>
      </c>
      <c r="D618" s="252" t="s">
        <v>135</v>
      </c>
      <c r="E618" s="423">
        <v>2.9961647836446101E-2</v>
      </c>
      <c r="F618" s="250" t="s">
        <v>133</v>
      </c>
      <c r="G618" s="251"/>
      <c r="H618" s="252">
        <v>1</v>
      </c>
      <c r="I618" s="252">
        <v>2</v>
      </c>
      <c r="J618" s="252">
        <v>3</v>
      </c>
      <c r="K618" s="252">
        <v>3</v>
      </c>
      <c r="L618" s="253">
        <v>3</v>
      </c>
      <c r="M618" s="254">
        <f t="shared" si="19"/>
        <v>1.123005955058592</v>
      </c>
      <c r="N618" s="255"/>
    </row>
    <row r="619" spans="1:14" hidden="1" x14ac:dyDescent="0.2">
      <c r="A619" s="246" t="s">
        <v>311</v>
      </c>
      <c r="B619" s="448" t="s">
        <v>466</v>
      </c>
      <c r="C619" s="422" t="s">
        <v>23</v>
      </c>
      <c r="D619" s="252" t="s">
        <v>135</v>
      </c>
      <c r="E619" s="423">
        <v>2.366876379327382E-3</v>
      </c>
      <c r="F619" s="250" t="s">
        <v>133</v>
      </c>
      <c r="G619" s="251"/>
      <c r="H619" s="252">
        <v>1</v>
      </c>
      <c r="I619" s="252">
        <v>2</v>
      </c>
      <c r="J619" s="252">
        <v>3</v>
      </c>
      <c r="K619" s="252">
        <v>3</v>
      </c>
      <c r="L619" s="253">
        <v>3</v>
      </c>
      <c r="M619" s="254">
        <f t="shared" si="19"/>
        <v>1.123005955058592</v>
      </c>
      <c r="N619" s="255"/>
    </row>
    <row r="620" spans="1:14" hidden="1" x14ac:dyDescent="0.2">
      <c r="A620" s="246" t="s">
        <v>311</v>
      </c>
      <c r="B620" s="448" t="s">
        <v>466</v>
      </c>
      <c r="C620" s="422" t="s">
        <v>23</v>
      </c>
      <c r="D620" s="252" t="s">
        <v>135</v>
      </c>
      <c r="E620" s="423">
        <v>3.0138225896768671E-2</v>
      </c>
      <c r="F620" s="250" t="s">
        <v>133</v>
      </c>
      <c r="G620" s="251"/>
      <c r="H620" s="252">
        <v>1</v>
      </c>
      <c r="I620" s="252">
        <v>2</v>
      </c>
      <c r="J620" s="252">
        <v>3</v>
      </c>
      <c r="K620" s="252">
        <v>3</v>
      </c>
      <c r="L620" s="253">
        <v>3</v>
      </c>
      <c r="M620" s="254">
        <f t="shared" si="19"/>
        <v>1.123005955058592</v>
      </c>
      <c r="N620" s="255"/>
    </row>
    <row r="621" spans="1:14" hidden="1" x14ac:dyDescent="0.2">
      <c r="A621" s="246" t="s">
        <v>311</v>
      </c>
      <c r="B621" s="448" t="s">
        <v>466</v>
      </c>
      <c r="C621" s="422" t="s">
        <v>24</v>
      </c>
      <c r="D621" s="252" t="s">
        <v>135</v>
      </c>
      <c r="E621" s="423">
        <v>2.5022563325537732E-3</v>
      </c>
      <c r="F621" s="250" t="s">
        <v>133</v>
      </c>
      <c r="G621" s="251"/>
      <c r="H621" s="252">
        <v>1</v>
      </c>
      <c r="I621" s="252">
        <v>2</v>
      </c>
      <c r="J621" s="252">
        <v>3</v>
      </c>
      <c r="K621" s="252">
        <v>3</v>
      </c>
      <c r="L621" s="253">
        <v>3</v>
      </c>
      <c r="M621" s="254">
        <f t="shared" si="19"/>
        <v>1.123005955058592</v>
      </c>
      <c r="N621" s="255"/>
    </row>
    <row r="622" spans="1:14" hidden="1" x14ac:dyDescent="0.2">
      <c r="A622" s="246" t="s">
        <v>311</v>
      </c>
      <c r="B622" s="448" t="s">
        <v>466</v>
      </c>
      <c r="C622" s="422" t="s">
        <v>24</v>
      </c>
      <c r="D622" s="252" t="s">
        <v>135</v>
      </c>
      <c r="E622" s="423">
        <v>3.1862063967851378E-2</v>
      </c>
      <c r="F622" s="250" t="s">
        <v>133</v>
      </c>
      <c r="G622" s="251"/>
      <c r="H622" s="252">
        <v>1</v>
      </c>
      <c r="I622" s="252">
        <v>2</v>
      </c>
      <c r="J622" s="252">
        <v>3</v>
      </c>
      <c r="K622" s="252">
        <v>3</v>
      </c>
      <c r="L622" s="253">
        <v>3</v>
      </c>
      <c r="M622" s="254">
        <f t="shared" si="19"/>
        <v>1.123005955058592</v>
      </c>
      <c r="N622" s="255"/>
    </row>
    <row r="623" spans="1:14" hidden="1" x14ac:dyDescent="0.2">
      <c r="A623" s="246" t="s">
        <v>311</v>
      </c>
      <c r="B623" s="448" t="s">
        <v>466</v>
      </c>
      <c r="C623" s="422" t="s">
        <v>25</v>
      </c>
      <c r="D623" s="252" t="s">
        <v>135</v>
      </c>
      <c r="E623" s="423">
        <v>1.510655818702856E-3</v>
      </c>
      <c r="F623" s="250" t="s">
        <v>133</v>
      </c>
      <c r="G623" s="251"/>
      <c r="H623" s="252">
        <v>1</v>
      </c>
      <c r="I623" s="252">
        <v>2</v>
      </c>
      <c r="J623" s="252">
        <v>3</v>
      </c>
      <c r="K623" s="252">
        <v>3</v>
      </c>
      <c r="L623" s="253">
        <v>3</v>
      </c>
      <c r="M623" s="254">
        <f t="shared" si="19"/>
        <v>1.123005955058592</v>
      </c>
      <c r="N623" s="255"/>
    </row>
    <row r="624" spans="1:14" hidden="1" x14ac:dyDescent="0.2">
      <c r="A624" s="246" t="s">
        <v>311</v>
      </c>
      <c r="B624" s="448" t="s">
        <v>466</v>
      </c>
      <c r="C624" s="422" t="s">
        <v>25</v>
      </c>
      <c r="D624" s="252" t="s">
        <v>135</v>
      </c>
      <c r="E624" s="423">
        <v>1.9235684091483029E-2</v>
      </c>
      <c r="F624" s="250" t="s">
        <v>133</v>
      </c>
      <c r="G624" s="251"/>
      <c r="H624" s="252">
        <v>1</v>
      </c>
      <c r="I624" s="252">
        <v>2</v>
      </c>
      <c r="J624" s="252">
        <v>3</v>
      </c>
      <c r="K624" s="252">
        <v>3</v>
      </c>
      <c r="L624" s="253">
        <v>3</v>
      </c>
      <c r="M624" s="254">
        <f t="shared" ref="M624:M654" si="20">IF( OR( ISBLANK(H624),ISBLANK(I624), ISBLANK(J624), ISBLANK(K624), ISBLANK(L624) ), "", 1.5*SQRT( EXP(2.21*(H624-1)) + EXP(2.21*(I624-1)) + EXP(2.21*(J624-1)) + EXP(2.21*(K624-1)) + EXP(2.21*L624) )/100*2.45 )</f>
        <v>1.123005955058592</v>
      </c>
      <c r="N624" s="255"/>
    </row>
    <row r="625" spans="1:14" hidden="1" x14ac:dyDescent="0.2">
      <c r="A625" s="246" t="s">
        <v>311</v>
      </c>
      <c r="B625" s="448" t="s">
        <v>466</v>
      </c>
      <c r="C625" s="422" t="s">
        <v>26</v>
      </c>
      <c r="D625" s="252" t="s">
        <v>135</v>
      </c>
      <c r="E625" s="423">
        <v>1.262887446885602E-3</v>
      </c>
      <c r="F625" s="250" t="s">
        <v>133</v>
      </c>
      <c r="G625" s="251"/>
      <c r="H625" s="252">
        <v>1</v>
      </c>
      <c r="I625" s="252">
        <v>2</v>
      </c>
      <c r="J625" s="252">
        <v>3</v>
      </c>
      <c r="K625" s="252">
        <v>3</v>
      </c>
      <c r="L625" s="253">
        <v>3</v>
      </c>
      <c r="M625" s="254">
        <f t="shared" si="20"/>
        <v>1.123005955058592</v>
      </c>
      <c r="N625" s="255"/>
    </row>
    <row r="626" spans="1:14" hidden="1" x14ac:dyDescent="0.2">
      <c r="A626" s="246" t="s">
        <v>311</v>
      </c>
      <c r="B626" s="448" t="s">
        <v>466</v>
      </c>
      <c r="C626" s="422" t="s">
        <v>26</v>
      </c>
      <c r="D626" s="252" t="s">
        <v>135</v>
      </c>
      <c r="E626" s="423">
        <v>1.6080766823676668E-2</v>
      </c>
      <c r="F626" s="250" t="s">
        <v>133</v>
      </c>
      <c r="G626" s="251"/>
      <c r="H626" s="252">
        <v>1</v>
      </c>
      <c r="I626" s="252">
        <v>2</v>
      </c>
      <c r="J626" s="252">
        <v>3</v>
      </c>
      <c r="K626" s="252">
        <v>3</v>
      </c>
      <c r="L626" s="253">
        <v>3</v>
      </c>
      <c r="M626" s="254">
        <f t="shared" si="20"/>
        <v>1.123005955058592</v>
      </c>
      <c r="N626" s="255"/>
    </row>
    <row r="627" spans="1:14" hidden="1" x14ac:dyDescent="0.2">
      <c r="A627" s="246" t="s">
        <v>311</v>
      </c>
      <c r="B627" s="448" t="s">
        <v>466</v>
      </c>
      <c r="C627" s="422" t="s">
        <v>27</v>
      </c>
      <c r="D627" s="252" t="s">
        <v>135</v>
      </c>
      <c r="E627" s="423">
        <v>1.1675121051418029E-3</v>
      </c>
      <c r="F627" s="250" t="s">
        <v>133</v>
      </c>
      <c r="G627" s="251"/>
      <c r="H627" s="252">
        <v>1</v>
      </c>
      <c r="I627" s="252">
        <v>2</v>
      </c>
      <c r="J627" s="252">
        <v>3</v>
      </c>
      <c r="K627" s="252">
        <v>3</v>
      </c>
      <c r="L627" s="253">
        <v>3</v>
      </c>
      <c r="M627" s="254">
        <f t="shared" si="20"/>
        <v>1.123005955058592</v>
      </c>
      <c r="N627" s="255"/>
    </row>
    <row r="628" spans="1:14" hidden="1" x14ac:dyDescent="0.2">
      <c r="A628" s="246" t="s">
        <v>311</v>
      </c>
      <c r="B628" s="448" t="s">
        <v>466</v>
      </c>
      <c r="C628" s="422" t="s">
        <v>27</v>
      </c>
      <c r="D628" s="252" t="s">
        <v>135</v>
      </c>
      <c r="E628" s="423">
        <v>1.4866320805472301E-2</v>
      </c>
      <c r="F628" s="250" t="s">
        <v>133</v>
      </c>
      <c r="G628" s="251"/>
      <c r="H628" s="252">
        <v>1</v>
      </c>
      <c r="I628" s="252">
        <v>2</v>
      </c>
      <c r="J628" s="252">
        <v>3</v>
      </c>
      <c r="K628" s="252">
        <v>3</v>
      </c>
      <c r="L628" s="253">
        <v>3</v>
      </c>
      <c r="M628" s="254">
        <f t="shared" si="20"/>
        <v>1.123005955058592</v>
      </c>
      <c r="N628" s="255"/>
    </row>
    <row r="629" spans="1:14" hidden="1" x14ac:dyDescent="0.2">
      <c r="A629" s="246" t="s">
        <v>311</v>
      </c>
      <c r="B629" s="448" t="s">
        <v>466</v>
      </c>
      <c r="C629" s="422" t="s">
        <v>28</v>
      </c>
      <c r="D629" s="252" t="s">
        <v>135</v>
      </c>
      <c r="E629" s="423">
        <v>2.4974472149939058E-3</v>
      </c>
      <c r="F629" s="250" t="s">
        <v>133</v>
      </c>
      <c r="G629" s="251"/>
      <c r="H629" s="252">
        <v>1</v>
      </c>
      <c r="I629" s="252">
        <v>2</v>
      </c>
      <c r="J629" s="252">
        <v>3</v>
      </c>
      <c r="K629" s="252">
        <v>3</v>
      </c>
      <c r="L629" s="253">
        <v>3</v>
      </c>
      <c r="M629" s="254">
        <f t="shared" si="20"/>
        <v>1.123005955058592</v>
      </c>
      <c r="N629" s="255"/>
    </row>
    <row r="630" spans="1:14" hidden="1" x14ac:dyDescent="0.2">
      <c r="A630" s="246" t="s">
        <v>311</v>
      </c>
      <c r="B630" s="448" t="s">
        <v>466</v>
      </c>
      <c r="C630" s="422" t="s">
        <v>28</v>
      </c>
      <c r="D630" s="252" t="s">
        <v>135</v>
      </c>
      <c r="E630" s="423">
        <v>3.1800827870922407E-2</v>
      </c>
      <c r="F630" s="250" t="s">
        <v>133</v>
      </c>
      <c r="G630" s="251"/>
      <c r="H630" s="252">
        <v>1</v>
      </c>
      <c r="I630" s="252">
        <v>2</v>
      </c>
      <c r="J630" s="252">
        <v>3</v>
      </c>
      <c r="K630" s="252">
        <v>3</v>
      </c>
      <c r="L630" s="253">
        <v>3</v>
      </c>
      <c r="M630" s="254">
        <f t="shared" si="20"/>
        <v>1.123005955058592</v>
      </c>
      <c r="N630" s="255"/>
    </row>
    <row r="631" spans="1:14" hidden="1" x14ac:dyDescent="0.2">
      <c r="A631" s="246" t="s">
        <v>311</v>
      </c>
      <c r="B631" s="448" t="s">
        <v>466</v>
      </c>
      <c r="C631" s="422" t="s">
        <v>30</v>
      </c>
      <c r="D631" s="252" t="s">
        <v>135</v>
      </c>
      <c r="E631" s="423">
        <v>1.5E-3</v>
      </c>
      <c r="F631" s="250" t="s">
        <v>133</v>
      </c>
      <c r="G631" s="251"/>
      <c r="H631" s="252">
        <v>1</v>
      </c>
      <c r="I631" s="252">
        <v>2</v>
      </c>
      <c r="J631" s="252">
        <v>3</v>
      </c>
      <c r="K631" s="252">
        <v>3</v>
      </c>
      <c r="L631" s="253">
        <v>3</v>
      </c>
      <c r="M631" s="254">
        <f t="shared" si="20"/>
        <v>1.123005955058592</v>
      </c>
      <c r="N631" s="255"/>
    </row>
    <row r="632" spans="1:14" hidden="1" x14ac:dyDescent="0.2">
      <c r="A632" s="246" t="s">
        <v>311</v>
      </c>
      <c r="B632" s="448" t="s">
        <v>466</v>
      </c>
      <c r="C632" s="422" t="s">
        <v>30</v>
      </c>
      <c r="D632" s="252" t="s">
        <v>135</v>
      </c>
      <c r="E632" s="423">
        <v>1.9099999999999999E-2</v>
      </c>
      <c r="F632" s="250" t="s">
        <v>133</v>
      </c>
      <c r="G632" s="251"/>
      <c r="H632" s="252">
        <v>1</v>
      </c>
      <c r="I632" s="252">
        <v>2</v>
      </c>
      <c r="J632" s="252">
        <v>3</v>
      </c>
      <c r="K632" s="252">
        <v>3</v>
      </c>
      <c r="L632" s="253">
        <v>3</v>
      </c>
      <c r="M632" s="254">
        <f t="shared" si="20"/>
        <v>1.123005955058592</v>
      </c>
      <c r="N632" s="255"/>
    </row>
    <row r="633" spans="1:14" hidden="1" x14ac:dyDescent="0.2">
      <c r="A633" s="246" t="s">
        <v>311</v>
      </c>
      <c r="B633" s="448" t="s">
        <v>466</v>
      </c>
      <c r="C633" s="422" t="s">
        <v>32</v>
      </c>
      <c r="D633" s="252" t="s">
        <v>135</v>
      </c>
      <c r="E633" s="423">
        <v>4.7344938897855666E-3</v>
      </c>
      <c r="F633" s="250" t="s">
        <v>133</v>
      </c>
      <c r="G633" s="251"/>
      <c r="H633" s="252">
        <v>1</v>
      </c>
      <c r="I633" s="252">
        <v>2</v>
      </c>
      <c r="J633" s="252">
        <v>3</v>
      </c>
      <c r="K633" s="252">
        <v>3</v>
      </c>
      <c r="L633" s="253">
        <v>3</v>
      </c>
      <c r="M633" s="254">
        <f t="shared" si="20"/>
        <v>1.123005955058592</v>
      </c>
      <c r="N633" s="255"/>
    </row>
    <row r="634" spans="1:14" hidden="1" x14ac:dyDescent="0.2">
      <c r="A634" s="246" t="s">
        <v>311</v>
      </c>
      <c r="B634" s="448" t="s">
        <v>466</v>
      </c>
      <c r="C634" s="422" t="s">
        <v>32</v>
      </c>
      <c r="D634" s="252" t="s">
        <v>135</v>
      </c>
      <c r="E634" s="423">
        <v>6.0285888863269549E-2</v>
      </c>
      <c r="F634" s="250" t="s">
        <v>133</v>
      </c>
      <c r="G634" s="251"/>
      <c r="H634" s="252">
        <v>1</v>
      </c>
      <c r="I634" s="252">
        <v>2</v>
      </c>
      <c r="J634" s="252">
        <v>3</v>
      </c>
      <c r="K634" s="252">
        <v>3</v>
      </c>
      <c r="L634" s="253">
        <v>3</v>
      </c>
      <c r="M634" s="254">
        <f t="shared" si="20"/>
        <v>1.123005955058592</v>
      </c>
      <c r="N634" s="255"/>
    </row>
    <row r="635" spans="1:14" hidden="1" x14ac:dyDescent="0.2">
      <c r="A635" s="246" t="s">
        <v>311</v>
      </c>
      <c r="B635" s="448" t="s">
        <v>466</v>
      </c>
      <c r="C635" s="422" t="s">
        <v>34</v>
      </c>
      <c r="D635" s="252" t="s">
        <v>135</v>
      </c>
      <c r="E635" s="423">
        <v>2.3875951118284529E-3</v>
      </c>
      <c r="F635" s="250" t="s">
        <v>133</v>
      </c>
      <c r="G635" s="251"/>
      <c r="H635" s="252">
        <v>1</v>
      </c>
      <c r="I635" s="252">
        <v>2</v>
      </c>
      <c r="J635" s="252">
        <v>3</v>
      </c>
      <c r="K635" s="252">
        <v>3</v>
      </c>
      <c r="L635" s="253">
        <v>3</v>
      </c>
      <c r="M635" s="254">
        <f t="shared" si="20"/>
        <v>1.123005955058592</v>
      </c>
      <c r="N635" s="255"/>
    </row>
    <row r="636" spans="1:14" hidden="1" x14ac:dyDescent="0.2">
      <c r="A636" s="246" t="s">
        <v>311</v>
      </c>
      <c r="B636" s="448" t="s">
        <v>466</v>
      </c>
      <c r="C636" s="422" t="s">
        <v>34</v>
      </c>
      <c r="D636" s="252" t="s">
        <v>135</v>
      </c>
      <c r="E636" s="423">
        <v>3.0402044423948969E-2</v>
      </c>
      <c r="F636" s="250" t="s">
        <v>133</v>
      </c>
      <c r="G636" s="251"/>
      <c r="H636" s="252">
        <v>1</v>
      </c>
      <c r="I636" s="252">
        <v>2</v>
      </c>
      <c r="J636" s="252">
        <v>3</v>
      </c>
      <c r="K636" s="252">
        <v>3</v>
      </c>
      <c r="L636" s="253">
        <v>3</v>
      </c>
      <c r="M636" s="254">
        <f t="shared" si="20"/>
        <v>1.123005955058592</v>
      </c>
      <c r="N636" s="255"/>
    </row>
    <row r="637" spans="1:14" hidden="1" x14ac:dyDescent="0.2">
      <c r="A637" s="246" t="s">
        <v>311</v>
      </c>
      <c r="B637" s="448" t="s">
        <v>466</v>
      </c>
      <c r="C637" s="422" t="s">
        <v>36</v>
      </c>
      <c r="D637" s="252" t="s">
        <v>135</v>
      </c>
      <c r="E637" s="423">
        <v>1.4018248295398399E-3</v>
      </c>
      <c r="F637" s="250" t="s">
        <v>133</v>
      </c>
      <c r="G637" s="251"/>
      <c r="H637" s="252">
        <v>1</v>
      </c>
      <c r="I637" s="252">
        <v>2</v>
      </c>
      <c r="J637" s="252">
        <v>3</v>
      </c>
      <c r="K637" s="252">
        <v>3</v>
      </c>
      <c r="L637" s="253">
        <v>3</v>
      </c>
      <c r="M637" s="254">
        <f t="shared" si="20"/>
        <v>1.123005955058592</v>
      </c>
      <c r="N637" s="255"/>
    </row>
    <row r="638" spans="1:14" hidden="1" x14ac:dyDescent="0.2">
      <c r="A638" s="246" t="s">
        <v>311</v>
      </c>
      <c r="B638" s="448" t="s">
        <v>466</v>
      </c>
      <c r="C638" s="422" t="s">
        <v>36</v>
      </c>
      <c r="D638" s="252" t="s">
        <v>135</v>
      </c>
      <c r="E638" s="423">
        <v>1.784990282947397E-2</v>
      </c>
      <c r="F638" s="250" t="s">
        <v>133</v>
      </c>
      <c r="G638" s="251"/>
      <c r="H638" s="252">
        <v>1</v>
      </c>
      <c r="I638" s="252">
        <v>2</v>
      </c>
      <c r="J638" s="252">
        <v>3</v>
      </c>
      <c r="K638" s="252">
        <v>3</v>
      </c>
      <c r="L638" s="253">
        <v>3</v>
      </c>
      <c r="M638" s="254">
        <f t="shared" si="20"/>
        <v>1.123005955058592</v>
      </c>
      <c r="N638" s="255"/>
    </row>
    <row r="639" spans="1:14" hidden="1" x14ac:dyDescent="0.2">
      <c r="A639" s="246" t="s">
        <v>311</v>
      </c>
      <c r="B639" s="448" t="s">
        <v>466</v>
      </c>
      <c r="C639" s="422" t="s">
        <v>37</v>
      </c>
      <c r="D639" s="252" t="s">
        <v>135</v>
      </c>
      <c r="E639" s="423">
        <v>3.4927369149181462E-3</v>
      </c>
      <c r="F639" s="250" t="s">
        <v>133</v>
      </c>
      <c r="G639" s="251"/>
      <c r="H639" s="252">
        <v>1</v>
      </c>
      <c r="I639" s="252">
        <v>2</v>
      </c>
      <c r="J639" s="252">
        <v>3</v>
      </c>
      <c r="K639" s="252">
        <v>3</v>
      </c>
      <c r="L639" s="253">
        <v>3</v>
      </c>
      <c r="M639" s="254">
        <f t="shared" si="20"/>
        <v>1.123005955058592</v>
      </c>
      <c r="N639" s="255"/>
    </row>
    <row r="640" spans="1:14" hidden="1" x14ac:dyDescent="0.2">
      <c r="A640" s="246" t="s">
        <v>311</v>
      </c>
      <c r="B640" s="448" t="s">
        <v>466</v>
      </c>
      <c r="C640" s="422" t="s">
        <v>37</v>
      </c>
      <c r="D640" s="252" t="s">
        <v>135</v>
      </c>
      <c r="E640" s="423">
        <v>4.4474183383291059E-2</v>
      </c>
      <c r="F640" s="250" t="s">
        <v>133</v>
      </c>
      <c r="G640" s="251"/>
      <c r="H640" s="252">
        <v>1</v>
      </c>
      <c r="I640" s="252">
        <v>2</v>
      </c>
      <c r="J640" s="252">
        <v>3</v>
      </c>
      <c r="K640" s="252">
        <v>3</v>
      </c>
      <c r="L640" s="253">
        <v>3</v>
      </c>
      <c r="M640" s="254">
        <f t="shared" si="20"/>
        <v>1.123005955058592</v>
      </c>
      <c r="N640" s="255"/>
    </row>
    <row r="641" spans="1:14" hidden="1" x14ac:dyDescent="0.2">
      <c r="A641" s="246" t="s">
        <v>311</v>
      </c>
      <c r="B641" s="448" t="s">
        <v>466</v>
      </c>
      <c r="C641" s="422" t="s">
        <v>39</v>
      </c>
      <c r="D641" s="252" t="s">
        <v>135</v>
      </c>
      <c r="E641" s="423">
        <v>1.5892321881484899E-3</v>
      </c>
      <c r="F641" s="250" t="s">
        <v>133</v>
      </c>
      <c r="G641" s="251"/>
      <c r="H641" s="252">
        <v>1</v>
      </c>
      <c r="I641" s="252">
        <v>2</v>
      </c>
      <c r="J641" s="252">
        <v>3</v>
      </c>
      <c r="K641" s="252">
        <v>3</v>
      </c>
      <c r="L641" s="253">
        <v>3</v>
      </c>
      <c r="M641" s="254">
        <f t="shared" si="20"/>
        <v>1.123005955058592</v>
      </c>
      <c r="N641" s="255"/>
    </row>
    <row r="642" spans="1:14" hidden="1" x14ac:dyDescent="0.2">
      <c r="A642" s="246" t="s">
        <v>311</v>
      </c>
      <c r="B642" s="448" t="s">
        <v>466</v>
      </c>
      <c r="C642" s="422" t="s">
        <v>39</v>
      </c>
      <c r="D642" s="252" t="s">
        <v>135</v>
      </c>
      <c r="E642" s="423">
        <v>2.0236223195757439E-2</v>
      </c>
      <c r="F642" s="250" t="s">
        <v>133</v>
      </c>
      <c r="G642" s="251"/>
      <c r="H642" s="252">
        <v>1</v>
      </c>
      <c r="I642" s="252">
        <v>2</v>
      </c>
      <c r="J642" s="252">
        <v>3</v>
      </c>
      <c r="K642" s="252">
        <v>3</v>
      </c>
      <c r="L642" s="253">
        <v>3</v>
      </c>
      <c r="M642" s="254">
        <f t="shared" si="20"/>
        <v>1.123005955058592</v>
      </c>
      <c r="N642" s="255"/>
    </row>
    <row r="643" spans="1:14" hidden="1" x14ac:dyDescent="0.2">
      <c r="A643" s="246" t="s">
        <v>311</v>
      </c>
      <c r="B643" s="448" t="s">
        <v>466</v>
      </c>
      <c r="C643" s="422" t="s">
        <v>40</v>
      </c>
      <c r="D643" s="252" t="s">
        <v>135</v>
      </c>
      <c r="E643" s="423">
        <v>1.6319378108633361E-3</v>
      </c>
      <c r="F643" s="250" t="s">
        <v>133</v>
      </c>
      <c r="G643" s="251"/>
      <c r="H643" s="252">
        <v>1</v>
      </c>
      <c r="I643" s="252">
        <v>2</v>
      </c>
      <c r="J643" s="252">
        <v>3</v>
      </c>
      <c r="K643" s="252">
        <v>3</v>
      </c>
      <c r="L643" s="253">
        <v>3</v>
      </c>
      <c r="M643" s="254">
        <f t="shared" si="20"/>
        <v>1.123005955058592</v>
      </c>
      <c r="N643" s="255"/>
    </row>
    <row r="644" spans="1:14" hidden="1" x14ac:dyDescent="0.2">
      <c r="A644" s="246" t="s">
        <v>311</v>
      </c>
      <c r="B644" s="448" t="s">
        <v>466</v>
      </c>
      <c r="C644" s="422" t="s">
        <v>40</v>
      </c>
      <c r="D644" s="252" t="s">
        <v>135</v>
      </c>
      <c r="E644" s="423">
        <v>2.078000812499315E-2</v>
      </c>
      <c r="F644" s="250" t="s">
        <v>133</v>
      </c>
      <c r="G644" s="251"/>
      <c r="H644" s="252">
        <v>1</v>
      </c>
      <c r="I644" s="252">
        <v>2</v>
      </c>
      <c r="J644" s="252">
        <v>3</v>
      </c>
      <c r="K644" s="252">
        <v>3</v>
      </c>
      <c r="L644" s="253">
        <v>3</v>
      </c>
      <c r="M644" s="254">
        <f t="shared" si="20"/>
        <v>1.123005955058592</v>
      </c>
      <c r="N644" s="255"/>
    </row>
    <row r="645" spans="1:14" hidden="1" x14ac:dyDescent="0.2">
      <c r="A645" s="246" t="s">
        <v>311</v>
      </c>
      <c r="B645" s="448" t="s">
        <v>466</v>
      </c>
      <c r="C645" s="422" t="s">
        <v>41</v>
      </c>
      <c r="D645" s="252" t="s">
        <v>135</v>
      </c>
      <c r="E645" s="423">
        <v>2.0270101123225411E-3</v>
      </c>
      <c r="F645" s="250" t="s">
        <v>133</v>
      </c>
      <c r="G645" s="251"/>
      <c r="H645" s="252">
        <v>1</v>
      </c>
      <c r="I645" s="252">
        <v>2</v>
      </c>
      <c r="J645" s="252">
        <v>3</v>
      </c>
      <c r="K645" s="252">
        <v>3</v>
      </c>
      <c r="L645" s="253">
        <v>3</v>
      </c>
      <c r="M645" s="254">
        <f t="shared" si="20"/>
        <v>1.123005955058592</v>
      </c>
      <c r="N645" s="255"/>
    </row>
    <row r="646" spans="1:14" hidden="1" x14ac:dyDescent="0.2">
      <c r="A646" s="246" t="s">
        <v>311</v>
      </c>
      <c r="B646" s="448" t="s">
        <v>466</v>
      </c>
      <c r="C646" s="422" t="s">
        <v>41</v>
      </c>
      <c r="D646" s="252" t="s">
        <v>135</v>
      </c>
      <c r="E646" s="423">
        <v>2.5810595430240349E-2</v>
      </c>
      <c r="F646" s="250" t="s">
        <v>133</v>
      </c>
      <c r="G646" s="251"/>
      <c r="H646" s="252">
        <v>1</v>
      </c>
      <c r="I646" s="252">
        <v>2</v>
      </c>
      <c r="J646" s="252">
        <v>3</v>
      </c>
      <c r="K646" s="252">
        <v>3</v>
      </c>
      <c r="L646" s="253">
        <v>3</v>
      </c>
      <c r="M646" s="254">
        <f t="shared" si="20"/>
        <v>1.123005955058592</v>
      </c>
      <c r="N646" s="255"/>
    </row>
    <row r="647" spans="1:14" hidden="1" x14ac:dyDescent="0.2">
      <c r="A647" s="246" t="s">
        <v>311</v>
      </c>
      <c r="B647" s="448" t="s">
        <v>466</v>
      </c>
      <c r="C647" s="422" t="s">
        <v>42</v>
      </c>
      <c r="D647" s="252" t="s">
        <v>135</v>
      </c>
      <c r="E647" s="423">
        <v>1.01162752396324E-3</v>
      </c>
      <c r="F647" s="250" t="s">
        <v>133</v>
      </c>
      <c r="G647" s="251"/>
      <c r="H647" s="252">
        <v>1</v>
      </c>
      <c r="I647" s="252">
        <v>2</v>
      </c>
      <c r="J647" s="252">
        <v>3</v>
      </c>
      <c r="K647" s="252">
        <v>3</v>
      </c>
      <c r="L647" s="253">
        <v>3</v>
      </c>
      <c r="M647" s="254">
        <f t="shared" si="20"/>
        <v>1.123005955058592</v>
      </c>
      <c r="N647" s="255"/>
    </row>
    <row r="648" spans="1:14" hidden="1" x14ac:dyDescent="0.2">
      <c r="A648" s="246" t="s">
        <v>311</v>
      </c>
      <c r="B648" s="448" t="s">
        <v>466</v>
      </c>
      <c r="C648" s="422" t="s">
        <v>42</v>
      </c>
      <c r="D648" s="252" t="s">
        <v>135</v>
      </c>
      <c r="E648" s="423">
        <v>1.2881390471798589E-2</v>
      </c>
      <c r="F648" s="250" t="s">
        <v>133</v>
      </c>
      <c r="G648" s="251"/>
      <c r="H648" s="252">
        <v>1</v>
      </c>
      <c r="I648" s="252">
        <v>2</v>
      </c>
      <c r="J648" s="252">
        <v>3</v>
      </c>
      <c r="K648" s="252">
        <v>3</v>
      </c>
      <c r="L648" s="253">
        <v>3</v>
      </c>
      <c r="M648" s="254">
        <f t="shared" si="20"/>
        <v>1.123005955058592</v>
      </c>
      <c r="N648" s="255"/>
    </row>
    <row r="649" spans="1:14" hidden="1" x14ac:dyDescent="0.2">
      <c r="A649" s="246" t="s">
        <v>311</v>
      </c>
      <c r="B649" s="448" t="s">
        <v>466</v>
      </c>
      <c r="C649" s="422" t="s">
        <v>43</v>
      </c>
      <c r="D649" s="252" t="s">
        <v>135</v>
      </c>
      <c r="E649" s="423">
        <v>1.8618860963799859E-3</v>
      </c>
      <c r="F649" s="250" t="s">
        <v>133</v>
      </c>
      <c r="G649" s="251"/>
      <c r="H649" s="252">
        <v>1</v>
      </c>
      <c r="I649" s="252">
        <v>2</v>
      </c>
      <c r="J649" s="252">
        <v>3</v>
      </c>
      <c r="K649" s="252">
        <v>3</v>
      </c>
      <c r="L649" s="253">
        <v>3</v>
      </c>
      <c r="M649" s="254">
        <f t="shared" si="20"/>
        <v>1.123005955058592</v>
      </c>
      <c r="N649" s="255"/>
    </row>
    <row r="650" spans="1:14" hidden="1" x14ac:dyDescent="0.2">
      <c r="A650" s="246" t="s">
        <v>311</v>
      </c>
      <c r="B650" s="448" t="s">
        <v>466</v>
      </c>
      <c r="C650" s="422" t="s">
        <v>43</v>
      </c>
      <c r="D650" s="252" t="s">
        <v>135</v>
      </c>
      <c r="E650" s="423">
        <v>2.3708016293905159E-2</v>
      </c>
      <c r="F650" s="250" t="s">
        <v>133</v>
      </c>
      <c r="G650" s="251"/>
      <c r="H650" s="252">
        <v>1</v>
      </c>
      <c r="I650" s="252">
        <v>2</v>
      </c>
      <c r="J650" s="252">
        <v>3</v>
      </c>
      <c r="K650" s="252">
        <v>3</v>
      </c>
      <c r="L650" s="253">
        <v>3</v>
      </c>
      <c r="M650" s="254">
        <f t="shared" si="20"/>
        <v>1.123005955058592</v>
      </c>
      <c r="N650" s="255"/>
    </row>
    <row r="651" spans="1:14" x14ac:dyDescent="0.2">
      <c r="A651" s="246" t="s">
        <v>311</v>
      </c>
      <c r="B651" s="448" t="s">
        <v>466</v>
      </c>
      <c r="C651" s="422" t="s">
        <v>45</v>
      </c>
      <c r="D651" s="252" t="s">
        <v>135</v>
      </c>
      <c r="E651" s="423">
        <v>1.066339470997069E-3</v>
      </c>
      <c r="F651" s="250" t="s">
        <v>133</v>
      </c>
      <c r="G651" s="251"/>
      <c r="H651" s="252">
        <v>1</v>
      </c>
      <c r="I651" s="252">
        <v>2</v>
      </c>
      <c r="J651" s="252">
        <v>3</v>
      </c>
      <c r="K651" s="252">
        <v>3</v>
      </c>
      <c r="L651" s="253">
        <v>3</v>
      </c>
      <c r="M651" s="254">
        <f t="shared" si="20"/>
        <v>1.123005955058592</v>
      </c>
      <c r="N651" s="255"/>
    </row>
    <row r="652" spans="1:14" x14ac:dyDescent="0.2">
      <c r="A652" s="246" t="s">
        <v>311</v>
      </c>
      <c r="B652" s="448" t="s">
        <v>466</v>
      </c>
      <c r="C652" s="422" t="s">
        <v>45</v>
      </c>
      <c r="D652" s="252" t="s">
        <v>135</v>
      </c>
      <c r="E652" s="423">
        <v>1.357805593069601E-2</v>
      </c>
      <c r="F652" s="250" t="s">
        <v>133</v>
      </c>
      <c r="G652" s="251"/>
      <c r="H652" s="252">
        <v>1</v>
      </c>
      <c r="I652" s="252">
        <v>2</v>
      </c>
      <c r="J652" s="252">
        <v>3</v>
      </c>
      <c r="K652" s="252">
        <v>3</v>
      </c>
      <c r="L652" s="253">
        <v>3</v>
      </c>
      <c r="M652" s="254">
        <f t="shared" si="20"/>
        <v>1.123005955058592</v>
      </c>
      <c r="N652" s="255"/>
    </row>
    <row r="653" spans="1:14" hidden="1" x14ac:dyDescent="0.2">
      <c r="A653" s="246" t="s">
        <v>311</v>
      </c>
      <c r="B653" s="448" t="s">
        <v>466</v>
      </c>
      <c r="C653" s="422" t="s">
        <v>46</v>
      </c>
      <c r="D653" s="252" t="s">
        <v>135</v>
      </c>
      <c r="E653" s="423">
        <v>3.3239731216443218E-3</v>
      </c>
      <c r="F653" s="250" t="s">
        <v>133</v>
      </c>
      <c r="G653" s="251"/>
      <c r="H653" s="252">
        <v>1</v>
      </c>
      <c r="I653" s="252">
        <v>2</v>
      </c>
      <c r="J653" s="252">
        <v>3</v>
      </c>
      <c r="K653" s="252">
        <v>3</v>
      </c>
      <c r="L653" s="253">
        <v>3</v>
      </c>
      <c r="M653" s="254">
        <f t="shared" si="20"/>
        <v>1.123005955058592</v>
      </c>
      <c r="N653" s="255"/>
    </row>
    <row r="654" spans="1:14" hidden="1" x14ac:dyDescent="0.2">
      <c r="A654" s="246" t="s">
        <v>311</v>
      </c>
      <c r="B654" s="448" t="s">
        <v>466</v>
      </c>
      <c r="C654" s="422" t="s">
        <v>46</v>
      </c>
      <c r="D654" s="252" t="s">
        <v>135</v>
      </c>
      <c r="E654" s="423">
        <v>4.2325257748937702E-2</v>
      </c>
      <c r="F654" s="250" t="s">
        <v>133</v>
      </c>
      <c r="G654" s="251"/>
      <c r="H654" s="252">
        <v>1</v>
      </c>
      <c r="I654" s="252">
        <v>2</v>
      </c>
      <c r="J654" s="252">
        <v>3</v>
      </c>
      <c r="K654" s="252">
        <v>3</v>
      </c>
      <c r="L654" s="253">
        <v>3</v>
      </c>
      <c r="M654" s="254">
        <f t="shared" si="20"/>
        <v>1.123005955058592</v>
      </c>
      <c r="N654" s="255"/>
    </row>
    <row r="655" spans="1:14" hidden="1" x14ac:dyDescent="0.2">
      <c r="A655" s="246" t="s">
        <v>311</v>
      </c>
      <c r="B655" s="448" t="s">
        <v>466</v>
      </c>
      <c r="C655" s="422" t="s">
        <v>48</v>
      </c>
      <c r="D655" s="252" t="s">
        <v>135</v>
      </c>
      <c r="E655" s="423">
        <v>2.852597252873942E-3</v>
      </c>
      <c r="F655" s="250" t="s">
        <v>133</v>
      </c>
      <c r="G655" s="251"/>
      <c r="H655" s="252">
        <v>1</v>
      </c>
      <c r="I655" s="252">
        <v>2</v>
      </c>
      <c r="J655" s="252">
        <v>3</v>
      </c>
      <c r="K655" s="252">
        <v>3</v>
      </c>
      <c r="L655" s="253">
        <v>3</v>
      </c>
      <c r="M655" s="254">
        <f>IF( OR( ISBLANK(H655),ISBLANK(I655), ISBLANK(J655), ISBLANK(K655), ISBLANK(L655) ), "", 1.5*SQRT(   EXP(2.21*(H655-1)) + EXP(2.21*(I655-1)) + EXP(2.21*(J655-1)) + EXP(2.21*(K655-1)) + EXP(2.21*L655)   )/100*2.45 )</f>
        <v>1.123005955058592</v>
      </c>
      <c r="N655" s="255"/>
    </row>
    <row r="656" spans="1:14" hidden="1" x14ac:dyDescent="0.2">
      <c r="A656" s="246" t="s">
        <v>311</v>
      </c>
      <c r="B656" s="448" t="s">
        <v>466</v>
      </c>
      <c r="C656" s="422" t="s">
        <v>48</v>
      </c>
      <c r="D656" s="252" t="s">
        <v>135</v>
      </c>
      <c r="E656" s="423">
        <v>3.6323071686594863E-2</v>
      </c>
      <c r="F656" s="250" t="s">
        <v>133</v>
      </c>
      <c r="G656" s="251"/>
      <c r="H656" s="252">
        <v>1</v>
      </c>
      <c r="I656" s="252">
        <v>2</v>
      </c>
      <c r="J656" s="252">
        <v>3</v>
      </c>
      <c r="K656" s="252">
        <v>3</v>
      </c>
      <c r="L656" s="253">
        <v>3</v>
      </c>
      <c r="M656" s="254">
        <f t="shared" ref="M656:M687" si="21">IF( OR( ISBLANK(H656),ISBLANK(I656), ISBLANK(J656), ISBLANK(K656), ISBLANK(L656) ), "", 1.5*SQRT( EXP(2.21*(H656-1)) + EXP(2.21*(I656-1)) + EXP(2.21*(J656-1)) + EXP(2.21*(K656-1)) + EXP(2.21*L656) )/100*2.45 )</f>
        <v>1.123005955058592</v>
      </c>
      <c r="N656" s="255"/>
    </row>
    <row r="657" spans="1:14" hidden="1" x14ac:dyDescent="0.2">
      <c r="A657" s="246" t="s">
        <v>311</v>
      </c>
      <c r="B657" s="448" t="s">
        <v>466</v>
      </c>
      <c r="C657" s="422" t="s">
        <v>50</v>
      </c>
      <c r="D657" s="252" t="s">
        <v>135</v>
      </c>
      <c r="E657" s="423">
        <v>3.3290951612371948E-3</v>
      </c>
      <c r="F657" s="250" t="s">
        <v>133</v>
      </c>
      <c r="G657" s="251"/>
      <c r="H657" s="252">
        <v>1</v>
      </c>
      <c r="I657" s="252">
        <v>2</v>
      </c>
      <c r="J657" s="252">
        <v>3</v>
      </c>
      <c r="K657" s="252">
        <v>3</v>
      </c>
      <c r="L657" s="253">
        <v>3</v>
      </c>
      <c r="M657" s="254">
        <f t="shared" si="21"/>
        <v>1.123005955058592</v>
      </c>
      <c r="N657" s="255"/>
    </row>
    <row r="658" spans="1:14" hidden="1" x14ac:dyDescent="0.2">
      <c r="A658" s="246" t="s">
        <v>311</v>
      </c>
      <c r="B658" s="448" t="s">
        <v>466</v>
      </c>
      <c r="C658" s="422" t="s">
        <v>50</v>
      </c>
      <c r="D658" s="252" t="s">
        <v>135</v>
      </c>
      <c r="E658" s="423">
        <v>4.239047838642028E-2</v>
      </c>
      <c r="F658" s="250" t="s">
        <v>133</v>
      </c>
      <c r="G658" s="251"/>
      <c r="H658" s="252">
        <v>1</v>
      </c>
      <c r="I658" s="252">
        <v>2</v>
      </c>
      <c r="J658" s="252">
        <v>3</v>
      </c>
      <c r="K658" s="252">
        <v>3</v>
      </c>
      <c r="L658" s="253">
        <v>3</v>
      </c>
      <c r="M658" s="254">
        <f t="shared" si="21"/>
        <v>1.123005955058592</v>
      </c>
      <c r="N658" s="255"/>
    </row>
    <row r="659" spans="1:14" hidden="1" x14ac:dyDescent="0.2">
      <c r="A659" s="246" t="s">
        <v>311</v>
      </c>
      <c r="B659" s="448" t="s">
        <v>466</v>
      </c>
      <c r="C659" s="422" t="s">
        <v>52</v>
      </c>
      <c r="D659" s="252" t="s">
        <v>135</v>
      </c>
      <c r="E659" s="423">
        <v>3.7221252346915259E-3</v>
      </c>
      <c r="F659" s="250" t="s">
        <v>133</v>
      </c>
      <c r="G659" s="251"/>
      <c r="H659" s="252">
        <v>1</v>
      </c>
      <c r="I659" s="252">
        <v>2</v>
      </c>
      <c r="J659" s="252">
        <v>3</v>
      </c>
      <c r="K659" s="252">
        <v>3</v>
      </c>
      <c r="L659" s="253">
        <v>3</v>
      </c>
      <c r="M659" s="254">
        <f t="shared" si="21"/>
        <v>1.123005955058592</v>
      </c>
      <c r="N659" s="255"/>
    </row>
    <row r="660" spans="1:14" hidden="1" x14ac:dyDescent="0.2">
      <c r="A660" s="246" t="s">
        <v>311</v>
      </c>
      <c r="B660" s="448" t="s">
        <v>466</v>
      </c>
      <c r="C660" s="422" t="s">
        <v>52</v>
      </c>
      <c r="D660" s="252" t="s">
        <v>135</v>
      </c>
      <c r="E660" s="423">
        <v>4.7395061321738763E-2</v>
      </c>
      <c r="F660" s="250" t="s">
        <v>133</v>
      </c>
      <c r="G660" s="251"/>
      <c r="H660" s="252">
        <v>1</v>
      </c>
      <c r="I660" s="252">
        <v>2</v>
      </c>
      <c r="J660" s="252">
        <v>3</v>
      </c>
      <c r="K660" s="252">
        <v>3</v>
      </c>
      <c r="L660" s="253">
        <v>3</v>
      </c>
      <c r="M660" s="254">
        <f t="shared" si="21"/>
        <v>1.123005955058592</v>
      </c>
      <c r="N660" s="255"/>
    </row>
    <row r="661" spans="1:14" hidden="1" x14ac:dyDescent="0.2">
      <c r="A661" s="246" t="s">
        <v>311</v>
      </c>
      <c r="B661" s="448" t="s">
        <v>466</v>
      </c>
      <c r="C661" s="422" t="s">
        <v>54</v>
      </c>
      <c r="D661" s="252" t="s">
        <v>135</v>
      </c>
      <c r="E661" s="423">
        <v>1.5078395204058111E-3</v>
      </c>
      <c r="F661" s="250" t="s">
        <v>133</v>
      </c>
      <c r="G661" s="251"/>
      <c r="H661" s="252">
        <v>1</v>
      </c>
      <c r="I661" s="252">
        <v>2</v>
      </c>
      <c r="J661" s="252">
        <v>3</v>
      </c>
      <c r="K661" s="252">
        <v>3</v>
      </c>
      <c r="L661" s="253">
        <v>3</v>
      </c>
      <c r="M661" s="254">
        <f t="shared" si="21"/>
        <v>1.123005955058592</v>
      </c>
      <c r="N661" s="255"/>
    </row>
    <row r="662" spans="1:14" hidden="1" x14ac:dyDescent="0.2">
      <c r="A662" s="246" t="s">
        <v>311</v>
      </c>
      <c r="B662" s="448" t="s">
        <v>466</v>
      </c>
      <c r="C662" s="422" t="s">
        <v>54</v>
      </c>
      <c r="D662" s="252" t="s">
        <v>135</v>
      </c>
      <c r="E662" s="423">
        <v>1.919982322650066E-2</v>
      </c>
      <c r="F662" s="250" t="s">
        <v>133</v>
      </c>
      <c r="G662" s="251"/>
      <c r="H662" s="252">
        <v>1</v>
      </c>
      <c r="I662" s="252">
        <v>2</v>
      </c>
      <c r="J662" s="252">
        <v>3</v>
      </c>
      <c r="K662" s="252">
        <v>3</v>
      </c>
      <c r="L662" s="253">
        <v>3</v>
      </c>
      <c r="M662" s="254">
        <f t="shared" si="21"/>
        <v>1.123005955058592</v>
      </c>
      <c r="N662" s="255"/>
    </row>
    <row r="663" spans="1:14" hidden="1" x14ac:dyDescent="0.2">
      <c r="A663" s="246" t="s">
        <v>311</v>
      </c>
      <c r="B663" s="448" t="s">
        <v>466</v>
      </c>
      <c r="C663" s="422" t="s">
        <v>55</v>
      </c>
      <c r="D663" s="252" t="s">
        <v>135</v>
      </c>
      <c r="E663" s="423">
        <v>2.172930597186996E-3</v>
      </c>
      <c r="F663" s="250" t="s">
        <v>133</v>
      </c>
      <c r="G663" s="251"/>
      <c r="H663" s="252">
        <v>1</v>
      </c>
      <c r="I663" s="252">
        <v>2</v>
      </c>
      <c r="J663" s="252">
        <v>3</v>
      </c>
      <c r="K663" s="252">
        <v>3</v>
      </c>
      <c r="L663" s="253">
        <v>3</v>
      </c>
      <c r="M663" s="254">
        <f t="shared" si="21"/>
        <v>1.123005955058592</v>
      </c>
      <c r="N663" s="255"/>
    </row>
    <row r="664" spans="1:14" hidden="1" x14ac:dyDescent="0.2">
      <c r="A664" s="246" t="s">
        <v>311</v>
      </c>
      <c r="B664" s="448" t="s">
        <v>466</v>
      </c>
      <c r="C664" s="422" t="s">
        <v>55</v>
      </c>
      <c r="D664" s="252" t="s">
        <v>135</v>
      </c>
      <c r="E664" s="423">
        <v>2.766864960418108E-2</v>
      </c>
      <c r="F664" s="250" t="s">
        <v>133</v>
      </c>
      <c r="G664" s="251"/>
      <c r="H664" s="252">
        <v>1</v>
      </c>
      <c r="I664" s="252">
        <v>2</v>
      </c>
      <c r="J664" s="252">
        <v>3</v>
      </c>
      <c r="K664" s="252">
        <v>3</v>
      </c>
      <c r="L664" s="253">
        <v>3</v>
      </c>
      <c r="M664" s="254">
        <f t="shared" si="21"/>
        <v>1.123005955058592</v>
      </c>
      <c r="N664" s="255"/>
    </row>
    <row r="665" spans="1:14" hidden="1" x14ac:dyDescent="0.2">
      <c r="A665" s="246" t="s">
        <v>311</v>
      </c>
      <c r="B665" s="448" t="s">
        <v>466</v>
      </c>
      <c r="C665" s="422" t="s">
        <v>57</v>
      </c>
      <c r="D665" s="252" t="s">
        <v>135</v>
      </c>
      <c r="E665" s="423">
        <v>1.066339470997069E-3</v>
      </c>
      <c r="F665" s="250" t="s">
        <v>133</v>
      </c>
      <c r="G665" s="251"/>
      <c r="H665" s="252">
        <v>1</v>
      </c>
      <c r="I665" s="252">
        <v>2</v>
      </c>
      <c r="J665" s="252">
        <v>3</v>
      </c>
      <c r="K665" s="252">
        <v>3</v>
      </c>
      <c r="L665" s="253">
        <v>3</v>
      </c>
      <c r="M665" s="254">
        <f t="shared" si="21"/>
        <v>1.123005955058592</v>
      </c>
      <c r="N665" s="255"/>
    </row>
    <row r="666" spans="1:14" hidden="1" x14ac:dyDescent="0.2">
      <c r="A666" s="246" t="s">
        <v>311</v>
      </c>
      <c r="B666" s="448" t="s">
        <v>466</v>
      </c>
      <c r="C666" s="422" t="s">
        <v>57</v>
      </c>
      <c r="D666" s="252" t="s">
        <v>135</v>
      </c>
      <c r="E666" s="423">
        <v>1.357805593069601E-2</v>
      </c>
      <c r="F666" s="250" t="s">
        <v>133</v>
      </c>
      <c r="G666" s="251"/>
      <c r="H666" s="252">
        <v>1</v>
      </c>
      <c r="I666" s="252">
        <v>2</v>
      </c>
      <c r="J666" s="252">
        <v>3</v>
      </c>
      <c r="K666" s="252">
        <v>3</v>
      </c>
      <c r="L666" s="253">
        <v>3</v>
      </c>
      <c r="M666" s="254">
        <f t="shared" si="21"/>
        <v>1.123005955058592</v>
      </c>
      <c r="N666" s="255"/>
    </row>
    <row r="667" spans="1:14" hidden="1" x14ac:dyDescent="0.2">
      <c r="A667" s="246" t="s">
        <v>311</v>
      </c>
      <c r="B667" s="448" t="s">
        <v>466</v>
      </c>
      <c r="C667" s="422" t="s">
        <v>59</v>
      </c>
      <c r="D667" s="252" t="s">
        <v>135</v>
      </c>
      <c r="E667" s="423">
        <v>1.5E-3</v>
      </c>
      <c r="F667" s="250" t="s">
        <v>133</v>
      </c>
      <c r="G667" s="251"/>
      <c r="H667" s="252">
        <v>1</v>
      </c>
      <c r="I667" s="252">
        <v>2</v>
      </c>
      <c r="J667" s="252">
        <v>3</v>
      </c>
      <c r="K667" s="252">
        <v>3</v>
      </c>
      <c r="L667" s="253">
        <v>3</v>
      </c>
      <c r="M667" s="254">
        <f t="shared" si="21"/>
        <v>1.123005955058592</v>
      </c>
      <c r="N667" s="255"/>
    </row>
    <row r="668" spans="1:14" hidden="1" x14ac:dyDescent="0.2">
      <c r="A668" s="246" t="s">
        <v>311</v>
      </c>
      <c r="B668" s="448" t="s">
        <v>466</v>
      </c>
      <c r="C668" s="422" t="s">
        <v>59</v>
      </c>
      <c r="D668" s="252" t="s">
        <v>135</v>
      </c>
      <c r="E668" s="423">
        <v>1.9099999999999999E-2</v>
      </c>
      <c r="F668" s="250" t="s">
        <v>133</v>
      </c>
      <c r="G668" s="251"/>
      <c r="H668" s="252">
        <v>1</v>
      </c>
      <c r="I668" s="252">
        <v>2</v>
      </c>
      <c r="J668" s="252">
        <v>3</v>
      </c>
      <c r="K668" s="252">
        <v>3</v>
      </c>
      <c r="L668" s="253">
        <v>3</v>
      </c>
      <c r="M668" s="254">
        <f t="shared" si="21"/>
        <v>1.123005955058592</v>
      </c>
      <c r="N668" s="255"/>
    </row>
    <row r="669" spans="1:14" hidden="1" x14ac:dyDescent="0.2">
      <c r="A669" s="246" t="s">
        <v>311</v>
      </c>
      <c r="B669" s="448" t="s">
        <v>466</v>
      </c>
      <c r="C669" s="422" t="s">
        <v>60</v>
      </c>
      <c r="D669" s="252" t="s">
        <v>135</v>
      </c>
      <c r="E669" s="423">
        <v>1.953028755887876E-3</v>
      </c>
      <c r="F669" s="250" t="s">
        <v>133</v>
      </c>
      <c r="G669" s="424" t="s">
        <v>16</v>
      </c>
      <c r="H669" s="252">
        <v>1</v>
      </c>
      <c r="I669" s="252">
        <v>2</v>
      </c>
      <c r="J669" s="252">
        <v>3</v>
      </c>
      <c r="K669" s="252">
        <v>3</v>
      </c>
      <c r="L669" s="253">
        <v>3</v>
      </c>
      <c r="M669" s="254">
        <f t="shared" si="21"/>
        <v>1.123005955058592</v>
      </c>
      <c r="N669" s="255"/>
    </row>
    <row r="670" spans="1:14" hidden="1" x14ac:dyDescent="0.2">
      <c r="A670" s="464" t="s">
        <v>311</v>
      </c>
      <c r="B670" s="465" t="s">
        <v>466</v>
      </c>
      <c r="C670" s="427" t="s">
        <v>60</v>
      </c>
      <c r="D670" s="291" t="s">
        <v>135</v>
      </c>
      <c r="E670" s="428">
        <v>2.486856615830562E-2</v>
      </c>
      <c r="F670" s="289" t="s">
        <v>133</v>
      </c>
      <c r="G670" s="429" t="s">
        <v>16</v>
      </c>
      <c r="H670" s="291">
        <v>1</v>
      </c>
      <c r="I670" s="291">
        <v>2</v>
      </c>
      <c r="J670" s="291">
        <v>3</v>
      </c>
      <c r="K670" s="291">
        <v>3</v>
      </c>
      <c r="L670" s="292">
        <v>3</v>
      </c>
      <c r="M670" s="293">
        <f t="shared" si="21"/>
        <v>1.123005955058592</v>
      </c>
      <c r="N670" s="294"/>
    </row>
    <row r="671" spans="1:14" hidden="1" x14ac:dyDescent="0.2">
      <c r="A671" s="246" t="s">
        <v>376</v>
      </c>
      <c r="B671" s="466" t="s">
        <v>456</v>
      </c>
      <c r="C671" s="422" t="s">
        <v>13</v>
      </c>
      <c r="D671" s="252" t="s">
        <v>135</v>
      </c>
      <c r="E671" s="423">
        <v>1.142330116275239E-3</v>
      </c>
      <c r="F671" s="250" t="s">
        <v>133</v>
      </c>
      <c r="G671" s="251" t="s">
        <v>16</v>
      </c>
      <c r="H671" s="252">
        <v>1</v>
      </c>
      <c r="I671" s="252">
        <v>2</v>
      </c>
      <c r="J671" s="252">
        <v>3</v>
      </c>
      <c r="K671" s="252">
        <v>3</v>
      </c>
      <c r="L671" s="253">
        <v>3</v>
      </c>
      <c r="M671" s="254">
        <f t="shared" si="21"/>
        <v>1.123005955058592</v>
      </c>
      <c r="N671" s="255"/>
    </row>
    <row r="672" spans="1:14" hidden="1" x14ac:dyDescent="0.2">
      <c r="A672" s="246" t="s">
        <v>376</v>
      </c>
      <c r="B672" s="466" t="s">
        <v>456</v>
      </c>
      <c r="C672" s="422" t="s">
        <v>13</v>
      </c>
      <c r="D672" s="252" t="s">
        <v>135</v>
      </c>
      <c r="E672" s="423">
        <v>1.454567014723805E-2</v>
      </c>
      <c r="F672" s="250" t="s">
        <v>133</v>
      </c>
      <c r="G672" s="251"/>
      <c r="H672" s="252">
        <v>1</v>
      </c>
      <c r="I672" s="252">
        <v>2</v>
      </c>
      <c r="J672" s="252">
        <v>3</v>
      </c>
      <c r="K672" s="252">
        <v>3</v>
      </c>
      <c r="L672" s="253">
        <v>3</v>
      </c>
      <c r="M672" s="254">
        <f t="shared" si="21"/>
        <v>1.123005955058592</v>
      </c>
      <c r="N672" s="255"/>
    </row>
    <row r="673" spans="1:14" hidden="1" x14ac:dyDescent="0.2">
      <c r="A673" s="246" t="s">
        <v>376</v>
      </c>
      <c r="B673" s="466" t="s">
        <v>456</v>
      </c>
      <c r="C673" s="422" t="s">
        <v>18</v>
      </c>
      <c r="D673" s="252" t="s">
        <v>135</v>
      </c>
      <c r="E673" s="423">
        <v>2.8968345465924441E-3</v>
      </c>
      <c r="F673" s="250" t="s">
        <v>133</v>
      </c>
      <c r="G673" s="251"/>
      <c r="H673" s="252">
        <v>1</v>
      </c>
      <c r="I673" s="252">
        <v>2</v>
      </c>
      <c r="J673" s="252">
        <v>3</v>
      </c>
      <c r="K673" s="252">
        <v>3</v>
      </c>
      <c r="L673" s="253">
        <v>3</v>
      </c>
      <c r="M673" s="254">
        <f t="shared" si="21"/>
        <v>1.123005955058592</v>
      </c>
      <c r="N673" s="255"/>
    </row>
    <row r="674" spans="1:14" hidden="1" x14ac:dyDescent="0.2">
      <c r="A674" s="246" t="s">
        <v>376</v>
      </c>
      <c r="B674" s="466" t="s">
        <v>456</v>
      </c>
      <c r="C674" s="422" t="s">
        <v>18</v>
      </c>
      <c r="D674" s="252" t="s">
        <v>135</v>
      </c>
      <c r="E674" s="423">
        <v>3.6886359893277133E-2</v>
      </c>
      <c r="F674" s="250" t="s">
        <v>133</v>
      </c>
      <c r="G674" s="251"/>
      <c r="H674" s="252">
        <v>1</v>
      </c>
      <c r="I674" s="252">
        <v>2</v>
      </c>
      <c r="J674" s="252">
        <v>3</v>
      </c>
      <c r="K674" s="252">
        <v>3</v>
      </c>
      <c r="L674" s="253">
        <v>3</v>
      </c>
      <c r="M674" s="254">
        <f t="shared" si="21"/>
        <v>1.123005955058592</v>
      </c>
      <c r="N674" s="255"/>
    </row>
    <row r="675" spans="1:14" hidden="1" x14ac:dyDescent="0.2">
      <c r="A675" s="246" t="s">
        <v>376</v>
      </c>
      <c r="B675" s="466" t="s">
        <v>456</v>
      </c>
      <c r="C675" s="422" t="s">
        <v>20</v>
      </c>
      <c r="D675" s="252" t="s">
        <v>135</v>
      </c>
      <c r="E675" s="423">
        <v>3.52435850983234E-3</v>
      </c>
      <c r="F675" s="250" t="s">
        <v>133</v>
      </c>
      <c r="G675" s="251"/>
      <c r="H675" s="252">
        <v>1</v>
      </c>
      <c r="I675" s="252">
        <v>2</v>
      </c>
      <c r="J675" s="252">
        <v>3</v>
      </c>
      <c r="K675" s="252">
        <v>3</v>
      </c>
      <c r="L675" s="253">
        <v>3</v>
      </c>
      <c r="M675" s="254">
        <f t="shared" si="21"/>
        <v>1.123005955058592</v>
      </c>
      <c r="N675" s="255"/>
    </row>
    <row r="676" spans="1:14" hidden="1" x14ac:dyDescent="0.2">
      <c r="A676" s="246" t="s">
        <v>376</v>
      </c>
      <c r="B676" s="466" t="s">
        <v>456</v>
      </c>
      <c r="C676" s="422" t="s">
        <v>20</v>
      </c>
      <c r="D676" s="252" t="s">
        <v>135</v>
      </c>
      <c r="E676" s="423">
        <v>4.4876831691865127E-2</v>
      </c>
      <c r="F676" s="250" t="s">
        <v>133</v>
      </c>
      <c r="G676" s="251"/>
      <c r="H676" s="252">
        <v>1</v>
      </c>
      <c r="I676" s="252">
        <v>2</v>
      </c>
      <c r="J676" s="252">
        <v>3</v>
      </c>
      <c r="K676" s="252">
        <v>3</v>
      </c>
      <c r="L676" s="253">
        <v>3</v>
      </c>
      <c r="M676" s="254">
        <f t="shared" si="21"/>
        <v>1.123005955058592</v>
      </c>
      <c r="N676" s="255"/>
    </row>
    <row r="677" spans="1:14" hidden="1" x14ac:dyDescent="0.2">
      <c r="A677" s="246" t="s">
        <v>376</v>
      </c>
      <c r="B677" s="466" t="s">
        <v>456</v>
      </c>
      <c r="C677" s="422" t="s">
        <v>22</v>
      </c>
      <c r="D677" s="252" t="s">
        <v>135</v>
      </c>
      <c r="E677" s="423">
        <v>2.3530089923910541E-3</v>
      </c>
      <c r="F677" s="250" t="s">
        <v>133</v>
      </c>
      <c r="G677" s="251"/>
      <c r="H677" s="252">
        <v>1</v>
      </c>
      <c r="I677" s="252">
        <v>2</v>
      </c>
      <c r="J677" s="252">
        <v>3</v>
      </c>
      <c r="K677" s="252">
        <v>3</v>
      </c>
      <c r="L677" s="253">
        <v>3</v>
      </c>
      <c r="M677" s="254">
        <f t="shared" si="21"/>
        <v>1.123005955058592</v>
      </c>
      <c r="N677" s="255"/>
    </row>
    <row r="678" spans="1:14" hidden="1" x14ac:dyDescent="0.2">
      <c r="A678" s="246" t="s">
        <v>376</v>
      </c>
      <c r="B678" s="466" t="s">
        <v>456</v>
      </c>
      <c r="C678" s="422" t="s">
        <v>22</v>
      </c>
      <c r="D678" s="252" t="s">
        <v>135</v>
      </c>
      <c r="E678" s="423">
        <v>2.9961647836446101E-2</v>
      </c>
      <c r="F678" s="250" t="s">
        <v>133</v>
      </c>
      <c r="G678" s="251"/>
      <c r="H678" s="252">
        <v>1</v>
      </c>
      <c r="I678" s="252">
        <v>2</v>
      </c>
      <c r="J678" s="252">
        <v>3</v>
      </c>
      <c r="K678" s="252">
        <v>3</v>
      </c>
      <c r="L678" s="253">
        <v>3</v>
      </c>
      <c r="M678" s="254">
        <f t="shared" si="21"/>
        <v>1.123005955058592</v>
      </c>
      <c r="N678" s="255"/>
    </row>
    <row r="679" spans="1:14" hidden="1" x14ac:dyDescent="0.2">
      <c r="A679" s="246" t="s">
        <v>376</v>
      </c>
      <c r="B679" s="466" t="s">
        <v>456</v>
      </c>
      <c r="C679" s="422" t="s">
        <v>23</v>
      </c>
      <c r="D679" s="252" t="s">
        <v>135</v>
      </c>
      <c r="E679" s="423">
        <v>2.366876379327382E-3</v>
      </c>
      <c r="F679" s="250" t="s">
        <v>133</v>
      </c>
      <c r="G679" s="251"/>
      <c r="H679" s="252">
        <v>1</v>
      </c>
      <c r="I679" s="252">
        <v>2</v>
      </c>
      <c r="J679" s="252">
        <v>3</v>
      </c>
      <c r="K679" s="252">
        <v>3</v>
      </c>
      <c r="L679" s="253">
        <v>3</v>
      </c>
      <c r="M679" s="254">
        <f t="shared" si="21"/>
        <v>1.123005955058592</v>
      </c>
      <c r="N679" s="255"/>
    </row>
    <row r="680" spans="1:14" hidden="1" x14ac:dyDescent="0.2">
      <c r="A680" s="246" t="s">
        <v>376</v>
      </c>
      <c r="B680" s="466" t="s">
        <v>456</v>
      </c>
      <c r="C680" s="422" t="s">
        <v>23</v>
      </c>
      <c r="D680" s="252" t="s">
        <v>135</v>
      </c>
      <c r="E680" s="423">
        <v>3.0138225896768671E-2</v>
      </c>
      <c r="F680" s="250" t="s">
        <v>133</v>
      </c>
      <c r="G680" s="251"/>
      <c r="H680" s="252">
        <v>1</v>
      </c>
      <c r="I680" s="252">
        <v>2</v>
      </c>
      <c r="J680" s="252">
        <v>3</v>
      </c>
      <c r="K680" s="252">
        <v>3</v>
      </c>
      <c r="L680" s="253">
        <v>3</v>
      </c>
      <c r="M680" s="254">
        <f t="shared" si="21"/>
        <v>1.123005955058592</v>
      </c>
      <c r="N680" s="255"/>
    </row>
    <row r="681" spans="1:14" hidden="1" x14ac:dyDescent="0.2">
      <c r="A681" s="246" t="s">
        <v>376</v>
      </c>
      <c r="B681" s="466" t="s">
        <v>456</v>
      </c>
      <c r="C681" s="422" t="s">
        <v>24</v>
      </c>
      <c r="D681" s="252" t="s">
        <v>135</v>
      </c>
      <c r="E681" s="423">
        <v>2.5022563325537732E-3</v>
      </c>
      <c r="F681" s="250" t="s">
        <v>133</v>
      </c>
      <c r="G681" s="251"/>
      <c r="H681" s="252">
        <v>1</v>
      </c>
      <c r="I681" s="252">
        <v>2</v>
      </c>
      <c r="J681" s="252">
        <v>3</v>
      </c>
      <c r="K681" s="252">
        <v>3</v>
      </c>
      <c r="L681" s="253">
        <v>3</v>
      </c>
      <c r="M681" s="254">
        <f t="shared" si="21"/>
        <v>1.123005955058592</v>
      </c>
      <c r="N681" s="255"/>
    </row>
    <row r="682" spans="1:14" hidden="1" x14ac:dyDescent="0.2">
      <c r="A682" s="246" t="s">
        <v>376</v>
      </c>
      <c r="B682" s="466" t="s">
        <v>456</v>
      </c>
      <c r="C682" s="422" t="s">
        <v>24</v>
      </c>
      <c r="D682" s="252" t="s">
        <v>135</v>
      </c>
      <c r="E682" s="423">
        <v>3.1862063967851378E-2</v>
      </c>
      <c r="F682" s="250" t="s">
        <v>133</v>
      </c>
      <c r="G682" s="251"/>
      <c r="H682" s="252">
        <v>1</v>
      </c>
      <c r="I682" s="252">
        <v>2</v>
      </c>
      <c r="J682" s="252">
        <v>3</v>
      </c>
      <c r="K682" s="252">
        <v>3</v>
      </c>
      <c r="L682" s="253">
        <v>3</v>
      </c>
      <c r="M682" s="254">
        <f t="shared" si="21"/>
        <v>1.123005955058592</v>
      </c>
      <c r="N682" s="255"/>
    </row>
    <row r="683" spans="1:14" hidden="1" x14ac:dyDescent="0.2">
      <c r="A683" s="246" t="s">
        <v>376</v>
      </c>
      <c r="B683" s="466" t="s">
        <v>456</v>
      </c>
      <c r="C683" s="422" t="s">
        <v>25</v>
      </c>
      <c r="D683" s="252" t="s">
        <v>135</v>
      </c>
      <c r="E683" s="423">
        <v>1.510655818702856E-3</v>
      </c>
      <c r="F683" s="250" t="s">
        <v>133</v>
      </c>
      <c r="G683" s="251"/>
      <c r="H683" s="252">
        <v>1</v>
      </c>
      <c r="I683" s="252">
        <v>2</v>
      </c>
      <c r="J683" s="252">
        <v>3</v>
      </c>
      <c r="K683" s="252">
        <v>3</v>
      </c>
      <c r="L683" s="253">
        <v>3</v>
      </c>
      <c r="M683" s="254">
        <f t="shared" si="21"/>
        <v>1.123005955058592</v>
      </c>
      <c r="N683" s="255"/>
    </row>
    <row r="684" spans="1:14" hidden="1" x14ac:dyDescent="0.2">
      <c r="A684" s="246" t="s">
        <v>376</v>
      </c>
      <c r="B684" s="466" t="s">
        <v>456</v>
      </c>
      <c r="C684" s="422" t="s">
        <v>25</v>
      </c>
      <c r="D684" s="252" t="s">
        <v>135</v>
      </c>
      <c r="E684" s="423">
        <v>1.9235684091483029E-2</v>
      </c>
      <c r="F684" s="250" t="s">
        <v>133</v>
      </c>
      <c r="G684" s="251"/>
      <c r="H684" s="252">
        <v>1</v>
      </c>
      <c r="I684" s="252">
        <v>2</v>
      </c>
      <c r="J684" s="252">
        <v>3</v>
      </c>
      <c r="K684" s="252">
        <v>3</v>
      </c>
      <c r="L684" s="253">
        <v>3</v>
      </c>
      <c r="M684" s="254">
        <f t="shared" si="21"/>
        <v>1.123005955058592</v>
      </c>
      <c r="N684" s="255"/>
    </row>
    <row r="685" spans="1:14" hidden="1" x14ac:dyDescent="0.2">
      <c r="A685" s="246" t="s">
        <v>376</v>
      </c>
      <c r="B685" s="466" t="s">
        <v>456</v>
      </c>
      <c r="C685" s="422" t="s">
        <v>26</v>
      </c>
      <c r="D685" s="252" t="s">
        <v>135</v>
      </c>
      <c r="E685" s="423">
        <v>1.262887446885602E-3</v>
      </c>
      <c r="F685" s="250" t="s">
        <v>133</v>
      </c>
      <c r="G685" s="251"/>
      <c r="H685" s="252">
        <v>1</v>
      </c>
      <c r="I685" s="252">
        <v>2</v>
      </c>
      <c r="J685" s="252">
        <v>3</v>
      </c>
      <c r="K685" s="252">
        <v>3</v>
      </c>
      <c r="L685" s="253">
        <v>3</v>
      </c>
      <c r="M685" s="254">
        <f t="shared" si="21"/>
        <v>1.123005955058592</v>
      </c>
      <c r="N685" s="255"/>
    </row>
    <row r="686" spans="1:14" hidden="1" x14ac:dyDescent="0.2">
      <c r="A686" s="246" t="s">
        <v>376</v>
      </c>
      <c r="B686" s="466" t="s">
        <v>456</v>
      </c>
      <c r="C686" s="422" t="s">
        <v>26</v>
      </c>
      <c r="D686" s="252" t="s">
        <v>135</v>
      </c>
      <c r="E686" s="423">
        <v>1.6080766823676668E-2</v>
      </c>
      <c r="F686" s="250" t="s">
        <v>133</v>
      </c>
      <c r="G686" s="251"/>
      <c r="H686" s="252">
        <v>1</v>
      </c>
      <c r="I686" s="252">
        <v>2</v>
      </c>
      <c r="J686" s="252">
        <v>3</v>
      </c>
      <c r="K686" s="252">
        <v>3</v>
      </c>
      <c r="L686" s="253">
        <v>3</v>
      </c>
      <c r="M686" s="254">
        <f t="shared" si="21"/>
        <v>1.123005955058592</v>
      </c>
      <c r="N686" s="255"/>
    </row>
    <row r="687" spans="1:14" hidden="1" x14ac:dyDescent="0.2">
      <c r="A687" s="246" t="s">
        <v>376</v>
      </c>
      <c r="B687" s="466" t="s">
        <v>456</v>
      </c>
      <c r="C687" s="422" t="s">
        <v>27</v>
      </c>
      <c r="D687" s="252" t="s">
        <v>135</v>
      </c>
      <c r="E687" s="423">
        <v>1.1675121051418029E-3</v>
      </c>
      <c r="F687" s="250" t="s">
        <v>133</v>
      </c>
      <c r="G687" s="251"/>
      <c r="H687" s="252">
        <v>1</v>
      </c>
      <c r="I687" s="252">
        <v>2</v>
      </c>
      <c r="J687" s="252">
        <v>3</v>
      </c>
      <c r="K687" s="252">
        <v>3</v>
      </c>
      <c r="L687" s="253">
        <v>3</v>
      </c>
      <c r="M687" s="254">
        <f t="shared" si="21"/>
        <v>1.123005955058592</v>
      </c>
      <c r="N687" s="255"/>
    </row>
    <row r="688" spans="1:14" hidden="1" x14ac:dyDescent="0.2">
      <c r="A688" s="246" t="s">
        <v>376</v>
      </c>
      <c r="B688" s="466" t="s">
        <v>456</v>
      </c>
      <c r="C688" s="422" t="s">
        <v>27</v>
      </c>
      <c r="D688" s="252" t="s">
        <v>135</v>
      </c>
      <c r="E688" s="423">
        <v>1.4866320805472301E-2</v>
      </c>
      <c r="F688" s="250" t="s">
        <v>133</v>
      </c>
      <c r="G688" s="251"/>
      <c r="H688" s="252">
        <v>1</v>
      </c>
      <c r="I688" s="252">
        <v>2</v>
      </c>
      <c r="J688" s="252">
        <v>3</v>
      </c>
      <c r="K688" s="252">
        <v>3</v>
      </c>
      <c r="L688" s="253">
        <v>3</v>
      </c>
      <c r="M688" s="254">
        <f t="shared" ref="M688:M718" si="22">IF( OR( ISBLANK(H688),ISBLANK(I688), ISBLANK(J688), ISBLANK(K688), ISBLANK(L688) ), "", 1.5*SQRT( EXP(2.21*(H688-1)) + EXP(2.21*(I688-1)) + EXP(2.21*(J688-1)) + EXP(2.21*(K688-1)) + EXP(2.21*L688) )/100*2.45 )</f>
        <v>1.123005955058592</v>
      </c>
      <c r="N688" s="255"/>
    </row>
    <row r="689" spans="1:14" hidden="1" x14ac:dyDescent="0.2">
      <c r="A689" s="246" t="s">
        <v>376</v>
      </c>
      <c r="B689" s="466" t="s">
        <v>456</v>
      </c>
      <c r="C689" s="422" t="s">
        <v>28</v>
      </c>
      <c r="D689" s="252" t="s">
        <v>135</v>
      </c>
      <c r="E689" s="423">
        <v>2.4974472149939058E-3</v>
      </c>
      <c r="F689" s="250" t="s">
        <v>133</v>
      </c>
      <c r="G689" s="251"/>
      <c r="H689" s="252">
        <v>1</v>
      </c>
      <c r="I689" s="252">
        <v>2</v>
      </c>
      <c r="J689" s="252">
        <v>3</v>
      </c>
      <c r="K689" s="252">
        <v>3</v>
      </c>
      <c r="L689" s="253">
        <v>3</v>
      </c>
      <c r="M689" s="254">
        <f t="shared" si="22"/>
        <v>1.123005955058592</v>
      </c>
      <c r="N689" s="255"/>
    </row>
    <row r="690" spans="1:14" hidden="1" x14ac:dyDescent="0.2">
      <c r="A690" s="246" t="s">
        <v>376</v>
      </c>
      <c r="B690" s="466" t="s">
        <v>456</v>
      </c>
      <c r="C690" s="422" t="s">
        <v>28</v>
      </c>
      <c r="D690" s="252" t="s">
        <v>135</v>
      </c>
      <c r="E690" s="423">
        <v>3.1800827870922407E-2</v>
      </c>
      <c r="F690" s="250" t="s">
        <v>133</v>
      </c>
      <c r="G690" s="251"/>
      <c r="H690" s="252">
        <v>1</v>
      </c>
      <c r="I690" s="252">
        <v>2</v>
      </c>
      <c r="J690" s="252">
        <v>3</v>
      </c>
      <c r="K690" s="252">
        <v>3</v>
      </c>
      <c r="L690" s="253">
        <v>3</v>
      </c>
      <c r="M690" s="254">
        <f t="shared" si="22"/>
        <v>1.123005955058592</v>
      </c>
      <c r="N690" s="255"/>
    </row>
    <row r="691" spans="1:14" hidden="1" x14ac:dyDescent="0.2">
      <c r="A691" s="246" t="s">
        <v>376</v>
      </c>
      <c r="B691" s="466" t="s">
        <v>456</v>
      </c>
      <c r="C691" s="422" t="s">
        <v>30</v>
      </c>
      <c r="D691" s="252" t="s">
        <v>135</v>
      </c>
      <c r="E691" s="423">
        <v>1.5E-3</v>
      </c>
      <c r="F691" s="250" t="s">
        <v>133</v>
      </c>
      <c r="G691" s="251"/>
      <c r="H691" s="252">
        <v>1</v>
      </c>
      <c r="I691" s="252">
        <v>2</v>
      </c>
      <c r="J691" s="252">
        <v>3</v>
      </c>
      <c r="K691" s="252">
        <v>3</v>
      </c>
      <c r="L691" s="253">
        <v>3</v>
      </c>
      <c r="M691" s="254">
        <f t="shared" si="22"/>
        <v>1.123005955058592</v>
      </c>
      <c r="N691" s="255"/>
    </row>
    <row r="692" spans="1:14" hidden="1" x14ac:dyDescent="0.2">
      <c r="A692" s="246" t="s">
        <v>376</v>
      </c>
      <c r="B692" s="466" t="s">
        <v>456</v>
      </c>
      <c r="C692" s="422" t="s">
        <v>30</v>
      </c>
      <c r="D692" s="252" t="s">
        <v>135</v>
      </c>
      <c r="E692" s="423">
        <v>1.9099999999999999E-2</v>
      </c>
      <c r="F692" s="250" t="s">
        <v>133</v>
      </c>
      <c r="G692" s="251"/>
      <c r="H692" s="252">
        <v>1</v>
      </c>
      <c r="I692" s="252">
        <v>2</v>
      </c>
      <c r="J692" s="252">
        <v>3</v>
      </c>
      <c r="K692" s="252">
        <v>3</v>
      </c>
      <c r="L692" s="253">
        <v>3</v>
      </c>
      <c r="M692" s="254">
        <f t="shared" si="22"/>
        <v>1.123005955058592</v>
      </c>
      <c r="N692" s="255"/>
    </row>
    <row r="693" spans="1:14" hidden="1" x14ac:dyDescent="0.2">
      <c r="A693" s="246" t="s">
        <v>376</v>
      </c>
      <c r="B693" s="466" t="s">
        <v>456</v>
      </c>
      <c r="C693" s="422" t="s">
        <v>32</v>
      </c>
      <c r="D693" s="252" t="s">
        <v>135</v>
      </c>
      <c r="E693" s="423">
        <v>4.7344938897855666E-3</v>
      </c>
      <c r="F693" s="250" t="s">
        <v>133</v>
      </c>
      <c r="G693" s="251"/>
      <c r="H693" s="252">
        <v>1</v>
      </c>
      <c r="I693" s="252">
        <v>2</v>
      </c>
      <c r="J693" s="252">
        <v>3</v>
      </c>
      <c r="K693" s="252">
        <v>3</v>
      </c>
      <c r="L693" s="253">
        <v>3</v>
      </c>
      <c r="M693" s="254">
        <f t="shared" si="22"/>
        <v>1.123005955058592</v>
      </c>
      <c r="N693" s="255"/>
    </row>
    <row r="694" spans="1:14" hidden="1" x14ac:dyDescent="0.2">
      <c r="A694" s="246" t="s">
        <v>376</v>
      </c>
      <c r="B694" s="466" t="s">
        <v>456</v>
      </c>
      <c r="C694" s="422" t="s">
        <v>32</v>
      </c>
      <c r="D694" s="252" t="s">
        <v>135</v>
      </c>
      <c r="E694" s="423">
        <v>6.0285888863269549E-2</v>
      </c>
      <c r="F694" s="250" t="s">
        <v>133</v>
      </c>
      <c r="G694" s="251"/>
      <c r="H694" s="252">
        <v>1</v>
      </c>
      <c r="I694" s="252">
        <v>2</v>
      </c>
      <c r="J694" s="252">
        <v>3</v>
      </c>
      <c r="K694" s="252">
        <v>3</v>
      </c>
      <c r="L694" s="253">
        <v>3</v>
      </c>
      <c r="M694" s="254">
        <f t="shared" si="22"/>
        <v>1.123005955058592</v>
      </c>
      <c r="N694" s="255"/>
    </row>
    <row r="695" spans="1:14" hidden="1" x14ac:dyDescent="0.2">
      <c r="A695" s="246" t="s">
        <v>376</v>
      </c>
      <c r="B695" s="466" t="s">
        <v>456</v>
      </c>
      <c r="C695" s="422" t="s">
        <v>34</v>
      </c>
      <c r="D695" s="252" t="s">
        <v>135</v>
      </c>
      <c r="E695" s="423">
        <v>2.3875951118284529E-3</v>
      </c>
      <c r="F695" s="250" t="s">
        <v>133</v>
      </c>
      <c r="G695" s="251"/>
      <c r="H695" s="252">
        <v>1</v>
      </c>
      <c r="I695" s="252">
        <v>2</v>
      </c>
      <c r="J695" s="252">
        <v>3</v>
      </c>
      <c r="K695" s="252">
        <v>3</v>
      </c>
      <c r="L695" s="253">
        <v>3</v>
      </c>
      <c r="M695" s="254">
        <f t="shared" si="22"/>
        <v>1.123005955058592</v>
      </c>
      <c r="N695" s="255"/>
    </row>
    <row r="696" spans="1:14" hidden="1" x14ac:dyDescent="0.2">
      <c r="A696" s="246" t="s">
        <v>376</v>
      </c>
      <c r="B696" s="466" t="s">
        <v>456</v>
      </c>
      <c r="C696" s="422" t="s">
        <v>34</v>
      </c>
      <c r="D696" s="252" t="s">
        <v>135</v>
      </c>
      <c r="E696" s="423">
        <v>3.0402044423948969E-2</v>
      </c>
      <c r="F696" s="250" t="s">
        <v>133</v>
      </c>
      <c r="G696" s="251"/>
      <c r="H696" s="252">
        <v>1</v>
      </c>
      <c r="I696" s="252">
        <v>2</v>
      </c>
      <c r="J696" s="252">
        <v>3</v>
      </c>
      <c r="K696" s="252">
        <v>3</v>
      </c>
      <c r="L696" s="253">
        <v>3</v>
      </c>
      <c r="M696" s="254">
        <f t="shared" si="22"/>
        <v>1.123005955058592</v>
      </c>
      <c r="N696" s="255"/>
    </row>
    <row r="697" spans="1:14" hidden="1" x14ac:dyDescent="0.2">
      <c r="A697" s="246" t="s">
        <v>376</v>
      </c>
      <c r="B697" s="466" t="s">
        <v>456</v>
      </c>
      <c r="C697" s="422" t="s">
        <v>36</v>
      </c>
      <c r="D697" s="252" t="s">
        <v>135</v>
      </c>
      <c r="E697" s="423">
        <v>1.4018248295398399E-3</v>
      </c>
      <c r="F697" s="250" t="s">
        <v>133</v>
      </c>
      <c r="G697" s="251"/>
      <c r="H697" s="252">
        <v>1</v>
      </c>
      <c r="I697" s="252">
        <v>2</v>
      </c>
      <c r="J697" s="252">
        <v>3</v>
      </c>
      <c r="K697" s="252">
        <v>3</v>
      </c>
      <c r="L697" s="253">
        <v>3</v>
      </c>
      <c r="M697" s="254">
        <f t="shared" si="22"/>
        <v>1.123005955058592</v>
      </c>
      <c r="N697" s="255"/>
    </row>
    <row r="698" spans="1:14" hidden="1" x14ac:dyDescent="0.2">
      <c r="A698" s="246" t="s">
        <v>376</v>
      </c>
      <c r="B698" s="466" t="s">
        <v>456</v>
      </c>
      <c r="C698" s="422" t="s">
        <v>36</v>
      </c>
      <c r="D698" s="252" t="s">
        <v>135</v>
      </c>
      <c r="E698" s="423">
        <v>1.784990282947397E-2</v>
      </c>
      <c r="F698" s="250" t="s">
        <v>133</v>
      </c>
      <c r="G698" s="251"/>
      <c r="H698" s="252">
        <v>1</v>
      </c>
      <c r="I698" s="252">
        <v>2</v>
      </c>
      <c r="J698" s="252">
        <v>3</v>
      </c>
      <c r="K698" s="252">
        <v>3</v>
      </c>
      <c r="L698" s="253">
        <v>3</v>
      </c>
      <c r="M698" s="254">
        <f t="shared" si="22"/>
        <v>1.123005955058592</v>
      </c>
      <c r="N698" s="255"/>
    </row>
    <row r="699" spans="1:14" hidden="1" x14ac:dyDescent="0.2">
      <c r="A699" s="246" t="s">
        <v>376</v>
      </c>
      <c r="B699" s="466" t="s">
        <v>456</v>
      </c>
      <c r="C699" s="422" t="s">
        <v>37</v>
      </c>
      <c r="D699" s="252" t="s">
        <v>135</v>
      </c>
      <c r="E699" s="423">
        <v>3.4927369149181462E-3</v>
      </c>
      <c r="F699" s="250" t="s">
        <v>133</v>
      </c>
      <c r="G699" s="251"/>
      <c r="H699" s="252">
        <v>1</v>
      </c>
      <c r="I699" s="252">
        <v>2</v>
      </c>
      <c r="J699" s="252">
        <v>3</v>
      </c>
      <c r="K699" s="252">
        <v>3</v>
      </c>
      <c r="L699" s="253">
        <v>3</v>
      </c>
      <c r="M699" s="254">
        <f t="shared" si="22"/>
        <v>1.123005955058592</v>
      </c>
      <c r="N699" s="255"/>
    </row>
    <row r="700" spans="1:14" hidden="1" x14ac:dyDescent="0.2">
      <c r="A700" s="246" t="s">
        <v>376</v>
      </c>
      <c r="B700" s="466" t="s">
        <v>456</v>
      </c>
      <c r="C700" s="422" t="s">
        <v>37</v>
      </c>
      <c r="D700" s="252" t="s">
        <v>135</v>
      </c>
      <c r="E700" s="423">
        <v>4.4474183383291059E-2</v>
      </c>
      <c r="F700" s="250" t="s">
        <v>133</v>
      </c>
      <c r="G700" s="251"/>
      <c r="H700" s="252">
        <v>1</v>
      </c>
      <c r="I700" s="252">
        <v>2</v>
      </c>
      <c r="J700" s="252">
        <v>3</v>
      </c>
      <c r="K700" s="252">
        <v>3</v>
      </c>
      <c r="L700" s="253">
        <v>3</v>
      </c>
      <c r="M700" s="254">
        <f t="shared" si="22"/>
        <v>1.123005955058592</v>
      </c>
      <c r="N700" s="255"/>
    </row>
    <row r="701" spans="1:14" hidden="1" x14ac:dyDescent="0.2">
      <c r="A701" s="246" t="s">
        <v>376</v>
      </c>
      <c r="B701" s="466" t="s">
        <v>456</v>
      </c>
      <c r="C701" s="422" t="s">
        <v>39</v>
      </c>
      <c r="D701" s="252" t="s">
        <v>135</v>
      </c>
      <c r="E701" s="423">
        <v>1.5892321881484899E-3</v>
      </c>
      <c r="F701" s="250" t="s">
        <v>133</v>
      </c>
      <c r="G701" s="251"/>
      <c r="H701" s="252">
        <v>1</v>
      </c>
      <c r="I701" s="252">
        <v>2</v>
      </c>
      <c r="J701" s="252">
        <v>3</v>
      </c>
      <c r="K701" s="252">
        <v>3</v>
      </c>
      <c r="L701" s="253">
        <v>3</v>
      </c>
      <c r="M701" s="254">
        <f t="shared" si="22"/>
        <v>1.123005955058592</v>
      </c>
      <c r="N701" s="255"/>
    </row>
    <row r="702" spans="1:14" hidden="1" x14ac:dyDescent="0.2">
      <c r="A702" s="246" t="s">
        <v>376</v>
      </c>
      <c r="B702" s="466" t="s">
        <v>456</v>
      </c>
      <c r="C702" s="422" t="s">
        <v>39</v>
      </c>
      <c r="D702" s="252" t="s">
        <v>135</v>
      </c>
      <c r="E702" s="423">
        <v>2.0236223195757439E-2</v>
      </c>
      <c r="F702" s="250" t="s">
        <v>133</v>
      </c>
      <c r="G702" s="251"/>
      <c r="H702" s="252">
        <v>1</v>
      </c>
      <c r="I702" s="252">
        <v>2</v>
      </c>
      <c r="J702" s="252">
        <v>3</v>
      </c>
      <c r="K702" s="252">
        <v>3</v>
      </c>
      <c r="L702" s="253">
        <v>3</v>
      </c>
      <c r="M702" s="254">
        <f t="shared" si="22"/>
        <v>1.123005955058592</v>
      </c>
      <c r="N702" s="255"/>
    </row>
    <row r="703" spans="1:14" hidden="1" x14ac:dyDescent="0.2">
      <c r="A703" s="246" t="s">
        <v>376</v>
      </c>
      <c r="B703" s="466" t="s">
        <v>456</v>
      </c>
      <c r="C703" s="422" t="s">
        <v>40</v>
      </c>
      <c r="D703" s="252" t="s">
        <v>135</v>
      </c>
      <c r="E703" s="423">
        <v>1.6319378108633361E-3</v>
      </c>
      <c r="F703" s="250" t="s">
        <v>133</v>
      </c>
      <c r="G703" s="251"/>
      <c r="H703" s="252">
        <v>1</v>
      </c>
      <c r="I703" s="252">
        <v>2</v>
      </c>
      <c r="J703" s="252">
        <v>3</v>
      </c>
      <c r="K703" s="252">
        <v>3</v>
      </c>
      <c r="L703" s="253">
        <v>3</v>
      </c>
      <c r="M703" s="254">
        <f t="shared" si="22"/>
        <v>1.123005955058592</v>
      </c>
      <c r="N703" s="255"/>
    </row>
    <row r="704" spans="1:14" hidden="1" x14ac:dyDescent="0.2">
      <c r="A704" s="246" t="s">
        <v>376</v>
      </c>
      <c r="B704" s="466" t="s">
        <v>456</v>
      </c>
      <c r="C704" s="422" t="s">
        <v>40</v>
      </c>
      <c r="D704" s="252" t="s">
        <v>135</v>
      </c>
      <c r="E704" s="423">
        <v>2.078000812499315E-2</v>
      </c>
      <c r="F704" s="250" t="s">
        <v>133</v>
      </c>
      <c r="G704" s="251"/>
      <c r="H704" s="252">
        <v>1</v>
      </c>
      <c r="I704" s="252">
        <v>2</v>
      </c>
      <c r="J704" s="252">
        <v>3</v>
      </c>
      <c r="K704" s="252">
        <v>3</v>
      </c>
      <c r="L704" s="253">
        <v>3</v>
      </c>
      <c r="M704" s="254">
        <f t="shared" si="22"/>
        <v>1.123005955058592</v>
      </c>
      <c r="N704" s="255"/>
    </row>
    <row r="705" spans="1:14" hidden="1" x14ac:dyDescent="0.2">
      <c r="A705" s="246" t="s">
        <v>376</v>
      </c>
      <c r="B705" s="466" t="s">
        <v>456</v>
      </c>
      <c r="C705" s="422" t="s">
        <v>41</v>
      </c>
      <c r="D705" s="252" t="s">
        <v>135</v>
      </c>
      <c r="E705" s="423">
        <v>2.0270101123225411E-3</v>
      </c>
      <c r="F705" s="250" t="s">
        <v>133</v>
      </c>
      <c r="G705" s="251"/>
      <c r="H705" s="252">
        <v>1</v>
      </c>
      <c r="I705" s="252">
        <v>2</v>
      </c>
      <c r="J705" s="252">
        <v>3</v>
      </c>
      <c r="K705" s="252">
        <v>3</v>
      </c>
      <c r="L705" s="253">
        <v>3</v>
      </c>
      <c r="M705" s="254">
        <f t="shared" si="22"/>
        <v>1.123005955058592</v>
      </c>
      <c r="N705" s="255"/>
    </row>
    <row r="706" spans="1:14" hidden="1" x14ac:dyDescent="0.2">
      <c r="A706" s="246" t="s">
        <v>376</v>
      </c>
      <c r="B706" s="466" t="s">
        <v>456</v>
      </c>
      <c r="C706" s="422" t="s">
        <v>41</v>
      </c>
      <c r="D706" s="252" t="s">
        <v>135</v>
      </c>
      <c r="E706" s="423">
        <v>2.5810595430240349E-2</v>
      </c>
      <c r="F706" s="250" t="s">
        <v>133</v>
      </c>
      <c r="G706" s="251"/>
      <c r="H706" s="252">
        <v>1</v>
      </c>
      <c r="I706" s="252">
        <v>2</v>
      </c>
      <c r="J706" s="252">
        <v>3</v>
      </c>
      <c r="K706" s="252">
        <v>3</v>
      </c>
      <c r="L706" s="253">
        <v>3</v>
      </c>
      <c r="M706" s="254">
        <f t="shared" si="22"/>
        <v>1.123005955058592</v>
      </c>
      <c r="N706" s="255"/>
    </row>
    <row r="707" spans="1:14" hidden="1" x14ac:dyDescent="0.2">
      <c r="A707" s="246" t="s">
        <v>376</v>
      </c>
      <c r="B707" s="466" t="s">
        <v>456</v>
      </c>
      <c r="C707" s="422" t="s">
        <v>42</v>
      </c>
      <c r="D707" s="252" t="s">
        <v>135</v>
      </c>
      <c r="E707" s="423">
        <v>1.01162752396324E-3</v>
      </c>
      <c r="F707" s="250" t="s">
        <v>133</v>
      </c>
      <c r="G707" s="251"/>
      <c r="H707" s="252">
        <v>1</v>
      </c>
      <c r="I707" s="252">
        <v>2</v>
      </c>
      <c r="J707" s="252">
        <v>3</v>
      </c>
      <c r="K707" s="252">
        <v>3</v>
      </c>
      <c r="L707" s="253">
        <v>3</v>
      </c>
      <c r="M707" s="254">
        <f t="shared" si="22"/>
        <v>1.123005955058592</v>
      </c>
      <c r="N707" s="255"/>
    </row>
    <row r="708" spans="1:14" hidden="1" x14ac:dyDescent="0.2">
      <c r="A708" s="246" t="s">
        <v>376</v>
      </c>
      <c r="B708" s="466" t="s">
        <v>456</v>
      </c>
      <c r="C708" s="422" t="s">
        <v>42</v>
      </c>
      <c r="D708" s="252" t="s">
        <v>135</v>
      </c>
      <c r="E708" s="423">
        <v>1.2881390471798589E-2</v>
      </c>
      <c r="F708" s="250" t="s">
        <v>133</v>
      </c>
      <c r="G708" s="251"/>
      <c r="H708" s="252">
        <v>1</v>
      </c>
      <c r="I708" s="252">
        <v>2</v>
      </c>
      <c r="J708" s="252">
        <v>3</v>
      </c>
      <c r="K708" s="252">
        <v>3</v>
      </c>
      <c r="L708" s="253">
        <v>3</v>
      </c>
      <c r="M708" s="254">
        <f t="shared" si="22"/>
        <v>1.123005955058592</v>
      </c>
      <c r="N708" s="255"/>
    </row>
    <row r="709" spans="1:14" hidden="1" x14ac:dyDescent="0.2">
      <c r="A709" s="246" t="s">
        <v>376</v>
      </c>
      <c r="B709" s="466" t="s">
        <v>456</v>
      </c>
      <c r="C709" s="422" t="s">
        <v>43</v>
      </c>
      <c r="D709" s="252" t="s">
        <v>135</v>
      </c>
      <c r="E709" s="423">
        <v>1.8618860963799859E-3</v>
      </c>
      <c r="F709" s="250" t="s">
        <v>133</v>
      </c>
      <c r="G709" s="251"/>
      <c r="H709" s="252">
        <v>1</v>
      </c>
      <c r="I709" s="252">
        <v>2</v>
      </c>
      <c r="J709" s="252">
        <v>3</v>
      </c>
      <c r="K709" s="252">
        <v>3</v>
      </c>
      <c r="L709" s="253">
        <v>3</v>
      </c>
      <c r="M709" s="254">
        <f t="shared" si="22"/>
        <v>1.123005955058592</v>
      </c>
      <c r="N709" s="255"/>
    </row>
    <row r="710" spans="1:14" hidden="1" x14ac:dyDescent="0.2">
      <c r="A710" s="246" t="s">
        <v>376</v>
      </c>
      <c r="B710" s="466" t="s">
        <v>456</v>
      </c>
      <c r="C710" s="422" t="s">
        <v>43</v>
      </c>
      <c r="D710" s="252" t="s">
        <v>135</v>
      </c>
      <c r="E710" s="423">
        <v>2.3708016293905159E-2</v>
      </c>
      <c r="F710" s="250" t="s">
        <v>133</v>
      </c>
      <c r="G710" s="251"/>
      <c r="H710" s="252">
        <v>1</v>
      </c>
      <c r="I710" s="252">
        <v>2</v>
      </c>
      <c r="J710" s="252">
        <v>3</v>
      </c>
      <c r="K710" s="252">
        <v>3</v>
      </c>
      <c r="L710" s="253">
        <v>3</v>
      </c>
      <c r="M710" s="254">
        <f t="shared" si="22"/>
        <v>1.123005955058592</v>
      </c>
      <c r="N710" s="255"/>
    </row>
    <row r="711" spans="1:14" x14ac:dyDescent="0.2">
      <c r="A711" s="246" t="s">
        <v>376</v>
      </c>
      <c r="B711" s="466" t="s">
        <v>456</v>
      </c>
      <c r="C711" s="422" t="s">
        <v>45</v>
      </c>
      <c r="D711" s="252" t="s">
        <v>135</v>
      </c>
      <c r="E711" s="423">
        <v>1.066339470997069E-3</v>
      </c>
      <c r="F711" s="250" t="s">
        <v>133</v>
      </c>
      <c r="G711" s="251"/>
      <c r="H711" s="252">
        <v>1</v>
      </c>
      <c r="I711" s="252">
        <v>2</v>
      </c>
      <c r="J711" s="252">
        <v>3</v>
      </c>
      <c r="K711" s="252">
        <v>3</v>
      </c>
      <c r="L711" s="253">
        <v>3</v>
      </c>
      <c r="M711" s="254">
        <f t="shared" si="22"/>
        <v>1.123005955058592</v>
      </c>
      <c r="N711" s="255"/>
    </row>
    <row r="712" spans="1:14" x14ac:dyDescent="0.2">
      <c r="A712" s="246" t="s">
        <v>376</v>
      </c>
      <c r="B712" s="466" t="s">
        <v>456</v>
      </c>
      <c r="C712" s="422" t="s">
        <v>45</v>
      </c>
      <c r="D712" s="252" t="s">
        <v>135</v>
      </c>
      <c r="E712" s="423">
        <v>1.357805593069601E-2</v>
      </c>
      <c r="F712" s="250" t="s">
        <v>133</v>
      </c>
      <c r="G712" s="251"/>
      <c r="H712" s="252">
        <v>1</v>
      </c>
      <c r="I712" s="252">
        <v>2</v>
      </c>
      <c r="J712" s="252">
        <v>3</v>
      </c>
      <c r="K712" s="252">
        <v>3</v>
      </c>
      <c r="L712" s="253">
        <v>3</v>
      </c>
      <c r="M712" s="254">
        <f t="shared" si="22"/>
        <v>1.123005955058592</v>
      </c>
      <c r="N712" s="255"/>
    </row>
    <row r="713" spans="1:14" hidden="1" x14ac:dyDescent="0.2">
      <c r="A713" s="246" t="s">
        <v>376</v>
      </c>
      <c r="B713" s="466" t="s">
        <v>456</v>
      </c>
      <c r="C713" s="422" t="s">
        <v>46</v>
      </c>
      <c r="D713" s="252" t="s">
        <v>135</v>
      </c>
      <c r="E713" s="423">
        <v>3.3239731216443218E-3</v>
      </c>
      <c r="F713" s="250" t="s">
        <v>133</v>
      </c>
      <c r="G713" s="251"/>
      <c r="H713" s="252">
        <v>1</v>
      </c>
      <c r="I713" s="252">
        <v>2</v>
      </c>
      <c r="J713" s="252">
        <v>3</v>
      </c>
      <c r="K713" s="252">
        <v>3</v>
      </c>
      <c r="L713" s="253">
        <v>3</v>
      </c>
      <c r="M713" s="254">
        <f t="shared" si="22"/>
        <v>1.123005955058592</v>
      </c>
      <c r="N713" s="255"/>
    </row>
    <row r="714" spans="1:14" hidden="1" x14ac:dyDescent="0.2">
      <c r="A714" s="246" t="s">
        <v>376</v>
      </c>
      <c r="B714" s="466" t="s">
        <v>456</v>
      </c>
      <c r="C714" s="422" t="s">
        <v>46</v>
      </c>
      <c r="D714" s="252" t="s">
        <v>135</v>
      </c>
      <c r="E714" s="423">
        <v>4.2325257748937702E-2</v>
      </c>
      <c r="F714" s="250" t="s">
        <v>133</v>
      </c>
      <c r="G714" s="251"/>
      <c r="H714" s="252">
        <v>1</v>
      </c>
      <c r="I714" s="252">
        <v>2</v>
      </c>
      <c r="J714" s="252">
        <v>3</v>
      </c>
      <c r="K714" s="252">
        <v>3</v>
      </c>
      <c r="L714" s="253">
        <v>3</v>
      </c>
      <c r="M714" s="254">
        <f t="shared" si="22"/>
        <v>1.123005955058592</v>
      </c>
      <c r="N714" s="255"/>
    </row>
    <row r="715" spans="1:14" hidden="1" x14ac:dyDescent="0.2">
      <c r="A715" s="246" t="s">
        <v>376</v>
      </c>
      <c r="B715" s="466" t="s">
        <v>456</v>
      </c>
      <c r="C715" s="422" t="s">
        <v>48</v>
      </c>
      <c r="D715" s="252" t="s">
        <v>135</v>
      </c>
      <c r="E715" s="423">
        <v>2.852597252873942E-3</v>
      </c>
      <c r="F715" s="250" t="s">
        <v>133</v>
      </c>
      <c r="G715" s="251"/>
      <c r="H715" s="252">
        <v>1</v>
      </c>
      <c r="I715" s="252">
        <v>2</v>
      </c>
      <c r="J715" s="252">
        <v>3</v>
      </c>
      <c r="K715" s="252">
        <v>3</v>
      </c>
      <c r="L715" s="253">
        <v>3</v>
      </c>
      <c r="M715" s="254">
        <f t="shared" si="22"/>
        <v>1.123005955058592</v>
      </c>
      <c r="N715" s="255"/>
    </row>
    <row r="716" spans="1:14" hidden="1" x14ac:dyDescent="0.2">
      <c r="A716" s="246" t="s">
        <v>376</v>
      </c>
      <c r="B716" s="466" t="s">
        <v>456</v>
      </c>
      <c r="C716" s="422" t="s">
        <v>48</v>
      </c>
      <c r="D716" s="252" t="s">
        <v>135</v>
      </c>
      <c r="E716" s="423">
        <v>3.6323071686594863E-2</v>
      </c>
      <c r="F716" s="250" t="s">
        <v>133</v>
      </c>
      <c r="G716" s="251"/>
      <c r="H716" s="252">
        <v>1</v>
      </c>
      <c r="I716" s="252">
        <v>2</v>
      </c>
      <c r="J716" s="252">
        <v>3</v>
      </c>
      <c r="K716" s="252">
        <v>3</v>
      </c>
      <c r="L716" s="253">
        <v>3</v>
      </c>
      <c r="M716" s="254">
        <f t="shared" si="22"/>
        <v>1.123005955058592</v>
      </c>
      <c r="N716" s="255"/>
    </row>
    <row r="717" spans="1:14" hidden="1" x14ac:dyDescent="0.2">
      <c r="A717" s="246" t="s">
        <v>376</v>
      </c>
      <c r="B717" s="466" t="s">
        <v>456</v>
      </c>
      <c r="C717" s="422" t="s">
        <v>50</v>
      </c>
      <c r="D717" s="252" t="s">
        <v>135</v>
      </c>
      <c r="E717" s="423">
        <v>3.3290951612371948E-3</v>
      </c>
      <c r="F717" s="250" t="s">
        <v>133</v>
      </c>
      <c r="G717" s="251"/>
      <c r="H717" s="252">
        <v>1</v>
      </c>
      <c r="I717" s="252">
        <v>2</v>
      </c>
      <c r="J717" s="252">
        <v>3</v>
      </c>
      <c r="K717" s="252">
        <v>3</v>
      </c>
      <c r="L717" s="253">
        <v>3</v>
      </c>
      <c r="M717" s="254">
        <f t="shared" si="22"/>
        <v>1.123005955058592</v>
      </c>
      <c r="N717" s="255"/>
    </row>
    <row r="718" spans="1:14" hidden="1" x14ac:dyDescent="0.2">
      <c r="A718" s="246" t="s">
        <v>376</v>
      </c>
      <c r="B718" s="466" t="s">
        <v>456</v>
      </c>
      <c r="C718" s="422" t="s">
        <v>50</v>
      </c>
      <c r="D718" s="252" t="s">
        <v>135</v>
      </c>
      <c r="E718" s="423">
        <v>4.239047838642028E-2</v>
      </c>
      <c r="F718" s="250" t="s">
        <v>133</v>
      </c>
      <c r="G718" s="251"/>
      <c r="H718" s="252">
        <v>1</v>
      </c>
      <c r="I718" s="252">
        <v>2</v>
      </c>
      <c r="J718" s="252">
        <v>3</v>
      </c>
      <c r="K718" s="252">
        <v>3</v>
      </c>
      <c r="L718" s="253">
        <v>3</v>
      </c>
      <c r="M718" s="254">
        <f t="shared" si="22"/>
        <v>1.123005955058592</v>
      </c>
      <c r="N718" s="255"/>
    </row>
    <row r="719" spans="1:14" hidden="1" x14ac:dyDescent="0.2">
      <c r="A719" s="246" t="s">
        <v>376</v>
      </c>
      <c r="B719" s="466" t="s">
        <v>456</v>
      </c>
      <c r="C719" s="422" t="s">
        <v>52</v>
      </c>
      <c r="D719" s="252" t="s">
        <v>135</v>
      </c>
      <c r="E719" s="423">
        <v>3.7221252346915259E-3</v>
      </c>
      <c r="F719" s="250" t="s">
        <v>133</v>
      </c>
      <c r="G719" s="251"/>
      <c r="H719" s="252">
        <v>1</v>
      </c>
      <c r="I719" s="252">
        <v>2</v>
      </c>
      <c r="J719" s="252">
        <v>3</v>
      </c>
      <c r="K719" s="252">
        <v>3</v>
      </c>
      <c r="L719" s="253">
        <v>3</v>
      </c>
      <c r="M719" s="254">
        <f>IF( OR( ISBLANK(H719),ISBLANK(I719), ISBLANK(J719), ISBLANK(K719), ISBLANK(L719) ), "", 1.5*SQRT(   EXP(2.21*(H719-1)) + EXP(2.21*(I719-1)) + EXP(2.21*(J719-1)) + EXP(2.21*(K719-1)) + EXP(2.21*L719)   )/100*2.45 )</f>
        <v>1.123005955058592</v>
      </c>
      <c r="N719" s="255"/>
    </row>
    <row r="720" spans="1:14" hidden="1" x14ac:dyDescent="0.2">
      <c r="A720" s="246" t="s">
        <v>376</v>
      </c>
      <c r="B720" s="466" t="s">
        <v>456</v>
      </c>
      <c r="C720" s="422" t="s">
        <v>52</v>
      </c>
      <c r="D720" s="252" t="s">
        <v>135</v>
      </c>
      <c r="E720" s="423">
        <v>4.7395061321738763E-2</v>
      </c>
      <c r="F720" s="250" t="s">
        <v>133</v>
      </c>
      <c r="G720" s="251"/>
      <c r="H720" s="252">
        <v>1</v>
      </c>
      <c r="I720" s="252">
        <v>2</v>
      </c>
      <c r="J720" s="252">
        <v>3</v>
      </c>
      <c r="K720" s="252">
        <v>3</v>
      </c>
      <c r="L720" s="253">
        <v>3</v>
      </c>
      <c r="M720" s="254">
        <f t="shared" ref="M720:M730" si="23">IF( OR( ISBLANK(H720),ISBLANK(I720), ISBLANK(J720), ISBLANK(K720), ISBLANK(L720) ), "", 1.5*SQRT( EXP(2.21*(H720-1)) + EXP(2.21*(I720-1)) + EXP(2.21*(J720-1)) + EXP(2.21*(K720-1)) + EXP(2.21*L720) )/100*2.45 )</f>
        <v>1.123005955058592</v>
      </c>
      <c r="N720" s="255"/>
    </row>
    <row r="721" spans="1:14" hidden="1" x14ac:dyDescent="0.2">
      <c r="A721" s="246" t="s">
        <v>376</v>
      </c>
      <c r="B721" s="466" t="s">
        <v>456</v>
      </c>
      <c r="C721" s="422" t="s">
        <v>54</v>
      </c>
      <c r="D721" s="252" t="s">
        <v>135</v>
      </c>
      <c r="E721" s="423">
        <v>1.5078395204058111E-3</v>
      </c>
      <c r="F721" s="250" t="s">
        <v>133</v>
      </c>
      <c r="G721" s="251"/>
      <c r="H721" s="252">
        <v>1</v>
      </c>
      <c r="I721" s="252">
        <v>2</v>
      </c>
      <c r="J721" s="252">
        <v>3</v>
      </c>
      <c r="K721" s="252">
        <v>3</v>
      </c>
      <c r="L721" s="253">
        <v>3</v>
      </c>
      <c r="M721" s="254">
        <f t="shared" si="23"/>
        <v>1.123005955058592</v>
      </c>
      <c r="N721" s="255"/>
    </row>
    <row r="722" spans="1:14" hidden="1" x14ac:dyDescent="0.2">
      <c r="A722" s="246" t="s">
        <v>376</v>
      </c>
      <c r="B722" s="466" t="s">
        <v>456</v>
      </c>
      <c r="C722" s="422" t="s">
        <v>54</v>
      </c>
      <c r="D722" s="252" t="s">
        <v>135</v>
      </c>
      <c r="E722" s="423">
        <v>1.919982322650066E-2</v>
      </c>
      <c r="F722" s="250" t="s">
        <v>133</v>
      </c>
      <c r="G722" s="251"/>
      <c r="H722" s="252">
        <v>1</v>
      </c>
      <c r="I722" s="252">
        <v>2</v>
      </c>
      <c r="J722" s="252">
        <v>3</v>
      </c>
      <c r="K722" s="252">
        <v>3</v>
      </c>
      <c r="L722" s="253">
        <v>3</v>
      </c>
      <c r="M722" s="254">
        <f t="shared" si="23"/>
        <v>1.123005955058592</v>
      </c>
      <c r="N722" s="255"/>
    </row>
    <row r="723" spans="1:14" hidden="1" x14ac:dyDescent="0.2">
      <c r="A723" s="246" t="s">
        <v>376</v>
      </c>
      <c r="B723" s="466" t="s">
        <v>456</v>
      </c>
      <c r="C723" s="422" t="s">
        <v>55</v>
      </c>
      <c r="D723" s="252" t="s">
        <v>135</v>
      </c>
      <c r="E723" s="423">
        <v>2.172930597186996E-3</v>
      </c>
      <c r="F723" s="250" t="s">
        <v>133</v>
      </c>
      <c r="G723" s="251"/>
      <c r="H723" s="252">
        <v>1</v>
      </c>
      <c r="I723" s="252">
        <v>2</v>
      </c>
      <c r="J723" s="252">
        <v>3</v>
      </c>
      <c r="K723" s="252">
        <v>3</v>
      </c>
      <c r="L723" s="253">
        <v>3</v>
      </c>
      <c r="M723" s="254">
        <f t="shared" si="23"/>
        <v>1.123005955058592</v>
      </c>
      <c r="N723" s="255"/>
    </row>
    <row r="724" spans="1:14" hidden="1" x14ac:dyDescent="0.2">
      <c r="A724" s="246" t="s">
        <v>376</v>
      </c>
      <c r="B724" s="466" t="s">
        <v>456</v>
      </c>
      <c r="C724" s="422" t="s">
        <v>55</v>
      </c>
      <c r="D724" s="252" t="s">
        <v>135</v>
      </c>
      <c r="E724" s="423">
        <v>2.766864960418108E-2</v>
      </c>
      <c r="F724" s="250" t="s">
        <v>133</v>
      </c>
      <c r="G724" s="251"/>
      <c r="H724" s="252">
        <v>1</v>
      </c>
      <c r="I724" s="252">
        <v>2</v>
      </c>
      <c r="J724" s="252">
        <v>3</v>
      </c>
      <c r="K724" s="252">
        <v>3</v>
      </c>
      <c r="L724" s="253">
        <v>3</v>
      </c>
      <c r="M724" s="254">
        <f t="shared" si="23"/>
        <v>1.123005955058592</v>
      </c>
      <c r="N724" s="255"/>
    </row>
    <row r="725" spans="1:14" hidden="1" x14ac:dyDescent="0.2">
      <c r="A725" s="246" t="s">
        <v>376</v>
      </c>
      <c r="B725" s="466" t="s">
        <v>456</v>
      </c>
      <c r="C725" s="422" t="s">
        <v>57</v>
      </c>
      <c r="D725" s="252" t="s">
        <v>135</v>
      </c>
      <c r="E725" s="423">
        <v>1.066339470997069E-3</v>
      </c>
      <c r="F725" s="250" t="s">
        <v>133</v>
      </c>
      <c r="G725" s="251"/>
      <c r="H725" s="252">
        <v>1</v>
      </c>
      <c r="I725" s="252">
        <v>2</v>
      </c>
      <c r="J725" s="252">
        <v>3</v>
      </c>
      <c r="K725" s="252">
        <v>3</v>
      </c>
      <c r="L725" s="253">
        <v>3</v>
      </c>
      <c r="M725" s="254">
        <f t="shared" si="23"/>
        <v>1.123005955058592</v>
      </c>
      <c r="N725" s="255"/>
    </row>
    <row r="726" spans="1:14" hidden="1" x14ac:dyDescent="0.2">
      <c r="A726" s="246" t="s">
        <v>376</v>
      </c>
      <c r="B726" s="466" t="s">
        <v>456</v>
      </c>
      <c r="C726" s="422" t="s">
        <v>57</v>
      </c>
      <c r="D726" s="252" t="s">
        <v>135</v>
      </c>
      <c r="E726" s="423">
        <v>1.357805593069601E-2</v>
      </c>
      <c r="F726" s="250" t="s">
        <v>133</v>
      </c>
      <c r="G726" s="251"/>
      <c r="H726" s="252">
        <v>1</v>
      </c>
      <c r="I726" s="252">
        <v>2</v>
      </c>
      <c r="J726" s="252">
        <v>3</v>
      </c>
      <c r="K726" s="252">
        <v>3</v>
      </c>
      <c r="L726" s="253">
        <v>3</v>
      </c>
      <c r="M726" s="254">
        <f t="shared" si="23"/>
        <v>1.123005955058592</v>
      </c>
      <c r="N726" s="255"/>
    </row>
    <row r="727" spans="1:14" hidden="1" x14ac:dyDescent="0.2">
      <c r="A727" s="246" t="s">
        <v>376</v>
      </c>
      <c r="B727" s="466" t="s">
        <v>456</v>
      </c>
      <c r="C727" s="422" t="s">
        <v>59</v>
      </c>
      <c r="D727" s="252" t="s">
        <v>135</v>
      </c>
      <c r="E727" s="423">
        <v>1.5E-3</v>
      </c>
      <c r="F727" s="250" t="s">
        <v>133</v>
      </c>
      <c r="G727" s="251"/>
      <c r="H727" s="252">
        <v>1</v>
      </c>
      <c r="I727" s="252">
        <v>2</v>
      </c>
      <c r="J727" s="252">
        <v>3</v>
      </c>
      <c r="K727" s="252">
        <v>3</v>
      </c>
      <c r="L727" s="253">
        <v>3</v>
      </c>
      <c r="M727" s="254">
        <f t="shared" si="23"/>
        <v>1.123005955058592</v>
      </c>
      <c r="N727" s="255"/>
    </row>
    <row r="728" spans="1:14" hidden="1" x14ac:dyDescent="0.2">
      <c r="A728" s="246" t="s">
        <v>376</v>
      </c>
      <c r="B728" s="466" t="s">
        <v>456</v>
      </c>
      <c r="C728" s="422" t="s">
        <v>59</v>
      </c>
      <c r="D728" s="252" t="s">
        <v>135</v>
      </c>
      <c r="E728" s="423">
        <v>1.9099999999999999E-2</v>
      </c>
      <c r="F728" s="250" t="s">
        <v>133</v>
      </c>
      <c r="G728" s="251"/>
      <c r="H728" s="252">
        <v>1</v>
      </c>
      <c r="I728" s="252">
        <v>2</v>
      </c>
      <c r="J728" s="252">
        <v>3</v>
      </c>
      <c r="K728" s="252">
        <v>3</v>
      </c>
      <c r="L728" s="253">
        <v>3</v>
      </c>
      <c r="M728" s="254">
        <f t="shared" si="23"/>
        <v>1.123005955058592</v>
      </c>
      <c r="N728" s="255"/>
    </row>
    <row r="729" spans="1:14" hidden="1" x14ac:dyDescent="0.2">
      <c r="A729" s="246" t="s">
        <v>376</v>
      </c>
      <c r="B729" s="466" t="s">
        <v>456</v>
      </c>
      <c r="C729" s="422" t="s">
        <v>60</v>
      </c>
      <c r="D729" s="252" t="s">
        <v>135</v>
      </c>
      <c r="E729" s="423">
        <v>1.953028755887876E-3</v>
      </c>
      <c r="F729" s="250" t="s">
        <v>133</v>
      </c>
      <c r="G729" s="424" t="s">
        <v>16</v>
      </c>
      <c r="H729" s="252">
        <v>1</v>
      </c>
      <c r="I729" s="252">
        <v>2</v>
      </c>
      <c r="J729" s="252">
        <v>3</v>
      </c>
      <c r="K729" s="252">
        <v>3</v>
      </c>
      <c r="L729" s="253">
        <v>3</v>
      </c>
      <c r="M729" s="254">
        <f t="shared" si="23"/>
        <v>1.123005955058592</v>
      </c>
      <c r="N729" s="255"/>
    </row>
    <row r="730" spans="1:14" hidden="1" x14ac:dyDescent="0.2">
      <c r="A730" s="246" t="s">
        <v>376</v>
      </c>
      <c r="B730" s="466" t="s">
        <v>456</v>
      </c>
      <c r="C730" s="422" t="s">
        <v>60</v>
      </c>
      <c r="D730" s="252" t="s">
        <v>135</v>
      </c>
      <c r="E730" s="423">
        <v>2.486856615830562E-2</v>
      </c>
      <c r="F730" s="250" t="s">
        <v>133</v>
      </c>
      <c r="G730" s="424" t="s">
        <v>16</v>
      </c>
      <c r="H730" s="252">
        <v>1</v>
      </c>
      <c r="I730" s="252">
        <v>2</v>
      </c>
      <c r="J730" s="252">
        <v>3</v>
      </c>
      <c r="K730" s="252">
        <v>3</v>
      </c>
      <c r="L730" s="253">
        <v>3</v>
      </c>
      <c r="M730" s="254">
        <f t="shared" si="23"/>
        <v>1.123005955058592</v>
      </c>
      <c r="N730" s="255"/>
    </row>
    <row r="731" spans="1:14" x14ac:dyDescent="0.2">
      <c r="A731" s="246" t="s">
        <v>376</v>
      </c>
      <c r="B731" s="466" t="s">
        <v>468</v>
      </c>
      <c r="C731" s="467" t="s">
        <v>135</v>
      </c>
      <c r="D731" s="252" t="s">
        <v>135</v>
      </c>
      <c r="E731" s="470">
        <v>0</v>
      </c>
      <c r="F731" s="250" t="s">
        <v>476</v>
      </c>
      <c r="G731" s="251"/>
      <c r="H731" s="470"/>
      <c r="I731" s="470"/>
      <c r="J731" s="470"/>
      <c r="K731" s="470"/>
      <c r="L731" s="471"/>
      <c r="M731" s="456"/>
      <c r="N731" s="255"/>
    </row>
    <row r="732" spans="1:14" x14ac:dyDescent="0.2">
      <c r="A732" s="464" t="s">
        <v>376</v>
      </c>
      <c r="B732" s="468" t="s">
        <v>468</v>
      </c>
      <c r="C732" s="404" t="s">
        <v>135</v>
      </c>
      <c r="D732" s="291" t="s">
        <v>135</v>
      </c>
      <c r="E732" s="291">
        <v>1.2999999999999999E-2</v>
      </c>
      <c r="F732" s="289" t="s">
        <v>477</v>
      </c>
      <c r="G732" s="290" t="s">
        <v>16</v>
      </c>
      <c r="H732" s="291">
        <v>2</v>
      </c>
      <c r="I732" s="291">
        <v>4</v>
      </c>
      <c r="J732" s="291">
        <v>3</v>
      </c>
      <c r="K732" s="291">
        <v>3</v>
      </c>
      <c r="L732" s="292">
        <v>3</v>
      </c>
      <c r="M732" s="293">
        <f>IF( OR( ISBLANK(H732),ISBLANK(I732), ISBLANK(J732), ISBLANK(K732), ISBLANK(L732) ), "", 1.5*SQRT(   EXP(2.21*(H732-1)) + EXP(2.21*(I732-1)) + EXP(2.21*(J732-1)) + EXP(2.21*(K732-1)) + EXP(2.21*L732)   )/100*2.45 )</f>
        <v>1.5109000055213746</v>
      </c>
      <c r="N732" s="294"/>
    </row>
    <row r="733" spans="1:14" hidden="1" x14ac:dyDescent="0.2">
      <c r="A733" s="246" t="s">
        <v>378</v>
      </c>
      <c r="B733" s="466" t="s">
        <v>456</v>
      </c>
      <c r="C733" s="422" t="s">
        <v>13</v>
      </c>
      <c r="D733" s="252" t="s">
        <v>135</v>
      </c>
      <c r="E733" s="423">
        <v>1.142330116275239E-3</v>
      </c>
      <c r="F733" s="250" t="s">
        <v>133</v>
      </c>
      <c r="G733" s="251" t="s">
        <v>16</v>
      </c>
      <c r="H733" s="252">
        <v>1</v>
      </c>
      <c r="I733" s="252">
        <v>2</v>
      </c>
      <c r="J733" s="252">
        <v>3</v>
      </c>
      <c r="K733" s="252">
        <v>3</v>
      </c>
      <c r="L733" s="253">
        <v>3</v>
      </c>
      <c r="M733" s="254">
        <f t="shared" ref="M733:M763" si="24">IF( OR( ISBLANK(H733),ISBLANK(I733), ISBLANK(J733), ISBLANK(K733), ISBLANK(L733) ), "", 1.5*SQRT( EXP(2.21*(H733-1)) + EXP(2.21*(I733-1)) + EXP(2.21*(J733-1)) + EXP(2.21*(K733-1)) + EXP(2.21*L733) )/100*2.45 )</f>
        <v>1.123005955058592</v>
      </c>
      <c r="N733" s="255"/>
    </row>
    <row r="734" spans="1:14" hidden="1" x14ac:dyDescent="0.2">
      <c r="A734" s="246" t="s">
        <v>378</v>
      </c>
      <c r="B734" s="466" t="s">
        <v>456</v>
      </c>
      <c r="C734" s="422" t="s">
        <v>13</v>
      </c>
      <c r="D734" s="252" t="s">
        <v>135</v>
      </c>
      <c r="E734" s="423">
        <v>1.454567014723805E-2</v>
      </c>
      <c r="F734" s="250" t="s">
        <v>133</v>
      </c>
      <c r="G734" s="251"/>
      <c r="H734" s="252">
        <v>1</v>
      </c>
      <c r="I734" s="252">
        <v>2</v>
      </c>
      <c r="J734" s="252">
        <v>3</v>
      </c>
      <c r="K734" s="252">
        <v>3</v>
      </c>
      <c r="L734" s="253">
        <v>3</v>
      </c>
      <c r="M734" s="254">
        <f t="shared" si="24"/>
        <v>1.123005955058592</v>
      </c>
      <c r="N734" s="255"/>
    </row>
    <row r="735" spans="1:14" hidden="1" x14ac:dyDescent="0.2">
      <c r="A735" s="246" t="s">
        <v>378</v>
      </c>
      <c r="B735" s="466" t="s">
        <v>456</v>
      </c>
      <c r="C735" s="422" t="s">
        <v>18</v>
      </c>
      <c r="D735" s="252" t="s">
        <v>135</v>
      </c>
      <c r="E735" s="423">
        <v>2.8968345465924441E-3</v>
      </c>
      <c r="F735" s="250" t="s">
        <v>133</v>
      </c>
      <c r="G735" s="251"/>
      <c r="H735" s="252">
        <v>1</v>
      </c>
      <c r="I735" s="252">
        <v>2</v>
      </c>
      <c r="J735" s="252">
        <v>3</v>
      </c>
      <c r="K735" s="252">
        <v>3</v>
      </c>
      <c r="L735" s="253">
        <v>3</v>
      </c>
      <c r="M735" s="254">
        <f t="shared" si="24"/>
        <v>1.123005955058592</v>
      </c>
      <c r="N735" s="255"/>
    </row>
    <row r="736" spans="1:14" hidden="1" x14ac:dyDescent="0.2">
      <c r="A736" s="246" t="s">
        <v>378</v>
      </c>
      <c r="B736" s="466" t="s">
        <v>456</v>
      </c>
      <c r="C736" s="422" t="s">
        <v>18</v>
      </c>
      <c r="D736" s="252" t="s">
        <v>135</v>
      </c>
      <c r="E736" s="423">
        <v>3.6886359893277133E-2</v>
      </c>
      <c r="F736" s="250" t="s">
        <v>133</v>
      </c>
      <c r="G736" s="251"/>
      <c r="H736" s="252">
        <v>1</v>
      </c>
      <c r="I736" s="252">
        <v>2</v>
      </c>
      <c r="J736" s="252">
        <v>3</v>
      </c>
      <c r="K736" s="252">
        <v>3</v>
      </c>
      <c r="L736" s="253">
        <v>3</v>
      </c>
      <c r="M736" s="254">
        <f t="shared" si="24"/>
        <v>1.123005955058592</v>
      </c>
      <c r="N736" s="255"/>
    </row>
    <row r="737" spans="1:14" hidden="1" x14ac:dyDescent="0.2">
      <c r="A737" s="246" t="s">
        <v>378</v>
      </c>
      <c r="B737" s="466" t="s">
        <v>456</v>
      </c>
      <c r="C737" s="422" t="s">
        <v>20</v>
      </c>
      <c r="D737" s="252" t="s">
        <v>135</v>
      </c>
      <c r="E737" s="423">
        <v>3.52435850983234E-3</v>
      </c>
      <c r="F737" s="250" t="s">
        <v>133</v>
      </c>
      <c r="G737" s="251"/>
      <c r="H737" s="252">
        <v>1</v>
      </c>
      <c r="I737" s="252">
        <v>2</v>
      </c>
      <c r="J737" s="252">
        <v>3</v>
      </c>
      <c r="K737" s="252">
        <v>3</v>
      </c>
      <c r="L737" s="253">
        <v>3</v>
      </c>
      <c r="M737" s="254">
        <f t="shared" si="24"/>
        <v>1.123005955058592</v>
      </c>
      <c r="N737" s="255"/>
    </row>
    <row r="738" spans="1:14" hidden="1" x14ac:dyDescent="0.2">
      <c r="A738" s="246" t="s">
        <v>378</v>
      </c>
      <c r="B738" s="466" t="s">
        <v>456</v>
      </c>
      <c r="C738" s="422" t="s">
        <v>20</v>
      </c>
      <c r="D738" s="252" t="s">
        <v>135</v>
      </c>
      <c r="E738" s="423">
        <v>4.4876831691865127E-2</v>
      </c>
      <c r="F738" s="250" t="s">
        <v>133</v>
      </c>
      <c r="G738" s="251"/>
      <c r="H738" s="252">
        <v>1</v>
      </c>
      <c r="I738" s="252">
        <v>2</v>
      </c>
      <c r="J738" s="252">
        <v>3</v>
      </c>
      <c r="K738" s="252">
        <v>3</v>
      </c>
      <c r="L738" s="253">
        <v>3</v>
      </c>
      <c r="M738" s="254">
        <f t="shared" si="24"/>
        <v>1.123005955058592</v>
      </c>
      <c r="N738" s="255"/>
    </row>
    <row r="739" spans="1:14" hidden="1" x14ac:dyDescent="0.2">
      <c r="A739" s="246" t="s">
        <v>378</v>
      </c>
      <c r="B739" s="466" t="s">
        <v>456</v>
      </c>
      <c r="C739" s="422" t="s">
        <v>22</v>
      </c>
      <c r="D739" s="252" t="s">
        <v>135</v>
      </c>
      <c r="E739" s="423">
        <v>2.3530089923910541E-3</v>
      </c>
      <c r="F739" s="250" t="s">
        <v>133</v>
      </c>
      <c r="G739" s="251"/>
      <c r="H739" s="252">
        <v>1</v>
      </c>
      <c r="I739" s="252">
        <v>2</v>
      </c>
      <c r="J739" s="252">
        <v>3</v>
      </c>
      <c r="K739" s="252">
        <v>3</v>
      </c>
      <c r="L739" s="253">
        <v>3</v>
      </c>
      <c r="M739" s="254">
        <f t="shared" si="24"/>
        <v>1.123005955058592</v>
      </c>
      <c r="N739" s="255"/>
    </row>
    <row r="740" spans="1:14" hidden="1" x14ac:dyDescent="0.2">
      <c r="A740" s="246" t="s">
        <v>378</v>
      </c>
      <c r="B740" s="466" t="s">
        <v>456</v>
      </c>
      <c r="C740" s="422" t="s">
        <v>22</v>
      </c>
      <c r="D740" s="252" t="s">
        <v>135</v>
      </c>
      <c r="E740" s="423">
        <v>2.9961647836446101E-2</v>
      </c>
      <c r="F740" s="250" t="s">
        <v>133</v>
      </c>
      <c r="G740" s="251"/>
      <c r="H740" s="252">
        <v>1</v>
      </c>
      <c r="I740" s="252">
        <v>2</v>
      </c>
      <c r="J740" s="252">
        <v>3</v>
      </c>
      <c r="K740" s="252">
        <v>3</v>
      </c>
      <c r="L740" s="253">
        <v>3</v>
      </c>
      <c r="M740" s="254">
        <f t="shared" si="24"/>
        <v>1.123005955058592</v>
      </c>
      <c r="N740" s="255"/>
    </row>
    <row r="741" spans="1:14" hidden="1" x14ac:dyDescent="0.2">
      <c r="A741" s="246" t="s">
        <v>378</v>
      </c>
      <c r="B741" s="466" t="s">
        <v>456</v>
      </c>
      <c r="C741" s="422" t="s">
        <v>23</v>
      </c>
      <c r="D741" s="252" t="s">
        <v>135</v>
      </c>
      <c r="E741" s="423">
        <v>2.366876379327382E-3</v>
      </c>
      <c r="F741" s="250" t="s">
        <v>133</v>
      </c>
      <c r="G741" s="251"/>
      <c r="H741" s="252">
        <v>1</v>
      </c>
      <c r="I741" s="252">
        <v>2</v>
      </c>
      <c r="J741" s="252">
        <v>3</v>
      </c>
      <c r="K741" s="252">
        <v>3</v>
      </c>
      <c r="L741" s="253">
        <v>3</v>
      </c>
      <c r="M741" s="254">
        <f t="shared" si="24"/>
        <v>1.123005955058592</v>
      </c>
      <c r="N741" s="255"/>
    </row>
    <row r="742" spans="1:14" hidden="1" x14ac:dyDescent="0.2">
      <c r="A742" s="246" t="s">
        <v>378</v>
      </c>
      <c r="B742" s="466" t="s">
        <v>456</v>
      </c>
      <c r="C742" s="422" t="s">
        <v>23</v>
      </c>
      <c r="D742" s="252" t="s">
        <v>135</v>
      </c>
      <c r="E742" s="423">
        <v>3.0138225896768671E-2</v>
      </c>
      <c r="F742" s="250" t="s">
        <v>133</v>
      </c>
      <c r="G742" s="251"/>
      <c r="H742" s="252">
        <v>1</v>
      </c>
      <c r="I742" s="252">
        <v>2</v>
      </c>
      <c r="J742" s="252">
        <v>3</v>
      </c>
      <c r="K742" s="252">
        <v>3</v>
      </c>
      <c r="L742" s="253">
        <v>3</v>
      </c>
      <c r="M742" s="254">
        <f t="shared" si="24"/>
        <v>1.123005955058592</v>
      </c>
      <c r="N742" s="255"/>
    </row>
    <row r="743" spans="1:14" hidden="1" x14ac:dyDescent="0.2">
      <c r="A743" s="246" t="s">
        <v>378</v>
      </c>
      <c r="B743" s="466" t="s">
        <v>456</v>
      </c>
      <c r="C743" s="422" t="s">
        <v>24</v>
      </c>
      <c r="D743" s="252" t="s">
        <v>135</v>
      </c>
      <c r="E743" s="423">
        <v>2.5022563325537732E-3</v>
      </c>
      <c r="F743" s="250" t="s">
        <v>133</v>
      </c>
      <c r="G743" s="251"/>
      <c r="H743" s="252">
        <v>1</v>
      </c>
      <c r="I743" s="252">
        <v>2</v>
      </c>
      <c r="J743" s="252">
        <v>3</v>
      </c>
      <c r="K743" s="252">
        <v>3</v>
      </c>
      <c r="L743" s="253">
        <v>3</v>
      </c>
      <c r="M743" s="254">
        <f t="shared" si="24"/>
        <v>1.123005955058592</v>
      </c>
      <c r="N743" s="255"/>
    </row>
    <row r="744" spans="1:14" hidden="1" x14ac:dyDescent="0.2">
      <c r="A744" s="246" t="s">
        <v>378</v>
      </c>
      <c r="B744" s="466" t="s">
        <v>456</v>
      </c>
      <c r="C744" s="422" t="s">
        <v>24</v>
      </c>
      <c r="D744" s="252" t="s">
        <v>135</v>
      </c>
      <c r="E744" s="423">
        <v>3.1862063967851378E-2</v>
      </c>
      <c r="F744" s="250" t="s">
        <v>133</v>
      </c>
      <c r="G744" s="251"/>
      <c r="H744" s="252">
        <v>1</v>
      </c>
      <c r="I744" s="252">
        <v>2</v>
      </c>
      <c r="J744" s="252">
        <v>3</v>
      </c>
      <c r="K744" s="252">
        <v>3</v>
      </c>
      <c r="L744" s="253">
        <v>3</v>
      </c>
      <c r="M744" s="254">
        <f t="shared" si="24"/>
        <v>1.123005955058592</v>
      </c>
      <c r="N744" s="255"/>
    </row>
    <row r="745" spans="1:14" hidden="1" x14ac:dyDescent="0.2">
      <c r="A745" s="246" t="s">
        <v>378</v>
      </c>
      <c r="B745" s="466" t="s">
        <v>456</v>
      </c>
      <c r="C745" s="422" t="s">
        <v>25</v>
      </c>
      <c r="D745" s="252" t="s">
        <v>135</v>
      </c>
      <c r="E745" s="423">
        <v>1.510655818702856E-3</v>
      </c>
      <c r="F745" s="250" t="s">
        <v>133</v>
      </c>
      <c r="G745" s="251"/>
      <c r="H745" s="252">
        <v>1</v>
      </c>
      <c r="I745" s="252">
        <v>2</v>
      </c>
      <c r="J745" s="252">
        <v>3</v>
      </c>
      <c r="K745" s="252">
        <v>3</v>
      </c>
      <c r="L745" s="253">
        <v>3</v>
      </c>
      <c r="M745" s="254">
        <f t="shared" si="24"/>
        <v>1.123005955058592</v>
      </c>
      <c r="N745" s="255"/>
    </row>
    <row r="746" spans="1:14" hidden="1" x14ac:dyDescent="0.2">
      <c r="A746" s="246" t="s">
        <v>378</v>
      </c>
      <c r="B746" s="466" t="s">
        <v>456</v>
      </c>
      <c r="C746" s="422" t="s">
        <v>25</v>
      </c>
      <c r="D746" s="252" t="s">
        <v>135</v>
      </c>
      <c r="E746" s="423">
        <v>1.9235684091483029E-2</v>
      </c>
      <c r="F746" s="250" t="s">
        <v>133</v>
      </c>
      <c r="G746" s="251"/>
      <c r="H746" s="252">
        <v>1</v>
      </c>
      <c r="I746" s="252">
        <v>2</v>
      </c>
      <c r="J746" s="252">
        <v>3</v>
      </c>
      <c r="K746" s="252">
        <v>3</v>
      </c>
      <c r="L746" s="253">
        <v>3</v>
      </c>
      <c r="M746" s="254">
        <f t="shared" si="24"/>
        <v>1.123005955058592</v>
      </c>
      <c r="N746" s="255"/>
    </row>
    <row r="747" spans="1:14" hidden="1" x14ac:dyDescent="0.2">
      <c r="A747" s="246" t="s">
        <v>378</v>
      </c>
      <c r="B747" s="466" t="s">
        <v>456</v>
      </c>
      <c r="C747" s="422" t="s">
        <v>26</v>
      </c>
      <c r="D747" s="252" t="s">
        <v>135</v>
      </c>
      <c r="E747" s="423">
        <v>1.262887446885602E-3</v>
      </c>
      <c r="F747" s="250" t="s">
        <v>133</v>
      </c>
      <c r="G747" s="251"/>
      <c r="H747" s="252">
        <v>1</v>
      </c>
      <c r="I747" s="252">
        <v>2</v>
      </c>
      <c r="J747" s="252">
        <v>3</v>
      </c>
      <c r="K747" s="252">
        <v>3</v>
      </c>
      <c r="L747" s="253">
        <v>3</v>
      </c>
      <c r="M747" s="254">
        <f t="shared" si="24"/>
        <v>1.123005955058592</v>
      </c>
      <c r="N747" s="255"/>
    </row>
    <row r="748" spans="1:14" hidden="1" x14ac:dyDescent="0.2">
      <c r="A748" s="246" t="s">
        <v>378</v>
      </c>
      <c r="B748" s="466" t="s">
        <v>456</v>
      </c>
      <c r="C748" s="422" t="s">
        <v>26</v>
      </c>
      <c r="D748" s="252" t="s">
        <v>135</v>
      </c>
      <c r="E748" s="423">
        <v>1.6080766823676668E-2</v>
      </c>
      <c r="F748" s="250" t="s">
        <v>133</v>
      </c>
      <c r="G748" s="251"/>
      <c r="H748" s="252">
        <v>1</v>
      </c>
      <c r="I748" s="252">
        <v>2</v>
      </c>
      <c r="J748" s="252">
        <v>3</v>
      </c>
      <c r="K748" s="252">
        <v>3</v>
      </c>
      <c r="L748" s="253">
        <v>3</v>
      </c>
      <c r="M748" s="254">
        <f t="shared" si="24"/>
        <v>1.123005955058592</v>
      </c>
      <c r="N748" s="255"/>
    </row>
    <row r="749" spans="1:14" hidden="1" x14ac:dyDescent="0.2">
      <c r="A749" s="246" t="s">
        <v>378</v>
      </c>
      <c r="B749" s="466" t="s">
        <v>456</v>
      </c>
      <c r="C749" s="422" t="s">
        <v>27</v>
      </c>
      <c r="D749" s="252" t="s">
        <v>135</v>
      </c>
      <c r="E749" s="423">
        <v>1.1675121051418029E-3</v>
      </c>
      <c r="F749" s="250" t="s">
        <v>133</v>
      </c>
      <c r="G749" s="251"/>
      <c r="H749" s="252">
        <v>1</v>
      </c>
      <c r="I749" s="252">
        <v>2</v>
      </c>
      <c r="J749" s="252">
        <v>3</v>
      </c>
      <c r="K749" s="252">
        <v>3</v>
      </c>
      <c r="L749" s="253">
        <v>3</v>
      </c>
      <c r="M749" s="254">
        <f t="shared" si="24"/>
        <v>1.123005955058592</v>
      </c>
      <c r="N749" s="255"/>
    </row>
    <row r="750" spans="1:14" hidden="1" x14ac:dyDescent="0.2">
      <c r="A750" s="246" t="s">
        <v>378</v>
      </c>
      <c r="B750" s="466" t="s">
        <v>456</v>
      </c>
      <c r="C750" s="422" t="s">
        <v>27</v>
      </c>
      <c r="D750" s="252" t="s">
        <v>135</v>
      </c>
      <c r="E750" s="423">
        <v>1.4866320805472301E-2</v>
      </c>
      <c r="F750" s="250" t="s">
        <v>133</v>
      </c>
      <c r="G750" s="251"/>
      <c r="H750" s="252">
        <v>1</v>
      </c>
      <c r="I750" s="252">
        <v>2</v>
      </c>
      <c r="J750" s="252">
        <v>3</v>
      </c>
      <c r="K750" s="252">
        <v>3</v>
      </c>
      <c r="L750" s="253">
        <v>3</v>
      </c>
      <c r="M750" s="254">
        <f t="shared" si="24"/>
        <v>1.123005955058592</v>
      </c>
      <c r="N750" s="255"/>
    </row>
    <row r="751" spans="1:14" hidden="1" x14ac:dyDescent="0.2">
      <c r="A751" s="246" t="s">
        <v>378</v>
      </c>
      <c r="B751" s="466" t="s">
        <v>456</v>
      </c>
      <c r="C751" s="422" t="s">
        <v>28</v>
      </c>
      <c r="D751" s="252" t="s">
        <v>135</v>
      </c>
      <c r="E751" s="423">
        <v>2.4974472149939058E-3</v>
      </c>
      <c r="F751" s="250" t="s">
        <v>133</v>
      </c>
      <c r="G751" s="251"/>
      <c r="H751" s="252">
        <v>1</v>
      </c>
      <c r="I751" s="252">
        <v>2</v>
      </c>
      <c r="J751" s="252">
        <v>3</v>
      </c>
      <c r="K751" s="252">
        <v>3</v>
      </c>
      <c r="L751" s="253">
        <v>3</v>
      </c>
      <c r="M751" s="254">
        <f t="shared" si="24"/>
        <v>1.123005955058592</v>
      </c>
      <c r="N751" s="255"/>
    </row>
    <row r="752" spans="1:14" hidden="1" x14ac:dyDescent="0.2">
      <c r="A752" s="246" t="s">
        <v>378</v>
      </c>
      <c r="B752" s="466" t="s">
        <v>456</v>
      </c>
      <c r="C752" s="422" t="s">
        <v>28</v>
      </c>
      <c r="D752" s="252" t="s">
        <v>135</v>
      </c>
      <c r="E752" s="423">
        <v>3.1800827870922407E-2</v>
      </c>
      <c r="F752" s="250" t="s">
        <v>133</v>
      </c>
      <c r="G752" s="251"/>
      <c r="H752" s="252">
        <v>1</v>
      </c>
      <c r="I752" s="252">
        <v>2</v>
      </c>
      <c r="J752" s="252">
        <v>3</v>
      </c>
      <c r="K752" s="252">
        <v>3</v>
      </c>
      <c r="L752" s="253">
        <v>3</v>
      </c>
      <c r="M752" s="254">
        <f t="shared" si="24"/>
        <v>1.123005955058592</v>
      </c>
      <c r="N752" s="255"/>
    </row>
    <row r="753" spans="1:14" hidden="1" x14ac:dyDescent="0.2">
      <c r="A753" s="246" t="s">
        <v>378</v>
      </c>
      <c r="B753" s="466" t="s">
        <v>456</v>
      </c>
      <c r="C753" s="422" t="s">
        <v>30</v>
      </c>
      <c r="D753" s="252" t="s">
        <v>135</v>
      </c>
      <c r="E753" s="423">
        <v>1.5E-3</v>
      </c>
      <c r="F753" s="250" t="s">
        <v>133</v>
      </c>
      <c r="G753" s="251"/>
      <c r="H753" s="252">
        <v>1</v>
      </c>
      <c r="I753" s="252">
        <v>2</v>
      </c>
      <c r="J753" s="252">
        <v>3</v>
      </c>
      <c r="K753" s="252">
        <v>3</v>
      </c>
      <c r="L753" s="253">
        <v>3</v>
      </c>
      <c r="M753" s="254">
        <f t="shared" si="24"/>
        <v>1.123005955058592</v>
      </c>
      <c r="N753" s="255"/>
    </row>
    <row r="754" spans="1:14" hidden="1" x14ac:dyDescent="0.2">
      <c r="A754" s="246" t="s">
        <v>378</v>
      </c>
      <c r="B754" s="466" t="s">
        <v>456</v>
      </c>
      <c r="C754" s="422" t="s">
        <v>30</v>
      </c>
      <c r="D754" s="252" t="s">
        <v>135</v>
      </c>
      <c r="E754" s="423">
        <v>1.9099999999999999E-2</v>
      </c>
      <c r="F754" s="250" t="s">
        <v>133</v>
      </c>
      <c r="G754" s="251"/>
      <c r="H754" s="252">
        <v>1</v>
      </c>
      <c r="I754" s="252">
        <v>2</v>
      </c>
      <c r="J754" s="252">
        <v>3</v>
      </c>
      <c r="K754" s="252">
        <v>3</v>
      </c>
      <c r="L754" s="253">
        <v>3</v>
      </c>
      <c r="M754" s="254">
        <f t="shared" si="24"/>
        <v>1.123005955058592</v>
      </c>
      <c r="N754" s="255"/>
    </row>
    <row r="755" spans="1:14" hidden="1" x14ac:dyDescent="0.2">
      <c r="A755" s="246" t="s">
        <v>378</v>
      </c>
      <c r="B755" s="466" t="s">
        <v>456</v>
      </c>
      <c r="C755" s="422" t="s">
        <v>32</v>
      </c>
      <c r="D755" s="252" t="s">
        <v>135</v>
      </c>
      <c r="E755" s="423">
        <v>4.7344938897855666E-3</v>
      </c>
      <c r="F755" s="250" t="s">
        <v>133</v>
      </c>
      <c r="G755" s="251"/>
      <c r="H755" s="252">
        <v>1</v>
      </c>
      <c r="I755" s="252">
        <v>2</v>
      </c>
      <c r="J755" s="252">
        <v>3</v>
      </c>
      <c r="K755" s="252">
        <v>3</v>
      </c>
      <c r="L755" s="253">
        <v>3</v>
      </c>
      <c r="M755" s="254">
        <f t="shared" si="24"/>
        <v>1.123005955058592</v>
      </c>
      <c r="N755" s="255"/>
    </row>
    <row r="756" spans="1:14" hidden="1" x14ac:dyDescent="0.2">
      <c r="A756" s="246" t="s">
        <v>378</v>
      </c>
      <c r="B756" s="466" t="s">
        <v>456</v>
      </c>
      <c r="C756" s="422" t="s">
        <v>32</v>
      </c>
      <c r="D756" s="252" t="s">
        <v>135</v>
      </c>
      <c r="E756" s="423">
        <v>6.0285888863269549E-2</v>
      </c>
      <c r="F756" s="250" t="s">
        <v>133</v>
      </c>
      <c r="G756" s="251"/>
      <c r="H756" s="252">
        <v>1</v>
      </c>
      <c r="I756" s="252">
        <v>2</v>
      </c>
      <c r="J756" s="252">
        <v>3</v>
      </c>
      <c r="K756" s="252">
        <v>3</v>
      </c>
      <c r="L756" s="253">
        <v>3</v>
      </c>
      <c r="M756" s="254">
        <f t="shared" si="24"/>
        <v>1.123005955058592</v>
      </c>
      <c r="N756" s="255"/>
    </row>
    <row r="757" spans="1:14" hidden="1" x14ac:dyDescent="0.2">
      <c r="A757" s="246" t="s">
        <v>378</v>
      </c>
      <c r="B757" s="466" t="s">
        <v>456</v>
      </c>
      <c r="C757" s="422" t="s">
        <v>34</v>
      </c>
      <c r="D757" s="252" t="s">
        <v>135</v>
      </c>
      <c r="E757" s="423">
        <v>2.3875951118284529E-3</v>
      </c>
      <c r="F757" s="250" t="s">
        <v>133</v>
      </c>
      <c r="G757" s="251"/>
      <c r="H757" s="252">
        <v>1</v>
      </c>
      <c r="I757" s="252">
        <v>2</v>
      </c>
      <c r="J757" s="252">
        <v>3</v>
      </c>
      <c r="K757" s="252">
        <v>3</v>
      </c>
      <c r="L757" s="253">
        <v>3</v>
      </c>
      <c r="M757" s="254">
        <f t="shared" si="24"/>
        <v>1.123005955058592</v>
      </c>
      <c r="N757" s="255"/>
    </row>
    <row r="758" spans="1:14" hidden="1" x14ac:dyDescent="0.2">
      <c r="A758" s="246" t="s">
        <v>378</v>
      </c>
      <c r="B758" s="466" t="s">
        <v>456</v>
      </c>
      <c r="C758" s="422" t="s">
        <v>34</v>
      </c>
      <c r="D758" s="252" t="s">
        <v>135</v>
      </c>
      <c r="E758" s="423">
        <v>3.0402044423948969E-2</v>
      </c>
      <c r="F758" s="250" t="s">
        <v>133</v>
      </c>
      <c r="G758" s="251"/>
      <c r="H758" s="252">
        <v>1</v>
      </c>
      <c r="I758" s="252">
        <v>2</v>
      </c>
      <c r="J758" s="252">
        <v>3</v>
      </c>
      <c r="K758" s="252">
        <v>3</v>
      </c>
      <c r="L758" s="253">
        <v>3</v>
      </c>
      <c r="M758" s="254">
        <f t="shared" si="24"/>
        <v>1.123005955058592</v>
      </c>
      <c r="N758" s="255"/>
    </row>
    <row r="759" spans="1:14" hidden="1" x14ac:dyDescent="0.2">
      <c r="A759" s="246" t="s">
        <v>378</v>
      </c>
      <c r="B759" s="466" t="s">
        <v>456</v>
      </c>
      <c r="C759" s="422" t="s">
        <v>36</v>
      </c>
      <c r="D759" s="252" t="s">
        <v>135</v>
      </c>
      <c r="E759" s="423">
        <v>1.4018248295398399E-3</v>
      </c>
      <c r="F759" s="250" t="s">
        <v>133</v>
      </c>
      <c r="G759" s="251"/>
      <c r="H759" s="252">
        <v>1</v>
      </c>
      <c r="I759" s="252">
        <v>2</v>
      </c>
      <c r="J759" s="252">
        <v>3</v>
      </c>
      <c r="K759" s="252">
        <v>3</v>
      </c>
      <c r="L759" s="253">
        <v>3</v>
      </c>
      <c r="M759" s="254">
        <f t="shared" si="24"/>
        <v>1.123005955058592</v>
      </c>
      <c r="N759" s="255"/>
    </row>
    <row r="760" spans="1:14" hidden="1" x14ac:dyDescent="0.2">
      <c r="A760" s="246" t="s">
        <v>378</v>
      </c>
      <c r="B760" s="466" t="s">
        <v>456</v>
      </c>
      <c r="C760" s="422" t="s">
        <v>36</v>
      </c>
      <c r="D760" s="252" t="s">
        <v>135</v>
      </c>
      <c r="E760" s="423">
        <v>1.784990282947397E-2</v>
      </c>
      <c r="F760" s="250" t="s">
        <v>133</v>
      </c>
      <c r="G760" s="251"/>
      <c r="H760" s="252">
        <v>1</v>
      </c>
      <c r="I760" s="252">
        <v>2</v>
      </c>
      <c r="J760" s="252">
        <v>3</v>
      </c>
      <c r="K760" s="252">
        <v>3</v>
      </c>
      <c r="L760" s="253">
        <v>3</v>
      </c>
      <c r="M760" s="254">
        <f t="shared" si="24"/>
        <v>1.123005955058592</v>
      </c>
      <c r="N760" s="255"/>
    </row>
    <row r="761" spans="1:14" hidden="1" x14ac:dyDescent="0.2">
      <c r="A761" s="246" t="s">
        <v>378</v>
      </c>
      <c r="B761" s="466" t="s">
        <v>456</v>
      </c>
      <c r="C761" s="422" t="s">
        <v>37</v>
      </c>
      <c r="D761" s="252" t="s">
        <v>135</v>
      </c>
      <c r="E761" s="423">
        <v>3.4927369149181462E-3</v>
      </c>
      <c r="F761" s="250" t="s">
        <v>133</v>
      </c>
      <c r="G761" s="251"/>
      <c r="H761" s="252">
        <v>1</v>
      </c>
      <c r="I761" s="252">
        <v>2</v>
      </c>
      <c r="J761" s="252">
        <v>3</v>
      </c>
      <c r="K761" s="252">
        <v>3</v>
      </c>
      <c r="L761" s="253">
        <v>3</v>
      </c>
      <c r="M761" s="254">
        <f t="shared" si="24"/>
        <v>1.123005955058592</v>
      </c>
      <c r="N761" s="255"/>
    </row>
    <row r="762" spans="1:14" hidden="1" x14ac:dyDescent="0.2">
      <c r="A762" s="246" t="s">
        <v>378</v>
      </c>
      <c r="B762" s="466" t="s">
        <v>456</v>
      </c>
      <c r="C762" s="422" t="s">
        <v>37</v>
      </c>
      <c r="D762" s="252" t="s">
        <v>135</v>
      </c>
      <c r="E762" s="423">
        <v>4.4474183383291059E-2</v>
      </c>
      <c r="F762" s="250" t="s">
        <v>133</v>
      </c>
      <c r="G762" s="251"/>
      <c r="H762" s="252">
        <v>1</v>
      </c>
      <c r="I762" s="252">
        <v>2</v>
      </c>
      <c r="J762" s="252">
        <v>3</v>
      </c>
      <c r="K762" s="252">
        <v>3</v>
      </c>
      <c r="L762" s="253">
        <v>3</v>
      </c>
      <c r="M762" s="254">
        <f t="shared" si="24"/>
        <v>1.123005955058592</v>
      </c>
      <c r="N762" s="255"/>
    </row>
    <row r="763" spans="1:14" hidden="1" x14ac:dyDescent="0.2">
      <c r="A763" s="246" t="s">
        <v>378</v>
      </c>
      <c r="B763" s="466" t="s">
        <v>456</v>
      </c>
      <c r="C763" s="422" t="s">
        <v>39</v>
      </c>
      <c r="D763" s="252" t="s">
        <v>135</v>
      </c>
      <c r="E763" s="423">
        <v>1.5892321881484899E-3</v>
      </c>
      <c r="F763" s="250" t="s">
        <v>133</v>
      </c>
      <c r="G763" s="251"/>
      <c r="H763" s="252">
        <v>1</v>
      </c>
      <c r="I763" s="252">
        <v>2</v>
      </c>
      <c r="J763" s="252">
        <v>3</v>
      </c>
      <c r="K763" s="252">
        <v>3</v>
      </c>
      <c r="L763" s="253">
        <v>3</v>
      </c>
      <c r="M763" s="254">
        <f t="shared" si="24"/>
        <v>1.123005955058592</v>
      </c>
      <c r="N763" s="255"/>
    </row>
    <row r="764" spans="1:14" hidden="1" x14ac:dyDescent="0.2">
      <c r="A764" s="246" t="s">
        <v>378</v>
      </c>
      <c r="B764" s="466" t="s">
        <v>456</v>
      </c>
      <c r="C764" s="422" t="s">
        <v>39</v>
      </c>
      <c r="D764" s="252" t="s">
        <v>135</v>
      </c>
      <c r="E764" s="423">
        <v>2.0236223195757439E-2</v>
      </c>
      <c r="F764" s="250" t="s">
        <v>133</v>
      </c>
      <c r="G764" s="251"/>
      <c r="H764" s="252">
        <v>1</v>
      </c>
      <c r="I764" s="252">
        <v>2</v>
      </c>
      <c r="J764" s="252">
        <v>3</v>
      </c>
      <c r="K764" s="252">
        <v>3</v>
      </c>
      <c r="L764" s="253">
        <v>3</v>
      </c>
      <c r="M764" s="254">
        <f>IF( OR( ISBLANK(H764),ISBLANK(I764), ISBLANK(J764), ISBLANK(K764), ISBLANK(L764) ), "", 1.5*SQRT(   EXP(2.21*(H764-1)) + EXP(2.21*(I764-1)) + EXP(2.21*(J764-1)) + EXP(2.21*(K764-1)) + EXP(2.21*L764)   )/100*2.45 )</f>
        <v>1.123005955058592</v>
      </c>
      <c r="N764" s="255"/>
    </row>
    <row r="765" spans="1:14" hidden="1" x14ac:dyDescent="0.2">
      <c r="A765" s="246" t="s">
        <v>378</v>
      </c>
      <c r="B765" s="466" t="s">
        <v>456</v>
      </c>
      <c r="C765" s="422" t="s">
        <v>40</v>
      </c>
      <c r="D765" s="252" t="s">
        <v>135</v>
      </c>
      <c r="E765" s="423">
        <v>1.6319378108633361E-3</v>
      </c>
      <c r="F765" s="250" t="s">
        <v>133</v>
      </c>
      <c r="G765" s="251"/>
      <c r="H765" s="252">
        <v>1</v>
      </c>
      <c r="I765" s="252">
        <v>2</v>
      </c>
      <c r="J765" s="252">
        <v>3</v>
      </c>
      <c r="K765" s="252">
        <v>3</v>
      </c>
      <c r="L765" s="253">
        <v>3</v>
      </c>
      <c r="M765" s="254">
        <f t="shared" ref="M765:M795" si="25">IF( OR( ISBLANK(H765),ISBLANK(I765), ISBLANK(J765), ISBLANK(K765), ISBLANK(L765) ), "", 1.5*SQRT( EXP(2.21*(H765-1)) + EXP(2.21*(I765-1)) + EXP(2.21*(J765-1)) + EXP(2.21*(K765-1)) + EXP(2.21*L765) )/100*2.45 )</f>
        <v>1.123005955058592</v>
      </c>
      <c r="N765" s="255"/>
    </row>
    <row r="766" spans="1:14" hidden="1" x14ac:dyDescent="0.2">
      <c r="A766" s="246" t="s">
        <v>378</v>
      </c>
      <c r="B766" s="466" t="s">
        <v>456</v>
      </c>
      <c r="C766" s="422" t="s">
        <v>40</v>
      </c>
      <c r="D766" s="252" t="s">
        <v>135</v>
      </c>
      <c r="E766" s="423">
        <v>2.078000812499315E-2</v>
      </c>
      <c r="F766" s="250" t="s">
        <v>133</v>
      </c>
      <c r="G766" s="251"/>
      <c r="H766" s="252">
        <v>1</v>
      </c>
      <c r="I766" s="252">
        <v>2</v>
      </c>
      <c r="J766" s="252">
        <v>3</v>
      </c>
      <c r="K766" s="252">
        <v>3</v>
      </c>
      <c r="L766" s="253">
        <v>3</v>
      </c>
      <c r="M766" s="254">
        <f t="shared" si="25"/>
        <v>1.123005955058592</v>
      </c>
      <c r="N766" s="255"/>
    </row>
    <row r="767" spans="1:14" hidden="1" x14ac:dyDescent="0.2">
      <c r="A767" s="246" t="s">
        <v>378</v>
      </c>
      <c r="B767" s="466" t="s">
        <v>456</v>
      </c>
      <c r="C767" s="422" t="s">
        <v>41</v>
      </c>
      <c r="D767" s="252" t="s">
        <v>135</v>
      </c>
      <c r="E767" s="423">
        <v>2.0270101123225411E-3</v>
      </c>
      <c r="F767" s="250" t="s">
        <v>133</v>
      </c>
      <c r="G767" s="251"/>
      <c r="H767" s="252">
        <v>1</v>
      </c>
      <c r="I767" s="252">
        <v>2</v>
      </c>
      <c r="J767" s="252">
        <v>3</v>
      </c>
      <c r="K767" s="252">
        <v>3</v>
      </c>
      <c r="L767" s="253">
        <v>3</v>
      </c>
      <c r="M767" s="254">
        <f t="shared" si="25"/>
        <v>1.123005955058592</v>
      </c>
      <c r="N767" s="255"/>
    </row>
    <row r="768" spans="1:14" hidden="1" x14ac:dyDescent="0.2">
      <c r="A768" s="246" t="s">
        <v>378</v>
      </c>
      <c r="B768" s="466" t="s">
        <v>456</v>
      </c>
      <c r="C768" s="422" t="s">
        <v>41</v>
      </c>
      <c r="D768" s="252" t="s">
        <v>135</v>
      </c>
      <c r="E768" s="423">
        <v>2.5810595430240349E-2</v>
      </c>
      <c r="F768" s="250" t="s">
        <v>133</v>
      </c>
      <c r="G768" s="251"/>
      <c r="H768" s="252">
        <v>1</v>
      </c>
      <c r="I768" s="252">
        <v>2</v>
      </c>
      <c r="J768" s="252">
        <v>3</v>
      </c>
      <c r="K768" s="252">
        <v>3</v>
      </c>
      <c r="L768" s="253">
        <v>3</v>
      </c>
      <c r="M768" s="254">
        <f t="shared" si="25"/>
        <v>1.123005955058592</v>
      </c>
      <c r="N768" s="255"/>
    </row>
    <row r="769" spans="1:14" hidden="1" x14ac:dyDescent="0.2">
      <c r="A769" s="246" t="s">
        <v>378</v>
      </c>
      <c r="B769" s="466" t="s">
        <v>456</v>
      </c>
      <c r="C769" s="422" t="s">
        <v>42</v>
      </c>
      <c r="D769" s="252" t="s">
        <v>135</v>
      </c>
      <c r="E769" s="423">
        <v>1.01162752396324E-3</v>
      </c>
      <c r="F769" s="250" t="s">
        <v>133</v>
      </c>
      <c r="G769" s="251"/>
      <c r="H769" s="252">
        <v>1</v>
      </c>
      <c r="I769" s="252">
        <v>2</v>
      </c>
      <c r="J769" s="252">
        <v>3</v>
      </c>
      <c r="K769" s="252">
        <v>3</v>
      </c>
      <c r="L769" s="253">
        <v>3</v>
      </c>
      <c r="M769" s="254">
        <f t="shared" si="25"/>
        <v>1.123005955058592</v>
      </c>
      <c r="N769" s="255"/>
    </row>
    <row r="770" spans="1:14" hidden="1" x14ac:dyDescent="0.2">
      <c r="A770" s="246" t="s">
        <v>378</v>
      </c>
      <c r="B770" s="466" t="s">
        <v>456</v>
      </c>
      <c r="C770" s="422" t="s">
        <v>42</v>
      </c>
      <c r="D770" s="252" t="s">
        <v>135</v>
      </c>
      <c r="E770" s="423">
        <v>1.2881390471798589E-2</v>
      </c>
      <c r="F770" s="250" t="s">
        <v>133</v>
      </c>
      <c r="G770" s="251"/>
      <c r="H770" s="252">
        <v>1</v>
      </c>
      <c r="I770" s="252">
        <v>2</v>
      </c>
      <c r="J770" s="252">
        <v>3</v>
      </c>
      <c r="K770" s="252">
        <v>3</v>
      </c>
      <c r="L770" s="253">
        <v>3</v>
      </c>
      <c r="M770" s="254">
        <f t="shared" si="25"/>
        <v>1.123005955058592</v>
      </c>
      <c r="N770" s="255"/>
    </row>
    <row r="771" spans="1:14" hidden="1" x14ac:dyDescent="0.2">
      <c r="A771" s="246" t="s">
        <v>378</v>
      </c>
      <c r="B771" s="466" t="s">
        <v>456</v>
      </c>
      <c r="C771" s="422" t="s">
        <v>43</v>
      </c>
      <c r="D771" s="252" t="s">
        <v>135</v>
      </c>
      <c r="E771" s="423">
        <v>1.8618860963799859E-3</v>
      </c>
      <c r="F771" s="250" t="s">
        <v>133</v>
      </c>
      <c r="G771" s="251"/>
      <c r="H771" s="252">
        <v>1</v>
      </c>
      <c r="I771" s="252">
        <v>2</v>
      </c>
      <c r="J771" s="252">
        <v>3</v>
      </c>
      <c r="K771" s="252">
        <v>3</v>
      </c>
      <c r="L771" s="253">
        <v>3</v>
      </c>
      <c r="M771" s="254">
        <f t="shared" si="25"/>
        <v>1.123005955058592</v>
      </c>
      <c r="N771" s="255"/>
    </row>
    <row r="772" spans="1:14" hidden="1" x14ac:dyDescent="0.2">
      <c r="A772" s="246" t="s">
        <v>378</v>
      </c>
      <c r="B772" s="466" t="s">
        <v>456</v>
      </c>
      <c r="C772" s="422" t="s">
        <v>43</v>
      </c>
      <c r="D772" s="252" t="s">
        <v>135</v>
      </c>
      <c r="E772" s="423">
        <v>2.3708016293905159E-2</v>
      </c>
      <c r="F772" s="250" t="s">
        <v>133</v>
      </c>
      <c r="G772" s="251"/>
      <c r="H772" s="252">
        <v>1</v>
      </c>
      <c r="I772" s="252">
        <v>2</v>
      </c>
      <c r="J772" s="252">
        <v>3</v>
      </c>
      <c r="K772" s="252">
        <v>3</v>
      </c>
      <c r="L772" s="253">
        <v>3</v>
      </c>
      <c r="M772" s="254">
        <f t="shared" si="25"/>
        <v>1.123005955058592</v>
      </c>
      <c r="N772" s="255"/>
    </row>
    <row r="773" spans="1:14" x14ac:dyDescent="0.2">
      <c r="A773" s="246" t="s">
        <v>378</v>
      </c>
      <c r="B773" s="466" t="s">
        <v>456</v>
      </c>
      <c r="C773" s="422" t="s">
        <v>45</v>
      </c>
      <c r="D773" s="252" t="s">
        <v>135</v>
      </c>
      <c r="E773" s="423">
        <v>1.066339470997069E-3</v>
      </c>
      <c r="F773" s="250" t="s">
        <v>133</v>
      </c>
      <c r="G773" s="251"/>
      <c r="H773" s="252">
        <v>1</v>
      </c>
      <c r="I773" s="252">
        <v>2</v>
      </c>
      <c r="J773" s="252">
        <v>3</v>
      </c>
      <c r="K773" s="252">
        <v>3</v>
      </c>
      <c r="L773" s="253">
        <v>3</v>
      </c>
      <c r="M773" s="254">
        <f t="shared" si="25"/>
        <v>1.123005955058592</v>
      </c>
      <c r="N773" s="255"/>
    </row>
    <row r="774" spans="1:14" x14ac:dyDescent="0.2">
      <c r="A774" s="246" t="s">
        <v>378</v>
      </c>
      <c r="B774" s="466" t="s">
        <v>456</v>
      </c>
      <c r="C774" s="422" t="s">
        <v>45</v>
      </c>
      <c r="D774" s="252" t="s">
        <v>135</v>
      </c>
      <c r="E774" s="423">
        <v>1.357805593069601E-2</v>
      </c>
      <c r="F774" s="250" t="s">
        <v>133</v>
      </c>
      <c r="G774" s="251"/>
      <c r="H774" s="252">
        <v>1</v>
      </c>
      <c r="I774" s="252">
        <v>2</v>
      </c>
      <c r="J774" s="252">
        <v>3</v>
      </c>
      <c r="K774" s="252">
        <v>3</v>
      </c>
      <c r="L774" s="253">
        <v>3</v>
      </c>
      <c r="M774" s="254">
        <f t="shared" si="25"/>
        <v>1.123005955058592</v>
      </c>
      <c r="N774" s="255"/>
    </row>
    <row r="775" spans="1:14" hidden="1" x14ac:dyDescent="0.2">
      <c r="A775" s="246" t="s">
        <v>378</v>
      </c>
      <c r="B775" s="466" t="s">
        <v>456</v>
      </c>
      <c r="C775" s="422" t="s">
        <v>46</v>
      </c>
      <c r="D775" s="252" t="s">
        <v>135</v>
      </c>
      <c r="E775" s="423">
        <v>3.3239731216443218E-3</v>
      </c>
      <c r="F775" s="250" t="s">
        <v>133</v>
      </c>
      <c r="G775" s="251"/>
      <c r="H775" s="252">
        <v>1</v>
      </c>
      <c r="I775" s="252">
        <v>2</v>
      </c>
      <c r="J775" s="252">
        <v>3</v>
      </c>
      <c r="K775" s="252">
        <v>3</v>
      </c>
      <c r="L775" s="253">
        <v>3</v>
      </c>
      <c r="M775" s="254">
        <f t="shared" si="25"/>
        <v>1.123005955058592</v>
      </c>
      <c r="N775" s="255"/>
    </row>
    <row r="776" spans="1:14" hidden="1" x14ac:dyDescent="0.2">
      <c r="A776" s="246" t="s">
        <v>378</v>
      </c>
      <c r="B776" s="466" t="s">
        <v>456</v>
      </c>
      <c r="C776" s="422" t="s">
        <v>46</v>
      </c>
      <c r="D776" s="252" t="s">
        <v>135</v>
      </c>
      <c r="E776" s="423">
        <v>4.2325257748937702E-2</v>
      </c>
      <c r="F776" s="250" t="s">
        <v>133</v>
      </c>
      <c r="G776" s="251"/>
      <c r="H776" s="252">
        <v>1</v>
      </c>
      <c r="I776" s="252">
        <v>2</v>
      </c>
      <c r="J776" s="252">
        <v>3</v>
      </c>
      <c r="K776" s="252">
        <v>3</v>
      </c>
      <c r="L776" s="253">
        <v>3</v>
      </c>
      <c r="M776" s="254">
        <f t="shared" si="25"/>
        <v>1.123005955058592</v>
      </c>
      <c r="N776" s="255"/>
    </row>
    <row r="777" spans="1:14" hidden="1" x14ac:dyDescent="0.2">
      <c r="A777" s="246" t="s">
        <v>378</v>
      </c>
      <c r="B777" s="466" t="s">
        <v>456</v>
      </c>
      <c r="C777" s="422" t="s">
        <v>48</v>
      </c>
      <c r="D777" s="252" t="s">
        <v>135</v>
      </c>
      <c r="E777" s="423">
        <v>2.852597252873942E-3</v>
      </c>
      <c r="F777" s="250" t="s">
        <v>133</v>
      </c>
      <c r="G777" s="251"/>
      <c r="H777" s="252">
        <v>1</v>
      </c>
      <c r="I777" s="252">
        <v>2</v>
      </c>
      <c r="J777" s="252">
        <v>3</v>
      </c>
      <c r="K777" s="252">
        <v>3</v>
      </c>
      <c r="L777" s="253">
        <v>3</v>
      </c>
      <c r="M777" s="254">
        <f t="shared" si="25"/>
        <v>1.123005955058592</v>
      </c>
      <c r="N777" s="255"/>
    </row>
    <row r="778" spans="1:14" hidden="1" x14ac:dyDescent="0.2">
      <c r="A778" s="246" t="s">
        <v>378</v>
      </c>
      <c r="B778" s="466" t="s">
        <v>456</v>
      </c>
      <c r="C778" s="422" t="s">
        <v>48</v>
      </c>
      <c r="D778" s="252" t="s">
        <v>135</v>
      </c>
      <c r="E778" s="423">
        <v>3.6323071686594863E-2</v>
      </c>
      <c r="F778" s="250" t="s">
        <v>133</v>
      </c>
      <c r="G778" s="251"/>
      <c r="H778" s="252">
        <v>1</v>
      </c>
      <c r="I778" s="252">
        <v>2</v>
      </c>
      <c r="J778" s="252">
        <v>3</v>
      </c>
      <c r="K778" s="252">
        <v>3</v>
      </c>
      <c r="L778" s="253">
        <v>3</v>
      </c>
      <c r="M778" s="254">
        <f t="shared" si="25"/>
        <v>1.123005955058592</v>
      </c>
      <c r="N778" s="255"/>
    </row>
    <row r="779" spans="1:14" hidden="1" x14ac:dyDescent="0.2">
      <c r="A779" s="246" t="s">
        <v>378</v>
      </c>
      <c r="B779" s="466" t="s">
        <v>456</v>
      </c>
      <c r="C779" s="422" t="s">
        <v>50</v>
      </c>
      <c r="D779" s="252" t="s">
        <v>135</v>
      </c>
      <c r="E779" s="423">
        <v>3.3290951612371948E-3</v>
      </c>
      <c r="F779" s="250" t="s">
        <v>133</v>
      </c>
      <c r="G779" s="251"/>
      <c r="H779" s="252">
        <v>1</v>
      </c>
      <c r="I779" s="252">
        <v>2</v>
      </c>
      <c r="J779" s="252">
        <v>3</v>
      </c>
      <c r="K779" s="252">
        <v>3</v>
      </c>
      <c r="L779" s="253">
        <v>3</v>
      </c>
      <c r="M779" s="254">
        <f t="shared" si="25"/>
        <v>1.123005955058592</v>
      </c>
      <c r="N779" s="255"/>
    </row>
    <row r="780" spans="1:14" hidden="1" x14ac:dyDescent="0.2">
      <c r="A780" s="246" t="s">
        <v>378</v>
      </c>
      <c r="B780" s="466" t="s">
        <v>456</v>
      </c>
      <c r="C780" s="422" t="s">
        <v>50</v>
      </c>
      <c r="D780" s="252" t="s">
        <v>135</v>
      </c>
      <c r="E780" s="423">
        <v>4.239047838642028E-2</v>
      </c>
      <c r="F780" s="250" t="s">
        <v>133</v>
      </c>
      <c r="G780" s="251"/>
      <c r="H780" s="252">
        <v>1</v>
      </c>
      <c r="I780" s="252">
        <v>2</v>
      </c>
      <c r="J780" s="252">
        <v>3</v>
      </c>
      <c r="K780" s="252">
        <v>3</v>
      </c>
      <c r="L780" s="253">
        <v>3</v>
      </c>
      <c r="M780" s="254">
        <f t="shared" si="25"/>
        <v>1.123005955058592</v>
      </c>
      <c r="N780" s="255"/>
    </row>
    <row r="781" spans="1:14" hidden="1" x14ac:dyDescent="0.2">
      <c r="A781" s="246" t="s">
        <v>378</v>
      </c>
      <c r="B781" s="466" t="s">
        <v>456</v>
      </c>
      <c r="C781" s="422" t="s">
        <v>52</v>
      </c>
      <c r="D781" s="252" t="s">
        <v>135</v>
      </c>
      <c r="E781" s="423">
        <v>3.7221252346915259E-3</v>
      </c>
      <c r="F781" s="250" t="s">
        <v>133</v>
      </c>
      <c r="G781" s="251"/>
      <c r="H781" s="252">
        <v>1</v>
      </c>
      <c r="I781" s="252">
        <v>2</v>
      </c>
      <c r="J781" s="252">
        <v>3</v>
      </c>
      <c r="K781" s="252">
        <v>3</v>
      </c>
      <c r="L781" s="253">
        <v>3</v>
      </c>
      <c r="M781" s="254">
        <f t="shared" si="25"/>
        <v>1.123005955058592</v>
      </c>
      <c r="N781" s="255"/>
    </row>
    <row r="782" spans="1:14" hidden="1" x14ac:dyDescent="0.2">
      <c r="A782" s="246" t="s">
        <v>378</v>
      </c>
      <c r="B782" s="466" t="s">
        <v>456</v>
      </c>
      <c r="C782" s="422" t="s">
        <v>52</v>
      </c>
      <c r="D782" s="252" t="s">
        <v>135</v>
      </c>
      <c r="E782" s="423">
        <v>4.7395061321738763E-2</v>
      </c>
      <c r="F782" s="250" t="s">
        <v>133</v>
      </c>
      <c r="G782" s="251"/>
      <c r="H782" s="252">
        <v>1</v>
      </c>
      <c r="I782" s="252">
        <v>2</v>
      </c>
      <c r="J782" s="252">
        <v>3</v>
      </c>
      <c r="K782" s="252">
        <v>3</v>
      </c>
      <c r="L782" s="253">
        <v>3</v>
      </c>
      <c r="M782" s="254">
        <f t="shared" si="25"/>
        <v>1.123005955058592</v>
      </c>
      <c r="N782" s="255"/>
    </row>
    <row r="783" spans="1:14" hidden="1" x14ac:dyDescent="0.2">
      <c r="A783" s="246" t="s">
        <v>378</v>
      </c>
      <c r="B783" s="466" t="s">
        <v>456</v>
      </c>
      <c r="C783" s="422" t="s">
        <v>54</v>
      </c>
      <c r="D783" s="252" t="s">
        <v>135</v>
      </c>
      <c r="E783" s="423">
        <v>1.5078395204058111E-3</v>
      </c>
      <c r="F783" s="250" t="s">
        <v>133</v>
      </c>
      <c r="G783" s="251"/>
      <c r="H783" s="252">
        <v>1</v>
      </c>
      <c r="I783" s="252">
        <v>2</v>
      </c>
      <c r="J783" s="252">
        <v>3</v>
      </c>
      <c r="K783" s="252">
        <v>3</v>
      </c>
      <c r="L783" s="253">
        <v>3</v>
      </c>
      <c r="M783" s="254">
        <f t="shared" si="25"/>
        <v>1.123005955058592</v>
      </c>
      <c r="N783" s="255"/>
    </row>
    <row r="784" spans="1:14" hidden="1" x14ac:dyDescent="0.2">
      <c r="A784" s="246" t="s">
        <v>378</v>
      </c>
      <c r="B784" s="466" t="s">
        <v>456</v>
      </c>
      <c r="C784" s="422" t="s">
        <v>54</v>
      </c>
      <c r="D784" s="252" t="s">
        <v>135</v>
      </c>
      <c r="E784" s="423">
        <v>1.919982322650066E-2</v>
      </c>
      <c r="F784" s="250" t="s">
        <v>133</v>
      </c>
      <c r="G784" s="251"/>
      <c r="H784" s="252">
        <v>1</v>
      </c>
      <c r="I784" s="252">
        <v>2</v>
      </c>
      <c r="J784" s="252">
        <v>3</v>
      </c>
      <c r="K784" s="252">
        <v>3</v>
      </c>
      <c r="L784" s="253">
        <v>3</v>
      </c>
      <c r="M784" s="254">
        <f t="shared" si="25"/>
        <v>1.123005955058592</v>
      </c>
      <c r="N784" s="255"/>
    </row>
    <row r="785" spans="1:14" hidden="1" x14ac:dyDescent="0.2">
      <c r="A785" s="246" t="s">
        <v>378</v>
      </c>
      <c r="B785" s="466" t="s">
        <v>456</v>
      </c>
      <c r="C785" s="422" t="s">
        <v>55</v>
      </c>
      <c r="D785" s="252" t="s">
        <v>135</v>
      </c>
      <c r="E785" s="423">
        <v>2.172930597186996E-3</v>
      </c>
      <c r="F785" s="250" t="s">
        <v>133</v>
      </c>
      <c r="G785" s="251"/>
      <c r="H785" s="252">
        <v>1</v>
      </c>
      <c r="I785" s="252">
        <v>2</v>
      </c>
      <c r="J785" s="252">
        <v>3</v>
      </c>
      <c r="K785" s="252">
        <v>3</v>
      </c>
      <c r="L785" s="253">
        <v>3</v>
      </c>
      <c r="M785" s="254">
        <f t="shared" si="25"/>
        <v>1.123005955058592</v>
      </c>
      <c r="N785" s="255"/>
    </row>
    <row r="786" spans="1:14" hidden="1" x14ac:dyDescent="0.2">
      <c r="A786" s="246" t="s">
        <v>378</v>
      </c>
      <c r="B786" s="466" t="s">
        <v>456</v>
      </c>
      <c r="C786" s="422" t="s">
        <v>55</v>
      </c>
      <c r="D786" s="252" t="s">
        <v>135</v>
      </c>
      <c r="E786" s="423">
        <v>2.766864960418108E-2</v>
      </c>
      <c r="F786" s="250" t="s">
        <v>133</v>
      </c>
      <c r="G786" s="251"/>
      <c r="H786" s="252">
        <v>1</v>
      </c>
      <c r="I786" s="252">
        <v>2</v>
      </c>
      <c r="J786" s="252">
        <v>3</v>
      </c>
      <c r="K786" s="252">
        <v>3</v>
      </c>
      <c r="L786" s="253">
        <v>3</v>
      </c>
      <c r="M786" s="254">
        <f t="shared" si="25"/>
        <v>1.123005955058592</v>
      </c>
      <c r="N786" s="255"/>
    </row>
    <row r="787" spans="1:14" hidden="1" x14ac:dyDescent="0.2">
      <c r="A787" s="246" t="s">
        <v>378</v>
      </c>
      <c r="B787" s="466" t="s">
        <v>456</v>
      </c>
      <c r="C787" s="422" t="s">
        <v>57</v>
      </c>
      <c r="D787" s="252" t="s">
        <v>135</v>
      </c>
      <c r="E787" s="423">
        <v>1.066339470997069E-3</v>
      </c>
      <c r="F787" s="250" t="s">
        <v>133</v>
      </c>
      <c r="G787" s="251"/>
      <c r="H787" s="252">
        <v>1</v>
      </c>
      <c r="I787" s="252">
        <v>2</v>
      </c>
      <c r="J787" s="252">
        <v>3</v>
      </c>
      <c r="K787" s="252">
        <v>3</v>
      </c>
      <c r="L787" s="253">
        <v>3</v>
      </c>
      <c r="M787" s="254">
        <f t="shared" si="25"/>
        <v>1.123005955058592</v>
      </c>
      <c r="N787" s="255"/>
    </row>
    <row r="788" spans="1:14" hidden="1" x14ac:dyDescent="0.2">
      <c r="A788" s="246" t="s">
        <v>378</v>
      </c>
      <c r="B788" s="466" t="s">
        <v>456</v>
      </c>
      <c r="C788" s="422" t="s">
        <v>57</v>
      </c>
      <c r="D788" s="252" t="s">
        <v>135</v>
      </c>
      <c r="E788" s="423">
        <v>1.357805593069601E-2</v>
      </c>
      <c r="F788" s="250" t="s">
        <v>133</v>
      </c>
      <c r="G788" s="251"/>
      <c r="H788" s="252">
        <v>1</v>
      </c>
      <c r="I788" s="252">
        <v>2</v>
      </c>
      <c r="J788" s="252">
        <v>3</v>
      </c>
      <c r="K788" s="252">
        <v>3</v>
      </c>
      <c r="L788" s="253">
        <v>3</v>
      </c>
      <c r="M788" s="254">
        <f t="shared" si="25"/>
        <v>1.123005955058592</v>
      </c>
      <c r="N788" s="255"/>
    </row>
    <row r="789" spans="1:14" hidden="1" x14ac:dyDescent="0.2">
      <c r="A789" s="246" t="s">
        <v>378</v>
      </c>
      <c r="B789" s="466" t="s">
        <v>456</v>
      </c>
      <c r="C789" s="422" t="s">
        <v>59</v>
      </c>
      <c r="D789" s="252" t="s">
        <v>135</v>
      </c>
      <c r="E789" s="423">
        <v>1.5E-3</v>
      </c>
      <c r="F789" s="250" t="s">
        <v>133</v>
      </c>
      <c r="G789" s="251"/>
      <c r="H789" s="252">
        <v>1</v>
      </c>
      <c r="I789" s="252">
        <v>2</v>
      </c>
      <c r="J789" s="252">
        <v>3</v>
      </c>
      <c r="K789" s="252">
        <v>3</v>
      </c>
      <c r="L789" s="253">
        <v>3</v>
      </c>
      <c r="M789" s="254">
        <f t="shared" si="25"/>
        <v>1.123005955058592</v>
      </c>
      <c r="N789" s="255"/>
    </row>
    <row r="790" spans="1:14" hidden="1" x14ac:dyDescent="0.2">
      <c r="A790" s="246" t="s">
        <v>378</v>
      </c>
      <c r="B790" s="466" t="s">
        <v>456</v>
      </c>
      <c r="C790" s="422" t="s">
        <v>59</v>
      </c>
      <c r="D790" s="252" t="s">
        <v>135</v>
      </c>
      <c r="E790" s="423">
        <v>1.9099999999999999E-2</v>
      </c>
      <c r="F790" s="250" t="s">
        <v>133</v>
      </c>
      <c r="G790" s="251"/>
      <c r="H790" s="252">
        <v>1</v>
      </c>
      <c r="I790" s="252">
        <v>2</v>
      </c>
      <c r="J790" s="252">
        <v>3</v>
      </c>
      <c r="K790" s="252">
        <v>3</v>
      </c>
      <c r="L790" s="253">
        <v>3</v>
      </c>
      <c r="M790" s="254">
        <f t="shared" si="25"/>
        <v>1.123005955058592</v>
      </c>
      <c r="N790" s="255"/>
    </row>
    <row r="791" spans="1:14" hidden="1" x14ac:dyDescent="0.2">
      <c r="A791" s="246" t="s">
        <v>378</v>
      </c>
      <c r="B791" s="466" t="s">
        <v>456</v>
      </c>
      <c r="C791" s="422" t="s">
        <v>60</v>
      </c>
      <c r="D791" s="252" t="s">
        <v>135</v>
      </c>
      <c r="E791" s="423">
        <v>1.953028755887876E-3</v>
      </c>
      <c r="F791" s="250" t="s">
        <v>133</v>
      </c>
      <c r="G791" s="424" t="s">
        <v>16</v>
      </c>
      <c r="H791" s="252">
        <v>1</v>
      </c>
      <c r="I791" s="252">
        <v>2</v>
      </c>
      <c r="J791" s="252">
        <v>3</v>
      </c>
      <c r="K791" s="252">
        <v>3</v>
      </c>
      <c r="L791" s="253">
        <v>3</v>
      </c>
      <c r="M791" s="254">
        <f t="shared" si="25"/>
        <v>1.123005955058592</v>
      </c>
      <c r="N791" s="255"/>
    </row>
    <row r="792" spans="1:14" hidden="1" x14ac:dyDescent="0.2">
      <c r="A792" s="464" t="s">
        <v>378</v>
      </c>
      <c r="B792" s="468" t="s">
        <v>456</v>
      </c>
      <c r="C792" s="427" t="s">
        <v>60</v>
      </c>
      <c r="D792" s="291" t="s">
        <v>135</v>
      </c>
      <c r="E792" s="428">
        <v>2.486856615830562E-2</v>
      </c>
      <c r="F792" s="289" t="s">
        <v>133</v>
      </c>
      <c r="G792" s="429" t="s">
        <v>16</v>
      </c>
      <c r="H792" s="291">
        <v>1</v>
      </c>
      <c r="I792" s="291">
        <v>2</v>
      </c>
      <c r="J792" s="291">
        <v>3</v>
      </c>
      <c r="K792" s="291">
        <v>3</v>
      </c>
      <c r="L792" s="292">
        <v>3</v>
      </c>
      <c r="M792" s="293">
        <f t="shared" si="25"/>
        <v>1.123005955058592</v>
      </c>
      <c r="N792" s="294"/>
    </row>
    <row r="793" spans="1:14" hidden="1" x14ac:dyDescent="0.2">
      <c r="A793" s="448" t="s">
        <v>466</v>
      </c>
      <c r="B793" s="436" t="s">
        <v>456</v>
      </c>
      <c r="C793" s="265" t="s">
        <v>13</v>
      </c>
      <c r="D793" s="469" t="s">
        <v>14</v>
      </c>
      <c r="E793" s="476">
        <v>8.8999999999999999E-3</v>
      </c>
      <c r="F793" s="374" t="s">
        <v>478</v>
      </c>
      <c r="G793" s="268" t="s">
        <v>16</v>
      </c>
      <c r="H793" s="269">
        <v>1</v>
      </c>
      <c r="I793" s="269">
        <v>2</v>
      </c>
      <c r="J793" s="269">
        <v>3</v>
      </c>
      <c r="K793" s="269">
        <v>3</v>
      </c>
      <c r="L793" s="270">
        <v>3</v>
      </c>
      <c r="M793" s="271">
        <f t="shared" si="25"/>
        <v>1.123005955058592</v>
      </c>
      <c r="N793" s="272"/>
    </row>
    <row r="794" spans="1:14" hidden="1" x14ac:dyDescent="0.2">
      <c r="A794" s="448" t="s">
        <v>466</v>
      </c>
      <c r="B794" s="436" t="s">
        <v>456</v>
      </c>
      <c r="C794" s="247" t="s">
        <v>18</v>
      </c>
      <c r="D794" s="469" t="s">
        <v>14</v>
      </c>
      <c r="E794" s="477">
        <v>2.2599999999999999E-2</v>
      </c>
      <c r="F794" s="374" t="s">
        <v>478</v>
      </c>
      <c r="G794" s="251" t="s">
        <v>16</v>
      </c>
      <c r="H794" s="252">
        <v>1</v>
      </c>
      <c r="I794" s="252">
        <v>2</v>
      </c>
      <c r="J794" s="252">
        <v>3</v>
      </c>
      <c r="K794" s="252">
        <v>3</v>
      </c>
      <c r="L794" s="253">
        <v>3</v>
      </c>
      <c r="M794" s="254">
        <f t="shared" si="25"/>
        <v>1.123005955058592</v>
      </c>
      <c r="N794" s="255"/>
    </row>
    <row r="795" spans="1:14" hidden="1" x14ac:dyDescent="0.2">
      <c r="A795" s="448" t="s">
        <v>466</v>
      </c>
      <c r="B795" s="436" t="s">
        <v>456</v>
      </c>
      <c r="C795" s="247" t="s">
        <v>20</v>
      </c>
      <c r="D795" s="469" t="s">
        <v>14</v>
      </c>
      <c r="E795" s="477">
        <v>2.75E-2</v>
      </c>
      <c r="F795" s="374" t="s">
        <v>478</v>
      </c>
      <c r="G795" s="251" t="s">
        <v>16</v>
      </c>
      <c r="H795" s="252">
        <v>1</v>
      </c>
      <c r="I795" s="252">
        <v>2</v>
      </c>
      <c r="J795" s="252">
        <v>3</v>
      </c>
      <c r="K795" s="252">
        <v>3</v>
      </c>
      <c r="L795" s="253">
        <v>3</v>
      </c>
      <c r="M795" s="254">
        <f t="shared" si="25"/>
        <v>1.123005955058592</v>
      </c>
      <c r="N795" s="255"/>
    </row>
    <row r="796" spans="1:14" hidden="1" x14ac:dyDescent="0.2">
      <c r="A796" s="448" t="s">
        <v>466</v>
      </c>
      <c r="B796" s="436" t="s">
        <v>456</v>
      </c>
      <c r="C796" s="247" t="s">
        <v>22</v>
      </c>
      <c r="D796" s="469" t="s">
        <v>14</v>
      </c>
      <c r="E796" s="477">
        <v>1.83E-2</v>
      </c>
      <c r="F796" s="374" t="s">
        <v>478</v>
      </c>
      <c r="G796" s="251" t="s">
        <v>16</v>
      </c>
      <c r="H796" s="252">
        <v>1</v>
      </c>
      <c r="I796" s="252">
        <v>2</v>
      </c>
      <c r="J796" s="252">
        <v>3</v>
      </c>
      <c r="K796" s="252">
        <v>3</v>
      </c>
      <c r="L796" s="253">
        <v>3</v>
      </c>
      <c r="M796" s="254">
        <f>IF( OR( ISBLANK(H796),ISBLANK(I796), ISBLANK(J796), ISBLANK(K796), ISBLANK(L796) ), "", 1.5*SQRT(   EXP(2.21*(H796-1)) + EXP(2.21*(I796-1)) + EXP(2.21*(J796-1)) + EXP(2.21*(K796-1)) + EXP(2.21*L796)   )/100*2.45 )</f>
        <v>1.123005955058592</v>
      </c>
      <c r="N796" s="255"/>
    </row>
    <row r="797" spans="1:14" hidden="1" x14ac:dyDescent="0.2">
      <c r="A797" s="448" t="s">
        <v>466</v>
      </c>
      <c r="B797" s="436" t="s">
        <v>456</v>
      </c>
      <c r="C797" s="247" t="s">
        <v>23</v>
      </c>
      <c r="D797" s="469" t="s">
        <v>14</v>
      </c>
      <c r="E797" s="477">
        <v>1.8499999999999999E-2</v>
      </c>
      <c r="F797" s="374" t="s">
        <v>478</v>
      </c>
      <c r="G797" s="251" t="s">
        <v>16</v>
      </c>
      <c r="H797" s="252">
        <v>1</v>
      </c>
      <c r="I797" s="252">
        <v>2</v>
      </c>
      <c r="J797" s="252">
        <v>3</v>
      </c>
      <c r="K797" s="252">
        <v>3</v>
      </c>
      <c r="L797" s="253">
        <v>3</v>
      </c>
      <c r="M797" s="254">
        <f t="shared" ref="M797:M822" si="26">IF( OR( ISBLANK(H797),ISBLANK(I797), ISBLANK(J797), ISBLANK(K797), ISBLANK(L797) ), "", 1.5*SQRT( EXP(2.21*(H797-1)) + EXP(2.21*(I797-1)) + EXP(2.21*(J797-1)) + EXP(2.21*(K797-1)) + EXP(2.21*L797) )/100*2.45 )</f>
        <v>1.123005955058592</v>
      </c>
      <c r="N797" s="255"/>
    </row>
    <row r="798" spans="1:14" hidden="1" x14ac:dyDescent="0.2">
      <c r="A798" s="448" t="s">
        <v>466</v>
      </c>
      <c r="B798" s="436" t="s">
        <v>456</v>
      </c>
      <c r="C798" s="247" t="s">
        <v>24</v>
      </c>
      <c r="D798" s="469" t="s">
        <v>14</v>
      </c>
      <c r="E798" s="477">
        <v>1.95E-2</v>
      </c>
      <c r="F798" s="374" t="s">
        <v>478</v>
      </c>
      <c r="G798" s="251" t="s">
        <v>16</v>
      </c>
      <c r="H798" s="252">
        <v>1</v>
      </c>
      <c r="I798" s="252">
        <v>2</v>
      </c>
      <c r="J798" s="252">
        <v>3</v>
      </c>
      <c r="K798" s="252">
        <v>3</v>
      </c>
      <c r="L798" s="253">
        <v>3</v>
      </c>
      <c r="M798" s="254">
        <f t="shared" si="26"/>
        <v>1.123005955058592</v>
      </c>
      <c r="N798" s="255"/>
    </row>
    <row r="799" spans="1:14" hidden="1" x14ac:dyDescent="0.2">
      <c r="A799" s="448" t="s">
        <v>466</v>
      </c>
      <c r="B799" s="436" t="s">
        <v>456</v>
      </c>
      <c r="C799" s="247" t="s">
        <v>25</v>
      </c>
      <c r="D799" s="469" t="s">
        <v>14</v>
      </c>
      <c r="E799" s="477">
        <v>1.18E-2</v>
      </c>
      <c r="F799" s="374" t="s">
        <v>478</v>
      </c>
      <c r="G799" s="251" t="s">
        <v>16</v>
      </c>
      <c r="H799" s="252">
        <v>1</v>
      </c>
      <c r="I799" s="252">
        <v>2</v>
      </c>
      <c r="J799" s="252">
        <v>3</v>
      </c>
      <c r="K799" s="252">
        <v>3</v>
      </c>
      <c r="L799" s="253">
        <v>3</v>
      </c>
      <c r="M799" s="254">
        <f t="shared" si="26"/>
        <v>1.123005955058592</v>
      </c>
      <c r="N799" s="255"/>
    </row>
    <row r="800" spans="1:14" hidden="1" x14ac:dyDescent="0.2">
      <c r="A800" s="448" t="s">
        <v>466</v>
      </c>
      <c r="B800" s="436" t="s">
        <v>456</v>
      </c>
      <c r="C800" s="247" t="s">
        <v>26</v>
      </c>
      <c r="D800" s="469" t="s">
        <v>14</v>
      </c>
      <c r="E800" s="477">
        <v>9.7999999999999997E-3</v>
      </c>
      <c r="F800" s="374" t="s">
        <v>478</v>
      </c>
      <c r="G800" s="251" t="s">
        <v>16</v>
      </c>
      <c r="H800" s="252">
        <v>1</v>
      </c>
      <c r="I800" s="252">
        <v>2</v>
      </c>
      <c r="J800" s="252">
        <v>3</v>
      </c>
      <c r="K800" s="252">
        <v>3</v>
      </c>
      <c r="L800" s="253">
        <v>3</v>
      </c>
      <c r="M800" s="254">
        <f t="shared" si="26"/>
        <v>1.123005955058592</v>
      </c>
      <c r="N800" s="255"/>
    </row>
    <row r="801" spans="1:14" hidden="1" x14ac:dyDescent="0.2">
      <c r="A801" s="448" t="s">
        <v>466</v>
      </c>
      <c r="B801" s="436" t="s">
        <v>456</v>
      </c>
      <c r="C801" s="247" t="s">
        <v>27</v>
      </c>
      <c r="D801" s="469" t="s">
        <v>14</v>
      </c>
      <c r="E801" s="477">
        <v>9.1000000000000004E-3</v>
      </c>
      <c r="F801" s="374" t="s">
        <v>478</v>
      </c>
      <c r="G801" s="251" t="s">
        <v>16</v>
      </c>
      <c r="H801" s="252">
        <v>1</v>
      </c>
      <c r="I801" s="252">
        <v>2</v>
      </c>
      <c r="J801" s="252">
        <v>3</v>
      </c>
      <c r="K801" s="252">
        <v>3</v>
      </c>
      <c r="L801" s="253">
        <v>3</v>
      </c>
      <c r="M801" s="254">
        <f t="shared" si="26"/>
        <v>1.123005955058592</v>
      </c>
      <c r="N801" s="255"/>
    </row>
    <row r="802" spans="1:14" hidden="1" x14ac:dyDescent="0.2">
      <c r="A802" s="448" t="s">
        <v>466</v>
      </c>
      <c r="B802" s="436" t="s">
        <v>456</v>
      </c>
      <c r="C802" s="247" t="s">
        <v>28</v>
      </c>
      <c r="D802" s="469" t="s">
        <v>14</v>
      </c>
      <c r="E802" s="477">
        <v>1.95E-2</v>
      </c>
      <c r="F802" s="374" t="s">
        <v>478</v>
      </c>
      <c r="G802" s="251" t="s">
        <v>16</v>
      </c>
      <c r="H802" s="252">
        <v>1</v>
      </c>
      <c r="I802" s="252">
        <v>2</v>
      </c>
      <c r="J802" s="252">
        <v>3</v>
      </c>
      <c r="K802" s="252">
        <v>3</v>
      </c>
      <c r="L802" s="253">
        <v>3</v>
      </c>
      <c r="M802" s="254">
        <f t="shared" si="26"/>
        <v>1.123005955058592</v>
      </c>
      <c r="N802" s="255"/>
    </row>
    <row r="803" spans="1:14" hidden="1" x14ac:dyDescent="0.2">
      <c r="A803" s="448" t="s">
        <v>466</v>
      </c>
      <c r="B803" s="436" t="s">
        <v>456</v>
      </c>
      <c r="C803" s="247" t="s">
        <v>30</v>
      </c>
      <c r="D803" s="469" t="s">
        <v>14</v>
      </c>
      <c r="E803" s="477">
        <v>1.17E-2</v>
      </c>
      <c r="F803" s="374" t="s">
        <v>478</v>
      </c>
      <c r="G803" s="251" t="s">
        <v>16</v>
      </c>
      <c r="H803" s="252">
        <v>1</v>
      </c>
      <c r="I803" s="252">
        <v>2</v>
      </c>
      <c r="J803" s="252">
        <v>3</v>
      </c>
      <c r="K803" s="252">
        <v>3</v>
      </c>
      <c r="L803" s="253">
        <v>3</v>
      </c>
      <c r="M803" s="254">
        <f t="shared" si="26"/>
        <v>1.123005955058592</v>
      </c>
      <c r="N803" s="255"/>
    </row>
    <row r="804" spans="1:14" hidden="1" x14ac:dyDescent="0.2">
      <c r="A804" s="448" t="s">
        <v>466</v>
      </c>
      <c r="B804" s="436" t="s">
        <v>456</v>
      </c>
      <c r="C804" s="247" t="s">
        <v>32</v>
      </c>
      <c r="D804" s="469" t="s">
        <v>14</v>
      </c>
      <c r="E804" s="477">
        <v>3.6900000000000002E-2</v>
      </c>
      <c r="F804" s="374" t="s">
        <v>478</v>
      </c>
      <c r="G804" s="251" t="s">
        <v>16</v>
      </c>
      <c r="H804" s="252">
        <v>1</v>
      </c>
      <c r="I804" s="252">
        <v>2</v>
      </c>
      <c r="J804" s="252">
        <v>3</v>
      </c>
      <c r="K804" s="252">
        <v>3</v>
      </c>
      <c r="L804" s="253">
        <v>3</v>
      </c>
      <c r="M804" s="254">
        <f t="shared" si="26"/>
        <v>1.123005955058592</v>
      </c>
      <c r="N804" s="255"/>
    </row>
    <row r="805" spans="1:14" hidden="1" x14ac:dyDescent="0.2">
      <c r="A805" s="448" t="s">
        <v>466</v>
      </c>
      <c r="B805" s="436" t="s">
        <v>456</v>
      </c>
      <c r="C805" s="247" t="s">
        <v>34</v>
      </c>
      <c r="D805" s="469" t="s">
        <v>14</v>
      </c>
      <c r="E805" s="477">
        <v>1.8599999999999998E-2</v>
      </c>
      <c r="F805" s="374" t="s">
        <v>478</v>
      </c>
      <c r="G805" s="251" t="s">
        <v>16</v>
      </c>
      <c r="H805" s="252">
        <v>1</v>
      </c>
      <c r="I805" s="252">
        <v>2</v>
      </c>
      <c r="J805" s="252">
        <v>3</v>
      </c>
      <c r="K805" s="252">
        <v>3</v>
      </c>
      <c r="L805" s="253">
        <v>3</v>
      </c>
      <c r="M805" s="254">
        <f t="shared" si="26"/>
        <v>1.123005955058592</v>
      </c>
      <c r="N805" s="255"/>
    </row>
    <row r="806" spans="1:14" hidden="1" x14ac:dyDescent="0.2">
      <c r="A806" s="448" t="s">
        <v>466</v>
      </c>
      <c r="B806" s="436" t="s">
        <v>456</v>
      </c>
      <c r="C806" s="247" t="s">
        <v>36</v>
      </c>
      <c r="D806" s="469" t="s">
        <v>14</v>
      </c>
      <c r="E806" s="477">
        <v>1.09E-2</v>
      </c>
      <c r="F806" s="374" t="s">
        <v>478</v>
      </c>
      <c r="G806" s="251" t="s">
        <v>16</v>
      </c>
      <c r="H806" s="252">
        <v>1</v>
      </c>
      <c r="I806" s="252">
        <v>2</v>
      </c>
      <c r="J806" s="252">
        <v>3</v>
      </c>
      <c r="K806" s="252">
        <v>3</v>
      </c>
      <c r="L806" s="253">
        <v>3</v>
      </c>
      <c r="M806" s="254">
        <f t="shared" si="26"/>
        <v>1.123005955058592</v>
      </c>
      <c r="N806" s="255"/>
    </row>
    <row r="807" spans="1:14" hidden="1" x14ac:dyDescent="0.2">
      <c r="A807" s="448" t="s">
        <v>466</v>
      </c>
      <c r="B807" s="436" t="s">
        <v>456</v>
      </c>
      <c r="C807" s="247" t="s">
        <v>37</v>
      </c>
      <c r="D807" s="469" t="s">
        <v>14</v>
      </c>
      <c r="E807" s="477">
        <v>2.7199999999999998E-2</v>
      </c>
      <c r="F807" s="374" t="s">
        <v>478</v>
      </c>
      <c r="G807" s="251" t="s">
        <v>16</v>
      </c>
      <c r="H807" s="252">
        <v>1</v>
      </c>
      <c r="I807" s="252">
        <v>2</v>
      </c>
      <c r="J807" s="252">
        <v>3</v>
      </c>
      <c r="K807" s="252">
        <v>3</v>
      </c>
      <c r="L807" s="253">
        <v>3</v>
      </c>
      <c r="M807" s="254">
        <f t="shared" si="26"/>
        <v>1.123005955058592</v>
      </c>
      <c r="N807" s="255"/>
    </row>
    <row r="808" spans="1:14" hidden="1" x14ac:dyDescent="0.2">
      <c r="A808" s="448" t="s">
        <v>466</v>
      </c>
      <c r="B808" s="436" t="s">
        <v>456</v>
      </c>
      <c r="C808" s="247" t="s">
        <v>39</v>
      </c>
      <c r="D808" s="469" t="s">
        <v>14</v>
      </c>
      <c r="E808" s="477">
        <v>1.24E-2</v>
      </c>
      <c r="F808" s="374" t="s">
        <v>478</v>
      </c>
      <c r="G808" s="251" t="s">
        <v>16</v>
      </c>
      <c r="H808" s="252">
        <v>1</v>
      </c>
      <c r="I808" s="252">
        <v>2</v>
      </c>
      <c r="J808" s="252">
        <v>3</v>
      </c>
      <c r="K808" s="252">
        <v>3</v>
      </c>
      <c r="L808" s="253">
        <v>3</v>
      </c>
      <c r="M808" s="254">
        <f t="shared" si="26"/>
        <v>1.123005955058592</v>
      </c>
      <c r="N808" s="255"/>
    </row>
    <row r="809" spans="1:14" hidden="1" x14ac:dyDescent="0.2">
      <c r="A809" s="448" t="s">
        <v>466</v>
      </c>
      <c r="B809" s="436" t="s">
        <v>456</v>
      </c>
      <c r="C809" s="247" t="s">
        <v>40</v>
      </c>
      <c r="D809" s="469" t="s">
        <v>14</v>
      </c>
      <c r="E809" s="477">
        <v>1.2699999999999999E-2</v>
      </c>
      <c r="F809" s="374" t="s">
        <v>478</v>
      </c>
      <c r="G809" s="251" t="s">
        <v>16</v>
      </c>
      <c r="H809" s="252">
        <v>1</v>
      </c>
      <c r="I809" s="252">
        <v>2</v>
      </c>
      <c r="J809" s="252">
        <v>3</v>
      </c>
      <c r="K809" s="252">
        <v>3</v>
      </c>
      <c r="L809" s="253">
        <v>3</v>
      </c>
      <c r="M809" s="254">
        <f t="shared" si="26"/>
        <v>1.123005955058592</v>
      </c>
      <c r="N809" s="255"/>
    </row>
    <row r="810" spans="1:14" hidden="1" x14ac:dyDescent="0.2">
      <c r="A810" s="448" t="s">
        <v>466</v>
      </c>
      <c r="B810" s="436" t="s">
        <v>456</v>
      </c>
      <c r="C810" s="247" t="s">
        <v>41</v>
      </c>
      <c r="D810" s="469" t="s">
        <v>14</v>
      </c>
      <c r="E810" s="477">
        <v>1.5800000000000002E-2</v>
      </c>
      <c r="F810" s="374" t="s">
        <v>478</v>
      </c>
      <c r="G810" s="251" t="s">
        <v>16</v>
      </c>
      <c r="H810" s="252">
        <v>1</v>
      </c>
      <c r="I810" s="252">
        <v>2</v>
      </c>
      <c r="J810" s="252">
        <v>3</v>
      </c>
      <c r="K810" s="252">
        <v>3</v>
      </c>
      <c r="L810" s="253">
        <v>3</v>
      </c>
      <c r="M810" s="254">
        <f t="shared" si="26"/>
        <v>1.123005955058592</v>
      </c>
      <c r="N810" s="255"/>
    </row>
    <row r="811" spans="1:14" hidden="1" x14ac:dyDescent="0.2">
      <c r="A811" s="448" t="s">
        <v>466</v>
      </c>
      <c r="B811" s="436" t="s">
        <v>456</v>
      </c>
      <c r="C811" s="247" t="s">
        <v>42</v>
      </c>
      <c r="D811" s="469" t="s">
        <v>14</v>
      </c>
      <c r="E811" s="477">
        <v>7.9000000000000008E-3</v>
      </c>
      <c r="F811" s="374" t="s">
        <v>478</v>
      </c>
      <c r="G811" s="251" t="s">
        <v>16</v>
      </c>
      <c r="H811" s="252">
        <v>1</v>
      </c>
      <c r="I811" s="252">
        <v>2</v>
      </c>
      <c r="J811" s="252">
        <v>3</v>
      </c>
      <c r="K811" s="252">
        <v>3</v>
      </c>
      <c r="L811" s="253">
        <v>3</v>
      </c>
      <c r="M811" s="254">
        <f t="shared" si="26"/>
        <v>1.123005955058592</v>
      </c>
      <c r="N811" s="255"/>
    </row>
    <row r="812" spans="1:14" hidden="1" x14ac:dyDescent="0.2">
      <c r="A812" s="448" t="s">
        <v>466</v>
      </c>
      <c r="B812" s="436" t="s">
        <v>456</v>
      </c>
      <c r="C812" s="247" t="s">
        <v>43</v>
      </c>
      <c r="D812" s="469" t="s">
        <v>14</v>
      </c>
      <c r="E812" s="477">
        <v>1.4500000000000001E-2</v>
      </c>
      <c r="F812" s="374" t="s">
        <v>478</v>
      </c>
      <c r="G812" s="251" t="s">
        <v>16</v>
      </c>
      <c r="H812" s="252">
        <v>1</v>
      </c>
      <c r="I812" s="252">
        <v>2</v>
      </c>
      <c r="J812" s="252">
        <v>3</v>
      </c>
      <c r="K812" s="252">
        <v>3</v>
      </c>
      <c r="L812" s="253">
        <v>3</v>
      </c>
      <c r="M812" s="254">
        <f t="shared" si="26"/>
        <v>1.123005955058592</v>
      </c>
      <c r="N812" s="255"/>
    </row>
    <row r="813" spans="1:14" x14ac:dyDescent="0.2">
      <c r="A813" s="448" t="s">
        <v>466</v>
      </c>
      <c r="B813" s="436" t="s">
        <v>456</v>
      </c>
      <c r="C813" s="247" t="s">
        <v>45</v>
      </c>
      <c r="D813" s="469" t="s">
        <v>14</v>
      </c>
      <c r="E813" s="477">
        <v>8.3000000000000001E-3</v>
      </c>
      <c r="F813" s="374" t="s">
        <v>478</v>
      </c>
      <c r="G813" s="251" t="s">
        <v>16</v>
      </c>
      <c r="H813" s="252">
        <v>1</v>
      </c>
      <c r="I813" s="252">
        <v>2</v>
      </c>
      <c r="J813" s="252">
        <v>3</v>
      </c>
      <c r="K813" s="252">
        <v>3</v>
      </c>
      <c r="L813" s="253">
        <v>3</v>
      </c>
      <c r="M813" s="254">
        <f t="shared" si="26"/>
        <v>1.123005955058592</v>
      </c>
      <c r="N813" s="255"/>
    </row>
    <row r="814" spans="1:14" hidden="1" x14ac:dyDescent="0.2">
      <c r="A814" s="448" t="s">
        <v>466</v>
      </c>
      <c r="B814" s="436" t="s">
        <v>456</v>
      </c>
      <c r="C814" s="247" t="s">
        <v>46</v>
      </c>
      <c r="D814" s="469" t="s">
        <v>14</v>
      </c>
      <c r="E814" s="477">
        <v>2.5899999999999999E-2</v>
      </c>
      <c r="F814" s="374" t="s">
        <v>478</v>
      </c>
      <c r="G814" s="251" t="s">
        <v>16</v>
      </c>
      <c r="H814" s="252">
        <v>1</v>
      </c>
      <c r="I814" s="252">
        <v>2</v>
      </c>
      <c r="J814" s="252">
        <v>3</v>
      </c>
      <c r="K814" s="252">
        <v>3</v>
      </c>
      <c r="L814" s="253">
        <v>3</v>
      </c>
      <c r="M814" s="254">
        <f t="shared" si="26"/>
        <v>1.123005955058592</v>
      </c>
      <c r="N814" s="255"/>
    </row>
    <row r="815" spans="1:14" hidden="1" x14ac:dyDescent="0.2">
      <c r="A815" s="448" t="s">
        <v>466</v>
      </c>
      <c r="B815" s="436" t="s">
        <v>456</v>
      </c>
      <c r="C815" s="247" t="s">
        <v>48</v>
      </c>
      <c r="D815" s="469" t="s">
        <v>14</v>
      </c>
      <c r="E815" s="477">
        <v>2.2200000000000001E-2</v>
      </c>
      <c r="F815" s="374" t="s">
        <v>478</v>
      </c>
      <c r="G815" s="251" t="s">
        <v>16</v>
      </c>
      <c r="H815" s="252">
        <v>1</v>
      </c>
      <c r="I815" s="252">
        <v>2</v>
      </c>
      <c r="J815" s="252">
        <v>3</v>
      </c>
      <c r="K815" s="252">
        <v>3</v>
      </c>
      <c r="L815" s="253">
        <v>3</v>
      </c>
      <c r="M815" s="254">
        <f t="shared" si="26"/>
        <v>1.123005955058592</v>
      </c>
      <c r="N815" s="255"/>
    </row>
    <row r="816" spans="1:14" hidden="1" x14ac:dyDescent="0.2">
      <c r="A816" s="448" t="s">
        <v>466</v>
      </c>
      <c r="B816" s="436" t="s">
        <v>456</v>
      </c>
      <c r="C816" s="247" t="s">
        <v>50</v>
      </c>
      <c r="D816" s="469" t="s">
        <v>14</v>
      </c>
      <c r="E816" s="477">
        <v>2.5999999999999999E-2</v>
      </c>
      <c r="F816" s="374" t="s">
        <v>478</v>
      </c>
      <c r="G816" s="251" t="s">
        <v>16</v>
      </c>
      <c r="H816" s="252">
        <v>1</v>
      </c>
      <c r="I816" s="252">
        <v>2</v>
      </c>
      <c r="J816" s="252">
        <v>3</v>
      </c>
      <c r="K816" s="252">
        <v>3</v>
      </c>
      <c r="L816" s="253">
        <v>3</v>
      </c>
      <c r="M816" s="254">
        <f t="shared" si="26"/>
        <v>1.123005955058592</v>
      </c>
      <c r="N816" s="255"/>
    </row>
    <row r="817" spans="1:14" hidden="1" x14ac:dyDescent="0.2">
      <c r="A817" s="448" t="s">
        <v>466</v>
      </c>
      <c r="B817" s="436" t="s">
        <v>456</v>
      </c>
      <c r="C817" s="247" t="s">
        <v>52</v>
      </c>
      <c r="D817" s="469" t="s">
        <v>14</v>
      </c>
      <c r="E817" s="477">
        <v>2.9000000000000001E-2</v>
      </c>
      <c r="F817" s="374" t="s">
        <v>478</v>
      </c>
      <c r="G817" s="251" t="s">
        <v>16</v>
      </c>
      <c r="H817" s="252">
        <v>1</v>
      </c>
      <c r="I817" s="252">
        <v>2</v>
      </c>
      <c r="J817" s="252">
        <v>3</v>
      </c>
      <c r="K817" s="252">
        <v>3</v>
      </c>
      <c r="L817" s="253">
        <v>3</v>
      </c>
      <c r="M817" s="254">
        <f t="shared" si="26"/>
        <v>1.123005955058592</v>
      </c>
      <c r="N817" s="255"/>
    </row>
    <row r="818" spans="1:14" hidden="1" x14ac:dyDescent="0.2">
      <c r="A818" s="448" t="s">
        <v>466</v>
      </c>
      <c r="B818" s="436" t="s">
        <v>456</v>
      </c>
      <c r="C818" s="247" t="s">
        <v>54</v>
      </c>
      <c r="D818" s="469" t="s">
        <v>14</v>
      </c>
      <c r="E818" s="477">
        <v>1.18E-2</v>
      </c>
      <c r="F818" s="374" t="s">
        <v>478</v>
      </c>
      <c r="G818" s="251" t="s">
        <v>16</v>
      </c>
      <c r="H818" s="252">
        <v>1</v>
      </c>
      <c r="I818" s="252">
        <v>2</v>
      </c>
      <c r="J818" s="252">
        <v>3</v>
      </c>
      <c r="K818" s="252">
        <v>3</v>
      </c>
      <c r="L818" s="253">
        <v>3</v>
      </c>
      <c r="M818" s="254">
        <f t="shared" si="26"/>
        <v>1.123005955058592</v>
      </c>
      <c r="N818" s="255"/>
    </row>
    <row r="819" spans="1:14" hidden="1" x14ac:dyDescent="0.2">
      <c r="A819" s="448" t="s">
        <v>466</v>
      </c>
      <c r="B819" s="436" t="s">
        <v>456</v>
      </c>
      <c r="C819" s="247" t="s">
        <v>55</v>
      </c>
      <c r="D819" s="469" t="s">
        <v>14</v>
      </c>
      <c r="E819" s="477">
        <v>1.6899999999999998E-2</v>
      </c>
      <c r="F819" s="374" t="s">
        <v>478</v>
      </c>
      <c r="G819" s="251" t="s">
        <v>16</v>
      </c>
      <c r="H819" s="252">
        <v>1</v>
      </c>
      <c r="I819" s="252">
        <v>2</v>
      </c>
      <c r="J819" s="252">
        <v>3</v>
      </c>
      <c r="K819" s="252">
        <v>3</v>
      </c>
      <c r="L819" s="253">
        <v>3</v>
      </c>
      <c r="M819" s="254">
        <f t="shared" si="26"/>
        <v>1.123005955058592</v>
      </c>
      <c r="N819" s="255"/>
    </row>
    <row r="820" spans="1:14" hidden="1" x14ac:dyDescent="0.2">
      <c r="A820" s="448" t="s">
        <v>466</v>
      </c>
      <c r="B820" s="436" t="s">
        <v>456</v>
      </c>
      <c r="C820" s="247" t="s">
        <v>57</v>
      </c>
      <c r="D820" s="469" t="s">
        <v>14</v>
      </c>
      <c r="E820" s="477">
        <v>8.3000000000000001E-3</v>
      </c>
      <c r="F820" s="374" t="s">
        <v>478</v>
      </c>
      <c r="G820" s="251" t="s">
        <v>16</v>
      </c>
      <c r="H820" s="252">
        <v>1</v>
      </c>
      <c r="I820" s="252">
        <v>2</v>
      </c>
      <c r="J820" s="252">
        <v>3</v>
      </c>
      <c r="K820" s="252">
        <v>3</v>
      </c>
      <c r="L820" s="253">
        <v>3</v>
      </c>
      <c r="M820" s="254">
        <f t="shared" si="26"/>
        <v>1.123005955058592</v>
      </c>
      <c r="N820" s="255"/>
    </row>
    <row r="821" spans="1:14" hidden="1" x14ac:dyDescent="0.2">
      <c r="A821" s="448" t="s">
        <v>466</v>
      </c>
      <c r="B821" s="436" t="s">
        <v>456</v>
      </c>
      <c r="C821" s="247" t="s">
        <v>59</v>
      </c>
      <c r="D821" s="469" t="s">
        <v>14</v>
      </c>
      <c r="E821" s="477">
        <v>1.17E-2</v>
      </c>
      <c r="F821" s="374" t="s">
        <v>478</v>
      </c>
      <c r="G821" s="251" t="s">
        <v>16</v>
      </c>
      <c r="H821" s="252">
        <v>1</v>
      </c>
      <c r="I821" s="252">
        <v>2</v>
      </c>
      <c r="J821" s="252">
        <v>3</v>
      </c>
      <c r="K821" s="252">
        <v>3</v>
      </c>
      <c r="L821" s="253">
        <v>3</v>
      </c>
      <c r="M821" s="254">
        <f t="shared" si="26"/>
        <v>1.123005955058592</v>
      </c>
      <c r="N821" s="255"/>
    </row>
    <row r="822" spans="1:14" hidden="1" x14ac:dyDescent="0.2">
      <c r="A822" s="448" t="s">
        <v>466</v>
      </c>
      <c r="B822" s="436" t="s">
        <v>456</v>
      </c>
      <c r="C822" s="247" t="s">
        <v>60</v>
      </c>
      <c r="D822" s="469" t="s">
        <v>14</v>
      </c>
      <c r="E822" s="477">
        <v>1.52E-2</v>
      </c>
      <c r="F822" s="374" t="s">
        <v>478</v>
      </c>
      <c r="G822" s="251" t="s">
        <v>16</v>
      </c>
      <c r="H822" s="252">
        <v>1</v>
      </c>
      <c r="I822" s="252">
        <v>2</v>
      </c>
      <c r="J822" s="252">
        <v>3</v>
      </c>
      <c r="K822" s="252">
        <v>3</v>
      </c>
      <c r="L822" s="253">
        <v>3</v>
      </c>
      <c r="M822" s="254">
        <f t="shared" si="26"/>
        <v>1.123005955058592</v>
      </c>
      <c r="N822" s="255"/>
    </row>
    <row r="823" spans="1:14" x14ac:dyDescent="0.2">
      <c r="A823" s="448" t="s">
        <v>466</v>
      </c>
      <c r="B823" s="436" t="s">
        <v>479</v>
      </c>
      <c r="C823" s="381" t="s">
        <v>135</v>
      </c>
      <c r="D823" s="469" t="s">
        <v>14</v>
      </c>
      <c r="E823" s="478">
        <v>0</v>
      </c>
      <c r="F823" s="250"/>
      <c r="G823" s="251" t="s">
        <v>16</v>
      </c>
      <c r="H823" s="478"/>
      <c r="I823" s="478"/>
      <c r="J823" s="478"/>
      <c r="K823" s="478"/>
      <c r="L823" s="471"/>
      <c r="M823" s="456"/>
      <c r="N823" s="479"/>
    </row>
    <row r="824" spans="1:14" x14ac:dyDescent="0.2">
      <c r="A824" s="448" t="s">
        <v>466</v>
      </c>
      <c r="B824" s="436" t="s">
        <v>480</v>
      </c>
      <c r="C824" s="381" t="s">
        <v>135</v>
      </c>
      <c r="D824" s="469" t="s">
        <v>14</v>
      </c>
      <c r="E824" s="478">
        <v>0</v>
      </c>
      <c r="F824" s="250"/>
      <c r="G824" s="251" t="s">
        <v>16</v>
      </c>
      <c r="H824" s="478"/>
      <c r="I824" s="478"/>
      <c r="J824" s="478"/>
      <c r="K824" s="478"/>
      <c r="L824" s="471"/>
      <c r="M824" s="456"/>
      <c r="N824" s="479"/>
    </row>
    <row r="825" spans="1:14" x14ac:dyDescent="0.2">
      <c r="A825" s="448" t="s">
        <v>466</v>
      </c>
      <c r="B825" s="436" t="s">
        <v>481</v>
      </c>
      <c r="C825" s="381" t="s">
        <v>135</v>
      </c>
      <c r="D825" s="469" t="s">
        <v>14</v>
      </c>
      <c r="E825" s="478">
        <v>0</v>
      </c>
      <c r="F825" s="250"/>
      <c r="G825" s="251" t="s">
        <v>16</v>
      </c>
      <c r="H825" s="478"/>
      <c r="I825" s="478"/>
      <c r="J825" s="478"/>
      <c r="K825" s="478"/>
      <c r="L825" s="471"/>
      <c r="M825" s="456"/>
      <c r="N825" s="479"/>
    </row>
    <row r="826" spans="1:14" x14ac:dyDescent="0.2">
      <c r="A826" s="448" t="s">
        <v>466</v>
      </c>
      <c r="B826" s="436" t="s">
        <v>482</v>
      </c>
      <c r="C826" s="381" t="s">
        <v>135</v>
      </c>
      <c r="D826" s="469" t="s">
        <v>14</v>
      </c>
      <c r="E826" s="478">
        <v>0</v>
      </c>
      <c r="F826" s="250"/>
      <c r="G826" s="251" t="s">
        <v>16</v>
      </c>
      <c r="H826" s="478"/>
      <c r="I826" s="478"/>
      <c r="J826" s="478"/>
      <c r="K826" s="478"/>
      <c r="L826" s="471"/>
      <c r="M826" s="456"/>
      <c r="N826" s="479"/>
    </row>
    <row r="827" spans="1:14" x14ac:dyDescent="0.2">
      <c r="A827" s="465" t="s">
        <v>466</v>
      </c>
      <c r="B827" s="480" t="s">
        <v>387</v>
      </c>
      <c r="C827" s="409" t="s">
        <v>135</v>
      </c>
      <c r="D827" s="481" t="s">
        <v>14</v>
      </c>
      <c r="E827" s="478" t="s">
        <v>188</v>
      </c>
      <c r="F827" s="289"/>
      <c r="G827" s="251" t="s">
        <v>16</v>
      </c>
      <c r="H827" s="473"/>
      <c r="I827" s="473"/>
      <c r="J827" s="473"/>
      <c r="K827" s="473"/>
      <c r="L827" s="474"/>
      <c r="M827" s="475" t="str">
        <f>IF( OR( ISBLANK(H827),ISBLANK(I827), ISBLANK(J827), ISBLANK(K827), ISBLANK(L827) ), "", 1.5*SQRT(   EXP(2.21*(H827-1)) + EXP(2.21*(I827-1)) + EXP(2.21*(J827-1)) + EXP(2.21*(K827-1)) + EXP(2.21*L827)   )/100*2.45 )</f>
        <v/>
      </c>
      <c r="N827" s="381"/>
    </row>
    <row r="828" spans="1:14" hidden="1" x14ac:dyDescent="0.2">
      <c r="A828" s="448" t="s">
        <v>466</v>
      </c>
      <c r="B828" s="436" t="s">
        <v>456</v>
      </c>
      <c r="C828" s="265" t="s">
        <v>13</v>
      </c>
      <c r="D828" s="482" t="s">
        <v>62</v>
      </c>
      <c r="E828" s="476">
        <v>8.8999999999999999E-3</v>
      </c>
      <c r="F828" s="374" t="s">
        <v>478</v>
      </c>
      <c r="G828" s="268" t="s">
        <v>16</v>
      </c>
      <c r="H828" s="269">
        <v>1</v>
      </c>
      <c r="I828" s="269">
        <v>2</v>
      </c>
      <c r="J828" s="269">
        <v>3</v>
      </c>
      <c r="K828" s="269">
        <v>3</v>
      </c>
      <c r="L828" s="270">
        <v>3</v>
      </c>
      <c r="M828" s="271">
        <f t="shared" ref="M828:M857" si="27">IF( OR( ISBLANK(H828),ISBLANK(I828), ISBLANK(J828), ISBLANK(K828), ISBLANK(L828) ), "", 1.5*SQRT( EXP(2.21*(H828-1)) + EXP(2.21*(I828-1)) + EXP(2.21*(J828-1)) + EXP(2.21*(K828-1)) + EXP(2.21*L828) )/100*2.45 )</f>
        <v>1.123005955058592</v>
      </c>
      <c r="N828" s="272"/>
    </row>
    <row r="829" spans="1:14" hidden="1" x14ac:dyDescent="0.2">
      <c r="A829" s="448" t="s">
        <v>466</v>
      </c>
      <c r="B829" s="436" t="s">
        <v>456</v>
      </c>
      <c r="C829" s="247" t="s">
        <v>18</v>
      </c>
      <c r="D829" s="450" t="s">
        <v>62</v>
      </c>
      <c r="E829" s="477">
        <v>2.2599999999999999E-2</v>
      </c>
      <c r="F829" s="374" t="s">
        <v>478</v>
      </c>
      <c r="G829" s="251" t="s">
        <v>16</v>
      </c>
      <c r="H829" s="252">
        <v>1</v>
      </c>
      <c r="I829" s="252">
        <v>2</v>
      </c>
      <c r="J829" s="252">
        <v>3</v>
      </c>
      <c r="K829" s="252">
        <v>3</v>
      </c>
      <c r="L829" s="253">
        <v>3</v>
      </c>
      <c r="M829" s="254">
        <f t="shared" si="27"/>
        <v>1.123005955058592</v>
      </c>
      <c r="N829" s="255"/>
    </row>
    <row r="830" spans="1:14" hidden="1" x14ac:dyDescent="0.2">
      <c r="A830" s="448" t="s">
        <v>466</v>
      </c>
      <c r="B830" s="436" t="s">
        <v>456</v>
      </c>
      <c r="C830" s="247" t="s">
        <v>20</v>
      </c>
      <c r="D830" s="450" t="s">
        <v>62</v>
      </c>
      <c r="E830" s="477">
        <v>2.75E-2</v>
      </c>
      <c r="F830" s="374" t="s">
        <v>478</v>
      </c>
      <c r="G830" s="251" t="s">
        <v>16</v>
      </c>
      <c r="H830" s="252">
        <v>1</v>
      </c>
      <c r="I830" s="252">
        <v>2</v>
      </c>
      <c r="J830" s="252">
        <v>3</v>
      </c>
      <c r="K830" s="252">
        <v>3</v>
      </c>
      <c r="L830" s="253">
        <v>3</v>
      </c>
      <c r="M830" s="254">
        <f t="shared" si="27"/>
        <v>1.123005955058592</v>
      </c>
      <c r="N830" s="255"/>
    </row>
    <row r="831" spans="1:14" hidden="1" x14ac:dyDescent="0.2">
      <c r="A831" s="448" t="s">
        <v>466</v>
      </c>
      <c r="B831" s="436" t="s">
        <v>456</v>
      </c>
      <c r="C831" s="247" t="s">
        <v>22</v>
      </c>
      <c r="D831" s="450" t="s">
        <v>62</v>
      </c>
      <c r="E831" s="477">
        <v>1.83E-2</v>
      </c>
      <c r="F831" s="374" t="s">
        <v>478</v>
      </c>
      <c r="G831" s="251" t="s">
        <v>16</v>
      </c>
      <c r="H831" s="252">
        <v>1</v>
      </c>
      <c r="I831" s="252">
        <v>2</v>
      </c>
      <c r="J831" s="252">
        <v>3</v>
      </c>
      <c r="K831" s="252">
        <v>3</v>
      </c>
      <c r="L831" s="253">
        <v>3</v>
      </c>
      <c r="M831" s="254">
        <f t="shared" si="27"/>
        <v>1.123005955058592</v>
      </c>
      <c r="N831" s="255"/>
    </row>
    <row r="832" spans="1:14" hidden="1" x14ac:dyDescent="0.2">
      <c r="A832" s="448" t="s">
        <v>466</v>
      </c>
      <c r="B832" s="436" t="s">
        <v>456</v>
      </c>
      <c r="C832" s="247" t="s">
        <v>23</v>
      </c>
      <c r="D832" s="450" t="s">
        <v>62</v>
      </c>
      <c r="E832" s="477">
        <v>1.8499999999999999E-2</v>
      </c>
      <c r="F832" s="374" t="s">
        <v>478</v>
      </c>
      <c r="G832" s="251" t="s">
        <v>16</v>
      </c>
      <c r="H832" s="252">
        <v>1</v>
      </c>
      <c r="I832" s="252">
        <v>2</v>
      </c>
      <c r="J832" s="252">
        <v>3</v>
      </c>
      <c r="K832" s="252">
        <v>3</v>
      </c>
      <c r="L832" s="253">
        <v>3</v>
      </c>
      <c r="M832" s="254">
        <f t="shared" si="27"/>
        <v>1.123005955058592</v>
      </c>
      <c r="N832" s="255"/>
    </row>
    <row r="833" spans="1:14" hidden="1" x14ac:dyDescent="0.2">
      <c r="A833" s="448" t="s">
        <v>466</v>
      </c>
      <c r="B833" s="436" t="s">
        <v>456</v>
      </c>
      <c r="C833" s="247" t="s">
        <v>24</v>
      </c>
      <c r="D833" s="450" t="s">
        <v>62</v>
      </c>
      <c r="E833" s="477">
        <v>1.95E-2</v>
      </c>
      <c r="F833" s="374" t="s">
        <v>478</v>
      </c>
      <c r="G833" s="251" t="s">
        <v>16</v>
      </c>
      <c r="H833" s="252">
        <v>1</v>
      </c>
      <c r="I833" s="252">
        <v>2</v>
      </c>
      <c r="J833" s="252">
        <v>3</v>
      </c>
      <c r="K833" s="252">
        <v>3</v>
      </c>
      <c r="L833" s="253">
        <v>3</v>
      </c>
      <c r="M833" s="254">
        <f t="shared" si="27"/>
        <v>1.123005955058592</v>
      </c>
      <c r="N833" s="255"/>
    </row>
    <row r="834" spans="1:14" hidden="1" x14ac:dyDescent="0.2">
      <c r="A834" s="448" t="s">
        <v>466</v>
      </c>
      <c r="B834" s="436" t="s">
        <v>456</v>
      </c>
      <c r="C834" s="247" t="s">
        <v>25</v>
      </c>
      <c r="D834" s="450" t="s">
        <v>62</v>
      </c>
      <c r="E834" s="477">
        <v>1.18E-2</v>
      </c>
      <c r="F834" s="374" t="s">
        <v>478</v>
      </c>
      <c r="G834" s="251" t="s">
        <v>16</v>
      </c>
      <c r="H834" s="252">
        <v>1</v>
      </c>
      <c r="I834" s="252">
        <v>2</v>
      </c>
      <c r="J834" s="252">
        <v>3</v>
      </c>
      <c r="K834" s="252">
        <v>3</v>
      </c>
      <c r="L834" s="253">
        <v>3</v>
      </c>
      <c r="M834" s="254">
        <f t="shared" si="27"/>
        <v>1.123005955058592</v>
      </c>
      <c r="N834" s="255"/>
    </row>
    <row r="835" spans="1:14" hidden="1" x14ac:dyDescent="0.2">
      <c r="A835" s="448" t="s">
        <v>466</v>
      </c>
      <c r="B835" s="436" t="s">
        <v>456</v>
      </c>
      <c r="C835" s="247" t="s">
        <v>26</v>
      </c>
      <c r="D835" s="450" t="s">
        <v>62</v>
      </c>
      <c r="E835" s="477">
        <v>9.7999999999999997E-3</v>
      </c>
      <c r="F835" s="374" t="s">
        <v>478</v>
      </c>
      <c r="G835" s="251" t="s">
        <v>16</v>
      </c>
      <c r="H835" s="252">
        <v>1</v>
      </c>
      <c r="I835" s="252">
        <v>2</v>
      </c>
      <c r="J835" s="252">
        <v>3</v>
      </c>
      <c r="K835" s="252">
        <v>3</v>
      </c>
      <c r="L835" s="253">
        <v>3</v>
      </c>
      <c r="M835" s="254">
        <f t="shared" si="27"/>
        <v>1.123005955058592</v>
      </c>
      <c r="N835" s="255"/>
    </row>
    <row r="836" spans="1:14" hidden="1" x14ac:dyDescent="0.2">
      <c r="A836" s="448" t="s">
        <v>466</v>
      </c>
      <c r="B836" s="436" t="s">
        <v>456</v>
      </c>
      <c r="C836" s="247" t="s">
        <v>27</v>
      </c>
      <c r="D836" s="450" t="s">
        <v>62</v>
      </c>
      <c r="E836" s="477">
        <v>9.1000000000000004E-3</v>
      </c>
      <c r="F836" s="374" t="s">
        <v>478</v>
      </c>
      <c r="G836" s="251" t="s">
        <v>16</v>
      </c>
      <c r="H836" s="252">
        <v>1</v>
      </c>
      <c r="I836" s="252">
        <v>2</v>
      </c>
      <c r="J836" s="252">
        <v>3</v>
      </c>
      <c r="K836" s="252">
        <v>3</v>
      </c>
      <c r="L836" s="253">
        <v>3</v>
      </c>
      <c r="M836" s="254">
        <f t="shared" si="27"/>
        <v>1.123005955058592</v>
      </c>
      <c r="N836" s="255"/>
    </row>
    <row r="837" spans="1:14" hidden="1" x14ac:dyDescent="0.2">
      <c r="A837" s="448" t="s">
        <v>466</v>
      </c>
      <c r="B837" s="436" t="s">
        <v>456</v>
      </c>
      <c r="C837" s="247" t="s">
        <v>28</v>
      </c>
      <c r="D837" s="450" t="s">
        <v>62</v>
      </c>
      <c r="E837" s="477">
        <v>1.95E-2</v>
      </c>
      <c r="F837" s="374" t="s">
        <v>478</v>
      </c>
      <c r="G837" s="251" t="s">
        <v>16</v>
      </c>
      <c r="H837" s="252">
        <v>1</v>
      </c>
      <c r="I837" s="252">
        <v>2</v>
      </c>
      <c r="J837" s="252">
        <v>3</v>
      </c>
      <c r="K837" s="252">
        <v>3</v>
      </c>
      <c r="L837" s="253">
        <v>3</v>
      </c>
      <c r="M837" s="254">
        <f t="shared" si="27"/>
        <v>1.123005955058592</v>
      </c>
      <c r="N837" s="255"/>
    </row>
    <row r="838" spans="1:14" hidden="1" x14ac:dyDescent="0.2">
      <c r="A838" s="448" t="s">
        <v>466</v>
      </c>
      <c r="B838" s="436" t="s">
        <v>456</v>
      </c>
      <c r="C838" s="247" t="s">
        <v>30</v>
      </c>
      <c r="D838" s="450" t="s">
        <v>62</v>
      </c>
      <c r="E838" s="477">
        <v>1.17E-2</v>
      </c>
      <c r="F838" s="374" t="s">
        <v>478</v>
      </c>
      <c r="G838" s="251" t="s">
        <v>16</v>
      </c>
      <c r="H838" s="252">
        <v>1</v>
      </c>
      <c r="I838" s="252">
        <v>2</v>
      </c>
      <c r="J838" s="252">
        <v>3</v>
      </c>
      <c r="K838" s="252">
        <v>3</v>
      </c>
      <c r="L838" s="253">
        <v>3</v>
      </c>
      <c r="M838" s="254">
        <f t="shared" si="27"/>
        <v>1.123005955058592</v>
      </c>
      <c r="N838" s="255"/>
    </row>
    <row r="839" spans="1:14" hidden="1" x14ac:dyDescent="0.2">
      <c r="A839" s="448" t="s">
        <v>466</v>
      </c>
      <c r="B839" s="436" t="s">
        <v>456</v>
      </c>
      <c r="C839" s="247" t="s">
        <v>32</v>
      </c>
      <c r="D839" s="450" t="s">
        <v>62</v>
      </c>
      <c r="E839" s="477">
        <v>3.6900000000000002E-2</v>
      </c>
      <c r="F839" s="374" t="s">
        <v>478</v>
      </c>
      <c r="G839" s="251" t="s">
        <v>16</v>
      </c>
      <c r="H839" s="252">
        <v>1</v>
      </c>
      <c r="I839" s="252">
        <v>2</v>
      </c>
      <c r="J839" s="252">
        <v>3</v>
      </c>
      <c r="K839" s="252">
        <v>3</v>
      </c>
      <c r="L839" s="253">
        <v>3</v>
      </c>
      <c r="M839" s="254">
        <f t="shared" si="27"/>
        <v>1.123005955058592</v>
      </c>
      <c r="N839" s="255"/>
    </row>
    <row r="840" spans="1:14" hidden="1" x14ac:dyDescent="0.2">
      <c r="A840" s="448" t="s">
        <v>466</v>
      </c>
      <c r="B840" s="436" t="s">
        <v>456</v>
      </c>
      <c r="C840" s="247" t="s">
        <v>34</v>
      </c>
      <c r="D840" s="450" t="s">
        <v>62</v>
      </c>
      <c r="E840" s="477">
        <v>1.8599999999999998E-2</v>
      </c>
      <c r="F840" s="374" t="s">
        <v>478</v>
      </c>
      <c r="G840" s="251" t="s">
        <v>16</v>
      </c>
      <c r="H840" s="252">
        <v>1</v>
      </c>
      <c r="I840" s="252">
        <v>2</v>
      </c>
      <c r="J840" s="252">
        <v>3</v>
      </c>
      <c r="K840" s="252">
        <v>3</v>
      </c>
      <c r="L840" s="253">
        <v>3</v>
      </c>
      <c r="M840" s="254">
        <f t="shared" si="27"/>
        <v>1.123005955058592</v>
      </c>
      <c r="N840" s="255"/>
    </row>
    <row r="841" spans="1:14" hidden="1" x14ac:dyDescent="0.2">
      <c r="A841" s="448" t="s">
        <v>466</v>
      </c>
      <c r="B841" s="436" t="s">
        <v>456</v>
      </c>
      <c r="C841" s="247" t="s">
        <v>36</v>
      </c>
      <c r="D841" s="450" t="s">
        <v>62</v>
      </c>
      <c r="E841" s="477">
        <v>1.09E-2</v>
      </c>
      <c r="F841" s="374" t="s">
        <v>478</v>
      </c>
      <c r="G841" s="251" t="s">
        <v>16</v>
      </c>
      <c r="H841" s="252">
        <v>1</v>
      </c>
      <c r="I841" s="252">
        <v>2</v>
      </c>
      <c r="J841" s="252">
        <v>3</v>
      </c>
      <c r="K841" s="252">
        <v>3</v>
      </c>
      <c r="L841" s="253">
        <v>3</v>
      </c>
      <c r="M841" s="254">
        <f t="shared" si="27"/>
        <v>1.123005955058592</v>
      </c>
      <c r="N841" s="255"/>
    </row>
    <row r="842" spans="1:14" hidden="1" x14ac:dyDescent="0.2">
      <c r="A842" s="448" t="s">
        <v>466</v>
      </c>
      <c r="B842" s="436" t="s">
        <v>456</v>
      </c>
      <c r="C842" s="247" t="s">
        <v>37</v>
      </c>
      <c r="D842" s="450" t="s">
        <v>62</v>
      </c>
      <c r="E842" s="477">
        <v>2.7199999999999998E-2</v>
      </c>
      <c r="F842" s="374" t="s">
        <v>478</v>
      </c>
      <c r="G842" s="251" t="s">
        <v>16</v>
      </c>
      <c r="H842" s="252">
        <v>1</v>
      </c>
      <c r="I842" s="252">
        <v>2</v>
      </c>
      <c r="J842" s="252">
        <v>3</v>
      </c>
      <c r="K842" s="252">
        <v>3</v>
      </c>
      <c r="L842" s="253">
        <v>3</v>
      </c>
      <c r="M842" s="254">
        <f t="shared" si="27"/>
        <v>1.123005955058592</v>
      </c>
      <c r="N842" s="255"/>
    </row>
    <row r="843" spans="1:14" hidden="1" x14ac:dyDescent="0.2">
      <c r="A843" s="448" t="s">
        <v>466</v>
      </c>
      <c r="B843" s="436" t="s">
        <v>456</v>
      </c>
      <c r="C843" s="247" t="s">
        <v>39</v>
      </c>
      <c r="D843" s="450" t="s">
        <v>62</v>
      </c>
      <c r="E843" s="477">
        <v>1.24E-2</v>
      </c>
      <c r="F843" s="374" t="s">
        <v>478</v>
      </c>
      <c r="G843" s="251" t="s">
        <v>16</v>
      </c>
      <c r="H843" s="252">
        <v>1</v>
      </c>
      <c r="I843" s="252">
        <v>2</v>
      </c>
      <c r="J843" s="252">
        <v>3</v>
      </c>
      <c r="K843" s="252">
        <v>3</v>
      </c>
      <c r="L843" s="253">
        <v>3</v>
      </c>
      <c r="M843" s="254">
        <f t="shared" si="27"/>
        <v>1.123005955058592</v>
      </c>
      <c r="N843" s="255"/>
    </row>
    <row r="844" spans="1:14" hidden="1" x14ac:dyDescent="0.2">
      <c r="A844" s="448" t="s">
        <v>466</v>
      </c>
      <c r="B844" s="436" t="s">
        <v>456</v>
      </c>
      <c r="C844" s="247" t="s">
        <v>40</v>
      </c>
      <c r="D844" s="450" t="s">
        <v>62</v>
      </c>
      <c r="E844" s="477">
        <v>1.2699999999999999E-2</v>
      </c>
      <c r="F844" s="374" t="s">
        <v>478</v>
      </c>
      <c r="G844" s="251" t="s">
        <v>16</v>
      </c>
      <c r="H844" s="252">
        <v>1</v>
      </c>
      <c r="I844" s="252">
        <v>2</v>
      </c>
      <c r="J844" s="252">
        <v>3</v>
      </c>
      <c r="K844" s="252">
        <v>3</v>
      </c>
      <c r="L844" s="253">
        <v>3</v>
      </c>
      <c r="M844" s="254">
        <f t="shared" si="27"/>
        <v>1.123005955058592</v>
      </c>
      <c r="N844" s="255"/>
    </row>
    <row r="845" spans="1:14" hidden="1" x14ac:dyDescent="0.2">
      <c r="A845" s="448" t="s">
        <v>466</v>
      </c>
      <c r="B845" s="436" t="s">
        <v>456</v>
      </c>
      <c r="C845" s="247" t="s">
        <v>41</v>
      </c>
      <c r="D845" s="450" t="s">
        <v>62</v>
      </c>
      <c r="E845" s="477">
        <v>1.5800000000000002E-2</v>
      </c>
      <c r="F845" s="374" t="s">
        <v>478</v>
      </c>
      <c r="G845" s="251" t="s">
        <v>16</v>
      </c>
      <c r="H845" s="252">
        <v>1</v>
      </c>
      <c r="I845" s="252">
        <v>2</v>
      </c>
      <c r="J845" s="252">
        <v>3</v>
      </c>
      <c r="K845" s="252">
        <v>3</v>
      </c>
      <c r="L845" s="253">
        <v>3</v>
      </c>
      <c r="M845" s="254">
        <f t="shared" si="27"/>
        <v>1.123005955058592</v>
      </c>
      <c r="N845" s="255"/>
    </row>
    <row r="846" spans="1:14" hidden="1" x14ac:dyDescent="0.2">
      <c r="A846" s="448" t="s">
        <v>466</v>
      </c>
      <c r="B846" s="436" t="s">
        <v>456</v>
      </c>
      <c r="C846" s="247" t="s">
        <v>42</v>
      </c>
      <c r="D846" s="450" t="s">
        <v>62</v>
      </c>
      <c r="E846" s="477">
        <v>7.9000000000000008E-3</v>
      </c>
      <c r="F846" s="374" t="s">
        <v>478</v>
      </c>
      <c r="G846" s="251" t="s">
        <v>16</v>
      </c>
      <c r="H846" s="252">
        <v>1</v>
      </c>
      <c r="I846" s="252">
        <v>2</v>
      </c>
      <c r="J846" s="252">
        <v>3</v>
      </c>
      <c r="K846" s="252">
        <v>3</v>
      </c>
      <c r="L846" s="253">
        <v>3</v>
      </c>
      <c r="M846" s="254">
        <f t="shared" si="27"/>
        <v>1.123005955058592</v>
      </c>
      <c r="N846" s="255"/>
    </row>
    <row r="847" spans="1:14" hidden="1" x14ac:dyDescent="0.2">
      <c r="A847" s="448" t="s">
        <v>466</v>
      </c>
      <c r="B847" s="436" t="s">
        <v>456</v>
      </c>
      <c r="C847" s="247" t="s">
        <v>43</v>
      </c>
      <c r="D847" s="450" t="s">
        <v>62</v>
      </c>
      <c r="E847" s="477">
        <v>1.4500000000000001E-2</v>
      </c>
      <c r="F847" s="374" t="s">
        <v>478</v>
      </c>
      <c r="G847" s="251" t="s">
        <v>16</v>
      </c>
      <c r="H847" s="252">
        <v>1</v>
      </c>
      <c r="I847" s="252">
        <v>2</v>
      </c>
      <c r="J847" s="252">
        <v>3</v>
      </c>
      <c r="K847" s="252">
        <v>3</v>
      </c>
      <c r="L847" s="253">
        <v>3</v>
      </c>
      <c r="M847" s="254">
        <f t="shared" si="27"/>
        <v>1.123005955058592</v>
      </c>
      <c r="N847" s="255"/>
    </row>
    <row r="848" spans="1:14" x14ac:dyDescent="0.2">
      <c r="A848" s="448" t="s">
        <v>466</v>
      </c>
      <c r="B848" s="436" t="s">
        <v>456</v>
      </c>
      <c r="C848" s="247" t="s">
        <v>45</v>
      </c>
      <c r="D848" s="450" t="s">
        <v>62</v>
      </c>
      <c r="E848" s="477">
        <v>8.3000000000000001E-3</v>
      </c>
      <c r="F848" s="374" t="s">
        <v>478</v>
      </c>
      <c r="G848" s="251" t="s">
        <v>16</v>
      </c>
      <c r="H848" s="252">
        <v>1</v>
      </c>
      <c r="I848" s="252">
        <v>2</v>
      </c>
      <c r="J848" s="252">
        <v>3</v>
      </c>
      <c r="K848" s="252">
        <v>3</v>
      </c>
      <c r="L848" s="253">
        <v>3</v>
      </c>
      <c r="M848" s="254">
        <f t="shared" si="27"/>
        <v>1.123005955058592</v>
      </c>
      <c r="N848" s="255"/>
    </row>
    <row r="849" spans="1:14" hidden="1" x14ac:dyDescent="0.2">
      <c r="A849" s="448" t="s">
        <v>466</v>
      </c>
      <c r="B849" s="436" t="s">
        <v>456</v>
      </c>
      <c r="C849" s="247" t="s">
        <v>46</v>
      </c>
      <c r="D849" s="450" t="s">
        <v>62</v>
      </c>
      <c r="E849" s="477">
        <v>2.5899999999999999E-2</v>
      </c>
      <c r="F849" s="374" t="s">
        <v>478</v>
      </c>
      <c r="G849" s="251" t="s">
        <v>16</v>
      </c>
      <c r="H849" s="252">
        <v>1</v>
      </c>
      <c r="I849" s="252">
        <v>2</v>
      </c>
      <c r="J849" s="252">
        <v>3</v>
      </c>
      <c r="K849" s="252">
        <v>3</v>
      </c>
      <c r="L849" s="253">
        <v>3</v>
      </c>
      <c r="M849" s="254">
        <f t="shared" si="27"/>
        <v>1.123005955058592</v>
      </c>
      <c r="N849" s="255"/>
    </row>
    <row r="850" spans="1:14" hidden="1" x14ac:dyDescent="0.2">
      <c r="A850" s="448" t="s">
        <v>466</v>
      </c>
      <c r="B850" s="436" t="s">
        <v>456</v>
      </c>
      <c r="C850" s="247" t="s">
        <v>48</v>
      </c>
      <c r="D850" s="450" t="s">
        <v>62</v>
      </c>
      <c r="E850" s="477">
        <v>2.2200000000000001E-2</v>
      </c>
      <c r="F850" s="374" t="s">
        <v>478</v>
      </c>
      <c r="G850" s="251" t="s">
        <v>16</v>
      </c>
      <c r="H850" s="252">
        <v>1</v>
      </c>
      <c r="I850" s="252">
        <v>2</v>
      </c>
      <c r="J850" s="252">
        <v>3</v>
      </c>
      <c r="K850" s="252">
        <v>3</v>
      </c>
      <c r="L850" s="253">
        <v>3</v>
      </c>
      <c r="M850" s="254">
        <f t="shared" si="27"/>
        <v>1.123005955058592</v>
      </c>
      <c r="N850" s="255"/>
    </row>
    <row r="851" spans="1:14" hidden="1" x14ac:dyDescent="0.2">
      <c r="A851" s="448" t="s">
        <v>466</v>
      </c>
      <c r="B851" s="436" t="s">
        <v>456</v>
      </c>
      <c r="C851" s="247" t="s">
        <v>50</v>
      </c>
      <c r="D851" s="450" t="s">
        <v>62</v>
      </c>
      <c r="E851" s="477">
        <v>2.5999999999999999E-2</v>
      </c>
      <c r="F851" s="374" t="s">
        <v>478</v>
      </c>
      <c r="G851" s="251" t="s">
        <v>16</v>
      </c>
      <c r="H851" s="252">
        <v>1</v>
      </c>
      <c r="I851" s="252">
        <v>2</v>
      </c>
      <c r="J851" s="252">
        <v>3</v>
      </c>
      <c r="K851" s="252">
        <v>3</v>
      </c>
      <c r="L851" s="253">
        <v>3</v>
      </c>
      <c r="M851" s="254">
        <f t="shared" si="27"/>
        <v>1.123005955058592</v>
      </c>
      <c r="N851" s="255"/>
    </row>
    <row r="852" spans="1:14" hidden="1" x14ac:dyDescent="0.2">
      <c r="A852" s="448" t="s">
        <v>466</v>
      </c>
      <c r="B852" s="436" t="s">
        <v>456</v>
      </c>
      <c r="C852" s="247" t="s">
        <v>52</v>
      </c>
      <c r="D852" s="450" t="s">
        <v>62</v>
      </c>
      <c r="E852" s="477">
        <v>2.9000000000000001E-2</v>
      </c>
      <c r="F852" s="374" t="s">
        <v>478</v>
      </c>
      <c r="G852" s="251" t="s">
        <v>16</v>
      </c>
      <c r="H852" s="252">
        <v>1</v>
      </c>
      <c r="I852" s="252">
        <v>2</v>
      </c>
      <c r="J852" s="252">
        <v>3</v>
      </c>
      <c r="K852" s="252">
        <v>3</v>
      </c>
      <c r="L852" s="253">
        <v>3</v>
      </c>
      <c r="M852" s="254">
        <f t="shared" si="27"/>
        <v>1.123005955058592</v>
      </c>
      <c r="N852" s="255"/>
    </row>
    <row r="853" spans="1:14" hidden="1" x14ac:dyDescent="0.2">
      <c r="A853" s="448" t="s">
        <v>466</v>
      </c>
      <c r="B853" s="436" t="s">
        <v>456</v>
      </c>
      <c r="C853" s="247" t="s">
        <v>54</v>
      </c>
      <c r="D853" s="450" t="s">
        <v>62</v>
      </c>
      <c r="E853" s="477">
        <v>1.18E-2</v>
      </c>
      <c r="F853" s="374" t="s">
        <v>478</v>
      </c>
      <c r="G853" s="251" t="s">
        <v>16</v>
      </c>
      <c r="H853" s="252">
        <v>1</v>
      </c>
      <c r="I853" s="252">
        <v>2</v>
      </c>
      <c r="J853" s="252">
        <v>3</v>
      </c>
      <c r="K853" s="252">
        <v>3</v>
      </c>
      <c r="L853" s="253">
        <v>3</v>
      </c>
      <c r="M853" s="254">
        <f t="shared" si="27"/>
        <v>1.123005955058592</v>
      </c>
      <c r="N853" s="255"/>
    </row>
    <row r="854" spans="1:14" hidden="1" x14ac:dyDescent="0.2">
      <c r="A854" s="448" t="s">
        <v>466</v>
      </c>
      <c r="B854" s="436" t="s">
        <v>456</v>
      </c>
      <c r="C854" s="247" t="s">
        <v>55</v>
      </c>
      <c r="D854" s="450" t="s">
        <v>62</v>
      </c>
      <c r="E854" s="477">
        <v>1.6899999999999998E-2</v>
      </c>
      <c r="F854" s="374" t="s">
        <v>478</v>
      </c>
      <c r="G854" s="251" t="s">
        <v>16</v>
      </c>
      <c r="H854" s="252">
        <v>1</v>
      </c>
      <c r="I854" s="252">
        <v>2</v>
      </c>
      <c r="J854" s="252">
        <v>3</v>
      </c>
      <c r="K854" s="252">
        <v>3</v>
      </c>
      <c r="L854" s="253">
        <v>3</v>
      </c>
      <c r="M854" s="254">
        <f t="shared" si="27"/>
        <v>1.123005955058592</v>
      </c>
      <c r="N854" s="255"/>
    </row>
    <row r="855" spans="1:14" hidden="1" x14ac:dyDescent="0.2">
      <c r="A855" s="448" t="s">
        <v>466</v>
      </c>
      <c r="B855" s="436" t="s">
        <v>456</v>
      </c>
      <c r="C855" s="247" t="s">
        <v>57</v>
      </c>
      <c r="D855" s="450" t="s">
        <v>62</v>
      </c>
      <c r="E855" s="477">
        <v>8.3000000000000001E-3</v>
      </c>
      <c r="F855" s="374" t="s">
        <v>478</v>
      </c>
      <c r="G855" s="251" t="s">
        <v>16</v>
      </c>
      <c r="H855" s="252">
        <v>1</v>
      </c>
      <c r="I855" s="252">
        <v>2</v>
      </c>
      <c r="J855" s="252">
        <v>3</v>
      </c>
      <c r="K855" s="252">
        <v>3</v>
      </c>
      <c r="L855" s="253">
        <v>3</v>
      </c>
      <c r="M855" s="254">
        <f t="shared" si="27"/>
        <v>1.123005955058592</v>
      </c>
      <c r="N855" s="255"/>
    </row>
    <row r="856" spans="1:14" hidden="1" x14ac:dyDescent="0.2">
      <c r="A856" s="448" t="s">
        <v>466</v>
      </c>
      <c r="B856" s="436" t="s">
        <v>456</v>
      </c>
      <c r="C856" s="247" t="s">
        <v>59</v>
      </c>
      <c r="D856" s="450" t="s">
        <v>62</v>
      </c>
      <c r="E856" s="477">
        <v>1.17E-2</v>
      </c>
      <c r="F856" s="374" t="s">
        <v>478</v>
      </c>
      <c r="G856" s="251" t="s">
        <v>16</v>
      </c>
      <c r="H856" s="252">
        <v>1</v>
      </c>
      <c r="I856" s="252">
        <v>2</v>
      </c>
      <c r="J856" s="252">
        <v>3</v>
      </c>
      <c r="K856" s="252">
        <v>3</v>
      </c>
      <c r="L856" s="253">
        <v>3</v>
      </c>
      <c r="M856" s="254">
        <f t="shared" si="27"/>
        <v>1.123005955058592</v>
      </c>
      <c r="N856" s="255"/>
    </row>
    <row r="857" spans="1:14" hidden="1" x14ac:dyDescent="0.2">
      <c r="A857" s="448" t="s">
        <v>466</v>
      </c>
      <c r="B857" s="436" t="s">
        <v>456</v>
      </c>
      <c r="C857" s="247" t="s">
        <v>60</v>
      </c>
      <c r="D857" s="450" t="s">
        <v>62</v>
      </c>
      <c r="E857" s="477">
        <v>1.52E-2</v>
      </c>
      <c r="F857" s="374" t="s">
        <v>478</v>
      </c>
      <c r="G857" s="251" t="s">
        <v>16</v>
      </c>
      <c r="H857" s="252">
        <v>1</v>
      </c>
      <c r="I857" s="252">
        <v>2</v>
      </c>
      <c r="J857" s="252">
        <v>3</v>
      </c>
      <c r="K857" s="252">
        <v>3</v>
      </c>
      <c r="L857" s="253">
        <v>3</v>
      </c>
      <c r="M857" s="254">
        <f t="shared" si="27"/>
        <v>1.123005955058592</v>
      </c>
      <c r="N857" s="255"/>
    </row>
    <row r="858" spans="1:14" x14ac:dyDescent="0.2">
      <c r="A858" s="448" t="s">
        <v>466</v>
      </c>
      <c r="B858" s="436" t="s">
        <v>479</v>
      </c>
      <c r="C858" s="381" t="s">
        <v>135</v>
      </c>
      <c r="D858" s="450" t="s">
        <v>62</v>
      </c>
      <c r="E858" s="478">
        <v>0</v>
      </c>
      <c r="F858" s="250"/>
      <c r="G858" s="251" t="s">
        <v>16</v>
      </c>
      <c r="H858" s="478"/>
      <c r="I858" s="478"/>
      <c r="J858" s="478"/>
      <c r="K858" s="478"/>
      <c r="L858" s="471"/>
      <c r="M858" s="456"/>
      <c r="N858" s="381"/>
    </row>
    <row r="859" spans="1:14" x14ac:dyDescent="0.2">
      <c r="A859" s="448" t="s">
        <v>466</v>
      </c>
      <c r="B859" s="436" t="s">
        <v>480</v>
      </c>
      <c r="C859" s="381" t="s">
        <v>135</v>
      </c>
      <c r="D859" s="450" t="s">
        <v>62</v>
      </c>
      <c r="E859" s="478">
        <v>0</v>
      </c>
      <c r="F859" s="250"/>
      <c r="G859" s="251" t="s">
        <v>16</v>
      </c>
      <c r="H859" s="478"/>
      <c r="I859" s="478"/>
      <c r="J859" s="478"/>
      <c r="K859" s="478"/>
      <c r="L859" s="471"/>
      <c r="M859" s="456"/>
      <c r="N859" s="483"/>
    </row>
    <row r="860" spans="1:14" x14ac:dyDescent="0.2">
      <c r="A860" s="448" t="s">
        <v>466</v>
      </c>
      <c r="B860" s="436" t="s">
        <v>481</v>
      </c>
      <c r="C860" s="381" t="s">
        <v>135</v>
      </c>
      <c r="D860" s="450" t="s">
        <v>62</v>
      </c>
      <c r="E860" s="478">
        <v>0</v>
      </c>
      <c r="F860" s="250"/>
      <c r="G860" s="251" t="s">
        <v>16</v>
      </c>
      <c r="H860" s="478"/>
      <c r="I860" s="478"/>
      <c r="J860" s="478"/>
      <c r="K860" s="478"/>
      <c r="L860" s="471"/>
      <c r="M860" s="456"/>
      <c r="N860" s="381"/>
    </row>
    <row r="861" spans="1:14" x14ac:dyDescent="0.2">
      <c r="A861" s="448" t="s">
        <v>466</v>
      </c>
      <c r="B861" s="436" t="s">
        <v>482</v>
      </c>
      <c r="C861" s="381" t="s">
        <v>135</v>
      </c>
      <c r="D861" s="450" t="s">
        <v>62</v>
      </c>
      <c r="E861" s="478">
        <v>0</v>
      </c>
      <c r="F861" s="250"/>
      <c r="G861" s="251" t="s">
        <v>16</v>
      </c>
      <c r="H861" s="478"/>
      <c r="I861" s="478"/>
      <c r="J861" s="478"/>
      <c r="K861" s="478"/>
      <c r="L861" s="471"/>
      <c r="M861" s="456"/>
      <c r="N861" s="479"/>
    </row>
    <row r="862" spans="1:14" x14ac:dyDescent="0.2">
      <c r="A862" s="465" t="s">
        <v>466</v>
      </c>
      <c r="B862" s="480" t="s">
        <v>387</v>
      </c>
      <c r="C862" s="409" t="s">
        <v>135</v>
      </c>
      <c r="D862" s="484" t="s">
        <v>62</v>
      </c>
      <c r="E862" s="478" t="s">
        <v>188</v>
      </c>
      <c r="F862" s="485"/>
      <c r="G862" s="251" t="s">
        <v>16</v>
      </c>
      <c r="H862" s="473"/>
      <c r="I862" s="473"/>
      <c r="J862" s="473"/>
      <c r="K862" s="473"/>
      <c r="L862" s="474"/>
      <c r="M862" s="475" t="str">
        <f>IF( OR( ISBLANK(H862),ISBLANK(I862), ISBLANK(J862), ISBLANK(K862), ISBLANK(L862) ), "", 1.5*SQRT(   EXP(2.21*(H862-1)) + EXP(2.21*(I862-1)) + EXP(2.21*(J862-1)) + EXP(2.21*(K862-1)) + EXP(2.21*L862)   )/100*2.45 )</f>
        <v/>
      </c>
      <c r="N862" s="483"/>
    </row>
    <row r="863" spans="1:14" hidden="1" x14ac:dyDescent="0.2">
      <c r="A863" s="448" t="s">
        <v>466</v>
      </c>
      <c r="B863" s="436" t="s">
        <v>456</v>
      </c>
      <c r="C863" s="265" t="s">
        <v>13</v>
      </c>
      <c r="D863" s="486" t="s">
        <v>64</v>
      </c>
      <c r="E863" s="476">
        <v>8.8999999999999999E-3</v>
      </c>
      <c r="F863" s="374" t="s">
        <v>478</v>
      </c>
      <c r="G863" s="268" t="s">
        <v>16</v>
      </c>
      <c r="H863" s="269">
        <v>1</v>
      </c>
      <c r="I863" s="269">
        <v>2</v>
      </c>
      <c r="J863" s="269">
        <v>3</v>
      </c>
      <c r="K863" s="269">
        <v>3</v>
      </c>
      <c r="L863" s="270">
        <v>3</v>
      </c>
      <c r="M863" s="271">
        <f t="shared" ref="M863:M892" si="28">IF( OR( ISBLANK(H863),ISBLANK(I863), ISBLANK(J863), ISBLANK(K863), ISBLANK(L863) ), "", 1.5*SQRT( EXP(2.21*(H863-1)) + EXP(2.21*(I863-1)) + EXP(2.21*(J863-1)) + EXP(2.21*(K863-1)) + EXP(2.21*L863) )/100*2.45 )</f>
        <v>1.123005955058592</v>
      </c>
      <c r="N863" s="272"/>
    </row>
    <row r="864" spans="1:14" hidden="1" x14ac:dyDescent="0.2">
      <c r="A864" s="448" t="s">
        <v>466</v>
      </c>
      <c r="B864" s="436" t="s">
        <v>456</v>
      </c>
      <c r="C864" s="247" t="s">
        <v>18</v>
      </c>
      <c r="D864" s="451" t="s">
        <v>64</v>
      </c>
      <c r="E864" s="477">
        <v>2.2599999999999999E-2</v>
      </c>
      <c r="F864" s="374" t="s">
        <v>478</v>
      </c>
      <c r="G864" s="251" t="s">
        <v>16</v>
      </c>
      <c r="H864" s="252">
        <v>1</v>
      </c>
      <c r="I864" s="252">
        <v>2</v>
      </c>
      <c r="J864" s="252">
        <v>3</v>
      </c>
      <c r="K864" s="252">
        <v>3</v>
      </c>
      <c r="L864" s="253">
        <v>3</v>
      </c>
      <c r="M864" s="254">
        <f t="shared" si="28"/>
        <v>1.123005955058592</v>
      </c>
      <c r="N864" s="255"/>
    </row>
    <row r="865" spans="1:14" hidden="1" x14ac:dyDescent="0.2">
      <c r="A865" s="448" t="s">
        <v>466</v>
      </c>
      <c r="B865" s="436" t="s">
        <v>456</v>
      </c>
      <c r="C865" s="247" t="s">
        <v>20</v>
      </c>
      <c r="D865" s="451" t="s">
        <v>64</v>
      </c>
      <c r="E865" s="477">
        <v>2.75E-2</v>
      </c>
      <c r="F865" s="374" t="s">
        <v>478</v>
      </c>
      <c r="G865" s="251" t="s">
        <v>16</v>
      </c>
      <c r="H865" s="252">
        <v>1</v>
      </c>
      <c r="I865" s="252">
        <v>2</v>
      </c>
      <c r="J865" s="252">
        <v>3</v>
      </c>
      <c r="K865" s="252">
        <v>3</v>
      </c>
      <c r="L865" s="253">
        <v>3</v>
      </c>
      <c r="M865" s="254">
        <f t="shared" si="28"/>
        <v>1.123005955058592</v>
      </c>
      <c r="N865" s="255"/>
    </row>
    <row r="866" spans="1:14" hidden="1" x14ac:dyDescent="0.2">
      <c r="A866" s="448" t="s">
        <v>466</v>
      </c>
      <c r="B866" s="436" t="s">
        <v>456</v>
      </c>
      <c r="C866" s="247" t="s">
        <v>22</v>
      </c>
      <c r="D866" s="451" t="s">
        <v>64</v>
      </c>
      <c r="E866" s="477">
        <v>1.83E-2</v>
      </c>
      <c r="F866" s="374" t="s">
        <v>478</v>
      </c>
      <c r="G866" s="251" t="s">
        <v>16</v>
      </c>
      <c r="H866" s="252">
        <v>1</v>
      </c>
      <c r="I866" s="252">
        <v>2</v>
      </c>
      <c r="J866" s="252">
        <v>3</v>
      </c>
      <c r="K866" s="252">
        <v>3</v>
      </c>
      <c r="L866" s="253">
        <v>3</v>
      </c>
      <c r="M866" s="254">
        <f t="shared" si="28"/>
        <v>1.123005955058592</v>
      </c>
      <c r="N866" s="255"/>
    </row>
    <row r="867" spans="1:14" hidden="1" x14ac:dyDescent="0.2">
      <c r="A867" s="448" t="s">
        <v>466</v>
      </c>
      <c r="B867" s="436" t="s">
        <v>456</v>
      </c>
      <c r="C867" s="247" t="s">
        <v>23</v>
      </c>
      <c r="D867" s="451" t="s">
        <v>64</v>
      </c>
      <c r="E867" s="477">
        <v>1.8499999999999999E-2</v>
      </c>
      <c r="F867" s="374" t="s">
        <v>478</v>
      </c>
      <c r="G867" s="251" t="s">
        <v>16</v>
      </c>
      <c r="H867" s="252">
        <v>1</v>
      </c>
      <c r="I867" s="252">
        <v>2</v>
      </c>
      <c r="J867" s="252">
        <v>3</v>
      </c>
      <c r="K867" s="252">
        <v>3</v>
      </c>
      <c r="L867" s="253">
        <v>3</v>
      </c>
      <c r="M867" s="254">
        <f t="shared" si="28"/>
        <v>1.123005955058592</v>
      </c>
      <c r="N867" s="255"/>
    </row>
    <row r="868" spans="1:14" hidden="1" x14ac:dyDescent="0.2">
      <c r="A868" s="448" t="s">
        <v>466</v>
      </c>
      <c r="B868" s="436" t="s">
        <v>456</v>
      </c>
      <c r="C868" s="247" t="s">
        <v>24</v>
      </c>
      <c r="D868" s="451" t="s">
        <v>64</v>
      </c>
      <c r="E868" s="477">
        <v>1.95E-2</v>
      </c>
      <c r="F868" s="374" t="s">
        <v>478</v>
      </c>
      <c r="G868" s="251" t="s">
        <v>16</v>
      </c>
      <c r="H868" s="252">
        <v>1</v>
      </c>
      <c r="I868" s="252">
        <v>2</v>
      </c>
      <c r="J868" s="252">
        <v>3</v>
      </c>
      <c r="K868" s="252">
        <v>3</v>
      </c>
      <c r="L868" s="253">
        <v>3</v>
      </c>
      <c r="M868" s="254">
        <f t="shared" si="28"/>
        <v>1.123005955058592</v>
      </c>
      <c r="N868" s="255"/>
    </row>
    <row r="869" spans="1:14" hidden="1" x14ac:dyDescent="0.2">
      <c r="A869" s="448" t="s">
        <v>466</v>
      </c>
      <c r="B869" s="436" t="s">
        <v>456</v>
      </c>
      <c r="C869" s="247" t="s">
        <v>25</v>
      </c>
      <c r="D869" s="451" t="s">
        <v>64</v>
      </c>
      <c r="E869" s="477">
        <v>1.18E-2</v>
      </c>
      <c r="F869" s="374" t="s">
        <v>478</v>
      </c>
      <c r="G869" s="251" t="s">
        <v>16</v>
      </c>
      <c r="H869" s="252">
        <v>1</v>
      </c>
      <c r="I869" s="252">
        <v>2</v>
      </c>
      <c r="J869" s="252">
        <v>3</v>
      </c>
      <c r="K869" s="252">
        <v>3</v>
      </c>
      <c r="L869" s="253">
        <v>3</v>
      </c>
      <c r="M869" s="254">
        <f t="shared" si="28"/>
        <v>1.123005955058592</v>
      </c>
      <c r="N869" s="255"/>
    </row>
    <row r="870" spans="1:14" hidden="1" x14ac:dyDescent="0.2">
      <c r="A870" s="448" t="s">
        <v>466</v>
      </c>
      <c r="B870" s="436" t="s">
        <v>456</v>
      </c>
      <c r="C870" s="247" t="s">
        <v>26</v>
      </c>
      <c r="D870" s="451" t="s">
        <v>64</v>
      </c>
      <c r="E870" s="477">
        <v>9.7999999999999997E-3</v>
      </c>
      <c r="F870" s="374" t="s">
        <v>478</v>
      </c>
      <c r="G870" s="251" t="s">
        <v>16</v>
      </c>
      <c r="H870" s="252">
        <v>1</v>
      </c>
      <c r="I870" s="252">
        <v>2</v>
      </c>
      <c r="J870" s="252">
        <v>3</v>
      </c>
      <c r="K870" s="252">
        <v>3</v>
      </c>
      <c r="L870" s="253">
        <v>3</v>
      </c>
      <c r="M870" s="254">
        <f t="shared" si="28"/>
        <v>1.123005955058592</v>
      </c>
      <c r="N870" s="255"/>
    </row>
    <row r="871" spans="1:14" hidden="1" x14ac:dyDescent="0.2">
      <c r="A871" s="448" t="s">
        <v>466</v>
      </c>
      <c r="B871" s="436" t="s">
        <v>456</v>
      </c>
      <c r="C871" s="247" t="s">
        <v>27</v>
      </c>
      <c r="D871" s="451" t="s">
        <v>64</v>
      </c>
      <c r="E871" s="477">
        <v>9.1000000000000004E-3</v>
      </c>
      <c r="F871" s="374" t="s">
        <v>478</v>
      </c>
      <c r="G871" s="251" t="s">
        <v>16</v>
      </c>
      <c r="H871" s="252">
        <v>1</v>
      </c>
      <c r="I871" s="252">
        <v>2</v>
      </c>
      <c r="J871" s="252">
        <v>3</v>
      </c>
      <c r="K871" s="252">
        <v>3</v>
      </c>
      <c r="L871" s="253">
        <v>3</v>
      </c>
      <c r="M871" s="254">
        <f t="shared" si="28"/>
        <v>1.123005955058592</v>
      </c>
      <c r="N871" s="255"/>
    </row>
    <row r="872" spans="1:14" hidden="1" x14ac:dyDescent="0.2">
      <c r="A872" s="448" t="s">
        <v>466</v>
      </c>
      <c r="B872" s="436" t="s">
        <v>456</v>
      </c>
      <c r="C872" s="247" t="s">
        <v>28</v>
      </c>
      <c r="D872" s="451" t="s">
        <v>64</v>
      </c>
      <c r="E872" s="477">
        <v>1.95E-2</v>
      </c>
      <c r="F872" s="374" t="s">
        <v>478</v>
      </c>
      <c r="G872" s="251" t="s">
        <v>16</v>
      </c>
      <c r="H872" s="252">
        <v>1</v>
      </c>
      <c r="I872" s="252">
        <v>2</v>
      </c>
      <c r="J872" s="252">
        <v>3</v>
      </c>
      <c r="K872" s="252">
        <v>3</v>
      </c>
      <c r="L872" s="253">
        <v>3</v>
      </c>
      <c r="M872" s="254">
        <f t="shared" si="28"/>
        <v>1.123005955058592</v>
      </c>
      <c r="N872" s="255"/>
    </row>
    <row r="873" spans="1:14" hidden="1" x14ac:dyDescent="0.2">
      <c r="A873" s="448" t="s">
        <v>466</v>
      </c>
      <c r="B873" s="436" t="s">
        <v>456</v>
      </c>
      <c r="C873" s="247" t="s">
        <v>30</v>
      </c>
      <c r="D873" s="451" t="s">
        <v>64</v>
      </c>
      <c r="E873" s="477">
        <v>1.17E-2</v>
      </c>
      <c r="F873" s="374" t="s">
        <v>478</v>
      </c>
      <c r="G873" s="251" t="s">
        <v>16</v>
      </c>
      <c r="H873" s="252">
        <v>1</v>
      </c>
      <c r="I873" s="252">
        <v>2</v>
      </c>
      <c r="J873" s="252">
        <v>3</v>
      </c>
      <c r="K873" s="252">
        <v>3</v>
      </c>
      <c r="L873" s="253">
        <v>3</v>
      </c>
      <c r="M873" s="254">
        <f t="shared" si="28"/>
        <v>1.123005955058592</v>
      </c>
      <c r="N873" s="255"/>
    </row>
    <row r="874" spans="1:14" hidden="1" x14ac:dyDescent="0.2">
      <c r="A874" s="448" t="s">
        <v>466</v>
      </c>
      <c r="B874" s="436" t="s">
        <v>456</v>
      </c>
      <c r="C874" s="247" t="s">
        <v>32</v>
      </c>
      <c r="D874" s="451" t="s">
        <v>64</v>
      </c>
      <c r="E874" s="477">
        <v>3.6900000000000002E-2</v>
      </c>
      <c r="F874" s="374" t="s">
        <v>478</v>
      </c>
      <c r="G874" s="251" t="s">
        <v>16</v>
      </c>
      <c r="H874" s="252">
        <v>1</v>
      </c>
      <c r="I874" s="252">
        <v>2</v>
      </c>
      <c r="J874" s="252">
        <v>3</v>
      </c>
      <c r="K874" s="252">
        <v>3</v>
      </c>
      <c r="L874" s="253">
        <v>3</v>
      </c>
      <c r="M874" s="254">
        <f t="shared" si="28"/>
        <v>1.123005955058592</v>
      </c>
      <c r="N874" s="255"/>
    </row>
    <row r="875" spans="1:14" hidden="1" x14ac:dyDescent="0.2">
      <c r="A875" s="448" t="s">
        <v>466</v>
      </c>
      <c r="B875" s="436" t="s">
        <v>456</v>
      </c>
      <c r="C875" s="247" t="s">
        <v>34</v>
      </c>
      <c r="D875" s="451" t="s">
        <v>64</v>
      </c>
      <c r="E875" s="477">
        <v>1.8599999999999998E-2</v>
      </c>
      <c r="F875" s="374" t="s">
        <v>478</v>
      </c>
      <c r="G875" s="251" t="s">
        <v>16</v>
      </c>
      <c r="H875" s="252">
        <v>1</v>
      </c>
      <c r="I875" s="252">
        <v>2</v>
      </c>
      <c r="J875" s="252">
        <v>3</v>
      </c>
      <c r="K875" s="252">
        <v>3</v>
      </c>
      <c r="L875" s="253">
        <v>3</v>
      </c>
      <c r="M875" s="254">
        <f t="shared" si="28"/>
        <v>1.123005955058592</v>
      </c>
      <c r="N875" s="255"/>
    </row>
    <row r="876" spans="1:14" hidden="1" x14ac:dyDescent="0.2">
      <c r="A876" s="448" t="s">
        <v>466</v>
      </c>
      <c r="B876" s="436" t="s">
        <v>456</v>
      </c>
      <c r="C876" s="247" t="s">
        <v>36</v>
      </c>
      <c r="D876" s="451" t="s">
        <v>64</v>
      </c>
      <c r="E876" s="477">
        <v>1.09E-2</v>
      </c>
      <c r="F876" s="374" t="s">
        <v>478</v>
      </c>
      <c r="G876" s="251" t="s">
        <v>16</v>
      </c>
      <c r="H876" s="252">
        <v>1</v>
      </c>
      <c r="I876" s="252">
        <v>2</v>
      </c>
      <c r="J876" s="252">
        <v>3</v>
      </c>
      <c r="K876" s="252">
        <v>3</v>
      </c>
      <c r="L876" s="253">
        <v>3</v>
      </c>
      <c r="M876" s="254">
        <f t="shared" si="28"/>
        <v>1.123005955058592</v>
      </c>
      <c r="N876" s="255"/>
    </row>
    <row r="877" spans="1:14" hidden="1" x14ac:dyDescent="0.2">
      <c r="A877" s="448" t="s">
        <v>466</v>
      </c>
      <c r="B877" s="436" t="s">
        <v>456</v>
      </c>
      <c r="C877" s="247" t="s">
        <v>37</v>
      </c>
      <c r="D877" s="451" t="s">
        <v>64</v>
      </c>
      <c r="E877" s="477">
        <v>2.7199999999999998E-2</v>
      </c>
      <c r="F877" s="374" t="s">
        <v>478</v>
      </c>
      <c r="G877" s="251" t="s">
        <v>16</v>
      </c>
      <c r="H877" s="252">
        <v>1</v>
      </c>
      <c r="I877" s="252">
        <v>2</v>
      </c>
      <c r="J877" s="252">
        <v>3</v>
      </c>
      <c r="K877" s="252">
        <v>3</v>
      </c>
      <c r="L877" s="253">
        <v>3</v>
      </c>
      <c r="M877" s="254">
        <f t="shared" si="28"/>
        <v>1.123005955058592</v>
      </c>
      <c r="N877" s="255"/>
    </row>
    <row r="878" spans="1:14" hidden="1" x14ac:dyDescent="0.2">
      <c r="A878" s="448" t="s">
        <v>466</v>
      </c>
      <c r="B878" s="436" t="s">
        <v>456</v>
      </c>
      <c r="C878" s="247" t="s">
        <v>39</v>
      </c>
      <c r="D878" s="451" t="s">
        <v>64</v>
      </c>
      <c r="E878" s="477">
        <v>1.24E-2</v>
      </c>
      <c r="F878" s="374" t="s">
        <v>478</v>
      </c>
      <c r="G878" s="251" t="s">
        <v>16</v>
      </c>
      <c r="H878" s="252">
        <v>1</v>
      </c>
      <c r="I878" s="252">
        <v>2</v>
      </c>
      <c r="J878" s="252">
        <v>3</v>
      </c>
      <c r="K878" s="252">
        <v>3</v>
      </c>
      <c r="L878" s="253">
        <v>3</v>
      </c>
      <c r="M878" s="254">
        <f t="shared" si="28"/>
        <v>1.123005955058592</v>
      </c>
      <c r="N878" s="255"/>
    </row>
    <row r="879" spans="1:14" hidden="1" x14ac:dyDescent="0.2">
      <c r="A879" s="448" t="s">
        <v>466</v>
      </c>
      <c r="B879" s="436" t="s">
        <v>456</v>
      </c>
      <c r="C879" s="247" t="s">
        <v>40</v>
      </c>
      <c r="D879" s="451" t="s">
        <v>64</v>
      </c>
      <c r="E879" s="477">
        <v>1.2699999999999999E-2</v>
      </c>
      <c r="F879" s="374" t="s">
        <v>478</v>
      </c>
      <c r="G879" s="251" t="s">
        <v>16</v>
      </c>
      <c r="H879" s="252">
        <v>1</v>
      </c>
      <c r="I879" s="252">
        <v>2</v>
      </c>
      <c r="J879" s="252">
        <v>3</v>
      </c>
      <c r="K879" s="252">
        <v>3</v>
      </c>
      <c r="L879" s="253">
        <v>3</v>
      </c>
      <c r="M879" s="254">
        <f t="shared" si="28"/>
        <v>1.123005955058592</v>
      </c>
      <c r="N879" s="255"/>
    </row>
    <row r="880" spans="1:14" hidden="1" x14ac:dyDescent="0.2">
      <c r="A880" s="448" t="s">
        <v>466</v>
      </c>
      <c r="B880" s="436" t="s">
        <v>456</v>
      </c>
      <c r="C880" s="247" t="s">
        <v>41</v>
      </c>
      <c r="D880" s="451" t="s">
        <v>64</v>
      </c>
      <c r="E880" s="477">
        <v>1.5800000000000002E-2</v>
      </c>
      <c r="F880" s="374" t="s">
        <v>478</v>
      </c>
      <c r="G880" s="251" t="s">
        <v>16</v>
      </c>
      <c r="H880" s="252">
        <v>1</v>
      </c>
      <c r="I880" s="252">
        <v>2</v>
      </c>
      <c r="J880" s="252">
        <v>3</v>
      </c>
      <c r="K880" s="252">
        <v>3</v>
      </c>
      <c r="L880" s="253">
        <v>3</v>
      </c>
      <c r="M880" s="254">
        <f t="shared" si="28"/>
        <v>1.123005955058592</v>
      </c>
      <c r="N880" s="255"/>
    </row>
    <row r="881" spans="1:14" hidden="1" x14ac:dyDescent="0.2">
      <c r="A881" s="448" t="s">
        <v>466</v>
      </c>
      <c r="B881" s="436" t="s">
        <v>456</v>
      </c>
      <c r="C881" s="247" t="s">
        <v>42</v>
      </c>
      <c r="D881" s="451" t="s">
        <v>64</v>
      </c>
      <c r="E881" s="477">
        <v>7.9000000000000008E-3</v>
      </c>
      <c r="F881" s="374" t="s">
        <v>478</v>
      </c>
      <c r="G881" s="251" t="s">
        <v>16</v>
      </c>
      <c r="H881" s="252">
        <v>1</v>
      </c>
      <c r="I881" s="252">
        <v>2</v>
      </c>
      <c r="J881" s="252">
        <v>3</v>
      </c>
      <c r="K881" s="252">
        <v>3</v>
      </c>
      <c r="L881" s="253">
        <v>3</v>
      </c>
      <c r="M881" s="254">
        <f t="shared" si="28"/>
        <v>1.123005955058592</v>
      </c>
      <c r="N881" s="255"/>
    </row>
    <row r="882" spans="1:14" hidden="1" x14ac:dyDescent="0.2">
      <c r="A882" s="448" t="s">
        <v>466</v>
      </c>
      <c r="B882" s="436" t="s">
        <v>456</v>
      </c>
      <c r="C882" s="247" t="s">
        <v>43</v>
      </c>
      <c r="D882" s="451" t="s">
        <v>64</v>
      </c>
      <c r="E882" s="477">
        <v>1.4500000000000001E-2</v>
      </c>
      <c r="F882" s="374" t="s">
        <v>478</v>
      </c>
      <c r="G882" s="251" t="s">
        <v>16</v>
      </c>
      <c r="H882" s="252">
        <v>1</v>
      </c>
      <c r="I882" s="252">
        <v>2</v>
      </c>
      <c r="J882" s="252">
        <v>3</v>
      </c>
      <c r="K882" s="252">
        <v>3</v>
      </c>
      <c r="L882" s="253">
        <v>3</v>
      </c>
      <c r="M882" s="254">
        <f t="shared" si="28"/>
        <v>1.123005955058592</v>
      </c>
      <c r="N882" s="255"/>
    </row>
    <row r="883" spans="1:14" x14ac:dyDescent="0.2">
      <c r="A883" s="448" t="s">
        <v>466</v>
      </c>
      <c r="B883" s="436" t="s">
        <v>456</v>
      </c>
      <c r="C883" s="247" t="s">
        <v>45</v>
      </c>
      <c r="D883" s="451" t="s">
        <v>64</v>
      </c>
      <c r="E883" s="477">
        <v>8.3000000000000001E-3</v>
      </c>
      <c r="F883" s="374" t="s">
        <v>478</v>
      </c>
      <c r="G883" s="251" t="s">
        <v>16</v>
      </c>
      <c r="H883" s="252">
        <v>1</v>
      </c>
      <c r="I883" s="252">
        <v>2</v>
      </c>
      <c r="J883" s="252">
        <v>3</v>
      </c>
      <c r="K883" s="252">
        <v>3</v>
      </c>
      <c r="L883" s="253">
        <v>3</v>
      </c>
      <c r="M883" s="254">
        <f t="shared" si="28"/>
        <v>1.123005955058592</v>
      </c>
      <c r="N883" s="255"/>
    </row>
    <row r="884" spans="1:14" hidden="1" x14ac:dyDescent="0.2">
      <c r="A884" s="448" t="s">
        <v>466</v>
      </c>
      <c r="B884" s="436" t="s">
        <v>456</v>
      </c>
      <c r="C884" s="247" t="s">
        <v>46</v>
      </c>
      <c r="D884" s="451" t="s">
        <v>64</v>
      </c>
      <c r="E884" s="477">
        <v>2.5899999999999999E-2</v>
      </c>
      <c r="F884" s="374" t="s">
        <v>478</v>
      </c>
      <c r="G884" s="251" t="s">
        <v>16</v>
      </c>
      <c r="H884" s="252">
        <v>1</v>
      </c>
      <c r="I884" s="252">
        <v>2</v>
      </c>
      <c r="J884" s="252">
        <v>3</v>
      </c>
      <c r="K884" s="252">
        <v>3</v>
      </c>
      <c r="L884" s="253">
        <v>3</v>
      </c>
      <c r="M884" s="254">
        <f t="shared" si="28"/>
        <v>1.123005955058592</v>
      </c>
      <c r="N884" s="255"/>
    </row>
    <row r="885" spans="1:14" hidden="1" x14ac:dyDescent="0.2">
      <c r="A885" s="448" t="s">
        <v>466</v>
      </c>
      <c r="B885" s="436" t="s">
        <v>456</v>
      </c>
      <c r="C885" s="247" t="s">
        <v>48</v>
      </c>
      <c r="D885" s="451" t="s">
        <v>64</v>
      </c>
      <c r="E885" s="477">
        <v>2.2200000000000001E-2</v>
      </c>
      <c r="F885" s="374" t="s">
        <v>478</v>
      </c>
      <c r="G885" s="251" t="s">
        <v>16</v>
      </c>
      <c r="H885" s="252">
        <v>1</v>
      </c>
      <c r="I885" s="252">
        <v>2</v>
      </c>
      <c r="J885" s="252">
        <v>3</v>
      </c>
      <c r="K885" s="252">
        <v>3</v>
      </c>
      <c r="L885" s="253">
        <v>3</v>
      </c>
      <c r="M885" s="254">
        <f t="shared" si="28"/>
        <v>1.123005955058592</v>
      </c>
      <c r="N885" s="255"/>
    </row>
    <row r="886" spans="1:14" hidden="1" x14ac:dyDescent="0.2">
      <c r="A886" s="448" t="s">
        <v>466</v>
      </c>
      <c r="B886" s="436" t="s">
        <v>456</v>
      </c>
      <c r="C886" s="247" t="s">
        <v>50</v>
      </c>
      <c r="D886" s="451" t="s">
        <v>64</v>
      </c>
      <c r="E886" s="477">
        <v>2.5999999999999999E-2</v>
      </c>
      <c r="F886" s="374" t="s">
        <v>478</v>
      </c>
      <c r="G886" s="251" t="s">
        <v>16</v>
      </c>
      <c r="H886" s="252">
        <v>1</v>
      </c>
      <c r="I886" s="252">
        <v>2</v>
      </c>
      <c r="J886" s="252">
        <v>3</v>
      </c>
      <c r="K886" s="252">
        <v>3</v>
      </c>
      <c r="L886" s="253">
        <v>3</v>
      </c>
      <c r="M886" s="254">
        <f t="shared" si="28"/>
        <v>1.123005955058592</v>
      </c>
      <c r="N886" s="255"/>
    </row>
    <row r="887" spans="1:14" hidden="1" x14ac:dyDescent="0.2">
      <c r="A887" s="448" t="s">
        <v>466</v>
      </c>
      <c r="B887" s="436" t="s">
        <v>456</v>
      </c>
      <c r="C887" s="247" t="s">
        <v>52</v>
      </c>
      <c r="D887" s="451" t="s">
        <v>64</v>
      </c>
      <c r="E887" s="477">
        <v>2.9000000000000001E-2</v>
      </c>
      <c r="F887" s="374" t="s">
        <v>478</v>
      </c>
      <c r="G887" s="251" t="s">
        <v>16</v>
      </c>
      <c r="H887" s="252">
        <v>1</v>
      </c>
      <c r="I887" s="252">
        <v>2</v>
      </c>
      <c r="J887" s="252">
        <v>3</v>
      </c>
      <c r="K887" s="252">
        <v>3</v>
      </c>
      <c r="L887" s="253">
        <v>3</v>
      </c>
      <c r="M887" s="254">
        <f t="shared" si="28"/>
        <v>1.123005955058592</v>
      </c>
      <c r="N887" s="255"/>
    </row>
    <row r="888" spans="1:14" hidden="1" x14ac:dyDescent="0.2">
      <c r="A888" s="448" t="s">
        <v>466</v>
      </c>
      <c r="B888" s="436" t="s">
        <v>456</v>
      </c>
      <c r="C888" s="247" t="s">
        <v>54</v>
      </c>
      <c r="D888" s="451" t="s">
        <v>64</v>
      </c>
      <c r="E888" s="477">
        <v>1.18E-2</v>
      </c>
      <c r="F888" s="374" t="s">
        <v>478</v>
      </c>
      <c r="G888" s="251" t="s">
        <v>16</v>
      </c>
      <c r="H888" s="252">
        <v>1</v>
      </c>
      <c r="I888" s="252">
        <v>2</v>
      </c>
      <c r="J888" s="252">
        <v>3</v>
      </c>
      <c r="K888" s="252">
        <v>3</v>
      </c>
      <c r="L888" s="253">
        <v>3</v>
      </c>
      <c r="M888" s="254">
        <f t="shared" si="28"/>
        <v>1.123005955058592</v>
      </c>
      <c r="N888" s="255"/>
    </row>
    <row r="889" spans="1:14" hidden="1" x14ac:dyDescent="0.2">
      <c r="A889" s="448" t="s">
        <v>466</v>
      </c>
      <c r="B889" s="436" t="s">
        <v>456</v>
      </c>
      <c r="C889" s="247" t="s">
        <v>55</v>
      </c>
      <c r="D889" s="451" t="s">
        <v>64</v>
      </c>
      <c r="E889" s="477">
        <v>1.6899999999999998E-2</v>
      </c>
      <c r="F889" s="374" t="s">
        <v>478</v>
      </c>
      <c r="G889" s="251" t="s">
        <v>16</v>
      </c>
      <c r="H889" s="252">
        <v>1</v>
      </c>
      <c r="I889" s="252">
        <v>2</v>
      </c>
      <c r="J889" s="252">
        <v>3</v>
      </c>
      <c r="K889" s="252">
        <v>3</v>
      </c>
      <c r="L889" s="253">
        <v>3</v>
      </c>
      <c r="M889" s="254">
        <f t="shared" si="28"/>
        <v>1.123005955058592</v>
      </c>
      <c r="N889" s="255"/>
    </row>
    <row r="890" spans="1:14" hidden="1" x14ac:dyDescent="0.2">
      <c r="A890" s="448" t="s">
        <v>466</v>
      </c>
      <c r="B890" s="436" t="s">
        <v>456</v>
      </c>
      <c r="C890" s="247" t="s">
        <v>57</v>
      </c>
      <c r="D890" s="451" t="s">
        <v>64</v>
      </c>
      <c r="E890" s="477">
        <v>8.3000000000000001E-3</v>
      </c>
      <c r="F890" s="374" t="s">
        <v>478</v>
      </c>
      <c r="G890" s="251" t="s">
        <v>16</v>
      </c>
      <c r="H890" s="252">
        <v>1</v>
      </c>
      <c r="I890" s="252">
        <v>2</v>
      </c>
      <c r="J890" s="252">
        <v>3</v>
      </c>
      <c r="K890" s="252">
        <v>3</v>
      </c>
      <c r="L890" s="253">
        <v>3</v>
      </c>
      <c r="M890" s="254">
        <f t="shared" si="28"/>
        <v>1.123005955058592</v>
      </c>
      <c r="N890" s="255"/>
    </row>
    <row r="891" spans="1:14" hidden="1" x14ac:dyDescent="0.2">
      <c r="A891" s="448" t="s">
        <v>466</v>
      </c>
      <c r="B891" s="436" t="s">
        <v>456</v>
      </c>
      <c r="C891" s="247" t="s">
        <v>59</v>
      </c>
      <c r="D891" s="451" t="s">
        <v>64</v>
      </c>
      <c r="E891" s="477">
        <v>1.17E-2</v>
      </c>
      <c r="F891" s="374" t="s">
        <v>478</v>
      </c>
      <c r="G891" s="251" t="s">
        <v>16</v>
      </c>
      <c r="H891" s="252">
        <v>1</v>
      </c>
      <c r="I891" s="252">
        <v>2</v>
      </c>
      <c r="J891" s="252">
        <v>3</v>
      </c>
      <c r="K891" s="252">
        <v>3</v>
      </c>
      <c r="L891" s="253">
        <v>3</v>
      </c>
      <c r="M891" s="254">
        <f t="shared" si="28"/>
        <v>1.123005955058592</v>
      </c>
      <c r="N891" s="255"/>
    </row>
    <row r="892" spans="1:14" hidden="1" x14ac:dyDescent="0.2">
      <c r="A892" s="448" t="s">
        <v>466</v>
      </c>
      <c r="B892" s="436" t="s">
        <v>456</v>
      </c>
      <c r="C892" s="247" t="s">
        <v>60</v>
      </c>
      <c r="D892" s="451" t="s">
        <v>64</v>
      </c>
      <c r="E892" s="477">
        <v>1.52E-2</v>
      </c>
      <c r="F892" s="374" t="s">
        <v>478</v>
      </c>
      <c r="G892" s="251" t="s">
        <v>16</v>
      </c>
      <c r="H892" s="252">
        <v>1</v>
      </c>
      <c r="I892" s="252">
        <v>2</v>
      </c>
      <c r="J892" s="252">
        <v>3</v>
      </c>
      <c r="K892" s="252">
        <v>3</v>
      </c>
      <c r="L892" s="253">
        <v>3</v>
      </c>
      <c r="M892" s="254">
        <f t="shared" si="28"/>
        <v>1.123005955058592</v>
      </c>
      <c r="N892" s="255"/>
    </row>
    <row r="893" spans="1:14" x14ac:dyDescent="0.2">
      <c r="A893" s="448" t="s">
        <v>466</v>
      </c>
      <c r="B893" s="436" t="s">
        <v>479</v>
      </c>
      <c r="C893" s="381" t="s">
        <v>135</v>
      </c>
      <c r="D893" s="451" t="s">
        <v>64</v>
      </c>
      <c r="E893" s="478">
        <v>0</v>
      </c>
      <c r="F893" s="250"/>
      <c r="G893" s="251" t="s">
        <v>16</v>
      </c>
      <c r="H893" s="478"/>
      <c r="I893" s="478"/>
      <c r="J893" s="478"/>
      <c r="K893" s="478"/>
      <c r="L893" s="471"/>
      <c r="M893" s="456"/>
      <c r="N893" s="381"/>
    </row>
    <row r="894" spans="1:14" x14ac:dyDescent="0.2">
      <c r="A894" s="448" t="s">
        <v>466</v>
      </c>
      <c r="B894" s="436" t="s">
        <v>480</v>
      </c>
      <c r="C894" s="381" t="s">
        <v>135</v>
      </c>
      <c r="D894" s="451" t="s">
        <v>64</v>
      </c>
      <c r="E894" s="478">
        <v>0</v>
      </c>
      <c r="F894" s="250"/>
      <c r="G894" s="251" t="s">
        <v>16</v>
      </c>
      <c r="H894" s="478"/>
      <c r="I894" s="478"/>
      <c r="J894" s="478"/>
      <c r="K894" s="478"/>
      <c r="L894" s="471"/>
      <c r="M894" s="456"/>
      <c r="N894" s="483"/>
    </row>
    <row r="895" spans="1:14" x14ac:dyDescent="0.2">
      <c r="A895" s="448" t="s">
        <v>466</v>
      </c>
      <c r="B895" s="436" t="s">
        <v>481</v>
      </c>
      <c r="C895" s="381" t="s">
        <v>135</v>
      </c>
      <c r="D895" s="451" t="s">
        <v>64</v>
      </c>
      <c r="E895" s="478">
        <v>0</v>
      </c>
      <c r="F895" s="250"/>
      <c r="G895" s="251" t="s">
        <v>16</v>
      </c>
      <c r="H895" s="478"/>
      <c r="I895" s="478"/>
      <c r="J895" s="478"/>
      <c r="K895" s="478"/>
      <c r="L895" s="471"/>
      <c r="M895" s="456"/>
      <c r="N895" s="381"/>
    </row>
    <row r="896" spans="1:14" x14ac:dyDescent="0.2">
      <c r="A896" s="448" t="s">
        <v>466</v>
      </c>
      <c r="B896" s="436" t="s">
        <v>482</v>
      </c>
      <c r="C896" s="381" t="s">
        <v>135</v>
      </c>
      <c r="D896" s="451" t="s">
        <v>64</v>
      </c>
      <c r="E896" s="478">
        <v>0</v>
      </c>
      <c r="F896" s="250"/>
      <c r="G896" s="251" t="s">
        <v>16</v>
      </c>
      <c r="H896" s="478"/>
      <c r="I896" s="478"/>
      <c r="J896" s="478"/>
      <c r="K896" s="478"/>
      <c r="L896" s="471"/>
      <c r="M896" s="456"/>
      <c r="N896" s="479"/>
    </row>
    <row r="897" spans="1:14" x14ac:dyDescent="0.2">
      <c r="A897" s="465" t="s">
        <v>466</v>
      </c>
      <c r="B897" s="480" t="s">
        <v>387</v>
      </c>
      <c r="C897" s="409" t="s">
        <v>135</v>
      </c>
      <c r="D897" s="487" t="s">
        <v>64</v>
      </c>
      <c r="E897" s="478" t="s">
        <v>188</v>
      </c>
      <c r="F897" s="289"/>
      <c r="G897" s="251" t="s">
        <v>16</v>
      </c>
      <c r="H897" s="473"/>
      <c r="I897" s="473"/>
      <c r="J897" s="473"/>
      <c r="K897" s="473"/>
      <c r="L897" s="474"/>
      <c r="M897" s="475" t="str">
        <f>IF( OR( ISBLANK(H897),ISBLANK(I897), ISBLANK(J897), ISBLANK(K897), ISBLANK(L897) ), "", 1.5*SQRT(   EXP(2.21*(H897-1)) + EXP(2.21*(I897-1)) + EXP(2.21*(J897-1)) + EXP(2.21*(K897-1)) + EXP(2.21*L897)   )/100*2.45 )</f>
        <v/>
      </c>
      <c r="N897" s="381"/>
    </row>
    <row r="898" spans="1:14" hidden="1" x14ac:dyDescent="0.2">
      <c r="A898" s="448" t="s">
        <v>466</v>
      </c>
      <c r="B898" s="436" t="s">
        <v>456</v>
      </c>
      <c r="C898" s="265" t="s">
        <v>13</v>
      </c>
      <c r="D898" s="488" t="s">
        <v>66</v>
      </c>
      <c r="E898" s="476">
        <v>8.8999999999999999E-3</v>
      </c>
      <c r="F898" s="374" t="s">
        <v>478</v>
      </c>
      <c r="G898" s="268" t="s">
        <v>16</v>
      </c>
      <c r="H898" s="269">
        <v>1</v>
      </c>
      <c r="I898" s="269">
        <v>2</v>
      </c>
      <c r="J898" s="269">
        <v>3</v>
      </c>
      <c r="K898" s="269">
        <v>3</v>
      </c>
      <c r="L898" s="270">
        <v>3</v>
      </c>
      <c r="M898" s="271">
        <f t="shared" ref="M898:M927" si="29">IF( OR( ISBLANK(H898),ISBLANK(I898), ISBLANK(J898), ISBLANK(K898), ISBLANK(L898) ), "", 1.5*SQRT( EXP(2.21*(H898-1)) + EXP(2.21*(I898-1)) + EXP(2.21*(J898-1)) + EXP(2.21*(K898-1)) + EXP(2.21*L898) )/100*2.45 )</f>
        <v>1.123005955058592</v>
      </c>
      <c r="N898" s="272"/>
    </row>
    <row r="899" spans="1:14" hidden="1" x14ac:dyDescent="0.2">
      <c r="A899" s="448" t="s">
        <v>466</v>
      </c>
      <c r="B899" s="436" t="s">
        <v>456</v>
      </c>
      <c r="C899" s="247" t="s">
        <v>18</v>
      </c>
      <c r="D899" s="452" t="s">
        <v>66</v>
      </c>
      <c r="E899" s="477">
        <v>2.2599999999999999E-2</v>
      </c>
      <c r="F899" s="374" t="s">
        <v>478</v>
      </c>
      <c r="G899" s="251" t="s">
        <v>16</v>
      </c>
      <c r="H899" s="252">
        <v>1</v>
      </c>
      <c r="I899" s="252">
        <v>2</v>
      </c>
      <c r="J899" s="252">
        <v>3</v>
      </c>
      <c r="K899" s="252">
        <v>3</v>
      </c>
      <c r="L899" s="253">
        <v>3</v>
      </c>
      <c r="M899" s="254">
        <f t="shared" si="29"/>
        <v>1.123005955058592</v>
      </c>
      <c r="N899" s="255"/>
    </row>
    <row r="900" spans="1:14" hidden="1" x14ac:dyDescent="0.2">
      <c r="A900" s="448" t="s">
        <v>466</v>
      </c>
      <c r="B900" s="436" t="s">
        <v>456</v>
      </c>
      <c r="C900" s="247" t="s">
        <v>20</v>
      </c>
      <c r="D900" s="452" t="s">
        <v>66</v>
      </c>
      <c r="E900" s="477">
        <v>2.75E-2</v>
      </c>
      <c r="F900" s="374" t="s">
        <v>478</v>
      </c>
      <c r="G900" s="251" t="s">
        <v>16</v>
      </c>
      <c r="H900" s="252">
        <v>1</v>
      </c>
      <c r="I900" s="252">
        <v>2</v>
      </c>
      <c r="J900" s="252">
        <v>3</v>
      </c>
      <c r="K900" s="252">
        <v>3</v>
      </c>
      <c r="L900" s="253">
        <v>3</v>
      </c>
      <c r="M900" s="254">
        <f t="shared" si="29"/>
        <v>1.123005955058592</v>
      </c>
      <c r="N900" s="255"/>
    </row>
    <row r="901" spans="1:14" hidden="1" x14ac:dyDescent="0.2">
      <c r="A901" s="448" t="s">
        <v>466</v>
      </c>
      <c r="B901" s="436" t="s">
        <v>456</v>
      </c>
      <c r="C901" s="247" t="s">
        <v>22</v>
      </c>
      <c r="D901" s="452" t="s">
        <v>66</v>
      </c>
      <c r="E901" s="477">
        <v>1.83E-2</v>
      </c>
      <c r="F901" s="374" t="s">
        <v>478</v>
      </c>
      <c r="G901" s="251" t="s">
        <v>16</v>
      </c>
      <c r="H901" s="252">
        <v>1</v>
      </c>
      <c r="I901" s="252">
        <v>2</v>
      </c>
      <c r="J901" s="252">
        <v>3</v>
      </c>
      <c r="K901" s="252">
        <v>3</v>
      </c>
      <c r="L901" s="253">
        <v>3</v>
      </c>
      <c r="M901" s="254">
        <f t="shared" si="29"/>
        <v>1.123005955058592</v>
      </c>
      <c r="N901" s="255"/>
    </row>
    <row r="902" spans="1:14" hidden="1" x14ac:dyDescent="0.2">
      <c r="A902" s="448" t="s">
        <v>466</v>
      </c>
      <c r="B902" s="436" t="s">
        <v>456</v>
      </c>
      <c r="C902" s="247" t="s">
        <v>23</v>
      </c>
      <c r="D902" s="452" t="s">
        <v>66</v>
      </c>
      <c r="E902" s="477">
        <v>1.8499999999999999E-2</v>
      </c>
      <c r="F902" s="374" t="s">
        <v>478</v>
      </c>
      <c r="G902" s="251" t="s">
        <v>16</v>
      </c>
      <c r="H902" s="252">
        <v>1</v>
      </c>
      <c r="I902" s="252">
        <v>2</v>
      </c>
      <c r="J902" s="252">
        <v>3</v>
      </c>
      <c r="K902" s="252">
        <v>3</v>
      </c>
      <c r="L902" s="253">
        <v>3</v>
      </c>
      <c r="M902" s="254">
        <f t="shared" si="29"/>
        <v>1.123005955058592</v>
      </c>
      <c r="N902" s="255"/>
    </row>
    <row r="903" spans="1:14" hidden="1" x14ac:dyDescent="0.2">
      <c r="A903" s="448" t="s">
        <v>466</v>
      </c>
      <c r="B903" s="436" t="s">
        <v>456</v>
      </c>
      <c r="C903" s="247" t="s">
        <v>24</v>
      </c>
      <c r="D903" s="452" t="s">
        <v>66</v>
      </c>
      <c r="E903" s="477">
        <v>1.95E-2</v>
      </c>
      <c r="F903" s="374" t="s">
        <v>478</v>
      </c>
      <c r="G903" s="251" t="s">
        <v>16</v>
      </c>
      <c r="H903" s="252">
        <v>1</v>
      </c>
      <c r="I903" s="252">
        <v>2</v>
      </c>
      <c r="J903" s="252">
        <v>3</v>
      </c>
      <c r="K903" s="252">
        <v>3</v>
      </c>
      <c r="L903" s="253">
        <v>3</v>
      </c>
      <c r="M903" s="254">
        <f t="shared" si="29"/>
        <v>1.123005955058592</v>
      </c>
      <c r="N903" s="255"/>
    </row>
    <row r="904" spans="1:14" hidden="1" x14ac:dyDescent="0.2">
      <c r="A904" s="448" t="s">
        <v>466</v>
      </c>
      <c r="B904" s="436" t="s">
        <v>456</v>
      </c>
      <c r="C904" s="247" t="s">
        <v>25</v>
      </c>
      <c r="D904" s="452" t="s">
        <v>66</v>
      </c>
      <c r="E904" s="477">
        <v>1.18E-2</v>
      </c>
      <c r="F904" s="374" t="s">
        <v>478</v>
      </c>
      <c r="G904" s="251" t="s">
        <v>16</v>
      </c>
      <c r="H904" s="252">
        <v>1</v>
      </c>
      <c r="I904" s="252">
        <v>2</v>
      </c>
      <c r="J904" s="252">
        <v>3</v>
      </c>
      <c r="K904" s="252">
        <v>3</v>
      </c>
      <c r="L904" s="253">
        <v>3</v>
      </c>
      <c r="M904" s="254">
        <f t="shared" si="29"/>
        <v>1.123005955058592</v>
      </c>
      <c r="N904" s="255"/>
    </row>
    <row r="905" spans="1:14" hidden="1" x14ac:dyDescent="0.2">
      <c r="A905" s="448" t="s">
        <v>466</v>
      </c>
      <c r="B905" s="436" t="s">
        <v>456</v>
      </c>
      <c r="C905" s="247" t="s">
        <v>26</v>
      </c>
      <c r="D905" s="452" t="s">
        <v>66</v>
      </c>
      <c r="E905" s="477">
        <v>9.7999999999999997E-3</v>
      </c>
      <c r="F905" s="374" t="s">
        <v>478</v>
      </c>
      <c r="G905" s="251" t="s">
        <v>16</v>
      </c>
      <c r="H905" s="252">
        <v>1</v>
      </c>
      <c r="I905" s="252">
        <v>2</v>
      </c>
      <c r="J905" s="252">
        <v>3</v>
      </c>
      <c r="K905" s="252">
        <v>3</v>
      </c>
      <c r="L905" s="253">
        <v>3</v>
      </c>
      <c r="M905" s="254">
        <f t="shared" si="29"/>
        <v>1.123005955058592</v>
      </c>
      <c r="N905" s="255"/>
    </row>
    <row r="906" spans="1:14" hidden="1" x14ac:dyDescent="0.2">
      <c r="A906" s="448" t="s">
        <v>466</v>
      </c>
      <c r="B906" s="436" t="s">
        <v>456</v>
      </c>
      <c r="C906" s="247" t="s">
        <v>27</v>
      </c>
      <c r="D906" s="452" t="s">
        <v>66</v>
      </c>
      <c r="E906" s="477">
        <v>9.1000000000000004E-3</v>
      </c>
      <c r="F906" s="374" t="s">
        <v>478</v>
      </c>
      <c r="G906" s="251" t="s">
        <v>16</v>
      </c>
      <c r="H906" s="252">
        <v>1</v>
      </c>
      <c r="I906" s="252">
        <v>2</v>
      </c>
      <c r="J906" s="252">
        <v>3</v>
      </c>
      <c r="K906" s="252">
        <v>3</v>
      </c>
      <c r="L906" s="253">
        <v>3</v>
      </c>
      <c r="M906" s="254">
        <f t="shared" si="29"/>
        <v>1.123005955058592</v>
      </c>
      <c r="N906" s="255"/>
    </row>
    <row r="907" spans="1:14" hidden="1" x14ac:dyDescent="0.2">
      <c r="A907" s="448" t="s">
        <v>466</v>
      </c>
      <c r="B907" s="436" t="s">
        <v>456</v>
      </c>
      <c r="C907" s="247" t="s">
        <v>28</v>
      </c>
      <c r="D907" s="452" t="s">
        <v>66</v>
      </c>
      <c r="E907" s="477">
        <v>1.95E-2</v>
      </c>
      <c r="F907" s="374" t="s">
        <v>478</v>
      </c>
      <c r="G907" s="251" t="s">
        <v>16</v>
      </c>
      <c r="H907" s="252">
        <v>1</v>
      </c>
      <c r="I907" s="252">
        <v>2</v>
      </c>
      <c r="J907" s="252">
        <v>3</v>
      </c>
      <c r="K907" s="252">
        <v>3</v>
      </c>
      <c r="L907" s="253">
        <v>3</v>
      </c>
      <c r="M907" s="254">
        <f t="shared" si="29"/>
        <v>1.123005955058592</v>
      </c>
      <c r="N907" s="255"/>
    </row>
    <row r="908" spans="1:14" hidden="1" x14ac:dyDescent="0.2">
      <c r="A908" s="448" t="s">
        <v>466</v>
      </c>
      <c r="B908" s="436" t="s">
        <v>456</v>
      </c>
      <c r="C908" s="247" t="s">
        <v>30</v>
      </c>
      <c r="D908" s="452" t="s">
        <v>66</v>
      </c>
      <c r="E908" s="477">
        <v>1.17E-2</v>
      </c>
      <c r="F908" s="374" t="s">
        <v>478</v>
      </c>
      <c r="G908" s="251" t="s">
        <v>16</v>
      </c>
      <c r="H908" s="252">
        <v>1</v>
      </c>
      <c r="I908" s="252">
        <v>2</v>
      </c>
      <c r="J908" s="252">
        <v>3</v>
      </c>
      <c r="K908" s="252">
        <v>3</v>
      </c>
      <c r="L908" s="253">
        <v>3</v>
      </c>
      <c r="M908" s="254">
        <f t="shared" si="29"/>
        <v>1.123005955058592</v>
      </c>
      <c r="N908" s="255"/>
    </row>
    <row r="909" spans="1:14" hidden="1" x14ac:dyDescent="0.2">
      <c r="A909" s="448" t="s">
        <v>466</v>
      </c>
      <c r="B909" s="436" t="s">
        <v>456</v>
      </c>
      <c r="C909" s="247" t="s">
        <v>32</v>
      </c>
      <c r="D909" s="452" t="s">
        <v>66</v>
      </c>
      <c r="E909" s="477">
        <v>3.6900000000000002E-2</v>
      </c>
      <c r="F909" s="374" t="s">
        <v>478</v>
      </c>
      <c r="G909" s="251" t="s">
        <v>16</v>
      </c>
      <c r="H909" s="252">
        <v>1</v>
      </c>
      <c r="I909" s="252">
        <v>2</v>
      </c>
      <c r="J909" s="252">
        <v>3</v>
      </c>
      <c r="K909" s="252">
        <v>3</v>
      </c>
      <c r="L909" s="253">
        <v>3</v>
      </c>
      <c r="M909" s="254">
        <f t="shared" si="29"/>
        <v>1.123005955058592</v>
      </c>
      <c r="N909" s="255"/>
    </row>
    <row r="910" spans="1:14" hidden="1" x14ac:dyDescent="0.2">
      <c r="A910" s="448" t="s">
        <v>466</v>
      </c>
      <c r="B910" s="436" t="s">
        <v>456</v>
      </c>
      <c r="C910" s="247" t="s">
        <v>34</v>
      </c>
      <c r="D910" s="452" t="s">
        <v>66</v>
      </c>
      <c r="E910" s="477">
        <v>1.8599999999999998E-2</v>
      </c>
      <c r="F910" s="374" t="s">
        <v>478</v>
      </c>
      <c r="G910" s="251" t="s">
        <v>16</v>
      </c>
      <c r="H910" s="252">
        <v>1</v>
      </c>
      <c r="I910" s="252">
        <v>2</v>
      </c>
      <c r="J910" s="252">
        <v>3</v>
      </c>
      <c r="K910" s="252">
        <v>3</v>
      </c>
      <c r="L910" s="253">
        <v>3</v>
      </c>
      <c r="M910" s="254">
        <f t="shared" si="29"/>
        <v>1.123005955058592</v>
      </c>
      <c r="N910" s="255"/>
    </row>
    <row r="911" spans="1:14" hidden="1" x14ac:dyDescent="0.2">
      <c r="A911" s="448" t="s">
        <v>466</v>
      </c>
      <c r="B911" s="436" t="s">
        <v>456</v>
      </c>
      <c r="C911" s="247" t="s">
        <v>36</v>
      </c>
      <c r="D911" s="452" t="s">
        <v>66</v>
      </c>
      <c r="E911" s="477">
        <v>1.09E-2</v>
      </c>
      <c r="F911" s="374" t="s">
        <v>478</v>
      </c>
      <c r="G911" s="251" t="s">
        <v>16</v>
      </c>
      <c r="H911" s="252">
        <v>1</v>
      </c>
      <c r="I911" s="252">
        <v>2</v>
      </c>
      <c r="J911" s="252">
        <v>3</v>
      </c>
      <c r="K911" s="252">
        <v>3</v>
      </c>
      <c r="L911" s="253">
        <v>3</v>
      </c>
      <c r="M911" s="254">
        <f t="shared" si="29"/>
        <v>1.123005955058592</v>
      </c>
      <c r="N911" s="255"/>
    </row>
    <row r="912" spans="1:14" hidden="1" x14ac:dyDescent="0.2">
      <c r="A912" s="448" t="s">
        <v>466</v>
      </c>
      <c r="B912" s="436" t="s">
        <v>456</v>
      </c>
      <c r="C912" s="247" t="s">
        <v>37</v>
      </c>
      <c r="D912" s="452" t="s">
        <v>66</v>
      </c>
      <c r="E912" s="477">
        <v>2.7199999999999998E-2</v>
      </c>
      <c r="F912" s="374" t="s">
        <v>478</v>
      </c>
      <c r="G912" s="251" t="s">
        <v>16</v>
      </c>
      <c r="H912" s="252">
        <v>1</v>
      </c>
      <c r="I912" s="252">
        <v>2</v>
      </c>
      <c r="J912" s="252">
        <v>3</v>
      </c>
      <c r="K912" s="252">
        <v>3</v>
      </c>
      <c r="L912" s="253">
        <v>3</v>
      </c>
      <c r="M912" s="254">
        <f t="shared" si="29"/>
        <v>1.123005955058592</v>
      </c>
      <c r="N912" s="255"/>
    </row>
    <row r="913" spans="1:14" hidden="1" x14ac:dyDescent="0.2">
      <c r="A913" s="448" t="s">
        <v>466</v>
      </c>
      <c r="B913" s="436" t="s">
        <v>456</v>
      </c>
      <c r="C913" s="247" t="s">
        <v>39</v>
      </c>
      <c r="D913" s="452" t="s">
        <v>66</v>
      </c>
      <c r="E913" s="477">
        <v>1.24E-2</v>
      </c>
      <c r="F913" s="374" t="s">
        <v>478</v>
      </c>
      <c r="G913" s="251" t="s">
        <v>16</v>
      </c>
      <c r="H913" s="252">
        <v>1</v>
      </c>
      <c r="I913" s="252">
        <v>2</v>
      </c>
      <c r="J913" s="252">
        <v>3</v>
      </c>
      <c r="K913" s="252">
        <v>3</v>
      </c>
      <c r="L913" s="253">
        <v>3</v>
      </c>
      <c r="M913" s="254">
        <f t="shared" si="29"/>
        <v>1.123005955058592</v>
      </c>
      <c r="N913" s="255"/>
    </row>
    <row r="914" spans="1:14" hidden="1" x14ac:dyDescent="0.2">
      <c r="A914" s="448" t="s">
        <v>466</v>
      </c>
      <c r="B914" s="436" t="s">
        <v>456</v>
      </c>
      <c r="C914" s="247" t="s">
        <v>40</v>
      </c>
      <c r="D914" s="452" t="s">
        <v>66</v>
      </c>
      <c r="E914" s="477">
        <v>1.2699999999999999E-2</v>
      </c>
      <c r="F914" s="374" t="s">
        <v>478</v>
      </c>
      <c r="G914" s="251" t="s">
        <v>16</v>
      </c>
      <c r="H914" s="252">
        <v>1</v>
      </c>
      <c r="I914" s="252">
        <v>2</v>
      </c>
      <c r="J914" s="252">
        <v>3</v>
      </c>
      <c r="K914" s="252">
        <v>3</v>
      </c>
      <c r="L914" s="253">
        <v>3</v>
      </c>
      <c r="M914" s="254">
        <f t="shared" si="29"/>
        <v>1.123005955058592</v>
      </c>
      <c r="N914" s="255"/>
    </row>
    <row r="915" spans="1:14" hidden="1" x14ac:dyDescent="0.2">
      <c r="A915" s="448" t="s">
        <v>466</v>
      </c>
      <c r="B915" s="436" t="s">
        <v>456</v>
      </c>
      <c r="C915" s="247" t="s">
        <v>41</v>
      </c>
      <c r="D915" s="452" t="s">
        <v>66</v>
      </c>
      <c r="E915" s="477">
        <v>1.5800000000000002E-2</v>
      </c>
      <c r="F915" s="374" t="s">
        <v>478</v>
      </c>
      <c r="G915" s="251" t="s">
        <v>16</v>
      </c>
      <c r="H915" s="252">
        <v>1</v>
      </c>
      <c r="I915" s="252">
        <v>2</v>
      </c>
      <c r="J915" s="252">
        <v>3</v>
      </c>
      <c r="K915" s="252">
        <v>3</v>
      </c>
      <c r="L915" s="253">
        <v>3</v>
      </c>
      <c r="M915" s="254">
        <f t="shared" si="29"/>
        <v>1.123005955058592</v>
      </c>
      <c r="N915" s="255"/>
    </row>
    <row r="916" spans="1:14" hidden="1" x14ac:dyDescent="0.2">
      <c r="A916" s="448" t="s">
        <v>466</v>
      </c>
      <c r="B916" s="436" t="s">
        <v>456</v>
      </c>
      <c r="C916" s="247" t="s">
        <v>42</v>
      </c>
      <c r="D916" s="452" t="s">
        <v>66</v>
      </c>
      <c r="E916" s="477">
        <v>7.9000000000000008E-3</v>
      </c>
      <c r="F916" s="374" t="s">
        <v>478</v>
      </c>
      <c r="G916" s="251" t="s">
        <v>16</v>
      </c>
      <c r="H916" s="252">
        <v>1</v>
      </c>
      <c r="I916" s="252">
        <v>2</v>
      </c>
      <c r="J916" s="252">
        <v>3</v>
      </c>
      <c r="K916" s="252">
        <v>3</v>
      </c>
      <c r="L916" s="253">
        <v>3</v>
      </c>
      <c r="M916" s="254">
        <f t="shared" si="29"/>
        <v>1.123005955058592</v>
      </c>
      <c r="N916" s="255"/>
    </row>
    <row r="917" spans="1:14" hidden="1" x14ac:dyDescent="0.2">
      <c r="A917" s="448" t="s">
        <v>466</v>
      </c>
      <c r="B917" s="436" t="s">
        <v>456</v>
      </c>
      <c r="C917" s="247" t="s">
        <v>43</v>
      </c>
      <c r="D917" s="452" t="s">
        <v>66</v>
      </c>
      <c r="E917" s="477">
        <v>1.4500000000000001E-2</v>
      </c>
      <c r="F917" s="374" t="s">
        <v>478</v>
      </c>
      <c r="G917" s="251" t="s">
        <v>16</v>
      </c>
      <c r="H917" s="252">
        <v>1</v>
      </c>
      <c r="I917" s="252">
        <v>2</v>
      </c>
      <c r="J917" s="252">
        <v>3</v>
      </c>
      <c r="K917" s="252">
        <v>3</v>
      </c>
      <c r="L917" s="253">
        <v>3</v>
      </c>
      <c r="M917" s="254">
        <f t="shared" si="29"/>
        <v>1.123005955058592</v>
      </c>
      <c r="N917" s="255"/>
    </row>
    <row r="918" spans="1:14" x14ac:dyDescent="0.2">
      <c r="A918" s="448" t="s">
        <v>466</v>
      </c>
      <c r="B918" s="436" t="s">
        <v>456</v>
      </c>
      <c r="C918" s="247" t="s">
        <v>45</v>
      </c>
      <c r="D918" s="452" t="s">
        <v>66</v>
      </c>
      <c r="E918" s="477">
        <v>8.3000000000000001E-3</v>
      </c>
      <c r="F918" s="374" t="s">
        <v>478</v>
      </c>
      <c r="G918" s="251" t="s">
        <v>16</v>
      </c>
      <c r="H918" s="252">
        <v>1</v>
      </c>
      <c r="I918" s="252">
        <v>2</v>
      </c>
      <c r="J918" s="252">
        <v>3</v>
      </c>
      <c r="K918" s="252">
        <v>3</v>
      </c>
      <c r="L918" s="253">
        <v>3</v>
      </c>
      <c r="M918" s="254">
        <f t="shared" si="29"/>
        <v>1.123005955058592</v>
      </c>
      <c r="N918" s="255"/>
    </row>
    <row r="919" spans="1:14" hidden="1" x14ac:dyDescent="0.2">
      <c r="A919" s="448" t="s">
        <v>466</v>
      </c>
      <c r="B919" s="436" t="s">
        <v>456</v>
      </c>
      <c r="C919" s="247" t="s">
        <v>46</v>
      </c>
      <c r="D919" s="452" t="s">
        <v>66</v>
      </c>
      <c r="E919" s="477">
        <v>2.5899999999999999E-2</v>
      </c>
      <c r="F919" s="374" t="s">
        <v>478</v>
      </c>
      <c r="G919" s="251" t="s">
        <v>16</v>
      </c>
      <c r="H919" s="252">
        <v>1</v>
      </c>
      <c r="I919" s="252">
        <v>2</v>
      </c>
      <c r="J919" s="252">
        <v>3</v>
      </c>
      <c r="K919" s="252">
        <v>3</v>
      </c>
      <c r="L919" s="253">
        <v>3</v>
      </c>
      <c r="M919" s="254">
        <f t="shared" si="29"/>
        <v>1.123005955058592</v>
      </c>
      <c r="N919" s="255"/>
    </row>
    <row r="920" spans="1:14" hidden="1" x14ac:dyDescent="0.2">
      <c r="A920" s="448" t="s">
        <v>466</v>
      </c>
      <c r="B920" s="436" t="s">
        <v>456</v>
      </c>
      <c r="C920" s="247" t="s">
        <v>48</v>
      </c>
      <c r="D920" s="452" t="s">
        <v>66</v>
      </c>
      <c r="E920" s="477">
        <v>2.2200000000000001E-2</v>
      </c>
      <c r="F920" s="374" t="s">
        <v>478</v>
      </c>
      <c r="G920" s="251" t="s">
        <v>16</v>
      </c>
      <c r="H920" s="252">
        <v>1</v>
      </c>
      <c r="I920" s="252">
        <v>2</v>
      </c>
      <c r="J920" s="252">
        <v>3</v>
      </c>
      <c r="K920" s="252">
        <v>3</v>
      </c>
      <c r="L920" s="253">
        <v>3</v>
      </c>
      <c r="M920" s="254">
        <f t="shared" si="29"/>
        <v>1.123005955058592</v>
      </c>
      <c r="N920" s="255"/>
    </row>
    <row r="921" spans="1:14" hidden="1" x14ac:dyDescent="0.2">
      <c r="A921" s="448" t="s">
        <v>466</v>
      </c>
      <c r="B921" s="436" t="s">
        <v>456</v>
      </c>
      <c r="C921" s="247" t="s">
        <v>50</v>
      </c>
      <c r="D921" s="452" t="s">
        <v>66</v>
      </c>
      <c r="E921" s="477">
        <v>2.5999999999999999E-2</v>
      </c>
      <c r="F921" s="374" t="s">
        <v>478</v>
      </c>
      <c r="G921" s="251" t="s">
        <v>16</v>
      </c>
      <c r="H921" s="252">
        <v>1</v>
      </c>
      <c r="I921" s="252">
        <v>2</v>
      </c>
      <c r="J921" s="252">
        <v>3</v>
      </c>
      <c r="K921" s="252">
        <v>3</v>
      </c>
      <c r="L921" s="253">
        <v>3</v>
      </c>
      <c r="M921" s="254">
        <f t="shared" si="29"/>
        <v>1.123005955058592</v>
      </c>
      <c r="N921" s="255"/>
    </row>
    <row r="922" spans="1:14" hidden="1" x14ac:dyDescent="0.2">
      <c r="A922" s="448" t="s">
        <v>466</v>
      </c>
      <c r="B922" s="436" t="s">
        <v>456</v>
      </c>
      <c r="C922" s="247" t="s">
        <v>52</v>
      </c>
      <c r="D922" s="452" t="s">
        <v>66</v>
      </c>
      <c r="E922" s="477">
        <v>2.9000000000000001E-2</v>
      </c>
      <c r="F922" s="374" t="s">
        <v>478</v>
      </c>
      <c r="G922" s="251" t="s">
        <v>16</v>
      </c>
      <c r="H922" s="252">
        <v>1</v>
      </c>
      <c r="I922" s="252">
        <v>2</v>
      </c>
      <c r="J922" s="252">
        <v>3</v>
      </c>
      <c r="K922" s="252">
        <v>3</v>
      </c>
      <c r="L922" s="253">
        <v>3</v>
      </c>
      <c r="M922" s="254">
        <f t="shared" si="29"/>
        <v>1.123005955058592</v>
      </c>
      <c r="N922" s="255"/>
    </row>
    <row r="923" spans="1:14" hidden="1" x14ac:dyDescent="0.2">
      <c r="A923" s="448" t="s">
        <v>466</v>
      </c>
      <c r="B923" s="436" t="s">
        <v>456</v>
      </c>
      <c r="C923" s="247" t="s">
        <v>54</v>
      </c>
      <c r="D923" s="452" t="s">
        <v>66</v>
      </c>
      <c r="E923" s="477">
        <v>1.18E-2</v>
      </c>
      <c r="F923" s="374" t="s">
        <v>478</v>
      </c>
      <c r="G923" s="251" t="s">
        <v>16</v>
      </c>
      <c r="H923" s="252">
        <v>1</v>
      </c>
      <c r="I923" s="252">
        <v>2</v>
      </c>
      <c r="J923" s="252">
        <v>3</v>
      </c>
      <c r="K923" s="252">
        <v>3</v>
      </c>
      <c r="L923" s="253">
        <v>3</v>
      </c>
      <c r="M923" s="254">
        <f t="shared" si="29"/>
        <v>1.123005955058592</v>
      </c>
      <c r="N923" s="255"/>
    </row>
    <row r="924" spans="1:14" hidden="1" x14ac:dyDescent="0.2">
      <c r="A924" s="448" t="s">
        <v>466</v>
      </c>
      <c r="B924" s="436" t="s">
        <v>456</v>
      </c>
      <c r="C924" s="247" t="s">
        <v>55</v>
      </c>
      <c r="D924" s="452" t="s">
        <v>66</v>
      </c>
      <c r="E924" s="477">
        <v>1.6899999999999998E-2</v>
      </c>
      <c r="F924" s="374" t="s">
        <v>478</v>
      </c>
      <c r="G924" s="251" t="s">
        <v>16</v>
      </c>
      <c r="H924" s="252">
        <v>1</v>
      </c>
      <c r="I924" s="252">
        <v>2</v>
      </c>
      <c r="J924" s="252">
        <v>3</v>
      </c>
      <c r="K924" s="252">
        <v>3</v>
      </c>
      <c r="L924" s="253">
        <v>3</v>
      </c>
      <c r="M924" s="254">
        <f t="shared" si="29"/>
        <v>1.123005955058592</v>
      </c>
      <c r="N924" s="255"/>
    </row>
    <row r="925" spans="1:14" hidden="1" x14ac:dyDescent="0.2">
      <c r="A925" s="448" t="s">
        <v>466</v>
      </c>
      <c r="B925" s="436" t="s">
        <v>456</v>
      </c>
      <c r="C925" s="247" t="s">
        <v>57</v>
      </c>
      <c r="D925" s="452" t="s">
        <v>66</v>
      </c>
      <c r="E925" s="477">
        <v>8.3000000000000001E-3</v>
      </c>
      <c r="F925" s="374" t="s">
        <v>478</v>
      </c>
      <c r="G925" s="251" t="s">
        <v>16</v>
      </c>
      <c r="H925" s="252">
        <v>1</v>
      </c>
      <c r="I925" s="252">
        <v>2</v>
      </c>
      <c r="J925" s="252">
        <v>3</v>
      </c>
      <c r="K925" s="252">
        <v>3</v>
      </c>
      <c r="L925" s="253">
        <v>3</v>
      </c>
      <c r="M925" s="254">
        <f t="shared" si="29"/>
        <v>1.123005955058592</v>
      </c>
      <c r="N925" s="255"/>
    </row>
    <row r="926" spans="1:14" hidden="1" x14ac:dyDescent="0.2">
      <c r="A926" s="448" t="s">
        <v>466</v>
      </c>
      <c r="B926" s="436" t="s">
        <v>456</v>
      </c>
      <c r="C926" s="247" t="s">
        <v>59</v>
      </c>
      <c r="D926" s="452" t="s">
        <v>66</v>
      </c>
      <c r="E926" s="477">
        <v>1.17E-2</v>
      </c>
      <c r="F926" s="374" t="s">
        <v>478</v>
      </c>
      <c r="G926" s="251" t="s">
        <v>16</v>
      </c>
      <c r="H926" s="252">
        <v>1</v>
      </c>
      <c r="I926" s="252">
        <v>2</v>
      </c>
      <c r="J926" s="252">
        <v>3</v>
      </c>
      <c r="K926" s="252">
        <v>3</v>
      </c>
      <c r="L926" s="253">
        <v>3</v>
      </c>
      <c r="M926" s="254">
        <f t="shared" si="29"/>
        <v>1.123005955058592</v>
      </c>
      <c r="N926" s="255"/>
    </row>
    <row r="927" spans="1:14" hidden="1" x14ac:dyDescent="0.2">
      <c r="A927" s="448" t="s">
        <v>466</v>
      </c>
      <c r="B927" s="436" t="s">
        <v>456</v>
      </c>
      <c r="C927" s="247" t="s">
        <v>60</v>
      </c>
      <c r="D927" s="452" t="s">
        <v>66</v>
      </c>
      <c r="E927" s="477">
        <v>1.52E-2</v>
      </c>
      <c r="F927" s="374" t="s">
        <v>478</v>
      </c>
      <c r="G927" s="251" t="s">
        <v>16</v>
      </c>
      <c r="H927" s="252">
        <v>1</v>
      </c>
      <c r="I927" s="252">
        <v>2</v>
      </c>
      <c r="J927" s="252">
        <v>3</v>
      </c>
      <c r="K927" s="252">
        <v>3</v>
      </c>
      <c r="L927" s="253">
        <v>3</v>
      </c>
      <c r="M927" s="254">
        <f t="shared" si="29"/>
        <v>1.123005955058592</v>
      </c>
      <c r="N927" s="255"/>
    </row>
    <row r="928" spans="1:14" x14ac:dyDescent="0.2">
      <c r="A928" s="448" t="s">
        <v>466</v>
      </c>
      <c r="B928" s="436" t="s">
        <v>479</v>
      </c>
      <c r="C928" s="381" t="s">
        <v>135</v>
      </c>
      <c r="D928" s="452" t="s">
        <v>66</v>
      </c>
      <c r="E928" s="478">
        <v>0</v>
      </c>
      <c r="F928" s="250"/>
      <c r="G928" s="251" t="s">
        <v>16</v>
      </c>
      <c r="H928" s="478"/>
      <c r="I928" s="478"/>
      <c r="J928" s="478"/>
      <c r="K928" s="478"/>
      <c r="L928" s="471"/>
      <c r="M928" s="456"/>
      <c r="N928" s="381"/>
    </row>
    <row r="929" spans="1:14" x14ac:dyDescent="0.2">
      <c r="A929" s="448" t="s">
        <v>466</v>
      </c>
      <c r="B929" s="436" t="s">
        <v>480</v>
      </c>
      <c r="C929" s="381" t="s">
        <v>135</v>
      </c>
      <c r="D929" s="452" t="s">
        <v>66</v>
      </c>
      <c r="E929" s="478">
        <v>0</v>
      </c>
      <c r="F929" s="250"/>
      <c r="G929" s="251" t="s">
        <v>16</v>
      </c>
      <c r="H929" s="478"/>
      <c r="I929" s="478"/>
      <c r="J929" s="478"/>
      <c r="K929" s="478"/>
      <c r="L929" s="471"/>
      <c r="M929" s="456"/>
      <c r="N929" s="381"/>
    </row>
    <row r="930" spans="1:14" x14ac:dyDescent="0.2">
      <c r="A930" s="448" t="s">
        <v>466</v>
      </c>
      <c r="B930" s="436" t="s">
        <v>481</v>
      </c>
      <c r="C930" s="381" t="s">
        <v>135</v>
      </c>
      <c r="D930" s="452" t="s">
        <v>66</v>
      </c>
      <c r="E930" s="478">
        <v>0</v>
      </c>
      <c r="F930" s="250"/>
      <c r="G930" s="251" t="s">
        <v>16</v>
      </c>
      <c r="H930" s="478"/>
      <c r="I930" s="478"/>
      <c r="J930" s="478"/>
      <c r="K930" s="478"/>
      <c r="L930" s="471"/>
      <c r="M930" s="456"/>
      <c r="N930" s="381"/>
    </row>
    <row r="931" spans="1:14" x14ac:dyDescent="0.2">
      <c r="A931" s="448" t="s">
        <v>466</v>
      </c>
      <c r="B931" s="436" t="s">
        <v>482</v>
      </c>
      <c r="C931" s="381" t="s">
        <v>135</v>
      </c>
      <c r="D931" s="452" t="s">
        <v>66</v>
      </c>
      <c r="E931" s="478">
        <v>0</v>
      </c>
      <c r="F931" s="250"/>
      <c r="G931" s="251" t="s">
        <v>16</v>
      </c>
      <c r="H931" s="478"/>
      <c r="I931" s="478"/>
      <c r="J931" s="478"/>
      <c r="K931" s="478"/>
      <c r="L931" s="471"/>
      <c r="M931" s="456"/>
      <c r="N931" s="479"/>
    </row>
    <row r="932" spans="1:14" x14ac:dyDescent="0.2">
      <c r="A932" s="465" t="s">
        <v>466</v>
      </c>
      <c r="B932" s="480" t="s">
        <v>387</v>
      </c>
      <c r="C932" s="409" t="s">
        <v>135</v>
      </c>
      <c r="D932" s="489" t="s">
        <v>66</v>
      </c>
      <c r="E932" s="478" t="s">
        <v>188</v>
      </c>
      <c r="F932" s="289"/>
      <c r="G932" s="251" t="s">
        <v>16</v>
      </c>
      <c r="H932" s="473"/>
      <c r="I932" s="473"/>
      <c r="J932" s="473"/>
      <c r="K932" s="473"/>
      <c r="L932" s="474"/>
      <c r="M932" s="475" t="str">
        <f>IF( OR( ISBLANK(H932),ISBLANK(I932), ISBLANK(J932), ISBLANK(K932), ISBLANK(L932) ), "", 1.5*SQRT(   EXP(2.21*(H932-1)) + EXP(2.21*(I932-1)) + EXP(2.21*(J932-1)) + EXP(2.21*(K932-1)) + EXP(2.21*L932)   )/100*2.45 )</f>
        <v/>
      </c>
      <c r="N932" s="381"/>
    </row>
    <row r="933" spans="1:14" hidden="1" x14ac:dyDescent="0.2">
      <c r="A933" s="445" t="s">
        <v>466</v>
      </c>
      <c r="B933" s="490" t="s">
        <v>456</v>
      </c>
      <c r="C933" s="265" t="s">
        <v>13</v>
      </c>
      <c r="D933" s="491" t="s">
        <v>94</v>
      </c>
      <c r="E933" s="718">
        <v>3.7379999999999998E-4</v>
      </c>
      <c r="F933" s="374" t="s">
        <v>483</v>
      </c>
      <c r="G933" s="390" t="s">
        <v>16</v>
      </c>
      <c r="H933" s="269">
        <v>1</v>
      </c>
      <c r="I933" s="269">
        <v>2</v>
      </c>
      <c r="J933" s="269">
        <v>3</v>
      </c>
      <c r="K933" s="269">
        <v>3</v>
      </c>
      <c r="L933" s="270">
        <v>3</v>
      </c>
      <c r="M933" s="271">
        <f t="shared" ref="M933:M963" si="30">IF( OR( ISBLANK(H933),ISBLANK(I933), ISBLANK(J933), ISBLANK(K933), ISBLANK(L933) ), "", 1.5*SQRT( EXP(2.21*(H933-1)) + EXP(2.21*(I933-1)) + EXP(2.21*(J933-1)) + EXP(2.21*(K933-1)) + EXP(2.21*L933) )/100*2.45 )</f>
        <v>1.123005955058592</v>
      </c>
      <c r="N933" s="483" t="s">
        <v>484</v>
      </c>
    </row>
    <row r="934" spans="1:14" hidden="1" x14ac:dyDescent="0.2">
      <c r="A934" s="448" t="s">
        <v>466</v>
      </c>
      <c r="B934" s="436" t="s">
        <v>456</v>
      </c>
      <c r="C934" s="247" t="s">
        <v>18</v>
      </c>
      <c r="D934" s="453" t="s">
        <v>94</v>
      </c>
      <c r="E934" s="719">
        <v>2.6156402865078199E-3</v>
      </c>
      <c r="F934" s="374" t="s">
        <v>483</v>
      </c>
      <c r="G934" s="251" t="s">
        <v>16</v>
      </c>
      <c r="H934" s="381">
        <v>1</v>
      </c>
      <c r="I934" s="381">
        <v>2</v>
      </c>
      <c r="J934" s="381">
        <v>3</v>
      </c>
      <c r="K934" s="381">
        <v>3</v>
      </c>
      <c r="L934" s="253">
        <v>3</v>
      </c>
      <c r="M934" s="254">
        <f t="shared" si="30"/>
        <v>1.123005955058592</v>
      </c>
      <c r="N934" s="479" t="s">
        <v>484</v>
      </c>
    </row>
    <row r="935" spans="1:14" hidden="1" x14ac:dyDescent="0.2">
      <c r="A935" s="448" t="s">
        <v>466</v>
      </c>
      <c r="B935" s="436" t="s">
        <v>456</v>
      </c>
      <c r="C935" s="247" t="s">
        <v>20</v>
      </c>
      <c r="D935" s="453" t="s">
        <v>94</v>
      </c>
      <c r="E935" s="719">
        <v>6.2248376144080305E-4</v>
      </c>
      <c r="F935" s="374" t="s">
        <v>483</v>
      </c>
      <c r="G935" s="251" t="s">
        <v>16</v>
      </c>
      <c r="H935" s="381">
        <v>1</v>
      </c>
      <c r="I935" s="381">
        <v>2</v>
      </c>
      <c r="J935" s="381">
        <v>3</v>
      </c>
      <c r="K935" s="381">
        <v>3</v>
      </c>
      <c r="L935" s="253">
        <v>3</v>
      </c>
      <c r="M935" s="254">
        <f t="shared" si="30"/>
        <v>1.123005955058592</v>
      </c>
      <c r="N935" s="479" t="s">
        <v>484</v>
      </c>
    </row>
    <row r="936" spans="1:14" hidden="1" x14ac:dyDescent="0.2">
      <c r="A936" s="448" t="s">
        <v>466</v>
      </c>
      <c r="B936" s="436" t="s">
        <v>456</v>
      </c>
      <c r="C936" s="247" t="s">
        <v>22</v>
      </c>
      <c r="D936" s="453" t="s">
        <v>94</v>
      </c>
      <c r="E936" s="719">
        <v>3.8476916458017422E-4</v>
      </c>
      <c r="F936" s="374" t="s">
        <v>483</v>
      </c>
      <c r="G936" s="251" t="s">
        <v>16</v>
      </c>
      <c r="H936" s="381">
        <v>1</v>
      </c>
      <c r="I936" s="381">
        <v>2</v>
      </c>
      <c r="J936" s="381">
        <v>3</v>
      </c>
      <c r="K936" s="381">
        <v>3</v>
      </c>
      <c r="L936" s="253">
        <v>3</v>
      </c>
      <c r="M936" s="254">
        <f t="shared" si="30"/>
        <v>1.123005955058592</v>
      </c>
      <c r="N936" s="479" t="s">
        <v>484</v>
      </c>
    </row>
    <row r="937" spans="1:14" hidden="1" x14ac:dyDescent="0.2">
      <c r="A937" s="448" t="s">
        <v>466</v>
      </c>
      <c r="B937" s="436" t="s">
        <v>456</v>
      </c>
      <c r="C937" s="247" t="s">
        <v>23</v>
      </c>
      <c r="D937" s="453" t="s">
        <v>94</v>
      </c>
      <c r="E937" s="720">
        <v>8.4857552397012766E-4</v>
      </c>
      <c r="F937" s="374" t="s">
        <v>483</v>
      </c>
      <c r="G937" s="375" t="s">
        <v>16</v>
      </c>
      <c r="H937" s="381">
        <v>1</v>
      </c>
      <c r="I937" s="381">
        <v>2</v>
      </c>
      <c r="J937" s="381">
        <v>3</v>
      </c>
      <c r="K937" s="381">
        <v>3</v>
      </c>
      <c r="L937" s="253">
        <v>3</v>
      </c>
      <c r="M937" s="254">
        <f t="shared" si="30"/>
        <v>1.123005955058592</v>
      </c>
      <c r="N937" s="479" t="s">
        <v>484</v>
      </c>
    </row>
    <row r="938" spans="1:14" hidden="1" x14ac:dyDescent="0.2">
      <c r="A938" s="448" t="s">
        <v>466</v>
      </c>
      <c r="B938" s="436" t="s">
        <v>456</v>
      </c>
      <c r="C938" s="247" t="s">
        <v>24</v>
      </c>
      <c r="D938" s="453" t="s">
        <v>94</v>
      </c>
      <c r="E938" s="719">
        <v>8.5800000000000004E-4</v>
      </c>
      <c r="F938" s="374" t="s">
        <v>483</v>
      </c>
      <c r="G938" s="251" t="s">
        <v>16</v>
      </c>
      <c r="H938" s="381">
        <v>1</v>
      </c>
      <c r="I938" s="381">
        <v>2</v>
      </c>
      <c r="J938" s="381">
        <v>3</v>
      </c>
      <c r="K938" s="381">
        <v>3</v>
      </c>
      <c r="L938" s="253">
        <v>3</v>
      </c>
      <c r="M938" s="254">
        <f t="shared" si="30"/>
        <v>1.123005955058592</v>
      </c>
      <c r="N938" s="479" t="s">
        <v>484</v>
      </c>
    </row>
    <row r="939" spans="1:14" hidden="1" x14ac:dyDescent="0.2">
      <c r="A939" s="448" t="s">
        <v>466</v>
      </c>
      <c r="B939" s="436" t="s">
        <v>456</v>
      </c>
      <c r="C939" s="247" t="s">
        <v>25</v>
      </c>
      <c r="D939" s="453" t="s">
        <v>94</v>
      </c>
      <c r="E939" s="719">
        <v>4.3517210942373049E-4</v>
      </c>
      <c r="F939" s="374" t="s">
        <v>483</v>
      </c>
      <c r="G939" s="251" t="s">
        <v>16</v>
      </c>
      <c r="H939" s="381">
        <v>1</v>
      </c>
      <c r="I939" s="381">
        <v>2</v>
      </c>
      <c r="J939" s="381">
        <v>3</v>
      </c>
      <c r="K939" s="381">
        <v>3</v>
      </c>
      <c r="L939" s="253">
        <v>3</v>
      </c>
      <c r="M939" s="254">
        <f t="shared" si="30"/>
        <v>1.123005955058592</v>
      </c>
      <c r="N939" s="479" t="s">
        <v>484</v>
      </c>
    </row>
    <row r="940" spans="1:14" hidden="1" x14ac:dyDescent="0.2">
      <c r="A940" s="448" t="s">
        <v>466</v>
      </c>
      <c r="B940" s="436" t="s">
        <v>456</v>
      </c>
      <c r="C940" s="247" t="s">
        <v>26</v>
      </c>
      <c r="D940" s="453" t="s">
        <v>94</v>
      </c>
      <c r="E940" s="719">
        <v>1.15691462628866E-4</v>
      </c>
      <c r="F940" s="374" t="s">
        <v>483</v>
      </c>
      <c r="G940" s="251" t="s">
        <v>16</v>
      </c>
      <c r="H940" s="381">
        <v>1</v>
      </c>
      <c r="I940" s="381">
        <v>2</v>
      </c>
      <c r="J940" s="381">
        <v>3</v>
      </c>
      <c r="K940" s="381">
        <v>3</v>
      </c>
      <c r="L940" s="253">
        <v>3</v>
      </c>
      <c r="M940" s="254">
        <f t="shared" si="30"/>
        <v>1.123005955058592</v>
      </c>
      <c r="N940" s="479" t="s">
        <v>484</v>
      </c>
    </row>
    <row r="941" spans="1:14" hidden="1" x14ac:dyDescent="0.2">
      <c r="A941" s="448" t="s">
        <v>466</v>
      </c>
      <c r="B941" s="436" t="s">
        <v>456</v>
      </c>
      <c r="C941" s="247" t="s">
        <v>27</v>
      </c>
      <c r="D941" s="453" t="s">
        <v>94</v>
      </c>
      <c r="E941" s="720">
        <v>1.5157458583716659E-4</v>
      </c>
      <c r="F941" s="374" t="s">
        <v>483</v>
      </c>
      <c r="G941" s="375" t="s">
        <v>16</v>
      </c>
      <c r="H941" s="381">
        <v>1</v>
      </c>
      <c r="I941" s="381">
        <v>2</v>
      </c>
      <c r="J941" s="381">
        <v>3</v>
      </c>
      <c r="K941" s="381">
        <v>3</v>
      </c>
      <c r="L941" s="253">
        <v>3</v>
      </c>
      <c r="M941" s="254">
        <f t="shared" si="30"/>
        <v>1.123005955058592</v>
      </c>
      <c r="N941" s="479" t="s">
        <v>484</v>
      </c>
    </row>
    <row r="942" spans="1:14" hidden="1" x14ac:dyDescent="0.2">
      <c r="A942" s="448" t="s">
        <v>466</v>
      </c>
      <c r="B942" s="436" t="s">
        <v>456</v>
      </c>
      <c r="C942" s="247" t="s">
        <v>28</v>
      </c>
      <c r="D942" s="453" t="s">
        <v>94</v>
      </c>
      <c r="E942" s="719">
        <v>1.0517396646058429E-3</v>
      </c>
      <c r="F942" s="374" t="s">
        <v>483</v>
      </c>
      <c r="G942" s="251" t="s">
        <v>16</v>
      </c>
      <c r="H942" s="381">
        <v>1</v>
      </c>
      <c r="I942" s="381">
        <v>2</v>
      </c>
      <c r="J942" s="381">
        <v>3</v>
      </c>
      <c r="K942" s="381">
        <v>3</v>
      </c>
      <c r="L942" s="253">
        <v>3</v>
      </c>
      <c r="M942" s="254">
        <f t="shared" si="30"/>
        <v>1.123005955058592</v>
      </c>
      <c r="N942" s="479" t="s">
        <v>484</v>
      </c>
    </row>
    <row r="943" spans="1:14" hidden="1" x14ac:dyDescent="0.2">
      <c r="A943" s="448" t="s">
        <v>466</v>
      </c>
      <c r="B943" s="436" t="s">
        <v>456</v>
      </c>
      <c r="C943" s="247" t="s">
        <v>30</v>
      </c>
      <c r="D943" s="453" t="s">
        <v>94</v>
      </c>
      <c r="E943" s="719">
        <v>8.6011635109048336E-4</v>
      </c>
      <c r="F943" s="374" t="s">
        <v>483</v>
      </c>
      <c r="G943" s="251" t="s">
        <v>16</v>
      </c>
      <c r="H943" s="381">
        <v>1</v>
      </c>
      <c r="I943" s="381">
        <v>2</v>
      </c>
      <c r="J943" s="381">
        <v>3</v>
      </c>
      <c r="K943" s="381">
        <v>3</v>
      </c>
      <c r="L943" s="253">
        <v>3</v>
      </c>
      <c r="M943" s="254">
        <f t="shared" si="30"/>
        <v>1.123005955058592</v>
      </c>
      <c r="N943" s="479" t="s">
        <v>484</v>
      </c>
    </row>
    <row r="944" spans="1:14" hidden="1" x14ac:dyDescent="0.2">
      <c r="A944" s="448" t="s">
        <v>466</v>
      </c>
      <c r="B944" s="436" t="s">
        <v>456</v>
      </c>
      <c r="C944" s="247" t="s">
        <v>32</v>
      </c>
      <c r="D944" s="453" t="s">
        <v>94</v>
      </c>
      <c r="E944" s="719">
        <v>9.6735767129638964E-4</v>
      </c>
      <c r="F944" s="374" t="s">
        <v>483</v>
      </c>
      <c r="G944" s="251" t="s">
        <v>16</v>
      </c>
      <c r="H944" s="381">
        <v>1</v>
      </c>
      <c r="I944" s="381">
        <v>2</v>
      </c>
      <c r="J944" s="381">
        <v>3</v>
      </c>
      <c r="K944" s="381">
        <v>3</v>
      </c>
      <c r="L944" s="253">
        <v>3</v>
      </c>
      <c r="M944" s="254">
        <f t="shared" si="30"/>
        <v>1.123005955058592</v>
      </c>
      <c r="N944" s="479" t="s">
        <v>484</v>
      </c>
    </row>
    <row r="945" spans="1:14" hidden="1" x14ac:dyDescent="0.2">
      <c r="A945" s="448" t="s">
        <v>466</v>
      </c>
      <c r="B945" s="436" t="s">
        <v>456</v>
      </c>
      <c r="C945" s="247" t="s">
        <v>34</v>
      </c>
      <c r="D945" s="453" t="s">
        <v>94</v>
      </c>
      <c r="E945" s="720">
        <v>7.4399999999999998E-4</v>
      </c>
      <c r="F945" s="374" t="s">
        <v>483</v>
      </c>
      <c r="G945" s="375" t="s">
        <v>16</v>
      </c>
      <c r="H945" s="381">
        <v>1</v>
      </c>
      <c r="I945" s="381">
        <v>2</v>
      </c>
      <c r="J945" s="381">
        <v>3</v>
      </c>
      <c r="K945" s="381">
        <v>3</v>
      </c>
      <c r="L945" s="253">
        <v>3</v>
      </c>
      <c r="M945" s="254">
        <f t="shared" si="30"/>
        <v>1.123005955058592</v>
      </c>
      <c r="N945" s="479" t="s">
        <v>484</v>
      </c>
    </row>
    <row r="946" spans="1:14" hidden="1" x14ac:dyDescent="0.2">
      <c r="A946" s="448" t="s">
        <v>466</v>
      </c>
      <c r="B946" s="436" t="s">
        <v>456</v>
      </c>
      <c r="C946" s="247" t="s">
        <v>36</v>
      </c>
      <c r="D946" s="453" t="s">
        <v>94</v>
      </c>
      <c r="E946" s="719">
        <v>4.1412819026286318E-4</v>
      </c>
      <c r="F946" s="374" t="s">
        <v>483</v>
      </c>
      <c r="G946" s="251" t="s">
        <v>16</v>
      </c>
      <c r="H946" s="381">
        <v>1</v>
      </c>
      <c r="I946" s="381">
        <v>2</v>
      </c>
      <c r="J946" s="381">
        <v>3</v>
      </c>
      <c r="K946" s="381">
        <v>3</v>
      </c>
      <c r="L946" s="253">
        <v>3</v>
      </c>
      <c r="M946" s="254">
        <f t="shared" si="30"/>
        <v>1.123005955058592</v>
      </c>
      <c r="N946" s="479" t="s">
        <v>484</v>
      </c>
    </row>
    <row r="947" spans="1:14" hidden="1" x14ac:dyDescent="0.2">
      <c r="A947" s="448" t="s">
        <v>466</v>
      </c>
      <c r="B947" s="436" t="s">
        <v>456</v>
      </c>
      <c r="C947" s="247" t="s">
        <v>37</v>
      </c>
      <c r="D947" s="453" t="s">
        <v>94</v>
      </c>
      <c r="E947" s="719">
        <v>1.5920644196496369E-3</v>
      </c>
      <c r="F947" s="374" t="s">
        <v>483</v>
      </c>
      <c r="G947" s="251" t="s">
        <v>16</v>
      </c>
      <c r="H947" s="381">
        <v>1</v>
      </c>
      <c r="I947" s="381">
        <v>2</v>
      </c>
      <c r="J947" s="381">
        <v>3</v>
      </c>
      <c r="K947" s="381">
        <v>3</v>
      </c>
      <c r="L947" s="253">
        <v>3</v>
      </c>
      <c r="M947" s="254">
        <f t="shared" si="30"/>
        <v>1.123005955058592</v>
      </c>
      <c r="N947" s="479" t="s">
        <v>484</v>
      </c>
    </row>
    <row r="948" spans="1:14" hidden="1" x14ac:dyDescent="0.2">
      <c r="A948" s="448" t="s">
        <v>466</v>
      </c>
      <c r="B948" s="436" t="s">
        <v>456</v>
      </c>
      <c r="C948" s="247" t="s">
        <v>39</v>
      </c>
      <c r="D948" s="453" t="s">
        <v>94</v>
      </c>
      <c r="E948" s="719">
        <v>2.0268942627130429E-4</v>
      </c>
      <c r="F948" s="374" t="s">
        <v>483</v>
      </c>
      <c r="G948" s="251" t="s">
        <v>16</v>
      </c>
      <c r="H948" s="381">
        <v>1</v>
      </c>
      <c r="I948" s="381">
        <v>2</v>
      </c>
      <c r="J948" s="381">
        <v>3</v>
      </c>
      <c r="K948" s="381">
        <v>3</v>
      </c>
      <c r="L948" s="253">
        <v>3</v>
      </c>
      <c r="M948" s="254">
        <f t="shared" si="30"/>
        <v>1.123005955058592</v>
      </c>
      <c r="N948" s="479" t="s">
        <v>484</v>
      </c>
    </row>
    <row r="949" spans="1:14" hidden="1" x14ac:dyDescent="0.2">
      <c r="A949" s="448" t="s">
        <v>466</v>
      </c>
      <c r="B949" s="436" t="s">
        <v>456</v>
      </c>
      <c r="C949" s="247" t="s">
        <v>40</v>
      </c>
      <c r="D949" s="453" t="s">
        <v>94</v>
      </c>
      <c r="E949" s="719">
        <v>2.6479780799771772E-4</v>
      </c>
      <c r="F949" s="374" t="s">
        <v>483</v>
      </c>
      <c r="G949" s="251" t="s">
        <v>16</v>
      </c>
      <c r="H949" s="381">
        <v>1</v>
      </c>
      <c r="I949" s="381">
        <v>2</v>
      </c>
      <c r="J949" s="381">
        <v>3</v>
      </c>
      <c r="K949" s="381">
        <v>3</v>
      </c>
      <c r="L949" s="253">
        <v>3</v>
      </c>
      <c r="M949" s="254">
        <f t="shared" si="30"/>
        <v>1.123005955058592</v>
      </c>
      <c r="N949" s="479" t="s">
        <v>484</v>
      </c>
    </row>
    <row r="950" spans="1:14" hidden="1" x14ac:dyDescent="0.2">
      <c r="A950" s="448" t="s">
        <v>466</v>
      </c>
      <c r="B950" s="436" t="s">
        <v>456</v>
      </c>
      <c r="C950" s="247" t="s">
        <v>41</v>
      </c>
      <c r="D950" s="453" t="s">
        <v>94</v>
      </c>
      <c r="E950" s="719">
        <v>1.1692E-3</v>
      </c>
      <c r="F950" s="374" t="s">
        <v>483</v>
      </c>
      <c r="G950" s="251" t="s">
        <v>16</v>
      </c>
      <c r="H950" s="381">
        <v>1</v>
      </c>
      <c r="I950" s="381">
        <v>2</v>
      </c>
      <c r="J950" s="381">
        <v>3</v>
      </c>
      <c r="K950" s="381">
        <v>3</v>
      </c>
      <c r="L950" s="253">
        <v>3</v>
      </c>
      <c r="M950" s="254">
        <f t="shared" si="30"/>
        <v>1.123005955058592</v>
      </c>
      <c r="N950" s="479" t="s">
        <v>484</v>
      </c>
    </row>
    <row r="951" spans="1:14" hidden="1" x14ac:dyDescent="0.2">
      <c r="A951" s="448" t="s">
        <v>466</v>
      </c>
      <c r="B951" s="436" t="s">
        <v>456</v>
      </c>
      <c r="C951" s="247" t="s">
        <v>42</v>
      </c>
      <c r="D951" s="453" t="s">
        <v>94</v>
      </c>
      <c r="E951" s="719">
        <v>5.242810331534312E-4</v>
      </c>
      <c r="F951" s="374" t="s">
        <v>483</v>
      </c>
      <c r="G951" s="251" t="s">
        <v>16</v>
      </c>
      <c r="H951" s="381">
        <v>1</v>
      </c>
      <c r="I951" s="381">
        <v>2</v>
      </c>
      <c r="J951" s="381">
        <v>3</v>
      </c>
      <c r="K951" s="381">
        <v>3</v>
      </c>
      <c r="L951" s="253">
        <v>3</v>
      </c>
      <c r="M951" s="254">
        <f t="shared" si="30"/>
        <v>1.123005955058592</v>
      </c>
      <c r="N951" s="479" t="s">
        <v>484</v>
      </c>
    </row>
    <row r="952" spans="1:14" hidden="1" x14ac:dyDescent="0.2">
      <c r="A952" s="448" t="s">
        <v>466</v>
      </c>
      <c r="B952" s="436" t="s">
        <v>456</v>
      </c>
      <c r="C952" s="247" t="s">
        <v>43</v>
      </c>
      <c r="D952" s="453" t="s">
        <v>94</v>
      </c>
      <c r="E952" s="719">
        <v>1.7133135020282019E-3</v>
      </c>
      <c r="F952" s="374" t="s">
        <v>483</v>
      </c>
      <c r="G952" s="251" t="s">
        <v>16</v>
      </c>
      <c r="H952" s="381">
        <v>1</v>
      </c>
      <c r="I952" s="381">
        <v>2</v>
      </c>
      <c r="J952" s="381">
        <v>3</v>
      </c>
      <c r="K952" s="381">
        <v>3</v>
      </c>
      <c r="L952" s="253">
        <v>3</v>
      </c>
      <c r="M952" s="254">
        <f t="shared" si="30"/>
        <v>1.123005955058592</v>
      </c>
      <c r="N952" s="479" t="s">
        <v>484</v>
      </c>
    </row>
    <row r="953" spans="1:14" x14ac:dyDescent="0.2">
      <c r="A953" s="448" t="s">
        <v>466</v>
      </c>
      <c r="B953" s="436" t="s">
        <v>456</v>
      </c>
      <c r="C953" s="247" t="s">
        <v>45</v>
      </c>
      <c r="D953" s="453" t="s">
        <v>94</v>
      </c>
      <c r="E953" s="719">
        <v>1.1106158292057241E-4</v>
      </c>
      <c r="F953" s="374" t="s">
        <v>483</v>
      </c>
      <c r="G953" s="251" t="s">
        <v>16</v>
      </c>
      <c r="H953" s="381">
        <v>1</v>
      </c>
      <c r="I953" s="381">
        <v>2</v>
      </c>
      <c r="J953" s="381">
        <v>3</v>
      </c>
      <c r="K953" s="381">
        <v>3</v>
      </c>
      <c r="L953" s="253">
        <v>3</v>
      </c>
      <c r="M953" s="254">
        <f t="shared" si="30"/>
        <v>1.123005955058592</v>
      </c>
      <c r="N953" s="479" t="s">
        <v>484</v>
      </c>
    </row>
    <row r="954" spans="1:14" hidden="1" x14ac:dyDescent="0.2">
      <c r="A954" s="448" t="s">
        <v>466</v>
      </c>
      <c r="B954" s="436" t="s">
        <v>456</v>
      </c>
      <c r="C954" s="247" t="s">
        <v>46</v>
      </c>
      <c r="D954" s="453" t="s">
        <v>94</v>
      </c>
      <c r="E954" s="719">
        <v>9.2577090706963633E-4</v>
      </c>
      <c r="F954" s="374" t="s">
        <v>483</v>
      </c>
      <c r="G954" s="251" t="s">
        <v>16</v>
      </c>
      <c r="H954" s="381">
        <v>1</v>
      </c>
      <c r="I954" s="381">
        <v>2</v>
      </c>
      <c r="J954" s="381">
        <v>3</v>
      </c>
      <c r="K954" s="381">
        <v>3</v>
      </c>
      <c r="L954" s="253">
        <v>3</v>
      </c>
      <c r="M954" s="254">
        <f t="shared" si="30"/>
        <v>1.123005955058592</v>
      </c>
      <c r="N954" s="479" t="s">
        <v>484</v>
      </c>
    </row>
    <row r="955" spans="1:14" hidden="1" x14ac:dyDescent="0.2">
      <c r="A955" s="448" t="s">
        <v>466</v>
      </c>
      <c r="B955" s="436" t="s">
        <v>456</v>
      </c>
      <c r="C955" s="247" t="s">
        <v>48</v>
      </c>
      <c r="D955" s="453" t="s">
        <v>94</v>
      </c>
      <c r="E955" s="719">
        <v>1.293351359788677E-3</v>
      </c>
      <c r="F955" s="374" t="s">
        <v>483</v>
      </c>
      <c r="G955" s="251" t="s">
        <v>16</v>
      </c>
      <c r="H955" s="381">
        <v>1</v>
      </c>
      <c r="I955" s="381">
        <v>2</v>
      </c>
      <c r="J955" s="381">
        <v>3</v>
      </c>
      <c r="K955" s="381">
        <v>3</v>
      </c>
      <c r="L955" s="253">
        <v>3</v>
      </c>
      <c r="M955" s="254">
        <f t="shared" si="30"/>
        <v>1.123005955058592</v>
      </c>
      <c r="N955" s="479" t="s">
        <v>484</v>
      </c>
    </row>
    <row r="956" spans="1:14" hidden="1" x14ac:dyDescent="0.2">
      <c r="A956" s="448" t="s">
        <v>466</v>
      </c>
      <c r="B956" s="436" t="s">
        <v>456</v>
      </c>
      <c r="C956" s="247" t="s">
        <v>50</v>
      </c>
      <c r="D956" s="453" t="s">
        <v>94</v>
      </c>
      <c r="E956" s="719">
        <v>7.2452074173198235E-4</v>
      </c>
      <c r="F956" s="374" t="s">
        <v>483</v>
      </c>
      <c r="G956" s="251" t="s">
        <v>16</v>
      </c>
      <c r="H956" s="381">
        <v>1</v>
      </c>
      <c r="I956" s="381">
        <v>2</v>
      </c>
      <c r="J956" s="381">
        <v>3</v>
      </c>
      <c r="K956" s="381">
        <v>3</v>
      </c>
      <c r="L956" s="253">
        <v>3</v>
      </c>
      <c r="M956" s="254">
        <f t="shared" si="30"/>
        <v>1.123005955058592</v>
      </c>
      <c r="N956" s="479" t="s">
        <v>484</v>
      </c>
    </row>
    <row r="957" spans="1:14" hidden="1" x14ac:dyDescent="0.2">
      <c r="A957" s="448" t="s">
        <v>466</v>
      </c>
      <c r="B957" s="436" t="s">
        <v>456</v>
      </c>
      <c r="C957" s="247" t="s">
        <v>52</v>
      </c>
      <c r="D957" s="453" t="s">
        <v>94</v>
      </c>
      <c r="E957" s="719">
        <v>9.8600000000000011E-4</v>
      </c>
      <c r="F957" s="374" t="s">
        <v>483</v>
      </c>
      <c r="G957" s="251" t="s">
        <v>16</v>
      </c>
      <c r="H957" s="381">
        <v>1</v>
      </c>
      <c r="I957" s="381">
        <v>2</v>
      </c>
      <c r="J957" s="381">
        <v>3</v>
      </c>
      <c r="K957" s="381">
        <v>3</v>
      </c>
      <c r="L957" s="253">
        <v>3</v>
      </c>
      <c r="M957" s="254">
        <f t="shared" si="30"/>
        <v>1.123005955058592</v>
      </c>
      <c r="N957" s="479" t="s">
        <v>484</v>
      </c>
    </row>
    <row r="958" spans="1:14" hidden="1" x14ac:dyDescent="0.2">
      <c r="A958" s="448" t="s">
        <v>466</v>
      </c>
      <c r="B958" s="436" t="s">
        <v>456</v>
      </c>
      <c r="C958" s="247" t="s">
        <v>54</v>
      </c>
      <c r="D958" s="453" t="s">
        <v>94</v>
      </c>
      <c r="E958" s="719">
        <v>5.0159843949357144E-4</v>
      </c>
      <c r="F958" s="374" t="s">
        <v>483</v>
      </c>
      <c r="G958" s="251" t="s">
        <v>16</v>
      </c>
      <c r="H958" s="381">
        <v>1</v>
      </c>
      <c r="I958" s="381">
        <v>2</v>
      </c>
      <c r="J958" s="381">
        <v>3</v>
      </c>
      <c r="K958" s="381">
        <v>3</v>
      </c>
      <c r="L958" s="253">
        <v>3</v>
      </c>
      <c r="M958" s="254">
        <f t="shared" si="30"/>
        <v>1.123005955058592</v>
      </c>
      <c r="N958" s="479" t="s">
        <v>484</v>
      </c>
    </row>
    <row r="959" spans="1:14" hidden="1" x14ac:dyDescent="0.2">
      <c r="A959" s="448" t="s">
        <v>466</v>
      </c>
      <c r="B959" s="436" t="s">
        <v>456</v>
      </c>
      <c r="C959" s="247" t="s">
        <v>55</v>
      </c>
      <c r="D959" s="453" t="s">
        <v>94</v>
      </c>
      <c r="E959" s="719">
        <v>5.9587685118129045E-4</v>
      </c>
      <c r="F959" s="374" t="s">
        <v>483</v>
      </c>
      <c r="G959" s="251" t="s">
        <v>16</v>
      </c>
      <c r="H959" s="381">
        <v>1</v>
      </c>
      <c r="I959" s="381">
        <v>2</v>
      </c>
      <c r="J959" s="381">
        <v>3</v>
      </c>
      <c r="K959" s="381">
        <v>3</v>
      </c>
      <c r="L959" s="253">
        <v>3</v>
      </c>
      <c r="M959" s="254">
        <f t="shared" si="30"/>
        <v>1.123005955058592</v>
      </c>
      <c r="N959" s="479" t="s">
        <v>484</v>
      </c>
    </row>
    <row r="960" spans="1:14" hidden="1" x14ac:dyDescent="0.2">
      <c r="A960" s="448" t="s">
        <v>466</v>
      </c>
      <c r="B960" s="436" t="s">
        <v>456</v>
      </c>
      <c r="C960" s="247" t="s">
        <v>57</v>
      </c>
      <c r="D960" s="453" t="s">
        <v>94</v>
      </c>
      <c r="E960" s="719">
        <v>1.437223836179409E-4</v>
      </c>
      <c r="F960" s="374" t="s">
        <v>483</v>
      </c>
      <c r="G960" s="251" t="s">
        <v>16</v>
      </c>
      <c r="H960" s="381">
        <v>1</v>
      </c>
      <c r="I960" s="381">
        <v>2</v>
      </c>
      <c r="J960" s="381">
        <v>3</v>
      </c>
      <c r="K960" s="381">
        <v>3</v>
      </c>
      <c r="L960" s="253">
        <v>3</v>
      </c>
      <c r="M960" s="254">
        <f t="shared" si="30"/>
        <v>1.123005955058592</v>
      </c>
      <c r="N960" s="479" t="s">
        <v>484</v>
      </c>
    </row>
    <row r="961" spans="1:14" hidden="1" x14ac:dyDescent="0.2">
      <c r="A961" s="448" t="s">
        <v>466</v>
      </c>
      <c r="B961" s="436" t="s">
        <v>456</v>
      </c>
      <c r="C961" s="247" t="s">
        <v>59</v>
      </c>
      <c r="D961" s="453" t="s">
        <v>94</v>
      </c>
      <c r="E961" s="719">
        <v>8.7750000000000002E-4</v>
      </c>
      <c r="F961" s="374" t="s">
        <v>483</v>
      </c>
      <c r="G961" s="251" t="s">
        <v>16</v>
      </c>
      <c r="H961" s="381">
        <v>1</v>
      </c>
      <c r="I961" s="381">
        <v>2</v>
      </c>
      <c r="J961" s="381">
        <v>3</v>
      </c>
      <c r="K961" s="381">
        <v>3</v>
      </c>
      <c r="L961" s="253">
        <v>3</v>
      </c>
      <c r="M961" s="254">
        <f t="shared" si="30"/>
        <v>1.123005955058592</v>
      </c>
      <c r="N961" s="479" t="s">
        <v>484</v>
      </c>
    </row>
    <row r="962" spans="1:14" hidden="1" x14ac:dyDescent="0.2">
      <c r="A962" s="448" t="s">
        <v>466</v>
      </c>
      <c r="B962" s="436" t="s">
        <v>456</v>
      </c>
      <c r="C962" s="247" t="s">
        <v>60</v>
      </c>
      <c r="D962" s="453" t="s">
        <v>94</v>
      </c>
      <c r="E962" s="719">
        <v>7.7452040302267004E-4</v>
      </c>
      <c r="F962" s="374" t="s">
        <v>483</v>
      </c>
      <c r="G962" s="251" t="s">
        <v>16</v>
      </c>
      <c r="H962" s="381">
        <v>1</v>
      </c>
      <c r="I962" s="381">
        <v>2</v>
      </c>
      <c r="J962" s="381">
        <v>3</v>
      </c>
      <c r="K962" s="381">
        <v>3</v>
      </c>
      <c r="L962" s="253">
        <v>3</v>
      </c>
      <c r="M962" s="254">
        <f t="shared" si="30"/>
        <v>1.123005955058592</v>
      </c>
      <c r="N962" s="479" t="s">
        <v>484</v>
      </c>
    </row>
    <row r="963" spans="1:14" hidden="1" x14ac:dyDescent="0.2">
      <c r="A963" s="448" t="s">
        <v>466</v>
      </c>
      <c r="B963" s="436" t="s">
        <v>479</v>
      </c>
      <c r="C963" s="247" t="s">
        <v>13</v>
      </c>
      <c r="D963" s="453" t="s">
        <v>94</v>
      </c>
      <c r="E963" s="719">
        <v>6.9331000000000002E-3</v>
      </c>
      <c r="F963" s="374" t="s">
        <v>483</v>
      </c>
      <c r="G963" s="251" t="s">
        <v>16</v>
      </c>
      <c r="H963" s="381">
        <v>1</v>
      </c>
      <c r="I963" s="381">
        <v>2</v>
      </c>
      <c r="J963" s="381">
        <v>3</v>
      </c>
      <c r="K963" s="381">
        <v>3</v>
      </c>
      <c r="L963" s="253">
        <v>3</v>
      </c>
      <c r="M963" s="254">
        <f t="shared" si="30"/>
        <v>1.123005955058592</v>
      </c>
      <c r="N963" s="479" t="s">
        <v>484</v>
      </c>
    </row>
    <row r="964" spans="1:14" hidden="1" x14ac:dyDescent="0.2">
      <c r="A964" s="448" t="s">
        <v>466</v>
      </c>
      <c r="B964" s="436" t="s">
        <v>479</v>
      </c>
      <c r="C964" s="247" t="s">
        <v>18</v>
      </c>
      <c r="D964" s="453" t="s">
        <v>94</v>
      </c>
      <c r="E964" s="719">
        <v>1.292171013334633E-2</v>
      </c>
      <c r="F964" s="374" t="s">
        <v>483</v>
      </c>
      <c r="G964" s="251" t="s">
        <v>16</v>
      </c>
      <c r="H964" s="381">
        <v>1</v>
      </c>
      <c r="I964" s="381">
        <v>2</v>
      </c>
      <c r="J964" s="381">
        <v>3</v>
      </c>
      <c r="K964" s="381">
        <v>3</v>
      </c>
      <c r="L964" s="253">
        <v>3</v>
      </c>
      <c r="M964" s="254">
        <f>IF( OR( ISBLANK(H964),ISBLANK(I964), ISBLANK(J964), ISBLANK(K964), ISBLANK(L964) ), "", 1.5*SQRT(   EXP(2.21*(H964-1)) + EXP(2.21*(I964-1)) + EXP(2.21*(J964-1)) + EXP(2.21*(K964-1)) + EXP(2.21*L964)   )/100*2.45 )</f>
        <v>1.123005955058592</v>
      </c>
      <c r="N964" s="479" t="s">
        <v>484</v>
      </c>
    </row>
    <row r="965" spans="1:14" hidden="1" x14ac:dyDescent="0.2">
      <c r="A965" s="448" t="s">
        <v>466</v>
      </c>
      <c r="B965" s="436" t="s">
        <v>479</v>
      </c>
      <c r="C965" s="247" t="s">
        <v>20</v>
      </c>
      <c r="D965" s="453" t="s">
        <v>94</v>
      </c>
      <c r="E965" s="719">
        <v>1.7348351786241511E-2</v>
      </c>
      <c r="F965" s="374" t="s">
        <v>483</v>
      </c>
      <c r="G965" s="251" t="s">
        <v>16</v>
      </c>
      <c r="H965" s="381">
        <v>1</v>
      </c>
      <c r="I965" s="381">
        <v>2</v>
      </c>
      <c r="J965" s="381">
        <v>3</v>
      </c>
      <c r="K965" s="381">
        <v>3</v>
      </c>
      <c r="L965" s="253">
        <v>3</v>
      </c>
      <c r="M965" s="254">
        <f t="shared" ref="M965:M995" si="31">IF( OR( ISBLANK(H965),ISBLANK(I965), ISBLANK(J965), ISBLANK(K965), ISBLANK(L965) ), "", 1.5*SQRT( EXP(2.21*(H965-1)) + EXP(2.21*(I965-1)) + EXP(2.21*(J965-1)) + EXP(2.21*(K965-1)) + EXP(2.21*L965) )/100*2.45 )</f>
        <v>1.123005955058592</v>
      </c>
      <c r="N965" s="479" t="s">
        <v>484</v>
      </c>
    </row>
    <row r="966" spans="1:14" hidden="1" x14ac:dyDescent="0.2">
      <c r="A966" s="448" t="s">
        <v>466</v>
      </c>
      <c r="B966" s="436" t="s">
        <v>479</v>
      </c>
      <c r="C966" s="247" t="s">
        <v>22</v>
      </c>
      <c r="D966" s="453" t="s">
        <v>94</v>
      </c>
      <c r="E966" s="719">
        <v>9.511012786966179E-3</v>
      </c>
      <c r="F966" s="374" t="s">
        <v>483</v>
      </c>
      <c r="G966" s="251" t="s">
        <v>16</v>
      </c>
      <c r="H966" s="381">
        <v>1</v>
      </c>
      <c r="I966" s="381">
        <v>2</v>
      </c>
      <c r="J966" s="381">
        <v>3</v>
      </c>
      <c r="K966" s="381">
        <v>3</v>
      </c>
      <c r="L966" s="253">
        <v>3</v>
      </c>
      <c r="M966" s="254">
        <f t="shared" si="31"/>
        <v>1.123005955058592</v>
      </c>
      <c r="N966" s="479" t="s">
        <v>484</v>
      </c>
    </row>
    <row r="967" spans="1:14" hidden="1" x14ac:dyDescent="0.2">
      <c r="A967" s="448" t="s">
        <v>466</v>
      </c>
      <c r="B967" s="436" t="s">
        <v>479</v>
      </c>
      <c r="C967" s="247" t="s">
        <v>23</v>
      </c>
      <c r="D967" s="453" t="s">
        <v>94</v>
      </c>
      <c r="E967" s="719">
        <v>8.5952488556974224E-3</v>
      </c>
      <c r="F967" s="374" t="s">
        <v>483</v>
      </c>
      <c r="G967" s="251" t="s">
        <v>16</v>
      </c>
      <c r="H967" s="381">
        <v>1</v>
      </c>
      <c r="I967" s="381">
        <v>2</v>
      </c>
      <c r="J967" s="381">
        <v>3</v>
      </c>
      <c r="K967" s="381">
        <v>3</v>
      </c>
      <c r="L967" s="253">
        <v>3</v>
      </c>
      <c r="M967" s="254">
        <f t="shared" si="31"/>
        <v>1.123005955058592</v>
      </c>
      <c r="N967" s="479" t="s">
        <v>484</v>
      </c>
    </row>
    <row r="968" spans="1:14" hidden="1" x14ac:dyDescent="0.2">
      <c r="A968" s="448" t="s">
        <v>466</v>
      </c>
      <c r="B968" s="436" t="s">
        <v>479</v>
      </c>
      <c r="C968" s="247" t="s">
        <v>24</v>
      </c>
      <c r="D968" s="453" t="s">
        <v>94</v>
      </c>
      <c r="E968" s="719">
        <v>1.17585E-2</v>
      </c>
      <c r="F968" s="374" t="s">
        <v>483</v>
      </c>
      <c r="G968" s="251" t="s">
        <v>16</v>
      </c>
      <c r="H968" s="381">
        <v>1</v>
      </c>
      <c r="I968" s="381">
        <v>2</v>
      </c>
      <c r="J968" s="381">
        <v>3</v>
      </c>
      <c r="K968" s="381">
        <v>3</v>
      </c>
      <c r="L968" s="253">
        <v>3</v>
      </c>
      <c r="M968" s="254">
        <f t="shared" si="31"/>
        <v>1.123005955058592</v>
      </c>
      <c r="N968" s="479" t="s">
        <v>484</v>
      </c>
    </row>
    <row r="969" spans="1:14" hidden="1" x14ac:dyDescent="0.2">
      <c r="A969" s="448" t="s">
        <v>466</v>
      </c>
      <c r="B969" s="436" t="s">
        <v>479</v>
      </c>
      <c r="C969" s="247" t="s">
        <v>25</v>
      </c>
      <c r="D969" s="453" t="s">
        <v>94</v>
      </c>
      <c r="E969" s="719">
        <v>2.7119421311913639E-3</v>
      </c>
      <c r="F969" s="374" t="s">
        <v>483</v>
      </c>
      <c r="G969" s="251" t="s">
        <v>16</v>
      </c>
      <c r="H969" s="381">
        <v>1</v>
      </c>
      <c r="I969" s="381">
        <v>2</v>
      </c>
      <c r="J969" s="381">
        <v>3</v>
      </c>
      <c r="K969" s="381">
        <v>3</v>
      </c>
      <c r="L969" s="253">
        <v>3</v>
      </c>
      <c r="M969" s="254">
        <f t="shared" si="31"/>
        <v>1.123005955058592</v>
      </c>
      <c r="N969" s="479" t="s">
        <v>484</v>
      </c>
    </row>
    <row r="970" spans="1:14" hidden="1" x14ac:dyDescent="0.2">
      <c r="A970" s="448" t="s">
        <v>466</v>
      </c>
      <c r="B970" s="436" t="s">
        <v>479</v>
      </c>
      <c r="C970" s="247" t="s">
        <v>26</v>
      </c>
      <c r="D970" s="453" t="s">
        <v>94</v>
      </c>
      <c r="E970" s="719">
        <v>5.1516727770618553E-3</v>
      </c>
      <c r="F970" s="374" t="s">
        <v>483</v>
      </c>
      <c r="G970" s="251" t="s">
        <v>16</v>
      </c>
      <c r="H970" s="381">
        <v>1</v>
      </c>
      <c r="I970" s="381">
        <v>2</v>
      </c>
      <c r="J970" s="381">
        <v>3</v>
      </c>
      <c r="K970" s="381">
        <v>3</v>
      </c>
      <c r="L970" s="253">
        <v>3</v>
      </c>
      <c r="M970" s="254">
        <f t="shared" si="31"/>
        <v>1.123005955058592</v>
      </c>
      <c r="N970" s="479" t="s">
        <v>484</v>
      </c>
    </row>
    <row r="971" spans="1:14" hidden="1" x14ac:dyDescent="0.2">
      <c r="A971" s="448" t="s">
        <v>466</v>
      </c>
      <c r="B971" s="436" t="s">
        <v>479</v>
      </c>
      <c r="C971" s="247" t="s">
        <v>27</v>
      </c>
      <c r="D971" s="453" t="s">
        <v>94</v>
      </c>
      <c r="E971" s="719">
        <v>6.7851917542402209E-3</v>
      </c>
      <c r="F971" s="374" t="s">
        <v>483</v>
      </c>
      <c r="G971" s="251" t="s">
        <v>16</v>
      </c>
      <c r="H971" s="381">
        <v>1</v>
      </c>
      <c r="I971" s="381">
        <v>2</v>
      </c>
      <c r="J971" s="381">
        <v>3</v>
      </c>
      <c r="K971" s="381">
        <v>3</v>
      </c>
      <c r="L971" s="253">
        <v>3</v>
      </c>
      <c r="M971" s="254">
        <f t="shared" si="31"/>
        <v>1.123005955058592</v>
      </c>
      <c r="N971" s="479" t="s">
        <v>484</v>
      </c>
    </row>
    <row r="972" spans="1:14" hidden="1" x14ac:dyDescent="0.2">
      <c r="A972" s="448" t="s">
        <v>466</v>
      </c>
      <c r="B972" s="436" t="s">
        <v>479</v>
      </c>
      <c r="C972" s="247" t="s">
        <v>28</v>
      </c>
      <c r="D972" s="453" t="s">
        <v>94</v>
      </c>
      <c r="E972" s="719">
        <v>1.1794509095936949E-2</v>
      </c>
      <c r="F972" s="374" t="s">
        <v>483</v>
      </c>
      <c r="G972" s="251" t="s">
        <v>16</v>
      </c>
      <c r="H972" s="381">
        <v>1</v>
      </c>
      <c r="I972" s="381">
        <v>2</v>
      </c>
      <c r="J972" s="381">
        <v>3</v>
      </c>
      <c r="K972" s="381">
        <v>3</v>
      </c>
      <c r="L972" s="253">
        <v>3</v>
      </c>
      <c r="M972" s="254">
        <f t="shared" si="31"/>
        <v>1.123005955058592</v>
      </c>
      <c r="N972" s="479" t="s">
        <v>484</v>
      </c>
    </row>
    <row r="973" spans="1:14" hidden="1" x14ac:dyDescent="0.2">
      <c r="A973" s="448" t="s">
        <v>466</v>
      </c>
      <c r="B973" s="436" t="s">
        <v>479</v>
      </c>
      <c r="C973" s="247" t="s">
        <v>30</v>
      </c>
      <c r="D973" s="453" t="s">
        <v>94</v>
      </c>
      <c r="E973" s="719">
        <v>6.5527285168603929E-3</v>
      </c>
      <c r="F973" s="374" t="s">
        <v>483</v>
      </c>
      <c r="G973" s="251" t="s">
        <v>16</v>
      </c>
      <c r="H973" s="381">
        <v>1</v>
      </c>
      <c r="I973" s="381">
        <v>2</v>
      </c>
      <c r="J973" s="381">
        <v>3</v>
      </c>
      <c r="K973" s="381">
        <v>3</v>
      </c>
      <c r="L973" s="253">
        <v>3</v>
      </c>
      <c r="M973" s="254">
        <f t="shared" si="31"/>
        <v>1.123005955058592</v>
      </c>
      <c r="N973" s="479" t="s">
        <v>484</v>
      </c>
    </row>
    <row r="974" spans="1:14" hidden="1" x14ac:dyDescent="0.2">
      <c r="A974" s="448" t="s">
        <v>466</v>
      </c>
      <c r="B974" s="436" t="s">
        <v>479</v>
      </c>
      <c r="C974" s="247" t="s">
        <v>32</v>
      </c>
      <c r="D974" s="453" t="s">
        <v>94</v>
      </c>
      <c r="E974" s="719">
        <v>1.7751013268288748E-2</v>
      </c>
      <c r="F974" s="374" t="s">
        <v>483</v>
      </c>
      <c r="G974" s="251" t="s">
        <v>16</v>
      </c>
      <c r="H974" s="381">
        <v>1</v>
      </c>
      <c r="I974" s="381">
        <v>2</v>
      </c>
      <c r="J974" s="381">
        <v>3</v>
      </c>
      <c r="K974" s="381">
        <v>3</v>
      </c>
      <c r="L974" s="253">
        <v>3</v>
      </c>
      <c r="M974" s="254">
        <f t="shared" si="31"/>
        <v>1.123005955058592</v>
      </c>
      <c r="N974" s="479" t="s">
        <v>484</v>
      </c>
    </row>
    <row r="975" spans="1:14" hidden="1" x14ac:dyDescent="0.2">
      <c r="A975" s="448" t="s">
        <v>466</v>
      </c>
      <c r="B975" s="436" t="s">
        <v>479</v>
      </c>
      <c r="C975" s="247" t="s">
        <v>34</v>
      </c>
      <c r="D975" s="453" t="s">
        <v>94</v>
      </c>
      <c r="E975" s="719">
        <v>9.1325999999999994E-3</v>
      </c>
      <c r="F975" s="374" t="s">
        <v>483</v>
      </c>
      <c r="G975" s="251" t="s">
        <v>16</v>
      </c>
      <c r="H975" s="381">
        <v>1</v>
      </c>
      <c r="I975" s="381">
        <v>2</v>
      </c>
      <c r="J975" s="381">
        <v>3</v>
      </c>
      <c r="K975" s="381">
        <v>3</v>
      </c>
      <c r="L975" s="253">
        <v>3</v>
      </c>
      <c r="M975" s="254">
        <f t="shared" si="31"/>
        <v>1.123005955058592</v>
      </c>
      <c r="N975" s="479" t="s">
        <v>484</v>
      </c>
    </row>
    <row r="976" spans="1:14" hidden="1" x14ac:dyDescent="0.2">
      <c r="A976" s="448" t="s">
        <v>466</v>
      </c>
      <c r="B976" s="436" t="s">
        <v>479</v>
      </c>
      <c r="C976" s="247" t="s">
        <v>36</v>
      </c>
      <c r="D976" s="453" t="s">
        <v>94</v>
      </c>
      <c r="E976" s="719">
        <v>8.2036822452071952E-3</v>
      </c>
      <c r="F976" s="374" t="s">
        <v>483</v>
      </c>
      <c r="G976" s="251" t="s">
        <v>16</v>
      </c>
      <c r="H976" s="381">
        <v>1</v>
      </c>
      <c r="I976" s="381">
        <v>2</v>
      </c>
      <c r="J976" s="381">
        <v>3</v>
      </c>
      <c r="K976" s="381">
        <v>3</v>
      </c>
      <c r="L976" s="253">
        <v>3</v>
      </c>
      <c r="M976" s="254">
        <f t="shared" si="31"/>
        <v>1.123005955058592</v>
      </c>
      <c r="N976" s="479" t="s">
        <v>484</v>
      </c>
    </row>
    <row r="977" spans="1:14" hidden="1" x14ac:dyDescent="0.2">
      <c r="A977" s="448" t="s">
        <v>466</v>
      </c>
      <c r="B977" s="436" t="s">
        <v>479</v>
      </c>
      <c r="C977" s="247" t="s">
        <v>37</v>
      </c>
      <c r="D977" s="453" t="s">
        <v>94</v>
      </c>
      <c r="E977" s="719">
        <v>1.4449190717729279E-2</v>
      </c>
      <c r="F977" s="374" t="s">
        <v>483</v>
      </c>
      <c r="G977" s="251" t="s">
        <v>16</v>
      </c>
      <c r="H977" s="381">
        <v>1</v>
      </c>
      <c r="I977" s="381">
        <v>2</v>
      </c>
      <c r="J977" s="381">
        <v>3</v>
      </c>
      <c r="K977" s="381">
        <v>3</v>
      </c>
      <c r="L977" s="253">
        <v>3</v>
      </c>
      <c r="M977" s="254">
        <f t="shared" si="31"/>
        <v>1.123005955058592</v>
      </c>
      <c r="N977" s="479" t="s">
        <v>484</v>
      </c>
    </row>
    <row r="978" spans="1:14" hidden="1" x14ac:dyDescent="0.2">
      <c r="A978" s="448" t="s">
        <v>466</v>
      </c>
      <c r="B978" s="436" t="s">
        <v>479</v>
      </c>
      <c r="C978" s="247" t="s">
        <v>39</v>
      </c>
      <c r="D978" s="453" t="s">
        <v>94</v>
      </c>
      <c r="E978" s="719">
        <v>9.216407441630485E-3</v>
      </c>
      <c r="F978" s="374" t="s">
        <v>483</v>
      </c>
      <c r="G978" s="251" t="s">
        <v>16</v>
      </c>
      <c r="H978" s="381">
        <v>1</v>
      </c>
      <c r="I978" s="381">
        <v>2</v>
      </c>
      <c r="J978" s="381">
        <v>3</v>
      </c>
      <c r="K978" s="381">
        <v>3</v>
      </c>
      <c r="L978" s="253">
        <v>3</v>
      </c>
      <c r="M978" s="254">
        <f t="shared" si="31"/>
        <v>1.123005955058592</v>
      </c>
      <c r="N978" s="479" t="s">
        <v>484</v>
      </c>
    </row>
    <row r="979" spans="1:14" hidden="1" x14ac:dyDescent="0.2">
      <c r="A979" s="448" t="s">
        <v>466</v>
      </c>
      <c r="B979" s="436" t="s">
        <v>479</v>
      </c>
      <c r="C979" s="247" t="s">
        <v>40</v>
      </c>
      <c r="D979" s="453" t="s">
        <v>94</v>
      </c>
      <c r="E979" s="719">
        <v>7.8304494650753651E-3</v>
      </c>
      <c r="F979" s="374" t="s">
        <v>483</v>
      </c>
      <c r="G979" s="251" t="s">
        <v>16</v>
      </c>
      <c r="H979" s="381">
        <v>1</v>
      </c>
      <c r="I979" s="381">
        <v>2</v>
      </c>
      <c r="J979" s="381">
        <v>3</v>
      </c>
      <c r="K979" s="381">
        <v>3</v>
      </c>
      <c r="L979" s="253">
        <v>3</v>
      </c>
      <c r="M979" s="254">
        <f t="shared" si="31"/>
        <v>1.123005955058592</v>
      </c>
      <c r="N979" s="479" t="s">
        <v>484</v>
      </c>
    </row>
    <row r="980" spans="1:14" hidden="1" x14ac:dyDescent="0.2">
      <c r="A980" s="448" t="s">
        <v>466</v>
      </c>
      <c r="B980" s="436" t="s">
        <v>479</v>
      </c>
      <c r="C980" s="247" t="s">
        <v>41</v>
      </c>
      <c r="D980" s="453" t="s">
        <v>94</v>
      </c>
      <c r="E980" s="719">
        <v>1.11232E-2</v>
      </c>
      <c r="F980" s="374" t="s">
        <v>483</v>
      </c>
      <c r="G980" s="251" t="s">
        <v>16</v>
      </c>
      <c r="H980" s="381">
        <v>1</v>
      </c>
      <c r="I980" s="381">
        <v>2</v>
      </c>
      <c r="J980" s="381">
        <v>3</v>
      </c>
      <c r="K980" s="381">
        <v>3</v>
      </c>
      <c r="L980" s="253">
        <v>3</v>
      </c>
      <c r="M980" s="254">
        <f t="shared" si="31"/>
        <v>1.123005955058592</v>
      </c>
      <c r="N980" s="479" t="s">
        <v>484</v>
      </c>
    </row>
    <row r="981" spans="1:14" hidden="1" x14ac:dyDescent="0.2">
      <c r="A981" s="448" t="s">
        <v>466</v>
      </c>
      <c r="B981" s="436" t="s">
        <v>479</v>
      </c>
      <c r="C981" s="247" t="s">
        <v>42</v>
      </c>
      <c r="D981" s="453" t="s">
        <v>94</v>
      </c>
      <c r="E981" s="719">
        <v>8.1025250578257524E-4</v>
      </c>
      <c r="F981" s="374" t="s">
        <v>483</v>
      </c>
      <c r="G981" s="251" t="s">
        <v>16</v>
      </c>
      <c r="H981" s="381">
        <v>1</v>
      </c>
      <c r="I981" s="381">
        <v>2</v>
      </c>
      <c r="J981" s="381">
        <v>3</v>
      </c>
      <c r="K981" s="381">
        <v>3</v>
      </c>
      <c r="L981" s="253">
        <v>3</v>
      </c>
      <c r="M981" s="254">
        <f t="shared" si="31"/>
        <v>1.123005955058592</v>
      </c>
      <c r="N981" s="479" t="s">
        <v>484</v>
      </c>
    </row>
    <row r="982" spans="1:14" hidden="1" x14ac:dyDescent="0.2">
      <c r="A982" s="448" t="s">
        <v>466</v>
      </c>
      <c r="B982" s="436" t="s">
        <v>479</v>
      </c>
      <c r="C982" s="247" t="s">
        <v>43</v>
      </c>
      <c r="D982" s="453" t="s">
        <v>94</v>
      </c>
      <c r="E982" s="719">
        <v>7.233990341896852E-3</v>
      </c>
      <c r="F982" s="374" t="s">
        <v>483</v>
      </c>
      <c r="G982" s="251" t="s">
        <v>16</v>
      </c>
      <c r="H982" s="381">
        <v>1</v>
      </c>
      <c r="I982" s="381">
        <v>2</v>
      </c>
      <c r="J982" s="381">
        <v>3</v>
      </c>
      <c r="K982" s="381">
        <v>3</v>
      </c>
      <c r="L982" s="253">
        <v>3</v>
      </c>
      <c r="M982" s="254">
        <f t="shared" si="31"/>
        <v>1.123005955058592</v>
      </c>
      <c r="N982" s="479" t="s">
        <v>484</v>
      </c>
    </row>
    <row r="983" spans="1:14" x14ac:dyDescent="0.2">
      <c r="A983" s="448" t="s">
        <v>466</v>
      </c>
      <c r="B983" s="436" t="s">
        <v>479</v>
      </c>
      <c r="C983" s="247" t="s">
        <v>45</v>
      </c>
      <c r="D983" s="453" t="s">
        <v>94</v>
      </c>
      <c r="E983" s="719">
        <v>5.4605278269281403E-3</v>
      </c>
      <c r="F983" s="374" t="s">
        <v>483</v>
      </c>
      <c r="G983" s="251" t="s">
        <v>16</v>
      </c>
      <c r="H983" s="381">
        <v>1</v>
      </c>
      <c r="I983" s="381">
        <v>2</v>
      </c>
      <c r="J983" s="381">
        <v>3</v>
      </c>
      <c r="K983" s="381">
        <v>3</v>
      </c>
      <c r="L983" s="253">
        <v>3</v>
      </c>
      <c r="M983" s="254">
        <f t="shared" si="31"/>
        <v>1.123005955058592</v>
      </c>
      <c r="N983" s="479" t="s">
        <v>484</v>
      </c>
    </row>
    <row r="984" spans="1:14" hidden="1" x14ac:dyDescent="0.2">
      <c r="A984" s="448" t="s">
        <v>466</v>
      </c>
      <c r="B984" s="436" t="s">
        <v>479</v>
      </c>
      <c r="C984" s="247" t="s">
        <v>46</v>
      </c>
      <c r="D984" s="453" t="s">
        <v>94</v>
      </c>
      <c r="E984" s="719">
        <v>1.519807239105986E-2</v>
      </c>
      <c r="F984" s="374" t="s">
        <v>483</v>
      </c>
      <c r="G984" s="251" t="s">
        <v>16</v>
      </c>
      <c r="H984" s="381">
        <v>1</v>
      </c>
      <c r="I984" s="381">
        <v>2</v>
      </c>
      <c r="J984" s="381">
        <v>3</v>
      </c>
      <c r="K984" s="381">
        <v>3</v>
      </c>
      <c r="L984" s="253">
        <v>3</v>
      </c>
      <c r="M984" s="254">
        <f t="shared" si="31"/>
        <v>1.123005955058592</v>
      </c>
      <c r="N984" s="479" t="s">
        <v>484</v>
      </c>
    </row>
    <row r="985" spans="1:14" hidden="1" x14ac:dyDescent="0.2">
      <c r="A985" s="448" t="s">
        <v>466</v>
      </c>
      <c r="B985" s="436" t="s">
        <v>479</v>
      </c>
      <c r="C985" s="247" t="s">
        <v>48</v>
      </c>
      <c r="D985" s="453" t="s">
        <v>94</v>
      </c>
      <c r="E985" s="719">
        <v>1.517666986252026E-2</v>
      </c>
      <c r="F985" s="374" t="s">
        <v>483</v>
      </c>
      <c r="G985" s="251" t="s">
        <v>16</v>
      </c>
      <c r="H985" s="381">
        <v>1</v>
      </c>
      <c r="I985" s="381">
        <v>2</v>
      </c>
      <c r="J985" s="381">
        <v>3</v>
      </c>
      <c r="K985" s="381">
        <v>3</v>
      </c>
      <c r="L985" s="253">
        <v>3</v>
      </c>
      <c r="M985" s="254">
        <f t="shared" si="31"/>
        <v>1.123005955058592</v>
      </c>
      <c r="N985" s="479" t="s">
        <v>484</v>
      </c>
    </row>
    <row r="986" spans="1:14" hidden="1" x14ac:dyDescent="0.2">
      <c r="A986" s="448" t="s">
        <v>466</v>
      </c>
      <c r="B986" s="436" t="s">
        <v>479</v>
      </c>
      <c r="C986" s="247" t="s">
        <v>50</v>
      </c>
      <c r="D986" s="453" t="s">
        <v>94</v>
      </c>
      <c r="E986" s="719">
        <v>1.5913580577327471E-2</v>
      </c>
      <c r="F986" s="374" t="s">
        <v>483</v>
      </c>
      <c r="G986" s="251" t="s">
        <v>16</v>
      </c>
      <c r="H986" s="381">
        <v>1</v>
      </c>
      <c r="I986" s="381">
        <v>2</v>
      </c>
      <c r="J986" s="381">
        <v>3</v>
      </c>
      <c r="K986" s="381">
        <v>3</v>
      </c>
      <c r="L986" s="253">
        <v>3</v>
      </c>
      <c r="M986" s="254">
        <f t="shared" si="31"/>
        <v>1.123005955058592</v>
      </c>
      <c r="N986" s="479" t="s">
        <v>484</v>
      </c>
    </row>
    <row r="987" spans="1:14" hidden="1" x14ac:dyDescent="0.2">
      <c r="A987" s="448" t="s">
        <v>466</v>
      </c>
      <c r="B987" s="436" t="s">
        <v>479</v>
      </c>
      <c r="C987" s="247" t="s">
        <v>52</v>
      </c>
      <c r="D987" s="453" t="s">
        <v>94</v>
      </c>
      <c r="E987" s="719">
        <v>1.9720000000000001E-2</v>
      </c>
      <c r="F987" s="374" t="s">
        <v>483</v>
      </c>
      <c r="G987" s="251" t="s">
        <v>16</v>
      </c>
      <c r="H987" s="381">
        <v>1</v>
      </c>
      <c r="I987" s="381">
        <v>2</v>
      </c>
      <c r="J987" s="381">
        <v>3</v>
      </c>
      <c r="K987" s="381">
        <v>3</v>
      </c>
      <c r="L987" s="253">
        <v>3</v>
      </c>
      <c r="M987" s="254">
        <f t="shared" si="31"/>
        <v>1.123005955058592</v>
      </c>
      <c r="N987" s="479" t="s">
        <v>484</v>
      </c>
    </row>
    <row r="988" spans="1:14" hidden="1" x14ac:dyDescent="0.2">
      <c r="A988" s="448" t="s">
        <v>466</v>
      </c>
      <c r="B988" s="436" t="s">
        <v>479</v>
      </c>
      <c r="C988" s="247" t="s">
        <v>54</v>
      </c>
      <c r="D988" s="453" t="s">
        <v>94</v>
      </c>
      <c r="E988" s="719">
        <v>9.8103322700951994E-3</v>
      </c>
      <c r="F988" s="374" t="s">
        <v>483</v>
      </c>
      <c r="G988" s="251" t="s">
        <v>16</v>
      </c>
      <c r="H988" s="381">
        <v>1</v>
      </c>
      <c r="I988" s="381">
        <v>2</v>
      </c>
      <c r="J988" s="381">
        <v>3</v>
      </c>
      <c r="K988" s="381">
        <v>3</v>
      </c>
      <c r="L988" s="253">
        <v>3</v>
      </c>
      <c r="M988" s="254">
        <f t="shared" si="31"/>
        <v>1.123005955058592</v>
      </c>
      <c r="N988" s="479" t="s">
        <v>484</v>
      </c>
    </row>
    <row r="989" spans="1:14" hidden="1" x14ac:dyDescent="0.2">
      <c r="A989" s="448" t="s">
        <v>466</v>
      </c>
      <c r="B989" s="436" t="s">
        <v>479</v>
      </c>
      <c r="C989" s="247" t="s">
        <v>55</v>
      </c>
      <c r="D989" s="453" t="s">
        <v>94</v>
      </c>
      <c r="E989" s="719">
        <v>1.090293589864145E-2</v>
      </c>
      <c r="F989" s="374" t="s">
        <v>483</v>
      </c>
      <c r="G989" s="251" t="s">
        <v>16</v>
      </c>
      <c r="H989" s="381">
        <v>1</v>
      </c>
      <c r="I989" s="381">
        <v>2</v>
      </c>
      <c r="J989" s="381">
        <v>3</v>
      </c>
      <c r="K989" s="381">
        <v>3</v>
      </c>
      <c r="L989" s="253">
        <v>3</v>
      </c>
      <c r="M989" s="254">
        <f t="shared" si="31"/>
        <v>1.123005955058592</v>
      </c>
      <c r="N989" s="479" t="s">
        <v>484</v>
      </c>
    </row>
    <row r="990" spans="1:14" hidden="1" x14ac:dyDescent="0.2">
      <c r="A990" s="448" t="s">
        <v>466</v>
      </c>
      <c r="B990" s="436" t="s">
        <v>479</v>
      </c>
      <c r="C990" s="247" t="s">
        <v>57</v>
      </c>
      <c r="D990" s="453" t="s">
        <v>94</v>
      </c>
      <c r="E990" s="719">
        <v>6.3078157254540732E-3</v>
      </c>
      <c r="F990" s="374" t="s">
        <v>483</v>
      </c>
      <c r="G990" s="251" t="s">
        <v>16</v>
      </c>
      <c r="H990" s="381">
        <v>1</v>
      </c>
      <c r="I990" s="381">
        <v>2</v>
      </c>
      <c r="J990" s="381">
        <v>3</v>
      </c>
      <c r="K990" s="381">
        <v>3</v>
      </c>
      <c r="L990" s="253">
        <v>3</v>
      </c>
      <c r="M990" s="254">
        <f t="shared" si="31"/>
        <v>1.123005955058592</v>
      </c>
      <c r="N990" s="479" t="s">
        <v>484</v>
      </c>
    </row>
    <row r="991" spans="1:14" hidden="1" x14ac:dyDescent="0.2">
      <c r="A991" s="448" t="s">
        <v>466</v>
      </c>
      <c r="B991" s="436" t="s">
        <v>479</v>
      </c>
      <c r="C991" s="247" t="s">
        <v>59</v>
      </c>
      <c r="D991" s="453" t="s">
        <v>94</v>
      </c>
      <c r="E991" s="719">
        <v>6.1191000000000006E-3</v>
      </c>
      <c r="F991" s="374" t="s">
        <v>483</v>
      </c>
      <c r="G991" s="251" t="s">
        <v>16</v>
      </c>
      <c r="H991" s="381">
        <v>1</v>
      </c>
      <c r="I991" s="381">
        <v>2</v>
      </c>
      <c r="J991" s="381">
        <v>3</v>
      </c>
      <c r="K991" s="381">
        <v>3</v>
      </c>
      <c r="L991" s="253">
        <v>3</v>
      </c>
      <c r="M991" s="254">
        <f t="shared" si="31"/>
        <v>1.123005955058592</v>
      </c>
      <c r="N991" s="479" t="s">
        <v>484</v>
      </c>
    </row>
    <row r="992" spans="1:14" hidden="1" x14ac:dyDescent="0.2">
      <c r="A992" s="448" t="s">
        <v>466</v>
      </c>
      <c r="B992" s="436" t="s">
        <v>479</v>
      </c>
      <c r="C992" s="247" t="s">
        <v>60</v>
      </c>
      <c r="D992" s="453" t="s">
        <v>94</v>
      </c>
      <c r="E992" s="719">
        <v>8.6528451275188906E-3</v>
      </c>
      <c r="F992" s="374" t="s">
        <v>483</v>
      </c>
      <c r="G992" s="251" t="s">
        <v>16</v>
      </c>
      <c r="H992" s="381">
        <v>1</v>
      </c>
      <c r="I992" s="381">
        <v>2</v>
      </c>
      <c r="J992" s="381">
        <v>3</v>
      </c>
      <c r="K992" s="381">
        <v>3</v>
      </c>
      <c r="L992" s="253">
        <v>3</v>
      </c>
      <c r="M992" s="254">
        <f t="shared" si="31"/>
        <v>1.123005955058592</v>
      </c>
      <c r="N992" s="479" t="s">
        <v>484</v>
      </c>
    </row>
    <row r="993" spans="1:14" hidden="1" x14ac:dyDescent="0.2">
      <c r="A993" s="448" t="s">
        <v>466</v>
      </c>
      <c r="B993" s="436" t="s">
        <v>480</v>
      </c>
      <c r="C993" s="247" t="s">
        <v>13</v>
      </c>
      <c r="D993" s="453" t="s">
        <v>94</v>
      </c>
      <c r="E993" s="719">
        <v>1.4151000000000001E-3</v>
      </c>
      <c r="F993" s="374" t="s">
        <v>483</v>
      </c>
      <c r="G993" s="251" t="s">
        <v>16</v>
      </c>
      <c r="H993" s="381">
        <v>1</v>
      </c>
      <c r="I993" s="381">
        <v>2</v>
      </c>
      <c r="J993" s="381">
        <v>3</v>
      </c>
      <c r="K993" s="381">
        <v>3</v>
      </c>
      <c r="L993" s="253">
        <v>3</v>
      </c>
      <c r="M993" s="254">
        <f t="shared" si="31"/>
        <v>1.123005955058592</v>
      </c>
      <c r="N993" s="479" t="s">
        <v>484</v>
      </c>
    </row>
    <row r="994" spans="1:14" hidden="1" x14ac:dyDescent="0.2">
      <c r="A994" s="448" t="s">
        <v>466</v>
      </c>
      <c r="B994" s="436" t="s">
        <v>480</v>
      </c>
      <c r="C994" s="247" t="s">
        <v>18</v>
      </c>
      <c r="D994" s="453" t="s">
        <v>94</v>
      </c>
      <c r="E994" s="719">
        <v>6.5055668664425288E-3</v>
      </c>
      <c r="F994" s="374" t="s">
        <v>483</v>
      </c>
      <c r="G994" s="251" t="s">
        <v>16</v>
      </c>
      <c r="H994" s="381">
        <v>1</v>
      </c>
      <c r="I994" s="381">
        <v>2</v>
      </c>
      <c r="J994" s="381">
        <v>3</v>
      </c>
      <c r="K994" s="381">
        <v>3</v>
      </c>
      <c r="L994" s="253">
        <v>3</v>
      </c>
      <c r="M994" s="254">
        <f t="shared" si="31"/>
        <v>1.123005955058592</v>
      </c>
      <c r="N994" s="479" t="s">
        <v>484</v>
      </c>
    </row>
    <row r="995" spans="1:14" hidden="1" x14ac:dyDescent="0.2">
      <c r="A995" s="448" t="s">
        <v>466</v>
      </c>
      <c r="B995" s="436" t="s">
        <v>480</v>
      </c>
      <c r="C995" s="247" t="s">
        <v>20</v>
      </c>
      <c r="D995" s="453" t="s">
        <v>94</v>
      </c>
      <c r="E995" s="719">
        <v>8.7418371715382321E-3</v>
      </c>
      <c r="F995" s="374" t="s">
        <v>483</v>
      </c>
      <c r="G995" s="251" t="s">
        <v>16</v>
      </c>
      <c r="H995" s="381">
        <v>1</v>
      </c>
      <c r="I995" s="381">
        <v>2</v>
      </c>
      <c r="J995" s="381">
        <v>3</v>
      </c>
      <c r="K995" s="381">
        <v>3</v>
      </c>
      <c r="L995" s="253">
        <v>3</v>
      </c>
      <c r="M995" s="254">
        <f t="shared" si="31"/>
        <v>1.123005955058592</v>
      </c>
      <c r="N995" s="479" t="s">
        <v>484</v>
      </c>
    </row>
    <row r="996" spans="1:14" hidden="1" x14ac:dyDescent="0.2">
      <c r="A996" s="448" t="s">
        <v>466</v>
      </c>
      <c r="B996" s="436" t="s">
        <v>480</v>
      </c>
      <c r="C996" s="247" t="s">
        <v>22</v>
      </c>
      <c r="D996" s="453" t="s">
        <v>94</v>
      </c>
      <c r="E996" s="719">
        <v>1.9959900412596541E-3</v>
      </c>
      <c r="F996" s="374" t="s">
        <v>483</v>
      </c>
      <c r="G996" s="251" t="s">
        <v>16</v>
      </c>
      <c r="H996" s="381">
        <v>1</v>
      </c>
      <c r="I996" s="381">
        <v>2</v>
      </c>
      <c r="J996" s="381">
        <v>3</v>
      </c>
      <c r="K996" s="381">
        <v>3</v>
      </c>
      <c r="L996" s="253">
        <v>3</v>
      </c>
      <c r="M996" s="254">
        <f>IF( OR( ISBLANK(H996),ISBLANK(I996), ISBLANK(J996), ISBLANK(K996), ISBLANK(L996) ), "", 1.5*SQRT(   EXP(2.21*(H996-1)) + EXP(2.21*(I996-1)) + EXP(2.21*(J996-1)) + EXP(2.21*(K996-1)) + EXP(2.21*L996)   )/100*2.45 )</f>
        <v>1.123005955058592</v>
      </c>
      <c r="N996" s="479" t="s">
        <v>484</v>
      </c>
    </row>
    <row r="997" spans="1:14" hidden="1" x14ac:dyDescent="0.2">
      <c r="A997" s="448" t="s">
        <v>466</v>
      </c>
      <c r="B997" s="436" t="s">
        <v>480</v>
      </c>
      <c r="C997" s="247" t="s">
        <v>23</v>
      </c>
      <c r="D997" s="453" t="s">
        <v>94</v>
      </c>
      <c r="E997" s="719">
        <v>4.1607574078535289E-3</v>
      </c>
      <c r="F997" s="374" t="s">
        <v>483</v>
      </c>
      <c r="G997" s="251" t="s">
        <v>16</v>
      </c>
      <c r="H997" s="381">
        <v>1</v>
      </c>
      <c r="I997" s="381">
        <v>2</v>
      </c>
      <c r="J997" s="381">
        <v>3</v>
      </c>
      <c r="K997" s="381">
        <v>3</v>
      </c>
      <c r="L997" s="253">
        <v>3</v>
      </c>
      <c r="M997" s="254">
        <f t="shared" ref="M997:M1027" si="32">IF( OR( ISBLANK(H997),ISBLANK(I997), ISBLANK(J997), ISBLANK(K997), ISBLANK(L997) ), "", 1.5*SQRT( EXP(2.21*(H997-1)) + EXP(2.21*(I997-1)) + EXP(2.21*(J997-1)) + EXP(2.21*(K997-1)) + EXP(2.21*L997) )/100*2.45 )</f>
        <v>1.123005955058592</v>
      </c>
      <c r="N997" s="479" t="s">
        <v>484</v>
      </c>
    </row>
    <row r="998" spans="1:14" hidden="1" x14ac:dyDescent="0.2">
      <c r="A998" s="448" t="s">
        <v>466</v>
      </c>
      <c r="B998" s="436" t="s">
        <v>480</v>
      </c>
      <c r="C998" s="247" t="s">
        <v>24</v>
      </c>
      <c r="D998" s="453" t="s">
        <v>94</v>
      </c>
      <c r="E998" s="719">
        <v>6.5715000000000001E-3</v>
      </c>
      <c r="F998" s="374" t="s">
        <v>483</v>
      </c>
      <c r="G998" s="251" t="s">
        <v>16</v>
      </c>
      <c r="H998" s="381">
        <v>1</v>
      </c>
      <c r="I998" s="381">
        <v>2</v>
      </c>
      <c r="J998" s="381">
        <v>3</v>
      </c>
      <c r="K998" s="381">
        <v>3</v>
      </c>
      <c r="L998" s="253">
        <v>3</v>
      </c>
      <c r="M998" s="254">
        <f t="shared" si="32"/>
        <v>1.123005955058592</v>
      </c>
      <c r="N998" s="479" t="s">
        <v>484</v>
      </c>
    </row>
    <row r="999" spans="1:14" hidden="1" x14ac:dyDescent="0.2">
      <c r="A999" s="448" t="s">
        <v>466</v>
      </c>
      <c r="B999" s="436" t="s">
        <v>480</v>
      </c>
      <c r="C999" s="247" t="s">
        <v>25</v>
      </c>
      <c r="D999" s="453" t="s">
        <v>94</v>
      </c>
      <c r="E999" s="719">
        <v>3.008363712972746E-3</v>
      </c>
      <c r="F999" s="374" t="s">
        <v>483</v>
      </c>
      <c r="G999" s="251" t="s">
        <v>16</v>
      </c>
      <c r="H999" s="381">
        <v>1</v>
      </c>
      <c r="I999" s="381">
        <v>2</v>
      </c>
      <c r="J999" s="381">
        <v>3</v>
      </c>
      <c r="K999" s="381">
        <v>3</v>
      </c>
      <c r="L999" s="253">
        <v>3</v>
      </c>
      <c r="M999" s="254">
        <f t="shared" si="32"/>
        <v>1.123005955058592</v>
      </c>
      <c r="N999" s="479" t="s">
        <v>484</v>
      </c>
    </row>
    <row r="1000" spans="1:14" hidden="1" x14ac:dyDescent="0.2">
      <c r="A1000" s="448" t="s">
        <v>466</v>
      </c>
      <c r="B1000" s="436" t="s">
        <v>480</v>
      </c>
      <c r="C1000" s="247" t="s">
        <v>26</v>
      </c>
      <c r="D1000" s="453" t="s">
        <v>94</v>
      </c>
      <c r="E1000" s="719">
        <v>8.7789403994845345E-4</v>
      </c>
      <c r="F1000" s="374" t="s">
        <v>483</v>
      </c>
      <c r="G1000" s="251" t="s">
        <v>16</v>
      </c>
      <c r="H1000" s="381">
        <v>1</v>
      </c>
      <c r="I1000" s="381">
        <v>2</v>
      </c>
      <c r="J1000" s="381">
        <v>3</v>
      </c>
      <c r="K1000" s="381">
        <v>3</v>
      </c>
      <c r="L1000" s="253">
        <v>3</v>
      </c>
      <c r="M1000" s="254">
        <f t="shared" si="32"/>
        <v>1.123005955058592</v>
      </c>
      <c r="N1000" s="479" t="s">
        <v>484</v>
      </c>
    </row>
    <row r="1001" spans="1:14" hidden="1" x14ac:dyDescent="0.2">
      <c r="A1001" s="448" t="s">
        <v>466</v>
      </c>
      <c r="B1001" s="436" t="s">
        <v>480</v>
      </c>
      <c r="C1001" s="247" t="s">
        <v>27</v>
      </c>
      <c r="D1001" s="453" t="s">
        <v>94</v>
      </c>
      <c r="E1001" s="719">
        <v>4.725560617276369E-4</v>
      </c>
      <c r="F1001" s="374" t="s">
        <v>483</v>
      </c>
      <c r="G1001" s="251" t="s">
        <v>16</v>
      </c>
      <c r="H1001" s="381">
        <v>1</v>
      </c>
      <c r="I1001" s="381">
        <v>2</v>
      </c>
      <c r="J1001" s="381">
        <v>3</v>
      </c>
      <c r="K1001" s="381">
        <v>3</v>
      </c>
      <c r="L1001" s="253">
        <v>3</v>
      </c>
      <c r="M1001" s="254">
        <f t="shared" si="32"/>
        <v>1.123005955058592</v>
      </c>
      <c r="N1001" s="479" t="s">
        <v>484</v>
      </c>
    </row>
    <row r="1002" spans="1:14" hidden="1" x14ac:dyDescent="0.2">
      <c r="A1002" s="448" t="s">
        <v>466</v>
      </c>
      <c r="B1002" s="436" t="s">
        <v>480</v>
      </c>
      <c r="C1002" s="247" t="s">
        <v>28</v>
      </c>
      <c r="D1002" s="453" t="s">
        <v>94</v>
      </c>
      <c r="E1002" s="719">
        <v>5.6155385663776251E-3</v>
      </c>
      <c r="F1002" s="374" t="s">
        <v>483</v>
      </c>
      <c r="G1002" s="251" t="s">
        <v>16</v>
      </c>
      <c r="H1002" s="381">
        <v>1</v>
      </c>
      <c r="I1002" s="381">
        <v>2</v>
      </c>
      <c r="J1002" s="381">
        <v>3</v>
      </c>
      <c r="K1002" s="381">
        <v>3</v>
      </c>
      <c r="L1002" s="253">
        <v>3</v>
      </c>
      <c r="M1002" s="254">
        <f t="shared" si="32"/>
        <v>1.123005955058592</v>
      </c>
      <c r="N1002" s="479" t="s">
        <v>484</v>
      </c>
    </row>
    <row r="1003" spans="1:14" hidden="1" x14ac:dyDescent="0.2">
      <c r="A1003" s="448" t="s">
        <v>466</v>
      </c>
      <c r="B1003" s="436" t="s">
        <v>480</v>
      </c>
      <c r="C1003" s="247" t="s">
        <v>30</v>
      </c>
      <c r="D1003" s="453" t="s">
        <v>94</v>
      </c>
      <c r="E1003" s="719">
        <v>3.655494492134554E-3</v>
      </c>
      <c r="F1003" s="374" t="s">
        <v>483</v>
      </c>
      <c r="G1003" s="251" t="s">
        <v>16</v>
      </c>
      <c r="H1003" s="381">
        <v>1</v>
      </c>
      <c r="I1003" s="381">
        <v>2</v>
      </c>
      <c r="J1003" s="381">
        <v>3</v>
      </c>
      <c r="K1003" s="381">
        <v>3</v>
      </c>
      <c r="L1003" s="253">
        <v>3</v>
      </c>
      <c r="M1003" s="254">
        <f t="shared" si="32"/>
        <v>1.123005955058592</v>
      </c>
      <c r="N1003" s="479" t="s">
        <v>484</v>
      </c>
    </row>
    <row r="1004" spans="1:14" hidden="1" x14ac:dyDescent="0.2">
      <c r="A1004" s="448" t="s">
        <v>466</v>
      </c>
      <c r="B1004" s="436" t="s">
        <v>480</v>
      </c>
      <c r="C1004" s="247" t="s">
        <v>32</v>
      </c>
      <c r="D1004" s="453" t="s">
        <v>94</v>
      </c>
      <c r="E1004" s="719">
        <v>4.9577080653939974E-3</v>
      </c>
      <c r="F1004" s="374" t="s">
        <v>483</v>
      </c>
      <c r="G1004" s="251" t="s">
        <v>16</v>
      </c>
      <c r="H1004" s="381">
        <v>1</v>
      </c>
      <c r="I1004" s="381">
        <v>2</v>
      </c>
      <c r="J1004" s="381">
        <v>3</v>
      </c>
      <c r="K1004" s="381">
        <v>3</v>
      </c>
      <c r="L1004" s="253">
        <v>3</v>
      </c>
      <c r="M1004" s="254">
        <f t="shared" si="32"/>
        <v>1.123005955058592</v>
      </c>
      <c r="N1004" s="479" t="s">
        <v>484</v>
      </c>
    </row>
    <row r="1005" spans="1:14" hidden="1" x14ac:dyDescent="0.2">
      <c r="A1005" s="448" t="s">
        <v>466</v>
      </c>
      <c r="B1005" s="436" t="s">
        <v>480</v>
      </c>
      <c r="C1005" s="247" t="s">
        <v>34</v>
      </c>
      <c r="D1005" s="453" t="s">
        <v>94</v>
      </c>
      <c r="E1005" s="719">
        <v>8.0909999999999992E-3</v>
      </c>
      <c r="F1005" s="374" t="s">
        <v>483</v>
      </c>
      <c r="G1005" s="251" t="s">
        <v>16</v>
      </c>
      <c r="H1005" s="381">
        <v>1</v>
      </c>
      <c r="I1005" s="381">
        <v>2</v>
      </c>
      <c r="J1005" s="381">
        <v>3</v>
      </c>
      <c r="K1005" s="381">
        <v>3</v>
      </c>
      <c r="L1005" s="253">
        <v>3</v>
      </c>
      <c r="M1005" s="254">
        <f t="shared" si="32"/>
        <v>1.123005955058592</v>
      </c>
      <c r="N1005" s="479" t="s">
        <v>484</v>
      </c>
    </row>
    <row r="1006" spans="1:14" hidden="1" x14ac:dyDescent="0.2">
      <c r="A1006" s="448" t="s">
        <v>466</v>
      </c>
      <c r="B1006" s="436" t="s">
        <v>480</v>
      </c>
      <c r="C1006" s="247" t="s">
        <v>36</v>
      </c>
      <c r="D1006" s="453" t="s">
        <v>94</v>
      </c>
      <c r="E1006" s="719">
        <v>5.423107253442256E-4</v>
      </c>
      <c r="F1006" s="374" t="s">
        <v>483</v>
      </c>
      <c r="G1006" s="251" t="s">
        <v>16</v>
      </c>
      <c r="H1006" s="381">
        <v>1</v>
      </c>
      <c r="I1006" s="381">
        <v>2</v>
      </c>
      <c r="J1006" s="381">
        <v>3</v>
      </c>
      <c r="K1006" s="381">
        <v>3</v>
      </c>
      <c r="L1006" s="253">
        <v>3</v>
      </c>
      <c r="M1006" s="254">
        <f t="shared" si="32"/>
        <v>1.123005955058592</v>
      </c>
      <c r="N1006" s="479" t="s">
        <v>484</v>
      </c>
    </row>
    <row r="1007" spans="1:14" hidden="1" x14ac:dyDescent="0.2">
      <c r="A1007" s="448" t="s">
        <v>466</v>
      </c>
      <c r="B1007" s="436" t="s">
        <v>480</v>
      </c>
      <c r="C1007" s="247" t="s">
        <v>37</v>
      </c>
      <c r="D1007" s="453" t="s">
        <v>94</v>
      </c>
      <c r="E1007" s="719">
        <v>7.6467336519535582E-3</v>
      </c>
      <c r="F1007" s="374" t="s">
        <v>483</v>
      </c>
      <c r="G1007" s="251" t="s">
        <v>16</v>
      </c>
      <c r="H1007" s="381">
        <v>1</v>
      </c>
      <c r="I1007" s="381">
        <v>2</v>
      </c>
      <c r="J1007" s="381">
        <v>3</v>
      </c>
      <c r="K1007" s="381">
        <v>3</v>
      </c>
      <c r="L1007" s="253">
        <v>3</v>
      </c>
      <c r="M1007" s="254">
        <f t="shared" si="32"/>
        <v>1.123005955058592</v>
      </c>
      <c r="N1007" s="479" t="s">
        <v>484</v>
      </c>
    </row>
    <row r="1008" spans="1:14" hidden="1" x14ac:dyDescent="0.2">
      <c r="A1008" s="448" t="s">
        <v>466</v>
      </c>
      <c r="B1008" s="436" t="s">
        <v>480</v>
      </c>
      <c r="C1008" s="247" t="s">
        <v>39</v>
      </c>
      <c r="D1008" s="453" t="s">
        <v>94</v>
      </c>
      <c r="E1008" s="719">
        <v>1.836127743869462E-3</v>
      </c>
      <c r="F1008" s="374" t="s">
        <v>483</v>
      </c>
      <c r="G1008" s="251" t="s">
        <v>16</v>
      </c>
      <c r="H1008" s="381">
        <v>1</v>
      </c>
      <c r="I1008" s="381">
        <v>2</v>
      </c>
      <c r="J1008" s="381">
        <v>3</v>
      </c>
      <c r="K1008" s="381">
        <v>3</v>
      </c>
      <c r="L1008" s="253">
        <v>3</v>
      </c>
      <c r="M1008" s="254">
        <f t="shared" si="32"/>
        <v>1.123005955058592</v>
      </c>
      <c r="N1008" s="479" t="s">
        <v>484</v>
      </c>
    </row>
    <row r="1009" spans="1:14" hidden="1" x14ac:dyDescent="0.2">
      <c r="A1009" s="448" t="s">
        <v>466</v>
      </c>
      <c r="B1009" s="436" t="s">
        <v>480</v>
      </c>
      <c r="C1009" s="247" t="s">
        <v>40</v>
      </c>
      <c r="D1009" s="453" t="s">
        <v>94</v>
      </c>
      <c r="E1009" s="719">
        <v>4.035014217108078E-3</v>
      </c>
      <c r="F1009" s="374" t="s">
        <v>483</v>
      </c>
      <c r="G1009" s="251" t="s">
        <v>16</v>
      </c>
      <c r="H1009" s="381">
        <v>1</v>
      </c>
      <c r="I1009" s="381">
        <v>2</v>
      </c>
      <c r="J1009" s="381">
        <v>3</v>
      </c>
      <c r="K1009" s="381">
        <v>3</v>
      </c>
      <c r="L1009" s="253">
        <v>3</v>
      </c>
      <c r="M1009" s="254">
        <f t="shared" si="32"/>
        <v>1.123005955058592</v>
      </c>
      <c r="N1009" s="479" t="s">
        <v>484</v>
      </c>
    </row>
    <row r="1010" spans="1:14" hidden="1" x14ac:dyDescent="0.2">
      <c r="A1010" s="448" t="s">
        <v>466</v>
      </c>
      <c r="B1010" s="436" t="s">
        <v>480</v>
      </c>
      <c r="C1010" s="247" t="s">
        <v>41</v>
      </c>
      <c r="D1010" s="453" t="s">
        <v>94</v>
      </c>
      <c r="E1010" s="719">
        <v>3.4443999999999998E-3</v>
      </c>
      <c r="F1010" s="374" t="s">
        <v>483</v>
      </c>
      <c r="G1010" s="251" t="s">
        <v>16</v>
      </c>
      <c r="H1010" s="381">
        <v>1</v>
      </c>
      <c r="I1010" s="381">
        <v>2</v>
      </c>
      <c r="J1010" s="381">
        <v>3</v>
      </c>
      <c r="K1010" s="381">
        <v>3</v>
      </c>
      <c r="L1010" s="253">
        <v>3</v>
      </c>
      <c r="M1010" s="254">
        <f t="shared" si="32"/>
        <v>1.123005955058592</v>
      </c>
      <c r="N1010" s="479" t="s">
        <v>484</v>
      </c>
    </row>
    <row r="1011" spans="1:14" hidden="1" x14ac:dyDescent="0.2">
      <c r="A1011" s="448" t="s">
        <v>466</v>
      </c>
      <c r="B1011" s="436" t="s">
        <v>480</v>
      </c>
      <c r="C1011" s="247" t="s">
        <v>42</v>
      </c>
      <c r="D1011" s="453" t="s">
        <v>94</v>
      </c>
      <c r="E1011" s="719">
        <v>5.4715875096376259E-4</v>
      </c>
      <c r="F1011" s="374" t="s">
        <v>483</v>
      </c>
      <c r="G1011" s="251" t="s">
        <v>16</v>
      </c>
      <c r="H1011" s="381">
        <v>1</v>
      </c>
      <c r="I1011" s="381">
        <v>2</v>
      </c>
      <c r="J1011" s="381">
        <v>3</v>
      </c>
      <c r="K1011" s="381">
        <v>3</v>
      </c>
      <c r="L1011" s="253">
        <v>3</v>
      </c>
      <c r="M1011" s="254">
        <f t="shared" si="32"/>
        <v>1.123005955058592</v>
      </c>
      <c r="N1011" s="479" t="s">
        <v>484</v>
      </c>
    </row>
    <row r="1012" spans="1:14" hidden="1" x14ac:dyDescent="0.2">
      <c r="A1012" s="448" t="s">
        <v>466</v>
      </c>
      <c r="B1012" s="436" t="s">
        <v>480</v>
      </c>
      <c r="C1012" s="247" t="s">
        <v>43</v>
      </c>
      <c r="D1012" s="453" t="s">
        <v>94</v>
      </c>
      <c r="E1012" s="719">
        <v>3.1274770275117971E-3</v>
      </c>
      <c r="F1012" s="374" t="s">
        <v>483</v>
      </c>
      <c r="G1012" s="251" t="s">
        <v>16</v>
      </c>
      <c r="H1012" s="381">
        <v>1</v>
      </c>
      <c r="I1012" s="381">
        <v>2</v>
      </c>
      <c r="J1012" s="381">
        <v>3</v>
      </c>
      <c r="K1012" s="381">
        <v>3</v>
      </c>
      <c r="L1012" s="253">
        <v>3</v>
      </c>
      <c r="M1012" s="254">
        <f t="shared" si="32"/>
        <v>1.123005955058592</v>
      </c>
      <c r="N1012" s="479" t="s">
        <v>484</v>
      </c>
    </row>
    <row r="1013" spans="1:14" x14ac:dyDescent="0.2">
      <c r="A1013" s="448" t="s">
        <v>466</v>
      </c>
      <c r="B1013" s="436" t="s">
        <v>480</v>
      </c>
      <c r="C1013" s="247" t="s">
        <v>45</v>
      </c>
      <c r="D1013" s="453" t="s">
        <v>94</v>
      </c>
      <c r="E1013" s="719">
        <v>2.159530779011129E-4</v>
      </c>
      <c r="F1013" s="374" t="s">
        <v>483</v>
      </c>
      <c r="G1013" s="251" t="s">
        <v>16</v>
      </c>
      <c r="H1013" s="381">
        <v>1</v>
      </c>
      <c r="I1013" s="381">
        <v>2</v>
      </c>
      <c r="J1013" s="381">
        <v>3</v>
      </c>
      <c r="K1013" s="381">
        <v>3</v>
      </c>
      <c r="L1013" s="253">
        <v>3</v>
      </c>
      <c r="M1013" s="254">
        <f t="shared" si="32"/>
        <v>1.123005955058592</v>
      </c>
      <c r="N1013" s="479" t="s">
        <v>484</v>
      </c>
    </row>
    <row r="1014" spans="1:14" hidden="1" x14ac:dyDescent="0.2">
      <c r="A1014" s="448" t="s">
        <v>466</v>
      </c>
      <c r="B1014" s="436" t="s">
        <v>480</v>
      </c>
      <c r="C1014" s="247" t="s">
        <v>46</v>
      </c>
      <c r="D1014" s="453" t="s">
        <v>94</v>
      </c>
      <c r="E1014" s="719">
        <v>8.9234029098101061E-3</v>
      </c>
      <c r="F1014" s="374" t="s">
        <v>483</v>
      </c>
      <c r="G1014" s="251" t="s">
        <v>16</v>
      </c>
      <c r="H1014" s="381">
        <v>1</v>
      </c>
      <c r="I1014" s="381">
        <v>2</v>
      </c>
      <c r="J1014" s="381">
        <v>3</v>
      </c>
      <c r="K1014" s="381">
        <v>3</v>
      </c>
      <c r="L1014" s="253">
        <v>3</v>
      </c>
      <c r="M1014" s="254">
        <f t="shared" si="32"/>
        <v>1.123005955058592</v>
      </c>
      <c r="N1014" s="479" t="s">
        <v>484</v>
      </c>
    </row>
    <row r="1015" spans="1:14" hidden="1" x14ac:dyDescent="0.2">
      <c r="A1015" s="448" t="s">
        <v>466</v>
      </c>
      <c r="B1015" s="436" t="s">
        <v>480</v>
      </c>
      <c r="C1015" s="247" t="s">
        <v>48</v>
      </c>
      <c r="D1015" s="453" t="s">
        <v>94</v>
      </c>
      <c r="E1015" s="719">
        <v>3.2940042444617882E-3</v>
      </c>
      <c r="F1015" s="374" t="s">
        <v>483</v>
      </c>
      <c r="G1015" s="251" t="s">
        <v>16</v>
      </c>
      <c r="H1015" s="381">
        <v>1</v>
      </c>
      <c r="I1015" s="381">
        <v>2</v>
      </c>
      <c r="J1015" s="381">
        <v>3</v>
      </c>
      <c r="K1015" s="381">
        <v>3</v>
      </c>
      <c r="L1015" s="253">
        <v>3</v>
      </c>
      <c r="M1015" s="254">
        <f t="shared" si="32"/>
        <v>1.123005955058592</v>
      </c>
      <c r="N1015" s="479" t="s">
        <v>484</v>
      </c>
    </row>
    <row r="1016" spans="1:14" hidden="1" x14ac:dyDescent="0.2">
      <c r="A1016" s="448" t="s">
        <v>466</v>
      </c>
      <c r="B1016" s="436" t="s">
        <v>480</v>
      </c>
      <c r="C1016" s="247" t="s">
        <v>50</v>
      </c>
      <c r="D1016" s="453" t="s">
        <v>94</v>
      </c>
      <c r="E1016" s="719">
        <v>8.4354914930223658E-3</v>
      </c>
      <c r="F1016" s="374" t="s">
        <v>483</v>
      </c>
      <c r="G1016" s="251" t="s">
        <v>16</v>
      </c>
      <c r="H1016" s="381">
        <v>1</v>
      </c>
      <c r="I1016" s="381">
        <v>2</v>
      </c>
      <c r="J1016" s="381">
        <v>3</v>
      </c>
      <c r="K1016" s="381">
        <v>3</v>
      </c>
      <c r="L1016" s="253">
        <v>3</v>
      </c>
      <c r="M1016" s="254">
        <f t="shared" si="32"/>
        <v>1.123005955058592</v>
      </c>
      <c r="N1016" s="479" t="s">
        <v>484</v>
      </c>
    </row>
    <row r="1017" spans="1:14" hidden="1" x14ac:dyDescent="0.2">
      <c r="A1017" s="448" t="s">
        <v>466</v>
      </c>
      <c r="B1017" s="436" t="s">
        <v>480</v>
      </c>
      <c r="C1017" s="247" t="s">
        <v>52</v>
      </c>
      <c r="D1017" s="453" t="s">
        <v>94</v>
      </c>
      <c r="E1017" s="719">
        <v>7.9750000000000012E-3</v>
      </c>
      <c r="F1017" s="374" t="s">
        <v>483</v>
      </c>
      <c r="G1017" s="251" t="s">
        <v>16</v>
      </c>
      <c r="H1017" s="381">
        <v>1</v>
      </c>
      <c r="I1017" s="381">
        <v>2</v>
      </c>
      <c r="J1017" s="381">
        <v>3</v>
      </c>
      <c r="K1017" s="381">
        <v>3</v>
      </c>
      <c r="L1017" s="253">
        <v>3</v>
      </c>
      <c r="M1017" s="254">
        <f t="shared" si="32"/>
        <v>1.123005955058592</v>
      </c>
      <c r="N1017" s="479" t="s">
        <v>484</v>
      </c>
    </row>
    <row r="1018" spans="1:14" hidden="1" x14ac:dyDescent="0.2">
      <c r="A1018" s="448" t="s">
        <v>466</v>
      </c>
      <c r="B1018" s="436" t="s">
        <v>480</v>
      </c>
      <c r="C1018" s="247" t="s">
        <v>54</v>
      </c>
      <c r="D1018" s="453" t="s">
        <v>94</v>
      </c>
      <c r="E1018" s="719">
        <v>1.2831587987044851E-3</v>
      </c>
      <c r="F1018" s="374" t="s">
        <v>483</v>
      </c>
      <c r="G1018" s="251" t="s">
        <v>16</v>
      </c>
      <c r="H1018" s="381">
        <v>1</v>
      </c>
      <c r="I1018" s="381">
        <v>2</v>
      </c>
      <c r="J1018" s="381">
        <v>3</v>
      </c>
      <c r="K1018" s="381">
        <v>3</v>
      </c>
      <c r="L1018" s="253">
        <v>3</v>
      </c>
      <c r="M1018" s="254">
        <f t="shared" si="32"/>
        <v>1.123005955058592</v>
      </c>
      <c r="N1018" s="479" t="s">
        <v>484</v>
      </c>
    </row>
    <row r="1019" spans="1:14" hidden="1" x14ac:dyDescent="0.2">
      <c r="A1019" s="448" t="s">
        <v>466</v>
      </c>
      <c r="B1019" s="436" t="s">
        <v>480</v>
      </c>
      <c r="C1019" s="247" t="s">
        <v>55</v>
      </c>
      <c r="D1019" s="453" t="s">
        <v>94</v>
      </c>
      <c r="E1019" s="719">
        <v>4.4127096546938789E-3</v>
      </c>
      <c r="F1019" s="374" t="s">
        <v>483</v>
      </c>
      <c r="G1019" s="251" t="s">
        <v>16</v>
      </c>
      <c r="H1019" s="381">
        <v>1</v>
      </c>
      <c r="I1019" s="381">
        <v>2</v>
      </c>
      <c r="J1019" s="381">
        <v>3</v>
      </c>
      <c r="K1019" s="381">
        <v>3</v>
      </c>
      <c r="L1019" s="253">
        <v>3</v>
      </c>
      <c r="M1019" s="254">
        <f t="shared" si="32"/>
        <v>1.123005955058592</v>
      </c>
      <c r="N1019" s="479" t="s">
        <v>484</v>
      </c>
    </row>
    <row r="1020" spans="1:14" hidden="1" x14ac:dyDescent="0.2">
      <c r="A1020" s="448" t="s">
        <v>466</v>
      </c>
      <c r="B1020" s="436" t="s">
        <v>480</v>
      </c>
      <c r="C1020" s="247" t="s">
        <v>57</v>
      </c>
      <c r="D1020" s="453" t="s">
        <v>94</v>
      </c>
      <c r="E1020" s="719">
        <v>3.1938307470653541E-4</v>
      </c>
      <c r="F1020" s="374" t="s">
        <v>483</v>
      </c>
      <c r="G1020" s="251" t="s">
        <v>16</v>
      </c>
      <c r="H1020" s="381">
        <v>1</v>
      </c>
      <c r="I1020" s="381">
        <v>2</v>
      </c>
      <c r="J1020" s="381">
        <v>3</v>
      </c>
      <c r="K1020" s="381">
        <v>3</v>
      </c>
      <c r="L1020" s="253">
        <v>3</v>
      </c>
      <c r="M1020" s="254">
        <f t="shared" si="32"/>
        <v>1.123005955058592</v>
      </c>
      <c r="N1020" s="479" t="s">
        <v>484</v>
      </c>
    </row>
    <row r="1021" spans="1:14" hidden="1" x14ac:dyDescent="0.2">
      <c r="A1021" s="448" t="s">
        <v>466</v>
      </c>
      <c r="B1021" s="436" t="s">
        <v>480</v>
      </c>
      <c r="C1021" s="247" t="s">
        <v>59</v>
      </c>
      <c r="D1021" s="453" t="s">
        <v>94</v>
      </c>
      <c r="E1021" s="719">
        <v>4.2002999999999997E-3</v>
      </c>
      <c r="F1021" s="374" t="s">
        <v>483</v>
      </c>
      <c r="G1021" s="375" t="s">
        <v>16</v>
      </c>
      <c r="H1021" s="381">
        <v>1</v>
      </c>
      <c r="I1021" s="381">
        <v>2</v>
      </c>
      <c r="J1021" s="381">
        <v>3</v>
      </c>
      <c r="K1021" s="381">
        <v>3</v>
      </c>
      <c r="L1021" s="253">
        <v>3</v>
      </c>
      <c r="M1021" s="254">
        <f t="shared" si="32"/>
        <v>1.123005955058592</v>
      </c>
      <c r="N1021" s="479" t="s">
        <v>484</v>
      </c>
    </row>
    <row r="1022" spans="1:14" hidden="1" x14ac:dyDescent="0.2">
      <c r="A1022" s="448" t="s">
        <v>466</v>
      </c>
      <c r="B1022" s="436" t="s">
        <v>480</v>
      </c>
      <c r="C1022" s="247" t="s">
        <v>60</v>
      </c>
      <c r="D1022" s="453" t="s">
        <v>94</v>
      </c>
      <c r="E1022" s="719">
        <v>2.1178292270151132E-3</v>
      </c>
      <c r="F1022" s="374" t="s">
        <v>483</v>
      </c>
      <c r="G1022" s="375" t="s">
        <v>16</v>
      </c>
      <c r="H1022" s="381">
        <v>1</v>
      </c>
      <c r="I1022" s="381">
        <v>2</v>
      </c>
      <c r="J1022" s="381">
        <v>3</v>
      </c>
      <c r="K1022" s="381">
        <v>3</v>
      </c>
      <c r="L1022" s="253">
        <v>3</v>
      </c>
      <c r="M1022" s="254">
        <f t="shared" si="32"/>
        <v>1.123005955058592</v>
      </c>
      <c r="N1022" s="479" t="s">
        <v>484</v>
      </c>
    </row>
    <row r="1023" spans="1:14" hidden="1" x14ac:dyDescent="0.2">
      <c r="A1023" s="448" t="s">
        <v>466</v>
      </c>
      <c r="B1023" s="436" t="s">
        <v>481</v>
      </c>
      <c r="C1023" s="247" t="s">
        <v>13</v>
      </c>
      <c r="D1023" s="453" t="s">
        <v>94</v>
      </c>
      <c r="E1023" s="719">
        <v>1.8689999999999999E-4</v>
      </c>
      <c r="F1023" s="374" t="s">
        <v>483</v>
      </c>
      <c r="G1023" s="375" t="s">
        <v>16</v>
      </c>
      <c r="H1023" s="381">
        <v>1</v>
      </c>
      <c r="I1023" s="381">
        <v>2</v>
      </c>
      <c r="J1023" s="381">
        <v>3</v>
      </c>
      <c r="K1023" s="381">
        <v>3</v>
      </c>
      <c r="L1023" s="253">
        <v>3</v>
      </c>
      <c r="M1023" s="254">
        <f t="shared" si="32"/>
        <v>1.123005955058592</v>
      </c>
      <c r="N1023" s="479" t="s">
        <v>484</v>
      </c>
    </row>
    <row r="1024" spans="1:14" hidden="1" x14ac:dyDescent="0.2">
      <c r="A1024" s="448" t="s">
        <v>466</v>
      </c>
      <c r="B1024" s="436" t="s">
        <v>481</v>
      </c>
      <c r="C1024" s="247" t="s">
        <v>18</v>
      </c>
      <c r="D1024" s="453" t="s">
        <v>94</v>
      </c>
      <c r="E1024" s="719">
        <v>3.5769439815491559E-4</v>
      </c>
      <c r="F1024" s="374" t="s">
        <v>483</v>
      </c>
      <c r="G1024" s="375" t="s">
        <v>16</v>
      </c>
      <c r="H1024" s="381">
        <v>1</v>
      </c>
      <c r="I1024" s="381">
        <v>2</v>
      </c>
      <c r="J1024" s="381">
        <v>3</v>
      </c>
      <c r="K1024" s="381">
        <v>3</v>
      </c>
      <c r="L1024" s="253">
        <v>3</v>
      </c>
      <c r="M1024" s="254">
        <f t="shared" si="32"/>
        <v>1.123005955058592</v>
      </c>
      <c r="N1024" s="479" t="s">
        <v>484</v>
      </c>
    </row>
    <row r="1025" spans="1:14" hidden="1" x14ac:dyDescent="0.2">
      <c r="A1025" s="448" t="s">
        <v>466</v>
      </c>
      <c r="B1025" s="436" t="s">
        <v>481</v>
      </c>
      <c r="C1025" s="247" t="s">
        <v>20</v>
      </c>
      <c r="D1025" s="453" t="s">
        <v>94</v>
      </c>
      <c r="E1025" s="719">
        <v>3.5183864777088867E-4</v>
      </c>
      <c r="F1025" s="374" t="s">
        <v>483</v>
      </c>
      <c r="G1025" s="375" t="s">
        <v>16</v>
      </c>
      <c r="H1025" s="381">
        <v>1</v>
      </c>
      <c r="I1025" s="381">
        <v>2</v>
      </c>
      <c r="J1025" s="381">
        <v>3</v>
      </c>
      <c r="K1025" s="381">
        <v>3</v>
      </c>
      <c r="L1025" s="253">
        <v>3</v>
      </c>
      <c r="M1025" s="254">
        <f t="shared" si="32"/>
        <v>1.123005955058592</v>
      </c>
      <c r="N1025" s="479" t="s">
        <v>484</v>
      </c>
    </row>
    <row r="1026" spans="1:14" hidden="1" x14ac:dyDescent="0.2">
      <c r="A1026" s="448" t="s">
        <v>466</v>
      </c>
      <c r="B1026" s="436" t="s">
        <v>481</v>
      </c>
      <c r="C1026" s="247" t="s">
        <v>22</v>
      </c>
      <c r="D1026" s="453" t="s">
        <v>94</v>
      </c>
      <c r="E1026" s="719">
        <v>1.3226440032443489E-4</v>
      </c>
      <c r="F1026" s="374" t="s">
        <v>483</v>
      </c>
      <c r="G1026" s="375" t="s">
        <v>16</v>
      </c>
      <c r="H1026" s="381">
        <v>1</v>
      </c>
      <c r="I1026" s="381">
        <v>2</v>
      </c>
      <c r="J1026" s="381">
        <v>3</v>
      </c>
      <c r="K1026" s="381">
        <v>3</v>
      </c>
      <c r="L1026" s="253">
        <v>3</v>
      </c>
      <c r="M1026" s="254">
        <f t="shared" si="32"/>
        <v>1.123005955058592</v>
      </c>
      <c r="N1026" s="479" t="s">
        <v>484</v>
      </c>
    </row>
    <row r="1027" spans="1:14" hidden="1" x14ac:dyDescent="0.2">
      <c r="A1027" s="448" t="s">
        <v>466</v>
      </c>
      <c r="B1027" s="436" t="s">
        <v>481</v>
      </c>
      <c r="C1027" s="247" t="s">
        <v>23</v>
      </c>
      <c r="D1027" s="453" t="s">
        <v>94</v>
      </c>
      <c r="E1027" s="719">
        <v>6.8433509997590939E-5</v>
      </c>
      <c r="F1027" s="374" t="s">
        <v>483</v>
      </c>
      <c r="G1027" s="375" t="s">
        <v>16</v>
      </c>
      <c r="H1027" s="381">
        <v>1</v>
      </c>
      <c r="I1027" s="381">
        <v>2</v>
      </c>
      <c r="J1027" s="381">
        <v>3</v>
      </c>
      <c r="K1027" s="381">
        <v>3</v>
      </c>
      <c r="L1027" s="253">
        <v>3</v>
      </c>
      <c r="M1027" s="254">
        <f t="shared" si="32"/>
        <v>1.123005955058592</v>
      </c>
      <c r="N1027" s="479" t="s">
        <v>484</v>
      </c>
    </row>
    <row r="1028" spans="1:14" hidden="1" x14ac:dyDescent="0.2">
      <c r="A1028" s="448" t="s">
        <v>466</v>
      </c>
      <c r="B1028" s="436" t="s">
        <v>481</v>
      </c>
      <c r="C1028" s="247" t="s">
        <v>24</v>
      </c>
      <c r="D1028" s="453" t="s">
        <v>94</v>
      </c>
      <c r="E1028" s="719">
        <v>2.9250000000000001E-4</v>
      </c>
      <c r="F1028" s="374" t="s">
        <v>483</v>
      </c>
      <c r="G1028" s="375" t="s">
        <v>16</v>
      </c>
      <c r="H1028" s="381">
        <v>1</v>
      </c>
      <c r="I1028" s="381">
        <v>2</v>
      </c>
      <c r="J1028" s="381">
        <v>3</v>
      </c>
      <c r="K1028" s="381">
        <v>3</v>
      </c>
      <c r="L1028" s="253">
        <v>3</v>
      </c>
      <c r="M1028" s="254">
        <f>IF( OR( ISBLANK(H1028),ISBLANK(I1028), ISBLANK(J1028), ISBLANK(K1028), ISBLANK(L1028) ), "", 1.5*SQRT(   EXP(2.21*(H1028-1)) + EXP(2.21*(I1028-1)) + EXP(2.21*(J1028-1)) + EXP(2.21*(K1028-1)) + EXP(2.21*L1028)   )/100*2.45 )</f>
        <v>1.123005955058592</v>
      </c>
      <c r="N1028" s="479" t="s">
        <v>484</v>
      </c>
    </row>
    <row r="1029" spans="1:14" hidden="1" x14ac:dyDescent="0.2">
      <c r="A1029" s="448" t="s">
        <v>466</v>
      </c>
      <c r="B1029" s="436" t="s">
        <v>481</v>
      </c>
      <c r="C1029" s="247" t="s">
        <v>25</v>
      </c>
      <c r="D1029" s="453" t="s">
        <v>94</v>
      </c>
      <c r="E1029" s="719">
        <v>1.5136421197347149E-4</v>
      </c>
      <c r="F1029" s="374" t="s">
        <v>483</v>
      </c>
      <c r="G1029" s="375" t="s">
        <v>16</v>
      </c>
      <c r="H1029" s="381">
        <v>1</v>
      </c>
      <c r="I1029" s="381">
        <v>2</v>
      </c>
      <c r="J1029" s="381">
        <v>3</v>
      </c>
      <c r="K1029" s="381">
        <v>3</v>
      </c>
      <c r="L1029" s="253">
        <v>3</v>
      </c>
      <c r="M1029" s="254">
        <f t="shared" ref="M1029:M1059" si="33">IF( OR( ISBLANK(H1029),ISBLANK(I1029), ISBLANK(J1029), ISBLANK(K1029), ISBLANK(L1029) ), "", 1.5*SQRT( EXP(2.21*(H1029-1)) + EXP(2.21*(I1029-1)) + EXP(2.21*(J1029-1)) + EXP(2.21*(K1029-1)) + EXP(2.21*L1029) )/100*2.45 )</f>
        <v>1.123005955058592</v>
      </c>
      <c r="N1029" s="479" t="s">
        <v>484</v>
      </c>
    </row>
    <row r="1030" spans="1:14" hidden="1" x14ac:dyDescent="0.2">
      <c r="A1030" s="448" t="s">
        <v>466</v>
      </c>
      <c r="B1030" s="436" t="s">
        <v>481</v>
      </c>
      <c r="C1030" s="247" t="s">
        <v>26</v>
      </c>
      <c r="D1030" s="453" t="s">
        <v>94</v>
      </c>
      <c r="E1030" s="719">
        <v>6.6012187499999981E-4</v>
      </c>
      <c r="F1030" s="374" t="s">
        <v>483</v>
      </c>
      <c r="G1030" s="375" t="s">
        <v>16</v>
      </c>
      <c r="H1030" s="381">
        <v>1</v>
      </c>
      <c r="I1030" s="381">
        <v>2</v>
      </c>
      <c r="J1030" s="381">
        <v>3</v>
      </c>
      <c r="K1030" s="381">
        <v>3</v>
      </c>
      <c r="L1030" s="253">
        <v>3</v>
      </c>
      <c r="M1030" s="254">
        <f t="shared" si="33"/>
        <v>1.123005955058592</v>
      </c>
      <c r="N1030" s="479" t="s">
        <v>484</v>
      </c>
    </row>
    <row r="1031" spans="1:14" hidden="1" x14ac:dyDescent="0.2">
      <c r="A1031" s="448" t="s">
        <v>466</v>
      </c>
      <c r="B1031" s="436" t="s">
        <v>481</v>
      </c>
      <c r="C1031" s="247" t="s">
        <v>27</v>
      </c>
      <c r="D1031" s="453" t="s">
        <v>94</v>
      </c>
      <c r="E1031" s="719">
        <v>1.4979135541555279E-3</v>
      </c>
      <c r="F1031" s="374" t="s">
        <v>483</v>
      </c>
      <c r="G1031" s="375" t="s">
        <v>16</v>
      </c>
      <c r="H1031" s="381">
        <v>1</v>
      </c>
      <c r="I1031" s="381">
        <v>2</v>
      </c>
      <c r="J1031" s="381">
        <v>3</v>
      </c>
      <c r="K1031" s="381">
        <v>3</v>
      </c>
      <c r="L1031" s="253">
        <v>3</v>
      </c>
      <c r="M1031" s="254">
        <f t="shared" si="33"/>
        <v>1.123005955058592</v>
      </c>
      <c r="N1031" s="479" t="s">
        <v>484</v>
      </c>
    </row>
    <row r="1032" spans="1:14" hidden="1" x14ac:dyDescent="0.2">
      <c r="A1032" s="448" t="s">
        <v>466</v>
      </c>
      <c r="B1032" s="436" t="s">
        <v>481</v>
      </c>
      <c r="C1032" s="247" t="s">
        <v>28</v>
      </c>
      <c r="D1032" s="453" t="s">
        <v>94</v>
      </c>
      <c r="E1032" s="719">
        <v>2.8171598159085068E-4</v>
      </c>
      <c r="F1032" s="374" t="s">
        <v>483</v>
      </c>
      <c r="G1032" s="375" t="s">
        <v>16</v>
      </c>
      <c r="H1032" s="381">
        <v>1</v>
      </c>
      <c r="I1032" s="381">
        <v>2</v>
      </c>
      <c r="J1032" s="381">
        <v>3</v>
      </c>
      <c r="K1032" s="381">
        <v>3</v>
      </c>
      <c r="L1032" s="253">
        <v>3</v>
      </c>
      <c r="M1032" s="254">
        <f t="shared" si="33"/>
        <v>1.123005955058592</v>
      </c>
      <c r="N1032" s="479" t="s">
        <v>484</v>
      </c>
    </row>
    <row r="1033" spans="1:14" hidden="1" x14ac:dyDescent="0.2">
      <c r="A1033" s="448" t="s">
        <v>466</v>
      </c>
      <c r="B1033" s="436" t="s">
        <v>481</v>
      </c>
      <c r="C1033" s="247" t="s">
        <v>30</v>
      </c>
      <c r="D1033" s="453" t="s">
        <v>94</v>
      </c>
      <c r="E1033" s="719">
        <v>2.6029836940896209E-4</v>
      </c>
      <c r="F1033" s="374" t="s">
        <v>483</v>
      </c>
      <c r="G1033" s="375" t="s">
        <v>16</v>
      </c>
      <c r="H1033" s="381">
        <v>1</v>
      </c>
      <c r="I1033" s="381">
        <v>2</v>
      </c>
      <c r="J1033" s="381">
        <v>3</v>
      </c>
      <c r="K1033" s="381">
        <v>3</v>
      </c>
      <c r="L1033" s="253">
        <v>3</v>
      </c>
      <c r="M1033" s="254">
        <f t="shared" si="33"/>
        <v>1.123005955058592</v>
      </c>
      <c r="N1033" s="479" t="s">
        <v>484</v>
      </c>
    </row>
    <row r="1034" spans="1:14" hidden="1" x14ac:dyDescent="0.2">
      <c r="A1034" s="448" t="s">
        <v>466</v>
      </c>
      <c r="B1034" s="436" t="s">
        <v>481</v>
      </c>
      <c r="C1034" s="247" t="s">
        <v>32</v>
      </c>
      <c r="D1034" s="453" t="s">
        <v>94</v>
      </c>
      <c r="E1034" s="719">
        <v>4.5949489386578512E-4</v>
      </c>
      <c r="F1034" s="374" t="s">
        <v>483</v>
      </c>
      <c r="G1034" s="375" t="s">
        <v>16</v>
      </c>
      <c r="H1034" s="381">
        <v>1</v>
      </c>
      <c r="I1034" s="381">
        <v>2</v>
      </c>
      <c r="J1034" s="381">
        <v>3</v>
      </c>
      <c r="K1034" s="381">
        <v>3</v>
      </c>
      <c r="L1034" s="253">
        <v>3</v>
      </c>
      <c r="M1034" s="254">
        <f t="shared" si="33"/>
        <v>1.123005955058592</v>
      </c>
      <c r="N1034" s="479" t="s">
        <v>484</v>
      </c>
    </row>
    <row r="1035" spans="1:14" hidden="1" x14ac:dyDescent="0.2">
      <c r="A1035" s="448" t="s">
        <v>466</v>
      </c>
      <c r="B1035" s="436" t="s">
        <v>481</v>
      </c>
      <c r="C1035" s="247" t="s">
        <v>34</v>
      </c>
      <c r="D1035" s="453" t="s">
        <v>94</v>
      </c>
      <c r="E1035" s="719">
        <v>6.3239999999999998E-4</v>
      </c>
      <c r="F1035" s="374" t="s">
        <v>483</v>
      </c>
      <c r="G1035" s="375" t="s">
        <v>16</v>
      </c>
      <c r="H1035" s="381">
        <v>1</v>
      </c>
      <c r="I1035" s="381">
        <v>2</v>
      </c>
      <c r="J1035" s="381">
        <v>3</v>
      </c>
      <c r="K1035" s="381">
        <v>3</v>
      </c>
      <c r="L1035" s="253">
        <v>3</v>
      </c>
      <c r="M1035" s="254">
        <f t="shared" si="33"/>
        <v>1.123005955058592</v>
      </c>
      <c r="N1035" s="479" t="s">
        <v>484</v>
      </c>
    </row>
    <row r="1036" spans="1:14" hidden="1" x14ac:dyDescent="0.2">
      <c r="A1036" s="448" t="s">
        <v>466</v>
      </c>
      <c r="B1036" s="436" t="s">
        <v>481</v>
      </c>
      <c r="C1036" s="247" t="s">
        <v>36</v>
      </c>
      <c r="D1036" s="453" t="s">
        <v>94</v>
      </c>
      <c r="E1036" s="719">
        <v>7.0007384544436388E-4</v>
      </c>
      <c r="F1036" s="374" t="s">
        <v>483</v>
      </c>
      <c r="G1036" s="375" t="s">
        <v>16</v>
      </c>
      <c r="H1036" s="381">
        <v>1</v>
      </c>
      <c r="I1036" s="381">
        <v>2</v>
      </c>
      <c r="J1036" s="381">
        <v>3</v>
      </c>
      <c r="K1036" s="381">
        <v>3</v>
      </c>
      <c r="L1036" s="253">
        <v>3</v>
      </c>
      <c r="M1036" s="254">
        <f t="shared" si="33"/>
        <v>1.123005955058592</v>
      </c>
      <c r="N1036" s="479" t="s">
        <v>484</v>
      </c>
    </row>
    <row r="1037" spans="1:14" hidden="1" x14ac:dyDescent="0.2">
      <c r="A1037" s="448" t="s">
        <v>466</v>
      </c>
      <c r="B1037" s="436" t="s">
        <v>481</v>
      </c>
      <c r="C1037" s="247" t="s">
        <v>37</v>
      </c>
      <c r="D1037" s="453" t="s">
        <v>94</v>
      </c>
      <c r="E1037" s="719">
        <v>4.8244376353019289E-4</v>
      </c>
      <c r="F1037" s="374" t="s">
        <v>483</v>
      </c>
      <c r="G1037" s="375" t="s">
        <v>16</v>
      </c>
      <c r="H1037" s="381">
        <v>1</v>
      </c>
      <c r="I1037" s="381">
        <v>2</v>
      </c>
      <c r="J1037" s="381">
        <v>3</v>
      </c>
      <c r="K1037" s="381">
        <v>3</v>
      </c>
      <c r="L1037" s="253">
        <v>3</v>
      </c>
      <c r="M1037" s="254">
        <f t="shared" si="33"/>
        <v>1.123005955058592</v>
      </c>
      <c r="N1037" s="479" t="s">
        <v>484</v>
      </c>
    </row>
    <row r="1038" spans="1:14" hidden="1" x14ac:dyDescent="0.2">
      <c r="A1038" s="448" t="s">
        <v>466</v>
      </c>
      <c r="B1038" s="436" t="s">
        <v>481</v>
      </c>
      <c r="C1038" s="247" t="s">
        <v>39</v>
      </c>
      <c r="D1038" s="453" t="s">
        <v>94</v>
      </c>
      <c r="E1038" s="719">
        <v>6.5575990852480802E-4</v>
      </c>
      <c r="F1038" s="374" t="s">
        <v>483</v>
      </c>
      <c r="G1038" s="375" t="s">
        <v>16</v>
      </c>
      <c r="H1038" s="381">
        <v>1</v>
      </c>
      <c r="I1038" s="381">
        <v>2</v>
      </c>
      <c r="J1038" s="381">
        <v>3</v>
      </c>
      <c r="K1038" s="381">
        <v>3</v>
      </c>
      <c r="L1038" s="253">
        <v>3</v>
      </c>
      <c r="M1038" s="254">
        <f t="shared" si="33"/>
        <v>1.123005955058592</v>
      </c>
      <c r="N1038" s="479" t="s">
        <v>484</v>
      </c>
    </row>
    <row r="1039" spans="1:14" hidden="1" x14ac:dyDescent="0.2">
      <c r="A1039" s="448" t="s">
        <v>466</v>
      </c>
      <c r="B1039" s="436" t="s">
        <v>481</v>
      </c>
      <c r="C1039" s="247" t="s">
        <v>40</v>
      </c>
      <c r="D1039" s="453" t="s">
        <v>94</v>
      </c>
      <c r="E1039" s="719">
        <v>4.6654851885312161E-4</v>
      </c>
      <c r="F1039" s="374" t="s">
        <v>483</v>
      </c>
      <c r="G1039" s="375" t="s">
        <v>16</v>
      </c>
      <c r="H1039" s="381">
        <v>1</v>
      </c>
      <c r="I1039" s="381">
        <v>2</v>
      </c>
      <c r="J1039" s="381">
        <v>3</v>
      </c>
      <c r="K1039" s="381">
        <v>3</v>
      </c>
      <c r="L1039" s="253">
        <v>3</v>
      </c>
      <c r="M1039" s="254">
        <f t="shared" si="33"/>
        <v>1.123005955058592</v>
      </c>
      <c r="N1039" s="479" t="s">
        <v>484</v>
      </c>
    </row>
    <row r="1040" spans="1:14" hidden="1" x14ac:dyDescent="0.2">
      <c r="A1040" s="448" t="s">
        <v>466</v>
      </c>
      <c r="B1040" s="436" t="s">
        <v>481</v>
      </c>
      <c r="C1040" s="247" t="s">
        <v>41</v>
      </c>
      <c r="D1040" s="453" t="s">
        <v>94</v>
      </c>
      <c r="E1040" s="478">
        <v>0</v>
      </c>
      <c r="F1040" s="374" t="s">
        <v>483</v>
      </c>
      <c r="G1040" s="375" t="s">
        <v>16</v>
      </c>
      <c r="H1040" s="478"/>
      <c r="I1040" s="478"/>
      <c r="J1040" s="478"/>
      <c r="K1040" s="478"/>
      <c r="L1040" s="471"/>
      <c r="M1040" s="456" t="str">
        <f t="shared" si="33"/>
        <v/>
      </c>
      <c r="N1040" s="479" t="s">
        <v>484</v>
      </c>
    </row>
    <row r="1041" spans="1:14" hidden="1" x14ac:dyDescent="0.2">
      <c r="A1041" s="448" t="s">
        <v>466</v>
      </c>
      <c r="B1041" s="436" t="s">
        <v>481</v>
      </c>
      <c r="C1041" s="247" t="s">
        <v>42</v>
      </c>
      <c r="D1041" s="453" t="s">
        <v>94</v>
      </c>
      <c r="E1041" s="478">
        <v>0</v>
      </c>
      <c r="F1041" s="374" t="s">
        <v>483</v>
      </c>
      <c r="G1041" s="375" t="s">
        <v>16</v>
      </c>
      <c r="H1041" s="478"/>
      <c r="I1041" s="478"/>
      <c r="J1041" s="478"/>
      <c r="K1041" s="478"/>
      <c r="L1041" s="471"/>
      <c r="M1041" s="456" t="str">
        <f t="shared" si="33"/>
        <v/>
      </c>
      <c r="N1041" s="479" t="s">
        <v>484</v>
      </c>
    </row>
    <row r="1042" spans="1:14" hidden="1" x14ac:dyDescent="0.2">
      <c r="A1042" s="448" t="s">
        <v>466</v>
      </c>
      <c r="B1042" s="436" t="s">
        <v>481</v>
      </c>
      <c r="C1042" s="247" t="s">
        <v>43</v>
      </c>
      <c r="D1042" s="453" t="s">
        <v>94</v>
      </c>
      <c r="E1042" s="719">
        <v>1.4685544303098871E-3</v>
      </c>
      <c r="F1042" s="374" t="s">
        <v>483</v>
      </c>
      <c r="G1042" s="375" t="s">
        <v>16</v>
      </c>
      <c r="H1042" s="381">
        <v>1</v>
      </c>
      <c r="I1042" s="381">
        <v>2</v>
      </c>
      <c r="J1042" s="381">
        <v>3</v>
      </c>
      <c r="K1042" s="381">
        <v>3</v>
      </c>
      <c r="L1042" s="253">
        <v>3</v>
      </c>
      <c r="M1042" s="254">
        <f t="shared" si="33"/>
        <v>1.123005955058592</v>
      </c>
      <c r="N1042" s="479" t="s">
        <v>484</v>
      </c>
    </row>
    <row r="1043" spans="1:14" x14ac:dyDescent="0.2">
      <c r="A1043" s="448" t="s">
        <v>466</v>
      </c>
      <c r="B1043" s="436" t="s">
        <v>481</v>
      </c>
      <c r="C1043" s="247" t="s">
        <v>45</v>
      </c>
      <c r="D1043" s="453" t="s">
        <v>94</v>
      </c>
      <c r="E1043" s="719">
        <v>3.825454522819714E-4</v>
      </c>
      <c r="F1043" s="374" t="s">
        <v>483</v>
      </c>
      <c r="G1043" s="375" t="s">
        <v>16</v>
      </c>
      <c r="H1043" s="381">
        <v>1</v>
      </c>
      <c r="I1043" s="381">
        <v>2</v>
      </c>
      <c r="J1043" s="381">
        <v>3</v>
      </c>
      <c r="K1043" s="381">
        <v>3</v>
      </c>
      <c r="L1043" s="253">
        <v>3</v>
      </c>
      <c r="M1043" s="254">
        <f t="shared" si="33"/>
        <v>1.123005955058592</v>
      </c>
      <c r="N1043" s="479" t="s">
        <v>484</v>
      </c>
    </row>
    <row r="1044" spans="1:14" hidden="1" x14ac:dyDescent="0.2">
      <c r="A1044" s="448" t="s">
        <v>466</v>
      </c>
      <c r="B1044" s="436" t="s">
        <v>481</v>
      </c>
      <c r="C1044" s="247" t="s">
        <v>46</v>
      </c>
      <c r="D1044" s="453" t="s">
        <v>94</v>
      </c>
      <c r="E1044" s="719">
        <v>6.6861232177251517E-4</v>
      </c>
      <c r="F1044" s="374" t="s">
        <v>483</v>
      </c>
      <c r="G1044" s="375" t="s">
        <v>16</v>
      </c>
      <c r="H1044" s="381">
        <v>1</v>
      </c>
      <c r="I1044" s="381">
        <v>2</v>
      </c>
      <c r="J1044" s="381">
        <v>3</v>
      </c>
      <c r="K1044" s="381">
        <v>3</v>
      </c>
      <c r="L1044" s="253">
        <v>3</v>
      </c>
      <c r="M1044" s="254">
        <f t="shared" si="33"/>
        <v>1.123005955058592</v>
      </c>
      <c r="N1044" s="479" t="s">
        <v>484</v>
      </c>
    </row>
    <row r="1045" spans="1:14" hidden="1" x14ac:dyDescent="0.2">
      <c r="A1045" s="448" t="s">
        <v>466</v>
      </c>
      <c r="B1045" s="436" t="s">
        <v>481</v>
      </c>
      <c r="C1045" s="247" t="s">
        <v>48</v>
      </c>
      <c r="D1045" s="453" t="s">
        <v>94</v>
      </c>
      <c r="E1045" s="720">
        <v>4.243809149306598E-4</v>
      </c>
      <c r="F1045" s="374" t="s">
        <v>483</v>
      </c>
      <c r="G1045" s="375" t="s">
        <v>16</v>
      </c>
      <c r="H1045" s="381">
        <v>1</v>
      </c>
      <c r="I1045" s="381">
        <v>2</v>
      </c>
      <c r="J1045" s="381">
        <v>3</v>
      </c>
      <c r="K1045" s="381">
        <v>3</v>
      </c>
      <c r="L1045" s="253">
        <v>3</v>
      </c>
      <c r="M1045" s="254">
        <f t="shared" si="33"/>
        <v>1.123005955058592</v>
      </c>
      <c r="N1045" s="479" t="s">
        <v>484</v>
      </c>
    </row>
    <row r="1046" spans="1:14" hidden="1" x14ac:dyDescent="0.2">
      <c r="A1046" s="448" t="s">
        <v>466</v>
      </c>
      <c r="B1046" s="436" t="s">
        <v>481</v>
      </c>
      <c r="C1046" s="247" t="s">
        <v>50</v>
      </c>
      <c r="D1046" s="453" t="s">
        <v>94</v>
      </c>
      <c r="E1046" s="719">
        <v>8.021479640604091E-4</v>
      </c>
      <c r="F1046" s="374" t="s">
        <v>483</v>
      </c>
      <c r="G1046" s="251" t="s">
        <v>16</v>
      </c>
      <c r="H1046" s="381">
        <v>1</v>
      </c>
      <c r="I1046" s="381">
        <v>2</v>
      </c>
      <c r="J1046" s="381">
        <v>3</v>
      </c>
      <c r="K1046" s="381">
        <v>3</v>
      </c>
      <c r="L1046" s="253">
        <v>3</v>
      </c>
      <c r="M1046" s="254">
        <f t="shared" si="33"/>
        <v>1.123005955058592</v>
      </c>
      <c r="N1046" s="479" t="s">
        <v>484</v>
      </c>
    </row>
    <row r="1047" spans="1:14" hidden="1" x14ac:dyDescent="0.2">
      <c r="A1047" s="448" t="s">
        <v>466</v>
      </c>
      <c r="B1047" s="436" t="s">
        <v>481</v>
      </c>
      <c r="C1047" s="247" t="s">
        <v>52</v>
      </c>
      <c r="D1047" s="453" t="s">
        <v>94</v>
      </c>
      <c r="E1047" s="719">
        <v>3.1900000000000011E-4</v>
      </c>
      <c r="F1047" s="374" t="s">
        <v>483</v>
      </c>
      <c r="G1047" s="251" t="s">
        <v>16</v>
      </c>
      <c r="H1047" s="381">
        <v>1</v>
      </c>
      <c r="I1047" s="381">
        <v>2</v>
      </c>
      <c r="J1047" s="381">
        <v>3</v>
      </c>
      <c r="K1047" s="381">
        <v>3</v>
      </c>
      <c r="L1047" s="253">
        <v>3</v>
      </c>
      <c r="M1047" s="254">
        <f t="shared" si="33"/>
        <v>1.123005955058592</v>
      </c>
      <c r="N1047" s="479" t="s">
        <v>484</v>
      </c>
    </row>
    <row r="1048" spans="1:14" hidden="1" x14ac:dyDescent="0.2">
      <c r="A1048" s="448" t="s">
        <v>466</v>
      </c>
      <c r="B1048" s="436" t="s">
        <v>481</v>
      </c>
      <c r="C1048" s="247" t="s">
        <v>54</v>
      </c>
      <c r="D1048" s="453" t="s">
        <v>94</v>
      </c>
      <c r="E1048" s="719">
        <v>6.9990479929335557E-5</v>
      </c>
      <c r="F1048" s="374" t="s">
        <v>483</v>
      </c>
      <c r="G1048" s="251" t="s">
        <v>16</v>
      </c>
      <c r="H1048" s="381">
        <v>1</v>
      </c>
      <c r="I1048" s="381">
        <v>2</v>
      </c>
      <c r="J1048" s="381">
        <v>3</v>
      </c>
      <c r="K1048" s="381">
        <v>3</v>
      </c>
      <c r="L1048" s="253">
        <v>3</v>
      </c>
      <c r="M1048" s="254">
        <f t="shared" si="33"/>
        <v>1.123005955058592</v>
      </c>
      <c r="N1048" s="479" t="s">
        <v>484</v>
      </c>
    </row>
    <row r="1049" spans="1:14" hidden="1" x14ac:dyDescent="0.2">
      <c r="A1049" s="448" t="s">
        <v>466</v>
      </c>
      <c r="B1049" s="436" t="s">
        <v>481</v>
      </c>
      <c r="C1049" s="247" t="s">
        <v>55</v>
      </c>
      <c r="D1049" s="453" t="s">
        <v>94</v>
      </c>
      <c r="E1049" s="720">
        <v>1.7715257737822149E-4</v>
      </c>
      <c r="F1049" s="374" t="s">
        <v>483</v>
      </c>
      <c r="G1049" s="375" t="s">
        <v>16</v>
      </c>
      <c r="H1049" s="381">
        <v>1</v>
      </c>
      <c r="I1049" s="381">
        <v>2</v>
      </c>
      <c r="J1049" s="381">
        <v>3</v>
      </c>
      <c r="K1049" s="381">
        <v>3</v>
      </c>
      <c r="L1049" s="253">
        <v>3</v>
      </c>
      <c r="M1049" s="254">
        <f t="shared" si="33"/>
        <v>1.123005955058592</v>
      </c>
      <c r="N1049" s="479" t="s">
        <v>484</v>
      </c>
    </row>
    <row r="1050" spans="1:14" hidden="1" x14ac:dyDescent="0.2">
      <c r="A1050" s="448" t="s">
        <v>466</v>
      </c>
      <c r="B1050" s="436" t="s">
        <v>481</v>
      </c>
      <c r="C1050" s="247" t="s">
        <v>57</v>
      </c>
      <c r="D1050" s="453" t="s">
        <v>94</v>
      </c>
      <c r="E1050" s="719">
        <v>1.2056711070171709E-3</v>
      </c>
      <c r="F1050" s="374" t="s">
        <v>483</v>
      </c>
      <c r="G1050" s="251" t="s">
        <v>16</v>
      </c>
      <c r="H1050" s="381">
        <v>1</v>
      </c>
      <c r="I1050" s="381">
        <v>2</v>
      </c>
      <c r="J1050" s="381">
        <v>3</v>
      </c>
      <c r="K1050" s="381">
        <v>3</v>
      </c>
      <c r="L1050" s="253">
        <v>3</v>
      </c>
      <c r="M1050" s="254">
        <f t="shared" si="33"/>
        <v>1.123005955058592</v>
      </c>
      <c r="N1050" s="479" t="s">
        <v>484</v>
      </c>
    </row>
    <row r="1051" spans="1:14" hidden="1" x14ac:dyDescent="0.2">
      <c r="A1051" s="448" t="s">
        <v>466</v>
      </c>
      <c r="B1051" s="436" t="s">
        <v>481</v>
      </c>
      <c r="C1051" s="247" t="s">
        <v>59</v>
      </c>
      <c r="D1051" s="453" t="s">
        <v>94</v>
      </c>
      <c r="E1051" s="719">
        <v>5.0309999999999992E-4</v>
      </c>
      <c r="F1051" s="374" t="s">
        <v>483</v>
      </c>
      <c r="G1051" s="251" t="s">
        <v>16</v>
      </c>
      <c r="H1051" s="381">
        <v>1</v>
      </c>
      <c r="I1051" s="381">
        <v>2</v>
      </c>
      <c r="J1051" s="381">
        <v>3</v>
      </c>
      <c r="K1051" s="381">
        <v>3</v>
      </c>
      <c r="L1051" s="253">
        <v>3</v>
      </c>
      <c r="M1051" s="254">
        <f t="shared" si="33"/>
        <v>1.123005955058592</v>
      </c>
      <c r="N1051" s="479" t="s">
        <v>484</v>
      </c>
    </row>
    <row r="1052" spans="1:14" hidden="1" x14ac:dyDescent="0.2">
      <c r="A1052" s="448" t="s">
        <v>466</v>
      </c>
      <c r="B1052" s="436" t="s">
        <v>481</v>
      </c>
      <c r="C1052" s="247" t="s">
        <v>60</v>
      </c>
      <c r="D1052" s="453" t="s">
        <v>94</v>
      </c>
      <c r="E1052" s="719">
        <v>5.566865396725441E-4</v>
      </c>
      <c r="F1052" s="374" t="s">
        <v>483</v>
      </c>
      <c r="G1052" s="251" t="s">
        <v>16</v>
      </c>
      <c r="H1052" s="381">
        <v>1</v>
      </c>
      <c r="I1052" s="381">
        <v>2</v>
      </c>
      <c r="J1052" s="381">
        <v>3</v>
      </c>
      <c r="K1052" s="381">
        <v>3</v>
      </c>
      <c r="L1052" s="253">
        <v>3</v>
      </c>
      <c r="M1052" s="254">
        <f t="shared" si="33"/>
        <v>1.123005955058592</v>
      </c>
      <c r="N1052" s="479" t="s">
        <v>484</v>
      </c>
    </row>
    <row r="1053" spans="1:14" hidden="1" x14ac:dyDescent="0.2">
      <c r="A1053" s="448" t="s">
        <v>466</v>
      </c>
      <c r="B1053" s="436" t="s">
        <v>482</v>
      </c>
      <c r="C1053" s="247" t="s">
        <v>13</v>
      </c>
      <c r="D1053" s="453" t="s">
        <v>94</v>
      </c>
      <c r="E1053" s="478">
        <v>0</v>
      </c>
      <c r="F1053" s="374" t="s">
        <v>483</v>
      </c>
      <c r="G1053" s="375" t="s">
        <v>16</v>
      </c>
      <c r="H1053" s="478"/>
      <c r="I1053" s="478"/>
      <c r="J1053" s="478"/>
      <c r="K1053" s="478"/>
      <c r="L1053" s="471"/>
      <c r="M1053" s="456" t="str">
        <f t="shared" si="33"/>
        <v/>
      </c>
      <c r="N1053" s="479" t="s">
        <v>484</v>
      </c>
    </row>
    <row r="1054" spans="1:14" hidden="1" x14ac:dyDescent="0.2">
      <c r="A1054" s="448" t="s">
        <v>466</v>
      </c>
      <c r="B1054" s="436" t="s">
        <v>482</v>
      </c>
      <c r="C1054" s="247" t="s">
        <v>18</v>
      </c>
      <c r="D1054" s="453" t="s">
        <v>94</v>
      </c>
      <c r="E1054" s="719">
        <v>2.4410011531777361E-4</v>
      </c>
      <c r="F1054" s="374" t="s">
        <v>483</v>
      </c>
      <c r="G1054" s="375" t="s">
        <v>16</v>
      </c>
      <c r="H1054" s="381">
        <v>1</v>
      </c>
      <c r="I1054" s="381">
        <v>2</v>
      </c>
      <c r="J1054" s="381">
        <v>3</v>
      </c>
      <c r="K1054" s="381">
        <v>3</v>
      </c>
      <c r="L1054" s="253">
        <v>3</v>
      </c>
      <c r="M1054" s="254">
        <f t="shared" si="33"/>
        <v>1.123005955058592</v>
      </c>
      <c r="N1054" s="479" t="s">
        <v>484</v>
      </c>
    </row>
    <row r="1055" spans="1:14" hidden="1" x14ac:dyDescent="0.2">
      <c r="A1055" s="448" t="s">
        <v>466</v>
      </c>
      <c r="B1055" s="436" t="s">
        <v>482</v>
      </c>
      <c r="C1055" s="247" t="s">
        <v>20</v>
      </c>
      <c r="D1055" s="453" t="s">
        <v>94</v>
      </c>
      <c r="E1055" s="719">
        <v>4.3548863300856222E-4</v>
      </c>
      <c r="F1055" s="374" t="s">
        <v>483</v>
      </c>
      <c r="G1055" s="375" t="s">
        <v>16</v>
      </c>
      <c r="H1055" s="381">
        <v>1</v>
      </c>
      <c r="I1055" s="381">
        <v>2</v>
      </c>
      <c r="J1055" s="381">
        <v>3</v>
      </c>
      <c r="K1055" s="381">
        <v>3</v>
      </c>
      <c r="L1055" s="253">
        <v>3</v>
      </c>
      <c r="M1055" s="254">
        <f t="shared" si="33"/>
        <v>1.123005955058592</v>
      </c>
      <c r="N1055" s="479" t="s">
        <v>484</v>
      </c>
    </row>
    <row r="1056" spans="1:14" hidden="1" x14ac:dyDescent="0.2">
      <c r="A1056" s="448" t="s">
        <v>466</v>
      </c>
      <c r="B1056" s="436" t="s">
        <v>482</v>
      </c>
      <c r="C1056" s="247" t="s">
        <v>22</v>
      </c>
      <c r="D1056" s="453" t="s">
        <v>94</v>
      </c>
      <c r="E1056" s="719">
        <v>6.2759636068695562E-3</v>
      </c>
      <c r="F1056" s="374" t="s">
        <v>483</v>
      </c>
      <c r="G1056" s="375" t="s">
        <v>16</v>
      </c>
      <c r="H1056" s="381">
        <v>1</v>
      </c>
      <c r="I1056" s="381">
        <v>2</v>
      </c>
      <c r="J1056" s="381">
        <v>3</v>
      </c>
      <c r="K1056" s="381">
        <v>3</v>
      </c>
      <c r="L1056" s="253">
        <v>3</v>
      </c>
      <c r="M1056" s="254">
        <f t="shared" si="33"/>
        <v>1.123005955058592</v>
      </c>
      <c r="N1056" s="479" t="s">
        <v>484</v>
      </c>
    </row>
    <row r="1057" spans="1:14" hidden="1" x14ac:dyDescent="0.2">
      <c r="A1057" s="448" t="s">
        <v>466</v>
      </c>
      <c r="B1057" s="436" t="s">
        <v>482</v>
      </c>
      <c r="C1057" s="247" t="s">
        <v>23</v>
      </c>
      <c r="D1057" s="453" t="s">
        <v>94</v>
      </c>
      <c r="E1057" s="719">
        <v>4.8132980004818113E-3</v>
      </c>
      <c r="F1057" s="374" t="s">
        <v>483</v>
      </c>
      <c r="G1057" s="375" t="s">
        <v>16</v>
      </c>
      <c r="H1057" s="381">
        <v>1</v>
      </c>
      <c r="I1057" s="381">
        <v>2</v>
      </c>
      <c r="J1057" s="381">
        <v>3</v>
      </c>
      <c r="K1057" s="381">
        <v>3</v>
      </c>
      <c r="L1057" s="253">
        <v>3</v>
      </c>
      <c r="M1057" s="254">
        <f t="shared" si="33"/>
        <v>1.123005955058592</v>
      </c>
      <c r="N1057" s="479" t="s">
        <v>484</v>
      </c>
    </row>
    <row r="1058" spans="1:14" hidden="1" x14ac:dyDescent="0.2">
      <c r="A1058" s="448" t="s">
        <v>466</v>
      </c>
      <c r="B1058" s="436" t="s">
        <v>482</v>
      </c>
      <c r="C1058" s="247" t="s">
        <v>24</v>
      </c>
      <c r="D1058" s="453" t="s">
        <v>94</v>
      </c>
      <c r="E1058" s="478">
        <v>0</v>
      </c>
      <c r="F1058" s="374" t="s">
        <v>483</v>
      </c>
      <c r="G1058" s="375" t="s">
        <v>16</v>
      </c>
      <c r="H1058" s="478"/>
      <c r="I1058" s="478"/>
      <c r="J1058" s="478"/>
      <c r="K1058" s="478"/>
      <c r="L1058" s="471"/>
      <c r="M1058" s="456" t="str">
        <f t="shared" si="33"/>
        <v/>
      </c>
      <c r="N1058" s="479" t="s">
        <v>484</v>
      </c>
    </row>
    <row r="1059" spans="1:14" hidden="1" x14ac:dyDescent="0.2">
      <c r="A1059" s="448" t="s">
        <v>466</v>
      </c>
      <c r="B1059" s="436" t="s">
        <v>482</v>
      </c>
      <c r="C1059" s="247" t="s">
        <v>25</v>
      </c>
      <c r="D1059" s="453" t="s">
        <v>94</v>
      </c>
      <c r="E1059" s="719">
        <v>5.4931578344386877E-3</v>
      </c>
      <c r="F1059" s="374" t="s">
        <v>483</v>
      </c>
      <c r="G1059" s="375" t="s">
        <v>16</v>
      </c>
      <c r="H1059" s="381">
        <v>1</v>
      </c>
      <c r="I1059" s="381">
        <v>2</v>
      </c>
      <c r="J1059" s="381">
        <v>3</v>
      </c>
      <c r="K1059" s="381">
        <v>3</v>
      </c>
      <c r="L1059" s="253">
        <v>3</v>
      </c>
      <c r="M1059" s="254">
        <f t="shared" si="33"/>
        <v>1.123005955058592</v>
      </c>
      <c r="N1059" s="479" t="s">
        <v>484</v>
      </c>
    </row>
    <row r="1060" spans="1:14" hidden="1" x14ac:dyDescent="0.2">
      <c r="A1060" s="448" t="s">
        <v>466</v>
      </c>
      <c r="B1060" s="436" t="s">
        <v>482</v>
      </c>
      <c r="C1060" s="247" t="s">
        <v>26</v>
      </c>
      <c r="D1060" s="453" t="s">
        <v>94</v>
      </c>
      <c r="E1060" s="719">
        <v>2.9946198453608252E-3</v>
      </c>
      <c r="F1060" s="374" t="s">
        <v>483</v>
      </c>
      <c r="G1060" s="375" t="s">
        <v>16</v>
      </c>
      <c r="H1060" s="381">
        <v>1</v>
      </c>
      <c r="I1060" s="381">
        <v>2</v>
      </c>
      <c r="J1060" s="381">
        <v>3</v>
      </c>
      <c r="K1060" s="381">
        <v>3</v>
      </c>
      <c r="L1060" s="253">
        <v>3</v>
      </c>
      <c r="M1060" s="254">
        <f>IF( OR( ISBLANK(H1060),ISBLANK(I1060), ISBLANK(J1060), ISBLANK(K1060), ISBLANK(L1060) ), "", 1.5*SQRT(   EXP(2.21*(H1060-1)) + EXP(2.21*(I1060-1)) + EXP(2.21*(J1060-1)) + EXP(2.21*(K1060-1)) + EXP(2.21*L1060)   )/100*2.45 )</f>
        <v>1.123005955058592</v>
      </c>
      <c r="N1060" s="479" t="s">
        <v>484</v>
      </c>
    </row>
    <row r="1061" spans="1:14" hidden="1" x14ac:dyDescent="0.2">
      <c r="A1061" s="448" t="s">
        <v>466</v>
      </c>
      <c r="B1061" s="436" t="s">
        <v>482</v>
      </c>
      <c r="C1061" s="247" t="s">
        <v>27</v>
      </c>
      <c r="D1061" s="453" t="s">
        <v>94</v>
      </c>
      <c r="E1061" s="719">
        <v>1.838478919313807E-4</v>
      </c>
      <c r="F1061" s="374" t="s">
        <v>483</v>
      </c>
      <c r="G1061" s="375" t="s">
        <v>16</v>
      </c>
      <c r="H1061" s="381">
        <v>1</v>
      </c>
      <c r="I1061" s="381">
        <v>2</v>
      </c>
      <c r="J1061" s="381">
        <v>3</v>
      </c>
      <c r="K1061" s="381">
        <v>3</v>
      </c>
      <c r="L1061" s="253">
        <v>3</v>
      </c>
      <c r="M1061" s="254">
        <f t="shared" ref="M1061:M1091" si="34">IF( OR( ISBLANK(H1061),ISBLANK(I1061), ISBLANK(J1061), ISBLANK(K1061), ISBLANK(L1061) ), "", 1.5*SQRT( EXP(2.21*(H1061-1)) + EXP(2.21*(I1061-1)) + EXP(2.21*(J1061-1)) + EXP(2.21*(K1061-1)) + EXP(2.21*L1061) )/100*2.45 )</f>
        <v>1.123005955058592</v>
      </c>
      <c r="N1061" s="479" t="s">
        <v>484</v>
      </c>
    </row>
    <row r="1062" spans="1:14" hidden="1" x14ac:dyDescent="0.2">
      <c r="A1062" s="448" t="s">
        <v>466</v>
      </c>
      <c r="B1062" s="436" t="s">
        <v>482</v>
      </c>
      <c r="C1062" s="247" t="s">
        <v>28</v>
      </c>
      <c r="D1062" s="453" t="s">
        <v>94</v>
      </c>
      <c r="E1062" s="719">
        <v>7.1893456060995111E-4</v>
      </c>
      <c r="F1062" s="374" t="s">
        <v>483</v>
      </c>
      <c r="G1062" s="375" t="s">
        <v>16</v>
      </c>
      <c r="H1062" s="381">
        <v>1</v>
      </c>
      <c r="I1062" s="381">
        <v>2</v>
      </c>
      <c r="J1062" s="381">
        <v>3</v>
      </c>
      <c r="K1062" s="381">
        <v>3</v>
      </c>
      <c r="L1062" s="253">
        <v>3</v>
      </c>
      <c r="M1062" s="254">
        <f t="shared" si="34"/>
        <v>1.123005955058592</v>
      </c>
      <c r="N1062" s="479" t="s">
        <v>484</v>
      </c>
    </row>
    <row r="1063" spans="1:14" hidden="1" x14ac:dyDescent="0.2">
      <c r="A1063" s="448" t="s">
        <v>466</v>
      </c>
      <c r="B1063" s="436" t="s">
        <v>482</v>
      </c>
      <c r="C1063" s="247" t="s">
        <v>30</v>
      </c>
      <c r="D1063" s="453" t="s">
        <v>94</v>
      </c>
      <c r="E1063" s="719">
        <v>3.8267959091469183E-4</v>
      </c>
      <c r="F1063" s="374" t="s">
        <v>483</v>
      </c>
      <c r="G1063" s="375" t="s">
        <v>16</v>
      </c>
      <c r="H1063" s="381">
        <v>1</v>
      </c>
      <c r="I1063" s="381">
        <v>2</v>
      </c>
      <c r="J1063" s="381">
        <v>3</v>
      </c>
      <c r="K1063" s="381">
        <v>3</v>
      </c>
      <c r="L1063" s="253">
        <v>3</v>
      </c>
      <c r="M1063" s="254">
        <f t="shared" si="34"/>
        <v>1.123005955058592</v>
      </c>
      <c r="N1063" s="479" t="s">
        <v>484</v>
      </c>
    </row>
    <row r="1064" spans="1:14" hidden="1" x14ac:dyDescent="0.2">
      <c r="A1064" s="448" t="s">
        <v>466</v>
      </c>
      <c r="B1064" s="436" t="s">
        <v>482</v>
      </c>
      <c r="C1064" s="247" t="s">
        <v>32</v>
      </c>
      <c r="D1064" s="453" t="s">
        <v>94</v>
      </c>
      <c r="E1064" s="719">
        <v>1.2716058217590261E-2</v>
      </c>
      <c r="F1064" s="374" t="s">
        <v>483</v>
      </c>
      <c r="G1064" s="375" t="s">
        <v>16</v>
      </c>
      <c r="H1064" s="381">
        <v>1</v>
      </c>
      <c r="I1064" s="381">
        <v>2</v>
      </c>
      <c r="J1064" s="381">
        <v>3</v>
      </c>
      <c r="K1064" s="381">
        <v>3</v>
      </c>
      <c r="L1064" s="253">
        <v>3</v>
      </c>
      <c r="M1064" s="254">
        <f t="shared" si="34"/>
        <v>1.123005955058592</v>
      </c>
      <c r="N1064" s="479" t="s">
        <v>484</v>
      </c>
    </row>
    <row r="1065" spans="1:14" hidden="1" x14ac:dyDescent="0.2">
      <c r="A1065" s="448" t="s">
        <v>466</v>
      </c>
      <c r="B1065" s="436" t="s">
        <v>482</v>
      </c>
      <c r="C1065" s="247" t="s">
        <v>34</v>
      </c>
      <c r="D1065" s="453" t="s">
        <v>94</v>
      </c>
      <c r="E1065" s="478">
        <v>0</v>
      </c>
      <c r="F1065" s="374" t="s">
        <v>483</v>
      </c>
      <c r="G1065" s="375" t="s">
        <v>16</v>
      </c>
      <c r="H1065" s="478"/>
      <c r="I1065" s="478"/>
      <c r="J1065" s="478"/>
      <c r="K1065" s="478"/>
      <c r="L1065" s="471"/>
      <c r="M1065" s="456" t="str">
        <f t="shared" si="34"/>
        <v/>
      </c>
      <c r="N1065" s="479" t="s">
        <v>484</v>
      </c>
    </row>
    <row r="1066" spans="1:14" hidden="1" x14ac:dyDescent="0.2">
      <c r="A1066" s="448" t="s">
        <v>466</v>
      </c>
      <c r="B1066" s="436" t="s">
        <v>482</v>
      </c>
      <c r="C1066" s="247" t="s">
        <v>36</v>
      </c>
      <c r="D1066" s="453" t="s">
        <v>94</v>
      </c>
      <c r="E1066" s="719">
        <v>1.039804993741353E-3</v>
      </c>
      <c r="F1066" s="374" t="s">
        <v>483</v>
      </c>
      <c r="G1066" s="375" t="s">
        <v>16</v>
      </c>
      <c r="H1066" s="381">
        <v>1</v>
      </c>
      <c r="I1066" s="381">
        <v>2</v>
      </c>
      <c r="J1066" s="381">
        <v>3</v>
      </c>
      <c r="K1066" s="381">
        <v>3</v>
      </c>
      <c r="L1066" s="253">
        <v>3</v>
      </c>
      <c r="M1066" s="254">
        <f t="shared" si="34"/>
        <v>1.123005955058592</v>
      </c>
      <c r="N1066" s="479" t="s">
        <v>484</v>
      </c>
    </row>
    <row r="1067" spans="1:14" hidden="1" x14ac:dyDescent="0.2">
      <c r="A1067" s="448" t="s">
        <v>466</v>
      </c>
      <c r="B1067" s="436" t="s">
        <v>482</v>
      </c>
      <c r="C1067" s="247" t="s">
        <v>37</v>
      </c>
      <c r="D1067" s="453" t="s">
        <v>94</v>
      </c>
      <c r="E1067" s="719">
        <v>3.0778118234903512E-3</v>
      </c>
      <c r="F1067" s="374" t="s">
        <v>483</v>
      </c>
      <c r="G1067" s="375" t="s">
        <v>16</v>
      </c>
      <c r="H1067" s="381">
        <v>1</v>
      </c>
      <c r="I1067" s="381">
        <v>2</v>
      </c>
      <c r="J1067" s="381">
        <v>3</v>
      </c>
      <c r="K1067" s="381">
        <v>3</v>
      </c>
      <c r="L1067" s="253">
        <v>3</v>
      </c>
      <c r="M1067" s="254">
        <f t="shared" si="34"/>
        <v>1.123005955058592</v>
      </c>
      <c r="N1067" s="479" t="s">
        <v>484</v>
      </c>
    </row>
    <row r="1068" spans="1:14" hidden="1" x14ac:dyDescent="0.2">
      <c r="A1068" s="448" t="s">
        <v>466</v>
      </c>
      <c r="B1068" s="436" t="s">
        <v>482</v>
      </c>
      <c r="C1068" s="247" t="s">
        <v>39</v>
      </c>
      <c r="D1068" s="453" t="s">
        <v>94</v>
      </c>
      <c r="E1068" s="719">
        <v>4.7709257227621798E-4</v>
      </c>
      <c r="F1068" s="374" t="s">
        <v>483</v>
      </c>
      <c r="G1068" s="375" t="s">
        <v>16</v>
      </c>
      <c r="H1068" s="381">
        <v>1</v>
      </c>
      <c r="I1068" s="381">
        <v>2</v>
      </c>
      <c r="J1068" s="381">
        <v>3</v>
      </c>
      <c r="K1068" s="381">
        <v>3</v>
      </c>
      <c r="L1068" s="253">
        <v>3</v>
      </c>
      <c r="M1068" s="254">
        <f t="shared" si="34"/>
        <v>1.123005955058592</v>
      </c>
      <c r="N1068" s="479" t="s">
        <v>484</v>
      </c>
    </row>
    <row r="1069" spans="1:14" hidden="1" x14ac:dyDescent="0.2">
      <c r="A1069" s="448" t="s">
        <v>466</v>
      </c>
      <c r="B1069" s="436" t="s">
        <v>482</v>
      </c>
      <c r="C1069" s="247" t="s">
        <v>40</v>
      </c>
      <c r="D1069" s="453" t="s">
        <v>94</v>
      </c>
      <c r="E1069" s="719">
        <v>9.0580571537254525E-5</v>
      </c>
      <c r="F1069" s="374" t="s">
        <v>483</v>
      </c>
      <c r="G1069" s="375" t="s">
        <v>16</v>
      </c>
      <c r="H1069" s="381">
        <v>1</v>
      </c>
      <c r="I1069" s="381">
        <v>2</v>
      </c>
      <c r="J1069" s="381">
        <v>3</v>
      </c>
      <c r="K1069" s="381">
        <v>3</v>
      </c>
      <c r="L1069" s="253">
        <v>3</v>
      </c>
      <c r="M1069" s="254">
        <f t="shared" si="34"/>
        <v>1.123005955058592</v>
      </c>
      <c r="N1069" s="479" t="s">
        <v>484</v>
      </c>
    </row>
    <row r="1070" spans="1:14" hidden="1" x14ac:dyDescent="0.2">
      <c r="A1070" s="448" t="s">
        <v>466</v>
      </c>
      <c r="B1070" s="436" t="s">
        <v>482</v>
      </c>
      <c r="C1070" s="247" t="s">
        <v>41</v>
      </c>
      <c r="D1070" s="453" t="s">
        <v>94</v>
      </c>
      <c r="E1070" s="478">
        <v>0</v>
      </c>
      <c r="F1070" s="374" t="s">
        <v>483</v>
      </c>
      <c r="G1070" s="375" t="s">
        <v>16</v>
      </c>
      <c r="H1070" s="478"/>
      <c r="I1070" s="478"/>
      <c r="J1070" s="478"/>
      <c r="K1070" s="478"/>
      <c r="L1070" s="471"/>
      <c r="M1070" s="456" t="str">
        <f t="shared" si="34"/>
        <v/>
      </c>
      <c r="N1070" s="479" t="s">
        <v>484</v>
      </c>
    </row>
    <row r="1071" spans="1:14" hidden="1" x14ac:dyDescent="0.2">
      <c r="A1071" s="448" t="s">
        <v>466</v>
      </c>
      <c r="B1071" s="436" t="s">
        <v>482</v>
      </c>
      <c r="C1071" s="247" t="s">
        <v>42</v>
      </c>
      <c r="D1071" s="453" t="s">
        <v>94</v>
      </c>
      <c r="E1071" s="719">
        <v>5.993523515805706E-3</v>
      </c>
      <c r="F1071" s="374" t="s">
        <v>483</v>
      </c>
      <c r="G1071" s="375" t="s">
        <v>16</v>
      </c>
      <c r="H1071" s="381">
        <v>1</v>
      </c>
      <c r="I1071" s="381">
        <v>2</v>
      </c>
      <c r="J1071" s="381">
        <v>3</v>
      </c>
      <c r="K1071" s="381">
        <v>3</v>
      </c>
      <c r="L1071" s="253">
        <v>3</v>
      </c>
      <c r="M1071" s="254">
        <f t="shared" si="34"/>
        <v>1.123005955058592</v>
      </c>
      <c r="N1071" s="479" t="s">
        <v>484</v>
      </c>
    </row>
    <row r="1072" spans="1:14" hidden="1" x14ac:dyDescent="0.2">
      <c r="A1072" s="448" t="s">
        <v>466</v>
      </c>
      <c r="B1072" s="436" t="s">
        <v>482</v>
      </c>
      <c r="C1072" s="247" t="s">
        <v>43</v>
      </c>
      <c r="D1072" s="453" t="s">
        <v>94</v>
      </c>
      <c r="E1072" s="719">
        <v>9.0227379342697103E-4</v>
      </c>
      <c r="F1072" s="374" t="s">
        <v>483</v>
      </c>
      <c r="G1072" s="375" t="s">
        <v>16</v>
      </c>
      <c r="H1072" s="381">
        <v>1</v>
      </c>
      <c r="I1072" s="381">
        <v>2</v>
      </c>
      <c r="J1072" s="381">
        <v>3</v>
      </c>
      <c r="K1072" s="381">
        <v>3</v>
      </c>
      <c r="L1072" s="253">
        <v>3</v>
      </c>
      <c r="M1072" s="254">
        <f t="shared" si="34"/>
        <v>1.123005955058592</v>
      </c>
      <c r="N1072" s="479" t="s">
        <v>484</v>
      </c>
    </row>
    <row r="1073" spans="1:14" x14ac:dyDescent="0.2">
      <c r="A1073" s="448" t="s">
        <v>466</v>
      </c>
      <c r="B1073" s="436" t="s">
        <v>482</v>
      </c>
      <c r="C1073" s="247" t="s">
        <v>45</v>
      </c>
      <c r="D1073" s="453" t="s">
        <v>94</v>
      </c>
      <c r="E1073" s="719">
        <v>2.129912059968203E-3</v>
      </c>
      <c r="F1073" s="374" t="s">
        <v>483</v>
      </c>
      <c r="G1073" s="375" t="s">
        <v>16</v>
      </c>
      <c r="H1073" s="381">
        <v>1</v>
      </c>
      <c r="I1073" s="381">
        <v>2</v>
      </c>
      <c r="J1073" s="381">
        <v>3</v>
      </c>
      <c r="K1073" s="381">
        <v>3</v>
      </c>
      <c r="L1073" s="253">
        <v>3</v>
      </c>
      <c r="M1073" s="254">
        <f t="shared" si="34"/>
        <v>1.123005955058592</v>
      </c>
      <c r="N1073" s="479" t="s">
        <v>484</v>
      </c>
    </row>
    <row r="1074" spans="1:14" hidden="1" x14ac:dyDescent="0.2">
      <c r="A1074" s="448" t="s">
        <v>466</v>
      </c>
      <c r="B1074" s="436" t="s">
        <v>482</v>
      </c>
      <c r="C1074" s="247" t="s">
        <v>46</v>
      </c>
      <c r="D1074" s="453" t="s">
        <v>94</v>
      </c>
      <c r="E1074" s="719">
        <v>1.841414702878786E-4</v>
      </c>
      <c r="F1074" s="374" t="s">
        <v>483</v>
      </c>
      <c r="G1074" s="375" t="s">
        <v>16</v>
      </c>
      <c r="H1074" s="381">
        <v>1</v>
      </c>
      <c r="I1074" s="381">
        <v>2</v>
      </c>
      <c r="J1074" s="381">
        <v>3</v>
      </c>
      <c r="K1074" s="381">
        <v>3</v>
      </c>
      <c r="L1074" s="253">
        <v>3</v>
      </c>
      <c r="M1074" s="254">
        <f t="shared" si="34"/>
        <v>1.123005955058592</v>
      </c>
      <c r="N1074" s="479" t="s">
        <v>484</v>
      </c>
    </row>
    <row r="1075" spans="1:14" hidden="1" x14ac:dyDescent="0.2">
      <c r="A1075" s="448" t="s">
        <v>466</v>
      </c>
      <c r="B1075" s="436" t="s">
        <v>482</v>
      </c>
      <c r="C1075" s="247" t="s">
        <v>48</v>
      </c>
      <c r="D1075" s="453" t="s">
        <v>94</v>
      </c>
      <c r="E1075" s="720">
        <v>1.9913850033019152E-3</v>
      </c>
      <c r="F1075" s="374" t="s">
        <v>483</v>
      </c>
      <c r="G1075" s="375" t="s">
        <v>16</v>
      </c>
      <c r="H1075" s="381">
        <v>1</v>
      </c>
      <c r="I1075" s="381">
        <v>2</v>
      </c>
      <c r="J1075" s="381">
        <v>3</v>
      </c>
      <c r="K1075" s="381">
        <v>3</v>
      </c>
      <c r="L1075" s="253">
        <v>3</v>
      </c>
      <c r="M1075" s="254">
        <f t="shared" si="34"/>
        <v>1.123005955058592</v>
      </c>
      <c r="N1075" s="479" t="s">
        <v>484</v>
      </c>
    </row>
    <row r="1076" spans="1:14" hidden="1" x14ac:dyDescent="0.2">
      <c r="A1076" s="448" t="s">
        <v>466</v>
      </c>
      <c r="B1076" s="436" t="s">
        <v>482</v>
      </c>
      <c r="C1076" s="247" t="s">
        <v>50</v>
      </c>
      <c r="D1076" s="453" t="s">
        <v>94</v>
      </c>
      <c r="E1076" s="719">
        <v>1.2425922385777099E-4</v>
      </c>
      <c r="F1076" s="374" t="s">
        <v>483</v>
      </c>
      <c r="G1076" s="251" t="s">
        <v>16</v>
      </c>
      <c r="H1076" s="381">
        <v>1</v>
      </c>
      <c r="I1076" s="381">
        <v>2</v>
      </c>
      <c r="J1076" s="381">
        <v>3</v>
      </c>
      <c r="K1076" s="381">
        <v>3</v>
      </c>
      <c r="L1076" s="253">
        <v>3</v>
      </c>
      <c r="M1076" s="254">
        <f t="shared" si="34"/>
        <v>1.123005955058592</v>
      </c>
      <c r="N1076" s="479" t="s">
        <v>484</v>
      </c>
    </row>
    <row r="1077" spans="1:14" hidden="1" x14ac:dyDescent="0.2">
      <c r="A1077" s="448" t="s">
        <v>466</v>
      </c>
      <c r="B1077" s="436" t="s">
        <v>482</v>
      </c>
      <c r="C1077" s="247" t="s">
        <v>52</v>
      </c>
      <c r="D1077" s="453" t="s">
        <v>94</v>
      </c>
      <c r="E1077" s="478">
        <v>0</v>
      </c>
      <c r="F1077" s="374" t="s">
        <v>483</v>
      </c>
      <c r="G1077" s="251" t="s">
        <v>16</v>
      </c>
      <c r="H1077" s="478"/>
      <c r="I1077" s="478"/>
      <c r="J1077" s="478"/>
      <c r="K1077" s="478"/>
      <c r="L1077" s="471"/>
      <c r="M1077" s="456" t="str">
        <f t="shared" si="34"/>
        <v/>
      </c>
      <c r="N1077" s="479" t="s">
        <v>484</v>
      </c>
    </row>
    <row r="1078" spans="1:14" hidden="1" x14ac:dyDescent="0.2">
      <c r="A1078" s="448" t="s">
        <v>466</v>
      </c>
      <c r="B1078" s="436" t="s">
        <v>482</v>
      </c>
      <c r="C1078" s="247" t="s">
        <v>54</v>
      </c>
      <c r="D1078" s="453" t="s">
        <v>94</v>
      </c>
      <c r="E1078" s="719">
        <v>1.34920011777407E-4</v>
      </c>
      <c r="F1078" s="374" t="s">
        <v>483</v>
      </c>
      <c r="G1078" s="251" t="s">
        <v>16</v>
      </c>
      <c r="H1078" s="381">
        <v>1</v>
      </c>
      <c r="I1078" s="381">
        <v>2</v>
      </c>
      <c r="J1078" s="381">
        <v>3</v>
      </c>
      <c r="K1078" s="381">
        <v>3</v>
      </c>
      <c r="L1078" s="253">
        <v>3</v>
      </c>
      <c r="M1078" s="254">
        <f t="shared" si="34"/>
        <v>1.123005955058592</v>
      </c>
      <c r="N1078" s="479" t="s">
        <v>484</v>
      </c>
    </row>
    <row r="1079" spans="1:14" hidden="1" x14ac:dyDescent="0.2">
      <c r="A1079" s="448" t="s">
        <v>466</v>
      </c>
      <c r="B1079" s="436" t="s">
        <v>482</v>
      </c>
      <c r="C1079" s="247" t="s">
        <v>55</v>
      </c>
      <c r="D1079" s="453" t="s">
        <v>94</v>
      </c>
      <c r="E1079" s="720">
        <v>7.9522023834350121E-4</v>
      </c>
      <c r="F1079" s="374" t="s">
        <v>483</v>
      </c>
      <c r="G1079" s="375" t="s">
        <v>16</v>
      </c>
      <c r="H1079" s="381">
        <v>1</v>
      </c>
      <c r="I1079" s="381">
        <v>2</v>
      </c>
      <c r="J1079" s="381">
        <v>3</v>
      </c>
      <c r="K1079" s="381">
        <v>3</v>
      </c>
      <c r="L1079" s="253">
        <v>3</v>
      </c>
      <c r="M1079" s="254">
        <f t="shared" si="34"/>
        <v>1.123005955058592</v>
      </c>
      <c r="N1079" s="479" t="s">
        <v>484</v>
      </c>
    </row>
    <row r="1080" spans="1:14" hidden="1" x14ac:dyDescent="0.2">
      <c r="A1080" s="448" t="s">
        <v>466</v>
      </c>
      <c r="B1080" s="436" t="s">
        <v>482</v>
      </c>
      <c r="C1080" s="247" t="s">
        <v>57</v>
      </c>
      <c r="D1080" s="453" t="s">
        <v>94</v>
      </c>
      <c r="E1080" s="719">
        <v>3.1542313233661639E-4</v>
      </c>
      <c r="F1080" s="374" t="s">
        <v>483</v>
      </c>
      <c r="G1080" s="251" t="s">
        <v>16</v>
      </c>
      <c r="H1080" s="381">
        <v>1</v>
      </c>
      <c r="I1080" s="381">
        <v>2</v>
      </c>
      <c r="J1080" s="381">
        <v>3</v>
      </c>
      <c r="K1080" s="381">
        <v>3</v>
      </c>
      <c r="L1080" s="253">
        <v>3</v>
      </c>
      <c r="M1080" s="254">
        <f t="shared" si="34"/>
        <v>1.123005955058592</v>
      </c>
      <c r="N1080" s="479" t="s">
        <v>484</v>
      </c>
    </row>
    <row r="1081" spans="1:14" hidden="1" x14ac:dyDescent="0.2">
      <c r="A1081" s="448" t="s">
        <v>466</v>
      </c>
      <c r="B1081" s="436" t="s">
        <v>482</v>
      </c>
      <c r="C1081" s="247" t="s">
        <v>59</v>
      </c>
      <c r="D1081" s="453" t="s">
        <v>94</v>
      </c>
      <c r="E1081" s="478">
        <v>0</v>
      </c>
      <c r="F1081" s="374" t="s">
        <v>483</v>
      </c>
      <c r="G1081" s="251" t="s">
        <v>16</v>
      </c>
      <c r="H1081" s="478"/>
      <c r="I1081" s="478"/>
      <c r="J1081" s="478"/>
      <c r="K1081" s="478"/>
      <c r="L1081" s="471"/>
      <c r="M1081" s="456" t="str">
        <f t="shared" si="34"/>
        <v/>
      </c>
      <c r="N1081" s="479" t="s">
        <v>484</v>
      </c>
    </row>
    <row r="1082" spans="1:14" hidden="1" x14ac:dyDescent="0.2">
      <c r="A1082" s="448" t="s">
        <v>466</v>
      </c>
      <c r="B1082" s="436" t="s">
        <v>482</v>
      </c>
      <c r="C1082" s="247" t="s">
        <v>60</v>
      </c>
      <c r="D1082" s="453" t="s">
        <v>94</v>
      </c>
      <c r="E1082" s="719">
        <v>3.0981187027707812E-3</v>
      </c>
      <c r="F1082" s="374" t="s">
        <v>483</v>
      </c>
      <c r="G1082" s="251" t="s">
        <v>16</v>
      </c>
      <c r="H1082" s="381">
        <v>1</v>
      </c>
      <c r="I1082" s="381">
        <v>2</v>
      </c>
      <c r="J1082" s="381">
        <v>3</v>
      </c>
      <c r="K1082" s="381">
        <v>3</v>
      </c>
      <c r="L1082" s="253">
        <v>3</v>
      </c>
      <c r="M1082" s="254">
        <f t="shared" si="34"/>
        <v>1.123005955058592</v>
      </c>
      <c r="N1082" s="479" t="s">
        <v>484</v>
      </c>
    </row>
    <row r="1083" spans="1:14" x14ac:dyDescent="0.2">
      <c r="A1083" s="465" t="s">
        <v>466</v>
      </c>
      <c r="B1083" s="496" t="s">
        <v>387</v>
      </c>
      <c r="C1083" s="409" t="s">
        <v>135</v>
      </c>
      <c r="D1083" s="453" t="s">
        <v>94</v>
      </c>
      <c r="E1083" s="478" t="s">
        <v>188</v>
      </c>
      <c r="F1083" s="289"/>
      <c r="G1083" s="251" t="s">
        <v>16</v>
      </c>
      <c r="H1083" s="473"/>
      <c r="I1083" s="473"/>
      <c r="J1083" s="473"/>
      <c r="K1083" s="473"/>
      <c r="L1083" s="474"/>
      <c r="M1083" s="475" t="str">
        <f t="shared" si="34"/>
        <v/>
      </c>
      <c r="N1083" s="479"/>
    </row>
    <row r="1084" spans="1:14" hidden="1" x14ac:dyDescent="0.2">
      <c r="A1084" s="448" t="s">
        <v>466</v>
      </c>
      <c r="B1084" s="436" t="s">
        <v>456</v>
      </c>
      <c r="C1084" s="265" t="s">
        <v>13</v>
      </c>
      <c r="D1084" s="497" t="s">
        <v>96</v>
      </c>
      <c r="E1084" s="476">
        <v>8.8999999999999999E-3</v>
      </c>
      <c r="F1084" s="374" t="s">
        <v>478</v>
      </c>
      <c r="G1084" s="268" t="s">
        <v>16</v>
      </c>
      <c r="H1084" s="269">
        <v>1</v>
      </c>
      <c r="I1084" s="269">
        <v>2</v>
      </c>
      <c r="J1084" s="269">
        <v>3</v>
      </c>
      <c r="K1084" s="269">
        <v>3</v>
      </c>
      <c r="L1084" s="270">
        <v>3</v>
      </c>
      <c r="M1084" s="271">
        <f t="shared" si="34"/>
        <v>1.123005955058592</v>
      </c>
      <c r="N1084" s="272"/>
    </row>
    <row r="1085" spans="1:14" hidden="1" x14ac:dyDescent="0.2">
      <c r="A1085" s="448" t="s">
        <v>466</v>
      </c>
      <c r="B1085" s="436" t="s">
        <v>456</v>
      </c>
      <c r="C1085" s="247" t="s">
        <v>18</v>
      </c>
      <c r="D1085" s="457" t="s">
        <v>96</v>
      </c>
      <c r="E1085" s="477">
        <v>2.2599999999999999E-2</v>
      </c>
      <c r="F1085" s="374" t="s">
        <v>478</v>
      </c>
      <c r="G1085" s="251" t="s">
        <v>16</v>
      </c>
      <c r="H1085" s="252">
        <v>1</v>
      </c>
      <c r="I1085" s="252">
        <v>2</v>
      </c>
      <c r="J1085" s="252">
        <v>3</v>
      </c>
      <c r="K1085" s="252">
        <v>3</v>
      </c>
      <c r="L1085" s="253">
        <v>3</v>
      </c>
      <c r="M1085" s="254">
        <f t="shared" si="34"/>
        <v>1.123005955058592</v>
      </c>
      <c r="N1085" s="255"/>
    </row>
    <row r="1086" spans="1:14" hidden="1" x14ac:dyDescent="0.2">
      <c r="A1086" s="448" t="s">
        <v>466</v>
      </c>
      <c r="B1086" s="436" t="s">
        <v>456</v>
      </c>
      <c r="C1086" s="247" t="s">
        <v>20</v>
      </c>
      <c r="D1086" s="457" t="s">
        <v>96</v>
      </c>
      <c r="E1086" s="477">
        <v>2.75E-2</v>
      </c>
      <c r="F1086" s="374" t="s">
        <v>478</v>
      </c>
      <c r="G1086" s="251" t="s">
        <v>16</v>
      </c>
      <c r="H1086" s="252">
        <v>1</v>
      </c>
      <c r="I1086" s="252">
        <v>2</v>
      </c>
      <c r="J1086" s="252">
        <v>3</v>
      </c>
      <c r="K1086" s="252">
        <v>3</v>
      </c>
      <c r="L1086" s="253">
        <v>3</v>
      </c>
      <c r="M1086" s="254">
        <f t="shared" si="34"/>
        <v>1.123005955058592</v>
      </c>
      <c r="N1086" s="255"/>
    </row>
    <row r="1087" spans="1:14" hidden="1" x14ac:dyDescent="0.2">
      <c r="A1087" s="448" t="s">
        <v>466</v>
      </c>
      <c r="B1087" s="436" t="s">
        <v>456</v>
      </c>
      <c r="C1087" s="247" t="s">
        <v>22</v>
      </c>
      <c r="D1087" s="457" t="s">
        <v>96</v>
      </c>
      <c r="E1087" s="477">
        <v>1.83E-2</v>
      </c>
      <c r="F1087" s="374" t="s">
        <v>478</v>
      </c>
      <c r="G1087" s="251" t="s">
        <v>16</v>
      </c>
      <c r="H1087" s="252">
        <v>1</v>
      </c>
      <c r="I1087" s="252">
        <v>2</v>
      </c>
      <c r="J1087" s="252">
        <v>3</v>
      </c>
      <c r="K1087" s="252">
        <v>3</v>
      </c>
      <c r="L1087" s="253">
        <v>3</v>
      </c>
      <c r="M1087" s="254">
        <f t="shared" si="34"/>
        <v>1.123005955058592</v>
      </c>
      <c r="N1087" s="255"/>
    </row>
    <row r="1088" spans="1:14" hidden="1" x14ac:dyDescent="0.2">
      <c r="A1088" s="448" t="s">
        <v>466</v>
      </c>
      <c r="B1088" s="436" t="s">
        <v>456</v>
      </c>
      <c r="C1088" s="247" t="s">
        <v>23</v>
      </c>
      <c r="D1088" s="457" t="s">
        <v>96</v>
      </c>
      <c r="E1088" s="477">
        <v>1.8499999999999999E-2</v>
      </c>
      <c r="F1088" s="374" t="s">
        <v>478</v>
      </c>
      <c r="G1088" s="251" t="s">
        <v>16</v>
      </c>
      <c r="H1088" s="252">
        <v>1</v>
      </c>
      <c r="I1088" s="252">
        <v>2</v>
      </c>
      <c r="J1088" s="252">
        <v>3</v>
      </c>
      <c r="K1088" s="252">
        <v>3</v>
      </c>
      <c r="L1088" s="253">
        <v>3</v>
      </c>
      <c r="M1088" s="254">
        <f t="shared" si="34"/>
        <v>1.123005955058592</v>
      </c>
      <c r="N1088" s="255"/>
    </row>
    <row r="1089" spans="1:14" hidden="1" x14ac:dyDescent="0.2">
      <c r="A1089" s="448" t="s">
        <v>466</v>
      </c>
      <c r="B1089" s="436" t="s">
        <v>456</v>
      </c>
      <c r="C1089" s="247" t="s">
        <v>24</v>
      </c>
      <c r="D1089" s="457" t="s">
        <v>96</v>
      </c>
      <c r="E1089" s="477">
        <v>1.95E-2</v>
      </c>
      <c r="F1089" s="374" t="s">
        <v>478</v>
      </c>
      <c r="G1089" s="251" t="s">
        <v>16</v>
      </c>
      <c r="H1089" s="252">
        <v>1</v>
      </c>
      <c r="I1089" s="252">
        <v>2</v>
      </c>
      <c r="J1089" s="252">
        <v>3</v>
      </c>
      <c r="K1089" s="252">
        <v>3</v>
      </c>
      <c r="L1089" s="253">
        <v>3</v>
      </c>
      <c r="M1089" s="254">
        <f t="shared" si="34"/>
        <v>1.123005955058592</v>
      </c>
      <c r="N1089" s="255"/>
    </row>
    <row r="1090" spans="1:14" hidden="1" x14ac:dyDescent="0.2">
      <c r="A1090" s="448" t="s">
        <v>466</v>
      </c>
      <c r="B1090" s="436" t="s">
        <v>456</v>
      </c>
      <c r="C1090" s="247" t="s">
        <v>25</v>
      </c>
      <c r="D1090" s="457" t="s">
        <v>96</v>
      </c>
      <c r="E1090" s="477">
        <v>1.18E-2</v>
      </c>
      <c r="F1090" s="374" t="s">
        <v>478</v>
      </c>
      <c r="G1090" s="251" t="s">
        <v>16</v>
      </c>
      <c r="H1090" s="252">
        <v>1</v>
      </c>
      <c r="I1090" s="252">
        <v>2</v>
      </c>
      <c r="J1090" s="252">
        <v>3</v>
      </c>
      <c r="K1090" s="252">
        <v>3</v>
      </c>
      <c r="L1090" s="253">
        <v>3</v>
      </c>
      <c r="M1090" s="254">
        <f t="shared" si="34"/>
        <v>1.123005955058592</v>
      </c>
      <c r="N1090" s="255"/>
    </row>
    <row r="1091" spans="1:14" hidden="1" x14ac:dyDescent="0.2">
      <c r="A1091" s="448" t="s">
        <v>466</v>
      </c>
      <c r="B1091" s="436" t="s">
        <v>456</v>
      </c>
      <c r="C1091" s="247" t="s">
        <v>26</v>
      </c>
      <c r="D1091" s="457" t="s">
        <v>96</v>
      </c>
      <c r="E1091" s="477">
        <v>9.7999999999999997E-3</v>
      </c>
      <c r="F1091" s="374" t="s">
        <v>478</v>
      </c>
      <c r="G1091" s="251" t="s">
        <v>16</v>
      </c>
      <c r="H1091" s="252">
        <v>1</v>
      </c>
      <c r="I1091" s="252">
        <v>2</v>
      </c>
      <c r="J1091" s="252">
        <v>3</v>
      </c>
      <c r="K1091" s="252">
        <v>3</v>
      </c>
      <c r="L1091" s="253">
        <v>3</v>
      </c>
      <c r="M1091" s="254">
        <f t="shared" si="34"/>
        <v>1.123005955058592</v>
      </c>
      <c r="N1091" s="255"/>
    </row>
    <row r="1092" spans="1:14" hidden="1" x14ac:dyDescent="0.2">
      <c r="A1092" s="448" t="s">
        <v>466</v>
      </c>
      <c r="B1092" s="436" t="s">
        <v>456</v>
      </c>
      <c r="C1092" s="247" t="s">
        <v>27</v>
      </c>
      <c r="D1092" s="457" t="s">
        <v>96</v>
      </c>
      <c r="E1092" s="477">
        <v>9.1000000000000004E-3</v>
      </c>
      <c r="F1092" s="374" t="s">
        <v>478</v>
      </c>
      <c r="G1092" s="251" t="s">
        <v>16</v>
      </c>
      <c r="H1092" s="252">
        <v>1</v>
      </c>
      <c r="I1092" s="252">
        <v>2</v>
      </c>
      <c r="J1092" s="252">
        <v>3</v>
      </c>
      <c r="K1092" s="252">
        <v>3</v>
      </c>
      <c r="L1092" s="253">
        <v>3</v>
      </c>
      <c r="M1092" s="254">
        <f>IF( OR( ISBLANK(H1092),ISBLANK(I1092), ISBLANK(J1092), ISBLANK(K1092), ISBLANK(L1092) ), "", 1.5*SQRT(   EXP(2.21*(H1092-1)) + EXP(2.21*(I1092-1)) + EXP(2.21*(J1092-1)) + EXP(2.21*(K1092-1)) + EXP(2.21*L1092)   )/100*2.45 )</f>
        <v>1.123005955058592</v>
      </c>
      <c r="N1092" s="255"/>
    </row>
    <row r="1093" spans="1:14" hidden="1" x14ac:dyDescent="0.2">
      <c r="A1093" s="448" t="s">
        <v>466</v>
      </c>
      <c r="B1093" s="436" t="s">
        <v>456</v>
      </c>
      <c r="C1093" s="247" t="s">
        <v>28</v>
      </c>
      <c r="D1093" s="457" t="s">
        <v>96</v>
      </c>
      <c r="E1093" s="477">
        <v>1.95E-2</v>
      </c>
      <c r="F1093" s="374" t="s">
        <v>478</v>
      </c>
      <c r="G1093" s="251" t="s">
        <v>16</v>
      </c>
      <c r="H1093" s="252">
        <v>1</v>
      </c>
      <c r="I1093" s="252">
        <v>2</v>
      </c>
      <c r="J1093" s="252">
        <v>3</v>
      </c>
      <c r="K1093" s="252">
        <v>3</v>
      </c>
      <c r="L1093" s="253">
        <v>3</v>
      </c>
      <c r="M1093" s="254">
        <f t="shared" ref="M1093:M1113" si="35">IF( OR( ISBLANK(H1093),ISBLANK(I1093), ISBLANK(J1093), ISBLANK(K1093), ISBLANK(L1093) ), "", 1.5*SQRT( EXP(2.21*(H1093-1)) + EXP(2.21*(I1093-1)) + EXP(2.21*(J1093-1)) + EXP(2.21*(K1093-1)) + EXP(2.21*L1093) )/100*2.45 )</f>
        <v>1.123005955058592</v>
      </c>
      <c r="N1093" s="255"/>
    </row>
    <row r="1094" spans="1:14" hidden="1" x14ac:dyDescent="0.2">
      <c r="A1094" s="448" t="s">
        <v>466</v>
      </c>
      <c r="B1094" s="436" t="s">
        <v>456</v>
      </c>
      <c r="C1094" s="247" t="s">
        <v>30</v>
      </c>
      <c r="D1094" s="457" t="s">
        <v>96</v>
      </c>
      <c r="E1094" s="477">
        <v>1.17E-2</v>
      </c>
      <c r="F1094" s="374" t="s">
        <v>478</v>
      </c>
      <c r="G1094" s="251" t="s">
        <v>16</v>
      </c>
      <c r="H1094" s="252">
        <v>1</v>
      </c>
      <c r="I1094" s="252">
        <v>2</v>
      </c>
      <c r="J1094" s="252">
        <v>3</v>
      </c>
      <c r="K1094" s="252">
        <v>3</v>
      </c>
      <c r="L1094" s="253">
        <v>3</v>
      </c>
      <c r="M1094" s="254">
        <f t="shared" si="35"/>
        <v>1.123005955058592</v>
      </c>
      <c r="N1094" s="255"/>
    </row>
    <row r="1095" spans="1:14" hidden="1" x14ac:dyDescent="0.2">
      <c r="A1095" s="448" t="s">
        <v>466</v>
      </c>
      <c r="B1095" s="436" t="s">
        <v>456</v>
      </c>
      <c r="C1095" s="247" t="s">
        <v>32</v>
      </c>
      <c r="D1095" s="457" t="s">
        <v>96</v>
      </c>
      <c r="E1095" s="477">
        <v>3.6900000000000002E-2</v>
      </c>
      <c r="F1095" s="374" t="s">
        <v>478</v>
      </c>
      <c r="G1095" s="251" t="s">
        <v>16</v>
      </c>
      <c r="H1095" s="252">
        <v>1</v>
      </c>
      <c r="I1095" s="252">
        <v>2</v>
      </c>
      <c r="J1095" s="252">
        <v>3</v>
      </c>
      <c r="K1095" s="252">
        <v>3</v>
      </c>
      <c r="L1095" s="253">
        <v>3</v>
      </c>
      <c r="M1095" s="254">
        <f t="shared" si="35"/>
        <v>1.123005955058592</v>
      </c>
      <c r="N1095" s="255"/>
    </row>
    <row r="1096" spans="1:14" hidden="1" x14ac:dyDescent="0.2">
      <c r="A1096" s="448" t="s">
        <v>466</v>
      </c>
      <c r="B1096" s="436" t="s">
        <v>456</v>
      </c>
      <c r="C1096" s="247" t="s">
        <v>34</v>
      </c>
      <c r="D1096" s="457" t="s">
        <v>96</v>
      </c>
      <c r="E1096" s="477">
        <v>1.8599999999999998E-2</v>
      </c>
      <c r="F1096" s="374" t="s">
        <v>478</v>
      </c>
      <c r="G1096" s="251" t="s">
        <v>16</v>
      </c>
      <c r="H1096" s="252">
        <v>1</v>
      </c>
      <c r="I1096" s="252">
        <v>2</v>
      </c>
      <c r="J1096" s="252">
        <v>3</v>
      </c>
      <c r="K1096" s="252">
        <v>3</v>
      </c>
      <c r="L1096" s="253">
        <v>3</v>
      </c>
      <c r="M1096" s="254">
        <f t="shared" si="35"/>
        <v>1.123005955058592</v>
      </c>
      <c r="N1096" s="255"/>
    </row>
    <row r="1097" spans="1:14" hidden="1" x14ac:dyDescent="0.2">
      <c r="A1097" s="448" t="s">
        <v>466</v>
      </c>
      <c r="B1097" s="436" t="s">
        <v>456</v>
      </c>
      <c r="C1097" s="247" t="s">
        <v>36</v>
      </c>
      <c r="D1097" s="457" t="s">
        <v>96</v>
      </c>
      <c r="E1097" s="477">
        <v>1.09E-2</v>
      </c>
      <c r="F1097" s="374" t="s">
        <v>478</v>
      </c>
      <c r="G1097" s="251" t="s">
        <v>16</v>
      </c>
      <c r="H1097" s="252">
        <v>1</v>
      </c>
      <c r="I1097" s="252">
        <v>2</v>
      </c>
      <c r="J1097" s="252">
        <v>3</v>
      </c>
      <c r="K1097" s="252">
        <v>3</v>
      </c>
      <c r="L1097" s="253">
        <v>3</v>
      </c>
      <c r="M1097" s="254">
        <f t="shared" si="35"/>
        <v>1.123005955058592</v>
      </c>
      <c r="N1097" s="255"/>
    </row>
    <row r="1098" spans="1:14" hidden="1" x14ac:dyDescent="0.2">
      <c r="A1098" s="448" t="s">
        <v>466</v>
      </c>
      <c r="B1098" s="436" t="s">
        <v>456</v>
      </c>
      <c r="C1098" s="247" t="s">
        <v>37</v>
      </c>
      <c r="D1098" s="457" t="s">
        <v>96</v>
      </c>
      <c r="E1098" s="477">
        <v>2.7199999999999998E-2</v>
      </c>
      <c r="F1098" s="374" t="s">
        <v>478</v>
      </c>
      <c r="G1098" s="251" t="s">
        <v>16</v>
      </c>
      <c r="H1098" s="252">
        <v>1</v>
      </c>
      <c r="I1098" s="252">
        <v>2</v>
      </c>
      <c r="J1098" s="252">
        <v>3</v>
      </c>
      <c r="K1098" s="252">
        <v>3</v>
      </c>
      <c r="L1098" s="253">
        <v>3</v>
      </c>
      <c r="M1098" s="254">
        <f t="shared" si="35"/>
        <v>1.123005955058592</v>
      </c>
      <c r="N1098" s="255"/>
    </row>
    <row r="1099" spans="1:14" hidden="1" x14ac:dyDescent="0.2">
      <c r="A1099" s="448" t="s">
        <v>466</v>
      </c>
      <c r="B1099" s="436" t="s">
        <v>456</v>
      </c>
      <c r="C1099" s="247" t="s">
        <v>39</v>
      </c>
      <c r="D1099" s="457" t="s">
        <v>96</v>
      </c>
      <c r="E1099" s="477">
        <v>1.24E-2</v>
      </c>
      <c r="F1099" s="374" t="s">
        <v>478</v>
      </c>
      <c r="G1099" s="251" t="s">
        <v>16</v>
      </c>
      <c r="H1099" s="252">
        <v>1</v>
      </c>
      <c r="I1099" s="252">
        <v>2</v>
      </c>
      <c r="J1099" s="252">
        <v>3</v>
      </c>
      <c r="K1099" s="252">
        <v>3</v>
      </c>
      <c r="L1099" s="253">
        <v>3</v>
      </c>
      <c r="M1099" s="254">
        <f t="shared" si="35"/>
        <v>1.123005955058592</v>
      </c>
      <c r="N1099" s="255"/>
    </row>
    <row r="1100" spans="1:14" hidden="1" x14ac:dyDescent="0.2">
      <c r="A1100" s="448" t="s">
        <v>466</v>
      </c>
      <c r="B1100" s="436" t="s">
        <v>456</v>
      </c>
      <c r="C1100" s="247" t="s">
        <v>40</v>
      </c>
      <c r="D1100" s="457" t="s">
        <v>96</v>
      </c>
      <c r="E1100" s="477">
        <v>1.2699999999999999E-2</v>
      </c>
      <c r="F1100" s="374" t="s">
        <v>478</v>
      </c>
      <c r="G1100" s="251" t="s">
        <v>16</v>
      </c>
      <c r="H1100" s="252">
        <v>1</v>
      </c>
      <c r="I1100" s="252">
        <v>2</v>
      </c>
      <c r="J1100" s="252">
        <v>3</v>
      </c>
      <c r="K1100" s="252">
        <v>3</v>
      </c>
      <c r="L1100" s="253">
        <v>3</v>
      </c>
      <c r="M1100" s="254">
        <f t="shared" si="35"/>
        <v>1.123005955058592</v>
      </c>
      <c r="N1100" s="255"/>
    </row>
    <row r="1101" spans="1:14" hidden="1" x14ac:dyDescent="0.2">
      <c r="A1101" s="448" t="s">
        <v>466</v>
      </c>
      <c r="B1101" s="436" t="s">
        <v>456</v>
      </c>
      <c r="C1101" s="247" t="s">
        <v>41</v>
      </c>
      <c r="D1101" s="457" t="s">
        <v>96</v>
      </c>
      <c r="E1101" s="477">
        <v>1.5800000000000002E-2</v>
      </c>
      <c r="F1101" s="374" t="s">
        <v>478</v>
      </c>
      <c r="G1101" s="251" t="s">
        <v>16</v>
      </c>
      <c r="H1101" s="252">
        <v>1</v>
      </c>
      <c r="I1101" s="252">
        <v>2</v>
      </c>
      <c r="J1101" s="252">
        <v>3</v>
      </c>
      <c r="K1101" s="252">
        <v>3</v>
      </c>
      <c r="L1101" s="253">
        <v>3</v>
      </c>
      <c r="M1101" s="254">
        <f t="shared" si="35"/>
        <v>1.123005955058592</v>
      </c>
      <c r="N1101" s="255"/>
    </row>
    <row r="1102" spans="1:14" hidden="1" x14ac:dyDescent="0.2">
      <c r="A1102" s="448" t="s">
        <v>466</v>
      </c>
      <c r="B1102" s="436" t="s">
        <v>456</v>
      </c>
      <c r="C1102" s="247" t="s">
        <v>42</v>
      </c>
      <c r="D1102" s="457" t="s">
        <v>96</v>
      </c>
      <c r="E1102" s="477">
        <v>7.9000000000000008E-3</v>
      </c>
      <c r="F1102" s="374" t="s">
        <v>478</v>
      </c>
      <c r="G1102" s="251" t="s">
        <v>16</v>
      </c>
      <c r="H1102" s="252">
        <v>1</v>
      </c>
      <c r="I1102" s="252">
        <v>2</v>
      </c>
      <c r="J1102" s="252">
        <v>3</v>
      </c>
      <c r="K1102" s="252">
        <v>3</v>
      </c>
      <c r="L1102" s="253">
        <v>3</v>
      </c>
      <c r="M1102" s="254">
        <f t="shared" si="35"/>
        <v>1.123005955058592</v>
      </c>
      <c r="N1102" s="255"/>
    </row>
    <row r="1103" spans="1:14" hidden="1" x14ac:dyDescent="0.2">
      <c r="A1103" s="448" t="s">
        <v>466</v>
      </c>
      <c r="B1103" s="436" t="s">
        <v>456</v>
      </c>
      <c r="C1103" s="247" t="s">
        <v>43</v>
      </c>
      <c r="D1103" s="457" t="s">
        <v>96</v>
      </c>
      <c r="E1103" s="477">
        <v>1.4500000000000001E-2</v>
      </c>
      <c r="F1103" s="374" t="s">
        <v>478</v>
      </c>
      <c r="G1103" s="251" t="s">
        <v>16</v>
      </c>
      <c r="H1103" s="252">
        <v>1</v>
      </c>
      <c r="I1103" s="252">
        <v>2</v>
      </c>
      <c r="J1103" s="252">
        <v>3</v>
      </c>
      <c r="K1103" s="252">
        <v>3</v>
      </c>
      <c r="L1103" s="253">
        <v>3</v>
      </c>
      <c r="M1103" s="254">
        <f t="shared" si="35"/>
        <v>1.123005955058592</v>
      </c>
      <c r="N1103" s="255"/>
    </row>
    <row r="1104" spans="1:14" x14ac:dyDescent="0.2">
      <c r="A1104" s="448" t="s">
        <v>466</v>
      </c>
      <c r="B1104" s="436" t="s">
        <v>456</v>
      </c>
      <c r="C1104" s="247" t="s">
        <v>45</v>
      </c>
      <c r="D1104" s="457" t="s">
        <v>96</v>
      </c>
      <c r="E1104" s="477">
        <v>8.3000000000000001E-3</v>
      </c>
      <c r="F1104" s="374" t="s">
        <v>478</v>
      </c>
      <c r="G1104" s="251" t="s">
        <v>16</v>
      </c>
      <c r="H1104" s="252">
        <v>1</v>
      </c>
      <c r="I1104" s="252">
        <v>2</v>
      </c>
      <c r="J1104" s="252">
        <v>3</v>
      </c>
      <c r="K1104" s="252">
        <v>3</v>
      </c>
      <c r="L1104" s="253">
        <v>3</v>
      </c>
      <c r="M1104" s="254">
        <f t="shared" si="35"/>
        <v>1.123005955058592</v>
      </c>
      <c r="N1104" s="255"/>
    </row>
    <row r="1105" spans="1:14" hidden="1" x14ac:dyDescent="0.2">
      <c r="A1105" s="448" t="s">
        <v>466</v>
      </c>
      <c r="B1105" s="436" t="s">
        <v>456</v>
      </c>
      <c r="C1105" s="247" t="s">
        <v>46</v>
      </c>
      <c r="D1105" s="457" t="s">
        <v>96</v>
      </c>
      <c r="E1105" s="477">
        <v>2.5899999999999999E-2</v>
      </c>
      <c r="F1105" s="374" t="s">
        <v>478</v>
      </c>
      <c r="G1105" s="251" t="s">
        <v>16</v>
      </c>
      <c r="H1105" s="252">
        <v>1</v>
      </c>
      <c r="I1105" s="252">
        <v>2</v>
      </c>
      <c r="J1105" s="252">
        <v>3</v>
      </c>
      <c r="K1105" s="252">
        <v>3</v>
      </c>
      <c r="L1105" s="253">
        <v>3</v>
      </c>
      <c r="M1105" s="254">
        <f t="shared" si="35"/>
        <v>1.123005955058592</v>
      </c>
      <c r="N1105" s="255"/>
    </row>
    <row r="1106" spans="1:14" hidden="1" x14ac:dyDescent="0.2">
      <c r="A1106" s="448" t="s">
        <v>466</v>
      </c>
      <c r="B1106" s="436" t="s">
        <v>456</v>
      </c>
      <c r="C1106" s="247" t="s">
        <v>48</v>
      </c>
      <c r="D1106" s="457" t="s">
        <v>96</v>
      </c>
      <c r="E1106" s="477">
        <v>2.2200000000000001E-2</v>
      </c>
      <c r="F1106" s="374" t="s">
        <v>478</v>
      </c>
      <c r="G1106" s="251" t="s">
        <v>16</v>
      </c>
      <c r="H1106" s="252">
        <v>1</v>
      </c>
      <c r="I1106" s="252">
        <v>2</v>
      </c>
      <c r="J1106" s="252">
        <v>3</v>
      </c>
      <c r="K1106" s="252">
        <v>3</v>
      </c>
      <c r="L1106" s="253">
        <v>3</v>
      </c>
      <c r="M1106" s="254">
        <f t="shared" si="35"/>
        <v>1.123005955058592</v>
      </c>
      <c r="N1106" s="255"/>
    </row>
    <row r="1107" spans="1:14" hidden="1" x14ac:dyDescent="0.2">
      <c r="A1107" s="448" t="s">
        <v>466</v>
      </c>
      <c r="B1107" s="436" t="s">
        <v>456</v>
      </c>
      <c r="C1107" s="247" t="s">
        <v>50</v>
      </c>
      <c r="D1107" s="457" t="s">
        <v>96</v>
      </c>
      <c r="E1107" s="477">
        <v>2.5999999999999999E-2</v>
      </c>
      <c r="F1107" s="374" t="s">
        <v>478</v>
      </c>
      <c r="G1107" s="251" t="s">
        <v>16</v>
      </c>
      <c r="H1107" s="252">
        <v>1</v>
      </c>
      <c r="I1107" s="252">
        <v>2</v>
      </c>
      <c r="J1107" s="252">
        <v>3</v>
      </c>
      <c r="K1107" s="252">
        <v>3</v>
      </c>
      <c r="L1107" s="253">
        <v>3</v>
      </c>
      <c r="M1107" s="254">
        <f t="shared" si="35"/>
        <v>1.123005955058592</v>
      </c>
      <c r="N1107" s="255"/>
    </row>
    <row r="1108" spans="1:14" hidden="1" x14ac:dyDescent="0.2">
      <c r="A1108" s="448" t="s">
        <v>466</v>
      </c>
      <c r="B1108" s="436" t="s">
        <v>456</v>
      </c>
      <c r="C1108" s="247" t="s">
        <v>52</v>
      </c>
      <c r="D1108" s="457" t="s">
        <v>96</v>
      </c>
      <c r="E1108" s="477">
        <v>2.9000000000000001E-2</v>
      </c>
      <c r="F1108" s="374" t="s">
        <v>478</v>
      </c>
      <c r="G1108" s="251" t="s">
        <v>16</v>
      </c>
      <c r="H1108" s="252">
        <v>1</v>
      </c>
      <c r="I1108" s="252">
        <v>2</v>
      </c>
      <c r="J1108" s="252">
        <v>3</v>
      </c>
      <c r="K1108" s="252">
        <v>3</v>
      </c>
      <c r="L1108" s="253">
        <v>3</v>
      </c>
      <c r="M1108" s="254">
        <f t="shared" si="35"/>
        <v>1.123005955058592</v>
      </c>
      <c r="N1108" s="255"/>
    </row>
    <row r="1109" spans="1:14" hidden="1" x14ac:dyDescent="0.2">
      <c r="A1109" s="448" t="s">
        <v>466</v>
      </c>
      <c r="B1109" s="436" t="s">
        <v>456</v>
      </c>
      <c r="C1109" s="247" t="s">
        <v>54</v>
      </c>
      <c r="D1109" s="457" t="s">
        <v>96</v>
      </c>
      <c r="E1109" s="477">
        <v>1.18E-2</v>
      </c>
      <c r="F1109" s="374" t="s">
        <v>478</v>
      </c>
      <c r="G1109" s="251" t="s">
        <v>16</v>
      </c>
      <c r="H1109" s="252">
        <v>1</v>
      </c>
      <c r="I1109" s="252">
        <v>2</v>
      </c>
      <c r="J1109" s="252">
        <v>3</v>
      </c>
      <c r="K1109" s="252">
        <v>3</v>
      </c>
      <c r="L1109" s="253">
        <v>3</v>
      </c>
      <c r="M1109" s="254">
        <f t="shared" si="35"/>
        <v>1.123005955058592</v>
      </c>
      <c r="N1109" s="255"/>
    </row>
    <row r="1110" spans="1:14" hidden="1" x14ac:dyDescent="0.2">
      <c r="A1110" s="448" t="s">
        <v>466</v>
      </c>
      <c r="B1110" s="436" t="s">
        <v>456</v>
      </c>
      <c r="C1110" s="247" t="s">
        <v>55</v>
      </c>
      <c r="D1110" s="457" t="s">
        <v>96</v>
      </c>
      <c r="E1110" s="477">
        <v>1.6899999999999998E-2</v>
      </c>
      <c r="F1110" s="374" t="s">
        <v>478</v>
      </c>
      <c r="G1110" s="251" t="s">
        <v>16</v>
      </c>
      <c r="H1110" s="252">
        <v>1</v>
      </c>
      <c r="I1110" s="252">
        <v>2</v>
      </c>
      <c r="J1110" s="252">
        <v>3</v>
      </c>
      <c r="K1110" s="252">
        <v>3</v>
      </c>
      <c r="L1110" s="253">
        <v>3</v>
      </c>
      <c r="M1110" s="254">
        <f t="shared" si="35"/>
        <v>1.123005955058592</v>
      </c>
      <c r="N1110" s="255"/>
    </row>
    <row r="1111" spans="1:14" hidden="1" x14ac:dyDescent="0.2">
      <c r="A1111" s="448" t="s">
        <v>466</v>
      </c>
      <c r="B1111" s="436" t="s">
        <v>456</v>
      </c>
      <c r="C1111" s="247" t="s">
        <v>57</v>
      </c>
      <c r="D1111" s="457" t="s">
        <v>96</v>
      </c>
      <c r="E1111" s="477">
        <v>8.3000000000000001E-3</v>
      </c>
      <c r="F1111" s="374" t="s">
        <v>478</v>
      </c>
      <c r="G1111" s="251" t="s">
        <v>16</v>
      </c>
      <c r="H1111" s="252">
        <v>1</v>
      </c>
      <c r="I1111" s="252">
        <v>2</v>
      </c>
      <c r="J1111" s="252">
        <v>3</v>
      </c>
      <c r="K1111" s="252">
        <v>3</v>
      </c>
      <c r="L1111" s="253">
        <v>3</v>
      </c>
      <c r="M1111" s="254">
        <f t="shared" si="35"/>
        <v>1.123005955058592</v>
      </c>
      <c r="N1111" s="255"/>
    </row>
    <row r="1112" spans="1:14" hidden="1" x14ac:dyDescent="0.2">
      <c r="A1112" s="448" t="s">
        <v>466</v>
      </c>
      <c r="B1112" s="436" t="s">
        <v>456</v>
      </c>
      <c r="C1112" s="247" t="s">
        <v>59</v>
      </c>
      <c r="D1112" s="457" t="s">
        <v>96</v>
      </c>
      <c r="E1112" s="477">
        <v>1.17E-2</v>
      </c>
      <c r="F1112" s="374" t="s">
        <v>478</v>
      </c>
      <c r="G1112" s="251" t="s">
        <v>16</v>
      </c>
      <c r="H1112" s="252">
        <v>1</v>
      </c>
      <c r="I1112" s="252">
        <v>2</v>
      </c>
      <c r="J1112" s="252">
        <v>3</v>
      </c>
      <c r="K1112" s="252">
        <v>3</v>
      </c>
      <c r="L1112" s="253">
        <v>3</v>
      </c>
      <c r="M1112" s="254">
        <f t="shared" si="35"/>
        <v>1.123005955058592</v>
      </c>
      <c r="N1112" s="255"/>
    </row>
    <row r="1113" spans="1:14" hidden="1" x14ac:dyDescent="0.2">
      <c r="A1113" s="448" t="s">
        <v>466</v>
      </c>
      <c r="B1113" s="436" t="s">
        <v>456</v>
      </c>
      <c r="C1113" s="247" t="s">
        <v>60</v>
      </c>
      <c r="D1113" s="457" t="s">
        <v>96</v>
      </c>
      <c r="E1113" s="477">
        <v>1.52E-2</v>
      </c>
      <c r="F1113" s="374" t="s">
        <v>478</v>
      </c>
      <c r="G1113" s="251" t="s">
        <v>16</v>
      </c>
      <c r="H1113" s="252">
        <v>1</v>
      </c>
      <c r="I1113" s="252">
        <v>2</v>
      </c>
      <c r="J1113" s="252">
        <v>3</v>
      </c>
      <c r="K1113" s="252">
        <v>3</v>
      </c>
      <c r="L1113" s="253">
        <v>3</v>
      </c>
      <c r="M1113" s="254">
        <f t="shared" si="35"/>
        <v>1.123005955058592</v>
      </c>
      <c r="N1113" s="255"/>
    </row>
    <row r="1114" spans="1:14" x14ac:dyDescent="0.2">
      <c r="A1114" s="448" t="s">
        <v>466</v>
      </c>
      <c r="B1114" s="436" t="s">
        <v>479</v>
      </c>
      <c r="C1114" s="381" t="s">
        <v>135</v>
      </c>
      <c r="D1114" s="457" t="s">
        <v>96</v>
      </c>
      <c r="E1114" s="478">
        <v>0</v>
      </c>
      <c r="F1114" s="250"/>
      <c r="G1114" s="251" t="s">
        <v>16</v>
      </c>
      <c r="H1114" s="478"/>
      <c r="I1114" s="478"/>
      <c r="J1114" s="478"/>
      <c r="K1114" s="478"/>
      <c r="L1114" s="471"/>
      <c r="M1114" s="456"/>
      <c r="N1114" s="381"/>
    </row>
    <row r="1115" spans="1:14" x14ac:dyDescent="0.2">
      <c r="A1115" s="448" t="s">
        <v>466</v>
      </c>
      <c r="B1115" s="436" t="s">
        <v>480</v>
      </c>
      <c r="C1115" s="381" t="s">
        <v>135</v>
      </c>
      <c r="D1115" s="457" t="s">
        <v>96</v>
      </c>
      <c r="E1115" s="478">
        <v>0</v>
      </c>
      <c r="F1115" s="250"/>
      <c r="G1115" s="251" t="s">
        <v>16</v>
      </c>
      <c r="H1115" s="478"/>
      <c r="I1115" s="478"/>
      <c r="J1115" s="478"/>
      <c r="K1115" s="478"/>
      <c r="L1115" s="471"/>
      <c r="M1115" s="456"/>
      <c r="N1115" s="381"/>
    </row>
    <row r="1116" spans="1:14" x14ac:dyDescent="0.2">
      <c r="A1116" s="448" t="s">
        <v>466</v>
      </c>
      <c r="B1116" s="436" t="s">
        <v>481</v>
      </c>
      <c r="C1116" s="381" t="s">
        <v>135</v>
      </c>
      <c r="D1116" s="457" t="s">
        <v>96</v>
      </c>
      <c r="E1116" s="478">
        <v>0</v>
      </c>
      <c r="F1116" s="250"/>
      <c r="G1116" s="251" t="s">
        <v>16</v>
      </c>
      <c r="H1116" s="478"/>
      <c r="I1116" s="478"/>
      <c r="J1116" s="478"/>
      <c r="K1116" s="478"/>
      <c r="L1116" s="471"/>
      <c r="M1116" s="456"/>
      <c r="N1116" s="381"/>
    </row>
    <row r="1117" spans="1:14" x14ac:dyDescent="0.2">
      <c r="A1117" s="448" t="s">
        <v>466</v>
      </c>
      <c r="B1117" s="436" t="s">
        <v>482</v>
      </c>
      <c r="C1117" s="381" t="s">
        <v>135</v>
      </c>
      <c r="D1117" s="457" t="s">
        <v>96</v>
      </c>
      <c r="E1117" s="478">
        <v>0</v>
      </c>
      <c r="F1117" s="250"/>
      <c r="G1117" s="251" t="s">
        <v>16</v>
      </c>
      <c r="H1117" s="478"/>
      <c r="I1117" s="478"/>
      <c r="J1117" s="478"/>
      <c r="K1117" s="478"/>
      <c r="L1117" s="471"/>
      <c r="M1117" s="456"/>
      <c r="N1117" s="479"/>
    </row>
    <row r="1118" spans="1:14" x14ac:dyDescent="0.2">
      <c r="A1118" s="465" t="s">
        <v>466</v>
      </c>
      <c r="B1118" s="480" t="s">
        <v>387</v>
      </c>
      <c r="C1118" s="409" t="s">
        <v>135</v>
      </c>
      <c r="D1118" s="498" t="s">
        <v>96</v>
      </c>
      <c r="E1118" s="478" t="s">
        <v>188</v>
      </c>
      <c r="F1118" s="250"/>
      <c r="G1118" s="251" t="s">
        <v>16</v>
      </c>
      <c r="H1118" s="473"/>
      <c r="I1118" s="473"/>
      <c r="J1118" s="473"/>
      <c r="K1118" s="473"/>
      <c r="L1118" s="474"/>
      <c r="M1118" s="475" t="str">
        <f>IF( OR( ISBLANK(H1118),ISBLANK(I1118), ISBLANK(J1118), ISBLANK(K1118), ISBLANK(L1118) ), "", 1.5*SQRT(   EXP(2.21*(H1118-1)) + EXP(2.21*(I1118-1)) + EXP(2.21*(J1118-1)) + EXP(2.21*(K1118-1)) + EXP(2.21*L1118)   )/100*2.45 )</f>
        <v/>
      </c>
      <c r="N1118" s="409"/>
    </row>
    <row r="1119" spans="1:14" hidden="1" x14ac:dyDescent="0.2">
      <c r="A1119" s="448" t="s">
        <v>466</v>
      </c>
      <c r="B1119" s="436" t="s">
        <v>456</v>
      </c>
      <c r="C1119" s="265" t="s">
        <v>13</v>
      </c>
      <c r="D1119" s="458" t="s">
        <v>98</v>
      </c>
      <c r="E1119" s="476">
        <v>8.8999999999999999E-3</v>
      </c>
      <c r="F1119" s="389" t="s">
        <v>478</v>
      </c>
      <c r="G1119" s="268" t="s">
        <v>16</v>
      </c>
      <c r="H1119" s="269">
        <v>1</v>
      </c>
      <c r="I1119" s="269">
        <v>2</v>
      </c>
      <c r="J1119" s="269">
        <v>3</v>
      </c>
      <c r="K1119" s="269">
        <v>3</v>
      </c>
      <c r="L1119" s="270">
        <v>3</v>
      </c>
      <c r="M1119" s="271">
        <f t="shared" ref="M1119:M1148" si="36">IF( OR( ISBLANK(H1119),ISBLANK(I1119), ISBLANK(J1119), ISBLANK(K1119), ISBLANK(L1119) ), "", 1.5*SQRT( EXP(2.21*(H1119-1)) + EXP(2.21*(I1119-1)) + EXP(2.21*(J1119-1)) + EXP(2.21*(K1119-1)) + EXP(2.21*L1119) )/100*2.45 )</f>
        <v>1.123005955058592</v>
      </c>
      <c r="N1119" s="272"/>
    </row>
    <row r="1120" spans="1:14" hidden="1" x14ac:dyDescent="0.2">
      <c r="A1120" s="448" t="s">
        <v>466</v>
      </c>
      <c r="B1120" s="436" t="s">
        <v>456</v>
      </c>
      <c r="C1120" s="247" t="s">
        <v>18</v>
      </c>
      <c r="D1120" s="458" t="s">
        <v>98</v>
      </c>
      <c r="E1120" s="477">
        <v>2.2599999999999999E-2</v>
      </c>
      <c r="F1120" s="374" t="s">
        <v>478</v>
      </c>
      <c r="G1120" s="251" t="s">
        <v>16</v>
      </c>
      <c r="H1120" s="252">
        <v>1</v>
      </c>
      <c r="I1120" s="252">
        <v>2</v>
      </c>
      <c r="J1120" s="252">
        <v>3</v>
      </c>
      <c r="K1120" s="252">
        <v>3</v>
      </c>
      <c r="L1120" s="253">
        <v>3</v>
      </c>
      <c r="M1120" s="254">
        <f t="shared" si="36"/>
        <v>1.123005955058592</v>
      </c>
      <c r="N1120" s="255"/>
    </row>
    <row r="1121" spans="1:14" hidden="1" x14ac:dyDescent="0.2">
      <c r="A1121" s="448" t="s">
        <v>466</v>
      </c>
      <c r="B1121" s="436" t="s">
        <v>456</v>
      </c>
      <c r="C1121" s="247" t="s">
        <v>20</v>
      </c>
      <c r="D1121" s="458" t="s">
        <v>98</v>
      </c>
      <c r="E1121" s="477">
        <v>2.75E-2</v>
      </c>
      <c r="F1121" s="374" t="s">
        <v>478</v>
      </c>
      <c r="G1121" s="251" t="s">
        <v>16</v>
      </c>
      <c r="H1121" s="252">
        <v>1</v>
      </c>
      <c r="I1121" s="252">
        <v>2</v>
      </c>
      <c r="J1121" s="252">
        <v>3</v>
      </c>
      <c r="K1121" s="252">
        <v>3</v>
      </c>
      <c r="L1121" s="253">
        <v>3</v>
      </c>
      <c r="M1121" s="254">
        <f t="shared" si="36"/>
        <v>1.123005955058592</v>
      </c>
      <c r="N1121" s="255"/>
    </row>
    <row r="1122" spans="1:14" hidden="1" x14ac:dyDescent="0.2">
      <c r="A1122" s="448" t="s">
        <v>466</v>
      </c>
      <c r="B1122" s="436" t="s">
        <v>456</v>
      </c>
      <c r="C1122" s="247" t="s">
        <v>22</v>
      </c>
      <c r="D1122" s="458" t="s">
        <v>98</v>
      </c>
      <c r="E1122" s="477">
        <v>1.83E-2</v>
      </c>
      <c r="F1122" s="374" t="s">
        <v>478</v>
      </c>
      <c r="G1122" s="251" t="s">
        <v>16</v>
      </c>
      <c r="H1122" s="252">
        <v>1</v>
      </c>
      <c r="I1122" s="252">
        <v>2</v>
      </c>
      <c r="J1122" s="252">
        <v>3</v>
      </c>
      <c r="K1122" s="252">
        <v>3</v>
      </c>
      <c r="L1122" s="253">
        <v>3</v>
      </c>
      <c r="M1122" s="254">
        <f t="shared" si="36"/>
        <v>1.123005955058592</v>
      </c>
      <c r="N1122" s="255"/>
    </row>
    <row r="1123" spans="1:14" hidden="1" x14ac:dyDescent="0.2">
      <c r="A1123" s="448" t="s">
        <v>466</v>
      </c>
      <c r="B1123" s="436" t="s">
        <v>456</v>
      </c>
      <c r="C1123" s="247" t="s">
        <v>23</v>
      </c>
      <c r="D1123" s="458" t="s">
        <v>98</v>
      </c>
      <c r="E1123" s="477">
        <v>1.8499999999999999E-2</v>
      </c>
      <c r="F1123" s="374" t="s">
        <v>478</v>
      </c>
      <c r="G1123" s="251" t="s">
        <v>16</v>
      </c>
      <c r="H1123" s="252">
        <v>1</v>
      </c>
      <c r="I1123" s="252">
        <v>2</v>
      </c>
      <c r="J1123" s="252">
        <v>3</v>
      </c>
      <c r="K1123" s="252">
        <v>3</v>
      </c>
      <c r="L1123" s="253">
        <v>3</v>
      </c>
      <c r="M1123" s="254">
        <f t="shared" si="36"/>
        <v>1.123005955058592</v>
      </c>
      <c r="N1123" s="255"/>
    </row>
    <row r="1124" spans="1:14" hidden="1" x14ac:dyDescent="0.2">
      <c r="A1124" s="448" t="s">
        <v>466</v>
      </c>
      <c r="B1124" s="436" t="s">
        <v>456</v>
      </c>
      <c r="C1124" s="247" t="s">
        <v>24</v>
      </c>
      <c r="D1124" s="458" t="s">
        <v>98</v>
      </c>
      <c r="E1124" s="477">
        <v>1.95E-2</v>
      </c>
      <c r="F1124" s="374" t="s">
        <v>478</v>
      </c>
      <c r="G1124" s="251" t="s">
        <v>16</v>
      </c>
      <c r="H1124" s="252">
        <v>1</v>
      </c>
      <c r="I1124" s="252">
        <v>2</v>
      </c>
      <c r="J1124" s="252">
        <v>3</v>
      </c>
      <c r="K1124" s="252">
        <v>3</v>
      </c>
      <c r="L1124" s="253">
        <v>3</v>
      </c>
      <c r="M1124" s="254">
        <f t="shared" si="36"/>
        <v>1.123005955058592</v>
      </c>
      <c r="N1124" s="255"/>
    </row>
    <row r="1125" spans="1:14" hidden="1" x14ac:dyDescent="0.2">
      <c r="A1125" s="448" t="s">
        <v>466</v>
      </c>
      <c r="B1125" s="436" t="s">
        <v>456</v>
      </c>
      <c r="C1125" s="247" t="s">
        <v>25</v>
      </c>
      <c r="D1125" s="458" t="s">
        <v>98</v>
      </c>
      <c r="E1125" s="477">
        <v>1.18E-2</v>
      </c>
      <c r="F1125" s="374" t="s">
        <v>478</v>
      </c>
      <c r="G1125" s="251" t="s">
        <v>16</v>
      </c>
      <c r="H1125" s="252">
        <v>1</v>
      </c>
      <c r="I1125" s="252">
        <v>2</v>
      </c>
      <c r="J1125" s="252">
        <v>3</v>
      </c>
      <c r="K1125" s="252">
        <v>3</v>
      </c>
      <c r="L1125" s="253">
        <v>3</v>
      </c>
      <c r="M1125" s="254">
        <f t="shared" si="36"/>
        <v>1.123005955058592</v>
      </c>
      <c r="N1125" s="255"/>
    </row>
    <row r="1126" spans="1:14" hidden="1" x14ac:dyDescent="0.2">
      <c r="A1126" s="448" t="s">
        <v>466</v>
      </c>
      <c r="B1126" s="436" t="s">
        <v>456</v>
      </c>
      <c r="C1126" s="247" t="s">
        <v>26</v>
      </c>
      <c r="D1126" s="458" t="s">
        <v>98</v>
      </c>
      <c r="E1126" s="477">
        <v>9.7999999999999997E-3</v>
      </c>
      <c r="F1126" s="374" t="s">
        <v>478</v>
      </c>
      <c r="G1126" s="251" t="s">
        <v>16</v>
      </c>
      <c r="H1126" s="252">
        <v>1</v>
      </c>
      <c r="I1126" s="252">
        <v>2</v>
      </c>
      <c r="J1126" s="252">
        <v>3</v>
      </c>
      <c r="K1126" s="252">
        <v>3</v>
      </c>
      <c r="L1126" s="253">
        <v>3</v>
      </c>
      <c r="M1126" s="254">
        <f t="shared" si="36"/>
        <v>1.123005955058592</v>
      </c>
      <c r="N1126" s="255"/>
    </row>
    <row r="1127" spans="1:14" hidden="1" x14ac:dyDescent="0.2">
      <c r="A1127" s="448" t="s">
        <v>466</v>
      </c>
      <c r="B1127" s="436" t="s">
        <v>456</v>
      </c>
      <c r="C1127" s="247" t="s">
        <v>27</v>
      </c>
      <c r="D1127" s="458" t="s">
        <v>98</v>
      </c>
      <c r="E1127" s="477">
        <v>9.1000000000000004E-3</v>
      </c>
      <c r="F1127" s="374" t="s">
        <v>478</v>
      </c>
      <c r="G1127" s="251" t="s">
        <v>16</v>
      </c>
      <c r="H1127" s="252">
        <v>1</v>
      </c>
      <c r="I1127" s="252">
        <v>2</v>
      </c>
      <c r="J1127" s="252">
        <v>3</v>
      </c>
      <c r="K1127" s="252">
        <v>3</v>
      </c>
      <c r="L1127" s="253">
        <v>3</v>
      </c>
      <c r="M1127" s="254">
        <f t="shared" si="36"/>
        <v>1.123005955058592</v>
      </c>
      <c r="N1127" s="255"/>
    </row>
    <row r="1128" spans="1:14" hidden="1" x14ac:dyDescent="0.2">
      <c r="A1128" s="448" t="s">
        <v>466</v>
      </c>
      <c r="B1128" s="436" t="s">
        <v>456</v>
      </c>
      <c r="C1128" s="247" t="s">
        <v>28</v>
      </c>
      <c r="D1128" s="458" t="s">
        <v>98</v>
      </c>
      <c r="E1128" s="477">
        <v>1.95E-2</v>
      </c>
      <c r="F1128" s="374" t="s">
        <v>478</v>
      </c>
      <c r="G1128" s="251" t="s">
        <v>16</v>
      </c>
      <c r="H1128" s="252">
        <v>1</v>
      </c>
      <c r="I1128" s="252">
        <v>2</v>
      </c>
      <c r="J1128" s="252">
        <v>3</v>
      </c>
      <c r="K1128" s="252">
        <v>3</v>
      </c>
      <c r="L1128" s="253">
        <v>3</v>
      </c>
      <c r="M1128" s="254">
        <f t="shared" si="36"/>
        <v>1.123005955058592</v>
      </c>
      <c r="N1128" s="255"/>
    </row>
    <row r="1129" spans="1:14" hidden="1" x14ac:dyDescent="0.2">
      <c r="A1129" s="448" t="s">
        <v>466</v>
      </c>
      <c r="B1129" s="436" t="s">
        <v>456</v>
      </c>
      <c r="C1129" s="247" t="s">
        <v>30</v>
      </c>
      <c r="D1129" s="458" t="s">
        <v>98</v>
      </c>
      <c r="E1129" s="477">
        <v>1.17E-2</v>
      </c>
      <c r="F1129" s="374" t="s">
        <v>478</v>
      </c>
      <c r="G1129" s="251" t="s">
        <v>16</v>
      </c>
      <c r="H1129" s="252">
        <v>1</v>
      </c>
      <c r="I1129" s="252">
        <v>2</v>
      </c>
      <c r="J1129" s="252">
        <v>3</v>
      </c>
      <c r="K1129" s="252">
        <v>3</v>
      </c>
      <c r="L1129" s="253">
        <v>3</v>
      </c>
      <c r="M1129" s="254">
        <f t="shared" si="36"/>
        <v>1.123005955058592</v>
      </c>
      <c r="N1129" s="255"/>
    </row>
    <row r="1130" spans="1:14" hidden="1" x14ac:dyDescent="0.2">
      <c r="A1130" s="448" t="s">
        <v>466</v>
      </c>
      <c r="B1130" s="436" t="s">
        <v>456</v>
      </c>
      <c r="C1130" s="247" t="s">
        <v>32</v>
      </c>
      <c r="D1130" s="458" t="s">
        <v>98</v>
      </c>
      <c r="E1130" s="477">
        <v>3.6900000000000002E-2</v>
      </c>
      <c r="F1130" s="374" t="s">
        <v>478</v>
      </c>
      <c r="G1130" s="251" t="s">
        <v>16</v>
      </c>
      <c r="H1130" s="252">
        <v>1</v>
      </c>
      <c r="I1130" s="252">
        <v>2</v>
      </c>
      <c r="J1130" s="252">
        <v>3</v>
      </c>
      <c r="K1130" s="252">
        <v>3</v>
      </c>
      <c r="L1130" s="253">
        <v>3</v>
      </c>
      <c r="M1130" s="254">
        <f t="shared" si="36"/>
        <v>1.123005955058592</v>
      </c>
      <c r="N1130" s="255"/>
    </row>
    <row r="1131" spans="1:14" hidden="1" x14ac:dyDescent="0.2">
      <c r="A1131" s="448" t="s">
        <v>466</v>
      </c>
      <c r="B1131" s="436" t="s">
        <v>456</v>
      </c>
      <c r="C1131" s="247" t="s">
        <v>34</v>
      </c>
      <c r="D1131" s="458" t="s">
        <v>98</v>
      </c>
      <c r="E1131" s="477">
        <v>1.8599999999999998E-2</v>
      </c>
      <c r="F1131" s="374" t="s">
        <v>478</v>
      </c>
      <c r="G1131" s="251" t="s">
        <v>16</v>
      </c>
      <c r="H1131" s="252">
        <v>1</v>
      </c>
      <c r="I1131" s="252">
        <v>2</v>
      </c>
      <c r="J1131" s="252">
        <v>3</v>
      </c>
      <c r="K1131" s="252">
        <v>3</v>
      </c>
      <c r="L1131" s="253">
        <v>3</v>
      </c>
      <c r="M1131" s="254">
        <f t="shared" si="36"/>
        <v>1.123005955058592</v>
      </c>
      <c r="N1131" s="255"/>
    </row>
    <row r="1132" spans="1:14" hidden="1" x14ac:dyDescent="0.2">
      <c r="A1132" s="448" t="s">
        <v>466</v>
      </c>
      <c r="B1132" s="436" t="s">
        <v>456</v>
      </c>
      <c r="C1132" s="247" t="s">
        <v>36</v>
      </c>
      <c r="D1132" s="458" t="s">
        <v>98</v>
      </c>
      <c r="E1132" s="477">
        <v>1.09E-2</v>
      </c>
      <c r="F1132" s="374" t="s">
        <v>478</v>
      </c>
      <c r="G1132" s="251" t="s">
        <v>16</v>
      </c>
      <c r="H1132" s="252">
        <v>1</v>
      </c>
      <c r="I1132" s="252">
        <v>2</v>
      </c>
      <c r="J1132" s="252">
        <v>3</v>
      </c>
      <c r="K1132" s="252">
        <v>3</v>
      </c>
      <c r="L1132" s="253">
        <v>3</v>
      </c>
      <c r="M1132" s="254">
        <f t="shared" si="36"/>
        <v>1.123005955058592</v>
      </c>
      <c r="N1132" s="255"/>
    </row>
    <row r="1133" spans="1:14" hidden="1" x14ac:dyDescent="0.2">
      <c r="A1133" s="448" t="s">
        <v>466</v>
      </c>
      <c r="B1133" s="436" t="s">
        <v>456</v>
      </c>
      <c r="C1133" s="247" t="s">
        <v>37</v>
      </c>
      <c r="D1133" s="458" t="s">
        <v>98</v>
      </c>
      <c r="E1133" s="477">
        <v>2.7199999999999998E-2</v>
      </c>
      <c r="F1133" s="374" t="s">
        <v>478</v>
      </c>
      <c r="G1133" s="251" t="s">
        <v>16</v>
      </c>
      <c r="H1133" s="252">
        <v>1</v>
      </c>
      <c r="I1133" s="252">
        <v>2</v>
      </c>
      <c r="J1133" s="252">
        <v>3</v>
      </c>
      <c r="K1133" s="252">
        <v>3</v>
      </c>
      <c r="L1133" s="253">
        <v>3</v>
      </c>
      <c r="M1133" s="254">
        <f t="shared" si="36"/>
        <v>1.123005955058592</v>
      </c>
      <c r="N1133" s="255"/>
    </row>
    <row r="1134" spans="1:14" hidden="1" x14ac:dyDescent="0.2">
      <c r="A1134" s="448" t="s">
        <v>466</v>
      </c>
      <c r="B1134" s="436" t="s">
        <v>456</v>
      </c>
      <c r="C1134" s="247" t="s">
        <v>39</v>
      </c>
      <c r="D1134" s="458" t="s">
        <v>98</v>
      </c>
      <c r="E1134" s="477">
        <v>1.24E-2</v>
      </c>
      <c r="F1134" s="374" t="s">
        <v>478</v>
      </c>
      <c r="G1134" s="251" t="s">
        <v>16</v>
      </c>
      <c r="H1134" s="252">
        <v>1</v>
      </c>
      <c r="I1134" s="252">
        <v>2</v>
      </c>
      <c r="J1134" s="252">
        <v>3</v>
      </c>
      <c r="K1134" s="252">
        <v>3</v>
      </c>
      <c r="L1134" s="253">
        <v>3</v>
      </c>
      <c r="M1134" s="254">
        <f t="shared" si="36"/>
        <v>1.123005955058592</v>
      </c>
      <c r="N1134" s="255"/>
    </row>
    <row r="1135" spans="1:14" hidden="1" x14ac:dyDescent="0.2">
      <c r="A1135" s="448" t="s">
        <v>466</v>
      </c>
      <c r="B1135" s="436" t="s">
        <v>456</v>
      </c>
      <c r="C1135" s="247" t="s">
        <v>40</v>
      </c>
      <c r="D1135" s="458" t="s">
        <v>98</v>
      </c>
      <c r="E1135" s="477">
        <v>1.2699999999999999E-2</v>
      </c>
      <c r="F1135" s="374" t="s">
        <v>478</v>
      </c>
      <c r="G1135" s="251" t="s">
        <v>16</v>
      </c>
      <c r="H1135" s="252">
        <v>1</v>
      </c>
      <c r="I1135" s="252">
        <v>2</v>
      </c>
      <c r="J1135" s="252">
        <v>3</v>
      </c>
      <c r="K1135" s="252">
        <v>3</v>
      </c>
      <c r="L1135" s="253">
        <v>3</v>
      </c>
      <c r="M1135" s="254">
        <f t="shared" si="36"/>
        <v>1.123005955058592</v>
      </c>
      <c r="N1135" s="255"/>
    </row>
    <row r="1136" spans="1:14" hidden="1" x14ac:dyDescent="0.2">
      <c r="A1136" s="448" t="s">
        <v>466</v>
      </c>
      <c r="B1136" s="436" t="s">
        <v>456</v>
      </c>
      <c r="C1136" s="247" t="s">
        <v>41</v>
      </c>
      <c r="D1136" s="458" t="s">
        <v>98</v>
      </c>
      <c r="E1136" s="477">
        <v>1.5800000000000002E-2</v>
      </c>
      <c r="F1136" s="374" t="s">
        <v>478</v>
      </c>
      <c r="G1136" s="251" t="s">
        <v>16</v>
      </c>
      <c r="H1136" s="252">
        <v>1</v>
      </c>
      <c r="I1136" s="252">
        <v>2</v>
      </c>
      <c r="J1136" s="252">
        <v>3</v>
      </c>
      <c r="K1136" s="252">
        <v>3</v>
      </c>
      <c r="L1136" s="253">
        <v>3</v>
      </c>
      <c r="M1136" s="254">
        <f t="shared" si="36"/>
        <v>1.123005955058592</v>
      </c>
      <c r="N1136" s="255"/>
    </row>
    <row r="1137" spans="1:14" hidden="1" x14ac:dyDescent="0.2">
      <c r="A1137" s="448" t="s">
        <v>466</v>
      </c>
      <c r="B1137" s="436" t="s">
        <v>456</v>
      </c>
      <c r="C1137" s="247" t="s">
        <v>42</v>
      </c>
      <c r="D1137" s="458" t="s">
        <v>98</v>
      </c>
      <c r="E1137" s="477">
        <v>7.9000000000000008E-3</v>
      </c>
      <c r="F1137" s="374" t="s">
        <v>478</v>
      </c>
      <c r="G1137" s="251" t="s">
        <v>16</v>
      </c>
      <c r="H1137" s="252">
        <v>1</v>
      </c>
      <c r="I1137" s="252">
        <v>2</v>
      </c>
      <c r="J1137" s="252">
        <v>3</v>
      </c>
      <c r="K1137" s="252">
        <v>3</v>
      </c>
      <c r="L1137" s="253">
        <v>3</v>
      </c>
      <c r="M1137" s="254">
        <f t="shared" si="36"/>
        <v>1.123005955058592</v>
      </c>
      <c r="N1137" s="255"/>
    </row>
    <row r="1138" spans="1:14" hidden="1" x14ac:dyDescent="0.2">
      <c r="A1138" s="448" t="s">
        <v>466</v>
      </c>
      <c r="B1138" s="436" t="s">
        <v>456</v>
      </c>
      <c r="C1138" s="247" t="s">
        <v>43</v>
      </c>
      <c r="D1138" s="458" t="s">
        <v>98</v>
      </c>
      <c r="E1138" s="477">
        <v>1.4500000000000001E-2</v>
      </c>
      <c r="F1138" s="374" t="s">
        <v>478</v>
      </c>
      <c r="G1138" s="251" t="s">
        <v>16</v>
      </c>
      <c r="H1138" s="252">
        <v>1</v>
      </c>
      <c r="I1138" s="252">
        <v>2</v>
      </c>
      <c r="J1138" s="252">
        <v>3</v>
      </c>
      <c r="K1138" s="252">
        <v>3</v>
      </c>
      <c r="L1138" s="253">
        <v>3</v>
      </c>
      <c r="M1138" s="254">
        <f t="shared" si="36"/>
        <v>1.123005955058592</v>
      </c>
      <c r="N1138" s="255"/>
    </row>
    <row r="1139" spans="1:14" x14ac:dyDescent="0.2">
      <c r="A1139" s="448" t="s">
        <v>466</v>
      </c>
      <c r="B1139" s="436" t="s">
        <v>456</v>
      </c>
      <c r="C1139" s="247" t="s">
        <v>45</v>
      </c>
      <c r="D1139" s="458" t="s">
        <v>98</v>
      </c>
      <c r="E1139" s="477">
        <v>8.3000000000000001E-3</v>
      </c>
      <c r="F1139" s="374" t="s">
        <v>478</v>
      </c>
      <c r="G1139" s="251" t="s">
        <v>16</v>
      </c>
      <c r="H1139" s="252">
        <v>1</v>
      </c>
      <c r="I1139" s="252">
        <v>2</v>
      </c>
      <c r="J1139" s="252">
        <v>3</v>
      </c>
      <c r="K1139" s="252">
        <v>3</v>
      </c>
      <c r="L1139" s="253">
        <v>3</v>
      </c>
      <c r="M1139" s="254">
        <f t="shared" si="36"/>
        <v>1.123005955058592</v>
      </c>
      <c r="N1139" s="255"/>
    </row>
    <row r="1140" spans="1:14" hidden="1" x14ac:dyDescent="0.2">
      <c r="A1140" s="448" t="s">
        <v>466</v>
      </c>
      <c r="B1140" s="436" t="s">
        <v>456</v>
      </c>
      <c r="C1140" s="247" t="s">
        <v>46</v>
      </c>
      <c r="D1140" s="458" t="s">
        <v>98</v>
      </c>
      <c r="E1140" s="477">
        <v>2.5899999999999999E-2</v>
      </c>
      <c r="F1140" s="374" t="s">
        <v>478</v>
      </c>
      <c r="G1140" s="251" t="s">
        <v>16</v>
      </c>
      <c r="H1140" s="252">
        <v>1</v>
      </c>
      <c r="I1140" s="252">
        <v>2</v>
      </c>
      <c r="J1140" s="252">
        <v>3</v>
      </c>
      <c r="K1140" s="252">
        <v>3</v>
      </c>
      <c r="L1140" s="253">
        <v>3</v>
      </c>
      <c r="M1140" s="254">
        <f t="shared" si="36"/>
        <v>1.123005955058592</v>
      </c>
      <c r="N1140" s="255"/>
    </row>
    <row r="1141" spans="1:14" hidden="1" x14ac:dyDescent="0.2">
      <c r="A1141" s="448" t="s">
        <v>466</v>
      </c>
      <c r="B1141" s="436" t="s">
        <v>456</v>
      </c>
      <c r="C1141" s="247" t="s">
        <v>48</v>
      </c>
      <c r="D1141" s="458" t="s">
        <v>98</v>
      </c>
      <c r="E1141" s="477">
        <v>2.2200000000000001E-2</v>
      </c>
      <c r="F1141" s="374" t="s">
        <v>478</v>
      </c>
      <c r="G1141" s="251" t="s">
        <v>16</v>
      </c>
      <c r="H1141" s="252">
        <v>1</v>
      </c>
      <c r="I1141" s="252">
        <v>2</v>
      </c>
      <c r="J1141" s="252">
        <v>3</v>
      </c>
      <c r="K1141" s="252">
        <v>3</v>
      </c>
      <c r="L1141" s="253">
        <v>3</v>
      </c>
      <c r="M1141" s="254">
        <f t="shared" si="36"/>
        <v>1.123005955058592</v>
      </c>
      <c r="N1141" s="255"/>
    </row>
    <row r="1142" spans="1:14" hidden="1" x14ac:dyDescent="0.2">
      <c r="A1142" s="448" t="s">
        <v>466</v>
      </c>
      <c r="B1142" s="436" t="s">
        <v>456</v>
      </c>
      <c r="C1142" s="247" t="s">
        <v>50</v>
      </c>
      <c r="D1142" s="458" t="s">
        <v>98</v>
      </c>
      <c r="E1142" s="477">
        <v>2.5999999999999999E-2</v>
      </c>
      <c r="F1142" s="374" t="s">
        <v>478</v>
      </c>
      <c r="G1142" s="251" t="s">
        <v>16</v>
      </c>
      <c r="H1142" s="252">
        <v>1</v>
      </c>
      <c r="I1142" s="252">
        <v>2</v>
      </c>
      <c r="J1142" s="252">
        <v>3</v>
      </c>
      <c r="K1142" s="252">
        <v>3</v>
      </c>
      <c r="L1142" s="253">
        <v>3</v>
      </c>
      <c r="M1142" s="254">
        <f t="shared" si="36"/>
        <v>1.123005955058592</v>
      </c>
      <c r="N1142" s="255"/>
    </row>
    <row r="1143" spans="1:14" hidden="1" x14ac:dyDescent="0.2">
      <c r="A1143" s="448" t="s">
        <v>466</v>
      </c>
      <c r="B1143" s="436" t="s">
        <v>456</v>
      </c>
      <c r="C1143" s="247" t="s">
        <v>52</v>
      </c>
      <c r="D1143" s="458" t="s">
        <v>98</v>
      </c>
      <c r="E1143" s="477">
        <v>2.9000000000000001E-2</v>
      </c>
      <c r="F1143" s="374" t="s">
        <v>478</v>
      </c>
      <c r="G1143" s="251" t="s">
        <v>16</v>
      </c>
      <c r="H1143" s="252">
        <v>1</v>
      </c>
      <c r="I1143" s="252">
        <v>2</v>
      </c>
      <c r="J1143" s="252">
        <v>3</v>
      </c>
      <c r="K1143" s="252">
        <v>3</v>
      </c>
      <c r="L1143" s="253">
        <v>3</v>
      </c>
      <c r="M1143" s="254">
        <f t="shared" si="36"/>
        <v>1.123005955058592</v>
      </c>
      <c r="N1143" s="255"/>
    </row>
    <row r="1144" spans="1:14" hidden="1" x14ac:dyDescent="0.2">
      <c r="A1144" s="448" t="s">
        <v>466</v>
      </c>
      <c r="B1144" s="436" t="s">
        <v>456</v>
      </c>
      <c r="C1144" s="247" t="s">
        <v>54</v>
      </c>
      <c r="D1144" s="458" t="s">
        <v>98</v>
      </c>
      <c r="E1144" s="477">
        <v>1.18E-2</v>
      </c>
      <c r="F1144" s="374" t="s">
        <v>478</v>
      </c>
      <c r="G1144" s="251" t="s">
        <v>16</v>
      </c>
      <c r="H1144" s="252">
        <v>1</v>
      </c>
      <c r="I1144" s="252">
        <v>2</v>
      </c>
      <c r="J1144" s="252">
        <v>3</v>
      </c>
      <c r="K1144" s="252">
        <v>3</v>
      </c>
      <c r="L1144" s="253">
        <v>3</v>
      </c>
      <c r="M1144" s="254">
        <f t="shared" si="36"/>
        <v>1.123005955058592</v>
      </c>
      <c r="N1144" s="255"/>
    </row>
    <row r="1145" spans="1:14" hidden="1" x14ac:dyDescent="0.2">
      <c r="A1145" s="448" t="s">
        <v>466</v>
      </c>
      <c r="B1145" s="436" t="s">
        <v>456</v>
      </c>
      <c r="C1145" s="247" t="s">
        <v>55</v>
      </c>
      <c r="D1145" s="458" t="s">
        <v>98</v>
      </c>
      <c r="E1145" s="477">
        <v>1.6899999999999998E-2</v>
      </c>
      <c r="F1145" s="374" t="s">
        <v>478</v>
      </c>
      <c r="G1145" s="251" t="s">
        <v>16</v>
      </c>
      <c r="H1145" s="252">
        <v>1</v>
      </c>
      <c r="I1145" s="252">
        <v>2</v>
      </c>
      <c r="J1145" s="252">
        <v>3</v>
      </c>
      <c r="K1145" s="252">
        <v>3</v>
      </c>
      <c r="L1145" s="253">
        <v>3</v>
      </c>
      <c r="M1145" s="254">
        <f t="shared" si="36"/>
        <v>1.123005955058592</v>
      </c>
      <c r="N1145" s="255"/>
    </row>
    <row r="1146" spans="1:14" hidden="1" x14ac:dyDescent="0.2">
      <c r="A1146" s="448" t="s">
        <v>466</v>
      </c>
      <c r="B1146" s="436" t="s">
        <v>456</v>
      </c>
      <c r="C1146" s="247" t="s">
        <v>57</v>
      </c>
      <c r="D1146" s="458" t="s">
        <v>98</v>
      </c>
      <c r="E1146" s="477">
        <v>8.3000000000000001E-3</v>
      </c>
      <c r="F1146" s="374" t="s">
        <v>478</v>
      </c>
      <c r="G1146" s="251" t="s">
        <v>16</v>
      </c>
      <c r="H1146" s="252">
        <v>1</v>
      </c>
      <c r="I1146" s="252">
        <v>2</v>
      </c>
      <c r="J1146" s="252">
        <v>3</v>
      </c>
      <c r="K1146" s="252">
        <v>3</v>
      </c>
      <c r="L1146" s="253">
        <v>3</v>
      </c>
      <c r="M1146" s="254">
        <f t="shared" si="36"/>
        <v>1.123005955058592</v>
      </c>
      <c r="N1146" s="255"/>
    </row>
    <row r="1147" spans="1:14" hidden="1" x14ac:dyDescent="0.2">
      <c r="A1147" s="448" t="s">
        <v>466</v>
      </c>
      <c r="B1147" s="436" t="s">
        <v>456</v>
      </c>
      <c r="C1147" s="247" t="s">
        <v>59</v>
      </c>
      <c r="D1147" s="458" t="s">
        <v>98</v>
      </c>
      <c r="E1147" s="477">
        <v>1.17E-2</v>
      </c>
      <c r="F1147" s="374" t="s">
        <v>478</v>
      </c>
      <c r="G1147" s="251" t="s">
        <v>16</v>
      </c>
      <c r="H1147" s="252">
        <v>1</v>
      </c>
      <c r="I1147" s="252">
        <v>2</v>
      </c>
      <c r="J1147" s="252">
        <v>3</v>
      </c>
      <c r="K1147" s="252">
        <v>3</v>
      </c>
      <c r="L1147" s="253">
        <v>3</v>
      </c>
      <c r="M1147" s="254">
        <f t="shared" si="36"/>
        <v>1.123005955058592</v>
      </c>
      <c r="N1147" s="255"/>
    </row>
    <row r="1148" spans="1:14" hidden="1" x14ac:dyDescent="0.2">
      <c r="A1148" s="448" t="s">
        <v>466</v>
      </c>
      <c r="B1148" s="436" t="s">
        <v>456</v>
      </c>
      <c r="C1148" s="247" t="s">
        <v>60</v>
      </c>
      <c r="D1148" s="458" t="s">
        <v>98</v>
      </c>
      <c r="E1148" s="477">
        <v>1.52E-2</v>
      </c>
      <c r="F1148" s="374" t="s">
        <v>478</v>
      </c>
      <c r="G1148" s="251" t="s">
        <v>16</v>
      </c>
      <c r="H1148" s="252">
        <v>1</v>
      </c>
      <c r="I1148" s="252">
        <v>2</v>
      </c>
      <c r="J1148" s="252">
        <v>3</v>
      </c>
      <c r="K1148" s="252">
        <v>3</v>
      </c>
      <c r="L1148" s="253">
        <v>3</v>
      </c>
      <c r="M1148" s="254">
        <f t="shared" si="36"/>
        <v>1.123005955058592</v>
      </c>
      <c r="N1148" s="255"/>
    </row>
    <row r="1149" spans="1:14" x14ac:dyDescent="0.2">
      <c r="A1149" s="448" t="s">
        <v>466</v>
      </c>
      <c r="B1149" s="436" t="s">
        <v>479</v>
      </c>
      <c r="C1149" s="381" t="s">
        <v>135</v>
      </c>
      <c r="D1149" s="458" t="s">
        <v>98</v>
      </c>
      <c r="E1149" s="478">
        <v>0</v>
      </c>
      <c r="F1149" s="250"/>
      <c r="G1149" s="251" t="s">
        <v>16</v>
      </c>
      <c r="H1149" s="478"/>
      <c r="I1149" s="478"/>
      <c r="J1149" s="478"/>
      <c r="K1149" s="478"/>
      <c r="L1149" s="471"/>
      <c r="M1149" s="456"/>
      <c r="N1149" s="381"/>
    </row>
    <row r="1150" spans="1:14" x14ac:dyDescent="0.2">
      <c r="A1150" s="448" t="s">
        <v>466</v>
      </c>
      <c r="B1150" s="436" t="s">
        <v>480</v>
      </c>
      <c r="C1150" s="381" t="s">
        <v>135</v>
      </c>
      <c r="D1150" s="458" t="s">
        <v>98</v>
      </c>
      <c r="E1150" s="478">
        <v>0</v>
      </c>
      <c r="F1150" s="250"/>
      <c r="G1150" s="251" t="s">
        <v>16</v>
      </c>
      <c r="H1150" s="478"/>
      <c r="I1150" s="478"/>
      <c r="J1150" s="478"/>
      <c r="K1150" s="478"/>
      <c r="L1150" s="471"/>
      <c r="M1150" s="456"/>
      <c r="N1150" s="381"/>
    </row>
    <row r="1151" spans="1:14" x14ac:dyDescent="0.2">
      <c r="A1151" s="448" t="s">
        <v>466</v>
      </c>
      <c r="B1151" s="436" t="s">
        <v>481</v>
      </c>
      <c r="C1151" s="381" t="s">
        <v>135</v>
      </c>
      <c r="D1151" s="458" t="s">
        <v>98</v>
      </c>
      <c r="E1151" s="478">
        <v>0</v>
      </c>
      <c r="F1151" s="250"/>
      <c r="G1151" s="251" t="s">
        <v>16</v>
      </c>
      <c r="H1151" s="478"/>
      <c r="I1151" s="478"/>
      <c r="J1151" s="478"/>
      <c r="K1151" s="478"/>
      <c r="L1151" s="471"/>
      <c r="M1151" s="456"/>
      <c r="N1151" s="381"/>
    </row>
    <row r="1152" spans="1:14" x14ac:dyDescent="0.2">
      <c r="A1152" s="448" t="s">
        <v>466</v>
      </c>
      <c r="B1152" s="436" t="s">
        <v>482</v>
      </c>
      <c r="C1152" s="381" t="s">
        <v>135</v>
      </c>
      <c r="D1152" s="458" t="s">
        <v>98</v>
      </c>
      <c r="E1152" s="478">
        <v>0</v>
      </c>
      <c r="F1152" s="250"/>
      <c r="G1152" s="251" t="s">
        <v>16</v>
      </c>
      <c r="H1152" s="478"/>
      <c r="I1152" s="478"/>
      <c r="J1152" s="478"/>
      <c r="K1152" s="478"/>
      <c r="L1152" s="471"/>
      <c r="M1152" s="456"/>
      <c r="N1152" s="479"/>
    </row>
    <row r="1153" spans="1:14" x14ac:dyDescent="0.2">
      <c r="A1153" s="465" t="s">
        <v>466</v>
      </c>
      <c r="B1153" s="496" t="s">
        <v>387</v>
      </c>
      <c r="C1153" s="409" t="s">
        <v>135</v>
      </c>
      <c r="D1153" s="472" t="s">
        <v>98</v>
      </c>
      <c r="E1153" s="499" t="s">
        <v>188</v>
      </c>
      <c r="F1153" s="289"/>
      <c r="G1153" s="290" t="s">
        <v>16</v>
      </c>
      <c r="H1153" s="473"/>
      <c r="I1153" s="473"/>
      <c r="J1153" s="473"/>
      <c r="K1153" s="473"/>
      <c r="L1153" s="474"/>
      <c r="M1153" s="475" t="str">
        <f>IF( OR( ISBLANK(H1153),ISBLANK(I1153), ISBLANK(J1153), ISBLANK(K1153), ISBLANK(L1153) ), "", 1.5*SQRT(   EXP(2.21*(H1153-1)) + EXP(2.21*(I1153-1)) + EXP(2.21*(J1153-1)) + EXP(2.21*(K1153-1)) + EXP(2.21*L1153)   )/100*2.45 )</f>
        <v/>
      </c>
      <c r="N1153" s="404"/>
    </row>
    <row r="1154" spans="1:14" x14ac:dyDescent="0.2">
      <c r="A1154" s="500" t="s">
        <v>319</v>
      </c>
      <c r="B1154" s="501" t="s">
        <v>463</v>
      </c>
      <c r="C1154" s="502" t="s">
        <v>135</v>
      </c>
      <c r="D1154" s="391" t="s">
        <v>135</v>
      </c>
      <c r="E1154" s="460">
        <v>0</v>
      </c>
      <c r="F1154" s="389" t="s">
        <v>455</v>
      </c>
      <c r="G1154" s="503" t="s">
        <v>16</v>
      </c>
      <c r="H1154" s="460"/>
      <c r="I1154" s="460"/>
      <c r="J1154" s="460"/>
      <c r="K1154" s="460"/>
      <c r="L1154" s="461"/>
      <c r="M1154" s="504" t="str">
        <f>IF( OR( ISBLANK(H1154),ISBLANK(I1154), ISBLANK(J1154), ISBLANK(K1154), ISBLANK(L1154) ), "", 1.5*SQRT( EXP(2.21*(H1154-1)) + EXP(2.21*(I1154-1)) + EXP(2.21*(J1154-1)) + EXP(2.21*(K1154-1)) + EXP(2.21*L1154) )/100*2.45 )</f>
        <v/>
      </c>
      <c r="N1154" s="255"/>
    </row>
    <row r="1155" spans="1:14" x14ac:dyDescent="0.2">
      <c r="A1155" s="505" t="s">
        <v>319</v>
      </c>
      <c r="B1155" s="382" t="s">
        <v>485</v>
      </c>
      <c r="C1155" s="502" t="s">
        <v>135</v>
      </c>
      <c r="D1155" s="469" t="s">
        <v>14</v>
      </c>
      <c r="E1155" s="373">
        <v>5.7764644999999996E-4</v>
      </c>
      <c r="F1155" s="374" t="s">
        <v>360</v>
      </c>
      <c r="G1155" s="506"/>
      <c r="H1155" s="376">
        <v>3</v>
      </c>
      <c r="I1155" s="376">
        <v>3</v>
      </c>
      <c r="J1155" s="376">
        <v>3</v>
      </c>
      <c r="K1155" s="376">
        <v>1</v>
      </c>
      <c r="L1155" s="377">
        <v>2</v>
      </c>
      <c r="M1155" s="396">
        <f>IF( OR( ISBLANK(H1155),ISBLANK(I1155), ISBLANK(J1155), ISBLANK(K1155), ISBLANK(L1155) ), "", 1.5*SQRT( EXP(2.21*(H1155-1)) + EXP(2.21*(I1155-1)) + EXP(2.21*(J1155-1)) + EXP(2.21*(K1155-1)) + EXP(2.21*L1155) )/100*2.45 )</f>
        <v>0.67101227267249941</v>
      </c>
      <c r="N1155" s="255" t="s">
        <v>486</v>
      </c>
    </row>
    <row r="1156" spans="1:14" x14ac:dyDescent="0.2">
      <c r="A1156" s="505" t="s">
        <v>319</v>
      </c>
      <c r="B1156" s="382" t="s">
        <v>485</v>
      </c>
      <c r="C1156" s="502" t="s">
        <v>135</v>
      </c>
      <c r="D1156" s="450" t="s">
        <v>62</v>
      </c>
      <c r="E1156" s="373">
        <v>7.6914724999999995E-4</v>
      </c>
      <c r="F1156" s="374" t="s">
        <v>360</v>
      </c>
      <c r="G1156" s="506"/>
      <c r="H1156" s="376">
        <v>3</v>
      </c>
      <c r="I1156" s="376">
        <v>3</v>
      </c>
      <c r="J1156" s="376">
        <v>3</v>
      </c>
      <c r="K1156" s="376">
        <v>1</v>
      </c>
      <c r="L1156" s="377">
        <v>2</v>
      </c>
      <c r="M1156" s="396">
        <f>IF( OR( ISBLANK(H1156),ISBLANK(I1156), ISBLANK(J1156), ISBLANK(K1156), ISBLANK(L1156) ), "", 1.5*SQRT( EXP(2.21*(H1156-1)) + EXP(2.21*(I1156-1)) + EXP(2.21*(J1156-1)) + EXP(2.21*(K1156-1)) + EXP(2.21*L1156) )/100*2.45 )</f>
        <v>0.67101227267249941</v>
      </c>
      <c r="N1156" s="255" t="s">
        <v>486</v>
      </c>
    </row>
    <row r="1157" spans="1:14" x14ac:dyDescent="0.2">
      <c r="A1157" s="505" t="s">
        <v>319</v>
      </c>
      <c r="B1157" s="382" t="s">
        <v>485</v>
      </c>
      <c r="C1157" s="502" t="s">
        <v>135</v>
      </c>
      <c r="D1157" s="451" t="s">
        <v>64</v>
      </c>
      <c r="E1157" s="373">
        <v>8.8588019000000002E-4</v>
      </c>
      <c r="F1157" s="374" t="s">
        <v>360</v>
      </c>
      <c r="G1157" s="506"/>
      <c r="H1157" s="376">
        <v>3</v>
      </c>
      <c r="I1157" s="376">
        <v>3</v>
      </c>
      <c r="J1157" s="376">
        <v>3</v>
      </c>
      <c r="K1157" s="376">
        <v>1</v>
      </c>
      <c r="L1157" s="377">
        <v>2</v>
      </c>
      <c r="M1157" s="396">
        <f>IF( OR( ISBLANK(H1157),ISBLANK(I1157), ISBLANK(J1157), ISBLANK(K1157), ISBLANK(L1157) ), "", 1.5*SQRT( EXP(2.21*(H1157-1)) + EXP(2.21*(I1157-1)) + EXP(2.21*(J1157-1)) + EXP(2.21*(K1157-1)) + EXP(2.21*L1157) )/100*2.45 )</f>
        <v>0.67101227267249941</v>
      </c>
      <c r="N1157" s="255" t="s">
        <v>486</v>
      </c>
    </row>
    <row r="1158" spans="1:14" x14ac:dyDescent="0.2">
      <c r="A1158" s="505" t="s">
        <v>319</v>
      </c>
      <c r="B1158" s="382" t="s">
        <v>485</v>
      </c>
      <c r="C1158" s="502" t="s">
        <v>135</v>
      </c>
      <c r="D1158" s="452" t="s">
        <v>66</v>
      </c>
      <c r="E1158" s="373">
        <v>2.7231350000000001E-5</v>
      </c>
      <c r="F1158" s="374" t="s">
        <v>360</v>
      </c>
      <c r="G1158" s="506"/>
      <c r="H1158" s="376">
        <v>3</v>
      </c>
      <c r="I1158" s="376">
        <v>3</v>
      </c>
      <c r="J1158" s="376">
        <v>3</v>
      </c>
      <c r="K1158" s="376">
        <v>1</v>
      </c>
      <c r="L1158" s="377">
        <v>2</v>
      </c>
      <c r="M1158" s="396">
        <f>IF( OR( ISBLANK(H1158),ISBLANK(I1158), ISBLANK(J1158), ISBLANK(K1158), ISBLANK(L1158) ), "", 1.5*SQRT( EXP(2.21*(H1158-1)) + EXP(2.21*(I1158-1)) + EXP(2.21*(J1158-1)) + EXP(2.21*(K1158-1)) + EXP(2.21*L1158) )/100*2.45 )</f>
        <v>0.67101227267249941</v>
      </c>
      <c r="N1158" s="255" t="s">
        <v>486</v>
      </c>
    </row>
    <row r="1159" spans="1:14" x14ac:dyDescent="0.2">
      <c r="A1159" s="505" t="s">
        <v>319</v>
      </c>
      <c r="B1159" s="382" t="s">
        <v>485</v>
      </c>
      <c r="C1159" s="502" t="s">
        <v>135</v>
      </c>
      <c r="D1159" s="453" t="s">
        <v>94</v>
      </c>
      <c r="E1159" s="454">
        <v>0</v>
      </c>
      <c r="F1159" s="374" t="s">
        <v>360</v>
      </c>
      <c r="G1159" s="506"/>
      <c r="H1159" s="454"/>
      <c r="I1159" s="454"/>
      <c r="J1159" s="454"/>
      <c r="K1159" s="454"/>
      <c r="L1159" s="455"/>
      <c r="M1159" s="507"/>
      <c r="N1159" s="255"/>
    </row>
    <row r="1160" spans="1:14" x14ac:dyDescent="0.2">
      <c r="A1160" s="505" t="s">
        <v>319</v>
      </c>
      <c r="B1160" s="382" t="s">
        <v>485</v>
      </c>
      <c r="C1160" s="502" t="s">
        <v>135</v>
      </c>
      <c r="D1160" s="457" t="s">
        <v>96</v>
      </c>
      <c r="E1160" s="373">
        <v>1.9946214000000001E-4</v>
      </c>
      <c r="F1160" s="374" t="s">
        <v>360</v>
      </c>
      <c r="G1160" s="506"/>
      <c r="H1160" s="376">
        <v>3</v>
      </c>
      <c r="I1160" s="376">
        <v>3</v>
      </c>
      <c r="J1160" s="376">
        <v>3</v>
      </c>
      <c r="K1160" s="376">
        <v>1</v>
      </c>
      <c r="L1160" s="377">
        <v>2</v>
      </c>
      <c r="M1160" s="396">
        <f>IF( OR( ISBLANK(H1160),ISBLANK(I1160), ISBLANK(J1160), ISBLANK(K1160), ISBLANK(L1160) ), "", 1.5*SQRT(   EXP(2.21*(H1160-1)) + EXP(2.21*(I1160-1)) + EXP(2.21*(J1160-1)) + EXP(2.21*(K1160-1)) + EXP(2.21*L1160)   )/100*2.45 )</f>
        <v>0.67101227267249941</v>
      </c>
      <c r="N1160" s="255" t="s">
        <v>486</v>
      </c>
    </row>
    <row r="1161" spans="1:14" x14ac:dyDescent="0.2">
      <c r="A1161" s="508" t="s">
        <v>319</v>
      </c>
      <c r="B1161" s="509" t="s">
        <v>485</v>
      </c>
      <c r="C1161" s="510" t="s">
        <v>135</v>
      </c>
      <c r="D1161" s="472" t="s">
        <v>98</v>
      </c>
      <c r="E1161" s="405">
        <v>1.0653327E-3</v>
      </c>
      <c r="F1161" s="399" t="s">
        <v>360</v>
      </c>
      <c r="G1161" s="511" t="s">
        <v>16</v>
      </c>
      <c r="H1161" s="398">
        <v>3</v>
      </c>
      <c r="I1161" s="398">
        <v>3</v>
      </c>
      <c r="J1161" s="398">
        <v>3</v>
      </c>
      <c r="K1161" s="398">
        <v>1</v>
      </c>
      <c r="L1161" s="407">
        <v>2</v>
      </c>
      <c r="M1161" s="408">
        <f t="shared" ref="M1161:M1192" si="37">IF( OR( ISBLANK(H1161),ISBLANK(I1161), ISBLANK(J1161), ISBLANK(K1161), ISBLANK(L1161) ), "", 1.5*SQRT( EXP(2.21*(H1161-1)) + EXP(2.21*(I1161-1)) + EXP(2.21*(J1161-1)) + EXP(2.21*(K1161-1)) + EXP(2.21*L1161) )/100*2.45 )</f>
        <v>0.67101227267249941</v>
      </c>
      <c r="N1161" s="512" t="s">
        <v>486</v>
      </c>
    </row>
    <row r="1162" spans="1:14" hidden="1" x14ac:dyDescent="0.2">
      <c r="A1162" s="246" t="s">
        <v>320</v>
      </c>
      <c r="B1162" s="459" t="s">
        <v>463</v>
      </c>
      <c r="C1162" s="247" t="s">
        <v>13</v>
      </c>
      <c r="D1162" s="248" t="s">
        <v>135</v>
      </c>
      <c r="E1162" s="249">
        <v>4.9383419689119179E-4</v>
      </c>
      <c r="F1162" s="250" t="s">
        <v>133</v>
      </c>
      <c r="G1162" s="251" t="s">
        <v>16</v>
      </c>
      <c r="H1162" s="252">
        <v>1</v>
      </c>
      <c r="I1162" s="252">
        <v>1</v>
      </c>
      <c r="J1162" s="252">
        <v>3</v>
      </c>
      <c r="K1162" s="252">
        <v>3</v>
      </c>
      <c r="L1162" s="253">
        <v>3</v>
      </c>
      <c r="M1162" s="254">
        <f t="shared" si="37"/>
        <v>1.1181151966036349</v>
      </c>
      <c r="N1162" s="255"/>
    </row>
    <row r="1163" spans="1:14" hidden="1" x14ac:dyDescent="0.2">
      <c r="A1163" s="246" t="s">
        <v>320</v>
      </c>
      <c r="B1163" s="459" t="s">
        <v>463</v>
      </c>
      <c r="C1163" s="247" t="s">
        <v>18</v>
      </c>
      <c r="D1163" s="248" t="s">
        <v>135</v>
      </c>
      <c r="E1163" s="249">
        <v>6.2141809290953553E-4</v>
      </c>
      <c r="F1163" s="250" t="s">
        <v>133</v>
      </c>
      <c r="G1163" s="251" t="s">
        <v>16</v>
      </c>
      <c r="H1163" s="252">
        <v>1</v>
      </c>
      <c r="I1163" s="252">
        <v>1</v>
      </c>
      <c r="J1163" s="252">
        <v>3</v>
      </c>
      <c r="K1163" s="252">
        <v>3</v>
      </c>
      <c r="L1163" s="253">
        <v>3</v>
      </c>
      <c r="M1163" s="254">
        <f t="shared" si="37"/>
        <v>1.1181151966036349</v>
      </c>
      <c r="N1163" s="255"/>
    </row>
    <row r="1164" spans="1:14" hidden="1" x14ac:dyDescent="0.2">
      <c r="A1164" s="246" t="s">
        <v>320</v>
      </c>
      <c r="B1164" s="459" t="s">
        <v>463</v>
      </c>
      <c r="C1164" s="247" t="s">
        <v>20</v>
      </c>
      <c r="D1164" s="248" t="s">
        <v>135</v>
      </c>
      <c r="E1164" s="249">
        <v>1.717297297297297E-3</v>
      </c>
      <c r="F1164" s="250" t="s">
        <v>133</v>
      </c>
      <c r="G1164" s="251" t="s">
        <v>16</v>
      </c>
      <c r="H1164" s="252">
        <v>1</v>
      </c>
      <c r="I1164" s="252">
        <v>1</v>
      </c>
      <c r="J1164" s="252">
        <v>3</v>
      </c>
      <c r="K1164" s="252">
        <v>3</v>
      </c>
      <c r="L1164" s="253">
        <v>3</v>
      </c>
      <c r="M1164" s="254">
        <f t="shared" si="37"/>
        <v>1.1181151966036349</v>
      </c>
      <c r="N1164" s="255"/>
    </row>
    <row r="1165" spans="1:14" hidden="1" x14ac:dyDescent="0.2">
      <c r="A1165" s="246" t="s">
        <v>320</v>
      </c>
      <c r="B1165" s="459" t="s">
        <v>463</v>
      </c>
      <c r="C1165" s="247" t="s">
        <v>22</v>
      </c>
      <c r="D1165" s="248" t="s">
        <v>135</v>
      </c>
      <c r="E1165" s="249">
        <v>1.397291666666666E-3</v>
      </c>
      <c r="F1165" s="250" t="s">
        <v>133</v>
      </c>
      <c r="G1165" s="251" t="s">
        <v>16</v>
      </c>
      <c r="H1165" s="252">
        <v>1</v>
      </c>
      <c r="I1165" s="252">
        <v>1</v>
      </c>
      <c r="J1165" s="252">
        <v>3</v>
      </c>
      <c r="K1165" s="252">
        <v>3</v>
      </c>
      <c r="L1165" s="253">
        <v>3</v>
      </c>
      <c r="M1165" s="254">
        <f t="shared" si="37"/>
        <v>1.1181151966036349</v>
      </c>
      <c r="N1165" s="255"/>
    </row>
    <row r="1166" spans="1:14" hidden="1" x14ac:dyDescent="0.2">
      <c r="A1166" s="246" t="s">
        <v>320</v>
      </c>
      <c r="B1166" s="459" t="s">
        <v>463</v>
      </c>
      <c r="C1166" s="247" t="s">
        <v>23</v>
      </c>
      <c r="D1166" s="248" t="s">
        <v>135</v>
      </c>
      <c r="E1166" s="249">
        <v>1.868823529411765E-3</v>
      </c>
      <c r="F1166" s="250" t="s">
        <v>133</v>
      </c>
      <c r="G1166" s="251" t="s">
        <v>16</v>
      </c>
      <c r="H1166" s="252">
        <v>1</v>
      </c>
      <c r="I1166" s="252">
        <v>1</v>
      </c>
      <c r="J1166" s="252">
        <v>3</v>
      </c>
      <c r="K1166" s="252">
        <v>3</v>
      </c>
      <c r="L1166" s="253">
        <v>3</v>
      </c>
      <c r="M1166" s="254">
        <f t="shared" si="37"/>
        <v>1.1181151966036349</v>
      </c>
      <c r="N1166" s="255"/>
    </row>
    <row r="1167" spans="1:14" hidden="1" x14ac:dyDescent="0.2">
      <c r="A1167" s="246" t="s">
        <v>320</v>
      </c>
      <c r="B1167" s="459" t="s">
        <v>463</v>
      </c>
      <c r="C1167" s="247" t="s">
        <v>24</v>
      </c>
      <c r="D1167" s="248" t="s">
        <v>135</v>
      </c>
      <c r="E1167" s="249">
        <v>8.3605263157894745E-4</v>
      </c>
      <c r="F1167" s="250" t="s">
        <v>133</v>
      </c>
      <c r="G1167" s="251" t="s">
        <v>16</v>
      </c>
      <c r="H1167" s="252">
        <v>1</v>
      </c>
      <c r="I1167" s="252">
        <v>1</v>
      </c>
      <c r="J1167" s="252">
        <v>3</v>
      </c>
      <c r="K1167" s="252">
        <v>3</v>
      </c>
      <c r="L1167" s="253">
        <v>3</v>
      </c>
      <c r="M1167" s="254">
        <f t="shared" si="37"/>
        <v>1.1181151966036349</v>
      </c>
      <c r="N1167" s="255"/>
    </row>
    <row r="1168" spans="1:14" hidden="1" x14ac:dyDescent="0.2">
      <c r="A1168" s="246" t="s">
        <v>320</v>
      </c>
      <c r="B1168" s="459" t="s">
        <v>463</v>
      </c>
      <c r="C1168" s="247" t="s">
        <v>25</v>
      </c>
      <c r="D1168" s="248" t="s">
        <v>135</v>
      </c>
      <c r="E1168" s="249">
        <v>4.2932432432432442E-4</v>
      </c>
      <c r="F1168" s="250" t="s">
        <v>133</v>
      </c>
      <c r="G1168" s="251" t="s">
        <v>16</v>
      </c>
      <c r="H1168" s="252">
        <v>1</v>
      </c>
      <c r="I1168" s="252">
        <v>1</v>
      </c>
      <c r="J1168" s="252">
        <v>3</v>
      </c>
      <c r="K1168" s="252">
        <v>3</v>
      </c>
      <c r="L1168" s="253">
        <v>3</v>
      </c>
      <c r="M1168" s="254">
        <f t="shared" si="37"/>
        <v>1.1181151966036349</v>
      </c>
      <c r="N1168" s="255"/>
    </row>
    <row r="1169" spans="1:14" hidden="1" x14ac:dyDescent="0.2">
      <c r="A1169" s="246" t="s">
        <v>320</v>
      </c>
      <c r="B1169" s="459" t="s">
        <v>463</v>
      </c>
      <c r="C1169" s="247" t="s">
        <v>26</v>
      </c>
      <c r="D1169" s="248" t="s">
        <v>135</v>
      </c>
      <c r="E1169" s="249">
        <v>2.9808888888888888E-3</v>
      </c>
      <c r="F1169" s="250" t="s">
        <v>133</v>
      </c>
      <c r="G1169" s="251" t="s">
        <v>16</v>
      </c>
      <c r="H1169" s="252">
        <v>1</v>
      </c>
      <c r="I1169" s="252">
        <v>1</v>
      </c>
      <c r="J1169" s="252">
        <v>3</v>
      </c>
      <c r="K1169" s="252">
        <v>3</v>
      </c>
      <c r="L1169" s="253">
        <v>3</v>
      </c>
      <c r="M1169" s="254">
        <f t="shared" si="37"/>
        <v>1.1181151966036349</v>
      </c>
      <c r="N1169" s="255"/>
    </row>
    <row r="1170" spans="1:14" hidden="1" x14ac:dyDescent="0.2">
      <c r="A1170" s="246" t="s">
        <v>320</v>
      </c>
      <c r="B1170" s="459" t="s">
        <v>463</v>
      </c>
      <c r="C1170" s="247" t="s">
        <v>27</v>
      </c>
      <c r="D1170" s="248" t="s">
        <v>135</v>
      </c>
      <c r="E1170" s="249">
        <v>3.4595281306715062E-4</v>
      </c>
      <c r="F1170" s="250" t="s">
        <v>133</v>
      </c>
      <c r="G1170" s="251" t="s">
        <v>16</v>
      </c>
      <c r="H1170" s="252">
        <v>1</v>
      </c>
      <c r="I1170" s="252">
        <v>1</v>
      </c>
      <c r="J1170" s="252">
        <v>3</v>
      </c>
      <c r="K1170" s="252">
        <v>3</v>
      </c>
      <c r="L1170" s="253">
        <v>3</v>
      </c>
      <c r="M1170" s="254">
        <f t="shared" si="37"/>
        <v>1.1181151966036349</v>
      </c>
      <c r="N1170" s="255"/>
    </row>
    <row r="1171" spans="1:14" hidden="1" x14ac:dyDescent="0.2">
      <c r="A1171" s="246" t="s">
        <v>320</v>
      </c>
      <c r="B1171" s="459" t="s">
        <v>463</v>
      </c>
      <c r="C1171" s="247" t="s">
        <v>28</v>
      </c>
      <c r="D1171" s="248" t="s">
        <v>135</v>
      </c>
      <c r="E1171" s="249">
        <v>7.4149012567324962E-4</v>
      </c>
      <c r="F1171" s="250" t="s">
        <v>133</v>
      </c>
      <c r="G1171" s="251" t="s">
        <v>16</v>
      </c>
      <c r="H1171" s="252">
        <v>1</v>
      </c>
      <c r="I1171" s="252">
        <v>1</v>
      </c>
      <c r="J1171" s="252">
        <v>3</v>
      </c>
      <c r="K1171" s="252">
        <v>3</v>
      </c>
      <c r="L1171" s="253">
        <v>3</v>
      </c>
      <c r="M1171" s="254">
        <f t="shared" si="37"/>
        <v>1.1181151966036349</v>
      </c>
      <c r="N1171" s="255"/>
    </row>
    <row r="1172" spans="1:14" hidden="1" x14ac:dyDescent="0.2">
      <c r="A1172" s="246" t="s">
        <v>320</v>
      </c>
      <c r="B1172" s="459" t="s">
        <v>463</v>
      </c>
      <c r="C1172" s="247" t="s">
        <v>30</v>
      </c>
      <c r="D1172" s="248" t="s">
        <v>135</v>
      </c>
      <c r="E1172" s="249">
        <v>5.242574257425742E-4</v>
      </c>
      <c r="F1172" s="250" t="s">
        <v>133</v>
      </c>
      <c r="G1172" s="251" t="s">
        <v>16</v>
      </c>
      <c r="H1172" s="252">
        <v>1</v>
      </c>
      <c r="I1172" s="252">
        <v>1</v>
      </c>
      <c r="J1172" s="252">
        <v>3</v>
      </c>
      <c r="K1172" s="252">
        <v>3</v>
      </c>
      <c r="L1172" s="253">
        <v>3</v>
      </c>
      <c r="M1172" s="254">
        <f t="shared" si="37"/>
        <v>1.1181151966036349</v>
      </c>
      <c r="N1172" s="255"/>
    </row>
    <row r="1173" spans="1:14" hidden="1" x14ac:dyDescent="0.2">
      <c r="A1173" s="246" t="s">
        <v>320</v>
      </c>
      <c r="B1173" s="459" t="s">
        <v>463</v>
      </c>
      <c r="C1173" s="247" t="s">
        <v>32</v>
      </c>
      <c r="D1173" s="248" t="s">
        <v>135</v>
      </c>
      <c r="E1173" s="249">
        <v>1.23378640776699E-3</v>
      </c>
      <c r="F1173" s="250" t="s">
        <v>133</v>
      </c>
      <c r="G1173" s="251" t="s">
        <v>16</v>
      </c>
      <c r="H1173" s="252">
        <v>1</v>
      </c>
      <c r="I1173" s="252">
        <v>1</v>
      </c>
      <c r="J1173" s="252">
        <v>3</v>
      </c>
      <c r="K1173" s="252">
        <v>3</v>
      </c>
      <c r="L1173" s="253">
        <v>3</v>
      </c>
      <c r="M1173" s="254">
        <f t="shared" si="37"/>
        <v>1.1181151966036349</v>
      </c>
      <c r="N1173" s="255"/>
    </row>
    <row r="1174" spans="1:14" hidden="1" x14ac:dyDescent="0.2">
      <c r="A1174" s="246" t="s">
        <v>320</v>
      </c>
      <c r="B1174" s="459" t="s">
        <v>463</v>
      </c>
      <c r="C1174" s="247" t="s">
        <v>34</v>
      </c>
      <c r="D1174" s="248" t="s">
        <v>135</v>
      </c>
      <c r="E1174" s="249">
        <v>1.5009448818897641E-3</v>
      </c>
      <c r="F1174" s="250" t="s">
        <v>133</v>
      </c>
      <c r="G1174" s="251" t="s">
        <v>16</v>
      </c>
      <c r="H1174" s="252">
        <v>1</v>
      </c>
      <c r="I1174" s="252">
        <v>1</v>
      </c>
      <c r="J1174" s="252">
        <v>3</v>
      </c>
      <c r="K1174" s="252">
        <v>3</v>
      </c>
      <c r="L1174" s="253">
        <v>3</v>
      </c>
      <c r="M1174" s="254">
        <f t="shared" si="37"/>
        <v>1.1181151966036349</v>
      </c>
      <c r="N1174" s="255"/>
    </row>
    <row r="1175" spans="1:14" hidden="1" x14ac:dyDescent="0.2">
      <c r="A1175" s="246" t="s">
        <v>320</v>
      </c>
      <c r="B1175" s="459" t="s">
        <v>463</v>
      </c>
      <c r="C1175" s="247" t="s">
        <v>36</v>
      </c>
      <c r="D1175" s="248" t="s">
        <v>135</v>
      </c>
      <c r="E1175" s="249">
        <v>1.4482051282051281E-3</v>
      </c>
      <c r="F1175" s="250" t="s">
        <v>133</v>
      </c>
      <c r="G1175" s="251" t="s">
        <v>16</v>
      </c>
      <c r="H1175" s="252">
        <v>1</v>
      </c>
      <c r="I1175" s="252">
        <v>1</v>
      </c>
      <c r="J1175" s="252">
        <v>3</v>
      </c>
      <c r="K1175" s="252">
        <v>3</v>
      </c>
      <c r="L1175" s="253">
        <v>3</v>
      </c>
      <c r="M1175" s="254">
        <f t="shared" si="37"/>
        <v>1.1181151966036349</v>
      </c>
      <c r="N1175" s="255"/>
    </row>
    <row r="1176" spans="1:14" hidden="1" x14ac:dyDescent="0.2">
      <c r="A1176" s="246" t="s">
        <v>320</v>
      </c>
      <c r="B1176" s="459" t="s">
        <v>463</v>
      </c>
      <c r="C1176" s="247" t="s">
        <v>37</v>
      </c>
      <c r="D1176" s="248" t="s">
        <v>135</v>
      </c>
      <c r="E1176" s="249">
        <v>6.0483967935871753E-3</v>
      </c>
      <c r="F1176" s="250" t="s">
        <v>133</v>
      </c>
      <c r="G1176" s="251" t="s">
        <v>16</v>
      </c>
      <c r="H1176" s="252">
        <v>1</v>
      </c>
      <c r="I1176" s="252">
        <v>1</v>
      </c>
      <c r="J1176" s="252">
        <v>3</v>
      </c>
      <c r="K1176" s="252">
        <v>3</v>
      </c>
      <c r="L1176" s="253">
        <v>3</v>
      </c>
      <c r="M1176" s="254">
        <f t="shared" si="37"/>
        <v>1.1181151966036349</v>
      </c>
      <c r="N1176" s="255"/>
    </row>
    <row r="1177" spans="1:14" hidden="1" x14ac:dyDescent="0.2">
      <c r="A1177" s="246" t="s">
        <v>320</v>
      </c>
      <c r="B1177" s="459" t="s">
        <v>463</v>
      </c>
      <c r="C1177" s="247" t="s">
        <v>39</v>
      </c>
      <c r="D1177" s="248" t="s">
        <v>135</v>
      </c>
      <c r="E1177" s="249">
        <v>2.9662407862407862E-3</v>
      </c>
      <c r="F1177" s="250" t="s">
        <v>133</v>
      </c>
      <c r="G1177" s="251" t="s">
        <v>16</v>
      </c>
      <c r="H1177" s="252">
        <v>1</v>
      </c>
      <c r="I1177" s="252">
        <v>1</v>
      </c>
      <c r="J1177" s="252">
        <v>3</v>
      </c>
      <c r="K1177" s="252">
        <v>3</v>
      </c>
      <c r="L1177" s="253">
        <v>3</v>
      </c>
      <c r="M1177" s="254">
        <f t="shared" si="37"/>
        <v>1.1181151966036349</v>
      </c>
      <c r="N1177" s="255"/>
    </row>
    <row r="1178" spans="1:14" hidden="1" x14ac:dyDescent="0.2">
      <c r="A1178" s="246" t="s">
        <v>320</v>
      </c>
      <c r="B1178" s="459" t="s">
        <v>463</v>
      </c>
      <c r="C1178" s="247" t="s">
        <v>40</v>
      </c>
      <c r="D1178" s="248" t="s">
        <v>135</v>
      </c>
      <c r="E1178" s="249">
        <v>9.5857758620689656E-4</v>
      </c>
      <c r="F1178" s="250" t="s">
        <v>133</v>
      </c>
      <c r="G1178" s="251" t="s">
        <v>16</v>
      </c>
      <c r="H1178" s="252">
        <v>1</v>
      </c>
      <c r="I1178" s="252">
        <v>1</v>
      </c>
      <c r="J1178" s="252">
        <v>3</v>
      </c>
      <c r="K1178" s="252">
        <v>3</v>
      </c>
      <c r="L1178" s="253">
        <v>3</v>
      </c>
      <c r="M1178" s="254">
        <f t="shared" si="37"/>
        <v>1.1181151966036349</v>
      </c>
      <c r="N1178" s="255"/>
    </row>
    <row r="1179" spans="1:14" hidden="1" x14ac:dyDescent="0.2">
      <c r="A1179" s="246" t="s">
        <v>320</v>
      </c>
      <c r="B1179" s="459" t="s">
        <v>463</v>
      </c>
      <c r="C1179" s="247" t="s">
        <v>41</v>
      </c>
      <c r="D1179" s="248" t="s">
        <v>135</v>
      </c>
      <c r="E1179" s="249">
        <v>4.352054794520548E-4</v>
      </c>
      <c r="F1179" s="250" t="s">
        <v>133</v>
      </c>
      <c r="G1179" s="251" t="s">
        <v>16</v>
      </c>
      <c r="H1179" s="252">
        <v>1</v>
      </c>
      <c r="I1179" s="252">
        <v>1</v>
      </c>
      <c r="J1179" s="252">
        <v>3</v>
      </c>
      <c r="K1179" s="252">
        <v>3</v>
      </c>
      <c r="L1179" s="253">
        <v>3</v>
      </c>
      <c r="M1179" s="254">
        <f t="shared" si="37"/>
        <v>1.1181151966036349</v>
      </c>
      <c r="N1179" s="255"/>
    </row>
    <row r="1180" spans="1:14" hidden="1" x14ac:dyDescent="0.2">
      <c r="A1180" s="246" t="s">
        <v>320</v>
      </c>
      <c r="B1180" s="459" t="s">
        <v>463</v>
      </c>
      <c r="C1180" s="247" t="s">
        <v>42</v>
      </c>
      <c r="D1180" s="248" t="s">
        <v>135</v>
      </c>
      <c r="E1180" s="249">
        <v>2.1274553571428568E-3</v>
      </c>
      <c r="F1180" s="250" t="s">
        <v>133</v>
      </c>
      <c r="G1180" s="251" t="s">
        <v>16</v>
      </c>
      <c r="H1180" s="252">
        <v>1</v>
      </c>
      <c r="I1180" s="252">
        <v>1</v>
      </c>
      <c r="J1180" s="252">
        <v>3</v>
      </c>
      <c r="K1180" s="252">
        <v>3</v>
      </c>
      <c r="L1180" s="253">
        <v>3</v>
      </c>
      <c r="M1180" s="254">
        <f t="shared" si="37"/>
        <v>1.1181151966036349</v>
      </c>
      <c r="N1180" s="255"/>
    </row>
    <row r="1181" spans="1:14" hidden="1" x14ac:dyDescent="0.2">
      <c r="A1181" s="246" t="s">
        <v>320</v>
      </c>
      <c r="B1181" s="459" t="s">
        <v>463</v>
      </c>
      <c r="C1181" s="247" t="s">
        <v>43</v>
      </c>
      <c r="D1181" s="248" t="s">
        <v>135</v>
      </c>
      <c r="E1181" s="249">
        <v>4.9737769080234839E-4</v>
      </c>
      <c r="F1181" s="250" t="s">
        <v>133</v>
      </c>
      <c r="G1181" s="251" t="s">
        <v>16</v>
      </c>
      <c r="H1181" s="252">
        <v>1</v>
      </c>
      <c r="I1181" s="252">
        <v>1</v>
      </c>
      <c r="J1181" s="252">
        <v>3</v>
      </c>
      <c r="K1181" s="252">
        <v>3</v>
      </c>
      <c r="L1181" s="253">
        <v>3</v>
      </c>
      <c r="M1181" s="254">
        <f t="shared" si="37"/>
        <v>1.1181151966036349</v>
      </c>
      <c r="N1181" s="255"/>
    </row>
    <row r="1182" spans="1:14" x14ac:dyDescent="0.2">
      <c r="A1182" s="246" t="s">
        <v>320</v>
      </c>
      <c r="B1182" s="459" t="s">
        <v>463</v>
      </c>
      <c r="C1182" s="247" t="s">
        <v>45</v>
      </c>
      <c r="D1182" s="248" t="s">
        <v>135</v>
      </c>
      <c r="E1182" s="249">
        <v>6.8784844384303125E-4</v>
      </c>
      <c r="F1182" s="250" t="s">
        <v>133</v>
      </c>
      <c r="G1182" s="251" t="s">
        <v>16</v>
      </c>
      <c r="H1182" s="252">
        <v>1</v>
      </c>
      <c r="I1182" s="252">
        <v>1</v>
      </c>
      <c r="J1182" s="252">
        <v>3</v>
      </c>
      <c r="K1182" s="252">
        <v>3</v>
      </c>
      <c r="L1182" s="253">
        <v>3</v>
      </c>
      <c r="M1182" s="254">
        <f t="shared" si="37"/>
        <v>1.1181151966036349</v>
      </c>
      <c r="N1182" s="255"/>
    </row>
    <row r="1183" spans="1:14" hidden="1" x14ac:dyDescent="0.2">
      <c r="A1183" s="246" t="s">
        <v>320</v>
      </c>
      <c r="B1183" s="459" t="s">
        <v>463</v>
      </c>
      <c r="C1183" s="247" t="s">
        <v>46</v>
      </c>
      <c r="D1183" s="248" t="s">
        <v>135</v>
      </c>
      <c r="E1183" s="249">
        <v>1.2553495440729479E-3</v>
      </c>
      <c r="F1183" s="250" t="s">
        <v>133</v>
      </c>
      <c r="G1183" s="251" t="s">
        <v>16</v>
      </c>
      <c r="H1183" s="252">
        <v>1</v>
      </c>
      <c r="I1183" s="252">
        <v>1</v>
      </c>
      <c r="J1183" s="252">
        <v>3</v>
      </c>
      <c r="K1183" s="252">
        <v>3</v>
      </c>
      <c r="L1183" s="253">
        <v>3</v>
      </c>
      <c r="M1183" s="254">
        <f t="shared" si="37"/>
        <v>1.1181151966036349</v>
      </c>
      <c r="N1183" s="255"/>
    </row>
    <row r="1184" spans="1:14" hidden="1" x14ac:dyDescent="0.2">
      <c r="A1184" s="246" t="s">
        <v>320</v>
      </c>
      <c r="B1184" s="459" t="s">
        <v>463</v>
      </c>
      <c r="C1184" s="247" t="s">
        <v>48</v>
      </c>
      <c r="D1184" s="248" t="s">
        <v>135</v>
      </c>
      <c r="E1184" s="249">
        <v>9.3994082840236678E-4</v>
      </c>
      <c r="F1184" s="250" t="s">
        <v>133</v>
      </c>
      <c r="G1184" s="251" t="s">
        <v>16</v>
      </c>
      <c r="H1184" s="252">
        <v>1</v>
      </c>
      <c r="I1184" s="252">
        <v>1</v>
      </c>
      <c r="J1184" s="252">
        <v>3</v>
      </c>
      <c r="K1184" s="252">
        <v>3</v>
      </c>
      <c r="L1184" s="253">
        <v>3</v>
      </c>
      <c r="M1184" s="254">
        <f t="shared" si="37"/>
        <v>1.1181151966036349</v>
      </c>
      <c r="N1184" s="255"/>
    </row>
    <row r="1185" spans="1:14" hidden="1" x14ac:dyDescent="0.2">
      <c r="A1185" s="246" t="s">
        <v>320</v>
      </c>
      <c r="B1185" s="459" t="s">
        <v>463</v>
      </c>
      <c r="C1185" s="247" t="s">
        <v>50</v>
      </c>
      <c r="D1185" s="248" t="s">
        <v>135</v>
      </c>
      <c r="E1185" s="249">
        <v>5.72327205882353E-3</v>
      </c>
      <c r="F1185" s="250" t="s">
        <v>133</v>
      </c>
      <c r="G1185" s="251" t="s">
        <v>16</v>
      </c>
      <c r="H1185" s="252">
        <v>1</v>
      </c>
      <c r="I1185" s="252">
        <v>1</v>
      </c>
      <c r="J1185" s="252">
        <v>3</v>
      </c>
      <c r="K1185" s="252">
        <v>3</v>
      </c>
      <c r="L1185" s="253">
        <v>3</v>
      </c>
      <c r="M1185" s="254">
        <f t="shared" si="37"/>
        <v>1.1181151966036349</v>
      </c>
      <c r="N1185" s="255"/>
    </row>
    <row r="1186" spans="1:14" hidden="1" x14ac:dyDescent="0.2">
      <c r="A1186" s="246" t="s">
        <v>320</v>
      </c>
      <c r="B1186" s="459" t="s">
        <v>463</v>
      </c>
      <c r="C1186" s="247" t="s">
        <v>52</v>
      </c>
      <c r="D1186" s="248" t="s">
        <v>135</v>
      </c>
      <c r="E1186" s="249">
        <v>9.2086956521739128E-4</v>
      </c>
      <c r="F1186" s="250" t="s">
        <v>133</v>
      </c>
      <c r="G1186" s="251" t="s">
        <v>16</v>
      </c>
      <c r="H1186" s="252">
        <v>1</v>
      </c>
      <c r="I1186" s="252">
        <v>1</v>
      </c>
      <c r="J1186" s="252">
        <v>3</v>
      </c>
      <c r="K1186" s="252">
        <v>3</v>
      </c>
      <c r="L1186" s="253">
        <v>3</v>
      </c>
      <c r="M1186" s="254">
        <f t="shared" si="37"/>
        <v>1.1181151966036349</v>
      </c>
      <c r="N1186" s="255"/>
    </row>
    <row r="1187" spans="1:14" hidden="1" x14ac:dyDescent="0.2">
      <c r="A1187" s="246" t="s">
        <v>320</v>
      </c>
      <c r="B1187" s="459" t="s">
        <v>463</v>
      </c>
      <c r="C1187" s="247" t="s">
        <v>54</v>
      </c>
      <c r="D1187" s="248" t="s">
        <v>135</v>
      </c>
      <c r="E1187" s="249">
        <v>5.8833333333333329E-4</v>
      </c>
      <c r="F1187" s="250" t="s">
        <v>133</v>
      </c>
      <c r="G1187" s="251" t="s">
        <v>16</v>
      </c>
      <c r="H1187" s="252">
        <v>1</v>
      </c>
      <c r="I1187" s="252">
        <v>1</v>
      </c>
      <c r="J1187" s="252">
        <v>3</v>
      </c>
      <c r="K1187" s="252">
        <v>3</v>
      </c>
      <c r="L1187" s="253">
        <v>3</v>
      </c>
      <c r="M1187" s="254">
        <f t="shared" si="37"/>
        <v>1.1181151966036349</v>
      </c>
      <c r="N1187" s="255"/>
    </row>
    <row r="1188" spans="1:14" hidden="1" x14ac:dyDescent="0.2">
      <c r="A1188" s="246" t="s">
        <v>320</v>
      </c>
      <c r="B1188" s="459" t="s">
        <v>463</v>
      </c>
      <c r="C1188" s="247" t="s">
        <v>55</v>
      </c>
      <c r="D1188" s="248" t="s">
        <v>135</v>
      </c>
      <c r="E1188" s="249">
        <v>1.2708000000000001E-3</v>
      </c>
      <c r="F1188" s="250" t="s">
        <v>133</v>
      </c>
      <c r="G1188" s="251" t="s">
        <v>16</v>
      </c>
      <c r="H1188" s="252">
        <v>1</v>
      </c>
      <c r="I1188" s="252">
        <v>1</v>
      </c>
      <c r="J1188" s="252">
        <v>3</v>
      </c>
      <c r="K1188" s="252">
        <v>3</v>
      </c>
      <c r="L1188" s="253">
        <v>3</v>
      </c>
      <c r="M1188" s="254">
        <f t="shared" si="37"/>
        <v>1.1181151966036349</v>
      </c>
      <c r="N1188" s="255"/>
    </row>
    <row r="1189" spans="1:14" hidden="1" x14ac:dyDescent="0.2">
      <c r="A1189" s="246" t="s">
        <v>320</v>
      </c>
      <c r="B1189" s="459" t="s">
        <v>463</v>
      </c>
      <c r="C1189" s="247" t="s">
        <v>57</v>
      </c>
      <c r="D1189" s="248" t="s">
        <v>135</v>
      </c>
      <c r="E1189" s="249">
        <v>5.8562211981566818E-4</v>
      </c>
      <c r="F1189" s="250" t="s">
        <v>133</v>
      </c>
      <c r="G1189" s="251" t="s">
        <v>16</v>
      </c>
      <c r="H1189" s="252">
        <v>1</v>
      </c>
      <c r="I1189" s="252">
        <v>1</v>
      </c>
      <c r="J1189" s="252">
        <v>3</v>
      </c>
      <c r="K1189" s="252">
        <v>3</v>
      </c>
      <c r="L1189" s="253">
        <v>3</v>
      </c>
      <c r="M1189" s="254">
        <f t="shared" si="37"/>
        <v>1.1181151966036349</v>
      </c>
      <c r="N1189" s="255"/>
    </row>
    <row r="1190" spans="1:14" hidden="1" x14ac:dyDescent="0.2">
      <c r="A1190" s="246" t="s">
        <v>320</v>
      </c>
      <c r="B1190" s="459" t="s">
        <v>463</v>
      </c>
      <c r="C1190" s="247" t="s">
        <v>59</v>
      </c>
      <c r="D1190" s="248" t="s">
        <v>135</v>
      </c>
      <c r="E1190" s="249">
        <v>2.7E-4</v>
      </c>
      <c r="F1190" s="250" t="s">
        <v>133</v>
      </c>
      <c r="G1190" s="251" t="s">
        <v>16</v>
      </c>
      <c r="H1190" s="252">
        <v>1</v>
      </c>
      <c r="I1190" s="252">
        <v>1</v>
      </c>
      <c r="J1190" s="252">
        <v>3</v>
      </c>
      <c r="K1190" s="252">
        <v>3</v>
      </c>
      <c r="L1190" s="253">
        <v>3</v>
      </c>
      <c r="M1190" s="254">
        <f t="shared" si="37"/>
        <v>1.1181151966036349</v>
      </c>
      <c r="N1190" s="255"/>
    </row>
    <row r="1191" spans="1:14" hidden="1" x14ac:dyDescent="0.2">
      <c r="A1191" s="464" t="s">
        <v>320</v>
      </c>
      <c r="B1191" s="513" t="s">
        <v>463</v>
      </c>
      <c r="C1191" s="287" t="s">
        <v>60</v>
      </c>
      <c r="D1191" s="441" t="s">
        <v>135</v>
      </c>
      <c r="E1191" s="288">
        <v>1.23511879049676E-3</v>
      </c>
      <c r="F1191" s="289" t="s">
        <v>133</v>
      </c>
      <c r="G1191" s="290" t="s">
        <v>16</v>
      </c>
      <c r="H1191" s="291">
        <v>1</v>
      </c>
      <c r="I1191" s="291">
        <v>1</v>
      </c>
      <c r="J1191" s="291">
        <v>3</v>
      </c>
      <c r="K1191" s="291">
        <v>3</v>
      </c>
      <c r="L1191" s="292">
        <v>3</v>
      </c>
      <c r="M1191" s="293">
        <f t="shared" si="37"/>
        <v>1.1181151966036349</v>
      </c>
      <c r="N1191" s="294"/>
    </row>
    <row r="1192" spans="1:14" hidden="1" x14ac:dyDescent="0.2">
      <c r="A1192" s="514" t="s">
        <v>231</v>
      </c>
      <c r="B1192" s="515" t="s">
        <v>463</v>
      </c>
      <c r="C1192" s="247" t="s">
        <v>13</v>
      </c>
      <c r="D1192" s="516" t="s">
        <v>135</v>
      </c>
      <c r="E1192" s="517">
        <v>4.9383419689119179E-4</v>
      </c>
      <c r="F1192" s="518" t="s">
        <v>133</v>
      </c>
      <c r="G1192" s="57" t="s">
        <v>16</v>
      </c>
      <c r="H1192" s="519">
        <v>1</v>
      </c>
      <c r="I1192" s="519">
        <v>1</v>
      </c>
      <c r="J1192" s="519">
        <v>3</v>
      </c>
      <c r="K1192" s="519">
        <v>3</v>
      </c>
      <c r="L1192" s="520">
        <v>3</v>
      </c>
      <c r="M1192" s="521">
        <f t="shared" si="37"/>
        <v>1.1181151966036349</v>
      </c>
      <c r="N1192" s="522"/>
    </row>
    <row r="1193" spans="1:14" hidden="1" x14ac:dyDescent="0.2">
      <c r="A1193" s="514" t="s">
        <v>231</v>
      </c>
      <c r="B1193" s="515" t="s">
        <v>463</v>
      </c>
      <c r="C1193" s="247" t="s">
        <v>18</v>
      </c>
      <c r="D1193" s="516" t="s">
        <v>135</v>
      </c>
      <c r="E1193" s="517">
        <v>6.2141809290953553E-4</v>
      </c>
      <c r="F1193" s="518" t="s">
        <v>133</v>
      </c>
      <c r="G1193" s="57" t="s">
        <v>16</v>
      </c>
      <c r="H1193" s="519">
        <v>1</v>
      </c>
      <c r="I1193" s="519">
        <v>1</v>
      </c>
      <c r="J1193" s="519">
        <v>3</v>
      </c>
      <c r="K1193" s="519">
        <v>3</v>
      </c>
      <c r="L1193" s="520">
        <v>3</v>
      </c>
      <c r="M1193" s="521">
        <f t="shared" ref="M1193:M1223" si="38">IF( OR( ISBLANK(H1193),ISBLANK(I1193), ISBLANK(J1193), ISBLANK(K1193), ISBLANK(L1193) ), "", 1.5*SQRT( EXP(2.21*(H1193-1)) + EXP(2.21*(I1193-1)) + EXP(2.21*(J1193-1)) + EXP(2.21*(K1193-1)) + EXP(2.21*L1193) )/100*2.45 )</f>
        <v>1.1181151966036349</v>
      </c>
      <c r="N1193" s="522"/>
    </row>
    <row r="1194" spans="1:14" hidden="1" x14ac:dyDescent="0.2">
      <c r="A1194" s="514" t="s">
        <v>231</v>
      </c>
      <c r="B1194" s="515" t="s">
        <v>463</v>
      </c>
      <c r="C1194" s="247" t="s">
        <v>20</v>
      </c>
      <c r="D1194" s="516" t="s">
        <v>135</v>
      </c>
      <c r="E1194" s="517">
        <v>1.717297297297297E-3</v>
      </c>
      <c r="F1194" s="518" t="s">
        <v>133</v>
      </c>
      <c r="G1194" s="57" t="s">
        <v>16</v>
      </c>
      <c r="H1194" s="519">
        <v>1</v>
      </c>
      <c r="I1194" s="519">
        <v>1</v>
      </c>
      <c r="J1194" s="519">
        <v>3</v>
      </c>
      <c r="K1194" s="519">
        <v>3</v>
      </c>
      <c r="L1194" s="520">
        <v>3</v>
      </c>
      <c r="M1194" s="521">
        <f t="shared" si="38"/>
        <v>1.1181151966036349</v>
      </c>
      <c r="N1194" s="522"/>
    </row>
    <row r="1195" spans="1:14" hidden="1" x14ac:dyDescent="0.2">
      <c r="A1195" s="514" t="s">
        <v>231</v>
      </c>
      <c r="B1195" s="515" t="s">
        <v>463</v>
      </c>
      <c r="C1195" s="247" t="s">
        <v>22</v>
      </c>
      <c r="D1195" s="516" t="s">
        <v>135</v>
      </c>
      <c r="E1195" s="517">
        <v>1.397291666666666E-3</v>
      </c>
      <c r="F1195" s="518" t="s">
        <v>133</v>
      </c>
      <c r="G1195" s="57" t="s">
        <v>16</v>
      </c>
      <c r="H1195" s="519">
        <v>1</v>
      </c>
      <c r="I1195" s="519">
        <v>1</v>
      </c>
      <c r="J1195" s="519">
        <v>3</v>
      </c>
      <c r="K1195" s="519">
        <v>3</v>
      </c>
      <c r="L1195" s="520">
        <v>3</v>
      </c>
      <c r="M1195" s="521">
        <f t="shared" si="38"/>
        <v>1.1181151966036349</v>
      </c>
      <c r="N1195" s="522"/>
    </row>
    <row r="1196" spans="1:14" hidden="1" x14ac:dyDescent="0.2">
      <c r="A1196" s="514" t="s">
        <v>231</v>
      </c>
      <c r="B1196" s="515" t="s">
        <v>463</v>
      </c>
      <c r="C1196" s="247" t="s">
        <v>23</v>
      </c>
      <c r="D1196" s="516" t="s">
        <v>135</v>
      </c>
      <c r="E1196" s="517">
        <v>1.868823529411765E-3</v>
      </c>
      <c r="F1196" s="518" t="s">
        <v>133</v>
      </c>
      <c r="G1196" s="57" t="s">
        <v>16</v>
      </c>
      <c r="H1196" s="519">
        <v>1</v>
      </c>
      <c r="I1196" s="519">
        <v>1</v>
      </c>
      <c r="J1196" s="519">
        <v>3</v>
      </c>
      <c r="K1196" s="519">
        <v>3</v>
      </c>
      <c r="L1196" s="520">
        <v>3</v>
      </c>
      <c r="M1196" s="521">
        <f t="shared" si="38"/>
        <v>1.1181151966036349</v>
      </c>
      <c r="N1196" s="522"/>
    </row>
    <row r="1197" spans="1:14" hidden="1" x14ac:dyDescent="0.2">
      <c r="A1197" s="514" t="s">
        <v>231</v>
      </c>
      <c r="B1197" s="515" t="s">
        <v>463</v>
      </c>
      <c r="C1197" s="247" t="s">
        <v>24</v>
      </c>
      <c r="D1197" s="516" t="s">
        <v>135</v>
      </c>
      <c r="E1197" s="517">
        <v>8.3605263157894745E-4</v>
      </c>
      <c r="F1197" s="518" t="s">
        <v>133</v>
      </c>
      <c r="G1197" s="57" t="s">
        <v>16</v>
      </c>
      <c r="H1197" s="519">
        <v>1</v>
      </c>
      <c r="I1197" s="519">
        <v>1</v>
      </c>
      <c r="J1197" s="519">
        <v>3</v>
      </c>
      <c r="K1197" s="519">
        <v>3</v>
      </c>
      <c r="L1197" s="520">
        <v>3</v>
      </c>
      <c r="M1197" s="521">
        <f t="shared" si="38"/>
        <v>1.1181151966036349</v>
      </c>
      <c r="N1197" s="522"/>
    </row>
    <row r="1198" spans="1:14" hidden="1" x14ac:dyDescent="0.2">
      <c r="A1198" s="514" t="s">
        <v>231</v>
      </c>
      <c r="B1198" s="515" t="s">
        <v>463</v>
      </c>
      <c r="C1198" s="247" t="s">
        <v>25</v>
      </c>
      <c r="D1198" s="516" t="s">
        <v>135</v>
      </c>
      <c r="E1198" s="517">
        <v>4.2932432432432442E-4</v>
      </c>
      <c r="F1198" s="518" t="s">
        <v>133</v>
      </c>
      <c r="G1198" s="57" t="s">
        <v>16</v>
      </c>
      <c r="H1198" s="519">
        <v>1</v>
      </c>
      <c r="I1198" s="519">
        <v>1</v>
      </c>
      <c r="J1198" s="519">
        <v>3</v>
      </c>
      <c r="K1198" s="519">
        <v>3</v>
      </c>
      <c r="L1198" s="520">
        <v>3</v>
      </c>
      <c r="M1198" s="521">
        <f t="shared" si="38"/>
        <v>1.1181151966036349</v>
      </c>
      <c r="N1198" s="522"/>
    </row>
    <row r="1199" spans="1:14" hidden="1" x14ac:dyDescent="0.2">
      <c r="A1199" s="514" t="s">
        <v>231</v>
      </c>
      <c r="B1199" s="515" t="s">
        <v>463</v>
      </c>
      <c r="C1199" s="247" t="s">
        <v>26</v>
      </c>
      <c r="D1199" s="516" t="s">
        <v>135</v>
      </c>
      <c r="E1199" s="517">
        <v>2.9808888888888888E-3</v>
      </c>
      <c r="F1199" s="518" t="s">
        <v>133</v>
      </c>
      <c r="G1199" s="57" t="s">
        <v>16</v>
      </c>
      <c r="H1199" s="519">
        <v>1</v>
      </c>
      <c r="I1199" s="519">
        <v>1</v>
      </c>
      <c r="J1199" s="519">
        <v>3</v>
      </c>
      <c r="K1199" s="519">
        <v>3</v>
      </c>
      <c r="L1199" s="520">
        <v>3</v>
      </c>
      <c r="M1199" s="521">
        <f t="shared" si="38"/>
        <v>1.1181151966036349</v>
      </c>
      <c r="N1199" s="522"/>
    </row>
    <row r="1200" spans="1:14" hidden="1" x14ac:dyDescent="0.2">
      <c r="A1200" s="514" t="s">
        <v>231</v>
      </c>
      <c r="B1200" s="515" t="s">
        <v>463</v>
      </c>
      <c r="C1200" s="247" t="s">
        <v>27</v>
      </c>
      <c r="D1200" s="516" t="s">
        <v>135</v>
      </c>
      <c r="E1200" s="517">
        <v>3.4595281306715062E-4</v>
      </c>
      <c r="F1200" s="518" t="s">
        <v>133</v>
      </c>
      <c r="G1200" s="57" t="s">
        <v>16</v>
      </c>
      <c r="H1200" s="519">
        <v>1</v>
      </c>
      <c r="I1200" s="519">
        <v>1</v>
      </c>
      <c r="J1200" s="519">
        <v>3</v>
      </c>
      <c r="K1200" s="519">
        <v>3</v>
      </c>
      <c r="L1200" s="520">
        <v>3</v>
      </c>
      <c r="M1200" s="521">
        <f t="shared" si="38"/>
        <v>1.1181151966036349</v>
      </c>
      <c r="N1200" s="522"/>
    </row>
    <row r="1201" spans="1:14" hidden="1" x14ac:dyDescent="0.2">
      <c r="A1201" s="514" t="s">
        <v>231</v>
      </c>
      <c r="B1201" s="515" t="s">
        <v>463</v>
      </c>
      <c r="C1201" s="247" t="s">
        <v>28</v>
      </c>
      <c r="D1201" s="516" t="s">
        <v>135</v>
      </c>
      <c r="E1201" s="517">
        <v>7.4149012567324962E-4</v>
      </c>
      <c r="F1201" s="518" t="s">
        <v>133</v>
      </c>
      <c r="G1201" s="57" t="s">
        <v>16</v>
      </c>
      <c r="H1201" s="519">
        <v>1</v>
      </c>
      <c r="I1201" s="519">
        <v>1</v>
      </c>
      <c r="J1201" s="519">
        <v>3</v>
      </c>
      <c r="K1201" s="519">
        <v>3</v>
      </c>
      <c r="L1201" s="520">
        <v>3</v>
      </c>
      <c r="M1201" s="521">
        <f t="shared" si="38"/>
        <v>1.1181151966036349</v>
      </c>
      <c r="N1201" s="522"/>
    </row>
    <row r="1202" spans="1:14" hidden="1" x14ac:dyDescent="0.2">
      <c r="A1202" s="514" t="s">
        <v>231</v>
      </c>
      <c r="B1202" s="515" t="s">
        <v>463</v>
      </c>
      <c r="C1202" s="247" t="s">
        <v>30</v>
      </c>
      <c r="D1202" s="516" t="s">
        <v>135</v>
      </c>
      <c r="E1202" s="517">
        <v>5.242574257425742E-4</v>
      </c>
      <c r="F1202" s="518" t="s">
        <v>133</v>
      </c>
      <c r="G1202" s="57" t="s">
        <v>16</v>
      </c>
      <c r="H1202" s="519">
        <v>1</v>
      </c>
      <c r="I1202" s="519">
        <v>1</v>
      </c>
      <c r="J1202" s="519">
        <v>3</v>
      </c>
      <c r="K1202" s="519">
        <v>3</v>
      </c>
      <c r="L1202" s="520">
        <v>3</v>
      </c>
      <c r="M1202" s="521">
        <f t="shared" si="38"/>
        <v>1.1181151966036349</v>
      </c>
      <c r="N1202" s="522"/>
    </row>
    <row r="1203" spans="1:14" hidden="1" x14ac:dyDescent="0.2">
      <c r="A1203" s="514" t="s">
        <v>231</v>
      </c>
      <c r="B1203" s="515" t="s">
        <v>463</v>
      </c>
      <c r="C1203" s="247" t="s">
        <v>32</v>
      </c>
      <c r="D1203" s="516" t="s">
        <v>135</v>
      </c>
      <c r="E1203" s="517">
        <v>1.23378640776699E-3</v>
      </c>
      <c r="F1203" s="518" t="s">
        <v>133</v>
      </c>
      <c r="G1203" s="57" t="s">
        <v>16</v>
      </c>
      <c r="H1203" s="519">
        <v>1</v>
      </c>
      <c r="I1203" s="519">
        <v>1</v>
      </c>
      <c r="J1203" s="519">
        <v>3</v>
      </c>
      <c r="K1203" s="519">
        <v>3</v>
      </c>
      <c r="L1203" s="520">
        <v>3</v>
      </c>
      <c r="M1203" s="521">
        <f t="shared" si="38"/>
        <v>1.1181151966036349</v>
      </c>
      <c r="N1203" s="522"/>
    </row>
    <row r="1204" spans="1:14" hidden="1" x14ac:dyDescent="0.2">
      <c r="A1204" s="514" t="s">
        <v>231</v>
      </c>
      <c r="B1204" s="515" t="s">
        <v>463</v>
      </c>
      <c r="C1204" s="247" t="s">
        <v>34</v>
      </c>
      <c r="D1204" s="516" t="s">
        <v>135</v>
      </c>
      <c r="E1204" s="517">
        <v>1.5009448818897641E-3</v>
      </c>
      <c r="F1204" s="518" t="s">
        <v>133</v>
      </c>
      <c r="G1204" s="57" t="s">
        <v>16</v>
      </c>
      <c r="H1204" s="519">
        <v>1</v>
      </c>
      <c r="I1204" s="519">
        <v>1</v>
      </c>
      <c r="J1204" s="519">
        <v>3</v>
      </c>
      <c r="K1204" s="519">
        <v>3</v>
      </c>
      <c r="L1204" s="520">
        <v>3</v>
      </c>
      <c r="M1204" s="521">
        <f t="shared" si="38"/>
        <v>1.1181151966036349</v>
      </c>
      <c r="N1204" s="522"/>
    </row>
    <row r="1205" spans="1:14" hidden="1" x14ac:dyDescent="0.2">
      <c r="A1205" s="514" t="s">
        <v>231</v>
      </c>
      <c r="B1205" s="515" t="s">
        <v>463</v>
      </c>
      <c r="C1205" s="247" t="s">
        <v>36</v>
      </c>
      <c r="D1205" s="516" t="s">
        <v>135</v>
      </c>
      <c r="E1205" s="517">
        <v>1.4482051282051281E-3</v>
      </c>
      <c r="F1205" s="518" t="s">
        <v>133</v>
      </c>
      <c r="G1205" s="57" t="s">
        <v>16</v>
      </c>
      <c r="H1205" s="519">
        <v>1</v>
      </c>
      <c r="I1205" s="519">
        <v>1</v>
      </c>
      <c r="J1205" s="519">
        <v>3</v>
      </c>
      <c r="K1205" s="519">
        <v>3</v>
      </c>
      <c r="L1205" s="520">
        <v>3</v>
      </c>
      <c r="M1205" s="521">
        <f t="shared" si="38"/>
        <v>1.1181151966036349</v>
      </c>
      <c r="N1205" s="522"/>
    </row>
    <row r="1206" spans="1:14" hidden="1" x14ac:dyDescent="0.2">
      <c r="A1206" s="514" t="s">
        <v>231</v>
      </c>
      <c r="B1206" s="515" t="s">
        <v>463</v>
      </c>
      <c r="C1206" s="247" t="s">
        <v>37</v>
      </c>
      <c r="D1206" s="516" t="s">
        <v>135</v>
      </c>
      <c r="E1206" s="517">
        <v>6.0483967935871753E-3</v>
      </c>
      <c r="F1206" s="518" t="s">
        <v>133</v>
      </c>
      <c r="G1206" s="57" t="s">
        <v>16</v>
      </c>
      <c r="H1206" s="519">
        <v>1</v>
      </c>
      <c r="I1206" s="519">
        <v>1</v>
      </c>
      <c r="J1206" s="519">
        <v>3</v>
      </c>
      <c r="K1206" s="519">
        <v>3</v>
      </c>
      <c r="L1206" s="520">
        <v>3</v>
      </c>
      <c r="M1206" s="521">
        <f t="shared" si="38"/>
        <v>1.1181151966036349</v>
      </c>
      <c r="N1206" s="522"/>
    </row>
    <row r="1207" spans="1:14" hidden="1" x14ac:dyDescent="0.2">
      <c r="A1207" s="514" t="s">
        <v>231</v>
      </c>
      <c r="B1207" s="515" t="s">
        <v>463</v>
      </c>
      <c r="C1207" s="247" t="s">
        <v>39</v>
      </c>
      <c r="D1207" s="516" t="s">
        <v>135</v>
      </c>
      <c r="E1207" s="517">
        <v>2.9662407862407862E-3</v>
      </c>
      <c r="F1207" s="518" t="s">
        <v>133</v>
      </c>
      <c r="G1207" s="57" t="s">
        <v>16</v>
      </c>
      <c r="H1207" s="519">
        <v>1</v>
      </c>
      <c r="I1207" s="519">
        <v>1</v>
      </c>
      <c r="J1207" s="519">
        <v>3</v>
      </c>
      <c r="K1207" s="519">
        <v>3</v>
      </c>
      <c r="L1207" s="520">
        <v>3</v>
      </c>
      <c r="M1207" s="521">
        <f t="shared" si="38"/>
        <v>1.1181151966036349</v>
      </c>
      <c r="N1207" s="522"/>
    </row>
    <row r="1208" spans="1:14" hidden="1" x14ac:dyDescent="0.2">
      <c r="A1208" s="514" t="s">
        <v>231</v>
      </c>
      <c r="B1208" s="515" t="s">
        <v>463</v>
      </c>
      <c r="C1208" s="247" t="s">
        <v>40</v>
      </c>
      <c r="D1208" s="516" t="s">
        <v>135</v>
      </c>
      <c r="E1208" s="517">
        <v>9.5857758620689656E-4</v>
      </c>
      <c r="F1208" s="518" t="s">
        <v>133</v>
      </c>
      <c r="G1208" s="57" t="s">
        <v>16</v>
      </c>
      <c r="H1208" s="519">
        <v>1</v>
      </c>
      <c r="I1208" s="519">
        <v>1</v>
      </c>
      <c r="J1208" s="519">
        <v>3</v>
      </c>
      <c r="K1208" s="519">
        <v>3</v>
      </c>
      <c r="L1208" s="520">
        <v>3</v>
      </c>
      <c r="M1208" s="521">
        <f t="shared" si="38"/>
        <v>1.1181151966036349</v>
      </c>
      <c r="N1208" s="522"/>
    </row>
    <row r="1209" spans="1:14" hidden="1" x14ac:dyDescent="0.2">
      <c r="A1209" s="514" t="s">
        <v>231</v>
      </c>
      <c r="B1209" s="515" t="s">
        <v>463</v>
      </c>
      <c r="C1209" s="247" t="s">
        <v>41</v>
      </c>
      <c r="D1209" s="516" t="s">
        <v>135</v>
      </c>
      <c r="E1209" s="517">
        <v>4.352054794520548E-4</v>
      </c>
      <c r="F1209" s="518" t="s">
        <v>133</v>
      </c>
      <c r="G1209" s="57" t="s">
        <v>16</v>
      </c>
      <c r="H1209" s="519">
        <v>1</v>
      </c>
      <c r="I1209" s="519">
        <v>1</v>
      </c>
      <c r="J1209" s="519">
        <v>3</v>
      </c>
      <c r="K1209" s="519">
        <v>3</v>
      </c>
      <c r="L1209" s="520">
        <v>3</v>
      </c>
      <c r="M1209" s="521">
        <f t="shared" si="38"/>
        <v>1.1181151966036349</v>
      </c>
      <c r="N1209" s="522"/>
    </row>
    <row r="1210" spans="1:14" hidden="1" x14ac:dyDescent="0.2">
      <c r="A1210" s="514" t="s">
        <v>231</v>
      </c>
      <c r="B1210" s="515" t="s">
        <v>463</v>
      </c>
      <c r="C1210" s="247" t="s">
        <v>42</v>
      </c>
      <c r="D1210" s="516" t="s">
        <v>135</v>
      </c>
      <c r="E1210" s="517">
        <v>2.1274553571428568E-3</v>
      </c>
      <c r="F1210" s="518" t="s">
        <v>133</v>
      </c>
      <c r="G1210" s="57" t="s">
        <v>16</v>
      </c>
      <c r="H1210" s="519">
        <v>1</v>
      </c>
      <c r="I1210" s="519">
        <v>1</v>
      </c>
      <c r="J1210" s="519">
        <v>3</v>
      </c>
      <c r="K1210" s="519">
        <v>3</v>
      </c>
      <c r="L1210" s="520">
        <v>3</v>
      </c>
      <c r="M1210" s="521">
        <f t="shared" si="38"/>
        <v>1.1181151966036349</v>
      </c>
      <c r="N1210" s="522"/>
    </row>
    <row r="1211" spans="1:14" hidden="1" x14ac:dyDescent="0.2">
      <c r="A1211" s="514" t="s">
        <v>231</v>
      </c>
      <c r="B1211" s="515" t="s">
        <v>463</v>
      </c>
      <c r="C1211" s="247" t="s">
        <v>43</v>
      </c>
      <c r="D1211" s="516" t="s">
        <v>135</v>
      </c>
      <c r="E1211" s="517">
        <v>4.9737769080234839E-4</v>
      </c>
      <c r="F1211" s="518" t="s">
        <v>133</v>
      </c>
      <c r="G1211" s="57" t="s">
        <v>16</v>
      </c>
      <c r="H1211" s="519">
        <v>1</v>
      </c>
      <c r="I1211" s="519">
        <v>1</v>
      </c>
      <c r="J1211" s="519">
        <v>3</v>
      </c>
      <c r="K1211" s="519">
        <v>3</v>
      </c>
      <c r="L1211" s="520">
        <v>3</v>
      </c>
      <c r="M1211" s="521">
        <f t="shared" si="38"/>
        <v>1.1181151966036349</v>
      </c>
      <c r="N1211" s="522"/>
    </row>
    <row r="1212" spans="1:14" x14ac:dyDescent="0.2">
      <c r="A1212" s="514" t="s">
        <v>231</v>
      </c>
      <c r="B1212" s="515" t="s">
        <v>463</v>
      </c>
      <c r="C1212" s="247" t="s">
        <v>45</v>
      </c>
      <c r="D1212" s="516" t="s">
        <v>135</v>
      </c>
      <c r="E1212" s="517">
        <v>6.8784844384303125E-4</v>
      </c>
      <c r="F1212" s="518" t="s">
        <v>133</v>
      </c>
      <c r="G1212" s="57" t="s">
        <v>16</v>
      </c>
      <c r="H1212" s="519">
        <v>1</v>
      </c>
      <c r="I1212" s="519">
        <v>1</v>
      </c>
      <c r="J1212" s="519">
        <v>3</v>
      </c>
      <c r="K1212" s="519">
        <v>3</v>
      </c>
      <c r="L1212" s="520">
        <v>3</v>
      </c>
      <c r="M1212" s="521">
        <f t="shared" si="38"/>
        <v>1.1181151966036349</v>
      </c>
      <c r="N1212" s="522"/>
    </row>
    <row r="1213" spans="1:14" hidden="1" x14ac:dyDescent="0.2">
      <c r="A1213" s="514" t="s">
        <v>231</v>
      </c>
      <c r="B1213" s="515" t="s">
        <v>463</v>
      </c>
      <c r="C1213" s="247" t="s">
        <v>46</v>
      </c>
      <c r="D1213" s="516" t="s">
        <v>135</v>
      </c>
      <c r="E1213" s="517">
        <v>1.2553495440729479E-3</v>
      </c>
      <c r="F1213" s="518" t="s">
        <v>133</v>
      </c>
      <c r="G1213" s="57" t="s">
        <v>16</v>
      </c>
      <c r="H1213" s="519">
        <v>1</v>
      </c>
      <c r="I1213" s="519">
        <v>1</v>
      </c>
      <c r="J1213" s="519">
        <v>3</v>
      </c>
      <c r="K1213" s="519">
        <v>3</v>
      </c>
      <c r="L1213" s="520">
        <v>3</v>
      </c>
      <c r="M1213" s="521">
        <f t="shared" si="38"/>
        <v>1.1181151966036349</v>
      </c>
      <c r="N1213" s="522"/>
    </row>
    <row r="1214" spans="1:14" hidden="1" x14ac:dyDescent="0.2">
      <c r="A1214" s="514" t="s">
        <v>231</v>
      </c>
      <c r="B1214" s="515" t="s">
        <v>463</v>
      </c>
      <c r="C1214" s="247" t="s">
        <v>48</v>
      </c>
      <c r="D1214" s="516" t="s">
        <v>135</v>
      </c>
      <c r="E1214" s="517">
        <v>9.3994082840236678E-4</v>
      </c>
      <c r="F1214" s="518" t="s">
        <v>133</v>
      </c>
      <c r="G1214" s="57" t="s">
        <v>16</v>
      </c>
      <c r="H1214" s="519">
        <v>1</v>
      </c>
      <c r="I1214" s="519">
        <v>1</v>
      </c>
      <c r="J1214" s="519">
        <v>3</v>
      </c>
      <c r="K1214" s="519">
        <v>3</v>
      </c>
      <c r="L1214" s="520">
        <v>3</v>
      </c>
      <c r="M1214" s="521">
        <f t="shared" si="38"/>
        <v>1.1181151966036349</v>
      </c>
      <c r="N1214" s="522"/>
    </row>
    <row r="1215" spans="1:14" hidden="1" x14ac:dyDescent="0.2">
      <c r="A1215" s="514" t="s">
        <v>231</v>
      </c>
      <c r="B1215" s="515" t="s">
        <v>463</v>
      </c>
      <c r="C1215" s="247" t="s">
        <v>50</v>
      </c>
      <c r="D1215" s="516" t="s">
        <v>135</v>
      </c>
      <c r="E1215" s="517">
        <v>5.72327205882353E-3</v>
      </c>
      <c r="F1215" s="518" t="s">
        <v>133</v>
      </c>
      <c r="G1215" s="57" t="s">
        <v>16</v>
      </c>
      <c r="H1215" s="519">
        <v>1</v>
      </c>
      <c r="I1215" s="519">
        <v>1</v>
      </c>
      <c r="J1215" s="519">
        <v>3</v>
      </c>
      <c r="K1215" s="519">
        <v>3</v>
      </c>
      <c r="L1215" s="520">
        <v>3</v>
      </c>
      <c r="M1215" s="521">
        <f t="shared" si="38"/>
        <v>1.1181151966036349</v>
      </c>
      <c r="N1215" s="522"/>
    </row>
    <row r="1216" spans="1:14" hidden="1" x14ac:dyDescent="0.2">
      <c r="A1216" s="514" t="s">
        <v>231</v>
      </c>
      <c r="B1216" s="515" t="s">
        <v>463</v>
      </c>
      <c r="C1216" s="247" t="s">
        <v>52</v>
      </c>
      <c r="D1216" s="516" t="s">
        <v>135</v>
      </c>
      <c r="E1216" s="517">
        <v>9.2086956521739128E-4</v>
      </c>
      <c r="F1216" s="518" t="s">
        <v>133</v>
      </c>
      <c r="G1216" s="57" t="s">
        <v>16</v>
      </c>
      <c r="H1216" s="519">
        <v>1</v>
      </c>
      <c r="I1216" s="519">
        <v>1</v>
      </c>
      <c r="J1216" s="519">
        <v>3</v>
      </c>
      <c r="K1216" s="519">
        <v>3</v>
      </c>
      <c r="L1216" s="520">
        <v>3</v>
      </c>
      <c r="M1216" s="521">
        <f t="shared" si="38"/>
        <v>1.1181151966036349</v>
      </c>
      <c r="N1216" s="522"/>
    </row>
    <row r="1217" spans="1:14" hidden="1" x14ac:dyDescent="0.2">
      <c r="A1217" s="514" t="s">
        <v>231</v>
      </c>
      <c r="B1217" s="515" t="s">
        <v>463</v>
      </c>
      <c r="C1217" s="247" t="s">
        <v>54</v>
      </c>
      <c r="D1217" s="516" t="s">
        <v>135</v>
      </c>
      <c r="E1217" s="517">
        <v>5.8833333333333329E-4</v>
      </c>
      <c r="F1217" s="518" t="s">
        <v>133</v>
      </c>
      <c r="G1217" s="57" t="s">
        <v>16</v>
      </c>
      <c r="H1217" s="519">
        <v>1</v>
      </c>
      <c r="I1217" s="519">
        <v>1</v>
      </c>
      <c r="J1217" s="519">
        <v>3</v>
      </c>
      <c r="K1217" s="519">
        <v>3</v>
      </c>
      <c r="L1217" s="520">
        <v>3</v>
      </c>
      <c r="M1217" s="521">
        <f t="shared" si="38"/>
        <v>1.1181151966036349</v>
      </c>
      <c r="N1217" s="522"/>
    </row>
    <row r="1218" spans="1:14" hidden="1" x14ac:dyDescent="0.2">
      <c r="A1218" s="514" t="s">
        <v>231</v>
      </c>
      <c r="B1218" s="515" t="s">
        <v>463</v>
      </c>
      <c r="C1218" s="247" t="s">
        <v>55</v>
      </c>
      <c r="D1218" s="516" t="s">
        <v>135</v>
      </c>
      <c r="E1218" s="517">
        <v>1.2708000000000001E-3</v>
      </c>
      <c r="F1218" s="518" t="s">
        <v>133</v>
      </c>
      <c r="G1218" s="57" t="s">
        <v>16</v>
      </c>
      <c r="H1218" s="519">
        <v>1</v>
      </c>
      <c r="I1218" s="519">
        <v>1</v>
      </c>
      <c r="J1218" s="519">
        <v>3</v>
      </c>
      <c r="K1218" s="519">
        <v>3</v>
      </c>
      <c r="L1218" s="520">
        <v>3</v>
      </c>
      <c r="M1218" s="521">
        <f t="shared" si="38"/>
        <v>1.1181151966036349</v>
      </c>
      <c r="N1218" s="522"/>
    </row>
    <row r="1219" spans="1:14" hidden="1" x14ac:dyDescent="0.2">
      <c r="A1219" s="514" t="s">
        <v>231</v>
      </c>
      <c r="B1219" s="515" t="s">
        <v>463</v>
      </c>
      <c r="C1219" s="247" t="s">
        <v>57</v>
      </c>
      <c r="D1219" s="516" t="s">
        <v>135</v>
      </c>
      <c r="E1219" s="517">
        <v>5.8562211981566818E-4</v>
      </c>
      <c r="F1219" s="518" t="s">
        <v>133</v>
      </c>
      <c r="G1219" s="57" t="s">
        <v>16</v>
      </c>
      <c r="H1219" s="519">
        <v>1</v>
      </c>
      <c r="I1219" s="519">
        <v>1</v>
      </c>
      <c r="J1219" s="519">
        <v>3</v>
      </c>
      <c r="K1219" s="519">
        <v>3</v>
      </c>
      <c r="L1219" s="520">
        <v>3</v>
      </c>
      <c r="M1219" s="521">
        <f t="shared" si="38"/>
        <v>1.1181151966036349</v>
      </c>
      <c r="N1219" s="522"/>
    </row>
    <row r="1220" spans="1:14" hidden="1" x14ac:dyDescent="0.2">
      <c r="A1220" s="514" t="s">
        <v>231</v>
      </c>
      <c r="B1220" s="515" t="s">
        <v>463</v>
      </c>
      <c r="C1220" s="247" t="s">
        <v>59</v>
      </c>
      <c r="D1220" s="516" t="s">
        <v>135</v>
      </c>
      <c r="E1220" s="517">
        <v>2.7E-4</v>
      </c>
      <c r="F1220" s="518" t="s">
        <v>133</v>
      </c>
      <c r="G1220" s="57" t="s">
        <v>16</v>
      </c>
      <c r="H1220" s="519">
        <v>1</v>
      </c>
      <c r="I1220" s="519">
        <v>1</v>
      </c>
      <c r="J1220" s="519">
        <v>3</v>
      </c>
      <c r="K1220" s="519">
        <v>3</v>
      </c>
      <c r="L1220" s="520">
        <v>3</v>
      </c>
      <c r="M1220" s="521">
        <f t="shared" si="38"/>
        <v>1.1181151966036349</v>
      </c>
      <c r="N1220" s="522"/>
    </row>
    <row r="1221" spans="1:14" hidden="1" x14ac:dyDescent="0.2">
      <c r="A1221" s="514" t="s">
        <v>231</v>
      </c>
      <c r="B1221" s="515" t="s">
        <v>463</v>
      </c>
      <c r="C1221" s="247" t="s">
        <v>60</v>
      </c>
      <c r="D1221" s="516" t="s">
        <v>135</v>
      </c>
      <c r="E1221" s="517">
        <v>1.23511879049676E-3</v>
      </c>
      <c r="F1221" s="518" t="s">
        <v>133</v>
      </c>
      <c r="G1221" s="57" t="s">
        <v>16</v>
      </c>
      <c r="H1221" s="519">
        <v>1</v>
      </c>
      <c r="I1221" s="519">
        <v>1</v>
      </c>
      <c r="J1221" s="519">
        <v>3</v>
      </c>
      <c r="K1221" s="519">
        <v>3</v>
      </c>
      <c r="L1221" s="520">
        <v>3</v>
      </c>
      <c r="M1221" s="521">
        <f t="shared" si="38"/>
        <v>1.1181151966036349</v>
      </c>
      <c r="N1221" s="522"/>
    </row>
    <row r="1222" spans="1:14" x14ac:dyDescent="0.2">
      <c r="A1222" s="523" t="s">
        <v>231</v>
      </c>
      <c r="B1222" s="524" t="s">
        <v>480</v>
      </c>
      <c r="C1222" s="525" t="s">
        <v>135</v>
      </c>
      <c r="D1222" s="526" t="s">
        <v>135</v>
      </c>
      <c r="E1222" s="527">
        <v>1.2999999999999999E-4</v>
      </c>
      <c r="F1222" s="333" t="s">
        <v>487</v>
      </c>
      <c r="G1222" s="528" t="s">
        <v>16</v>
      </c>
      <c r="H1222" s="527">
        <v>2</v>
      </c>
      <c r="I1222" s="527">
        <v>2</v>
      </c>
      <c r="J1222" s="527">
        <v>2</v>
      </c>
      <c r="K1222" s="527">
        <v>2</v>
      </c>
      <c r="L1222" s="529">
        <v>1</v>
      </c>
      <c r="M1222" s="60">
        <f t="shared" si="38"/>
        <v>0.24810627482064512</v>
      </c>
      <c r="N1222" s="530"/>
    </row>
    <row r="1223" spans="1:14" x14ac:dyDescent="0.2">
      <c r="A1223" s="531" t="s">
        <v>231</v>
      </c>
      <c r="B1223" s="532" t="s">
        <v>480</v>
      </c>
      <c r="C1223" s="533" t="s">
        <v>135</v>
      </c>
      <c r="D1223" s="330" t="s">
        <v>135</v>
      </c>
      <c r="E1223" s="330">
        <v>1.2999999999999999E-3</v>
      </c>
      <c r="F1223" s="534" t="s">
        <v>487</v>
      </c>
      <c r="G1223" s="535" t="s">
        <v>16</v>
      </c>
      <c r="H1223" s="330">
        <v>2</v>
      </c>
      <c r="I1223" s="330">
        <v>2</v>
      </c>
      <c r="J1223" s="330">
        <v>2</v>
      </c>
      <c r="K1223" s="330">
        <v>2</v>
      </c>
      <c r="L1223" s="536">
        <v>1</v>
      </c>
      <c r="M1223" s="537">
        <f t="shared" si="38"/>
        <v>0.24810627482064512</v>
      </c>
      <c r="N1223" s="538"/>
    </row>
    <row r="1224" spans="1:14" hidden="1" x14ac:dyDescent="0.2">
      <c r="A1224" s="514" t="s">
        <v>240</v>
      </c>
      <c r="B1224" s="515" t="s">
        <v>463</v>
      </c>
      <c r="C1224" s="247" t="s">
        <v>13</v>
      </c>
      <c r="D1224" s="516" t="s">
        <v>135</v>
      </c>
      <c r="E1224" s="517">
        <v>4.9383419689119179E-4</v>
      </c>
      <c r="F1224" s="518" t="s">
        <v>133</v>
      </c>
      <c r="G1224" s="57" t="s">
        <v>16</v>
      </c>
      <c r="H1224" s="519">
        <v>1</v>
      </c>
      <c r="I1224" s="519">
        <v>1</v>
      </c>
      <c r="J1224" s="519">
        <v>3</v>
      </c>
      <c r="K1224" s="519">
        <v>3</v>
      </c>
      <c r="L1224" s="520">
        <v>3</v>
      </c>
      <c r="M1224" s="521">
        <f>IF( OR( ISBLANK(H1224),ISBLANK(I1224), ISBLANK(J1224), ISBLANK(K1224), ISBLANK(L1224) ), "", 1.5*SQRT(   EXP(2.21*(H1224-1)) + EXP(2.21*(I1224-1)) + EXP(2.21*(J1224-1)) + EXP(2.21*(K1224-1)) + EXP(2.21*L1224)   )/100*2.45 )</f>
        <v>1.1181151966036349</v>
      </c>
      <c r="N1224" s="522"/>
    </row>
    <row r="1225" spans="1:14" hidden="1" x14ac:dyDescent="0.2">
      <c r="A1225" s="514" t="s">
        <v>240</v>
      </c>
      <c r="B1225" s="515" t="s">
        <v>463</v>
      </c>
      <c r="C1225" s="247" t="s">
        <v>18</v>
      </c>
      <c r="D1225" s="516" t="s">
        <v>135</v>
      </c>
      <c r="E1225" s="517">
        <v>6.2141809290953553E-4</v>
      </c>
      <c r="F1225" s="518" t="s">
        <v>133</v>
      </c>
      <c r="G1225" s="57" t="s">
        <v>16</v>
      </c>
      <c r="H1225" s="519">
        <v>1</v>
      </c>
      <c r="I1225" s="519">
        <v>1</v>
      </c>
      <c r="J1225" s="519">
        <v>3</v>
      </c>
      <c r="K1225" s="519">
        <v>3</v>
      </c>
      <c r="L1225" s="520">
        <v>3</v>
      </c>
      <c r="M1225" s="521">
        <f t="shared" ref="M1225:M1256" si="39">IF( OR( ISBLANK(H1225),ISBLANK(I1225), ISBLANK(J1225), ISBLANK(K1225), ISBLANK(L1225) ), "", 1.5*SQRT( EXP(2.21*(H1225-1)) + EXP(2.21*(I1225-1)) + EXP(2.21*(J1225-1)) + EXP(2.21*(K1225-1)) + EXP(2.21*L1225) )/100*2.45 )</f>
        <v>1.1181151966036349</v>
      </c>
      <c r="N1225" s="522"/>
    </row>
    <row r="1226" spans="1:14" hidden="1" x14ac:dyDescent="0.2">
      <c r="A1226" s="514" t="s">
        <v>240</v>
      </c>
      <c r="B1226" s="515" t="s">
        <v>463</v>
      </c>
      <c r="C1226" s="247" t="s">
        <v>20</v>
      </c>
      <c r="D1226" s="516" t="s">
        <v>135</v>
      </c>
      <c r="E1226" s="517">
        <v>1.717297297297297E-3</v>
      </c>
      <c r="F1226" s="518" t="s">
        <v>133</v>
      </c>
      <c r="G1226" s="57" t="s">
        <v>16</v>
      </c>
      <c r="H1226" s="519">
        <v>1</v>
      </c>
      <c r="I1226" s="519">
        <v>1</v>
      </c>
      <c r="J1226" s="519">
        <v>3</v>
      </c>
      <c r="K1226" s="519">
        <v>3</v>
      </c>
      <c r="L1226" s="520">
        <v>3</v>
      </c>
      <c r="M1226" s="521">
        <f t="shared" si="39"/>
        <v>1.1181151966036349</v>
      </c>
      <c r="N1226" s="522"/>
    </row>
    <row r="1227" spans="1:14" hidden="1" x14ac:dyDescent="0.2">
      <c r="A1227" s="514" t="s">
        <v>240</v>
      </c>
      <c r="B1227" s="515" t="s">
        <v>463</v>
      </c>
      <c r="C1227" s="247" t="s">
        <v>22</v>
      </c>
      <c r="D1227" s="516" t="s">
        <v>135</v>
      </c>
      <c r="E1227" s="517">
        <v>1.397291666666666E-3</v>
      </c>
      <c r="F1227" s="518" t="s">
        <v>133</v>
      </c>
      <c r="G1227" s="57" t="s">
        <v>16</v>
      </c>
      <c r="H1227" s="519">
        <v>1</v>
      </c>
      <c r="I1227" s="519">
        <v>1</v>
      </c>
      <c r="J1227" s="519">
        <v>3</v>
      </c>
      <c r="K1227" s="519">
        <v>3</v>
      </c>
      <c r="L1227" s="520">
        <v>3</v>
      </c>
      <c r="M1227" s="521">
        <f t="shared" si="39"/>
        <v>1.1181151966036349</v>
      </c>
      <c r="N1227" s="522"/>
    </row>
    <row r="1228" spans="1:14" hidden="1" x14ac:dyDescent="0.2">
      <c r="A1228" s="514" t="s">
        <v>240</v>
      </c>
      <c r="B1228" s="515" t="s">
        <v>463</v>
      </c>
      <c r="C1228" s="247" t="s">
        <v>23</v>
      </c>
      <c r="D1228" s="516" t="s">
        <v>135</v>
      </c>
      <c r="E1228" s="517">
        <v>1.868823529411765E-3</v>
      </c>
      <c r="F1228" s="518" t="s">
        <v>133</v>
      </c>
      <c r="G1228" s="57" t="s">
        <v>16</v>
      </c>
      <c r="H1228" s="519">
        <v>1</v>
      </c>
      <c r="I1228" s="519">
        <v>1</v>
      </c>
      <c r="J1228" s="519">
        <v>3</v>
      </c>
      <c r="K1228" s="519">
        <v>3</v>
      </c>
      <c r="L1228" s="520">
        <v>3</v>
      </c>
      <c r="M1228" s="521">
        <f t="shared" si="39"/>
        <v>1.1181151966036349</v>
      </c>
      <c r="N1228" s="522"/>
    </row>
    <row r="1229" spans="1:14" hidden="1" x14ac:dyDescent="0.2">
      <c r="A1229" s="514" t="s">
        <v>240</v>
      </c>
      <c r="B1229" s="515" t="s">
        <v>463</v>
      </c>
      <c r="C1229" s="247" t="s">
        <v>24</v>
      </c>
      <c r="D1229" s="516" t="s">
        <v>135</v>
      </c>
      <c r="E1229" s="517">
        <v>8.3605263157894745E-4</v>
      </c>
      <c r="F1229" s="518" t="s">
        <v>133</v>
      </c>
      <c r="G1229" s="57" t="s">
        <v>16</v>
      </c>
      <c r="H1229" s="519">
        <v>1</v>
      </c>
      <c r="I1229" s="519">
        <v>1</v>
      </c>
      <c r="J1229" s="519">
        <v>3</v>
      </c>
      <c r="K1229" s="519">
        <v>3</v>
      </c>
      <c r="L1229" s="520">
        <v>3</v>
      </c>
      <c r="M1229" s="521">
        <f t="shared" si="39"/>
        <v>1.1181151966036349</v>
      </c>
      <c r="N1229" s="522"/>
    </row>
    <row r="1230" spans="1:14" hidden="1" x14ac:dyDescent="0.2">
      <c r="A1230" s="514" t="s">
        <v>240</v>
      </c>
      <c r="B1230" s="515" t="s">
        <v>463</v>
      </c>
      <c r="C1230" s="247" t="s">
        <v>25</v>
      </c>
      <c r="D1230" s="516" t="s">
        <v>135</v>
      </c>
      <c r="E1230" s="517">
        <v>4.2932432432432442E-4</v>
      </c>
      <c r="F1230" s="518" t="s">
        <v>133</v>
      </c>
      <c r="G1230" s="57" t="s">
        <v>16</v>
      </c>
      <c r="H1230" s="519">
        <v>1</v>
      </c>
      <c r="I1230" s="519">
        <v>1</v>
      </c>
      <c r="J1230" s="519">
        <v>3</v>
      </c>
      <c r="K1230" s="519">
        <v>3</v>
      </c>
      <c r="L1230" s="520">
        <v>3</v>
      </c>
      <c r="M1230" s="521">
        <f t="shared" si="39"/>
        <v>1.1181151966036349</v>
      </c>
      <c r="N1230" s="522"/>
    </row>
    <row r="1231" spans="1:14" hidden="1" x14ac:dyDescent="0.2">
      <c r="A1231" s="514" t="s">
        <v>240</v>
      </c>
      <c r="B1231" s="515" t="s">
        <v>463</v>
      </c>
      <c r="C1231" s="247" t="s">
        <v>26</v>
      </c>
      <c r="D1231" s="516" t="s">
        <v>135</v>
      </c>
      <c r="E1231" s="517">
        <v>2.9808888888888888E-3</v>
      </c>
      <c r="F1231" s="518" t="s">
        <v>133</v>
      </c>
      <c r="G1231" s="57" t="s">
        <v>16</v>
      </c>
      <c r="H1231" s="519">
        <v>1</v>
      </c>
      <c r="I1231" s="519">
        <v>1</v>
      </c>
      <c r="J1231" s="519">
        <v>3</v>
      </c>
      <c r="K1231" s="519">
        <v>3</v>
      </c>
      <c r="L1231" s="520">
        <v>3</v>
      </c>
      <c r="M1231" s="521">
        <f t="shared" si="39"/>
        <v>1.1181151966036349</v>
      </c>
      <c r="N1231" s="522"/>
    </row>
    <row r="1232" spans="1:14" hidden="1" x14ac:dyDescent="0.2">
      <c r="A1232" s="514" t="s">
        <v>240</v>
      </c>
      <c r="B1232" s="515" t="s">
        <v>463</v>
      </c>
      <c r="C1232" s="247" t="s">
        <v>27</v>
      </c>
      <c r="D1232" s="516" t="s">
        <v>135</v>
      </c>
      <c r="E1232" s="517">
        <v>3.4595281306715062E-4</v>
      </c>
      <c r="F1232" s="518" t="s">
        <v>133</v>
      </c>
      <c r="G1232" s="57" t="s">
        <v>16</v>
      </c>
      <c r="H1232" s="519">
        <v>1</v>
      </c>
      <c r="I1232" s="519">
        <v>1</v>
      </c>
      <c r="J1232" s="519">
        <v>3</v>
      </c>
      <c r="K1232" s="519">
        <v>3</v>
      </c>
      <c r="L1232" s="520">
        <v>3</v>
      </c>
      <c r="M1232" s="521">
        <f t="shared" si="39"/>
        <v>1.1181151966036349</v>
      </c>
      <c r="N1232" s="522"/>
    </row>
    <row r="1233" spans="1:14" hidden="1" x14ac:dyDescent="0.2">
      <c r="A1233" s="514" t="s">
        <v>240</v>
      </c>
      <c r="B1233" s="515" t="s">
        <v>463</v>
      </c>
      <c r="C1233" s="247" t="s">
        <v>28</v>
      </c>
      <c r="D1233" s="516" t="s">
        <v>135</v>
      </c>
      <c r="E1233" s="517">
        <v>7.4149012567324962E-4</v>
      </c>
      <c r="F1233" s="518" t="s">
        <v>133</v>
      </c>
      <c r="G1233" s="57" t="s">
        <v>16</v>
      </c>
      <c r="H1233" s="519">
        <v>1</v>
      </c>
      <c r="I1233" s="519">
        <v>1</v>
      </c>
      <c r="J1233" s="519">
        <v>3</v>
      </c>
      <c r="K1233" s="519">
        <v>3</v>
      </c>
      <c r="L1233" s="520">
        <v>3</v>
      </c>
      <c r="M1233" s="521">
        <f t="shared" si="39"/>
        <v>1.1181151966036349</v>
      </c>
      <c r="N1233" s="522"/>
    </row>
    <row r="1234" spans="1:14" hidden="1" x14ac:dyDescent="0.2">
      <c r="A1234" s="514" t="s">
        <v>240</v>
      </c>
      <c r="B1234" s="515" t="s">
        <v>463</v>
      </c>
      <c r="C1234" s="247" t="s">
        <v>30</v>
      </c>
      <c r="D1234" s="516" t="s">
        <v>135</v>
      </c>
      <c r="E1234" s="517">
        <v>5.242574257425742E-4</v>
      </c>
      <c r="F1234" s="518" t="s">
        <v>133</v>
      </c>
      <c r="G1234" s="57" t="s">
        <v>16</v>
      </c>
      <c r="H1234" s="519">
        <v>1</v>
      </c>
      <c r="I1234" s="519">
        <v>1</v>
      </c>
      <c r="J1234" s="519">
        <v>3</v>
      </c>
      <c r="K1234" s="519">
        <v>3</v>
      </c>
      <c r="L1234" s="520">
        <v>3</v>
      </c>
      <c r="M1234" s="521">
        <f t="shared" si="39"/>
        <v>1.1181151966036349</v>
      </c>
      <c r="N1234" s="522"/>
    </row>
    <row r="1235" spans="1:14" hidden="1" x14ac:dyDescent="0.2">
      <c r="A1235" s="514" t="s">
        <v>240</v>
      </c>
      <c r="B1235" s="515" t="s">
        <v>463</v>
      </c>
      <c r="C1235" s="247" t="s">
        <v>32</v>
      </c>
      <c r="D1235" s="516" t="s">
        <v>135</v>
      </c>
      <c r="E1235" s="517">
        <v>1.23378640776699E-3</v>
      </c>
      <c r="F1235" s="518" t="s">
        <v>133</v>
      </c>
      <c r="G1235" s="57" t="s">
        <v>16</v>
      </c>
      <c r="H1235" s="519">
        <v>1</v>
      </c>
      <c r="I1235" s="519">
        <v>1</v>
      </c>
      <c r="J1235" s="519">
        <v>3</v>
      </c>
      <c r="K1235" s="519">
        <v>3</v>
      </c>
      <c r="L1235" s="520">
        <v>3</v>
      </c>
      <c r="M1235" s="521">
        <f t="shared" si="39"/>
        <v>1.1181151966036349</v>
      </c>
      <c r="N1235" s="522"/>
    </row>
    <row r="1236" spans="1:14" hidden="1" x14ac:dyDescent="0.2">
      <c r="A1236" s="514" t="s">
        <v>240</v>
      </c>
      <c r="B1236" s="515" t="s">
        <v>463</v>
      </c>
      <c r="C1236" s="247" t="s">
        <v>34</v>
      </c>
      <c r="D1236" s="516" t="s">
        <v>135</v>
      </c>
      <c r="E1236" s="517">
        <v>1.5009448818897641E-3</v>
      </c>
      <c r="F1236" s="518" t="s">
        <v>133</v>
      </c>
      <c r="G1236" s="57" t="s">
        <v>16</v>
      </c>
      <c r="H1236" s="519">
        <v>1</v>
      </c>
      <c r="I1236" s="519">
        <v>1</v>
      </c>
      <c r="J1236" s="519">
        <v>3</v>
      </c>
      <c r="K1236" s="519">
        <v>3</v>
      </c>
      <c r="L1236" s="520">
        <v>3</v>
      </c>
      <c r="M1236" s="521">
        <f t="shared" si="39"/>
        <v>1.1181151966036349</v>
      </c>
      <c r="N1236" s="522"/>
    </row>
    <row r="1237" spans="1:14" hidden="1" x14ac:dyDescent="0.2">
      <c r="A1237" s="514" t="s">
        <v>240</v>
      </c>
      <c r="B1237" s="515" t="s">
        <v>463</v>
      </c>
      <c r="C1237" s="247" t="s">
        <v>36</v>
      </c>
      <c r="D1237" s="516" t="s">
        <v>135</v>
      </c>
      <c r="E1237" s="517">
        <v>1.4482051282051281E-3</v>
      </c>
      <c r="F1237" s="518" t="s">
        <v>133</v>
      </c>
      <c r="G1237" s="57" t="s">
        <v>16</v>
      </c>
      <c r="H1237" s="519">
        <v>1</v>
      </c>
      <c r="I1237" s="519">
        <v>1</v>
      </c>
      <c r="J1237" s="519">
        <v>3</v>
      </c>
      <c r="K1237" s="519">
        <v>3</v>
      </c>
      <c r="L1237" s="520">
        <v>3</v>
      </c>
      <c r="M1237" s="521">
        <f t="shared" si="39"/>
        <v>1.1181151966036349</v>
      </c>
      <c r="N1237" s="522"/>
    </row>
    <row r="1238" spans="1:14" hidden="1" x14ac:dyDescent="0.2">
      <c r="A1238" s="514" t="s">
        <v>240</v>
      </c>
      <c r="B1238" s="515" t="s">
        <v>463</v>
      </c>
      <c r="C1238" s="247" t="s">
        <v>37</v>
      </c>
      <c r="D1238" s="516" t="s">
        <v>135</v>
      </c>
      <c r="E1238" s="517">
        <v>6.0483967935871753E-3</v>
      </c>
      <c r="F1238" s="518" t="s">
        <v>133</v>
      </c>
      <c r="G1238" s="57" t="s">
        <v>16</v>
      </c>
      <c r="H1238" s="519">
        <v>1</v>
      </c>
      <c r="I1238" s="519">
        <v>1</v>
      </c>
      <c r="J1238" s="519">
        <v>3</v>
      </c>
      <c r="K1238" s="519">
        <v>3</v>
      </c>
      <c r="L1238" s="520">
        <v>3</v>
      </c>
      <c r="M1238" s="521">
        <f t="shared" si="39"/>
        <v>1.1181151966036349</v>
      </c>
      <c r="N1238" s="522"/>
    </row>
    <row r="1239" spans="1:14" hidden="1" x14ac:dyDescent="0.2">
      <c r="A1239" s="514" t="s">
        <v>240</v>
      </c>
      <c r="B1239" s="515" t="s">
        <v>463</v>
      </c>
      <c r="C1239" s="247" t="s">
        <v>39</v>
      </c>
      <c r="D1239" s="516" t="s">
        <v>135</v>
      </c>
      <c r="E1239" s="517">
        <v>2.9662407862407862E-3</v>
      </c>
      <c r="F1239" s="518" t="s">
        <v>133</v>
      </c>
      <c r="G1239" s="57" t="s">
        <v>16</v>
      </c>
      <c r="H1239" s="519">
        <v>1</v>
      </c>
      <c r="I1239" s="519">
        <v>1</v>
      </c>
      <c r="J1239" s="519">
        <v>3</v>
      </c>
      <c r="K1239" s="519">
        <v>3</v>
      </c>
      <c r="L1239" s="520">
        <v>3</v>
      </c>
      <c r="M1239" s="521">
        <f t="shared" si="39"/>
        <v>1.1181151966036349</v>
      </c>
      <c r="N1239" s="522"/>
    </row>
    <row r="1240" spans="1:14" hidden="1" x14ac:dyDescent="0.2">
      <c r="A1240" s="514" t="s">
        <v>240</v>
      </c>
      <c r="B1240" s="515" t="s">
        <v>463</v>
      </c>
      <c r="C1240" s="247" t="s">
        <v>40</v>
      </c>
      <c r="D1240" s="516" t="s">
        <v>135</v>
      </c>
      <c r="E1240" s="517">
        <v>9.5857758620689656E-4</v>
      </c>
      <c r="F1240" s="518" t="s">
        <v>133</v>
      </c>
      <c r="G1240" s="57" t="s">
        <v>16</v>
      </c>
      <c r="H1240" s="519">
        <v>1</v>
      </c>
      <c r="I1240" s="519">
        <v>1</v>
      </c>
      <c r="J1240" s="519">
        <v>3</v>
      </c>
      <c r="K1240" s="519">
        <v>3</v>
      </c>
      <c r="L1240" s="520">
        <v>3</v>
      </c>
      <c r="M1240" s="521">
        <f t="shared" si="39"/>
        <v>1.1181151966036349</v>
      </c>
      <c r="N1240" s="522"/>
    </row>
    <row r="1241" spans="1:14" hidden="1" x14ac:dyDescent="0.2">
      <c r="A1241" s="514" t="s">
        <v>240</v>
      </c>
      <c r="B1241" s="515" t="s">
        <v>463</v>
      </c>
      <c r="C1241" s="247" t="s">
        <v>41</v>
      </c>
      <c r="D1241" s="516" t="s">
        <v>135</v>
      </c>
      <c r="E1241" s="517">
        <v>4.352054794520548E-4</v>
      </c>
      <c r="F1241" s="518" t="s">
        <v>133</v>
      </c>
      <c r="G1241" s="57" t="s">
        <v>16</v>
      </c>
      <c r="H1241" s="519">
        <v>1</v>
      </c>
      <c r="I1241" s="519">
        <v>1</v>
      </c>
      <c r="J1241" s="519">
        <v>3</v>
      </c>
      <c r="K1241" s="519">
        <v>3</v>
      </c>
      <c r="L1241" s="520">
        <v>3</v>
      </c>
      <c r="M1241" s="521">
        <f t="shared" si="39"/>
        <v>1.1181151966036349</v>
      </c>
      <c r="N1241" s="522"/>
    </row>
    <row r="1242" spans="1:14" hidden="1" x14ac:dyDescent="0.2">
      <c r="A1242" s="514" t="s">
        <v>240</v>
      </c>
      <c r="B1242" s="515" t="s">
        <v>463</v>
      </c>
      <c r="C1242" s="247" t="s">
        <v>42</v>
      </c>
      <c r="D1242" s="516" t="s">
        <v>135</v>
      </c>
      <c r="E1242" s="517">
        <v>2.1274553571428568E-3</v>
      </c>
      <c r="F1242" s="518" t="s">
        <v>133</v>
      </c>
      <c r="G1242" s="57" t="s">
        <v>16</v>
      </c>
      <c r="H1242" s="519">
        <v>1</v>
      </c>
      <c r="I1242" s="519">
        <v>1</v>
      </c>
      <c r="J1242" s="519">
        <v>3</v>
      </c>
      <c r="K1242" s="519">
        <v>3</v>
      </c>
      <c r="L1242" s="520">
        <v>3</v>
      </c>
      <c r="M1242" s="521">
        <f t="shared" si="39"/>
        <v>1.1181151966036349</v>
      </c>
      <c r="N1242" s="522"/>
    </row>
    <row r="1243" spans="1:14" hidden="1" x14ac:dyDescent="0.2">
      <c r="A1243" s="514" t="s">
        <v>240</v>
      </c>
      <c r="B1243" s="515" t="s">
        <v>463</v>
      </c>
      <c r="C1243" s="247" t="s">
        <v>43</v>
      </c>
      <c r="D1243" s="516" t="s">
        <v>135</v>
      </c>
      <c r="E1243" s="517">
        <v>4.9737769080234839E-4</v>
      </c>
      <c r="F1243" s="518" t="s">
        <v>133</v>
      </c>
      <c r="G1243" s="57" t="s">
        <v>16</v>
      </c>
      <c r="H1243" s="519">
        <v>1</v>
      </c>
      <c r="I1243" s="519">
        <v>1</v>
      </c>
      <c r="J1243" s="519">
        <v>3</v>
      </c>
      <c r="K1243" s="519">
        <v>3</v>
      </c>
      <c r="L1243" s="520">
        <v>3</v>
      </c>
      <c r="M1243" s="521">
        <f t="shared" si="39"/>
        <v>1.1181151966036349</v>
      </c>
      <c r="N1243" s="522"/>
    </row>
    <row r="1244" spans="1:14" x14ac:dyDescent="0.2">
      <c r="A1244" s="514" t="s">
        <v>240</v>
      </c>
      <c r="B1244" s="515" t="s">
        <v>463</v>
      </c>
      <c r="C1244" s="247" t="s">
        <v>45</v>
      </c>
      <c r="D1244" s="516" t="s">
        <v>135</v>
      </c>
      <c r="E1244" s="517">
        <v>6.8784844384303125E-4</v>
      </c>
      <c r="F1244" s="518" t="s">
        <v>133</v>
      </c>
      <c r="G1244" s="57" t="s">
        <v>16</v>
      </c>
      <c r="H1244" s="519">
        <v>1</v>
      </c>
      <c r="I1244" s="519">
        <v>1</v>
      </c>
      <c r="J1244" s="519">
        <v>3</v>
      </c>
      <c r="K1244" s="519">
        <v>3</v>
      </c>
      <c r="L1244" s="520">
        <v>3</v>
      </c>
      <c r="M1244" s="521">
        <f t="shared" si="39"/>
        <v>1.1181151966036349</v>
      </c>
      <c r="N1244" s="522"/>
    </row>
    <row r="1245" spans="1:14" hidden="1" x14ac:dyDescent="0.2">
      <c r="A1245" s="514" t="s">
        <v>240</v>
      </c>
      <c r="B1245" s="515" t="s">
        <v>463</v>
      </c>
      <c r="C1245" s="247" t="s">
        <v>46</v>
      </c>
      <c r="D1245" s="516" t="s">
        <v>135</v>
      </c>
      <c r="E1245" s="517">
        <v>1.2553495440729479E-3</v>
      </c>
      <c r="F1245" s="518" t="s">
        <v>133</v>
      </c>
      <c r="G1245" s="57" t="s">
        <v>16</v>
      </c>
      <c r="H1245" s="519">
        <v>1</v>
      </c>
      <c r="I1245" s="519">
        <v>1</v>
      </c>
      <c r="J1245" s="519">
        <v>3</v>
      </c>
      <c r="K1245" s="519">
        <v>3</v>
      </c>
      <c r="L1245" s="520">
        <v>3</v>
      </c>
      <c r="M1245" s="521">
        <f t="shared" si="39"/>
        <v>1.1181151966036349</v>
      </c>
      <c r="N1245" s="522"/>
    </row>
    <row r="1246" spans="1:14" hidden="1" x14ac:dyDescent="0.2">
      <c r="A1246" s="514" t="s">
        <v>240</v>
      </c>
      <c r="B1246" s="515" t="s">
        <v>463</v>
      </c>
      <c r="C1246" s="247" t="s">
        <v>48</v>
      </c>
      <c r="D1246" s="516" t="s">
        <v>135</v>
      </c>
      <c r="E1246" s="517">
        <v>9.3994082840236678E-4</v>
      </c>
      <c r="F1246" s="518" t="s">
        <v>133</v>
      </c>
      <c r="G1246" s="57" t="s">
        <v>16</v>
      </c>
      <c r="H1246" s="519">
        <v>1</v>
      </c>
      <c r="I1246" s="519">
        <v>1</v>
      </c>
      <c r="J1246" s="519">
        <v>3</v>
      </c>
      <c r="K1246" s="519">
        <v>3</v>
      </c>
      <c r="L1246" s="520">
        <v>3</v>
      </c>
      <c r="M1246" s="521">
        <f t="shared" si="39"/>
        <v>1.1181151966036349</v>
      </c>
      <c r="N1246" s="522"/>
    </row>
    <row r="1247" spans="1:14" hidden="1" x14ac:dyDescent="0.2">
      <c r="A1247" s="514" t="s">
        <v>240</v>
      </c>
      <c r="B1247" s="515" t="s">
        <v>463</v>
      </c>
      <c r="C1247" s="247" t="s">
        <v>50</v>
      </c>
      <c r="D1247" s="516" t="s">
        <v>135</v>
      </c>
      <c r="E1247" s="517">
        <v>5.72327205882353E-3</v>
      </c>
      <c r="F1247" s="518" t="s">
        <v>133</v>
      </c>
      <c r="G1247" s="57" t="s">
        <v>16</v>
      </c>
      <c r="H1247" s="519">
        <v>1</v>
      </c>
      <c r="I1247" s="519">
        <v>1</v>
      </c>
      <c r="J1247" s="519">
        <v>3</v>
      </c>
      <c r="K1247" s="519">
        <v>3</v>
      </c>
      <c r="L1247" s="520">
        <v>3</v>
      </c>
      <c r="M1247" s="521">
        <f t="shared" si="39"/>
        <v>1.1181151966036349</v>
      </c>
      <c r="N1247" s="522"/>
    </row>
    <row r="1248" spans="1:14" hidden="1" x14ac:dyDescent="0.2">
      <c r="A1248" s="514" t="s">
        <v>240</v>
      </c>
      <c r="B1248" s="515" t="s">
        <v>463</v>
      </c>
      <c r="C1248" s="247" t="s">
        <v>52</v>
      </c>
      <c r="D1248" s="516" t="s">
        <v>135</v>
      </c>
      <c r="E1248" s="517">
        <v>9.2086956521739128E-4</v>
      </c>
      <c r="F1248" s="518" t="s">
        <v>133</v>
      </c>
      <c r="G1248" s="57" t="s">
        <v>16</v>
      </c>
      <c r="H1248" s="519">
        <v>1</v>
      </c>
      <c r="I1248" s="519">
        <v>1</v>
      </c>
      <c r="J1248" s="519">
        <v>3</v>
      </c>
      <c r="K1248" s="519">
        <v>3</v>
      </c>
      <c r="L1248" s="520">
        <v>3</v>
      </c>
      <c r="M1248" s="521">
        <f t="shared" si="39"/>
        <v>1.1181151966036349</v>
      </c>
      <c r="N1248" s="522"/>
    </row>
    <row r="1249" spans="1:14" hidden="1" x14ac:dyDescent="0.2">
      <c r="A1249" s="514" t="s">
        <v>240</v>
      </c>
      <c r="B1249" s="515" t="s">
        <v>463</v>
      </c>
      <c r="C1249" s="247" t="s">
        <v>54</v>
      </c>
      <c r="D1249" s="516" t="s">
        <v>135</v>
      </c>
      <c r="E1249" s="517">
        <v>5.8833333333333329E-4</v>
      </c>
      <c r="F1249" s="518" t="s">
        <v>133</v>
      </c>
      <c r="G1249" s="57" t="s">
        <v>16</v>
      </c>
      <c r="H1249" s="519">
        <v>1</v>
      </c>
      <c r="I1249" s="519">
        <v>1</v>
      </c>
      <c r="J1249" s="519">
        <v>3</v>
      </c>
      <c r="K1249" s="519">
        <v>3</v>
      </c>
      <c r="L1249" s="520">
        <v>3</v>
      </c>
      <c r="M1249" s="521">
        <f t="shared" si="39"/>
        <v>1.1181151966036349</v>
      </c>
      <c r="N1249" s="522"/>
    </row>
    <row r="1250" spans="1:14" hidden="1" x14ac:dyDescent="0.2">
      <c r="A1250" s="514" t="s">
        <v>240</v>
      </c>
      <c r="B1250" s="515" t="s">
        <v>463</v>
      </c>
      <c r="C1250" s="247" t="s">
        <v>55</v>
      </c>
      <c r="D1250" s="516" t="s">
        <v>135</v>
      </c>
      <c r="E1250" s="517">
        <v>1.2708000000000001E-3</v>
      </c>
      <c r="F1250" s="518" t="s">
        <v>133</v>
      </c>
      <c r="G1250" s="57" t="s">
        <v>16</v>
      </c>
      <c r="H1250" s="519">
        <v>1</v>
      </c>
      <c r="I1250" s="519">
        <v>1</v>
      </c>
      <c r="J1250" s="519">
        <v>3</v>
      </c>
      <c r="K1250" s="519">
        <v>3</v>
      </c>
      <c r="L1250" s="520">
        <v>3</v>
      </c>
      <c r="M1250" s="521">
        <f t="shared" si="39"/>
        <v>1.1181151966036349</v>
      </c>
      <c r="N1250" s="522"/>
    </row>
    <row r="1251" spans="1:14" hidden="1" x14ac:dyDescent="0.2">
      <c r="A1251" s="514" t="s">
        <v>240</v>
      </c>
      <c r="B1251" s="515" t="s">
        <v>463</v>
      </c>
      <c r="C1251" s="247" t="s">
        <v>57</v>
      </c>
      <c r="D1251" s="516" t="s">
        <v>135</v>
      </c>
      <c r="E1251" s="517">
        <v>5.8562211981566818E-4</v>
      </c>
      <c r="F1251" s="518" t="s">
        <v>133</v>
      </c>
      <c r="G1251" s="57" t="s">
        <v>16</v>
      </c>
      <c r="H1251" s="519">
        <v>1</v>
      </c>
      <c r="I1251" s="519">
        <v>1</v>
      </c>
      <c r="J1251" s="519">
        <v>3</v>
      </c>
      <c r="K1251" s="519">
        <v>3</v>
      </c>
      <c r="L1251" s="520">
        <v>3</v>
      </c>
      <c r="M1251" s="521">
        <f t="shared" si="39"/>
        <v>1.1181151966036349</v>
      </c>
      <c r="N1251" s="522"/>
    </row>
    <row r="1252" spans="1:14" hidden="1" x14ac:dyDescent="0.2">
      <c r="A1252" s="514" t="s">
        <v>240</v>
      </c>
      <c r="B1252" s="515" t="s">
        <v>463</v>
      </c>
      <c r="C1252" s="247" t="s">
        <v>59</v>
      </c>
      <c r="D1252" s="516" t="s">
        <v>135</v>
      </c>
      <c r="E1252" s="517">
        <v>2.7E-4</v>
      </c>
      <c r="F1252" s="518" t="s">
        <v>133</v>
      </c>
      <c r="G1252" s="57" t="s">
        <v>16</v>
      </c>
      <c r="H1252" s="519">
        <v>1</v>
      </c>
      <c r="I1252" s="519">
        <v>1</v>
      </c>
      <c r="J1252" s="519">
        <v>3</v>
      </c>
      <c r="K1252" s="519">
        <v>3</v>
      </c>
      <c r="L1252" s="520">
        <v>3</v>
      </c>
      <c r="M1252" s="521">
        <f t="shared" si="39"/>
        <v>1.1181151966036349</v>
      </c>
      <c r="N1252" s="522"/>
    </row>
    <row r="1253" spans="1:14" hidden="1" x14ac:dyDescent="0.2">
      <c r="A1253" s="514" t="s">
        <v>240</v>
      </c>
      <c r="B1253" s="515" t="s">
        <v>463</v>
      </c>
      <c r="C1253" s="247" t="s">
        <v>60</v>
      </c>
      <c r="D1253" s="516" t="s">
        <v>135</v>
      </c>
      <c r="E1253" s="517">
        <v>1.23511879049676E-3</v>
      </c>
      <c r="F1253" s="518" t="s">
        <v>133</v>
      </c>
      <c r="G1253" s="57" t="s">
        <v>16</v>
      </c>
      <c r="H1253" s="519">
        <v>1</v>
      </c>
      <c r="I1253" s="519">
        <v>1</v>
      </c>
      <c r="J1253" s="519">
        <v>3</v>
      </c>
      <c r="K1253" s="519">
        <v>3</v>
      </c>
      <c r="L1253" s="520">
        <v>3</v>
      </c>
      <c r="M1253" s="521">
        <f t="shared" si="39"/>
        <v>1.1181151966036349</v>
      </c>
      <c r="N1253" s="522"/>
    </row>
    <row r="1254" spans="1:14" x14ac:dyDescent="0.2">
      <c r="A1254" s="523" t="s">
        <v>240</v>
      </c>
      <c r="B1254" s="524" t="s">
        <v>480</v>
      </c>
      <c r="C1254" s="525" t="s">
        <v>135</v>
      </c>
      <c r="D1254" s="527" t="s">
        <v>135</v>
      </c>
      <c r="E1254" s="539">
        <v>0</v>
      </c>
      <c r="F1254" s="333" t="s">
        <v>476</v>
      </c>
      <c r="G1254" s="528" t="s">
        <v>16</v>
      </c>
      <c r="H1254" s="539"/>
      <c r="I1254" s="539"/>
      <c r="J1254" s="539"/>
      <c r="K1254" s="539"/>
      <c r="L1254" s="540"/>
      <c r="M1254" s="541" t="str">
        <f t="shared" si="39"/>
        <v/>
      </c>
      <c r="N1254" s="530"/>
    </row>
    <row r="1255" spans="1:14" x14ac:dyDescent="0.2">
      <c r="A1255" s="523" t="s">
        <v>240</v>
      </c>
      <c r="B1255" s="524" t="s">
        <v>480</v>
      </c>
      <c r="C1255" s="525" t="s">
        <v>135</v>
      </c>
      <c r="D1255" s="527" t="s">
        <v>135</v>
      </c>
      <c r="E1255" s="527">
        <v>1.6E-2</v>
      </c>
      <c r="F1255" s="333" t="s">
        <v>455</v>
      </c>
      <c r="G1255" s="528" t="s">
        <v>16</v>
      </c>
      <c r="H1255" s="527">
        <v>1</v>
      </c>
      <c r="I1255" s="527">
        <v>1</v>
      </c>
      <c r="J1255" s="527">
        <v>1</v>
      </c>
      <c r="K1255" s="527">
        <v>1</v>
      </c>
      <c r="L1255" s="529">
        <v>3</v>
      </c>
      <c r="M1255" s="60">
        <f t="shared" si="39"/>
        <v>1.0141150152164344</v>
      </c>
      <c r="N1255" s="530"/>
    </row>
    <row r="1256" spans="1:14" hidden="1" x14ac:dyDescent="0.2">
      <c r="A1256" s="542" t="s">
        <v>321</v>
      </c>
      <c r="B1256" s="543" t="s">
        <v>463</v>
      </c>
      <c r="C1256" s="265" t="s">
        <v>13</v>
      </c>
      <c r="D1256" s="544" t="s">
        <v>135</v>
      </c>
      <c r="E1256" s="545">
        <v>4.9383419689119179E-4</v>
      </c>
      <c r="F1256" s="546" t="s">
        <v>133</v>
      </c>
      <c r="G1256" s="547" t="s">
        <v>16</v>
      </c>
      <c r="H1256" s="548">
        <v>1</v>
      </c>
      <c r="I1256" s="548">
        <v>1</v>
      </c>
      <c r="J1256" s="548">
        <v>3</v>
      </c>
      <c r="K1256" s="548">
        <v>3</v>
      </c>
      <c r="L1256" s="549">
        <v>3</v>
      </c>
      <c r="M1256" s="550">
        <f t="shared" si="39"/>
        <v>1.1181151966036349</v>
      </c>
      <c r="N1256" s="551"/>
    </row>
    <row r="1257" spans="1:14" hidden="1" x14ac:dyDescent="0.2">
      <c r="A1257" s="523" t="s">
        <v>321</v>
      </c>
      <c r="B1257" s="515" t="s">
        <v>463</v>
      </c>
      <c r="C1257" s="247" t="s">
        <v>18</v>
      </c>
      <c r="D1257" s="516" t="s">
        <v>135</v>
      </c>
      <c r="E1257" s="517">
        <v>6.2141809290953553E-4</v>
      </c>
      <c r="F1257" s="518" t="s">
        <v>133</v>
      </c>
      <c r="G1257" s="57" t="s">
        <v>16</v>
      </c>
      <c r="H1257" s="519">
        <v>1</v>
      </c>
      <c r="I1257" s="519">
        <v>1</v>
      </c>
      <c r="J1257" s="519">
        <v>3</v>
      </c>
      <c r="K1257" s="519">
        <v>3</v>
      </c>
      <c r="L1257" s="520">
        <v>3</v>
      </c>
      <c r="M1257" s="521">
        <f t="shared" ref="M1257:M1287" si="40">IF( OR( ISBLANK(H1257),ISBLANK(I1257), ISBLANK(J1257), ISBLANK(K1257), ISBLANK(L1257) ), "", 1.5*SQRT( EXP(2.21*(H1257-1)) + EXP(2.21*(I1257-1)) + EXP(2.21*(J1257-1)) + EXP(2.21*(K1257-1)) + EXP(2.21*L1257) )/100*2.45 )</f>
        <v>1.1181151966036349</v>
      </c>
      <c r="N1257" s="522"/>
    </row>
    <row r="1258" spans="1:14" hidden="1" x14ac:dyDescent="0.2">
      <c r="A1258" s="523" t="s">
        <v>321</v>
      </c>
      <c r="B1258" s="515" t="s">
        <v>463</v>
      </c>
      <c r="C1258" s="247" t="s">
        <v>20</v>
      </c>
      <c r="D1258" s="516" t="s">
        <v>135</v>
      </c>
      <c r="E1258" s="517">
        <v>1.717297297297297E-3</v>
      </c>
      <c r="F1258" s="518" t="s">
        <v>133</v>
      </c>
      <c r="G1258" s="57" t="s">
        <v>16</v>
      </c>
      <c r="H1258" s="519">
        <v>1</v>
      </c>
      <c r="I1258" s="519">
        <v>1</v>
      </c>
      <c r="J1258" s="519">
        <v>3</v>
      </c>
      <c r="K1258" s="519">
        <v>3</v>
      </c>
      <c r="L1258" s="520">
        <v>3</v>
      </c>
      <c r="M1258" s="521">
        <f t="shared" si="40"/>
        <v>1.1181151966036349</v>
      </c>
      <c r="N1258" s="522"/>
    </row>
    <row r="1259" spans="1:14" hidden="1" x14ac:dyDescent="0.2">
      <c r="A1259" s="523" t="s">
        <v>321</v>
      </c>
      <c r="B1259" s="515" t="s">
        <v>463</v>
      </c>
      <c r="C1259" s="247" t="s">
        <v>22</v>
      </c>
      <c r="D1259" s="516" t="s">
        <v>135</v>
      </c>
      <c r="E1259" s="517">
        <v>1.397291666666666E-3</v>
      </c>
      <c r="F1259" s="518" t="s">
        <v>133</v>
      </c>
      <c r="G1259" s="57" t="s">
        <v>16</v>
      </c>
      <c r="H1259" s="519">
        <v>1</v>
      </c>
      <c r="I1259" s="519">
        <v>1</v>
      </c>
      <c r="J1259" s="519">
        <v>3</v>
      </c>
      <c r="K1259" s="519">
        <v>3</v>
      </c>
      <c r="L1259" s="520">
        <v>3</v>
      </c>
      <c r="M1259" s="521">
        <f t="shared" si="40"/>
        <v>1.1181151966036349</v>
      </c>
      <c r="N1259" s="522"/>
    </row>
    <row r="1260" spans="1:14" hidden="1" x14ac:dyDescent="0.2">
      <c r="A1260" s="523" t="s">
        <v>321</v>
      </c>
      <c r="B1260" s="515" t="s">
        <v>463</v>
      </c>
      <c r="C1260" s="247" t="s">
        <v>23</v>
      </c>
      <c r="D1260" s="516" t="s">
        <v>135</v>
      </c>
      <c r="E1260" s="517">
        <v>1.868823529411765E-3</v>
      </c>
      <c r="F1260" s="518" t="s">
        <v>133</v>
      </c>
      <c r="G1260" s="57" t="s">
        <v>16</v>
      </c>
      <c r="H1260" s="519">
        <v>1</v>
      </c>
      <c r="I1260" s="519">
        <v>1</v>
      </c>
      <c r="J1260" s="519">
        <v>3</v>
      </c>
      <c r="K1260" s="519">
        <v>3</v>
      </c>
      <c r="L1260" s="520">
        <v>3</v>
      </c>
      <c r="M1260" s="521">
        <f t="shared" si="40"/>
        <v>1.1181151966036349</v>
      </c>
      <c r="N1260" s="522"/>
    </row>
    <row r="1261" spans="1:14" hidden="1" x14ac:dyDescent="0.2">
      <c r="A1261" s="523" t="s">
        <v>321</v>
      </c>
      <c r="B1261" s="515" t="s">
        <v>463</v>
      </c>
      <c r="C1261" s="247" t="s">
        <v>24</v>
      </c>
      <c r="D1261" s="516" t="s">
        <v>135</v>
      </c>
      <c r="E1261" s="517">
        <v>8.3605263157894745E-4</v>
      </c>
      <c r="F1261" s="518" t="s">
        <v>133</v>
      </c>
      <c r="G1261" s="57" t="s">
        <v>16</v>
      </c>
      <c r="H1261" s="519">
        <v>1</v>
      </c>
      <c r="I1261" s="519">
        <v>1</v>
      </c>
      <c r="J1261" s="519">
        <v>3</v>
      </c>
      <c r="K1261" s="519">
        <v>3</v>
      </c>
      <c r="L1261" s="520">
        <v>3</v>
      </c>
      <c r="M1261" s="521">
        <f t="shared" si="40"/>
        <v>1.1181151966036349</v>
      </c>
      <c r="N1261" s="522"/>
    </row>
    <row r="1262" spans="1:14" hidden="1" x14ac:dyDescent="0.2">
      <c r="A1262" s="523" t="s">
        <v>321</v>
      </c>
      <c r="B1262" s="515" t="s">
        <v>463</v>
      </c>
      <c r="C1262" s="247" t="s">
        <v>25</v>
      </c>
      <c r="D1262" s="516" t="s">
        <v>135</v>
      </c>
      <c r="E1262" s="517">
        <v>4.2932432432432442E-4</v>
      </c>
      <c r="F1262" s="518" t="s">
        <v>133</v>
      </c>
      <c r="G1262" s="57" t="s">
        <v>16</v>
      </c>
      <c r="H1262" s="519">
        <v>1</v>
      </c>
      <c r="I1262" s="519">
        <v>1</v>
      </c>
      <c r="J1262" s="519">
        <v>3</v>
      </c>
      <c r="K1262" s="519">
        <v>3</v>
      </c>
      <c r="L1262" s="520">
        <v>3</v>
      </c>
      <c r="M1262" s="521">
        <f t="shared" si="40"/>
        <v>1.1181151966036349</v>
      </c>
      <c r="N1262" s="522"/>
    </row>
    <row r="1263" spans="1:14" hidden="1" x14ac:dyDescent="0.2">
      <c r="A1263" s="523" t="s">
        <v>321</v>
      </c>
      <c r="B1263" s="515" t="s">
        <v>463</v>
      </c>
      <c r="C1263" s="247" t="s">
        <v>26</v>
      </c>
      <c r="D1263" s="516" t="s">
        <v>135</v>
      </c>
      <c r="E1263" s="517">
        <v>2.9808888888888888E-3</v>
      </c>
      <c r="F1263" s="518" t="s">
        <v>133</v>
      </c>
      <c r="G1263" s="57" t="s">
        <v>16</v>
      </c>
      <c r="H1263" s="519">
        <v>1</v>
      </c>
      <c r="I1263" s="519">
        <v>1</v>
      </c>
      <c r="J1263" s="519">
        <v>3</v>
      </c>
      <c r="K1263" s="519">
        <v>3</v>
      </c>
      <c r="L1263" s="520">
        <v>3</v>
      </c>
      <c r="M1263" s="521">
        <f t="shared" si="40"/>
        <v>1.1181151966036349</v>
      </c>
      <c r="N1263" s="522"/>
    </row>
    <row r="1264" spans="1:14" hidden="1" x14ac:dyDescent="0.2">
      <c r="A1264" s="523" t="s">
        <v>321</v>
      </c>
      <c r="B1264" s="515" t="s">
        <v>463</v>
      </c>
      <c r="C1264" s="247" t="s">
        <v>27</v>
      </c>
      <c r="D1264" s="516" t="s">
        <v>135</v>
      </c>
      <c r="E1264" s="517">
        <v>3.4595281306715062E-4</v>
      </c>
      <c r="F1264" s="518" t="s">
        <v>133</v>
      </c>
      <c r="G1264" s="57" t="s">
        <v>16</v>
      </c>
      <c r="H1264" s="519">
        <v>1</v>
      </c>
      <c r="I1264" s="519">
        <v>1</v>
      </c>
      <c r="J1264" s="519">
        <v>3</v>
      </c>
      <c r="K1264" s="519">
        <v>3</v>
      </c>
      <c r="L1264" s="520">
        <v>3</v>
      </c>
      <c r="M1264" s="521">
        <f t="shared" si="40"/>
        <v>1.1181151966036349</v>
      </c>
      <c r="N1264" s="522"/>
    </row>
    <row r="1265" spans="1:14" hidden="1" x14ac:dyDescent="0.2">
      <c r="A1265" s="523" t="s">
        <v>321</v>
      </c>
      <c r="B1265" s="515" t="s">
        <v>463</v>
      </c>
      <c r="C1265" s="247" t="s">
        <v>28</v>
      </c>
      <c r="D1265" s="516" t="s">
        <v>135</v>
      </c>
      <c r="E1265" s="517">
        <v>7.4149012567324962E-4</v>
      </c>
      <c r="F1265" s="518" t="s">
        <v>133</v>
      </c>
      <c r="G1265" s="57" t="s">
        <v>16</v>
      </c>
      <c r="H1265" s="519">
        <v>1</v>
      </c>
      <c r="I1265" s="519">
        <v>1</v>
      </c>
      <c r="J1265" s="519">
        <v>3</v>
      </c>
      <c r="K1265" s="519">
        <v>3</v>
      </c>
      <c r="L1265" s="520">
        <v>3</v>
      </c>
      <c r="M1265" s="521">
        <f t="shared" si="40"/>
        <v>1.1181151966036349</v>
      </c>
      <c r="N1265" s="522"/>
    </row>
    <row r="1266" spans="1:14" hidden="1" x14ac:dyDescent="0.2">
      <c r="A1266" s="523" t="s">
        <v>321</v>
      </c>
      <c r="B1266" s="515" t="s">
        <v>463</v>
      </c>
      <c r="C1266" s="247" t="s">
        <v>30</v>
      </c>
      <c r="D1266" s="516" t="s">
        <v>135</v>
      </c>
      <c r="E1266" s="517">
        <v>5.242574257425742E-4</v>
      </c>
      <c r="F1266" s="518" t="s">
        <v>133</v>
      </c>
      <c r="G1266" s="57" t="s">
        <v>16</v>
      </c>
      <c r="H1266" s="519">
        <v>1</v>
      </c>
      <c r="I1266" s="519">
        <v>1</v>
      </c>
      <c r="J1266" s="519">
        <v>3</v>
      </c>
      <c r="K1266" s="519">
        <v>3</v>
      </c>
      <c r="L1266" s="520">
        <v>3</v>
      </c>
      <c r="M1266" s="521">
        <f t="shared" si="40"/>
        <v>1.1181151966036349</v>
      </c>
      <c r="N1266" s="522"/>
    </row>
    <row r="1267" spans="1:14" hidden="1" x14ac:dyDescent="0.2">
      <c r="A1267" s="523" t="s">
        <v>321</v>
      </c>
      <c r="B1267" s="515" t="s">
        <v>463</v>
      </c>
      <c r="C1267" s="247" t="s">
        <v>32</v>
      </c>
      <c r="D1267" s="516" t="s">
        <v>135</v>
      </c>
      <c r="E1267" s="517">
        <v>1.23378640776699E-3</v>
      </c>
      <c r="F1267" s="518" t="s">
        <v>133</v>
      </c>
      <c r="G1267" s="57" t="s">
        <v>16</v>
      </c>
      <c r="H1267" s="519">
        <v>1</v>
      </c>
      <c r="I1267" s="519">
        <v>1</v>
      </c>
      <c r="J1267" s="519">
        <v>3</v>
      </c>
      <c r="K1267" s="519">
        <v>3</v>
      </c>
      <c r="L1267" s="520">
        <v>3</v>
      </c>
      <c r="M1267" s="521">
        <f t="shared" si="40"/>
        <v>1.1181151966036349</v>
      </c>
      <c r="N1267" s="522"/>
    </row>
    <row r="1268" spans="1:14" hidden="1" x14ac:dyDescent="0.2">
      <c r="A1268" s="523" t="s">
        <v>321</v>
      </c>
      <c r="B1268" s="515" t="s">
        <v>463</v>
      </c>
      <c r="C1268" s="247" t="s">
        <v>34</v>
      </c>
      <c r="D1268" s="516" t="s">
        <v>135</v>
      </c>
      <c r="E1268" s="517">
        <v>1.5009448818897641E-3</v>
      </c>
      <c r="F1268" s="518" t="s">
        <v>133</v>
      </c>
      <c r="G1268" s="57" t="s">
        <v>16</v>
      </c>
      <c r="H1268" s="519">
        <v>1</v>
      </c>
      <c r="I1268" s="519">
        <v>1</v>
      </c>
      <c r="J1268" s="519">
        <v>3</v>
      </c>
      <c r="K1268" s="519">
        <v>3</v>
      </c>
      <c r="L1268" s="520">
        <v>3</v>
      </c>
      <c r="M1268" s="521">
        <f t="shared" si="40"/>
        <v>1.1181151966036349</v>
      </c>
      <c r="N1268" s="522"/>
    </row>
    <row r="1269" spans="1:14" hidden="1" x14ac:dyDescent="0.2">
      <c r="A1269" s="523" t="s">
        <v>321</v>
      </c>
      <c r="B1269" s="515" t="s">
        <v>463</v>
      </c>
      <c r="C1269" s="247" t="s">
        <v>36</v>
      </c>
      <c r="D1269" s="516" t="s">
        <v>135</v>
      </c>
      <c r="E1269" s="517">
        <v>1.4482051282051281E-3</v>
      </c>
      <c r="F1269" s="518" t="s">
        <v>133</v>
      </c>
      <c r="G1269" s="57" t="s">
        <v>16</v>
      </c>
      <c r="H1269" s="519">
        <v>1</v>
      </c>
      <c r="I1269" s="519">
        <v>1</v>
      </c>
      <c r="J1269" s="519">
        <v>3</v>
      </c>
      <c r="K1269" s="519">
        <v>3</v>
      </c>
      <c r="L1269" s="520">
        <v>3</v>
      </c>
      <c r="M1269" s="521">
        <f t="shared" si="40"/>
        <v>1.1181151966036349</v>
      </c>
      <c r="N1269" s="522"/>
    </row>
    <row r="1270" spans="1:14" hidden="1" x14ac:dyDescent="0.2">
      <c r="A1270" s="523" t="s">
        <v>321</v>
      </c>
      <c r="B1270" s="515" t="s">
        <v>463</v>
      </c>
      <c r="C1270" s="247" t="s">
        <v>37</v>
      </c>
      <c r="D1270" s="516" t="s">
        <v>135</v>
      </c>
      <c r="E1270" s="517">
        <v>6.0483967935871753E-3</v>
      </c>
      <c r="F1270" s="518" t="s">
        <v>133</v>
      </c>
      <c r="G1270" s="57" t="s">
        <v>16</v>
      </c>
      <c r="H1270" s="519">
        <v>1</v>
      </c>
      <c r="I1270" s="519">
        <v>1</v>
      </c>
      <c r="J1270" s="519">
        <v>3</v>
      </c>
      <c r="K1270" s="519">
        <v>3</v>
      </c>
      <c r="L1270" s="520">
        <v>3</v>
      </c>
      <c r="M1270" s="521">
        <f t="shared" si="40"/>
        <v>1.1181151966036349</v>
      </c>
      <c r="N1270" s="522"/>
    </row>
    <row r="1271" spans="1:14" hidden="1" x14ac:dyDescent="0.2">
      <c r="A1271" s="523" t="s">
        <v>321</v>
      </c>
      <c r="B1271" s="515" t="s">
        <v>463</v>
      </c>
      <c r="C1271" s="247" t="s">
        <v>39</v>
      </c>
      <c r="D1271" s="516" t="s">
        <v>135</v>
      </c>
      <c r="E1271" s="517">
        <v>2.9662407862407862E-3</v>
      </c>
      <c r="F1271" s="518" t="s">
        <v>133</v>
      </c>
      <c r="G1271" s="57" t="s">
        <v>16</v>
      </c>
      <c r="H1271" s="519">
        <v>1</v>
      </c>
      <c r="I1271" s="519">
        <v>1</v>
      </c>
      <c r="J1271" s="519">
        <v>3</v>
      </c>
      <c r="K1271" s="519">
        <v>3</v>
      </c>
      <c r="L1271" s="520">
        <v>3</v>
      </c>
      <c r="M1271" s="521">
        <f t="shared" si="40"/>
        <v>1.1181151966036349</v>
      </c>
      <c r="N1271" s="522"/>
    </row>
    <row r="1272" spans="1:14" hidden="1" x14ac:dyDescent="0.2">
      <c r="A1272" s="523" t="s">
        <v>321</v>
      </c>
      <c r="B1272" s="515" t="s">
        <v>463</v>
      </c>
      <c r="C1272" s="247" t="s">
        <v>40</v>
      </c>
      <c r="D1272" s="516" t="s">
        <v>135</v>
      </c>
      <c r="E1272" s="517">
        <v>9.5857758620689656E-4</v>
      </c>
      <c r="F1272" s="518" t="s">
        <v>133</v>
      </c>
      <c r="G1272" s="57" t="s">
        <v>16</v>
      </c>
      <c r="H1272" s="519">
        <v>1</v>
      </c>
      <c r="I1272" s="519">
        <v>1</v>
      </c>
      <c r="J1272" s="519">
        <v>3</v>
      </c>
      <c r="K1272" s="519">
        <v>3</v>
      </c>
      <c r="L1272" s="520">
        <v>3</v>
      </c>
      <c r="M1272" s="521">
        <f t="shared" si="40"/>
        <v>1.1181151966036349</v>
      </c>
      <c r="N1272" s="522"/>
    </row>
    <row r="1273" spans="1:14" hidden="1" x14ac:dyDescent="0.2">
      <c r="A1273" s="523" t="s">
        <v>321</v>
      </c>
      <c r="B1273" s="515" t="s">
        <v>463</v>
      </c>
      <c r="C1273" s="247" t="s">
        <v>41</v>
      </c>
      <c r="D1273" s="516" t="s">
        <v>135</v>
      </c>
      <c r="E1273" s="517">
        <v>4.352054794520548E-4</v>
      </c>
      <c r="F1273" s="518" t="s">
        <v>133</v>
      </c>
      <c r="G1273" s="57" t="s">
        <v>16</v>
      </c>
      <c r="H1273" s="519">
        <v>1</v>
      </c>
      <c r="I1273" s="519">
        <v>1</v>
      </c>
      <c r="J1273" s="519">
        <v>3</v>
      </c>
      <c r="K1273" s="519">
        <v>3</v>
      </c>
      <c r="L1273" s="520">
        <v>3</v>
      </c>
      <c r="M1273" s="521">
        <f t="shared" si="40"/>
        <v>1.1181151966036349</v>
      </c>
      <c r="N1273" s="522"/>
    </row>
    <row r="1274" spans="1:14" hidden="1" x14ac:dyDescent="0.2">
      <c r="A1274" s="523" t="s">
        <v>321</v>
      </c>
      <c r="B1274" s="515" t="s">
        <v>463</v>
      </c>
      <c r="C1274" s="247" t="s">
        <v>42</v>
      </c>
      <c r="D1274" s="516" t="s">
        <v>135</v>
      </c>
      <c r="E1274" s="517">
        <v>2.1274553571428568E-3</v>
      </c>
      <c r="F1274" s="518" t="s">
        <v>133</v>
      </c>
      <c r="G1274" s="57" t="s">
        <v>16</v>
      </c>
      <c r="H1274" s="519">
        <v>1</v>
      </c>
      <c r="I1274" s="519">
        <v>1</v>
      </c>
      <c r="J1274" s="519">
        <v>3</v>
      </c>
      <c r="K1274" s="519">
        <v>3</v>
      </c>
      <c r="L1274" s="520">
        <v>3</v>
      </c>
      <c r="M1274" s="521">
        <f t="shared" si="40"/>
        <v>1.1181151966036349</v>
      </c>
      <c r="N1274" s="522"/>
    </row>
    <row r="1275" spans="1:14" hidden="1" x14ac:dyDescent="0.2">
      <c r="A1275" s="523" t="s">
        <v>321</v>
      </c>
      <c r="B1275" s="515" t="s">
        <v>463</v>
      </c>
      <c r="C1275" s="247" t="s">
        <v>43</v>
      </c>
      <c r="D1275" s="516" t="s">
        <v>135</v>
      </c>
      <c r="E1275" s="517">
        <v>4.9737769080234839E-4</v>
      </c>
      <c r="F1275" s="518" t="s">
        <v>133</v>
      </c>
      <c r="G1275" s="57" t="s">
        <v>16</v>
      </c>
      <c r="H1275" s="519">
        <v>1</v>
      </c>
      <c r="I1275" s="519">
        <v>1</v>
      </c>
      <c r="J1275" s="519">
        <v>3</v>
      </c>
      <c r="K1275" s="519">
        <v>3</v>
      </c>
      <c r="L1275" s="520">
        <v>3</v>
      </c>
      <c r="M1275" s="521">
        <f t="shared" si="40"/>
        <v>1.1181151966036349</v>
      </c>
      <c r="N1275" s="522"/>
    </row>
    <row r="1276" spans="1:14" x14ac:dyDescent="0.2">
      <c r="A1276" s="523" t="s">
        <v>321</v>
      </c>
      <c r="B1276" s="515" t="s">
        <v>463</v>
      </c>
      <c r="C1276" s="247" t="s">
        <v>45</v>
      </c>
      <c r="D1276" s="516" t="s">
        <v>135</v>
      </c>
      <c r="E1276" s="517">
        <v>6.8784844384303125E-4</v>
      </c>
      <c r="F1276" s="518" t="s">
        <v>133</v>
      </c>
      <c r="G1276" s="57" t="s">
        <v>16</v>
      </c>
      <c r="H1276" s="519">
        <v>1</v>
      </c>
      <c r="I1276" s="519">
        <v>1</v>
      </c>
      <c r="J1276" s="519">
        <v>3</v>
      </c>
      <c r="K1276" s="519">
        <v>3</v>
      </c>
      <c r="L1276" s="520">
        <v>3</v>
      </c>
      <c r="M1276" s="521">
        <f t="shared" si="40"/>
        <v>1.1181151966036349</v>
      </c>
      <c r="N1276" s="522"/>
    </row>
    <row r="1277" spans="1:14" hidden="1" x14ac:dyDescent="0.2">
      <c r="A1277" s="523" t="s">
        <v>321</v>
      </c>
      <c r="B1277" s="515" t="s">
        <v>463</v>
      </c>
      <c r="C1277" s="247" t="s">
        <v>46</v>
      </c>
      <c r="D1277" s="516" t="s">
        <v>135</v>
      </c>
      <c r="E1277" s="517">
        <v>1.2553495440729479E-3</v>
      </c>
      <c r="F1277" s="518" t="s">
        <v>133</v>
      </c>
      <c r="G1277" s="57" t="s">
        <v>16</v>
      </c>
      <c r="H1277" s="519">
        <v>1</v>
      </c>
      <c r="I1277" s="519">
        <v>1</v>
      </c>
      <c r="J1277" s="519">
        <v>3</v>
      </c>
      <c r="K1277" s="519">
        <v>3</v>
      </c>
      <c r="L1277" s="520">
        <v>3</v>
      </c>
      <c r="M1277" s="521">
        <f t="shared" si="40"/>
        <v>1.1181151966036349</v>
      </c>
      <c r="N1277" s="522"/>
    </row>
    <row r="1278" spans="1:14" hidden="1" x14ac:dyDescent="0.2">
      <c r="A1278" s="523" t="s">
        <v>321</v>
      </c>
      <c r="B1278" s="515" t="s">
        <v>463</v>
      </c>
      <c r="C1278" s="247" t="s">
        <v>48</v>
      </c>
      <c r="D1278" s="516" t="s">
        <v>135</v>
      </c>
      <c r="E1278" s="517">
        <v>9.3994082840236678E-4</v>
      </c>
      <c r="F1278" s="518" t="s">
        <v>133</v>
      </c>
      <c r="G1278" s="57" t="s">
        <v>16</v>
      </c>
      <c r="H1278" s="519">
        <v>1</v>
      </c>
      <c r="I1278" s="519">
        <v>1</v>
      </c>
      <c r="J1278" s="519">
        <v>3</v>
      </c>
      <c r="K1278" s="519">
        <v>3</v>
      </c>
      <c r="L1278" s="520">
        <v>3</v>
      </c>
      <c r="M1278" s="521">
        <f t="shared" si="40"/>
        <v>1.1181151966036349</v>
      </c>
      <c r="N1278" s="522"/>
    </row>
    <row r="1279" spans="1:14" hidden="1" x14ac:dyDescent="0.2">
      <c r="A1279" s="523" t="s">
        <v>321</v>
      </c>
      <c r="B1279" s="515" t="s">
        <v>463</v>
      </c>
      <c r="C1279" s="247" t="s">
        <v>50</v>
      </c>
      <c r="D1279" s="516" t="s">
        <v>135</v>
      </c>
      <c r="E1279" s="517">
        <v>5.72327205882353E-3</v>
      </c>
      <c r="F1279" s="518" t="s">
        <v>133</v>
      </c>
      <c r="G1279" s="57" t="s">
        <v>16</v>
      </c>
      <c r="H1279" s="519">
        <v>1</v>
      </c>
      <c r="I1279" s="519">
        <v>1</v>
      </c>
      <c r="J1279" s="519">
        <v>3</v>
      </c>
      <c r="K1279" s="519">
        <v>3</v>
      </c>
      <c r="L1279" s="520">
        <v>3</v>
      </c>
      <c r="M1279" s="521">
        <f t="shared" si="40"/>
        <v>1.1181151966036349</v>
      </c>
      <c r="N1279" s="522"/>
    </row>
    <row r="1280" spans="1:14" hidden="1" x14ac:dyDescent="0.2">
      <c r="A1280" s="523" t="s">
        <v>321</v>
      </c>
      <c r="B1280" s="515" t="s">
        <v>463</v>
      </c>
      <c r="C1280" s="247" t="s">
        <v>52</v>
      </c>
      <c r="D1280" s="516" t="s">
        <v>135</v>
      </c>
      <c r="E1280" s="517">
        <v>9.2086956521739128E-4</v>
      </c>
      <c r="F1280" s="518" t="s">
        <v>133</v>
      </c>
      <c r="G1280" s="57" t="s">
        <v>16</v>
      </c>
      <c r="H1280" s="519">
        <v>1</v>
      </c>
      <c r="I1280" s="519">
        <v>1</v>
      </c>
      <c r="J1280" s="519">
        <v>3</v>
      </c>
      <c r="K1280" s="519">
        <v>3</v>
      </c>
      <c r="L1280" s="520">
        <v>3</v>
      </c>
      <c r="M1280" s="521">
        <f t="shared" si="40"/>
        <v>1.1181151966036349</v>
      </c>
      <c r="N1280" s="522"/>
    </row>
    <row r="1281" spans="1:14" hidden="1" x14ac:dyDescent="0.2">
      <c r="A1281" s="523" t="s">
        <v>321</v>
      </c>
      <c r="B1281" s="515" t="s">
        <v>463</v>
      </c>
      <c r="C1281" s="247" t="s">
        <v>54</v>
      </c>
      <c r="D1281" s="516" t="s">
        <v>135</v>
      </c>
      <c r="E1281" s="517">
        <v>5.8833333333333329E-4</v>
      </c>
      <c r="F1281" s="518" t="s">
        <v>133</v>
      </c>
      <c r="G1281" s="57" t="s">
        <v>16</v>
      </c>
      <c r="H1281" s="519">
        <v>1</v>
      </c>
      <c r="I1281" s="519">
        <v>1</v>
      </c>
      <c r="J1281" s="519">
        <v>3</v>
      </c>
      <c r="K1281" s="519">
        <v>3</v>
      </c>
      <c r="L1281" s="520">
        <v>3</v>
      </c>
      <c r="M1281" s="521">
        <f t="shared" si="40"/>
        <v>1.1181151966036349</v>
      </c>
      <c r="N1281" s="522"/>
    </row>
    <row r="1282" spans="1:14" hidden="1" x14ac:dyDescent="0.2">
      <c r="A1282" s="523" t="s">
        <v>321</v>
      </c>
      <c r="B1282" s="515" t="s">
        <v>463</v>
      </c>
      <c r="C1282" s="247" t="s">
        <v>55</v>
      </c>
      <c r="D1282" s="516" t="s">
        <v>135</v>
      </c>
      <c r="E1282" s="517">
        <v>1.2708000000000001E-3</v>
      </c>
      <c r="F1282" s="518" t="s">
        <v>133</v>
      </c>
      <c r="G1282" s="57" t="s">
        <v>16</v>
      </c>
      <c r="H1282" s="519">
        <v>1</v>
      </c>
      <c r="I1282" s="519">
        <v>1</v>
      </c>
      <c r="J1282" s="519">
        <v>3</v>
      </c>
      <c r="K1282" s="519">
        <v>3</v>
      </c>
      <c r="L1282" s="520">
        <v>3</v>
      </c>
      <c r="M1282" s="521">
        <f t="shared" si="40"/>
        <v>1.1181151966036349</v>
      </c>
      <c r="N1282" s="522"/>
    </row>
    <row r="1283" spans="1:14" hidden="1" x14ac:dyDescent="0.2">
      <c r="A1283" s="523" t="s">
        <v>321</v>
      </c>
      <c r="B1283" s="515" t="s">
        <v>463</v>
      </c>
      <c r="C1283" s="247" t="s">
        <v>57</v>
      </c>
      <c r="D1283" s="516" t="s">
        <v>135</v>
      </c>
      <c r="E1283" s="517">
        <v>5.8562211981566818E-4</v>
      </c>
      <c r="F1283" s="518" t="s">
        <v>133</v>
      </c>
      <c r="G1283" s="57" t="s">
        <v>16</v>
      </c>
      <c r="H1283" s="519">
        <v>1</v>
      </c>
      <c r="I1283" s="519">
        <v>1</v>
      </c>
      <c r="J1283" s="519">
        <v>3</v>
      </c>
      <c r="K1283" s="519">
        <v>3</v>
      </c>
      <c r="L1283" s="520">
        <v>3</v>
      </c>
      <c r="M1283" s="521">
        <f t="shared" si="40"/>
        <v>1.1181151966036349</v>
      </c>
      <c r="N1283" s="522"/>
    </row>
    <row r="1284" spans="1:14" hidden="1" x14ac:dyDescent="0.2">
      <c r="A1284" s="523" t="s">
        <v>321</v>
      </c>
      <c r="B1284" s="515" t="s">
        <v>463</v>
      </c>
      <c r="C1284" s="247" t="s">
        <v>59</v>
      </c>
      <c r="D1284" s="516" t="s">
        <v>135</v>
      </c>
      <c r="E1284" s="517">
        <v>2.7E-4</v>
      </c>
      <c r="F1284" s="518" t="s">
        <v>133</v>
      </c>
      <c r="G1284" s="57" t="s">
        <v>16</v>
      </c>
      <c r="H1284" s="519">
        <v>1</v>
      </c>
      <c r="I1284" s="519">
        <v>1</v>
      </c>
      <c r="J1284" s="519">
        <v>3</v>
      </c>
      <c r="K1284" s="519">
        <v>3</v>
      </c>
      <c r="L1284" s="520">
        <v>3</v>
      </c>
      <c r="M1284" s="521">
        <f t="shared" si="40"/>
        <v>1.1181151966036349</v>
      </c>
      <c r="N1284" s="522"/>
    </row>
    <row r="1285" spans="1:14" hidden="1" x14ac:dyDescent="0.2">
      <c r="A1285" s="523" t="s">
        <v>321</v>
      </c>
      <c r="B1285" s="515" t="s">
        <v>463</v>
      </c>
      <c r="C1285" s="247" t="s">
        <v>60</v>
      </c>
      <c r="D1285" s="516" t="s">
        <v>135</v>
      </c>
      <c r="E1285" s="517">
        <v>1.23511879049676E-3</v>
      </c>
      <c r="F1285" s="518" t="s">
        <v>133</v>
      </c>
      <c r="G1285" s="57" t="s">
        <v>16</v>
      </c>
      <c r="H1285" s="519">
        <v>1</v>
      </c>
      <c r="I1285" s="519">
        <v>1</v>
      </c>
      <c r="J1285" s="519">
        <v>3</v>
      </c>
      <c r="K1285" s="519">
        <v>3</v>
      </c>
      <c r="L1285" s="520">
        <v>3</v>
      </c>
      <c r="M1285" s="521">
        <f t="shared" si="40"/>
        <v>1.1181151966036349</v>
      </c>
      <c r="N1285" s="522"/>
    </row>
    <row r="1286" spans="1:14" x14ac:dyDescent="0.2">
      <c r="A1286" s="523" t="s">
        <v>321</v>
      </c>
      <c r="B1286" s="524" t="s">
        <v>488</v>
      </c>
      <c r="C1286" s="525" t="s">
        <v>135</v>
      </c>
      <c r="D1286" s="527" t="s">
        <v>135</v>
      </c>
      <c r="E1286" s="852">
        <v>2.0400000000000001E-2</v>
      </c>
      <c r="F1286" s="333" t="s">
        <v>489</v>
      </c>
      <c r="G1286" s="528" t="s">
        <v>16</v>
      </c>
      <c r="H1286" s="527">
        <v>3</v>
      </c>
      <c r="I1286" s="527">
        <v>1</v>
      </c>
      <c r="J1286" s="527">
        <v>3</v>
      </c>
      <c r="K1286" s="527">
        <v>1</v>
      </c>
      <c r="L1286" s="529">
        <v>1</v>
      </c>
      <c r="M1286" s="60">
        <f t="shared" si="40"/>
        <v>0.48935255543384243</v>
      </c>
      <c r="N1286" s="530"/>
    </row>
    <row r="1287" spans="1:14" x14ac:dyDescent="0.2">
      <c r="A1287" s="523" t="s">
        <v>321</v>
      </c>
      <c r="B1287" s="524" t="s">
        <v>488</v>
      </c>
      <c r="C1287" s="525" t="s">
        <v>135</v>
      </c>
      <c r="D1287" s="527" t="s">
        <v>135</v>
      </c>
      <c r="E1287" s="852">
        <v>2.8000000000000001E-2</v>
      </c>
      <c r="F1287" s="333" t="s">
        <v>489</v>
      </c>
      <c r="G1287" s="528" t="s">
        <v>16</v>
      </c>
      <c r="H1287" s="527">
        <v>3</v>
      </c>
      <c r="I1287" s="527">
        <v>1</v>
      </c>
      <c r="J1287" s="527">
        <v>3</v>
      </c>
      <c r="K1287" s="527">
        <v>1</v>
      </c>
      <c r="L1287" s="529">
        <v>1</v>
      </c>
      <c r="M1287" s="60">
        <f t="shared" si="40"/>
        <v>0.48935255543384243</v>
      </c>
      <c r="N1287" s="530"/>
    </row>
    <row r="1288" spans="1:14" x14ac:dyDescent="0.2">
      <c r="A1288" s="523" t="s">
        <v>321</v>
      </c>
      <c r="B1288" s="524" t="s">
        <v>480</v>
      </c>
      <c r="C1288" s="525" t="s">
        <v>135</v>
      </c>
      <c r="D1288" s="527" t="s">
        <v>135</v>
      </c>
      <c r="E1288" s="852">
        <v>2.9999999999999997E-4</v>
      </c>
      <c r="F1288" s="333" t="s">
        <v>487</v>
      </c>
      <c r="G1288" s="528" t="s">
        <v>16</v>
      </c>
      <c r="H1288" s="527">
        <v>2</v>
      </c>
      <c r="I1288" s="527">
        <v>2</v>
      </c>
      <c r="J1288" s="527">
        <v>2</v>
      </c>
      <c r="K1288" s="527">
        <v>2</v>
      </c>
      <c r="L1288" s="529">
        <v>1</v>
      </c>
      <c r="M1288" s="60">
        <f>IF( OR( ISBLANK(H1288),ISBLANK(I1288), ISBLANK(J1288), ISBLANK(K1288), ISBLANK(L1288) ), "", 1.5*SQRT(   EXP(2.21*(H1288-1)) + EXP(2.21*(I1288-1)) + EXP(2.21*(J1288-1)) + EXP(2.21*(K1288-1)) + EXP(2.21*L1288)   )/100*2.45 )</f>
        <v>0.24810627482064512</v>
      </c>
      <c r="N1288" s="530"/>
    </row>
    <row r="1289" spans="1:14" x14ac:dyDescent="0.2">
      <c r="A1289" s="523" t="s">
        <v>321</v>
      </c>
      <c r="B1289" s="524" t="s">
        <v>480</v>
      </c>
      <c r="C1289" s="525" t="s">
        <v>135</v>
      </c>
      <c r="D1289" s="527" t="s">
        <v>135</v>
      </c>
      <c r="E1289" s="852">
        <v>3.0000000000000001E-3</v>
      </c>
      <c r="F1289" s="333" t="s">
        <v>487</v>
      </c>
      <c r="G1289" s="528" t="s">
        <v>16</v>
      </c>
      <c r="H1289" s="527">
        <v>2</v>
      </c>
      <c r="I1289" s="527">
        <v>2</v>
      </c>
      <c r="J1289" s="527">
        <v>2</v>
      </c>
      <c r="K1289" s="527">
        <v>2</v>
      </c>
      <c r="L1289" s="529">
        <v>1</v>
      </c>
      <c r="M1289" s="60">
        <f t="shared" ref="M1289:M1320" si="41">IF( OR( ISBLANK(H1289),ISBLANK(I1289), ISBLANK(J1289), ISBLANK(K1289), ISBLANK(L1289) ), "", 1.5*SQRT( EXP(2.21*(H1289-1)) + EXP(2.21*(I1289-1)) + EXP(2.21*(J1289-1)) + EXP(2.21*(K1289-1)) + EXP(2.21*L1289) )/100*2.45 )</f>
        <v>0.24810627482064512</v>
      </c>
      <c r="N1289" s="530"/>
    </row>
    <row r="1290" spans="1:14" hidden="1" x14ac:dyDescent="0.2">
      <c r="A1290" s="542" t="s">
        <v>329</v>
      </c>
      <c r="B1290" s="543" t="s">
        <v>463</v>
      </c>
      <c r="C1290" s="265" t="s">
        <v>13</v>
      </c>
      <c r="D1290" s="544" t="s">
        <v>135</v>
      </c>
      <c r="E1290" s="545">
        <v>4.9383419689119179E-4</v>
      </c>
      <c r="F1290" s="546" t="s">
        <v>133</v>
      </c>
      <c r="G1290" s="547" t="s">
        <v>16</v>
      </c>
      <c r="H1290" s="548">
        <v>1</v>
      </c>
      <c r="I1290" s="548">
        <v>1</v>
      </c>
      <c r="J1290" s="548">
        <v>3</v>
      </c>
      <c r="K1290" s="548">
        <v>3</v>
      </c>
      <c r="L1290" s="549">
        <v>3</v>
      </c>
      <c r="M1290" s="550">
        <f t="shared" si="41"/>
        <v>1.1181151966036349</v>
      </c>
      <c r="N1290" s="551"/>
    </row>
    <row r="1291" spans="1:14" hidden="1" x14ac:dyDescent="0.2">
      <c r="A1291" s="523" t="s">
        <v>329</v>
      </c>
      <c r="B1291" s="515" t="s">
        <v>463</v>
      </c>
      <c r="C1291" s="247" t="s">
        <v>18</v>
      </c>
      <c r="D1291" s="516" t="s">
        <v>135</v>
      </c>
      <c r="E1291" s="517">
        <v>6.2141809290953553E-4</v>
      </c>
      <c r="F1291" s="518" t="s">
        <v>133</v>
      </c>
      <c r="G1291" s="57" t="s">
        <v>16</v>
      </c>
      <c r="H1291" s="519">
        <v>1</v>
      </c>
      <c r="I1291" s="519">
        <v>1</v>
      </c>
      <c r="J1291" s="519">
        <v>3</v>
      </c>
      <c r="K1291" s="519">
        <v>3</v>
      </c>
      <c r="L1291" s="520">
        <v>3</v>
      </c>
      <c r="M1291" s="521">
        <f t="shared" si="41"/>
        <v>1.1181151966036349</v>
      </c>
      <c r="N1291" s="522"/>
    </row>
    <row r="1292" spans="1:14" hidden="1" x14ac:dyDescent="0.2">
      <c r="A1292" s="523" t="s">
        <v>329</v>
      </c>
      <c r="B1292" s="515" t="s">
        <v>463</v>
      </c>
      <c r="C1292" s="247" t="s">
        <v>20</v>
      </c>
      <c r="D1292" s="516" t="s">
        <v>135</v>
      </c>
      <c r="E1292" s="517">
        <v>1.717297297297297E-3</v>
      </c>
      <c r="F1292" s="518" t="s">
        <v>133</v>
      </c>
      <c r="G1292" s="57" t="s">
        <v>16</v>
      </c>
      <c r="H1292" s="519">
        <v>1</v>
      </c>
      <c r="I1292" s="519">
        <v>1</v>
      </c>
      <c r="J1292" s="519">
        <v>3</v>
      </c>
      <c r="K1292" s="519">
        <v>3</v>
      </c>
      <c r="L1292" s="520">
        <v>3</v>
      </c>
      <c r="M1292" s="521">
        <f t="shared" si="41"/>
        <v>1.1181151966036349</v>
      </c>
      <c r="N1292" s="522"/>
    </row>
    <row r="1293" spans="1:14" hidden="1" x14ac:dyDescent="0.2">
      <c r="A1293" s="523" t="s">
        <v>329</v>
      </c>
      <c r="B1293" s="515" t="s">
        <v>463</v>
      </c>
      <c r="C1293" s="247" t="s">
        <v>22</v>
      </c>
      <c r="D1293" s="516" t="s">
        <v>135</v>
      </c>
      <c r="E1293" s="517">
        <v>1.397291666666666E-3</v>
      </c>
      <c r="F1293" s="518" t="s">
        <v>133</v>
      </c>
      <c r="G1293" s="57" t="s">
        <v>16</v>
      </c>
      <c r="H1293" s="519">
        <v>1</v>
      </c>
      <c r="I1293" s="519">
        <v>1</v>
      </c>
      <c r="J1293" s="519">
        <v>3</v>
      </c>
      <c r="K1293" s="519">
        <v>3</v>
      </c>
      <c r="L1293" s="520">
        <v>3</v>
      </c>
      <c r="M1293" s="521">
        <f t="shared" si="41"/>
        <v>1.1181151966036349</v>
      </c>
      <c r="N1293" s="522"/>
    </row>
    <row r="1294" spans="1:14" hidden="1" x14ac:dyDescent="0.2">
      <c r="A1294" s="523" t="s">
        <v>329</v>
      </c>
      <c r="B1294" s="515" t="s">
        <v>463</v>
      </c>
      <c r="C1294" s="247" t="s">
        <v>23</v>
      </c>
      <c r="D1294" s="516" t="s">
        <v>135</v>
      </c>
      <c r="E1294" s="517">
        <v>1.868823529411765E-3</v>
      </c>
      <c r="F1294" s="518" t="s">
        <v>133</v>
      </c>
      <c r="G1294" s="57" t="s">
        <v>16</v>
      </c>
      <c r="H1294" s="519">
        <v>1</v>
      </c>
      <c r="I1294" s="519">
        <v>1</v>
      </c>
      <c r="J1294" s="519">
        <v>3</v>
      </c>
      <c r="K1294" s="519">
        <v>3</v>
      </c>
      <c r="L1294" s="520">
        <v>3</v>
      </c>
      <c r="M1294" s="521">
        <f t="shared" si="41"/>
        <v>1.1181151966036349</v>
      </c>
      <c r="N1294" s="522"/>
    </row>
    <row r="1295" spans="1:14" hidden="1" x14ac:dyDescent="0.2">
      <c r="A1295" s="523" t="s">
        <v>329</v>
      </c>
      <c r="B1295" s="515" t="s">
        <v>463</v>
      </c>
      <c r="C1295" s="247" t="s">
        <v>24</v>
      </c>
      <c r="D1295" s="516" t="s">
        <v>135</v>
      </c>
      <c r="E1295" s="517">
        <v>8.3605263157894745E-4</v>
      </c>
      <c r="F1295" s="518" t="s">
        <v>133</v>
      </c>
      <c r="G1295" s="57" t="s">
        <v>16</v>
      </c>
      <c r="H1295" s="519">
        <v>1</v>
      </c>
      <c r="I1295" s="519">
        <v>1</v>
      </c>
      <c r="J1295" s="519">
        <v>3</v>
      </c>
      <c r="K1295" s="519">
        <v>3</v>
      </c>
      <c r="L1295" s="520">
        <v>3</v>
      </c>
      <c r="M1295" s="521">
        <f t="shared" si="41"/>
        <v>1.1181151966036349</v>
      </c>
      <c r="N1295" s="522"/>
    </row>
    <row r="1296" spans="1:14" hidden="1" x14ac:dyDescent="0.2">
      <c r="A1296" s="523" t="s">
        <v>329</v>
      </c>
      <c r="B1296" s="515" t="s">
        <v>463</v>
      </c>
      <c r="C1296" s="247" t="s">
        <v>25</v>
      </c>
      <c r="D1296" s="516" t="s">
        <v>135</v>
      </c>
      <c r="E1296" s="517">
        <v>4.2932432432432442E-4</v>
      </c>
      <c r="F1296" s="518" t="s">
        <v>133</v>
      </c>
      <c r="G1296" s="57" t="s">
        <v>16</v>
      </c>
      <c r="H1296" s="519">
        <v>1</v>
      </c>
      <c r="I1296" s="519">
        <v>1</v>
      </c>
      <c r="J1296" s="519">
        <v>3</v>
      </c>
      <c r="K1296" s="519">
        <v>3</v>
      </c>
      <c r="L1296" s="520">
        <v>3</v>
      </c>
      <c r="M1296" s="521">
        <f t="shared" si="41"/>
        <v>1.1181151966036349</v>
      </c>
      <c r="N1296" s="522"/>
    </row>
    <row r="1297" spans="1:14" hidden="1" x14ac:dyDescent="0.2">
      <c r="A1297" s="523" t="s">
        <v>329</v>
      </c>
      <c r="B1297" s="515" t="s">
        <v>463</v>
      </c>
      <c r="C1297" s="247" t="s">
        <v>26</v>
      </c>
      <c r="D1297" s="516" t="s">
        <v>135</v>
      </c>
      <c r="E1297" s="517">
        <v>2.9808888888888888E-3</v>
      </c>
      <c r="F1297" s="518" t="s">
        <v>133</v>
      </c>
      <c r="G1297" s="57" t="s">
        <v>16</v>
      </c>
      <c r="H1297" s="519">
        <v>1</v>
      </c>
      <c r="I1297" s="519">
        <v>1</v>
      </c>
      <c r="J1297" s="519">
        <v>3</v>
      </c>
      <c r="K1297" s="519">
        <v>3</v>
      </c>
      <c r="L1297" s="520">
        <v>3</v>
      </c>
      <c r="M1297" s="521">
        <f t="shared" si="41"/>
        <v>1.1181151966036349</v>
      </c>
      <c r="N1297" s="522"/>
    </row>
    <row r="1298" spans="1:14" hidden="1" x14ac:dyDescent="0.2">
      <c r="A1298" s="523" t="s">
        <v>329</v>
      </c>
      <c r="B1298" s="515" t="s">
        <v>463</v>
      </c>
      <c r="C1298" s="247" t="s">
        <v>27</v>
      </c>
      <c r="D1298" s="516" t="s">
        <v>135</v>
      </c>
      <c r="E1298" s="517">
        <v>3.4595281306715062E-4</v>
      </c>
      <c r="F1298" s="518" t="s">
        <v>133</v>
      </c>
      <c r="G1298" s="57" t="s">
        <v>16</v>
      </c>
      <c r="H1298" s="519">
        <v>1</v>
      </c>
      <c r="I1298" s="519">
        <v>1</v>
      </c>
      <c r="J1298" s="519">
        <v>3</v>
      </c>
      <c r="K1298" s="519">
        <v>3</v>
      </c>
      <c r="L1298" s="520">
        <v>3</v>
      </c>
      <c r="M1298" s="521">
        <f t="shared" si="41"/>
        <v>1.1181151966036349</v>
      </c>
      <c r="N1298" s="522"/>
    </row>
    <row r="1299" spans="1:14" hidden="1" x14ac:dyDescent="0.2">
      <c r="A1299" s="523" t="s">
        <v>329</v>
      </c>
      <c r="B1299" s="515" t="s">
        <v>463</v>
      </c>
      <c r="C1299" s="247" t="s">
        <v>28</v>
      </c>
      <c r="D1299" s="516" t="s">
        <v>135</v>
      </c>
      <c r="E1299" s="517">
        <v>7.4149012567324962E-4</v>
      </c>
      <c r="F1299" s="518" t="s">
        <v>133</v>
      </c>
      <c r="G1299" s="57" t="s">
        <v>16</v>
      </c>
      <c r="H1299" s="519">
        <v>1</v>
      </c>
      <c r="I1299" s="519">
        <v>1</v>
      </c>
      <c r="J1299" s="519">
        <v>3</v>
      </c>
      <c r="K1299" s="519">
        <v>3</v>
      </c>
      <c r="L1299" s="520">
        <v>3</v>
      </c>
      <c r="M1299" s="521">
        <f t="shared" si="41"/>
        <v>1.1181151966036349</v>
      </c>
      <c r="N1299" s="522"/>
    </row>
    <row r="1300" spans="1:14" hidden="1" x14ac:dyDescent="0.2">
      <c r="A1300" s="523" t="s">
        <v>329</v>
      </c>
      <c r="B1300" s="515" t="s">
        <v>463</v>
      </c>
      <c r="C1300" s="247" t="s">
        <v>30</v>
      </c>
      <c r="D1300" s="516" t="s">
        <v>135</v>
      </c>
      <c r="E1300" s="517">
        <v>5.242574257425742E-4</v>
      </c>
      <c r="F1300" s="518" t="s">
        <v>133</v>
      </c>
      <c r="G1300" s="57" t="s">
        <v>16</v>
      </c>
      <c r="H1300" s="519">
        <v>1</v>
      </c>
      <c r="I1300" s="519">
        <v>1</v>
      </c>
      <c r="J1300" s="519">
        <v>3</v>
      </c>
      <c r="K1300" s="519">
        <v>3</v>
      </c>
      <c r="L1300" s="520">
        <v>3</v>
      </c>
      <c r="M1300" s="521">
        <f t="shared" si="41"/>
        <v>1.1181151966036349</v>
      </c>
      <c r="N1300" s="522"/>
    </row>
    <row r="1301" spans="1:14" hidden="1" x14ac:dyDescent="0.2">
      <c r="A1301" s="523" t="s">
        <v>329</v>
      </c>
      <c r="B1301" s="515" t="s">
        <v>463</v>
      </c>
      <c r="C1301" s="247" t="s">
        <v>32</v>
      </c>
      <c r="D1301" s="516" t="s">
        <v>135</v>
      </c>
      <c r="E1301" s="517">
        <v>1.23378640776699E-3</v>
      </c>
      <c r="F1301" s="518" t="s">
        <v>133</v>
      </c>
      <c r="G1301" s="57" t="s">
        <v>16</v>
      </c>
      <c r="H1301" s="519">
        <v>1</v>
      </c>
      <c r="I1301" s="519">
        <v>1</v>
      </c>
      <c r="J1301" s="519">
        <v>3</v>
      </c>
      <c r="K1301" s="519">
        <v>3</v>
      </c>
      <c r="L1301" s="520">
        <v>3</v>
      </c>
      <c r="M1301" s="521">
        <f t="shared" si="41"/>
        <v>1.1181151966036349</v>
      </c>
      <c r="N1301" s="522"/>
    </row>
    <row r="1302" spans="1:14" hidden="1" x14ac:dyDescent="0.2">
      <c r="A1302" s="523" t="s">
        <v>329</v>
      </c>
      <c r="B1302" s="515" t="s">
        <v>463</v>
      </c>
      <c r="C1302" s="247" t="s">
        <v>34</v>
      </c>
      <c r="D1302" s="516" t="s">
        <v>135</v>
      </c>
      <c r="E1302" s="517">
        <v>1.5009448818897641E-3</v>
      </c>
      <c r="F1302" s="518" t="s">
        <v>133</v>
      </c>
      <c r="G1302" s="57" t="s">
        <v>16</v>
      </c>
      <c r="H1302" s="519">
        <v>1</v>
      </c>
      <c r="I1302" s="519">
        <v>1</v>
      </c>
      <c r="J1302" s="519">
        <v>3</v>
      </c>
      <c r="K1302" s="519">
        <v>3</v>
      </c>
      <c r="L1302" s="520">
        <v>3</v>
      </c>
      <c r="M1302" s="521">
        <f t="shared" si="41"/>
        <v>1.1181151966036349</v>
      </c>
      <c r="N1302" s="522"/>
    </row>
    <row r="1303" spans="1:14" hidden="1" x14ac:dyDescent="0.2">
      <c r="A1303" s="523" t="s">
        <v>329</v>
      </c>
      <c r="B1303" s="515" t="s">
        <v>463</v>
      </c>
      <c r="C1303" s="247" t="s">
        <v>36</v>
      </c>
      <c r="D1303" s="516" t="s">
        <v>135</v>
      </c>
      <c r="E1303" s="517">
        <v>1.4482051282051281E-3</v>
      </c>
      <c r="F1303" s="518" t="s">
        <v>133</v>
      </c>
      <c r="G1303" s="57" t="s">
        <v>16</v>
      </c>
      <c r="H1303" s="519">
        <v>1</v>
      </c>
      <c r="I1303" s="519">
        <v>1</v>
      </c>
      <c r="J1303" s="519">
        <v>3</v>
      </c>
      <c r="K1303" s="519">
        <v>3</v>
      </c>
      <c r="L1303" s="520">
        <v>3</v>
      </c>
      <c r="M1303" s="521">
        <f t="shared" si="41"/>
        <v>1.1181151966036349</v>
      </c>
      <c r="N1303" s="522"/>
    </row>
    <row r="1304" spans="1:14" hidden="1" x14ac:dyDescent="0.2">
      <c r="A1304" s="523" t="s">
        <v>329</v>
      </c>
      <c r="B1304" s="515" t="s">
        <v>463</v>
      </c>
      <c r="C1304" s="247" t="s">
        <v>37</v>
      </c>
      <c r="D1304" s="516" t="s">
        <v>135</v>
      </c>
      <c r="E1304" s="517">
        <v>6.0483967935871753E-3</v>
      </c>
      <c r="F1304" s="518" t="s">
        <v>133</v>
      </c>
      <c r="G1304" s="57" t="s">
        <v>16</v>
      </c>
      <c r="H1304" s="519">
        <v>1</v>
      </c>
      <c r="I1304" s="519">
        <v>1</v>
      </c>
      <c r="J1304" s="519">
        <v>3</v>
      </c>
      <c r="K1304" s="519">
        <v>3</v>
      </c>
      <c r="L1304" s="520">
        <v>3</v>
      </c>
      <c r="M1304" s="521">
        <f t="shared" si="41"/>
        <v>1.1181151966036349</v>
      </c>
      <c r="N1304" s="522"/>
    </row>
    <row r="1305" spans="1:14" hidden="1" x14ac:dyDescent="0.2">
      <c r="A1305" s="523" t="s">
        <v>329</v>
      </c>
      <c r="B1305" s="515" t="s">
        <v>463</v>
      </c>
      <c r="C1305" s="247" t="s">
        <v>39</v>
      </c>
      <c r="D1305" s="516" t="s">
        <v>135</v>
      </c>
      <c r="E1305" s="517">
        <v>2.9662407862407862E-3</v>
      </c>
      <c r="F1305" s="518" t="s">
        <v>133</v>
      </c>
      <c r="G1305" s="57" t="s">
        <v>16</v>
      </c>
      <c r="H1305" s="519">
        <v>1</v>
      </c>
      <c r="I1305" s="519">
        <v>1</v>
      </c>
      <c r="J1305" s="519">
        <v>3</v>
      </c>
      <c r="K1305" s="519">
        <v>3</v>
      </c>
      <c r="L1305" s="520">
        <v>3</v>
      </c>
      <c r="M1305" s="521">
        <f t="shared" si="41"/>
        <v>1.1181151966036349</v>
      </c>
      <c r="N1305" s="522"/>
    </row>
    <row r="1306" spans="1:14" hidden="1" x14ac:dyDescent="0.2">
      <c r="A1306" s="523" t="s">
        <v>329</v>
      </c>
      <c r="B1306" s="515" t="s">
        <v>463</v>
      </c>
      <c r="C1306" s="247" t="s">
        <v>40</v>
      </c>
      <c r="D1306" s="516" t="s">
        <v>135</v>
      </c>
      <c r="E1306" s="517">
        <v>9.5857758620689656E-4</v>
      </c>
      <c r="F1306" s="518" t="s">
        <v>133</v>
      </c>
      <c r="G1306" s="57" t="s">
        <v>16</v>
      </c>
      <c r="H1306" s="519">
        <v>1</v>
      </c>
      <c r="I1306" s="519">
        <v>1</v>
      </c>
      <c r="J1306" s="519">
        <v>3</v>
      </c>
      <c r="K1306" s="519">
        <v>3</v>
      </c>
      <c r="L1306" s="520">
        <v>3</v>
      </c>
      <c r="M1306" s="521">
        <f t="shared" si="41"/>
        <v>1.1181151966036349</v>
      </c>
      <c r="N1306" s="522"/>
    </row>
    <row r="1307" spans="1:14" hidden="1" x14ac:dyDescent="0.2">
      <c r="A1307" s="523" t="s">
        <v>329</v>
      </c>
      <c r="B1307" s="515" t="s">
        <v>463</v>
      </c>
      <c r="C1307" s="247" t="s">
        <v>41</v>
      </c>
      <c r="D1307" s="516" t="s">
        <v>135</v>
      </c>
      <c r="E1307" s="517">
        <v>4.352054794520548E-4</v>
      </c>
      <c r="F1307" s="518" t="s">
        <v>133</v>
      </c>
      <c r="G1307" s="57" t="s">
        <v>16</v>
      </c>
      <c r="H1307" s="519">
        <v>1</v>
      </c>
      <c r="I1307" s="519">
        <v>1</v>
      </c>
      <c r="J1307" s="519">
        <v>3</v>
      </c>
      <c r="K1307" s="519">
        <v>3</v>
      </c>
      <c r="L1307" s="520">
        <v>3</v>
      </c>
      <c r="M1307" s="521">
        <f t="shared" si="41"/>
        <v>1.1181151966036349</v>
      </c>
      <c r="N1307" s="522"/>
    </row>
    <row r="1308" spans="1:14" hidden="1" x14ac:dyDescent="0.2">
      <c r="A1308" s="523" t="s">
        <v>329</v>
      </c>
      <c r="B1308" s="515" t="s">
        <v>463</v>
      </c>
      <c r="C1308" s="247" t="s">
        <v>42</v>
      </c>
      <c r="D1308" s="516" t="s">
        <v>135</v>
      </c>
      <c r="E1308" s="517">
        <v>2.1274553571428568E-3</v>
      </c>
      <c r="F1308" s="518" t="s">
        <v>133</v>
      </c>
      <c r="G1308" s="57" t="s">
        <v>16</v>
      </c>
      <c r="H1308" s="519">
        <v>1</v>
      </c>
      <c r="I1308" s="519">
        <v>1</v>
      </c>
      <c r="J1308" s="519">
        <v>3</v>
      </c>
      <c r="K1308" s="519">
        <v>3</v>
      </c>
      <c r="L1308" s="520">
        <v>3</v>
      </c>
      <c r="M1308" s="521">
        <f t="shared" si="41"/>
        <v>1.1181151966036349</v>
      </c>
      <c r="N1308" s="522"/>
    </row>
    <row r="1309" spans="1:14" hidden="1" x14ac:dyDescent="0.2">
      <c r="A1309" s="523" t="s">
        <v>329</v>
      </c>
      <c r="B1309" s="515" t="s">
        <v>463</v>
      </c>
      <c r="C1309" s="247" t="s">
        <v>43</v>
      </c>
      <c r="D1309" s="516" t="s">
        <v>135</v>
      </c>
      <c r="E1309" s="517">
        <v>4.9737769080234839E-4</v>
      </c>
      <c r="F1309" s="518" t="s">
        <v>133</v>
      </c>
      <c r="G1309" s="57" t="s">
        <v>16</v>
      </c>
      <c r="H1309" s="519">
        <v>1</v>
      </c>
      <c r="I1309" s="519">
        <v>1</v>
      </c>
      <c r="J1309" s="519">
        <v>3</v>
      </c>
      <c r="K1309" s="519">
        <v>3</v>
      </c>
      <c r="L1309" s="520">
        <v>3</v>
      </c>
      <c r="M1309" s="521">
        <f t="shared" si="41"/>
        <v>1.1181151966036349</v>
      </c>
      <c r="N1309" s="522"/>
    </row>
    <row r="1310" spans="1:14" x14ac:dyDescent="0.2">
      <c r="A1310" s="523" t="s">
        <v>329</v>
      </c>
      <c r="B1310" s="515" t="s">
        <v>463</v>
      </c>
      <c r="C1310" s="247" t="s">
        <v>45</v>
      </c>
      <c r="D1310" s="516" t="s">
        <v>135</v>
      </c>
      <c r="E1310" s="517">
        <v>6.8784844384303125E-4</v>
      </c>
      <c r="F1310" s="518" t="s">
        <v>133</v>
      </c>
      <c r="G1310" s="57" t="s">
        <v>16</v>
      </c>
      <c r="H1310" s="519">
        <v>1</v>
      </c>
      <c r="I1310" s="519">
        <v>1</v>
      </c>
      <c r="J1310" s="519">
        <v>3</v>
      </c>
      <c r="K1310" s="519">
        <v>3</v>
      </c>
      <c r="L1310" s="520">
        <v>3</v>
      </c>
      <c r="M1310" s="521">
        <f t="shared" si="41"/>
        <v>1.1181151966036349</v>
      </c>
      <c r="N1310" s="522"/>
    </row>
    <row r="1311" spans="1:14" hidden="1" x14ac:dyDescent="0.2">
      <c r="A1311" s="523" t="s">
        <v>329</v>
      </c>
      <c r="B1311" s="515" t="s">
        <v>463</v>
      </c>
      <c r="C1311" s="247" t="s">
        <v>46</v>
      </c>
      <c r="D1311" s="516" t="s">
        <v>135</v>
      </c>
      <c r="E1311" s="517">
        <v>1.2553495440729479E-3</v>
      </c>
      <c r="F1311" s="518" t="s">
        <v>133</v>
      </c>
      <c r="G1311" s="57" t="s">
        <v>16</v>
      </c>
      <c r="H1311" s="519">
        <v>1</v>
      </c>
      <c r="I1311" s="519">
        <v>1</v>
      </c>
      <c r="J1311" s="519">
        <v>3</v>
      </c>
      <c r="K1311" s="519">
        <v>3</v>
      </c>
      <c r="L1311" s="520">
        <v>3</v>
      </c>
      <c r="M1311" s="521">
        <f t="shared" si="41"/>
        <v>1.1181151966036349</v>
      </c>
      <c r="N1311" s="522"/>
    </row>
    <row r="1312" spans="1:14" hidden="1" x14ac:dyDescent="0.2">
      <c r="A1312" s="523" t="s">
        <v>329</v>
      </c>
      <c r="B1312" s="515" t="s">
        <v>463</v>
      </c>
      <c r="C1312" s="247" t="s">
        <v>48</v>
      </c>
      <c r="D1312" s="516" t="s">
        <v>135</v>
      </c>
      <c r="E1312" s="517">
        <v>9.3994082840236678E-4</v>
      </c>
      <c r="F1312" s="518" t="s">
        <v>133</v>
      </c>
      <c r="G1312" s="57" t="s">
        <v>16</v>
      </c>
      <c r="H1312" s="519">
        <v>1</v>
      </c>
      <c r="I1312" s="519">
        <v>1</v>
      </c>
      <c r="J1312" s="519">
        <v>3</v>
      </c>
      <c r="K1312" s="519">
        <v>3</v>
      </c>
      <c r="L1312" s="520">
        <v>3</v>
      </c>
      <c r="M1312" s="521">
        <f t="shared" si="41"/>
        <v>1.1181151966036349</v>
      </c>
      <c r="N1312" s="522"/>
    </row>
    <row r="1313" spans="1:14" hidden="1" x14ac:dyDescent="0.2">
      <c r="A1313" s="523" t="s">
        <v>329</v>
      </c>
      <c r="B1313" s="515" t="s">
        <v>463</v>
      </c>
      <c r="C1313" s="247" t="s">
        <v>50</v>
      </c>
      <c r="D1313" s="516" t="s">
        <v>135</v>
      </c>
      <c r="E1313" s="517">
        <v>5.72327205882353E-3</v>
      </c>
      <c r="F1313" s="518" t="s">
        <v>133</v>
      </c>
      <c r="G1313" s="57" t="s">
        <v>16</v>
      </c>
      <c r="H1313" s="519">
        <v>1</v>
      </c>
      <c r="I1313" s="519">
        <v>1</v>
      </c>
      <c r="J1313" s="519">
        <v>3</v>
      </c>
      <c r="K1313" s="519">
        <v>3</v>
      </c>
      <c r="L1313" s="520">
        <v>3</v>
      </c>
      <c r="M1313" s="521">
        <f t="shared" si="41"/>
        <v>1.1181151966036349</v>
      </c>
      <c r="N1313" s="522"/>
    </row>
    <row r="1314" spans="1:14" hidden="1" x14ac:dyDescent="0.2">
      <c r="A1314" s="523" t="s">
        <v>329</v>
      </c>
      <c r="B1314" s="515" t="s">
        <v>463</v>
      </c>
      <c r="C1314" s="247" t="s">
        <v>52</v>
      </c>
      <c r="D1314" s="516" t="s">
        <v>135</v>
      </c>
      <c r="E1314" s="517">
        <v>9.2086956521739128E-4</v>
      </c>
      <c r="F1314" s="518" t="s">
        <v>133</v>
      </c>
      <c r="G1314" s="57" t="s">
        <v>16</v>
      </c>
      <c r="H1314" s="519">
        <v>1</v>
      </c>
      <c r="I1314" s="519">
        <v>1</v>
      </c>
      <c r="J1314" s="519">
        <v>3</v>
      </c>
      <c r="K1314" s="519">
        <v>3</v>
      </c>
      <c r="L1314" s="520">
        <v>3</v>
      </c>
      <c r="M1314" s="521">
        <f t="shared" si="41"/>
        <v>1.1181151966036349</v>
      </c>
      <c r="N1314" s="522"/>
    </row>
    <row r="1315" spans="1:14" hidden="1" x14ac:dyDescent="0.2">
      <c r="A1315" s="523" t="s">
        <v>329</v>
      </c>
      <c r="B1315" s="515" t="s">
        <v>463</v>
      </c>
      <c r="C1315" s="247" t="s">
        <v>54</v>
      </c>
      <c r="D1315" s="516" t="s">
        <v>135</v>
      </c>
      <c r="E1315" s="517">
        <v>5.8833333333333329E-4</v>
      </c>
      <c r="F1315" s="518" t="s">
        <v>133</v>
      </c>
      <c r="G1315" s="57" t="s">
        <v>16</v>
      </c>
      <c r="H1315" s="519">
        <v>1</v>
      </c>
      <c r="I1315" s="519">
        <v>1</v>
      </c>
      <c r="J1315" s="519">
        <v>3</v>
      </c>
      <c r="K1315" s="519">
        <v>3</v>
      </c>
      <c r="L1315" s="520">
        <v>3</v>
      </c>
      <c r="M1315" s="521">
        <f t="shared" si="41"/>
        <v>1.1181151966036349</v>
      </c>
      <c r="N1315" s="522"/>
    </row>
    <row r="1316" spans="1:14" hidden="1" x14ac:dyDescent="0.2">
      <c r="A1316" s="523" t="s">
        <v>329</v>
      </c>
      <c r="B1316" s="515" t="s">
        <v>463</v>
      </c>
      <c r="C1316" s="247" t="s">
        <v>55</v>
      </c>
      <c r="D1316" s="516" t="s">
        <v>135</v>
      </c>
      <c r="E1316" s="517">
        <v>1.2708000000000001E-3</v>
      </c>
      <c r="F1316" s="518" t="s">
        <v>133</v>
      </c>
      <c r="G1316" s="57" t="s">
        <v>16</v>
      </c>
      <c r="H1316" s="519">
        <v>1</v>
      </c>
      <c r="I1316" s="519">
        <v>1</v>
      </c>
      <c r="J1316" s="519">
        <v>3</v>
      </c>
      <c r="K1316" s="519">
        <v>3</v>
      </c>
      <c r="L1316" s="520">
        <v>3</v>
      </c>
      <c r="M1316" s="521">
        <f t="shared" si="41"/>
        <v>1.1181151966036349</v>
      </c>
      <c r="N1316" s="522"/>
    </row>
    <row r="1317" spans="1:14" hidden="1" x14ac:dyDescent="0.2">
      <c r="A1317" s="523" t="s">
        <v>329</v>
      </c>
      <c r="B1317" s="515" t="s">
        <v>463</v>
      </c>
      <c r="C1317" s="247" t="s">
        <v>57</v>
      </c>
      <c r="D1317" s="516" t="s">
        <v>135</v>
      </c>
      <c r="E1317" s="517">
        <v>5.8562211981566818E-4</v>
      </c>
      <c r="F1317" s="518" t="s">
        <v>133</v>
      </c>
      <c r="G1317" s="57" t="s">
        <v>16</v>
      </c>
      <c r="H1317" s="519">
        <v>1</v>
      </c>
      <c r="I1317" s="519">
        <v>1</v>
      </c>
      <c r="J1317" s="519">
        <v>3</v>
      </c>
      <c r="K1317" s="519">
        <v>3</v>
      </c>
      <c r="L1317" s="520">
        <v>3</v>
      </c>
      <c r="M1317" s="521">
        <f t="shared" si="41"/>
        <v>1.1181151966036349</v>
      </c>
      <c r="N1317" s="522"/>
    </row>
    <row r="1318" spans="1:14" hidden="1" x14ac:dyDescent="0.2">
      <c r="A1318" s="523" t="s">
        <v>329</v>
      </c>
      <c r="B1318" s="515" t="s">
        <v>463</v>
      </c>
      <c r="C1318" s="247" t="s">
        <v>59</v>
      </c>
      <c r="D1318" s="516" t="s">
        <v>135</v>
      </c>
      <c r="E1318" s="517">
        <v>2.7E-4</v>
      </c>
      <c r="F1318" s="518" t="s">
        <v>133</v>
      </c>
      <c r="G1318" s="57" t="s">
        <v>16</v>
      </c>
      <c r="H1318" s="519">
        <v>1</v>
      </c>
      <c r="I1318" s="519">
        <v>1</v>
      </c>
      <c r="J1318" s="519">
        <v>3</v>
      </c>
      <c r="K1318" s="519">
        <v>3</v>
      </c>
      <c r="L1318" s="520">
        <v>3</v>
      </c>
      <c r="M1318" s="521">
        <f t="shared" si="41"/>
        <v>1.1181151966036349</v>
      </c>
      <c r="N1318" s="522"/>
    </row>
    <row r="1319" spans="1:14" hidden="1" x14ac:dyDescent="0.2">
      <c r="A1319" s="523" t="s">
        <v>329</v>
      </c>
      <c r="B1319" s="515" t="s">
        <v>463</v>
      </c>
      <c r="C1319" s="247" t="s">
        <v>60</v>
      </c>
      <c r="D1319" s="516" t="s">
        <v>135</v>
      </c>
      <c r="E1319" s="517">
        <v>1.23511879049676E-3</v>
      </c>
      <c r="F1319" s="518" t="s">
        <v>133</v>
      </c>
      <c r="G1319" s="57" t="s">
        <v>16</v>
      </c>
      <c r="H1319" s="519">
        <v>1</v>
      </c>
      <c r="I1319" s="519">
        <v>1</v>
      </c>
      <c r="J1319" s="519">
        <v>3</v>
      </c>
      <c r="K1319" s="519">
        <v>3</v>
      </c>
      <c r="L1319" s="520">
        <v>3</v>
      </c>
      <c r="M1319" s="521">
        <f t="shared" si="41"/>
        <v>1.1181151966036349</v>
      </c>
      <c r="N1319" s="522"/>
    </row>
    <row r="1320" spans="1:14" x14ac:dyDescent="0.2">
      <c r="A1320" s="523" t="s">
        <v>329</v>
      </c>
      <c r="B1320" s="524" t="s">
        <v>488</v>
      </c>
      <c r="C1320" s="525" t="s">
        <v>135</v>
      </c>
      <c r="D1320" s="527" t="s">
        <v>135</v>
      </c>
      <c r="E1320" s="527">
        <v>1E-3</v>
      </c>
      <c r="F1320" s="333" t="s">
        <v>455</v>
      </c>
      <c r="G1320" s="528" t="s">
        <v>16</v>
      </c>
      <c r="H1320" s="527">
        <v>1</v>
      </c>
      <c r="I1320" s="527">
        <v>1</v>
      </c>
      <c r="J1320" s="527">
        <v>1</v>
      </c>
      <c r="K1320" s="527">
        <v>1</v>
      </c>
      <c r="L1320" s="529">
        <v>3</v>
      </c>
      <c r="M1320" s="60">
        <f t="shared" si="41"/>
        <v>1.0141150152164344</v>
      </c>
      <c r="N1320" s="530"/>
    </row>
    <row r="1321" spans="1:14" x14ac:dyDescent="0.2">
      <c r="A1321" s="523" t="s">
        <v>329</v>
      </c>
      <c r="B1321" s="524" t="s">
        <v>480</v>
      </c>
      <c r="C1321" s="525" t="s">
        <v>135</v>
      </c>
      <c r="D1321" s="527" t="s">
        <v>135</v>
      </c>
      <c r="E1321" s="539">
        <v>0</v>
      </c>
      <c r="F1321" s="333" t="s">
        <v>476</v>
      </c>
      <c r="G1321" s="528" t="s">
        <v>16</v>
      </c>
      <c r="H1321" s="539"/>
      <c r="I1321" s="539"/>
      <c r="J1321" s="539"/>
      <c r="K1321" s="539"/>
      <c r="L1321" s="540"/>
      <c r="M1321" s="541" t="str">
        <f t="shared" ref="M1321:M1351" si="42">IF( OR( ISBLANK(H1321),ISBLANK(I1321), ISBLANK(J1321), ISBLANK(K1321), ISBLANK(L1321) ), "", 1.5*SQRT( EXP(2.21*(H1321-1)) + EXP(2.21*(I1321-1)) + EXP(2.21*(J1321-1)) + EXP(2.21*(K1321-1)) + EXP(2.21*L1321) )/100*2.45 )</f>
        <v/>
      </c>
      <c r="N1321" s="530"/>
    </row>
    <row r="1322" spans="1:14" x14ac:dyDescent="0.2">
      <c r="A1322" s="523" t="s">
        <v>329</v>
      </c>
      <c r="B1322" s="524" t="s">
        <v>480</v>
      </c>
      <c r="C1322" s="525" t="s">
        <v>135</v>
      </c>
      <c r="D1322" s="527" t="s">
        <v>135</v>
      </c>
      <c r="E1322" s="527">
        <v>3.7999999999999999E-2</v>
      </c>
      <c r="F1322" s="333" t="s">
        <v>490</v>
      </c>
      <c r="G1322" s="528" t="s">
        <v>16</v>
      </c>
      <c r="H1322" s="527">
        <v>2</v>
      </c>
      <c r="I1322" s="527">
        <v>2</v>
      </c>
      <c r="J1322" s="527">
        <v>1</v>
      </c>
      <c r="K1322" s="527">
        <v>1</v>
      </c>
      <c r="L1322" s="529">
        <v>3</v>
      </c>
      <c r="M1322" s="60">
        <f t="shared" si="42"/>
        <v>1.0248662490928169</v>
      </c>
      <c r="N1322" s="530"/>
    </row>
    <row r="1323" spans="1:14" hidden="1" x14ac:dyDescent="0.2">
      <c r="A1323" s="542" t="s">
        <v>337</v>
      </c>
      <c r="B1323" s="543" t="s">
        <v>463</v>
      </c>
      <c r="C1323" s="265" t="s">
        <v>13</v>
      </c>
      <c r="D1323" s="544" t="s">
        <v>135</v>
      </c>
      <c r="E1323" s="545">
        <v>4.9383419689119179E-4</v>
      </c>
      <c r="F1323" s="546" t="s">
        <v>133</v>
      </c>
      <c r="G1323" s="547" t="s">
        <v>16</v>
      </c>
      <c r="H1323" s="548">
        <v>1</v>
      </c>
      <c r="I1323" s="548">
        <v>1</v>
      </c>
      <c r="J1323" s="548">
        <v>3</v>
      </c>
      <c r="K1323" s="548">
        <v>3</v>
      </c>
      <c r="L1323" s="549">
        <v>3</v>
      </c>
      <c r="M1323" s="550">
        <f t="shared" si="42"/>
        <v>1.1181151966036349</v>
      </c>
      <c r="N1323" s="551"/>
    </row>
    <row r="1324" spans="1:14" hidden="1" x14ac:dyDescent="0.2">
      <c r="A1324" s="523" t="s">
        <v>337</v>
      </c>
      <c r="B1324" s="515" t="s">
        <v>463</v>
      </c>
      <c r="C1324" s="247" t="s">
        <v>18</v>
      </c>
      <c r="D1324" s="516" t="s">
        <v>135</v>
      </c>
      <c r="E1324" s="517">
        <v>6.2141809290953553E-4</v>
      </c>
      <c r="F1324" s="518" t="s">
        <v>133</v>
      </c>
      <c r="G1324" s="57" t="s">
        <v>16</v>
      </c>
      <c r="H1324" s="519">
        <v>1</v>
      </c>
      <c r="I1324" s="519">
        <v>1</v>
      </c>
      <c r="J1324" s="519">
        <v>3</v>
      </c>
      <c r="K1324" s="519">
        <v>3</v>
      </c>
      <c r="L1324" s="520">
        <v>3</v>
      </c>
      <c r="M1324" s="521">
        <f t="shared" si="42"/>
        <v>1.1181151966036349</v>
      </c>
      <c r="N1324" s="522"/>
    </row>
    <row r="1325" spans="1:14" hidden="1" x14ac:dyDescent="0.2">
      <c r="A1325" s="523" t="s">
        <v>337</v>
      </c>
      <c r="B1325" s="515" t="s">
        <v>463</v>
      </c>
      <c r="C1325" s="247" t="s">
        <v>20</v>
      </c>
      <c r="D1325" s="516" t="s">
        <v>135</v>
      </c>
      <c r="E1325" s="517">
        <v>1.717297297297297E-3</v>
      </c>
      <c r="F1325" s="518" t="s">
        <v>133</v>
      </c>
      <c r="G1325" s="57" t="s">
        <v>16</v>
      </c>
      <c r="H1325" s="519">
        <v>1</v>
      </c>
      <c r="I1325" s="519">
        <v>1</v>
      </c>
      <c r="J1325" s="519">
        <v>3</v>
      </c>
      <c r="K1325" s="519">
        <v>3</v>
      </c>
      <c r="L1325" s="520">
        <v>3</v>
      </c>
      <c r="M1325" s="521">
        <f t="shared" si="42"/>
        <v>1.1181151966036349</v>
      </c>
      <c r="N1325" s="522"/>
    </row>
    <row r="1326" spans="1:14" hidden="1" x14ac:dyDescent="0.2">
      <c r="A1326" s="523" t="s">
        <v>337</v>
      </c>
      <c r="B1326" s="515" t="s">
        <v>463</v>
      </c>
      <c r="C1326" s="247" t="s">
        <v>22</v>
      </c>
      <c r="D1326" s="516" t="s">
        <v>135</v>
      </c>
      <c r="E1326" s="517">
        <v>1.397291666666666E-3</v>
      </c>
      <c r="F1326" s="518" t="s">
        <v>133</v>
      </c>
      <c r="G1326" s="57" t="s">
        <v>16</v>
      </c>
      <c r="H1326" s="519">
        <v>1</v>
      </c>
      <c r="I1326" s="519">
        <v>1</v>
      </c>
      <c r="J1326" s="519">
        <v>3</v>
      </c>
      <c r="K1326" s="519">
        <v>3</v>
      </c>
      <c r="L1326" s="520">
        <v>3</v>
      </c>
      <c r="M1326" s="521">
        <f t="shared" si="42"/>
        <v>1.1181151966036349</v>
      </c>
      <c r="N1326" s="522"/>
    </row>
    <row r="1327" spans="1:14" hidden="1" x14ac:dyDescent="0.2">
      <c r="A1327" s="523" t="s">
        <v>337</v>
      </c>
      <c r="B1327" s="515" t="s">
        <v>463</v>
      </c>
      <c r="C1327" s="247" t="s">
        <v>23</v>
      </c>
      <c r="D1327" s="516" t="s">
        <v>135</v>
      </c>
      <c r="E1327" s="517">
        <v>1.868823529411765E-3</v>
      </c>
      <c r="F1327" s="518" t="s">
        <v>133</v>
      </c>
      <c r="G1327" s="57" t="s">
        <v>16</v>
      </c>
      <c r="H1327" s="519">
        <v>1</v>
      </c>
      <c r="I1327" s="519">
        <v>1</v>
      </c>
      <c r="J1327" s="519">
        <v>3</v>
      </c>
      <c r="K1327" s="519">
        <v>3</v>
      </c>
      <c r="L1327" s="520">
        <v>3</v>
      </c>
      <c r="M1327" s="521">
        <f t="shared" si="42"/>
        <v>1.1181151966036349</v>
      </c>
      <c r="N1327" s="522"/>
    </row>
    <row r="1328" spans="1:14" hidden="1" x14ac:dyDescent="0.2">
      <c r="A1328" s="523" t="s">
        <v>337</v>
      </c>
      <c r="B1328" s="515" t="s">
        <v>463</v>
      </c>
      <c r="C1328" s="247" t="s">
        <v>24</v>
      </c>
      <c r="D1328" s="516" t="s">
        <v>135</v>
      </c>
      <c r="E1328" s="517">
        <v>8.3605263157894745E-4</v>
      </c>
      <c r="F1328" s="518" t="s">
        <v>133</v>
      </c>
      <c r="G1328" s="57" t="s">
        <v>16</v>
      </c>
      <c r="H1328" s="519">
        <v>1</v>
      </c>
      <c r="I1328" s="519">
        <v>1</v>
      </c>
      <c r="J1328" s="519">
        <v>3</v>
      </c>
      <c r="K1328" s="519">
        <v>3</v>
      </c>
      <c r="L1328" s="520">
        <v>3</v>
      </c>
      <c r="M1328" s="521">
        <f t="shared" si="42"/>
        <v>1.1181151966036349</v>
      </c>
      <c r="N1328" s="522"/>
    </row>
    <row r="1329" spans="1:14" hidden="1" x14ac:dyDescent="0.2">
      <c r="A1329" s="523" t="s">
        <v>337</v>
      </c>
      <c r="B1329" s="515" t="s">
        <v>463</v>
      </c>
      <c r="C1329" s="247" t="s">
        <v>25</v>
      </c>
      <c r="D1329" s="516" t="s">
        <v>135</v>
      </c>
      <c r="E1329" s="517">
        <v>4.2932432432432442E-4</v>
      </c>
      <c r="F1329" s="518" t="s">
        <v>133</v>
      </c>
      <c r="G1329" s="57" t="s">
        <v>16</v>
      </c>
      <c r="H1329" s="519">
        <v>1</v>
      </c>
      <c r="I1329" s="519">
        <v>1</v>
      </c>
      <c r="J1329" s="519">
        <v>3</v>
      </c>
      <c r="K1329" s="519">
        <v>3</v>
      </c>
      <c r="L1329" s="520">
        <v>3</v>
      </c>
      <c r="M1329" s="521">
        <f t="shared" si="42"/>
        <v>1.1181151966036349</v>
      </c>
      <c r="N1329" s="522"/>
    </row>
    <row r="1330" spans="1:14" hidden="1" x14ac:dyDescent="0.2">
      <c r="A1330" s="523" t="s">
        <v>337</v>
      </c>
      <c r="B1330" s="515" t="s">
        <v>463</v>
      </c>
      <c r="C1330" s="247" t="s">
        <v>26</v>
      </c>
      <c r="D1330" s="516" t="s">
        <v>135</v>
      </c>
      <c r="E1330" s="517">
        <v>2.9808888888888888E-3</v>
      </c>
      <c r="F1330" s="518" t="s">
        <v>133</v>
      </c>
      <c r="G1330" s="57" t="s">
        <v>16</v>
      </c>
      <c r="H1330" s="519">
        <v>1</v>
      </c>
      <c r="I1330" s="519">
        <v>1</v>
      </c>
      <c r="J1330" s="519">
        <v>3</v>
      </c>
      <c r="K1330" s="519">
        <v>3</v>
      </c>
      <c r="L1330" s="520">
        <v>3</v>
      </c>
      <c r="M1330" s="521">
        <f t="shared" si="42"/>
        <v>1.1181151966036349</v>
      </c>
      <c r="N1330" s="522"/>
    </row>
    <row r="1331" spans="1:14" hidden="1" x14ac:dyDescent="0.2">
      <c r="A1331" s="523" t="s">
        <v>337</v>
      </c>
      <c r="B1331" s="515" t="s">
        <v>463</v>
      </c>
      <c r="C1331" s="247" t="s">
        <v>27</v>
      </c>
      <c r="D1331" s="516" t="s">
        <v>135</v>
      </c>
      <c r="E1331" s="517">
        <v>3.4595281306715062E-4</v>
      </c>
      <c r="F1331" s="518" t="s">
        <v>133</v>
      </c>
      <c r="G1331" s="57" t="s">
        <v>16</v>
      </c>
      <c r="H1331" s="519">
        <v>1</v>
      </c>
      <c r="I1331" s="519">
        <v>1</v>
      </c>
      <c r="J1331" s="519">
        <v>3</v>
      </c>
      <c r="K1331" s="519">
        <v>3</v>
      </c>
      <c r="L1331" s="520">
        <v>3</v>
      </c>
      <c r="M1331" s="521">
        <f t="shared" si="42"/>
        <v>1.1181151966036349</v>
      </c>
      <c r="N1331" s="522"/>
    </row>
    <row r="1332" spans="1:14" hidden="1" x14ac:dyDescent="0.2">
      <c r="A1332" s="523" t="s">
        <v>337</v>
      </c>
      <c r="B1332" s="515" t="s">
        <v>463</v>
      </c>
      <c r="C1332" s="247" t="s">
        <v>28</v>
      </c>
      <c r="D1332" s="516" t="s">
        <v>135</v>
      </c>
      <c r="E1332" s="517">
        <v>7.4149012567324962E-4</v>
      </c>
      <c r="F1332" s="518" t="s">
        <v>133</v>
      </c>
      <c r="G1332" s="57" t="s">
        <v>16</v>
      </c>
      <c r="H1332" s="519">
        <v>1</v>
      </c>
      <c r="I1332" s="519">
        <v>1</v>
      </c>
      <c r="J1332" s="519">
        <v>3</v>
      </c>
      <c r="K1332" s="519">
        <v>3</v>
      </c>
      <c r="L1332" s="520">
        <v>3</v>
      </c>
      <c r="M1332" s="521">
        <f t="shared" si="42"/>
        <v>1.1181151966036349</v>
      </c>
      <c r="N1332" s="522"/>
    </row>
    <row r="1333" spans="1:14" hidden="1" x14ac:dyDescent="0.2">
      <c r="A1333" s="523" t="s">
        <v>337</v>
      </c>
      <c r="B1333" s="515" t="s">
        <v>463</v>
      </c>
      <c r="C1333" s="247" t="s">
        <v>30</v>
      </c>
      <c r="D1333" s="516" t="s">
        <v>135</v>
      </c>
      <c r="E1333" s="517">
        <v>5.242574257425742E-4</v>
      </c>
      <c r="F1333" s="518" t="s">
        <v>133</v>
      </c>
      <c r="G1333" s="57" t="s">
        <v>16</v>
      </c>
      <c r="H1333" s="519">
        <v>1</v>
      </c>
      <c r="I1333" s="519">
        <v>1</v>
      </c>
      <c r="J1333" s="519">
        <v>3</v>
      </c>
      <c r="K1333" s="519">
        <v>3</v>
      </c>
      <c r="L1333" s="520">
        <v>3</v>
      </c>
      <c r="M1333" s="521">
        <f t="shared" si="42"/>
        <v>1.1181151966036349</v>
      </c>
      <c r="N1333" s="522"/>
    </row>
    <row r="1334" spans="1:14" hidden="1" x14ac:dyDescent="0.2">
      <c r="A1334" s="523" t="s">
        <v>337</v>
      </c>
      <c r="B1334" s="515" t="s">
        <v>463</v>
      </c>
      <c r="C1334" s="247" t="s">
        <v>32</v>
      </c>
      <c r="D1334" s="516" t="s">
        <v>135</v>
      </c>
      <c r="E1334" s="517">
        <v>1.23378640776699E-3</v>
      </c>
      <c r="F1334" s="518" t="s">
        <v>133</v>
      </c>
      <c r="G1334" s="57" t="s">
        <v>16</v>
      </c>
      <c r="H1334" s="519">
        <v>1</v>
      </c>
      <c r="I1334" s="519">
        <v>1</v>
      </c>
      <c r="J1334" s="519">
        <v>3</v>
      </c>
      <c r="K1334" s="519">
        <v>3</v>
      </c>
      <c r="L1334" s="520">
        <v>3</v>
      </c>
      <c r="M1334" s="521">
        <f t="shared" si="42"/>
        <v>1.1181151966036349</v>
      </c>
      <c r="N1334" s="522"/>
    </row>
    <row r="1335" spans="1:14" hidden="1" x14ac:dyDescent="0.2">
      <c r="A1335" s="523" t="s">
        <v>337</v>
      </c>
      <c r="B1335" s="515" t="s">
        <v>463</v>
      </c>
      <c r="C1335" s="247" t="s">
        <v>34</v>
      </c>
      <c r="D1335" s="516" t="s">
        <v>135</v>
      </c>
      <c r="E1335" s="517">
        <v>1.5009448818897641E-3</v>
      </c>
      <c r="F1335" s="518" t="s">
        <v>133</v>
      </c>
      <c r="G1335" s="57" t="s">
        <v>16</v>
      </c>
      <c r="H1335" s="519">
        <v>1</v>
      </c>
      <c r="I1335" s="519">
        <v>1</v>
      </c>
      <c r="J1335" s="519">
        <v>3</v>
      </c>
      <c r="K1335" s="519">
        <v>3</v>
      </c>
      <c r="L1335" s="520">
        <v>3</v>
      </c>
      <c r="M1335" s="521">
        <f t="shared" si="42"/>
        <v>1.1181151966036349</v>
      </c>
      <c r="N1335" s="522"/>
    </row>
    <row r="1336" spans="1:14" hidden="1" x14ac:dyDescent="0.2">
      <c r="A1336" s="523" t="s">
        <v>337</v>
      </c>
      <c r="B1336" s="515" t="s">
        <v>463</v>
      </c>
      <c r="C1336" s="247" t="s">
        <v>36</v>
      </c>
      <c r="D1336" s="516" t="s">
        <v>135</v>
      </c>
      <c r="E1336" s="517">
        <v>1.4482051282051281E-3</v>
      </c>
      <c r="F1336" s="518" t="s">
        <v>133</v>
      </c>
      <c r="G1336" s="57" t="s">
        <v>16</v>
      </c>
      <c r="H1336" s="519">
        <v>1</v>
      </c>
      <c r="I1336" s="519">
        <v>1</v>
      </c>
      <c r="J1336" s="519">
        <v>3</v>
      </c>
      <c r="K1336" s="519">
        <v>3</v>
      </c>
      <c r="L1336" s="520">
        <v>3</v>
      </c>
      <c r="M1336" s="521">
        <f t="shared" si="42"/>
        <v>1.1181151966036349</v>
      </c>
      <c r="N1336" s="522"/>
    </row>
    <row r="1337" spans="1:14" hidden="1" x14ac:dyDescent="0.2">
      <c r="A1337" s="523" t="s">
        <v>337</v>
      </c>
      <c r="B1337" s="515" t="s">
        <v>463</v>
      </c>
      <c r="C1337" s="247" t="s">
        <v>37</v>
      </c>
      <c r="D1337" s="516" t="s">
        <v>135</v>
      </c>
      <c r="E1337" s="517">
        <v>6.0483967935871753E-3</v>
      </c>
      <c r="F1337" s="518" t="s">
        <v>133</v>
      </c>
      <c r="G1337" s="57" t="s">
        <v>16</v>
      </c>
      <c r="H1337" s="519">
        <v>1</v>
      </c>
      <c r="I1337" s="519">
        <v>1</v>
      </c>
      <c r="J1337" s="519">
        <v>3</v>
      </c>
      <c r="K1337" s="519">
        <v>3</v>
      </c>
      <c r="L1337" s="520">
        <v>3</v>
      </c>
      <c r="M1337" s="521">
        <f t="shared" si="42"/>
        <v>1.1181151966036349</v>
      </c>
      <c r="N1337" s="522"/>
    </row>
    <row r="1338" spans="1:14" hidden="1" x14ac:dyDescent="0.2">
      <c r="A1338" s="523" t="s">
        <v>337</v>
      </c>
      <c r="B1338" s="515" t="s">
        <v>463</v>
      </c>
      <c r="C1338" s="247" t="s">
        <v>39</v>
      </c>
      <c r="D1338" s="516" t="s">
        <v>135</v>
      </c>
      <c r="E1338" s="517">
        <v>2.9662407862407862E-3</v>
      </c>
      <c r="F1338" s="518" t="s">
        <v>133</v>
      </c>
      <c r="G1338" s="57" t="s">
        <v>16</v>
      </c>
      <c r="H1338" s="519">
        <v>1</v>
      </c>
      <c r="I1338" s="519">
        <v>1</v>
      </c>
      <c r="J1338" s="519">
        <v>3</v>
      </c>
      <c r="K1338" s="519">
        <v>3</v>
      </c>
      <c r="L1338" s="520">
        <v>3</v>
      </c>
      <c r="M1338" s="521">
        <f t="shared" si="42"/>
        <v>1.1181151966036349</v>
      </c>
      <c r="N1338" s="522"/>
    </row>
    <row r="1339" spans="1:14" hidden="1" x14ac:dyDescent="0.2">
      <c r="A1339" s="523" t="s">
        <v>337</v>
      </c>
      <c r="B1339" s="515" t="s">
        <v>463</v>
      </c>
      <c r="C1339" s="247" t="s">
        <v>40</v>
      </c>
      <c r="D1339" s="516" t="s">
        <v>135</v>
      </c>
      <c r="E1339" s="517">
        <v>9.5857758620689656E-4</v>
      </c>
      <c r="F1339" s="518" t="s">
        <v>133</v>
      </c>
      <c r="G1339" s="57" t="s">
        <v>16</v>
      </c>
      <c r="H1339" s="519">
        <v>1</v>
      </c>
      <c r="I1339" s="519">
        <v>1</v>
      </c>
      <c r="J1339" s="519">
        <v>3</v>
      </c>
      <c r="K1339" s="519">
        <v>3</v>
      </c>
      <c r="L1339" s="520">
        <v>3</v>
      </c>
      <c r="M1339" s="521">
        <f t="shared" si="42"/>
        <v>1.1181151966036349</v>
      </c>
      <c r="N1339" s="522"/>
    </row>
    <row r="1340" spans="1:14" hidden="1" x14ac:dyDescent="0.2">
      <c r="A1340" s="523" t="s">
        <v>337</v>
      </c>
      <c r="B1340" s="515" t="s">
        <v>463</v>
      </c>
      <c r="C1340" s="247" t="s">
        <v>41</v>
      </c>
      <c r="D1340" s="516" t="s">
        <v>135</v>
      </c>
      <c r="E1340" s="517">
        <v>4.352054794520548E-4</v>
      </c>
      <c r="F1340" s="518" t="s">
        <v>133</v>
      </c>
      <c r="G1340" s="57" t="s">
        <v>16</v>
      </c>
      <c r="H1340" s="519">
        <v>1</v>
      </c>
      <c r="I1340" s="519">
        <v>1</v>
      </c>
      <c r="J1340" s="519">
        <v>3</v>
      </c>
      <c r="K1340" s="519">
        <v>3</v>
      </c>
      <c r="L1340" s="520">
        <v>3</v>
      </c>
      <c r="M1340" s="521">
        <f t="shared" si="42"/>
        <v>1.1181151966036349</v>
      </c>
      <c r="N1340" s="522"/>
    </row>
    <row r="1341" spans="1:14" hidden="1" x14ac:dyDescent="0.2">
      <c r="A1341" s="523" t="s">
        <v>337</v>
      </c>
      <c r="B1341" s="515" t="s">
        <v>463</v>
      </c>
      <c r="C1341" s="247" t="s">
        <v>42</v>
      </c>
      <c r="D1341" s="516" t="s">
        <v>135</v>
      </c>
      <c r="E1341" s="517">
        <v>2.1274553571428568E-3</v>
      </c>
      <c r="F1341" s="518" t="s">
        <v>133</v>
      </c>
      <c r="G1341" s="57" t="s">
        <v>16</v>
      </c>
      <c r="H1341" s="519">
        <v>1</v>
      </c>
      <c r="I1341" s="519">
        <v>1</v>
      </c>
      <c r="J1341" s="519">
        <v>3</v>
      </c>
      <c r="K1341" s="519">
        <v>3</v>
      </c>
      <c r="L1341" s="520">
        <v>3</v>
      </c>
      <c r="M1341" s="521">
        <f t="shared" si="42"/>
        <v>1.1181151966036349</v>
      </c>
      <c r="N1341" s="522"/>
    </row>
    <row r="1342" spans="1:14" hidden="1" x14ac:dyDescent="0.2">
      <c r="A1342" s="523" t="s">
        <v>337</v>
      </c>
      <c r="B1342" s="515" t="s">
        <v>463</v>
      </c>
      <c r="C1342" s="247" t="s">
        <v>43</v>
      </c>
      <c r="D1342" s="516" t="s">
        <v>135</v>
      </c>
      <c r="E1342" s="517">
        <v>4.9737769080234839E-4</v>
      </c>
      <c r="F1342" s="518" t="s">
        <v>133</v>
      </c>
      <c r="G1342" s="57" t="s">
        <v>16</v>
      </c>
      <c r="H1342" s="519">
        <v>1</v>
      </c>
      <c r="I1342" s="519">
        <v>1</v>
      </c>
      <c r="J1342" s="519">
        <v>3</v>
      </c>
      <c r="K1342" s="519">
        <v>3</v>
      </c>
      <c r="L1342" s="520">
        <v>3</v>
      </c>
      <c r="M1342" s="521">
        <f t="shared" si="42"/>
        <v>1.1181151966036349</v>
      </c>
      <c r="N1342" s="522"/>
    </row>
    <row r="1343" spans="1:14" x14ac:dyDescent="0.2">
      <c r="A1343" s="523" t="s">
        <v>337</v>
      </c>
      <c r="B1343" s="515" t="s">
        <v>463</v>
      </c>
      <c r="C1343" s="247" t="s">
        <v>45</v>
      </c>
      <c r="D1343" s="516" t="s">
        <v>135</v>
      </c>
      <c r="E1343" s="517">
        <v>6.8784844384303125E-4</v>
      </c>
      <c r="F1343" s="518" t="s">
        <v>133</v>
      </c>
      <c r="G1343" s="57" t="s">
        <v>16</v>
      </c>
      <c r="H1343" s="519">
        <v>1</v>
      </c>
      <c r="I1343" s="519">
        <v>1</v>
      </c>
      <c r="J1343" s="519">
        <v>3</v>
      </c>
      <c r="K1343" s="519">
        <v>3</v>
      </c>
      <c r="L1343" s="520">
        <v>3</v>
      </c>
      <c r="M1343" s="521">
        <f t="shared" si="42"/>
        <v>1.1181151966036349</v>
      </c>
      <c r="N1343" s="522"/>
    </row>
    <row r="1344" spans="1:14" hidden="1" x14ac:dyDescent="0.2">
      <c r="A1344" s="523" t="s">
        <v>337</v>
      </c>
      <c r="B1344" s="515" t="s">
        <v>463</v>
      </c>
      <c r="C1344" s="247" t="s">
        <v>46</v>
      </c>
      <c r="D1344" s="516" t="s">
        <v>135</v>
      </c>
      <c r="E1344" s="517">
        <v>1.2553495440729479E-3</v>
      </c>
      <c r="F1344" s="518" t="s">
        <v>133</v>
      </c>
      <c r="G1344" s="57" t="s">
        <v>16</v>
      </c>
      <c r="H1344" s="519">
        <v>1</v>
      </c>
      <c r="I1344" s="519">
        <v>1</v>
      </c>
      <c r="J1344" s="519">
        <v>3</v>
      </c>
      <c r="K1344" s="519">
        <v>3</v>
      </c>
      <c r="L1344" s="520">
        <v>3</v>
      </c>
      <c r="M1344" s="521">
        <f t="shared" si="42"/>
        <v>1.1181151966036349</v>
      </c>
      <c r="N1344" s="522"/>
    </row>
    <row r="1345" spans="1:14" hidden="1" x14ac:dyDescent="0.2">
      <c r="A1345" s="523" t="s">
        <v>337</v>
      </c>
      <c r="B1345" s="515" t="s">
        <v>463</v>
      </c>
      <c r="C1345" s="247" t="s">
        <v>48</v>
      </c>
      <c r="D1345" s="516" t="s">
        <v>135</v>
      </c>
      <c r="E1345" s="517">
        <v>9.3994082840236678E-4</v>
      </c>
      <c r="F1345" s="518" t="s">
        <v>133</v>
      </c>
      <c r="G1345" s="57" t="s">
        <v>16</v>
      </c>
      <c r="H1345" s="519">
        <v>1</v>
      </c>
      <c r="I1345" s="519">
        <v>1</v>
      </c>
      <c r="J1345" s="519">
        <v>3</v>
      </c>
      <c r="K1345" s="519">
        <v>3</v>
      </c>
      <c r="L1345" s="520">
        <v>3</v>
      </c>
      <c r="M1345" s="521">
        <f t="shared" si="42"/>
        <v>1.1181151966036349</v>
      </c>
      <c r="N1345" s="522"/>
    </row>
    <row r="1346" spans="1:14" hidden="1" x14ac:dyDescent="0.2">
      <c r="A1346" s="523" t="s">
        <v>337</v>
      </c>
      <c r="B1346" s="515" t="s">
        <v>463</v>
      </c>
      <c r="C1346" s="247" t="s">
        <v>50</v>
      </c>
      <c r="D1346" s="516" t="s">
        <v>135</v>
      </c>
      <c r="E1346" s="517">
        <v>5.72327205882353E-3</v>
      </c>
      <c r="F1346" s="518" t="s">
        <v>133</v>
      </c>
      <c r="G1346" s="57" t="s">
        <v>16</v>
      </c>
      <c r="H1346" s="519">
        <v>1</v>
      </c>
      <c r="I1346" s="519">
        <v>1</v>
      </c>
      <c r="J1346" s="519">
        <v>3</v>
      </c>
      <c r="K1346" s="519">
        <v>3</v>
      </c>
      <c r="L1346" s="520">
        <v>3</v>
      </c>
      <c r="M1346" s="521">
        <f t="shared" si="42"/>
        <v>1.1181151966036349</v>
      </c>
      <c r="N1346" s="522"/>
    </row>
    <row r="1347" spans="1:14" hidden="1" x14ac:dyDescent="0.2">
      <c r="A1347" s="523" t="s">
        <v>337</v>
      </c>
      <c r="B1347" s="515" t="s">
        <v>463</v>
      </c>
      <c r="C1347" s="247" t="s">
        <v>52</v>
      </c>
      <c r="D1347" s="516" t="s">
        <v>135</v>
      </c>
      <c r="E1347" s="517">
        <v>9.2086956521739128E-4</v>
      </c>
      <c r="F1347" s="518" t="s">
        <v>133</v>
      </c>
      <c r="G1347" s="57" t="s">
        <v>16</v>
      </c>
      <c r="H1347" s="519">
        <v>1</v>
      </c>
      <c r="I1347" s="519">
        <v>1</v>
      </c>
      <c r="J1347" s="519">
        <v>3</v>
      </c>
      <c r="K1347" s="519">
        <v>3</v>
      </c>
      <c r="L1347" s="520">
        <v>3</v>
      </c>
      <c r="M1347" s="521">
        <f t="shared" si="42"/>
        <v>1.1181151966036349</v>
      </c>
      <c r="N1347" s="522"/>
    </row>
    <row r="1348" spans="1:14" hidden="1" x14ac:dyDescent="0.2">
      <c r="A1348" s="523" t="s">
        <v>337</v>
      </c>
      <c r="B1348" s="515" t="s">
        <v>463</v>
      </c>
      <c r="C1348" s="247" t="s">
        <v>54</v>
      </c>
      <c r="D1348" s="516" t="s">
        <v>135</v>
      </c>
      <c r="E1348" s="517">
        <v>5.8833333333333329E-4</v>
      </c>
      <c r="F1348" s="518" t="s">
        <v>133</v>
      </c>
      <c r="G1348" s="57" t="s">
        <v>16</v>
      </c>
      <c r="H1348" s="519">
        <v>1</v>
      </c>
      <c r="I1348" s="519">
        <v>1</v>
      </c>
      <c r="J1348" s="519">
        <v>3</v>
      </c>
      <c r="K1348" s="519">
        <v>3</v>
      </c>
      <c r="L1348" s="520">
        <v>3</v>
      </c>
      <c r="M1348" s="521">
        <f t="shared" si="42"/>
        <v>1.1181151966036349</v>
      </c>
      <c r="N1348" s="522"/>
    </row>
    <row r="1349" spans="1:14" hidden="1" x14ac:dyDescent="0.2">
      <c r="A1349" s="523" t="s">
        <v>337</v>
      </c>
      <c r="B1349" s="515" t="s">
        <v>463</v>
      </c>
      <c r="C1349" s="247" t="s">
        <v>55</v>
      </c>
      <c r="D1349" s="516" t="s">
        <v>135</v>
      </c>
      <c r="E1349" s="517">
        <v>1.2708000000000001E-3</v>
      </c>
      <c r="F1349" s="518" t="s">
        <v>133</v>
      </c>
      <c r="G1349" s="57" t="s">
        <v>16</v>
      </c>
      <c r="H1349" s="519">
        <v>1</v>
      </c>
      <c r="I1349" s="519">
        <v>1</v>
      </c>
      <c r="J1349" s="519">
        <v>3</v>
      </c>
      <c r="K1349" s="519">
        <v>3</v>
      </c>
      <c r="L1349" s="520">
        <v>3</v>
      </c>
      <c r="M1349" s="521">
        <f t="shared" si="42"/>
        <v>1.1181151966036349</v>
      </c>
      <c r="N1349" s="522"/>
    </row>
    <row r="1350" spans="1:14" hidden="1" x14ac:dyDescent="0.2">
      <c r="A1350" s="523" t="s">
        <v>337</v>
      </c>
      <c r="B1350" s="515" t="s">
        <v>463</v>
      </c>
      <c r="C1350" s="247" t="s">
        <v>57</v>
      </c>
      <c r="D1350" s="516" t="s">
        <v>135</v>
      </c>
      <c r="E1350" s="517">
        <v>5.8562211981566818E-4</v>
      </c>
      <c r="F1350" s="518" t="s">
        <v>133</v>
      </c>
      <c r="G1350" s="57" t="s">
        <v>16</v>
      </c>
      <c r="H1350" s="519">
        <v>1</v>
      </c>
      <c r="I1350" s="519">
        <v>1</v>
      </c>
      <c r="J1350" s="519">
        <v>3</v>
      </c>
      <c r="K1350" s="519">
        <v>3</v>
      </c>
      <c r="L1350" s="520">
        <v>3</v>
      </c>
      <c r="M1350" s="521">
        <f t="shared" si="42"/>
        <v>1.1181151966036349</v>
      </c>
      <c r="N1350" s="522"/>
    </row>
    <row r="1351" spans="1:14" hidden="1" x14ac:dyDescent="0.2">
      <c r="A1351" s="523" t="s">
        <v>337</v>
      </c>
      <c r="B1351" s="515" t="s">
        <v>463</v>
      </c>
      <c r="C1351" s="247" t="s">
        <v>59</v>
      </c>
      <c r="D1351" s="516" t="s">
        <v>135</v>
      </c>
      <c r="E1351" s="517">
        <v>2.7E-4</v>
      </c>
      <c r="F1351" s="518" t="s">
        <v>133</v>
      </c>
      <c r="G1351" s="57" t="s">
        <v>16</v>
      </c>
      <c r="H1351" s="519">
        <v>1</v>
      </c>
      <c r="I1351" s="519">
        <v>1</v>
      </c>
      <c r="J1351" s="519">
        <v>3</v>
      </c>
      <c r="K1351" s="519">
        <v>3</v>
      </c>
      <c r="L1351" s="520">
        <v>3</v>
      </c>
      <c r="M1351" s="521">
        <f t="shared" si="42"/>
        <v>1.1181151966036349</v>
      </c>
      <c r="N1351" s="522"/>
    </row>
    <row r="1352" spans="1:14" hidden="1" x14ac:dyDescent="0.2">
      <c r="A1352" s="523" t="s">
        <v>337</v>
      </c>
      <c r="B1352" s="515" t="s">
        <v>463</v>
      </c>
      <c r="C1352" s="247" t="s">
        <v>60</v>
      </c>
      <c r="D1352" s="516" t="s">
        <v>135</v>
      </c>
      <c r="E1352" s="517">
        <v>1.23511879049676E-3</v>
      </c>
      <c r="F1352" s="518" t="s">
        <v>133</v>
      </c>
      <c r="G1352" s="57" t="s">
        <v>16</v>
      </c>
      <c r="H1352" s="519">
        <v>1</v>
      </c>
      <c r="I1352" s="519">
        <v>1</v>
      </c>
      <c r="J1352" s="519">
        <v>3</v>
      </c>
      <c r="K1352" s="519">
        <v>3</v>
      </c>
      <c r="L1352" s="520">
        <v>3</v>
      </c>
      <c r="M1352" s="521">
        <f>IF( OR( ISBLANK(H1352),ISBLANK(I1352), ISBLANK(J1352), ISBLANK(K1352), ISBLANK(L1352) ), "", 1.5*SQRT(   EXP(2.21*(H1352-1)) + EXP(2.21*(I1352-1)) + EXP(2.21*(J1352-1)) + EXP(2.21*(K1352-1)) + EXP(2.21*L1352)   )/100*2.45 )</f>
        <v>1.1181151966036349</v>
      </c>
      <c r="N1352" s="522"/>
    </row>
    <row r="1353" spans="1:14" x14ac:dyDescent="0.2">
      <c r="A1353" s="523" t="s">
        <v>337</v>
      </c>
      <c r="B1353" s="524" t="s">
        <v>488</v>
      </c>
      <c r="C1353" s="525" t="s">
        <v>135</v>
      </c>
      <c r="D1353" s="527" t="s">
        <v>135</v>
      </c>
      <c r="E1353" s="527">
        <v>1E-3</v>
      </c>
      <c r="F1353" s="333" t="s">
        <v>455</v>
      </c>
      <c r="G1353" s="528" t="s">
        <v>16</v>
      </c>
      <c r="H1353" s="527">
        <v>1</v>
      </c>
      <c r="I1353" s="527">
        <v>1</v>
      </c>
      <c r="J1353" s="527">
        <v>1</v>
      </c>
      <c r="K1353" s="527">
        <v>1</v>
      </c>
      <c r="L1353" s="529">
        <v>3</v>
      </c>
      <c r="M1353" s="60">
        <f t="shared" ref="M1353:M1384" si="43">IF( OR( ISBLANK(H1353),ISBLANK(I1353), ISBLANK(J1353), ISBLANK(K1353), ISBLANK(L1353) ), "", 1.5*SQRT( EXP(2.21*(H1353-1)) + EXP(2.21*(I1353-1)) + EXP(2.21*(J1353-1)) + EXP(2.21*(K1353-1)) + EXP(2.21*L1353) )/100*2.45 )</f>
        <v>1.0141150152164344</v>
      </c>
      <c r="N1353" s="530"/>
    </row>
    <row r="1354" spans="1:14" x14ac:dyDescent="0.2">
      <c r="A1354" s="523" t="s">
        <v>337</v>
      </c>
      <c r="B1354" s="524" t="s">
        <v>480</v>
      </c>
      <c r="C1354" s="525" t="s">
        <v>135</v>
      </c>
      <c r="D1354" s="527" t="s">
        <v>135</v>
      </c>
      <c r="E1354" s="527">
        <v>3.3999999999999998E-3</v>
      </c>
      <c r="F1354" s="333" t="s">
        <v>487</v>
      </c>
      <c r="G1354" s="528" t="s">
        <v>16</v>
      </c>
      <c r="H1354" s="527">
        <v>2</v>
      </c>
      <c r="I1354" s="527">
        <v>2</v>
      </c>
      <c r="J1354" s="527">
        <v>2</v>
      </c>
      <c r="K1354" s="527">
        <v>2</v>
      </c>
      <c r="L1354" s="529">
        <v>1</v>
      </c>
      <c r="M1354" s="60">
        <f t="shared" si="43"/>
        <v>0.24810627482064512</v>
      </c>
      <c r="N1354" s="530"/>
    </row>
    <row r="1355" spans="1:14" x14ac:dyDescent="0.2">
      <c r="A1355" s="523" t="s">
        <v>337</v>
      </c>
      <c r="B1355" s="524" t="s">
        <v>480</v>
      </c>
      <c r="C1355" s="525" t="s">
        <v>135</v>
      </c>
      <c r="D1355" s="527" t="s">
        <v>135</v>
      </c>
      <c r="E1355" s="527">
        <v>3.4000000000000002E-2</v>
      </c>
      <c r="F1355" s="333" t="s">
        <v>487</v>
      </c>
      <c r="G1355" s="528" t="s">
        <v>16</v>
      </c>
      <c r="H1355" s="527">
        <v>2</v>
      </c>
      <c r="I1355" s="527">
        <v>2</v>
      </c>
      <c r="J1355" s="527">
        <v>2</v>
      </c>
      <c r="K1355" s="527">
        <v>2</v>
      </c>
      <c r="L1355" s="529">
        <v>1</v>
      </c>
      <c r="M1355" s="60">
        <f t="shared" si="43"/>
        <v>0.24810627482064512</v>
      </c>
      <c r="N1355" s="530"/>
    </row>
    <row r="1356" spans="1:14" hidden="1" x14ac:dyDescent="0.2">
      <c r="A1356" s="542" t="s">
        <v>374</v>
      </c>
      <c r="B1356" s="543" t="s">
        <v>463</v>
      </c>
      <c r="C1356" s="265" t="s">
        <v>13</v>
      </c>
      <c r="D1356" s="544" t="s">
        <v>135</v>
      </c>
      <c r="E1356" s="545">
        <v>4.9383419689119179E-4</v>
      </c>
      <c r="F1356" s="546" t="s">
        <v>133</v>
      </c>
      <c r="G1356" s="547" t="s">
        <v>16</v>
      </c>
      <c r="H1356" s="548">
        <v>1</v>
      </c>
      <c r="I1356" s="548">
        <v>1</v>
      </c>
      <c r="J1356" s="548">
        <v>3</v>
      </c>
      <c r="K1356" s="548">
        <v>3</v>
      </c>
      <c r="L1356" s="549">
        <v>3</v>
      </c>
      <c r="M1356" s="550">
        <f t="shared" si="43"/>
        <v>1.1181151966036349</v>
      </c>
      <c r="N1356" s="551"/>
    </row>
    <row r="1357" spans="1:14" hidden="1" x14ac:dyDescent="0.2">
      <c r="A1357" s="523" t="s">
        <v>374</v>
      </c>
      <c r="B1357" s="515" t="s">
        <v>463</v>
      </c>
      <c r="C1357" s="247" t="s">
        <v>18</v>
      </c>
      <c r="D1357" s="516" t="s">
        <v>135</v>
      </c>
      <c r="E1357" s="517">
        <v>6.2141809290953553E-4</v>
      </c>
      <c r="F1357" s="518" t="s">
        <v>133</v>
      </c>
      <c r="G1357" s="57" t="s">
        <v>16</v>
      </c>
      <c r="H1357" s="519">
        <v>1</v>
      </c>
      <c r="I1357" s="519">
        <v>1</v>
      </c>
      <c r="J1357" s="519">
        <v>3</v>
      </c>
      <c r="K1357" s="519">
        <v>3</v>
      </c>
      <c r="L1357" s="520">
        <v>3</v>
      </c>
      <c r="M1357" s="521">
        <f t="shared" si="43"/>
        <v>1.1181151966036349</v>
      </c>
      <c r="N1357" s="522"/>
    </row>
    <row r="1358" spans="1:14" hidden="1" x14ac:dyDescent="0.2">
      <c r="A1358" s="523" t="s">
        <v>374</v>
      </c>
      <c r="B1358" s="515" t="s">
        <v>463</v>
      </c>
      <c r="C1358" s="247" t="s">
        <v>20</v>
      </c>
      <c r="D1358" s="516" t="s">
        <v>135</v>
      </c>
      <c r="E1358" s="517">
        <v>1.717297297297297E-3</v>
      </c>
      <c r="F1358" s="518" t="s">
        <v>133</v>
      </c>
      <c r="G1358" s="57" t="s">
        <v>16</v>
      </c>
      <c r="H1358" s="519">
        <v>1</v>
      </c>
      <c r="I1358" s="519">
        <v>1</v>
      </c>
      <c r="J1358" s="519">
        <v>3</v>
      </c>
      <c r="K1358" s="519">
        <v>3</v>
      </c>
      <c r="L1358" s="520">
        <v>3</v>
      </c>
      <c r="M1358" s="521">
        <f t="shared" si="43"/>
        <v>1.1181151966036349</v>
      </c>
      <c r="N1358" s="522"/>
    </row>
    <row r="1359" spans="1:14" hidden="1" x14ac:dyDescent="0.2">
      <c r="A1359" s="523" t="s">
        <v>374</v>
      </c>
      <c r="B1359" s="515" t="s">
        <v>463</v>
      </c>
      <c r="C1359" s="247" t="s">
        <v>22</v>
      </c>
      <c r="D1359" s="516" t="s">
        <v>135</v>
      </c>
      <c r="E1359" s="517">
        <v>1.397291666666666E-3</v>
      </c>
      <c r="F1359" s="518" t="s">
        <v>133</v>
      </c>
      <c r="G1359" s="57" t="s">
        <v>16</v>
      </c>
      <c r="H1359" s="519">
        <v>1</v>
      </c>
      <c r="I1359" s="519">
        <v>1</v>
      </c>
      <c r="J1359" s="519">
        <v>3</v>
      </c>
      <c r="K1359" s="519">
        <v>3</v>
      </c>
      <c r="L1359" s="520">
        <v>3</v>
      </c>
      <c r="M1359" s="521">
        <f t="shared" si="43"/>
        <v>1.1181151966036349</v>
      </c>
      <c r="N1359" s="522"/>
    </row>
    <row r="1360" spans="1:14" hidden="1" x14ac:dyDescent="0.2">
      <c r="A1360" s="523" t="s">
        <v>374</v>
      </c>
      <c r="B1360" s="515" t="s">
        <v>463</v>
      </c>
      <c r="C1360" s="247" t="s">
        <v>23</v>
      </c>
      <c r="D1360" s="516" t="s">
        <v>135</v>
      </c>
      <c r="E1360" s="517">
        <v>1.868823529411765E-3</v>
      </c>
      <c r="F1360" s="518" t="s">
        <v>133</v>
      </c>
      <c r="G1360" s="57" t="s">
        <v>16</v>
      </c>
      <c r="H1360" s="519">
        <v>1</v>
      </c>
      <c r="I1360" s="519">
        <v>1</v>
      </c>
      <c r="J1360" s="519">
        <v>3</v>
      </c>
      <c r="K1360" s="519">
        <v>3</v>
      </c>
      <c r="L1360" s="520">
        <v>3</v>
      </c>
      <c r="M1360" s="521">
        <f t="shared" si="43"/>
        <v>1.1181151966036349</v>
      </c>
      <c r="N1360" s="522"/>
    </row>
    <row r="1361" spans="1:14" hidden="1" x14ac:dyDescent="0.2">
      <c r="A1361" s="523" t="s">
        <v>374</v>
      </c>
      <c r="B1361" s="515" t="s">
        <v>463</v>
      </c>
      <c r="C1361" s="247" t="s">
        <v>24</v>
      </c>
      <c r="D1361" s="516" t="s">
        <v>135</v>
      </c>
      <c r="E1361" s="517">
        <v>8.3605263157894745E-4</v>
      </c>
      <c r="F1361" s="518" t="s">
        <v>133</v>
      </c>
      <c r="G1361" s="57" t="s">
        <v>16</v>
      </c>
      <c r="H1361" s="519">
        <v>1</v>
      </c>
      <c r="I1361" s="519">
        <v>1</v>
      </c>
      <c r="J1361" s="519">
        <v>3</v>
      </c>
      <c r="K1361" s="519">
        <v>3</v>
      </c>
      <c r="L1361" s="520">
        <v>3</v>
      </c>
      <c r="M1361" s="521">
        <f t="shared" si="43"/>
        <v>1.1181151966036349</v>
      </c>
      <c r="N1361" s="522"/>
    </row>
    <row r="1362" spans="1:14" hidden="1" x14ac:dyDescent="0.2">
      <c r="A1362" s="523" t="s">
        <v>374</v>
      </c>
      <c r="B1362" s="515" t="s">
        <v>463</v>
      </c>
      <c r="C1362" s="247" t="s">
        <v>25</v>
      </c>
      <c r="D1362" s="516" t="s">
        <v>135</v>
      </c>
      <c r="E1362" s="517">
        <v>4.2932432432432442E-4</v>
      </c>
      <c r="F1362" s="518" t="s">
        <v>133</v>
      </c>
      <c r="G1362" s="57" t="s">
        <v>16</v>
      </c>
      <c r="H1362" s="519">
        <v>1</v>
      </c>
      <c r="I1362" s="519">
        <v>1</v>
      </c>
      <c r="J1362" s="519">
        <v>3</v>
      </c>
      <c r="K1362" s="519">
        <v>3</v>
      </c>
      <c r="L1362" s="520">
        <v>3</v>
      </c>
      <c r="M1362" s="521">
        <f t="shared" si="43"/>
        <v>1.1181151966036349</v>
      </c>
      <c r="N1362" s="522"/>
    </row>
    <row r="1363" spans="1:14" hidden="1" x14ac:dyDescent="0.2">
      <c r="A1363" s="523" t="s">
        <v>374</v>
      </c>
      <c r="B1363" s="515" t="s">
        <v>463</v>
      </c>
      <c r="C1363" s="247" t="s">
        <v>26</v>
      </c>
      <c r="D1363" s="516" t="s">
        <v>135</v>
      </c>
      <c r="E1363" s="517">
        <v>2.9808888888888888E-3</v>
      </c>
      <c r="F1363" s="518" t="s">
        <v>133</v>
      </c>
      <c r="G1363" s="57" t="s">
        <v>16</v>
      </c>
      <c r="H1363" s="519">
        <v>1</v>
      </c>
      <c r="I1363" s="519">
        <v>1</v>
      </c>
      <c r="J1363" s="519">
        <v>3</v>
      </c>
      <c r="K1363" s="519">
        <v>3</v>
      </c>
      <c r="L1363" s="520">
        <v>3</v>
      </c>
      <c r="M1363" s="521">
        <f t="shared" si="43"/>
        <v>1.1181151966036349</v>
      </c>
      <c r="N1363" s="522"/>
    </row>
    <row r="1364" spans="1:14" hidden="1" x14ac:dyDescent="0.2">
      <c r="A1364" s="523" t="s">
        <v>374</v>
      </c>
      <c r="B1364" s="515" t="s">
        <v>463</v>
      </c>
      <c r="C1364" s="247" t="s">
        <v>27</v>
      </c>
      <c r="D1364" s="516" t="s">
        <v>135</v>
      </c>
      <c r="E1364" s="517">
        <v>3.4595281306715062E-4</v>
      </c>
      <c r="F1364" s="518" t="s">
        <v>133</v>
      </c>
      <c r="G1364" s="57" t="s">
        <v>16</v>
      </c>
      <c r="H1364" s="519">
        <v>1</v>
      </c>
      <c r="I1364" s="519">
        <v>1</v>
      </c>
      <c r="J1364" s="519">
        <v>3</v>
      </c>
      <c r="K1364" s="519">
        <v>3</v>
      </c>
      <c r="L1364" s="520">
        <v>3</v>
      </c>
      <c r="M1364" s="521">
        <f t="shared" si="43"/>
        <v>1.1181151966036349</v>
      </c>
      <c r="N1364" s="522"/>
    </row>
    <row r="1365" spans="1:14" hidden="1" x14ac:dyDescent="0.2">
      <c r="A1365" s="523" t="s">
        <v>374</v>
      </c>
      <c r="B1365" s="515" t="s">
        <v>463</v>
      </c>
      <c r="C1365" s="247" t="s">
        <v>28</v>
      </c>
      <c r="D1365" s="516" t="s">
        <v>135</v>
      </c>
      <c r="E1365" s="517">
        <v>7.4149012567324962E-4</v>
      </c>
      <c r="F1365" s="518" t="s">
        <v>133</v>
      </c>
      <c r="G1365" s="57" t="s">
        <v>16</v>
      </c>
      <c r="H1365" s="519">
        <v>1</v>
      </c>
      <c r="I1365" s="519">
        <v>1</v>
      </c>
      <c r="J1365" s="519">
        <v>3</v>
      </c>
      <c r="K1365" s="519">
        <v>3</v>
      </c>
      <c r="L1365" s="520">
        <v>3</v>
      </c>
      <c r="M1365" s="521">
        <f t="shared" si="43"/>
        <v>1.1181151966036349</v>
      </c>
      <c r="N1365" s="522"/>
    </row>
    <row r="1366" spans="1:14" hidden="1" x14ac:dyDescent="0.2">
      <c r="A1366" s="523" t="s">
        <v>374</v>
      </c>
      <c r="B1366" s="515" t="s">
        <v>463</v>
      </c>
      <c r="C1366" s="247" t="s">
        <v>30</v>
      </c>
      <c r="D1366" s="516" t="s">
        <v>135</v>
      </c>
      <c r="E1366" s="517">
        <v>5.242574257425742E-4</v>
      </c>
      <c r="F1366" s="518" t="s">
        <v>133</v>
      </c>
      <c r="G1366" s="57" t="s">
        <v>16</v>
      </c>
      <c r="H1366" s="519">
        <v>1</v>
      </c>
      <c r="I1366" s="519">
        <v>1</v>
      </c>
      <c r="J1366" s="519">
        <v>3</v>
      </c>
      <c r="K1366" s="519">
        <v>3</v>
      </c>
      <c r="L1366" s="520">
        <v>3</v>
      </c>
      <c r="M1366" s="521">
        <f t="shared" si="43"/>
        <v>1.1181151966036349</v>
      </c>
      <c r="N1366" s="522"/>
    </row>
    <row r="1367" spans="1:14" hidden="1" x14ac:dyDescent="0.2">
      <c r="A1367" s="523" t="s">
        <v>374</v>
      </c>
      <c r="B1367" s="515" t="s">
        <v>463</v>
      </c>
      <c r="C1367" s="247" t="s">
        <v>32</v>
      </c>
      <c r="D1367" s="516" t="s">
        <v>135</v>
      </c>
      <c r="E1367" s="517">
        <v>1.23378640776699E-3</v>
      </c>
      <c r="F1367" s="518" t="s">
        <v>133</v>
      </c>
      <c r="G1367" s="57" t="s">
        <v>16</v>
      </c>
      <c r="H1367" s="519">
        <v>1</v>
      </c>
      <c r="I1367" s="519">
        <v>1</v>
      </c>
      <c r="J1367" s="519">
        <v>3</v>
      </c>
      <c r="K1367" s="519">
        <v>3</v>
      </c>
      <c r="L1367" s="520">
        <v>3</v>
      </c>
      <c r="M1367" s="521">
        <f t="shared" si="43"/>
        <v>1.1181151966036349</v>
      </c>
      <c r="N1367" s="522"/>
    </row>
    <row r="1368" spans="1:14" hidden="1" x14ac:dyDescent="0.2">
      <c r="A1368" s="523" t="s">
        <v>374</v>
      </c>
      <c r="B1368" s="515" t="s">
        <v>463</v>
      </c>
      <c r="C1368" s="247" t="s">
        <v>34</v>
      </c>
      <c r="D1368" s="516" t="s">
        <v>135</v>
      </c>
      <c r="E1368" s="517">
        <v>1.5009448818897641E-3</v>
      </c>
      <c r="F1368" s="518" t="s">
        <v>133</v>
      </c>
      <c r="G1368" s="57" t="s">
        <v>16</v>
      </c>
      <c r="H1368" s="519">
        <v>1</v>
      </c>
      <c r="I1368" s="519">
        <v>1</v>
      </c>
      <c r="J1368" s="519">
        <v>3</v>
      </c>
      <c r="K1368" s="519">
        <v>3</v>
      </c>
      <c r="L1368" s="520">
        <v>3</v>
      </c>
      <c r="M1368" s="521">
        <f t="shared" si="43"/>
        <v>1.1181151966036349</v>
      </c>
      <c r="N1368" s="522"/>
    </row>
    <row r="1369" spans="1:14" hidden="1" x14ac:dyDescent="0.2">
      <c r="A1369" s="523" t="s">
        <v>374</v>
      </c>
      <c r="B1369" s="515" t="s">
        <v>463</v>
      </c>
      <c r="C1369" s="247" t="s">
        <v>36</v>
      </c>
      <c r="D1369" s="516" t="s">
        <v>135</v>
      </c>
      <c r="E1369" s="517">
        <v>1.4482051282051281E-3</v>
      </c>
      <c r="F1369" s="518" t="s">
        <v>133</v>
      </c>
      <c r="G1369" s="57" t="s">
        <v>16</v>
      </c>
      <c r="H1369" s="519">
        <v>1</v>
      </c>
      <c r="I1369" s="519">
        <v>1</v>
      </c>
      <c r="J1369" s="519">
        <v>3</v>
      </c>
      <c r="K1369" s="519">
        <v>3</v>
      </c>
      <c r="L1369" s="520">
        <v>3</v>
      </c>
      <c r="M1369" s="521">
        <f t="shared" si="43"/>
        <v>1.1181151966036349</v>
      </c>
      <c r="N1369" s="522"/>
    </row>
    <row r="1370" spans="1:14" hidden="1" x14ac:dyDescent="0.2">
      <c r="A1370" s="523" t="s">
        <v>374</v>
      </c>
      <c r="B1370" s="515" t="s">
        <v>463</v>
      </c>
      <c r="C1370" s="247" t="s">
        <v>37</v>
      </c>
      <c r="D1370" s="516" t="s">
        <v>135</v>
      </c>
      <c r="E1370" s="517">
        <v>6.0483967935871753E-3</v>
      </c>
      <c r="F1370" s="518" t="s">
        <v>133</v>
      </c>
      <c r="G1370" s="57" t="s">
        <v>16</v>
      </c>
      <c r="H1370" s="519">
        <v>1</v>
      </c>
      <c r="I1370" s="519">
        <v>1</v>
      </c>
      <c r="J1370" s="519">
        <v>3</v>
      </c>
      <c r="K1370" s="519">
        <v>3</v>
      </c>
      <c r="L1370" s="520">
        <v>3</v>
      </c>
      <c r="M1370" s="521">
        <f t="shared" si="43"/>
        <v>1.1181151966036349</v>
      </c>
      <c r="N1370" s="522"/>
    </row>
    <row r="1371" spans="1:14" hidden="1" x14ac:dyDescent="0.2">
      <c r="A1371" s="523" t="s">
        <v>374</v>
      </c>
      <c r="B1371" s="515" t="s">
        <v>463</v>
      </c>
      <c r="C1371" s="247" t="s">
        <v>39</v>
      </c>
      <c r="D1371" s="516" t="s">
        <v>135</v>
      </c>
      <c r="E1371" s="517">
        <v>2.9662407862407862E-3</v>
      </c>
      <c r="F1371" s="518" t="s">
        <v>133</v>
      </c>
      <c r="G1371" s="57" t="s">
        <v>16</v>
      </c>
      <c r="H1371" s="519">
        <v>1</v>
      </c>
      <c r="I1371" s="519">
        <v>1</v>
      </c>
      <c r="J1371" s="519">
        <v>3</v>
      </c>
      <c r="K1371" s="519">
        <v>3</v>
      </c>
      <c r="L1371" s="520">
        <v>3</v>
      </c>
      <c r="M1371" s="521">
        <f t="shared" si="43"/>
        <v>1.1181151966036349</v>
      </c>
      <c r="N1371" s="522"/>
    </row>
    <row r="1372" spans="1:14" hidden="1" x14ac:dyDescent="0.2">
      <c r="A1372" s="523" t="s">
        <v>374</v>
      </c>
      <c r="B1372" s="515" t="s">
        <v>463</v>
      </c>
      <c r="C1372" s="247" t="s">
        <v>40</v>
      </c>
      <c r="D1372" s="516" t="s">
        <v>135</v>
      </c>
      <c r="E1372" s="517">
        <v>9.5857758620689656E-4</v>
      </c>
      <c r="F1372" s="518" t="s">
        <v>133</v>
      </c>
      <c r="G1372" s="57" t="s">
        <v>16</v>
      </c>
      <c r="H1372" s="519">
        <v>1</v>
      </c>
      <c r="I1372" s="519">
        <v>1</v>
      </c>
      <c r="J1372" s="519">
        <v>3</v>
      </c>
      <c r="K1372" s="519">
        <v>3</v>
      </c>
      <c r="L1372" s="520">
        <v>3</v>
      </c>
      <c r="M1372" s="521">
        <f t="shared" si="43"/>
        <v>1.1181151966036349</v>
      </c>
      <c r="N1372" s="522"/>
    </row>
    <row r="1373" spans="1:14" hidden="1" x14ac:dyDescent="0.2">
      <c r="A1373" s="523" t="s">
        <v>374</v>
      </c>
      <c r="B1373" s="515" t="s">
        <v>463</v>
      </c>
      <c r="C1373" s="247" t="s">
        <v>41</v>
      </c>
      <c r="D1373" s="516" t="s">
        <v>135</v>
      </c>
      <c r="E1373" s="517">
        <v>4.352054794520548E-4</v>
      </c>
      <c r="F1373" s="518" t="s">
        <v>133</v>
      </c>
      <c r="G1373" s="57" t="s">
        <v>16</v>
      </c>
      <c r="H1373" s="519">
        <v>1</v>
      </c>
      <c r="I1373" s="519">
        <v>1</v>
      </c>
      <c r="J1373" s="519">
        <v>3</v>
      </c>
      <c r="K1373" s="519">
        <v>3</v>
      </c>
      <c r="L1373" s="520">
        <v>3</v>
      </c>
      <c r="M1373" s="521">
        <f t="shared" si="43"/>
        <v>1.1181151966036349</v>
      </c>
      <c r="N1373" s="522"/>
    </row>
    <row r="1374" spans="1:14" hidden="1" x14ac:dyDescent="0.2">
      <c r="A1374" s="523" t="s">
        <v>374</v>
      </c>
      <c r="B1374" s="515" t="s">
        <v>463</v>
      </c>
      <c r="C1374" s="247" t="s">
        <v>42</v>
      </c>
      <c r="D1374" s="516" t="s">
        <v>135</v>
      </c>
      <c r="E1374" s="517">
        <v>2.1274553571428568E-3</v>
      </c>
      <c r="F1374" s="518" t="s">
        <v>133</v>
      </c>
      <c r="G1374" s="57" t="s">
        <v>16</v>
      </c>
      <c r="H1374" s="519">
        <v>1</v>
      </c>
      <c r="I1374" s="519">
        <v>1</v>
      </c>
      <c r="J1374" s="519">
        <v>3</v>
      </c>
      <c r="K1374" s="519">
        <v>3</v>
      </c>
      <c r="L1374" s="520">
        <v>3</v>
      </c>
      <c r="M1374" s="521">
        <f t="shared" si="43"/>
        <v>1.1181151966036349</v>
      </c>
      <c r="N1374" s="522"/>
    </row>
    <row r="1375" spans="1:14" hidden="1" x14ac:dyDescent="0.2">
      <c r="A1375" s="523" t="s">
        <v>374</v>
      </c>
      <c r="B1375" s="515" t="s">
        <v>463</v>
      </c>
      <c r="C1375" s="247" t="s">
        <v>43</v>
      </c>
      <c r="D1375" s="516" t="s">
        <v>135</v>
      </c>
      <c r="E1375" s="517">
        <v>4.9737769080234839E-4</v>
      </c>
      <c r="F1375" s="518" t="s">
        <v>133</v>
      </c>
      <c r="G1375" s="57" t="s">
        <v>16</v>
      </c>
      <c r="H1375" s="519">
        <v>1</v>
      </c>
      <c r="I1375" s="519">
        <v>1</v>
      </c>
      <c r="J1375" s="519">
        <v>3</v>
      </c>
      <c r="K1375" s="519">
        <v>3</v>
      </c>
      <c r="L1375" s="520">
        <v>3</v>
      </c>
      <c r="M1375" s="521">
        <f t="shared" si="43"/>
        <v>1.1181151966036349</v>
      </c>
      <c r="N1375" s="522"/>
    </row>
    <row r="1376" spans="1:14" x14ac:dyDescent="0.2">
      <c r="A1376" s="523" t="s">
        <v>374</v>
      </c>
      <c r="B1376" s="515" t="s">
        <v>463</v>
      </c>
      <c r="C1376" s="247" t="s">
        <v>45</v>
      </c>
      <c r="D1376" s="516" t="s">
        <v>135</v>
      </c>
      <c r="E1376" s="517">
        <v>6.8784844384303125E-4</v>
      </c>
      <c r="F1376" s="518" t="s">
        <v>133</v>
      </c>
      <c r="G1376" s="57" t="s">
        <v>16</v>
      </c>
      <c r="H1376" s="519">
        <v>1</v>
      </c>
      <c r="I1376" s="519">
        <v>1</v>
      </c>
      <c r="J1376" s="519">
        <v>3</v>
      </c>
      <c r="K1376" s="519">
        <v>3</v>
      </c>
      <c r="L1376" s="520">
        <v>3</v>
      </c>
      <c r="M1376" s="521">
        <f t="shared" si="43"/>
        <v>1.1181151966036349</v>
      </c>
      <c r="N1376" s="522"/>
    </row>
    <row r="1377" spans="1:14" hidden="1" x14ac:dyDescent="0.2">
      <c r="A1377" s="523" t="s">
        <v>374</v>
      </c>
      <c r="B1377" s="515" t="s">
        <v>463</v>
      </c>
      <c r="C1377" s="247" t="s">
        <v>46</v>
      </c>
      <c r="D1377" s="516" t="s">
        <v>135</v>
      </c>
      <c r="E1377" s="517">
        <v>1.2553495440729479E-3</v>
      </c>
      <c r="F1377" s="518" t="s">
        <v>133</v>
      </c>
      <c r="G1377" s="57" t="s">
        <v>16</v>
      </c>
      <c r="H1377" s="519">
        <v>1</v>
      </c>
      <c r="I1377" s="519">
        <v>1</v>
      </c>
      <c r="J1377" s="519">
        <v>3</v>
      </c>
      <c r="K1377" s="519">
        <v>3</v>
      </c>
      <c r="L1377" s="520">
        <v>3</v>
      </c>
      <c r="M1377" s="521">
        <f t="shared" si="43"/>
        <v>1.1181151966036349</v>
      </c>
      <c r="N1377" s="522"/>
    </row>
    <row r="1378" spans="1:14" hidden="1" x14ac:dyDescent="0.2">
      <c r="A1378" s="523" t="s">
        <v>374</v>
      </c>
      <c r="B1378" s="515" t="s">
        <v>463</v>
      </c>
      <c r="C1378" s="247" t="s">
        <v>48</v>
      </c>
      <c r="D1378" s="516" t="s">
        <v>135</v>
      </c>
      <c r="E1378" s="517">
        <v>9.3994082840236678E-4</v>
      </c>
      <c r="F1378" s="518" t="s">
        <v>133</v>
      </c>
      <c r="G1378" s="57" t="s">
        <v>16</v>
      </c>
      <c r="H1378" s="519">
        <v>1</v>
      </c>
      <c r="I1378" s="519">
        <v>1</v>
      </c>
      <c r="J1378" s="519">
        <v>3</v>
      </c>
      <c r="K1378" s="519">
        <v>3</v>
      </c>
      <c r="L1378" s="520">
        <v>3</v>
      </c>
      <c r="M1378" s="521">
        <f t="shared" si="43"/>
        <v>1.1181151966036349</v>
      </c>
      <c r="N1378" s="522"/>
    </row>
    <row r="1379" spans="1:14" hidden="1" x14ac:dyDescent="0.2">
      <c r="A1379" s="523" t="s">
        <v>374</v>
      </c>
      <c r="B1379" s="515" t="s">
        <v>463</v>
      </c>
      <c r="C1379" s="247" t="s">
        <v>50</v>
      </c>
      <c r="D1379" s="516" t="s">
        <v>135</v>
      </c>
      <c r="E1379" s="517">
        <v>5.72327205882353E-3</v>
      </c>
      <c r="F1379" s="518" t="s">
        <v>133</v>
      </c>
      <c r="G1379" s="57" t="s">
        <v>16</v>
      </c>
      <c r="H1379" s="519">
        <v>1</v>
      </c>
      <c r="I1379" s="519">
        <v>1</v>
      </c>
      <c r="J1379" s="519">
        <v>3</v>
      </c>
      <c r="K1379" s="519">
        <v>3</v>
      </c>
      <c r="L1379" s="520">
        <v>3</v>
      </c>
      <c r="M1379" s="521">
        <f t="shared" si="43"/>
        <v>1.1181151966036349</v>
      </c>
      <c r="N1379" s="522"/>
    </row>
    <row r="1380" spans="1:14" hidden="1" x14ac:dyDescent="0.2">
      <c r="A1380" s="523" t="s">
        <v>374</v>
      </c>
      <c r="B1380" s="515" t="s">
        <v>463</v>
      </c>
      <c r="C1380" s="247" t="s">
        <v>52</v>
      </c>
      <c r="D1380" s="516" t="s">
        <v>135</v>
      </c>
      <c r="E1380" s="517">
        <v>9.2086956521739128E-4</v>
      </c>
      <c r="F1380" s="518" t="s">
        <v>133</v>
      </c>
      <c r="G1380" s="57" t="s">
        <v>16</v>
      </c>
      <c r="H1380" s="519">
        <v>1</v>
      </c>
      <c r="I1380" s="519">
        <v>1</v>
      </c>
      <c r="J1380" s="519">
        <v>3</v>
      </c>
      <c r="K1380" s="519">
        <v>3</v>
      </c>
      <c r="L1380" s="520">
        <v>3</v>
      </c>
      <c r="M1380" s="521">
        <f t="shared" si="43"/>
        <v>1.1181151966036349</v>
      </c>
      <c r="N1380" s="522"/>
    </row>
    <row r="1381" spans="1:14" hidden="1" x14ac:dyDescent="0.2">
      <c r="A1381" s="523" t="s">
        <v>374</v>
      </c>
      <c r="B1381" s="515" t="s">
        <v>463</v>
      </c>
      <c r="C1381" s="247" t="s">
        <v>54</v>
      </c>
      <c r="D1381" s="516" t="s">
        <v>135</v>
      </c>
      <c r="E1381" s="517">
        <v>5.8833333333333329E-4</v>
      </c>
      <c r="F1381" s="518" t="s">
        <v>133</v>
      </c>
      <c r="G1381" s="57" t="s">
        <v>16</v>
      </c>
      <c r="H1381" s="519">
        <v>1</v>
      </c>
      <c r="I1381" s="519">
        <v>1</v>
      </c>
      <c r="J1381" s="519">
        <v>3</v>
      </c>
      <c r="K1381" s="519">
        <v>3</v>
      </c>
      <c r="L1381" s="520">
        <v>3</v>
      </c>
      <c r="M1381" s="521">
        <f t="shared" si="43"/>
        <v>1.1181151966036349</v>
      </c>
      <c r="N1381" s="522"/>
    </row>
    <row r="1382" spans="1:14" hidden="1" x14ac:dyDescent="0.2">
      <c r="A1382" s="523" t="s">
        <v>374</v>
      </c>
      <c r="B1382" s="515" t="s">
        <v>463</v>
      </c>
      <c r="C1382" s="247" t="s">
        <v>55</v>
      </c>
      <c r="D1382" s="516" t="s">
        <v>135</v>
      </c>
      <c r="E1382" s="517">
        <v>1.2708000000000001E-3</v>
      </c>
      <c r="F1382" s="518" t="s">
        <v>133</v>
      </c>
      <c r="G1382" s="57" t="s">
        <v>16</v>
      </c>
      <c r="H1382" s="519">
        <v>1</v>
      </c>
      <c r="I1382" s="519">
        <v>1</v>
      </c>
      <c r="J1382" s="519">
        <v>3</v>
      </c>
      <c r="K1382" s="519">
        <v>3</v>
      </c>
      <c r="L1382" s="520">
        <v>3</v>
      </c>
      <c r="M1382" s="521">
        <f t="shared" si="43"/>
        <v>1.1181151966036349</v>
      </c>
      <c r="N1382" s="522"/>
    </row>
    <row r="1383" spans="1:14" hidden="1" x14ac:dyDescent="0.2">
      <c r="A1383" s="523" t="s">
        <v>374</v>
      </c>
      <c r="B1383" s="515" t="s">
        <v>463</v>
      </c>
      <c r="C1383" s="247" t="s">
        <v>57</v>
      </c>
      <c r="D1383" s="516" t="s">
        <v>135</v>
      </c>
      <c r="E1383" s="517">
        <v>5.8562211981566818E-4</v>
      </c>
      <c r="F1383" s="518" t="s">
        <v>133</v>
      </c>
      <c r="G1383" s="57" t="s">
        <v>16</v>
      </c>
      <c r="H1383" s="519">
        <v>1</v>
      </c>
      <c r="I1383" s="519">
        <v>1</v>
      </c>
      <c r="J1383" s="519">
        <v>3</v>
      </c>
      <c r="K1383" s="519">
        <v>3</v>
      </c>
      <c r="L1383" s="520">
        <v>3</v>
      </c>
      <c r="M1383" s="521">
        <f t="shared" si="43"/>
        <v>1.1181151966036349</v>
      </c>
      <c r="N1383" s="522"/>
    </row>
    <row r="1384" spans="1:14" hidden="1" x14ac:dyDescent="0.2">
      <c r="A1384" s="523" t="s">
        <v>374</v>
      </c>
      <c r="B1384" s="515" t="s">
        <v>463</v>
      </c>
      <c r="C1384" s="247" t="s">
        <v>59</v>
      </c>
      <c r="D1384" s="516" t="s">
        <v>135</v>
      </c>
      <c r="E1384" s="517">
        <v>2.7E-4</v>
      </c>
      <c r="F1384" s="518" t="s">
        <v>133</v>
      </c>
      <c r="G1384" s="57" t="s">
        <v>16</v>
      </c>
      <c r="H1384" s="519">
        <v>1</v>
      </c>
      <c r="I1384" s="519">
        <v>1</v>
      </c>
      <c r="J1384" s="519">
        <v>3</v>
      </c>
      <c r="K1384" s="519">
        <v>3</v>
      </c>
      <c r="L1384" s="520">
        <v>3</v>
      </c>
      <c r="M1384" s="521">
        <f t="shared" si="43"/>
        <v>1.1181151966036349</v>
      </c>
      <c r="N1384" s="522"/>
    </row>
    <row r="1385" spans="1:14" hidden="1" x14ac:dyDescent="0.2">
      <c r="A1385" s="523" t="s">
        <v>374</v>
      </c>
      <c r="B1385" s="515" t="s">
        <v>463</v>
      </c>
      <c r="C1385" s="247" t="s">
        <v>60</v>
      </c>
      <c r="D1385" s="516" t="s">
        <v>135</v>
      </c>
      <c r="E1385" s="517">
        <v>1.23511879049676E-3</v>
      </c>
      <c r="F1385" s="518" t="s">
        <v>133</v>
      </c>
      <c r="G1385" s="57" t="s">
        <v>16</v>
      </c>
      <c r="H1385" s="519">
        <v>1</v>
      </c>
      <c r="I1385" s="519">
        <v>1</v>
      </c>
      <c r="J1385" s="519">
        <v>3</v>
      </c>
      <c r="K1385" s="519">
        <v>3</v>
      </c>
      <c r="L1385" s="520">
        <v>3</v>
      </c>
      <c r="M1385" s="521">
        <f t="shared" ref="M1385:M1415" si="44">IF( OR( ISBLANK(H1385),ISBLANK(I1385), ISBLANK(J1385), ISBLANK(K1385), ISBLANK(L1385) ), "", 1.5*SQRT( EXP(2.21*(H1385-1)) + EXP(2.21*(I1385-1)) + EXP(2.21*(J1385-1)) + EXP(2.21*(K1385-1)) + EXP(2.21*L1385) )/100*2.45 )</f>
        <v>1.1181151966036349</v>
      </c>
      <c r="N1385" s="522"/>
    </row>
    <row r="1386" spans="1:14" x14ac:dyDescent="0.2">
      <c r="A1386" s="523" t="s">
        <v>374</v>
      </c>
      <c r="B1386" s="524" t="s">
        <v>488</v>
      </c>
      <c r="C1386" s="525" t="s">
        <v>135</v>
      </c>
      <c r="D1386" s="527" t="s">
        <v>135</v>
      </c>
      <c r="E1386" s="539">
        <v>0</v>
      </c>
      <c r="F1386" s="333" t="s">
        <v>476</v>
      </c>
      <c r="G1386" s="528"/>
      <c r="H1386" s="539"/>
      <c r="I1386" s="539"/>
      <c r="J1386" s="539"/>
      <c r="K1386" s="539"/>
      <c r="L1386" s="540"/>
      <c r="M1386" s="541" t="str">
        <f t="shared" si="44"/>
        <v/>
      </c>
      <c r="N1386" s="530"/>
    </row>
    <row r="1387" spans="1:14" x14ac:dyDescent="0.2">
      <c r="A1387" s="523" t="s">
        <v>374</v>
      </c>
      <c r="B1387" s="524" t="s">
        <v>488</v>
      </c>
      <c r="C1387" s="525" t="s">
        <v>135</v>
      </c>
      <c r="D1387" s="527" t="s">
        <v>135</v>
      </c>
      <c r="E1387" s="527">
        <v>1.2999999999999999E-2</v>
      </c>
      <c r="F1387" s="333" t="s">
        <v>477</v>
      </c>
      <c r="G1387" s="528" t="s">
        <v>16</v>
      </c>
      <c r="H1387" s="527">
        <v>2</v>
      </c>
      <c r="I1387" s="527">
        <v>4</v>
      </c>
      <c r="J1387" s="527">
        <v>3</v>
      </c>
      <c r="K1387" s="527">
        <v>3</v>
      </c>
      <c r="L1387" s="529">
        <v>3</v>
      </c>
      <c r="M1387" s="60">
        <f t="shared" si="44"/>
        <v>1.5109000055213746</v>
      </c>
      <c r="N1387" s="530"/>
    </row>
    <row r="1388" spans="1:14" x14ac:dyDescent="0.2">
      <c r="A1388" s="523" t="s">
        <v>374</v>
      </c>
      <c r="B1388" s="524" t="s">
        <v>480</v>
      </c>
      <c r="C1388" s="525" t="s">
        <v>135</v>
      </c>
      <c r="D1388" s="527" t="s">
        <v>135</v>
      </c>
      <c r="E1388" s="527">
        <v>1E-4</v>
      </c>
      <c r="F1388" s="333" t="s">
        <v>487</v>
      </c>
      <c r="G1388" s="528" t="s">
        <v>16</v>
      </c>
      <c r="H1388" s="527">
        <v>2</v>
      </c>
      <c r="I1388" s="527">
        <v>2</v>
      </c>
      <c r="J1388" s="527">
        <v>2</v>
      </c>
      <c r="K1388" s="527">
        <v>2</v>
      </c>
      <c r="L1388" s="529">
        <v>1</v>
      </c>
      <c r="M1388" s="60">
        <f t="shared" si="44"/>
        <v>0.24810627482064512</v>
      </c>
      <c r="N1388" s="530"/>
    </row>
    <row r="1389" spans="1:14" x14ac:dyDescent="0.2">
      <c r="A1389" s="531" t="s">
        <v>374</v>
      </c>
      <c r="B1389" s="532" t="s">
        <v>480</v>
      </c>
      <c r="C1389" s="533" t="s">
        <v>135</v>
      </c>
      <c r="D1389" s="330" t="s">
        <v>135</v>
      </c>
      <c r="E1389" s="330">
        <v>1E-3</v>
      </c>
      <c r="F1389" s="534" t="s">
        <v>487</v>
      </c>
      <c r="G1389" s="535" t="s">
        <v>16</v>
      </c>
      <c r="H1389" s="330">
        <v>2</v>
      </c>
      <c r="I1389" s="330">
        <v>2</v>
      </c>
      <c r="J1389" s="330">
        <v>2</v>
      </c>
      <c r="K1389" s="330">
        <v>2</v>
      </c>
      <c r="L1389" s="536">
        <v>1</v>
      </c>
      <c r="M1389" s="537">
        <f t="shared" si="44"/>
        <v>0.24810627482064512</v>
      </c>
      <c r="N1389" s="538"/>
    </row>
    <row r="1390" spans="1:14" hidden="1" x14ac:dyDescent="0.2">
      <c r="A1390" s="246" t="s">
        <v>363</v>
      </c>
      <c r="B1390" s="459" t="s">
        <v>463</v>
      </c>
      <c r="C1390" s="247" t="s">
        <v>13</v>
      </c>
      <c r="D1390" s="248" t="s">
        <v>135</v>
      </c>
      <c r="E1390" s="249">
        <v>4.9383419689119179E-4</v>
      </c>
      <c r="F1390" s="250" t="s">
        <v>133</v>
      </c>
      <c r="G1390" s="251" t="s">
        <v>16</v>
      </c>
      <c r="H1390" s="252">
        <v>1</v>
      </c>
      <c r="I1390" s="252">
        <v>1</v>
      </c>
      <c r="J1390" s="252">
        <v>3</v>
      </c>
      <c r="K1390" s="252">
        <v>3</v>
      </c>
      <c r="L1390" s="253">
        <v>3</v>
      </c>
      <c r="M1390" s="254">
        <f t="shared" si="44"/>
        <v>1.1181151966036349</v>
      </c>
      <c r="N1390" s="255"/>
    </row>
    <row r="1391" spans="1:14" hidden="1" x14ac:dyDescent="0.2">
      <c r="A1391" s="246" t="s">
        <v>363</v>
      </c>
      <c r="B1391" s="459" t="s">
        <v>463</v>
      </c>
      <c r="C1391" s="247" t="s">
        <v>18</v>
      </c>
      <c r="D1391" s="248" t="s">
        <v>135</v>
      </c>
      <c r="E1391" s="249">
        <v>6.2141809290953553E-4</v>
      </c>
      <c r="F1391" s="250" t="s">
        <v>133</v>
      </c>
      <c r="G1391" s="251" t="s">
        <v>16</v>
      </c>
      <c r="H1391" s="252">
        <v>1</v>
      </c>
      <c r="I1391" s="252">
        <v>1</v>
      </c>
      <c r="J1391" s="252">
        <v>3</v>
      </c>
      <c r="K1391" s="252">
        <v>3</v>
      </c>
      <c r="L1391" s="253">
        <v>3</v>
      </c>
      <c r="M1391" s="254">
        <f t="shared" si="44"/>
        <v>1.1181151966036349</v>
      </c>
      <c r="N1391" s="255"/>
    </row>
    <row r="1392" spans="1:14" hidden="1" x14ac:dyDescent="0.2">
      <c r="A1392" s="246" t="s">
        <v>363</v>
      </c>
      <c r="B1392" s="459" t="s">
        <v>463</v>
      </c>
      <c r="C1392" s="247" t="s">
        <v>20</v>
      </c>
      <c r="D1392" s="248" t="s">
        <v>135</v>
      </c>
      <c r="E1392" s="249">
        <v>1.717297297297297E-3</v>
      </c>
      <c r="F1392" s="250" t="s">
        <v>133</v>
      </c>
      <c r="G1392" s="251" t="s">
        <v>16</v>
      </c>
      <c r="H1392" s="252">
        <v>1</v>
      </c>
      <c r="I1392" s="252">
        <v>1</v>
      </c>
      <c r="J1392" s="252">
        <v>3</v>
      </c>
      <c r="K1392" s="252">
        <v>3</v>
      </c>
      <c r="L1392" s="253">
        <v>3</v>
      </c>
      <c r="M1392" s="254">
        <f t="shared" si="44"/>
        <v>1.1181151966036349</v>
      </c>
      <c r="N1392" s="255"/>
    </row>
    <row r="1393" spans="1:14" hidden="1" x14ac:dyDescent="0.2">
      <c r="A1393" s="246" t="s">
        <v>363</v>
      </c>
      <c r="B1393" s="459" t="s">
        <v>463</v>
      </c>
      <c r="C1393" s="247" t="s">
        <v>22</v>
      </c>
      <c r="D1393" s="248" t="s">
        <v>135</v>
      </c>
      <c r="E1393" s="249">
        <v>1.397291666666666E-3</v>
      </c>
      <c r="F1393" s="250" t="s">
        <v>133</v>
      </c>
      <c r="G1393" s="251" t="s">
        <v>16</v>
      </c>
      <c r="H1393" s="252">
        <v>1</v>
      </c>
      <c r="I1393" s="252">
        <v>1</v>
      </c>
      <c r="J1393" s="252">
        <v>3</v>
      </c>
      <c r="K1393" s="252">
        <v>3</v>
      </c>
      <c r="L1393" s="253">
        <v>3</v>
      </c>
      <c r="M1393" s="254">
        <f t="shared" si="44"/>
        <v>1.1181151966036349</v>
      </c>
      <c r="N1393" s="255"/>
    </row>
    <row r="1394" spans="1:14" hidden="1" x14ac:dyDescent="0.2">
      <c r="A1394" s="246" t="s">
        <v>363</v>
      </c>
      <c r="B1394" s="459" t="s">
        <v>463</v>
      </c>
      <c r="C1394" s="247" t="s">
        <v>23</v>
      </c>
      <c r="D1394" s="248" t="s">
        <v>135</v>
      </c>
      <c r="E1394" s="249">
        <v>1.868823529411765E-3</v>
      </c>
      <c r="F1394" s="250" t="s">
        <v>133</v>
      </c>
      <c r="G1394" s="251" t="s">
        <v>16</v>
      </c>
      <c r="H1394" s="252">
        <v>1</v>
      </c>
      <c r="I1394" s="252">
        <v>1</v>
      </c>
      <c r="J1394" s="252">
        <v>3</v>
      </c>
      <c r="K1394" s="252">
        <v>3</v>
      </c>
      <c r="L1394" s="253">
        <v>3</v>
      </c>
      <c r="M1394" s="254">
        <f t="shared" si="44"/>
        <v>1.1181151966036349</v>
      </c>
      <c r="N1394" s="255"/>
    </row>
    <row r="1395" spans="1:14" hidden="1" x14ac:dyDescent="0.2">
      <c r="A1395" s="246" t="s">
        <v>363</v>
      </c>
      <c r="B1395" s="459" t="s">
        <v>463</v>
      </c>
      <c r="C1395" s="247" t="s">
        <v>24</v>
      </c>
      <c r="D1395" s="248" t="s">
        <v>135</v>
      </c>
      <c r="E1395" s="249">
        <v>8.3605263157894745E-4</v>
      </c>
      <c r="F1395" s="250" t="s">
        <v>133</v>
      </c>
      <c r="G1395" s="251" t="s">
        <v>16</v>
      </c>
      <c r="H1395" s="252">
        <v>1</v>
      </c>
      <c r="I1395" s="252">
        <v>1</v>
      </c>
      <c r="J1395" s="252">
        <v>3</v>
      </c>
      <c r="K1395" s="252">
        <v>3</v>
      </c>
      <c r="L1395" s="253">
        <v>3</v>
      </c>
      <c r="M1395" s="254">
        <f t="shared" si="44"/>
        <v>1.1181151966036349</v>
      </c>
      <c r="N1395" s="255"/>
    </row>
    <row r="1396" spans="1:14" hidden="1" x14ac:dyDescent="0.2">
      <c r="A1396" s="246" t="s">
        <v>363</v>
      </c>
      <c r="B1396" s="459" t="s">
        <v>463</v>
      </c>
      <c r="C1396" s="247" t="s">
        <v>25</v>
      </c>
      <c r="D1396" s="248" t="s">
        <v>135</v>
      </c>
      <c r="E1396" s="249">
        <v>4.2932432432432442E-4</v>
      </c>
      <c r="F1396" s="250" t="s">
        <v>133</v>
      </c>
      <c r="G1396" s="251" t="s">
        <v>16</v>
      </c>
      <c r="H1396" s="252">
        <v>1</v>
      </c>
      <c r="I1396" s="252">
        <v>1</v>
      </c>
      <c r="J1396" s="252">
        <v>3</v>
      </c>
      <c r="K1396" s="252">
        <v>3</v>
      </c>
      <c r="L1396" s="253">
        <v>3</v>
      </c>
      <c r="M1396" s="254">
        <f t="shared" si="44"/>
        <v>1.1181151966036349</v>
      </c>
      <c r="N1396" s="255"/>
    </row>
    <row r="1397" spans="1:14" hidden="1" x14ac:dyDescent="0.2">
      <c r="A1397" s="246" t="s">
        <v>363</v>
      </c>
      <c r="B1397" s="459" t="s">
        <v>463</v>
      </c>
      <c r="C1397" s="247" t="s">
        <v>26</v>
      </c>
      <c r="D1397" s="248" t="s">
        <v>135</v>
      </c>
      <c r="E1397" s="249">
        <v>2.9808888888888888E-3</v>
      </c>
      <c r="F1397" s="250" t="s">
        <v>133</v>
      </c>
      <c r="G1397" s="251" t="s">
        <v>16</v>
      </c>
      <c r="H1397" s="252">
        <v>1</v>
      </c>
      <c r="I1397" s="252">
        <v>1</v>
      </c>
      <c r="J1397" s="252">
        <v>3</v>
      </c>
      <c r="K1397" s="252">
        <v>3</v>
      </c>
      <c r="L1397" s="253">
        <v>3</v>
      </c>
      <c r="M1397" s="254">
        <f t="shared" si="44"/>
        <v>1.1181151966036349</v>
      </c>
      <c r="N1397" s="255"/>
    </row>
    <row r="1398" spans="1:14" hidden="1" x14ac:dyDescent="0.2">
      <c r="A1398" s="246" t="s">
        <v>363</v>
      </c>
      <c r="B1398" s="459" t="s">
        <v>463</v>
      </c>
      <c r="C1398" s="247" t="s">
        <v>27</v>
      </c>
      <c r="D1398" s="248" t="s">
        <v>135</v>
      </c>
      <c r="E1398" s="249">
        <v>3.4595281306715062E-4</v>
      </c>
      <c r="F1398" s="250" t="s">
        <v>133</v>
      </c>
      <c r="G1398" s="251" t="s">
        <v>16</v>
      </c>
      <c r="H1398" s="252">
        <v>1</v>
      </c>
      <c r="I1398" s="252">
        <v>1</v>
      </c>
      <c r="J1398" s="252">
        <v>3</v>
      </c>
      <c r="K1398" s="252">
        <v>3</v>
      </c>
      <c r="L1398" s="253">
        <v>3</v>
      </c>
      <c r="M1398" s="254">
        <f t="shared" si="44"/>
        <v>1.1181151966036349</v>
      </c>
      <c r="N1398" s="255"/>
    </row>
    <row r="1399" spans="1:14" hidden="1" x14ac:dyDescent="0.2">
      <c r="A1399" s="246" t="s">
        <v>363</v>
      </c>
      <c r="B1399" s="459" t="s">
        <v>463</v>
      </c>
      <c r="C1399" s="247" t="s">
        <v>28</v>
      </c>
      <c r="D1399" s="248" t="s">
        <v>135</v>
      </c>
      <c r="E1399" s="249">
        <v>7.4149012567324962E-4</v>
      </c>
      <c r="F1399" s="250" t="s">
        <v>133</v>
      </c>
      <c r="G1399" s="251" t="s">
        <v>16</v>
      </c>
      <c r="H1399" s="252">
        <v>1</v>
      </c>
      <c r="I1399" s="252">
        <v>1</v>
      </c>
      <c r="J1399" s="252">
        <v>3</v>
      </c>
      <c r="K1399" s="252">
        <v>3</v>
      </c>
      <c r="L1399" s="253">
        <v>3</v>
      </c>
      <c r="M1399" s="254">
        <f t="shared" si="44"/>
        <v>1.1181151966036349</v>
      </c>
      <c r="N1399" s="255"/>
    </row>
    <row r="1400" spans="1:14" hidden="1" x14ac:dyDescent="0.2">
      <c r="A1400" s="246" t="s">
        <v>363</v>
      </c>
      <c r="B1400" s="459" t="s">
        <v>463</v>
      </c>
      <c r="C1400" s="247" t="s">
        <v>30</v>
      </c>
      <c r="D1400" s="248" t="s">
        <v>135</v>
      </c>
      <c r="E1400" s="249">
        <v>5.242574257425742E-4</v>
      </c>
      <c r="F1400" s="250" t="s">
        <v>133</v>
      </c>
      <c r="G1400" s="251" t="s">
        <v>16</v>
      </c>
      <c r="H1400" s="252">
        <v>1</v>
      </c>
      <c r="I1400" s="252">
        <v>1</v>
      </c>
      <c r="J1400" s="252">
        <v>3</v>
      </c>
      <c r="K1400" s="252">
        <v>3</v>
      </c>
      <c r="L1400" s="253">
        <v>3</v>
      </c>
      <c r="M1400" s="254">
        <f t="shared" si="44"/>
        <v>1.1181151966036349</v>
      </c>
      <c r="N1400" s="255"/>
    </row>
    <row r="1401" spans="1:14" hidden="1" x14ac:dyDescent="0.2">
      <c r="A1401" s="246" t="s">
        <v>363</v>
      </c>
      <c r="B1401" s="459" t="s">
        <v>463</v>
      </c>
      <c r="C1401" s="247" t="s">
        <v>32</v>
      </c>
      <c r="D1401" s="248" t="s">
        <v>135</v>
      </c>
      <c r="E1401" s="249">
        <v>1.23378640776699E-3</v>
      </c>
      <c r="F1401" s="250" t="s">
        <v>133</v>
      </c>
      <c r="G1401" s="251" t="s">
        <v>16</v>
      </c>
      <c r="H1401" s="252">
        <v>1</v>
      </c>
      <c r="I1401" s="252">
        <v>1</v>
      </c>
      <c r="J1401" s="252">
        <v>3</v>
      </c>
      <c r="K1401" s="252">
        <v>3</v>
      </c>
      <c r="L1401" s="253">
        <v>3</v>
      </c>
      <c r="M1401" s="254">
        <f t="shared" si="44"/>
        <v>1.1181151966036349</v>
      </c>
      <c r="N1401" s="255"/>
    </row>
    <row r="1402" spans="1:14" hidden="1" x14ac:dyDescent="0.2">
      <c r="A1402" s="246" t="s">
        <v>363</v>
      </c>
      <c r="B1402" s="459" t="s">
        <v>463</v>
      </c>
      <c r="C1402" s="247" t="s">
        <v>34</v>
      </c>
      <c r="D1402" s="248" t="s">
        <v>135</v>
      </c>
      <c r="E1402" s="249">
        <v>1.5009448818897641E-3</v>
      </c>
      <c r="F1402" s="250" t="s">
        <v>133</v>
      </c>
      <c r="G1402" s="251" t="s">
        <v>16</v>
      </c>
      <c r="H1402" s="252">
        <v>1</v>
      </c>
      <c r="I1402" s="252">
        <v>1</v>
      </c>
      <c r="J1402" s="252">
        <v>3</v>
      </c>
      <c r="K1402" s="252">
        <v>3</v>
      </c>
      <c r="L1402" s="253">
        <v>3</v>
      </c>
      <c r="M1402" s="254">
        <f t="shared" si="44"/>
        <v>1.1181151966036349</v>
      </c>
      <c r="N1402" s="255"/>
    </row>
    <row r="1403" spans="1:14" hidden="1" x14ac:dyDescent="0.2">
      <c r="A1403" s="246" t="s">
        <v>363</v>
      </c>
      <c r="B1403" s="459" t="s">
        <v>463</v>
      </c>
      <c r="C1403" s="247" t="s">
        <v>36</v>
      </c>
      <c r="D1403" s="248" t="s">
        <v>135</v>
      </c>
      <c r="E1403" s="249">
        <v>1.4482051282051281E-3</v>
      </c>
      <c r="F1403" s="250" t="s">
        <v>133</v>
      </c>
      <c r="G1403" s="251" t="s">
        <v>16</v>
      </c>
      <c r="H1403" s="252">
        <v>1</v>
      </c>
      <c r="I1403" s="252">
        <v>1</v>
      </c>
      <c r="J1403" s="252">
        <v>3</v>
      </c>
      <c r="K1403" s="252">
        <v>3</v>
      </c>
      <c r="L1403" s="253">
        <v>3</v>
      </c>
      <c r="M1403" s="254">
        <f t="shared" si="44"/>
        <v>1.1181151966036349</v>
      </c>
      <c r="N1403" s="255"/>
    </row>
    <row r="1404" spans="1:14" hidden="1" x14ac:dyDescent="0.2">
      <c r="A1404" s="246" t="s">
        <v>363</v>
      </c>
      <c r="B1404" s="459" t="s">
        <v>463</v>
      </c>
      <c r="C1404" s="247" t="s">
        <v>37</v>
      </c>
      <c r="D1404" s="248" t="s">
        <v>135</v>
      </c>
      <c r="E1404" s="249">
        <v>6.0483967935871753E-3</v>
      </c>
      <c r="F1404" s="250" t="s">
        <v>133</v>
      </c>
      <c r="G1404" s="251" t="s">
        <v>16</v>
      </c>
      <c r="H1404" s="252">
        <v>1</v>
      </c>
      <c r="I1404" s="252">
        <v>1</v>
      </c>
      <c r="J1404" s="252">
        <v>3</v>
      </c>
      <c r="K1404" s="252">
        <v>3</v>
      </c>
      <c r="L1404" s="253">
        <v>3</v>
      </c>
      <c r="M1404" s="254">
        <f t="shared" si="44"/>
        <v>1.1181151966036349</v>
      </c>
      <c r="N1404" s="255"/>
    </row>
    <row r="1405" spans="1:14" hidden="1" x14ac:dyDescent="0.2">
      <c r="A1405" s="246" t="s">
        <v>363</v>
      </c>
      <c r="B1405" s="459" t="s">
        <v>463</v>
      </c>
      <c r="C1405" s="247" t="s">
        <v>39</v>
      </c>
      <c r="D1405" s="248" t="s">
        <v>135</v>
      </c>
      <c r="E1405" s="249">
        <v>2.9662407862407862E-3</v>
      </c>
      <c r="F1405" s="250" t="s">
        <v>133</v>
      </c>
      <c r="G1405" s="251" t="s">
        <v>16</v>
      </c>
      <c r="H1405" s="252">
        <v>1</v>
      </c>
      <c r="I1405" s="252">
        <v>1</v>
      </c>
      <c r="J1405" s="252">
        <v>3</v>
      </c>
      <c r="K1405" s="252">
        <v>3</v>
      </c>
      <c r="L1405" s="253">
        <v>3</v>
      </c>
      <c r="M1405" s="254">
        <f t="shared" si="44"/>
        <v>1.1181151966036349</v>
      </c>
      <c r="N1405" s="255"/>
    </row>
    <row r="1406" spans="1:14" hidden="1" x14ac:dyDescent="0.2">
      <c r="A1406" s="246" t="s">
        <v>363</v>
      </c>
      <c r="B1406" s="459" t="s">
        <v>463</v>
      </c>
      <c r="C1406" s="247" t="s">
        <v>40</v>
      </c>
      <c r="D1406" s="248" t="s">
        <v>135</v>
      </c>
      <c r="E1406" s="249">
        <v>9.5857758620689656E-4</v>
      </c>
      <c r="F1406" s="250" t="s">
        <v>133</v>
      </c>
      <c r="G1406" s="251" t="s">
        <v>16</v>
      </c>
      <c r="H1406" s="252">
        <v>1</v>
      </c>
      <c r="I1406" s="252">
        <v>1</v>
      </c>
      <c r="J1406" s="252">
        <v>3</v>
      </c>
      <c r="K1406" s="252">
        <v>3</v>
      </c>
      <c r="L1406" s="253">
        <v>3</v>
      </c>
      <c r="M1406" s="254">
        <f t="shared" si="44"/>
        <v>1.1181151966036349</v>
      </c>
      <c r="N1406" s="255"/>
    </row>
    <row r="1407" spans="1:14" hidden="1" x14ac:dyDescent="0.2">
      <c r="A1407" s="246" t="s">
        <v>363</v>
      </c>
      <c r="B1407" s="459" t="s">
        <v>463</v>
      </c>
      <c r="C1407" s="247" t="s">
        <v>41</v>
      </c>
      <c r="D1407" s="248" t="s">
        <v>135</v>
      </c>
      <c r="E1407" s="249">
        <v>4.352054794520548E-4</v>
      </c>
      <c r="F1407" s="250" t="s">
        <v>133</v>
      </c>
      <c r="G1407" s="251" t="s">
        <v>16</v>
      </c>
      <c r="H1407" s="252">
        <v>1</v>
      </c>
      <c r="I1407" s="252">
        <v>1</v>
      </c>
      <c r="J1407" s="252">
        <v>3</v>
      </c>
      <c r="K1407" s="252">
        <v>3</v>
      </c>
      <c r="L1407" s="253">
        <v>3</v>
      </c>
      <c r="M1407" s="254">
        <f t="shared" si="44"/>
        <v>1.1181151966036349</v>
      </c>
      <c r="N1407" s="255"/>
    </row>
    <row r="1408" spans="1:14" hidden="1" x14ac:dyDescent="0.2">
      <c r="A1408" s="246" t="s">
        <v>363</v>
      </c>
      <c r="B1408" s="459" t="s">
        <v>463</v>
      </c>
      <c r="C1408" s="247" t="s">
        <v>42</v>
      </c>
      <c r="D1408" s="248" t="s">
        <v>135</v>
      </c>
      <c r="E1408" s="249">
        <v>2.1274553571428568E-3</v>
      </c>
      <c r="F1408" s="250" t="s">
        <v>133</v>
      </c>
      <c r="G1408" s="251" t="s">
        <v>16</v>
      </c>
      <c r="H1408" s="252">
        <v>1</v>
      </c>
      <c r="I1408" s="252">
        <v>1</v>
      </c>
      <c r="J1408" s="252">
        <v>3</v>
      </c>
      <c r="K1408" s="252">
        <v>3</v>
      </c>
      <c r="L1408" s="253">
        <v>3</v>
      </c>
      <c r="M1408" s="254">
        <f t="shared" si="44"/>
        <v>1.1181151966036349</v>
      </c>
      <c r="N1408" s="255"/>
    </row>
    <row r="1409" spans="1:14" hidden="1" x14ac:dyDescent="0.2">
      <c r="A1409" s="246" t="s">
        <v>363</v>
      </c>
      <c r="B1409" s="459" t="s">
        <v>463</v>
      </c>
      <c r="C1409" s="247" t="s">
        <v>43</v>
      </c>
      <c r="D1409" s="248" t="s">
        <v>135</v>
      </c>
      <c r="E1409" s="249">
        <v>4.9737769080234839E-4</v>
      </c>
      <c r="F1409" s="250" t="s">
        <v>133</v>
      </c>
      <c r="G1409" s="251" t="s">
        <v>16</v>
      </c>
      <c r="H1409" s="252">
        <v>1</v>
      </c>
      <c r="I1409" s="252">
        <v>1</v>
      </c>
      <c r="J1409" s="252">
        <v>3</v>
      </c>
      <c r="K1409" s="252">
        <v>3</v>
      </c>
      <c r="L1409" s="253">
        <v>3</v>
      </c>
      <c r="M1409" s="254">
        <f t="shared" si="44"/>
        <v>1.1181151966036349</v>
      </c>
      <c r="N1409" s="255"/>
    </row>
    <row r="1410" spans="1:14" x14ac:dyDescent="0.2">
      <c r="A1410" s="246" t="s">
        <v>363</v>
      </c>
      <c r="B1410" s="459" t="s">
        <v>463</v>
      </c>
      <c r="C1410" s="247" t="s">
        <v>45</v>
      </c>
      <c r="D1410" s="248" t="s">
        <v>135</v>
      </c>
      <c r="E1410" s="249">
        <v>6.8784844384303125E-4</v>
      </c>
      <c r="F1410" s="250" t="s">
        <v>133</v>
      </c>
      <c r="G1410" s="251" t="s">
        <v>16</v>
      </c>
      <c r="H1410" s="252">
        <v>1</v>
      </c>
      <c r="I1410" s="252">
        <v>1</v>
      </c>
      <c r="J1410" s="252">
        <v>3</v>
      </c>
      <c r="K1410" s="252">
        <v>3</v>
      </c>
      <c r="L1410" s="253">
        <v>3</v>
      </c>
      <c r="M1410" s="254">
        <f t="shared" si="44"/>
        <v>1.1181151966036349</v>
      </c>
      <c r="N1410" s="255"/>
    </row>
    <row r="1411" spans="1:14" hidden="1" x14ac:dyDescent="0.2">
      <c r="A1411" s="246" t="s">
        <v>363</v>
      </c>
      <c r="B1411" s="459" t="s">
        <v>463</v>
      </c>
      <c r="C1411" s="247" t="s">
        <v>46</v>
      </c>
      <c r="D1411" s="248" t="s">
        <v>135</v>
      </c>
      <c r="E1411" s="249">
        <v>1.2553495440729479E-3</v>
      </c>
      <c r="F1411" s="250" t="s">
        <v>133</v>
      </c>
      <c r="G1411" s="251" t="s">
        <v>16</v>
      </c>
      <c r="H1411" s="252">
        <v>1</v>
      </c>
      <c r="I1411" s="252">
        <v>1</v>
      </c>
      <c r="J1411" s="252">
        <v>3</v>
      </c>
      <c r="K1411" s="252">
        <v>3</v>
      </c>
      <c r="L1411" s="253">
        <v>3</v>
      </c>
      <c r="M1411" s="254">
        <f t="shared" si="44"/>
        <v>1.1181151966036349</v>
      </c>
      <c r="N1411" s="255"/>
    </row>
    <row r="1412" spans="1:14" hidden="1" x14ac:dyDescent="0.2">
      <c r="A1412" s="246" t="s">
        <v>363</v>
      </c>
      <c r="B1412" s="459" t="s">
        <v>463</v>
      </c>
      <c r="C1412" s="247" t="s">
        <v>48</v>
      </c>
      <c r="D1412" s="248" t="s">
        <v>135</v>
      </c>
      <c r="E1412" s="249">
        <v>9.3994082840236678E-4</v>
      </c>
      <c r="F1412" s="250" t="s">
        <v>133</v>
      </c>
      <c r="G1412" s="251" t="s">
        <v>16</v>
      </c>
      <c r="H1412" s="252">
        <v>1</v>
      </c>
      <c r="I1412" s="252">
        <v>1</v>
      </c>
      <c r="J1412" s="252">
        <v>3</v>
      </c>
      <c r="K1412" s="252">
        <v>3</v>
      </c>
      <c r="L1412" s="253">
        <v>3</v>
      </c>
      <c r="M1412" s="254">
        <f t="shared" si="44"/>
        <v>1.1181151966036349</v>
      </c>
      <c r="N1412" s="255"/>
    </row>
    <row r="1413" spans="1:14" hidden="1" x14ac:dyDescent="0.2">
      <c r="A1413" s="246" t="s">
        <v>363</v>
      </c>
      <c r="B1413" s="459" t="s">
        <v>463</v>
      </c>
      <c r="C1413" s="247" t="s">
        <v>50</v>
      </c>
      <c r="D1413" s="248" t="s">
        <v>135</v>
      </c>
      <c r="E1413" s="249">
        <v>5.72327205882353E-3</v>
      </c>
      <c r="F1413" s="250" t="s">
        <v>133</v>
      </c>
      <c r="G1413" s="251" t="s">
        <v>16</v>
      </c>
      <c r="H1413" s="252">
        <v>1</v>
      </c>
      <c r="I1413" s="252">
        <v>1</v>
      </c>
      <c r="J1413" s="252">
        <v>3</v>
      </c>
      <c r="K1413" s="252">
        <v>3</v>
      </c>
      <c r="L1413" s="253">
        <v>3</v>
      </c>
      <c r="M1413" s="254">
        <f t="shared" si="44"/>
        <v>1.1181151966036349</v>
      </c>
      <c r="N1413" s="255"/>
    </row>
    <row r="1414" spans="1:14" hidden="1" x14ac:dyDescent="0.2">
      <c r="A1414" s="246" t="s">
        <v>363</v>
      </c>
      <c r="B1414" s="459" t="s">
        <v>463</v>
      </c>
      <c r="C1414" s="247" t="s">
        <v>52</v>
      </c>
      <c r="D1414" s="248" t="s">
        <v>135</v>
      </c>
      <c r="E1414" s="249">
        <v>9.2086956521739128E-4</v>
      </c>
      <c r="F1414" s="250" t="s">
        <v>133</v>
      </c>
      <c r="G1414" s="251" t="s">
        <v>16</v>
      </c>
      <c r="H1414" s="252">
        <v>1</v>
      </c>
      <c r="I1414" s="252">
        <v>1</v>
      </c>
      <c r="J1414" s="252">
        <v>3</v>
      </c>
      <c r="K1414" s="252">
        <v>3</v>
      </c>
      <c r="L1414" s="253">
        <v>3</v>
      </c>
      <c r="M1414" s="254">
        <f t="shared" si="44"/>
        <v>1.1181151966036349</v>
      </c>
      <c r="N1414" s="255"/>
    </row>
    <row r="1415" spans="1:14" hidden="1" x14ac:dyDescent="0.2">
      <c r="A1415" s="246" t="s">
        <v>363</v>
      </c>
      <c r="B1415" s="459" t="s">
        <v>463</v>
      </c>
      <c r="C1415" s="247" t="s">
        <v>54</v>
      </c>
      <c r="D1415" s="248" t="s">
        <v>135</v>
      </c>
      <c r="E1415" s="249">
        <v>5.8833333333333329E-4</v>
      </c>
      <c r="F1415" s="250" t="s">
        <v>133</v>
      </c>
      <c r="G1415" s="251" t="s">
        <v>16</v>
      </c>
      <c r="H1415" s="252">
        <v>1</v>
      </c>
      <c r="I1415" s="252">
        <v>1</v>
      </c>
      <c r="J1415" s="252">
        <v>3</v>
      </c>
      <c r="K1415" s="252">
        <v>3</v>
      </c>
      <c r="L1415" s="253">
        <v>3</v>
      </c>
      <c r="M1415" s="254">
        <f t="shared" si="44"/>
        <v>1.1181151966036349</v>
      </c>
      <c r="N1415" s="255"/>
    </row>
    <row r="1416" spans="1:14" hidden="1" x14ac:dyDescent="0.2">
      <c r="A1416" s="246" t="s">
        <v>363</v>
      </c>
      <c r="B1416" s="459" t="s">
        <v>463</v>
      </c>
      <c r="C1416" s="247" t="s">
        <v>55</v>
      </c>
      <c r="D1416" s="248" t="s">
        <v>135</v>
      </c>
      <c r="E1416" s="249">
        <v>1.2708000000000001E-3</v>
      </c>
      <c r="F1416" s="250" t="s">
        <v>133</v>
      </c>
      <c r="G1416" s="251" t="s">
        <v>16</v>
      </c>
      <c r="H1416" s="252">
        <v>1</v>
      </c>
      <c r="I1416" s="252">
        <v>1</v>
      </c>
      <c r="J1416" s="252">
        <v>3</v>
      </c>
      <c r="K1416" s="252">
        <v>3</v>
      </c>
      <c r="L1416" s="253">
        <v>3</v>
      </c>
      <c r="M1416" s="254">
        <f>IF( OR( ISBLANK(H1416),ISBLANK(I1416), ISBLANK(J1416), ISBLANK(K1416), ISBLANK(L1416) ), "", 1.5*SQRT(   EXP(2.21*(H1416-1)) + EXP(2.21*(I1416-1)) + EXP(2.21*(J1416-1)) + EXP(2.21*(K1416-1)) + EXP(2.21*L1416)   )/100*2.45 )</f>
        <v>1.1181151966036349</v>
      </c>
      <c r="N1416" s="255"/>
    </row>
    <row r="1417" spans="1:14" hidden="1" x14ac:dyDescent="0.2">
      <c r="A1417" s="246" t="s">
        <v>363</v>
      </c>
      <c r="B1417" s="459" t="s">
        <v>463</v>
      </c>
      <c r="C1417" s="247" t="s">
        <v>57</v>
      </c>
      <c r="D1417" s="248" t="s">
        <v>135</v>
      </c>
      <c r="E1417" s="249">
        <v>5.8562211981566818E-4</v>
      </c>
      <c r="F1417" s="250" t="s">
        <v>133</v>
      </c>
      <c r="G1417" s="251" t="s">
        <v>16</v>
      </c>
      <c r="H1417" s="252">
        <v>1</v>
      </c>
      <c r="I1417" s="252">
        <v>1</v>
      </c>
      <c r="J1417" s="252">
        <v>3</v>
      </c>
      <c r="K1417" s="252">
        <v>3</v>
      </c>
      <c r="L1417" s="253">
        <v>3</v>
      </c>
      <c r="M1417" s="254">
        <f t="shared" ref="M1417:M1448" si="45">IF( OR( ISBLANK(H1417),ISBLANK(I1417), ISBLANK(J1417), ISBLANK(K1417), ISBLANK(L1417) ), "", 1.5*SQRT( EXP(2.21*(H1417-1)) + EXP(2.21*(I1417-1)) + EXP(2.21*(J1417-1)) + EXP(2.21*(K1417-1)) + EXP(2.21*L1417) )/100*2.45 )</f>
        <v>1.1181151966036349</v>
      </c>
      <c r="N1417" s="255"/>
    </row>
    <row r="1418" spans="1:14" hidden="1" x14ac:dyDescent="0.2">
      <c r="A1418" s="246" t="s">
        <v>363</v>
      </c>
      <c r="B1418" s="459" t="s">
        <v>463</v>
      </c>
      <c r="C1418" s="247" t="s">
        <v>59</v>
      </c>
      <c r="D1418" s="248" t="s">
        <v>135</v>
      </c>
      <c r="E1418" s="249">
        <v>2.7E-4</v>
      </c>
      <c r="F1418" s="250" t="s">
        <v>133</v>
      </c>
      <c r="G1418" s="251" t="s">
        <v>16</v>
      </c>
      <c r="H1418" s="252">
        <v>1</v>
      </c>
      <c r="I1418" s="252">
        <v>1</v>
      </c>
      <c r="J1418" s="252">
        <v>3</v>
      </c>
      <c r="K1418" s="252">
        <v>3</v>
      </c>
      <c r="L1418" s="253">
        <v>3</v>
      </c>
      <c r="M1418" s="254">
        <f t="shared" si="45"/>
        <v>1.1181151966036349</v>
      </c>
      <c r="N1418" s="255"/>
    </row>
    <row r="1419" spans="1:14" hidden="1" x14ac:dyDescent="0.2">
      <c r="A1419" s="246" t="s">
        <v>363</v>
      </c>
      <c r="B1419" s="459" t="s">
        <v>463</v>
      </c>
      <c r="C1419" s="247" t="s">
        <v>60</v>
      </c>
      <c r="D1419" s="248" t="s">
        <v>135</v>
      </c>
      <c r="E1419" s="249">
        <v>1.23511879049676E-3</v>
      </c>
      <c r="F1419" s="250" t="s">
        <v>133</v>
      </c>
      <c r="G1419" s="251" t="s">
        <v>16</v>
      </c>
      <c r="H1419" s="252">
        <v>1</v>
      </c>
      <c r="I1419" s="252">
        <v>1</v>
      </c>
      <c r="J1419" s="252">
        <v>3</v>
      </c>
      <c r="K1419" s="252">
        <v>3</v>
      </c>
      <c r="L1419" s="253">
        <v>3</v>
      </c>
      <c r="M1419" s="254">
        <f t="shared" si="45"/>
        <v>1.1181151966036349</v>
      </c>
      <c r="N1419" s="255"/>
    </row>
    <row r="1420" spans="1:14" x14ac:dyDescent="0.2">
      <c r="A1420" s="505" t="s">
        <v>363</v>
      </c>
      <c r="B1420" s="370" t="s">
        <v>452</v>
      </c>
      <c r="C1420" s="552" t="s">
        <v>135</v>
      </c>
      <c r="D1420" s="376" t="s">
        <v>135</v>
      </c>
      <c r="E1420" s="553">
        <v>0</v>
      </c>
      <c r="F1420" s="374" t="s">
        <v>133</v>
      </c>
      <c r="G1420" s="506" t="s">
        <v>16</v>
      </c>
      <c r="H1420" s="454"/>
      <c r="I1420" s="454"/>
      <c r="J1420" s="454"/>
      <c r="K1420" s="454"/>
      <c r="L1420" s="455"/>
      <c r="M1420" s="507" t="str">
        <f t="shared" si="45"/>
        <v/>
      </c>
      <c r="N1420" s="479" t="s">
        <v>491</v>
      </c>
    </row>
    <row r="1421" spans="1:14" x14ac:dyDescent="0.2">
      <c r="A1421" s="505" t="s">
        <v>363</v>
      </c>
      <c r="B1421" s="382" t="s">
        <v>460</v>
      </c>
      <c r="C1421" s="552" t="s">
        <v>135</v>
      </c>
      <c r="D1421" s="376" t="s">
        <v>135</v>
      </c>
      <c r="E1421" s="553">
        <v>0</v>
      </c>
      <c r="F1421" s="374" t="s">
        <v>133</v>
      </c>
      <c r="G1421" s="506" t="s">
        <v>16</v>
      </c>
      <c r="H1421" s="454"/>
      <c r="I1421" s="454"/>
      <c r="J1421" s="454"/>
      <c r="K1421" s="454"/>
      <c r="L1421" s="455"/>
      <c r="M1421" s="507" t="str">
        <f t="shared" si="45"/>
        <v/>
      </c>
      <c r="N1421" s="479" t="s">
        <v>491</v>
      </c>
    </row>
    <row r="1422" spans="1:14" x14ac:dyDescent="0.2">
      <c r="A1422" s="508" t="s">
        <v>363</v>
      </c>
      <c r="B1422" s="397" t="s">
        <v>475</v>
      </c>
      <c r="C1422" s="554" t="s">
        <v>135</v>
      </c>
      <c r="D1422" s="398" t="s">
        <v>135</v>
      </c>
      <c r="E1422" s="555">
        <v>0</v>
      </c>
      <c r="F1422" s="399" t="s">
        <v>133</v>
      </c>
      <c r="G1422" s="511" t="s">
        <v>16</v>
      </c>
      <c r="H1422" s="556"/>
      <c r="I1422" s="556"/>
      <c r="J1422" s="556"/>
      <c r="K1422" s="556"/>
      <c r="L1422" s="557"/>
      <c r="M1422" s="558" t="str">
        <f t="shared" si="45"/>
        <v/>
      </c>
      <c r="N1422" s="559" t="s">
        <v>491</v>
      </c>
    </row>
    <row r="1423" spans="1:14" hidden="1" x14ac:dyDescent="0.2">
      <c r="A1423" s="246" t="s">
        <v>380</v>
      </c>
      <c r="B1423" s="459" t="s">
        <v>463</v>
      </c>
      <c r="C1423" s="247" t="s">
        <v>13</v>
      </c>
      <c r="D1423" s="248" t="s">
        <v>135</v>
      </c>
      <c r="E1423" s="249">
        <v>4.9383419689119179E-4</v>
      </c>
      <c r="F1423" s="250" t="s">
        <v>133</v>
      </c>
      <c r="G1423" s="251" t="s">
        <v>16</v>
      </c>
      <c r="H1423" s="252">
        <v>1</v>
      </c>
      <c r="I1423" s="252">
        <v>1</v>
      </c>
      <c r="J1423" s="252">
        <v>3</v>
      </c>
      <c r="K1423" s="252">
        <v>3</v>
      </c>
      <c r="L1423" s="253">
        <v>3</v>
      </c>
      <c r="M1423" s="254">
        <f t="shared" si="45"/>
        <v>1.1181151966036349</v>
      </c>
      <c r="N1423" s="255"/>
    </row>
    <row r="1424" spans="1:14" hidden="1" x14ac:dyDescent="0.2">
      <c r="A1424" s="246" t="s">
        <v>380</v>
      </c>
      <c r="B1424" s="459" t="s">
        <v>463</v>
      </c>
      <c r="C1424" s="247" t="s">
        <v>18</v>
      </c>
      <c r="D1424" s="248" t="s">
        <v>135</v>
      </c>
      <c r="E1424" s="249">
        <v>6.2141809290953553E-4</v>
      </c>
      <c r="F1424" s="250" t="s">
        <v>133</v>
      </c>
      <c r="G1424" s="251" t="s">
        <v>16</v>
      </c>
      <c r="H1424" s="252">
        <v>1</v>
      </c>
      <c r="I1424" s="252">
        <v>1</v>
      </c>
      <c r="J1424" s="252">
        <v>3</v>
      </c>
      <c r="K1424" s="252">
        <v>3</v>
      </c>
      <c r="L1424" s="253">
        <v>3</v>
      </c>
      <c r="M1424" s="254">
        <f t="shared" si="45"/>
        <v>1.1181151966036349</v>
      </c>
      <c r="N1424" s="255"/>
    </row>
    <row r="1425" spans="1:14" hidden="1" x14ac:dyDescent="0.2">
      <c r="A1425" s="246" t="s">
        <v>380</v>
      </c>
      <c r="B1425" s="459" t="s">
        <v>463</v>
      </c>
      <c r="C1425" s="247" t="s">
        <v>20</v>
      </c>
      <c r="D1425" s="248" t="s">
        <v>135</v>
      </c>
      <c r="E1425" s="249">
        <v>1.717297297297297E-3</v>
      </c>
      <c r="F1425" s="250" t="s">
        <v>133</v>
      </c>
      <c r="G1425" s="251" t="s">
        <v>16</v>
      </c>
      <c r="H1425" s="252">
        <v>1</v>
      </c>
      <c r="I1425" s="252">
        <v>1</v>
      </c>
      <c r="J1425" s="252">
        <v>3</v>
      </c>
      <c r="K1425" s="252">
        <v>3</v>
      </c>
      <c r="L1425" s="253">
        <v>3</v>
      </c>
      <c r="M1425" s="254">
        <f t="shared" si="45"/>
        <v>1.1181151966036349</v>
      </c>
      <c r="N1425" s="255"/>
    </row>
    <row r="1426" spans="1:14" hidden="1" x14ac:dyDescent="0.2">
      <c r="A1426" s="246" t="s">
        <v>380</v>
      </c>
      <c r="B1426" s="459" t="s">
        <v>463</v>
      </c>
      <c r="C1426" s="247" t="s">
        <v>22</v>
      </c>
      <c r="D1426" s="248" t="s">
        <v>135</v>
      </c>
      <c r="E1426" s="249">
        <v>1.397291666666666E-3</v>
      </c>
      <c r="F1426" s="250" t="s">
        <v>133</v>
      </c>
      <c r="G1426" s="251" t="s">
        <v>16</v>
      </c>
      <c r="H1426" s="252">
        <v>1</v>
      </c>
      <c r="I1426" s="252">
        <v>1</v>
      </c>
      <c r="J1426" s="252">
        <v>3</v>
      </c>
      <c r="K1426" s="252">
        <v>3</v>
      </c>
      <c r="L1426" s="253">
        <v>3</v>
      </c>
      <c r="M1426" s="254">
        <f t="shared" si="45"/>
        <v>1.1181151966036349</v>
      </c>
      <c r="N1426" s="255"/>
    </row>
    <row r="1427" spans="1:14" hidden="1" x14ac:dyDescent="0.2">
      <c r="A1427" s="246" t="s">
        <v>380</v>
      </c>
      <c r="B1427" s="459" t="s">
        <v>463</v>
      </c>
      <c r="C1427" s="247" t="s">
        <v>23</v>
      </c>
      <c r="D1427" s="248" t="s">
        <v>135</v>
      </c>
      <c r="E1427" s="249">
        <v>1.868823529411765E-3</v>
      </c>
      <c r="F1427" s="250" t="s">
        <v>133</v>
      </c>
      <c r="G1427" s="251" t="s">
        <v>16</v>
      </c>
      <c r="H1427" s="252">
        <v>1</v>
      </c>
      <c r="I1427" s="252">
        <v>1</v>
      </c>
      <c r="J1427" s="252">
        <v>3</v>
      </c>
      <c r="K1427" s="252">
        <v>3</v>
      </c>
      <c r="L1427" s="253">
        <v>3</v>
      </c>
      <c r="M1427" s="254">
        <f t="shared" si="45"/>
        <v>1.1181151966036349</v>
      </c>
      <c r="N1427" s="255"/>
    </row>
    <row r="1428" spans="1:14" hidden="1" x14ac:dyDescent="0.2">
      <c r="A1428" s="246" t="s">
        <v>380</v>
      </c>
      <c r="B1428" s="459" t="s">
        <v>463</v>
      </c>
      <c r="C1428" s="247" t="s">
        <v>24</v>
      </c>
      <c r="D1428" s="248" t="s">
        <v>135</v>
      </c>
      <c r="E1428" s="249">
        <v>8.3605263157894745E-4</v>
      </c>
      <c r="F1428" s="250" t="s">
        <v>133</v>
      </c>
      <c r="G1428" s="251" t="s">
        <v>16</v>
      </c>
      <c r="H1428" s="252">
        <v>1</v>
      </c>
      <c r="I1428" s="252">
        <v>1</v>
      </c>
      <c r="J1428" s="252">
        <v>3</v>
      </c>
      <c r="K1428" s="252">
        <v>3</v>
      </c>
      <c r="L1428" s="253">
        <v>3</v>
      </c>
      <c r="M1428" s="254">
        <f t="shared" si="45"/>
        <v>1.1181151966036349</v>
      </c>
      <c r="N1428" s="255"/>
    </row>
    <row r="1429" spans="1:14" hidden="1" x14ac:dyDescent="0.2">
      <c r="A1429" s="246" t="s">
        <v>380</v>
      </c>
      <c r="B1429" s="459" t="s">
        <v>463</v>
      </c>
      <c r="C1429" s="247" t="s">
        <v>25</v>
      </c>
      <c r="D1429" s="248" t="s">
        <v>135</v>
      </c>
      <c r="E1429" s="249">
        <v>4.2932432432432442E-4</v>
      </c>
      <c r="F1429" s="250" t="s">
        <v>133</v>
      </c>
      <c r="G1429" s="251" t="s">
        <v>16</v>
      </c>
      <c r="H1429" s="252">
        <v>1</v>
      </c>
      <c r="I1429" s="252">
        <v>1</v>
      </c>
      <c r="J1429" s="252">
        <v>3</v>
      </c>
      <c r="K1429" s="252">
        <v>3</v>
      </c>
      <c r="L1429" s="253">
        <v>3</v>
      </c>
      <c r="M1429" s="254">
        <f t="shared" si="45"/>
        <v>1.1181151966036349</v>
      </c>
      <c r="N1429" s="255"/>
    </row>
    <row r="1430" spans="1:14" hidden="1" x14ac:dyDescent="0.2">
      <c r="A1430" s="246" t="s">
        <v>380</v>
      </c>
      <c r="B1430" s="459" t="s">
        <v>463</v>
      </c>
      <c r="C1430" s="247" t="s">
        <v>26</v>
      </c>
      <c r="D1430" s="248" t="s">
        <v>135</v>
      </c>
      <c r="E1430" s="249">
        <v>2.9808888888888888E-3</v>
      </c>
      <c r="F1430" s="250" t="s">
        <v>133</v>
      </c>
      <c r="G1430" s="251" t="s">
        <v>16</v>
      </c>
      <c r="H1430" s="252">
        <v>1</v>
      </c>
      <c r="I1430" s="252">
        <v>1</v>
      </c>
      <c r="J1430" s="252">
        <v>3</v>
      </c>
      <c r="K1430" s="252">
        <v>3</v>
      </c>
      <c r="L1430" s="253">
        <v>3</v>
      </c>
      <c r="M1430" s="254">
        <f t="shared" si="45"/>
        <v>1.1181151966036349</v>
      </c>
      <c r="N1430" s="255"/>
    </row>
    <row r="1431" spans="1:14" hidden="1" x14ac:dyDescent="0.2">
      <c r="A1431" s="246" t="s">
        <v>380</v>
      </c>
      <c r="B1431" s="459" t="s">
        <v>463</v>
      </c>
      <c r="C1431" s="247" t="s">
        <v>27</v>
      </c>
      <c r="D1431" s="248" t="s">
        <v>135</v>
      </c>
      <c r="E1431" s="249">
        <v>3.4595281306715062E-4</v>
      </c>
      <c r="F1431" s="250" t="s">
        <v>133</v>
      </c>
      <c r="G1431" s="251" t="s">
        <v>16</v>
      </c>
      <c r="H1431" s="252">
        <v>1</v>
      </c>
      <c r="I1431" s="252">
        <v>1</v>
      </c>
      <c r="J1431" s="252">
        <v>3</v>
      </c>
      <c r="K1431" s="252">
        <v>3</v>
      </c>
      <c r="L1431" s="253">
        <v>3</v>
      </c>
      <c r="M1431" s="254">
        <f t="shared" si="45"/>
        <v>1.1181151966036349</v>
      </c>
      <c r="N1431" s="255"/>
    </row>
    <row r="1432" spans="1:14" hidden="1" x14ac:dyDescent="0.2">
      <c r="A1432" s="246" t="s">
        <v>380</v>
      </c>
      <c r="B1432" s="459" t="s">
        <v>463</v>
      </c>
      <c r="C1432" s="247" t="s">
        <v>28</v>
      </c>
      <c r="D1432" s="248" t="s">
        <v>135</v>
      </c>
      <c r="E1432" s="249">
        <v>7.4149012567324962E-4</v>
      </c>
      <c r="F1432" s="250" t="s">
        <v>133</v>
      </c>
      <c r="G1432" s="251" t="s">
        <v>16</v>
      </c>
      <c r="H1432" s="252">
        <v>1</v>
      </c>
      <c r="I1432" s="252">
        <v>1</v>
      </c>
      <c r="J1432" s="252">
        <v>3</v>
      </c>
      <c r="K1432" s="252">
        <v>3</v>
      </c>
      <c r="L1432" s="253">
        <v>3</v>
      </c>
      <c r="M1432" s="254">
        <f t="shared" si="45"/>
        <v>1.1181151966036349</v>
      </c>
      <c r="N1432" s="255"/>
    </row>
    <row r="1433" spans="1:14" hidden="1" x14ac:dyDescent="0.2">
      <c r="A1433" s="246" t="s">
        <v>380</v>
      </c>
      <c r="B1433" s="459" t="s">
        <v>463</v>
      </c>
      <c r="C1433" s="247" t="s">
        <v>30</v>
      </c>
      <c r="D1433" s="248" t="s">
        <v>135</v>
      </c>
      <c r="E1433" s="249">
        <v>5.242574257425742E-4</v>
      </c>
      <c r="F1433" s="250" t="s">
        <v>133</v>
      </c>
      <c r="G1433" s="251" t="s">
        <v>16</v>
      </c>
      <c r="H1433" s="252">
        <v>1</v>
      </c>
      <c r="I1433" s="252">
        <v>1</v>
      </c>
      <c r="J1433" s="252">
        <v>3</v>
      </c>
      <c r="K1433" s="252">
        <v>3</v>
      </c>
      <c r="L1433" s="253">
        <v>3</v>
      </c>
      <c r="M1433" s="254">
        <f t="shared" si="45"/>
        <v>1.1181151966036349</v>
      </c>
      <c r="N1433" s="255"/>
    </row>
    <row r="1434" spans="1:14" hidden="1" x14ac:dyDescent="0.2">
      <c r="A1434" s="246" t="s">
        <v>380</v>
      </c>
      <c r="B1434" s="459" t="s">
        <v>463</v>
      </c>
      <c r="C1434" s="247" t="s">
        <v>32</v>
      </c>
      <c r="D1434" s="248" t="s">
        <v>135</v>
      </c>
      <c r="E1434" s="249">
        <v>1.23378640776699E-3</v>
      </c>
      <c r="F1434" s="250" t="s">
        <v>133</v>
      </c>
      <c r="G1434" s="251" t="s">
        <v>16</v>
      </c>
      <c r="H1434" s="252">
        <v>1</v>
      </c>
      <c r="I1434" s="252">
        <v>1</v>
      </c>
      <c r="J1434" s="252">
        <v>3</v>
      </c>
      <c r="K1434" s="252">
        <v>3</v>
      </c>
      <c r="L1434" s="253">
        <v>3</v>
      </c>
      <c r="M1434" s="254">
        <f t="shared" si="45"/>
        <v>1.1181151966036349</v>
      </c>
      <c r="N1434" s="255"/>
    </row>
    <row r="1435" spans="1:14" hidden="1" x14ac:dyDescent="0.2">
      <c r="A1435" s="246" t="s">
        <v>380</v>
      </c>
      <c r="B1435" s="459" t="s">
        <v>463</v>
      </c>
      <c r="C1435" s="247" t="s">
        <v>34</v>
      </c>
      <c r="D1435" s="248" t="s">
        <v>135</v>
      </c>
      <c r="E1435" s="249">
        <v>1.5009448818897641E-3</v>
      </c>
      <c r="F1435" s="250" t="s">
        <v>133</v>
      </c>
      <c r="G1435" s="251" t="s">
        <v>16</v>
      </c>
      <c r="H1435" s="252">
        <v>1</v>
      </c>
      <c r="I1435" s="252">
        <v>1</v>
      </c>
      <c r="J1435" s="252">
        <v>3</v>
      </c>
      <c r="K1435" s="252">
        <v>3</v>
      </c>
      <c r="L1435" s="253">
        <v>3</v>
      </c>
      <c r="M1435" s="254">
        <f t="shared" si="45"/>
        <v>1.1181151966036349</v>
      </c>
      <c r="N1435" s="255"/>
    </row>
    <row r="1436" spans="1:14" hidden="1" x14ac:dyDescent="0.2">
      <c r="A1436" s="246" t="s">
        <v>380</v>
      </c>
      <c r="B1436" s="459" t="s">
        <v>463</v>
      </c>
      <c r="C1436" s="247" t="s">
        <v>36</v>
      </c>
      <c r="D1436" s="248" t="s">
        <v>135</v>
      </c>
      <c r="E1436" s="249">
        <v>1.4482051282051281E-3</v>
      </c>
      <c r="F1436" s="250" t="s">
        <v>133</v>
      </c>
      <c r="G1436" s="251" t="s">
        <v>16</v>
      </c>
      <c r="H1436" s="252">
        <v>1</v>
      </c>
      <c r="I1436" s="252">
        <v>1</v>
      </c>
      <c r="J1436" s="252">
        <v>3</v>
      </c>
      <c r="K1436" s="252">
        <v>3</v>
      </c>
      <c r="L1436" s="253">
        <v>3</v>
      </c>
      <c r="M1436" s="254">
        <f t="shared" si="45"/>
        <v>1.1181151966036349</v>
      </c>
      <c r="N1436" s="255"/>
    </row>
    <row r="1437" spans="1:14" hidden="1" x14ac:dyDescent="0.2">
      <c r="A1437" s="246" t="s">
        <v>380</v>
      </c>
      <c r="B1437" s="459" t="s">
        <v>463</v>
      </c>
      <c r="C1437" s="247" t="s">
        <v>37</v>
      </c>
      <c r="D1437" s="248" t="s">
        <v>135</v>
      </c>
      <c r="E1437" s="249">
        <v>6.0483967935871753E-3</v>
      </c>
      <c r="F1437" s="250" t="s">
        <v>133</v>
      </c>
      <c r="G1437" s="251" t="s">
        <v>16</v>
      </c>
      <c r="H1437" s="252">
        <v>1</v>
      </c>
      <c r="I1437" s="252">
        <v>1</v>
      </c>
      <c r="J1437" s="252">
        <v>3</v>
      </c>
      <c r="K1437" s="252">
        <v>3</v>
      </c>
      <c r="L1437" s="253">
        <v>3</v>
      </c>
      <c r="M1437" s="254">
        <f t="shared" si="45"/>
        <v>1.1181151966036349</v>
      </c>
      <c r="N1437" s="255"/>
    </row>
    <row r="1438" spans="1:14" hidden="1" x14ac:dyDescent="0.2">
      <c r="A1438" s="246" t="s">
        <v>380</v>
      </c>
      <c r="B1438" s="459" t="s">
        <v>463</v>
      </c>
      <c r="C1438" s="247" t="s">
        <v>39</v>
      </c>
      <c r="D1438" s="248" t="s">
        <v>135</v>
      </c>
      <c r="E1438" s="249">
        <v>2.9662407862407862E-3</v>
      </c>
      <c r="F1438" s="250" t="s">
        <v>133</v>
      </c>
      <c r="G1438" s="251" t="s">
        <v>16</v>
      </c>
      <c r="H1438" s="252">
        <v>1</v>
      </c>
      <c r="I1438" s="252">
        <v>1</v>
      </c>
      <c r="J1438" s="252">
        <v>3</v>
      </c>
      <c r="K1438" s="252">
        <v>3</v>
      </c>
      <c r="L1438" s="253">
        <v>3</v>
      </c>
      <c r="M1438" s="254">
        <f t="shared" si="45"/>
        <v>1.1181151966036349</v>
      </c>
      <c r="N1438" s="255"/>
    </row>
    <row r="1439" spans="1:14" hidden="1" x14ac:dyDescent="0.2">
      <c r="A1439" s="246" t="s">
        <v>380</v>
      </c>
      <c r="B1439" s="459" t="s">
        <v>463</v>
      </c>
      <c r="C1439" s="247" t="s">
        <v>40</v>
      </c>
      <c r="D1439" s="248" t="s">
        <v>135</v>
      </c>
      <c r="E1439" s="249">
        <v>9.5857758620689656E-4</v>
      </c>
      <c r="F1439" s="250" t="s">
        <v>133</v>
      </c>
      <c r="G1439" s="251" t="s">
        <v>16</v>
      </c>
      <c r="H1439" s="252">
        <v>1</v>
      </c>
      <c r="I1439" s="252">
        <v>1</v>
      </c>
      <c r="J1439" s="252">
        <v>3</v>
      </c>
      <c r="K1439" s="252">
        <v>3</v>
      </c>
      <c r="L1439" s="253">
        <v>3</v>
      </c>
      <c r="M1439" s="254">
        <f t="shared" si="45"/>
        <v>1.1181151966036349</v>
      </c>
      <c r="N1439" s="255"/>
    </row>
    <row r="1440" spans="1:14" hidden="1" x14ac:dyDescent="0.2">
      <c r="A1440" s="246" t="s">
        <v>380</v>
      </c>
      <c r="B1440" s="459" t="s">
        <v>463</v>
      </c>
      <c r="C1440" s="247" t="s">
        <v>41</v>
      </c>
      <c r="D1440" s="248" t="s">
        <v>135</v>
      </c>
      <c r="E1440" s="249">
        <v>4.352054794520548E-4</v>
      </c>
      <c r="F1440" s="250" t="s">
        <v>133</v>
      </c>
      <c r="G1440" s="251" t="s">
        <v>16</v>
      </c>
      <c r="H1440" s="252">
        <v>1</v>
      </c>
      <c r="I1440" s="252">
        <v>1</v>
      </c>
      <c r="J1440" s="252">
        <v>3</v>
      </c>
      <c r="K1440" s="252">
        <v>3</v>
      </c>
      <c r="L1440" s="253">
        <v>3</v>
      </c>
      <c r="M1440" s="254">
        <f t="shared" si="45"/>
        <v>1.1181151966036349</v>
      </c>
      <c r="N1440" s="255"/>
    </row>
    <row r="1441" spans="1:14" hidden="1" x14ac:dyDescent="0.2">
      <c r="A1441" s="246" t="s">
        <v>380</v>
      </c>
      <c r="B1441" s="459" t="s">
        <v>463</v>
      </c>
      <c r="C1441" s="247" t="s">
        <v>42</v>
      </c>
      <c r="D1441" s="248" t="s">
        <v>135</v>
      </c>
      <c r="E1441" s="249">
        <v>2.1274553571428568E-3</v>
      </c>
      <c r="F1441" s="250" t="s">
        <v>133</v>
      </c>
      <c r="G1441" s="251" t="s">
        <v>16</v>
      </c>
      <c r="H1441" s="252">
        <v>1</v>
      </c>
      <c r="I1441" s="252">
        <v>1</v>
      </c>
      <c r="J1441" s="252">
        <v>3</v>
      </c>
      <c r="K1441" s="252">
        <v>3</v>
      </c>
      <c r="L1441" s="253">
        <v>3</v>
      </c>
      <c r="M1441" s="254">
        <f t="shared" si="45"/>
        <v>1.1181151966036349</v>
      </c>
      <c r="N1441" s="255"/>
    </row>
    <row r="1442" spans="1:14" hidden="1" x14ac:dyDescent="0.2">
      <c r="A1442" s="246" t="s">
        <v>380</v>
      </c>
      <c r="B1442" s="459" t="s">
        <v>463</v>
      </c>
      <c r="C1442" s="247" t="s">
        <v>43</v>
      </c>
      <c r="D1442" s="248" t="s">
        <v>135</v>
      </c>
      <c r="E1442" s="249">
        <v>4.9737769080234839E-4</v>
      </c>
      <c r="F1442" s="250" t="s">
        <v>133</v>
      </c>
      <c r="G1442" s="251" t="s">
        <v>16</v>
      </c>
      <c r="H1442" s="252">
        <v>1</v>
      </c>
      <c r="I1442" s="252">
        <v>1</v>
      </c>
      <c r="J1442" s="252">
        <v>3</v>
      </c>
      <c r="K1442" s="252">
        <v>3</v>
      </c>
      <c r="L1442" s="253">
        <v>3</v>
      </c>
      <c r="M1442" s="254">
        <f t="shared" si="45"/>
        <v>1.1181151966036349</v>
      </c>
      <c r="N1442" s="255"/>
    </row>
    <row r="1443" spans="1:14" x14ac:dyDescent="0.2">
      <c r="A1443" s="246" t="s">
        <v>380</v>
      </c>
      <c r="B1443" s="459" t="s">
        <v>463</v>
      </c>
      <c r="C1443" s="247" t="s">
        <v>45</v>
      </c>
      <c r="D1443" s="248" t="s">
        <v>135</v>
      </c>
      <c r="E1443" s="249">
        <v>6.8784844384303125E-4</v>
      </c>
      <c r="F1443" s="250" t="s">
        <v>133</v>
      </c>
      <c r="G1443" s="251" t="s">
        <v>16</v>
      </c>
      <c r="H1443" s="252">
        <v>1</v>
      </c>
      <c r="I1443" s="252">
        <v>1</v>
      </c>
      <c r="J1443" s="252">
        <v>3</v>
      </c>
      <c r="K1443" s="252">
        <v>3</v>
      </c>
      <c r="L1443" s="253">
        <v>3</v>
      </c>
      <c r="M1443" s="254">
        <f t="shared" si="45"/>
        <v>1.1181151966036349</v>
      </c>
      <c r="N1443" s="255"/>
    </row>
    <row r="1444" spans="1:14" hidden="1" x14ac:dyDescent="0.2">
      <c r="A1444" s="246" t="s">
        <v>380</v>
      </c>
      <c r="B1444" s="459" t="s">
        <v>463</v>
      </c>
      <c r="C1444" s="247" t="s">
        <v>46</v>
      </c>
      <c r="D1444" s="248" t="s">
        <v>135</v>
      </c>
      <c r="E1444" s="249">
        <v>1.2553495440729479E-3</v>
      </c>
      <c r="F1444" s="250" t="s">
        <v>133</v>
      </c>
      <c r="G1444" s="251" t="s">
        <v>16</v>
      </c>
      <c r="H1444" s="252">
        <v>1</v>
      </c>
      <c r="I1444" s="252">
        <v>1</v>
      </c>
      <c r="J1444" s="252">
        <v>3</v>
      </c>
      <c r="K1444" s="252">
        <v>3</v>
      </c>
      <c r="L1444" s="253">
        <v>3</v>
      </c>
      <c r="M1444" s="254">
        <f t="shared" si="45"/>
        <v>1.1181151966036349</v>
      </c>
      <c r="N1444" s="255"/>
    </row>
    <row r="1445" spans="1:14" hidden="1" x14ac:dyDescent="0.2">
      <c r="A1445" s="246" t="s">
        <v>380</v>
      </c>
      <c r="B1445" s="459" t="s">
        <v>463</v>
      </c>
      <c r="C1445" s="247" t="s">
        <v>48</v>
      </c>
      <c r="D1445" s="248" t="s">
        <v>135</v>
      </c>
      <c r="E1445" s="249">
        <v>9.3994082840236678E-4</v>
      </c>
      <c r="F1445" s="250" t="s">
        <v>133</v>
      </c>
      <c r="G1445" s="251" t="s">
        <v>16</v>
      </c>
      <c r="H1445" s="252">
        <v>1</v>
      </c>
      <c r="I1445" s="252">
        <v>1</v>
      </c>
      <c r="J1445" s="252">
        <v>3</v>
      </c>
      <c r="K1445" s="252">
        <v>3</v>
      </c>
      <c r="L1445" s="253">
        <v>3</v>
      </c>
      <c r="M1445" s="254">
        <f t="shared" si="45"/>
        <v>1.1181151966036349</v>
      </c>
      <c r="N1445" s="255"/>
    </row>
    <row r="1446" spans="1:14" hidden="1" x14ac:dyDescent="0.2">
      <c r="A1446" s="246" t="s">
        <v>380</v>
      </c>
      <c r="B1446" s="459" t="s">
        <v>463</v>
      </c>
      <c r="C1446" s="247" t="s">
        <v>50</v>
      </c>
      <c r="D1446" s="248" t="s">
        <v>135</v>
      </c>
      <c r="E1446" s="249">
        <v>5.72327205882353E-3</v>
      </c>
      <c r="F1446" s="250" t="s">
        <v>133</v>
      </c>
      <c r="G1446" s="251" t="s">
        <v>16</v>
      </c>
      <c r="H1446" s="252">
        <v>1</v>
      </c>
      <c r="I1446" s="252">
        <v>1</v>
      </c>
      <c r="J1446" s="252">
        <v>3</v>
      </c>
      <c r="K1446" s="252">
        <v>3</v>
      </c>
      <c r="L1446" s="253">
        <v>3</v>
      </c>
      <c r="M1446" s="254">
        <f t="shared" si="45"/>
        <v>1.1181151966036349</v>
      </c>
      <c r="N1446" s="255"/>
    </row>
    <row r="1447" spans="1:14" hidden="1" x14ac:dyDescent="0.2">
      <c r="A1447" s="246" t="s">
        <v>380</v>
      </c>
      <c r="B1447" s="459" t="s">
        <v>463</v>
      </c>
      <c r="C1447" s="247" t="s">
        <v>52</v>
      </c>
      <c r="D1447" s="248" t="s">
        <v>135</v>
      </c>
      <c r="E1447" s="249">
        <v>9.2086956521739128E-4</v>
      </c>
      <c r="F1447" s="250" t="s">
        <v>133</v>
      </c>
      <c r="G1447" s="251" t="s">
        <v>16</v>
      </c>
      <c r="H1447" s="252">
        <v>1</v>
      </c>
      <c r="I1447" s="252">
        <v>1</v>
      </c>
      <c r="J1447" s="252">
        <v>3</v>
      </c>
      <c r="K1447" s="252">
        <v>3</v>
      </c>
      <c r="L1447" s="253">
        <v>3</v>
      </c>
      <c r="M1447" s="254">
        <f t="shared" si="45"/>
        <v>1.1181151966036349</v>
      </c>
      <c r="N1447" s="255"/>
    </row>
    <row r="1448" spans="1:14" hidden="1" x14ac:dyDescent="0.2">
      <c r="A1448" s="246" t="s">
        <v>380</v>
      </c>
      <c r="B1448" s="459" t="s">
        <v>463</v>
      </c>
      <c r="C1448" s="247" t="s">
        <v>54</v>
      </c>
      <c r="D1448" s="248" t="s">
        <v>135</v>
      </c>
      <c r="E1448" s="249">
        <v>5.8833333333333329E-4</v>
      </c>
      <c r="F1448" s="250" t="s">
        <v>133</v>
      </c>
      <c r="G1448" s="251" t="s">
        <v>16</v>
      </c>
      <c r="H1448" s="252">
        <v>1</v>
      </c>
      <c r="I1448" s="252">
        <v>1</v>
      </c>
      <c r="J1448" s="252">
        <v>3</v>
      </c>
      <c r="K1448" s="252">
        <v>3</v>
      </c>
      <c r="L1448" s="253">
        <v>3</v>
      </c>
      <c r="M1448" s="254">
        <f t="shared" si="45"/>
        <v>1.1181151966036349</v>
      </c>
      <c r="N1448" s="255"/>
    </row>
    <row r="1449" spans="1:14" hidden="1" x14ac:dyDescent="0.2">
      <c r="A1449" s="246" t="s">
        <v>380</v>
      </c>
      <c r="B1449" s="459" t="s">
        <v>463</v>
      </c>
      <c r="C1449" s="247" t="s">
        <v>55</v>
      </c>
      <c r="D1449" s="248" t="s">
        <v>135</v>
      </c>
      <c r="E1449" s="249">
        <v>1.2708000000000001E-3</v>
      </c>
      <c r="F1449" s="250" t="s">
        <v>133</v>
      </c>
      <c r="G1449" s="251" t="s">
        <v>16</v>
      </c>
      <c r="H1449" s="252">
        <v>1</v>
      </c>
      <c r="I1449" s="252">
        <v>1</v>
      </c>
      <c r="J1449" s="252">
        <v>3</v>
      </c>
      <c r="K1449" s="252">
        <v>3</v>
      </c>
      <c r="L1449" s="253">
        <v>3</v>
      </c>
      <c r="M1449" s="254">
        <f t="shared" ref="M1449:M1479" si="46">IF( OR( ISBLANK(H1449),ISBLANK(I1449), ISBLANK(J1449), ISBLANK(K1449), ISBLANK(L1449) ), "", 1.5*SQRT( EXP(2.21*(H1449-1)) + EXP(2.21*(I1449-1)) + EXP(2.21*(J1449-1)) + EXP(2.21*(K1449-1)) + EXP(2.21*L1449) )/100*2.45 )</f>
        <v>1.1181151966036349</v>
      </c>
      <c r="N1449" s="255"/>
    </row>
    <row r="1450" spans="1:14" hidden="1" x14ac:dyDescent="0.2">
      <c r="A1450" s="246" t="s">
        <v>380</v>
      </c>
      <c r="B1450" s="459" t="s">
        <v>463</v>
      </c>
      <c r="C1450" s="247" t="s">
        <v>57</v>
      </c>
      <c r="D1450" s="248" t="s">
        <v>135</v>
      </c>
      <c r="E1450" s="249">
        <v>5.8562211981566818E-4</v>
      </c>
      <c r="F1450" s="250" t="s">
        <v>133</v>
      </c>
      <c r="G1450" s="251" t="s">
        <v>16</v>
      </c>
      <c r="H1450" s="252">
        <v>1</v>
      </c>
      <c r="I1450" s="252">
        <v>1</v>
      </c>
      <c r="J1450" s="252">
        <v>3</v>
      </c>
      <c r="K1450" s="252">
        <v>3</v>
      </c>
      <c r="L1450" s="253">
        <v>3</v>
      </c>
      <c r="M1450" s="254">
        <f t="shared" si="46"/>
        <v>1.1181151966036349</v>
      </c>
      <c r="N1450" s="255"/>
    </row>
    <row r="1451" spans="1:14" hidden="1" x14ac:dyDescent="0.2">
      <c r="A1451" s="246" t="s">
        <v>380</v>
      </c>
      <c r="B1451" s="459" t="s">
        <v>463</v>
      </c>
      <c r="C1451" s="247" t="s">
        <v>59</v>
      </c>
      <c r="D1451" s="248" t="s">
        <v>135</v>
      </c>
      <c r="E1451" s="249">
        <v>2.7E-4</v>
      </c>
      <c r="F1451" s="250" t="s">
        <v>133</v>
      </c>
      <c r="G1451" s="251" t="s">
        <v>16</v>
      </c>
      <c r="H1451" s="252">
        <v>1</v>
      </c>
      <c r="I1451" s="252">
        <v>1</v>
      </c>
      <c r="J1451" s="252">
        <v>3</v>
      </c>
      <c r="K1451" s="252">
        <v>3</v>
      </c>
      <c r="L1451" s="253">
        <v>3</v>
      </c>
      <c r="M1451" s="254">
        <f t="shared" si="46"/>
        <v>1.1181151966036349</v>
      </c>
      <c r="N1451" s="255"/>
    </row>
    <row r="1452" spans="1:14" hidden="1" x14ac:dyDescent="0.2">
      <c r="A1452" s="246" t="s">
        <v>380</v>
      </c>
      <c r="B1452" s="459" t="s">
        <v>463</v>
      </c>
      <c r="C1452" s="247" t="s">
        <v>60</v>
      </c>
      <c r="D1452" s="248" t="s">
        <v>135</v>
      </c>
      <c r="E1452" s="249">
        <v>1.23511879049676E-3</v>
      </c>
      <c r="F1452" s="250" t="s">
        <v>133</v>
      </c>
      <c r="G1452" s="251" t="s">
        <v>16</v>
      </c>
      <c r="H1452" s="252">
        <v>1</v>
      </c>
      <c r="I1452" s="252">
        <v>1</v>
      </c>
      <c r="J1452" s="252">
        <v>3</v>
      </c>
      <c r="K1452" s="252">
        <v>3</v>
      </c>
      <c r="L1452" s="253">
        <v>3</v>
      </c>
      <c r="M1452" s="254">
        <f t="shared" si="46"/>
        <v>1.1181151966036349</v>
      </c>
      <c r="N1452" s="255"/>
    </row>
    <row r="1453" spans="1:14" x14ac:dyDescent="0.2">
      <c r="A1453" s="505" t="s">
        <v>380</v>
      </c>
      <c r="B1453" s="370" t="s">
        <v>452</v>
      </c>
      <c r="C1453" s="552" t="s">
        <v>135</v>
      </c>
      <c r="D1453" s="376" t="s">
        <v>135</v>
      </c>
      <c r="E1453" s="553">
        <v>0</v>
      </c>
      <c r="F1453" s="374" t="s">
        <v>133</v>
      </c>
      <c r="G1453" s="506" t="s">
        <v>16</v>
      </c>
      <c r="H1453" s="454"/>
      <c r="I1453" s="454"/>
      <c r="J1453" s="454"/>
      <c r="K1453" s="454"/>
      <c r="L1453" s="455"/>
      <c r="M1453" s="507" t="str">
        <f t="shared" si="46"/>
        <v/>
      </c>
      <c r="N1453" s="479" t="s">
        <v>491</v>
      </c>
    </row>
    <row r="1454" spans="1:14" x14ac:dyDescent="0.2">
      <c r="A1454" s="505" t="s">
        <v>380</v>
      </c>
      <c r="B1454" s="382" t="s">
        <v>460</v>
      </c>
      <c r="C1454" s="552" t="s">
        <v>135</v>
      </c>
      <c r="D1454" s="376" t="s">
        <v>135</v>
      </c>
      <c r="E1454" s="553">
        <v>0</v>
      </c>
      <c r="F1454" s="374" t="s">
        <v>133</v>
      </c>
      <c r="G1454" s="506" t="s">
        <v>16</v>
      </c>
      <c r="H1454" s="454"/>
      <c r="I1454" s="454"/>
      <c r="J1454" s="454"/>
      <c r="K1454" s="454"/>
      <c r="L1454" s="455"/>
      <c r="M1454" s="507" t="str">
        <f t="shared" si="46"/>
        <v/>
      </c>
      <c r="N1454" s="479" t="s">
        <v>491</v>
      </c>
    </row>
    <row r="1455" spans="1:14" x14ac:dyDescent="0.2">
      <c r="A1455" s="508" t="s">
        <v>380</v>
      </c>
      <c r="B1455" s="397" t="s">
        <v>475</v>
      </c>
      <c r="C1455" s="554" t="s">
        <v>135</v>
      </c>
      <c r="D1455" s="398" t="s">
        <v>135</v>
      </c>
      <c r="E1455" s="555">
        <v>0</v>
      </c>
      <c r="F1455" s="399" t="s">
        <v>133</v>
      </c>
      <c r="G1455" s="511" t="s">
        <v>16</v>
      </c>
      <c r="H1455" s="556"/>
      <c r="I1455" s="556"/>
      <c r="J1455" s="556"/>
      <c r="K1455" s="556"/>
      <c r="L1455" s="557"/>
      <c r="M1455" s="558" t="str">
        <f t="shared" si="46"/>
        <v/>
      </c>
      <c r="N1455" s="559" t="s">
        <v>491</v>
      </c>
    </row>
    <row r="1456" spans="1:14" hidden="1" x14ac:dyDescent="0.2">
      <c r="A1456" s="246" t="s">
        <v>364</v>
      </c>
      <c r="B1456" s="459" t="s">
        <v>463</v>
      </c>
      <c r="C1456" s="247" t="s">
        <v>13</v>
      </c>
      <c r="D1456" s="248" t="s">
        <v>135</v>
      </c>
      <c r="E1456" s="249">
        <v>4.9383419689119179E-4</v>
      </c>
      <c r="F1456" s="250" t="s">
        <v>133</v>
      </c>
      <c r="G1456" s="251" t="s">
        <v>16</v>
      </c>
      <c r="H1456" s="252">
        <v>1</v>
      </c>
      <c r="I1456" s="252">
        <v>1</v>
      </c>
      <c r="J1456" s="252">
        <v>3</v>
      </c>
      <c r="K1456" s="252">
        <v>3</v>
      </c>
      <c r="L1456" s="253">
        <v>3</v>
      </c>
      <c r="M1456" s="254">
        <f t="shared" si="46"/>
        <v>1.1181151966036349</v>
      </c>
      <c r="N1456" s="255"/>
    </row>
    <row r="1457" spans="1:14" hidden="1" x14ac:dyDescent="0.2">
      <c r="A1457" s="246" t="s">
        <v>364</v>
      </c>
      <c r="B1457" s="459" t="s">
        <v>463</v>
      </c>
      <c r="C1457" s="247" t="s">
        <v>18</v>
      </c>
      <c r="D1457" s="248" t="s">
        <v>135</v>
      </c>
      <c r="E1457" s="249">
        <v>6.2141809290953553E-4</v>
      </c>
      <c r="F1457" s="250" t="s">
        <v>133</v>
      </c>
      <c r="G1457" s="251" t="s">
        <v>16</v>
      </c>
      <c r="H1457" s="252">
        <v>1</v>
      </c>
      <c r="I1457" s="252">
        <v>1</v>
      </c>
      <c r="J1457" s="252">
        <v>3</v>
      </c>
      <c r="K1457" s="252">
        <v>3</v>
      </c>
      <c r="L1457" s="253">
        <v>3</v>
      </c>
      <c r="M1457" s="254">
        <f t="shared" si="46"/>
        <v>1.1181151966036349</v>
      </c>
      <c r="N1457" s="255"/>
    </row>
    <row r="1458" spans="1:14" hidden="1" x14ac:dyDescent="0.2">
      <c r="A1458" s="246" t="s">
        <v>364</v>
      </c>
      <c r="B1458" s="459" t="s">
        <v>463</v>
      </c>
      <c r="C1458" s="247" t="s">
        <v>20</v>
      </c>
      <c r="D1458" s="248" t="s">
        <v>135</v>
      </c>
      <c r="E1458" s="249">
        <v>1.717297297297297E-3</v>
      </c>
      <c r="F1458" s="250" t="s">
        <v>133</v>
      </c>
      <c r="G1458" s="251" t="s">
        <v>16</v>
      </c>
      <c r="H1458" s="252">
        <v>1</v>
      </c>
      <c r="I1458" s="252">
        <v>1</v>
      </c>
      <c r="J1458" s="252">
        <v>3</v>
      </c>
      <c r="K1458" s="252">
        <v>3</v>
      </c>
      <c r="L1458" s="253">
        <v>3</v>
      </c>
      <c r="M1458" s="254">
        <f t="shared" si="46"/>
        <v>1.1181151966036349</v>
      </c>
      <c r="N1458" s="255"/>
    </row>
    <row r="1459" spans="1:14" hidden="1" x14ac:dyDescent="0.2">
      <c r="A1459" s="246" t="s">
        <v>364</v>
      </c>
      <c r="B1459" s="459" t="s">
        <v>463</v>
      </c>
      <c r="C1459" s="247" t="s">
        <v>22</v>
      </c>
      <c r="D1459" s="248" t="s">
        <v>135</v>
      </c>
      <c r="E1459" s="249">
        <v>1.397291666666666E-3</v>
      </c>
      <c r="F1459" s="250" t="s">
        <v>133</v>
      </c>
      <c r="G1459" s="251" t="s">
        <v>16</v>
      </c>
      <c r="H1459" s="252">
        <v>1</v>
      </c>
      <c r="I1459" s="252">
        <v>1</v>
      </c>
      <c r="J1459" s="252">
        <v>3</v>
      </c>
      <c r="K1459" s="252">
        <v>3</v>
      </c>
      <c r="L1459" s="253">
        <v>3</v>
      </c>
      <c r="M1459" s="254">
        <f t="shared" si="46"/>
        <v>1.1181151966036349</v>
      </c>
      <c r="N1459" s="255"/>
    </row>
    <row r="1460" spans="1:14" hidden="1" x14ac:dyDescent="0.2">
      <c r="A1460" s="246" t="s">
        <v>364</v>
      </c>
      <c r="B1460" s="459" t="s">
        <v>463</v>
      </c>
      <c r="C1460" s="247" t="s">
        <v>23</v>
      </c>
      <c r="D1460" s="248" t="s">
        <v>135</v>
      </c>
      <c r="E1460" s="249">
        <v>1.868823529411765E-3</v>
      </c>
      <c r="F1460" s="250" t="s">
        <v>133</v>
      </c>
      <c r="G1460" s="251" t="s">
        <v>16</v>
      </c>
      <c r="H1460" s="252">
        <v>1</v>
      </c>
      <c r="I1460" s="252">
        <v>1</v>
      </c>
      <c r="J1460" s="252">
        <v>3</v>
      </c>
      <c r="K1460" s="252">
        <v>3</v>
      </c>
      <c r="L1460" s="253">
        <v>3</v>
      </c>
      <c r="M1460" s="254">
        <f t="shared" si="46"/>
        <v>1.1181151966036349</v>
      </c>
      <c r="N1460" s="255"/>
    </row>
    <row r="1461" spans="1:14" hidden="1" x14ac:dyDescent="0.2">
      <c r="A1461" s="246" t="s">
        <v>364</v>
      </c>
      <c r="B1461" s="459" t="s">
        <v>463</v>
      </c>
      <c r="C1461" s="247" t="s">
        <v>24</v>
      </c>
      <c r="D1461" s="248" t="s">
        <v>135</v>
      </c>
      <c r="E1461" s="249">
        <v>8.3605263157894745E-4</v>
      </c>
      <c r="F1461" s="250" t="s">
        <v>133</v>
      </c>
      <c r="G1461" s="251" t="s">
        <v>16</v>
      </c>
      <c r="H1461" s="252">
        <v>1</v>
      </c>
      <c r="I1461" s="252">
        <v>1</v>
      </c>
      <c r="J1461" s="252">
        <v>3</v>
      </c>
      <c r="K1461" s="252">
        <v>3</v>
      </c>
      <c r="L1461" s="253">
        <v>3</v>
      </c>
      <c r="M1461" s="254">
        <f t="shared" si="46"/>
        <v>1.1181151966036349</v>
      </c>
      <c r="N1461" s="255"/>
    </row>
    <row r="1462" spans="1:14" hidden="1" x14ac:dyDescent="0.2">
      <c r="A1462" s="246" t="s">
        <v>364</v>
      </c>
      <c r="B1462" s="459" t="s">
        <v>463</v>
      </c>
      <c r="C1462" s="247" t="s">
        <v>25</v>
      </c>
      <c r="D1462" s="248" t="s">
        <v>135</v>
      </c>
      <c r="E1462" s="249">
        <v>4.2932432432432442E-4</v>
      </c>
      <c r="F1462" s="250" t="s">
        <v>133</v>
      </c>
      <c r="G1462" s="251" t="s">
        <v>16</v>
      </c>
      <c r="H1462" s="252">
        <v>1</v>
      </c>
      <c r="I1462" s="252">
        <v>1</v>
      </c>
      <c r="J1462" s="252">
        <v>3</v>
      </c>
      <c r="K1462" s="252">
        <v>3</v>
      </c>
      <c r="L1462" s="253">
        <v>3</v>
      </c>
      <c r="M1462" s="254">
        <f t="shared" si="46"/>
        <v>1.1181151966036349</v>
      </c>
      <c r="N1462" s="255"/>
    </row>
    <row r="1463" spans="1:14" hidden="1" x14ac:dyDescent="0.2">
      <c r="A1463" s="246" t="s">
        <v>364</v>
      </c>
      <c r="B1463" s="459" t="s">
        <v>463</v>
      </c>
      <c r="C1463" s="247" t="s">
        <v>26</v>
      </c>
      <c r="D1463" s="248" t="s">
        <v>135</v>
      </c>
      <c r="E1463" s="249">
        <v>2.9808888888888888E-3</v>
      </c>
      <c r="F1463" s="250" t="s">
        <v>133</v>
      </c>
      <c r="G1463" s="251" t="s">
        <v>16</v>
      </c>
      <c r="H1463" s="252">
        <v>1</v>
      </c>
      <c r="I1463" s="252">
        <v>1</v>
      </c>
      <c r="J1463" s="252">
        <v>3</v>
      </c>
      <c r="K1463" s="252">
        <v>3</v>
      </c>
      <c r="L1463" s="253">
        <v>3</v>
      </c>
      <c r="M1463" s="254">
        <f t="shared" si="46"/>
        <v>1.1181151966036349</v>
      </c>
      <c r="N1463" s="255"/>
    </row>
    <row r="1464" spans="1:14" hidden="1" x14ac:dyDescent="0.2">
      <c r="A1464" s="246" t="s">
        <v>364</v>
      </c>
      <c r="B1464" s="459" t="s">
        <v>463</v>
      </c>
      <c r="C1464" s="247" t="s">
        <v>27</v>
      </c>
      <c r="D1464" s="248" t="s">
        <v>135</v>
      </c>
      <c r="E1464" s="249">
        <v>3.4595281306715062E-4</v>
      </c>
      <c r="F1464" s="250" t="s">
        <v>133</v>
      </c>
      <c r="G1464" s="251" t="s">
        <v>16</v>
      </c>
      <c r="H1464" s="252">
        <v>1</v>
      </c>
      <c r="I1464" s="252">
        <v>1</v>
      </c>
      <c r="J1464" s="252">
        <v>3</v>
      </c>
      <c r="K1464" s="252">
        <v>3</v>
      </c>
      <c r="L1464" s="253">
        <v>3</v>
      </c>
      <c r="M1464" s="254">
        <f t="shared" si="46"/>
        <v>1.1181151966036349</v>
      </c>
      <c r="N1464" s="255"/>
    </row>
    <row r="1465" spans="1:14" hidden="1" x14ac:dyDescent="0.2">
      <c r="A1465" s="246" t="s">
        <v>364</v>
      </c>
      <c r="B1465" s="459" t="s">
        <v>463</v>
      </c>
      <c r="C1465" s="247" t="s">
        <v>28</v>
      </c>
      <c r="D1465" s="248" t="s">
        <v>135</v>
      </c>
      <c r="E1465" s="249">
        <v>7.4149012567324962E-4</v>
      </c>
      <c r="F1465" s="250" t="s">
        <v>133</v>
      </c>
      <c r="G1465" s="251" t="s">
        <v>16</v>
      </c>
      <c r="H1465" s="252">
        <v>1</v>
      </c>
      <c r="I1465" s="252">
        <v>1</v>
      </c>
      <c r="J1465" s="252">
        <v>3</v>
      </c>
      <c r="K1465" s="252">
        <v>3</v>
      </c>
      <c r="L1465" s="253">
        <v>3</v>
      </c>
      <c r="M1465" s="254">
        <f t="shared" si="46"/>
        <v>1.1181151966036349</v>
      </c>
      <c r="N1465" s="255"/>
    </row>
    <row r="1466" spans="1:14" hidden="1" x14ac:dyDescent="0.2">
      <c r="A1466" s="246" t="s">
        <v>364</v>
      </c>
      <c r="B1466" s="459" t="s">
        <v>463</v>
      </c>
      <c r="C1466" s="247" t="s">
        <v>30</v>
      </c>
      <c r="D1466" s="248" t="s">
        <v>135</v>
      </c>
      <c r="E1466" s="249">
        <v>5.242574257425742E-4</v>
      </c>
      <c r="F1466" s="250" t="s">
        <v>133</v>
      </c>
      <c r="G1466" s="251" t="s">
        <v>16</v>
      </c>
      <c r="H1466" s="252">
        <v>1</v>
      </c>
      <c r="I1466" s="252">
        <v>1</v>
      </c>
      <c r="J1466" s="252">
        <v>3</v>
      </c>
      <c r="K1466" s="252">
        <v>3</v>
      </c>
      <c r="L1466" s="253">
        <v>3</v>
      </c>
      <c r="M1466" s="254">
        <f t="shared" si="46"/>
        <v>1.1181151966036349</v>
      </c>
      <c r="N1466" s="255"/>
    </row>
    <row r="1467" spans="1:14" hidden="1" x14ac:dyDescent="0.2">
      <c r="A1467" s="246" t="s">
        <v>364</v>
      </c>
      <c r="B1467" s="459" t="s">
        <v>463</v>
      </c>
      <c r="C1467" s="247" t="s">
        <v>32</v>
      </c>
      <c r="D1467" s="248" t="s">
        <v>135</v>
      </c>
      <c r="E1467" s="249">
        <v>1.23378640776699E-3</v>
      </c>
      <c r="F1467" s="250" t="s">
        <v>133</v>
      </c>
      <c r="G1467" s="251" t="s">
        <v>16</v>
      </c>
      <c r="H1467" s="252">
        <v>1</v>
      </c>
      <c r="I1467" s="252">
        <v>1</v>
      </c>
      <c r="J1467" s="252">
        <v>3</v>
      </c>
      <c r="K1467" s="252">
        <v>3</v>
      </c>
      <c r="L1467" s="253">
        <v>3</v>
      </c>
      <c r="M1467" s="254">
        <f t="shared" si="46"/>
        <v>1.1181151966036349</v>
      </c>
      <c r="N1467" s="255"/>
    </row>
    <row r="1468" spans="1:14" hidden="1" x14ac:dyDescent="0.2">
      <c r="A1468" s="246" t="s">
        <v>364</v>
      </c>
      <c r="B1468" s="459" t="s">
        <v>463</v>
      </c>
      <c r="C1468" s="247" t="s">
        <v>34</v>
      </c>
      <c r="D1468" s="248" t="s">
        <v>135</v>
      </c>
      <c r="E1468" s="249">
        <v>1.5009448818897641E-3</v>
      </c>
      <c r="F1468" s="250" t="s">
        <v>133</v>
      </c>
      <c r="G1468" s="251" t="s">
        <v>16</v>
      </c>
      <c r="H1468" s="252">
        <v>1</v>
      </c>
      <c r="I1468" s="252">
        <v>1</v>
      </c>
      <c r="J1468" s="252">
        <v>3</v>
      </c>
      <c r="K1468" s="252">
        <v>3</v>
      </c>
      <c r="L1468" s="253">
        <v>3</v>
      </c>
      <c r="M1468" s="254">
        <f t="shared" si="46"/>
        <v>1.1181151966036349</v>
      </c>
      <c r="N1468" s="255"/>
    </row>
    <row r="1469" spans="1:14" hidden="1" x14ac:dyDescent="0.2">
      <c r="A1469" s="246" t="s">
        <v>364</v>
      </c>
      <c r="B1469" s="459" t="s">
        <v>463</v>
      </c>
      <c r="C1469" s="247" t="s">
        <v>36</v>
      </c>
      <c r="D1469" s="248" t="s">
        <v>135</v>
      </c>
      <c r="E1469" s="249">
        <v>1.4482051282051281E-3</v>
      </c>
      <c r="F1469" s="250" t="s">
        <v>133</v>
      </c>
      <c r="G1469" s="251" t="s">
        <v>16</v>
      </c>
      <c r="H1469" s="252">
        <v>1</v>
      </c>
      <c r="I1469" s="252">
        <v>1</v>
      </c>
      <c r="J1469" s="252">
        <v>3</v>
      </c>
      <c r="K1469" s="252">
        <v>3</v>
      </c>
      <c r="L1469" s="253">
        <v>3</v>
      </c>
      <c r="M1469" s="254">
        <f t="shared" si="46"/>
        <v>1.1181151966036349</v>
      </c>
      <c r="N1469" s="255"/>
    </row>
    <row r="1470" spans="1:14" hidden="1" x14ac:dyDescent="0.2">
      <c r="A1470" s="246" t="s">
        <v>364</v>
      </c>
      <c r="B1470" s="459" t="s">
        <v>463</v>
      </c>
      <c r="C1470" s="247" t="s">
        <v>37</v>
      </c>
      <c r="D1470" s="248" t="s">
        <v>135</v>
      </c>
      <c r="E1470" s="249">
        <v>6.0483967935871753E-3</v>
      </c>
      <c r="F1470" s="250" t="s">
        <v>133</v>
      </c>
      <c r="G1470" s="251" t="s">
        <v>16</v>
      </c>
      <c r="H1470" s="252">
        <v>1</v>
      </c>
      <c r="I1470" s="252">
        <v>1</v>
      </c>
      <c r="J1470" s="252">
        <v>3</v>
      </c>
      <c r="K1470" s="252">
        <v>3</v>
      </c>
      <c r="L1470" s="253">
        <v>3</v>
      </c>
      <c r="M1470" s="254">
        <f t="shared" si="46"/>
        <v>1.1181151966036349</v>
      </c>
      <c r="N1470" s="255"/>
    </row>
    <row r="1471" spans="1:14" hidden="1" x14ac:dyDescent="0.2">
      <c r="A1471" s="246" t="s">
        <v>364</v>
      </c>
      <c r="B1471" s="459" t="s">
        <v>463</v>
      </c>
      <c r="C1471" s="247" t="s">
        <v>39</v>
      </c>
      <c r="D1471" s="248" t="s">
        <v>135</v>
      </c>
      <c r="E1471" s="249">
        <v>2.9662407862407862E-3</v>
      </c>
      <c r="F1471" s="250" t="s">
        <v>133</v>
      </c>
      <c r="G1471" s="251" t="s">
        <v>16</v>
      </c>
      <c r="H1471" s="252">
        <v>1</v>
      </c>
      <c r="I1471" s="252">
        <v>1</v>
      </c>
      <c r="J1471" s="252">
        <v>3</v>
      </c>
      <c r="K1471" s="252">
        <v>3</v>
      </c>
      <c r="L1471" s="253">
        <v>3</v>
      </c>
      <c r="M1471" s="254">
        <f t="shared" si="46"/>
        <v>1.1181151966036349</v>
      </c>
      <c r="N1471" s="255"/>
    </row>
    <row r="1472" spans="1:14" hidden="1" x14ac:dyDescent="0.2">
      <c r="A1472" s="246" t="s">
        <v>364</v>
      </c>
      <c r="B1472" s="459" t="s">
        <v>463</v>
      </c>
      <c r="C1472" s="247" t="s">
        <v>40</v>
      </c>
      <c r="D1472" s="248" t="s">
        <v>135</v>
      </c>
      <c r="E1472" s="249">
        <v>9.5857758620689656E-4</v>
      </c>
      <c r="F1472" s="250" t="s">
        <v>133</v>
      </c>
      <c r="G1472" s="251" t="s">
        <v>16</v>
      </c>
      <c r="H1472" s="252">
        <v>1</v>
      </c>
      <c r="I1472" s="252">
        <v>1</v>
      </c>
      <c r="J1472" s="252">
        <v>3</v>
      </c>
      <c r="K1472" s="252">
        <v>3</v>
      </c>
      <c r="L1472" s="253">
        <v>3</v>
      </c>
      <c r="M1472" s="254">
        <f t="shared" si="46"/>
        <v>1.1181151966036349</v>
      </c>
      <c r="N1472" s="255"/>
    </row>
    <row r="1473" spans="1:14" hidden="1" x14ac:dyDescent="0.2">
      <c r="A1473" s="246" t="s">
        <v>364</v>
      </c>
      <c r="B1473" s="459" t="s">
        <v>463</v>
      </c>
      <c r="C1473" s="247" t="s">
        <v>41</v>
      </c>
      <c r="D1473" s="248" t="s">
        <v>135</v>
      </c>
      <c r="E1473" s="249">
        <v>4.352054794520548E-4</v>
      </c>
      <c r="F1473" s="250" t="s">
        <v>133</v>
      </c>
      <c r="G1473" s="251" t="s">
        <v>16</v>
      </c>
      <c r="H1473" s="252">
        <v>1</v>
      </c>
      <c r="I1473" s="252">
        <v>1</v>
      </c>
      <c r="J1473" s="252">
        <v>3</v>
      </c>
      <c r="K1473" s="252">
        <v>3</v>
      </c>
      <c r="L1473" s="253">
        <v>3</v>
      </c>
      <c r="M1473" s="254">
        <f t="shared" si="46"/>
        <v>1.1181151966036349</v>
      </c>
      <c r="N1473" s="255"/>
    </row>
    <row r="1474" spans="1:14" hidden="1" x14ac:dyDescent="0.2">
      <c r="A1474" s="246" t="s">
        <v>364</v>
      </c>
      <c r="B1474" s="459" t="s">
        <v>463</v>
      </c>
      <c r="C1474" s="247" t="s">
        <v>42</v>
      </c>
      <c r="D1474" s="248" t="s">
        <v>135</v>
      </c>
      <c r="E1474" s="249">
        <v>2.1274553571428568E-3</v>
      </c>
      <c r="F1474" s="250" t="s">
        <v>133</v>
      </c>
      <c r="G1474" s="251" t="s">
        <v>16</v>
      </c>
      <c r="H1474" s="252">
        <v>1</v>
      </c>
      <c r="I1474" s="252">
        <v>1</v>
      </c>
      <c r="J1474" s="252">
        <v>3</v>
      </c>
      <c r="K1474" s="252">
        <v>3</v>
      </c>
      <c r="L1474" s="253">
        <v>3</v>
      </c>
      <c r="M1474" s="254">
        <f t="shared" si="46"/>
        <v>1.1181151966036349</v>
      </c>
      <c r="N1474" s="255"/>
    </row>
    <row r="1475" spans="1:14" hidden="1" x14ac:dyDescent="0.2">
      <c r="A1475" s="246" t="s">
        <v>364</v>
      </c>
      <c r="B1475" s="459" t="s">
        <v>463</v>
      </c>
      <c r="C1475" s="247" t="s">
        <v>43</v>
      </c>
      <c r="D1475" s="248" t="s">
        <v>135</v>
      </c>
      <c r="E1475" s="249">
        <v>4.9737769080234839E-4</v>
      </c>
      <c r="F1475" s="250" t="s">
        <v>133</v>
      </c>
      <c r="G1475" s="251" t="s">
        <v>16</v>
      </c>
      <c r="H1475" s="252">
        <v>1</v>
      </c>
      <c r="I1475" s="252">
        <v>1</v>
      </c>
      <c r="J1475" s="252">
        <v>3</v>
      </c>
      <c r="K1475" s="252">
        <v>3</v>
      </c>
      <c r="L1475" s="253">
        <v>3</v>
      </c>
      <c r="M1475" s="254">
        <f t="shared" si="46"/>
        <v>1.1181151966036349</v>
      </c>
      <c r="N1475" s="255"/>
    </row>
    <row r="1476" spans="1:14" x14ac:dyDescent="0.2">
      <c r="A1476" s="246" t="s">
        <v>364</v>
      </c>
      <c r="B1476" s="459" t="s">
        <v>463</v>
      </c>
      <c r="C1476" s="247" t="s">
        <v>45</v>
      </c>
      <c r="D1476" s="248" t="s">
        <v>135</v>
      </c>
      <c r="E1476" s="249">
        <v>6.8784844384303125E-4</v>
      </c>
      <c r="F1476" s="250" t="s">
        <v>133</v>
      </c>
      <c r="G1476" s="251" t="s">
        <v>16</v>
      </c>
      <c r="H1476" s="252">
        <v>1</v>
      </c>
      <c r="I1476" s="252">
        <v>1</v>
      </c>
      <c r="J1476" s="252">
        <v>3</v>
      </c>
      <c r="K1476" s="252">
        <v>3</v>
      </c>
      <c r="L1476" s="253">
        <v>3</v>
      </c>
      <c r="M1476" s="254">
        <f t="shared" si="46"/>
        <v>1.1181151966036349</v>
      </c>
      <c r="N1476" s="255"/>
    </row>
    <row r="1477" spans="1:14" hidden="1" x14ac:dyDescent="0.2">
      <c r="A1477" s="246" t="s">
        <v>364</v>
      </c>
      <c r="B1477" s="459" t="s">
        <v>463</v>
      </c>
      <c r="C1477" s="247" t="s">
        <v>46</v>
      </c>
      <c r="D1477" s="248" t="s">
        <v>135</v>
      </c>
      <c r="E1477" s="249">
        <v>1.2553495440729479E-3</v>
      </c>
      <c r="F1477" s="250" t="s">
        <v>133</v>
      </c>
      <c r="G1477" s="251" t="s">
        <v>16</v>
      </c>
      <c r="H1477" s="252">
        <v>1</v>
      </c>
      <c r="I1477" s="252">
        <v>1</v>
      </c>
      <c r="J1477" s="252">
        <v>3</v>
      </c>
      <c r="K1477" s="252">
        <v>3</v>
      </c>
      <c r="L1477" s="253">
        <v>3</v>
      </c>
      <c r="M1477" s="254">
        <f t="shared" si="46"/>
        <v>1.1181151966036349</v>
      </c>
      <c r="N1477" s="255"/>
    </row>
    <row r="1478" spans="1:14" hidden="1" x14ac:dyDescent="0.2">
      <c r="A1478" s="246" t="s">
        <v>364</v>
      </c>
      <c r="B1478" s="459" t="s">
        <v>463</v>
      </c>
      <c r="C1478" s="247" t="s">
        <v>48</v>
      </c>
      <c r="D1478" s="248" t="s">
        <v>135</v>
      </c>
      <c r="E1478" s="249">
        <v>9.3994082840236678E-4</v>
      </c>
      <c r="F1478" s="250" t="s">
        <v>133</v>
      </c>
      <c r="G1478" s="251" t="s">
        <v>16</v>
      </c>
      <c r="H1478" s="252">
        <v>1</v>
      </c>
      <c r="I1478" s="252">
        <v>1</v>
      </c>
      <c r="J1478" s="252">
        <v>3</v>
      </c>
      <c r="K1478" s="252">
        <v>3</v>
      </c>
      <c r="L1478" s="253">
        <v>3</v>
      </c>
      <c r="M1478" s="254">
        <f t="shared" si="46"/>
        <v>1.1181151966036349</v>
      </c>
      <c r="N1478" s="255"/>
    </row>
    <row r="1479" spans="1:14" hidden="1" x14ac:dyDescent="0.2">
      <c r="A1479" s="246" t="s">
        <v>364</v>
      </c>
      <c r="B1479" s="459" t="s">
        <v>463</v>
      </c>
      <c r="C1479" s="247" t="s">
        <v>50</v>
      </c>
      <c r="D1479" s="248" t="s">
        <v>135</v>
      </c>
      <c r="E1479" s="249">
        <v>5.72327205882353E-3</v>
      </c>
      <c r="F1479" s="250" t="s">
        <v>133</v>
      </c>
      <c r="G1479" s="251" t="s">
        <v>16</v>
      </c>
      <c r="H1479" s="252">
        <v>1</v>
      </c>
      <c r="I1479" s="252">
        <v>1</v>
      </c>
      <c r="J1479" s="252">
        <v>3</v>
      </c>
      <c r="K1479" s="252">
        <v>3</v>
      </c>
      <c r="L1479" s="253">
        <v>3</v>
      </c>
      <c r="M1479" s="254">
        <f t="shared" si="46"/>
        <v>1.1181151966036349</v>
      </c>
      <c r="N1479" s="255"/>
    </row>
    <row r="1480" spans="1:14" hidden="1" x14ac:dyDescent="0.2">
      <c r="A1480" s="246" t="s">
        <v>364</v>
      </c>
      <c r="B1480" s="459" t="s">
        <v>463</v>
      </c>
      <c r="C1480" s="247" t="s">
        <v>52</v>
      </c>
      <c r="D1480" s="248" t="s">
        <v>135</v>
      </c>
      <c r="E1480" s="249">
        <v>9.2086956521739128E-4</v>
      </c>
      <c r="F1480" s="250" t="s">
        <v>133</v>
      </c>
      <c r="G1480" s="251" t="s">
        <v>16</v>
      </c>
      <c r="H1480" s="252">
        <v>1</v>
      </c>
      <c r="I1480" s="252">
        <v>1</v>
      </c>
      <c r="J1480" s="252">
        <v>3</v>
      </c>
      <c r="K1480" s="252">
        <v>3</v>
      </c>
      <c r="L1480" s="253">
        <v>3</v>
      </c>
      <c r="M1480" s="254">
        <f>IF( OR( ISBLANK(H1480),ISBLANK(I1480), ISBLANK(J1480), ISBLANK(K1480), ISBLANK(L1480) ), "", 1.5*SQRT(   EXP(2.21*(H1480-1)) + EXP(2.21*(I1480-1)) + EXP(2.21*(J1480-1)) + EXP(2.21*(K1480-1)) + EXP(2.21*L1480)   )/100*2.45 )</f>
        <v>1.1181151966036349</v>
      </c>
      <c r="N1480" s="255"/>
    </row>
    <row r="1481" spans="1:14" hidden="1" x14ac:dyDescent="0.2">
      <c r="A1481" s="246" t="s">
        <v>364</v>
      </c>
      <c r="B1481" s="459" t="s">
        <v>463</v>
      </c>
      <c r="C1481" s="247" t="s">
        <v>54</v>
      </c>
      <c r="D1481" s="248" t="s">
        <v>135</v>
      </c>
      <c r="E1481" s="249">
        <v>5.8833333333333329E-4</v>
      </c>
      <c r="F1481" s="250" t="s">
        <v>133</v>
      </c>
      <c r="G1481" s="251" t="s">
        <v>16</v>
      </c>
      <c r="H1481" s="252">
        <v>1</v>
      </c>
      <c r="I1481" s="252">
        <v>1</v>
      </c>
      <c r="J1481" s="252">
        <v>3</v>
      </c>
      <c r="K1481" s="252">
        <v>3</v>
      </c>
      <c r="L1481" s="253">
        <v>3</v>
      </c>
      <c r="M1481" s="254">
        <f t="shared" ref="M1481:M1512" si="47">IF( OR( ISBLANK(H1481),ISBLANK(I1481), ISBLANK(J1481), ISBLANK(K1481), ISBLANK(L1481) ), "", 1.5*SQRT( EXP(2.21*(H1481-1)) + EXP(2.21*(I1481-1)) + EXP(2.21*(J1481-1)) + EXP(2.21*(K1481-1)) + EXP(2.21*L1481) )/100*2.45 )</f>
        <v>1.1181151966036349</v>
      </c>
      <c r="N1481" s="255"/>
    </row>
    <row r="1482" spans="1:14" hidden="1" x14ac:dyDescent="0.2">
      <c r="A1482" s="246" t="s">
        <v>364</v>
      </c>
      <c r="B1482" s="459" t="s">
        <v>463</v>
      </c>
      <c r="C1482" s="247" t="s">
        <v>55</v>
      </c>
      <c r="D1482" s="248" t="s">
        <v>135</v>
      </c>
      <c r="E1482" s="249">
        <v>1.2708000000000001E-3</v>
      </c>
      <c r="F1482" s="250" t="s">
        <v>133</v>
      </c>
      <c r="G1482" s="251" t="s">
        <v>16</v>
      </c>
      <c r="H1482" s="252">
        <v>1</v>
      </c>
      <c r="I1482" s="252">
        <v>1</v>
      </c>
      <c r="J1482" s="252">
        <v>3</v>
      </c>
      <c r="K1482" s="252">
        <v>3</v>
      </c>
      <c r="L1482" s="253">
        <v>3</v>
      </c>
      <c r="M1482" s="254">
        <f t="shared" si="47"/>
        <v>1.1181151966036349</v>
      </c>
      <c r="N1482" s="255"/>
    </row>
    <row r="1483" spans="1:14" hidden="1" x14ac:dyDescent="0.2">
      <c r="A1483" s="246" t="s">
        <v>364</v>
      </c>
      <c r="B1483" s="459" t="s">
        <v>463</v>
      </c>
      <c r="C1483" s="247" t="s">
        <v>57</v>
      </c>
      <c r="D1483" s="248" t="s">
        <v>135</v>
      </c>
      <c r="E1483" s="249">
        <v>5.8562211981566818E-4</v>
      </c>
      <c r="F1483" s="250" t="s">
        <v>133</v>
      </c>
      <c r="G1483" s="251" t="s">
        <v>16</v>
      </c>
      <c r="H1483" s="252">
        <v>1</v>
      </c>
      <c r="I1483" s="252">
        <v>1</v>
      </c>
      <c r="J1483" s="252">
        <v>3</v>
      </c>
      <c r="K1483" s="252">
        <v>3</v>
      </c>
      <c r="L1483" s="253">
        <v>3</v>
      </c>
      <c r="M1483" s="254">
        <f t="shared" si="47"/>
        <v>1.1181151966036349</v>
      </c>
      <c r="N1483" s="255"/>
    </row>
    <row r="1484" spans="1:14" hidden="1" x14ac:dyDescent="0.2">
      <c r="A1484" s="246" t="s">
        <v>364</v>
      </c>
      <c r="B1484" s="459" t="s">
        <v>463</v>
      </c>
      <c r="C1484" s="247" t="s">
        <v>59</v>
      </c>
      <c r="D1484" s="248" t="s">
        <v>135</v>
      </c>
      <c r="E1484" s="249">
        <v>2.7E-4</v>
      </c>
      <c r="F1484" s="250" t="s">
        <v>133</v>
      </c>
      <c r="G1484" s="251" t="s">
        <v>16</v>
      </c>
      <c r="H1484" s="252">
        <v>1</v>
      </c>
      <c r="I1484" s="252">
        <v>1</v>
      </c>
      <c r="J1484" s="252">
        <v>3</v>
      </c>
      <c r="K1484" s="252">
        <v>3</v>
      </c>
      <c r="L1484" s="253">
        <v>3</v>
      </c>
      <c r="M1484" s="254">
        <f t="shared" si="47"/>
        <v>1.1181151966036349</v>
      </c>
      <c r="N1484" s="255"/>
    </row>
    <row r="1485" spans="1:14" hidden="1" x14ac:dyDescent="0.2">
      <c r="A1485" s="246" t="s">
        <v>364</v>
      </c>
      <c r="B1485" s="459" t="s">
        <v>463</v>
      </c>
      <c r="C1485" s="247" t="s">
        <v>60</v>
      </c>
      <c r="D1485" s="248" t="s">
        <v>135</v>
      </c>
      <c r="E1485" s="249">
        <v>1.23511879049676E-3</v>
      </c>
      <c r="F1485" s="250" t="s">
        <v>133</v>
      </c>
      <c r="G1485" s="251" t="s">
        <v>16</v>
      </c>
      <c r="H1485" s="252">
        <v>1</v>
      </c>
      <c r="I1485" s="252">
        <v>1</v>
      </c>
      <c r="J1485" s="252">
        <v>3</v>
      </c>
      <c r="K1485" s="252">
        <v>3</v>
      </c>
      <c r="L1485" s="253">
        <v>3</v>
      </c>
      <c r="M1485" s="254">
        <f t="shared" si="47"/>
        <v>1.1181151966036349</v>
      </c>
      <c r="N1485" s="255"/>
    </row>
    <row r="1486" spans="1:14" x14ac:dyDescent="0.2">
      <c r="A1486" s="505" t="s">
        <v>364</v>
      </c>
      <c r="B1486" s="370" t="s">
        <v>452</v>
      </c>
      <c r="C1486" s="552" t="s">
        <v>135</v>
      </c>
      <c r="D1486" s="376" t="s">
        <v>135</v>
      </c>
      <c r="E1486" s="553">
        <v>0</v>
      </c>
      <c r="F1486" s="374" t="s">
        <v>133</v>
      </c>
      <c r="G1486" s="506" t="s">
        <v>16</v>
      </c>
      <c r="H1486" s="454"/>
      <c r="I1486" s="454"/>
      <c r="J1486" s="454"/>
      <c r="K1486" s="454"/>
      <c r="L1486" s="455"/>
      <c r="M1486" s="507" t="str">
        <f t="shared" si="47"/>
        <v/>
      </c>
      <c r="N1486" s="479" t="s">
        <v>492</v>
      </c>
    </row>
    <row r="1487" spans="1:14" x14ac:dyDescent="0.2">
      <c r="A1487" s="505" t="s">
        <v>364</v>
      </c>
      <c r="B1487" s="382" t="s">
        <v>460</v>
      </c>
      <c r="C1487" s="552" t="s">
        <v>135</v>
      </c>
      <c r="D1487" s="376" t="s">
        <v>135</v>
      </c>
      <c r="E1487" s="553">
        <v>0</v>
      </c>
      <c r="F1487" s="374" t="s">
        <v>133</v>
      </c>
      <c r="G1487" s="506" t="s">
        <v>16</v>
      </c>
      <c r="H1487" s="454"/>
      <c r="I1487" s="454"/>
      <c r="J1487" s="454"/>
      <c r="K1487" s="454"/>
      <c r="L1487" s="455"/>
      <c r="M1487" s="507" t="str">
        <f t="shared" si="47"/>
        <v/>
      </c>
      <c r="N1487" s="479" t="s">
        <v>492</v>
      </c>
    </row>
    <row r="1488" spans="1:14" x14ac:dyDescent="0.2">
      <c r="A1488" s="508" t="s">
        <v>364</v>
      </c>
      <c r="B1488" s="397" t="s">
        <v>475</v>
      </c>
      <c r="C1488" s="554" t="s">
        <v>135</v>
      </c>
      <c r="D1488" s="398" t="s">
        <v>135</v>
      </c>
      <c r="E1488" s="555">
        <v>0</v>
      </c>
      <c r="F1488" s="399" t="s">
        <v>133</v>
      </c>
      <c r="G1488" s="511" t="s">
        <v>16</v>
      </c>
      <c r="H1488" s="556"/>
      <c r="I1488" s="556"/>
      <c r="J1488" s="556"/>
      <c r="K1488" s="556"/>
      <c r="L1488" s="557"/>
      <c r="M1488" s="558" t="str">
        <f t="shared" si="47"/>
        <v/>
      </c>
      <c r="N1488" s="559" t="s">
        <v>492</v>
      </c>
    </row>
    <row r="1489" spans="1:14" hidden="1" x14ac:dyDescent="0.2">
      <c r="A1489" s="246" t="s">
        <v>379</v>
      </c>
      <c r="B1489" s="459" t="s">
        <v>463</v>
      </c>
      <c r="C1489" s="247" t="s">
        <v>13</v>
      </c>
      <c r="D1489" s="248" t="s">
        <v>135</v>
      </c>
      <c r="E1489" s="249">
        <v>4.9383419689119179E-4</v>
      </c>
      <c r="F1489" s="250" t="s">
        <v>133</v>
      </c>
      <c r="G1489" s="251" t="s">
        <v>16</v>
      </c>
      <c r="H1489" s="252">
        <v>1</v>
      </c>
      <c r="I1489" s="252">
        <v>1</v>
      </c>
      <c r="J1489" s="252">
        <v>3</v>
      </c>
      <c r="K1489" s="252">
        <v>3</v>
      </c>
      <c r="L1489" s="253">
        <v>3</v>
      </c>
      <c r="M1489" s="254">
        <f t="shared" si="47"/>
        <v>1.1181151966036349</v>
      </c>
      <c r="N1489" s="255"/>
    </row>
    <row r="1490" spans="1:14" hidden="1" x14ac:dyDescent="0.2">
      <c r="A1490" s="246" t="s">
        <v>379</v>
      </c>
      <c r="B1490" s="459" t="s">
        <v>463</v>
      </c>
      <c r="C1490" s="247" t="s">
        <v>18</v>
      </c>
      <c r="D1490" s="248" t="s">
        <v>135</v>
      </c>
      <c r="E1490" s="249">
        <v>6.2141809290953553E-4</v>
      </c>
      <c r="F1490" s="250" t="s">
        <v>133</v>
      </c>
      <c r="G1490" s="251" t="s">
        <v>16</v>
      </c>
      <c r="H1490" s="252">
        <v>1</v>
      </c>
      <c r="I1490" s="252">
        <v>1</v>
      </c>
      <c r="J1490" s="252">
        <v>3</v>
      </c>
      <c r="K1490" s="252">
        <v>3</v>
      </c>
      <c r="L1490" s="253">
        <v>3</v>
      </c>
      <c r="M1490" s="254">
        <f t="shared" si="47"/>
        <v>1.1181151966036349</v>
      </c>
      <c r="N1490" s="255"/>
    </row>
    <row r="1491" spans="1:14" hidden="1" x14ac:dyDescent="0.2">
      <c r="A1491" s="246" t="s">
        <v>379</v>
      </c>
      <c r="B1491" s="459" t="s">
        <v>463</v>
      </c>
      <c r="C1491" s="247" t="s">
        <v>20</v>
      </c>
      <c r="D1491" s="248" t="s">
        <v>135</v>
      </c>
      <c r="E1491" s="249">
        <v>1.717297297297297E-3</v>
      </c>
      <c r="F1491" s="250" t="s">
        <v>133</v>
      </c>
      <c r="G1491" s="251" t="s">
        <v>16</v>
      </c>
      <c r="H1491" s="252">
        <v>1</v>
      </c>
      <c r="I1491" s="252">
        <v>1</v>
      </c>
      <c r="J1491" s="252">
        <v>3</v>
      </c>
      <c r="K1491" s="252">
        <v>3</v>
      </c>
      <c r="L1491" s="253">
        <v>3</v>
      </c>
      <c r="M1491" s="254">
        <f t="shared" si="47"/>
        <v>1.1181151966036349</v>
      </c>
      <c r="N1491" s="255"/>
    </row>
    <row r="1492" spans="1:14" hidden="1" x14ac:dyDescent="0.2">
      <c r="A1492" s="246" t="s">
        <v>379</v>
      </c>
      <c r="B1492" s="459" t="s">
        <v>463</v>
      </c>
      <c r="C1492" s="247" t="s">
        <v>22</v>
      </c>
      <c r="D1492" s="248" t="s">
        <v>135</v>
      </c>
      <c r="E1492" s="249">
        <v>1.397291666666666E-3</v>
      </c>
      <c r="F1492" s="250" t="s">
        <v>133</v>
      </c>
      <c r="G1492" s="251" t="s">
        <v>16</v>
      </c>
      <c r="H1492" s="252">
        <v>1</v>
      </c>
      <c r="I1492" s="252">
        <v>1</v>
      </c>
      <c r="J1492" s="252">
        <v>3</v>
      </c>
      <c r="K1492" s="252">
        <v>3</v>
      </c>
      <c r="L1492" s="253">
        <v>3</v>
      </c>
      <c r="M1492" s="254">
        <f t="shared" si="47"/>
        <v>1.1181151966036349</v>
      </c>
      <c r="N1492" s="255"/>
    </row>
    <row r="1493" spans="1:14" hidden="1" x14ac:dyDescent="0.2">
      <c r="A1493" s="246" t="s">
        <v>379</v>
      </c>
      <c r="B1493" s="459" t="s">
        <v>463</v>
      </c>
      <c r="C1493" s="247" t="s">
        <v>23</v>
      </c>
      <c r="D1493" s="248" t="s">
        <v>135</v>
      </c>
      <c r="E1493" s="249">
        <v>1.868823529411765E-3</v>
      </c>
      <c r="F1493" s="250" t="s">
        <v>133</v>
      </c>
      <c r="G1493" s="251" t="s">
        <v>16</v>
      </c>
      <c r="H1493" s="252">
        <v>1</v>
      </c>
      <c r="I1493" s="252">
        <v>1</v>
      </c>
      <c r="J1493" s="252">
        <v>3</v>
      </c>
      <c r="K1493" s="252">
        <v>3</v>
      </c>
      <c r="L1493" s="253">
        <v>3</v>
      </c>
      <c r="M1493" s="254">
        <f t="shared" si="47"/>
        <v>1.1181151966036349</v>
      </c>
      <c r="N1493" s="255"/>
    </row>
    <row r="1494" spans="1:14" hidden="1" x14ac:dyDescent="0.2">
      <c r="A1494" s="246" t="s">
        <v>379</v>
      </c>
      <c r="B1494" s="459" t="s">
        <v>463</v>
      </c>
      <c r="C1494" s="247" t="s">
        <v>24</v>
      </c>
      <c r="D1494" s="248" t="s">
        <v>135</v>
      </c>
      <c r="E1494" s="249">
        <v>8.3605263157894745E-4</v>
      </c>
      <c r="F1494" s="250" t="s">
        <v>133</v>
      </c>
      <c r="G1494" s="251" t="s">
        <v>16</v>
      </c>
      <c r="H1494" s="252">
        <v>1</v>
      </c>
      <c r="I1494" s="252">
        <v>1</v>
      </c>
      <c r="J1494" s="252">
        <v>3</v>
      </c>
      <c r="K1494" s="252">
        <v>3</v>
      </c>
      <c r="L1494" s="253">
        <v>3</v>
      </c>
      <c r="M1494" s="254">
        <f t="shared" si="47"/>
        <v>1.1181151966036349</v>
      </c>
      <c r="N1494" s="255"/>
    </row>
    <row r="1495" spans="1:14" hidden="1" x14ac:dyDescent="0.2">
      <c r="A1495" s="246" t="s">
        <v>379</v>
      </c>
      <c r="B1495" s="459" t="s">
        <v>463</v>
      </c>
      <c r="C1495" s="247" t="s">
        <v>25</v>
      </c>
      <c r="D1495" s="248" t="s">
        <v>135</v>
      </c>
      <c r="E1495" s="249">
        <v>4.2932432432432442E-4</v>
      </c>
      <c r="F1495" s="250" t="s">
        <v>133</v>
      </c>
      <c r="G1495" s="251" t="s">
        <v>16</v>
      </c>
      <c r="H1495" s="252">
        <v>1</v>
      </c>
      <c r="I1495" s="252">
        <v>1</v>
      </c>
      <c r="J1495" s="252">
        <v>3</v>
      </c>
      <c r="K1495" s="252">
        <v>3</v>
      </c>
      <c r="L1495" s="253">
        <v>3</v>
      </c>
      <c r="M1495" s="254">
        <f t="shared" si="47"/>
        <v>1.1181151966036349</v>
      </c>
      <c r="N1495" s="255"/>
    </row>
    <row r="1496" spans="1:14" hidden="1" x14ac:dyDescent="0.2">
      <c r="A1496" s="246" t="s">
        <v>379</v>
      </c>
      <c r="B1496" s="459" t="s">
        <v>463</v>
      </c>
      <c r="C1496" s="247" t="s">
        <v>26</v>
      </c>
      <c r="D1496" s="248" t="s">
        <v>135</v>
      </c>
      <c r="E1496" s="249">
        <v>2.9808888888888888E-3</v>
      </c>
      <c r="F1496" s="250" t="s">
        <v>133</v>
      </c>
      <c r="G1496" s="251" t="s">
        <v>16</v>
      </c>
      <c r="H1496" s="252">
        <v>1</v>
      </c>
      <c r="I1496" s="252">
        <v>1</v>
      </c>
      <c r="J1496" s="252">
        <v>3</v>
      </c>
      <c r="K1496" s="252">
        <v>3</v>
      </c>
      <c r="L1496" s="253">
        <v>3</v>
      </c>
      <c r="M1496" s="254">
        <f t="shared" si="47"/>
        <v>1.1181151966036349</v>
      </c>
      <c r="N1496" s="255"/>
    </row>
    <row r="1497" spans="1:14" hidden="1" x14ac:dyDescent="0.2">
      <c r="A1497" s="246" t="s">
        <v>379</v>
      </c>
      <c r="B1497" s="459" t="s">
        <v>463</v>
      </c>
      <c r="C1497" s="247" t="s">
        <v>27</v>
      </c>
      <c r="D1497" s="248" t="s">
        <v>135</v>
      </c>
      <c r="E1497" s="249">
        <v>3.4595281306715062E-4</v>
      </c>
      <c r="F1497" s="250" t="s">
        <v>133</v>
      </c>
      <c r="G1497" s="251" t="s">
        <v>16</v>
      </c>
      <c r="H1497" s="252">
        <v>1</v>
      </c>
      <c r="I1497" s="252">
        <v>1</v>
      </c>
      <c r="J1497" s="252">
        <v>3</v>
      </c>
      <c r="K1497" s="252">
        <v>3</v>
      </c>
      <c r="L1497" s="253">
        <v>3</v>
      </c>
      <c r="M1497" s="254">
        <f t="shared" si="47"/>
        <v>1.1181151966036349</v>
      </c>
      <c r="N1497" s="255"/>
    </row>
    <row r="1498" spans="1:14" hidden="1" x14ac:dyDescent="0.2">
      <c r="A1498" s="246" t="s">
        <v>379</v>
      </c>
      <c r="B1498" s="459" t="s">
        <v>463</v>
      </c>
      <c r="C1498" s="247" t="s">
        <v>28</v>
      </c>
      <c r="D1498" s="248" t="s">
        <v>135</v>
      </c>
      <c r="E1498" s="249">
        <v>7.4149012567324962E-4</v>
      </c>
      <c r="F1498" s="250" t="s">
        <v>133</v>
      </c>
      <c r="G1498" s="251" t="s">
        <v>16</v>
      </c>
      <c r="H1498" s="252">
        <v>1</v>
      </c>
      <c r="I1498" s="252">
        <v>1</v>
      </c>
      <c r="J1498" s="252">
        <v>3</v>
      </c>
      <c r="K1498" s="252">
        <v>3</v>
      </c>
      <c r="L1498" s="253">
        <v>3</v>
      </c>
      <c r="M1498" s="254">
        <f t="shared" si="47"/>
        <v>1.1181151966036349</v>
      </c>
      <c r="N1498" s="255"/>
    </row>
    <row r="1499" spans="1:14" hidden="1" x14ac:dyDescent="0.2">
      <c r="A1499" s="246" t="s">
        <v>379</v>
      </c>
      <c r="B1499" s="459" t="s">
        <v>463</v>
      </c>
      <c r="C1499" s="247" t="s">
        <v>30</v>
      </c>
      <c r="D1499" s="248" t="s">
        <v>135</v>
      </c>
      <c r="E1499" s="249">
        <v>5.242574257425742E-4</v>
      </c>
      <c r="F1499" s="250" t="s">
        <v>133</v>
      </c>
      <c r="G1499" s="251" t="s">
        <v>16</v>
      </c>
      <c r="H1499" s="252">
        <v>1</v>
      </c>
      <c r="I1499" s="252">
        <v>1</v>
      </c>
      <c r="J1499" s="252">
        <v>3</v>
      </c>
      <c r="K1499" s="252">
        <v>3</v>
      </c>
      <c r="L1499" s="253">
        <v>3</v>
      </c>
      <c r="M1499" s="254">
        <f t="shared" si="47"/>
        <v>1.1181151966036349</v>
      </c>
      <c r="N1499" s="255"/>
    </row>
    <row r="1500" spans="1:14" hidden="1" x14ac:dyDescent="0.2">
      <c r="A1500" s="246" t="s">
        <v>379</v>
      </c>
      <c r="B1500" s="459" t="s">
        <v>463</v>
      </c>
      <c r="C1500" s="247" t="s">
        <v>32</v>
      </c>
      <c r="D1500" s="248" t="s">
        <v>135</v>
      </c>
      <c r="E1500" s="249">
        <v>1.23378640776699E-3</v>
      </c>
      <c r="F1500" s="250" t="s">
        <v>133</v>
      </c>
      <c r="G1500" s="251" t="s">
        <v>16</v>
      </c>
      <c r="H1500" s="252">
        <v>1</v>
      </c>
      <c r="I1500" s="252">
        <v>1</v>
      </c>
      <c r="J1500" s="252">
        <v>3</v>
      </c>
      <c r="K1500" s="252">
        <v>3</v>
      </c>
      <c r="L1500" s="253">
        <v>3</v>
      </c>
      <c r="M1500" s="254">
        <f t="shared" si="47"/>
        <v>1.1181151966036349</v>
      </c>
      <c r="N1500" s="255"/>
    </row>
    <row r="1501" spans="1:14" hidden="1" x14ac:dyDescent="0.2">
      <c r="A1501" s="246" t="s">
        <v>379</v>
      </c>
      <c r="B1501" s="459" t="s">
        <v>463</v>
      </c>
      <c r="C1501" s="247" t="s">
        <v>34</v>
      </c>
      <c r="D1501" s="248" t="s">
        <v>135</v>
      </c>
      <c r="E1501" s="249">
        <v>1.5009448818897641E-3</v>
      </c>
      <c r="F1501" s="250" t="s">
        <v>133</v>
      </c>
      <c r="G1501" s="251" t="s">
        <v>16</v>
      </c>
      <c r="H1501" s="252">
        <v>1</v>
      </c>
      <c r="I1501" s="252">
        <v>1</v>
      </c>
      <c r="J1501" s="252">
        <v>3</v>
      </c>
      <c r="K1501" s="252">
        <v>3</v>
      </c>
      <c r="L1501" s="253">
        <v>3</v>
      </c>
      <c r="M1501" s="254">
        <f t="shared" si="47"/>
        <v>1.1181151966036349</v>
      </c>
      <c r="N1501" s="255"/>
    </row>
    <row r="1502" spans="1:14" hidden="1" x14ac:dyDescent="0.2">
      <c r="A1502" s="246" t="s">
        <v>379</v>
      </c>
      <c r="B1502" s="459" t="s">
        <v>463</v>
      </c>
      <c r="C1502" s="247" t="s">
        <v>36</v>
      </c>
      <c r="D1502" s="248" t="s">
        <v>135</v>
      </c>
      <c r="E1502" s="249">
        <v>1.4482051282051281E-3</v>
      </c>
      <c r="F1502" s="250" t="s">
        <v>133</v>
      </c>
      <c r="G1502" s="251" t="s">
        <v>16</v>
      </c>
      <c r="H1502" s="252">
        <v>1</v>
      </c>
      <c r="I1502" s="252">
        <v>1</v>
      </c>
      <c r="J1502" s="252">
        <v>3</v>
      </c>
      <c r="K1502" s="252">
        <v>3</v>
      </c>
      <c r="L1502" s="253">
        <v>3</v>
      </c>
      <c r="M1502" s="254">
        <f t="shared" si="47"/>
        <v>1.1181151966036349</v>
      </c>
      <c r="N1502" s="255"/>
    </row>
    <row r="1503" spans="1:14" hidden="1" x14ac:dyDescent="0.2">
      <c r="A1503" s="246" t="s">
        <v>379</v>
      </c>
      <c r="B1503" s="459" t="s">
        <v>463</v>
      </c>
      <c r="C1503" s="247" t="s">
        <v>37</v>
      </c>
      <c r="D1503" s="248" t="s">
        <v>135</v>
      </c>
      <c r="E1503" s="249">
        <v>6.0483967935871753E-3</v>
      </c>
      <c r="F1503" s="250" t="s">
        <v>133</v>
      </c>
      <c r="G1503" s="251" t="s">
        <v>16</v>
      </c>
      <c r="H1503" s="252">
        <v>1</v>
      </c>
      <c r="I1503" s="252">
        <v>1</v>
      </c>
      <c r="J1503" s="252">
        <v>3</v>
      </c>
      <c r="K1503" s="252">
        <v>3</v>
      </c>
      <c r="L1503" s="253">
        <v>3</v>
      </c>
      <c r="M1503" s="254">
        <f t="shared" si="47"/>
        <v>1.1181151966036349</v>
      </c>
      <c r="N1503" s="255"/>
    </row>
    <row r="1504" spans="1:14" hidden="1" x14ac:dyDescent="0.2">
      <c r="A1504" s="246" t="s">
        <v>379</v>
      </c>
      <c r="B1504" s="459" t="s">
        <v>463</v>
      </c>
      <c r="C1504" s="247" t="s">
        <v>39</v>
      </c>
      <c r="D1504" s="248" t="s">
        <v>135</v>
      </c>
      <c r="E1504" s="249">
        <v>2.9662407862407862E-3</v>
      </c>
      <c r="F1504" s="250" t="s">
        <v>133</v>
      </c>
      <c r="G1504" s="251" t="s">
        <v>16</v>
      </c>
      <c r="H1504" s="252">
        <v>1</v>
      </c>
      <c r="I1504" s="252">
        <v>1</v>
      </c>
      <c r="J1504" s="252">
        <v>3</v>
      </c>
      <c r="K1504" s="252">
        <v>3</v>
      </c>
      <c r="L1504" s="253">
        <v>3</v>
      </c>
      <c r="M1504" s="254">
        <f t="shared" si="47"/>
        <v>1.1181151966036349</v>
      </c>
      <c r="N1504" s="255"/>
    </row>
    <row r="1505" spans="1:14" hidden="1" x14ac:dyDescent="0.2">
      <c r="A1505" s="246" t="s">
        <v>379</v>
      </c>
      <c r="B1505" s="459" t="s">
        <v>463</v>
      </c>
      <c r="C1505" s="247" t="s">
        <v>40</v>
      </c>
      <c r="D1505" s="248" t="s">
        <v>135</v>
      </c>
      <c r="E1505" s="249">
        <v>9.5857758620689656E-4</v>
      </c>
      <c r="F1505" s="250" t="s">
        <v>133</v>
      </c>
      <c r="G1505" s="251" t="s">
        <v>16</v>
      </c>
      <c r="H1505" s="252">
        <v>1</v>
      </c>
      <c r="I1505" s="252">
        <v>1</v>
      </c>
      <c r="J1505" s="252">
        <v>3</v>
      </c>
      <c r="K1505" s="252">
        <v>3</v>
      </c>
      <c r="L1505" s="253">
        <v>3</v>
      </c>
      <c r="M1505" s="254">
        <f t="shared" si="47"/>
        <v>1.1181151966036349</v>
      </c>
      <c r="N1505" s="255"/>
    </row>
    <row r="1506" spans="1:14" hidden="1" x14ac:dyDescent="0.2">
      <c r="A1506" s="246" t="s">
        <v>379</v>
      </c>
      <c r="B1506" s="459" t="s">
        <v>463</v>
      </c>
      <c r="C1506" s="247" t="s">
        <v>41</v>
      </c>
      <c r="D1506" s="248" t="s">
        <v>135</v>
      </c>
      <c r="E1506" s="249">
        <v>4.352054794520548E-4</v>
      </c>
      <c r="F1506" s="250" t="s">
        <v>133</v>
      </c>
      <c r="G1506" s="251" t="s">
        <v>16</v>
      </c>
      <c r="H1506" s="252">
        <v>1</v>
      </c>
      <c r="I1506" s="252">
        <v>1</v>
      </c>
      <c r="J1506" s="252">
        <v>3</v>
      </c>
      <c r="K1506" s="252">
        <v>3</v>
      </c>
      <c r="L1506" s="253">
        <v>3</v>
      </c>
      <c r="M1506" s="254">
        <f t="shared" si="47"/>
        <v>1.1181151966036349</v>
      </c>
      <c r="N1506" s="255"/>
    </row>
    <row r="1507" spans="1:14" hidden="1" x14ac:dyDescent="0.2">
      <c r="A1507" s="246" t="s">
        <v>379</v>
      </c>
      <c r="B1507" s="459" t="s">
        <v>463</v>
      </c>
      <c r="C1507" s="247" t="s">
        <v>42</v>
      </c>
      <c r="D1507" s="248" t="s">
        <v>135</v>
      </c>
      <c r="E1507" s="249">
        <v>2.1274553571428568E-3</v>
      </c>
      <c r="F1507" s="250" t="s">
        <v>133</v>
      </c>
      <c r="G1507" s="251" t="s">
        <v>16</v>
      </c>
      <c r="H1507" s="252">
        <v>1</v>
      </c>
      <c r="I1507" s="252">
        <v>1</v>
      </c>
      <c r="J1507" s="252">
        <v>3</v>
      </c>
      <c r="K1507" s="252">
        <v>3</v>
      </c>
      <c r="L1507" s="253">
        <v>3</v>
      </c>
      <c r="M1507" s="254">
        <f t="shared" si="47"/>
        <v>1.1181151966036349</v>
      </c>
      <c r="N1507" s="255"/>
    </row>
    <row r="1508" spans="1:14" hidden="1" x14ac:dyDescent="0.2">
      <c r="A1508" s="246" t="s">
        <v>379</v>
      </c>
      <c r="B1508" s="459" t="s">
        <v>463</v>
      </c>
      <c r="C1508" s="247" t="s">
        <v>43</v>
      </c>
      <c r="D1508" s="248" t="s">
        <v>135</v>
      </c>
      <c r="E1508" s="249">
        <v>4.9737769080234839E-4</v>
      </c>
      <c r="F1508" s="250" t="s">
        <v>133</v>
      </c>
      <c r="G1508" s="251" t="s">
        <v>16</v>
      </c>
      <c r="H1508" s="252">
        <v>1</v>
      </c>
      <c r="I1508" s="252">
        <v>1</v>
      </c>
      <c r="J1508" s="252">
        <v>3</v>
      </c>
      <c r="K1508" s="252">
        <v>3</v>
      </c>
      <c r="L1508" s="253">
        <v>3</v>
      </c>
      <c r="M1508" s="254">
        <f t="shared" si="47"/>
        <v>1.1181151966036349</v>
      </c>
      <c r="N1508" s="255"/>
    </row>
    <row r="1509" spans="1:14" x14ac:dyDescent="0.2">
      <c r="A1509" s="246" t="s">
        <v>379</v>
      </c>
      <c r="B1509" s="459" t="s">
        <v>463</v>
      </c>
      <c r="C1509" s="247" t="s">
        <v>45</v>
      </c>
      <c r="D1509" s="248" t="s">
        <v>135</v>
      </c>
      <c r="E1509" s="249">
        <v>6.8784844384303125E-4</v>
      </c>
      <c r="F1509" s="250" t="s">
        <v>133</v>
      </c>
      <c r="G1509" s="251" t="s">
        <v>16</v>
      </c>
      <c r="H1509" s="252">
        <v>1</v>
      </c>
      <c r="I1509" s="252">
        <v>1</v>
      </c>
      <c r="J1509" s="252">
        <v>3</v>
      </c>
      <c r="K1509" s="252">
        <v>3</v>
      </c>
      <c r="L1509" s="253">
        <v>3</v>
      </c>
      <c r="M1509" s="254">
        <f t="shared" si="47"/>
        <v>1.1181151966036349</v>
      </c>
      <c r="N1509" s="255"/>
    </row>
    <row r="1510" spans="1:14" hidden="1" x14ac:dyDescent="0.2">
      <c r="A1510" s="246" t="s">
        <v>379</v>
      </c>
      <c r="B1510" s="459" t="s">
        <v>463</v>
      </c>
      <c r="C1510" s="247" t="s">
        <v>46</v>
      </c>
      <c r="D1510" s="248" t="s">
        <v>135</v>
      </c>
      <c r="E1510" s="249">
        <v>1.2553495440729479E-3</v>
      </c>
      <c r="F1510" s="250" t="s">
        <v>133</v>
      </c>
      <c r="G1510" s="251" t="s">
        <v>16</v>
      </c>
      <c r="H1510" s="252">
        <v>1</v>
      </c>
      <c r="I1510" s="252">
        <v>1</v>
      </c>
      <c r="J1510" s="252">
        <v>3</v>
      </c>
      <c r="K1510" s="252">
        <v>3</v>
      </c>
      <c r="L1510" s="253">
        <v>3</v>
      </c>
      <c r="M1510" s="254">
        <f t="shared" si="47"/>
        <v>1.1181151966036349</v>
      </c>
      <c r="N1510" s="255"/>
    </row>
    <row r="1511" spans="1:14" hidden="1" x14ac:dyDescent="0.2">
      <c r="A1511" s="246" t="s">
        <v>379</v>
      </c>
      <c r="B1511" s="459" t="s">
        <v>463</v>
      </c>
      <c r="C1511" s="247" t="s">
        <v>48</v>
      </c>
      <c r="D1511" s="248" t="s">
        <v>135</v>
      </c>
      <c r="E1511" s="249">
        <v>9.3994082840236678E-4</v>
      </c>
      <c r="F1511" s="250" t="s">
        <v>133</v>
      </c>
      <c r="G1511" s="251" t="s">
        <v>16</v>
      </c>
      <c r="H1511" s="252">
        <v>1</v>
      </c>
      <c r="I1511" s="252">
        <v>1</v>
      </c>
      <c r="J1511" s="252">
        <v>3</v>
      </c>
      <c r="K1511" s="252">
        <v>3</v>
      </c>
      <c r="L1511" s="253">
        <v>3</v>
      </c>
      <c r="M1511" s="254">
        <f t="shared" si="47"/>
        <v>1.1181151966036349</v>
      </c>
      <c r="N1511" s="255"/>
    </row>
    <row r="1512" spans="1:14" hidden="1" x14ac:dyDescent="0.2">
      <c r="A1512" s="246" t="s">
        <v>379</v>
      </c>
      <c r="B1512" s="459" t="s">
        <v>463</v>
      </c>
      <c r="C1512" s="247" t="s">
        <v>50</v>
      </c>
      <c r="D1512" s="248" t="s">
        <v>135</v>
      </c>
      <c r="E1512" s="249">
        <v>5.72327205882353E-3</v>
      </c>
      <c r="F1512" s="250" t="s">
        <v>133</v>
      </c>
      <c r="G1512" s="251" t="s">
        <v>16</v>
      </c>
      <c r="H1512" s="252">
        <v>1</v>
      </c>
      <c r="I1512" s="252">
        <v>1</v>
      </c>
      <c r="J1512" s="252">
        <v>3</v>
      </c>
      <c r="K1512" s="252">
        <v>3</v>
      </c>
      <c r="L1512" s="253">
        <v>3</v>
      </c>
      <c r="M1512" s="254">
        <f t="shared" si="47"/>
        <v>1.1181151966036349</v>
      </c>
      <c r="N1512" s="255"/>
    </row>
    <row r="1513" spans="1:14" hidden="1" x14ac:dyDescent="0.2">
      <c r="A1513" s="246" t="s">
        <v>379</v>
      </c>
      <c r="B1513" s="459" t="s">
        <v>463</v>
      </c>
      <c r="C1513" s="247" t="s">
        <v>52</v>
      </c>
      <c r="D1513" s="248" t="s">
        <v>135</v>
      </c>
      <c r="E1513" s="249">
        <v>9.2086956521739128E-4</v>
      </c>
      <c r="F1513" s="250" t="s">
        <v>133</v>
      </c>
      <c r="G1513" s="251" t="s">
        <v>16</v>
      </c>
      <c r="H1513" s="252">
        <v>1</v>
      </c>
      <c r="I1513" s="252">
        <v>1</v>
      </c>
      <c r="J1513" s="252">
        <v>3</v>
      </c>
      <c r="K1513" s="252">
        <v>3</v>
      </c>
      <c r="L1513" s="253">
        <v>3</v>
      </c>
      <c r="M1513" s="254">
        <f t="shared" ref="M1513:M1543" si="48">IF( OR( ISBLANK(H1513),ISBLANK(I1513), ISBLANK(J1513), ISBLANK(K1513), ISBLANK(L1513) ), "", 1.5*SQRT( EXP(2.21*(H1513-1)) + EXP(2.21*(I1513-1)) + EXP(2.21*(J1513-1)) + EXP(2.21*(K1513-1)) + EXP(2.21*L1513) )/100*2.45 )</f>
        <v>1.1181151966036349</v>
      </c>
      <c r="N1513" s="255"/>
    </row>
    <row r="1514" spans="1:14" hidden="1" x14ac:dyDescent="0.2">
      <c r="A1514" s="246" t="s">
        <v>379</v>
      </c>
      <c r="B1514" s="459" t="s">
        <v>463</v>
      </c>
      <c r="C1514" s="247" t="s">
        <v>54</v>
      </c>
      <c r="D1514" s="248" t="s">
        <v>135</v>
      </c>
      <c r="E1514" s="249">
        <v>5.8833333333333329E-4</v>
      </c>
      <c r="F1514" s="250" t="s">
        <v>133</v>
      </c>
      <c r="G1514" s="251" t="s">
        <v>16</v>
      </c>
      <c r="H1514" s="252">
        <v>1</v>
      </c>
      <c r="I1514" s="252">
        <v>1</v>
      </c>
      <c r="J1514" s="252">
        <v>3</v>
      </c>
      <c r="K1514" s="252">
        <v>3</v>
      </c>
      <c r="L1514" s="253">
        <v>3</v>
      </c>
      <c r="M1514" s="254">
        <f t="shared" si="48"/>
        <v>1.1181151966036349</v>
      </c>
      <c r="N1514" s="255"/>
    </row>
    <row r="1515" spans="1:14" hidden="1" x14ac:dyDescent="0.2">
      <c r="A1515" s="246" t="s">
        <v>379</v>
      </c>
      <c r="B1515" s="459" t="s">
        <v>463</v>
      </c>
      <c r="C1515" s="247" t="s">
        <v>55</v>
      </c>
      <c r="D1515" s="248" t="s">
        <v>135</v>
      </c>
      <c r="E1515" s="249">
        <v>1.2708000000000001E-3</v>
      </c>
      <c r="F1515" s="250" t="s">
        <v>133</v>
      </c>
      <c r="G1515" s="251" t="s">
        <v>16</v>
      </c>
      <c r="H1515" s="252">
        <v>1</v>
      </c>
      <c r="I1515" s="252">
        <v>1</v>
      </c>
      <c r="J1515" s="252">
        <v>3</v>
      </c>
      <c r="K1515" s="252">
        <v>3</v>
      </c>
      <c r="L1515" s="253">
        <v>3</v>
      </c>
      <c r="M1515" s="254">
        <f t="shared" si="48"/>
        <v>1.1181151966036349</v>
      </c>
      <c r="N1515" s="255"/>
    </row>
    <row r="1516" spans="1:14" hidden="1" x14ac:dyDescent="0.2">
      <c r="A1516" s="246" t="s">
        <v>379</v>
      </c>
      <c r="B1516" s="459" t="s">
        <v>463</v>
      </c>
      <c r="C1516" s="247" t="s">
        <v>57</v>
      </c>
      <c r="D1516" s="248" t="s">
        <v>135</v>
      </c>
      <c r="E1516" s="249">
        <v>5.8562211981566818E-4</v>
      </c>
      <c r="F1516" s="250" t="s">
        <v>133</v>
      </c>
      <c r="G1516" s="251" t="s">
        <v>16</v>
      </c>
      <c r="H1516" s="252">
        <v>1</v>
      </c>
      <c r="I1516" s="252">
        <v>1</v>
      </c>
      <c r="J1516" s="252">
        <v>3</v>
      </c>
      <c r="K1516" s="252">
        <v>3</v>
      </c>
      <c r="L1516" s="253">
        <v>3</v>
      </c>
      <c r="M1516" s="254">
        <f t="shared" si="48"/>
        <v>1.1181151966036349</v>
      </c>
      <c r="N1516" s="255"/>
    </row>
    <row r="1517" spans="1:14" hidden="1" x14ac:dyDescent="0.2">
      <c r="A1517" s="246" t="s">
        <v>379</v>
      </c>
      <c r="B1517" s="459" t="s">
        <v>463</v>
      </c>
      <c r="C1517" s="247" t="s">
        <v>59</v>
      </c>
      <c r="D1517" s="248" t="s">
        <v>135</v>
      </c>
      <c r="E1517" s="249">
        <v>2.7E-4</v>
      </c>
      <c r="F1517" s="250" t="s">
        <v>133</v>
      </c>
      <c r="G1517" s="251" t="s">
        <v>16</v>
      </c>
      <c r="H1517" s="252">
        <v>1</v>
      </c>
      <c r="I1517" s="252">
        <v>1</v>
      </c>
      <c r="J1517" s="252">
        <v>3</v>
      </c>
      <c r="K1517" s="252">
        <v>3</v>
      </c>
      <c r="L1517" s="253">
        <v>3</v>
      </c>
      <c r="M1517" s="254">
        <f t="shared" si="48"/>
        <v>1.1181151966036349</v>
      </c>
      <c r="N1517" s="255"/>
    </row>
    <row r="1518" spans="1:14" hidden="1" x14ac:dyDescent="0.2">
      <c r="A1518" s="246" t="s">
        <v>379</v>
      </c>
      <c r="B1518" s="459" t="s">
        <v>463</v>
      </c>
      <c r="C1518" s="247" t="s">
        <v>60</v>
      </c>
      <c r="D1518" s="248" t="s">
        <v>135</v>
      </c>
      <c r="E1518" s="249">
        <v>1.23511879049676E-3</v>
      </c>
      <c r="F1518" s="250" t="s">
        <v>133</v>
      </c>
      <c r="G1518" s="251" t="s">
        <v>16</v>
      </c>
      <c r="H1518" s="252">
        <v>1</v>
      </c>
      <c r="I1518" s="252">
        <v>1</v>
      </c>
      <c r="J1518" s="252">
        <v>3</v>
      </c>
      <c r="K1518" s="252">
        <v>3</v>
      </c>
      <c r="L1518" s="253">
        <v>3</v>
      </c>
      <c r="M1518" s="254">
        <f t="shared" si="48"/>
        <v>1.1181151966036349</v>
      </c>
      <c r="N1518" s="255"/>
    </row>
    <row r="1519" spans="1:14" x14ac:dyDescent="0.2">
      <c r="A1519" s="505" t="s">
        <v>379</v>
      </c>
      <c r="B1519" s="370" t="s">
        <v>452</v>
      </c>
      <c r="C1519" s="552" t="s">
        <v>135</v>
      </c>
      <c r="D1519" s="376" t="s">
        <v>135</v>
      </c>
      <c r="E1519" s="553">
        <v>0</v>
      </c>
      <c r="F1519" s="374" t="s">
        <v>133</v>
      </c>
      <c r="G1519" s="506" t="s">
        <v>16</v>
      </c>
      <c r="H1519" s="454"/>
      <c r="I1519" s="454"/>
      <c r="J1519" s="454"/>
      <c r="K1519" s="454"/>
      <c r="L1519" s="455"/>
      <c r="M1519" s="507" t="str">
        <f t="shared" si="48"/>
        <v/>
      </c>
      <c r="N1519" s="479" t="s">
        <v>492</v>
      </c>
    </row>
    <row r="1520" spans="1:14" x14ac:dyDescent="0.2">
      <c r="A1520" s="505" t="s">
        <v>379</v>
      </c>
      <c r="B1520" s="382" t="s">
        <v>460</v>
      </c>
      <c r="C1520" s="552" t="s">
        <v>135</v>
      </c>
      <c r="D1520" s="376" t="s">
        <v>135</v>
      </c>
      <c r="E1520" s="553">
        <v>0</v>
      </c>
      <c r="F1520" s="374" t="s">
        <v>133</v>
      </c>
      <c r="G1520" s="506" t="s">
        <v>16</v>
      </c>
      <c r="H1520" s="454"/>
      <c r="I1520" s="454"/>
      <c r="J1520" s="454"/>
      <c r="K1520" s="454"/>
      <c r="L1520" s="455"/>
      <c r="M1520" s="507" t="str">
        <f t="shared" si="48"/>
        <v/>
      </c>
      <c r="N1520" s="479" t="s">
        <v>492</v>
      </c>
    </row>
    <row r="1521" spans="1:14" x14ac:dyDescent="0.2">
      <c r="A1521" s="508" t="s">
        <v>379</v>
      </c>
      <c r="B1521" s="397" t="s">
        <v>475</v>
      </c>
      <c r="C1521" s="554" t="s">
        <v>135</v>
      </c>
      <c r="D1521" s="398" t="s">
        <v>135</v>
      </c>
      <c r="E1521" s="555">
        <v>0</v>
      </c>
      <c r="F1521" s="399" t="s">
        <v>133</v>
      </c>
      <c r="G1521" s="511" t="s">
        <v>16</v>
      </c>
      <c r="H1521" s="556"/>
      <c r="I1521" s="556"/>
      <c r="J1521" s="556"/>
      <c r="K1521" s="556"/>
      <c r="L1521" s="557"/>
      <c r="M1521" s="558" t="str">
        <f t="shared" si="48"/>
        <v/>
      </c>
      <c r="N1521" s="559" t="s">
        <v>492</v>
      </c>
    </row>
    <row r="1522" spans="1:14" hidden="1" x14ac:dyDescent="0.2">
      <c r="A1522" s="505" t="s">
        <v>382</v>
      </c>
      <c r="B1522" s="459" t="s">
        <v>463</v>
      </c>
      <c r="C1522" s="247" t="s">
        <v>13</v>
      </c>
      <c r="D1522" s="248" t="s">
        <v>135</v>
      </c>
      <c r="E1522" s="249">
        <v>4.9383419689119179E-4</v>
      </c>
      <c r="F1522" s="250" t="s">
        <v>133</v>
      </c>
      <c r="G1522" s="251" t="s">
        <v>16</v>
      </c>
      <c r="H1522" s="252">
        <v>1</v>
      </c>
      <c r="I1522" s="252">
        <v>1</v>
      </c>
      <c r="J1522" s="252">
        <v>3</v>
      </c>
      <c r="K1522" s="252">
        <v>3</v>
      </c>
      <c r="L1522" s="253">
        <v>3</v>
      </c>
      <c r="M1522" s="254">
        <f t="shared" si="48"/>
        <v>1.1181151966036349</v>
      </c>
      <c r="N1522" s="255"/>
    </row>
    <row r="1523" spans="1:14" hidden="1" x14ac:dyDescent="0.2">
      <c r="A1523" s="246" t="s">
        <v>382</v>
      </c>
      <c r="B1523" s="459" t="s">
        <v>463</v>
      </c>
      <c r="C1523" s="247" t="s">
        <v>18</v>
      </c>
      <c r="D1523" s="248" t="s">
        <v>135</v>
      </c>
      <c r="E1523" s="249">
        <v>6.2141809290953553E-4</v>
      </c>
      <c r="F1523" s="250" t="s">
        <v>133</v>
      </c>
      <c r="G1523" s="251" t="s">
        <v>16</v>
      </c>
      <c r="H1523" s="252">
        <v>1</v>
      </c>
      <c r="I1523" s="252">
        <v>1</v>
      </c>
      <c r="J1523" s="252">
        <v>3</v>
      </c>
      <c r="K1523" s="252">
        <v>3</v>
      </c>
      <c r="L1523" s="253">
        <v>3</v>
      </c>
      <c r="M1523" s="254">
        <f t="shared" si="48"/>
        <v>1.1181151966036349</v>
      </c>
      <c r="N1523" s="255"/>
    </row>
    <row r="1524" spans="1:14" hidden="1" x14ac:dyDescent="0.2">
      <c r="A1524" s="246" t="s">
        <v>382</v>
      </c>
      <c r="B1524" s="459" t="s">
        <v>463</v>
      </c>
      <c r="C1524" s="247" t="s">
        <v>20</v>
      </c>
      <c r="D1524" s="248" t="s">
        <v>135</v>
      </c>
      <c r="E1524" s="249">
        <v>1.717297297297297E-3</v>
      </c>
      <c r="F1524" s="250" t="s">
        <v>133</v>
      </c>
      <c r="G1524" s="251" t="s">
        <v>16</v>
      </c>
      <c r="H1524" s="252">
        <v>1</v>
      </c>
      <c r="I1524" s="252">
        <v>1</v>
      </c>
      <c r="J1524" s="252">
        <v>3</v>
      </c>
      <c r="K1524" s="252">
        <v>3</v>
      </c>
      <c r="L1524" s="253">
        <v>3</v>
      </c>
      <c r="M1524" s="254">
        <f t="shared" si="48"/>
        <v>1.1181151966036349</v>
      </c>
      <c r="N1524" s="255"/>
    </row>
    <row r="1525" spans="1:14" hidden="1" x14ac:dyDescent="0.2">
      <c r="A1525" s="246" t="s">
        <v>382</v>
      </c>
      <c r="B1525" s="459" t="s">
        <v>463</v>
      </c>
      <c r="C1525" s="247" t="s">
        <v>22</v>
      </c>
      <c r="D1525" s="248" t="s">
        <v>135</v>
      </c>
      <c r="E1525" s="249">
        <v>1.397291666666666E-3</v>
      </c>
      <c r="F1525" s="250" t="s">
        <v>133</v>
      </c>
      <c r="G1525" s="251" t="s">
        <v>16</v>
      </c>
      <c r="H1525" s="252">
        <v>1</v>
      </c>
      <c r="I1525" s="252">
        <v>1</v>
      </c>
      <c r="J1525" s="252">
        <v>3</v>
      </c>
      <c r="K1525" s="252">
        <v>3</v>
      </c>
      <c r="L1525" s="253">
        <v>3</v>
      </c>
      <c r="M1525" s="254">
        <f t="shared" si="48"/>
        <v>1.1181151966036349</v>
      </c>
      <c r="N1525" s="255"/>
    </row>
    <row r="1526" spans="1:14" hidden="1" x14ac:dyDescent="0.2">
      <c r="A1526" s="246" t="s">
        <v>382</v>
      </c>
      <c r="B1526" s="459" t="s">
        <v>463</v>
      </c>
      <c r="C1526" s="247" t="s">
        <v>23</v>
      </c>
      <c r="D1526" s="248" t="s">
        <v>135</v>
      </c>
      <c r="E1526" s="249">
        <v>1.868823529411765E-3</v>
      </c>
      <c r="F1526" s="250" t="s">
        <v>133</v>
      </c>
      <c r="G1526" s="251" t="s">
        <v>16</v>
      </c>
      <c r="H1526" s="252">
        <v>1</v>
      </c>
      <c r="I1526" s="252">
        <v>1</v>
      </c>
      <c r="J1526" s="252">
        <v>3</v>
      </c>
      <c r="K1526" s="252">
        <v>3</v>
      </c>
      <c r="L1526" s="253">
        <v>3</v>
      </c>
      <c r="M1526" s="254">
        <f t="shared" si="48"/>
        <v>1.1181151966036349</v>
      </c>
      <c r="N1526" s="255"/>
    </row>
    <row r="1527" spans="1:14" hidden="1" x14ac:dyDescent="0.2">
      <c r="A1527" s="246" t="s">
        <v>382</v>
      </c>
      <c r="B1527" s="459" t="s">
        <v>463</v>
      </c>
      <c r="C1527" s="247" t="s">
        <v>24</v>
      </c>
      <c r="D1527" s="248" t="s">
        <v>135</v>
      </c>
      <c r="E1527" s="249">
        <v>8.3605263157894745E-4</v>
      </c>
      <c r="F1527" s="250" t="s">
        <v>133</v>
      </c>
      <c r="G1527" s="251" t="s">
        <v>16</v>
      </c>
      <c r="H1527" s="252">
        <v>1</v>
      </c>
      <c r="I1527" s="252">
        <v>1</v>
      </c>
      <c r="J1527" s="252">
        <v>3</v>
      </c>
      <c r="K1527" s="252">
        <v>3</v>
      </c>
      <c r="L1527" s="253">
        <v>3</v>
      </c>
      <c r="M1527" s="254">
        <f t="shared" si="48"/>
        <v>1.1181151966036349</v>
      </c>
      <c r="N1527" s="255"/>
    </row>
    <row r="1528" spans="1:14" hidden="1" x14ac:dyDescent="0.2">
      <c r="A1528" s="246" t="s">
        <v>382</v>
      </c>
      <c r="B1528" s="459" t="s">
        <v>463</v>
      </c>
      <c r="C1528" s="247" t="s">
        <v>25</v>
      </c>
      <c r="D1528" s="248" t="s">
        <v>135</v>
      </c>
      <c r="E1528" s="249">
        <v>4.2932432432432442E-4</v>
      </c>
      <c r="F1528" s="250" t="s">
        <v>133</v>
      </c>
      <c r="G1528" s="251" t="s">
        <v>16</v>
      </c>
      <c r="H1528" s="252">
        <v>1</v>
      </c>
      <c r="I1528" s="252">
        <v>1</v>
      </c>
      <c r="J1528" s="252">
        <v>3</v>
      </c>
      <c r="K1528" s="252">
        <v>3</v>
      </c>
      <c r="L1528" s="253">
        <v>3</v>
      </c>
      <c r="M1528" s="254">
        <f t="shared" si="48"/>
        <v>1.1181151966036349</v>
      </c>
      <c r="N1528" s="255"/>
    </row>
    <row r="1529" spans="1:14" hidden="1" x14ac:dyDescent="0.2">
      <c r="A1529" s="246" t="s">
        <v>382</v>
      </c>
      <c r="B1529" s="459" t="s">
        <v>463</v>
      </c>
      <c r="C1529" s="247" t="s">
        <v>26</v>
      </c>
      <c r="D1529" s="248" t="s">
        <v>135</v>
      </c>
      <c r="E1529" s="249">
        <v>2.9808888888888888E-3</v>
      </c>
      <c r="F1529" s="250" t="s">
        <v>133</v>
      </c>
      <c r="G1529" s="251" t="s">
        <v>16</v>
      </c>
      <c r="H1529" s="252">
        <v>1</v>
      </c>
      <c r="I1529" s="252">
        <v>1</v>
      </c>
      <c r="J1529" s="252">
        <v>3</v>
      </c>
      <c r="K1529" s="252">
        <v>3</v>
      </c>
      <c r="L1529" s="253">
        <v>3</v>
      </c>
      <c r="M1529" s="254">
        <f t="shared" si="48"/>
        <v>1.1181151966036349</v>
      </c>
      <c r="N1529" s="255"/>
    </row>
    <row r="1530" spans="1:14" hidden="1" x14ac:dyDescent="0.2">
      <c r="A1530" s="246" t="s">
        <v>382</v>
      </c>
      <c r="B1530" s="459" t="s">
        <v>463</v>
      </c>
      <c r="C1530" s="247" t="s">
        <v>27</v>
      </c>
      <c r="D1530" s="248" t="s">
        <v>135</v>
      </c>
      <c r="E1530" s="249">
        <v>3.4595281306715062E-4</v>
      </c>
      <c r="F1530" s="250" t="s">
        <v>133</v>
      </c>
      <c r="G1530" s="251" t="s">
        <v>16</v>
      </c>
      <c r="H1530" s="252">
        <v>1</v>
      </c>
      <c r="I1530" s="252">
        <v>1</v>
      </c>
      <c r="J1530" s="252">
        <v>3</v>
      </c>
      <c r="K1530" s="252">
        <v>3</v>
      </c>
      <c r="L1530" s="253">
        <v>3</v>
      </c>
      <c r="M1530" s="254">
        <f t="shared" si="48"/>
        <v>1.1181151966036349</v>
      </c>
      <c r="N1530" s="255"/>
    </row>
    <row r="1531" spans="1:14" hidden="1" x14ac:dyDescent="0.2">
      <c r="A1531" s="246" t="s">
        <v>382</v>
      </c>
      <c r="B1531" s="459" t="s">
        <v>463</v>
      </c>
      <c r="C1531" s="247" t="s">
        <v>28</v>
      </c>
      <c r="D1531" s="248" t="s">
        <v>135</v>
      </c>
      <c r="E1531" s="249">
        <v>7.4149012567324962E-4</v>
      </c>
      <c r="F1531" s="250" t="s">
        <v>133</v>
      </c>
      <c r="G1531" s="251" t="s">
        <v>16</v>
      </c>
      <c r="H1531" s="252">
        <v>1</v>
      </c>
      <c r="I1531" s="252">
        <v>1</v>
      </c>
      <c r="J1531" s="252">
        <v>3</v>
      </c>
      <c r="K1531" s="252">
        <v>3</v>
      </c>
      <c r="L1531" s="253">
        <v>3</v>
      </c>
      <c r="M1531" s="254">
        <f t="shared" si="48"/>
        <v>1.1181151966036349</v>
      </c>
      <c r="N1531" s="255"/>
    </row>
    <row r="1532" spans="1:14" hidden="1" x14ac:dyDescent="0.2">
      <c r="A1532" s="246" t="s">
        <v>382</v>
      </c>
      <c r="B1532" s="459" t="s">
        <v>463</v>
      </c>
      <c r="C1532" s="247" t="s">
        <v>30</v>
      </c>
      <c r="D1532" s="248" t="s">
        <v>135</v>
      </c>
      <c r="E1532" s="249">
        <v>5.242574257425742E-4</v>
      </c>
      <c r="F1532" s="250" t="s">
        <v>133</v>
      </c>
      <c r="G1532" s="251" t="s">
        <v>16</v>
      </c>
      <c r="H1532" s="252">
        <v>1</v>
      </c>
      <c r="I1532" s="252">
        <v>1</v>
      </c>
      <c r="J1532" s="252">
        <v>3</v>
      </c>
      <c r="K1532" s="252">
        <v>3</v>
      </c>
      <c r="L1532" s="253">
        <v>3</v>
      </c>
      <c r="M1532" s="254">
        <f t="shared" si="48"/>
        <v>1.1181151966036349</v>
      </c>
      <c r="N1532" s="255"/>
    </row>
    <row r="1533" spans="1:14" hidden="1" x14ac:dyDescent="0.2">
      <c r="A1533" s="246" t="s">
        <v>382</v>
      </c>
      <c r="B1533" s="459" t="s">
        <v>463</v>
      </c>
      <c r="C1533" s="247" t="s">
        <v>32</v>
      </c>
      <c r="D1533" s="248" t="s">
        <v>135</v>
      </c>
      <c r="E1533" s="249">
        <v>1.23378640776699E-3</v>
      </c>
      <c r="F1533" s="250" t="s">
        <v>133</v>
      </c>
      <c r="G1533" s="251" t="s">
        <v>16</v>
      </c>
      <c r="H1533" s="252">
        <v>1</v>
      </c>
      <c r="I1533" s="252">
        <v>1</v>
      </c>
      <c r="J1533" s="252">
        <v>3</v>
      </c>
      <c r="K1533" s="252">
        <v>3</v>
      </c>
      <c r="L1533" s="253">
        <v>3</v>
      </c>
      <c r="M1533" s="254">
        <f t="shared" si="48"/>
        <v>1.1181151966036349</v>
      </c>
      <c r="N1533" s="255"/>
    </row>
    <row r="1534" spans="1:14" hidden="1" x14ac:dyDescent="0.2">
      <c r="A1534" s="246" t="s">
        <v>382</v>
      </c>
      <c r="B1534" s="459" t="s">
        <v>463</v>
      </c>
      <c r="C1534" s="247" t="s">
        <v>34</v>
      </c>
      <c r="D1534" s="248" t="s">
        <v>135</v>
      </c>
      <c r="E1534" s="249">
        <v>1.5009448818897641E-3</v>
      </c>
      <c r="F1534" s="250" t="s">
        <v>133</v>
      </c>
      <c r="G1534" s="251" t="s">
        <v>16</v>
      </c>
      <c r="H1534" s="252">
        <v>1</v>
      </c>
      <c r="I1534" s="252">
        <v>1</v>
      </c>
      <c r="J1534" s="252">
        <v>3</v>
      </c>
      <c r="K1534" s="252">
        <v>3</v>
      </c>
      <c r="L1534" s="253">
        <v>3</v>
      </c>
      <c r="M1534" s="254">
        <f t="shared" si="48"/>
        <v>1.1181151966036349</v>
      </c>
      <c r="N1534" s="255"/>
    </row>
    <row r="1535" spans="1:14" hidden="1" x14ac:dyDescent="0.2">
      <c r="A1535" s="246" t="s">
        <v>382</v>
      </c>
      <c r="B1535" s="459" t="s">
        <v>463</v>
      </c>
      <c r="C1535" s="247" t="s">
        <v>36</v>
      </c>
      <c r="D1535" s="248" t="s">
        <v>135</v>
      </c>
      <c r="E1535" s="249">
        <v>1.4482051282051281E-3</v>
      </c>
      <c r="F1535" s="250" t="s">
        <v>133</v>
      </c>
      <c r="G1535" s="251" t="s">
        <v>16</v>
      </c>
      <c r="H1535" s="252">
        <v>1</v>
      </c>
      <c r="I1535" s="252">
        <v>1</v>
      </c>
      <c r="J1535" s="252">
        <v>3</v>
      </c>
      <c r="K1535" s="252">
        <v>3</v>
      </c>
      <c r="L1535" s="253">
        <v>3</v>
      </c>
      <c r="M1535" s="254">
        <f t="shared" si="48"/>
        <v>1.1181151966036349</v>
      </c>
      <c r="N1535" s="255"/>
    </row>
    <row r="1536" spans="1:14" hidden="1" x14ac:dyDescent="0.2">
      <c r="A1536" s="246" t="s">
        <v>382</v>
      </c>
      <c r="B1536" s="459" t="s">
        <v>463</v>
      </c>
      <c r="C1536" s="247" t="s">
        <v>37</v>
      </c>
      <c r="D1536" s="248" t="s">
        <v>135</v>
      </c>
      <c r="E1536" s="249">
        <v>6.0483967935871753E-3</v>
      </c>
      <c r="F1536" s="250" t="s">
        <v>133</v>
      </c>
      <c r="G1536" s="251" t="s">
        <v>16</v>
      </c>
      <c r="H1536" s="252">
        <v>1</v>
      </c>
      <c r="I1536" s="252">
        <v>1</v>
      </c>
      <c r="J1536" s="252">
        <v>3</v>
      </c>
      <c r="K1536" s="252">
        <v>3</v>
      </c>
      <c r="L1536" s="253">
        <v>3</v>
      </c>
      <c r="M1536" s="254">
        <f t="shared" si="48"/>
        <v>1.1181151966036349</v>
      </c>
      <c r="N1536" s="255"/>
    </row>
    <row r="1537" spans="1:14" hidden="1" x14ac:dyDescent="0.2">
      <c r="A1537" s="246" t="s">
        <v>382</v>
      </c>
      <c r="B1537" s="459" t="s">
        <v>463</v>
      </c>
      <c r="C1537" s="247" t="s">
        <v>39</v>
      </c>
      <c r="D1537" s="248" t="s">
        <v>135</v>
      </c>
      <c r="E1537" s="249">
        <v>2.9662407862407862E-3</v>
      </c>
      <c r="F1537" s="250" t="s">
        <v>133</v>
      </c>
      <c r="G1537" s="251" t="s">
        <v>16</v>
      </c>
      <c r="H1537" s="252">
        <v>1</v>
      </c>
      <c r="I1537" s="252">
        <v>1</v>
      </c>
      <c r="J1537" s="252">
        <v>3</v>
      </c>
      <c r="K1537" s="252">
        <v>3</v>
      </c>
      <c r="L1537" s="253">
        <v>3</v>
      </c>
      <c r="M1537" s="254">
        <f t="shared" si="48"/>
        <v>1.1181151966036349</v>
      </c>
      <c r="N1537" s="255"/>
    </row>
    <row r="1538" spans="1:14" hidden="1" x14ac:dyDescent="0.2">
      <c r="A1538" s="246" t="s">
        <v>382</v>
      </c>
      <c r="B1538" s="459" t="s">
        <v>463</v>
      </c>
      <c r="C1538" s="247" t="s">
        <v>40</v>
      </c>
      <c r="D1538" s="248" t="s">
        <v>135</v>
      </c>
      <c r="E1538" s="249">
        <v>9.5857758620689656E-4</v>
      </c>
      <c r="F1538" s="250" t="s">
        <v>133</v>
      </c>
      <c r="G1538" s="251" t="s">
        <v>16</v>
      </c>
      <c r="H1538" s="252">
        <v>1</v>
      </c>
      <c r="I1538" s="252">
        <v>1</v>
      </c>
      <c r="J1538" s="252">
        <v>3</v>
      </c>
      <c r="K1538" s="252">
        <v>3</v>
      </c>
      <c r="L1538" s="253">
        <v>3</v>
      </c>
      <c r="M1538" s="254">
        <f t="shared" si="48"/>
        <v>1.1181151966036349</v>
      </c>
      <c r="N1538" s="255"/>
    </row>
    <row r="1539" spans="1:14" hidden="1" x14ac:dyDescent="0.2">
      <c r="A1539" s="246" t="s">
        <v>382</v>
      </c>
      <c r="B1539" s="459" t="s">
        <v>463</v>
      </c>
      <c r="C1539" s="247" t="s">
        <v>41</v>
      </c>
      <c r="D1539" s="248" t="s">
        <v>135</v>
      </c>
      <c r="E1539" s="249">
        <v>4.352054794520548E-4</v>
      </c>
      <c r="F1539" s="250" t="s">
        <v>133</v>
      </c>
      <c r="G1539" s="251" t="s">
        <v>16</v>
      </c>
      <c r="H1539" s="252">
        <v>1</v>
      </c>
      <c r="I1539" s="252">
        <v>1</v>
      </c>
      <c r="J1539" s="252">
        <v>3</v>
      </c>
      <c r="K1539" s="252">
        <v>3</v>
      </c>
      <c r="L1539" s="253">
        <v>3</v>
      </c>
      <c r="M1539" s="254">
        <f t="shared" si="48"/>
        <v>1.1181151966036349</v>
      </c>
      <c r="N1539" s="255"/>
    </row>
    <row r="1540" spans="1:14" hidden="1" x14ac:dyDescent="0.2">
      <c r="A1540" s="246" t="s">
        <v>382</v>
      </c>
      <c r="B1540" s="459" t="s">
        <v>463</v>
      </c>
      <c r="C1540" s="247" t="s">
        <v>42</v>
      </c>
      <c r="D1540" s="248" t="s">
        <v>135</v>
      </c>
      <c r="E1540" s="249">
        <v>2.1274553571428568E-3</v>
      </c>
      <c r="F1540" s="250" t="s">
        <v>133</v>
      </c>
      <c r="G1540" s="251" t="s">
        <v>16</v>
      </c>
      <c r="H1540" s="252">
        <v>1</v>
      </c>
      <c r="I1540" s="252">
        <v>1</v>
      </c>
      <c r="J1540" s="252">
        <v>3</v>
      </c>
      <c r="K1540" s="252">
        <v>3</v>
      </c>
      <c r="L1540" s="253">
        <v>3</v>
      </c>
      <c r="M1540" s="254">
        <f t="shared" si="48"/>
        <v>1.1181151966036349</v>
      </c>
      <c r="N1540" s="255"/>
    </row>
    <row r="1541" spans="1:14" hidden="1" x14ac:dyDescent="0.2">
      <c r="A1541" s="246" t="s">
        <v>382</v>
      </c>
      <c r="B1541" s="459" t="s">
        <v>463</v>
      </c>
      <c r="C1541" s="247" t="s">
        <v>43</v>
      </c>
      <c r="D1541" s="248" t="s">
        <v>135</v>
      </c>
      <c r="E1541" s="249">
        <v>4.9737769080234839E-4</v>
      </c>
      <c r="F1541" s="250" t="s">
        <v>133</v>
      </c>
      <c r="G1541" s="251" t="s">
        <v>16</v>
      </c>
      <c r="H1541" s="252">
        <v>1</v>
      </c>
      <c r="I1541" s="252">
        <v>1</v>
      </c>
      <c r="J1541" s="252">
        <v>3</v>
      </c>
      <c r="K1541" s="252">
        <v>3</v>
      </c>
      <c r="L1541" s="253">
        <v>3</v>
      </c>
      <c r="M1541" s="254">
        <f t="shared" si="48"/>
        <v>1.1181151966036349</v>
      </c>
      <c r="N1541" s="255"/>
    </row>
    <row r="1542" spans="1:14" x14ac:dyDescent="0.2">
      <c r="A1542" s="246" t="s">
        <v>382</v>
      </c>
      <c r="B1542" s="459" t="s">
        <v>463</v>
      </c>
      <c r="C1542" s="247" t="s">
        <v>45</v>
      </c>
      <c r="D1542" s="248" t="s">
        <v>135</v>
      </c>
      <c r="E1542" s="249">
        <v>6.8784844384303125E-4</v>
      </c>
      <c r="F1542" s="250" t="s">
        <v>133</v>
      </c>
      <c r="G1542" s="251" t="s">
        <v>16</v>
      </c>
      <c r="H1542" s="252">
        <v>1</v>
      </c>
      <c r="I1542" s="252">
        <v>1</v>
      </c>
      <c r="J1542" s="252">
        <v>3</v>
      </c>
      <c r="K1542" s="252">
        <v>3</v>
      </c>
      <c r="L1542" s="253">
        <v>3</v>
      </c>
      <c r="M1542" s="254">
        <f t="shared" si="48"/>
        <v>1.1181151966036349</v>
      </c>
      <c r="N1542" s="255"/>
    </row>
    <row r="1543" spans="1:14" hidden="1" x14ac:dyDescent="0.2">
      <c r="A1543" s="246" t="s">
        <v>382</v>
      </c>
      <c r="B1543" s="459" t="s">
        <v>463</v>
      </c>
      <c r="C1543" s="247" t="s">
        <v>46</v>
      </c>
      <c r="D1543" s="248" t="s">
        <v>135</v>
      </c>
      <c r="E1543" s="249">
        <v>1.2553495440729479E-3</v>
      </c>
      <c r="F1543" s="250" t="s">
        <v>133</v>
      </c>
      <c r="G1543" s="251" t="s">
        <v>16</v>
      </c>
      <c r="H1543" s="252">
        <v>1</v>
      </c>
      <c r="I1543" s="252">
        <v>1</v>
      </c>
      <c r="J1543" s="252">
        <v>3</v>
      </c>
      <c r="K1543" s="252">
        <v>3</v>
      </c>
      <c r="L1543" s="253">
        <v>3</v>
      </c>
      <c r="M1543" s="254">
        <f t="shared" si="48"/>
        <v>1.1181151966036349</v>
      </c>
      <c r="N1543" s="255"/>
    </row>
    <row r="1544" spans="1:14" hidden="1" x14ac:dyDescent="0.2">
      <c r="A1544" s="246" t="s">
        <v>382</v>
      </c>
      <c r="B1544" s="459" t="s">
        <v>463</v>
      </c>
      <c r="C1544" s="247" t="s">
        <v>48</v>
      </c>
      <c r="D1544" s="248" t="s">
        <v>135</v>
      </c>
      <c r="E1544" s="249">
        <v>9.3994082840236678E-4</v>
      </c>
      <c r="F1544" s="250" t="s">
        <v>133</v>
      </c>
      <c r="G1544" s="251" t="s">
        <v>16</v>
      </c>
      <c r="H1544" s="252">
        <v>1</v>
      </c>
      <c r="I1544" s="252">
        <v>1</v>
      </c>
      <c r="J1544" s="252">
        <v>3</v>
      </c>
      <c r="K1544" s="252">
        <v>3</v>
      </c>
      <c r="L1544" s="253">
        <v>3</v>
      </c>
      <c r="M1544" s="254">
        <f>IF( OR( ISBLANK(H1544),ISBLANK(I1544), ISBLANK(J1544), ISBLANK(K1544), ISBLANK(L1544) ), "", 1.5*SQRT(   EXP(2.21*(H1544-1)) + EXP(2.21*(I1544-1)) + EXP(2.21*(J1544-1)) + EXP(2.21*(K1544-1)) + EXP(2.21*L1544)   )/100*2.45 )</f>
        <v>1.1181151966036349</v>
      </c>
      <c r="N1544" s="255"/>
    </row>
    <row r="1545" spans="1:14" hidden="1" x14ac:dyDescent="0.2">
      <c r="A1545" s="246" t="s">
        <v>382</v>
      </c>
      <c r="B1545" s="459" t="s">
        <v>463</v>
      </c>
      <c r="C1545" s="247" t="s">
        <v>50</v>
      </c>
      <c r="D1545" s="248" t="s">
        <v>135</v>
      </c>
      <c r="E1545" s="249">
        <v>5.72327205882353E-3</v>
      </c>
      <c r="F1545" s="250" t="s">
        <v>133</v>
      </c>
      <c r="G1545" s="251" t="s">
        <v>16</v>
      </c>
      <c r="H1545" s="252">
        <v>1</v>
      </c>
      <c r="I1545" s="252">
        <v>1</v>
      </c>
      <c r="J1545" s="252">
        <v>3</v>
      </c>
      <c r="K1545" s="252">
        <v>3</v>
      </c>
      <c r="L1545" s="253">
        <v>3</v>
      </c>
      <c r="M1545" s="254">
        <f t="shared" ref="M1545:M1576" si="49">IF( OR( ISBLANK(H1545),ISBLANK(I1545), ISBLANK(J1545), ISBLANK(K1545), ISBLANK(L1545) ), "", 1.5*SQRT( EXP(2.21*(H1545-1)) + EXP(2.21*(I1545-1)) + EXP(2.21*(J1545-1)) + EXP(2.21*(K1545-1)) + EXP(2.21*L1545) )/100*2.45 )</f>
        <v>1.1181151966036349</v>
      </c>
      <c r="N1545" s="255"/>
    </row>
    <row r="1546" spans="1:14" hidden="1" x14ac:dyDescent="0.2">
      <c r="A1546" s="246" t="s">
        <v>382</v>
      </c>
      <c r="B1546" s="459" t="s">
        <v>463</v>
      </c>
      <c r="C1546" s="247" t="s">
        <v>52</v>
      </c>
      <c r="D1546" s="248" t="s">
        <v>135</v>
      </c>
      <c r="E1546" s="249">
        <v>9.2086956521739128E-4</v>
      </c>
      <c r="F1546" s="250" t="s">
        <v>133</v>
      </c>
      <c r="G1546" s="251" t="s">
        <v>16</v>
      </c>
      <c r="H1546" s="252">
        <v>1</v>
      </c>
      <c r="I1546" s="252">
        <v>1</v>
      </c>
      <c r="J1546" s="252">
        <v>3</v>
      </c>
      <c r="K1546" s="252">
        <v>3</v>
      </c>
      <c r="L1546" s="253">
        <v>3</v>
      </c>
      <c r="M1546" s="254">
        <f t="shared" si="49"/>
        <v>1.1181151966036349</v>
      </c>
      <c r="N1546" s="255"/>
    </row>
    <row r="1547" spans="1:14" hidden="1" x14ac:dyDescent="0.2">
      <c r="A1547" s="246" t="s">
        <v>382</v>
      </c>
      <c r="B1547" s="459" t="s">
        <v>463</v>
      </c>
      <c r="C1547" s="247" t="s">
        <v>54</v>
      </c>
      <c r="D1547" s="248" t="s">
        <v>135</v>
      </c>
      <c r="E1547" s="249">
        <v>5.8833333333333329E-4</v>
      </c>
      <c r="F1547" s="250" t="s">
        <v>133</v>
      </c>
      <c r="G1547" s="251" t="s">
        <v>16</v>
      </c>
      <c r="H1547" s="252">
        <v>1</v>
      </c>
      <c r="I1547" s="252">
        <v>1</v>
      </c>
      <c r="J1547" s="252">
        <v>3</v>
      </c>
      <c r="K1547" s="252">
        <v>3</v>
      </c>
      <c r="L1547" s="253">
        <v>3</v>
      </c>
      <c r="M1547" s="254">
        <f t="shared" si="49"/>
        <v>1.1181151966036349</v>
      </c>
      <c r="N1547" s="255"/>
    </row>
    <row r="1548" spans="1:14" hidden="1" x14ac:dyDescent="0.2">
      <c r="A1548" s="246" t="s">
        <v>382</v>
      </c>
      <c r="B1548" s="459" t="s">
        <v>463</v>
      </c>
      <c r="C1548" s="247" t="s">
        <v>55</v>
      </c>
      <c r="D1548" s="248" t="s">
        <v>135</v>
      </c>
      <c r="E1548" s="249">
        <v>1.2708000000000001E-3</v>
      </c>
      <c r="F1548" s="250" t="s">
        <v>133</v>
      </c>
      <c r="G1548" s="251" t="s">
        <v>16</v>
      </c>
      <c r="H1548" s="252">
        <v>1</v>
      </c>
      <c r="I1548" s="252">
        <v>1</v>
      </c>
      <c r="J1548" s="252">
        <v>3</v>
      </c>
      <c r="K1548" s="252">
        <v>3</v>
      </c>
      <c r="L1548" s="253">
        <v>3</v>
      </c>
      <c r="M1548" s="254">
        <f t="shared" si="49"/>
        <v>1.1181151966036349</v>
      </c>
      <c r="N1548" s="255"/>
    </row>
    <row r="1549" spans="1:14" hidden="1" x14ac:dyDescent="0.2">
      <c r="A1549" s="246" t="s">
        <v>382</v>
      </c>
      <c r="B1549" s="459" t="s">
        <v>463</v>
      </c>
      <c r="C1549" s="247" t="s">
        <v>57</v>
      </c>
      <c r="D1549" s="248" t="s">
        <v>135</v>
      </c>
      <c r="E1549" s="249">
        <v>5.8562211981566818E-4</v>
      </c>
      <c r="F1549" s="250" t="s">
        <v>133</v>
      </c>
      <c r="G1549" s="251" t="s">
        <v>16</v>
      </c>
      <c r="H1549" s="252">
        <v>1</v>
      </c>
      <c r="I1549" s="252">
        <v>1</v>
      </c>
      <c r="J1549" s="252">
        <v>3</v>
      </c>
      <c r="K1549" s="252">
        <v>3</v>
      </c>
      <c r="L1549" s="253">
        <v>3</v>
      </c>
      <c r="M1549" s="254">
        <f t="shared" si="49"/>
        <v>1.1181151966036349</v>
      </c>
      <c r="N1549" s="255"/>
    </row>
    <row r="1550" spans="1:14" hidden="1" x14ac:dyDescent="0.2">
      <c r="A1550" s="246" t="s">
        <v>382</v>
      </c>
      <c r="B1550" s="459" t="s">
        <v>463</v>
      </c>
      <c r="C1550" s="247" t="s">
        <v>59</v>
      </c>
      <c r="D1550" s="248" t="s">
        <v>135</v>
      </c>
      <c r="E1550" s="249">
        <v>2.7E-4</v>
      </c>
      <c r="F1550" s="250" t="s">
        <v>133</v>
      </c>
      <c r="G1550" s="251" t="s">
        <v>16</v>
      </c>
      <c r="H1550" s="252">
        <v>1</v>
      </c>
      <c r="I1550" s="252">
        <v>1</v>
      </c>
      <c r="J1550" s="252">
        <v>3</v>
      </c>
      <c r="K1550" s="252">
        <v>3</v>
      </c>
      <c r="L1550" s="253">
        <v>3</v>
      </c>
      <c r="M1550" s="254">
        <f t="shared" si="49"/>
        <v>1.1181151966036349</v>
      </c>
      <c r="N1550" s="255"/>
    </row>
    <row r="1551" spans="1:14" hidden="1" x14ac:dyDescent="0.2">
      <c r="A1551" s="464" t="s">
        <v>382</v>
      </c>
      <c r="B1551" s="513" t="s">
        <v>463</v>
      </c>
      <c r="C1551" s="287" t="s">
        <v>60</v>
      </c>
      <c r="D1551" s="441" t="s">
        <v>135</v>
      </c>
      <c r="E1551" s="288">
        <v>1.23511879049676E-3</v>
      </c>
      <c r="F1551" s="289" t="s">
        <v>133</v>
      </c>
      <c r="G1551" s="290" t="s">
        <v>16</v>
      </c>
      <c r="H1551" s="291">
        <v>1</v>
      </c>
      <c r="I1551" s="291">
        <v>1</v>
      </c>
      <c r="J1551" s="291">
        <v>3</v>
      </c>
      <c r="K1551" s="291">
        <v>3</v>
      </c>
      <c r="L1551" s="292">
        <v>3</v>
      </c>
      <c r="M1551" s="293">
        <f t="shared" si="49"/>
        <v>1.1181151966036349</v>
      </c>
      <c r="N1551" s="294"/>
    </row>
    <row r="1552" spans="1:14" hidden="1" x14ac:dyDescent="0.2">
      <c r="A1552" s="523" t="s">
        <v>369</v>
      </c>
      <c r="B1552" s="459" t="s">
        <v>463</v>
      </c>
      <c r="C1552" s="247" t="s">
        <v>13</v>
      </c>
      <c r="D1552" s="248" t="s">
        <v>135</v>
      </c>
      <c r="E1552" s="249">
        <v>4.9383419689119179E-4</v>
      </c>
      <c r="F1552" s="250" t="s">
        <v>133</v>
      </c>
      <c r="G1552" s="251" t="s">
        <v>16</v>
      </c>
      <c r="H1552" s="252">
        <v>1</v>
      </c>
      <c r="I1552" s="252">
        <v>1</v>
      </c>
      <c r="J1552" s="252">
        <v>3</v>
      </c>
      <c r="K1552" s="252">
        <v>3</v>
      </c>
      <c r="L1552" s="253">
        <v>3</v>
      </c>
      <c r="M1552" s="254">
        <f t="shared" si="49"/>
        <v>1.1181151966036349</v>
      </c>
      <c r="N1552" s="255"/>
    </row>
    <row r="1553" spans="1:14" hidden="1" x14ac:dyDescent="0.2">
      <c r="A1553" s="523" t="s">
        <v>369</v>
      </c>
      <c r="B1553" s="459" t="s">
        <v>463</v>
      </c>
      <c r="C1553" s="247" t="s">
        <v>18</v>
      </c>
      <c r="D1553" s="248" t="s">
        <v>135</v>
      </c>
      <c r="E1553" s="249">
        <v>6.2141809290953553E-4</v>
      </c>
      <c r="F1553" s="250" t="s">
        <v>133</v>
      </c>
      <c r="G1553" s="251" t="s">
        <v>16</v>
      </c>
      <c r="H1553" s="252">
        <v>1</v>
      </c>
      <c r="I1553" s="252">
        <v>1</v>
      </c>
      <c r="J1553" s="252">
        <v>3</v>
      </c>
      <c r="K1553" s="252">
        <v>3</v>
      </c>
      <c r="L1553" s="253">
        <v>3</v>
      </c>
      <c r="M1553" s="254">
        <f t="shared" si="49"/>
        <v>1.1181151966036349</v>
      </c>
      <c r="N1553" s="255"/>
    </row>
    <row r="1554" spans="1:14" hidden="1" x14ac:dyDescent="0.2">
      <c r="A1554" s="523" t="s">
        <v>369</v>
      </c>
      <c r="B1554" s="459" t="s">
        <v>463</v>
      </c>
      <c r="C1554" s="247" t="s">
        <v>20</v>
      </c>
      <c r="D1554" s="248" t="s">
        <v>135</v>
      </c>
      <c r="E1554" s="249">
        <v>1.717297297297297E-3</v>
      </c>
      <c r="F1554" s="250" t="s">
        <v>133</v>
      </c>
      <c r="G1554" s="251" t="s">
        <v>16</v>
      </c>
      <c r="H1554" s="252">
        <v>1</v>
      </c>
      <c r="I1554" s="252">
        <v>1</v>
      </c>
      <c r="J1554" s="252">
        <v>3</v>
      </c>
      <c r="K1554" s="252">
        <v>3</v>
      </c>
      <c r="L1554" s="253">
        <v>3</v>
      </c>
      <c r="M1554" s="254">
        <f t="shared" si="49"/>
        <v>1.1181151966036349</v>
      </c>
      <c r="N1554" s="255"/>
    </row>
    <row r="1555" spans="1:14" hidden="1" x14ac:dyDescent="0.2">
      <c r="A1555" s="523" t="s">
        <v>369</v>
      </c>
      <c r="B1555" s="459" t="s">
        <v>463</v>
      </c>
      <c r="C1555" s="247" t="s">
        <v>22</v>
      </c>
      <c r="D1555" s="248" t="s">
        <v>135</v>
      </c>
      <c r="E1555" s="249">
        <v>1.397291666666666E-3</v>
      </c>
      <c r="F1555" s="250" t="s">
        <v>133</v>
      </c>
      <c r="G1555" s="251" t="s">
        <v>16</v>
      </c>
      <c r="H1555" s="252">
        <v>1</v>
      </c>
      <c r="I1555" s="252">
        <v>1</v>
      </c>
      <c r="J1555" s="252">
        <v>3</v>
      </c>
      <c r="K1555" s="252">
        <v>3</v>
      </c>
      <c r="L1555" s="253">
        <v>3</v>
      </c>
      <c r="M1555" s="254">
        <f t="shared" si="49"/>
        <v>1.1181151966036349</v>
      </c>
      <c r="N1555" s="255"/>
    </row>
    <row r="1556" spans="1:14" hidden="1" x14ac:dyDescent="0.2">
      <c r="A1556" s="523" t="s">
        <v>369</v>
      </c>
      <c r="B1556" s="459" t="s">
        <v>463</v>
      </c>
      <c r="C1556" s="247" t="s">
        <v>23</v>
      </c>
      <c r="D1556" s="248" t="s">
        <v>135</v>
      </c>
      <c r="E1556" s="249">
        <v>1.868823529411765E-3</v>
      </c>
      <c r="F1556" s="250" t="s">
        <v>133</v>
      </c>
      <c r="G1556" s="251" t="s">
        <v>16</v>
      </c>
      <c r="H1556" s="252">
        <v>1</v>
      </c>
      <c r="I1556" s="252">
        <v>1</v>
      </c>
      <c r="J1556" s="252">
        <v>3</v>
      </c>
      <c r="K1556" s="252">
        <v>3</v>
      </c>
      <c r="L1556" s="253">
        <v>3</v>
      </c>
      <c r="M1556" s="254">
        <f t="shared" si="49"/>
        <v>1.1181151966036349</v>
      </c>
      <c r="N1556" s="255"/>
    </row>
    <row r="1557" spans="1:14" hidden="1" x14ac:dyDescent="0.2">
      <c r="A1557" s="523" t="s">
        <v>369</v>
      </c>
      <c r="B1557" s="459" t="s">
        <v>463</v>
      </c>
      <c r="C1557" s="247" t="s">
        <v>24</v>
      </c>
      <c r="D1557" s="248" t="s">
        <v>135</v>
      </c>
      <c r="E1557" s="249">
        <v>8.3605263157894745E-4</v>
      </c>
      <c r="F1557" s="250" t="s">
        <v>133</v>
      </c>
      <c r="G1557" s="251" t="s">
        <v>16</v>
      </c>
      <c r="H1557" s="252">
        <v>1</v>
      </c>
      <c r="I1557" s="252">
        <v>1</v>
      </c>
      <c r="J1557" s="252">
        <v>3</v>
      </c>
      <c r="K1557" s="252">
        <v>3</v>
      </c>
      <c r="L1557" s="253">
        <v>3</v>
      </c>
      <c r="M1557" s="254">
        <f t="shared" si="49"/>
        <v>1.1181151966036349</v>
      </c>
      <c r="N1557" s="255"/>
    </row>
    <row r="1558" spans="1:14" hidden="1" x14ac:dyDescent="0.2">
      <c r="A1558" s="523" t="s">
        <v>369</v>
      </c>
      <c r="B1558" s="459" t="s">
        <v>463</v>
      </c>
      <c r="C1558" s="247" t="s">
        <v>25</v>
      </c>
      <c r="D1558" s="248" t="s">
        <v>135</v>
      </c>
      <c r="E1558" s="249">
        <v>4.2932432432432442E-4</v>
      </c>
      <c r="F1558" s="250" t="s">
        <v>133</v>
      </c>
      <c r="G1558" s="251" t="s">
        <v>16</v>
      </c>
      <c r="H1558" s="252">
        <v>1</v>
      </c>
      <c r="I1558" s="252">
        <v>1</v>
      </c>
      <c r="J1558" s="252">
        <v>3</v>
      </c>
      <c r="K1558" s="252">
        <v>3</v>
      </c>
      <c r="L1558" s="253">
        <v>3</v>
      </c>
      <c r="M1558" s="254">
        <f t="shared" si="49"/>
        <v>1.1181151966036349</v>
      </c>
      <c r="N1558" s="255"/>
    </row>
    <row r="1559" spans="1:14" hidden="1" x14ac:dyDescent="0.2">
      <c r="A1559" s="523" t="s">
        <v>369</v>
      </c>
      <c r="B1559" s="459" t="s">
        <v>463</v>
      </c>
      <c r="C1559" s="247" t="s">
        <v>26</v>
      </c>
      <c r="D1559" s="248" t="s">
        <v>135</v>
      </c>
      <c r="E1559" s="249">
        <v>2.9808888888888888E-3</v>
      </c>
      <c r="F1559" s="250" t="s">
        <v>133</v>
      </c>
      <c r="G1559" s="251" t="s">
        <v>16</v>
      </c>
      <c r="H1559" s="252">
        <v>1</v>
      </c>
      <c r="I1559" s="252">
        <v>1</v>
      </c>
      <c r="J1559" s="252">
        <v>3</v>
      </c>
      <c r="K1559" s="252">
        <v>3</v>
      </c>
      <c r="L1559" s="253">
        <v>3</v>
      </c>
      <c r="M1559" s="254">
        <f t="shared" si="49"/>
        <v>1.1181151966036349</v>
      </c>
      <c r="N1559" s="255"/>
    </row>
    <row r="1560" spans="1:14" hidden="1" x14ac:dyDescent="0.2">
      <c r="A1560" s="523" t="s">
        <v>369</v>
      </c>
      <c r="B1560" s="459" t="s">
        <v>463</v>
      </c>
      <c r="C1560" s="247" t="s">
        <v>27</v>
      </c>
      <c r="D1560" s="248" t="s">
        <v>135</v>
      </c>
      <c r="E1560" s="249">
        <v>3.4595281306715062E-4</v>
      </c>
      <c r="F1560" s="250" t="s">
        <v>133</v>
      </c>
      <c r="G1560" s="251" t="s">
        <v>16</v>
      </c>
      <c r="H1560" s="252">
        <v>1</v>
      </c>
      <c r="I1560" s="252">
        <v>1</v>
      </c>
      <c r="J1560" s="252">
        <v>3</v>
      </c>
      <c r="K1560" s="252">
        <v>3</v>
      </c>
      <c r="L1560" s="253">
        <v>3</v>
      </c>
      <c r="M1560" s="254">
        <f t="shared" si="49"/>
        <v>1.1181151966036349</v>
      </c>
      <c r="N1560" s="255"/>
    </row>
    <row r="1561" spans="1:14" hidden="1" x14ac:dyDescent="0.2">
      <c r="A1561" s="523" t="s">
        <v>369</v>
      </c>
      <c r="B1561" s="459" t="s">
        <v>463</v>
      </c>
      <c r="C1561" s="247" t="s">
        <v>28</v>
      </c>
      <c r="D1561" s="248" t="s">
        <v>135</v>
      </c>
      <c r="E1561" s="249">
        <v>7.4149012567324962E-4</v>
      </c>
      <c r="F1561" s="250" t="s">
        <v>133</v>
      </c>
      <c r="G1561" s="251" t="s">
        <v>16</v>
      </c>
      <c r="H1561" s="252">
        <v>1</v>
      </c>
      <c r="I1561" s="252">
        <v>1</v>
      </c>
      <c r="J1561" s="252">
        <v>3</v>
      </c>
      <c r="K1561" s="252">
        <v>3</v>
      </c>
      <c r="L1561" s="253">
        <v>3</v>
      </c>
      <c r="M1561" s="254">
        <f t="shared" si="49"/>
        <v>1.1181151966036349</v>
      </c>
      <c r="N1561" s="255"/>
    </row>
    <row r="1562" spans="1:14" hidden="1" x14ac:dyDescent="0.2">
      <c r="A1562" s="523" t="s">
        <v>369</v>
      </c>
      <c r="B1562" s="459" t="s">
        <v>463</v>
      </c>
      <c r="C1562" s="247" t="s">
        <v>30</v>
      </c>
      <c r="D1562" s="248" t="s">
        <v>135</v>
      </c>
      <c r="E1562" s="249">
        <v>5.242574257425742E-4</v>
      </c>
      <c r="F1562" s="250" t="s">
        <v>133</v>
      </c>
      <c r="G1562" s="251" t="s">
        <v>16</v>
      </c>
      <c r="H1562" s="252">
        <v>1</v>
      </c>
      <c r="I1562" s="252">
        <v>1</v>
      </c>
      <c r="J1562" s="252">
        <v>3</v>
      </c>
      <c r="K1562" s="252">
        <v>3</v>
      </c>
      <c r="L1562" s="253">
        <v>3</v>
      </c>
      <c r="M1562" s="254">
        <f t="shared" si="49"/>
        <v>1.1181151966036349</v>
      </c>
      <c r="N1562" s="255"/>
    </row>
    <row r="1563" spans="1:14" hidden="1" x14ac:dyDescent="0.2">
      <c r="A1563" s="523" t="s">
        <v>369</v>
      </c>
      <c r="B1563" s="459" t="s">
        <v>463</v>
      </c>
      <c r="C1563" s="247" t="s">
        <v>32</v>
      </c>
      <c r="D1563" s="248" t="s">
        <v>135</v>
      </c>
      <c r="E1563" s="249">
        <v>1.23378640776699E-3</v>
      </c>
      <c r="F1563" s="250" t="s">
        <v>133</v>
      </c>
      <c r="G1563" s="251" t="s">
        <v>16</v>
      </c>
      <c r="H1563" s="252">
        <v>1</v>
      </c>
      <c r="I1563" s="252">
        <v>1</v>
      </c>
      <c r="J1563" s="252">
        <v>3</v>
      </c>
      <c r="K1563" s="252">
        <v>3</v>
      </c>
      <c r="L1563" s="253">
        <v>3</v>
      </c>
      <c r="M1563" s="254">
        <f t="shared" si="49"/>
        <v>1.1181151966036349</v>
      </c>
      <c r="N1563" s="255"/>
    </row>
    <row r="1564" spans="1:14" hidden="1" x14ac:dyDescent="0.2">
      <c r="A1564" s="523" t="s">
        <v>369</v>
      </c>
      <c r="B1564" s="459" t="s">
        <v>463</v>
      </c>
      <c r="C1564" s="247" t="s">
        <v>34</v>
      </c>
      <c r="D1564" s="248" t="s">
        <v>135</v>
      </c>
      <c r="E1564" s="249">
        <v>1.5009448818897641E-3</v>
      </c>
      <c r="F1564" s="250" t="s">
        <v>133</v>
      </c>
      <c r="G1564" s="251" t="s">
        <v>16</v>
      </c>
      <c r="H1564" s="252">
        <v>1</v>
      </c>
      <c r="I1564" s="252">
        <v>1</v>
      </c>
      <c r="J1564" s="252">
        <v>3</v>
      </c>
      <c r="K1564" s="252">
        <v>3</v>
      </c>
      <c r="L1564" s="253">
        <v>3</v>
      </c>
      <c r="M1564" s="254">
        <f t="shared" si="49"/>
        <v>1.1181151966036349</v>
      </c>
      <c r="N1564" s="255"/>
    </row>
    <row r="1565" spans="1:14" hidden="1" x14ac:dyDescent="0.2">
      <c r="A1565" s="523" t="s">
        <v>369</v>
      </c>
      <c r="B1565" s="459" t="s">
        <v>463</v>
      </c>
      <c r="C1565" s="247" t="s">
        <v>36</v>
      </c>
      <c r="D1565" s="248" t="s">
        <v>135</v>
      </c>
      <c r="E1565" s="249">
        <v>1.4482051282051281E-3</v>
      </c>
      <c r="F1565" s="250" t="s">
        <v>133</v>
      </c>
      <c r="G1565" s="251" t="s">
        <v>16</v>
      </c>
      <c r="H1565" s="252">
        <v>1</v>
      </c>
      <c r="I1565" s="252">
        <v>1</v>
      </c>
      <c r="J1565" s="252">
        <v>3</v>
      </c>
      <c r="K1565" s="252">
        <v>3</v>
      </c>
      <c r="L1565" s="253">
        <v>3</v>
      </c>
      <c r="M1565" s="254">
        <f t="shared" si="49"/>
        <v>1.1181151966036349</v>
      </c>
      <c r="N1565" s="255"/>
    </row>
    <row r="1566" spans="1:14" hidden="1" x14ac:dyDescent="0.2">
      <c r="A1566" s="523" t="s">
        <v>369</v>
      </c>
      <c r="B1566" s="459" t="s">
        <v>463</v>
      </c>
      <c r="C1566" s="247" t="s">
        <v>37</v>
      </c>
      <c r="D1566" s="248" t="s">
        <v>135</v>
      </c>
      <c r="E1566" s="249">
        <v>6.0483967935871753E-3</v>
      </c>
      <c r="F1566" s="250" t="s">
        <v>133</v>
      </c>
      <c r="G1566" s="251" t="s">
        <v>16</v>
      </c>
      <c r="H1566" s="252">
        <v>1</v>
      </c>
      <c r="I1566" s="252">
        <v>1</v>
      </c>
      <c r="J1566" s="252">
        <v>3</v>
      </c>
      <c r="K1566" s="252">
        <v>3</v>
      </c>
      <c r="L1566" s="253">
        <v>3</v>
      </c>
      <c r="M1566" s="254">
        <f t="shared" si="49"/>
        <v>1.1181151966036349</v>
      </c>
      <c r="N1566" s="255"/>
    </row>
    <row r="1567" spans="1:14" hidden="1" x14ac:dyDescent="0.2">
      <c r="A1567" s="523" t="s">
        <v>369</v>
      </c>
      <c r="B1567" s="459" t="s">
        <v>463</v>
      </c>
      <c r="C1567" s="247" t="s">
        <v>39</v>
      </c>
      <c r="D1567" s="248" t="s">
        <v>135</v>
      </c>
      <c r="E1567" s="249">
        <v>2.9662407862407862E-3</v>
      </c>
      <c r="F1567" s="250" t="s">
        <v>133</v>
      </c>
      <c r="G1567" s="251" t="s">
        <v>16</v>
      </c>
      <c r="H1567" s="252">
        <v>1</v>
      </c>
      <c r="I1567" s="252">
        <v>1</v>
      </c>
      <c r="J1567" s="252">
        <v>3</v>
      </c>
      <c r="K1567" s="252">
        <v>3</v>
      </c>
      <c r="L1567" s="253">
        <v>3</v>
      </c>
      <c r="M1567" s="254">
        <f t="shared" si="49"/>
        <v>1.1181151966036349</v>
      </c>
      <c r="N1567" s="255"/>
    </row>
    <row r="1568" spans="1:14" hidden="1" x14ac:dyDescent="0.2">
      <c r="A1568" s="523" t="s">
        <v>369</v>
      </c>
      <c r="B1568" s="459" t="s">
        <v>463</v>
      </c>
      <c r="C1568" s="247" t="s">
        <v>40</v>
      </c>
      <c r="D1568" s="248" t="s">
        <v>135</v>
      </c>
      <c r="E1568" s="249">
        <v>9.5857758620689656E-4</v>
      </c>
      <c r="F1568" s="250" t="s">
        <v>133</v>
      </c>
      <c r="G1568" s="251" t="s">
        <v>16</v>
      </c>
      <c r="H1568" s="252">
        <v>1</v>
      </c>
      <c r="I1568" s="252">
        <v>1</v>
      </c>
      <c r="J1568" s="252">
        <v>3</v>
      </c>
      <c r="K1568" s="252">
        <v>3</v>
      </c>
      <c r="L1568" s="253">
        <v>3</v>
      </c>
      <c r="M1568" s="254">
        <f t="shared" si="49"/>
        <v>1.1181151966036349</v>
      </c>
      <c r="N1568" s="255"/>
    </row>
    <row r="1569" spans="1:14" hidden="1" x14ac:dyDescent="0.2">
      <c r="A1569" s="523" t="s">
        <v>369</v>
      </c>
      <c r="B1569" s="459" t="s">
        <v>463</v>
      </c>
      <c r="C1569" s="247" t="s">
        <v>41</v>
      </c>
      <c r="D1569" s="248" t="s">
        <v>135</v>
      </c>
      <c r="E1569" s="249">
        <v>4.352054794520548E-4</v>
      </c>
      <c r="F1569" s="250" t="s">
        <v>133</v>
      </c>
      <c r="G1569" s="251" t="s">
        <v>16</v>
      </c>
      <c r="H1569" s="252">
        <v>1</v>
      </c>
      <c r="I1569" s="252">
        <v>1</v>
      </c>
      <c r="J1569" s="252">
        <v>3</v>
      </c>
      <c r="K1569" s="252">
        <v>3</v>
      </c>
      <c r="L1569" s="253">
        <v>3</v>
      </c>
      <c r="M1569" s="254">
        <f t="shared" si="49"/>
        <v>1.1181151966036349</v>
      </c>
      <c r="N1569" s="255"/>
    </row>
    <row r="1570" spans="1:14" hidden="1" x14ac:dyDescent="0.2">
      <c r="A1570" s="523" t="s">
        <v>369</v>
      </c>
      <c r="B1570" s="459" t="s">
        <v>463</v>
      </c>
      <c r="C1570" s="247" t="s">
        <v>42</v>
      </c>
      <c r="D1570" s="248" t="s">
        <v>135</v>
      </c>
      <c r="E1570" s="249">
        <v>2.1274553571428568E-3</v>
      </c>
      <c r="F1570" s="250" t="s">
        <v>133</v>
      </c>
      <c r="G1570" s="251" t="s">
        <v>16</v>
      </c>
      <c r="H1570" s="252">
        <v>1</v>
      </c>
      <c r="I1570" s="252">
        <v>1</v>
      </c>
      <c r="J1570" s="252">
        <v>3</v>
      </c>
      <c r="K1570" s="252">
        <v>3</v>
      </c>
      <c r="L1570" s="253">
        <v>3</v>
      </c>
      <c r="M1570" s="254">
        <f t="shared" si="49"/>
        <v>1.1181151966036349</v>
      </c>
      <c r="N1570" s="255"/>
    </row>
    <row r="1571" spans="1:14" hidden="1" x14ac:dyDescent="0.2">
      <c r="A1571" s="523" t="s">
        <v>369</v>
      </c>
      <c r="B1571" s="459" t="s">
        <v>463</v>
      </c>
      <c r="C1571" s="247" t="s">
        <v>43</v>
      </c>
      <c r="D1571" s="248" t="s">
        <v>135</v>
      </c>
      <c r="E1571" s="249">
        <v>4.9737769080234839E-4</v>
      </c>
      <c r="F1571" s="250" t="s">
        <v>133</v>
      </c>
      <c r="G1571" s="251" t="s">
        <v>16</v>
      </c>
      <c r="H1571" s="252">
        <v>1</v>
      </c>
      <c r="I1571" s="252">
        <v>1</v>
      </c>
      <c r="J1571" s="252">
        <v>3</v>
      </c>
      <c r="K1571" s="252">
        <v>3</v>
      </c>
      <c r="L1571" s="253">
        <v>3</v>
      </c>
      <c r="M1571" s="254">
        <f t="shared" si="49"/>
        <v>1.1181151966036349</v>
      </c>
      <c r="N1571" s="255"/>
    </row>
    <row r="1572" spans="1:14" x14ac:dyDescent="0.2">
      <c r="A1572" s="523" t="s">
        <v>369</v>
      </c>
      <c r="B1572" s="459" t="s">
        <v>463</v>
      </c>
      <c r="C1572" s="247" t="s">
        <v>45</v>
      </c>
      <c r="D1572" s="248" t="s">
        <v>135</v>
      </c>
      <c r="E1572" s="249">
        <v>6.8784844384303125E-4</v>
      </c>
      <c r="F1572" s="250" t="s">
        <v>133</v>
      </c>
      <c r="G1572" s="251" t="s">
        <v>16</v>
      </c>
      <c r="H1572" s="252">
        <v>1</v>
      </c>
      <c r="I1572" s="252">
        <v>1</v>
      </c>
      <c r="J1572" s="252">
        <v>3</v>
      </c>
      <c r="K1572" s="252">
        <v>3</v>
      </c>
      <c r="L1572" s="253">
        <v>3</v>
      </c>
      <c r="M1572" s="254">
        <f t="shared" si="49"/>
        <v>1.1181151966036349</v>
      </c>
      <c r="N1572" s="255"/>
    </row>
    <row r="1573" spans="1:14" hidden="1" x14ac:dyDescent="0.2">
      <c r="A1573" s="523" t="s">
        <v>369</v>
      </c>
      <c r="B1573" s="459" t="s">
        <v>463</v>
      </c>
      <c r="C1573" s="247" t="s">
        <v>46</v>
      </c>
      <c r="D1573" s="248" t="s">
        <v>135</v>
      </c>
      <c r="E1573" s="249">
        <v>1.2553495440729479E-3</v>
      </c>
      <c r="F1573" s="250" t="s">
        <v>133</v>
      </c>
      <c r="G1573" s="251" t="s">
        <v>16</v>
      </c>
      <c r="H1573" s="252">
        <v>1</v>
      </c>
      <c r="I1573" s="252">
        <v>1</v>
      </c>
      <c r="J1573" s="252">
        <v>3</v>
      </c>
      <c r="K1573" s="252">
        <v>3</v>
      </c>
      <c r="L1573" s="253">
        <v>3</v>
      </c>
      <c r="M1573" s="254">
        <f t="shared" si="49"/>
        <v>1.1181151966036349</v>
      </c>
      <c r="N1573" s="255"/>
    </row>
    <row r="1574" spans="1:14" hidden="1" x14ac:dyDescent="0.2">
      <c r="A1574" s="523" t="s">
        <v>369</v>
      </c>
      <c r="B1574" s="459" t="s">
        <v>463</v>
      </c>
      <c r="C1574" s="247" t="s">
        <v>48</v>
      </c>
      <c r="D1574" s="248" t="s">
        <v>135</v>
      </c>
      <c r="E1574" s="249">
        <v>9.3994082840236678E-4</v>
      </c>
      <c r="F1574" s="250" t="s">
        <v>133</v>
      </c>
      <c r="G1574" s="251" t="s">
        <v>16</v>
      </c>
      <c r="H1574" s="252">
        <v>1</v>
      </c>
      <c r="I1574" s="252">
        <v>1</v>
      </c>
      <c r="J1574" s="252">
        <v>3</v>
      </c>
      <c r="K1574" s="252">
        <v>3</v>
      </c>
      <c r="L1574" s="253">
        <v>3</v>
      </c>
      <c r="M1574" s="254">
        <f t="shared" si="49"/>
        <v>1.1181151966036349</v>
      </c>
      <c r="N1574" s="255"/>
    </row>
    <row r="1575" spans="1:14" hidden="1" x14ac:dyDescent="0.2">
      <c r="A1575" s="523" t="s">
        <v>369</v>
      </c>
      <c r="B1575" s="459" t="s">
        <v>463</v>
      </c>
      <c r="C1575" s="247" t="s">
        <v>50</v>
      </c>
      <c r="D1575" s="248" t="s">
        <v>135</v>
      </c>
      <c r="E1575" s="249">
        <v>5.72327205882353E-3</v>
      </c>
      <c r="F1575" s="250" t="s">
        <v>133</v>
      </c>
      <c r="G1575" s="251" t="s">
        <v>16</v>
      </c>
      <c r="H1575" s="252">
        <v>1</v>
      </c>
      <c r="I1575" s="252">
        <v>1</v>
      </c>
      <c r="J1575" s="252">
        <v>3</v>
      </c>
      <c r="K1575" s="252">
        <v>3</v>
      </c>
      <c r="L1575" s="253">
        <v>3</v>
      </c>
      <c r="M1575" s="254">
        <f t="shared" si="49"/>
        <v>1.1181151966036349</v>
      </c>
      <c r="N1575" s="255"/>
    </row>
    <row r="1576" spans="1:14" hidden="1" x14ac:dyDescent="0.2">
      <c r="A1576" s="523" t="s">
        <v>369</v>
      </c>
      <c r="B1576" s="459" t="s">
        <v>463</v>
      </c>
      <c r="C1576" s="247" t="s">
        <v>52</v>
      </c>
      <c r="D1576" s="248" t="s">
        <v>135</v>
      </c>
      <c r="E1576" s="249">
        <v>9.2086956521739128E-4</v>
      </c>
      <c r="F1576" s="250" t="s">
        <v>133</v>
      </c>
      <c r="G1576" s="251" t="s">
        <v>16</v>
      </c>
      <c r="H1576" s="252">
        <v>1</v>
      </c>
      <c r="I1576" s="252">
        <v>1</v>
      </c>
      <c r="J1576" s="252">
        <v>3</v>
      </c>
      <c r="K1576" s="252">
        <v>3</v>
      </c>
      <c r="L1576" s="253">
        <v>3</v>
      </c>
      <c r="M1576" s="254">
        <f t="shared" si="49"/>
        <v>1.1181151966036349</v>
      </c>
      <c r="N1576" s="255"/>
    </row>
    <row r="1577" spans="1:14" hidden="1" x14ac:dyDescent="0.2">
      <c r="A1577" s="523" t="s">
        <v>369</v>
      </c>
      <c r="B1577" s="459" t="s">
        <v>463</v>
      </c>
      <c r="C1577" s="247" t="s">
        <v>54</v>
      </c>
      <c r="D1577" s="248" t="s">
        <v>135</v>
      </c>
      <c r="E1577" s="249">
        <v>5.8833333333333329E-4</v>
      </c>
      <c r="F1577" s="250" t="s">
        <v>133</v>
      </c>
      <c r="G1577" s="251" t="s">
        <v>16</v>
      </c>
      <c r="H1577" s="252">
        <v>1</v>
      </c>
      <c r="I1577" s="252">
        <v>1</v>
      </c>
      <c r="J1577" s="252">
        <v>3</v>
      </c>
      <c r="K1577" s="252">
        <v>3</v>
      </c>
      <c r="L1577" s="253">
        <v>3</v>
      </c>
      <c r="M1577" s="254">
        <f t="shared" ref="M1577:M1607" si="50">IF( OR( ISBLANK(H1577),ISBLANK(I1577), ISBLANK(J1577), ISBLANK(K1577), ISBLANK(L1577) ), "", 1.5*SQRT( EXP(2.21*(H1577-1)) + EXP(2.21*(I1577-1)) + EXP(2.21*(J1577-1)) + EXP(2.21*(K1577-1)) + EXP(2.21*L1577) )/100*2.45 )</f>
        <v>1.1181151966036349</v>
      </c>
      <c r="N1577" s="255"/>
    </row>
    <row r="1578" spans="1:14" hidden="1" x14ac:dyDescent="0.2">
      <c r="A1578" s="523" t="s">
        <v>369</v>
      </c>
      <c r="B1578" s="459" t="s">
        <v>463</v>
      </c>
      <c r="C1578" s="247" t="s">
        <v>55</v>
      </c>
      <c r="D1578" s="248" t="s">
        <v>135</v>
      </c>
      <c r="E1578" s="249">
        <v>1.2708000000000001E-3</v>
      </c>
      <c r="F1578" s="250" t="s">
        <v>133</v>
      </c>
      <c r="G1578" s="251" t="s">
        <v>16</v>
      </c>
      <c r="H1578" s="252">
        <v>1</v>
      </c>
      <c r="I1578" s="252">
        <v>1</v>
      </c>
      <c r="J1578" s="252">
        <v>3</v>
      </c>
      <c r="K1578" s="252">
        <v>3</v>
      </c>
      <c r="L1578" s="253">
        <v>3</v>
      </c>
      <c r="M1578" s="254">
        <f t="shared" si="50"/>
        <v>1.1181151966036349</v>
      </c>
      <c r="N1578" s="255"/>
    </row>
    <row r="1579" spans="1:14" hidden="1" x14ac:dyDescent="0.2">
      <c r="A1579" s="523" t="s">
        <v>369</v>
      </c>
      <c r="B1579" s="459" t="s">
        <v>463</v>
      </c>
      <c r="C1579" s="247" t="s">
        <v>57</v>
      </c>
      <c r="D1579" s="248" t="s">
        <v>135</v>
      </c>
      <c r="E1579" s="249">
        <v>5.8562211981566818E-4</v>
      </c>
      <c r="F1579" s="250" t="s">
        <v>133</v>
      </c>
      <c r="G1579" s="251" t="s">
        <v>16</v>
      </c>
      <c r="H1579" s="252">
        <v>1</v>
      </c>
      <c r="I1579" s="252">
        <v>1</v>
      </c>
      <c r="J1579" s="252">
        <v>3</v>
      </c>
      <c r="K1579" s="252">
        <v>3</v>
      </c>
      <c r="L1579" s="253">
        <v>3</v>
      </c>
      <c r="M1579" s="254">
        <f t="shared" si="50"/>
        <v>1.1181151966036349</v>
      </c>
      <c r="N1579" s="255"/>
    </row>
    <row r="1580" spans="1:14" hidden="1" x14ac:dyDescent="0.2">
      <c r="A1580" s="523" t="s">
        <v>369</v>
      </c>
      <c r="B1580" s="459" t="s">
        <v>463</v>
      </c>
      <c r="C1580" s="247" t="s">
        <v>59</v>
      </c>
      <c r="D1580" s="248" t="s">
        <v>135</v>
      </c>
      <c r="E1580" s="249">
        <v>2.7E-4</v>
      </c>
      <c r="F1580" s="250" t="s">
        <v>133</v>
      </c>
      <c r="G1580" s="251" t="s">
        <v>16</v>
      </c>
      <c r="H1580" s="252">
        <v>1</v>
      </c>
      <c r="I1580" s="252">
        <v>1</v>
      </c>
      <c r="J1580" s="252">
        <v>3</v>
      </c>
      <c r="K1580" s="252">
        <v>3</v>
      </c>
      <c r="L1580" s="253">
        <v>3</v>
      </c>
      <c r="M1580" s="254">
        <f t="shared" si="50"/>
        <v>1.1181151966036349</v>
      </c>
      <c r="N1580" s="255"/>
    </row>
    <row r="1581" spans="1:14" hidden="1" x14ac:dyDescent="0.2">
      <c r="A1581" s="523" t="s">
        <v>369</v>
      </c>
      <c r="B1581" s="459" t="s">
        <v>463</v>
      </c>
      <c r="C1581" s="247" t="s">
        <v>60</v>
      </c>
      <c r="D1581" s="248" t="s">
        <v>135</v>
      </c>
      <c r="E1581" s="249">
        <v>1.23511879049676E-3</v>
      </c>
      <c r="F1581" s="250" t="s">
        <v>133</v>
      </c>
      <c r="G1581" s="251" t="s">
        <v>16</v>
      </c>
      <c r="H1581" s="252">
        <v>1</v>
      </c>
      <c r="I1581" s="252">
        <v>1</v>
      </c>
      <c r="J1581" s="252">
        <v>3</v>
      </c>
      <c r="K1581" s="252">
        <v>3</v>
      </c>
      <c r="L1581" s="253">
        <v>3</v>
      </c>
      <c r="M1581" s="254">
        <f t="shared" si="50"/>
        <v>1.1181151966036349</v>
      </c>
      <c r="N1581" s="255"/>
    </row>
    <row r="1582" spans="1:14" x14ac:dyDescent="0.2">
      <c r="A1582" s="531" t="s">
        <v>369</v>
      </c>
      <c r="B1582" s="574" t="s">
        <v>493</v>
      </c>
      <c r="C1582" s="533" t="s">
        <v>135</v>
      </c>
      <c r="D1582" s="330" t="s">
        <v>135</v>
      </c>
      <c r="E1582" s="330">
        <v>8.9999999999999993E-3</v>
      </c>
      <c r="F1582" s="534" t="s">
        <v>494</v>
      </c>
      <c r="G1582" s="535" t="s">
        <v>16</v>
      </c>
      <c r="H1582" s="330">
        <v>2</v>
      </c>
      <c r="I1582" s="330">
        <v>4</v>
      </c>
      <c r="J1582" s="330">
        <v>3</v>
      </c>
      <c r="K1582" s="330">
        <v>1</v>
      </c>
      <c r="L1582" s="536">
        <v>1</v>
      </c>
      <c r="M1582" s="537">
        <f t="shared" si="50"/>
        <v>1.0776024280428556</v>
      </c>
      <c r="N1582" s="533"/>
    </row>
    <row r="1583" spans="1:14" hidden="1" x14ac:dyDescent="0.2">
      <c r="A1583" s="523" t="s">
        <v>350</v>
      </c>
      <c r="B1583" s="459" t="s">
        <v>463</v>
      </c>
      <c r="C1583" s="247" t="s">
        <v>13</v>
      </c>
      <c r="D1583" s="248" t="s">
        <v>135</v>
      </c>
      <c r="E1583" s="249">
        <v>4.9383419689119179E-4</v>
      </c>
      <c r="F1583" s="250" t="s">
        <v>133</v>
      </c>
      <c r="G1583" s="251" t="s">
        <v>16</v>
      </c>
      <c r="H1583" s="252">
        <v>1</v>
      </c>
      <c r="I1583" s="252">
        <v>1</v>
      </c>
      <c r="J1583" s="252">
        <v>3</v>
      </c>
      <c r="K1583" s="252">
        <v>3</v>
      </c>
      <c r="L1583" s="253">
        <v>3</v>
      </c>
      <c r="M1583" s="254">
        <f t="shared" si="50"/>
        <v>1.1181151966036349</v>
      </c>
      <c r="N1583" s="255"/>
    </row>
    <row r="1584" spans="1:14" hidden="1" x14ac:dyDescent="0.2">
      <c r="A1584" s="523" t="s">
        <v>350</v>
      </c>
      <c r="B1584" s="459" t="s">
        <v>463</v>
      </c>
      <c r="C1584" s="247" t="s">
        <v>18</v>
      </c>
      <c r="D1584" s="248" t="s">
        <v>135</v>
      </c>
      <c r="E1584" s="249">
        <v>6.2141809290953553E-4</v>
      </c>
      <c r="F1584" s="250" t="s">
        <v>133</v>
      </c>
      <c r="G1584" s="251" t="s">
        <v>16</v>
      </c>
      <c r="H1584" s="252">
        <v>1</v>
      </c>
      <c r="I1584" s="252">
        <v>1</v>
      </c>
      <c r="J1584" s="252">
        <v>3</v>
      </c>
      <c r="K1584" s="252">
        <v>3</v>
      </c>
      <c r="L1584" s="253">
        <v>3</v>
      </c>
      <c r="M1584" s="254">
        <f t="shared" si="50"/>
        <v>1.1181151966036349</v>
      </c>
      <c r="N1584" s="255"/>
    </row>
    <row r="1585" spans="1:14" hidden="1" x14ac:dyDescent="0.2">
      <c r="A1585" s="523" t="s">
        <v>350</v>
      </c>
      <c r="B1585" s="459" t="s">
        <v>463</v>
      </c>
      <c r="C1585" s="247" t="s">
        <v>20</v>
      </c>
      <c r="D1585" s="248" t="s">
        <v>135</v>
      </c>
      <c r="E1585" s="249">
        <v>1.717297297297297E-3</v>
      </c>
      <c r="F1585" s="250" t="s">
        <v>133</v>
      </c>
      <c r="G1585" s="251" t="s">
        <v>16</v>
      </c>
      <c r="H1585" s="252">
        <v>1</v>
      </c>
      <c r="I1585" s="252">
        <v>1</v>
      </c>
      <c r="J1585" s="252">
        <v>3</v>
      </c>
      <c r="K1585" s="252">
        <v>3</v>
      </c>
      <c r="L1585" s="253">
        <v>3</v>
      </c>
      <c r="M1585" s="254">
        <f t="shared" si="50"/>
        <v>1.1181151966036349</v>
      </c>
      <c r="N1585" s="255"/>
    </row>
    <row r="1586" spans="1:14" hidden="1" x14ac:dyDescent="0.2">
      <c r="A1586" s="523" t="s">
        <v>350</v>
      </c>
      <c r="B1586" s="459" t="s">
        <v>463</v>
      </c>
      <c r="C1586" s="247" t="s">
        <v>22</v>
      </c>
      <c r="D1586" s="248" t="s">
        <v>135</v>
      </c>
      <c r="E1586" s="249">
        <v>1.397291666666666E-3</v>
      </c>
      <c r="F1586" s="250" t="s">
        <v>133</v>
      </c>
      <c r="G1586" s="251" t="s">
        <v>16</v>
      </c>
      <c r="H1586" s="252">
        <v>1</v>
      </c>
      <c r="I1586" s="252">
        <v>1</v>
      </c>
      <c r="J1586" s="252">
        <v>3</v>
      </c>
      <c r="K1586" s="252">
        <v>3</v>
      </c>
      <c r="L1586" s="253">
        <v>3</v>
      </c>
      <c r="M1586" s="254">
        <f t="shared" si="50"/>
        <v>1.1181151966036349</v>
      </c>
      <c r="N1586" s="255"/>
    </row>
    <row r="1587" spans="1:14" hidden="1" x14ac:dyDescent="0.2">
      <c r="A1587" s="523" t="s">
        <v>350</v>
      </c>
      <c r="B1587" s="459" t="s">
        <v>463</v>
      </c>
      <c r="C1587" s="247" t="s">
        <v>23</v>
      </c>
      <c r="D1587" s="248" t="s">
        <v>135</v>
      </c>
      <c r="E1587" s="249">
        <v>1.868823529411765E-3</v>
      </c>
      <c r="F1587" s="250" t="s">
        <v>133</v>
      </c>
      <c r="G1587" s="251" t="s">
        <v>16</v>
      </c>
      <c r="H1587" s="252">
        <v>1</v>
      </c>
      <c r="I1587" s="252">
        <v>1</v>
      </c>
      <c r="J1587" s="252">
        <v>3</v>
      </c>
      <c r="K1587" s="252">
        <v>3</v>
      </c>
      <c r="L1587" s="253">
        <v>3</v>
      </c>
      <c r="M1587" s="254">
        <f t="shared" si="50"/>
        <v>1.1181151966036349</v>
      </c>
      <c r="N1587" s="255"/>
    </row>
    <row r="1588" spans="1:14" hidden="1" x14ac:dyDescent="0.2">
      <c r="A1588" s="523" t="s">
        <v>350</v>
      </c>
      <c r="B1588" s="459" t="s">
        <v>463</v>
      </c>
      <c r="C1588" s="247" t="s">
        <v>24</v>
      </c>
      <c r="D1588" s="248" t="s">
        <v>135</v>
      </c>
      <c r="E1588" s="249">
        <v>8.3605263157894745E-4</v>
      </c>
      <c r="F1588" s="250" t="s">
        <v>133</v>
      </c>
      <c r="G1588" s="251" t="s">
        <v>16</v>
      </c>
      <c r="H1588" s="252">
        <v>1</v>
      </c>
      <c r="I1588" s="252">
        <v>1</v>
      </c>
      <c r="J1588" s="252">
        <v>3</v>
      </c>
      <c r="K1588" s="252">
        <v>3</v>
      </c>
      <c r="L1588" s="253">
        <v>3</v>
      </c>
      <c r="M1588" s="254">
        <f t="shared" si="50"/>
        <v>1.1181151966036349</v>
      </c>
      <c r="N1588" s="255"/>
    </row>
    <row r="1589" spans="1:14" hidden="1" x14ac:dyDescent="0.2">
      <c r="A1589" s="523" t="s">
        <v>350</v>
      </c>
      <c r="B1589" s="459" t="s">
        <v>463</v>
      </c>
      <c r="C1589" s="247" t="s">
        <v>25</v>
      </c>
      <c r="D1589" s="248" t="s">
        <v>135</v>
      </c>
      <c r="E1589" s="249">
        <v>4.2932432432432442E-4</v>
      </c>
      <c r="F1589" s="250" t="s">
        <v>133</v>
      </c>
      <c r="G1589" s="251" t="s">
        <v>16</v>
      </c>
      <c r="H1589" s="252">
        <v>1</v>
      </c>
      <c r="I1589" s="252">
        <v>1</v>
      </c>
      <c r="J1589" s="252">
        <v>3</v>
      </c>
      <c r="K1589" s="252">
        <v>3</v>
      </c>
      <c r="L1589" s="253">
        <v>3</v>
      </c>
      <c r="M1589" s="254">
        <f t="shared" si="50"/>
        <v>1.1181151966036349</v>
      </c>
      <c r="N1589" s="255"/>
    </row>
    <row r="1590" spans="1:14" hidden="1" x14ac:dyDescent="0.2">
      <c r="A1590" s="523" t="s">
        <v>350</v>
      </c>
      <c r="B1590" s="459" t="s">
        <v>463</v>
      </c>
      <c r="C1590" s="247" t="s">
        <v>26</v>
      </c>
      <c r="D1590" s="248" t="s">
        <v>135</v>
      </c>
      <c r="E1590" s="249">
        <v>2.9808888888888888E-3</v>
      </c>
      <c r="F1590" s="250" t="s">
        <v>133</v>
      </c>
      <c r="G1590" s="251" t="s">
        <v>16</v>
      </c>
      <c r="H1590" s="252">
        <v>1</v>
      </c>
      <c r="I1590" s="252">
        <v>1</v>
      </c>
      <c r="J1590" s="252">
        <v>3</v>
      </c>
      <c r="K1590" s="252">
        <v>3</v>
      </c>
      <c r="L1590" s="253">
        <v>3</v>
      </c>
      <c r="M1590" s="254">
        <f t="shared" si="50"/>
        <v>1.1181151966036349</v>
      </c>
      <c r="N1590" s="255"/>
    </row>
    <row r="1591" spans="1:14" hidden="1" x14ac:dyDescent="0.2">
      <c r="A1591" s="523" t="s">
        <v>350</v>
      </c>
      <c r="B1591" s="459" t="s">
        <v>463</v>
      </c>
      <c r="C1591" s="247" t="s">
        <v>27</v>
      </c>
      <c r="D1591" s="248" t="s">
        <v>135</v>
      </c>
      <c r="E1591" s="249">
        <v>3.4595281306715062E-4</v>
      </c>
      <c r="F1591" s="250" t="s">
        <v>133</v>
      </c>
      <c r="G1591" s="251" t="s">
        <v>16</v>
      </c>
      <c r="H1591" s="252">
        <v>1</v>
      </c>
      <c r="I1591" s="252">
        <v>1</v>
      </c>
      <c r="J1591" s="252">
        <v>3</v>
      </c>
      <c r="K1591" s="252">
        <v>3</v>
      </c>
      <c r="L1591" s="253">
        <v>3</v>
      </c>
      <c r="M1591" s="254">
        <f t="shared" si="50"/>
        <v>1.1181151966036349</v>
      </c>
      <c r="N1591" s="255"/>
    </row>
    <row r="1592" spans="1:14" hidden="1" x14ac:dyDescent="0.2">
      <c r="A1592" s="523" t="s">
        <v>350</v>
      </c>
      <c r="B1592" s="459" t="s">
        <v>463</v>
      </c>
      <c r="C1592" s="247" t="s">
        <v>28</v>
      </c>
      <c r="D1592" s="248" t="s">
        <v>135</v>
      </c>
      <c r="E1592" s="249">
        <v>7.4149012567324962E-4</v>
      </c>
      <c r="F1592" s="250" t="s">
        <v>133</v>
      </c>
      <c r="G1592" s="251" t="s">
        <v>16</v>
      </c>
      <c r="H1592" s="252">
        <v>1</v>
      </c>
      <c r="I1592" s="252">
        <v>1</v>
      </c>
      <c r="J1592" s="252">
        <v>3</v>
      </c>
      <c r="K1592" s="252">
        <v>3</v>
      </c>
      <c r="L1592" s="253">
        <v>3</v>
      </c>
      <c r="M1592" s="254">
        <f t="shared" si="50"/>
        <v>1.1181151966036349</v>
      </c>
      <c r="N1592" s="255"/>
    </row>
    <row r="1593" spans="1:14" hidden="1" x14ac:dyDescent="0.2">
      <c r="A1593" s="523" t="s">
        <v>350</v>
      </c>
      <c r="B1593" s="459" t="s">
        <v>463</v>
      </c>
      <c r="C1593" s="247" t="s">
        <v>30</v>
      </c>
      <c r="D1593" s="248" t="s">
        <v>135</v>
      </c>
      <c r="E1593" s="249">
        <v>5.242574257425742E-4</v>
      </c>
      <c r="F1593" s="250" t="s">
        <v>133</v>
      </c>
      <c r="G1593" s="251" t="s">
        <v>16</v>
      </c>
      <c r="H1593" s="252">
        <v>1</v>
      </c>
      <c r="I1593" s="252">
        <v>1</v>
      </c>
      <c r="J1593" s="252">
        <v>3</v>
      </c>
      <c r="K1593" s="252">
        <v>3</v>
      </c>
      <c r="L1593" s="253">
        <v>3</v>
      </c>
      <c r="M1593" s="254">
        <f t="shared" si="50"/>
        <v>1.1181151966036349</v>
      </c>
      <c r="N1593" s="255"/>
    </row>
    <row r="1594" spans="1:14" hidden="1" x14ac:dyDescent="0.2">
      <c r="A1594" s="523" t="s">
        <v>350</v>
      </c>
      <c r="B1594" s="459" t="s">
        <v>463</v>
      </c>
      <c r="C1594" s="247" t="s">
        <v>32</v>
      </c>
      <c r="D1594" s="248" t="s">
        <v>135</v>
      </c>
      <c r="E1594" s="249">
        <v>1.23378640776699E-3</v>
      </c>
      <c r="F1594" s="250" t="s">
        <v>133</v>
      </c>
      <c r="G1594" s="251" t="s">
        <v>16</v>
      </c>
      <c r="H1594" s="252">
        <v>1</v>
      </c>
      <c r="I1594" s="252">
        <v>1</v>
      </c>
      <c r="J1594" s="252">
        <v>3</v>
      </c>
      <c r="K1594" s="252">
        <v>3</v>
      </c>
      <c r="L1594" s="253">
        <v>3</v>
      </c>
      <c r="M1594" s="254">
        <f t="shared" si="50"/>
        <v>1.1181151966036349</v>
      </c>
      <c r="N1594" s="255"/>
    </row>
    <row r="1595" spans="1:14" hidden="1" x14ac:dyDescent="0.2">
      <c r="A1595" s="523" t="s">
        <v>350</v>
      </c>
      <c r="B1595" s="459" t="s">
        <v>463</v>
      </c>
      <c r="C1595" s="247" t="s">
        <v>34</v>
      </c>
      <c r="D1595" s="248" t="s">
        <v>135</v>
      </c>
      <c r="E1595" s="249">
        <v>1.5009448818897641E-3</v>
      </c>
      <c r="F1595" s="250" t="s">
        <v>133</v>
      </c>
      <c r="G1595" s="251" t="s">
        <v>16</v>
      </c>
      <c r="H1595" s="252">
        <v>1</v>
      </c>
      <c r="I1595" s="252">
        <v>1</v>
      </c>
      <c r="J1595" s="252">
        <v>3</v>
      </c>
      <c r="K1595" s="252">
        <v>3</v>
      </c>
      <c r="L1595" s="253">
        <v>3</v>
      </c>
      <c r="M1595" s="254">
        <f t="shared" si="50"/>
        <v>1.1181151966036349</v>
      </c>
      <c r="N1595" s="255"/>
    </row>
    <row r="1596" spans="1:14" hidden="1" x14ac:dyDescent="0.2">
      <c r="A1596" s="523" t="s">
        <v>350</v>
      </c>
      <c r="B1596" s="459" t="s">
        <v>463</v>
      </c>
      <c r="C1596" s="247" t="s">
        <v>36</v>
      </c>
      <c r="D1596" s="248" t="s">
        <v>135</v>
      </c>
      <c r="E1596" s="249">
        <v>1.4482051282051281E-3</v>
      </c>
      <c r="F1596" s="250" t="s">
        <v>133</v>
      </c>
      <c r="G1596" s="251" t="s">
        <v>16</v>
      </c>
      <c r="H1596" s="252">
        <v>1</v>
      </c>
      <c r="I1596" s="252">
        <v>1</v>
      </c>
      <c r="J1596" s="252">
        <v>3</v>
      </c>
      <c r="K1596" s="252">
        <v>3</v>
      </c>
      <c r="L1596" s="253">
        <v>3</v>
      </c>
      <c r="M1596" s="254">
        <f t="shared" si="50"/>
        <v>1.1181151966036349</v>
      </c>
      <c r="N1596" s="255"/>
    </row>
    <row r="1597" spans="1:14" hidden="1" x14ac:dyDescent="0.2">
      <c r="A1597" s="523" t="s">
        <v>350</v>
      </c>
      <c r="B1597" s="459" t="s">
        <v>463</v>
      </c>
      <c r="C1597" s="247" t="s">
        <v>37</v>
      </c>
      <c r="D1597" s="248" t="s">
        <v>135</v>
      </c>
      <c r="E1597" s="249">
        <v>6.0483967935871753E-3</v>
      </c>
      <c r="F1597" s="250" t="s">
        <v>133</v>
      </c>
      <c r="G1597" s="251" t="s">
        <v>16</v>
      </c>
      <c r="H1597" s="252">
        <v>1</v>
      </c>
      <c r="I1597" s="252">
        <v>1</v>
      </c>
      <c r="J1597" s="252">
        <v>3</v>
      </c>
      <c r="K1597" s="252">
        <v>3</v>
      </c>
      <c r="L1597" s="253">
        <v>3</v>
      </c>
      <c r="M1597" s="254">
        <f t="shared" si="50"/>
        <v>1.1181151966036349</v>
      </c>
      <c r="N1597" s="255"/>
    </row>
    <row r="1598" spans="1:14" hidden="1" x14ac:dyDescent="0.2">
      <c r="A1598" s="523" t="s">
        <v>350</v>
      </c>
      <c r="B1598" s="459" t="s">
        <v>463</v>
      </c>
      <c r="C1598" s="247" t="s">
        <v>39</v>
      </c>
      <c r="D1598" s="248" t="s">
        <v>135</v>
      </c>
      <c r="E1598" s="249">
        <v>2.9662407862407862E-3</v>
      </c>
      <c r="F1598" s="250" t="s">
        <v>133</v>
      </c>
      <c r="G1598" s="251" t="s">
        <v>16</v>
      </c>
      <c r="H1598" s="252">
        <v>1</v>
      </c>
      <c r="I1598" s="252">
        <v>1</v>
      </c>
      <c r="J1598" s="252">
        <v>3</v>
      </c>
      <c r="K1598" s="252">
        <v>3</v>
      </c>
      <c r="L1598" s="253">
        <v>3</v>
      </c>
      <c r="M1598" s="254">
        <f t="shared" si="50"/>
        <v>1.1181151966036349</v>
      </c>
      <c r="N1598" s="255"/>
    </row>
    <row r="1599" spans="1:14" hidden="1" x14ac:dyDescent="0.2">
      <c r="A1599" s="523" t="s">
        <v>350</v>
      </c>
      <c r="B1599" s="459" t="s">
        <v>463</v>
      </c>
      <c r="C1599" s="247" t="s">
        <v>40</v>
      </c>
      <c r="D1599" s="248" t="s">
        <v>135</v>
      </c>
      <c r="E1599" s="249">
        <v>9.5857758620689656E-4</v>
      </c>
      <c r="F1599" s="250" t="s">
        <v>133</v>
      </c>
      <c r="G1599" s="251" t="s">
        <v>16</v>
      </c>
      <c r="H1599" s="252">
        <v>1</v>
      </c>
      <c r="I1599" s="252">
        <v>1</v>
      </c>
      <c r="J1599" s="252">
        <v>3</v>
      </c>
      <c r="K1599" s="252">
        <v>3</v>
      </c>
      <c r="L1599" s="253">
        <v>3</v>
      </c>
      <c r="M1599" s="254">
        <f t="shared" si="50"/>
        <v>1.1181151966036349</v>
      </c>
      <c r="N1599" s="255"/>
    </row>
    <row r="1600" spans="1:14" hidden="1" x14ac:dyDescent="0.2">
      <c r="A1600" s="523" t="s">
        <v>350</v>
      </c>
      <c r="B1600" s="459" t="s">
        <v>463</v>
      </c>
      <c r="C1600" s="247" t="s">
        <v>41</v>
      </c>
      <c r="D1600" s="248" t="s">
        <v>135</v>
      </c>
      <c r="E1600" s="249">
        <v>4.352054794520548E-4</v>
      </c>
      <c r="F1600" s="250" t="s">
        <v>133</v>
      </c>
      <c r="G1600" s="251" t="s">
        <v>16</v>
      </c>
      <c r="H1600" s="252">
        <v>1</v>
      </c>
      <c r="I1600" s="252">
        <v>1</v>
      </c>
      <c r="J1600" s="252">
        <v>3</v>
      </c>
      <c r="K1600" s="252">
        <v>3</v>
      </c>
      <c r="L1600" s="253">
        <v>3</v>
      </c>
      <c r="M1600" s="254">
        <f t="shared" si="50"/>
        <v>1.1181151966036349</v>
      </c>
      <c r="N1600" s="255"/>
    </row>
    <row r="1601" spans="1:14" hidden="1" x14ac:dyDescent="0.2">
      <c r="A1601" s="523" t="s">
        <v>350</v>
      </c>
      <c r="B1601" s="459" t="s">
        <v>463</v>
      </c>
      <c r="C1601" s="247" t="s">
        <v>42</v>
      </c>
      <c r="D1601" s="248" t="s">
        <v>135</v>
      </c>
      <c r="E1601" s="249">
        <v>2.1274553571428568E-3</v>
      </c>
      <c r="F1601" s="250" t="s">
        <v>133</v>
      </c>
      <c r="G1601" s="251" t="s">
        <v>16</v>
      </c>
      <c r="H1601" s="252">
        <v>1</v>
      </c>
      <c r="I1601" s="252">
        <v>1</v>
      </c>
      <c r="J1601" s="252">
        <v>3</v>
      </c>
      <c r="K1601" s="252">
        <v>3</v>
      </c>
      <c r="L1601" s="253">
        <v>3</v>
      </c>
      <c r="M1601" s="254">
        <f t="shared" si="50"/>
        <v>1.1181151966036349</v>
      </c>
      <c r="N1601" s="255"/>
    </row>
    <row r="1602" spans="1:14" hidden="1" x14ac:dyDescent="0.2">
      <c r="A1602" s="523" t="s">
        <v>350</v>
      </c>
      <c r="B1602" s="459" t="s">
        <v>463</v>
      </c>
      <c r="C1602" s="247" t="s">
        <v>43</v>
      </c>
      <c r="D1602" s="248" t="s">
        <v>135</v>
      </c>
      <c r="E1602" s="249">
        <v>4.9737769080234839E-4</v>
      </c>
      <c r="F1602" s="250" t="s">
        <v>133</v>
      </c>
      <c r="G1602" s="251" t="s">
        <v>16</v>
      </c>
      <c r="H1602" s="252">
        <v>1</v>
      </c>
      <c r="I1602" s="252">
        <v>1</v>
      </c>
      <c r="J1602" s="252">
        <v>3</v>
      </c>
      <c r="K1602" s="252">
        <v>3</v>
      </c>
      <c r="L1602" s="253">
        <v>3</v>
      </c>
      <c r="M1602" s="254">
        <f t="shared" si="50"/>
        <v>1.1181151966036349</v>
      </c>
      <c r="N1602" s="255"/>
    </row>
    <row r="1603" spans="1:14" x14ac:dyDescent="0.2">
      <c r="A1603" s="523" t="s">
        <v>350</v>
      </c>
      <c r="B1603" s="459" t="s">
        <v>463</v>
      </c>
      <c r="C1603" s="247" t="s">
        <v>45</v>
      </c>
      <c r="D1603" s="248" t="s">
        <v>135</v>
      </c>
      <c r="E1603" s="249">
        <v>6.8784844384303125E-4</v>
      </c>
      <c r="F1603" s="250" t="s">
        <v>133</v>
      </c>
      <c r="G1603" s="251" t="s">
        <v>16</v>
      </c>
      <c r="H1603" s="252">
        <v>1</v>
      </c>
      <c r="I1603" s="252">
        <v>1</v>
      </c>
      <c r="J1603" s="252">
        <v>3</v>
      </c>
      <c r="K1603" s="252">
        <v>3</v>
      </c>
      <c r="L1603" s="253">
        <v>3</v>
      </c>
      <c r="M1603" s="254">
        <f t="shared" si="50"/>
        <v>1.1181151966036349</v>
      </c>
      <c r="N1603" s="255"/>
    </row>
    <row r="1604" spans="1:14" hidden="1" x14ac:dyDescent="0.2">
      <c r="A1604" s="523" t="s">
        <v>350</v>
      </c>
      <c r="B1604" s="459" t="s">
        <v>463</v>
      </c>
      <c r="C1604" s="247" t="s">
        <v>46</v>
      </c>
      <c r="D1604" s="248" t="s">
        <v>135</v>
      </c>
      <c r="E1604" s="249">
        <v>1.2553495440729479E-3</v>
      </c>
      <c r="F1604" s="250" t="s">
        <v>133</v>
      </c>
      <c r="G1604" s="251" t="s">
        <v>16</v>
      </c>
      <c r="H1604" s="252">
        <v>1</v>
      </c>
      <c r="I1604" s="252">
        <v>1</v>
      </c>
      <c r="J1604" s="252">
        <v>3</v>
      </c>
      <c r="K1604" s="252">
        <v>3</v>
      </c>
      <c r="L1604" s="253">
        <v>3</v>
      </c>
      <c r="M1604" s="254">
        <f t="shared" si="50"/>
        <v>1.1181151966036349</v>
      </c>
      <c r="N1604" s="255"/>
    </row>
    <row r="1605" spans="1:14" hidden="1" x14ac:dyDescent="0.2">
      <c r="A1605" s="523" t="s">
        <v>350</v>
      </c>
      <c r="B1605" s="459" t="s">
        <v>463</v>
      </c>
      <c r="C1605" s="247" t="s">
        <v>48</v>
      </c>
      <c r="D1605" s="248" t="s">
        <v>135</v>
      </c>
      <c r="E1605" s="249">
        <v>9.3994082840236678E-4</v>
      </c>
      <c r="F1605" s="250" t="s">
        <v>133</v>
      </c>
      <c r="G1605" s="251" t="s">
        <v>16</v>
      </c>
      <c r="H1605" s="252">
        <v>1</v>
      </c>
      <c r="I1605" s="252">
        <v>1</v>
      </c>
      <c r="J1605" s="252">
        <v>3</v>
      </c>
      <c r="K1605" s="252">
        <v>3</v>
      </c>
      <c r="L1605" s="253">
        <v>3</v>
      </c>
      <c r="M1605" s="254">
        <f t="shared" si="50"/>
        <v>1.1181151966036349</v>
      </c>
      <c r="N1605" s="255"/>
    </row>
    <row r="1606" spans="1:14" hidden="1" x14ac:dyDescent="0.2">
      <c r="A1606" s="523" t="s">
        <v>350</v>
      </c>
      <c r="B1606" s="459" t="s">
        <v>463</v>
      </c>
      <c r="C1606" s="247" t="s">
        <v>50</v>
      </c>
      <c r="D1606" s="248" t="s">
        <v>135</v>
      </c>
      <c r="E1606" s="249">
        <v>5.72327205882353E-3</v>
      </c>
      <c r="F1606" s="250" t="s">
        <v>133</v>
      </c>
      <c r="G1606" s="251" t="s">
        <v>16</v>
      </c>
      <c r="H1606" s="252">
        <v>1</v>
      </c>
      <c r="I1606" s="252">
        <v>1</v>
      </c>
      <c r="J1606" s="252">
        <v>3</v>
      </c>
      <c r="K1606" s="252">
        <v>3</v>
      </c>
      <c r="L1606" s="253">
        <v>3</v>
      </c>
      <c r="M1606" s="254">
        <f t="shared" si="50"/>
        <v>1.1181151966036349</v>
      </c>
      <c r="N1606" s="255"/>
    </row>
    <row r="1607" spans="1:14" hidden="1" x14ac:dyDescent="0.2">
      <c r="A1607" s="523" t="s">
        <v>350</v>
      </c>
      <c r="B1607" s="459" t="s">
        <v>463</v>
      </c>
      <c r="C1607" s="247" t="s">
        <v>52</v>
      </c>
      <c r="D1607" s="248" t="s">
        <v>135</v>
      </c>
      <c r="E1607" s="249">
        <v>9.2086956521739128E-4</v>
      </c>
      <c r="F1607" s="250" t="s">
        <v>133</v>
      </c>
      <c r="G1607" s="251" t="s">
        <v>16</v>
      </c>
      <c r="H1607" s="252">
        <v>1</v>
      </c>
      <c r="I1607" s="252">
        <v>1</v>
      </c>
      <c r="J1607" s="252">
        <v>3</v>
      </c>
      <c r="K1607" s="252">
        <v>3</v>
      </c>
      <c r="L1607" s="253">
        <v>3</v>
      </c>
      <c r="M1607" s="254">
        <f t="shared" si="50"/>
        <v>1.1181151966036349</v>
      </c>
      <c r="N1607" s="255"/>
    </row>
    <row r="1608" spans="1:14" hidden="1" x14ac:dyDescent="0.2">
      <c r="A1608" s="523" t="s">
        <v>350</v>
      </c>
      <c r="B1608" s="459" t="s">
        <v>463</v>
      </c>
      <c r="C1608" s="247" t="s">
        <v>54</v>
      </c>
      <c r="D1608" s="248" t="s">
        <v>135</v>
      </c>
      <c r="E1608" s="249">
        <v>5.8833333333333329E-4</v>
      </c>
      <c r="F1608" s="250" t="s">
        <v>133</v>
      </c>
      <c r="G1608" s="251" t="s">
        <v>16</v>
      </c>
      <c r="H1608" s="252">
        <v>1</v>
      </c>
      <c r="I1608" s="252">
        <v>1</v>
      </c>
      <c r="J1608" s="252">
        <v>3</v>
      </c>
      <c r="K1608" s="252">
        <v>3</v>
      </c>
      <c r="L1608" s="253">
        <v>3</v>
      </c>
      <c r="M1608" s="254">
        <f>IF( OR( ISBLANK(H1608),ISBLANK(I1608), ISBLANK(J1608), ISBLANK(K1608), ISBLANK(L1608) ), "", 1.5*SQRT(   EXP(2.21*(H1608-1)) + EXP(2.21*(I1608-1)) + EXP(2.21*(J1608-1)) + EXP(2.21*(K1608-1)) + EXP(2.21*L1608)   )/100*2.45 )</f>
        <v>1.1181151966036349</v>
      </c>
      <c r="N1608" s="255"/>
    </row>
    <row r="1609" spans="1:14" hidden="1" x14ac:dyDescent="0.2">
      <c r="A1609" s="523" t="s">
        <v>350</v>
      </c>
      <c r="B1609" s="459" t="s">
        <v>463</v>
      </c>
      <c r="C1609" s="247" t="s">
        <v>55</v>
      </c>
      <c r="D1609" s="248" t="s">
        <v>135</v>
      </c>
      <c r="E1609" s="249">
        <v>1.2708000000000001E-3</v>
      </c>
      <c r="F1609" s="250" t="s">
        <v>133</v>
      </c>
      <c r="G1609" s="251" t="s">
        <v>16</v>
      </c>
      <c r="H1609" s="252">
        <v>1</v>
      </c>
      <c r="I1609" s="252">
        <v>1</v>
      </c>
      <c r="J1609" s="252">
        <v>3</v>
      </c>
      <c r="K1609" s="252">
        <v>3</v>
      </c>
      <c r="L1609" s="253">
        <v>3</v>
      </c>
      <c r="M1609" s="254">
        <f t="shared" ref="M1609:M1640" si="51">IF( OR( ISBLANK(H1609),ISBLANK(I1609), ISBLANK(J1609), ISBLANK(K1609), ISBLANK(L1609) ), "", 1.5*SQRT( EXP(2.21*(H1609-1)) + EXP(2.21*(I1609-1)) + EXP(2.21*(J1609-1)) + EXP(2.21*(K1609-1)) + EXP(2.21*L1609) )/100*2.45 )</f>
        <v>1.1181151966036349</v>
      </c>
      <c r="N1609" s="255"/>
    </row>
    <row r="1610" spans="1:14" hidden="1" x14ac:dyDescent="0.2">
      <c r="A1610" s="523" t="s">
        <v>350</v>
      </c>
      <c r="B1610" s="459" t="s">
        <v>463</v>
      </c>
      <c r="C1610" s="247" t="s">
        <v>57</v>
      </c>
      <c r="D1610" s="248" t="s">
        <v>135</v>
      </c>
      <c r="E1610" s="249">
        <v>5.8562211981566818E-4</v>
      </c>
      <c r="F1610" s="250" t="s">
        <v>133</v>
      </c>
      <c r="G1610" s="251" t="s">
        <v>16</v>
      </c>
      <c r="H1610" s="252">
        <v>1</v>
      </c>
      <c r="I1610" s="252">
        <v>1</v>
      </c>
      <c r="J1610" s="252">
        <v>3</v>
      </c>
      <c r="K1610" s="252">
        <v>3</v>
      </c>
      <c r="L1610" s="253">
        <v>3</v>
      </c>
      <c r="M1610" s="254">
        <f t="shared" si="51"/>
        <v>1.1181151966036349</v>
      </c>
      <c r="N1610" s="255"/>
    </row>
    <row r="1611" spans="1:14" hidden="1" x14ac:dyDescent="0.2">
      <c r="A1611" s="523" t="s">
        <v>350</v>
      </c>
      <c r="B1611" s="459" t="s">
        <v>463</v>
      </c>
      <c r="C1611" s="247" t="s">
        <v>59</v>
      </c>
      <c r="D1611" s="248" t="s">
        <v>135</v>
      </c>
      <c r="E1611" s="249">
        <v>2.7E-4</v>
      </c>
      <c r="F1611" s="250" t="s">
        <v>133</v>
      </c>
      <c r="G1611" s="251" t="s">
        <v>16</v>
      </c>
      <c r="H1611" s="252">
        <v>1</v>
      </c>
      <c r="I1611" s="252">
        <v>1</v>
      </c>
      <c r="J1611" s="252">
        <v>3</v>
      </c>
      <c r="K1611" s="252">
        <v>3</v>
      </c>
      <c r="L1611" s="253">
        <v>3</v>
      </c>
      <c r="M1611" s="254">
        <f t="shared" si="51"/>
        <v>1.1181151966036349</v>
      </c>
      <c r="N1611" s="255"/>
    </row>
    <row r="1612" spans="1:14" hidden="1" x14ac:dyDescent="0.2">
      <c r="A1612" s="523" t="s">
        <v>350</v>
      </c>
      <c r="B1612" s="459" t="s">
        <v>463</v>
      </c>
      <c r="C1612" s="247" t="s">
        <v>60</v>
      </c>
      <c r="D1612" s="248" t="s">
        <v>135</v>
      </c>
      <c r="E1612" s="249">
        <v>1.23511879049676E-3</v>
      </c>
      <c r="F1612" s="250" t="s">
        <v>133</v>
      </c>
      <c r="G1612" s="251" t="s">
        <v>16</v>
      </c>
      <c r="H1612" s="252">
        <v>1</v>
      </c>
      <c r="I1612" s="252">
        <v>1</v>
      </c>
      <c r="J1612" s="252">
        <v>3</v>
      </c>
      <c r="K1612" s="252">
        <v>3</v>
      </c>
      <c r="L1612" s="253">
        <v>3</v>
      </c>
      <c r="M1612" s="254">
        <f t="shared" si="51"/>
        <v>1.1181151966036349</v>
      </c>
      <c r="N1612" s="255"/>
    </row>
    <row r="1613" spans="1:14" x14ac:dyDescent="0.2">
      <c r="A1613" s="523" t="s">
        <v>350</v>
      </c>
      <c r="B1613" s="575" t="s">
        <v>493</v>
      </c>
      <c r="C1613" s="525" t="s">
        <v>135</v>
      </c>
      <c r="D1613" s="527" t="s">
        <v>135</v>
      </c>
      <c r="E1613" s="527">
        <v>4.2000000000000003E-2</v>
      </c>
      <c r="F1613" s="333" t="s">
        <v>495</v>
      </c>
      <c r="G1613" s="528" t="s">
        <v>16</v>
      </c>
      <c r="H1613" s="527">
        <v>2</v>
      </c>
      <c r="I1613" s="527">
        <v>3</v>
      </c>
      <c r="J1613" s="527">
        <v>3</v>
      </c>
      <c r="K1613" s="527">
        <v>1</v>
      </c>
      <c r="L1613" s="529">
        <v>1</v>
      </c>
      <c r="M1613" s="60">
        <f t="shared" si="51"/>
        <v>0.50042652380814845</v>
      </c>
    </row>
    <row r="1614" spans="1:14" x14ac:dyDescent="0.2">
      <c r="A1614" s="523" t="s">
        <v>350</v>
      </c>
      <c r="B1614" s="575" t="s">
        <v>493</v>
      </c>
      <c r="C1614" s="525" t="s">
        <v>135</v>
      </c>
      <c r="D1614" s="527" t="s">
        <v>135</v>
      </c>
      <c r="E1614" s="527">
        <v>0.76400000000000001</v>
      </c>
      <c r="F1614" s="333" t="s">
        <v>494</v>
      </c>
      <c r="G1614" s="528" t="s">
        <v>16</v>
      </c>
      <c r="H1614" s="527">
        <v>2</v>
      </c>
      <c r="I1614" s="527">
        <v>4</v>
      </c>
      <c r="J1614" s="527">
        <v>3</v>
      </c>
      <c r="K1614" s="527">
        <v>1</v>
      </c>
      <c r="L1614" s="529">
        <v>1</v>
      </c>
      <c r="M1614" s="60">
        <f t="shared" si="51"/>
        <v>1.0776024280428556</v>
      </c>
    </row>
    <row r="1615" spans="1:14" x14ac:dyDescent="0.2">
      <c r="A1615" s="531" t="s">
        <v>350</v>
      </c>
      <c r="B1615" s="574" t="s">
        <v>493</v>
      </c>
      <c r="C1615" s="533" t="s">
        <v>135</v>
      </c>
      <c r="D1615" s="330" t="s">
        <v>135</v>
      </c>
      <c r="E1615" s="576">
        <v>0.75</v>
      </c>
      <c r="F1615" s="534" t="s">
        <v>496</v>
      </c>
      <c r="G1615" s="535" t="s">
        <v>16</v>
      </c>
      <c r="H1615" s="330">
        <v>2</v>
      </c>
      <c r="I1615" s="330">
        <v>2</v>
      </c>
      <c r="J1615" s="330">
        <v>3</v>
      </c>
      <c r="K1615" s="330">
        <v>1</v>
      </c>
      <c r="L1615" s="536">
        <v>2</v>
      </c>
      <c r="M1615" s="537">
        <f t="shared" si="51"/>
        <v>0.50042652380814845</v>
      </c>
      <c r="N1615" s="533"/>
    </row>
    <row r="1616" spans="1:14" hidden="1" x14ac:dyDescent="0.2">
      <c r="A1616" s="523" t="s">
        <v>370</v>
      </c>
      <c r="B1616" s="459" t="s">
        <v>463</v>
      </c>
      <c r="C1616" s="247" t="s">
        <v>13</v>
      </c>
      <c r="D1616" s="248" t="s">
        <v>135</v>
      </c>
      <c r="E1616" s="249">
        <v>4.9383419689119179E-4</v>
      </c>
      <c r="F1616" s="250" t="s">
        <v>133</v>
      </c>
      <c r="G1616" s="251" t="s">
        <v>16</v>
      </c>
      <c r="H1616" s="252">
        <v>1</v>
      </c>
      <c r="I1616" s="252">
        <v>1</v>
      </c>
      <c r="J1616" s="252">
        <v>3</v>
      </c>
      <c r="K1616" s="252">
        <v>3</v>
      </c>
      <c r="L1616" s="253">
        <v>3</v>
      </c>
      <c r="M1616" s="254">
        <f t="shared" si="51"/>
        <v>1.1181151966036349</v>
      </c>
      <c r="N1616" s="255"/>
    </row>
    <row r="1617" spans="1:14" hidden="1" x14ac:dyDescent="0.2">
      <c r="A1617" s="523" t="s">
        <v>370</v>
      </c>
      <c r="B1617" s="459" t="s">
        <v>463</v>
      </c>
      <c r="C1617" s="247" t="s">
        <v>18</v>
      </c>
      <c r="D1617" s="248" t="s">
        <v>135</v>
      </c>
      <c r="E1617" s="249">
        <v>6.2141809290953553E-4</v>
      </c>
      <c r="F1617" s="250" t="s">
        <v>133</v>
      </c>
      <c r="G1617" s="251" t="s">
        <v>16</v>
      </c>
      <c r="H1617" s="252">
        <v>1</v>
      </c>
      <c r="I1617" s="252">
        <v>1</v>
      </c>
      <c r="J1617" s="252">
        <v>3</v>
      </c>
      <c r="K1617" s="252">
        <v>3</v>
      </c>
      <c r="L1617" s="253">
        <v>3</v>
      </c>
      <c r="M1617" s="254">
        <f t="shared" si="51"/>
        <v>1.1181151966036349</v>
      </c>
      <c r="N1617" s="255"/>
    </row>
    <row r="1618" spans="1:14" hidden="1" x14ac:dyDescent="0.2">
      <c r="A1618" s="523" t="s">
        <v>370</v>
      </c>
      <c r="B1618" s="459" t="s">
        <v>463</v>
      </c>
      <c r="C1618" s="247" t="s">
        <v>20</v>
      </c>
      <c r="D1618" s="248" t="s">
        <v>135</v>
      </c>
      <c r="E1618" s="249">
        <v>1.717297297297297E-3</v>
      </c>
      <c r="F1618" s="250" t="s">
        <v>133</v>
      </c>
      <c r="G1618" s="251" t="s">
        <v>16</v>
      </c>
      <c r="H1618" s="252">
        <v>1</v>
      </c>
      <c r="I1618" s="252">
        <v>1</v>
      </c>
      <c r="J1618" s="252">
        <v>3</v>
      </c>
      <c r="K1618" s="252">
        <v>3</v>
      </c>
      <c r="L1618" s="253">
        <v>3</v>
      </c>
      <c r="M1618" s="254">
        <f t="shared" si="51"/>
        <v>1.1181151966036349</v>
      </c>
      <c r="N1618" s="255"/>
    </row>
    <row r="1619" spans="1:14" hidden="1" x14ac:dyDescent="0.2">
      <c r="A1619" s="523" t="s">
        <v>370</v>
      </c>
      <c r="B1619" s="459" t="s">
        <v>463</v>
      </c>
      <c r="C1619" s="247" t="s">
        <v>22</v>
      </c>
      <c r="D1619" s="248" t="s">
        <v>135</v>
      </c>
      <c r="E1619" s="249">
        <v>1.397291666666666E-3</v>
      </c>
      <c r="F1619" s="250" t="s">
        <v>133</v>
      </c>
      <c r="G1619" s="251" t="s">
        <v>16</v>
      </c>
      <c r="H1619" s="252">
        <v>1</v>
      </c>
      <c r="I1619" s="252">
        <v>1</v>
      </c>
      <c r="J1619" s="252">
        <v>3</v>
      </c>
      <c r="K1619" s="252">
        <v>3</v>
      </c>
      <c r="L1619" s="253">
        <v>3</v>
      </c>
      <c r="M1619" s="254">
        <f t="shared" si="51"/>
        <v>1.1181151966036349</v>
      </c>
      <c r="N1619" s="255"/>
    </row>
    <row r="1620" spans="1:14" hidden="1" x14ac:dyDescent="0.2">
      <c r="A1620" s="523" t="s">
        <v>370</v>
      </c>
      <c r="B1620" s="459" t="s">
        <v>463</v>
      </c>
      <c r="C1620" s="247" t="s">
        <v>23</v>
      </c>
      <c r="D1620" s="248" t="s">
        <v>135</v>
      </c>
      <c r="E1620" s="249">
        <v>1.868823529411765E-3</v>
      </c>
      <c r="F1620" s="250" t="s">
        <v>133</v>
      </c>
      <c r="G1620" s="251" t="s">
        <v>16</v>
      </c>
      <c r="H1620" s="252">
        <v>1</v>
      </c>
      <c r="I1620" s="252">
        <v>1</v>
      </c>
      <c r="J1620" s="252">
        <v>3</v>
      </c>
      <c r="K1620" s="252">
        <v>3</v>
      </c>
      <c r="L1620" s="253">
        <v>3</v>
      </c>
      <c r="M1620" s="254">
        <f t="shared" si="51"/>
        <v>1.1181151966036349</v>
      </c>
      <c r="N1620" s="255"/>
    </row>
    <row r="1621" spans="1:14" hidden="1" x14ac:dyDescent="0.2">
      <c r="A1621" s="523" t="s">
        <v>370</v>
      </c>
      <c r="B1621" s="459" t="s">
        <v>463</v>
      </c>
      <c r="C1621" s="247" t="s">
        <v>24</v>
      </c>
      <c r="D1621" s="248" t="s">
        <v>135</v>
      </c>
      <c r="E1621" s="249">
        <v>8.3605263157894745E-4</v>
      </c>
      <c r="F1621" s="250" t="s">
        <v>133</v>
      </c>
      <c r="G1621" s="251" t="s">
        <v>16</v>
      </c>
      <c r="H1621" s="252">
        <v>1</v>
      </c>
      <c r="I1621" s="252">
        <v>1</v>
      </c>
      <c r="J1621" s="252">
        <v>3</v>
      </c>
      <c r="K1621" s="252">
        <v>3</v>
      </c>
      <c r="L1621" s="253">
        <v>3</v>
      </c>
      <c r="M1621" s="254">
        <f t="shared" si="51"/>
        <v>1.1181151966036349</v>
      </c>
      <c r="N1621" s="255"/>
    </row>
    <row r="1622" spans="1:14" hidden="1" x14ac:dyDescent="0.2">
      <c r="A1622" s="523" t="s">
        <v>370</v>
      </c>
      <c r="B1622" s="459" t="s">
        <v>463</v>
      </c>
      <c r="C1622" s="247" t="s">
        <v>25</v>
      </c>
      <c r="D1622" s="248" t="s">
        <v>135</v>
      </c>
      <c r="E1622" s="249">
        <v>4.2932432432432442E-4</v>
      </c>
      <c r="F1622" s="250" t="s">
        <v>133</v>
      </c>
      <c r="G1622" s="251" t="s">
        <v>16</v>
      </c>
      <c r="H1622" s="252">
        <v>1</v>
      </c>
      <c r="I1622" s="252">
        <v>1</v>
      </c>
      <c r="J1622" s="252">
        <v>3</v>
      </c>
      <c r="K1622" s="252">
        <v>3</v>
      </c>
      <c r="L1622" s="253">
        <v>3</v>
      </c>
      <c r="M1622" s="254">
        <f t="shared" si="51"/>
        <v>1.1181151966036349</v>
      </c>
      <c r="N1622" s="255"/>
    </row>
    <row r="1623" spans="1:14" hidden="1" x14ac:dyDescent="0.2">
      <c r="A1623" s="523" t="s">
        <v>370</v>
      </c>
      <c r="B1623" s="459" t="s">
        <v>463</v>
      </c>
      <c r="C1623" s="247" t="s">
        <v>26</v>
      </c>
      <c r="D1623" s="248" t="s">
        <v>135</v>
      </c>
      <c r="E1623" s="249">
        <v>2.9808888888888888E-3</v>
      </c>
      <c r="F1623" s="250" t="s">
        <v>133</v>
      </c>
      <c r="G1623" s="251" t="s">
        <v>16</v>
      </c>
      <c r="H1623" s="252">
        <v>1</v>
      </c>
      <c r="I1623" s="252">
        <v>1</v>
      </c>
      <c r="J1623" s="252">
        <v>3</v>
      </c>
      <c r="K1623" s="252">
        <v>3</v>
      </c>
      <c r="L1623" s="253">
        <v>3</v>
      </c>
      <c r="M1623" s="254">
        <f t="shared" si="51"/>
        <v>1.1181151966036349</v>
      </c>
      <c r="N1623" s="255"/>
    </row>
    <row r="1624" spans="1:14" hidden="1" x14ac:dyDescent="0.2">
      <c r="A1624" s="523" t="s">
        <v>370</v>
      </c>
      <c r="B1624" s="459" t="s">
        <v>463</v>
      </c>
      <c r="C1624" s="247" t="s">
        <v>27</v>
      </c>
      <c r="D1624" s="248" t="s">
        <v>135</v>
      </c>
      <c r="E1624" s="249">
        <v>3.4595281306715062E-4</v>
      </c>
      <c r="F1624" s="250" t="s">
        <v>133</v>
      </c>
      <c r="G1624" s="251" t="s">
        <v>16</v>
      </c>
      <c r="H1624" s="252">
        <v>1</v>
      </c>
      <c r="I1624" s="252">
        <v>1</v>
      </c>
      <c r="J1624" s="252">
        <v>3</v>
      </c>
      <c r="K1624" s="252">
        <v>3</v>
      </c>
      <c r="L1624" s="253">
        <v>3</v>
      </c>
      <c r="M1624" s="254">
        <f t="shared" si="51"/>
        <v>1.1181151966036349</v>
      </c>
      <c r="N1624" s="255"/>
    </row>
    <row r="1625" spans="1:14" hidden="1" x14ac:dyDescent="0.2">
      <c r="A1625" s="523" t="s">
        <v>370</v>
      </c>
      <c r="B1625" s="459" t="s">
        <v>463</v>
      </c>
      <c r="C1625" s="247" t="s">
        <v>28</v>
      </c>
      <c r="D1625" s="248" t="s">
        <v>135</v>
      </c>
      <c r="E1625" s="249">
        <v>7.4149012567324962E-4</v>
      </c>
      <c r="F1625" s="250" t="s">
        <v>133</v>
      </c>
      <c r="G1625" s="251" t="s">
        <v>16</v>
      </c>
      <c r="H1625" s="252">
        <v>1</v>
      </c>
      <c r="I1625" s="252">
        <v>1</v>
      </c>
      <c r="J1625" s="252">
        <v>3</v>
      </c>
      <c r="K1625" s="252">
        <v>3</v>
      </c>
      <c r="L1625" s="253">
        <v>3</v>
      </c>
      <c r="M1625" s="254">
        <f t="shared" si="51"/>
        <v>1.1181151966036349</v>
      </c>
      <c r="N1625" s="255"/>
    </row>
    <row r="1626" spans="1:14" hidden="1" x14ac:dyDescent="0.2">
      <c r="A1626" s="523" t="s">
        <v>370</v>
      </c>
      <c r="B1626" s="459" t="s">
        <v>463</v>
      </c>
      <c r="C1626" s="247" t="s">
        <v>30</v>
      </c>
      <c r="D1626" s="248" t="s">
        <v>135</v>
      </c>
      <c r="E1626" s="249">
        <v>5.242574257425742E-4</v>
      </c>
      <c r="F1626" s="250" t="s">
        <v>133</v>
      </c>
      <c r="G1626" s="251" t="s">
        <v>16</v>
      </c>
      <c r="H1626" s="252">
        <v>1</v>
      </c>
      <c r="I1626" s="252">
        <v>1</v>
      </c>
      <c r="J1626" s="252">
        <v>3</v>
      </c>
      <c r="K1626" s="252">
        <v>3</v>
      </c>
      <c r="L1626" s="253">
        <v>3</v>
      </c>
      <c r="M1626" s="254">
        <f t="shared" si="51"/>
        <v>1.1181151966036349</v>
      </c>
      <c r="N1626" s="255"/>
    </row>
    <row r="1627" spans="1:14" hidden="1" x14ac:dyDescent="0.2">
      <c r="A1627" s="523" t="s">
        <v>370</v>
      </c>
      <c r="B1627" s="459" t="s">
        <v>463</v>
      </c>
      <c r="C1627" s="247" t="s">
        <v>32</v>
      </c>
      <c r="D1627" s="248" t="s">
        <v>135</v>
      </c>
      <c r="E1627" s="249">
        <v>1.23378640776699E-3</v>
      </c>
      <c r="F1627" s="250" t="s">
        <v>133</v>
      </c>
      <c r="G1627" s="251" t="s">
        <v>16</v>
      </c>
      <c r="H1627" s="252">
        <v>1</v>
      </c>
      <c r="I1627" s="252">
        <v>1</v>
      </c>
      <c r="J1627" s="252">
        <v>3</v>
      </c>
      <c r="K1627" s="252">
        <v>3</v>
      </c>
      <c r="L1627" s="253">
        <v>3</v>
      </c>
      <c r="M1627" s="254">
        <f t="shared" si="51"/>
        <v>1.1181151966036349</v>
      </c>
      <c r="N1627" s="255"/>
    </row>
    <row r="1628" spans="1:14" hidden="1" x14ac:dyDescent="0.2">
      <c r="A1628" s="523" t="s">
        <v>370</v>
      </c>
      <c r="B1628" s="459" t="s">
        <v>463</v>
      </c>
      <c r="C1628" s="247" t="s">
        <v>34</v>
      </c>
      <c r="D1628" s="248" t="s">
        <v>135</v>
      </c>
      <c r="E1628" s="249">
        <v>1.5009448818897641E-3</v>
      </c>
      <c r="F1628" s="250" t="s">
        <v>133</v>
      </c>
      <c r="G1628" s="251" t="s">
        <v>16</v>
      </c>
      <c r="H1628" s="252">
        <v>1</v>
      </c>
      <c r="I1628" s="252">
        <v>1</v>
      </c>
      <c r="J1628" s="252">
        <v>3</v>
      </c>
      <c r="K1628" s="252">
        <v>3</v>
      </c>
      <c r="L1628" s="253">
        <v>3</v>
      </c>
      <c r="M1628" s="254">
        <f t="shared" si="51"/>
        <v>1.1181151966036349</v>
      </c>
      <c r="N1628" s="255"/>
    </row>
    <row r="1629" spans="1:14" hidden="1" x14ac:dyDescent="0.2">
      <c r="A1629" s="523" t="s">
        <v>370</v>
      </c>
      <c r="B1629" s="459" t="s">
        <v>463</v>
      </c>
      <c r="C1629" s="247" t="s">
        <v>36</v>
      </c>
      <c r="D1629" s="248" t="s">
        <v>135</v>
      </c>
      <c r="E1629" s="249">
        <v>1.4482051282051281E-3</v>
      </c>
      <c r="F1629" s="250" t="s">
        <v>133</v>
      </c>
      <c r="G1629" s="251" t="s">
        <v>16</v>
      </c>
      <c r="H1629" s="252">
        <v>1</v>
      </c>
      <c r="I1629" s="252">
        <v>1</v>
      </c>
      <c r="J1629" s="252">
        <v>3</v>
      </c>
      <c r="K1629" s="252">
        <v>3</v>
      </c>
      <c r="L1629" s="253">
        <v>3</v>
      </c>
      <c r="M1629" s="254">
        <f t="shared" si="51"/>
        <v>1.1181151966036349</v>
      </c>
      <c r="N1629" s="255"/>
    </row>
    <row r="1630" spans="1:14" hidden="1" x14ac:dyDescent="0.2">
      <c r="A1630" s="523" t="s">
        <v>370</v>
      </c>
      <c r="B1630" s="459" t="s">
        <v>463</v>
      </c>
      <c r="C1630" s="247" t="s">
        <v>37</v>
      </c>
      <c r="D1630" s="248" t="s">
        <v>135</v>
      </c>
      <c r="E1630" s="249">
        <v>6.0483967935871753E-3</v>
      </c>
      <c r="F1630" s="250" t="s">
        <v>133</v>
      </c>
      <c r="G1630" s="251" t="s">
        <v>16</v>
      </c>
      <c r="H1630" s="252">
        <v>1</v>
      </c>
      <c r="I1630" s="252">
        <v>1</v>
      </c>
      <c r="J1630" s="252">
        <v>3</v>
      </c>
      <c r="K1630" s="252">
        <v>3</v>
      </c>
      <c r="L1630" s="253">
        <v>3</v>
      </c>
      <c r="M1630" s="254">
        <f t="shared" si="51"/>
        <v>1.1181151966036349</v>
      </c>
      <c r="N1630" s="255"/>
    </row>
    <row r="1631" spans="1:14" hidden="1" x14ac:dyDescent="0.2">
      <c r="A1631" s="523" t="s">
        <v>370</v>
      </c>
      <c r="B1631" s="459" t="s">
        <v>463</v>
      </c>
      <c r="C1631" s="247" t="s">
        <v>39</v>
      </c>
      <c r="D1631" s="248" t="s">
        <v>135</v>
      </c>
      <c r="E1631" s="249">
        <v>2.9662407862407862E-3</v>
      </c>
      <c r="F1631" s="250" t="s">
        <v>133</v>
      </c>
      <c r="G1631" s="251" t="s">
        <v>16</v>
      </c>
      <c r="H1631" s="252">
        <v>1</v>
      </c>
      <c r="I1631" s="252">
        <v>1</v>
      </c>
      <c r="J1631" s="252">
        <v>3</v>
      </c>
      <c r="K1631" s="252">
        <v>3</v>
      </c>
      <c r="L1631" s="253">
        <v>3</v>
      </c>
      <c r="M1631" s="254">
        <f t="shared" si="51"/>
        <v>1.1181151966036349</v>
      </c>
      <c r="N1631" s="255"/>
    </row>
    <row r="1632" spans="1:14" hidden="1" x14ac:dyDescent="0.2">
      <c r="A1632" s="523" t="s">
        <v>370</v>
      </c>
      <c r="B1632" s="459" t="s">
        <v>463</v>
      </c>
      <c r="C1632" s="247" t="s">
        <v>40</v>
      </c>
      <c r="D1632" s="248" t="s">
        <v>135</v>
      </c>
      <c r="E1632" s="249">
        <v>9.5857758620689656E-4</v>
      </c>
      <c r="F1632" s="250" t="s">
        <v>133</v>
      </c>
      <c r="G1632" s="251" t="s">
        <v>16</v>
      </c>
      <c r="H1632" s="252">
        <v>1</v>
      </c>
      <c r="I1632" s="252">
        <v>1</v>
      </c>
      <c r="J1632" s="252">
        <v>3</v>
      </c>
      <c r="K1632" s="252">
        <v>3</v>
      </c>
      <c r="L1632" s="253">
        <v>3</v>
      </c>
      <c r="M1632" s="254">
        <f t="shared" si="51"/>
        <v>1.1181151966036349</v>
      </c>
      <c r="N1632" s="255"/>
    </row>
    <row r="1633" spans="1:14" hidden="1" x14ac:dyDescent="0.2">
      <c r="A1633" s="523" t="s">
        <v>370</v>
      </c>
      <c r="B1633" s="459" t="s">
        <v>463</v>
      </c>
      <c r="C1633" s="247" t="s">
        <v>41</v>
      </c>
      <c r="D1633" s="248" t="s">
        <v>135</v>
      </c>
      <c r="E1633" s="249">
        <v>4.352054794520548E-4</v>
      </c>
      <c r="F1633" s="250" t="s">
        <v>133</v>
      </c>
      <c r="G1633" s="251" t="s">
        <v>16</v>
      </c>
      <c r="H1633" s="252">
        <v>1</v>
      </c>
      <c r="I1633" s="252">
        <v>1</v>
      </c>
      <c r="J1633" s="252">
        <v>3</v>
      </c>
      <c r="K1633" s="252">
        <v>3</v>
      </c>
      <c r="L1633" s="253">
        <v>3</v>
      </c>
      <c r="M1633" s="254">
        <f t="shared" si="51"/>
        <v>1.1181151966036349</v>
      </c>
      <c r="N1633" s="255"/>
    </row>
    <row r="1634" spans="1:14" hidden="1" x14ac:dyDescent="0.2">
      <c r="A1634" s="523" t="s">
        <v>370</v>
      </c>
      <c r="B1634" s="459" t="s">
        <v>463</v>
      </c>
      <c r="C1634" s="247" t="s">
        <v>42</v>
      </c>
      <c r="D1634" s="248" t="s">
        <v>135</v>
      </c>
      <c r="E1634" s="249">
        <v>2.1274553571428568E-3</v>
      </c>
      <c r="F1634" s="250" t="s">
        <v>133</v>
      </c>
      <c r="G1634" s="251" t="s">
        <v>16</v>
      </c>
      <c r="H1634" s="252">
        <v>1</v>
      </c>
      <c r="I1634" s="252">
        <v>1</v>
      </c>
      <c r="J1634" s="252">
        <v>3</v>
      </c>
      <c r="K1634" s="252">
        <v>3</v>
      </c>
      <c r="L1634" s="253">
        <v>3</v>
      </c>
      <c r="M1634" s="254">
        <f t="shared" si="51"/>
        <v>1.1181151966036349</v>
      </c>
      <c r="N1634" s="255"/>
    </row>
    <row r="1635" spans="1:14" hidden="1" x14ac:dyDescent="0.2">
      <c r="A1635" s="523" t="s">
        <v>370</v>
      </c>
      <c r="B1635" s="459" t="s">
        <v>463</v>
      </c>
      <c r="C1635" s="247" t="s">
        <v>43</v>
      </c>
      <c r="D1635" s="248" t="s">
        <v>135</v>
      </c>
      <c r="E1635" s="249">
        <v>4.9737769080234839E-4</v>
      </c>
      <c r="F1635" s="250" t="s">
        <v>133</v>
      </c>
      <c r="G1635" s="251" t="s">
        <v>16</v>
      </c>
      <c r="H1635" s="252">
        <v>1</v>
      </c>
      <c r="I1635" s="252">
        <v>1</v>
      </c>
      <c r="J1635" s="252">
        <v>3</v>
      </c>
      <c r="K1635" s="252">
        <v>3</v>
      </c>
      <c r="L1635" s="253">
        <v>3</v>
      </c>
      <c r="M1635" s="254">
        <f t="shared" si="51"/>
        <v>1.1181151966036349</v>
      </c>
      <c r="N1635" s="255"/>
    </row>
    <row r="1636" spans="1:14" x14ac:dyDescent="0.2">
      <c r="A1636" s="523" t="s">
        <v>370</v>
      </c>
      <c r="B1636" s="459" t="s">
        <v>463</v>
      </c>
      <c r="C1636" s="247" t="s">
        <v>45</v>
      </c>
      <c r="D1636" s="248" t="s">
        <v>135</v>
      </c>
      <c r="E1636" s="249">
        <v>6.8784844384303125E-4</v>
      </c>
      <c r="F1636" s="250" t="s">
        <v>133</v>
      </c>
      <c r="G1636" s="251" t="s">
        <v>16</v>
      </c>
      <c r="H1636" s="252">
        <v>1</v>
      </c>
      <c r="I1636" s="252">
        <v>1</v>
      </c>
      <c r="J1636" s="252">
        <v>3</v>
      </c>
      <c r="K1636" s="252">
        <v>3</v>
      </c>
      <c r="L1636" s="253">
        <v>3</v>
      </c>
      <c r="M1636" s="254">
        <f t="shared" si="51"/>
        <v>1.1181151966036349</v>
      </c>
      <c r="N1636" s="255"/>
    </row>
    <row r="1637" spans="1:14" hidden="1" x14ac:dyDescent="0.2">
      <c r="A1637" s="523" t="s">
        <v>370</v>
      </c>
      <c r="B1637" s="459" t="s">
        <v>463</v>
      </c>
      <c r="C1637" s="247" t="s">
        <v>46</v>
      </c>
      <c r="D1637" s="248" t="s">
        <v>135</v>
      </c>
      <c r="E1637" s="249">
        <v>1.2553495440729479E-3</v>
      </c>
      <c r="F1637" s="250" t="s">
        <v>133</v>
      </c>
      <c r="G1637" s="251" t="s">
        <v>16</v>
      </c>
      <c r="H1637" s="252">
        <v>1</v>
      </c>
      <c r="I1637" s="252">
        <v>1</v>
      </c>
      <c r="J1637" s="252">
        <v>3</v>
      </c>
      <c r="K1637" s="252">
        <v>3</v>
      </c>
      <c r="L1637" s="253">
        <v>3</v>
      </c>
      <c r="M1637" s="254">
        <f t="shared" si="51"/>
        <v>1.1181151966036349</v>
      </c>
      <c r="N1637" s="255"/>
    </row>
    <row r="1638" spans="1:14" hidden="1" x14ac:dyDescent="0.2">
      <c r="A1638" s="523" t="s">
        <v>370</v>
      </c>
      <c r="B1638" s="459" t="s">
        <v>463</v>
      </c>
      <c r="C1638" s="247" t="s">
        <v>48</v>
      </c>
      <c r="D1638" s="248" t="s">
        <v>135</v>
      </c>
      <c r="E1638" s="249">
        <v>9.3994082840236678E-4</v>
      </c>
      <c r="F1638" s="250" t="s">
        <v>133</v>
      </c>
      <c r="G1638" s="251" t="s">
        <v>16</v>
      </c>
      <c r="H1638" s="252">
        <v>1</v>
      </c>
      <c r="I1638" s="252">
        <v>1</v>
      </c>
      <c r="J1638" s="252">
        <v>3</v>
      </c>
      <c r="K1638" s="252">
        <v>3</v>
      </c>
      <c r="L1638" s="253">
        <v>3</v>
      </c>
      <c r="M1638" s="254">
        <f t="shared" si="51"/>
        <v>1.1181151966036349</v>
      </c>
      <c r="N1638" s="255"/>
    </row>
    <row r="1639" spans="1:14" hidden="1" x14ac:dyDescent="0.2">
      <c r="A1639" s="523" t="s">
        <v>370</v>
      </c>
      <c r="B1639" s="459" t="s">
        <v>463</v>
      </c>
      <c r="C1639" s="247" t="s">
        <v>50</v>
      </c>
      <c r="D1639" s="248" t="s">
        <v>135</v>
      </c>
      <c r="E1639" s="249">
        <v>5.72327205882353E-3</v>
      </c>
      <c r="F1639" s="250" t="s">
        <v>133</v>
      </c>
      <c r="G1639" s="251" t="s">
        <v>16</v>
      </c>
      <c r="H1639" s="252">
        <v>1</v>
      </c>
      <c r="I1639" s="252">
        <v>1</v>
      </c>
      <c r="J1639" s="252">
        <v>3</v>
      </c>
      <c r="K1639" s="252">
        <v>3</v>
      </c>
      <c r="L1639" s="253">
        <v>3</v>
      </c>
      <c r="M1639" s="254">
        <f t="shared" si="51"/>
        <v>1.1181151966036349</v>
      </c>
      <c r="N1639" s="255"/>
    </row>
    <row r="1640" spans="1:14" hidden="1" x14ac:dyDescent="0.2">
      <c r="A1640" s="523" t="s">
        <v>370</v>
      </c>
      <c r="B1640" s="459" t="s">
        <v>463</v>
      </c>
      <c r="C1640" s="247" t="s">
        <v>52</v>
      </c>
      <c r="D1640" s="248" t="s">
        <v>135</v>
      </c>
      <c r="E1640" s="249">
        <v>9.2086956521739128E-4</v>
      </c>
      <c r="F1640" s="250" t="s">
        <v>133</v>
      </c>
      <c r="G1640" s="251" t="s">
        <v>16</v>
      </c>
      <c r="H1640" s="252">
        <v>1</v>
      </c>
      <c r="I1640" s="252">
        <v>1</v>
      </c>
      <c r="J1640" s="252">
        <v>3</v>
      </c>
      <c r="K1640" s="252">
        <v>3</v>
      </c>
      <c r="L1640" s="253">
        <v>3</v>
      </c>
      <c r="M1640" s="254">
        <f t="shared" si="51"/>
        <v>1.1181151966036349</v>
      </c>
      <c r="N1640" s="255"/>
    </row>
    <row r="1641" spans="1:14" hidden="1" x14ac:dyDescent="0.2">
      <c r="A1641" s="523" t="s">
        <v>370</v>
      </c>
      <c r="B1641" s="459" t="s">
        <v>463</v>
      </c>
      <c r="C1641" s="247" t="s">
        <v>54</v>
      </c>
      <c r="D1641" s="248" t="s">
        <v>135</v>
      </c>
      <c r="E1641" s="249">
        <v>5.8833333333333329E-4</v>
      </c>
      <c r="F1641" s="250" t="s">
        <v>133</v>
      </c>
      <c r="G1641" s="251" t="s">
        <v>16</v>
      </c>
      <c r="H1641" s="252">
        <v>1</v>
      </c>
      <c r="I1641" s="252">
        <v>1</v>
      </c>
      <c r="J1641" s="252">
        <v>3</v>
      </c>
      <c r="K1641" s="252">
        <v>3</v>
      </c>
      <c r="L1641" s="253">
        <v>3</v>
      </c>
      <c r="M1641" s="254">
        <f t="shared" ref="M1641:M1671" si="52">IF( OR( ISBLANK(H1641),ISBLANK(I1641), ISBLANK(J1641), ISBLANK(K1641), ISBLANK(L1641) ), "", 1.5*SQRT( EXP(2.21*(H1641-1)) + EXP(2.21*(I1641-1)) + EXP(2.21*(J1641-1)) + EXP(2.21*(K1641-1)) + EXP(2.21*L1641) )/100*2.45 )</f>
        <v>1.1181151966036349</v>
      </c>
      <c r="N1641" s="255"/>
    </row>
    <row r="1642" spans="1:14" hidden="1" x14ac:dyDescent="0.2">
      <c r="A1642" s="523" t="s">
        <v>370</v>
      </c>
      <c r="B1642" s="459" t="s">
        <v>463</v>
      </c>
      <c r="C1642" s="247" t="s">
        <v>55</v>
      </c>
      <c r="D1642" s="248" t="s">
        <v>135</v>
      </c>
      <c r="E1642" s="249">
        <v>1.2708000000000001E-3</v>
      </c>
      <c r="F1642" s="250" t="s">
        <v>133</v>
      </c>
      <c r="G1642" s="251" t="s">
        <v>16</v>
      </c>
      <c r="H1642" s="252">
        <v>1</v>
      </c>
      <c r="I1642" s="252">
        <v>1</v>
      </c>
      <c r="J1642" s="252">
        <v>3</v>
      </c>
      <c r="K1642" s="252">
        <v>3</v>
      </c>
      <c r="L1642" s="253">
        <v>3</v>
      </c>
      <c r="M1642" s="254">
        <f t="shared" si="52"/>
        <v>1.1181151966036349</v>
      </c>
      <c r="N1642" s="255"/>
    </row>
    <row r="1643" spans="1:14" hidden="1" x14ac:dyDescent="0.2">
      <c r="A1643" s="523" t="s">
        <v>370</v>
      </c>
      <c r="B1643" s="459" t="s">
        <v>463</v>
      </c>
      <c r="C1643" s="247" t="s">
        <v>57</v>
      </c>
      <c r="D1643" s="248" t="s">
        <v>135</v>
      </c>
      <c r="E1643" s="249">
        <v>5.8562211981566818E-4</v>
      </c>
      <c r="F1643" s="250" t="s">
        <v>133</v>
      </c>
      <c r="G1643" s="251" t="s">
        <v>16</v>
      </c>
      <c r="H1643" s="252">
        <v>1</v>
      </c>
      <c r="I1643" s="252">
        <v>1</v>
      </c>
      <c r="J1643" s="252">
        <v>3</v>
      </c>
      <c r="K1643" s="252">
        <v>3</v>
      </c>
      <c r="L1643" s="253">
        <v>3</v>
      </c>
      <c r="M1643" s="254">
        <f t="shared" si="52"/>
        <v>1.1181151966036349</v>
      </c>
      <c r="N1643" s="255"/>
    </row>
    <row r="1644" spans="1:14" hidden="1" x14ac:dyDescent="0.2">
      <c r="A1644" s="523" t="s">
        <v>370</v>
      </c>
      <c r="B1644" s="459" t="s">
        <v>463</v>
      </c>
      <c r="C1644" s="247" t="s">
        <v>59</v>
      </c>
      <c r="D1644" s="248" t="s">
        <v>135</v>
      </c>
      <c r="E1644" s="249">
        <v>2.7E-4</v>
      </c>
      <c r="F1644" s="250" t="s">
        <v>133</v>
      </c>
      <c r="G1644" s="251" t="s">
        <v>16</v>
      </c>
      <c r="H1644" s="252">
        <v>1</v>
      </c>
      <c r="I1644" s="252">
        <v>1</v>
      </c>
      <c r="J1644" s="252">
        <v>3</v>
      </c>
      <c r="K1644" s="252">
        <v>3</v>
      </c>
      <c r="L1644" s="253">
        <v>3</v>
      </c>
      <c r="M1644" s="254">
        <f t="shared" si="52"/>
        <v>1.1181151966036349</v>
      </c>
      <c r="N1644" s="255"/>
    </row>
    <row r="1645" spans="1:14" hidden="1" x14ac:dyDescent="0.2">
      <c r="A1645" s="523" t="s">
        <v>370</v>
      </c>
      <c r="B1645" s="459" t="s">
        <v>463</v>
      </c>
      <c r="C1645" s="247" t="s">
        <v>60</v>
      </c>
      <c r="D1645" s="248" t="s">
        <v>135</v>
      </c>
      <c r="E1645" s="249">
        <v>1.23511879049676E-3</v>
      </c>
      <c r="F1645" s="250" t="s">
        <v>133</v>
      </c>
      <c r="G1645" s="251" t="s">
        <v>16</v>
      </c>
      <c r="H1645" s="252">
        <v>1</v>
      </c>
      <c r="I1645" s="252">
        <v>1</v>
      </c>
      <c r="J1645" s="252">
        <v>3</v>
      </c>
      <c r="K1645" s="252">
        <v>3</v>
      </c>
      <c r="L1645" s="253">
        <v>3</v>
      </c>
      <c r="M1645" s="254">
        <f t="shared" si="52"/>
        <v>1.1181151966036349</v>
      </c>
      <c r="N1645" s="255"/>
    </row>
    <row r="1646" spans="1:14" x14ac:dyDescent="0.2">
      <c r="A1646" s="523" t="s">
        <v>370</v>
      </c>
      <c r="B1646" s="575" t="s">
        <v>493</v>
      </c>
      <c r="C1646" s="525" t="s">
        <v>135</v>
      </c>
      <c r="D1646" s="527" t="s">
        <v>135</v>
      </c>
      <c r="E1646" s="527">
        <v>0.46</v>
      </c>
      <c r="F1646" s="333" t="s">
        <v>495</v>
      </c>
      <c r="G1646" s="528" t="s">
        <v>16</v>
      </c>
      <c r="H1646" s="527">
        <v>2</v>
      </c>
      <c r="I1646" s="527">
        <v>3</v>
      </c>
      <c r="J1646" s="527">
        <v>3</v>
      </c>
      <c r="K1646" s="527">
        <v>1</v>
      </c>
      <c r="L1646" s="529">
        <v>1</v>
      </c>
      <c r="M1646" s="60">
        <f t="shared" si="52"/>
        <v>0.50042652380814845</v>
      </c>
    </row>
    <row r="1647" spans="1:14" x14ac:dyDescent="0.2">
      <c r="A1647" s="523" t="s">
        <v>370</v>
      </c>
      <c r="B1647" s="575" t="s">
        <v>493</v>
      </c>
      <c r="C1647" s="525" t="s">
        <v>135</v>
      </c>
      <c r="D1647" s="527" t="s">
        <v>135</v>
      </c>
      <c r="E1647" s="527">
        <v>6.5000000000000002E-2</v>
      </c>
      <c r="F1647" s="333" t="s">
        <v>494</v>
      </c>
      <c r="G1647" s="528" t="s">
        <v>16</v>
      </c>
      <c r="H1647" s="527">
        <v>2</v>
      </c>
      <c r="I1647" s="527">
        <v>4</v>
      </c>
      <c r="J1647" s="527">
        <v>3</v>
      </c>
      <c r="K1647" s="527">
        <v>1</v>
      </c>
      <c r="L1647" s="529">
        <v>1</v>
      </c>
      <c r="M1647" s="60">
        <f t="shared" si="52"/>
        <v>1.0776024280428556</v>
      </c>
    </row>
    <row r="1648" spans="1:14" x14ac:dyDescent="0.2">
      <c r="A1648" s="531" t="s">
        <v>370</v>
      </c>
      <c r="B1648" s="574" t="s">
        <v>493</v>
      </c>
      <c r="C1648" s="533" t="s">
        <v>135</v>
      </c>
      <c r="D1648" s="330" t="s">
        <v>135</v>
      </c>
      <c r="E1648" s="330">
        <v>0.22</v>
      </c>
      <c r="F1648" s="534" t="s">
        <v>497</v>
      </c>
      <c r="G1648" s="535" t="s">
        <v>16</v>
      </c>
      <c r="H1648" s="330">
        <v>2</v>
      </c>
      <c r="I1648" s="330">
        <v>1</v>
      </c>
      <c r="J1648" s="330">
        <v>3</v>
      </c>
      <c r="K1648" s="330">
        <v>1</v>
      </c>
      <c r="L1648" s="536">
        <v>2</v>
      </c>
      <c r="M1648" s="537">
        <f t="shared" si="52"/>
        <v>0.48935255543384243</v>
      </c>
      <c r="N1648" s="533"/>
    </row>
    <row r="1649" spans="1:14" hidden="1" x14ac:dyDescent="0.2">
      <c r="A1649" s="523" t="s">
        <v>371</v>
      </c>
      <c r="B1649" s="459" t="s">
        <v>463</v>
      </c>
      <c r="C1649" s="247" t="s">
        <v>13</v>
      </c>
      <c r="D1649" s="248" t="s">
        <v>135</v>
      </c>
      <c r="E1649" s="249">
        <v>4.9383419689119179E-4</v>
      </c>
      <c r="F1649" s="250" t="s">
        <v>133</v>
      </c>
      <c r="G1649" s="251" t="s">
        <v>16</v>
      </c>
      <c r="H1649" s="252">
        <v>1</v>
      </c>
      <c r="I1649" s="252">
        <v>1</v>
      </c>
      <c r="J1649" s="252">
        <v>3</v>
      </c>
      <c r="K1649" s="252">
        <v>3</v>
      </c>
      <c r="L1649" s="253">
        <v>3</v>
      </c>
      <c r="M1649" s="254">
        <f t="shared" si="52"/>
        <v>1.1181151966036349</v>
      </c>
      <c r="N1649" s="255"/>
    </row>
    <row r="1650" spans="1:14" hidden="1" x14ac:dyDescent="0.2">
      <c r="A1650" s="523" t="s">
        <v>371</v>
      </c>
      <c r="B1650" s="459" t="s">
        <v>463</v>
      </c>
      <c r="C1650" s="247" t="s">
        <v>18</v>
      </c>
      <c r="D1650" s="248" t="s">
        <v>135</v>
      </c>
      <c r="E1650" s="249">
        <v>6.2141809290953553E-4</v>
      </c>
      <c r="F1650" s="250" t="s">
        <v>133</v>
      </c>
      <c r="G1650" s="251" t="s">
        <v>16</v>
      </c>
      <c r="H1650" s="252">
        <v>1</v>
      </c>
      <c r="I1650" s="252">
        <v>1</v>
      </c>
      <c r="J1650" s="252">
        <v>3</v>
      </c>
      <c r="K1650" s="252">
        <v>3</v>
      </c>
      <c r="L1650" s="253">
        <v>3</v>
      </c>
      <c r="M1650" s="254">
        <f t="shared" si="52"/>
        <v>1.1181151966036349</v>
      </c>
      <c r="N1650" s="255"/>
    </row>
    <row r="1651" spans="1:14" hidden="1" x14ac:dyDescent="0.2">
      <c r="A1651" s="523" t="s">
        <v>371</v>
      </c>
      <c r="B1651" s="459" t="s">
        <v>463</v>
      </c>
      <c r="C1651" s="247" t="s">
        <v>20</v>
      </c>
      <c r="D1651" s="248" t="s">
        <v>135</v>
      </c>
      <c r="E1651" s="249">
        <v>1.717297297297297E-3</v>
      </c>
      <c r="F1651" s="250" t="s">
        <v>133</v>
      </c>
      <c r="G1651" s="251" t="s">
        <v>16</v>
      </c>
      <c r="H1651" s="252">
        <v>1</v>
      </c>
      <c r="I1651" s="252">
        <v>1</v>
      </c>
      <c r="J1651" s="252">
        <v>3</v>
      </c>
      <c r="K1651" s="252">
        <v>3</v>
      </c>
      <c r="L1651" s="253">
        <v>3</v>
      </c>
      <c r="M1651" s="254">
        <f t="shared" si="52"/>
        <v>1.1181151966036349</v>
      </c>
      <c r="N1651" s="255"/>
    </row>
    <row r="1652" spans="1:14" hidden="1" x14ac:dyDescent="0.2">
      <c r="A1652" s="523" t="s">
        <v>371</v>
      </c>
      <c r="B1652" s="459" t="s">
        <v>463</v>
      </c>
      <c r="C1652" s="247" t="s">
        <v>22</v>
      </c>
      <c r="D1652" s="248" t="s">
        <v>135</v>
      </c>
      <c r="E1652" s="249">
        <v>1.397291666666666E-3</v>
      </c>
      <c r="F1652" s="250" t="s">
        <v>133</v>
      </c>
      <c r="G1652" s="251" t="s">
        <v>16</v>
      </c>
      <c r="H1652" s="252">
        <v>1</v>
      </c>
      <c r="I1652" s="252">
        <v>1</v>
      </c>
      <c r="J1652" s="252">
        <v>3</v>
      </c>
      <c r="K1652" s="252">
        <v>3</v>
      </c>
      <c r="L1652" s="253">
        <v>3</v>
      </c>
      <c r="M1652" s="254">
        <f t="shared" si="52"/>
        <v>1.1181151966036349</v>
      </c>
      <c r="N1652" s="255"/>
    </row>
    <row r="1653" spans="1:14" hidden="1" x14ac:dyDescent="0.2">
      <c r="A1653" s="523" t="s">
        <v>371</v>
      </c>
      <c r="B1653" s="459" t="s">
        <v>463</v>
      </c>
      <c r="C1653" s="247" t="s">
        <v>23</v>
      </c>
      <c r="D1653" s="248" t="s">
        <v>135</v>
      </c>
      <c r="E1653" s="249">
        <v>1.868823529411765E-3</v>
      </c>
      <c r="F1653" s="250" t="s">
        <v>133</v>
      </c>
      <c r="G1653" s="251" t="s">
        <v>16</v>
      </c>
      <c r="H1653" s="252">
        <v>1</v>
      </c>
      <c r="I1653" s="252">
        <v>1</v>
      </c>
      <c r="J1653" s="252">
        <v>3</v>
      </c>
      <c r="K1653" s="252">
        <v>3</v>
      </c>
      <c r="L1653" s="253">
        <v>3</v>
      </c>
      <c r="M1653" s="254">
        <f t="shared" si="52"/>
        <v>1.1181151966036349</v>
      </c>
      <c r="N1653" s="255"/>
    </row>
    <row r="1654" spans="1:14" hidden="1" x14ac:dyDescent="0.2">
      <c r="A1654" s="523" t="s">
        <v>371</v>
      </c>
      <c r="B1654" s="459" t="s">
        <v>463</v>
      </c>
      <c r="C1654" s="247" t="s">
        <v>24</v>
      </c>
      <c r="D1654" s="248" t="s">
        <v>135</v>
      </c>
      <c r="E1654" s="249">
        <v>8.3605263157894745E-4</v>
      </c>
      <c r="F1654" s="250" t="s">
        <v>133</v>
      </c>
      <c r="G1654" s="251" t="s">
        <v>16</v>
      </c>
      <c r="H1654" s="252">
        <v>1</v>
      </c>
      <c r="I1654" s="252">
        <v>1</v>
      </c>
      <c r="J1654" s="252">
        <v>3</v>
      </c>
      <c r="K1654" s="252">
        <v>3</v>
      </c>
      <c r="L1654" s="253">
        <v>3</v>
      </c>
      <c r="M1654" s="254">
        <f t="shared" si="52"/>
        <v>1.1181151966036349</v>
      </c>
      <c r="N1654" s="255"/>
    </row>
    <row r="1655" spans="1:14" hidden="1" x14ac:dyDescent="0.2">
      <c r="A1655" s="523" t="s">
        <v>371</v>
      </c>
      <c r="B1655" s="459" t="s">
        <v>463</v>
      </c>
      <c r="C1655" s="247" t="s">
        <v>25</v>
      </c>
      <c r="D1655" s="248" t="s">
        <v>135</v>
      </c>
      <c r="E1655" s="249">
        <v>4.2932432432432442E-4</v>
      </c>
      <c r="F1655" s="250" t="s">
        <v>133</v>
      </c>
      <c r="G1655" s="251" t="s">
        <v>16</v>
      </c>
      <c r="H1655" s="252">
        <v>1</v>
      </c>
      <c r="I1655" s="252">
        <v>1</v>
      </c>
      <c r="J1655" s="252">
        <v>3</v>
      </c>
      <c r="K1655" s="252">
        <v>3</v>
      </c>
      <c r="L1655" s="253">
        <v>3</v>
      </c>
      <c r="M1655" s="254">
        <f t="shared" si="52"/>
        <v>1.1181151966036349</v>
      </c>
      <c r="N1655" s="255"/>
    </row>
    <row r="1656" spans="1:14" hidden="1" x14ac:dyDescent="0.2">
      <c r="A1656" s="523" t="s">
        <v>371</v>
      </c>
      <c r="B1656" s="459" t="s">
        <v>463</v>
      </c>
      <c r="C1656" s="247" t="s">
        <v>26</v>
      </c>
      <c r="D1656" s="248" t="s">
        <v>135</v>
      </c>
      <c r="E1656" s="249">
        <v>2.9808888888888888E-3</v>
      </c>
      <c r="F1656" s="250" t="s">
        <v>133</v>
      </c>
      <c r="G1656" s="251" t="s">
        <v>16</v>
      </c>
      <c r="H1656" s="252">
        <v>1</v>
      </c>
      <c r="I1656" s="252">
        <v>1</v>
      </c>
      <c r="J1656" s="252">
        <v>3</v>
      </c>
      <c r="K1656" s="252">
        <v>3</v>
      </c>
      <c r="L1656" s="253">
        <v>3</v>
      </c>
      <c r="M1656" s="254">
        <f t="shared" si="52"/>
        <v>1.1181151966036349</v>
      </c>
      <c r="N1656" s="255"/>
    </row>
    <row r="1657" spans="1:14" hidden="1" x14ac:dyDescent="0.2">
      <c r="A1657" s="523" t="s">
        <v>371</v>
      </c>
      <c r="B1657" s="459" t="s">
        <v>463</v>
      </c>
      <c r="C1657" s="247" t="s">
        <v>27</v>
      </c>
      <c r="D1657" s="248" t="s">
        <v>135</v>
      </c>
      <c r="E1657" s="249">
        <v>3.4595281306715062E-4</v>
      </c>
      <c r="F1657" s="250" t="s">
        <v>133</v>
      </c>
      <c r="G1657" s="251" t="s">
        <v>16</v>
      </c>
      <c r="H1657" s="252">
        <v>1</v>
      </c>
      <c r="I1657" s="252">
        <v>1</v>
      </c>
      <c r="J1657" s="252">
        <v>3</v>
      </c>
      <c r="K1657" s="252">
        <v>3</v>
      </c>
      <c r="L1657" s="253">
        <v>3</v>
      </c>
      <c r="M1657" s="254">
        <f t="shared" si="52"/>
        <v>1.1181151966036349</v>
      </c>
      <c r="N1657" s="255"/>
    </row>
    <row r="1658" spans="1:14" hidden="1" x14ac:dyDescent="0.2">
      <c r="A1658" s="523" t="s">
        <v>371</v>
      </c>
      <c r="B1658" s="459" t="s">
        <v>463</v>
      </c>
      <c r="C1658" s="247" t="s">
        <v>28</v>
      </c>
      <c r="D1658" s="248" t="s">
        <v>135</v>
      </c>
      <c r="E1658" s="249">
        <v>7.4149012567324962E-4</v>
      </c>
      <c r="F1658" s="250" t="s">
        <v>133</v>
      </c>
      <c r="G1658" s="251" t="s">
        <v>16</v>
      </c>
      <c r="H1658" s="252">
        <v>1</v>
      </c>
      <c r="I1658" s="252">
        <v>1</v>
      </c>
      <c r="J1658" s="252">
        <v>3</v>
      </c>
      <c r="K1658" s="252">
        <v>3</v>
      </c>
      <c r="L1658" s="253">
        <v>3</v>
      </c>
      <c r="M1658" s="254">
        <f t="shared" si="52"/>
        <v>1.1181151966036349</v>
      </c>
      <c r="N1658" s="255"/>
    </row>
    <row r="1659" spans="1:14" hidden="1" x14ac:dyDescent="0.2">
      <c r="A1659" s="523" t="s">
        <v>371</v>
      </c>
      <c r="B1659" s="459" t="s">
        <v>463</v>
      </c>
      <c r="C1659" s="247" t="s">
        <v>30</v>
      </c>
      <c r="D1659" s="248" t="s">
        <v>135</v>
      </c>
      <c r="E1659" s="249">
        <v>5.242574257425742E-4</v>
      </c>
      <c r="F1659" s="250" t="s">
        <v>133</v>
      </c>
      <c r="G1659" s="251" t="s">
        <v>16</v>
      </c>
      <c r="H1659" s="252">
        <v>1</v>
      </c>
      <c r="I1659" s="252">
        <v>1</v>
      </c>
      <c r="J1659" s="252">
        <v>3</v>
      </c>
      <c r="K1659" s="252">
        <v>3</v>
      </c>
      <c r="L1659" s="253">
        <v>3</v>
      </c>
      <c r="M1659" s="254">
        <f t="shared" si="52"/>
        <v>1.1181151966036349</v>
      </c>
      <c r="N1659" s="255"/>
    </row>
    <row r="1660" spans="1:14" hidden="1" x14ac:dyDescent="0.2">
      <c r="A1660" s="523" t="s">
        <v>371</v>
      </c>
      <c r="B1660" s="459" t="s">
        <v>463</v>
      </c>
      <c r="C1660" s="247" t="s">
        <v>32</v>
      </c>
      <c r="D1660" s="248" t="s">
        <v>135</v>
      </c>
      <c r="E1660" s="249">
        <v>1.23378640776699E-3</v>
      </c>
      <c r="F1660" s="250" t="s">
        <v>133</v>
      </c>
      <c r="G1660" s="251" t="s">
        <v>16</v>
      </c>
      <c r="H1660" s="252">
        <v>1</v>
      </c>
      <c r="I1660" s="252">
        <v>1</v>
      </c>
      <c r="J1660" s="252">
        <v>3</v>
      </c>
      <c r="K1660" s="252">
        <v>3</v>
      </c>
      <c r="L1660" s="253">
        <v>3</v>
      </c>
      <c r="M1660" s="254">
        <f t="shared" si="52"/>
        <v>1.1181151966036349</v>
      </c>
      <c r="N1660" s="255"/>
    </row>
    <row r="1661" spans="1:14" hidden="1" x14ac:dyDescent="0.2">
      <c r="A1661" s="523" t="s">
        <v>371</v>
      </c>
      <c r="B1661" s="459" t="s">
        <v>463</v>
      </c>
      <c r="C1661" s="247" t="s">
        <v>34</v>
      </c>
      <c r="D1661" s="248" t="s">
        <v>135</v>
      </c>
      <c r="E1661" s="249">
        <v>1.5009448818897641E-3</v>
      </c>
      <c r="F1661" s="250" t="s">
        <v>133</v>
      </c>
      <c r="G1661" s="251" t="s">
        <v>16</v>
      </c>
      <c r="H1661" s="252">
        <v>1</v>
      </c>
      <c r="I1661" s="252">
        <v>1</v>
      </c>
      <c r="J1661" s="252">
        <v>3</v>
      </c>
      <c r="K1661" s="252">
        <v>3</v>
      </c>
      <c r="L1661" s="253">
        <v>3</v>
      </c>
      <c r="M1661" s="254">
        <f t="shared" si="52"/>
        <v>1.1181151966036349</v>
      </c>
      <c r="N1661" s="255"/>
    </row>
    <row r="1662" spans="1:14" hidden="1" x14ac:dyDescent="0.2">
      <c r="A1662" s="523" t="s">
        <v>371</v>
      </c>
      <c r="B1662" s="459" t="s">
        <v>463</v>
      </c>
      <c r="C1662" s="247" t="s">
        <v>36</v>
      </c>
      <c r="D1662" s="248" t="s">
        <v>135</v>
      </c>
      <c r="E1662" s="249">
        <v>1.4482051282051281E-3</v>
      </c>
      <c r="F1662" s="250" t="s">
        <v>133</v>
      </c>
      <c r="G1662" s="251" t="s">
        <v>16</v>
      </c>
      <c r="H1662" s="252">
        <v>1</v>
      </c>
      <c r="I1662" s="252">
        <v>1</v>
      </c>
      <c r="J1662" s="252">
        <v>3</v>
      </c>
      <c r="K1662" s="252">
        <v>3</v>
      </c>
      <c r="L1662" s="253">
        <v>3</v>
      </c>
      <c r="M1662" s="254">
        <f t="shared" si="52"/>
        <v>1.1181151966036349</v>
      </c>
      <c r="N1662" s="255"/>
    </row>
    <row r="1663" spans="1:14" hidden="1" x14ac:dyDescent="0.2">
      <c r="A1663" s="523" t="s">
        <v>371</v>
      </c>
      <c r="B1663" s="459" t="s">
        <v>463</v>
      </c>
      <c r="C1663" s="247" t="s">
        <v>37</v>
      </c>
      <c r="D1663" s="248" t="s">
        <v>135</v>
      </c>
      <c r="E1663" s="249">
        <v>6.0483967935871753E-3</v>
      </c>
      <c r="F1663" s="250" t="s">
        <v>133</v>
      </c>
      <c r="G1663" s="251" t="s">
        <v>16</v>
      </c>
      <c r="H1663" s="252">
        <v>1</v>
      </c>
      <c r="I1663" s="252">
        <v>1</v>
      </c>
      <c r="J1663" s="252">
        <v>3</v>
      </c>
      <c r="K1663" s="252">
        <v>3</v>
      </c>
      <c r="L1663" s="253">
        <v>3</v>
      </c>
      <c r="M1663" s="254">
        <f t="shared" si="52"/>
        <v>1.1181151966036349</v>
      </c>
      <c r="N1663" s="255"/>
    </row>
    <row r="1664" spans="1:14" hidden="1" x14ac:dyDescent="0.2">
      <c r="A1664" s="523" t="s">
        <v>371</v>
      </c>
      <c r="B1664" s="459" t="s">
        <v>463</v>
      </c>
      <c r="C1664" s="247" t="s">
        <v>39</v>
      </c>
      <c r="D1664" s="248" t="s">
        <v>135</v>
      </c>
      <c r="E1664" s="249">
        <v>2.9662407862407862E-3</v>
      </c>
      <c r="F1664" s="250" t="s">
        <v>133</v>
      </c>
      <c r="G1664" s="251" t="s">
        <v>16</v>
      </c>
      <c r="H1664" s="252">
        <v>1</v>
      </c>
      <c r="I1664" s="252">
        <v>1</v>
      </c>
      <c r="J1664" s="252">
        <v>3</v>
      </c>
      <c r="K1664" s="252">
        <v>3</v>
      </c>
      <c r="L1664" s="253">
        <v>3</v>
      </c>
      <c r="M1664" s="254">
        <f t="shared" si="52"/>
        <v>1.1181151966036349</v>
      </c>
      <c r="N1664" s="255"/>
    </row>
    <row r="1665" spans="1:14" hidden="1" x14ac:dyDescent="0.2">
      <c r="A1665" s="523" t="s">
        <v>371</v>
      </c>
      <c r="B1665" s="459" t="s">
        <v>463</v>
      </c>
      <c r="C1665" s="247" t="s">
        <v>40</v>
      </c>
      <c r="D1665" s="248" t="s">
        <v>135</v>
      </c>
      <c r="E1665" s="249">
        <v>9.5857758620689656E-4</v>
      </c>
      <c r="F1665" s="250" t="s">
        <v>133</v>
      </c>
      <c r="G1665" s="251" t="s">
        <v>16</v>
      </c>
      <c r="H1665" s="252">
        <v>1</v>
      </c>
      <c r="I1665" s="252">
        <v>1</v>
      </c>
      <c r="J1665" s="252">
        <v>3</v>
      </c>
      <c r="K1665" s="252">
        <v>3</v>
      </c>
      <c r="L1665" s="253">
        <v>3</v>
      </c>
      <c r="M1665" s="254">
        <f t="shared" si="52"/>
        <v>1.1181151966036349</v>
      </c>
      <c r="N1665" s="255"/>
    </row>
    <row r="1666" spans="1:14" hidden="1" x14ac:dyDescent="0.2">
      <c r="A1666" s="523" t="s">
        <v>371</v>
      </c>
      <c r="B1666" s="459" t="s">
        <v>463</v>
      </c>
      <c r="C1666" s="247" t="s">
        <v>41</v>
      </c>
      <c r="D1666" s="248" t="s">
        <v>135</v>
      </c>
      <c r="E1666" s="249">
        <v>4.352054794520548E-4</v>
      </c>
      <c r="F1666" s="250" t="s">
        <v>133</v>
      </c>
      <c r="G1666" s="251" t="s">
        <v>16</v>
      </c>
      <c r="H1666" s="252">
        <v>1</v>
      </c>
      <c r="I1666" s="252">
        <v>1</v>
      </c>
      <c r="J1666" s="252">
        <v>3</v>
      </c>
      <c r="K1666" s="252">
        <v>3</v>
      </c>
      <c r="L1666" s="253">
        <v>3</v>
      </c>
      <c r="M1666" s="254">
        <f t="shared" si="52"/>
        <v>1.1181151966036349</v>
      </c>
      <c r="N1666" s="255"/>
    </row>
    <row r="1667" spans="1:14" hidden="1" x14ac:dyDescent="0.2">
      <c r="A1667" s="523" t="s">
        <v>371</v>
      </c>
      <c r="B1667" s="459" t="s">
        <v>463</v>
      </c>
      <c r="C1667" s="247" t="s">
        <v>42</v>
      </c>
      <c r="D1667" s="248" t="s">
        <v>135</v>
      </c>
      <c r="E1667" s="249">
        <v>2.1274553571428568E-3</v>
      </c>
      <c r="F1667" s="250" t="s">
        <v>133</v>
      </c>
      <c r="G1667" s="251" t="s">
        <v>16</v>
      </c>
      <c r="H1667" s="252">
        <v>1</v>
      </c>
      <c r="I1667" s="252">
        <v>1</v>
      </c>
      <c r="J1667" s="252">
        <v>3</v>
      </c>
      <c r="K1667" s="252">
        <v>3</v>
      </c>
      <c r="L1667" s="253">
        <v>3</v>
      </c>
      <c r="M1667" s="254">
        <f t="shared" si="52"/>
        <v>1.1181151966036349</v>
      </c>
      <c r="N1667" s="255"/>
    </row>
    <row r="1668" spans="1:14" hidden="1" x14ac:dyDescent="0.2">
      <c r="A1668" s="523" t="s">
        <v>371</v>
      </c>
      <c r="B1668" s="459" t="s">
        <v>463</v>
      </c>
      <c r="C1668" s="247" t="s">
        <v>43</v>
      </c>
      <c r="D1668" s="248" t="s">
        <v>135</v>
      </c>
      <c r="E1668" s="249">
        <v>4.9737769080234839E-4</v>
      </c>
      <c r="F1668" s="250" t="s">
        <v>133</v>
      </c>
      <c r="G1668" s="251" t="s">
        <v>16</v>
      </c>
      <c r="H1668" s="252">
        <v>1</v>
      </c>
      <c r="I1668" s="252">
        <v>1</v>
      </c>
      <c r="J1668" s="252">
        <v>3</v>
      </c>
      <c r="K1668" s="252">
        <v>3</v>
      </c>
      <c r="L1668" s="253">
        <v>3</v>
      </c>
      <c r="M1668" s="254">
        <f t="shared" si="52"/>
        <v>1.1181151966036349</v>
      </c>
      <c r="N1668" s="255"/>
    </row>
    <row r="1669" spans="1:14" x14ac:dyDescent="0.2">
      <c r="A1669" s="523" t="s">
        <v>371</v>
      </c>
      <c r="B1669" s="459" t="s">
        <v>463</v>
      </c>
      <c r="C1669" s="247" t="s">
        <v>45</v>
      </c>
      <c r="D1669" s="248" t="s">
        <v>135</v>
      </c>
      <c r="E1669" s="249">
        <v>6.8784844384303125E-4</v>
      </c>
      <c r="F1669" s="250" t="s">
        <v>133</v>
      </c>
      <c r="G1669" s="251" t="s">
        <v>16</v>
      </c>
      <c r="H1669" s="252">
        <v>1</v>
      </c>
      <c r="I1669" s="252">
        <v>1</v>
      </c>
      <c r="J1669" s="252">
        <v>3</v>
      </c>
      <c r="K1669" s="252">
        <v>3</v>
      </c>
      <c r="L1669" s="253">
        <v>3</v>
      </c>
      <c r="M1669" s="254">
        <f t="shared" si="52"/>
        <v>1.1181151966036349</v>
      </c>
      <c r="N1669" s="255"/>
    </row>
    <row r="1670" spans="1:14" hidden="1" x14ac:dyDescent="0.2">
      <c r="A1670" s="523" t="s">
        <v>371</v>
      </c>
      <c r="B1670" s="459" t="s">
        <v>463</v>
      </c>
      <c r="C1670" s="247" t="s">
        <v>46</v>
      </c>
      <c r="D1670" s="248" t="s">
        <v>135</v>
      </c>
      <c r="E1670" s="249">
        <v>1.2553495440729479E-3</v>
      </c>
      <c r="F1670" s="250" t="s">
        <v>133</v>
      </c>
      <c r="G1670" s="251" t="s">
        <v>16</v>
      </c>
      <c r="H1670" s="252">
        <v>1</v>
      </c>
      <c r="I1670" s="252">
        <v>1</v>
      </c>
      <c r="J1670" s="252">
        <v>3</v>
      </c>
      <c r="K1670" s="252">
        <v>3</v>
      </c>
      <c r="L1670" s="253">
        <v>3</v>
      </c>
      <c r="M1670" s="254">
        <f t="shared" si="52"/>
        <v>1.1181151966036349</v>
      </c>
      <c r="N1670" s="255"/>
    </row>
    <row r="1671" spans="1:14" hidden="1" x14ac:dyDescent="0.2">
      <c r="A1671" s="523" t="s">
        <v>371</v>
      </c>
      <c r="B1671" s="459" t="s">
        <v>463</v>
      </c>
      <c r="C1671" s="247" t="s">
        <v>48</v>
      </c>
      <c r="D1671" s="248" t="s">
        <v>135</v>
      </c>
      <c r="E1671" s="249">
        <v>9.3994082840236678E-4</v>
      </c>
      <c r="F1671" s="250" t="s">
        <v>133</v>
      </c>
      <c r="G1671" s="251" t="s">
        <v>16</v>
      </c>
      <c r="H1671" s="252">
        <v>1</v>
      </c>
      <c r="I1671" s="252">
        <v>1</v>
      </c>
      <c r="J1671" s="252">
        <v>3</v>
      </c>
      <c r="K1671" s="252">
        <v>3</v>
      </c>
      <c r="L1671" s="253">
        <v>3</v>
      </c>
      <c r="M1671" s="254">
        <f t="shared" si="52"/>
        <v>1.1181151966036349</v>
      </c>
      <c r="N1671" s="255"/>
    </row>
    <row r="1672" spans="1:14" hidden="1" x14ac:dyDescent="0.2">
      <c r="A1672" s="523" t="s">
        <v>371</v>
      </c>
      <c r="B1672" s="459" t="s">
        <v>463</v>
      </c>
      <c r="C1672" s="247" t="s">
        <v>50</v>
      </c>
      <c r="D1672" s="248" t="s">
        <v>135</v>
      </c>
      <c r="E1672" s="249">
        <v>5.72327205882353E-3</v>
      </c>
      <c r="F1672" s="250" t="s">
        <v>133</v>
      </c>
      <c r="G1672" s="251" t="s">
        <v>16</v>
      </c>
      <c r="H1672" s="252">
        <v>1</v>
      </c>
      <c r="I1672" s="252">
        <v>1</v>
      </c>
      <c r="J1672" s="252">
        <v>3</v>
      </c>
      <c r="K1672" s="252">
        <v>3</v>
      </c>
      <c r="L1672" s="253">
        <v>3</v>
      </c>
      <c r="M1672" s="254">
        <f>IF( OR( ISBLANK(H1672),ISBLANK(I1672), ISBLANK(J1672), ISBLANK(K1672), ISBLANK(L1672) ), "", 1.5*SQRT(   EXP(2.21*(H1672-1)) + EXP(2.21*(I1672-1)) + EXP(2.21*(J1672-1)) + EXP(2.21*(K1672-1)) + EXP(2.21*L1672)   )/100*2.45 )</f>
        <v>1.1181151966036349</v>
      </c>
      <c r="N1672" s="255"/>
    </row>
    <row r="1673" spans="1:14" hidden="1" x14ac:dyDescent="0.2">
      <c r="A1673" s="523" t="s">
        <v>371</v>
      </c>
      <c r="B1673" s="459" t="s">
        <v>463</v>
      </c>
      <c r="C1673" s="247" t="s">
        <v>52</v>
      </c>
      <c r="D1673" s="248" t="s">
        <v>135</v>
      </c>
      <c r="E1673" s="249">
        <v>9.2086956521739128E-4</v>
      </c>
      <c r="F1673" s="250" t="s">
        <v>133</v>
      </c>
      <c r="G1673" s="251" t="s">
        <v>16</v>
      </c>
      <c r="H1673" s="252">
        <v>1</v>
      </c>
      <c r="I1673" s="252">
        <v>1</v>
      </c>
      <c r="J1673" s="252">
        <v>3</v>
      </c>
      <c r="K1673" s="252">
        <v>3</v>
      </c>
      <c r="L1673" s="253">
        <v>3</v>
      </c>
      <c r="M1673" s="254">
        <f t="shared" ref="M1673:M1704" si="53">IF( OR( ISBLANK(H1673),ISBLANK(I1673), ISBLANK(J1673), ISBLANK(K1673), ISBLANK(L1673) ), "", 1.5*SQRT( EXP(2.21*(H1673-1)) + EXP(2.21*(I1673-1)) + EXP(2.21*(J1673-1)) + EXP(2.21*(K1673-1)) + EXP(2.21*L1673) )/100*2.45 )</f>
        <v>1.1181151966036349</v>
      </c>
      <c r="N1673" s="255"/>
    </row>
    <row r="1674" spans="1:14" hidden="1" x14ac:dyDescent="0.2">
      <c r="A1674" s="523" t="s">
        <v>371</v>
      </c>
      <c r="B1674" s="459" t="s">
        <v>463</v>
      </c>
      <c r="C1674" s="247" t="s">
        <v>54</v>
      </c>
      <c r="D1674" s="248" t="s">
        <v>135</v>
      </c>
      <c r="E1674" s="249">
        <v>5.8833333333333329E-4</v>
      </c>
      <c r="F1674" s="250" t="s">
        <v>133</v>
      </c>
      <c r="G1674" s="251" t="s">
        <v>16</v>
      </c>
      <c r="H1674" s="252">
        <v>1</v>
      </c>
      <c r="I1674" s="252">
        <v>1</v>
      </c>
      <c r="J1674" s="252">
        <v>3</v>
      </c>
      <c r="K1674" s="252">
        <v>3</v>
      </c>
      <c r="L1674" s="253">
        <v>3</v>
      </c>
      <c r="M1674" s="254">
        <f t="shared" si="53"/>
        <v>1.1181151966036349</v>
      </c>
      <c r="N1674" s="255"/>
    </row>
    <row r="1675" spans="1:14" hidden="1" x14ac:dyDescent="0.2">
      <c r="A1675" s="523" t="s">
        <v>371</v>
      </c>
      <c r="B1675" s="459" t="s">
        <v>463</v>
      </c>
      <c r="C1675" s="247" t="s">
        <v>55</v>
      </c>
      <c r="D1675" s="248" t="s">
        <v>135</v>
      </c>
      <c r="E1675" s="249">
        <v>1.2708000000000001E-3</v>
      </c>
      <c r="F1675" s="250" t="s">
        <v>133</v>
      </c>
      <c r="G1675" s="251" t="s">
        <v>16</v>
      </c>
      <c r="H1675" s="252">
        <v>1</v>
      </c>
      <c r="I1675" s="252">
        <v>1</v>
      </c>
      <c r="J1675" s="252">
        <v>3</v>
      </c>
      <c r="K1675" s="252">
        <v>3</v>
      </c>
      <c r="L1675" s="253">
        <v>3</v>
      </c>
      <c r="M1675" s="254">
        <f t="shared" si="53"/>
        <v>1.1181151966036349</v>
      </c>
      <c r="N1675" s="255"/>
    </row>
    <row r="1676" spans="1:14" hidden="1" x14ac:dyDescent="0.2">
      <c r="A1676" s="523" t="s">
        <v>371</v>
      </c>
      <c r="B1676" s="459" t="s">
        <v>463</v>
      </c>
      <c r="C1676" s="247" t="s">
        <v>57</v>
      </c>
      <c r="D1676" s="248" t="s">
        <v>135</v>
      </c>
      <c r="E1676" s="249">
        <v>5.8562211981566818E-4</v>
      </c>
      <c r="F1676" s="250" t="s">
        <v>133</v>
      </c>
      <c r="G1676" s="251" t="s">
        <v>16</v>
      </c>
      <c r="H1676" s="252">
        <v>1</v>
      </c>
      <c r="I1676" s="252">
        <v>1</v>
      </c>
      <c r="J1676" s="252">
        <v>3</v>
      </c>
      <c r="K1676" s="252">
        <v>3</v>
      </c>
      <c r="L1676" s="253">
        <v>3</v>
      </c>
      <c r="M1676" s="254">
        <f t="shared" si="53"/>
        <v>1.1181151966036349</v>
      </c>
      <c r="N1676" s="255"/>
    </row>
    <row r="1677" spans="1:14" hidden="1" x14ac:dyDescent="0.2">
      <c r="A1677" s="523" t="s">
        <v>371</v>
      </c>
      <c r="B1677" s="459" t="s">
        <v>463</v>
      </c>
      <c r="C1677" s="247" t="s">
        <v>59</v>
      </c>
      <c r="D1677" s="248" t="s">
        <v>135</v>
      </c>
      <c r="E1677" s="249">
        <v>2.7E-4</v>
      </c>
      <c r="F1677" s="250" t="s">
        <v>133</v>
      </c>
      <c r="G1677" s="251" t="s">
        <v>16</v>
      </c>
      <c r="H1677" s="252">
        <v>1</v>
      </c>
      <c r="I1677" s="252">
        <v>1</v>
      </c>
      <c r="J1677" s="252">
        <v>3</v>
      </c>
      <c r="K1677" s="252">
        <v>3</v>
      </c>
      <c r="L1677" s="253">
        <v>3</v>
      </c>
      <c r="M1677" s="254">
        <f t="shared" si="53"/>
        <v>1.1181151966036349</v>
      </c>
      <c r="N1677" s="255"/>
    </row>
    <row r="1678" spans="1:14" hidden="1" x14ac:dyDescent="0.2">
      <c r="A1678" s="523" t="s">
        <v>371</v>
      </c>
      <c r="B1678" s="459" t="s">
        <v>463</v>
      </c>
      <c r="C1678" s="247" t="s">
        <v>60</v>
      </c>
      <c r="D1678" s="248" t="s">
        <v>135</v>
      </c>
      <c r="E1678" s="249">
        <v>1.23511879049676E-3</v>
      </c>
      <c r="F1678" s="250" t="s">
        <v>133</v>
      </c>
      <c r="G1678" s="251" t="s">
        <v>16</v>
      </c>
      <c r="H1678" s="252">
        <v>1</v>
      </c>
      <c r="I1678" s="252">
        <v>1</v>
      </c>
      <c r="J1678" s="252">
        <v>3</v>
      </c>
      <c r="K1678" s="252">
        <v>3</v>
      </c>
      <c r="L1678" s="253">
        <v>3</v>
      </c>
      <c r="M1678" s="254">
        <f t="shared" si="53"/>
        <v>1.1181151966036349</v>
      </c>
      <c r="N1678" s="255"/>
    </row>
    <row r="1679" spans="1:14" x14ac:dyDescent="0.2">
      <c r="A1679" s="531" t="s">
        <v>371</v>
      </c>
      <c r="B1679" s="574" t="s">
        <v>493</v>
      </c>
      <c r="C1679" s="533" t="s">
        <v>135</v>
      </c>
      <c r="D1679" s="330" t="s">
        <v>135</v>
      </c>
      <c r="E1679" s="576">
        <v>0.77901234567901234</v>
      </c>
      <c r="F1679" s="534" t="s">
        <v>496</v>
      </c>
      <c r="G1679" s="535" t="s">
        <v>16</v>
      </c>
      <c r="H1679" s="330">
        <v>2</v>
      </c>
      <c r="I1679" s="330">
        <v>2</v>
      </c>
      <c r="J1679" s="330">
        <v>3</v>
      </c>
      <c r="K1679" s="330">
        <v>1</v>
      </c>
      <c r="L1679" s="536">
        <v>2</v>
      </c>
      <c r="M1679" s="537">
        <f t="shared" si="53"/>
        <v>0.50042652380814845</v>
      </c>
      <c r="N1679" s="533"/>
    </row>
    <row r="1680" spans="1:14" hidden="1" x14ac:dyDescent="0.2">
      <c r="A1680" s="523" t="s">
        <v>372</v>
      </c>
      <c r="B1680" s="459" t="s">
        <v>463</v>
      </c>
      <c r="C1680" s="247" t="s">
        <v>13</v>
      </c>
      <c r="D1680" s="248" t="s">
        <v>135</v>
      </c>
      <c r="E1680" s="249">
        <v>4.9383419689119179E-4</v>
      </c>
      <c r="F1680" s="250" t="s">
        <v>133</v>
      </c>
      <c r="G1680" s="251" t="s">
        <v>16</v>
      </c>
      <c r="H1680" s="252">
        <v>1</v>
      </c>
      <c r="I1680" s="252">
        <v>1</v>
      </c>
      <c r="J1680" s="252">
        <v>3</v>
      </c>
      <c r="K1680" s="252">
        <v>3</v>
      </c>
      <c r="L1680" s="253">
        <v>3</v>
      </c>
      <c r="M1680" s="254">
        <f t="shared" si="53"/>
        <v>1.1181151966036349</v>
      </c>
      <c r="N1680" s="255"/>
    </row>
    <row r="1681" spans="1:14" hidden="1" x14ac:dyDescent="0.2">
      <c r="A1681" s="523" t="s">
        <v>372</v>
      </c>
      <c r="B1681" s="459" t="s">
        <v>463</v>
      </c>
      <c r="C1681" s="247" t="s">
        <v>18</v>
      </c>
      <c r="D1681" s="248" t="s">
        <v>135</v>
      </c>
      <c r="E1681" s="249">
        <v>6.2141809290953553E-4</v>
      </c>
      <c r="F1681" s="250" t="s">
        <v>133</v>
      </c>
      <c r="G1681" s="251" t="s">
        <v>16</v>
      </c>
      <c r="H1681" s="252">
        <v>1</v>
      </c>
      <c r="I1681" s="252">
        <v>1</v>
      </c>
      <c r="J1681" s="252">
        <v>3</v>
      </c>
      <c r="K1681" s="252">
        <v>3</v>
      </c>
      <c r="L1681" s="253">
        <v>3</v>
      </c>
      <c r="M1681" s="254">
        <f t="shared" si="53"/>
        <v>1.1181151966036349</v>
      </c>
      <c r="N1681" s="255"/>
    </row>
    <row r="1682" spans="1:14" hidden="1" x14ac:dyDescent="0.2">
      <c r="A1682" s="523" t="s">
        <v>372</v>
      </c>
      <c r="B1682" s="459" t="s">
        <v>463</v>
      </c>
      <c r="C1682" s="247" t="s">
        <v>20</v>
      </c>
      <c r="D1682" s="248" t="s">
        <v>135</v>
      </c>
      <c r="E1682" s="249">
        <v>1.717297297297297E-3</v>
      </c>
      <c r="F1682" s="250" t="s">
        <v>133</v>
      </c>
      <c r="G1682" s="251" t="s">
        <v>16</v>
      </c>
      <c r="H1682" s="252">
        <v>1</v>
      </c>
      <c r="I1682" s="252">
        <v>1</v>
      </c>
      <c r="J1682" s="252">
        <v>3</v>
      </c>
      <c r="K1682" s="252">
        <v>3</v>
      </c>
      <c r="L1682" s="253">
        <v>3</v>
      </c>
      <c r="M1682" s="254">
        <f t="shared" si="53"/>
        <v>1.1181151966036349</v>
      </c>
      <c r="N1682" s="255"/>
    </row>
    <row r="1683" spans="1:14" hidden="1" x14ac:dyDescent="0.2">
      <c r="A1683" s="523" t="s">
        <v>372</v>
      </c>
      <c r="B1683" s="459" t="s">
        <v>463</v>
      </c>
      <c r="C1683" s="247" t="s">
        <v>22</v>
      </c>
      <c r="D1683" s="248" t="s">
        <v>135</v>
      </c>
      <c r="E1683" s="249">
        <v>1.397291666666666E-3</v>
      </c>
      <c r="F1683" s="250" t="s">
        <v>133</v>
      </c>
      <c r="G1683" s="251" t="s">
        <v>16</v>
      </c>
      <c r="H1683" s="252">
        <v>1</v>
      </c>
      <c r="I1683" s="252">
        <v>1</v>
      </c>
      <c r="J1683" s="252">
        <v>3</v>
      </c>
      <c r="K1683" s="252">
        <v>3</v>
      </c>
      <c r="L1683" s="253">
        <v>3</v>
      </c>
      <c r="M1683" s="254">
        <f t="shared" si="53"/>
        <v>1.1181151966036349</v>
      </c>
      <c r="N1683" s="255"/>
    </row>
    <row r="1684" spans="1:14" hidden="1" x14ac:dyDescent="0.2">
      <c r="A1684" s="523" t="s">
        <v>372</v>
      </c>
      <c r="B1684" s="459" t="s">
        <v>463</v>
      </c>
      <c r="C1684" s="247" t="s">
        <v>23</v>
      </c>
      <c r="D1684" s="248" t="s">
        <v>135</v>
      </c>
      <c r="E1684" s="249">
        <v>1.868823529411765E-3</v>
      </c>
      <c r="F1684" s="250" t="s">
        <v>133</v>
      </c>
      <c r="G1684" s="251" t="s">
        <v>16</v>
      </c>
      <c r="H1684" s="252">
        <v>1</v>
      </c>
      <c r="I1684" s="252">
        <v>1</v>
      </c>
      <c r="J1684" s="252">
        <v>3</v>
      </c>
      <c r="K1684" s="252">
        <v>3</v>
      </c>
      <c r="L1684" s="253">
        <v>3</v>
      </c>
      <c r="M1684" s="254">
        <f t="shared" si="53"/>
        <v>1.1181151966036349</v>
      </c>
      <c r="N1684" s="255"/>
    </row>
    <row r="1685" spans="1:14" hidden="1" x14ac:dyDescent="0.2">
      <c r="A1685" s="523" t="s">
        <v>372</v>
      </c>
      <c r="B1685" s="459" t="s">
        <v>463</v>
      </c>
      <c r="C1685" s="247" t="s">
        <v>24</v>
      </c>
      <c r="D1685" s="248" t="s">
        <v>135</v>
      </c>
      <c r="E1685" s="249">
        <v>8.3605263157894745E-4</v>
      </c>
      <c r="F1685" s="250" t="s">
        <v>133</v>
      </c>
      <c r="G1685" s="251" t="s">
        <v>16</v>
      </c>
      <c r="H1685" s="252">
        <v>1</v>
      </c>
      <c r="I1685" s="252">
        <v>1</v>
      </c>
      <c r="J1685" s="252">
        <v>3</v>
      </c>
      <c r="K1685" s="252">
        <v>3</v>
      </c>
      <c r="L1685" s="253">
        <v>3</v>
      </c>
      <c r="M1685" s="254">
        <f t="shared" si="53"/>
        <v>1.1181151966036349</v>
      </c>
      <c r="N1685" s="255"/>
    </row>
    <row r="1686" spans="1:14" hidden="1" x14ac:dyDescent="0.2">
      <c r="A1686" s="523" t="s">
        <v>372</v>
      </c>
      <c r="B1686" s="459" t="s">
        <v>463</v>
      </c>
      <c r="C1686" s="247" t="s">
        <v>25</v>
      </c>
      <c r="D1686" s="248" t="s">
        <v>135</v>
      </c>
      <c r="E1686" s="249">
        <v>4.2932432432432442E-4</v>
      </c>
      <c r="F1686" s="250" t="s">
        <v>133</v>
      </c>
      <c r="G1686" s="251" t="s">
        <v>16</v>
      </c>
      <c r="H1686" s="252">
        <v>1</v>
      </c>
      <c r="I1686" s="252">
        <v>1</v>
      </c>
      <c r="J1686" s="252">
        <v>3</v>
      </c>
      <c r="K1686" s="252">
        <v>3</v>
      </c>
      <c r="L1686" s="253">
        <v>3</v>
      </c>
      <c r="M1686" s="254">
        <f t="shared" si="53"/>
        <v>1.1181151966036349</v>
      </c>
      <c r="N1686" s="255"/>
    </row>
    <row r="1687" spans="1:14" hidden="1" x14ac:dyDescent="0.2">
      <c r="A1687" s="523" t="s">
        <v>372</v>
      </c>
      <c r="B1687" s="459" t="s">
        <v>463</v>
      </c>
      <c r="C1687" s="247" t="s">
        <v>26</v>
      </c>
      <c r="D1687" s="248" t="s">
        <v>135</v>
      </c>
      <c r="E1687" s="249">
        <v>2.9808888888888888E-3</v>
      </c>
      <c r="F1687" s="250" t="s">
        <v>133</v>
      </c>
      <c r="G1687" s="251" t="s">
        <v>16</v>
      </c>
      <c r="H1687" s="252">
        <v>1</v>
      </c>
      <c r="I1687" s="252">
        <v>1</v>
      </c>
      <c r="J1687" s="252">
        <v>3</v>
      </c>
      <c r="K1687" s="252">
        <v>3</v>
      </c>
      <c r="L1687" s="253">
        <v>3</v>
      </c>
      <c r="M1687" s="254">
        <f t="shared" si="53"/>
        <v>1.1181151966036349</v>
      </c>
      <c r="N1687" s="255"/>
    </row>
    <row r="1688" spans="1:14" hidden="1" x14ac:dyDescent="0.2">
      <c r="A1688" s="523" t="s">
        <v>372</v>
      </c>
      <c r="B1688" s="459" t="s">
        <v>463</v>
      </c>
      <c r="C1688" s="247" t="s">
        <v>27</v>
      </c>
      <c r="D1688" s="248" t="s">
        <v>135</v>
      </c>
      <c r="E1688" s="249">
        <v>3.4595281306715062E-4</v>
      </c>
      <c r="F1688" s="250" t="s">
        <v>133</v>
      </c>
      <c r="G1688" s="251" t="s">
        <v>16</v>
      </c>
      <c r="H1688" s="252">
        <v>1</v>
      </c>
      <c r="I1688" s="252">
        <v>1</v>
      </c>
      <c r="J1688" s="252">
        <v>3</v>
      </c>
      <c r="K1688" s="252">
        <v>3</v>
      </c>
      <c r="L1688" s="253">
        <v>3</v>
      </c>
      <c r="M1688" s="254">
        <f t="shared" si="53"/>
        <v>1.1181151966036349</v>
      </c>
      <c r="N1688" s="255"/>
    </row>
    <row r="1689" spans="1:14" hidden="1" x14ac:dyDescent="0.2">
      <c r="A1689" s="523" t="s">
        <v>372</v>
      </c>
      <c r="B1689" s="459" t="s">
        <v>463</v>
      </c>
      <c r="C1689" s="247" t="s">
        <v>28</v>
      </c>
      <c r="D1689" s="248" t="s">
        <v>135</v>
      </c>
      <c r="E1689" s="249">
        <v>7.4149012567324962E-4</v>
      </c>
      <c r="F1689" s="250" t="s">
        <v>133</v>
      </c>
      <c r="G1689" s="251" t="s">
        <v>16</v>
      </c>
      <c r="H1689" s="252">
        <v>1</v>
      </c>
      <c r="I1689" s="252">
        <v>1</v>
      </c>
      <c r="J1689" s="252">
        <v>3</v>
      </c>
      <c r="K1689" s="252">
        <v>3</v>
      </c>
      <c r="L1689" s="253">
        <v>3</v>
      </c>
      <c r="M1689" s="254">
        <f t="shared" si="53"/>
        <v>1.1181151966036349</v>
      </c>
      <c r="N1689" s="255"/>
    </row>
    <row r="1690" spans="1:14" hidden="1" x14ac:dyDescent="0.2">
      <c r="A1690" s="523" t="s">
        <v>372</v>
      </c>
      <c r="B1690" s="459" t="s">
        <v>463</v>
      </c>
      <c r="C1690" s="247" t="s">
        <v>30</v>
      </c>
      <c r="D1690" s="248" t="s">
        <v>135</v>
      </c>
      <c r="E1690" s="249">
        <v>5.242574257425742E-4</v>
      </c>
      <c r="F1690" s="250" t="s">
        <v>133</v>
      </c>
      <c r="G1690" s="251" t="s">
        <v>16</v>
      </c>
      <c r="H1690" s="252">
        <v>1</v>
      </c>
      <c r="I1690" s="252">
        <v>1</v>
      </c>
      <c r="J1690" s="252">
        <v>3</v>
      </c>
      <c r="K1690" s="252">
        <v>3</v>
      </c>
      <c r="L1690" s="253">
        <v>3</v>
      </c>
      <c r="M1690" s="254">
        <f t="shared" si="53"/>
        <v>1.1181151966036349</v>
      </c>
      <c r="N1690" s="255"/>
    </row>
    <row r="1691" spans="1:14" hidden="1" x14ac:dyDescent="0.2">
      <c r="A1691" s="523" t="s">
        <v>372</v>
      </c>
      <c r="B1691" s="459" t="s">
        <v>463</v>
      </c>
      <c r="C1691" s="247" t="s">
        <v>32</v>
      </c>
      <c r="D1691" s="248" t="s">
        <v>135</v>
      </c>
      <c r="E1691" s="249">
        <v>1.23378640776699E-3</v>
      </c>
      <c r="F1691" s="250" t="s">
        <v>133</v>
      </c>
      <c r="G1691" s="251" t="s">
        <v>16</v>
      </c>
      <c r="H1691" s="252">
        <v>1</v>
      </c>
      <c r="I1691" s="252">
        <v>1</v>
      </c>
      <c r="J1691" s="252">
        <v>3</v>
      </c>
      <c r="K1691" s="252">
        <v>3</v>
      </c>
      <c r="L1691" s="253">
        <v>3</v>
      </c>
      <c r="M1691" s="254">
        <f t="shared" si="53"/>
        <v>1.1181151966036349</v>
      </c>
      <c r="N1691" s="255"/>
    </row>
    <row r="1692" spans="1:14" hidden="1" x14ac:dyDescent="0.2">
      <c r="A1692" s="523" t="s">
        <v>372</v>
      </c>
      <c r="B1692" s="459" t="s">
        <v>463</v>
      </c>
      <c r="C1692" s="247" t="s">
        <v>34</v>
      </c>
      <c r="D1692" s="248" t="s">
        <v>135</v>
      </c>
      <c r="E1692" s="249">
        <v>1.5009448818897641E-3</v>
      </c>
      <c r="F1692" s="250" t="s">
        <v>133</v>
      </c>
      <c r="G1692" s="251" t="s">
        <v>16</v>
      </c>
      <c r="H1692" s="252">
        <v>1</v>
      </c>
      <c r="I1692" s="252">
        <v>1</v>
      </c>
      <c r="J1692" s="252">
        <v>3</v>
      </c>
      <c r="K1692" s="252">
        <v>3</v>
      </c>
      <c r="L1692" s="253">
        <v>3</v>
      </c>
      <c r="M1692" s="254">
        <f t="shared" si="53"/>
        <v>1.1181151966036349</v>
      </c>
      <c r="N1692" s="255"/>
    </row>
    <row r="1693" spans="1:14" hidden="1" x14ac:dyDescent="0.2">
      <c r="A1693" s="523" t="s">
        <v>372</v>
      </c>
      <c r="B1693" s="459" t="s">
        <v>463</v>
      </c>
      <c r="C1693" s="247" t="s">
        <v>36</v>
      </c>
      <c r="D1693" s="248" t="s">
        <v>135</v>
      </c>
      <c r="E1693" s="249">
        <v>1.4482051282051281E-3</v>
      </c>
      <c r="F1693" s="250" t="s">
        <v>133</v>
      </c>
      <c r="G1693" s="251" t="s">
        <v>16</v>
      </c>
      <c r="H1693" s="252">
        <v>1</v>
      </c>
      <c r="I1693" s="252">
        <v>1</v>
      </c>
      <c r="J1693" s="252">
        <v>3</v>
      </c>
      <c r="K1693" s="252">
        <v>3</v>
      </c>
      <c r="L1693" s="253">
        <v>3</v>
      </c>
      <c r="M1693" s="254">
        <f t="shared" si="53"/>
        <v>1.1181151966036349</v>
      </c>
      <c r="N1693" s="255"/>
    </row>
    <row r="1694" spans="1:14" hidden="1" x14ac:dyDescent="0.2">
      <c r="A1694" s="523" t="s">
        <v>372</v>
      </c>
      <c r="B1694" s="459" t="s">
        <v>463</v>
      </c>
      <c r="C1694" s="247" t="s">
        <v>37</v>
      </c>
      <c r="D1694" s="248" t="s">
        <v>135</v>
      </c>
      <c r="E1694" s="249">
        <v>6.0483967935871753E-3</v>
      </c>
      <c r="F1694" s="250" t="s">
        <v>133</v>
      </c>
      <c r="G1694" s="251" t="s">
        <v>16</v>
      </c>
      <c r="H1694" s="252">
        <v>1</v>
      </c>
      <c r="I1694" s="252">
        <v>1</v>
      </c>
      <c r="J1694" s="252">
        <v>3</v>
      </c>
      <c r="K1694" s="252">
        <v>3</v>
      </c>
      <c r="L1694" s="253">
        <v>3</v>
      </c>
      <c r="M1694" s="254">
        <f t="shared" si="53"/>
        <v>1.1181151966036349</v>
      </c>
      <c r="N1694" s="255"/>
    </row>
    <row r="1695" spans="1:14" hidden="1" x14ac:dyDescent="0.2">
      <c r="A1695" s="523" t="s">
        <v>372</v>
      </c>
      <c r="B1695" s="459" t="s">
        <v>463</v>
      </c>
      <c r="C1695" s="247" t="s">
        <v>39</v>
      </c>
      <c r="D1695" s="248" t="s">
        <v>135</v>
      </c>
      <c r="E1695" s="249">
        <v>2.9662407862407862E-3</v>
      </c>
      <c r="F1695" s="250" t="s">
        <v>133</v>
      </c>
      <c r="G1695" s="251" t="s">
        <v>16</v>
      </c>
      <c r="H1695" s="252">
        <v>1</v>
      </c>
      <c r="I1695" s="252">
        <v>1</v>
      </c>
      <c r="J1695" s="252">
        <v>3</v>
      </c>
      <c r="K1695" s="252">
        <v>3</v>
      </c>
      <c r="L1695" s="253">
        <v>3</v>
      </c>
      <c r="M1695" s="254">
        <f t="shared" si="53"/>
        <v>1.1181151966036349</v>
      </c>
      <c r="N1695" s="255"/>
    </row>
    <row r="1696" spans="1:14" hidden="1" x14ac:dyDescent="0.2">
      <c r="A1696" s="523" t="s">
        <v>372</v>
      </c>
      <c r="B1696" s="459" t="s">
        <v>463</v>
      </c>
      <c r="C1696" s="247" t="s">
        <v>40</v>
      </c>
      <c r="D1696" s="248" t="s">
        <v>135</v>
      </c>
      <c r="E1696" s="249">
        <v>9.5857758620689656E-4</v>
      </c>
      <c r="F1696" s="250" t="s">
        <v>133</v>
      </c>
      <c r="G1696" s="251" t="s">
        <v>16</v>
      </c>
      <c r="H1696" s="252">
        <v>1</v>
      </c>
      <c r="I1696" s="252">
        <v>1</v>
      </c>
      <c r="J1696" s="252">
        <v>3</v>
      </c>
      <c r="K1696" s="252">
        <v>3</v>
      </c>
      <c r="L1696" s="253">
        <v>3</v>
      </c>
      <c r="M1696" s="254">
        <f t="shared" si="53"/>
        <v>1.1181151966036349</v>
      </c>
      <c r="N1696" s="255"/>
    </row>
    <row r="1697" spans="1:14" hidden="1" x14ac:dyDescent="0.2">
      <c r="A1697" s="523" t="s">
        <v>372</v>
      </c>
      <c r="B1697" s="459" t="s">
        <v>463</v>
      </c>
      <c r="C1697" s="247" t="s">
        <v>41</v>
      </c>
      <c r="D1697" s="248" t="s">
        <v>135</v>
      </c>
      <c r="E1697" s="249">
        <v>4.352054794520548E-4</v>
      </c>
      <c r="F1697" s="250" t="s">
        <v>133</v>
      </c>
      <c r="G1697" s="251" t="s">
        <v>16</v>
      </c>
      <c r="H1697" s="252">
        <v>1</v>
      </c>
      <c r="I1697" s="252">
        <v>1</v>
      </c>
      <c r="J1697" s="252">
        <v>3</v>
      </c>
      <c r="K1697" s="252">
        <v>3</v>
      </c>
      <c r="L1697" s="253">
        <v>3</v>
      </c>
      <c r="M1697" s="254">
        <f t="shared" si="53"/>
        <v>1.1181151966036349</v>
      </c>
      <c r="N1697" s="255"/>
    </row>
    <row r="1698" spans="1:14" hidden="1" x14ac:dyDescent="0.2">
      <c r="A1698" s="523" t="s">
        <v>372</v>
      </c>
      <c r="B1698" s="459" t="s">
        <v>463</v>
      </c>
      <c r="C1698" s="247" t="s">
        <v>42</v>
      </c>
      <c r="D1698" s="248" t="s">
        <v>135</v>
      </c>
      <c r="E1698" s="249">
        <v>2.1274553571428568E-3</v>
      </c>
      <c r="F1698" s="250" t="s">
        <v>133</v>
      </c>
      <c r="G1698" s="251" t="s">
        <v>16</v>
      </c>
      <c r="H1698" s="252">
        <v>1</v>
      </c>
      <c r="I1698" s="252">
        <v>1</v>
      </c>
      <c r="J1698" s="252">
        <v>3</v>
      </c>
      <c r="K1698" s="252">
        <v>3</v>
      </c>
      <c r="L1698" s="253">
        <v>3</v>
      </c>
      <c r="M1698" s="254">
        <f t="shared" si="53"/>
        <v>1.1181151966036349</v>
      </c>
      <c r="N1698" s="255"/>
    </row>
    <row r="1699" spans="1:14" hidden="1" x14ac:dyDescent="0.2">
      <c r="A1699" s="523" t="s">
        <v>372</v>
      </c>
      <c r="B1699" s="459" t="s">
        <v>463</v>
      </c>
      <c r="C1699" s="247" t="s">
        <v>43</v>
      </c>
      <c r="D1699" s="248" t="s">
        <v>135</v>
      </c>
      <c r="E1699" s="249">
        <v>4.9737769080234839E-4</v>
      </c>
      <c r="F1699" s="250" t="s">
        <v>133</v>
      </c>
      <c r="G1699" s="251" t="s">
        <v>16</v>
      </c>
      <c r="H1699" s="252">
        <v>1</v>
      </c>
      <c r="I1699" s="252">
        <v>1</v>
      </c>
      <c r="J1699" s="252">
        <v>3</v>
      </c>
      <c r="K1699" s="252">
        <v>3</v>
      </c>
      <c r="L1699" s="253">
        <v>3</v>
      </c>
      <c r="M1699" s="254">
        <f t="shared" si="53"/>
        <v>1.1181151966036349</v>
      </c>
      <c r="N1699" s="255"/>
    </row>
    <row r="1700" spans="1:14" x14ac:dyDescent="0.2">
      <c r="A1700" s="523" t="s">
        <v>372</v>
      </c>
      <c r="B1700" s="459" t="s">
        <v>463</v>
      </c>
      <c r="C1700" s="247" t="s">
        <v>45</v>
      </c>
      <c r="D1700" s="248" t="s">
        <v>135</v>
      </c>
      <c r="E1700" s="249">
        <v>6.8784844384303125E-4</v>
      </c>
      <c r="F1700" s="250" t="s">
        <v>133</v>
      </c>
      <c r="G1700" s="251" t="s">
        <v>16</v>
      </c>
      <c r="H1700" s="252">
        <v>1</v>
      </c>
      <c r="I1700" s="252">
        <v>1</v>
      </c>
      <c r="J1700" s="252">
        <v>3</v>
      </c>
      <c r="K1700" s="252">
        <v>3</v>
      </c>
      <c r="L1700" s="253">
        <v>3</v>
      </c>
      <c r="M1700" s="254">
        <f t="shared" si="53"/>
        <v>1.1181151966036349</v>
      </c>
      <c r="N1700" s="255"/>
    </row>
    <row r="1701" spans="1:14" hidden="1" x14ac:dyDescent="0.2">
      <c r="A1701" s="523" t="s">
        <v>372</v>
      </c>
      <c r="B1701" s="459" t="s">
        <v>463</v>
      </c>
      <c r="C1701" s="247" t="s">
        <v>46</v>
      </c>
      <c r="D1701" s="248" t="s">
        <v>135</v>
      </c>
      <c r="E1701" s="249">
        <v>1.2553495440729479E-3</v>
      </c>
      <c r="F1701" s="250" t="s">
        <v>133</v>
      </c>
      <c r="G1701" s="251" t="s">
        <v>16</v>
      </c>
      <c r="H1701" s="252">
        <v>1</v>
      </c>
      <c r="I1701" s="252">
        <v>1</v>
      </c>
      <c r="J1701" s="252">
        <v>3</v>
      </c>
      <c r="K1701" s="252">
        <v>3</v>
      </c>
      <c r="L1701" s="253">
        <v>3</v>
      </c>
      <c r="M1701" s="254">
        <f t="shared" si="53"/>
        <v>1.1181151966036349</v>
      </c>
      <c r="N1701" s="255"/>
    </row>
    <row r="1702" spans="1:14" hidden="1" x14ac:dyDescent="0.2">
      <c r="A1702" s="523" t="s">
        <v>372</v>
      </c>
      <c r="B1702" s="459" t="s">
        <v>463</v>
      </c>
      <c r="C1702" s="247" t="s">
        <v>48</v>
      </c>
      <c r="D1702" s="248" t="s">
        <v>135</v>
      </c>
      <c r="E1702" s="249">
        <v>9.3994082840236678E-4</v>
      </c>
      <c r="F1702" s="250" t="s">
        <v>133</v>
      </c>
      <c r="G1702" s="251" t="s">
        <v>16</v>
      </c>
      <c r="H1702" s="252">
        <v>1</v>
      </c>
      <c r="I1702" s="252">
        <v>1</v>
      </c>
      <c r="J1702" s="252">
        <v>3</v>
      </c>
      <c r="K1702" s="252">
        <v>3</v>
      </c>
      <c r="L1702" s="253">
        <v>3</v>
      </c>
      <c r="M1702" s="254">
        <f t="shared" si="53"/>
        <v>1.1181151966036349</v>
      </c>
      <c r="N1702" s="255"/>
    </row>
    <row r="1703" spans="1:14" hidden="1" x14ac:dyDescent="0.2">
      <c r="A1703" s="523" t="s">
        <v>372</v>
      </c>
      <c r="B1703" s="459" t="s">
        <v>463</v>
      </c>
      <c r="C1703" s="247" t="s">
        <v>50</v>
      </c>
      <c r="D1703" s="248" t="s">
        <v>135</v>
      </c>
      <c r="E1703" s="249">
        <v>5.72327205882353E-3</v>
      </c>
      <c r="F1703" s="250" t="s">
        <v>133</v>
      </c>
      <c r="G1703" s="251" t="s">
        <v>16</v>
      </c>
      <c r="H1703" s="252">
        <v>1</v>
      </c>
      <c r="I1703" s="252">
        <v>1</v>
      </c>
      <c r="J1703" s="252">
        <v>3</v>
      </c>
      <c r="K1703" s="252">
        <v>3</v>
      </c>
      <c r="L1703" s="253">
        <v>3</v>
      </c>
      <c r="M1703" s="254">
        <f t="shared" si="53"/>
        <v>1.1181151966036349</v>
      </c>
      <c r="N1703" s="255"/>
    </row>
    <row r="1704" spans="1:14" hidden="1" x14ac:dyDescent="0.2">
      <c r="A1704" s="523" t="s">
        <v>372</v>
      </c>
      <c r="B1704" s="459" t="s">
        <v>463</v>
      </c>
      <c r="C1704" s="247" t="s">
        <v>52</v>
      </c>
      <c r="D1704" s="248" t="s">
        <v>135</v>
      </c>
      <c r="E1704" s="249">
        <v>9.2086956521739128E-4</v>
      </c>
      <c r="F1704" s="250" t="s">
        <v>133</v>
      </c>
      <c r="G1704" s="251" t="s">
        <v>16</v>
      </c>
      <c r="H1704" s="252">
        <v>1</v>
      </c>
      <c r="I1704" s="252">
        <v>1</v>
      </c>
      <c r="J1704" s="252">
        <v>3</v>
      </c>
      <c r="K1704" s="252">
        <v>3</v>
      </c>
      <c r="L1704" s="253">
        <v>3</v>
      </c>
      <c r="M1704" s="254">
        <f t="shared" si="53"/>
        <v>1.1181151966036349</v>
      </c>
      <c r="N1704" s="255"/>
    </row>
    <row r="1705" spans="1:14" hidden="1" x14ac:dyDescent="0.2">
      <c r="A1705" s="523" t="s">
        <v>372</v>
      </c>
      <c r="B1705" s="459" t="s">
        <v>463</v>
      </c>
      <c r="C1705" s="247" t="s">
        <v>54</v>
      </c>
      <c r="D1705" s="248" t="s">
        <v>135</v>
      </c>
      <c r="E1705" s="249">
        <v>5.8833333333333329E-4</v>
      </c>
      <c r="F1705" s="250" t="s">
        <v>133</v>
      </c>
      <c r="G1705" s="251" t="s">
        <v>16</v>
      </c>
      <c r="H1705" s="252">
        <v>1</v>
      </c>
      <c r="I1705" s="252">
        <v>1</v>
      </c>
      <c r="J1705" s="252">
        <v>3</v>
      </c>
      <c r="K1705" s="252">
        <v>3</v>
      </c>
      <c r="L1705" s="253">
        <v>3</v>
      </c>
      <c r="M1705" s="254">
        <f t="shared" ref="M1705:M1735" si="54">IF( OR( ISBLANK(H1705),ISBLANK(I1705), ISBLANK(J1705), ISBLANK(K1705), ISBLANK(L1705) ), "", 1.5*SQRT( EXP(2.21*(H1705-1)) + EXP(2.21*(I1705-1)) + EXP(2.21*(J1705-1)) + EXP(2.21*(K1705-1)) + EXP(2.21*L1705) )/100*2.45 )</f>
        <v>1.1181151966036349</v>
      </c>
      <c r="N1705" s="255"/>
    </row>
    <row r="1706" spans="1:14" hidden="1" x14ac:dyDescent="0.2">
      <c r="A1706" s="523" t="s">
        <v>372</v>
      </c>
      <c r="B1706" s="459" t="s">
        <v>463</v>
      </c>
      <c r="C1706" s="247" t="s">
        <v>55</v>
      </c>
      <c r="D1706" s="248" t="s">
        <v>135</v>
      </c>
      <c r="E1706" s="249">
        <v>1.2708000000000001E-3</v>
      </c>
      <c r="F1706" s="250" t="s">
        <v>133</v>
      </c>
      <c r="G1706" s="251" t="s">
        <v>16</v>
      </c>
      <c r="H1706" s="252">
        <v>1</v>
      </c>
      <c r="I1706" s="252">
        <v>1</v>
      </c>
      <c r="J1706" s="252">
        <v>3</v>
      </c>
      <c r="K1706" s="252">
        <v>3</v>
      </c>
      <c r="L1706" s="253">
        <v>3</v>
      </c>
      <c r="M1706" s="254">
        <f t="shared" si="54"/>
        <v>1.1181151966036349</v>
      </c>
      <c r="N1706" s="255"/>
    </row>
    <row r="1707" spans="1:14" hidden="1" x14ac:dyDescent="0.2">
      <c r="A1707" s="523" t="s">
        <v>372</v>
      </c>
      <c r="B1707" s="459" t="s">
        <v>463</v>
      </c>
      <c r="C1707" s="247" t="s">
        <v>57</v>
      </c>
      <c r="D1707" s="248" t="s">
        <v>135</v>
      </c>
      <c r="E1707" s="249">
        <v>5.8562211981566818E-4</v>
      </c>
      <c r="F1707" s="250" t="s">
        <v>133</v>
      </c>
      <c r="G1707" s="251" t="s">
        <v>16</v>
      </c>
      <c r="H1707" s="252">
        <v>1</v>
      </c>
      <c r="I1707" s="252">
        <v>1</v>
      </c>
      <c r="J1707" s="252">
        <v>3</v>
      </c>
      <c r="K1707" s="252">
        <v>3</v>
      </c>
      <c r="L1707" s="253">
        <v>3</v>
      </c>
      <c r="M1707" s="254">
        <f t="shared" si="54"/>
        <v>1.1181151966036349</v>
      </c>
      <c r="N1707" s="255"/>
    </row>
    <row r="1708" spans="1:14" hidden="1" x14ac:dyDescent="0.2">
      <c r="A1708" s="523" t="s">
        <v>372</v>
      </c>
      <c r="B1708" s="459" t="s">
        <v>463</v>
      </c>
      <c r="C1708" s="247" t="s">
        <v>59</v>
      </c>
      <c r="D1708" s="248" t="s">
        <v>135</v>
      </c>
      <c r="E1708" s="249">
        <v>2.7E-4</v>
      </c>
      <c r="F1708" s="250" t="s">
        <v>133</v>
      </c>
      <c r="G1708" s="251" t="s">
        <v>16</v>
      </c>
      <c r="H1708" s="252">
        <v>1</v>
      </c>
      <c r="I1708" s="252">
        <v>1</v>
      </c>
      <c r="J1708" s="252">
        <v>3</v>
      </c>
      <c r="K1708" s="252">
        <v>3</v>
      </c>
      <c r="L1708" s="253">
        <v>3</v>
      </c>
      <c r="M1708" s="254">
        <f t="shared" si="54"/>
        <v>1.1181151966036349</v>
      </c>
      <c r="N1708" s="255"/>
    </row>
    <row r="1709" spans="1:14" hidden="1" x14ac:dyDescent="0.2">
      <c r="A1709" s="523" t="s">
        <v>372</v>
      </c>
      <c r="B1709" s="459" t="s">
        <v>463</v>
      </c>
      <c r="C1709" s="247" t="s">
        <v>60</v>
      </c>
      <c r="D1709" s="248" t="s">
        <v>135</v>
      </c>
      <c r="E1709" s="249">
        <v>1.23511879049676E-3</v>
      </c>
      <c r="F1709" s="250" t="s">
        <v>133</v>
      </c>
      <c r="G1709" s="251" t="s">
        <v>16</v>
      </c>
      <c r="H1709" s="252">
        <v>1</v>
      </c>
      <c r="I1709" s="252">
        <v>1</v>
      </c>
      <c r="J1709" s="252">
        <v>3</v>
      </c>
      <c r="K1709" s="252">
        <v>3</v>
      </c>
      <c r="L1709" s="253">
        <v>3</v>
      </c>
      <c r="M1709" s="254">
        <f t="shared" si="54"/>
        <v>1.1181151966036349</v>
      </c>
      <c r="N1709" s="255"/>
    </row>
    <row r="1710" spans="1:14" x14ac:dyDescent="0.2">
      <c r="A1710" s="523" t="s">
        <v>372</v>
      </c>
      <c r="B1710" s="575" t="s">
        <v>493</v>
      </c>
      <c r="C1710" s="525" t="s">
        <v>135</v>
      </c>
      <c r="D1710" s="527" t="s">
        <v>135</v>
      </c>
      <c r="E1710" s="527">
        <v>0.52500000000000002</v>
      </c>
      <c r="F1710" s="333" t="s">
        <v>495</v>
      </c>
      <c r="G1710" s="528" t="s">
        <v>16</v>
      </c>
      <c r="H1710" s="527">
        <v>2</v>
      </c>
      <c r="I1710" s="527">
        <v>3</v>
      </c>
      <c r="J1710" s="527">
        <v>3</v>
      </c>
      <c r="K1710" s="527">
        <v>1</v>
      </c>
      <c r="L1710" s="529">
        <v>1</v>
      </c>
      <c r="M1710" s="60">
        <f t="shared" si="54"/>
        <v>0.50042652380814845</v>
      </c>
    </row>
    <row r="1711" spans="1:14" x14ac:dyDescent="0.2">
      <c r="A1711" s="523" t="s">
        <v>372</v>
      </c>
      <c r="B1711" s="575" t="s">
        <v>493</v>
      </c>
      <c r="C1711" s="525" t="s">
        <v>135</v>
      </c>
      <c r="D1711" s="527" t="s">
        <v>135</v>
      </c>
      <c r="E1711" s="527">
        <v>0.16500000000000001</v>
      </c>
      <c r="F1711" s="333" t="s">
        <v>494</v>
      </c>
      <c r="G1711" s="528" t="s">
        <v>16</v>
      </c>
      <c r="H1711" s="527">
        <v>2</v>
      </c>
      <c r="I1711" s="527">
        <v>4</v>
      </c>
      <c r="J1711" s="527">
        <v>3</v>
      </c>
      <c r="K1711" s="527">
        <v>1</v>
      </c>
      <c r="L1711" s="529">
        <v>1</v>
      </c>
      <c r="M1711" s="60">
        <f t="shared" si="54"/>
        <v>1.0776024280428556</v>
      </c>
    </row>
    <row r="1712" spans="1:14" x14ac:dyDescent="0.2">
      <c r="A1712" s="531" t="s">
        <v>372</v>
      </c>
      <c r="B1712" s="574" t="s">
        <v>493</v>
      </c>
      <c r="C1712" s="533" t="s">
        <v>135</v>
      </c>
      <c r="D1712" s="330" t="s">
        <v>135</v>
      </c>
      <c r="E1712" s="576">
        <v>0.61987480438184661</v>
      </c>
      <c r="F1712" s="534" t="s">
        <v>496</v>
      </c>
      <c r="G1712" s="535" t="s">
        <v>16</v>
      </c>
      <c r="H1712" s="330">
        <v>2</v>
      </c>
      <c r="I1712" s="330">
        <v>2</v>
      </c>
      <c r="J1712" s="330">
        <v>3</v>
      </c>
      <c r="K1712" s="330">
        <v>1</v>
      </c>
      <c r="L1712" s="536">
        <v>2</v>
      </c>
      <c r="M1712" s="537">
        <f t="shared" si="54"/>
        <v>0.50042652380814845</v>
      </c>
      <c r="N1712" s="533"/>
    </row>
    <row r="1713" spans="1:14" hidden="1" x14ac:dyDescent="0.2">
      <c r="A1713" s="523" t="s">
        <v>373</v>
      </c>
      <c r="B1713" s="459" t="s">
        <v>463</v>
      </c>
      <c r="C1713" s="247" t="s">
        <v>13</v>
      </c>
      <c r="D1713" s="248" t="s">
        <v>135</v>
      </c>
      <c r="E1713" s="249">
        <v>4.9383419689119179E-4</v>
      </c>
      <c r="F1713" s="250" t="s">
        <v>133</v>
      </c>
      <c r="G1713" s="251" t="s">
        <v>16</v>
      </c>
      <c r="H1713" s="252">
        <v>1</v>
      </c>
      <c r="I1713" s="252">
        <v>1</v>
      </c>
      <c r="J1713" s="252">
        <v>3</v>
      </c>
      <c r="K1713" s="252">
        <v>3</v>
      </c>
      <c r="L1713" s="253">
        <v>3</v>
      </c>
      <c r="M1713" s="254">
        <f t="shared" si="54"/>
        <v>1.1181151966036349</v>
      </c>
      <c r="N1713" s="255"/>
    </row>
    <row r="1714" spans="1:14" hidden="1" x14ac:dyDescent="0.2">
      <c r="A1714" s="523" t="s">
        <v>373</v>
      </c>
      <c r="B1714" s="459" t="s">
        <v>463</v>
      </c>
      <c r="C1714" s="247" t="s">
        <v>18</v>
      </c>
      <c r="D1714" s="248" t="s">
        <v>135</v>
      </c>
      <c r="E1714" s="249">
        <v>6.2141809290953553E-4</v>
      </c>
      <c r="F1714" s="250" t="s">
        <v>133</v>
      </c>
      <c r="G1714" s="251" t="s">
        <v>16</v>
      </c>
      <c r="H1714" s="252">
        <v>1</v>
      </c>
      <c r="I1714" s="252">
        <v>1</v>
      </c>
      <c r="J1714" s="252">
        <v>3</v>
      </c>
      <c r="K1714" s="252">
        <v>3</v>
      </c>
      <c r="L1714" s="253">
        <v>3</v>
      </c>
      <c r="M1714" s="254">
        <f t="shared" si="54"/>
        <v>1.1181151966036349</v>
      </c>
      <c r="N1714" s="255"/>
    </row>
    <row r="1715" spans="1:14" hidden="1" x14ac:dyDescent="0.2">
      <c r="A1715" s="523" t="s">
        <v>373</v>
      </c>
      <c r="B1715" s="459" t="s">
        <v>463</v>
      </c>
      <c r="C1715" s="247" t="s">
        <v>20</v>
      </c>
      <c r="D1715" s="248" t="s">
        <v>135</v>
      </c>
      <c r="E1715" s="249">
        <v>1.717297297297297E-3</v>
      </c>
      <c r="F1715" s="250" t="s">
        <v>133</v>
      </c>
      <c r="G1715" s="251" t="s">
        <v>16</v>
      </c>
      <c r="H1715" s="252">
        <v>1</v>
      </c>
      <c r="I1715" s="252">
        <v>1</v>
      </c>
      <c r="J1715" s="252">
        <v>3</v>
      </c>
      <c r="K1715" s="252">
        <v>3</v>
      </c>
      <c r="L1715" s="253">
        <v>3</v>
      </c>
      <c r="M1715" s="254">
        <f t="shared" si="54"/>
        <v>1.1181151966036349</v>
      </c>
      <c r="N1715" s="255"/>
    </row>
    <row r="1716" spans="1:14" hidden="1" x14ac:dyDescent="0.2">
      <c r="A1716" s="523" t="s">
        <v>373</v>
      </c>
      <c r="B1716" s="459" t="s">
        <v>463</v>
      </c>
      <c r="C1716" s="247" t="s">
        <v>22</v>
      </c>
      <c r="D1716" s="248" t="s">
        <v>135</v>
      </c>
      <c r="E1716" s="249">
        <v>1.397291666666666E-3</v>
      </c>
      <c r="F1716" s="250" t="s">
        <v>133</v>
      </c>
      <c r="G1716" s="251" t="s">
        <v>16</v>
      </c>
      <c r="H1716" s="252">
        <v>1</v>
      </c>
      <c r="I1716" s="252">
        <v>1</v>
      </c>
      <c r="J1716" s="252">
        <v>3</v>
      </c>
      <c r="K1716" s="252">
        <v>3</v>
      </c>
      <c r="L1716" s="253">
        <v>3</v>
      </c>
      <c r="M1716" s="254">
        <f t="shared" si="54"/>
        <v>1.1181151966036349</v>
      </c>
      <c r="N1716" s="255"/>
    </row>
    <row r="1717" spans="1:14" hidden="1" x14ac:dyDescent="0.2">
      <c r="A1717" s="523" t="s">
        <v>373</v>
      </c>
      <c r="B1717" s="459" t="s">
        <v>463</v>
      </c>
      <c r="C1717" s="247" t="s">
        <v>23</v>
      </c>
      <c r="D1717" s="248" t="s">
        <v>135</v>
      </c>
      <c r="E1717" s="249">
        <v>1.868823529411765E-3</v>
      </c>
      <c r="F1717" s="250" t="s">
        <v>133</v>
      </c>
      <c r="G1717" s="251" t="s">
        <v>16</v>
      </c>
      <c r="H1717" s="252">
        <v>1</v>
      </c>
      <c r="I1717" s="252">
        <v>1</v>
      </c>
      <c r="J1717" s="252">
        <v>3</v>
      </c>
      <c r="K1717" s="252">
        <v>3</v>
      </c>
      <c r="L1717" s="253">
        <v>3</v>
      </c>
      <c r="M1717" s="254">
        <f t="shared" si="54"/>
        <v>1.1181151966036349</v>
      </c>
      <c r="N1717" s="255"/>
    </row>
    <row r="1718" spans="1:14" hidden="1" x14ac:dyDescent="0.2">
      <c r="A1718" s="523" t="s">
        <v>373</v>
      </c>
      <c r="B1718" s="459" t="s">
        <v>463</v>
      </c>
      <c r="C1718" s="247" t="s">
        <v>24</v>
      </c>
      <c r="D1718" s="248" t="s">
        <v>135</v>
      </c>
      <c r="E1718" s="249">
        <v>8.3605263157894745E-4</v>
      </c>
      <c r="F1718" s="250" t="s">
        <v>133</v>
      </c>
      <c r="G1718" s="251" t="s">
        <v>16</v>
      </c>
      <c r="H1718" s="252">
        <v>1</v>
      </c>
      <c r="I1718" s="252">
        <v>1</v>
      </c>
      <c r="J1718" s="252">
        <v>3</v>
      </c>
      <c r="K1718" s="252">
        <v>3</v>
      </c>
      <c r="L1718" s="253">
        <v>3</v>
      </c>
      <c r="M1718" s="254">
        <f t="shared" si="54"/>
        <v>1.1181151966036349</v>
      </c>
      <c r="N1718" s="255"/>
    </row>
    <row r="1719" spans="1:14" hidden="1" x14ac:dyDescent="0.2">
      <c r="A1719" s="523" t="s">
        <v>373</v>
      </c>
      <c r="B1719" s="459" t="s">
        <v>463</v>
      </c>
      <c r="C1719" s="247" t="s">
        <v>25</v>
      </c>
      <c r="D1719" s="248" t="s">
        <v>135</v>
      </c>
      <c r="E1719" s="249">
        <v>4.2932432432432442E-4</v>
      </c>
      <c r="F1719" s="250" t="s">
        <v>133</v>
      </c>
      <c r="G1719" s="251" t="s">
        <v>16</v>
      </c>
      <c r="H1719" s="252">
        <v>1</v>
      </c>
      <c r="I1719" s="252">
        <v>1</v>
      </c>
      <c r="J1719" s="252">
        <v>3</v>
      </c>
      <c r="K1719" s="252">
        <v>3</v>
      </c>
      <c r="L1719" s="253">
        <v>3</v>
      </c>
      <c r="M1719" s="254">
        <f t="shared" si="54"/>
        <v>1.1181151966036349</v>
      </c>
      <c r="N1719" s="255"/>
    </row>
    <row r="1720" spans="1:14" hidden="1" x14ac:dyDescent="0.2">
      <c r="A1720" s="523" t="s">
        <v>373</v>
      </c>
      <c r="B1720" s="459" t="s">
        <v>463</v>
      </c>
      <c r="C1720" s="247" t="s">
        <v>26</v>
      </c>
      <c r="D1720" s="248" t="s">
        <v>135</v>
      </c>
      <c r="E1720" s="249">
        <v>2.9808888888888888E-3</v>
      </c>
      <c r="F1720" s="250" t="s">
        <v>133</v>
      </c>
      <c r="G1720" s="251" t="s">
        <v>16</v>
      </c>
      <c r="H1720" s="252">
        <v>1</v>
      </c>
      <c r="I1720" s="252">
        <v>1</v>
      </c>
      <c r="J1720" s="252">
        <v>3</v>
      </c>
      <c r="K1720" s="252">
        <v>3</v>
      </c>
      <c r="L1720" s="253">
        <v>3</v>
      </c>
      <c r="M1720" s="254">
        <f t="shared" si="54"/>
        <v>1.1181151966036349</v>
      </c>
      <c r="N1720" s="255"/>
    </row>
    <row r="1721" spans="1:14" hidden="1" x14ac:dyDescent="0.2">
      <c r="A1721" s="523" t="s">
        <v>373</v>
      </c>
      <c r="B1721" s="459" t="s">
        <v>463</v>
      </c>
      <c r="C1721" s="247" t="s">
        <v>27</v>
      </c>
      <c r="D1721" s="248" t="s">
        <v>135</v>
      </c>
      <c r="E1721" s="249">
        <v>3.4595281306715062E-4</v>
      </c>
      <c r="F1721" s="250" t="s">
        <v>133</v>
      </c>
      <c r="G1721" s="251" t="s">
        <v>16</v>
      </c>
      <c r="H1721" s="252">
        <v>1</v>
      </c>
      <c r="I1721" s="252">
        <v>1</v>
      </c>
      <c r="J1721" s="252">
        <v>3</v>
      </c>
      <c r="K1721" s="252">
        <v>3</v>
      </c>
      <c r="L1721" s="253">
        <v>3</v>
      </c>
      <c r="M1721" s="254">
        <f t="shared" si="54"/>
        <v>1.1181151966036349</v>
      </c>
      <c r="N1721" s="255"/>
    </row>
    <row r="1722" spans="1:14" hidden="1" x14ac:dyDescent="0.2">
      <c r="A1722" s="523" t="s">
        <v>373</v>
      </c>
      <c r="B1722" s="459" t="s">
        <v>463</v>
      </c>
      <c r="C1722" s="247" t="s">
        <v>28</v>
      </c>
      <c r="D1722" s="248" t="s">
        <v>135</v>
      </c>
      <c r="E1722" s="249">
        <v>7.4149012567324962E-4</v>
      </c>
      <c r="F1722" s="250" t="s">
        <v>133</v>
      </c>
      <c r="G1722" s="251" t="s">
        <v>16</v>
      </c>
      <c r="H1722" s="252">
        <v>1</v>
      </c>
      <c r="I1722" s="252">
        <v>1</v>
      </c>
      <c r="J1722" s="252">
        <v>3</v>
      </c>
      <c r="K1722" s="252">
        <v>3</v>
      </c>
      <c r="L1722" s="253">
        <v>3</v>
      </c>
      <c r="M1722" s="254">
        <f t="shared" si="54"/>
        <v>1.1181151966036349</v>
      </c>
      <c r="N1722" s="255"/>
    </row>
    <row r="1723" spans="1:14" hidden="1" x14ac:dyDescent="0.2">
      <c r="A1723" s="523" t="s">
        <v>373</v>
      </c>
      <c r="B1723" s="459" t="s">
        <v>463</v>
      </c>
      <c r="C1723" s="247" t="s">
        <v>30</v>
      </c>
      <c r="D1723" s="248" t="s">
        <v>135</v>
      </c>
      <c r="E1723" s="249">
        <v>5.242574257425742E-4</v>
      </c>
      <c r="F1723" s="250" t="s">
        <v>133</v>
      </c>
      <c r="G1723" s="251" t="s">
        <v>16</v>
      </c>
      <c r="H1723" s="252">
        <v>1</v>
      </c>
      <c r="I1723" s="252">
        <v>1</v>
      </c>
      <c r="J1723" s="252">
        <v>3</v>
      </c>
      <c r="K1723" s="252">
        <v>3</v>
      </c>
      <c r="L1723" s="253">
        <v>3</v>
      </c>
      <c r="M1723" s="254">
        <f t="shared" si="54"/>
        <v>1.1181151966036349</v>
      </c>
      <c r="N1723" s="255"/>
    </row>
    <row r="1724" spans="1:14" hidden="1" x14ac:dyDescent="0.2">
      <c r="A1724" s="523" t="s">
        <v>373</v>
      </c>
      <c r="B1724" s="459" t="s">
        <v>463</v>
      </c>
      <c r="C1724" s="247" t="s">
        <v>32</v>
      </c>
      <c r="D1724" s="248" t="s">
        <v>135</v>
      </c>
      <c r="E1724" s="249">
        <v>1.23378640776699E-3</v>
      </c>
      <c r="F1724" s="250" t="s">
        <v>133</v>
      </c>
      <c r="G1724" s="251" t="s">
        <v>16</v>
      </c>
      <c r="H1724" s="252">
        <v>1</v>
      </c>
      <c r="I1724" s="252">
        <v>1</v>
      </c>
      <c r="J1724" s="252">
        <v>3</v>
      </c>
      <c r="K1724" s="252">
        <v>3</v>
      </c>
      <c r="L1724" s="253">
        <v>3</v>
      </c>
      <c r="M1724" s="254">
        <f t="shared" si="54"/>
        <v>1.1181151966036349</v>
      </c>
      <c r="N1724" s="255"/>
    </row>
    <row r="1725" spans="1:14" hidden="1" x14ac:dyDescent="0.2">
      <c r="A1725" s="523" t="s">
        <v>373</v>
      </c>
      <c r="B1725" s="459" t="s">
        <v>463</v>
      </c>
      <c r="C1725" s="247" t="s">
        <v>34</v>
      </c>
      <c r="D1725" s="248" t="s">
        <v>135</v>
      </c>
      <c r="E1725" s="249">
        <v>1.5009448818897641E-3</v>
      </c>
      <c r="F1725" s="250" t="s">
        <v>133</v>
      </c>
      <c r="G1725" s="251" t="s">
        <v>16</v>
      </c>
      <c r="H1725" s="252">
        <v>1</v>
      </c>
      <c r="I1725" s="252">
        <v>1</v>
      </c>
      <c r="J1725" s="252">
        <v>3</v>
      </c>
      <c r="K1725" s="252">
        <v>3</v>
      </c>
      <c r="L1725" s="253">
        <v>3</v>
      </c>
      <c r="M1725" s="254">
        <f t="shared" si="54"/>
        <v>1.1181151966036349</v>
      </c>
      <c r="N1725" s="255"/>
    </row>
    <row r="1726" spans="1:14" hidden="1" x14ac:dyDescent="0.2">
      <c r="A1726" s="523" t="s">
        <v>373</v>
      </c>
      <c r="B1726" s="459" t="s">
        <v>463</v>
      </c>
      <c r="C1726" s="247" t="s">
        <v>36</v>
      </c>
      <c r="D1726" s="248" t="s">
        <v>135</v>
      </c>
      <c r="E1726" s="249">
        <v>1.4482051282051281E-3</v>
      </c>
      <c r="F1726" s="250" t="s">
        <v>133</v>
      </c>
      <c r="G1726" s="251" t="s">
        <v>16</v>
      </c>
      <c r="H1726" s="252">
        <v>1</v>
      </c>
      <c r="I1726" s="252">
        <v>1</v>
      </c>
      <c r="J1726" s="252">
        <v>3</v>
      </c>
      <c r="K1726" s="252">
        <v>3</v>
      </c>
      <c r="L1726" s="253">
        <v>3</v>
      </c>
      <c r="M1726" s="254">
        <f t="shared" si="54"/>
        <v>1.1181151966036349</v>
      </c>
      <c r="N1726" s="255"/>
    </row>
    <row r="1727" spans="1:14" hidden="1" x14ac:dyDescent="0.2">
      <c r="A1727" s="523" t="s">
        <v>373</v>
      </c>
      <c r="B1727" s="459" t="s">
        <v>463</v>
      </c>
      <c r="C1727" s="247" t="s">
        <v>37</v>
      </c>
      <c r="D1727" s="248" t="s">
        <v>135</v>
      </c>
      <c r="E1727" s="249">
        <v>6.0483967935871753E-3</v>
      </c>
      <c r="F1727" s="250" t="s">
        <v>133</v>
      </c>
      <c r="G1727" s="251" t="s">
        <v>16</v>
      </c>
      <c r="H1727" s="252">
        <v>1</v>
      </c>
      <c r="I1727" s="252">
        <v>1</v>
      </c>
      <c r="J1727" s="252">
        <v>3</v>
      </c>
      <c r="K1727" s="252">
        <v>3</v>
      </c>
      <c r="L1727" s="253">
        <v>3</v>
      </c>
      <c r="M1727" s="254">
        <f t="shared" si="54"/>
        <v>1.1181151966036349</v>
      </c>
      <c r="N1727" s="255"/>
    </row>
    <row r="1728" spans="1:14" hidden="1" x14ac:dyDescent="0.2">
      <c r="A1728" s="523" t="s">
        <v>373</v>
      </c>
      <c r="B1728" s="459" t="s">
        <v>463</v>
      </c>
      <c r="C1728" s="247" t="s">
        <v>39</v>
      </c>
      <c r="D1728" s="248" t="s">
        <v>135</v>
      </c>
      <c r="E1728" s="249">
        <v>2.9662407862407862E-3</v>
      </c>
      <c r="F1728" s="250" t="s">
        <v>133</v>
      </c>
      <c r="G1728" s="251" t="s">
        <v>16</v>
      </c>
      <c r="H1728" s="252">
        <v>1</v>
      </c>
      <c r="I1728" s="252">
        <v>1</v>
      </c>
      <c r="J1728" s="252">
        <v>3</v>
      </c>
      <c r="K1728" s="252">
        <v>3</v>
      </c>
      <c r="L1728" s="253">
        <v>3</v>
      </c>
      <c r="M1728" s="254">
        <f t="shared" si="54"/>
        <v>1.1181151966036349</v>
      </c>
      <c r="N1728" s="255"/>
    </row>
    <row r="1729" spans="1:14" hidden="1" x14ac:dyDescent="0.2">
      <c r="A1729" s="523" t="s">
        <v>373</v>
      </c>
      <c r="B1729" s="459" t="s">
        <v>463</v>
      </c>
      <c r="C1729" s="247" t="s">
        <v>40</v>
      </c>
      <c r="D1729" s="248" t="s">
        <v>135</v>
      </c>
      <c r="E1729" s="249">
        <v>9.5857758620689656E-4</v>
      </c>
      <c r="F1729" s="250" t="s">
        <v>133</v>
      </c>
      <c r="G1729" s="251" t="s">
        <v>16</v>
      </c>
      <c r="H1729" s="252">
        <v>1</v>
      </c>
      <c r="I1729" s="252">
        <v>1</v>
      </c>
      <c r="J1729" s="252">
        <v>3</v>
      </c>
      <c r="K1729" s="252">
        <v>3</v>
      </c>
      <c r="L1729" s="253">
        <v>3</v>
      </c>
      <c r="M1729" s="254">
        <f t="shared" si="54"/>
        <v>1.1181151966036349</v>
      </c>
      <c r="N1729" s="255"/>
    </row>
    <row r="1730" spans="1:14" hidden="1" x14ac:dyDescent="0.2">
      <c r="A1730" s="523" t="s">
        <v>373</v>
      </c>
      <c r="B1730" s="459" t="s">
        <v>463</v>
      </c>
      <c r="C1730" s="247" t="s">
        <v>41</v>
      </c>
      <c r="D1730" s="248" t="s">
        <v>135</v>
      </c>
      <c r="E1730" s="249">
        <v>4.352054794520548E-4</v>
      </c>
      <c r="F1730" s="250" t="s">
        <v>133</v>
      </c>
      <c r="G1730" s="251" t="s">
        <v>16</v>
      </c>
      <c r="H1730" s="252">
        <v>1</v>
      </c>
      <c r="I1730" s="252">
        <v>1</v>
      </c>
      <c r="J1730" s="252">
        <v>3</v>
      </c>
      <c r="K1730" s="252">
        <v>3</v>
      </c>
      <c r="L1730" s="253">
        <v>3</v>
      </c>
      <c r="M1730" s="254">
        <f t="shared" si="54"/>
        <v>1.1181151966036349</v>
      </c>
      <c r="N1730" s="255"/>
    </row>
    <row r="1731" spans="1:14" hidden="1" x14ac:dyDescent="0.2">
      <c r="A1731" s="523" t="s">
        <v>373</v>
      </c>
      <c r="B1731" s="459" t="s">
        <v>463</v>
      </c>
      <c r="C1731" s="247" t="s">
        <v>42</v>
      </c>
      <c r="D1731" s="248" t="s">
        <v>135</v>
      </c>
      <c r="E1731" s="249">
        <v>2.1274553571428568E-3</v>
      </c>
      <c r="F1731" s="250" t="s">
        <v>133</v>
      </c>
      <c r="G1731" s="251" t="s">
        <v>16</v>
      </c>
      <c r="H1731" s="252">
        <v>1</v>
      </c>
      <c r="I1731" s="252">
        <v>1</v>
      </c>
      <c r="J1731" s="252">
        <v>3</v>
      </c>
      <c r="K1731" s="252">
        <v>3</v>
      </c>
      <c r="L1731" s="253">
        <v>3</v>
      </c>
      <c r="M1731" s="254">
        <f t="shared" si="54"/>
        <v>1.1181151966036349</v>
      </c>
      <c r="N1731" s="255"/>
    </row>
    <row r="1732" spans="1:14" hidden="1" x14ac:dyDescent="0.2">
      <c r="A1732" s="523" t="s">
        <v>373</v>
      </c>
      <c r="B1732" s="459" t="s">
        <v>463</v>
      </c>
      <c r="C1732" s="247" t="s">
        <v>43</v>
      </c>
      <c r="D1732" s="248" t="s">
        <v>135</v>
      </c>
      <c r="E1732" s="249">
        <v>4.9737769080234839E-4</v>
      </c>
      <c r="F1732" s="250" t="s">
        <v>133</v>
      </c>
      <c r="G1732" s="251" t="s">
        <v>16</v>
      </c>
      <c r="H1732" s="252">
        <v>1</v>
      </c>
      <c r="I1732" s="252">
        <v>1</v>
      </c>
      <c r="J1732" s="252">
        <v>3</v>
      </c>
      <c r="K1732" s="252">
        <v>3</v>
      </c>
      <c r="L1732" s="253">
        <v>3</v>
      </c>
      <c r="M1732" s="254">
        <f t="shared" si="54"/>
        <v>1.1181151966036349</v>
      </c>
      <c r="N1732" s="255"/>
    </row>
    <row r="1733" spans="1:14" x14ac:dyDescent="0.2">
      <c r="A1733" s="523" t="s">
        <v>373</v>
      </c>
      <c r="B1733" s="459" t="s">
        <v>463</v>
      </c>
      <c r="C1733" s="247" t="s">
        <v>45</v>
      </c>
      <c r="D1733" s="248" t="s">
        <v>135</v>
      </c>
      <c r="E1733" s="249">
        <v>6.8784844384303125E-4</v>
      </c>
      <c r="F1733" s="250" t="s">
        <v>133</v>
      </c>
      <c r="G1733" s="251" t="s">
        <v>16</v>
      </c>
      <c r="H1733" s="252">
        <v>1</v>
      </c>
      <c r="I1733" s="252">
        <v>1</v>
      </c>
      <c r="J1733" s="252">
        <v>3</v>
      </c>
      <c r="K1733" s="252">
        <v>3</v>
      </c>
      <c r="L1733" s="253">
        <v>3</v>
      </c>
      <c r="M1733" s="254">
        <f t="shared" si="54"/>
        <v>1.1181151966036349</v>
      </c>
      <c r="N1733" s="255"/>
    </row>
    <row r="1734" spans="1:14" hidden="1" x14ac:dyDescent="0.2">
      <c r="A1734" s="523" t="s">
        <v>373</v>
      </c>
      <c r="B1734" s="459" t="s">
        <v>463</v>
      </c>
      <c r="C1734" s="247" t="s">
        <v>46</v>
      </c>
      <c r="D1734" s="248" t="s">
        <v>135</v>
      </c>
      <c r="E1734" s="249">
        <v>1.2553495440729479E-3</v>
      </c>
      <c r="F1734" s="250" t="s">
        <v>133</v>
      </c>
      <c r="G1734" s="251" t="s">
        <v>16</v>
      </c>
      <c r="H1734" s="252">
        <v>1</v>
      </c>
      <c r="I1734" s="252">
        <v>1</v>
      </c>
      <c r="J1734" s="252">
        <v>3</v>
      </c>
      <c r="K1734" s="252">
        <v>3</v>
      </c>
      <c r="L1734" s="253">
        <v>3</v>
      </c>
      <c r="M1734" s="254">
        <f t="shared" si="54"/>
        <v>1.1181151966036349</v>
      </c>
      <c r="N1734" s="255"/>
    </row>
    <row r="1735" spans="1:14" hidden="1" x14ac:dyDescent="0.2">
      <c r="A1735" s="523" t="s">
        <v>373</v>
      </c>
      <c r="B1735" s="459" t="s">
        <v>463</v>
      </c>
      <c r="C1735" s="247" t="s">
        <v>48</v>
      </c>
      <c r="D1735" s="248" t="s">
        <v>135</v>
      </c>
      <c r="E1735" s="249">
        <v>9.3994082840236678E-4</v>
      </c>
      <c r="F1735" s="250" t="s">
        <v>133</v>
      </c>
      <c r="G1735" s="251" t="s">
        <v>16</v>
      </c>
      <c r="H1735" s="252">
        <v>1</v>
      </c>
      <c r="I1735" s="252">
        <v>1</v>
      </c>
      <c r="J1735" s="252">
        <v>3</v>
      </c>
      <c r="K1735" s="252">
        <v>3</v>
      </c>
      <c r="L1735" s="253">
        <v>3</v>
      </c>
      <c r="M1735" s="254">
        <f t="shared" si="54"/>
        <v>1.1181151966036349</v>
      </c>
      <c r="N1735" s="255"/>
    </row>
    <row r="1736" spans="1:14" hidden="1" x14ac:dyDescent="0.2">
      <c r="A1736" s="523" t="s">
        <v>373</v>
      </c>
      <c r="B1736" s="459" t="s">
        <v>463</v>
      </c>
      <c r="C1736" s="247" t="s">
        <v>50</v>
      </c>
      <c r="D1736" s="248" t="s">
        <v>135</v>
      </c>
      <c r="E1736" s="249">
        <v>5.72327205882353E-3</v>
      </c>
      <c r="F1736" s="250" t="s">
        <v>133</v>
      </c>
      <c r="G1736" s="251" t="s">
        <v>16</v>
      </c>
      <c r="H1736" s="252">
        <v>1</v>
      </c>
      <c r="I1736" s="252">
        <v>1</v>
      </c>
      <c r="J1736" s="252">
        <v>3</v>
      </c>
      <c r="K1736" s="252">
        <v>3</v>
      </c>
      <c r="L1736" s="253">
        <v>3</v>
      </c>
      <c r="M1736" s="254">
        <f>IF( OR( ISBLANK(H1736),ISBLANK(I1736), ISBLANK(J1736), ISBLANK(K1736), ISBLANK(L1736) ), "", 1.5*SQRT(   EXP(2.21*(H1736-1)) + EXP(2.21*(I1736-1)) + EXP(2.21*(J1736-1)) + EXP(2.21*(K1736-1)) + EXP(2.21*L1736)   )/100*2.45 )</f>
        <v>1.1181151966036349</v>
      </c>
      <c r="N1736" s="255"/>
    </row>
    <row r="1737" spans="1:14" hidden="1" x14ac:dyDescent="0.2">
      <c r="A1737" s="523" t="s">
        <v>373</v>
      </c>
      <c r="B1737" s="459" t="s">
        <v>463</v>
      </c>
      <c r="C1737" s="247" t="s">
        <v>52</v>
      </c>
      <c r="D1737" s="248" t="s">
        <v>135</v>
      </c>
      <c r="E1737" s="249">
        <v>9.2086956521739128E-4</v>
      </c>
      <c r="F1737" s="250" t="s">
        <v>133</v>
      </c>
      <c r="G1737" s="251" t="s">
        <v>16</v>
      </c>
      <c r="H1737" s="252">
        <v>1</v>
      </c>
      <c r="I1737" s="252">
        <v>1</v>
      </c>
      <c r="J1737" s="252">
        <v>3</v>
      </c>
      <c r="K1737" s="252">
        <v>3</v>
      </c>
      <c r="L1737" s="253">
        <v>3</v>
      </c>
      <c r="M1737" s="254">
        <f t="shared" ref="M1737:M1758" si="55">IF( OR( ISBLANK(H1737),ISBLANK(I1737), ISBLANK(J1737), ISBLANK(K1737), ISBLANK(L1737) ), "", 1.5*SQRT( EXP(2.21*(H1737-1)) + EXP(2.21*(I1737-1)) + EXP(2.21*(J1737-1)) + EXP(2.21*(K1737-1)) + EXP(2.21*L1737) )/100*2.45 )</f>
        <v>1.1181151966036349</v>
      </c>
      <c r="N1737" s="255"/>
    </row>
    <row r="1738" spans="1:14" hidden="1" x14ac:dyDescent="0.2">
      <c r="A1738" s="523" t="s">
        <v>373</v>
      </c>
      <c r="B1738" s="459" t="s">
        <v>463</v>
      </c>
      <c r="C1738" s="247" t="s">
        <v>54</v>
      </c>
      <c r="D1738" s="248" t="s">
        <v>135</v>
      </c>
      <c r="E1738" s="249">
        <v>5.8833333333333329E-4</v>
      </c>
      <c r="F1738" s="250" t="s">
        <v>133</v>
      </c>
      <c r="G1738" s="251" t="s">
        <v>16</v>
      </c>
      <c r="H1738" s="252">
        <v>1</v>
      </c>
      <c r="I1738" s="252">
        <v>1</v>
      </c>
      <c r="J1738" s="252">
        <v>3</v>
      </c>
      <c r="K1738" s="252">
        <v>3</v>
      </c>
      <c r="L1738" s="253">
        <v>3</v>
      </c>
      <c r="M1738" s="254">
        <f t="shared" si="55"/>
        <v>1.1181151966036349</v>
      </c>
      <c r="N1738" s="255"/>
    </row>
    <row r="1739" spans="1:14" hidden="1" x14ac:dyDescent="0.2">
      <c r="A1739" s="523" t="s">
        <v>373</v>
      </c>
      <c r="B1739" s="459" t="s">
        <v>463</v>
      </c>
      <c r="C1739" s="247" t="s">
        <v>55</v>
      </c>
      <c r="D1739" s="248" t="s">
        <v>135</v>
      </c>
      <c r="E1739" s="249">
        <v>1.2708000000000001E-3</v>
      </c>
      <c r="F1739" s="250" t="s">
        <v>133</v>
      </c>
      <c r="G1739" s="251" t="s">
        <v>16</v>
      </c>
      <c r="H1739" s="252">
        <v>1</v>
      </c>
      <c r="I1739" s="252">
        <v>1</v>
      </c>
      <c r="J1739" s="252">
        <v>3</v>
      </c>
      <c r="K1739" s="252">
        <v>3</v>
      </c>
      <c r="L1739" s="253">
        <v>3</v>
      </c>
      <c r="M1739" s="254">
        <f t="shared" si="55"/>
        <v>1.1181151966036349</v>
      </c>
      <c r="N1739" s="255"/>
    </row>
    <row r="1740" spans="1:14" hidden="1" x14ac:dyDescent="0.2">
      <c r="A1740" s="523" t="s">
        <v>373</v>
      </c>
      <c r="B1740" s="459" t="s">
        <v>463</v>
      </c>
      <c r="C1740" s="247" t="s">
        <v>57</v>
      </c>
      <c r="D1740" s="248" t="s">
        <v>135</v>
      </c>
      <c r="E1740" s="249">
        <v>5.8562211981566818E-4</v>
      </c>
      <c r="F1740" s="250" t="s">
        <v>133</v>
      </c>
      <c r="G1740" s="251" t="s">
        <v>16</v>
      </c>
      <c r="H1740" s="252">
        <v>1</v>
      </c>
      <c r="I1740" s="252">
        <v>1</v>
      </c>
      <c r="J1740" s="252">
        <v>3</v>
      </c>
      <c r="K1740" s="252">
        <v>3</v>
      </c>
      <c r="L1740" s="253">
        <v>3</v>
      </c>
      <c r="M1740" s="254">
        <f t="shared" si="55"/>
        <v>1.1181151966036349</v>
      </c>
      <c r="N1740" s="255"/>
    </row>
    <row r="1741" spans="1:14" hidden="1" x14ac:dyDescent="0.2">
      <c r="A1741" s="523" t="s">
        <v>373</v>
      </c>
      <c r="B1741" s="459" t="s">
        <v>463</v>
      </c>
      <c r="C1741" s="247" t="s">
        <v>59</v>
      </c>
      <c r="D1741" s="248" t="s">
        <v>135</v>
      </c>
      <c r="E1741" s="249">
        <v>2.7E-4</v>
      </c>
      <c r="F1741" s="250" t="s">
        <v>133</v>
      </c>
      <c r="G1741" s="251" t="s">
        <v>16</v>
      </c>
      <c r="H1741" s="252">
        <v>1</v>
      </c>
      <c r="I1741" s="252">
        <v>1</v>
      </c>
      <c r="J1741" s="252">
        <v>3</v>
      </c>
      <c r="K1741" s="252">
        <v>3</v>
      </c>
      <c r="L1741" s="253">
        <v>3</v>
      </c>
      <c r="M1741" s="254">
        <f t="shared" si="55"/>
        <v>1.1181151966036349</v>
      </c>
      <c r="N1741" s="255"/>
    </row>
    <row r="1742" spans="1:14" hidden="1" x14ac:dyDescent="0.2">
      <c r="A1742" s="523" t="s">
        <v>373</v>
      </c>
      <c r="B1742" s="459" t="s">
        <v>463</v>
      </c>
      <c r="C1742" s="247" t="s">
        <v>60</v>
      </c>
      <c r="D1742" s="248" t="s">
        <v>135</v>
      </c>
      <c r="E1742" s="249">
        <v>1.23511879049676E-3</v>
      </c>
      <c r="F1742" s="250" t="s">
        <v>133</v>
      </c>
      <c r="G1742" s="251" t="s">
        <v>16</v>
      </c>
      <c r="H1742" s="252">
        <v>1</v>
      </c>
      <c r="I1742" s="252">
        <v>1</v>
      </c>
      <c r="J1742" s="252">
        <v>3</v>
      </c>
      <c r="K1742" s="252">
        <v>3</v>
      </c>
      <c r="L1742" s="253">
        <v>3</v>
      </c>
      <c r="M1742" s="254">
        <f t="shared" si="55"/>
        <v>1.1181151966036349</v>
      </c>
      <c r="N1742" s="255"/>
    </row>
    <row r="1743" spans="1:14" x14ac:dyDescent="0.2">
      <c r="A1743" s="523" t="s">
        <v>373</v>
      </c>
      <c r="B1743" s="575" t="s">
        <v>493</v>
      </c>
      <c r="C1743" s="525" t="s">
        <v>135</v>
      </c>
      <c r="D1743" s="527" t="s">
        <v>135</v>
      </c>
      <c r="E1743" s="527">
        <v>6.5000000000000002E-2</v>
      </c>
      <c r="F1743" s="333" t="s">
        <v>495</v>
      </c>
      <c r="G1743" s="528" t="s">
        <v>16</v>
      </c>
      <c r="H1743" s="527">
        <v>2</v>
      </c>
      <c r="I1743" s="527">
        <v>3</v>
      </c>
      <c r="J1743" s="527">
        <v>3</v>
      </c>
      <c r="K1743" s="527">
        <v>1</v>
      </c>
      <c r="L1743" s="529">
        <v>1</v>
      </c>
      <c r="M1743" s="60">
        <f t="shared" si="55"/>
        <v>0.50042652380814845</v>
      </c>
    </row>
    <row r="1744" spans="1:14" x14ac:dyDescent="0.2">
      <c r="A1744" s="531" t="s">
        <v>373</v>
      </c>
      <c r="B1744" s="574" t="s">
        <v>493</v>
      </c>
      <c r="C1744" s="533" t="s">
        <v>135</v>
      </c>
      <c r="D1744" s="330" t="s">
        <v>135</v>
      </c>
      <c r="E1744" s="576">
        <v>0.32834733893557422</v>
      </c>
      <c r="F1744" s="534" t="s">
        <v>496</v>
      </c>
      <c r="G1744" s="535" t="s">
        <v>16</v>
      </c>
      <c r="H1744" s="330">
        <v>2</v>
      </c>
      <c r="I1744" s="330">
        <v>2</v>
      </c>
      <c r="J1744" s="330">
        <v>3</v>
      </c>
      <c r="K1744" s="330">
        <v>1</v>
      </c>
      <c r="L1744" s="536">
        <v>2</v>
      </c>
      <c r="M1744" s="577">
        <f t="shared" si="55"/>
        <v>0.50042652380814845</v>
      </c>
      <c r="N1744" s="533"/>
    </row>
    <row r="1745" spans="1:14" x14ac:dyDescent="0.2">
      <c r="A1745" s="584" t="s">
        <v>345</v>
      </c>
      <c r="B1745" s="593" t="s">
        <v>498</v>
      </c>
      <c r="C1745" s="190" t="s">
        <v>135</v>
      </c>
      <c r="D1745" s="594" t="s">
        <v>62</v>
      </c>
      <c r="E1745" s="190">
        <v>2.06E-2</v>
      </c>
      <c r="F1745" s="595" t="s">
        <v>499</v>
      </c>
      <c r="G1745" s="182" t="s">
        <v>16</v>
      </c>
      <c r="H1745" s="586">
        <v>2</v>
      </c>
      <c r="I1745" s="586">
        <v>2</v>
      </c>
      <c r="J1745" s="586">
        <v>2</v>
      </c>
      <c r="K1745" s="586">
        <v>1</v>
      </c>
      <c r="L1745" s="588">
        <v>1</v>
      </c>
      <c r="M1745" s="25">
        <f t="shared" si="55"/>
        <v>0.2249354160293616</v>
      </c>
      <c r="N1745" s="586"/>
    </row>
    <row r="1746" spans="1:14" x14ac:dyDescent="0.2">
      <c r="A1746" s="584" t="s">
        <v>345</v>
      </c>
      <c r="B1746" s="593" t="s">
        <v>498</v>
      </c>
      <c r="C1746" s="180" t="s">
        <v>135</v>
      </c>
      <c r="D1746" s="597" t="s">
        <v>62</v>
      </c>
      <c r="E1746" s="586">
        <v>1.7999999999999999E-2</v>
      </c>
      <c r="F1746" s="595" t="s">
        <v>500</v>
      </c>
      <c r="G1746" s="182" t="s">
        <v>16</v>
      </c>
      <c r="H1746" s="586">
        <v>3</v>
      </c>
      <c r="I1746" s="586">
        <v>1</v>
      </c>
      <c r="J1746" s="586">
        <v>2</v>
      </c>
      <c r="K1746" s="586">
        <v>1</v>
      </c>
      <c r="L1746" s="588">
        <v>1</v>
      </c>
      <c r="M1746" s="192">
        <f t="shared" si="55"/>
        <v>0.37356464144298934</v>
      </c>
      <c r="N1746" s="586"/>
    </row>
    <row r="1747" spans="1:14" x14ac:dyDescent="0.2">
      <c r="A1747" s="584" t="s">
        <v>345</v>
      </c>
      <c r="B1747" s="593" t="s">
        <v>498</v>
      </c>
      <c r="C1747" s="180" t="s">
        <v>135</v>
      </c>
      <c r="D1747" s="597" t="s">
        <v>62</v>
      </c>
      <c r="E1747" s="586">
        <v>0.10730000000000001</v>
      </c>
      <c r="F1747" s="595" t="s">
        <v>501</v>
      </c>
      <c r="G1747" s="182" t="s">
        <v>16</v>
      </c>
      <c r="H1747" s="586">
        <v>3</v>
      </c>
      <c r="I1747" s="586">
        <v>2</v>
      </c>
      <c r="J1747" s="586">
        <v>1</v>
      </c>
      <c r="K1747" s="586">
        <v>1</v>
      </c>
      <c r="L1747" s="588">
        <v>1</v>
      </c>
      <c r="M1747" s="192">
        <f t="shared" si="55"/>
        <v>0.37356464144298934</v>
      </c>
      <c r="N1747" s="586"/>
    </row>
    <row r="1748" spans="1:14" x14ac:dyDescent="0.2">
      <c r="A1748" s="584" t="s">
        <v>345</v>
      </c>
      <c r="B1748" s="593" t="s">
        <v>498</v>
      </c>
      <c r="C1748" s="180" t="s">
        <v>135</v>
      </c>
      <c r="D1748" s="598" t="s">
        <v>14</v>
      </c>
      <c r="E1748" s="190">
        <v>2.06E-2</v>
      </c>
      <c r="F1748" s="595" t="s">
        <v>499</v>
      </c>
      <c r="G1748" s="182" t="s">
        <v>16</v>
      </c>
      <c r="H1748" s="586">
        <v>2</v>
      </c>
      <c r="I1748" s="586">
        <v>2</v>
      </c>
      <c r="J1748" s="586">
        <v>2</v>
      </c>
      <c r="K1748" s="586">
        <v>1</v>
      </c>
      <c r="L1748" s="588">
        <v>1</v>
      </c>
      <c r="M1748" s="192">
        <f t="shared" si="55"/>
        <v>0.2249354160293616</v>
      </c>
      <c r="N1748" s="586"/>
    </row>
    <row r="1749" spans="1:14" x14ac:dyDescent="0.2">
      <c r="A1749" s="584" t="s">
        <v>345</v>
      </c>
      <c r="B1749" s="593" t="s">
        <v>498</v>
      </c>
      <c r="C1749" s="180" t="s">
        <v>135</v>
      </c>
      <c r="D1749" s="598" t="s">
        <v>14</v>
      </c>
      <c r="E1749" s="586">
        <v>1.7999999999999999E-2</v>
      </c>
      <c r="F1749" s="595" t="s">
        <v>500</v>
      </c>
      <c r="G1749" s="182" t="s">
        <v>16</v>
      </c>
      <c r="H1749" s="586">
        <v>3</v>
      </c>
      <c r="I1749" s="586">
        <v>1</v>
      </c>
      <c r="J1749" s="586">
        <v>2</v>
      </c>
      <c r="K1749" s="586">
        <v>1</v>
      </c>
      <c r="L1749" s="588">
        <v>1</v>
      </c>
      <c r="M1749" s="192">
        <f t="shared" si="55"/>
        <v>0.37356464144298934</v>
      </c>
      <c r="N1749" s="586"/>
    </row>
    <row r="1750" spans="1:14" x14ac:dyDescent="0.2">
      <c r="A1750" s="584" t="s">
        <v>345</v>
      </c>
      <c r="B1750" s="593" t="s">
        <v>498</v>
      </c>
      <c r="C1750" s="180" t="s">
        <v>135</v>
      </c>
      <c r="D1750" s="598" t="s">
        <v>14</v>
      </c>
      <c r="E1750" s="586">
        <v>0.10730000000000001</v>
      </c>
      <c r="F1750" s="595" t="s">
        <v>501</v>
      </c>
      <c r="G1750" s="182" t="s">
        <v>16</v>
      </c>
      <c r="H1750" s="586">
        <v>3</v>
      </c>
      <c r="I1750" s="586">
        <v>2</v>
      </c>
      <c r="J1750" s="586">
        <v>1</v>
      </c>
      <c r="K1750" s="586">
        <v>1</v>
      </c>
      <c r="L1750" s="588">
        <v>1</v>
      </c>
      <c r="M1750" s="192">
        <f t="shared" si="55"/>
        <v>0.37356464144298934</v>
      </c>
      <c r="N1750" s="586"/>
    </row>
    <row r="1751" spans="1:14" x14ac:dyDescent="0.2">
      <c r="A1751" s="584" t="s">
        <v>345</v>
      </c>
      <c r="B1751" s="593" t="s">
        <v>498</v>
      </c>
      <c r="C1751" s="180" t="s">
        <v>135</v>
      </c>
      <c r="D1751" s="599" t="s">
        <v>64</v>
      </c>
      <c r="E1751" s="190">
        <v>2.06E-2</v>
      </c>
      <c r="F1751" s="595" t="s">
        <v>499</v>
      </c>
      <c r="G1751" s="600" t="s">
        <v>16</v>
      </c>
      <c r="H1751" s="601">
        <v>2</v>
      </c>
      <c r="I1751" s="601">
        <v>2</v>
      </c>
      <c r="J1751" s="601">
        <v>2</v>
      </c>
      <c r="K1751" s="601">
        <v>1</v>
      </c>
      <c r="L1751" s="602">
        <v>1</v>
      </c>
      <c r="M1751" s="192">
        <f t="shared" si="55"/>
        <v>0.2249354160293616</v>
      </c>
      <c r="N1751" s="601"/>
    </row>
    <row r="1752" spans="1:14" x14ac:dyDescent="0.2">
      <c r="A1752" s="584" t="s">
        <v>345</v>
      </c>
      <c r="B1752" s="593" t="s">
        <v>498</v>
      </c>
      <c r="C1752" s="180" t="s">
        <v>135</v>
      </c>
      <c r="D1752" s="599" t="s">
        <v>64</v>
      </c>
      <c r="E1752" s="601">
        <v>1.7999999999999999E-2</v>
      </c>
      <c r="F1752" s="595" t="s">
        <v>500</v>
      </c>
      <c r="G1752" s="600" t="s">
        <v>16</v>
      </c>
      <c r="H1752" s="601">
        <v>3</v>
      </c>
      <c r="I1752" s="601">
        <v>1</v>
      </c>
      <c r="J1752" s="601">
        <v>2</v>
      </c>
      <c r="K1752" s="601">
        <v>1</v>
      </c>
      <c r="L1752" s="602">
        <v>1</v>
      </c>
      <c r="M1752" s="192">
        <f t="shared" si="55"/>
        <v>0.37356464144298934</v>
      </c>
      <c r="N1752" s="601"/>
    </row>
    <row r="1753" spans="1:14" x14ac:dyDescent="0.2">
      <c r="A1753" s="584" t="s">
        <v>345</v>
      </c>
      <c r="B1753" s="593" t="s">
        <v>498</v>
      </c>
      <c r="C1753" s="180" t="s">
        <v>135</v>
      </c>
      <c r="D1753" s="29" t="s">
        <v>66</v>
      </c>
      <c r="E1753" s="739">
        <v>0</v>
      </c>
      <c r="F1753" s="595"/>
      <c r="G1753" s="600" t="s">
        <v>16</v>
      </c>
      <c r="H1753" s="739"/>
      <c r="I1753" s="739"/>
      <c r="J1753" s="739"/>
      <c r="K1753" s="739"/>
      <c r="L1753" s="608"/>
      <c r="M1753" s="717" t="str">
        <f t="shared" si="55"/>
        <v/>
      </c>
      <c r="N1753" s="601"/>
    </row>
    <row r="1754" spans="1:14" x14ac:dyDescent="0.2">
      <c r="A1754" s="584" t="s">
        <v>345</v>
      </c>
      <c r="B1754" s="593" t="s">
        <v>498</v>
      </c>
      <c r="C1754" s="180" t="s">
        <v>135</v>
      </c>
      <c r="D1754" s="30" t="s">
        <v>94</v>
      </c>
      <c r="E1754" s="739">
        <v>0</v>
      </c>
      <c r="F1754" s="595"/>
      <c r="G1754" s="600" t="s">
        <v>16</v>
      </c>
      <c r="H1754" s="739"/>
      <c r="I1754" s="739"/>
      <c r="J1754" s="739"/>
      <c r="K1754" s="739"/>
      <c r="L1754" s="608"/>
      <c r="M1754" s="717" t="str">
        <f t="shared" si="55"/>
        <v/>
      </c>
      <c r="N1754" s="601"/>
    </row>
    <row r="1755" spans="1:14" x14ac:dyDescent="0.2">
      <c r="A1755" s="584" t="s">
        <v>345</v>
      </c>
      <c r="B1755" s="593" t="s">
        <v>498</v>
      </c>
      <c r="C1755" s="180" t="s">
        <v>135</v>
      </c>
      <c r="D1755" s="31" t="s">
        <v>96</v>
      </c>
      <c r="E1755" s="739">
        <v>0</v>
      </c>
      <c r="F1755" s="595"/>
      <c r="G1755" s="600" t="s">
        <v>16</v>
      </c>
      <c r="H1755" s="739"/>
      <c r="I1755" s="739"/>
      <c r="J1755" s="739"/>
      <c r="K1755" s="739"/>
      <c r="L1755" s="608"/>
      <c r="M1755" s="717" t="str">
        <f t="shared" si="55"/>
        <v/>
      </c>
      <c r="N1755" s="601"/>
    </row>
    <row r="1756" spans="1:14" x14ac:dyDescent="0.2">
      <c r="A1756" s="584" t="s">
        <v>345</v>
      </c>
      <c r="B1756" s="593" t="s">
        <v>498</v>
      </c>
      <c r="C1756" s="180" t="s">
        <v>135</v>
      </c>
      <c r="D1756" s="32" t="s">
        <v>98</v>
      </c>
      <c r="E1756" s="739">
        <v>0</v>
      </c>
      <c r="F1756" s="595"/>
      <c r="G1756" s="600" t="s">
        <v>16</v>
      </c>
      <c r="H1756" s="739"/>
      <c r="I1756" s="739"/>
      <c r="J1756" s="739"/>
      <c r="K1756" s="739"/>
      <c r="L1756" s="608"/>
      <c r="M1756" s="717" t="str">
        <f t="shared" si="55"/>
        <v/>
      </c>
      <c r="N1756" s="601"/>
    </row>
    <row r="1757" spans="1:14" x14ac:dyDescent="0.2">
      <c r="A1757" s="590" t="s">
        <v>345</v>
      </c>
      <c r="B1757" s="740" t="s">
        <v>502</v>
      </c>
      <c r="C1757" s="741" t="s">
        <v>135</v>
      </c>
      <c r="D1757" s="605" t="s">
        <v>135</v>
      </c>
      <c r="E1757" s="605">
        <v>7.4000000000000003E-3</v>
      </c>
      <c r="F1757" s="695" t="s">
        <v>503</v>
      </c>
      <c r="G1757" s="742" t="s">
        <v>16</v>
      </c>
      <c r="H1757" s="605">
        <v>1</v>
      </c>
      <c r="I1757" s="605">
        <v>1</v>
      </c>
      <c r="J1757" s="605">
        <v>3</v>
      </c>
      <c r="K1757" s="605">
        <v>3</v>
      </c>
      <c r="L1757" s="743">
        <v>1</v>
      </c>
      <c r="M1757" s="737">
        <f t="shared" si="55"/>
        <v>0.48935255543384243</v>
      </c>
      <c r="N1757" s="605" t="s">
        <v>504</v>
      </c>
    </row>
    <row r="1758" spans="1:14" x14ac:dyDescent="0.2">
      <c r="A1758" s="607" t="s">
        <v>347</v>
      </c>
      <c r="B1758" s="744" t="s">
        <v>450</v>
      </c>
      <c r="C1758" s="745" t="s">
        <v>135</v>
      </c>
      <c r="D1758" s="746" t="s">
        <v>135</v>
      </c>
      <c r="E1758" s="746">
        <f>0.0074/2</f>
        <v>3.7000000000000002E-3</v>
      </c>
      <c r="F1758" s="699" t="s">
        <v>503</v>
      </c>
      <c r="G1758" s="747" t="s">
        <v>16</v>
      </c>
      <c r="H1758" s="746">
        <v>1</v>
      </c>
      <c r="I1758" s="746">
        <v>1</v>
      </c>
      <c r="J1758" s="746">
        <v>3</v>
      </c>
      <c r="K1758" s="746">
        <v>3</v>
      </c>
      <c r="L1758" s="748">
        <v>1</v>
      </c>
      <c r="M1758" s="749">
        <f t="shared" si="55"/>
        <v>0.48935255543384243</v>
      </c>
      <c r="N1758" s="746" t="s">
        <v>505</v>
      </c>
    </row>
    <row r="1759" spans="1:14" hidden="1" x14ac:dyDescent="0.2">
      <c r="A1759" s="523" t="s">
        <v>349</v>
      </c>
      <c r="B1759" s="459" t="s">
        <v>463</v>
      </c>
      <c r="C1759" s="247" t="s">
        <v>13</v>
      </c>
      <c r="D1759" s="248" t="s">
        <v>135</v>
      </c>
      <c r="E1759" s="249">
        <v>4.9383419689119179E-4</v>
      </c>
      <c r="F1759" s="250" t="s">
        <v>133</v>
      </c>
      <c r="G1759" s="251" t="s">
        <v>16</v>
      </c>
      <c r="H1759" s="252">
        <v>1</v>
      </c>
      <c r="I1759" s="252">
        <v>1</v>
      </c>
      <c r="J1759" s="252">
        <v>3</v>
      </c>
      <c r="K1759" s="252">
        <v>3</v>
      </c>
      <c r="L1759" s="253">
        <v>3</v>
      </c>
      <c r="M1759" s="254">
        <f>IF( OR( ISBLANK(H1759),ISBLANK(I1759), ISBLANK(J1759), ISBLANK(K1759), ISBLANK(L1759) ), "", 1.5*SQRT(   EXP(2.21*(H1759-1)) + EXP(2.21*(I1759-1)) + EXP(2.21*(J1759-1)) + EXP(2.21*(K1759-1)) + EXP(2.21*L1759)   )/100*2.45 )</f>
        <v>1.1181151966036349</v>
      </c>
      <c r="N1759" s="255"/>
    </row>
    <row r="1760" spans="1:14" hidden="1" x14ac:dyDescent="0.2">
      <c r="A1760" s="523" t="s">
        <v>349</v>
      </c>
      <c r="B1760" s="459" t="s">
        <v>463</v>
      </c>
      <c r="C1760" s="247" t="s">
        <v>18</v>
      </c>
      <c r="D1760" s="248" t="s">
        <v>135</v>
      </c>
      <c r="E1760" s="249">
        <v>6.2141809290953553E-4</v>
      </c>
      <c r="F1760" s="250" t="s">
        <v>133</v>
      </c>
      <c r="G1760" s="251" t="s">
        <v>16</v>
      </c>
      <c r="H1760" s="252">
        <v>1</v>
      </c>
      <c r="I1760" s="252">
        <v>1</v>
      </c>
      <c r="J1760" s="252">
        <v>3</v>
      </c>
      <c r="K1760" s="252">
        <v>3</v>
      </c>
      <c r="L1760" s="253">
        <v>3</v>
      </c>
      <c r="M1760" s="254">
        <f t="shared" ref="M1760:M1791" si="56">IF( OR( ISBLANK(H1760),ISBLANK(I1760), ISBLANK(J1760), ISBLANK(K1760), ISBLANK(L1760) ), "", 1.5*SQRT( EXP(2.21*(H1760-1)) + EXP(2.21*(I1760-1)) + EXP(2.21*(J1760-1)) + EXP(2.21*(K1760-1)) + EXP(2.21*L1760) )/100*2.45 )</f>
        <v>1.1181151966036349</v>
      </c>
      <c r="N1760" s="255"/>
    </row>
    <row r="1761" spans="1:14" hidden="1" x14ac:dyDescent="0.2">
      <c r="A1761" s="523" t="s">
        <v>349</v>
      </c>
      <c r="B1761" s="459" t="s">
        <v>463</v>
      </c>
      <c r="C1761" s="247" t="s">
        <v>20</v>
      </c>
      <c r="D1761" s="248" t="s">
        <v>135</v>
      </c>
      <c r="E1761" s="249">
        <v>1.717297297297297E-3</v>
      </c>
      <c r="F1761" s="250" t="s">
        <v>133</v>
      </c>
      <c r="G1761" s="251" t="s">
        <v>16</v>
      </c>
      <c r="H1761" s="252">
        <v>1</v>
      </c>
      <c r="I1761" s="252">
        <v>1</v>
      </c>
      <c r="J1761" s="252">
        <v>3</v>
      </c>
      <c r="K1761" s="252">
        <v>3</v>
      </c>
      <c r="L1761" s="253">
        <v>3</v>
      </c>
      <c r="M1761" s="254">
        <f t="shared" si="56"/>
        <v>1.1181151966036349</v>
      </c>
      <c r="N1761" s="255"/>
    </row>
    <row r="1762" spans="1:14" hidden="1" x14ac:dyDescent="0.2">
      <c r="A1762" s="523" t="s">
        <v>349</v>
      </c>
      <c r="B1762" s="459" t="s">
        <v>463</v>
      </c>
      <c r="C1762" s="247" t="s">
        <v>22</v>
      </c>
      <c r="D1762" s="248" t="s">
        <v>135</v>
      </c>
      <c r="E1762" s="249">
        <v>1.397291666666666E-3</v>
      </c>
      <c r="F1762" s="250" t="s">
        <v>133</v>
      </c>
      <c r="G1762" s="251" t="s">
        <v>16</v>
      </c>
      <c r="H1762" s="252">
        <v>1</v>
      </c>
      <c r="I1762" s="252">
        <v>1</v>
      </c>
      <c r="J1762" s="252">
        <v>3</v>
      </c>
      <c r="K1762" s="252">
        <v>3</v>
      </c>
      <c r="L1762" s="253">
        <v>3</v>
      </c>
      <c r="M1762" s="254">
        <f t="shared" si="56"/>
        <v>1.1181151966036349</v>
      </c>
      <c r="N1762" s="255"/>
    </row>
    <row r="1763" spans="1:14" hidden="1" x14ac:dyDescent="0.2">
      <c r="A1763" s="523" t="s">
        <v>349</v>
      </c>
      <c r="B1763" s="459" t="s">
        <v>463</v>
      </c>
      <c r="C1763" s="247" t="s">
        <v>23</v>
      </c>
      <c r="D1763" s="248" t="s">
        <v>135</v>
      </c>
      <c r="E1763" s="249">
        <v>1.868823529411765E-3</v>
      </c>
      <c r="F1763" s="250" t="s">
        <v>133</v>
      </c>
      <c r="G1763" s="251" t="s">
        <v>16</v>
      </c>
      <c r="H1763" s="252">
        <v>1</v>
      </c>
      <c r="I1763" s="252">
        <v>1</v>
      </c>
      <c r="J1763" s="252">
        <v>3</v>
      </c>
      <c r="K1763" s="252">
        <v>3</v>
      </c>
      <c r="L1763" s="253">
        <v>3</v>
      </c>
      <c r="M1763" s="254">
        <f t="shared" si="56"/>
        <v>1.1181151966036349</v>
      </c>
      <c r="N1763" s="255"/>
    </row>
    <row r="1764" spans="1:14" hidden="1" x14ac:dyDescent="0.2">
      <c r="A1764" s="523" t="s">
        <v>349</v>
      </c>
      <c r="B1764" s="459" t="s">
        <v>463</v>
      </c>
      <c r="C1764" s="247" t="s">
        <v>24</v>
      </c>
      <c r="D1764" s="248" t="s">
        <v>135</v>
      </c>
      <c r="E1764" s="249">
        <v>8.3605263157894745E-4</v>
      </c>
      <c r="F1764" s="250" t="s">
        <v>133</v>
      </c>
      <c r="G1764" s="251" t="s">
        <v>16</v>
      </c>
      <c r="H1764" s="252">
        <v>1</v>
      </c>
      <c r="I1764" s="252">
        <v>1</v>
      </c>
      <c r="J1764" s="252">
        <v>3</v>
      </c>
      <c r="K1764" s="252">
        <v>3</v>
      </c>
      <c r="L1764" s="253">
        <v>3</v>
      </c>
      <c r="M1764" s="254">
        <f t="shared" si="56"/>
        <v>1.1181151966036349</v>
      </c>
      <c r="N1764" s="255"/>
    </row>
    <row r="1765" spans="1:14" hidden="1" x14ac:dyDescent="0.2">
      <c r="A1765" s="523" t="s">
        <v>349</v>
      </c>
      <c r="B1765" s="459" t="s">
        <v>463</v>
      </c>
      <c r="C1765" s="247" t="s">
        <v>25</v>
      </c>
      <c r="D1765" s="248" t="s">
        <v>135</v>
      </c>
      <c r="E1765" s="249">
        <v>4.2932432432432442E-4</v>
      </c>
      <c r="F1765" s="250" t="s">
        <v>133</v>
      </c>
      <c r="G1765" s="251" t="s">
        <v>16</v>
      </c>
      <c r="H1765" s="252">
        <v>1</v>
      </c>
      <c r="I1765" s="252">
        <v>1</v>
      </c>
      <c r="J1765" s="252">
        <v>3</v>
      </c>
      <c r="K1765" s="252">
        <v>3</v>
      </c>
      <c r="L1765" s="253">
        <v>3</v>
      </c>
      <c r="M1765" s="254">
        <f t="shared" si="56"/>
        <v>1.1181151966036349</v>
      </c>
      <c r="N1765" s="255"/>
    </row>
    <row r="1766" spans="1:14" hidden="1" x14ac:dyDescent="0.2">
      <c r="A1766" s="523" t="s">
        <v>349</v>
      </c>
      <c r="B1766" s="459" t="s">
        <v>463</v>
      </c>
      <c r="C1766" s="247" t="s">
        <v>26</v>
      </c>
      <c r="D1766" s="248" t="s">
        <v>135</v>
      </c>
      <c r="E1766" s="249">
        <v>2.9808888888888888E-3</v>
      </c>
      <c r="F1766" s="250" t="s">
        <v>133</v>
      </c>
      <c r="G1766" s="251" t="s">
        <v>16</v>
      </c>
      <c r="H1766" s="252">
        <v>1</v>
      </c>
      <c r="I1766" s="252">
        <v>1</v>
      </c>
      <c r="J1766" s="252">
        <v>3</v>
      </c>
      <c r="K1766" s="252">
        <v>3</v>
      </c>
      <c r="L1766" s="253">
        <v>3</v>
      </c>
      <c r="M1766" s="254">
        <f t="shared" si="56"/>
        <v>1.1181151966036349</v>
      </c>
      <c r="N1766" s="255"/>
    </row>
    <row r="1767" spans="1:14" hidden="1" x14ac:dyDescent="0.2">
      <c r="A1767" s="523" t="s">
        <v>349</v>
      </c>
      <c r="B1767" s="459" t="s">
        <v>463</v>
      </c>
      <c r="C1767" s="247" t="s">
        <v>27</v>
      </c>
      <c r="D1767" s="248" t="s">
        <v>135</v>
      </c>
      <c r="E1767" s="249">
        <v>3.4595281306715062E-4</v>
      </c>
      <c r="F1767" s="250" t="s">
        <v>133</v>
      </c>
      <c r="G1767" s="251" t="s">
        <v>16</v>
      </c>
      <c r="H1767" s="252">
        <v>1</v>
      </c>
      <c r="I1767" s="252">
        <v>1</v>
      </c>
      <c r="J1767" s="252">
        <v>3</v>
      </c>
      <c r="K1767" s="252">
        <v>3</v>
      </c>
      <c r="L1767" s="253">
        <v>3</v>
      </c>
      <c r="M1767" s="254">
        <f t="shared" si="56"/>
        <v>1.1181151966036349</v>
      </c>
      <c r="N1767" s="255"/>
    </row>
    <row r="1768" spans="1:14" hidden="1" x14ac:dyDescent="0.2">
      <c r="A1768" s="523" t="s">
        <v>349</v>
      </c>
      <c r="B1768" s="459" t="s">
        <v>463</v>
      </c>
      <c r="C1768" s="247" t="s">
        <v>28</v>
      </c>
      <c r="D1768" s="248" t="s">
        <v>135</v>
      </c>
      <c r="E1768" s="249">
        <v>7.4149012567324962E-4</v>
      </c>
      <c r="F1768" s="250" t="s">
        <v>133</v>
      </c>
      <c r="G1768" s="251" t="s">
        <v>16</v>
      </c>
      <c r="H1768" s="252">
        <v>1</v>
      </c>
      <c r="I1768" s="252">
        <v>1</v>
      </c>
      <c r="J1768" s="252">
        <v>3</v>
      </c>
      <c r="K1768" s="252">
        <v>3</v>
      </c>
      <c r="L1768" s="253">
        <v>3</v>
      </c>
      <c r="M1768" s="254">
        <f t="shared" si="56"/>
        <v>1.1181151966036349</v>
      </c>
      <c r="N1768" s="255"/>
    </row>
    <row r="1769" spans="1:14" hidden="1" x14ac:dyDescent="0.2">
      <c r="A1769" s="523" t="s">
        <v>349</v>
      </c>
      <c r="B1769" s="459" t="s">
        <v>463</v>
      </c>
      <c r="C1769" s="247" t="s">
        <v>30</v>
      </c>
      <c r="D1769" s="248" t="s">
        <v>135</v>
      </c>
      <c r="E1769" s="249">
        <v>5.242574257425742E-4</v>
      </c>
      <c r="F1769" s="250" t="s">
        <v>133</v>
      </c>
      <c r="G1769" s="251" t="s">
        <v>16</v>
      </c>
      <c r="H1769" s="252">
        <v>1</v>
      </c>
      <c r="I1769" s="252">
        <v>1</v>
      </c>
      <c r="J1769" s="252">
        <v>3</v>
      </c>
      <c r="K1769" s="252">
        <v>3</v>
      </c>
      <c r="L1769" s="253">
        <v>3</v>
      </c>
      <c r="M1769" s="254">
        <f t="shared" si="56"/>
        <v>1.1181151966036349</v>
      </c>
      <c r="N1769" s="255"/>
    </row>
    <row r="1770" spans="1:14" hidden="1" x14ac:dyDescent="0.2">
      <c r="A1770" s="523" t="s">
        <v>349</v>
      </c>
      <c r="B1770" s="459" t="s">
        <v>463</v>
      </c>
      <c r="C1770" s="247" t="s">
        <v>32</v>
      </c>
      <c r="D1770" s="248" t="s">
        <v>135</v>
      </c>
      <c r="E1770" s="249">
        <v>1.23378640776699E-3</v>
      </c>
      <c r="F1770" s="250" t="s">
        <v>133</v>
      </c>
      <c r="G1770" s="251" t="s">
        <v>16</v>
      </c>
      <c r="H1770" s="252">
        <v>1</v>
      </c>
      <c r="I1770" s="252">
        <v>1</v>
      </c>
      <c r="J1770" s="252">
        <v>3</v>
      </c>
      <c r="K1770" s="252">
        <v>3</v>
      </c>
      <c r="L1770" s="253">
        <v>3</v>
      </c>
      <c r="M1770" s="254">
        <f t="shared" si="56"/>
        <v>1.1181151966036349</v>
      </c>
      <c r="N1770" s="255"/>
    </row>
    <row r="1771" spans="1:14" hidden="1" x14ac:dyDescent="0.2">
      <c r="A1771" s="523" t="s">
        <v>349</v>
      </c>
      <c r="B1771" s="459" t="s">
        <v>463</v>
      </c>
      <c r="C1771" s="247" t="s">
        <v>34</v>
      </c>
      <c r="D1771" s="248" t="s">
        <v>135</v>
      </c>
      <c r="E1771" s="249">
        <v>1.5009448818897641E-3</v>
      </c>
      <c r="F1771" s="250" t="s">
        <v>133</v>
      </c>
      <c r="G1771" s="251" t="s">
        <v>16</v>
      </c>
      <c r="H1771" s="252">
        <v>1</v>
      </c>
      <c r="I1771" s="252">
        <v>1</v>
      </c>
      <c r="J1771" s="252">
        <v>3</v>
      </c>
      <c r="K1771" s="252">
        <v>3</v>
      </c>
      <c r="L1771" s="253">
        <v>3</v>
      </c>
      <c r="M1771" s="254">
        <f t="shared" si="56"/>
        <v>1.1181151966036349</v>
      </c>
      <c r="N1771" s="255"/>
    </row>
    <row r="1772" spans="1:14" hidden="1" x14ac:dyDescent="0.2">
      <c r="A1772" s="523" t="s">
        <v>349</v>
      </c>
      <c r="B1772" s="459" t="s">
        <v>463</v>
      </c>
      <c r="C1772" s="247" t="s">
        <v>36</v>
      </c>
      <c r="D1772" s="248" t="s">
        <v>135</v>
      </c>
      <c r="E1772" s="249">
        <v>1.4482051282051281E-3</v>
      </c>
      <c r="F1772" s="250" t="s">
        <v>133</v>
      </c>
      <c r="G1772" s="251" t="s">
        <v>16</v>
      </c>
      <c r="H1772" s="252">
        <v>1</v>
      </c>
      <c r="I1772" s="252">
        <v>1</v>
      </c>
      <c r="J1772" s="252">
        <v>3</v>
      </c>
      <c r="K1772" s="252">
        <v>3</v>
      </c>
      <c r="L1772" s="253">
        <v>3</v>
      </c>
      <c r="M1772" s="254">
        <f t="shared" si="56"/>
        <v>1.1181151966036349</v>
      </c>
      <c r="N1772" s="255"/>
    </row>
    <row r="1773" spans="1:14" hidden="1" x14ac:dyDescent="0.2">
      <c r="A1773" s="523" t="s">
        <v>349</v>
      </c>
      <c r="B1773" s="459" t="s">
        <v>463</v>
      </c>
      <c r="C1773" s="247" t="s">
        <v>37</v>
      </c>
      <c r="D1773" s="248" t="s">
        <v>135</v>
      </c>
      <c r="E1773" s="249">
        <v>6.0483967935871753E-3</v>
      </c>
      <c r="F1773" s="250" t="s">
        <v>133</v>
      </c>
      <c r="G1773" s="251" t="s">
        <v>16</v>
      </c>
      <c r="H1773" s="252">
        <v>1</v>
      </c>
      <c r="I1773" s="252">
        <v>1</v>
      </c>
      <c r="J1773" s="252">
        <v>3</v>
      </c>
      <c r="K1773" s="252">
        <v>3</v>
      </c>
      <c r="L1773" s="253">
        <v>3</v>
      </c>
      <c r="M1773" s="254">
        <f t="shared" si="56"/>
        <v>1.1181151966036349</v>
      </c>
      <c r="N1773" s="255"/>
    </row>
    <row r="1774" spans="1:14" hidden="1" x14ac:dyDescent="0.2">
      <c r="A1774" s="523" t="s">
        <v>349</v>
      </c>
      <c r="B1774" s="459" t="s">
        <v>463</v>
      </c>
      <c r="C1774" s="247" t="s">
        <v>39</v>
      </c>
      <c r="D1774" s="248" t="s">
        <v>135</v>
      </c>
      <c r="E1774" s="249">
        <v>2.9662407862407862E-3</v>
      </c>
      <c r="F1774" s="250" t="s">
        <v>133</v>
      </c>
      <c r="G1774" s="251" t="s">
        <v>16</v>
      </c>
      <c r="H1774" s="252">
        <v>1</v>
      </c>
      <c r="I1774" s="252">
        <v>1</v>
      </c>
      <c r="J1774" s="252">
        <v>3</v>
      </c>
      <c r="K1774" s="252">
        <v>3</v>
      </c>
      <c r="L1774" s="253">
        <v>3</v>
      </c>
      <c r="M1774" s="254">
        <f t="shared" si="56"/>
        <v>1.1181151966036349</v>
      </c>
      <c r="N1774" s="255"/>
    </row>
    <row r="1775" spans="1:14" hidden="1" x14ac:dyDescent="0.2">
      <c r="A1775" s="523" t="s">
        <v>349</v>
      </c>
      <c r="B1775" s="459" t="s">
        <v>463</v>
      </c>
      <c r="C1775" s="247" t="s">
        <v>40</v>
      </c>
      <c r="D1775" s="248" t="s">
        <v>135</v>
      </c>
      <c r="E1775" s="249">
        <v>9.5857758620689656E-4</v>
      </c>
      <c r="F1775" s="250" t="s">
        <v>133</v>
      </c>
      <c r="G1775" s="251" t="s">
        <v>16</v>
      </c>
      <c r="H1775" s="252">
        <v>1</v>
      </c>
      <c r="I1775" s="252">
        <v>1</v>
      </c>
      <c r="J1775" s="252">
        <v>3</v>
      </c>
      <c r="K1775" s="252">
        <v>3</v>
      </c>
      <c r="L1775" s="253">
        <v>3</v>
      </c>
      <c r="M1775" s="254">
        <f t="shared" si="56"/>
        <v>1.1181151966036349</v>
      </c>
      <c r="N1775" s="255"/>
    </row>
    <row r="1776" spans="1:14" hidden="1" x14ac:dyDescent="0.2">
      <c r="A1776" s="523" t="s">
        <v>349</v>
      </c>
      <c r="B1776" s="459" t="s">
        <v>463</v>
      </c>
      <c r="C1776" s="247" t="s">
        <v>41</v>
      </c>
      <c r="D1776" s="248" t="s">
        <v>135</v>
      </c>
      <c r="E1776" s="249">
        <v>4.352054794520548E-4</v>
      </c>
      <c r="F1776" s="250" t="s">
        <v>133</v>
      </c>
      <c r="G1776" s="251" t="s">
        <v>16</v>
      </c>
      <c r="H1776" s="252">
        <v>1</v>
      </c>
      <c r="I1776" s="252">
        <v>1</v>
      </c>
      <c r="J1776" s="252">
        <v>3</v>
      </c>
      <c r="K1776" s="252">
        <v>3</v>
      </c>
      <c r="L1776" s="253">
        <v>3</v>
      </c>
      <c r="M1776" s="254">
        <f t="shared" si="56"/>
        <v>1.1181151966036349</v>
      </c>
      <c r="N1776" s="255"/>
    </row>
    <row r="1777" spans="1:14" hidden="1" x14ac:dyDescent="0.2">
      <c r="A1777" s="523" t="s">
        <v>349</v>
      </c>
      <c r="B1777" s="459" t="s">
        <v>463</v>
      </c>
      <c r="C1777" s="247" t="s">
        <v>42</v>
      </c>
      <c r="D1777" s="248" t="s">
        <v>135</v>
      </c>
      <c r="E1777" s="249">
        <v>2.1274553571428568E-3</v>
      </c>
      <c r="F1777" s="250" t="s">
        <v>133</v>
      </c>
      <c r="G1777" s="251" t="s">
        <v>16</v>
      </c>
      <c r="H1777" s="252">
        <v>1</v>
      </c>
      <c r="I1777" s="252">
        <v>1</v>
      </c>
      <c r="J1777" s="252">
        <v>3</v>
      </c>
      <c r="K1777" s="252">
        <v>3</v>
      </c>
      <c r="L1777" s="253">
        <v>3</v>
      </c>
      <c r="M1777" s="254">
        <f t="shared" si="56"/>
        <v>1.1181151966036349</v>
      </c>
      <c r="N1777" s="255"/>
    </row>
    <row r="1778" spans="1:14" hidden="1" x14ac:dyDescent="0.2">
      <c r="A1778" s="523" t="s">
        <v>349</v>
      </c>
      <c r="B1778" s="459" t="s">
        <v>463</v>
      </c>
      <c r="C1778" s="247" t="s">
        <v>43</v>
      </c>
      <c r="D1778" s="248" t="s">
        <v>135</v>
      </c>
      <c r="E1778" s="249">
        <v>4.9737769080234839E-4</v>
      </c>
      <c r="F1778" s="250" t="s">
        <v>133</v>
      </c>
      <c r="G1778" s="251" t="s">
        <v>16</v>
      </c>
      <c r="H1778" s="252">
        <v>1</v>
      </c>
      <c r="I1778" s="252">
        <v>1</v>
      </c>
      <c r="J1778" s="252">
        <v>3</v>
      </c>
      <c r="K1778" s="252">
        <v>3</v>
      </c>
      <c r="L1778" s="253">
        <v>3</v>
      </c>
      <c r="M1778" s="254">
        <f t="shared" si="56"/>
        <v>1.1181151966036349</v>
      </c>
      <c r="N1778" s="255"/>
    </row>
    <row r="1779" spans="1:14" x14ac:dyDescent="0.2">
      <c r="A1779" s="523" t="s">
        <v>349</v>
      </c>
      <c r="B1779" s="459" t="s">
        <v>463</v>
      </c>
      <c r="C1779" s="247" t="s">
        <v>45</v>
      </c>
      <c r="D1779" s="248" t="s">
        <v>135</v>
      </c>
      <c r="E1779" s="249">
        <v>6.8784844384303125E-4</v>
      </c>
      <c r="F1779" s="250" t="s">
        <v>133</v>
      </c>
      <c r="G1779" s="251" t="s">
        <v>16</v>
      </c>
      <c r="H1779" s="252">
        <v>1</v>
      </c>
      <c r="I1779" s="252">
        <v>1</v>
      </c>
      <c r="J1779" s="252">
        <v>3</v>
      </c>
      <c r="K1779" s="252">
        <v>3</v>
      </c>
      <c r="L1779" s="253">
        <v>3</v>
      </c>
      <c r="M1779" s="254">
        <f t="shared" si="56"/>
        <v>1.1181151966036349</v>
      </c>
      <c r="N1779" s="255"/>
    </row>
    <row r="1780" spans="1:14" hidden="1" x14ac:dyDescent="0.2">
      <c r="A1780" s="523" t="s">
        <v>349</v>
      </c>
      <c r="B1780" s="459" t="s">
        <v>463</v>
      </c>
      <c r="C1780" s="247" t="s">
        <v>46</v>
      </c>
      <c r="D1780" s="248" t="s">
        <v>135</v>
      </c>
      <c r="E1780" s="249">
        <v>1.2553495440729479E-3</v>
      </c>
      <c r="F1780" s="250" t="s">
        <v>133</v>
      </c>
      <c r="G1780" s="251" t="s">
        <v>16</v>
      </c>
      <c r="H1780" s="252">
        <v>1</v>
      </c>
      <c r="I1780" s="252">
        <v>1</v>
      </c>
      <c r="J1780" s="252">
        <v>3</v>
      </c>
      <c r="K1780" s="252">
        <v>3</v>
      </c>
      <c r="L1780" s="253">
        <v>3</v>
      </c>
      <c r="M1780" s="254">
        <f t="shared" si="56"/>
        <v>1.1181151966036349</v>
      </c>
      <c r="N1780" s="255"/>
    </row>
    <row r="1781" spans="1:14" hidden="1" x14ac:dyDescent="0.2">
      <c r="A1781" s="523" t="s">
        <v>349</v>
      </c>
      <c r="B1781" s="459" t="s">
        <v>463</v>
      </c>
      <c r="C1781" s="247" t="s">
        <v>48</v>
      </c>
      <c r="D1781" s="248" t="s">
        <v>135</v>
      </c>
      <c r="E1781" s="249">
        <v>9.3994082840236678E-4</v>
      </c>
      <c r="F1781" s="250" t="s">
        <v>133</v>
      </c>
      <c r="G1781" s="251" t="s">
        <v>16</v>
      </c>
      <c r="H1781" s="252">
        <v>1</v>
      </c>
      <c r="I1781" s="252">
        <v>1</v>
      </c>
      <c r="J1781" s="252">
        <v>3</v>
      </c>
      <c r="K1781" s="252">
        <v>3</v>
      </c>
      <c r="L1781" s="253">
        <v>3</v>
      </c>
      <c r="M1781" s="254">
        <f t="shared" si="56"/>
        <v>1.1181151966036349</v>
      </c>
      <c r="N1781" s="255"/>
    </row>
    <row r="1782" spans="1:14" hidden="1" x14ac:dyDescent="0.2">
      <c r="A1782" s="523" t="s">
        <v>349</v>
      </c>
      <c r="B1782" s="459" t="s">
        <v>463</v>
      </c>
      <c r="C1782" s="247" t="s">
        <v>50</v>
      </c>
      <c r="D1782" s="248" t="s">
        <v>135</v>
      </c>
      <c r="E1782" s="249">
        <v>5.72327205882353E-3</v>
      </c>
      <c r="F1782" s="250" t="s">
        <v>133</v>
      </c>
      <c r="G1782" s="251" t="s">
        <v>16</v>
      </c>
      <c r="H1782" s="252">
        <v>1</v>
      </c>
      <c r="I1782" s="252">
        <v>1</v>
      </c>
      <c r="J1782" s="252">
        <v>3</v>
      </c>
      <c r="K1782" s="252">
        <v>3</v>
      </c>
      <c r="L1782" s="253">
        <v>3</v>
      </c>
      <c r="M1782" s="254">
        <f t="shared" si="56"/>
        <v>1.1181151966036349</v>
      </c>
      <c r="N1782" s="255"/>
    </row>
    <row r="1783" spans="1:14" hidden="1" x14ac:dyDescent="0.2">
      <c r="A1783" s="523" t="s">
        <v>349</v>
      </c>
      <c r="B1783" s="459" t="s">
        <v>463</v>
      </c>
      <c r="C1783" s="247" t="s">
        <v>52</v>
      </c>
      <c r="D1783" s="248" t="s">
        <v>135</v>
      </c>
      <c r="E1783" s="249">
        <v>9.2086956521739128E-4</v>
      </c>
      <c r="F1783" s="250" t="s">
        <v>133</v>
      </c>
      <c r="G1783" s="251" t="s">
        <v>16</v>
      </c>
      <c r="H1783" s="252">
        <v>1</v>
      </c>
      <c r="I1783" s="252">
        <v>1</v>
      </c>
      <c r="J1783" s="252">
        <v>3</v>
      </c>
      <c r="K1783" s="252">
        <v>3</v>
      </c>
      <c r="L1783" s="253">
        <v>3</v>
      </c>
      <c r="M1783" s="254">
        <f t="shared" si="56"/>
        <v>1.1181151966036349</v>
      </c>
      <c r="N1783" s="255"/>
    </row>
    <row r="1784" spans="1:14" hidden="1" x14ac:dyDescent="0.2">
      <c r="A1784" s="523" t="s">
        <v>349</v>
      </c>
      <c r="B1784" s="459" t="s">
        <v>463</v>
      </c>
      <c r="C1784" s="247" t="s">
        <v>54</v>
      </c>
      <c r="D1784" s="248" t="s">
        <v>135</v>
      </c>
      <c r="E1784" s="249">
        <v>5.8833333333333329E-4</v>
      </c>
      <c r="F1784" s="250" t="s">
        <v>133</v>
      </c>
      <c r="G1784" s="251" t="s">
        <v>16</v>
      </c>
      <c r="H1784" s="252">
        <v>1</v>
      </c>
      <c r="I1784" s="252">
        <v>1</v>
      </c>
      <c r="J1784" s="252">
        <v>3</v>
      </c>
      <c r="K1784" s="252">
        <v>3</v>
      </c>
      <c r="L1784" s="253">
        <v>3</v>
      </c>
      <c r="M1784" s="254">
        <f t="shared" si="56"/>
        <v>1.1181151966036349</v>
      </c>
      <c r="N1784" s="255"/>
    </row>
    <row r="1785" spans="1:14" hidden="1" x14ac:dyDescent="0.2">
      <c r="A1785" s="523" t="s">
        <v>349</v>
      </c>
      <c r="B1785" s="459" t="s">
        <v>463</v>
      </c>
      <c r="C1785" s="247" t="s">
        <v>55</v>
      </c>
      <c r="D1785" s="248" t="s">
        <v>135</v>
      </c>
      <c r="E1785" s="249">
        <v>1.2708000000000001E-3</v>
      </c>
      <c r="F1785" s="250" t="s">
        <v>133</v>
      </c>
      <c r="G1785" s="251" t="s">
        <v>16</v>
      </c>
      <c r="H1785" s="252">
        <v>1</v>
      </c>
      <c r="I1785" s="252">
        <v>1</v>
      </c>
      <c r="J1785" s="252">
        <v>3</v>
      </c>
      <c r="K1785" s="252">
        <v>3</v>
      </c>
      <c r="L1785" s="253">
        <v>3</v>
      </c>
      <c r="M1785" s="254">
        <f t="shared" si="56"/>
        <v>1.1181151966036349</v>
      </c>
      <c r="N1785" s="255"/>
    </row>
    <row r="1786" spans="1:14" hidden="1" x14ac:dyDescent="0.2">
      <c r="A1786" s="523" t="s">
        <v>349</v>
      </c>
      <c r="B1786" s="459" t="s">
        <v>463</v>
      </c>
      <c r="C1786" s="247" t="s">
        <v>57</v>
      </c>
      <c r="D1786" s="248" t="s">
        <v>135</v>
      </c>
      <c r="E1786" s="249">
        <v>5.8562211981566818E-4</v>
      </c>
      <c r="F1786" s="250" t="s">
        <v>133</v>
      </c>
      <c r="G1786" s="251" t="s">
        <v>16</v>
      </c>
      <c r="H1786" s="252">
        <v>1</v>
      </c>
      <c r="I1786" s="252">
        <v>1</v>
      </c>
      <c r="J1786" s="252">
        <v>3</v>
      </c>
      <c r="K1786" s="252">
        <v>3</v>
      </c>
      <c r="L1786" s="253">
        <v>3</v>
      </c>
      <c r="M1786" s="254">
        <f t="shared" si="56"/>
        <v>1.1181151966036349</v>
      </c>
      <c r="N1786" s="255"/>
    </row>
    <row r="1787" spans="1:14" hidden="1" x14ac:dyDescent="0.2">
      <c r="A1787" s="523" t="s">
        <v>349</v>
      </c>
      <c r="B1787" s="459" t="s">
        <v>463</v>
      </c>
      <c r="C1787" s="247" t="s">
        <v>59</v>
      </c>
      <c r="D1787" s="248" t="s">
        <v>135</v>
      </c>
      <c r="E1787" s="249">
        <v>2.7E-4</v>
      </c>
      <c r="F1787" s="250" t="s">
        <v>133</v>
      </c>
      <c r="G1787" s="251" t="s">
        <v>16</v>
      </c>
      <c r="H1787" s="252">
        <v>1</v>
      </c>
      <c r="I1787" s="252">
        <v>1</v>
      </c>
      <c r="J1787" s="252">
        <v>3</v>
      </c>
      <c r="K1787" s="252">
        <v>3</v>
      </c>
      <c r="L1787" s="253">
        <v>3</v>
      </c>
      <c r="M1787" s="254">
        <f t="shared" si="56"/>
        <v>1.1181151966036349</v>
      </c>
      <c r="N1787" s="255"/>
    </row>
    <row r="1788" spans="1:14" hidden="1" x14ac:dyDescent="0.2">
      <c r="A1788" s="523" t="s">
        <v>349</v>
      </c>
      <c r="B1788" s="459" t="s">
        <v>463</v>
      </c>
      <c r="C1788" s="247" t="s">
        <v>60</v>
      </c>
      <c r="D1788" s="248" t="s">
        <v>135</v>
      </c>
      <c r="E1788" s="249">
        <v>1.23511879049676E-3</v>
      </c>
      <c r="F1788" s="250" t="s">
        <v>133</v>
      </c>
      <c r="G1788" s="251" t="s">
        <v>16</v>
      </c>
      <c r="H1788" s="252">
        <v>1</v>
      </c>
      <c r="I1788" s="252">
        <v>1</v>
      </c>
      <c r="J1788" s="252">
        <v>3</v>
      </c>
      <c r="K1788" s="252">
        <v>3</v>
      </c>
      <c r="L1788" s="253">
        <v>3</v>
      </c>
      <c r="M1788" s="254">
        <f t="shared" si="56"/>
        <v>1.1181151966036349</v>
      </c>
      <c r="N1788" s="255"/>
    </row>
    <row r="1789" spans="1:14" x14ac:dyDescent="0.2">
      <c r="A1789" s="531" t="s">
        <v>349</v>
      </c>
      <c r="B1789" s="609" t="s">
        <v>475</v>
      </c>
      <c r="C1789" s="610" t="s">
        <v>135</v>
      </c>
      <c r="D1789" s="330" t="s">
        <v>135</v>
      </c>
      <c r="E1789" s="330">
        <v>1E-3</v>
      </c>
      <c r="F1789" s="534" t="s">
        <v>455</v>
      </c>
      <c r="G1789" s="535" t="s">
        <v>16</v>
      </c>
      <c r="H1789" s="330">
        <v>1</v>
      </c>
      <c r="I1789" s="330">
        <v>1</v>
      </c>
      <c r="J1789" s="330">
        <v>1</v>
      </c>
      <c r="K1789" s="330">
        <v>1</v>
      </c>
      <c r="L1789" s="536">
        <v>3</v>
      </c>
      <c r="M1789" s="537">
        <f t="shared" si="56"/>
        <v>1.0141150152164344</v>
      </c>
      <c r="N1789" s="538"/>
    </row>
    <row r="1790" spans="1:14" hidden="1" x14ac:dyDescent="0.2">
      <c r="A1790" s="523" t="s">
        <v>352</v>
      </c>
      <c r="B1790" s="459" t="s">
        <v>463</v>
      </c>
      <c r="C1790" s="247" t="s">
        <v>13</v>
      </c>
      <c r="D1790" s="248" t="s">
        <v>135</v>
      </c>
      <c r="E1790" s="249">
        <v>4.9383419689119179E-4</v>
      </c>
      <c r="F1790" s="250" t="s">
        <v>133</v>
      </c>
      <c r="G1790" s="251" t="s">
        <v>16</v>
      </c>
      <c r="H1790" s="252">
        <v>1</v>
      </c>
      <c r="I1790" s="252">
        <v>1</v>
      </c>
      <c r="J1790" s="252">
        <v>3</v>
      </c>
      <c r="K1790" s="252">
        <v>3</v>
      </c>
      <c r="L1790" s="253">
        <v>3</v>
      </c>
      <c r="M1790" s="254">
        <f t="shared" si="56"/>
        <v>1.1181151966036349</v>
      </c>
      <c r="N1790" s="255"/>
    </row>
    <row r="1791" spans="1:14" hidden="1" x14ac:dyDescent="0.2">
      <c r="A1791" s="523" t="s">
        <v>352</v>
      </c>
      <c r="B1791" s="459" t="s">
        <v>463</v>
      </c>
      <c r="C1791" s="247" t="s">
        <v>18</v>
      </c>
      <c r="D1791" s="248" t="s">
        <v>135</v>
      </c>
      <c r="E1791" s="249">
        <v>6.2141809290953553E-4</v>
      </c>
      <c r="F1791" s="250" t="s">
        <v>133</v>
      </c>
      <c r="G1791" s="251" t="s">
        <v>16</v>
      </c>
      <c r="H1791" s="252">
        <v>1</v>
      </c>
      <c r="I1791" s="252">
        <v>1</v>
      </c>
      <c r="J1791" s="252">
        <v>3</v>
      </c>
      <c r="K1791" s="252">
        <v>3</v>
      </c>
      <c r="L1791" s="253">
        <v>3</v>
      </c>
      <c r="M1791" s="254">
        <f t="shared" si="56"/>
        <v>1.1181151966036349</v>
      </c>
      <c r="N1791" s="255"/>
    </row>
    <row r="1792" spans="1:14" hidden="1" x14ac:dyDescent="0.2">
      <c r="A1792" s="523" t="s">
        <v>352</v>
      </c>
      <c r="B1792" s="459" t="s">
        <v>463</v>
      </c>
      <c r="C1792" s="247" t="s">
        <v>20</v>
      </c>
      <c r="D1792" s="248" t="s">
        <v>135</v>
      </c>
      <c r="E1792" s="249">
        <v>1.717297297297297E-3</v>
      </c>
      <c r="F1792" s="250" t="s">
        <v>133</v>
      </c>
      <c r="G1792" s="251" t="s">
        <v>16</v>
      </c>
      <c r="H1792" s="252">
        <v>1</v>
      </c>
      <c r="I1792" s="252">
        <v>1</v>
      </c>
      <c r="J1792" s="252">
        <v>3</v>
      </c>
      <c r="K1792" s="252">
        <v>3</v>
      </c>
      <c r="L1792" s="253">
        <v>3</v>
      </c>
      <c r="M1792" s="254">
        <f t="shared" ref="M1792:M1822" si="57">IF( OR( ISBLANK(H1792),ISBLANK(I1792), ISBLANK(J1792), ISBLANK(K1792), ISBLANK(L1792) ), "", 1.5*SQRT( EXP(2.21*(H1792-1)) + EXP(2.21*(I1792-1)) + EXP(2.21*(J1792-1)) + EXP(2.21*(K1792-1)) + EXP(2.21*L1792) )/100*2.45 )</f>
        <v>1.1181151966036349</v>
      </c>
      <c r="N1792" s="255"/>
    </row>
    <row r="1793" spans="1:14" hidden="1" x14ac:dyDescent="0.2">
      <c r="A1793" s="523" t="s">
        <v>352</v>
      </c>
      <c r="B1793" s="459" t="s">
        <v>463</v>
      </c>
      <c r="C1793" s="247" t="s">
        <v>22</v>
      </c>
      <c r="D1793" s="248" t="s">
        <v>135</v>
      </c>
      <c r="E1793" s="249">
        <v>1.397291666666666E-3</v>
      </c>
      <c r="F1793" s="250" t="s">
        <v>133</v>
      </c>
      <c r="G1793" s="251" t="s">
        <v>16</v>
      </c>
      <c r="H1793" s="252">
        <v>1</v>
      </c>
      <c r="I1793" s="252">
        <v>1</v>
      </c>
      <c r="J1793" s="252">
        <v>3</v>
      </c>
      <c r="K1793" s="252">
        <v>3</v>
      </c>
      <c r="L1793" s="253">
        <v>3</v>
      </c>
      <c r="M1793" s="254">
        <f t="shared" si="57"/>
        <v>1.1181151966036349</v>
      </c>
      <c r="N1793" s="255"/>
    </row>
    <row r="1794" spans="1:14" hidden="1" x14ac:dyDescent="0.2">
      <c r="A1794" s="523" t="s">
        <v>352</v>
      </c>
      <c r="B1794" s="459" t="s">
        <v>463</v>
      </c>
      <c r="C1794" s="247" t="s">
        <v>23</v>
      </c>
      <c r="D1794" s="248" t="s">
        <v>135</v>
      </c>
      <c r="E1794" s="249">
        <v>1.868823529411765E-3</v>
      </c>
      <c r="F1794" s="250" t="s">
        <v>133</v>
      </c>
      <c r="G1794" s="251" t="s">
        <v>16</v>
      </c>
      <c r="H1794" s="252">
        <v>1</v>
      </c>
      <c r="I1794" s="252">
        <v>1</v>
      </c>
      <c r="J1794" s="252">
        <v>3</v>
      </c>
      <c r="K1794" s="252">
        <v>3</v>
      </c>
      <c r="L1794" s="253">
        <v>3</v>
      </c>
      <c r="M1794" s="254">
        <f t="shared" si="57"/>
        <v>1.1181151966036349</v>
      </c>
      <c r="N1794" s="255"/>
    </row>
    <row r="1795" spans="1:14" hidden="1" x14ac:dyDescent="0.2">
      <c r="A1795" s="523" t="s">
        <v>352</v>
      </c>
      <c r="B1795" s="459" t="s">
        <v>463</v>
      </c>
      <c r="C1795" s="247" t="s">
        <v>24</v>
      </c>
      <c r="D1795" s="248" t="s">
        <v>135</v>
      </c>
      <c r="E1795" s="249">
        <v>8.3605263157894745E-4</v>
      </c>
      <c r="F1795" s="250" t="s">
        <v>133</v>
      </c>
      <c r="G1795" s="251" t="s">
        <v>16</v>
      </c>
      <c r="H1795" s="252">
        <v>1</v>
      </c>
      <c r="I1795" s="252">
        <v>1</v>
      </c>
      <c r="J1795" s="252">
        <v>3</v>
      </c>
      <c r="K1795" s="252">
        <v>3</v>
      </c>
      <c r="L1795" s="253">
        <v>3</v>
      </c>
      <c r="M1795" s="254">
        <f t="shared" si="57"/>
        <v>1.1181151966036349</v>
      </c>
      <c r="N1795" s="255"/>
    </row>
    <row r="1796" spans="1:14" hidden="1" x14ac:dyDescent="0.2">
      <c r="A1796" s="523" t="s">
        <v>352</v>
      </c>
      <c r="B1796" s="459" t="s">
        <v>463</v>
      </c>
      <c r="C1796" s="247" t="s">
        <v>25</v>
      </c>
      <c r="D1796" s="248" t="s">
        <v>135</v>
      </c>
      <c r="E1796" s="249">
        <v>4.2932432432432442E-4</v>
      </c>
      <c r="F1796" s="250" t="s">
        <v>133</v>
      </c>
      <c r="G1796" s="251" t="s">
        <v>16</v>
      </c>
      <c r="H1796" s="252">
        <v>1</v>
      </c>
      <c r="I1796" s="252">
        <v>1</v>
      </c>
      <c r="J1796" s="252">
        <v>3</v>
      </c>
      <c r="K1796" s="252">
        <v>3</v>
      </c>
      <c r="L1796" s="253">
        <v>3</v>
      </c>
      <c r="M1796" s="254">
        <f t="shared" si="57"/>
        <v>1.1181151966036349</v>
      </c>
      <c r="N1796" s="255"/>
    </row>
    <row r="1797" spans="1:14" hidden="1" x14ac:dyDescent="0.2">
      <c r="A1797" s="523" t="s">
        <v>352</v>
      </c>
      <c r="B1797" s="459" t="s">
        <v>463</v>
      </c>
      <c r="C1797" s="247" t="s">
        <v>26</v>
      </c>
      <c r="D1797" s="248" t="s">
        <v>135</v>
      </c>
      <c r="E1797" s="249">
        <v>2.9808888888888888E-3</v>
      </c>
      <c r="F1797" s="250" t="s">
        <v>133</v>
      </c>
      <c r="G1797" s="251" t="s">
        <v>16</v>
      </c>
      <c r="H1797" s="252">
        <v>1</v>
      </c>
      <c r="I1797" s="252">
        <v>1</v>
      </c>
      <c r="J1797" s="252">
        <v>3</v>
      </c>
      <c r="K1797" s="252">
        <v>3</v>
      </c>
      <c r="L1797" s="253">
        <v>3</v>
      </c>
      <c r="M1797" s="254">
        <f t="shared" si="57"/>
        <v>1.1181151966036349</v>
      </c>
      <c r="N1797" s="255"/>
    </row>
    <row r="1798" spans="1:14" hidden="1" x14ac:dyDescent="0.2">
      <c r="A1798" s="523" t="s">
        <v>352</v>
      </c>
      <c r="B1798" s="459" t="s">
        <v>463</v>
      </c>
      <c r="C1798" s="247" t="s">
        <v>27</v>
      </c>
      <c r="D1798" s="248" t="s">
        <v>135</v>
      </c>
      <c r="E1798" s="249">
        <v>3.4595281306715062E-4</v>
      </c>
      <c r="F1798" s="250" t="s">
        <v>133</v>
      </c>
      <c r="G1798" s="251" t="s">
        <v>16</v>
      </c>
      <c r="H1798" s="252">
        <v>1</v>
      </c>
      <c r="I1798" s="252">
        <v>1</v>
      </c>
      <c r="J1798" s="252">
        <v>3</v>
      </c>
      <c r="K1798" s="252">
        <v>3</v>
      </c>
      <c r="L1798" s="253">
        <v>3</v>
      </c>
      <c r="M1798" s="254">
        <f t="shared" si="57"/>
        <v>1.1181151966036349</v>
      </c>
      <c r="N1798" s="255"/>
    </row>
    <row r="1799" spans="1:14" hidden="1" x14ac:dyDescent="0.2">
      <c r="A1799" s="523" t="s">
        <v>352</v>
      </c>
      <c r="B1799" s="459" t="s">
        <v>463</v>
      </c>
      <c r="C1799" s="247" t="s">
        <v>28</v>
      </c>
      <c r="D1799" s="248" t="s">
        <v>135</v>
      </c>
      <c r="E1799" s="249">
        <v>7.4149012567324962E-4</v>
      </c>
      <c r="F1799" s="250" t="s">
        <v>133</v>
      </c>
      <c r="G1799" s="251" t="s">
        <v>16</v>
      </c>
      <c r="H1799" s="252">
        <v>1</v>
      </c>
      <c r="I1799" s="252">
        <v>1</v>
      </c>
      <c r="J1799" s="252">
        <v>3</v>
      </c>
      <c r="K1799" s="252">
        <v>3</v>
      </c>
      <c r="L1799" s="253">
        <v>3</v>
      </c>
      <c r="M1799" s="254">
        <f t="shared" si="57"/>
        <v>1.1181151966036349</v>
      </c>
      <c r="N1799" s="255"/>
    </row>
    <row r="1800" spans="1:14" hidden="1" x14ac:dyDescent="0.2">
      <c r="A1800" s="523" t="s">
        <v>352</v>
      </c>
      <c r="B1800" s="459" t="s">
        <v>463</v>
      </c>
      <c r="C1800" s="247" t="s">
        <v>30</v>
      </c>
      <c r="D1800" s="248" t="s">
        <v>135</v>
      </c>
      <c r="E1800" s="249">
        <v>5.242574257425742E-4</v>
      </c>
      <c r="F1800" s="250" t="s">
        <v>133</v>
      </c>
      <c r="G1800" s="251" t="s">
        <v>16</v>
      </c>
      <c r="H1800" s="252">
        <v>1</v>
      </c>
      <c r="I1800" s="252">
        <v>1</v>
      </c>
      <c r="J1800" s="252">
        <v>3</v>
      </c>
      <c r="K1800" s="252">
        <v>3</v>
      </c>
      <c r="L1800" s="253">
        <v>3</v>
      </c>
      <c r="M1800" s="254">
        <f t="shared" si="57"/>
        <v>1.1181151966036349</v>
      </c>
      <c r="N1800" s="255"/>
    </row>
    <row r="1801" spans="1:14" hidden="1" x14ac:dyDescent="0.2">
      <c r="A1801" s="523" t="s">
        <v>352</v>
      </c>
      <c r="B1801" s="459" t="s">
        <v>463</v>
      </c>
      <c r="C1801" s="247" t="s">
        <v>32</v>
      </c>
      <c r="D1801" s="248" t="s">
        <v>135</v>
      </c>
      <c r="E1801" s="249">
        <v>1.23378640776699E-3</v>
      </c>
      <c r="F1801" s="250" t="s">
        <v>133</v>
      </c>
      <c r="G1801" s="251" t="s">
        <v>16</v>
      </c>
      <c r="H1801" s="252">
        <v>1</v>
      </c>
      <c r="I1801" s="252">
        <v>1</v>
      </c>
      <c r="J1801" s="252">
        <v>3</v>
      </c>
      <c r="K1801" s="252">
        <v>3</v>
      </c>
      <c r="L1801" s="253">
        <v>3</v>
      </c>
      <c r="M1801" s="254">
        <f t="shared" si="57"/>
        <v>1.1181151966036349</v>
      </c>
      <c r="N1801" s="255"/>
    </row>
    <row r="1802" spans="1:14" hidden="1" x14ac:dyDescent="0.2">
      <c r="A1802" s="523" t="s">
        <v>352</v>
      </c>
      <c r="B1802" s="459" t="s">
        <v>463</v>
      </c>
      <c r="C1802" s="247" t="s">
        <v>34</v>
      </c>
      <c r="D1802" s="248" t="s">
        <v>135</v>
      </c>
      <c r="E1802" s="249">
        <v>1.5009448818897641E-3</v>
      </c>
      <c r="F1802" s="250" t="s">
        <v>133</v>
      </c>
      <c r="G1802" s="251" t="s">
        <v>16</v>
      </c>
      <c r="H1802" s="252">
        <v>1</v>
      </c>
      <c r="I1802" s="252">
        <v>1</v>
      </c>
      <c r="J1802" s="252">
        <v>3</v>
      </c>
      <c r="K1802" s="252">
        <v>3</v>
      </c>
      <c r="L1802" s="253">
        <v>3</v>
      </c>
      <c r="M1802" s="254">
        <f t="shared" si="57"/>
        <v>1.1181151966036349</v>
      </c>
      <c r="N1802" s="255"/>
    </row>
    <row r="1803" spans="1:14" hidden="1" x14ac:dyDescent="0.2">
      <c r="A1803" s="523" t="s">
        <v>352</v>
      </c>
      <c r="B1803" s="459" t="s">
        <v>463</v>
      </c>
      <c r="C1803" s="247" t="s">
        <v>36</v>
      </c>
      <c r="D1803" s="248" t="s">
        <v>135</v>
      </c>
      <c r="E1803" s="249">
        <v>1.4482051282051281E-3</v>
      </c>
      <c r="F1803" s="250" t="s">
        <v>133</v>
      </c>
      <c r="G1803" s="251" t="s">
        <v>16</v>
      </c>
      <c r="H1803" s="252">
        <v>1</v>
      </c>
      <c r="I1803" s="252">
        <v>1</v>
      </c>
      <c r="J1803" s="252">
        <v>3</v>
      </c>
      <c r="K1803" s="252">
        <v>3</v>
      </c>
      <c r="L1803" s="253">
        <v>3</v>
      </c>
      <c r="M1803" s="254">
        <f t="shared" si="57"/>
        <v>1.1181151966036349</v>
      </c>
      <c r="N1803" s="255"/>
    </row>
    <row r="1804" spans="1:14" hidden="1" x14ac:dyDescent="0.2">
      <c r="A1804" s="523" t="s">
        <v>352</v>
      </c>
      <c r="B1804" s="459" t="s">
        <v>463</v>
      </c>
      <c r="C1804" s="247" t="s">
        <v>37</v>
      </c>
      <c r="D1804" s="248" t="s">
        <v>135</v>
      </c>
      <c r="E1804" s="249">
        <v>6.0483967935871753E-3</v>
      </c>
      <c r="F1804" s="250" t="s">
        <v>133</v>
      </c>
      <c r="G1804" s="251" t="s">
        <v>16</v>
      </c>
      <c r="H1804" s="252">
        <v>1</v>
      </c>
      <c r="I1804" s="252">
        <v>1</v>
      </c>
      <c r="J1804" s="252">
        <v>3</v>
      </c>
      <c r="K1804" s="252">
        <v>3</v>
      </c>
      <c r="L1804" s="253">
        <v>3</v>
      </c>
      <c r="M1804" s="254">
        <f t="shared" si="57"/>
        <v>1.1181151966036349</v>
      </c>
      <c r="N1804" s="255"/>
    </row>
    <row r="1805" spans="1:14" hidden="1" x14ac:dyDescent="0.2">
      <c r="A1805" s="523" t="s">
        <v>352</v>
      </c>
      <c r="B1805" s="459" t="s">
        <v>463</v>
      </c>
      <c r="C1805" s="247" t="s">
        <v>39</v>
      </c>
      <c r="D1805" s="248" t="s">
        <v>135</v>
      </c>
      <c r="E1805" s="249">
        <v>2.9662407862407862E-3</v>
      </c>
      <c r="F1805" s="250" t="s">
        <v>133</v>
      </c>
      <c r="G1805" s="251" t="s">
        <v>16</v>
      </c>
      <c r="H1805" s="252">
        <v>1</v>
      </c>
      <c r="I1805" s="252">
        <v>1</v>
      </c>
      <c r="J1805" s="252">
        <v>3</v>
      </c>
      <c r="K1805" s="252">
        <v>3</v>
      </c>
      <c r="L1805" s="253">
        <v>3</v>
      </c>
      <c r="M1805" s="254">
        <f t="shared" si="57"/>
        <v>1.1181151966036349</v>
      </c>
      <c r="N1805" s="255"/>
    </row>
    <row r="1806" spans="1:14" hidden="1" x14ac:dyDescent="0.2">
      <c r="A1806" s="523" t="s">
        <v>352</v>
      </c>
      <c r="B1806" s="459" t="s">
        <v>463</v>
      </c>
      <c r="C1806" s="247" t="s">
        <v>40</v>
      </c>
      <c r="D1806" s="248" t="s">
        <v>135</v>
      </c>
      <c r="E1806" s="249">
        <v>9.5857758620689656E-4</v>
      </c>
      <c r="F1806" s="250" t="s">
        <v>133</v>
      </c>
      <c r="G1806" s="251" t="s">
        <v>16</v>
      </c>
      <c r="H1806" s="252">
        <v>1</v>
      </c>
      <c r="I1806" s="252">
        <v>1</v>
      </c>
      <c r="J1806" s="252">
        <v>3</v>
      </c>
      <c r="K1806" s="252">
        <v>3</v>
      </c>
      <c r="L1806" s="253">
        <v>3</v>
      </c>
      <c r="M1806" s="254">
        <f t="shared" si="57"/>
        <v>1.1181151966036349</v>
      </c>
      <c r="N1806" s="255"/>
    </row>
    <row r="1807" spans="1:14" hidden="1" x14ac:dyDescent="0.2">
      <c r="A1807" s="523" t="s">
        <v>352</v>
      </c>
      <c r="B1807" s="459" t="s">
        <v>463</v>
      </c>
      <c r="C1807" s="247" t="s">
        <v>41</v>
      </c>
      <c r="D1807" s="248" t="s">
        <v>135</v>
      </c>
      <c r="E1807" s="249">
        <v>4.352054794520548E-4</v>
      </c>
      <c r="F1807" s="250" t="s">
        <v>133</v>
      </c>
      <c r="G1807" s="251" t="s">
        <v>16</v>
      </c>
      <c r="H1807" s="252">
        <v>1</v>
      </c>
      <c r="I1807" s="252">
        <v>1</v>
      </c>
      <c r="J1807" s="252">
        <v>3</v>
      </c>
      <c r="K1807" s="252">
        <v>3</v>
      </c>
      <c r="L1807" s="253">
        <v>3</v>
      </c>
      <c r="M1807" s="254">
        <f t="shared" si="57"/>
        <v>1.1181151966036349</v>
      </c>
      <c r="N1807" s="255"/>
    </row>
    <row r="1808" spans="1:14" hidden="1" x14ac:dyDescent="0.2">
      <c r="A1808" s="523" t="s">
        <v>352</v>
      </c>
      <c r="B1808" s="459" t="s">
        <v>463</v>
      </c>
      <c r="C1808" s="247" t="s">
        <v>42</v>
      </c>
      <c r="D1808" s="248" t="s">
        <v>135</v>
      </c>
      <c r="E1808" s="249">
        <v>2.1274553571428568E-3</v>
      </c>
      <c r="F1808" s="250" t="s">
        <v>133</v>
      </c>
      <c r="G1808" s="251" t="s">
        <v>16</v>
      </c>
      <c r="H1808" s="252">
        <v>1</v>
      </c>
      <c r="I1808" s="252">
        <v>1</v>
      </c>
      <c r="J1808" s="252">
        <v>3</v>
      </c>
      <c r="K1808" s="252">
        <v>3</v>
      </c>
      <c r="L1808" s="253">
        <v>3</v>
      </c>
      <c r="M1808" s="254">
        <f t="shared" si="57"/>
        <v>1.1181151966036349</v>
      </c>
      <c r="N1808" s="255"/>
    </row>
    <row r="1809" spans="1:14" hidden="1" x14ac:dyDescent="0.2">
      <c r="A1809" s="523" t="s">
        <v>352</v>
      </c>
      <c r="B1809" s="459" t="s">
        <v>463</v>
      </c>
      <c r="C1809" s="247" t="s">
        <v>43</v>
      </c>
      <c r="D1809" s="248" t="s">
        <v>135</v>
      </c>
      <c r="E1809" s="249">
        <v>4.9737769080234839E-4</v>
      </c>
      <c r="F1809" s="250" t="s">
        <v>133</v>
      </c>
      <c r="G1809" s="251" t="s">
        <v>16</v>
      </c>
      <c r="H1809" s="252">
        <v>1</v>
      </c>
      <c r="I1809" s="252">
        <v>1</v>
      </c>
      <c r="J1809" s="252">
        <v>3</v>
      </c>
      <c r="K1809" s="252">
        <v>3</v>
      </c>
      <c r="L1809" s="253">
        <v>3</v>
      </c>
      <c r="M1809" s="254">
        <f t="shared" si="57"/>
        <v>1.1181151966036349</v>
      </c>
      <c r="N1809" s="255"/>
    </row>
    <row r="1810" spans="1:14" x14ac:dyDescent="0.2">
      <c r="A1810" s="523" t="s">
        <v>352</v>
      </c>
      <c r="B1810" s="459" t="s">
        <v>463</v>
      </c>
      <c r="C1810" s="247" t="s">
        <v>45</v>
      </c>
      <c r="D1810" s="248" t="s">
        <v>135</v>
      </c>
      <c r="E1810" s="249">
        <v>6.8784844384303125E-4</v>
      </c>
      <c r="F1810" s="250" t="s">
        <v>133</v>
      </c>
      <c r="G1810" s="251" t="s">
        <v>16</v>
      </c>
      <c r="H1810" s="252">
        <v>1</v>
      </c>
      <c r="I1810" s="252">
        <v>1</v>
      </c>
      <c r="J1810" s="252">
        <v>3</v>
      </c>
      <c r="K1810" s="252">
        <v>3</v>
      </c>
      <c r="L1810" s="253">
        <v>3</v>
      </c>
      <c r="M1810" s="254">
        <f t="shared" si="57"/>
        <v>1.1181151966036349</v>
      </c>
      <c r="N1810" s="255"/>
    </row>
    <row r="1811" spans="1:14" hidden="1" x14ac:dyDescent="0.2">
      <c r="A1811" s="523" t="s">
        <v>352</v>
      </c>
      <c r="B1811" s="459" t="s">
        <v>463</v>
      </c>
      <c r="C1811" s="247" t="s">
        <v>46</v>
      </c>
      <c r="D1811" s="248" t="s">
        <v>135</v>
      </c>
      <c r="E1811" s="249">
        <v>1.2553495440729479E-3</v>
      </c>
      <c r="F1811" s="250" t="s">
        <v>133</v>
      </c>
      <c r="G1811" s="251" t="s">
        <v>16</v>
      </c>
      <c r="H1811" s="252">
        <v>1</v>
      </c>
      <c r="I1811" s="252">
        <v>1</v>
      </c>
      <c r="J1811" s="252">
        <v>3</v>
      </c>
      <c r="K1811" s="252">
        <v>3</v>
      </c>
      <c r="L1811" s="253">
        <v>3</v>
      </c>
      <c r="M1811" s="254">
        <f t="shared" si="57"/>
        <v>1.1181151966036349</v>
      </c>
      <c r="N1811" s="255"/>
    </row>
    <row r="1812" spans="1:14" hidden="1" x14ac:dyDescent="0.2">
      <c r="A1812" s="523" t="s">
        <v>352</v>
      </c>
      <c r="B1812" s="459" t="s">
        <v>463</v>
      </c>
      <c r="C1812" s="247" t="s">
        <v>48</v>
      </c>
      <c r="D1812" s="248" t="s">
        <v>135</v>
      </c>
      <c r="E1812" s="249">
        <v>9.3994082840236678E-4</v>
      </c>
      <c r="F1812" s="250" t="s">
        <v>133</v>
      </c>
      <c r="G1812" s="251" t="s">
        <v>16</v>
      </c>
      <c r="H1812" s="252">
        <v>1</v>
      </c>
      <c r="I1812" s="252">
        <v>1</v>
      </c>
      <c r="J1812" s="252">
        <v>3</v>
      </c>
      <c r="K1812" s="252">
        <v>3</v>
      </c>
      <c r="L1812" s="253">
        <v>3</v>
      </c>
      <c r="M1812" s="254">
        <f t="shared" si="57"/>
        <v>1.1181151966036349</v>
      </c>
      <c r="N1812" s="255"/>
    </row>
    <row r="1813" spans="1:14" hidden="1" x14ac:dyDescent="0.2">
      <c r="A1813" s="523" t="s">
        <v>352</v>
      </c>
      <c r="B1813" s="459" t="s">
        <v>463</v>
      </c>
      <c r="C1813" s="247" t="s">
        <v>50</v>
      </c>
      <c r="D1813" s="248" t="s">
        <v>135</v>
      </c>
      <c r="E1813" s="249">
        <v>5.72327205882353E-3</v>
      </c>
      <c r="F1813" s="250" t="s">
        <v>133</v>
      </c>
      <c r="G1813" s="251" t="s">
        <v>16</v>
      </c>
      <c r="H1813" s="252">
        <v>1</v>
      </c>
      <c r="I1813" s="252">
        <v>1</v>
      </c>
      <c r="J1813" s="252">
        <v>3</v>
      </c>
      <c r="K1813" s="252">
        <v>3</v>
      </c>
      <c r="L1813" s="253">
        <v>3</v>
      </c>
      <c r="M1813" s="254">
        <f t="shared" si="57"/>
        <v>1.1181151966036349</v>
      </c>
      <c r="N1813" s="255"/>
    </row>
    <row r="1814" spans="1:14" hidden="1" x14ac:dyDescent="0.2">
      <c r="A1814" s="523" t="s">
        <v>352</v>
      </c>
      <c r="B1814" s="459" t="s">
        <v>463</v>
      </c>
      <c r="C1814" s="247" t="s">
        <v>52</v>
      </c>
      <c r="D1814" s="248" t="s">
        <v>135</v>
      </c>
      <c r="E1814" s="249">
        <v>9.2086956521739128E-4</v>
      </c>
      <c r="F1814" s="250" t="s">
        <v>133</v>
      </c>
      <c r="G1814" s="251" t="s">
        <v>16</v>
      </c>
      <c r="H1814" s="252">
        <v>1</v>
      </c>
      <c r="I1814" s="252">
        <v>1</v>
      </c>
      <c r="J1814" s="252">
        <v>3</v>
      </c>
      <c r="K1814" s="252">
        <v>3</v>
      </c>
      <c r="L1814" s="253">
        <v>3</v>
      </c>
      <c r="M1814" s="254">
        <f t="shared" si="57"/>
        <v>1.1181151966036349</v>
      </c>
      <c r="N1814" s="255"/>
    </row>
    <row r="1815" spans="1:14" hidden="1" x14ac:dyDescent="0.2">
      <c r="A1815" s="523" t="s">
        <v>352</v>
      </c>
      <c r="B1815" s="459" t="s">
        <v>463</v>
      </c>
      <c r="C1815" s="247" t="s">
        <v>54</v>
      </c>
      <c r="D1815" s="248" t="s">
        <v>135</v>
      </c>
      <c r="E1815" s="249">
        <v>5.8833333333333329E-4</v>
      </c>
      <c r="F1815" s="250" t="s">
        <v>133</v>
      </c>
      <c r="G1815" s="251" t="s">
        <v>16</v>
      </c>
      <c r="H1815" s="252">
        <v>1</v>
      </c>
      <c r="I1815" s="252">
        <v>1</v>
      </c>
      <c r="J1815" s="252">
        <v>3</v>
      </c>
      <c r="K1815" s="252">
        <v>3</v>
      </c>
      <c r="L1815" s="253">
        <v>3</v>
      </c>
      <c r="M1815" s="254">
        <f t="shared" si="57"/>
        <v>1.1181151966036349</v>
      </c>
      <c r="N1815" s="255"/>
    </row>
    <row r="1816" spans="1:14" hidden="1" x14ac:dyDescent="0.2">
      <c r="A1816" s="523" t="s">
        <v>352</v>
      </c>
      <c r="B1816" s="459" t="s">
        <v>463</v>
      </c>
      <c r="C1816" s="247" t="s">
        <v>55</v>
      </c>
      <c r="D1816" s="248" t="s">
        <v>135</v>
      </c>
      <c r="E1816" s="249">
        <v>1.2708000000000001E-3</v>
      </c>
      <c r="F1816" s="250" t="s">
        <v>133</v>
      </c>
      <c r="G1816" s="251" t="s">
        <v>16</v>
      </c>
      <c r="H1816" s="252">
        <v>1</v>
      </c>
      <c r="I1816" s="252">
        <v>1</v>
      </c>
      <c r="J1816" s="252">
        <v>3</v>
      </c>
      <c r="K1816" s="252">
        <v>3</v>
      </c>
      <c r="L1816" s="253">
        <v>3</v>
      </c>
      <c r="M1816" s="254">
        <f t="shared" si="57"/>
        <v>1.1181151966036349</v>
      </c>
      <c r="N1816" s="255"/>
    </row>
    <row r="1817" spans="1:14" hidden="1" x14ac:dyDescent="0.2">
      <c r="A1817" s="523" t="s">
        <v>352</v>
      </c>
      <c r="B1817" s="459" t="s">
        <v>463</v>
      </c>
      <c r="C1817" s="247" t="s">
        <v>57</v>
      </c>
      <c r="D1817" s="248" t="s">
        <v>135</v>
      </c>
      <c r="E1817" s="249">
        <v>5.8562211981566818E-4</v>
      </c>
      <c r="F1817" s="250" t="s">
        <v>133</v>
      </c>
      <c r="G1817" s="251" t="s">
        <v>16</v>
      </c>
      <c r="H1817" s="252">
        <v>1</v>
      </c>
      <c r="I1817" s="252">
        <v>1</v>
      </c>
      <c r="J1817" s="252">
        <v>3</v>
      </c>
      <c r="K1817" s="252">
        <v>3</v>
      </c>
      <c r="L1817" s="253">
        <v>3</v>
      </c>
      <c r="M1817" s="254">
        <f t="shared" si="57"/>
        <v>1.1181151966036349</v>
      </c>
      <c r="N1817" s="255"/>
    </row>
    <row r="1818" spans="1:14" hidden="1" x14ac:dyDescent="0.2">
      <c r="A1818" s="523" t="s">
        <v>352</v>
      </c>
      <c r="B1818" s="459" t="s">
        <v>463</v>
      </c>
      <c r="C1818" s="247" t="s">
        <v>59</v>
      </c>
      <c r="D1818" s="248" t="s">
        <v>135</v>
      </c>
      <c r="E1818" s="249">
        <v>2.7E-4</v>
      </c>
      <c r="F1818" s="250" t="s">
        <v>133</v>
      </c>
      <c r="G1818" s="251" t="s">
        <v>16</v>
      </c>
      <c r="H1818" s="252">
        <v>1</v>
      </c>
      <c r="I1818" s="252">
        <v>1</v>
      </c>
      <c r="J1818" s="252">
        <v>3</v>
      </c>
      <c r="K1818" s="252">
        <v>3</v>
      </c>
      <c r="L1818" s="253">
        <v>3</v>
      </c>
      <c r="M1818" s="254">
        <f t="shared" si="57"/>
        <v>1.1181151966036349</v>
      </c>
      <c r="N1818" s="255"/>
    </row>
    <row r="1819" spans="1:14" hidden="1" x14ac:dyDescent="0.2">
      <c r="A1819" s="531" t="s">
        <v>352</v>
      </c>
      <c r="B1819" s="513" t="s">
        <v>463</v>
      </c>
      <c r="C1819" s="287" t="s">
        <v>60</v>
      </c>
      <c r="D1819" s="441" t="s">
        <v>135</v>
      </c>
      <c r="E1819" s="288">
        <v>1.23511879049676E-3</v>
      </c>
      <c r="F1819" s="289" t="s">
        <v>133</v>
      </c>
      <c r="G1819" s="290" t="s">
        <v>16</v>
      </c>
      <c r="H1819" s="291">
        <v>1</v>
      </c>
      <c r="I1819" s="291">
        <v>1</v>
      </c>
      <c r="J1819" s="291">
        <v>3</v>
      </c>
      <c r="K1819" s="291">
        <v>3</v>
      </c>
      <c r="L1819" s="292">
        <v>3</v>
      </c>
      <c r="M1819" s="293">
        <f t="shared" si="57"/>
        <v>1.1181151966036349</v>
      </c>
      <c r="N1819" s="294"/>
    </row>
    <row r="1820" spans="1:14" hidden="1" x14ac:dyDescent="0.2">
      <c r="A1820" s="523" t="s">
        <v>358</v>
      </c>
      <c r="B1820" s="459" t="s">
        <v>463</v>
      </c>
      <c r="C1820" s="247" t="s">
        <v>13</v>
      </c>
      <c r="D1820" s="248" t="s">
        <v>135</v>
      </c>
      <c r="E1820" s="249">
        <v>4.9383419689119179E-4</v>
      </c>
      <c r="F1820" s="250" t="s">
        <v>133</v>
      </c>
      <c r="G1820" s="251" t="s">
        <v>16</v>
      </c>
      <c r="H1820" s="252">
        <v>1</v>
      </c>
      <c r="I1820" s="252">
        <v>1</v>
      </c>
      <c r="J1820" s="252">
        <v>3</v>
      </c>
      <c r="K1820" s="252">
        <v>3</v>
      </c>
      <c r="L1820" s="253">
        <v>3</v>
      </c>
      <c r="M1820" s="254">
        <f t="shared" si="57"/>
        <v>1.1181151966036349</v>
      </c>
      <c r="N1820" s="255"/>
    </row>
    <row r="1821" spans="1:14" hidden="1" x14ac:dyDescent="0.2">
      <c r="A1821" s="523" t="s">
        <v>358</v>
      </c>
      <c r="B1821" s="459" t="s">
        <v>463</v>
      </c>
      <c r="C1821" s="247" t="s">
        <v>18</v>
      </c>
      <c r="D1821" s="248" t="s">
        <v>135</v>
      </c>
      <c r="E1821" s="249">
        <v>6.2141809290953553E-4</v>
      </c>
      <c r="F1821" s="250" t="s">
        <v>133</v>
      </c>
      <c r="G1821" s="251" t="s">
        <v>16</v>
      </c>
      <c r="H1821" s="252">
        <v>1</v>
      </c>
      <c r="I1821" s="252">
        <v>1</v>
      </c>
      <c r="J1821" s="252">
        <v>3</v>
      </c>
      <c r="K1821" s="252">
        <v>3</v>
      </c>
      <c r="L1821" s="253">
        <v>3</v>
      </c>
      <c r="M1821" s="254">
        <f t="shared" si="57"/>
        <v>1.1181151966036349</v>
      </c>
      <c r="N1821" s="255"/>
    </row>
    <row r="1822" spans="1:14" hidden="1" x14ac:dyDescent="0.2">
      <c r="A1822" s="523" t="s">
        <v>358</v>
      </c>
      <c r="B1822" s="459" t="s">
        <v>463</v>
      </c>
      <c r="C1822" s="247" t="s">
        <v>20</v>
      </c>
      <c r="D1822" s="248" t="s">
        <v>135</v>
      </c>
      <c r="E1822" s="249">
        <v>1.717297297297297E-3</v>
      </c>
      <c r="F1822" s="250" t="s">
        <v>133</v>
      </c>
      <c r="G1822" s="251" t="s">
        <v>16</v>
      </c>
      <c r="H1822" s="252">
        <v>1</v>
      </c>
      <c r="I1822" s="252">
        <v>1</v>
      </c>
      <c r="J1822" s="252">
        <v>3</v>
      </c>
      <c r="K1822" s="252">
        <v>3</v>
      </c>
      <c r="L1822" s="253">
        <v>3</v>
      </c>
      <c r="M1822" s="254">
        <f t="shared" si="57"/>
        <v>1.1181151966036349</v>
      </c>
      <c r="N1822" s="255"/>
    </row>
    <row r="1823" spans="1:14" hidden="1" x14ac:dyDescent="0.2">
      <c r="A1823" s="523" t="s">
        <v>358</v>
      </c>
      <c r="B1823" s="459" t="s">
        <v>463</v>
      </c>
      <c r="C1823" s="247" t="s">
        <v>22</v>
      </c>
      <c r="D1823" s="248" t="s">
        <v>135</v>
      </c>
      <c r="E1823" s="249">
        <v>1.397291666666666E-3</v>
      </c>
      <c r="F1823" s="250" t="s">
        <v>133</v>
      </c>
      <c r="G1823" s="251" t="s">
        <v>16</v>
      </c>
      <c r="H1823" s="252">
        <v>1</v>
      </c>
      <c r="I1823" s="252">
        <v>1</v>
      </c>
      <c r="J1823" s="252">
        <v>3</v>
      </c>
      <c r="K1823" s="252">
        <v>3</v>
      </c>
      <c r="L1823" s="253">
        <v>3</v>
      </c>
      <c r="M1823" s="254">
        <f>IF( OR( ISBLANK(H1823),ISBLANK(I1823), ISBLANK(J1823), ISBLANK(K1823), ISBLANK(L1823) ), "", 1.5*SQRT(   EXP(2.21*(H1823-1)) + EXP(2.21*(I1823-1)) + EXP(2.21*(J1823-1)) + EXP(2.21*(K1823-1)) + EXP(2.21*L1823)   )/100*2.45 )</f>
        <v>1.1181151966036349</v>
      </c>
      <c r="N1823" s="255"/>
    </row>
    <row r="1824" spans="1:14" hidden="1" x14ac:dyDescent="0.2">
      <c r="A1824" s="523" t="s">
        <v>358</v>
      </c>
      <c r="B1824" s="459" t="s">
        <v>463</v>
      </c>
      <c r="C1824" s="247" t="s">
        <v>23</v>
      </c>
      <c r="D1824" s="248" t="s">
        <v>135</v>
      </c>
      <c r="E1824" s="249">
        <v>1.868823529411765E-3</v>
      </c>
      <c r="F1824" s="250" t="s">
        <v>133</v>
      </c>
      <c r="G1824" s="251" t="s">
        <v>16</v>
      </c>
      <c r="H1824" s="252">
        <v>1</v>
      </c>
      <c r="I1824" s="252">
        <v>1</v>
      </c>
      <c r="J1824" s="252">
        <v>3</v>
      </c>
      <c r="K1824" s="252">
        <v>3</v>
      </c>
      <c r="L1824" s="253">
        <v>3</v>
      </c>
      <c r="M1824" s="254">
        <f t="shared" ref="M1824:M1855" si="58">IF( OR( ISBLANK(H1824),ISBLANK(I1824), ISBLANK(J1824), ISBLANK(K1824), ISBLANK(L1824) ), "", 1.5*SQRT( EXP(2.21*(H1824-1)) + EXP(2.21*(I1824-1)) + EXP(2.21*(J1824-1)) + EXP(2.21*(K1824-1)) + EXP(2.21*L1824) )/100*2.45 )</f>
        <v>1.1181151966036349</v>
      </c>
      <c r="N1824" s="255"/>
    </row>
    <row r="1825" spans="1:14" hidden="1" x14ac:dyDescent="0.2">
      <c r="A1825" s="523" t="s">
        <v>358</v>
      </c>
      <c r="B1825" s="459" t="s">
        <v>463</v>
      </c>
      <c r="C1825" s="247" t="s">
        <v>24</v>
      </c>
      <c r="D1825" s="248" t="s">
        <v>135</v>
      </c>
      <c r="E1825" s="249">
        <v>8.3605263157894745E-4</v>
      </c>
      <c r="F1825" s="250" t="s">
        <v>133</v>
      </c>
      <c r="G1825" s="251" t="s">
        <v>16</v>
      </c>
      <c r="H1825" s="252">
        <v>1</v>
      </c>
      <c r="I1825" s="252">
        <v>1</v>
      </c>
      <c r="J1825" s="252">
        <v>3</v>
      </c>
      <c r="K1825" s="252">
        <v>3</v>
      </c>
      <c r="L1825" s="253">
        <v>3</v>
      </c>
      <c r="M1825" s="254">
        <f t="shared" si="58"/>
        <v>1.1181151966036349</v>
      </c>
      <c r="N1825" s="255"/>
    </row>
    <row r="1826" spans="1:14" hidden="1" x14ac:dyDescent="0.2">
      <c r="A1826" s="523" t="s">
        <v>358</v>
      </c>
      <c r="B1826" s="459" t="s">
        <v>463</v>
      </c>
      <c r="C1826" s="247" t="s">
        <v>25</v>
      </c>
      <c r="D1826" s="248" t="s">
        <v>135</v>
      </c>
      <c r="E1826" s="249">
        <v>4.2932432432432442E-4</v>
      </c>
      <c r="F1826" s="250" t="s">
        <v>133</v>
      </c>
      <c r="G1826" s="251" t="s">
        <v>16</v>
      </c>
      <c r="H1826" s="252">
        <v>1</v>
      </c>
      <c r="I1826" s="252">
        <v>1</v>
      </c>
      <c r="J1826" s="252">
        <v>3</v>
      </c>
      <c r="K1826" s="252">
        <v>3</v>
      </c>
      <c r="L1826" s="253">
        <v>3</v>
      </c>
      <c r="M1826" s="254">
        <f t="shared" si="58"/>
        <v>1.1181151966036349</v>
      </c>
      <c r="N1826" s="255"/>
    </row>
    <row r="1827" spans="1:14" hidden="1" x14ac:dyDescent="0.2">
      <c r="A1827" s="523" t="s">
        <v>358</v>
      </c>
      <c r="B1827" s="459" t="s">
        <v>463</v>
      </c>
      <c r="C1827" s="247" t="s">
        <v>26</v>
      </c>
      <c r="D1827" s="248" t="s">
        <v>135</v>
      </c>
      <c r="E1827" s="249">
        <v>2.9808888888888888E-3</v>
      </c>
      <c r="F1827" s="250" t="s">
        <v>133</v>
      </c>
      <c r="G1827" s="251" t="s">
        <v>16</v>
      </c>
      <c r="H1827" s="252">
        <v>1</v>
      </c>
      <c r="I1827" s="252">
        <v>1</v>
      </c>
      <c r="J1827" s="252">
        <v>3</v>
      </c>
      <c r="K1827" s="252">
        <v>3</v>
      </c>
      <c r="L1827" s="253">
        <v>3</v>
      </c>
      <c r="M1827" s="254">
        <f t="shared" si="58"/>
        <v>1.1181151966036349</v>
      </c>
      <c r="N1827" s="255"/>
    </row>
    <row r="1828" spans="1:14" hidden="1" x14ac:dyDescent="0.2">
      <c r="A1828" s="523" t="s">
        <v>358</v>
      </c>
      <c r="B1828" s="459" t="s">
        <v>463</v>
      </c>
      <c r="C1828" s="247" t="s">
        <v>27</v>
      </c>
      <c r="D1828" s="248" t="s">
        <v>135</v>
      </c>
      <c r="E1828" s="249">
        <v>3.4595281306715062E-4</v>
      </c>
      <c r="F1828" s="250" t="s">
        <v>133</v>
      </c>
      <c r="G1828" s="251" t="s">
        <v>16</v>
      </c>
      <c r="H1828" s="252">
        <v>1</v>
      </c>
      <c r="I1828" s="252">
        <v>1</v>
      </c>
      <c r="J1828" s="252">
        <v>3</v>
      </c>
      <c r="K1828" s="252">
        <v>3</v>
      </c>
      <c r="L1828" s="253">
        <v>3</v>
      </c>
      <c r="M1828" s="254">
        <f t="shared" si="58"/>
        <v>1.1181151966036349</v>
      </c>
      <c r="N1828" s="255"/>
    </row>
    <row r="1829" spans="1:14" hidden="1" x14ac:dyDescent="0.2">
      <c r="A1829" s="523" t="s">
        <v>358</v>
      </c>
      <c r="B1829" s="459" t="s">
        <v>463</v>
      </c>
      <c r="C1829" s="247" t="s">
        <v>28</v>
      </c>
      <c r="D1829" s="248" t="s">
        <v>135</v>
      </c>
      <c r="E1829" s="249">
        <v>7.4149012567324962E-4</v>
      </c>
      <c r="F1829" s="250" t="s">
        <v>133</v>
      </c>
      <c r="G1829" s="251" t="s">
        <v>16</v>
      </c>
      <c r="H1829" s="252">
        <v>1</v>
      </c>
      <c r="I1829" s="252">
        <v>1</v>
      </c>
      <c r="J1829" s="252">
        <v>3</v>
      </c>
      <c r="K1829" s="252">
        <v>3</v>
      </c>
      <c r="L1829" s="253">
        <v>3</v>
      </c>
      <c r="M1829" s="254">
        <f t="shared" si="58"/>
        <v>1.1181151966036349</v>
      </c>
      <c r="N1829" s="255"/>
    </row>
    <row r="1830" spans="1:14" hidden="1" x14ac:dyDescent="0.2">
      <c r="A1830" s="523" t="s">
        <v>358</v>
      </c>
      <c r="B1830" s="459" t="s">
        <v>463</v>
      </c>
      <c r="C1830" s="247" t="s">
        <v>30</v>
      </c>
      <c r="D1830" s="248" t="s">
        <v>135</v>
      </c>
      <c r="E1830" s="249">
        <v>5.242574257425742E-4</v>
      </c>
      <c r="F1830" s="250" t="s">
        <v>133</v>
      </c>
      <c r="G1830" s="251" t="s">
        <v>16</v>
      </c>
      <c r="H1830" s="252">
        <v>1</v>
      </c>
      <c r="I1830" s="252">
        <v>1</v>
      </c>
      <c r="J1830" s="252">
        <v>3</v>
      </c>
      <c r="K1830" s="252">
        <v>3</v>
      </c>
      <c r="L1830" s="253">
        <v>3</v>
      </c>
      <c r="M1830" s="254">
        <f t="shared" si="58"/>
        <v>1.1181151966036349</v>
      </c>
      <c r="N1830" s="255"/>
    </row>
    <row r="1831" spans="1:14" hidden="1" x14ac:dyDescent="0.2">
      <c r="A1831" s="523" t="s">
        <v>358</v>
      </c>
      <c r="B1831" s="459" t="s">
        <v>463</v>
      </c>
      <c r="C1831" s="247" t="s">
        <v>32</v>
      </c>
      <c r="D1831" s="248" t="s">
        <v>135</v>
      </c>
      <c r="E1831" s="249">
        <v>1.23378640776699E-3</v>
      </c>
      <c r="F1831" s="250" t="s">
        <v>133</v>
      </c>
      <c r="G1831" s="251" t="s">
        <v>16</v>
      </c>
      <c r="H1831" s="252">
        <v>1</v>
      </c>
      <c r="I1831" s="252">
        <v>1</v>
      </c>
      <c r="J1831" s="252">
        <v>3</v>
      </c>
      <c r="K1831" s="252">
        <v>3</v>
      </c>
      <c r="L1831" s="253">
        <v>3</v>
      </c>
      <c r="M1831" s="254">
        <f t="shared" si="58"/>
        <v>1.1181151966036349</v>
      </c>
      <c r="N1831" s="255"/>
    </row>
    <row r="1832" spans="1:14" hidden="1" x14ac:dyDescent="0.2">
      <c r="A1832" s="523" t="s">
        <v>358</v>
      </c>
      <c r="B1832" s="459" t="s">
        <v>463</v>
      </c>
      <c r="C1832" s="247" t="s">
        <v>34</v>
      </c>
      <c r="D1832" s="248" t="s">
        <v>135</v>
      </c>
      <c r="E1832" s="249">
        <v>1.5009448818897641E-3</v>
      </c>
      <c r="F1832" s="250" t="s">
        <v>133</v>
      </c>
      <c r="G1832" s="251" t="s">
        <v>16</v>
      </c>
      <c r="H1832" s="252">
        <v>1</v>
      </c>
      <c r="I1832" s="252">
        <v>1</v>
      </c>
      <c r="J1832" s="252">
        <v>3</v>
      </c>
      <c r="K1832" s="252">
        <v>3</v>
      </c>
      <c r="L1832" s="253">
        <v>3</v>
      </c>
      <c r="M1832" s="254">
        <f t="shared" si="58"/>
        <v>1.1181151966036349</v>
      </c>
      <c r="N1832" s="255"/>
    </row>
    <row r="1833" spans="1:14" hidden="1" x14ac:dyDescent="0.2">
      <c r="A1833" s="523" t="s">
        <v>358</v>
      </c>
      <c r="B1833" s="459" t="s">
        <v>463</v>
      </c>
      <c r="C1833" s="247" t="s">
        <v>36</v>
      </c>
      <c r="D1833" s="248" t="s">
        <v>135</v>
      </c>
      <c r="E1833" s="249">
        <v>1.4482051282051281E-3</v>
      </c>
      <c r="F1833" s="250" t="s">
        <v>133</v>
      </c>
      <c r="G1833" s="251" t="s">
        <v>16</v>
      </c>
      <c r="H1833" s="252">
        <v>1</v>
      </c>
      <c r="I1833" s="252">
        <v>1</v>
      </c>
      <c r="J1833" s="252">
        <v>3</v>
      </c>
      <c r="K1833" s="252">
        <v>3</v>
      </c>
      <c r="L1833" s="253">
        <v>3</v>
      </c>
      <c r="M1833" s="254">
        <f t="shared" si="58"/>
        <v>1.1181151966036349</v>
      </c>
      <c r="N1833" s="255"/>
    </row>
    <row r="1834" spans="1:14" hidden="1" x14ac:dyDescent="0.2">
      <c r="A1834" s="523" t="s">
        <v>358</v>
      </c>
      <c r="B1834" s="459" t="s">
        <v>463</v>
      </c>
      <c r="C1834" s="247" t="s">
        <v>37</v>
      </c>
      <c r="D1834" s="248" t="s">
        <v>135</v>
      </c>
      <c r="E1834" s="249">
        <v>6.0483967935871753E-3</v>
      </c>
      <c r="F1834" s="250" t="s">
        <v>133</v>
      </c>
      <c r="G1834" s="251" t="s">
        <v>16</v>
      </c>
      <c r="H1834" s="252">
        <v>1</v>
      </c>
      <c r="I1834" s="252">
        <v>1</v>
      </c>
      <c r="J1834" s="252">
        <v>3</v>
      </c>
      <c r="K1834" s="252">
        <v>3</v>
      </c>
      <c r="L1834" s="253">
        <v>3</v>
      </c>
      <c r="M1834" s="254">
        <f t="shared" si="58"/>
        <v>1.1181151966036349</v>
      </c>
      <c r="N1834" s="255"/>
    </row>
    <row r="1835" spans="1:14" hidden="1" x14ac:dyDescent="0.2">
      <c r="A1835" s="523" t="s">
        <v>358</v>
      </c>
      <c r="B1835" s="459" t="s">
        <v>463</v>
      </c>
      <c r="C1835" s="247" t="s">
        <v>39</v>
      </c>
      <c r="D1835" s="248" t="s">
        <v>135</v>
      </c>
      <c r="E1835" s="249">
        <v>2.9662407862407862E-3</v>
      </c>
      <c r="F1835" s="250" t="s">
        <v>133</v>
      </c>
      <c r="G1835" s="251" t="s">
        <v>16</v>
      </c>
      <c r="H1835" s="252">
        <v>1</v>
      </c>
      <c r="I1835" s="252">
        <v>1</v>
      </c>
      <c r="J1835" s="252">
        <v>3</v>
      </c>
      <c r="K1835" s="252">
        <v>3</v>
      </c>
      <c r="L1835" s="253">
        <v>3</v>
      </c>
      <c r="M1835" s="254">
        <f t="shared" si="58"/>
        <v>1.1181151966036349</v>
      </c>
      <c r="N1835" s="255"/>
    </row>
    <row r="1836" spans="1:14" hidden="1" x14ac:dyDescent="0.2">
      <c r="A1836" s="523" t="s">
        <v>358</v>
      </c>
      <c r="B1836" s="459" t="s">
        <v>463</v>
      </c>
      <c r="C1836" s="247" t="s">
        <v>40</v>
      </c>
      <c r="D1836" s="248" t="s">
        <v>135</v>
      </c>
      <c r="E1836" s="249">
        <v>9.5857758620689656E-4</v>
      </c>
      <c r="F1836" s="250" t="s">
        <v>133</v>
      </c>
      <c r="G1836" s="251" t="s">
        <v>16</v>
      </c>
      <c r="H1836" s="252">
        <v>1</v>
      </c>
      <c r="I1836" s="252">
        <v>1</v>
      </c>
      <c r="J1836" s="252">
        <v>3</v>
      </c>
      <c r="K1836" s="252">
        <v>3</v>
      </c>
      <c r="L1836" s="253">
        <v>3</v>
      </c>
      <c r="M1836" s="254">
        <f t="shared" si="58"/>
        <v>1.1181151966036349</v>
      </c>
      <c r="N1836" s="255"/>
    </row>
    <row r="1837" spans="1:14" hidden="1" x14ac:dyDescent="0.2">
      <c r="A1837" s="523" t="s">
        <v>358</v>
      </c>
      <c r="B1837" s="459" t="s">
        <v>463</v>
      </c>
      <c r="C1837" s="247" t="s">
        <v>41</v>
      </c>
      <c r="D1837" s="248" t="s">
        <v>135</v>
      </c>
      <c r="E1837" s="249">
        <v>4.352054794520548E-4</v>
      </c>
      <c r="F1837" s="250" t="s">
        <v>133</v>
      </c>
      <c r="G1837" s="251" t="s">
        <v>16</v>
      </c>
      <c r="H1837" s="252">
        <v>1</v>
      </c>
      <c r="I1837" s="252">
        <v>1</v>
      </c>
      <c r="J1837" s="252">
        <v>3</v>
      </c>
      <c r="K1837" s="252">
        <v>3</v>
      </c>
      <c r="L1837" s="253">
        <v>3</v>
      </c>
      <c r="M1837" s="254">
        <f t="shared" si="58"/>
        <v>1.1181151966036349</v>
      </c>
      <c r="N1837" s="255"/>
    </row>
    <row r="1838" spans="1:14" hidden="1" x14ac:dyDescent="0.2">
      <c r="A1838" s="523" t="s">
        <v>358</v>
      </c>
      <c r="B1838" s="459" t="s">
        <v>463</v>
      </c>
      <c r="C1838" s="247" t="s">
        <v>42</v>
      </c>
      <c r="D1838" s="248" t="s">
        <v>135</v>
      </c>
      <c r="E1838" s="249">
        <v>2.1274553571428568E-3</v>
      </c>
      <c r="F1838" s="250" t="s">
        <v>133</v>
      </c>
      <c r="G1838" s="251" t="s">
        <v>16</v>
      </c>
      <c r="H1838" s="252">
        <v>1</v>
      </c>
      <c r="I1838" s="252">
        <v>1</v>
      </c>
      <c r="J1838" s="252">
        <v>3</v>
      </c>
      <c r="K1838" s="252">
        <v>3</v>
      </c>
      <c r="L1838" s="253">
        <v>3</v>
      </c>
      <c r="M1838" s="254">
        <f t="shared" si="58"/>
        <v>1.1181151966036349</v>
      </c>
      <c r="N1838" s="255"/>
    </row>
    <row r="1839" spans="1:14" hidden="1" x14ac:dyDescent="0.2">
      <c r="A1839" s="523" t="s">
        <v>358</v>
      </c>
      <c r="B1839" s="459" t="s">
        <v>463</v>
      </c>
      <c r="C1839" s="247" t="s">
        <v>43</v>
      </c>
      <c r="D1839" s="248" t="s">
        <v>135</v>
      </c>
      <c r="E1839" s="249">
        <v>4.9737769080234839E-4</v>
      </c>
      <c r="F1839" s="250" t="s">
        <v>133</v>
      </c>
      <c r="G1839" s="251" t="s">
        <v>16</v>
      </c>
      <c r="H1839" s="252">
        <v>1</v>
      </c>
      <c r="I1839" s="252">
        <v>1</v>
      </c>
      <c r="J1839" s="252">
        <v>3</v>
      </c>
      <c r="K1839" s="252">
        <v>3</v>
      </c>
      <c r="L1839" s="253">
        <v>3</v>
      </c>
      <c r="M1839" s="254">
        <f t="shared" si="58"/>
        <v>1.1181151966036349</v>
      </c>
      <c r="N1839" s="255"/>
    </row>
    <row r="1840" spans="1:14" x14ac:dyDescent="0.2">
      <c r="A1840" s="523" t="s">
        <v>358</v>
      </c>
      <c r="B1840" s="459" t="s">
        <v>463</v>
      </c>
      <c r="C1840" s="247" t="s">
        <v>45</v>
      </c>
      <c r="D1840" s="248" t="s">
        <v>135</v>
      </c>
      <c r="E1840" s="249">
        <v>6.8784844384303125E-4</v>
      </c>
      <c r="F1840" s="250" t="s">
        <v>133</v>
      </c>
      <c r="G1840" s="251" t="s">
        <v>16</v>
      </c>
      <c r="H1840" s="252">
        <v>1</v>
      </c>
      <c r="I1840" s="252">
        <v>1</v>
      </c>
      <c r="J1840" s="252">
        <v>3</v>
      </c>
      <c r="K1840" s="252">
        <v>3</v>
      </c>
      <c r="L1840" s="253">
        <v>3</v>
      </c>
      <c r="M1840" s="254">
        <f t="shared" si="58"/>
        <v>1.1181151966036349</v>
      </c>
      <c r="N1840" s="255"/>
    </row>
    <row r="1841" spans="1:14" hidden="1" x14ac:dyDescent="0.2">
      <c r="A1841" s="523" t="s">
        <v>358</v>
      </c>
      <c r="B1841" s="459" t="s">
        <v>463</v>
      </c>
      <c r="C1841" s="247" t="s">
        <v>46</v>
      </c>
      <c r="D1841" s="248" t="s">
        <v>135</v>
      </c>
      <c r="E1841" s="249">
        <v>1.2553495440729479E-3</v>
      </c>
      <c r="F1841" s="250" t="s">
        <v>133</v>
      </c>
      <c r="G1841" s="251" t="s">
        <v>16</v>
      </c>
      <c r="H1841" s="252">
        <v>1</v>
      </c>
      <c r="I1841" s="252">
        <v>1</v>
      </c>
      <c r="J1841" s="252">
        <v>3</v>
      </c>
      <c r="K1841" s="252">
        <v>3</v>
      </c>
      <c r="L1841" s="253">
        <v>3</v>
      </c>
      <c r="M1841" s="254">
        <f t="shared" si="58"/>
        <v>1.1181151966036349</v>
      </c>
      <c r="N1841" s="255"/>
    </row>
    <row r="1842" spans="1:14" hidden="1" x14ac:dyDescent="0.2">
      <c r="A1842" s="523" t="s">
        <v>358</v>
      </c>
      <c r="B1842" s="459" t="s">
        <v>463</v>
      </c>
      <c r="C1842" s="247" t="s">
        <v>48</v>
      </c>
      <c r="D1842" s="248" t="s">
        <v>135</v>
      </c>
      <c r="E1842" s="249">
        <v>9.3994082840236678E-4</v>
      </c>
      <c r="F1842" s="250" t="s">
        <v>133</v>
      </c>
      <c r="G1842" s="251" t="s">
        <v>16</v>
      </c>
      <c r="H1842" s="252">
        <v>1</v>
      </c>
      <c r="I1842" s="252">
        <v>1</v>
      </c>
      <c r="J1842" s="252">
        <v>3</v>
      </c>
      <c r="K1842" s="252">
        <v>3</v>
      </c>
      <c r="L1842" s="253">
        <v>3</v>
      </c>
      <c r="M1842" s="254">
        <f t="shared" si="58"/>
        <v>1.1181151966036349</v>
      </c>
      <c r="N1842" s="255"/>
    </row>
    <row r="1843" spans="1:14" hidden="1" x14ac:dyDescent="0.2">
      <c r="A1843" s="523" t="s">
        <v>358</v>
      </c>
      <c r="B1843" s="459" t="s">
        <v>463</v>
      </c>
      <c r="C1843" s="247" t="s">
        <v>50</v>
      </c>
      <c r="D1843" s="248" t="s">
        <v>135</v>
      </c>
      <c r="E1843" s="249">
        <v>5.72327205882353E-3</v>
      </c>
      <c r="F1843" s="250" t="s">
        <v>133</v>
      </c>
      <c r="G1843" s="251" t="s">
        <v>16</v>
      </c>
      <c r="H1843" s="252">
        <v>1</v>
      </c>
      <c r="I1843" s="252">
        <v>1</v>
      </c>
      <c r="J1843" s="252">
        <v>3</v>
      </c>
      <c r="K1843" s="252">
        <v>3</v>
      </c>
      <c r="L1843" s="253">
        <v>3</v>
      </c>
      <c r="M1843" s="254">
        <f t="shared" si="58"/>
        <v>1.1181151966036349</v>
      </c>
      <c r="N1843" s="255"/>
    </row>
    <row r="1844" spans="1:14" hidden="1" x14ac:dyDescent="0.2">
      <c r="A1844" s="523" t="s">
        <v>358</v>
      </c>
      <c r="B1844" s="459" t="s">
        <v>463</v>
      </c>
      <c r="C1844" s="247" t="s">
        <v>52</v>
      </c>
      <c r="D1844" s="248" t="s">
        <v>135</v>
      </c>
      <c r="E1844" s="249">
        <v>9.2086956521739128E-4</v>
      </c>
      <c r="F1844" s="250" t="s">
        <v>133</v>
      </c>
      <c r="G1844" s="251" t="s">
        <v>16</v>
      </c>
      <c r="H1844" s="252">
        <v>1</v>
      </c>
      <c r="I1844" s="252">
        <v>1</v>
      </c>
      <c r="J1844" s="252">
        <v>3</v>
      </c>
      <c r="K1844" s="252">
        <v>3</v>
      </c>
      <c r="L1844" s="253">
        <v>3</v>
      </c>
      <c r="M1844" s="254">
        <f t="shared" si="58"/>
        <v>1.1181151966036349</v>
      </c>
      <c r="N1844" s="255"/>
    </row>
    <row r="1845" spans="1:14" hidden="1" x14ac:dyDescent="0.2">
      <c r="A1845" s="523" t="s">
        <v>358</v>
      </c>
      <c r="B1845" s="459" t="s">
        <v>463</v>
      </c>
      <c r="C1845" s="247" t="s">
        <v>54</v>
      </c>
      <c r="D1845" s="248" t="s">
        <v>135</v>
      </c>
      <c r="E1845" s="249">
        <v>5.8833333333333329E-4</v>
      </c>
      <c r="F1845" s="250" t="s">
        <v>133</v>
      </c>
      <c r="G1845" s="251" t="s">
        <v>16</v>
      </c>
      <c r="H1845" s="252">
        <v>1</v>
      </c>
      <c r="I1845" s="252">
        <v>1</v>
      </c>
      <c r="J1845" s="252">
        <v>3</v>
      </c>
      <c r="K1845" s="252">
        <v>3</v>
      </c>
      <c r="L1845" s="253">
        <v>3</v>
      </c>
      <c r="M1845" s="254">
        <f t="shared" si="58"/>
        <v>1.1181151966036349</v>
      </c>
      <c r="N1845" s="255"/>
    </row>
    <row r="1846" spans="1:14" hidden="1" x14ac:dyDescent="0.2">
      <c r="A1846" s="523" t="s">
        <v>358</v>
      </c>
      <c r="B1846" s="459" t="s">
        <v>463</v>
      </c>
      <c r="C1846" s="247" t="s">
        <v>55</v>
      </c>
      <c r="D1846" s="248" t="s">
        <v>135</v>
      </c>
      <c r="E1846" s="249">
        <v>1.2708000000000001E-3</v>
      </c>
      <c r="F1846" s="250" t="s">
        <v>133</v>
      </c>
      <c r="G1846" s="251" t="s">
        <v>16</v>
      </c>
      <c r="H1846" s="252">
        <v>1</v>
      </c>
      <c r="I1846" s="252">
        <v>1</v>
      </c>
      <c r="J1846" s="252">
        <v>3</v>
      </c>
      <c r="K1846" s="252">
        <v>3</v>
      </c>
      <c r="L1846" s="253">
        <v>3</v>
      </c>
      <c r="M1846" s="254">
        <f t="shared" si="58"/>
        <v>1.1181151966036349</v>
      </c>
      <c r="N1846" s="255"/>
    </row>
    <row r="1847" spans="1:14" hidden="1" x14ac:dyDescent="0.2">
      <c r="A1847" s="523" t="s">
        <v>358</v>
      </c>
      <c r="B1847" s="459" t="s">
        <v>463</v>
      </c>
      <c r="C1847" s="247" t="s">
        <v>57</v>
      </c>
      <c r="D1847" s="248" t="s">
        <v>135</v>
      </c>
      <c r="E1847" s="249">
        <v>5.8562211981566818E-4</v>
      </c>
      <c r="F1847" s="250" t="s">
        <v>133</v>
      </c>
      <c r="G1847" s="251" t="s">
        <v>16</v>
      </c>
      <c r="H1847" s="252">
        <v>1</v>
      </c>
      <c r="I1847" s="252">
        <v>1</v>
      </c>
      <c r="J1847" s="252">
        <v>3</v>
      </c>
      <c r="K1847" s="252">
        <v>3</v>
      </c>
      <c r="L1847" s="253">
        <v>3</v>
      </c>
      <c r="M1847" s="254">
        <f t="shared" si="58"/>
        <v>1.1181151966036349</v>
      </c>
      <c r="N1847" s="255"/>
    </row>
    <row r="1848" spans="1:14" hidden="1" x14ac:dyDescent="0.2">
      <c r="A1848" s="523" t="s">
        <v>358</v>
      </c>
      <c r="B1848" s="459" t="s">
        <v>463</v>
      </c>
      <c r="C1848" s="247" t="s">
        <v>59</v>
      </c>
      <c r="D1848" s="248" t="s">
        <v>135</v>
      </c>
      <c r="E1848" s="249">
        <v>2.7E-4</v>
      </c>
      <c r="F1848" s="250" t="s">
        <v>133</v>
      </c>
      <c r="G1848" s="251" t="s">
        <v>16</v>
      </c>
      <c r="H1848" s="252">
        <v>1</v>
      </c>
      <c r="I1848" s="252">
        <v>1</v>
      </c>
      <c r="J1848" s="252">
        <v>3</v>
      </c>
      <c r="K1848" s="252">
        <v>3</v>
      </c>
      <c r="L1848" s="253">
        <v>3</v>
      </c>
      <c r="M1848" s="254">
        <f t="shared" si="58"/>
        <v>1.1181151966036349</v>
      </c>
      <c r="N1848" s="255"/>
    </row>
    <row r="1849" spans="1:14" hidden="1" x14ac:dyDescent="0.2">
      <c r="A1849" s="523" t="s">
        <v>358</v>
      </c>
      <c r="B1849" s="459" t="s">
        <v>463</v>
      </c>
      <c r="C1849" s="247" t="s">
        <v>60</v>
      </c>
      <c r="D1849" s="248" t="s">
        <v>135</v>
      </c>
      <c r="E1849" s="249">
        <v>1.23511879049676E-3</v>
      </c>
      <c r="F1849" s="250" t="s">
        <v>133</v>
      </c>
      <c r="G1849" s="251" t="s">
        <v>16</v>
      </c>
      <c r="H1849" s="252">
        <v>1</v>
      </c>
      <c r="I1849" s="252">
        <v>1</v>
      </c>
      <c r="J1849" s="252">
        <v>3</v>
      </c>
      <c r="K1849" s="252">
        <v>3</v>
      </c>
      <c r="L1849" s="253">
        <v>3</v>
      </c>
      <c r="M1849" s="254">
        <f t="shared" si="58"/>
        <v>1.1181151966036349</v>
      </c>
      <c r="N1849" s="255"/>
    </row>
    <row r="1850" spans="1:14" x14ac:dyDescent="0.2">
      <c r="A1850" s="523" t="s">
        <v>358</v>
      </c>
      <c r="B1850" s="611" t="s">
        <v>451</v>
      </c>
      <c r="C1850" s="612" t="s">
        <v>135</v>
      </c>
      <c r="D1850" s="527" t="s">
        <v>135</v>
      </c>
      <c r="E1850" s="527">
        <f>1%*12.5%</f>
        <v>1.25E-3</v>
      </c>
      <c r="F1850" s="333" t="s">
        <v>455</v>
      </c>
      <c r="G1850" s="528" t="s">
        <v>16</v>
      </c>
      <c r="H1850" s="527">
        <v>1</v>
      </c>
      <c r="I1850" s="527">
        <v>1</v>
      </c>
      <c r="J1850" s="527">
        <v>1</v>
      </c>
      <c r="K1850" s="527">
        <v>1</v>
      </c>
      <c r="L1850" s="529">
        <v>3</v>
      </c>
      <c r="M1850" s="60">
        <f t="shared" si="58"/>
        <v>1.0141150152164344</v>
      </c>
      <c r="N1850" s="530"/>
    </row>
    <row r="1851" spans="1:14" x14ac:dyDescent="0.2">
      <c r="A1851" s="523" t="s">
        <v>358</v>
      </c>
      <c r="B1851" s="611" t="s">
        <v>506</v>
      </c>
      <c r="C1851" s="612" t="s">
        <v>135</v>
      </c>
      <c r="D1851" s="527" t="s">
        <v>135</v>
      </c>
      <c r="E1851" s="527">
        <f>1%*12.5%</f>
        <v>1.25E-3</v>
      </c>
      <c r="F1851" s="333" t="s">
        <v>455</v>
      </c>
      <c r="G1851" s="528" t="s">
        <v>16</v>
      </c>
      <c r="H1851" s="527">
        <v>1</v>
      </c>
      <c r="I1851" s="527">
        <v>1</v>
      </c>
      <c r="J1851" s="527">
        <v>1</v>
      </c>
      <c r="K1851" s="527">
        <v>1</v>
      </c>
      <c r="L1851" s="529">
        <v>3</v>
      </c>
      <c r="M1851" s="60">
        <f t="shared" si="58"/>
        <v>1.0141150152164344</v>
      </c>
      <c r="N1851" s="530"/>
    </row>
    <row r="1852" spans="1:14" x14ac:dyDescent="0.2">
      <c r="A1852" s="523" t="s">
        <v>358</v>
      </c>
      <c r="B1852" s="611" t="s">
        <v>460</v>
      </c>
      <c r="C1852" s="612" t="s">
        <v>135</v>
      </c>
      <c r="D1852" s="527" t="s">
        <v>135</v>
      </c>
      <c r="E1852" s="527">
        <f>1%*25%</f>
        <v>2.5000000000000001E-3</v>
      </c>
      <c r="F1852" s="333" t="s">
        <v>455</v>
      </c>
      <c r="G1852" s="528"/>
      <c r="H1852" s="527">
        <v>1</v>
      </c>
      <c r="I1852" s="527">
        <v>1</v>
      </c>
      <c r="J1852" s="527">
        <v>1</v>
      </c>
      <c r="K1852" s="527">
        <v>1</v>
      </c>
      <c r="L1852" s="529">
        <v>3</v>
      </c>
      <c r="M1852" s="60">
        <f t="shared" si="58"/>
        <v>1.0141150152164344</v>
      </c>
      <c r="N1852" s="530"/>
    </row>
    <row r="1853" spans="1:14" x14ac:dyDescent="0.2">
      <c r="A1853" s="523" t="s">
        <v>358</v>
      </c>
      <c r="B1853" s="611" t="s">
        <v>475</v>
      </c>
      <c r="C1853" s="612" t="s">
        <v>135</v>
      </c>
      <c r="D1853" s="527" t="s">
        <v>135</v>
      </c>
      <c r="E1853" s="527">
        <f>1%*12.5%</f>
        <v>1.25E-3</v>
      </c>
      <c r="F1853" s="333" t="s">
        <v>455</v>
      </c>
      <c r="G1853" s="528"/>
      <c r="H1853" s="527">
        <v>1</v>
      </c>
      <c r="I1853" s="527">
        <v>1</v>
      </c>
      <c r="J1853" s="527">
        <v>1</v>
      </c>
      <c r="K1853" s="527">
        <v>1</v>
      </c>
      <c r="L1853" s="529">
        <v>3</v>
      </c>
      <c r="M1853" s="60">
        <f t="shared" si="58"/>
        <v>1.0141150152164344</v>
      </c>
      <c r="N1853" s="530"/>
    </row>
    <row r="1854" spans="1:14" x14ac:dyDescent="0.2">
      <c r="A1854" s="523" t="s">
        <v>358</v>
      </c>
      <c r="B1854" s="575" t="s">
        <v>452</v>
      </c>
      <c r="C1854" s="612" t="s">
        <v>135</v>
      </c>
      <c r="D1854" s="527" t="s">
        <v>135</v>
      </c>
      <c r="E1854" s="527">
        <f>1%*25%</f>
        <v>2.5000000000000001E-3</v>
      </c>
      <c r="F1854" s="333" t="s">
        <v>455</v>
      </c>
      <c r="G1854" s="528" t="s">
        <v>16</v>
      </c>
      <c r="H1854" s="527">
        <v>1</v>
      </c>
      <c r="I1854" s="527">
        <v>1</v>
      </c>
      <c r="J1854" s="527">
        <v>1</v>
      </c>
      <c r="K1854" s="527">
        <v>1</v>
      </c>
      <c r="L1854" s="529">
        <v>3</v>
      </c>
      <c r="M1854" s="60">
        <f t="shared" si="58"/>
        <v>1.0141150152164344</v>
      </c>
      <c r="N1854" s="530"/>
    </row>
    <row r="1855" spans="1:14" x14ac:dyDescent="0.2">
      <c r="A1855" s="531" t="s">
        <v>358</v>
      </c>
      <c r="B1855" s="574" t="s">
        <v>507</v>
      </c>
      <c r="C1855" s="580" t="s">
        <v>135</v>
      </c>
      <c r="D1855" s="330" t="s">
        <v>135</v>
      </c>
      <c r="E1855" s="330">
        <f>1%*12.5%</f>
        <v>1.25E-3</v>
      </c>
      <c r="F1855" s="534" t="s">
        <v>455</v>
      </c>
      <c r="G1855" s="535" t="s">
        <v>16</v>
      </c>
      <c r="H1855" s="330">
        <v>1</v>
      </c>
      <c r="I1855" s="330">
        <v>1</v>
      </c>
      <c r="J1855" s="330">
        <v>1</v>
      </c>
      <c r="K1855" s="330">
        <v>1</v>
      </c>
      <c r="L1855" s="536">
        <v>3</v>
      </c>
      <c r="M1855" s="537">
        <f t="shared" si="58"/>
        <v>1.0141150152164344</v>
      </c>
      <c r="N1855" s="538"/>
    </row>
    <row r="1856" spans="1:14" hidden="1" x14ac:dyDescent="0.2">
      <c r="A1856" s="523" t="s">
        <v>361</v>
      </c>
      <c r="B1856" s="459" t="s">
        <v>463</v>
      </c>
      <c r="C1856" s="247" t="s">
        <v>13</v>
      </c>
      <c r="D1856" s="248" t="s">
        <v>135</v>
      </c>
      <c r="E1856" s="249">
        <v>4.9383419689119179E-4</v>
      </c>
      <c r="F1856" s="250" t="s">
        <v>133</v>
      </c>
      <c r="G1856" s="251" t="s">
        <v>16</v>
      </c>
      <c r="H1856" s="252">
        <v>1</v>
      </c>
      <c r="I1856" s="252">
        <v>1</v>
      </c>
      <c r="J1856" s="252">
        <v>3</v>
      </c>
      <c r="K1856" s="252">
        <v>3</v>
      </c>
      <c r="L1856" s="253">
        <v>3</v>
      </c>
      <c r="M1856" s="254">
        <f t="shared" ref="M1856:M1886" si="59">IF( OR( ISBLANK(H1856),ISBLANK(I1856), ISBLANK(J1856), ISBLANK(K1856), ISBLANK(L1856) ), "", 1.5*SQRT( EXP(2.21*(H1856-1)) + EXP(2.21*(I1856-1)) + EXP(2.21*(J1856-1)) + EXP(2.21*(K1856-1)) + EXP(2.21*L1856) )/100*2.45 )</f>
        <v>1.1181151966036349</v>
      </c>
      <c r="N1856" s="255"/>
    </row>
    <row r="1857" spans="1:14" hidden="1" x14ac:dyDescent="0.2">
      <c r="A1857" s="523" t="s">
        <v>361</v>
      </c>
      <c r="B1857" s="459" t="s">
        <v>463</v>
      </c>
      <c r="C1857" s="247" t="s">
        <v>18</v>
      </c>
      <c r="D1857" s="248" t="s">
        <v>135</v>
      </c>
      <c r="E1857" s="249">
        <v>6.2141809290953553E-4</v>
      </c>
      <c r="F1857" s="250" t="s">
        <v>133</v>
      </c>
      <c r="G1857" s="251" t="s">
        <v>16</v>
      </c>
      <c r="H1857" s="252">
        <v>1</v>
      </c>
      <c r="I1857" s="252">
        <v>1</v>
      </c>
      <c r="J1857" s="252">
        <v>3</v>
      </c>
      <c r="K1857" s="252">
        <v>3</v>
      </c>
      <c r="L1857" s="253">
        <v>3</v>
      </c>
      <c r="M1857" s="254">
        <f t="shared" si="59"/>
        <v>1.1181151966036349</v>
      </c>
      <c r="N1857" s="255"/>
    </row>
    <row r="1858" spans="1:14" hidden="1" x14ac:dyDescent="0.2">
      <c r="A1858" s="523" t="s">
        <v>361</v>
      </c>
      <c r="B1858" s="459" t="s">
        <v>463</v>
      </c>
      <c r="C1858" s="247" t="s">
        <v>20</v>
      </c>
      <c r="D1858" s="248" t="s">
        <v>135</v>
      </c>
      <c r="E1858" s="249">
        <v>1.717297297297297E-3</v>
      </c>
      <c r="F1858" s="250" t="s">
        <v>133</v>
      </c>
      <c r="G1858" s="251" t="s">
        <v>16</v>
      </c>
      <c r="H1858" s="252">
        <v>1</v>
      </c>
      <c r="I1858" s="252">
        <v>1</v>
      </c>
      <c r="J1858" s="252">
        <v>3</v>
      </c>
      <c r="K1858" s="252">
        <v>3</v>
      </c>
      <c r="L1858" s="253">
        <v>3</v>
      </c>
      <c r="M1858" s="254">
        <f t="shared" si="59"/>
        <v>1.1181151966036349</v>
      </c>
      <c r="N1858" s="255"/>
    </row>
    <row r="1859" spans="1:14" hidden="1" x14ac:dyDescent="0.2">
      <c r="A1859" s="523" t="s">
        <v>361</v>
      </c>
      <c r="B1859" s="459" t="s">
        <v>463</v>
      </c>
      <c r="C1859" s="247" t="s">
        <v>22</v>
      </c>
      <c r="D1859" s="248" t="s">
        <v>135</v>
      </c>
      <c r="E1859" s="249">
        <v>1.397291666666666E-3</v>
      </c>
      <c r="F1859" s="250" t="s">
        <v>133</v>
      </c>
      <c r="G1859" s="251" t="s">
        <v>16</v>
      </c>
      <c r="H1859" s="252">
        <v>1</v>
      </c>
      <c r="I1859" s="252">
        <v>1</v>
      </c>
      <c r="J1859" s="252">
        <v>3</v>
      </c>
      <c r="K1859" s="252">
        <v>3</v>
      </c>
      <c r="L1859" s="253">
        <v>3</v>
      </c>
      <c r="M1859" s="254">
        <f t="shared" si="59"/>
        <v>1.1181151966036349</v>
      </c>
      <c r="N1859" s="255"/>
    </row>
    <row r="1860" spans="1:14" hidden="1" x14ac:dyDescent="0.2">
      <c r="A1860" s="523" t="s">
        <v>361</v>
      </c>
      <c r="B1860" s="459" t="s">
        <v>463</v>
      </c>
      <c r="C1860" s="247" t="s">
        <v>23</v>
      </c>
      <c r="D1860" s="248" t="s">
        <v>135</v>
      </c>
      <c r="E1860" s="249">
        <v>1.868823529411765E-3</v>
      </c>
      <c r="F1860" s="250" t="s">
        <v>133</v>
      </c>
      <c r="G1860" s="251" t="s">
        <v>16</v>
      </c>
      <c r="H1860" s="252">
        <v>1</v>
      </c>
      <c r="I1860" s="252">
        <v>1</v>
      </c>
      <c r="J1860" s="252">
        <v>3</v>
      </c>
      <c r="K1860" s="252">
        <v>3</v>
      </c>
      <c r="L1860" s="253">
        <v>3</v>
      </c>
      <c r="M1860" s="254">
        <f t="shared" si="59"/>
        <v>1.1181151966036349</v>
      </c>
      <c r="N1860" s="255"/>
    </row>
    <row r="1861" spans="1:14" hidden="1" x14ac:dyDescent="0.2">
      <c r="A1861" s="523" t="s">
        <v>361</v>
      </c>
      <c r="B1861" s="459" t="s">
        <v>463</v>
      </c>
      <c r="C1861" s="247" t="s">
        <v>24</v>
      </c>
      <c r="D1861" s="248" t="s">
        <v>135</v>
      </c>
      <c r="E1861" s="249">
        <v>8.3605263157894745E-4</v>
      </c>
      <c r="F1861" s="250" t="s">
        <v>133</v>
      </c>
      <c r="G1861" s="251" t="s">
        <v>16</v>
      </c>
      <c r="H1861" s="252">
        <v>1</v>
      </c>
      <c r="I1861" s="252">
        <v>1</v>
      </c>
      <c r="J1861" s="252">
        <v>3</v>
      </c>
      <c r="K1861" s="252">
        <v>3</v>
      </c>
      <c r="L1861" s="253">
        <v>3</v>
      </c>
      <c r="M1861" s="254">
        <f t="shared" si="59"/>
        <v>1.1181151966036349</v>
      </c>
      <c r="N1861" s="255"/>
    </row>
    <row r="1862" spans="1:14" hidden="1" x14ac:dyDescent="0.2">
      <c r="A1862" s="523" t="s">
        <v>361</v>
      </c>
      <c r="B1862" s="459" t="s">
        <v>463</v>
      </c>
      <c r="C1862" s="247" t="s">
        <v>25</v>
      </c>
      <c r="D1862" s="248" t="s">
        <v>135</v>
      </c>
      <c r="E1862" s="249">
        <v>4.2932432432432442E-4</v>
      </c>
      <c r="F1862" s="250" t="s">
        <v>133</v>
      </c>
      <c r="G1862" s="251" t="s">
        <v>16</v>
      </c>
      <c r="H1862" s="252">
        <v>1</v>
      </c>
      <c r="I1862" s="252">
        <v>1</v>
      </c>
      <c r="J1862" s="252">
        <v>3</v>
      </c>
      <c r="K1862" s="252">
        <v>3</v>
      </c>
      <c r="L1862" s="253">
        <v>3</v>
      </c>
      <c r="M1862" s="254">
        <f t="shared" si="59"/>
        <v>1.1181151966036349</v>
      </c>
      <c r="N1862" s="255"/>
    </row>
    <row r="1863" spans="1:14" hidden="1" x14ac:dyDescent="0.2">
      <c r="A1863" s="523" t="s">
        <v>361</v>
      </c>
      <c r="B1863" s="459" t="s">
        <v>463</v>
      </c>
      <c r="C1863" s="247" t="s">
        <v>26</v>
      </c>
      <c r="D1863" s="248" t="s">
        <v>135</v>
      </c>
      <c r="E1863" s="249">
        <v>2.9808888888888888E-3</v>
      </c>
      <c r="F1863" s="250" t="s">
        <v>133</v>
      </c>
      <c r="G1863" s="251" t="s">
        <v>16</v>
      </c>
      <c r="H1863" s="252">
        <v>1</v>
      </c>
      <c r="I1863" s="252">
        <v>1</v>
      </c>
      <c r="J1863" s="252">
        <v>3</v>
      </c>
      <c r="K1863" s="252">
        <v>3</v>
      </c>
      <c r="L1863" s="253">
        <v>3</v>
      </c>
      <c r="M1863" s="254">
        <f t="shared" si="59"/>
        <v>1.1181151966036349</v>
      </c>
      <c r="N1863" s="255"/>
    </row>
    <row r="1864" spans="1:14" hidden="1" x14ac:dyDescent="0.2">
      <c r="A1864" s="523" t="s">
        <v>361</v>
      </c>
      <c r="B1864" s="459" t="s">
        <v>463</v>
      </c>
      <c r="C1864" s="247" t="s">
        <v>27</v>
      </c>
      <c r="D1864" s="248" t="s">
        <v>135</v>
      </c>
      <c r="E1864" s="249">
        <v>3.4595281306715062E-4</v>
      </c>
      <c r="F1864" s="250" t="s">
        <v>133</v>
      </c>
      <c r="G1864" s="251" t="s">
        <v>16</v>
      </c>
      <c r="H1864" s="252">
        <v>1</v>
      </c>
      <c r="I1864" s="252">
        <v>1</v>
      </c>
      <c r="J1864" s="252">
        <v>3</v>
      </c>
      <c r="K1864" s="252">
        <v>3</v>
      </c>
      <c r="L1864" s="253">
        <v>3</v>
      </c>
      <c r="M1864" s="254">
        <f t="shared" si="59"/>
        <v>1.1181151966036349</v>
      </c>
      <c r="N1864" s="255"/>
    </row>
    <row r="1865" spans="1:14" hidden="1" x14ac:dyDescent="0.2">
      <c r="A1865" s="523" t="s">
        <v>361</v>
      </c>
      <c r="B1865" s="459" t="s">
        <v>463</v>
      </c>
      <c r="C1865" s="247" t="s">
        <v>28</v>
      </c>
      <c r="D1865" s="248" t="s">
        <v>135</v>
      </c>
      <c r="E1865" s="249">
        <v>7.4149012567324962E-4</v>
      </c>
      <c r="F1865" s="250" t="s">
        <v>133</v>
      </c>
      <c r="G1865" s="251" t="s">
        <v>16</v>
      </c>
      <c r="H1865" s="252">
        <v>1</v>
      </c>
      <c r="I1865" s="252">
        <v>1</v>
      </c>
      <c r="J1865" s="252">
        <v>3</v>
      </c>
      <c r="K1865" s="252">
        <v>3</v>
      </c>
      <c r="L1865" s="253">
        <v>3</v>
      </c>
      <c r="M1865" s="254">
        <f t="shared" si="59"/>
        <v>1.1181151966036349</v>
      </c>
      <c r="N1865" s="255"/>
    </row>
    <row r="1866" spans="1:14" hidden="1" x14ac:dyDescent="0.2">
      <c r="A1866" s="523" t="s">
        <v>361</v>
      </c>
      <c r="B1866" s="459" t="s">
        <v>463</v>
      </c>
      <c r="C1866" s="247" t="s">
        <v>30</v>
      </c>
      <c r="D1866" s="248" t="s">
        <v>135</v>
      </c>
      <c r="E1866" s="249">
        <v>5.242574257425742E-4</v>
      </c>
      <c r="F1866" s="250" t="s">
        <v>133</v>
      </c>
      <c r="G1866" s="251" t="s">
        <v>16</v>
      </c>
      <c r="H1866" s="252">
        <v>1</v>
      </c>
      <c r="I1866" s="252">
        <v>1</v>
      </c>
      <c r="J1866" s="252">
        <v>3</v>
      </c>
      <c r="K1866" s="252">
        <v>3</v>
      </c>
      <c r="L1866" s="253">
        <v>3</v>
      </c>
      <c r="M1866" s="254">
        <f t="shared" si="59"/>
        <v>1.1181151966036349</v>
      </c>
      <c r="N1866" s="255"/>
    </row>
    <row r="1867" spans="1:14" hidden="1" x14ac:dyDescent="0.2">
      <c r="A1867" s="523" t="s">
        <v>361</v>
      </c>
      <c r="B1867" s="459" t="s">
        <v>463</v>
      </c>
      <c r="C1867" s="247" t="s">
        <v>32</v>
      </c>
      <c r="D1867" s="248" t="s">
        <v>135</v>
      </c>
      <c r="E1867" s="249">
        <v>1.23378640776699E-3</v>
      </c>
      <c r="F1867" s="250" t="s">
        <v>133</v>
      </c>
      <c r="G1867" s="251" t="s">
        <v>16</v>
      </c>
      <c r="H1867" s="252">
        <v>1</v>
      </c>
      <c r="I1867" s="252">
        <v>1</v>
      </c>
      <c r="J1867" s="252">
        <v>3</v>
      </c>
      <c r="K1867" s="252">
        <v>3</v>
      </c>
      <c r="L1867" s="253">
        <v>3</v>
      </c>
      <c r="M1867" s="254">
        <f t="shared" si="59"/>
        <v>1.1181151966036349</v>
      </c>
      <c r="N1867" s="255"/>
    </row>
    <row r="1868" spans="1:14" hidden="1" x14ac:dyDescent="0.2">
      <c r="A1868" s="523" t="s">
        <v>361</v>
      </c>
      <c r="B1868" s="459" t="s">
        <v>463</v>
      </c>
      <c r="C1868" s="247" t="s">
        <v>34</v>
      </c>
      <c r="D1868" s="248" t="s">
        <v>135</v>
      </c>
      <c r="E1868" s="249">
        <v>1.5009448818897641E-3</v>
      </c>
      <c r="F1868" s="250" t="s">
        <v>133</v>
      </c>
      <c r="G1868" s="251" t="s">
        <v>16</v>
      </c>
      <c r="H1868" s="252">
        <v>1</v>
      </c>
      <c r="I1868" s="252">
        <v>1</v>
      </c>
      <c r="J1868" s="252">
        <v>3</v>
      </c>
      <c r="K1868" s="252">
        <v>3</v>
      </c>
      <c r="L1868" s="253">
        <v>3</v>
      </c>
      <c r="M1868" s="254">
        <f t="shared" si="59"/>
        <v>1.1181151966036349</v>
      </c>
      <c r="N1868" s="255"/>
    </row>
    <row r="1869" spans="1:14" hidden="1" x14ac:dyDescent="0.2">
      <c r="A1869" s="523" t="s">
        <v>361</v>
      </c>
      <c r="B1869" s="459" t="s">
        <v>463</v>
      </c>
      <c r="C1869" s="247" t="s">
        <v>36</v>
      </c>
      <c r="D1869" s="248" t="s">
        <v>135</v>
      </c>
      <c r="E1869" s="249">
        <v>1.4482051282051281E-3</v>
      </c>
      <c r="F1869" s="250" t="s">
        <v>133</v>
      </c>
      <c r="G1869" s="251" t="s">
        <v>16</v>
      </c>
      <c r="H1869" s="252">
        <v>1</v>
      </c>
      <c r="I1869" s="252">
        <v>1</v>
      </c>
      <c r="J1869" s="252">
        <v>3</v>
      </c>
      <c r="K1869" s="252">
        <v>3</v>
      </c>
      <c r="L1869" s="253">
        <v>3</v>
      </c>
      <c r="M1869" s="254">
        <f t="shared" si="59"/>
        <v>1.1181151966036349</v>
      </c>
      <c r="N1869" s="255"/>
    </row>
    <row r="1870" spans="1:14" hidden="1" x14ac:dyDescent="0.2">
      <c r="A1870" s="523" t="s">
        <v>361</v>
      </c>
      <c r="B1870" s="459" t="s">
        <v>463</v>
      </c>
      <c r="C1870" s="247" t="s">
        <v>37</v>
      </c>
      <c r="D1870" s="248" t="s">
        <v>135</v>
      </c>
      <c r="E1870" s="249">
        <v>6.0483967935871753E-3</v>
      </c>
      <c r="F1870" s="250" t="s">
        <v>133</v>
      </c>
      <c r="G1870" s="251" t="s">
        <v>16</v>
      </c>
      <c r="H1870" s="252">
        <v>1</v>
      </c>
      <c r="I1870" s="252">
        <v>1</v>
      </c>
      <c r="J1870" s="252">
        <v>3</v>
      </c>
      <c r="K1870" s="252">
        <v>3</v>
      </c>
      <c r="L1870" s="253">
        <v>3</v>
      </c>
      <c r="M1870" s="254">
        <f t="shared" si="59"/>
        <v>1.1181151966036349</v>
      </c>
      <c r="N1870" s="255"/>
    </row>
    <row r="1871" spans="1:14" hidden="1" x14ac:dyDescent="0.2">
      <c r="A1871" s="523" t="s">
        <v>361</v>
      </c>
      <c r="B1871" s="459" t="s">
        <v>463</v>
      </c>
      <c r="C1871" s="247" t="s">
        <v>39</v>
      </c>
      <c r="D1871" s="248" t="s">
        <v>135</v>
      </c>
      <c r="E1871" s="249">
        <v>2.9662407862407862E-3</v>
      </c>
      <c r="F1871" s="250" t="s">
        <v>133</v>
      </c>
      <c r="G1871" s="251" t="s">
        <v>16</v>
      </c>
      <c r="H1871" s="252">
        <v>1</v>
      </c>
      <c r="I1871" s="252">
        <v>1</v>
      </c>
      <c r="J1871" s="252">
        <v>3</v>
      </c>
      <c r="K1871" s="252">
        <v>3</v>
      </c>
      <c r="L1871" s="253">
        <v>3</v>
      </c>
      <c r="M1871" s="254">
        <f t="shared" si="59"/>
        <v>1.1181151966036349</v>
      </c>
      <c r="N1871" s="255"/>
    </row>
    <row r="1872" spans="1:14" hidden="1" x14ac:dyDescent="0.2">
      <c r="A1872" s="523" t="s">
        <v>361</v>
      </c>
      <c r="B1872" s="459" t="s">
        <v>463</v>
      </c>
      <c r="C1872" s="247" t="s">
        <v>40</v>
      </c>
      <c r="D1872" s="248" t="s">
        <v>135</v>
      </c>
      <c r="E1872" s="249">
        <v>9.5857758620689656E-4</v>
      </c>
      <c r="F1872" s="250" t="s">
        <v>133</v>
      </c>
      <c r="G1872" s="251" t="s">
        <v>16</v>
      </c>
      <c r="H1872" s="252">
        <v>1</v>
      </c>
      <c r="I1872" s="252">
        <v>1</v>
      </c>
      <c r="J1872" s="252">
        <v>3</v>
      </c>
      <c r="K1872" s="252">
        <v>3</v>
      </c>
      <c r="L1872" s="253">
        <v>3</v>
      </c>
      <c r="M1872" s="254">
        <f t="shared" si="59"/>
        <v>1.1181151966036349</v>
      </c>
      <c r="N1872" s="255"/>
    </row>
    <row r="1873" spans="1:14" hidden="1" x14ac:dyDescent="0.2">
      <c r="A1873" s="523" t="s">
        <v>361</v>
      </c>
      <c r="B1873" s="459" t="s">
        <v>463</v>
      </c>
      <c r="C1873" s="247" t="s">
        <v>41</v>
      </c>
      <c r="D1873" s="248" t="s">
        <v>135</v>
      </c>
      <c r="E1873" s="249">
        <v>4.352054794520548E-4</v>
      </c>
      <c r="F1873" s="250" t="s">
        <v>133</v>
      </c>
      <c r="G1873" s="251" t="s">
        <v>16</v>
      </c>
      <c r="H1873" s="252">
        <v>1</v>
      </c>
      <c r="I1873" s="252">
        <v>1</v>
      </c>
      <c r="J1873" s="252">
        <v>3</v>
      </c>
      <c r="K1873" s="252">
        <v>3</v>
      </c>
      <c r="L1873" s="253">
        <v>3</v>
      </c>
      <c r="M1873" s="254">
        <f t="shared" si="59"/>
        <v>1.1181151966036349</v>
      </c>
      <c r="N1873" s="255"/>
    </row>
    <row r="1874" spans="1:14" hidden="1" x14ac:dyDescent="0.2">
      <c r="A1874" s="523" t="s">
        <v>361</v>
      </c>
      <c r="B1874" s="459" t="s">
        <v>463</v>
      </c>
      <c r="C1874" s="247" t="s">
        <v>42</v>
      </c>
      <c r="D1874" s="248" t="s">
        <v>135</v>
      </c>
      <c r="E1874" s="249">
        <v>2.1274553571428568E-3</v>
      </c>
      <c r="F1874" s="250" t="s">
        <v>133</v>
      </c>
      <c r="G1874" s="251" t="s">
        <v>16</v>
      </c>
      <c r="H1874" s="252">
        <v>1</v>
      </c>
      <c r="I1874" s="252">
        <v>1</v>
      </c>
      <c r="J1874" s="252">
        <v>3</v>
      </c>
      <c r="K1874" s="252">
        <v>3</v>
      </c>
      <c r="L1874" s="253">
        <v>3</v>
      </c>
      <c r="M1874" s="254">
        <f t="shared" si="59"/>
        <v>1.1181151966036349</v>
      </c>
      <c r="N1874" s="255"/>
    </row>
    <row r="1875" spans="1:14" hidden="1" x14ac:dyDescent="0.2">
      <c r="A1875" s="523" t="s">
        <v>361</v>
      </c>
      <c r="B1875" s="459" t="s">
        <v>463</v>
      </c>
      <c r="C1875" s="247" t="s">
        <v>43</v>
      </c>
      <c r="D1875" s="248" t="s">
        <v>135</v>
      </c>
      <c r="E1875" s="249">
        <v>4.9737769080234839E-4</v>
      </c>
      <c r="F1875" s="250" t="s">
        <v>133</v>
      </c>
      <c r="G1875" s="251" t="s">
        <v>16</v>
      </c>
      <c r="H1875" s="252">
        <v>1</v>
      </c>
      <c r="I1875" s="252">
        <v>1</v>
      </c>
      <c r="J1875" s="252">
        <v>3</v>
      </c>
      <c r="K1875" s="252">
        <v>3</v>
      </c>
      <c r="L1875" s="253">
        <v>3</v>
      </c>
      <c r="M1875" s="254">
        <f t="shared" si="59"/>
        <v>1.1181151966036349</v>
      </c>
      <c r="N1875" s="255"/>
    </row>
    <row r="1876" spans="1:14" x14ac:dyDescent="0.2">
      <c r="A1876" s="523" t="s">
        <v>361</v>
      </c>
      <c r="B1876" s="459" t="s">
        <v>463</v>
      </c>
      <c r="C1876" s="247" t="s">
        <v>45</v>
      </c>
      <c r="D1876" s="248" t="s">
        <v>135</v>
      </c>
      <c r="E1876" s="249">
        <v>6.8784844384303125E-4</v>
      </c>
      <c r="F1876" s="250" t="s">
        <v>133</v>
      </c>
      <c r="G1876" s="251" t="s">
        <v>16</v>
      </c>
      <c r="H1876" s="252">
        <v>1</v>
      </c>
      <c r="I1876" s="252">
        <v>1</v>
      </c>
      <c r="J1876" s="252">
        <v>3</v>
      </c>
      <c r="K1876" s="252">
        <v>3</v>
      </c>
      <c r="L1876" s="253">
        <v>3</v>
      </c>
      <c r="M1876" s="254">
        <f t="shared" si="59"/>
        <v>1.1181151966036349</v>
      </c>
      <c r="N1876" s="255"/>
    </row>
    <row r="1877" spans="1:14" hidden="1" x14ac:dyDescent="0.2">
      <c r="A1877" s="523" t="s">
        <v>361</v>
      </c>
      <c r="B1877" s="459" t="s">
        <v>463</v>
      </c>
      <c r="C1877" s="247" t="s">
        <v>46</v>
      </c>
      <c r="D1877" s="248" t="s">
        <v>135</v>
      </c>
      <c r="E1877" s="249">
        <v>1.2553495440729479E-3</v>
      </c>
      <c r="F1877" s="250" t="s">
        <v>133</v>
      </c>
      <c r="G1877" s="251" t="s">
        <v>16</v>
      </c>
      <c r="H1877" s="252">
        <v>1</v>
      </c>
      <c r="I1877" s="252">
        <v>1</v>
      </c>
      <c r="J1877" s="252">
        <v>3</v>
      </c>
      <c r="K1877" s="252">
        <v>3</v>
      </c>
      <c r="L1877" s="253">
        <v>3</v>
      </c>
      <c r="M1877" s="254">
        <f t="shared" si="59"/>
        <v>1.1181151966036349</v>
      </c>
      <c r="N1877" s="255"/>
    </row>
    <row r="1878" spans="1:14" hidden="1" x14ac:dyDescent="0.2">
      <c r="A1878" s="523" t="s">
        <v>361</v>
      </c>
      <c r="B1878" s="459" t="s">
        <v>463</v>
      </c>
      <c r="C1878" s="247" t="s">
        <v>48</v>
      </c>
      <c r="D1878" s="248" t="s">
        <v>135</v>
      </c>
      <c r="E1878" s="249">
        <v>9.3994082840236678E-4</v>
      </c>
      <c r="F1878" s="250" t="s">
        <v>133</v>
      </c>
      <c r="G1878" s="251" t="s">
        <v>16</v>
      </c>
      <c r="H1878" s="252">
        <v>1</v>
      </c>
      <c r="I1878" s="252">
        <v>1</v>
      </c>
      <c r="J1878" s="252">
        <v>3</v>
      </c>
      <c r="K1878" s="252">
        <v>3</v>
      </c>
      <c r="L1878" s="253">
        <v>3</v>
      </c>
      <c r="M1878" s="254">
        <f t="shared" si="59"/>
        <v>1.1181151966036349</v>
      </c>
      <c r="N1878" s="255"/>
    </row>
    <row r="1879" spans="1:14" hidden="1" x14ac:dyDescent="0.2">
      <c r="A1879" s="523" t="s">
        <v>361</v>
      </c>
      <c r="B1879" s="459" t="s">
        <v>463</v>
      </c>
      <c r="C1879" s="247" t="s">
        <v>50</v>
      </c>
      <c r="D1879" s="248" t="s">
        <v>135</v>
      </c>
      <c r="E1879" s="249">
        <v>5.72327205882353E-3</v>
      </c>
      <c r="F1879" s="250" t="s">
        <v>133</v>
      </c>
      <c r="G1879" s="251" t="s">
        <v>16</v>
      </c>
      <c r="H1879" s="252">
        <v>1</v>
      </c>
      <c r="I1879" s="252">
        <v>1</v>
      </c>
      <c r="J1879" s="252">
        <v>3</v>
      </c>
      <c r="K1879" s="252">
        <v>3</v>
      </c>
      <c r="L1879" s="253">
        <v>3</v>
      </c>
      <c r="M1879" s="254">
        <f t="shared" si="59"/>
        <v>1.1181151966036349</v>
      </c>
      <c r="N1879" s="255"/>
    </row>
    <row r="1880" spans="1:14" hidden="1" x14ac:dyDescent="0.2">
      <c r="A1880" s="523" t="s">
        <v>361</v>
      </c>
      <c r="B1880" s="459" t="s">
        <v>463</v>
      </c>
      <c r="C1880" s="247" t="s">
        <v>52</v>
      </c>
      <c r="D1880" s="248" t="s">
        <v>135</v>
      </c>
      <c r="E1880" s="249">
        <v>9.2086956521739128E-4</v>
      </c>
      <c r="F1880" s="250" t="s">
        <v>133</v>
      </c>
      <c r="G1880" s="251" t="s">
        <v>16</v>
      </c>
      <c r="H1880" s="252">
        <v>1</v>
      </c>
      <c r="I1880" s="252">
        <v>1</v>
      </c>
      <c r="J1880" s="252">
        <v>3</v>
      </c>
      <c r="K1880" s="252">
        <v>3</v>
      </c>
      <c r="L1880" s="253">
        <v>3</v>
      </c>
      <c r="M1880" s="254">
        <f t="shared" si="59"/>
        <v>1.1181151966036349</v>
      </c>
      <c r="N1880" s="255"/>
    </row>
    <row r="1881" spans="1:14" hidden="1" x14ac:dyDescent="0.2">
      <c r="A1881" s="523" t="s">
        <v>361</v>
      </c>
      <c r="B1881" s="459" t="s">
        <v>463</v>
      </c>
      <c r="C1881" s="247" t="s">
        <v>54</v>
      </c>
      <c r="D1881" s="248" t="s">
        <v>135</v>
      </c>
      <c r="E1881" s="249">
        <v>5.8833333333333329E-4</v>
      </c>
      <c r="F1881" s="250" t="s">
        <v>133</v>
      </c>
      <c r="G1881" s="251" t="s">
        <v>16</v>
      </c>
      <c r="H1881" s="252">
        <v>1</v>
      </c>
      <c r="I1881" s="252">
        <v>1</v>
      </c>
      <c r="J1881" s="252">
        <v>3</v>
      </c>
      <c r="K1881" s="252">
        <v>3</v>
      </c>
      <c r="L1881" s="253">
        <v>3</v>
      </c>
      <c r="M1881" s="254">
        <f t="shared" si="59"/>
        <v>1.1181151966036349</v>
      </c>
      <c r="N1881" s="255"/>
    </row>
    <row r="1882" spans="1:14" hidden="1" x14ac:dyDescent="0.2">
      <c r="A1882" s="523" t="s">
        <v>361</v>
      </c>
      <c r="B1882" s="459" t="s">
        <v>463</v>
      </c>
      <c r="C1882" s="247" t="s">
        <v>55</v>
      </c>
      <c r="D1882" s="248" t="s">
        <v>135</v>
      </c>
      <c r="E1882" s="249">
        <v>1.2708000000000001E-3</v>
      </c>
      <c r="F1882" s="250" t="s">
        <v>133</v>
      </c>
      <c r="G1882" s="251" t="s">
        <v>16</v>
      </c>
      <c r="H1882" s="252">
        <v>1</v>
      </c>
      <c r="I1882" s="252">
        <v>1</v>
      </c>
      <c r="J1882" s="252">
        <v>3</v>
      </c>
      <c r="K1882" s="252">
        <v>3</v>
      </c>
      <c r="L1882" s="253">
        <v>3</v>
      </c>
      <c r="M1882" s="254">
        <f t="shared" si="59"/>
        <v>1.1181151966036349</v>
      </c>
      <c r="N1882" s="255"/>
    </row>
    <row r="1883" spans="1:14" hidden="1" x14ac:dyDescent="0.2">
      <c r="A1883" s="523" t="s">
        <v>361</v>
      </c>
      <c r="B1883" s="459" t="s">
        <v>463</v>
      </c>
      <c r="C1883" s="247" t="s">
        <v>57</v>
      </c>
      <c r="D1883" s="248" t="s">
        <v>135</v>
      </c>
      <c r="E1883" s="249">
        <v>5.8562211981566818E-4</v>
      </c>
      <c r="F1883" s="250" t="s">
        <v>133</v>
      </c>
      <c r="G1883" s="251" t="s">
        <v>16</v>
      </c>
      <c r="H1883" s="252">
        <v>1</v>
      </c>
      <c r="I1883" s="252">
        <v>1</v>
      </c>
      <c r="J1883" s="252">
        <v>3</v>
      </c>
      <c r="K1883" s="252">
        <v>3</v>
      </c>
      <c r="L1883" s="253">
        <v>3</v>
      </c>
      <c r="M1883" s="254">
        <f t="shared" si="59"/>
        <v>1.1181151966036349</v>
      </c>
      <c r="N1883" s="255"/>
    </row>
    <row r="1884" spans="1:14" hidden="1" x14ac:dyDescent="0.2">
      <c r="A1884" s="523" t="s">
        <v>361</v>
      </c>
      <c r="B1884" s="459" t="s">
        <v>463</v>
      </c>
      <c r="C1884" s="247" t="s">
        <v>59</v>
      </c>
      <c r="D1884" s="248" t="s">
        <v>135</v>
      </c>
      <c r="E1884" s="249">
        <v>2.7E-4</v>
      </c>
      <c r="F1884" s="250" t="s">
        <v>133</v>
      </c>
      <c r="G1884" s="251" t="s">
        <v>16</v>
      </c>
      <c r="H1884" s="252">
        <v>1</v>
      </c>
      <c r="I1884" s="252">
        <v>1</v>
      </c>
      <c r="J1884" s="252">
        <v>3</v>
      </c>
      <c r="K1884" s="252">
        <v>3</v>
      </c>
      <c r="L1884" s="253">
        <v>3</v>
      </c>
      <c r="M1884" s="254">
        <f t="shared" si="59"/>
        <v>1.1181151966036349</v>
      </c>
      <c r="N1884" s="255"/>
    </row>
    <row r="1885" spans="1:14" hidden="1" x14ac:dyDescent="0.2">
      <c r="A1885" s="523" t="s">
        <v>361</v>
      </c>
      <c r="B1885" s="459" t="s">
        <v>463</v>
      </c>
      <c r="C1885" s="247" t="s">
        <v>60</v>
      </c>
      <c r="D1885" s="248" t="s">
        <v>135</v>
      </c>
      <c r="E1885" s="249">
        <v>1.23511879049676E-3</v>
      </c>
      <c r="F1885" s="250" t="s">
        <v>133</v>
      </c>
      <c r="G1885" s="251" t="s">
        <v>16</v>
      </c>
      <c r="H1885" s="252">
        <v>1</v>
      </c>
      <c r="I1885" s="252">
        <v>1</v>
      </c>
      <c r="J1885" s="252">
        <v>3</v>
      </c>
      <c r="K1885" s="252">
        <v>3</v>
      </c>
      <c r="L1885" s="253">
        <v>3</v>
      </c>
      <c r="M1885" s="254">
        <f t="shared" si="59"/>
        <v>1.1181151966036349</v>
      </c>
      <c r="N1885" s="255"/>
    </row>
    <row r="1886" spans="1:14" x14ac:dyDescent="0.2">
      <c r="A1886" s="523" t="s">
        <v>361</v>
      </c>
      <c r="B1886" s="611" t="s">
        <v>479</v>
      </c>
      <c r="C1886" s="612" t="s">
        <v>135</v>
      </c>
      <c r="D1886" s="527" t="s">
        <v>135</v>
      </c>
      <c r="E1886" s="613">
        <f>(0.66*0.75+0.33*1)*(1-0.1213)</f>
        <v>0.72492749999999995</v>
      </c>
      <c r="F1886" s="333" t="s">
        <v>133</v>
      </c>
      <c r="G1886" s="528" t="s">
        <v>16</v>
      </c>
      <c r="H1886" s="527">
        <v>1</v>
      </c>
      <c r="I1886" s="527">
        <v>1</v>
      </c>
      <c r="J1886" s="527">
        <v>1</v>
      </c>
      <c r="K1886" s="527">
        <v>1</v>
      </c>
      <c r="L1886" s="529">
        <v>3</v>
      </c>
      <c r="M1886" s="60">
        <f t="shared" si="59"/>
        <v>1.0141150152164344</v>
      </c>
      <c r="N1886" s="530"/>
    </row>
    <row r="1887" spans="1:14" x14ac:dyDescent="0.2">
      <c r="A1887" s="531" t="s">
        <v>361</v>
      </c>
      <c r="B1887" s="614" t="s">
        <v>481</v>
      </c>
      <c r="C1887" s="573" t="s">
        <v>135</v>
      </c>
      <c r="D1887" s="330" t="s">
        <v>135</v>
      </c>
      <c r="E1887" s="576">
        <f>(0.66*0.75+0.33*1)*0.1213</f>
        <v>0.10007249999999999</v>
      </c>
      <c r="F1887" s="534" t="s">
        <v>133</v>
      </c>
      <c r="G1887" s="535" t="s">
        <v>16</v>
      </c>
      <c r="H1887" s="330">
        <v>1</v>
      </c>
      <c r="I1887" s="330">
        <v>1</v>
      </c>
      <c r="J1887" s="330">
        <v>1</v>
      </c>
      <c r="K1887" s="330">
        <v>1</v>
      </c>
      <c r="L1887" s="536">
        <v>3</v>
      </c>
      <c r="M1887" s="537">
        <f>IF( OR( ISBLANK(H1887),ISBLANK(I1887), ISBLANK(J1887), ISBLANK(K1887), ISBLANK(L1887) ), "", 1.5*SQRT(   EXP(2.21*(H1887-1)) + EXP(2.21*(I1887-1)) + EXP(2.21*(J1887-1)) + EXP(2.21*(K1887-1)) + EXP(2.21*L1887)   )/100*2.45 )</f>
        <v>1.0141150152164344</v>
      </c>
      <c r="N1887" s="538"/>
    </row>
    <row r="1888" spans="1:14" hidden="1" x14ac:dyDescent="0.2">
      <c r="A1888" s="246" t="s">
        <v>362</v>
      </c>
      <c r="B1888" s="459" t="s">
        <v>463</v>
      </c>
      <c r="C1888" s="247" t="s">
        <v>13</v>
      </c>
      <c r="D1888" s="248" t="s">
        <v>135</v>
      </c>
      <c r="E1888" s="249">
        <v>4.9383419689119179E-4</v>
      </c>
      <c r="F1888" s="250" t="s">
        <v>133</v>
      </c>
      <c r="G1888" s="251" t="s">
        <v>16</v>
      </c>
      <c r="H1888" s="252">
        <v>1</v>
      </c>
      <c r="I1888" s="252">
        <v>1</v>
      </c>
      <c r="J1888" s="252">
        <v>3</v>
      </c>
      <c r="K1888" s="252">
        <v>3</v>
      </c>
      <c r="L1888" s="253">
        <v>3</v>
      </c>
      <c r="M1888" s="254">
        <f t="shared" ref="M1888:M1919" si="60">IF( OR( ISBLANK(H1888),ISBLANK(I1888), ISBLANK(J1888), ISBLANK(K1888), ISBLANK(L1888) ), "", 1.5*SQRT( EXP(2.21*(H1888-1)) + EXP(2.21*(I1888-1)) + EXP(2.21*(J1888-1)) + EXP(2.21*(K1888-1)) + EXP(2.21*L1888) )/100*2.45 )</f>
        <v>1.1181151966036349</v>
      </c>
      <c r="N1888" s="255"/>
    </row>
    <row r="1889" spans="1:14" hidden="1" x14ac:dyDescent="0.2">
      <c r="A1889" s="246" t="s">
        <v>362</v>
      </c>
      <c r="B1889" s="459" t="s">
        <v>463</v>
      </c>
      <c r="C1889" s="247" t="s">
        <v>18</v>
      </c>
      <c r="D1889" s="248" t="s">
        <v>135</v>
      </c>
      <c r="E1889" s="249">
        <v>6.2141809290953553E-4</v>
      </c>
      <c r="F1889" s="250" t="s">
        <v>133</v>
      </c>
      <c r="G1889" s="251" t="s">
        <v>16</v>
      </c>
      <c r="H1889" s="252">
        <v>1</v>
      </c>
      <c r="I1889" s="252">
        <v>1</v>
      </c>
      <c r="J1889" s="252">
        <v>3</v>
      </c>
      <c r="K1889" s="252">
        <v>3</v>
      </c>
      <c r="L1889" s="253">
        <v>3</v>
      </c>
      <c r="M1889" s="254">
        <f t="shared" si="60"/>
        <v>1.1181151966036349</v>
      </c>
      <c r="N1889" s="255"/>
    </row>
    <row r="1890" spans="1:14" hidden="1" x14ac:dyDescent="0.2">
      <c r="A1890" s="246" t="s">
        <v>362</v>
      </c>
      <c r="B1890" s="459" t="s">
        <v>463</v>
      </c>
      <c r="C1890" s="247" t="s">
        <v>20</v>
      </c>
      <c r="D1890" s="248" t="s">
        <v>135</v>
      </c>
      <c r="E1890" s="249">
        <v>1.717297297297297E-3</v>
      </c>
      <c r="F1890" s="250" t="s">
        <v>133</v>
      </c>
      <c r="G1890" s="251" t="s">
        <v>16</v>
      </c>
      <c r="H1890" s="252">
        <v>1</v>
      </c>
      <c r="I1890" s="252">
        <v>1</v>
      </c>
      <c r="J1890" s="252">
        <v>3</v>
      </c>
      <c r="K1890" s="252">
        <v>3</v>
      </c>
      <c r="L1890" s="253">
        <v>3</v>
      </c>
      <c r="M1890" s="254">
        <f t="shared" si="60"/>
        <v>1.1181151966036349</v>
      </c>
      <c r="N1890" s="255"/>
    </row>
    <row r="1891" spans="1:14" hidden="1" x14ac:dyDescent="0.2">
      <c r="A1891" s="246" t="s">
        <v>362</v>
      </c>
      <c r="B1891" s="459" t="s">
        <v>463</v>
      </c>
      <c r="C1891" s="247" t="s">
        <v>22</v>
      </c>
      <c r="D1891" s="248" t="s">
        <v>135</v>
      </c>
      <c r="E1891" s="249">
        <v>1.397291666666666E-3</v>
      </c>
      <c r="F1891" s="250" t="s">
        <v>133</v>
      </c>
      <c r="G1891" s="251" t="s">
        <v>16</v>
      </c>
      <c r="H1891" s="252">
        <v>1</v>
      </c>
      <c r="I1891" s="252">
        <v>1</v>
      </c>
      <c r="J1891" s="252">
        <v>3</v>
      </c>
      <c r="K1891" s="252">
        <v>3</v>
      </c>
      <c r="L1891" s="253">
        <v>3</v>
      </c>
      <c r="M1891" s="254">
        <f t="shared" si="60"/>
        <v>1.1181151966036349</v>
      </c>
      <c r="N1891" s="255"/>
    </row>
    <row r="1892" spans="1:14" hidden="1" x14ac:dyDescent="0.2">
      <c r="A1892" s="246" t="s">
        <v>362</v>
      </c>
      <c r="B1892" s="459" t="s">
        <v>463</v>
      </c>
      <c r="C1892" s="247" t="s">
        <v>23</v>
      </c>
      <c r="D1892" s="248" t="s">
        <v>135</v>
      </c>
      <c r="E1892" s="249">
        <v>1.868823529411765E-3</v>
      </c>
      <c r="F1892" s="250" t="s">
        <v>133</v>
      </c>
      <c r="G1892" s="251" t="s">
        <v>16</v>
      </c>
      <c r="H1892" s="252">
        <v>1</v>
      </c>
      <c r="I1892" s="252">
        <v>1</v>
      </c>
      <c r="J1892" s="252">
        <v>3</v>
      </c>
      <c r="K1892" s="252">
        <v>3</v>
      </c>
      <c r="L1892" s="253">
        <v>3</v>
      </c>
      <c r="M1892" s="254">
        <f t="shared" si="60"/>
        <v>1.1181151966036349</v>
      </c>
      <c r="N1892" s="255"/>
    </row>
    <row r="1893" spans="1:14" hidden="1" x14ac:dyDescent="0.2">
      <c r="A1893" s="246" t="s">
        <v>362</v>
      </c>
      <c r="B1893" s="459" t="s">
        <v>463</v>
      </c>
      <c r="C1893" s="247" t="s">
        <v>24</v>
      </c>
      <c r="D1893" s="248" t="s">
        <v>135</v>
      </c>
      <c r="E1893" s="249">
        <v>8.3605263157894745E-4</v>
      </c>
      <c r="F1893" s="250" t="s">
        <v>133</v>
      </c>
      <c r="G1893" s="251" t="s">
        <v>16</v>
      </c>
      <c r="H1893" s="252">
        <v>1</v>
      </c>
      <c r="I1893" s="252">
        <v>1</v>
      </c>
      <c r="J1893" s="252">
        <v>3</v>
      </c>
      <c r="K1893" s="252">
        <v>3</v>
      </c>
      <c r="L1893" s="253">
        <v>3</v>
      </c>
      <c r="M1893" s="254">
        <f t="shared" si="60"/>
        <v>1.1181151966036349</v>
      </c>
      <c r="N1893" s="255"/>
    </row>
    <row r="1894" spans="1:14" hidden="1" x14ac:dyDescent="0.2">
      <c r="A1894" s="246" t="s">
        <v>362</v>
      </c>
      <c r="B1894" s="459" t="s">
        <v>463</v>
      </c>
      <c r="C1894" s="247" t="s">
        <v>25</v>
      </c>
      <c r="D1894" s="248" t="s">
        <v>135</v>
      </c>
      <c r="E1894" s="249">
        <v>4.2932432432432442E-4</v>
      </c>
      <c r="F1894" s="250" t="s">
        <v>133</v>
      </c>
      <c r="G1894" s="251" t="s">
        <v>16</v>
      </c>
      <c r="H1894" s="252">
        <v>1</v>
      </c>
      <c r="I1894" s="252">
        <v>1</v>
      </c>
      <c r="J1894" s="252">
        <v>3</v>
      </c>
      <c r="K1894" s="252">
        <v>3</v>
      </c>
      <c r="L1894" s="253">
        <v>3</v>
      </c>
      <c r="M1894" s="254">
        <f t="shared" si="60"/>
        <v>1.1181151966036349</v>
      </c>
      <c r="N1894" s="255"/>
    </row>
    <row r="1895" spans="1:14" hidden="1" x14ac:dyDescent="0.2">
      <c r="A1895" s="246" t="s">
        <v>362</v>
      </c>
      <c r="B1895" s="459" t="s">
        <v>463</v>
      </c>
      <c r="C1895" s="247" t="s">
        <v>26</v>
      </c>
      <c r="D1895" s="248" t="s">
        <v>135</v>
      </c>
      <c r="E1895" s="249">
        <v>2.9808888888888888E-3</v>
      </c>
      <c r="F1895" s="250" t="s">
        <v>133</v>
      </c>
      <c r="G1895" s="251" t="s">
        <v>16</v>
      </c>
      <c r="H1895" s="252">
        <v>1</v>
      </c>
      <c r="I1895" s="252">
        <v>1</v>
      </c>
      <c r="J1895" s="252">
        <v>3</v>
      </c>
      <c r="K1895" s="252">
        <v>3</v>
      </c>
      <c r="L1895" s="253">
        <v>3</v>
      </c>
      <c r="M1895" s="254">
        <f t="shared" si="60"/>
        <v>1.1181151966036349</v>
      </c>
      <c r="N1895" s="255"/>
    </row>
    <row r="1896" spans="1:14" hidden="1" x14ac:dyDescent="0.2">
      <c r="A1896" s="246" t="s">
        <v>362</v>
      </c>
      <c r="B1896" s="459" t="s">
        <v>463</v>
      </c>
      <c r="C1896" s="247" t="s">
        <v>27</v>
      </c>
      <c r="D1896" s="248" t="s">
        <v>135</v>
      </c>
      <c r="E1896" s="249">
        <v>3.4595281306715062E-4</v>
      </c>
      <c r="F1896" s="250" t="s">
        <v>133</v>
      </c>
      <c r="G1896" s="251" t="s">
        <v>16</v>
      </c>
      <c r="H1896" s="252">
        <v>1</v>
      </c>
      <c r="I1896" s="252">
        <v>1</v>
      </c>
      <c r="J1896" s="252">
        <v>3</v>
      </c>
      <c r="K1896" s="252">
        <v>3</v>
      </c>
      <c r="L1896" s="253">
        <v>3</v>
      </c>
      <c r="M1896" s="254">
        <f t="shared" si="60"/>
        <v>1.1181151966036349</v>
      </c>
      <c r="N1896" s="255"/>
    </row>
    <row r="1897" spans="1:14" hidden="1" x14ac:dyDescent="0.2">
      <c r="A1897" s="246" t="s">
        <v>362</v>
      </c>
      <c r="B1897" s="459" t="s">
        <v>463</v>
      </c>
      <c r="C1897" s="247" t="s">
        <v>28</v>
      </c>
      <c r="D1897" s="248" t="s">
        <v>135</v>
      </c>
      <c r="E1897" s="249">
        <v>7.4149012567324962E-4</v>
      </c>
      <c r="F1897" s="250" t="s">
        <v>133</v>
      </c>
      <c r="G1897" s="251" t="s">
        <v>16</v>
      </c>
      <c r="H1897" s="252">
        <v>1</v>
      </c>
      <c r="I1897" s="252">
        <v>1</v>
      </c>
      <c r="J1897" s="252">
        <v>3</v>
      </c>
      <c r="K1897" s="252">
        <v>3</v>
      </c>
      <c r="L1897" s="253">
        <v>3</v>
      </c>
      <c r="M1897" s="254">
        <f t="shared" si="60"/>
        <v>1.1181151966036349</v>
      </c>
      <c r="N1897" s="255"/>
    </row>
    <row r="1898" spans="1:14" hidden="1" x14ac:dyDescent="0.2">
      <c r="A1898" s="246" t="s">
        <v>362</v>
      </c>
      <c r="B1898" s="459" t="s">
        <v>463</v>
      </c>
      <c r="C1898" s="247" t="s">
        <v>30</v>
      </c>
      <c r="D1898" s="248" t="s">
        <v>135</v>
      </c>
      <c r="E1898" s="249">
        <v>5.242574257425742E-4</v>
      </c>
      <c r="F1898" s="250" t="s">
        <v>133</v>
      </c>
      <c r="G1898" s="251" t="s">
        <v>16</v>
      </c>
      <c r="H1898" s="252">
        <v>1</v>
      </c>
      <c r="I1898" s="252">
        <v>1</v>
      </c>
      <c r="J1898" s="252">
        <v>3</v>
      </c>
      <c r="K1898" s="252">
        <v>3</v>
      </c>
      <c r="L1898" s="253">
        <v>3</v>
      </c>
      <c r="M1898" s="254">
        <f t="shared" si="60"/>
        <v>1.1181151966036349</v>
      </c>
      <c r="N1898" s="255"/>
    </row>
    <row r="1899" spans="1:14" hidden="1" x14ac:dyDescent="0.2">
      <c r="A1899" s="246" t="s">
        <v>362</v>
      </c>
      <c r="B1899" s="459" t="s">
        <v>463</v>
      </c>
      <c r="C1899" s="247" t="s">
        <v>32</v>
      </c>
      <c r="D1899" s="248" t="s">
        <v>135</v>
      </c>
      <c r="E1899" s="249">
        <v>1.23378640776699E-3</v>
      </c>
      <c r="F1899" s="250" t="s">
        <v>133</v>
      </c>
      <c r="G1899" s="251" t="s">
        <v>16</v>
      </c>
      <c r="H1899" s="252">
        <v>1</v>
      </c>
      <c r="I1899" s="252">
        <v>1</v>
      </c>
      <c r="J1899" s="252">
        <v>3</v>
      </c>
      <c r="K1899" s="252">
        <v>3</v>
      </c>
      <c r="L1899" s="253">
        <v>3</v>
      </c>
      <c r="M1899" s="254">
        <f t="shared" si="60"/>
        <v>1.1181151966036349</v>
      </c>
      <c r="N1899" s="255"/>
    </row>
    <row r="1900" spans="1:14" hidden="1" x14ac:dyDescent="0.2">
      <c r="A1900" s="246" t="s">
        <v>362</v>
      </c>
      <c r="B1900" s="459" t="s">
        <v>463</v>
      </c>
      <c r="C1900" s="247" t="s">
        <v>34</v>
      </c>
      <c r="D1900" s="248" t="s">
        <v>135</v>
      </c>
      <c r="E1900" s="249">
        <v>1.5009448818897641E-3</v>
      </c>
      <c r="F1900" s="250" t="s">
        <v>133</v>
      </c>
      <c r="G1900" s="251" t="s">
        <v>16</v>
      </c>
      <c r="H1900" s="252">
        <v>1</v>
      </c>
      <c r="I1900" s="252">
        <v>1</v>
      </c>
      <c r="J1900" s="252">
        <v>3</v>
      </c>
      <c r="K1900" s="252">
        <v>3</v>
      </c>
      <c r="L1900" s="253">
        <v>3</v>
      </c>
      <c r="M1900" s="254">
        <f t="shared" si="60"/>
        <v>1.1181151966036349</v>
      </c>
      <c r="N1900" s="255"/>
    </row>
    <row r="1901" spans="1:14" hidden="1" x14ac:dyDescent="0.2">
      <c r="A1901" s="246" t="s">
        <v>362</v>
      </c>
      <c r="B1901" s="459" t="s">
        <v>463</v>
      </c>
      <c r="C1901" s="247" t="s">
        <v>36</v>
      </c>
      <c r="D1901" s="248" t="s">
        <v>135</v>
      </c>
      <c r="E1901" s="249">
        <v>1.4482051282051281E-3</v>
      </c>
      <c r="F1901" s="250" t="s">
        <v>133</v>
      </c>
      <c r="G1901" s="251" t="s">
        <v>16</v>
      </c>
      <c r="H1901" s="252">
        <v>1</v>
      </c>
      <c r="I1901" s="252">
        <v>1</v>
      </c>
      <c r="J1901" s="252">
        <v>3</v>
      </c>
      <c r="K1901" s="252">
        <v>3</v>
      </c>
      <c r="L1901" s="253">
        <v>3</v>
      </c>
      <c r="M1901" s="254">
        <f t="shared" si="60"/>
        <v>1.1181151966036349</v>
      </c>
      <c r="N1901" s="255"/>
    </row>
    <row r="1902" spans="1:14" hidden="1" x14ac:dyDescent="0.2">
      <c r="A1902" s="246" t="s">
        <v>362</v>
      </c>
      <c r="B1902" s="459" t="s">
        <v>463</v>
      </c>
      <c r="C1902" s="247" t="s">
        <v>37</v>
      </c>
      <c r="D1902" s="248" t="s">
        <v>135</v>
      </c>
      <c r="E1902" s="249">
        <v>6.0483967935871753E-3</v>
      </c>
      <c r="F1902" s="250" t="s">
        <v>133</v>
      </c>
      <c r="G1902" s="251" t="s">
        <v>16</v>
      </c>
      <c r="H1902" s="252">
        <v>1</v>
      </c>
      <c r="I1902" s="252">
        <v>1</v>
      </c>
      <c r="J1902" s="252">
        <v>3</v>
      </c>
      <c r="K1902" s="252">
        <v>3</v>
      </c>
      <c r="L1902" s="253">
        <v>3</v>
      </c>
      <c r="M1902" s="254">
        <f t="shared" si="60"/>
        <v>1.1181151966036349</v>
      </c>
      <c r="N1902" s="255"/>
    </row>
    <row r="1903" spans="1:14" hidden="1" x14ac:dyDescent="0.2">
      <c r="A1903" s="246" t="s">
        <v>362</v>
      </c>
      <c r="B1903" s="459" t="s">
        <v>463</v>
      </c>
      <c r="C1903" s="247" t="s">
        <v>39</v>
      </c>
      <c r="D1903" s="248" t="s">
        <v>135</v>
      </c>
      <c r="E1903" s="249">
        <v>2.9662407862407862E-3</v>
      </c>
      <c r="F1903" s="250" t="s">
        <v>133</v>
      </c>
      <c r="G1903" s="251" t="s">
        <v>16</v>
      </c>
      <c r="H1903" s="252">
        <v>1</v>
      </c>
      <c r="I1903" s="252">
        <v>1</v>
      </c>
      <c r="J1903" s="252">
        <v>3</v>
      </c>
      <c r="K1903" s="252">
        <v>3</v>
      </c>
      <c r="L1903" s="253">
        <v>3</v>
      </c>
      <c r="M1903" s="254">
        <f t="shared" si="60"/>
        <v>1.1181151966036349</v>
      </c>
      <c r="N1903" s="255"/>
    </row>
    <row r="1904" spans="1:14" hidden="1" x14ac:dyDescent="0.2">
      <c r="A1904" s="246" t="s">
        <v>362</v>
      </c>
      <c r="B1904" s="459" t="s">
        <v>463</v>
      </c>
      <c r="C1904" s="247" t="s">
        <v>40</v>
      </c>
      <c r="D1904" s="248" t="s">
        <v>135</v>
      </c>
      <c r="E1904" s="249">
        <v>9.5857758620689656E-4</v>
      </c>
      <c r="F1904" s="250" t="s">
        <v>133</v>
      </c>
      <c r="G1904" s="251" t="s">
        <v>16</v>
      </c>
      <c r="H1904" s="252">
        <v>1</v>
      </c>
      <c r="I1904" s="252">
        <v>1</v>
      </c>
      <c r="J1904" s="252">
        <v>3</v>
      </c>
      <c r="K1904" s="252">
        <v>3</v>
      </c>
      <c r="L1904" s="253">
        <v>3</v>
      </c>
      <c r="M1904" s="254">
        <f t="shared" si="60"/>
        <v>1.1181151966036349</v>
      </c>
      <c r="N1904" s="255"/>
    </row>
    <row r="1905" spans="1:14" hidden="1" x14ac:dyDescent="0.2">
      <c r="A1905" s="246" t="s">
        <v>362</v>
      </c>
      <c r="B1905" s="459" t="s">
        <v>463</v>
      </c>
      <c r="C1905" s="247" t="s">
        <v>41</v>
      </c>
      <c r="D1905" s="248" t="s">
        <v>135</v>
      </c>
      <c r="E1905" s="249">
        <v>4.352054794520548E-4</v>
      </c>
      <c r="F1905" s="250" t="s">
        <v>133</v>
      </c>
      <c r="G1905" s="251" t="s">
        <v>16</v>
      </c>
      <c r="H1905" s="252">
        <v>1</v>
      </c>
      <c r="I1905" s="252">
        <v>1</v>
      </c>
      <c r="J1905" s="252">
        <v>3</v>
      </c>
      <c r="K1905" s="252">
        <v>3</v>
      </c>
      <c r="L1905" s="253">
        <v>3</v>
      </c>
      <c r="M1905" s="254">
        <f t="shared" si="60"/>
        <v>1.1181151966036349</v>
      </c>
      <c r="N1905" s="255"/>
    </row>
    <row r="1906" spans="1:14" hidden="1" x14ac:dyDescent="0.2">
      <c r="A1906" s="246" t="s">
        <v>362</v>
      </c>
      <c r="B1906" s="459" t="s">
        <v>463</v>
      </c>
      <c r="C1906" s="247" t="s">
        <v>42</v>
      </c>
      <c r="D1906" s="248" t="s">
        <v>135</v>
      </c>
      <c r="E1906" s="249">
        <v>2.1274553571428568E-3</v>
      </c>
      <c r="F1906" s="250" t="s">
        <v>133</v>
      </c>
      <c r="G1906" s="251" t="s">
        <v>16</v>
      </c>
      <c r="H1906" s="252">
        <v>1</v>
      </c>
      <c r="I1906" s="252">
        <v>1</v>
      </c>
      <c r="J1906" s="252">
        <v>3</v>
      </c>
      <c r="K1906" s="252">
        <v>3</v>
      </c>
      <c r="L1906" s="253">
        <v>3</v>
      </c>
      <c r="M1906" s="254">
        <f t="shared" si="60"/>
        <v>1.1181151966036349</v>
      </c>
      <c r="N1906" s="255"/>
    </row>
    <row r="1907" spans="1:14" hidden="1" x14ac:dyDescent="0.2">
      <c r="A1907" s="246" t="s">
        <v>362</v>
      </c>
      <c r="B1907" s="459" t="s">
        <v>463</v>
      </c>
      <c r="C1907" s="247" t="s">
        <v>43</v>
      </c>
      <c r="D1907" s="248" t="s">
        <v>135</v>
      </c>
      <c r="E1907" s="249">
        <v>4.9737769080234839E-4</v>
      </c>
      <c r="F1907" s="250" t="s">
        <v>133</v>
      </c>
      <c r="G1907" s="251" t="s">
        <v>16</v>
      </c>
      <c r="H1907" s="252">
        <v>1</v>
      </c>
      <c r="I1907" s="252">
        <v>1</v>
      </c>
      <c r="J1907" s="252">
        <v>3</v>
      </c>
      <c r="K1907" s="252">
        <v>3</v>
      </c>
      <c r="L1907" s="253">
        <v>3</v>
      </c>
      <c r="M1907" s="254">
        <f t="shared" si="60"/>
        <v>1.1181151966036349</v>
      </c>
      <c r="N1907" s="255"/>
    </row>
    <row r="1908" spans="1:14" x14ac:dyDescent="0.2">
      <c r="A1908" s="246" t="s">
        <v>362</v>
      </c>
      <c r="B1908" s="459" t="s">
        <v>463</v>
      </c>
      <c r="C1908" s="247" t="s">
        <v>45</v>
      </c>
      <c r="D1908" s="248" t="s">
        <v>135</v>
      </c>
      <c r="E1908" s="249">
        <v>6.8784844384303125E-4</v>
      </c>
      <c r="F1908" s="250" t="s">
        <v>133</v>
      </c>
      <c r="G1908" s="251" t="s">
        <v>16</v>
      </c>
      <c r="H1908" s="252">
        <v>1</v>
      </c>
      <c r="I1908" s="252">
        <v>1</v>
      </c>
      <c r="J1908" s="252">
        <v>3</v>
      </c>
      <c r="K1908" s="252">
        <v>3</v>
      </c>
      <c r="L1908" s="253">
        <v>3</v>
      </c>
      <c r="M1908" s="254">
        <f t="shared" si="60"/>
        <v>1.1181151966036349</v>
      </c>
      <c r="N1908" s="255"/>
    </row>
    <row r="1909" spans="1:14" hidden="1" x14ac:dyDescent="0.2">
      <c r="A1909" s="246" t="s">
        <v>362</v>
      </c>
      <c r="B1909" s="459" t="s">
        <v>463</v>
      </c>
      <c r="C1909" s="247" t="s">
        <v>46</v>
      </c>
      <c r="D1909" s="248" t="s">
        <v>135</v>
      </c>
      <c r="E1909" s="249">
        <v>1.2553495440729479E-3</v>
      </c>
      <c r="F1909" s="250" t="s">
        <v>133</v>
      </c>
      <c r="G1909" s="251" t="s">
        <v>16</v>
      </c>
      <c r="H1909" s="252">
        <v>1</v>
      </c>
      <c r="I1909" s="252">
        <v>1</v>
      </c>
      <c r="J1909" s="252">
        <v>3</v>
      </c>
      <c r="K1909" s="252">
        <v>3</v>
      </c>
      <c r="L1909" s="253">
        <v>3</v>
      </c>
      <c r="M1909" s="254">
        <f t="shared" si="60"/>
        <v>1.1181151966036349</v>
      </c>
      <c r="N1909" s="255"/>
    </row>
    <row r="1910" spans="1:14" hidden="1" x14ac:dyDescent="0.2">
      <c r="A1910" s="246" t="s">
        <v>362</v>
      </c>
      <c r="B1910" s="459" t="s">
        <v>463</v>
      </c>
      <c r="C1910" s="247" t="s">
        <v>48</v>
      </c>
      <c r="D1910" s="248" t="s">
        <v>135</v>
      </c>
      <c r="E1910" s="249">
        <v>9.3994082840236678E-4</v>
      </c>
      <c r="F1910" s="250" t="s">
        <v>133</v>
      </c>
      <c r="G1910" s="251" t="s">
        <v>16</v>
      </c>
      <c r="H1910" s="252">
        <v>1</v>
      </c>
      <c r="I1910" s="252">
        <v>1</v>
      </c>
      <c r="J1910" s="252">
        <v>3</v>
      </c>
      <c r="K1910" s="252">
        <v>3</v>
      </c>
      <c r="L1910" s="253">
        <v>3</v>
      </c>
      <c r="M1910" s="254">
        <f t="shared" si="60"/>
        <v>1.1181151966036349</v>
      </c>
      <c r="N1910" s="255"/>
    </row>
    <row r="1911" spans="1:14" hidden="1" x14ac:dyDescent="0.2">
      <c r="A1911" s="246" t="s">
        <v>362</v>
      </c>
      <c r="B1911" s="459" t="s">
        <v>463</v>
      </c>
      <c r="C1911" s="247" t="s">
        <v>50</v>
      </c>
      <c r="D1911" s="248" t="s">
        <v>135</v>
      </c>
      <c r="E1911" s="249">
        <v>5.72327205882353E-3</v>
      </c>
      <c r="F1911" s="250" t="s">
        <v>133</v>
      </c>
      <c r="G1911" s="251" t="s">
        <v>16</v>
      </c>
      <c r="H1911" s="252">
        <v>1</v>
      </c>
      <c r="I1911" s="252">
        <v>1</v>
      </c>
      <c r="J1911" s="252">
        <v>3</v>
      </c>
      <c r="K1911" s="252">
        <v>3</v>
      </c>
      <c r="L1911" s="253">
        <v>3</v>
      </c>
      <c r="M1911" s="254">
        <f t="shared" si="60"/>
        <v>1.1181151966036349</v>
      </c>
      <c r="N1911" s="255"/>
    </row>
    <row r="1912" spans="1:14" hidden="1" x14ac:dyDescent="0.2">
      <c r="A1912" s="246" t="s">
        <v>362</v>
      </c>
      <c r="B1912" s="459" t="s">
        <v>463</v>
      </c>
      <c r="C1912" s="247" t="s">
        <v>52</v>
      </c>
      <c r="D1912" s="248" t="s">
        <v>135</v>
      </c>
      <c r="E1912" s="249">
        <v>9.2086956521739128E-4</v>
      </c>
      <c r="F1912" s="250" t="s">
        <v>133</v>
      </c>
      <c r="G1912" s="251" t="s">
        <v>16</v>
      </c>
      <c r="H1912" s="252">
        <v>1</v>
      </c>
      <c r="I1912" s="252">
        <v>1</v>
      </c>
      <c r="J1912" s="252">
        <v>3</v>
      </c>
      <c r="K1912" s="252">
        <v>3</v>
      </c>
      <c r="L1912" s="253">
        <v>3</v>
      </c>
      <c r="M1912" s="254">
        <f t="shared" si="60"/>
        <v>1.1181151966036349</v>
      </c>
      <c r="N1912" s="255"/>
    </row>
    <row r="1913" spans="1:14" hidden="1" x14ac:dyDescent="0.2">
      <c r="A1913" s="246" t="s">
        <v>362</v>
      </c>
      <c r="B1913" s="459" t="s">
        <v>463</v>
      </c>
      <c r="C1913" s="247" t="s">
        <v>54</v>
      </c>
      <c r="D1913" s="248" t="s">
        <v>135</v>
      </c>
      <c r="E1913" s="249">
        <v>5.8833333333333329E-4</v>
      </c>
      <c r="F1913" s="250" t="s">
        <v>133</v>
      </c>
      <c r="G1913" s="251" t="s">
        <v>16</v>
      </c>
      <c r="H1913" s="252">
        <v>1</v>
      </c>
      <c r="I1913" s="252">
        <v>1</v>
      </c>
      <c r="J1913" s="252">
        <v>3</v>
      </c>
      <c r="K1913" s="252">
        <v>3</v>
      </c>
      <c r="L1913" s="253">
        <v>3</v>
      </c>
      <c r="M1913" s="254">
        <f t="shared" si="60"/>
        <v>1.1181151966036349</v>
      </c>
      <c r="N1913" s="255"/>
    </row>
    <row r="1914" spans="1:14" hidden="1" x14ac:dyDescent="0.2">
      <c r="A1914" s="246" t="s">
        <v>362</v>
      </c>
      <c r="B1914" s="459" t="s">
        <v>463</v>
      </c>
      <c r="C1914" s="247" t="s">
        <v>55</v>
      </c>
      <c r="D1914" s="248" t="s">
        <v>135</v>
      </c>
      <c r="E1914" s="249">
        <v>1.2708000000000001E-3</v>
      </c>
      <c r="F1914" s="250" t="s">
        <v>133</v>
      </c>
      <c r="G1914" s="251" t="s">
        <v>16</v>
      </c>
      <c r="H1914" s="252">
        <v>1</v>
      </c>
      <c r="I1914" s="252">
        <v>1</v>
      </c>
      <c r="J1914" s="252">
        <v>3</v>
      </c>
      <c r="K1914" s="252">
        <v>3</v>
      </c>
      <c r="L1914" s="253">
        <v>3</v>
      </c>
      <c r="M1914" s="254">
        <f t="shared" si="60"/>
        <v>1.1181151966036349</v>
      </c>
      <c r="N1914" s="255"/>
    </row>
    <row r="1915" spans="1:14" hidden="1" x14ac:dyDescent="0.2">
      <c r="A1915" s="246" t="s">
        <v>362</v>
      </c>
      <c r="B1915" s="459" t="s">
        <v>463</v>
      </c>
      <c r="C1915" s="247" t="s">
        <v>57</v>
      </c>
      <c r="D1915" s="248" t="s">
        <v>135</v>
      </c>
      <c r="E1915" s="249">
        <v>5.8562211981566818E-4</v>
      </c>
      <c r="F1915" s="250" t="s">
        <v>133</v>
      </c>
      <c r="G1915" s="251" t="s">
        <v>16</v>
      </c>
      <c r="H1915" s="252">
        <v>1</v>
      </c>
      <c r="I1915" s="252">
        <v>1</v>
      </c>
      <c r="J1915" s="252">
        <v>3</v>
      </c>
      <c r="K1915" s="252">
        <v>3</v>
      </c>
      <c r="L1915" s="253">
        <v>3</v>
      </c>
      <c r="M1915" s="254">
        <f t="shared" si="60"/>
        <v>1.1181151966036349</v>
      </c>
      <c r="N1915" s="255"/>
    </row>
    <row r="1916" spans="1:14" hidden="1" x14ac:dyDescent="0.2">
      <c r="A1916" s="246" t="s">
        <v>362</v>
      </c>
      <c r="B1916" s="459" t="s">
        <v>463</v>
      </c>
      <c r="C1916" s="247" t="s">
        <v>59</v>
      </c>
      <c r="D1916" s="248" t="s">
        <v>135</v>
      </c>
      <c r="E1916" s="249">
        <v>2.7E-4</v>
      </c>
      <c r="F1916" s="250" t="s">
        <v>133</v>
      </c>
      <c r="G1916" s="251" t="s">
        <v>16</v>
      </c>
      <c r="H1916" s="252">
        <v>1</v>
      </c>
      <c r="I1916" s="252">
        <v>1</v>
      </c>
      <c r="J1916" s="252">
        <v>3</v>
      </c>
      <c r="K1916" s="252">
        <v>3</v>
      </c>
      <c r="L1916" s="253">
        <v>3</v>
      </c>
      <c r="M1916" s="254">
        <f t="shared" si="60"/>
        <v>1.1181151966036349</v>
      </c>
      <c r="N1916" s="255"/>
    </row>
    <row r="1917" spans="1:14" hidden="1" x14ac:dyDescent="0.2">
      <c r="A1917" s="464" t="s">
        <v>362</v>
      </c>
      <c r="B1917" s="513" t="s">
        <v>463</v>
      </c>
      <c r="C1917" s="287" t="s">
        <v>60</v>
      </c>
      <c r="D1917" s="441" t="s">
        <v>135</v>
      </c>
      <c r="E1917" s="288">
        <v>1.23511879049676E-3</v>
      </c>
      <c r="F1917" s="289" t="s">
        <v>133</v>
      </c>
      <c r="G1917" s="290" t="s">
        <v>16</v>
      </c>
      <c r="H1917" s="291">
        <v>1</v>
      </c>
      <c r="I1917" s="291">
        <v>1</v>
      </c>
      <c r="J1917" s="291">
        <v>3</v>
      </c>
      <c r="K1917" s="291">
        <v>3</v>
      </c>
      <c r="L1917" s="292">
        <v>3</v>
      </c>
      <c r="M1917" s="293">
        <f t="shared" si="60"/>
        <v>1.1181151966036349</v>
      </c>
      <c r="N1917" s="294"/>
    </row>
    <row r="1918" spans="1:14" x14ac:dyDescent="0.2">
      <c r="A1918" s="523" t="s">
        <v>359</v>
      </c>
      <c r="B1918" s="616" t="s">
        <v>387</v>
      </c>
      <c r="C1918" s="612" t="s">
        <v>135</v>
      </c>
      <c r="D1918" s="248" t="s">
        <v>135</v>
      </c>
      <c r="E1918" s="615">
        <v>0.05</v>
      </c>
      <c r="F1918" s="250" t="s">
        <v>455</v>
      </c>
      <c r="G1918" s="251" t="s">
        <v>16</v>
      </c>
      <c r="H1918" s="252">
        <v>1</v>
      </c>
      <c r="I1918" s="252">
        <v>1</v>
      </c>
      <c r="J1918" s="252">
        <v>1</v>
      </c>
      <c r="K1918" s="252">
        <v>1</v>
      </c>
      <c r="L1918" s="253">
        <v>3</v>
      </c>
      <c r="M1918" s="254">
        <f t="shared" si="60"/>
        <v>1.0141150152164344</v>
      </c>
    </row>
    <row r="1919" spans="1:14" x14ac:dyDescent="0.2">
      <c r="A1919" s="531" t="s">
        <v>359</v>
      </c>
      <c r="B1919" s="617" t="s">
        <v>452</v>
      </c>
      <c r="C1919" s="610" t="s">
        <v>135</v>
      </c>
      <c r="D1919" s="441" t="s">
        <v>135</v>
      </c>
      <c r="E1919" s="556" t="s">
        <v>188</v>
      </c>
      <c r="F1919" s="399"/>
      <c r="G1919" s="290" t="s">
        <v>16</v>
      </c>
      <c r="H1919" s="556"/>
      <c r="I1919" s="556"/>
      <c r="J1919" s="556"/>
      <c r="K1919" s="556"/>
      <c r="L1919" s="557"/>
      <c r="M1919" s="558" t="str">
        <f t="shared" si="60"/>
        <v/>
      </c>
      <c r="N1919" s="573"/>
    </row>
    <row r="1920" spans="1:14" hidden="1" x14ac:dyDescent="0.2">
      <c r="A1920" s="621" t="s">
        <v>463</v>
      </c>
      <c r="B1920" s="622" t="s">
        <v>465</v>
      </c>
      <c r="C1920" s="247" t="s">
        <v>13</v>
      </c>
      <c r="D1920" s="527" t="s">
        <v>135</v>
      </c>
      <c r="E1920" s="623">
        <v>0.18174732362929541</v>
      </c>
      <c r="F1920" s="518" t="s">
        <v>508</v>
      </c>
      <c r="G1920" s="528" t="s">
        <v>16</v>
      </c>
      <c r="H1920" s="527">
        <v>2</v>
      </c>
      <c r="I1920" s="527">
        <v>1</v>
      </c>
      <c r="J1920" s="527">
        <v>3</v>
      </c>
      <c r="K1920" s="527">
        <v>1</v>
      </c>
      <c r="L1920" s="529">
        <v>1</v>
      </c>
      <c r="M1920" s="624">
        <f>IF( OR( ISBLANK(H1920),ISBLANK(I1920), ISBLANK(J1920), ISBLANK(K1920), ISBLANK(L1920) ), "", 1.5*SQRT(   EXP(2.21*(H1920-1)) + EXP(2.21*(I1920-1)) + EXP(2.21*(J1920-1)) + EXP(2.21*(K1920-1)) + EXP(2.21*L1920)   )/100*2.45 )</f>
        <v>0.37356464144298934</v>
      </c>
      <c r="N1920" s="625"/>
    </row>
    <row r="1921" spans="1:14" hidden="1" x14ac:dyDescent="0.2">
      <c r="A1921" s="621" t="s">
        <v>463</v>
      </c>
      <c r="B1921" s="622" t="s">
        <v>465</v>
      </c>
      <c r="C1921" s="247" t="s">
        <v>18</v>
      </c>
      <c r="D1921" s="527" t="s">
        <v>135</v>
      </c>
      <c r="E1921" s="623">
        <v>0.18164537580050921</v>
      </c>
      <c r="F1921" s="518" t="s">
        <v>509</v>
      </c>
      <c r="G1921" s="528" t="s">
        <v>16</v>
      </c>
      <c r="H1921" s="527">
        <v>2</v>
      </c>
      <c r="I1921" s="527">
        <v>1</v>
      </c>
      <c r="J1921" s="527">
        <v>3</v>
      </c>
      <c r="K1921" s="527">
        <v>1</v>
      </c>
      <c r="L1921" s="529">
        <v>1</v>
      </c>
      <c r="M1921" s="626">
        <f t="shared" ref="M1921:M1951" si="61">IF( OR( ISBLANK(H1921),ISBLANK(I1921), ISBLANK(J1921), ISBLANK(K1921), ISBLANK(L1921) ), "", 1.5*SQRT( EXP(2.21*(H1921-1)) + EXP(2.21*(I1921-1)) + EXP(2.21*(J1921-1)) + EXP(2.21*(K1921-1)) + EXP(2.21*L1921) )/100*2.45 )</f>
        <v>0.37356464144298934</v>
      </c>
      <c r="N1921" s="530"/>
    </row>
    <row r="1922" spans="1:14" hidden="1" x14ac:dyDescent="0.2">
      <c r="A1922" s="621" t="s">
        <v>463</v>
      </c>
      <c r="B1922" s="622" t="s">
        <v>465</v>
      </c>
      <c r="C1922" s="247" t="s">
        <v>20</v>
      </c>
      <c r="D1922" s="527" t="s">
        <v>135</v>
      </c>
      <c r="E1922" s="623">
        <v>0.1751844321511849</v>
      </c>
      <c r="F1922" s="518" t="s">
        <v>510</v>
      </c>
      <c r="G1922" s="528" t="s">
        <v>16</v>
      </c>
      <c r="H1922" s="527">
        <v>2</v>
      </c>
      <c r="I1922" s="527">
        <v>1</v>
      </c>
      <c r="J1922" s="527">
        <v>3</v>
      </c>
      <c r="K1922" s="527">
        <v>1</v>
      </c>
      <c r="L1922" s="529">
        <v>1</v>
      </c>
      <c r="M1922" s="626">
        <f t="shared" si="61"/>
        <v>0.37356464144298934</v>
      </c>
      <c r="N1922" s="530"/>
    </row>
    <row r="1923" spans="1:14" hidden="1" x14ac:dyDescent="0.2">
      <c r="A1923" s="621" t="s">
        <v>463</v>
      </c>
      <c r="B1923" s="622" t="s">
        <v>465</v>
      </c>
      <c r="C1923" s="247" t="s">
        <v>22</v>
      </c>
      <c r="D1923" s="527" t="s">
        <v>135</v>
      </c>
      <c r="E1923" s="623">
        <v>0.17766941047784809</v>
      </c>
      <c r="F1923" s="518" t="s">
        <v>511</v>
      </c>
      <c r="G1923" s="528" t="s">
        <v>16</v>
      </c>
      <c r="H1923" s="527">
        <v>2</v>
      </c>
      <c r="I1923" s="527">
        <v>1</v>
      </c>
      <c r="J1923" s="527">
        <v>3</v>
      </c>
      <c r="K1923" s="527">
        <v>1</v>
      </c>
      <c r="L1923" s="529">
        <v>1</v>
      </c>
      <c r="M1923" s="626">
        <f t="shared" si="61"/>
        <v>0.37356464144298934</v>
      </c>
      <c r="N1923" s="530"/>
    </row>
    <row r="1924" spans="1:14" hidden="1" x14ac:dyDescent="0.2">
      <c r="A1924" s="621" t="s">
        <v>463</v>
      </c>
      <c r="B1924" s="622" t="s">
        <v>465</v>
      </c>
      <c r="C1924" s="247" t="s">
        <v>23</v>
      </c>
      <c r="D1924" s="527" t="s">
        <v>135</v>
      </c>
      <c r="E1924" s="623">
        <v>0.17667541914718279</v>
      </c>
      <c r="F1924" s="518" t="s">
        <v>512</v>
      </c>
      <c r="G1924" s="528" t="s">
        <v>16</v>
      </c>
      <c r="H1924" s="527">
        <v>2</v>
      </c>
      <c r="I1924" s="527">
        <v>1</v>
      </c>
      <c r="J1924" s="527">
        <v>3</v>
      </c>
      <c r="K1924" s="527">
        <v>1</v>
      </c>
      <c r="L1924" s="529">
        <v>1</v>
      </c>
      <c r="M1924" s="626">
        <f t="shared" si="61"/>
        <v>0.37356464144298934</v>
      </c>
      <c r="N1924" s="530"/>
    </row>
    <row r="1925" spans="1:14" hidden="1" x14ac:dyDescent="0.2">
      <c r="A1925" s="621" t="s">
        <v>463</v>
      </c>
      <c r="B1925" s="622" t="s">
        <v>465</v>
      </c>
      <c r="C1925" s="247" t="s">
        <v>24</v>
      </c>
      <c r="D1925" s="527" t="s">
        <v>135</v>
      </c>
      <c r="E1925" s="623">
        <v>0.18060041055545081</v>
      </c>
      <c r="F1925" s="518" t="s">
        <v>513</v>
      </c>
      <c r="G1925" s="528" t="s">
        <v>16</v>
      </c>
      <c r="H1925" s="527">
        <v>2</v>
      </c>
      <c r="I1925" s="527">
        <v>1</v>
      </c>
      <c r="J1925" s="527">
        <v>3</v>
      </c>
      <c r="K1925" s="527">
        <v>1</v>
      </c>
      <c r="L1925" s="529">
        <v>1</v>
      </c>
      <c r="M1925" s="626">
        <f t="shared" si="61"/>
        <v>0.37356464144298934</v>
      </c>
      <c r="N1925" s="530"/>
    </row>
    <row r="1926" spans="1:14" hidden="1" x14ac:dyDescent="0.2">
      <c r="A1926" s="621" t="s">
        <v>463</v>
      </c>
      <c r="B1926" s="622" t="s">
        <v>465</v>
      </c>
      <c r="C1926" s="247" t="s">
        <v>25</v>
      </c>
      <c r="D1926" s="527" t="s">
        <v>135</v>
      </c>
      <c r="E1926" s="623">
        <v>0.18235901060201251</v>
      </c>
      <c r="F1926" s="518" t="s">
        <v>514</v>
      </c>
      <c r="G1926" s="528" t="s">
        <v>16</v>
      </c>
      <c r="H1926" s="527">
        <v>2</v>
      </c>
      <c r="I1926" s="527">
        <v>1</v>
      </c>
      <c r="J1926" s="527">
        <v>3</v>
      </c>
      <c r="K1926" s="527">
        <v>1</v>
      </c>
      <c r="L1926" s="529">
        <v>1</v>
      </c>
      <c r="M1926" s="626">
        <f t="shared" si="61"/>
        <v>0.37356464144298934</v>
      </c>
      <c r="N1926" s="530"/>
    </row>
    <row r="1927" spans="1:14" hidden="1" x14ac:dyDescent="0.2">
      <c r="A1927" s="621" t="s">
        <v>463</v>
      </c>
      <c r="B1927" s="622" t="s">
        <v>465</v>
      </c>
      <c r="C1927" s="247" t="s">
        <v>26</v>
      </c>
      <c r="D1927" s="527" t="s">
        <v>135</v>
      </c>
      <c r="E1927" s="623">
        <v>0.1781281757073859</v>
      </c>
      <c r="F1927" s="518" t="s">
        <v>515</v>
      </c>
      <c r="G1927" s="528" t="s">
        <v>16</v>
      </c>
      <c r="H1927" s="527">
        <v>2</v>
      </c>
      <c r="I1927" s="527">
        <v>1</v>
      </c>
      <c r="J1927" s="527">
        <v>3</v>
      </c>
      <c r="K1927" s="527">
        <v>1</v>
      </c>
      <c r="L1927" s="529">
        <v>1</v>
      </c>
      <c r="M1927" s="626">
        <f t="shared" si="61"/>
        <v>0.37356464144298934</v>
      </c>
      <c r="N1927" s="530"/>
    </row>
    <row r="1928" spans="1:14" hidden="1" x14ac:dyDescent="0.2">
      <c r="A1928" s="621" t="s">
        <v>463</v>
      </c>
      <c r="B1928" s="622" t="s">
        <v>465</v>
      </c>
      <c r="C1928" s="247" t="s">
        <v>27</v>
      </c>
      <c r="D1928" s="527" t="s">
        <v>135</v>
      </c>
      <c r="E1928" s="623">
        <v>0.18017987576170791</v>
      </c>
      <c r="F1928" s="518" t="s">
        <v>516</v>
      </c>
      <c r="G1928" s="528" t="s">
        <v>16</v>
      </c>
      <c r="H1928" s="527">
        <v>2</v>
      </c>
      <c r="I1928" s="527">
        <v>1</v>
      </c>
      <c r="J1928" s="527">
        <v>3</v>
      </c>
      <c r="K1928" s="527">
        <v>1</v>
      </c>
      <c r="L1928" s="529">
        <v>1</v>
      </c>
      <c r="M1928" s="626">
        <f t="shared" si="61"/>
        <v>0.37356464144298934</v>
      </c>
      <c r="N1928" s="530"/>
    </row>
    <row r="1929" spans="1:14" hidden="1" x14ac:dyDescent="0.2">
      <c r="A1929" s="621" t="s">
        <v>463</v>
      </c>
      <c r="B1929" s="622" t="s">
        <v>465</v>
      </c>
      <c r="C1929" s="247" t="s">
        <v>28</v>
      </c>
      <c r="D1929" s="527" t="s">
        <v>135</v>
      </c>
      <c r="E1929" s="623">
        <v>0.1705203189842171</v>
      </c>
      <c r="F1929" s="518" t="s">
        <v>517</v>
      </c>
      <c r="G1929" s="528" t="s">
        <v>16</v>
      </c>
      <c r="H1929" s="527">
        <v>2</v>
      </c>
      <c r="I1929" s="527">
        <v>1</v>
      </c>
      <c r="J1929" s="527">
        <v>3</v>
      </c>
      <c r="K1929" s="527">
        <v>1</v>
      </c>
      <c r="L1929" s="529">
        <v>1</v>
      </c>
      <c r="M1929" s="626">
        <f t="shared" si="61"/>
        <v>0.37356464144298934</v>
      </c>
      <c r="N1929" s="530"/>
    </row>
    <row r="1930" spans="1:14" hidden="1" x14ac:dyDescent="0.2">
      <c r="A1930" s="621" t="s">
        <v>463</v>
      </c>
      <c r="B1930" s="622" t="s">
        <v>465</v>
      </c>
      <c r="C1930" s="247" t="s">
        <v>30</v>
      </c>
      <c r="D1930" s="527" t="s">
        <v>135</v>
      </c>
      <c r="E1930" s="623">
        <v>0.18373530629062601</v>
      </c>
      <c r="F1930" s="518" t="s">
        <v>518</v>
      </c>
      <c r="G1930" s="528" t="s">
        <v>16</v>
      </c>
      <c r="H1930" s="527">
        <v>2</v>
      </c>
      <c r="I1930" s="527">
        <v>1</v>
      </c>
      <c r="J1930" s="527">
        <v>3</v>
      </c>
      <c r="K1930" s="527">
        <v>1</v>
      </c>
      <c r="L1930" s="529">
        <v>1</v>
      </c>
      <c r="M1930" s="626">
        <f t="shared" si="61"/>
        <v>0.37356464144298934</v>
      </c>
      <c r="N1930" s="530"/>
    </row>
    <row r="1931" spans="1:14" hidden="1" x14ac:dyDescent="0.2">
      <c r="A1931" s="621" t="s">
        <v>463</v>
      </c>
      <c r="B1931" s="622" t="s">
        <v>465</v>
      </c>
      <c r="C1931" s="247" t="s">
        <v>32</v>
      </c>
      <c r="D1931" s="527" t="s">
        <v>135</v>
      </c>
      <c r="E1931" s="623">
        <v>0.17687931480475519</v>
      </c>
      <c r="F1931" s="518" t="s">
        <v>519</v>
      </c>
      <c r="G1931" s="528" t="s">
        <v>16</v>
      </c>
      <c r="H1931" s="527">
        <v>2</v>
      </c>
      <c r="I1931" s="527">
        <v>1</v>
      </c>
      <c r="J1931" s="527">
        <v>3</v>
      </c>
      <c r="K1931" s="527">
        <v>1</v>
      </c>
      <c r="L1931" s="529">
        <v>1</v>
      </c>
      <c r="M1931" s="626">
        <f t="shared" si="61"/>
        <v>0.37356464144298934</v>
      </c>
      <c r="N1931" s="530"/>
    </row>
    <row r="1932" spans="1:14" hidden="1" x14ac:dyDescent="0.2">
      <c r="A1932" s="621" t="s">
        <v>463</v>
      </c>
      <c r="B1932" s="622" t="s">
        <v>465</v>
      </c>
      <c r="C1932" s="247" t="s">
        <v>34</v>
      </c>
      <c r="D1932" s="527" t="s">
        <v>135</v>
      </c>
      <c r="E1932" s="623">
        <v>0.17810268875018939</v>
      </c>
      <c r="F1932" s="518" t="s">
        <v>520</v>
      </c>
      <c r="G1932" s="528" t="s">
        <v>16</v>
      </c>
      <c r="H1932" s="527">
        <v>2</v>
      </c>
      <c r="I1932" s="527">
        <v>1</v>
      </c>
      <c r="J1932" s="527">
        <v>3</v>
      </c>
      <c r="K1932" s="527">
        <v>1</v>
      </c>
      <c r="L1932" s="529">
        <v>1</v>
      </c>
      <c r="M1932" s="626">
        <f t="shared" si="61"/>
        <v>0.37356464144298934</v>
      </c>
      <c r="N1932" s="530"/>
    </row>
    <row r="1933" spans="1:14" hidden="1" x14ac:dyDescent="0.2">
      <c r="A1933" s="621" t="s">
        <v>463</v>
      </c>
      <c r="B1933" s="622" t="s">
        <v>465</v>
      </c>
      <c r="C1933" s="247" t="s">
        <v>36</v>
      </c>
      <c r="D1933" s="527" t="s">
        <v>135</v>
      </c>
      <c r="E1933" s="623">
        <v>0.1688636667664416</v>
      </c>
      <c r="F1933" s="518" t="s">
        <v>521</v>
      </c>
      <c r="G1933" s="528" t="s">
        <v>16</v>
      </c>
      <c r="H1933" s="527">
        <v>2</v>
      </c>
      <c r="I1933" s="527">
        <v>1</v>
      </c>
      <c r="J1933" s="527">
        <v>3</v>
      </c>
      <c r="K1933" s="527">
        <v>1</v>
      </c>
      <c r="L1933" s="529">
        <v>1</v>
      </c>
      <c r="M1933" s="626">
        <f t="shared" si="61"/>
        <v>0.37356464144298934</v>
      </c>
      <c r="N1933" s="530"/>
    </row>
    <row r="1934" spans="1:14" hidden="1" x14ac:dyDescent="0.2">
      <c r="A1934" s="621" t="s">
        <v>463</v>
      </c>
      <c r="B1934" s="622" t="s">
        <v>465</v>
      </c>
      <c r="C1934" s="247" t="s">
        <v>37</v>
      </c>
      <c r="D1934" s="527" t="s">
        <v>135</v>
      </c>
      <c r="E1934" s="623">
        <v>0.17624214087484161</v>
      </c>
      <c r="F1934" s="518" t="s">
        <v>522</v>
      </c>
      <c r="G1934" s="528" t="s">
        <v>16</v>
      </c>
      <c r="H1934" s="527">
        <v>2</v>
      </c>
      <c r="I1934" s="527">
        <v>1</v>
      </c>
      <c r="J1934" s="527">
        <v>3</v>
      </c>
      <c r="K1934" s="527">
        <v>1</v>
      </c>
      <c r="L1934" s="529">
        <v>1</v>
      </c>
      <c r="M1934" s="626">
        <f t="shared" si="61"/>
        <v>0.37356464144298934</v>
      </c>
      <c r="N1934" s="530"/>
    </row>
    <row r="1935" spans="1:14" hidden="1" x14ac:dyDescent="0.2">
      <c r="A1935" s="621" t="s">
        <v>463</v>
      </c>
      <c r="B1935" s="622" t="s">
        <v>465</v>
      </c>
      <c r="C1935" s="247" t="s">
        <v>39</v>
      </c>
      <c r="D1935" s="527" t="s">
        <v>135</v>
      </c>
      <c r="E1935" s="623">
        <v>0.18116112361377479</v>
      </c>
      <c r="F1935" s="518" t="s">
        <v>523</v>
      </c>
      <c r="G1935" s="528" t="s">
        <v>16</v>
      </c>
      <c r="H1935" s="527">
        <v>2</v>
      </c>
      <c r="I1935" s="527">
        <v>1</v>
      </c>
      <c r="J1935" s="527">
        <v>3</v>
      </c>
      <c r="K1935" s="527">
        <v>1</v>
      </c>
      <c r="L1935" s="529">
        <v>1</v>
      </c>
      <c r="M1935" s="626">
        <f t="shared" si="61"/>
        <v>0.37356464144298934</v>
      </c>
      <c r="N1935" s="530"/>
    </row>
    <row r="1936" spans="1:14" hidden="1" x14ac:dyDescent="0.2">
      <c r="A1936" s="621" t="s">
        <v>463</v>
      </c>
      <c r="B1936" s="622" t="s">
        <v>465</v>
      </c>
      <c r="C1936" s="247" t="s">
        <v>40</v>
      </c>
      <c r="D1936" s="527" t="s">
        <v>135</v>
      </c>
      <c r="E1936" s="623">
        <v>0.18091899752040769</v>
      </c>
      <c r="F1936" s="518" t="s">
        <v>524</v>
      </c>
      <c r="G1936" s="528" t="s">
        <v>16</v>
      </c>
      <c r="H1936" s="527">
        <v>2</v>
      </c>
      <c r="I1936" s="527">
        <v>1</v>
      </c>
      <c r="J1936" s="527">
        <v>3</v>
      </c>
      <c r="K1936" s="527">
        <v>1</v>
      </c>
      <c r="L1936" s="529">
        <v>1</v>
      </c>
      <c r="M1936" s="626">
        <f t="shared" si="61"/>
        <v>0.37356464144298934</v>
      </c>
      <c r="N1936" s="530"/>
    </row>
    <row r="1937" spans="1:14" hidden="1" x14ac:dyDescent="0.2">
      <c r="A1937" s="621" t="s">
        <v>463</v>
      </c>
      <c r="B1937" s="622" t="s">
        <v>465</v>
      </c>
      <c r="C1937" s="247" t="s">
        <v>41</v>
      </c>
      <c r="D1937" s="527" t="s">
        <v>135</v>
      </c>
      <c r="E1937" s="623">
        <v>0.18070235838423701</v>
      </c>
      <c r="F1937" s="518" t="s">
        <v>525</v>
      </c>
      <c r="G1937" s="528" t="s">
        <v>16</v>
      </c>
      <c r="H1937" s="527">
        <v>2</v>
      </c>
      <c r="I1937" s="527">
        <v>1</v>
      </c>
      <c r="J1937" s="527">
        <v>3</v>
      </c>
      <c r="K1937" s="527">
        <v>1</v>
      </c>
      <c r="L1937" s="529">
        <v>1</v>
      </c>
      <c r="M1937" s="626">
        <f t="shared" si="61"/>
        <v>0.37356464144298934</v>
      </c>
      <c r="N1937" s="530"/>
    </row>
    <row r="1938" spans="1:14" hidden="1" x14ac:dyDescent="0.2">
      <c r="A1938" s="621" t="s">
        <v>463</v>
      </c>
      <c r="B1938" s="622" t="s">
        <v>465</v>
      </c>
      <c r="C1938" s="247" t="s">
        <v>42</v>
      </c>
      <c r="D1938" s="527" t="s">
        <v>135</v>
      </c>
      <c r="E1938" s="623">
        <v>0.17520991910838149</v>
      </c>
      <c r="F1938" s="518" t="s">
        <v>526</v>
      </c>
      <c r="G1938" s="528" t="s">
        <v>16</v>
      </c>
      <c r="H1938" s="527">
        <v>2</v>
      </c>
      <c r="I1938" s="527">
        <v>1</v>
      </c>
      <c r="J1938" s="527">
        <v>3</v>
      </c>
      <c r="K1938" s="527">
        <v>1</v>
      </c>
      <c r="L1938" s="529">
        <v>1</v>
      </c>
      <c r="M1938" s="626">
        <f t="shared" si="61"/>
        <v>0.37356464144298934</v>
      </c>
      <c r="N1938" s="530"/>
    </row>
    <row r="1939" spans="1:14" hidden="1" x14ac:dyDescent="0.2">
      <c r="A1939" s="621" t="s">
        <v>463</v>
      </c>
      <c r="B1939" s="622" t="s">
        <v>465</v>
      </c>
      <c r="C1939" s="247" t="s">
        <v>43</v>
      </c>
      <c r="D1939" s="527" t="s">
        <v>135</v>
      </c>
      <c r="E1939" s="623">
        <v>0.1813395323141507</v>
      </c>
      <c r="F1939" s="518" t="s">
        <v>527</v>
      </c>
      <c r="G1939" s="528" t="s">
        <v>16</v>
      </c>
      <c r="H1939" s="527">
        <v>2</v>
      </c>
      <c r="I1939" s="527">
        <v>1</v>
      </c>
      <c r="J1939" s="527">
        <v>3</v>
      </c>
      <c r="K1939" s="527">
        <v>1</v>
      </c>
      <c r="L1939" s="529">
        <v>1</v>
      </c>
      <c r="M1939" s="626">
        <f t="shared" si="61"/>
        <v>0.37356464144298934</v>
      </c>
      <c r="N1939" s="530"/>
    </row>
    <row r="1940" spans="1:14" x14ac:dyDescent="0.2">
      <c r="A1940" s="621" t="s">
        <v>463</v>
      </c>
      <c r="B1940" s="622" t="s">
        <v>465</v>
      </c>
      <c r="C1940" s="247" t="s">
        <v>45</v>
      </c>
      <c r="D1940" s="527" t="s">
        <v>135</v>
      </c>
      <c r="E1940" s="623">
        <v>0.18243547147360209</v>
      </c>
      <c r="F1940" s="518" t="s">
        <v>528</v>
      </c>
      <c r="G1940" s="528" t="s">
        <v>16</v>
      </c>
      <c r="H1940" s="527">
        <v>2</v>
      </c>
      <c r="I1940" s="527">
        <v>1</v>
      </c>
      <c r="J1940" s="527">
        <v>3</v>
      </c>
      <c r="K1940" s="527">
        <v>1</v>
      </c>
      <c r="L1940" s="529">
        <v>1</v>
      </c>
      <c r="M1940" s="626">
        <f t="shared" si="61"/>
        <v>0.37356464144298934</v>
      </c>
      <c r="N1940" s="530"/>
    </row>
    <row r="1941" spans="1:14" hidden="1" x14ac:dyDescent="0.2">
      <c r="A1941" s="621" t="s">
        <v>463</v>
      </c>
      <c r="B1941" s="622" t="s">
        <v>465</v>
      </c>
      <c r="C1941" s="247" t="s">
        <v>46</v>
      </c>
      <c r="D1941" s="527" t="s">
        <v>135</v>
      </c>
      <c r="E1941" s="623">
        <v>0.18053669316245949</v>
      </c>
      <c r="F1941" s="518" t="s">
        <v>529</v>
      </c>
      <c r="G1941" s="528" t="s">
        <v>16</v>
      </c>
      <c r="H1941" s="527">
        <v>2</v>
      </c>
      <c r="I1941" s="527">
        <v>1</v>
      </c>
      <c r="J1941" s="527">
        <v>3</v>
      </c>
      <c r="K1941" s="527">
        <v>1</v>
      </c>
      <c r="L1941" s="529">
        <v>1</v>
      </c>
      <c r="M1941" s="626">
        <f t="shared" si="61"/>
        <v>0.37356464144298934</v>
      </c>
      <c r="N1941" s="530"/>
    </row>
    <row r="1942" spans="1:14" hidden="1" x14ac:dyDescent="0.2">
      <c r="A1942" s="621" t="s">
        <v>463</v>
      </c>
      <c r="B1942" s="622" t="s">
        <v>465</v>
      </c>
      <c r="C1942" s="247" t="s">
        <v>48</v>
      </c>
      <c r="D1942" s="527" t="s">
        <v>135</v>
      </c>
      <c r="E1942" s="623">
        <v>0.1736297277621956</v>
      </c>
      <c r="F1942" s="518" t="s">
        <v>530</v>
      </c>
      <c r="G1942" s="528" t="s">
        <v>16</v>
      </c>
      <c r="H1942" s="527">
        <v>2</v>
      </c>
      <c r="I1942" s="527">
        <v>1</v>
      </c>
      <c r="J1942" s="527">
        <v>3</v>
      </c>
      <c r="K1942" s="527">
        <v>1</v>
      </c>
      <c r="L1942" s="529">
        <v>1</v>
      </c>
      <c r="M1942" s="626">
        <f t="shared" si="61"/>
        <v>0.37356464144298934</v>
      </c>
      <c r="N1942" s="530"/>
    </row>
    <row r="1943" spans="1:14" hidden="1" x14ac:dyDescent="0.2">
      <c r="A1943" s="621" t="s">
        <v>463</v>
      </c>
      <c r="B1943" s="622" t="s">
        <v>465</v>
      </c>
      <c r="C1943" s="247" t="s">
        <v>50</v>
      </c>
      <c r="D1943" s="527" t="s">
        <v>135</v>
      </c>
      <c r="E1943" s="623">
        <v>0.1721897146805908</v>
      </c>
      <c r="F1943" s="518" t="s">
        <v>531</v>
      </c>
      <c r="G1943" s="528" t="s">
        <v>16</v>
      </c>
      <c r="H1943" s="527">
        <v>2</v>
      </c>
      <c r="I1943" s="527">
        <v>1</v>
      </c>
      <c r="J1943" s="527">
        <v>3</v>
      </c>
      <c r="K1943" s="527">
        <v>1</v>
      </c>
      <c r="L1943" s="529">
        <v>1</v>
      </c>
      <c r="M1943" s="626">
        <f t="shared" si="61"/>
        <v>0.37356464144298934</v>
      </c>
      <c r="N1943" s="530"/>
    </row>
    <row r="1944" spans="1:14" hidden="1" x14ac:dyDescent="0.2">
      <c r="A1944" s="621" t="s">
        <v>463</v>
      </c>
      <c r="B1944" s="622" t="s">
        <v>465</v>
      </c>
      <c r="C1944" s="247" t="s">
        <v>52</v>
      </c>
      <c r="D1944" s="527" t="s">
        <v>135</v>
      </c>
      <c r="E1944" s="623">
        <v>0.18060041055545081</v>
      </c>
      <c r="F1944" s="518" t="s">
        <v>532</v>
      </c>
      <c r="G1944" s="528" t="s">
        <v>16</v>
      </c>
      <c r="H1944" s="527">
        <v>2</v>
      </c>
      <c r="I1944" s="527">
        <v>1</v>
      </c>
      <c r="J1944" s="527">
        <v>3</v>
      </c>
      <c r="K1944" s="527">
        <v>1</v>
      </c>
      <c r="L1944" s="529">
        <v>1</v>
      </c>
      <c r="M1944" s="626">
        <f t="shared" si="61"/>
        <v>0.37356464144298934</v>
      </c>
      <c r="N1944" s="530"/>
    </row>
    <row r="1945" spans="1:14" hidden="1" x14ac:dyDescent="0.2">
      <c r="A1945" s="621" t="s">
        <v>463</v>
      </c>
      <c r="B1945" s="622" t="s">
        <v>465</v>
      </c>
      <c r="C1945" s="247" t="s">
        <v>54</v>
      </c>
      <c r="D1945" s="527" t="s">
        <v>135</v>
      </c>
      <c r="E1945" s="623">
        <v>0.17932606269562359</v>
      </c>
      <c r="F1945" s="518" t="s">
        <v>533</v>
      </c>
      <c r="G1945" s="528" t="s">
        <v>16</v>
      </c>
      <c r="H1945" s="527">
        <v>2</v>
      </c>
      <c r="I1945" s="527">
        <v>1</v>
      </c>
      <c r="J1945" s="527">
        <v>3</v>
      </c>
      <c r="K1945" s="527">
        <v>1</v>
      </c>
      <c r="L1945" s="529">
        <v>1</v>
      </c>
      <c r="M1945" s="626">
        <f t="shared" si="61"/>
        <v>0.37356464144298934</v>
      </c>
      <c r="N1945" s="530"/>
    </row>
    <row r="1946" spans="1:14" hidden="1" x14ac:dyDescent="0.2">
      <c r="A1946" s="621" t="s">
        <v>463</v>
      </c>
      <c r="B1946" s="622" t="s">
        <v>465</v>
      </c>
      <c r="C1946" s="247" t="s">
        <v>55</v>
      </c>
      <c r="D1946" s="527" t="s">
        <v>135</v>
      </c>
      <c r="E1946" s="623">
        <v>0.1735787538478025</v>
      </c>
      <c r="F1946" s="518" t="s">
        <v>534</v>
      </c>
      <c r="G1946" s="528" t="s">
        <v>16</v>
      </c>
      <c r="H1946" s="527">
        <v>2</v>
      </c>
      <c r="I1946" s="527">
        <v>1</v>
      </c>
      <c r="J1946" s="527">
        <v>3</v>
      </c>
      <c r="K1946" s="527">
        <v>1</v>
      </c>
      <c r="L1946" s="529">
        <v>1</v>
      </c>
      <c r="M1946" s="626">
        <f t="shared" si="61"/>
        <v>0.37356464144298934</v>
      </c>
      <c r="N1946" s="530"/>
    </row>
    <row r="1947" spans="1:14" hidden="1" x14ac:dyDescent="0.2">
      <c r="A1947" s="621" t="s">
        <v>463</v>
      </c>
      <c r="B1947" s="622" t="s">
        <v>465</v>
      </c>
      <c r="C1947" s="247" t="s">
        <v>57</v>
      </c>
      <c r="D1947" s="527" t="s">
        <v>135</v>
      </c>
      <c r="E1947" s="623">
        <v>0.1825501627809866</v>
      </c>
      <c r="F1947" s="518" t="s">
        <v>535</v>
      </c>
      <c r="G1947" s="528" t="s">
        <v>16</v>
      </c>
      <c r="H1947" s="527">
        <v>2</v>
      </c>
      <c r="I1947" s="527">
        <v>1</v>
      </c>
      <c r="J1947" s="527">
        <v>3</v>
      </c>
      <c r="K1947" s="527">
        <v>1</v>
      </c>
      <c r="L1947" s="529">
        <v>1</v>
      </c>
      <c r="M1947" s="626">
        <f t="shared" si="61"/>
        <v>0.37356464144298934</v>
      </c>
      <c r="N1947" s="530"/>
    </row>
    <row r="1948" spans="1:14" hidden="1" x14ac:dyDescent="0.2">
      <c r="A1948" s="621" t="s">
        <v>463</v>
      </c>
      <c r="B1948" s="622" t="s">
        <v>465</v>
      </c>
      <c r="C1948" s="247" t="s">
        <v>59</v>
      </c>
      <c r="D1948" s="527" t="s">
        <v>135</v>
      </c>
      <c r="E1948" s="623">
        <v>0.18382451064081379</v>
      </c>
      <c r="F1948" s="518" t="s">
        <v>536</v>
      </c>
      <c r="G1948" s="528" t="s">
        <v>16</v>
      </c>
      <c r="H1948" s="527">
        <v>2</v>
      </c>
      <c r="I1948" s="527">
        <v>1</v>
      </c>
      <c r="J1948" s="527">
        <v>3</v>
      </c>
      <c r="K1948" s="527">
        <v>1</v>
      </c>
      <c r="L1948" s="529">
        <v>1</v>
      </c>
      <c r="M1948" s="626">
        <f t="shared" si="61"/>
        <v>0.37356464144298934</v>
      </c>
      <c r="N1948" s="530"/>
    </row>
    <row r="1949" spans="1:14" hidden="1" x14ac:dyDescent="0.2">
      <c r="A1949" s="621" t="s">
        <v>463</v>
      </c>
      <c r="B1949" s="622" t="s">
        <v>465</v>
      </c>
      <c r="C1949" s="247" t="s">
        <v>60</v>
      </c>
      <c r="D1949" s="527" t="s">
        <v>135</v>
      </c>
      <c r="E1949" s="627">
        <v>0.169067562424014</v>
      </c>
      <c r="F1949" s="518" t="s">
        <v>537</v>
      </c>
      <c r="G1949" s="528" t="s">
        <v>16</v>
      </c>
      <c r="H1949" s="527">
        <v>1</v>
      </c>
      <c r="I1949" s="527">
        <v>1</v>
      </c>
      <c r="J1949" s="527">
        <v>3</v>
      </c>
      <c r="K1949" s="527">
        <v>1</v>
      </c>
      <c r="L1949" s="529">
        <v>1</v>
      </c>
      <c r="M1949" s="628">
        <f t="shared" si="61"/>
        <v>0.35859414261160716</v>
      </c>
      <c r="N1949" s="522"/>
    </row>
    <row r="1950" spans="1:14" hidden="1" x14ac:dyDescent="0.2">
      <c r="A1950" s="621" t="s">
        <v>463</v>
      </c>
      <c r="B1950" s="622" t="s">
        <v>457</v>
      </c>
      <c r="C1950" s="247" t="s">
        <v>13</v>
      </c>
      <c r="D1950" s="527" t="s">
        <v>135</v>
      </c>
      <c r="E1950" s="623">
        <v>0.48034511601609697</v>
      </c>
      <c r="F1950" s="518" t="s">
        <v>508</v>
      </c>
      <c r="G1950" s="528" t="s">
        <v>16</v>
      </c>
      <c r="H1950" s="527">
        <v>2</v>
      </c>
      <c r="I1950" s="527">
        <v>1</v>
      </c>
      <c r="J1950" s="527">
        <v>3</v>
      </c>
      <c r="K1950" s="527">
        <v>1</v>
      </c>
      <c r="L1950" s="529">
        <v>1</v>
      </c>
      <c r="M1950" s="626">
        <f t="shared" si="61"/>
        <v>0.37356464144298934</v>
      </c>
      <c r="N1950" s="530"/>
    </row>
    <row r="1951" spans="1:14" hidden="1" x14ac:dyDescent="0.2">
      <c r="A1951" s="621" t="s">
        <v>463</v>
      </c>
      <c r="B1951" s="622" t="s">
        <v>457</v>
      </c>
      <c r="C1951" s="247" t="s">
        <v>18</v>
      </c>
      <c r="D1951" s="527" t="s">
        <v>135</v>
      </c>
      <c r="E1951" s="623">
        <v>0.48520038136203902</v>
      </c>
      <c r="F1951" s="518" t="s">
        <v>509</v>
      </c>
      <c r="G1951" s="528" t="s">
        <v>16</v>
      </c>
      <c r="H1951" s="527">
        <v>2</v>
      </c>
      <c r="I1951" s="527">
        <v>1</v>
      </c>
      <c r="J1951" s="527">
        <v>3</v>
      </c>
      <c r="K1951" s="527">
        <v>1</v>
      </c>
      <c r="L1951" s="529">
        <v>1</v>
      </c>
      <c r="M1951" s="626">
        <f t="shared" si="61"/>
        <v>0.37356464144298934</v>
      </c>
      <c r="N1951" s="530"/>
    </row>
    <row r="1952" spans="1:14" hidden="1" x14ac:dyDescent="0.2">
      <c r="A1952" s="621" t="s">
        <v>463</v>
      </c>
      <c r="B1952" s="622" t="s">
        <v>457</v>
      </c>
      <c r="C1952" s="247" t="s">
        <v>20</v>
      </c>
      <c r="D1952" s="527" t="s">
        <v>135</v>
      </c>
      <c r="E1952" s="623">
        <v>0.48372213784463941</v>
      </c>
      <c r="F1952" s="518" t="s">
        <v>510</v>
      </c>
      <c r="G1952" s="528" t="s">
        <v>16</v>
      </c>
      <c r="H1952" s="527">
        <v>2</v>
      </c>
      <c r="I1952" s="527">
        <v>1</v>
      </c>
      <c r="J1952" s="527">
        <v>3</v>
      </c>
      <c r="K1952" s="527">
        <v>1</v>
      </c>
      <c r="L1952" s="529">
        <v>1</v>
      </c>
      <c r="M1952" s="626">
        <f>IF( OR( ISBLANK(H1952),ISBLANK(I1952), ISBLANK(J1952), ISBLANK(K1952), ISBLANK(L1952) ), "", 1.5*SQRT(   EXP(2.21*(H1952-1)) + EXP(2.21*(I1952-1)) + EXP(2.21*(J1952-1)) + EXP(2.21*(K1952-1)) + EXP(2.21*L1952)   )/100*2.45 )</f>
        <v>0.37356464144298934</v>
      </c>
      <c r="N1952" s="530"/>
    </row>
    <row r="1953" spans="1:14" hidden="1" x14ac:dyDescent="0.2">
      <c r="A1953" s="621" t="s">
        <v>463</v>
      </c>
      <c r="B1953" s="622" t="s">
        <v>457</v>
      </c>
      <c r="C1953" s="247" t="s">
        <v>22</v>
      </c>
      <c r="D1953" s="527" t="s">
        <v>135</v>
      </c>
      <c r="E1953" s="623">
        <v>0.47844633770495443</v>
      </c>
      <c r="F1953" s="518" t="s">
        <v>511</v>
      </c>
      <c r="G1953" s="528" t="s">
        <v>16</v>
      </c>
      <c r="H1953" s="527">
        <v>2</v>
      </c>
      <c r="I1953" s="527">
        <v>1</v>
      </c>
      <c r="J1953" s="527">
        <v>3</v>
      </c>
      <c r="K1953" s="527">
        <v>1</v>
      </c>
      <c r="L1953" s="529">
        <v>1</v>
      </c>
      <c r="M1953" s="626">
        <f t="shared" ref="M1953:M1983" si="62">IF( OR( ISBLANK(H1953),ISBLANK(I1953), ISBLANK(J1953), ISBLANK(K1953), ISBLANK(L1953) ), "", 1.5*SQRT( EXP(2.21*(H1953-1)) + EXP(2.21*(I1953-1)) + EXP(2.21*(J1953-1)) + EXP(2.21*(K1953-1)) + EXP(2.21*L1953) )/100*2.45 )</f>
        <v>0.37356464144298934</v>
      </c>
      <c r="N1953" s="530"/>
    </row>
    <row r="1954" spans="1:14" hidden="1" x14ac:dyDescent="0.2">
      <c r="A1954" s="621" t="s">
        <v>463</v>
      </c>
      <c r="B1954" s="622" t="s">
        <v>457</v>
      </c>
      <c r="C1954" s="247" t="s">
        <v>23</v>
      </c>
      <c r="D1954" s="527" t="s">
        <v>135</v>
      </c>
      <c r="E1954" s="623">
        <v>0.48122441603937788</v>
      </c>
      <c r="F1954" s="518" t="s">
        <v>512</v>
      </c>
      <c r="G1954" s="528" t="s">
        <v>16</v>
      </c>
      <c r="H1954" s="527">
        <v>2</v>
      </c>
      <c r="I1954" s="527">
        <v>1</v>
      </c>
      <c r="J1954" s="527">
        <v>3</v>
      </c>
      <c r="K1954" s="527">
        <v>1</v>
      </c>
      <c r="L1954" s="529">
        <v>1</v>
      </c>
      <c r="M1954" s="626">
        <f t="shared" si="62"/>
        <v>0.37356464144298934</v>
      </c>
      <c r="N1954" s="530"/>
    </row>
    <row r="1955" spans="1:14" hidden="1" x14ac:dyDescent="0.2">
      <c r="A1955" s="621" t="s">
        <v>463</v>
      </c>
      <c r="B1955" s="622" t="s">
        <v>457</v>
      </c>
      <c r="C1955" s="247" t="s">
        <v>24</v>
      </c>
      <c r="D1955" s="527" t="s">
        <v>135</v>
      </c>
      <c r="E1955" s="623">
        <v>0.48151751604713822</v>
      </c>
      <c r="F1955" s="518" t="s">
        <v>513</v>
      </c>
      <c r="G1955" s="528" t="s">
        <v>16</v>
      </c>
      <c r="H1955" s="527">
        <v>2</v>
      </c>
      <c r="I1955" s="527">
        <v>1</v>
      </c>
      <c r="J1955" s="527">
        <v>3</v>
      </c>
      <c r="K1955" s="527">
        <v>1</v>
      </c>
      <c r="L1955" s="529">
        <v>1</v>
      </c>
      <c r="M1955" s="626">
        <f t="shared" si="62"/>
        <v>0.37356464144298934</v>
      </c>
      <c r="N1955" s="530"/>
    </row>
    <row r="1956" spans="1:14" hidden="1" x14ac:dyDescent="0.2">
      <c r="A1956" s="621" t="s">
        <v>463</v>
      </c>
      <c r="B1956" s="622" t="s">
        <v>457</v>
      </c>
      <c r="C1956" s="247" t="s">
        <v>25</v>
      </c>
      <c r="D1956" s="527" t="s">
        <v>135</v>
      </c>
      <c r="E1956" s="623">
        <v>0.48243504650621383</v>
      </c>
      <c r="F1956" s="518" t="s">
        <v>514</v>
      </c>
      <c r="G1956" s="528" t="s">
        <v>16</v>
      </c>
      <c r="H1956" s="527">
        <v>2</v>
      </c>
      <c r="I1956" s="527">
        <v>1</v>
      </c>
      <c r="J1956" s="527">
        <v>3</v>
      </c>
      <c r="K1956" s="527">
        <v>1</v>
      </c>
      <c r="L1956" s="529">
        <v>1</v>
      </c>
      <c r="M1956" s="626">
        <f t="shared" si="62"/>
        <v>0.37356464144298934</v>
      </c>
      <c r="N1956" s="530"/>
    </row>
    <row r="1957" spans="1:14" hidden="1" x14ac:dyDescent="0.2">
      <c r="A1957" s="621" t="s">
        <v>463</v>
      </c>
      <c r="B1957" s="622" t="s">
        <v>457</v>
      </c>
      <c r="C1957" s="247" t="s">
        <v>26</v>
      </c>
      <c r="D1957" s="527" t="s">
        <v>135</v>
      </c>
      <c r="E1957" s="623">
        <v>0.48433382481735637</v>
      </c>
      <c r="F1957" s="518" t="s">
        <v>515</v>
      </c>
      <c r="G1957" s="528" t="s">
        <v>16</v>
      </c>
      <c r="H1957" s="527">
        <v>2</v>
      </c>
      <c r="I1957" s="527">
        <v>1</v>
      </c>
      <c r="J1957" s="527">
        <v>3</v>
      </c>
      <c r="K1957" s="527">
        <v>1</v>
      </c>
      <c r="L1957" s="529">
        <v>1</v>
      </c>
      <c r="M1957" s="626">
        <f t="shared" si="62"/>
        <v>0.37356464144298934</v>
      </c>
      <c r="N1957" s="530"/>
    </row>
    <row r="1958" spans="1:14" hidden="1" x14ac:dyDescent="0.2">
      <c r="A1958" s="621" t="s">
        <v>463</v>
      </c>
      <c r="B1958" s="622" t="s">
        <v>457</v>
      </c>
      <c r="C1958" s="247" t="s">
        <v>27</v>
      </c>
      <c r="D1958" s="527" t="s">
        <v>135</v>
      </c>
      <c r="E1958" s="623">
        <v>0.48407895524539102</v>
      </c>
      <c r="F1958" s="518" t="s">
        <v>516</v>
      </c>
      <c r="G1958" s="528" t="s">
        <v>16</v>
      </c>
      <c r="H1958" s="527">
        <v>2</v>
      </c>
      <c r="I1958" s="527">
        <v>1</v>
      </c>
      <c r="J1958" s="527">
        <v>3</v>
      </c>
      <c r="K1958" s="527">
        <v>1</v>
      </c>
      <c r="L1958" s="529">
        <v>1</v>
      </c>
      <c r="M1958" s="626">
        <f t="shared" si="62"/>
        <v>0.37356464144298934</v>
      </c>
      <c r="N1958" s="530"/>
    </row>
    <row r="1959" spans="1:14" hidden="1" x14ac:dyDescent="0.2">
      <c r="A1959" s="621" t="s">
        <v>463</v>
      </c>
      <c r="B1959" s="622" t="s">
        <v>457</v>
      </c>
      <c r="C1959" s="247" t="s">
        <v>28</v>
      </c>
      <c r="D1959" s="527" t="s">
        <v>135</v>
      </c>
      <c r="E1959" s="623">
        <v>0.49175052936155123</v>
      </c>
      <c r="F1959" s="518" t="s">
        <v>517</v>
      </c>
      <c r="G1959" s="528" t="s">
        <v>16</v>
      </c>
      <c r="H1959" s="527">
        <v>2</v>
      </c>
      <c r="I1959" s="527">
        <v>1</v>
      </c>
      <c r="J1959" s="527">
        <v>3</v>
      </c>
      <c r="K1959" s="527">
        <v>1</v>
      </c>
      <c r="L1959" s="529">
        <v>1</v>
      </c>
      <c r="M1959" s="626">
        <f t="shared" si="62"/>
        <v>0.37356464144298934</v>
      </c>
      <c r="N1959" s="530"/>
    </row>
    <row r="1960" spans="1:14" hidden="1" x14ac:dyDescent="0.2">
      <c r="A1960" s="621" t="s">
        <v>463</v>
      </c>
      <c r="B1960" s="622" t="s">
        <v>457</v>
      </c>
      <c r="C1960" s="247" t="s">
        <v>30</v>
      </c>
      <c r="D1960" s="527" t="s">
        <v>135</v>
      </c>
      <c r="E1960" s="623">
        <v>0.48305947695752921</v>
      </c>
      <c r="F1960" s="518" t="s">
        <v>518</v>
      </c>
      <c r="G1960" s="528" t="s">
        <v>16</v>
      </c>
      <c r="H1960" s="527">
        <v>2</v>
      </c>
      <c r="I1960" s="527">
        <v>1</v>
      </c>
      <c r="J1960" s="527">
        <v>3</v>
      </c>
      <c r="K1960" s="527">
        <v>1</v>
      </c>
      <c r="L1960" s="529">
        <v>1</v>
      </c>
      <c r="M1960" s="626">
        <f t="shared" si="62"/>
        <v>0.37356464144298934</v>
      </c>
      <c r="N1960" s="530"/>
    </row>
    <row r="1961" spans="1:14" hidden="1" x14ac:dyDescent="0.2">
      <c r="A1961" s="621" t="s">
        <v>463</v>
      </c>
      <c r="B1961" s="622" t="s">
        <v>457</v>
      </c>
      <c r="C1961" s="247" t="s">
        <v>32</v>
      </c>
      <c r="D1961" s="527" t="s">
        <v>135</v>
      </c>
      <c r="E1961" s="623">
        <v>0.48140282473975371</v>
      </c>
      <c r="F1961" s="518" t="s">
        <v>519</v>
      </c>
      <c r="G1961" s="528" t="s">
        <v>16</v>
      </c>
      <c r="H1961" s="527">
        <v>2</v>
      </c>
      <c r="I1961" s="527">
        <v>1</v>
      </c>
      <c r="J1961" s="527">
        <v>3</v>
      </c>
      <c r="K1961" s="527">
        <v>1</v>
      </c>
      <c r="L1961" s="529">
        <v>1</v>
      </c>
      <c r="M1961" s="626">
        <f t="shared" si="62"/>
        <v>0.37356464144298934</v>
      </c>
      <c r="N1961" s="530"/>
    </row>
    <row r="1962" spans="1:14" hidden="1" x14ac:dyDescent="0.2">
      <c r="A1962" s="621" t="s">
        <v>463</v>
      </c>
      <c r="B1962" s="622" t="s">
        <v>457</v>
      </c>
      <c r="C1962" s="247" t="s">
        <v>34</v>
      </c>
      <c r="D1962" s="527" t="s">
        <v>135</v>
      </c>
      <c r="E1962" s="623">
        <v>0.48944395973526378</v>
      </c>
      <c r="F1962" s="518" t="s">
        <v>520</v>
      </c>
      <c r="G1962" s="528" t="s">
        <v>16</v>
      </c>
      <c r="H1962" s="527">
        <v>2</v>
      </c>
      <c r="I1962" s="527">
        <v>1</v>
      </c>
      <c r="J1962" s="527">
        <v>3</v>
      </c>
      <c r="K1962" s="527">
        <v>1</v>
      </c>
      <c r="L1962" s="529">
        <v>1</v>
      </c>
      <c r="M1962" s="626">
        <f t="shared" si="62"/>
        <v>0.37356464144298934</v>
      </c>
      <c r="N1962" s="530"/>
    </row>
    <row r="1963" spans="1:14" hidden="1" x14ac:dyDescent="0.2">
      <c r="A1963" s="621" t="s">
        <v>463</v>
      </c>
      <c r="B1963" s="622" t="s">
        <v>457</v>
      </c>
      <c r="C1963" s="247" t="s">
        <v>36</v>
      </c>
      <c r="D1963" s="527" t="s">
        <v>135</v>
      </c>
      <c r="E1963" s="623">
        <v>0.50017396871500952</v>
      </c>
      <c r="F1963" s="518" t="s">
        <v>521</v>
      </c>
      <c r="G1963" s="528" t="s">
        <v>16</v>
      </c>
      <c r="H1963" s="527">
        <v>2</v>
      </c>
      <c r="I1963" s="527">
        <v>1</v>
      </c>
      <c r="J1963" s="527">
        <v>3</v>
      </c>
      <c r="K1963" s="527">
        <v>1</v>
      </c>
      <c r="L1963" s="529">
        <v>1</v>
      </c>
      <c r="M1963" s="626">
        <f t="shared" si="62"/>
        <v>0.37356464144298934</v>
      </c>
      <c r="N1963" s="530"/>
    </row>
    <row r="1964" spans="1:14" hidden="1" x14ac:dyDescent="0.2">
      <c r="A1964" s="621" t="s">
        <v>463</v>
      </c>
      <c r="B1964" s="622" t="s">
        <v>457</v>
      </c>
      <c r="C1964" s="247" t="s">
        <v>37</v>
      </c>
      <c r="D1964" s="527" t="s">
        <v>135</v>
      </c>
      <c r="E1964" s="623">
        <v>0.48216743345565011</v>
      </c>
      <c r="F1964" s="518" t="s">
        <v>522</v>
      </c>
      <c r="G1964" s="528" t="s">
        <v>16</v>
      </c>
      <c r="H1964" s="527">
        <v>2</v>
      </c>
      <c r="I1964" s="527">
        <v>1</v>
      </c>
      <c r="J1964" s="527">
        <v>3</v>
      </c>
      <c r="K1964" s="527">
        <v>1</v>
      </c>
      <c r="L1964" s="529">
        <v>1</v>
      </c>
      <c r="M1964" s="626">
        <f t="shared" si="62"/>
        <v>0.37356464144298934</v>
      </c>
      <c r="N1964" s="530"/>
    </row>
    <row r="1965" spans="1:14" hidden="1" x14ac:dyDescent="0.2">
      <c r="A1965" s="621" t="s">
        <v>463</v>
      </c>
      <c r="B1965" s="622" t="s">
        <v>457</v>
      </c>
      <c r="C1965" s="247" t="s">
        <v>39</v>
      </c>
      <c r="D1965" s="527" t="s">
        <v>135</v>
      </c>
      <c r="E1965" s="623">
        <v>0.48337806392248589</v>
      </c>
      <c r="F1965" s="518" t="s">
        <v>523</v>
      </c>
      <c r="G1965" s="528" t="s">
        <v>16</v>
      </c>
      <c r="H1965" s="527">
        <v>2</v>
      </c>
      <c r="I1965" s="527">
        <v>1</v>
      </c>
      <c r="J1965" s="527">
        <v>3</v>
      </c>
      <c r="K1965" s="527">
        <v>1</v>
      </c>
      <c r="L1965" s="529">
        <v>1</v>
      </c>
      <c r="M1965" s="626">
        <f t="shared" si="62"/>
        <v>0.37356464144298934</v>
      </c>
      <c r="N1965" s="530"/>
    </row>
    <row r="1966" spans="1:14" hidden="1" x14ac:dyDescent="0.2">
      <c r="A1966" s="621" t="s">
        <v>463</v>
      </c>
      <c r="B1966" s="622" t="s">
        <v>457</v>
      </c>
      <c r="C1966" s="247" t="s">
        <v>40</v>
      </c>
      <c r="D1966" s="527" t="s">
        <v>135</v>
      </c>
      <c r="E1966" s="623">
        <v>0.48565914659157677</v>
      </c>
      <c r="F1966" s="518" t="s">
        <v>524</v>
      </c>
      <c r="G1966" s="528" t="s">
        <v>16</v>
      </c>
      <c r="H1966" s="527">
        <v>2</v>
      </c>
      <c r="I1966" s="527">
        <v>1</v>
      </c>
      <c r="J1966" s="527">
        <v>3</v>
      </c>
      <c r="K1966" s="527">
        <v>1</v>
      </c>
      <c r="L1966" s="529">
        <v>1</v>
      </c>
      <c r="M1966" s="626">
        <f t="shared" si="62"/>
        <v>0.37356464144298934</v>
      </c>
      <c r="N1966" s="530"/>
    </row>
    <row r="1967" spans="1:14" hidden="1" x14ac:dyDescent="0.2">
      <c r="A1967" s="621" t="s">
        <v>463</v>
      </c>
      <c r="B1967" s="622" t="s">
        <v>457</v>
      </c>
      <c r="C1967" s="247" t="s">
        <v>41</v>
      </c>
      <c r="D1967" s="527" t="s">
        <v>135</v>
      </c>
      <c r="E1967" s="623">
        <v>0.48314868130771699</v>
      </c>
      <c r="F1967" s="518" t="s">
        <v>525</v>
      </c>
      <c r="G1967" s="528" t="s">
        <v>16</v>
      </c>
      <c r="H1967" s="527">
        <v>2</v>
      </c>
      <c r="I1967" s="527">
        <v>1</v>
      </c>
      <c r="J1967" s="527">
        <v>3</v>
      </c>
      <c r="K1967" s="527">
        <v>1</v>
      </c>
      <c r="L1967" s="529">
        <v>1</v>
      </c>
      <c r="M1967" s="626">
        <f t="shared" si="62"/>
        <v>0.37356464144298934</v>
      </c>
      <c r="N1967" s="530"/>
    </row>
    <row r="1968" spans="1:14" hidden="1" x14ac:dyDescent="0.2">
      <c r="A1968" s="621" t="s">
        <v>463</v>
      </c>
      <c r="B1968" s="622" t="s">
        <v>457</v>
      </c>
      <c r="C1968" s="247" t="s">
        <v>42</v>
      </c>
      <c r="D1968" s="527" t="s">
        <v>135</v>
      </c>
      <c r="E1968" s="623">
        <v>0.48122441603937788</v>
      </c>
      <c r="F1968" s="518" t="s">
        <v>526</v>
      </c>
      <c r="G1968" s="528" t="s">
        <v>16</v>
      </c>
      <c r="H1968" s="527">
        <v>2</v>
      </c>
      <c r="I1968" s="527">
        <v>1</v>
      </c>
      <c r="J1968" s="527">
        <v>3</v>
      </c>
      <c r="K1968" s="527">
        <v>1</v>
      </c>
      <c r="L1968" s="529">
        <v>1</v>
      </c>
      <c r="M1968" s="626">
        <f t="shared" si="62"/>
        <v>0.37356464144298934</v>
      </c>
      <c r="N1968" s="530"/>
    </row>
    <row r="1969" spans="1:14" hidden="1" x14ac:dyDescent="0.2">
      <c r="A1969" s="621" t="s">
        <v>463</v>
      </c>
      <c r="B1969" s="622" t="s">
        <v>457</v>
      </c>
      <c r="C1969" s="247" t="s">
        <v>43</v>
      </c>
      <c r="D1969" s="527" t="s">
        <v>135</v>
      </c>
      <c r="E1969" s="623">
        <v>0.48690800749420748</v>
      </c>
      <c r="F1969" s="518" t="s">
        <v>527</v>
      </c>
      <c r="G1969" s="528" t="s">
        <v>16</v>
      </c>
      <c r="H1969" s="527">
        <v>2</v>
      </c>
      <c r="I1969" s="527">
        <v>1</v>
      </c>
      <c r="J1969" s="527">
        <v>3</v>
      </c>
      <c r="K1969" s="527">
        <v>1</v>
      </c>
      <c r="L1969" s="529">
        <v>1</v>
      </c>
      <c r="M1969" s="626">
        <f t="shared" si="62"/>
        <v>0.37356464144298934</v>
      </c>
      <c r="N1969" s="530"/>
    </row>
    <row r="1970" spans="1:14" x14ac:dyDescent="0.2">
      <c r="A1970" s="621" t="s">
        <v>463</v>
      </c>
      <c r="B1970" s="622" t="s">
        <v>457</v>
      </c>
      <c r="C1970" s="247" t="s">
        <v>45</v>
      </c>
      <c r="D1970" s="527" t="s">
        <v>135</v>
      </c>
      <c r="E1970" s="623">
        <v>0.48249876389920521</v>
      </c>
      <c r="F1970" s="518" t="s">
        <v>528</v>
      </c>
      <c r="G1970" s="528" t="s">
        <v>16</v>
      </c>
      <c r="H1970" s="527">
        <v>2</v>
      </c>
      <c r="I1970" s="527">
        <v>1</v>
      </c>
      <c r="J1970" s="527">
        <v>3</v>
      </c>
      <c r="K1970" s="527">
        <v>1</v>
      </c>
      <c r="L1970" s="529">
        <v>1</v>
      </c>
      <c r="M1970" s="626">
        <f t="shared" si="62"/>
        <v>0.37356464144298934</v>
      </c>
      <c r="N1970" s="530"/>
    </row>
    <row r="1971" spans="1:14" hidden="1" x14ac:dyDescent="0.2">
      <c r="A1971" s="621" t="s">
        <v>463</v>
      </c>
      <c r="B1971" s="622" t="s">
        <v>457</v>
      </c>
      <c r="C1971" s="247" t="s">
        <v>46</v>
      </c>
      <c r="D1971" s="527" t="s">
        <v>135</v>
      </c>
      <c r="E1971" s="623">
        <v>0.48146654213274498</v>
      </c>
      <c r="F1971" s="518" t="s">
        <v>529</v>
      </c>
      <c r="G1971" s="528" t="s">
        <v>16</v>
      </c>
      <c r="H1971" s="527">
        <v>2</v>
      </c>
      <c r="I1971" s="527">
        <v>1</v>
      </c>
      <c r="J1971" s="527">
        <v>3</v>
      </c>
      <c r="K1971" s="527">
        <v>1</v>
      </c>
      <c r="L1971" s="529">
        <v>1</v>
      </c>
      <c r="M1971" s="626">
        <f t="shared" si="62"/>
        <v>0.37356464144298934</v>
      </c>
      <c r="N1971" s="530"/>
    </row>
    <row r="1972" spans="1:14" hidden="1" x14ac:dyDescent="0.2">
      <c r="A1972" s="621" t="s">
        <v>463</v>
      </c>
      <c r="B1972" s="622" t="s">
        <v>457</v>
      </c>
      <c r="C1972" s="247" t="s">
        <v>48</v>
      </c>
      <c r="D1972" s="527" t="s">
        <v>135</v>
      </c>
      <c r="E1972" s="623">
        <v>0.47615251155726529</v>
      </c>
      <c r="F1972" s="518" t="s">
        <v>530</v>
      </c>
      <c r="G1972" s="528" t="s">
        <v>16</v>
      </c>
      <c r="H1972" s="527">
        <v>2</v>
      </c>
      <c r="I1972" s="527">
        <v>1</v>
      </c>
      <c r="J1972" s="527">
        <v>3</v>
      </c>
      <c r="K1972" s="527">
        <v>1</v>
      </c>
      <c r="L1972" s="529">
        <v>1</v>
      </c>
      <c r="M1972" s="626">
        <f t="shared" si="62"/>
        <v>0.37356464144298934</v>
      </c>
      <c r="N1972" s="530"/>
    </row>
    <row r="1973" spans="1:14" hidden="1" x14ac:dyDescent="0.2">
      <c r="A1973" s="621" t="s">
        <v>463</v>
      </c>
      <c r="B1973" s="622" t="s">
        <v>457</v>
      </c>
      <c r="C1973" s="247" t="s">
        <v>50</v>
      </c>
      <c r="D1973" s="527" t="s">
        <v>135</v>
      </c>
      <c r="E1973" s="623">
        <v>0.49231124241987517</v>
      </c>
      <c r="F1973" s="518" t="s">
        <v>531</v>
      </c>
      <c r="G1973" s="528" t="s">
        <v>16</v>
      </c>
      <c r="H1973" s="527">
        <v>2</v>
      </c>
      <c r="I1973" s="527">
        <v>1</v>
      </c>
      <c r="J1973" s="527">
        <v>3</v>
      </c>
      <c r="K1973" s="527">
        <v>1</v>
      </c>
      <c r="L1973" s="529">
        <v>1</v>
      </c>
      <c r="M1973" s="626">
        <f t="shared" si="62"/>
        <v>0.37356464144298934</v>
      </c>
      <c r="N1973" s="530"/>
    </row>
    <row r="1974" spans="1:14" hidden="1" x14ac:dyDescent="0.2">
      <c r="A1974" s="621" t="s">
        <v>463</v>
      </c>
      <c r="B1974" s="622" t="s">
        <v>457</v>
      </c>
      <c r="C1974" s="247" t="s">
        <v>52</v>
      </c>
      <c r="D1974" s="527" t="s">
        <v>135</v>
      </c>
      <c r="E1974" s="623">
        <v>0.48151751604713822</v>
      </c>
      <c r="F1974" s="518" t="s">
        <v>532</v>
      </c>
      <c r="G1974" s="528" t="s">
        <v>16</v>
      </c>
      <c r="H1974" s="527">
        <v>2</v>
      </c>
      <c r="I1974" s="527">
        <v>1</v>
      </c>
      <c r="J1974" s="527">
        <v>3</v>
      </c>
      <c r="K1974" s="527">
        <v>1</v>
      </c>
      <c r="L1974" s="529">
        <v>1</v>
      </c>
      <c r="M1974" s="626">
        <f t="shared" si="62"/>
        <v>0.37356464144298934</v>
      </c>
      <c r="N1974" s="530"/>
    </row>
    <row r="1975" spans="1:14" hidden="1" x14ac:dyDescent="0.2">
      <c r="A1975" s="621" t="s">
        <v>463</v>
      </c>
      <c r="B1975" s="622" t="s">
        <v>457</v>
      </c>
      <c r="C1975" s="247" t="s">
        <v>54</v>
      </c>
      <c r="D1975" s="527" t="s">
        <v>135</v>
      </c>
      <c r="E1975" s="623">
        <v>0.47980988991496959</v>
      </c>
      <c r="F1975" s="518" t="s">
        <v>533</v>
      </c>
      <c r="G1975" s="528" t="s">
        <v>16</v>
      </c>
      <c r="H1975" s="527">
        <v>2</v>
      </c>
      <c r="I1975" s="527">
        <v>1</v>
      </c>
      <c r="J1975" s="527">
        <v>3</v>
      </c>
      <c r="K1975" s="527">
        <v>1</v>
      </c>
      <c r="L1975" s="529">
        <v>1</v>
      </c>
      <c r="M1975" s="626">
        <f t="shared" si="62"/>
        <v>0.37356464144298934</v>
      </c>
      <c r="N1975" s="530"/>
    </row>
    <row r="1976" spans="1:14" hidden="1" x14ac:dyDescent="0.2">
      <c r="A1976" s="621" t="s">
        <v>463</v>
      </c>
      <c r="B1976" s="622" t="s">
        <v>457</v>
      </c>
      <c r="C1976" s="247" t="s">
        <v>55</v>
      </c>
      <c r="D1976" s="527" t="s">
        <v>135</v>
      </c>
      <c r="E1976" s="623">
        <v>0.47610153764287222</v>
      </c>
      <c r="F1976" s="518" t="s">
        <v>534</v>
      </c>
      <c r="G1976" s="528" t="s">
        <v>16</v>
      </c>
      <c r="H1976" s="527">
        <v>2</v>
      </c>
      <c r="I1976" s="527">
        <v>1</v>
      </c>
      <c r="J1976" s="527">
        <v>3</v>
      </c>
      <c r="K1976" s="527">
        <v>1</v>
      </c>
      <c r="L1976" s="529">
        <v>1</v>
      </c>
      <c r="M1976" s="626">
        <f t="shared" si="62"/>
        <v>0.37356464144298934</v>
      </c>
      <c r="N1976" s="530"/>
    </row>
    <row r="1977" spans="1:14" hidden="1" x14ac:dyDescent="0.2">
      <c r="A1977" s="621" t="s">
        <v>463</v>
      </c>
      <c r="B1977" s="622" t="s">
        <v>457</v>
      </c>
      <c r="C1977" s="247" t="s">
        <v>57</v>
      </c>
      <c r="D1977" s="527" t="s">
        <v>135</v>
      </c>
      <c r="E1977" s="623">
        <v>0.48260071172799129</v>
      </c>
      <c r="F1977" s="518" t="s">
        <v>535</v>
      </c>
      <c r="G1977" s="528" t="s">
        <v>16</v>
      </c>
      <c r="H1977" s="527">
        <v>2</v>
      </c>
      <c r="I1977" s="527">
        <v>1</v>
      </c>
      <c r="J1977" s="527">
        <v>3</v>
      </c>
      <c r="K1977" s="527">
        <v>1</v>
      </c>
      <c r="L1977" s="529">
        <v>1</v>
      </c>
      <c r="M1977" s="626">
        <f t="shared" si="62"/>
        <v>0.37356464144298934</v>
      </c>
      <c r="N1977" s="530"/>
    </row>
    <row r="1978" spans="1:14" hidden="1" x14ac:dyDescent="0.2">
      <c r="A1978" s="621" t="s">
        <v>463</v>
      </c>
      <c r="B1978" s="622" t="s">
        <v>457</v>
      </c>
      <c r="C1978" s="247" t="s">
        <v>59</v>
      </c>
      <c r="D1978" s="527" t="s">
        <v>135</v>
      </c>
      <c r="E1978" s="623">
        <v>0.48313593782911879</v>
      </c>
      <c r="F1978" s="518" t="s">
        <v>536</v>
      </c>
      <c r="G1978" s="528" t="s">
        <v>16</v>
      </c>
      <c r="H1978" s="527">
        <v>2</v>
      </c>
      <c r="I1978" s="527">
        <v>1</v>
      </c>
      <c r="J1978" s="527">
        <v>3</v>
      </c>
      <c r="K1978" s="527">
        <v>1</v>
      </c>
      <c r="L1978" s="529">
        <v>1</v>
      </c>
      <c r="M1978" s="626">
        <f t="shared" si="62"/>
        <v>0.37356464144298934</v>
      </c>
      <c r="N1978" s="530"/>
    </row>
    <row r="1979" spans="1:14" hidden="1" x14ac:dyDescent="0.2">
      <c r="A1979" s="621" t="s">
        <v>463</v>
      </c>
      <c r="B1979" s="622" t="s">
        <v>457</v>
      </c>
      <c r="C1979" s="247" t="s">
        <v>60</v>
      </c>
      <c r="D1979" s="527" t="s">
        <v>135</v>
      </c>
      <c r="E1979" s="627">
        <v>0.50045432524417155</v>
      </c>
      <c r="F1979" s="518" t="s">
        <v>537</v>
      </c>
      <c r="G1979" s="528" t="s">
        <v>16</v>
      </c>
      <c r="H1979" s="527">
        <v>1</v>
      </c>
      <c r="I1979" s="527">
        <v>1</v>
      </c>
      <c r="J1979" s="527">
        <v>3</v>
      </c>
      <c r="K1979" s="527">
        <v>1</v>
      </c>
      <c r="L1979" s="529">
        <v>1</v>
      </c>
      <c r="M1979" s="628">
        <f t="shared" si="62"/>
        <v>0.35859414261160716</v>
      </c>
      <c r="N1979" s="522"/>
    </row>
    <row r="1980" spans="1:14" hidden="1" x14ac:dyDescent="0.2">
      <c r="A1980" s="621" t="s">
        <v>463</v>
      </c>
      <c r="B1980" s="622" t="s">
        <v>538</v>
      </c>
      <c r="C1980" s="247" t="s">
        <v>13</v>
      </c>
      <c r="D1980" s="527" t="s">
        <v>135</v>
      </c>
      <c r="E1980" s="623">
        <v>0.33790756035460762</v>
      </c>
      <c r="F1980" s="518" t="s">
        <v>508</v>
      </c>
      <c r="G1980" s="528" t="s">
        <v>16</v>
      </c>
      <c r="H1980" s="527">
        <v>2</v>
      </c>
      <c r="I1980" s="527">
        <v>1</v>
      </c>
      <c r="J1980" s="527">
        <v>3</v>
      </c>
      <c r="K1980" s="527">
        <v>1</v>
      </c>
      <c r="L1980" s="529">
        <v>1</v>
      </c>
      <c r="M1980" s="626">
        <f t="shared" si="62"/>
        <v>0.37356464144298934</v>
      </c>
      <c r="N1980" s="530"/>
    </row>
    <row r="1981" spans="1:14" hidden="1" x14ac:dyDescent="0.2">
      <c r="A1981" s="621" t="s">
        <v>463</v>
      </c>
      <c r="B1981" s="622" t="s">
        <v>538</v>
      </c>
      <c r="C1981" s="247" t="s">
        <v>18</v>
      </c>
      <c r="D1981" s="527" t="s">
        <v>135</v>
      </c>
      <c r="E1981" s="623">
        <v>0.33303955153006742</v>
      </c>
      <c r="F1981" s="518" t="s">
        <v>509</v>
      </c>
      <c r="G1981" s="528" t="s">
        <v>16</v>
      </c>
      <c r="H1981" s="527">
        <v>2</v>
      </c>
      <c r="I1981" s="527">
        <v>1</v>
      </c>
      <c r="J1981" s="527">
        <v>3</v>
      </c>
      <c r="K1981" s="527">
        <v>1</v>
      </c>
      <c r="L1981" s="529">
        <v>1</v>
      </c>
      <c r="M1981" s="626">
        <f t="shared" si="62"/>
        <v>0.37356464144298934</v>
      </c>
      <c r="N1981" s="530"/>
    </row>
    <row r="1982" spans="1:14" hidden="1" x14ac:dyDescent="0.2">
      <c r="A1982" s="621" t="s">
        <v>463</v>
      </c>
      <c r="B1982" s="622" t="s">
        <v>538</v>
      </c>
      <c r="C1982" s="247" t="s">
        <v>20</v>
      </c>
      <c r="D1982" s="527" t="s">
        <v>135</v>
      </c>
      <c r="E1982" s="623">
        <v>0.34067289521043281</v>
      </c>
      <c r="F1982" s="518" t="s">
        <v>510</v>
      </c>
      <c r="G1982" s="528" t="s">
        <v>16</v>
      </c>
      <c r="H1982" s="527">
        <v>2</v>
      </c>
      <c r="I1982" s="527">
        <v>1</v>
      </c>
      <c r="J1982" s="527">
        <v>3</v>
      </c>
      <c r="K1982" s="527">
        <v>1</v>
      </c>
      <c r="L1982" s="529">
        <v>1</v>
      </c>
      <c r="M1982" s="626">
        <f t="shared" si="62"/>
        <v>0.37356464144298934</v>
      </c>
      <c r="N1982" s="530"/>
    </row>
    <row r="1983" spans="1:14" hidden="1" x14ac:dyDescent="0.2">
      <c r="A1983" s="621" t="s">
        <v>463</v>
      </c>
      <c r="B1983" s="622" t="s">
        <v>538</v>
      </c>
      <c r="C1983" s="247" t="s">
        <v>22</v>
      </c>
      <c r="D1983" s="527" t="s">
        <v>135</v>
      </c>
      <c r="E1983" s="623">
        <v>0.34025236041668983</v>
      </c>
      <c r="F1983" s="518" t="s">
        <v>511</v>
      </c>
      <c r="G1983" s="528" t="s">
        <v>16</v>
      </c>
      <c r="H1983" s="527">
        <v>2</v>
      </c>
      <c r="I1983" s="527">
        <v>1</v>
      </c>
      <c r="J1983" s="527">
        <v>3</v>
      </c>
      <c r="K1983" s="527">
        <v>1</v>
      </c>
      <c r="L1983" s="529">
        <v>1</v>
      </c>
      <c r="M1983" s="626">
        <f t="shared" si="62"/>
        <v>0.37356464144298934</v>
      </c>
      <c r="N1983" s="530"/>
    </row>
    <row r="1984" spans="1:14" hidden="1" x14ac:dyDescent="0.2">
      <c r="A1984" s="621" t="s">
        <v>463</v>
      </c>
      <c r="B1984" s="622" t="s">
        <v>538</v>
      </c>
      <c r="C1984" s="247" t="s">
        <v>23</v>
      </c>
      <c r="D1984" s="527" t="s">
        <v>135</v>
      </c>
      <c r="E1984" s="623">
        <v>0.33939854735060548</v>
      </c>
      <c r="F1984" s="518" t="s">
        <v>512</v>
      </c>
      <c r="G1984" s="528" t="s">
        <v>16</v>
      </c>
      <c r="H1984" s="527">
        <v>2</v>
      </c>
      <c r="I1984" s="527">
        <v>1</v>
      </c>
      <c r="J1984" s="527">
        <v>3</v>
      </c>
      <c r="K1984" s="527">
        <v>1</v>
      </c>
      <c r="L1984" s="529">
        <v>1</v>
      </c>
      <c r="M1984" s="626">
        <f>IF( OR( ISBLANK(H1984),ISBLANK(I1984), ISBLANK(J1984), ISBLANK(K1984), ISBLANK(L1984) ), "", 1.5*SQRT(   EXP(2.21*(H1984-1)) + EXP(2.21*(I1984-1)) + EXP(2.21*(J1984-1)) + EXP(2.21*(K1984-1)) + EXP(2.21*L1984)   )/100*2.45 )</f>
        <v>0.37356464144298934</v>
      </c>
      <c r="N1984" s="530"/>
    </row>
    <row r="1985" spans="1:14" hidden="1" x14ac:dyDescent="0.2">
      <c r="A1985" s="621" t="s">
        <v>463</v>
      </c>
      <c r="B1985" s="622" t="s">
        <v>538</v>
      </c>
      <c r="C1985" s="247" t="s">
        <v>24</v>
      </c>
      <c r="D1985" s="527" t="s">
        <v>135</v>
      </c>
      <c r="E1985" s="623">
        <v>0.33789481687600931</v>
      </c>
      <c r="F1985" s="518" t="s">
        <v>513</v>
      </c>
      <c r="G1985" s="528" t="s">
        <v>16</v>
      </c>
      <c r="H1985" s="527">
        <v>2</v>
      </c>
      <c r="I1985" s="527">
        <v>1</v>
      </c>
      <c r="J1985" s="527">
        <v>3</v>
      </c>
      <c r="K1985" s="527">
        <v>1</v>
      </c>
      <c r="L1985" s="529">
        <v>1</v>
      </c>
      <c r="M1985" s="626">
        <f t="shared" ref="M1985:M2013" si="63">IF( OR( ISBLANK(H1985),ISBLANK(I1985), ISBLANK(J1985), ISBLANK(K1985), ISBLANK(L1985) ), "", 1.5*SQRT( EXP(2.21*(H1985-1)) + EXP(2.21*(I1985-1)) + EXP(2.21*(J1985-1)) + EXP(2.21*(K1985-1)) + EXP(2.21*L1985) )/100*2.45 )</f>
        <v>0.37356464144298934</v>
      </c>
      <c r="N1985" s="530"/>
    </row>
    <row r="1986" spans="1:14" hidden="1" x14ac:dyDescent="0.2">
      <c r="A1986" s="621" t="s">
        <v>463</v>
      </c>
      <c r="B1986" s="622" t="s">
        <v>538</v>
      </c>
      <c r="C1986" s="247" t="s">
        <v>25</v>
      </c>
      <c r="D1986" s="527" t="s">
        <v>135</v>
      </c>
      <c r="E1986" s="623">
        <v>0.33417372112531368</v>
      </c>
      <c r="F1986" s="518" t="s">
        <v>514</v>
      </c>
      <c r="G1986" s="528" t="s">
        <v>16</v>
      </c>
      <c r="H1986" s="527">
        <v>2</v>
      </c>
      <c r="I1986" s="527">
        <v>1</v>
      </c>
      <c r="J1986" s="527">
        <v>3</v>
      </c>
      <c r="K1986" s="527">
        <v>1</v>
      </c>
      <c r="L1986" s="529">
        <v>1</v>
      </c>
      <c r="M1986" s="626">
        <f t="shared" si="63"/>
        <v>0.37356464144298934</v>
      </c>
      <c r="N1986" s="530"/>
    </row>
    <row r="1987" spans="1:14" hidden="1" x14ac:dyDescent="0.2">
      <c r="A1987" s="621" t="s">
        <v>463</v>
      </c>
      <c r="B1987" s="622" t="s">
        <v>538</v>
      </c>
      <c r="C1987" s="247" t="s">
        <v>26</v>
      </c>
      <c r="D1987" s="527" t="s">
        <v>135</v>
      </c>
      <c r="E1987" s="623">
        <v>0.33692631250254063</v>
      </c>
      <c r="F1987" s="518" t="s">
        <v>515</v>
      </c>
      <c r="G1987" s="528" t="s">
        <v>16</v>
      </c>
      <c r="H1987" s="527">
        <v>2</v>
      </c>
      <c r="I1987" s="527">
        <v>1</v>
      </c>
      <c r="J1987" s="527">
        <v>3</v>
      </c>
      <c r="K1987" s="527">
        <v>1</v>
      </c>
      <c r="L1987" s="529">
        <v>1</v>
      </c>
      <c r="M1987" s="626">
        <f t="shared" si="63"/>
        <v>0.37356464144298934</v>
      </c>
      <c r="N1987" s="530"/>
    </row>
    <row r="1988" spans="1:14" hidden="1" x14ac:dyDescent="0.2">
      <c r="A1988" s="621" t="s">
        <v>463</v>
      </c>
      <c r="B1988" s="622" t="s">
        <v>538</v>
      </c>
      <c r="C1988" s="247" t="s">
        <v>27</v>
      </c>
      <c r="D1988" s="527" t="s">
        <v>135</v>
      </c>
      <c r="E1988" s="623">
        <v>0.33546081246373921</v>
      </c>
      <c r="F1988" s="518" t="s">
        <v>516</v>
      </c>
      <c r="G1988" s="528" t="s">
        <v>16</v>
      </c>
      <c r="H1988" s="527">
        <v>2</v>
      </c>
      <c r="I1988" s="527">
        <v>1</v>
      </c>
      <c r="J1988" s="527">
        <v>3</v>
      </c>
      <c r="K1988" s="527">
        <v>1</v>
      </c>
      <c r="L1988" s="529">
        <v>1</v>
      </c>
      <c r="M1988" s="626">
        <f t="shared" si="63"/>
        <v>0.37356464144298934</v>
      </c>
      <c r="N1988" s="530"/>
    </row>
    <row r="1989" spans="1:14" hidden="1" x14ac:dyDescent="0.2">
      <c r="A1989" s="621" t="s">
        <v>463</v>
      </c>
      <c r="B1989" s="622" t="s">
        <v>538</v>
      </c>
      <c r="C1989" s="247" t="s">
        <v>28</v>
      </c>
      <c r="D1989" s="527" t="s">
        <v>135</v>
      </c>
      <c r="E1989" s="623">
        <v>0.33732136033908711</v>
      </c>
      <c r="F1989" s="518" t="s">
        <v>517</v>
      </c>
      <c r="G1989" s="528" t="s">
        <v>16</v>
      </c>
      <c r="H1989" s="527">
        <v>2</v>
      </c>
      <c r="I1989" s="527">
        <v>1</v>
      </c>
      <c r="J1989" s="527">
        <v>3</v>
      </c>
      <c r="K1989" s="527">
        <v>1</v>
      </c>
      <c r="L1989" s="529">
        <v>1</v>
      </c>
      <c r="M1989" s="626">
        <f t="shared" si="63"/>
        <v>0.37356464144298934</v>
      </c>
      <c r="N1989" s="530"/>
    </row>
    <row r="1990" spans="1:14" hidden="1" x14ac:dyDescent="0.2">
      <c r="A1990" s="621" t="s">
        <v>463</v>
      </c>
      <c r="B1990" s="622" t="s">
        <v>538</v>
      </c>
      <c r="C1990" s="247" t="s">
        <v>30</v>
      </c>
      <c r="D1990" s="527" t="s">
        <v>135</v>
      </c>
      <c r="E1990" s="623">
        <v>0.33302680805146911</v>
      </c>
      <c r="F1990" s="518" t="s">
        <v>518</v>
      </c>
      <c r="G1990" s="528" t="s">
        <v>16</v>
      </c>
      <c r="H1990" s="527">
        <v>2</v>
      </c>
      <c r="I1990" s="527">
        <v>1</v>
      </c>
      <c r="J1990" s="527">
        <v>3</v>
      </c>
      <c r="K1990" s="527">
        <v>1</v>
      </c>
      <c r="L1990" s="529">
        <v>1</v>
      </c>
      <c r="M1990" s="626">
        <f t="shared" si="63"/>
        <v>0.37356464144298934</v>
      </c>
      <c r="N1990" s="530"/>
    </row>
    <row r="1991" spans="1:14" hidden="1" x14ac:dyDescent="0.2">
      <c r="A1991" s="621" t="s">
        <v>463</v>
      </c>
      <c r="B1991" s="622" t="s">
        <v>538</v>
      </c>
      <c r="C1991" s="247" t="s">
        <v>32</v>
      </c>
      <c r="D1991" s="527" t="s">
        <v>135</v>
      </c>
      <c r="E1991" s="623">
        <v>0.3394367777864003</v>
      </c>
      <c r="F1991" s="518" t="s">
        <v>519</v>
      </c>
      <c r="G1991" s="528" t="s">
        <v>16</v>
      </c>
      <c r="H1991" s="527">
        <v>2</v>
      </c>
      <c r="I1991" s="527">
        <v>1</v>
      </c>
      <c r="J1991" s="527">
        <v>3</v>
      </c>
      <c r="K1991" s="527">
        <v>1</v>
      </c>
      <c r="L1991" s="529">
        <v>1</v>
      </c>
      <c r="M1991" s="626">
        <f t="shared" si="63"/>
        <v>0.37356464144298934</v>
      </c>
      <c r="N1991" s="530"/>
    </row>
    <row r="1992" spans="1:14" hidden="1" x14ac:dyDescent="0.2">
      <c r="A1992" s="621" t="s">
        <v>463</v>
      </c>
      <c r="B1992" s="622" t="s">
        <v>538</v>
      </c>
      <c r="C1992" s="247" t="s">
        <v>34</v>
      </c>
      <c r="D1992" s="527" t="s">
        <v>135</v>
      </c>
      <c r="E1992" s="623">
        <v>0.33246609499314511</v>
      </c>
      <c r="F1992" s="518" t="s">
        <v>520</v>
      </c>
      <c r="G1992" s="528" t="s">
        <v>16</v>
      </c>
      <c r="H1992" s="527">
        <v>2</v>
      </c>
      <c r="I1992" s="527">
        <v>1</v>
      </c>
      <c r="J1992" s="527">
        <v>3</v>
      </c>
      <c r="K1992" s="527">
        <v>1</v>
      </c>
      <c r="L1992" s="529">
        <v>1</v>
      </c>
      <c r="M1992" s="626">
        <f t="shared" si="63"/>
        <v>0.37356464144298934</v>
      </c>
      <c r="N1992" s="530"/>
    </row>
    <row r="1993" spans="1:14" hidden="1" x14ac:dyDescent="0.2">
      <c r="A1993" s="621" t="s">
        <v>463</v>
      </c>
      <c r="B1993" s="622" t="s">
        <v>538</v>
      </c>
      <c r="C1993" s="247" t="s">
        <v>36</v>
      </c>
      <c r="D1993" s="527" t="s">
        <v>135</v>
      </c>
      <c r="E1993" s="623">
        <v>0.3299938601450802</v>
      </c>
      <c r="F1993" s="518" t="s">
        <v>521</v>
      </c>
      <c r="G1993" s="528" t="s">
        <v>16</v>
      </c>
      <c r="H1993" s="527">
        <v>2</v>
      </c>
      <c r="I1993" s="527">
        <v>1</v>
      </c>
      <c r="J1993" s="527">
        <v>3</v>
      </c>
      <c r="K1993" s="527">
        <v>1</v>
      </c>
      <c r="L1993" s="529">
        <v>1</v>
      </c>
      <c r="M1993" s="626">
        <f t="shared" si="63"/>
        <v>0.37356464144298934</v>
      </c>
      <c r="N1993" s="530"/>
    </row>
    <row r="1994" spans="1:14" hidden="1" x14ac:dyDescent="0.2">
      <c r="A1994" s="621" t="s">
        <v>463</v>
      </c>
      <c r="B1994" s="622" t="s">
        <v>538</v>
      </c>
      <c r="C1994" s="247" t="s">
        <v>37</v>
      </c>
      <c r="D1994" s="527" t="s">
        <v>135</v>
      </c>
      <c r="E1994" s="623">
        <v>0.34090227782520172</v>
      </c>
      <c r="F1994" s="518" t="s">
        <v>522</v>
      </c>
      <c r="G1994" s="528" t="s">
        <v>16</v>
      </c>
      <c r="H1994" s="527">
        <v>2</v>
      </c>
      <c r="I1994" s="527">
        <v>1</v>
      </c>
      <c r="J1994" s="527">
        <v>3</v>
      </c>
      <c r="K1994" s="527">
        <v>1</v>
      </c>
      <c r="L1994" s="529">
        <v>1</v>
      </c>
      <c r="M1994" s="626">
        <f t="shared" si="63"/>
        <v>0.37356464144298934</v>
      </c>
      <c r="N1994" s="530"/>
    </row>
    <row r="1995" spans="1:14" hidden="1" x14ac:dyDescent="0.2">
      <c r="A1995" s="621" t="s">
        <v>463</v>
      </c>
      <c r="B1995" s="622" t="s">
        <v>538</v>
      </c>
      <c r="C1995" s="247" t="s">
        <v>39</v>
      </c>
      <c r="D1995" s="527" t="s">
        <v>135</v>
      </c>
      <c r="E1995" s="623">
        <v>0.33514222549878242</v>
      </c>
      <c r="F1995" s="518" t="s">
        <v>523</v>
      </c>
      <c r="G1995" s="528" t="s">
        <v>16</v>
      </c>
      <c r="H1995" s="527">
        <v>2</v>
      </c>
      <c r="I1995" s="527">
        <v>1</v>
      </c>
      <c r="J1995" s="527">
        <v>3</v>
      </c>
      <c r="K1995" s="527">
        <v>1</v>
      </c>
      <c r="L1995" s="529">
        <v>1</v>
      </c>
      <c r="M1995" s="626">
        <f t="shared" si="63"/>
        <v>0.37356464144298934</v>
      </c>
      <c r="N1995" s="530"/>
    </row>
    <row r="1996" spans="1:14" hidden="1" x14ac:dyDescent="0.2">
      <c r="A1996" s="621" t="s">
        <v>463</v>
      </c>
      <c r="B1996" s="622" t="s">
        <v>538</v>
      </c>
      <c r="C1996" s="247" t="s">
        <v>40</v>
      </c>
      <c r="D1996" s="527" t="s">
        <v>135</v>
      </c>
      <c r="E1996" s="623">
        <v>0.33328167762343458</v>
      </c>
      <c r="F1996" s="518" t="s">
        <v>524</v>
      </c>
      <c r="G1996" s="528" t="s">
        <v>16</v>
      </c>
      <c r="H1996" s="527">
        <v>2</v>
      </c>
      <c r="I1996" s="527">
        <v>1</v>
      </c>
      <c r="J1996" s="527">
        <v>3</v>
      </c>
      <c r="K1996" s="527">
        <v>1</v>
      </c>
      <c r="L1996" s="529">
        <v>1</v>
      </c>
      <c r="M1996" s="626">
        <f t="shared" si="63"/>
        <v>0.37356464144298934</v>
      </c>
      <c r="N1996" s="530"/>
    </row>
    <row r="1997" spans="1:14" hidden="1" x14ac:dyDescent="0.2">
      <c r="A1997" s="621" t="s">
        <v>463</v>
      </c>
      <c r="B1997" s="622" t="s">
        <v>538</v>
      </c>
      <c r="C1997" s="247" t="s">
        <v>41</v>
      </c>
      <c r="D1997" s="527" t="s">
        <v>135</v>
      </c>
      <c r="E1997" s="623">
        <v>0.33614896030804597</v>
      </c>
      <c r="F1997" s="518" t="s">
        <v>525</v>
      </c>
      <c r="G1997" s="528" t="s">
        <v>16</v>
      </c>
      <c r="H1997" s="527">
        <v>2</v>
      </c>
      <c r="I1997" s="527">
        <v>1</v>
      </c>
      <c r="J1997" s="527">
        <v>3</v>
      </c>
      <c r="K1997" s="527">
        <v>1</v>
      </c>
      <c r="L1997" s="529">
        <v>1</v>
      </c>
      <c r="M1997" s="626">
        <f t="shared" si="63"/>
        <v>0.37356464144298934</v>
      </c>
      <c r="N1997" s="530"/>
    </row>
    <row r="1998" spans="1:14" hidden="1" x14ac:dyDescent="0.2">
      <c r="A1998" s="621" t="s">
        <v>463</v>
      </c>
      <c r="B1998" s="622" t="s">
        <v>538</v>
      </c>
      <c r="C1998" s="247" t="s">
        <v>42</v>
      </c>
      <c r="D1998" s="527" t="s">
        <v>135</v>
      </c>
      <c r="E1998" s="623">
        <v>0.34064740825323631</v>
      </c>
      <c r="F1998" s="518" t="s">
        <v>526</v>
      </c>
      <c r="G1998" s="528" t="s">
        <v>16</v>
      </c>
      <c r="H1998" s="527">
        <v>2</v>
      </c>
      <c r="I1998" s="527">
        <v>1</v>
      </c>
      <c r="J1998" s="527">
        <v>3</v>
      </c>
      <c r="K1998" s="527">
        <v>1</v>
      </c>
      <c r="L1998" s="529">
        <v>1</v>
      </c>
      <c r="M1998" s="626">
        <f t="shared" si="63"/>
        <v>0.37356464144298934</v>
      </c>
      <c r="N1998" s="530"/>
    </row>
    <row r="1999" spans="1:14" hidden="1" x14ac:dyDescent="0.2">
      <c r="A1999" s="621" t="s">
        <v>463</v>
      </c>
      <c r="B1999" s="622" t="s">
        <v>538</v>
      </c>
      <c r="C1999" s="247" t="s">
        <v>43</v>
      </c>
      <c r="D1999" s="527" t="s">
        <v>135</v>
      </c>
      <c r="E1999" s="623">
        <v>0.33115351669752302</v>
      </c>
      <c r="F1999" s="518" t="s">
        <v>527</v>
      </c>
      <c r="G1999" s="528" t="s">
        <v>16</v>
      </c>
      <c r="H1999" s="527">
        <v>2</v>
      </c>
      <c r="I1999" s="527">
        <v>1</v>
      </c>
      <c r="J1999" s="527">
        <v>3</v>
      </c>
      <c r="K1999" s="527">
        <v>1</v>
      </c>
      <c r="L1999" s="529">
        <v>1</v>
      </c>
      <c r="M1999" s="626">
        <f t="shared" si="63"/>
        <v>0.37356464144298934</v>
      </c>
      <c r="N1999" s="530"/>
    </row>
    <row r="2000" spans="1:14" x14ac:dyDescent="0.2">
      <c r="A2000" s="621" t="s">
        <v>463</v>
      </c>
      <c r="B2000" s="622" t="s">
        <v>538</v>
      </c>
      <c r="C2000" s="247" t="s">
        <v>45</v>
      </c>
      <c r="D2000" s="527" t="s">
        <v>135</v>
      </c>
      <c r="E2000" s="623">
        <v>0.33418646460391188</v>
      </c>
      <c r="F2000" s="518" t="s">
        <v>528</v>
      </c>
      <c r="G2000" s="528" t="s">
        <v>16</v>
      </c>
      <c r="H2000" s="527">
        <v>2</v>
      </c>
      <c r="I2000" s="527">
        <v>1</v>
      </c>
      <c r="J2000" s="527">
        <v>3</v>
      </c>
      <c r="K2000" s="527">
        <v>1</v>
      </c>
      <c r="L2000" s="529">
        <v>1</v>
      </c>
      <c r="M2000" s="626">
        <f t="shared" si="63"/>
        <v>0.37356464144298934</v>
      </c>
      <c r="N2000" s="530"/>
    </row>
    <row r="2001" spans="1:14" hidden="1" x14ac:dyDescent="0.2">
      <c r="A2001" s="621" t="s">
        <v>463</v>
      </c>
      <c r="B2001" s="622" t="s">
        <v>538</v>
      </c>
      <c r="C2001" s="247" t="s">
        <v>46</v>
      </c>
      <c r="D2001" s="527" t="s">
        <v>135</v>
      </c>
      <c r="E2001" s="623">
        <v>0.33788207339741111</v>
      </c>
      <c r="F2001" s="518" t="s">
        <v>529</v>
      </c>
      <c r="G2001" s="528" t="s">
        <v>16</v>
      </c>
      <c r="H2001" s="527">
        <v>2</v>
      </c>
      <c r="I2001" s="527">
        <v>1</v>
      </c>
      <c r="J2001" s="527">
        <v>3</v>
      </c>
      <c r="K2001" s="527">
        <v>1</v>
      </c>
      <c r="L2001" s="529">
        <v>1</v>
      </c>
      <c r="M2001" s="626">
        <f t="shared" si="63"/>
        <v>0.37356464144298934</v>
      </c>
      <c r="N2001" s="530"/>
    </row>
    <row r="2002" spans="1:14" hidden="1" x14ac:dyDescent="0.2">
      <c r="A2002" s="621" t="s">
        <v>463</v>
      </c>
      <c r="B2002" s="622" t="s">
        <v>538</v>
      </c>
      <c r="C2002" s="247" t="s">
        <v>48</v>
      </c>
      <c r="D2002" s="527" t="s">
        <v>135</v>
      </c>
      <c r="E2002" s="623">
        <v>0.34907084760669449</v>
      </c>
      <c r="F2002" s="518" t="s">
        <v>530</v>
      </c>
      <c r="G2002" s="528" t="s">
        <v>16</v>
      </c>
      <c r="H2002" s="527">
        <v>2</v>
      </c>
      <c r="I2002" s="527">
        <v>1</v>
      </c>
      <c r="J2002" s="527">
        <v>3</v>
      </c>
      <c r="K2002" s="527">
        <v>1</v>
      </c>
      <c r="L2002" s="529">
        <v>1</v>
      </c>
      <c r="M2002" s="626">
        <f t="shared" si="63"/>
        <v>0.37356464144298934</v>
      </c>
      <c r="N2002" s="530"/>
    </row>
    <row r="2003" spans="1:14" hidden="1" x14ac:dyDescent="0.2">
      <c r="A2003" s="621" t="s">
        <v>463</v>
      </c>
      <c r="B2003" s="622" t="s">
        <v>538</v>
      </c>
      <c r="C2003" s="247" t="s">
        <v>50</v>
      </c>
      <c r="D2003" s="527" t="s">
        <v>135</v>
      </c>
      <c r="E2003" s="623">
        <v>0.33544806898514101</v>
      </c>
      <c r="F2003" s="518" t="s">
        <v>531</v>
      </c>
      <c r="G2003" s="528" t="s">
        <v>16</v>
      </c>
      <c r="H2003" s="527">
        <v>2</v>
      </c>
      <c r="I2003" s="527">
        <v>1</v>
      </c>
      <c r="J2003" s="527">
        <v>3</v>
      </c>
      <c r="K2003" s="527">
        <v>1</v>
      </c>
      <c r="L2003" s="529">
        <v>1</v>
      </c>
      <c r="M2003" s="626">
        <f t="shared" si="63"/>
        <v>0.37356464144298934</v>
      </c>
      <c r="N2003" s="530"/>
    </row>
    <row r="2004" spans="1:14" hidden="1" x14ac:dyDescent="0.2">
      <c r="A2004" s="621" t="s">
        <v>463</v>
      </c>
      <c r="B2004" s="622" t="s">
        <v>538</v>
      </c>
      <c r="C2004" s="247" t="s">
        <v>52</v>
      </c>
      <c r="D2004" s="527" t="s">
        <v>135</v>
      </c>
      <c r="E2004" s="623">
        <v>0.33789481687600931</v>
      </c>
      <c r="F2004" s="518" t="s">
        <v>532</v>
      </c>
      <c r="G2004" s="528" t="s">
        <v>16</v>
      </c>
      <c r="H2004" s="527">
        <v>2</v>
      </c>
      <c r="I2004" s="527">
        <v>1</v>
      </c>
      <c r="J2004" s="527">
        <v>3</v>
      </c>
      <c r="K2004" s="527">
        <v>1</v>
      </c>
      <c r="L2004" s="529">
        <v>1</v>
      </c>
      <c r="M2004" s="626">
        <f t="shared" si="63"/>
        <v>0.37356464144298934</v>
      </c>
      <c r="N2004" s="530"/>
    </row>
    <row r="2005" spans="1:14" hidden="1" x14ac:dyDescent="0.2">
      <c r="A2005" s="621" t="s">
        <v>463</v>
      </c>
      <c r="B2005" s="622" t="s">
        <v>538</v>
      </c>
      <c r="C2005" s="247" t="s">
        <v>54</v>
      </c>
      <c r="D2005" s="527" t="s">
        <v>135</v>
      </c>
      <c r="E2005" s="623">
        <v>0.34062192129603969</v>
      </c>
      <c r="F2005" s="518" t="s">
        <v>533</v>
      </c>
      <c r="G2005" s="528" t="s">
        <v>16</v>
      </c>
      <c r="H2005" s="527">
        <v>2</v>
      </c>
      <c r="I2005" s="527">
        <v>1</v>
      </c>
      <c r="J2005" s="527">
        <v>3</v>
      </c>
      <c r="K2005" s="527">
        <v>1</v>
      </c>
      <c r="L2005" s="529">
        <v>1</v>
      </c>
      <c r="M2005" s="626">
        <f t="shared" si="63"/>
        <v>0.37356464144298934</v>
      </c>
      <c r="N2005" s="530"/>
    </row>
    <row r="2006" spans="1:14" hidden="1" x14ac:dyDescent="0.2">
      <c r="A2006" s="621" t="s">
        <v>463</v>
      </c>
      <c r="B2006" s="622" t="s">
        <v>538</v>
      </c>
      <c r="C2006" s="247" t="s">
        <v>55</v>
      </c>
      <c r="D2006" s="527" t="s">
        <v>135</v>
      </c>
      <c r="E2006" s="623">
        <v>0.34905810412809629</v>
      </c>
      <c r="F2006" s="518" t="s">
        <v>534</v>
      </c>
      <c r="G2006" s="528" t="s">
        <v>16</v>
      </c>
      <c r="H2006" s="527">
        <v>2</v>
      </c>
      <c r="I2006" s="527">
        <v>1</v>
      </c>
      <c r="J2006" s="527">
        <v>3</v>
      </c>
      <c r="K2006" s="527">
        <v>1</v>
      </c>
      <c r="L2006" s="529">
        <v>1</v>
      </c>
      <c r="M2006" s="626">
        <f t="shared" si="63"/>
        <v>0.37356464144298934</v>
      </c>
      <c r="N2006" s="530"/>
    </row>
    <row r="2007" spans="1:14" hidden="1" x14ac:dyDescent="0.2">
      <c r="A2007" s="621" t="s">
        <v>463</v>
      </c>
      <c r="B2007" s="622" t="s">
        <v>538</v>
      </c>
      <c r="C2007" s="247" t="s">
        <v>57</v>
      </c>
      <c r="D2007" s="527" t="s">
        <v>135</v>
      </c>
      <c r="E2007" s="623">
        <v>0.33419920808251019</v>
      </c>
      <c r="F2007" s="518" t="s">
        <v>535</v>
      </c>
      <c r="G2007" s="528" t="s">
        <v>16</v>
      </c>
      <c r="H2007" s="527">
        <v>2</v>
      </c>
      <c r="I2007" s="527">
        <v>1</v>
      </c>
      <c r="J2007" s="527">
        <v>3</v>
      </c>
      <c r="K2007" s="527">
        <v>1</v>
      </c>
      <c r="L2007" s="529">
        <v>1</v>
      </c>
      <c r="M2007" s="626">
        <f t="shared" si="63"/>
        <v>0.37356464144298934</v>
      </c>
      <c r="N2007" s="530"/>
    </row>
    <row r="2008" spans="1:14" hidden="1" x14ac:dyDescent="0.2">
      <c r="A2008" s="621" t="s">
        <v>463</v>
      </c>
      <c r="B2008" s="622" t="s">
        <v>538</v>
      </c>
      <c r="C2008" s="247" t="s">
        <v>59</v>
      </c>
      <c r="D2008" s="527" t="s">
        <v>135</v>
      </c>
      <c r="E2008" s="623">
        <v>0.33303955153006742</v>
      </c>
      <c r="F2008" s="518" t="s">
        <v>536</v>
      </c>
      <c r="G2008" s="528" t="s">
        <v>16</v>
      </c>
      <c r="H2008" s="527">
        <v>2</v>
      </c>
      <c r="I2008" s="527">
        <v>1</v>
      </c>
      <c r="J2008" s="527">
        <v>3</v>
      </c>
      <c r="K2008" s="527">
        <v>1</v>
      </c>
      <c r="L2008" s="529">
        <v>1</v>
      </c>
      <c r="M2008" s="626">
        <f t="shared" si="63"/>
        <v>0.37356464144298934</v>
      </c>
      <c r="N2008" s="530"/>
    </row>
    <row r="2009" spans="1:14" hidden="1" x14ac:dyDescent="0.2">
      <c r="A2009" s="621" t="s">
        <v>463</v>
      </c>
      <c r="B2009" s="622" t="s">
        <v>538</v>
      </c>
      <c r="C2009" s="247" t="s">
        <v>60</v>
      </c>
      <c r="D2009" s="527" t="s">
        <v>135</v>
      </c>
      <c r="E2009" s="627">
        <v>0.33000660362367851</v>
      </c>
      <c r="F2009" s="518" t="s">
        <v>537</v>
      </c>
      <c r="G2009" s="528" t="s">
        <v>16</v>
      </c>
      <c r="H2009" s="527">
        <v>1</v>
      </c>
      <c r="I2009" s="527">
        <v>1</v>
      </c>
      <c r="J2009" s="527">
        <v>3</v>
      </c>
      <c r="K2009" s="527">
        <v>1</v>
      </c>
      <c r="L2009" s="529">
        <v>1</v>
      </c>
      <c r="M2009" s="521">
        <f t="shared" si="63"/>
        <v>0.35859414261160716</v>
      </c>
      <c r="N2009" s="522"/>
    </row>
    <row r="2010" spans="1:14" hidden="1" x14ac:dyDescent="0.2">
      <c r="A2010" s="621" t="s">
        <v>463</v>
      </c>
      <c r="B2010" s="622" t="s">
        <v>539</v>
      </c>
      <c r="C2010" s="247" t="s">
        <v>13</v>
      </c>
      <c r="D2010" s="527" t="s">
        <v>135</v>
      </c>
      <c r="E2010" s="539">
        <v>0</v>
      </c>
      <c r="F2010" s="518" t="s">
        <v>508</v>
      </c>
      <c r="G2010" s="528" t="s">
        <v>16</v>
      </c>
      <c r="H2010" s="539"/>
      <c r="I2010" s="539"/>
      <c r="J2010" s="539"/>
      <c r="K2010" s="539"/>
      <c r="L2010" s="540"/>
      <c r="M2010" s="721" t="str">
        <f t="shared" si="63"/>
        <v/>
      </c>
      <c r="N2010" s="530"/>
    </row>
    <row r="2011" spans="1:14" hidden="1" x14ac:dyDescent="0.2">
      <c r="A2011" s="621" t="s">
        <v>463</v>
      </c>
      <c r="B2011" s="622" t="s">
        <v>539</v>
      </c>
      <c r="C2011" s="247" t="s">
        <v>18</v>
      </c>
      <c r="D2011" s="527" t="s">
        <v>135</v>
      </c>
      <c r="E2011" s="527">
        <f>1-(E1921+E1951+E1981)</f>
        <v>1.1469130738439581E-4</v>
      </c>
      <c r="F2011" s="518" t="s">
        <v>509</v>
      </c>
      <c r="G2011" s="528" t="s">
        <v>16</v>
      </c>
      <c r="H2011" s="527">
        <v>2</v>
      </c>
      <c r="I2011" s="527">
        <v>1</v>
      </c>
      <c r="J2011" s="527">
        <v>3</v>
      </c>
      <c r="K2011" s="527">
        <v>1</v>
      </c>
      <c r="L2011" s="529">
        <v>1</v>
      </c>
      <c r="M2011" s="626">
        <f t="shared" si="63"/>
        <v>0.37356464144298934</v>
      </c>
      <c r="N2011" s="530"/>
    </row>
    <row r="2012" spans="1:14" hidden="1" x14ac:dyDescent="0.2">
      <c r="A2012" s="621" t="s">
        <v>463</v>
      </c>
      <c r="B2012" s="622" t="s">
        <v>539</v>
      </c>
      <c r="C2012" s="247" t="s">
        <v>20</v>
      </c>
      <c r="D2012" s="527" t="s">
        <v>135</v>
      </c>
      <c r="E2012" s="527">
        <f>1-(E1922+E1952+E1982)</f>
        <v>4.2053479374293268E-4</v>
      </c>
      <c r="F2012" s="518" t="s">
        <v>510</v>
      </c>
      <c r="G2012" s="528" t="s">
        <v>16</v>
      </c>
      <c r="H2012" s="527">
        <v>2</v>
      </c>
      <c r="I2012" s="527">
        <v>1</v>
      </c>
      <c r="J2012" s="527">
        <v>3</v>
      </c>
      <c r="K2012" s="527">
        <v>1</v>
      </c>
      <c r="L2012" s="529">
        <v>1</v>
      </c>
      <c r="M2012" s="626">
        <f t="shared" si="63"/>
        <v>0.37356464144298934</v>
      </c>
      <c r="N2012" s="530"/>
    </row>
    <row r="2013" spans="1:14" hidden="1" x14ac:dyDescent="0.2">
      <c r="A2013" s="621" t="s">
        <v>463</v>
      </c>
      <c r="B2013" s="622" t="s">
        <v>539</v>
      </c>
      <c r="C2013" s="247" t="s">
        <v>22</v>
      </c>
      <c r="D2013" s="527" t="s">
        <v>135</v>
      </c>
      <c r="E2013" s="527">
        <f>1-(E1923+E1953+E1983)</f>
        <v>3.6318914005076808E-3</v>
      </c>
      <c r="F2013" s="518" t="s">
        <v>511</v>
      </c>
      <c r="G2013" s="528" t="s">
        <v>16</v>
      </c>
      <c r="H2013" s="527">
        <v>2</v>
      </c>
      <c r="I2013" s="527">
        <v>1</v>
      </c>
      <c r="J2013" s="527">
        <v>3</v>
      </c>
      <c r="K2013" s="527">
        <v>1</v>
      </c>
      <c r="L2013" s="529">
        <v>1</v>
      </c>
      <c r="M2013" s="626">
        <f t="shared" si="63"/>
        <v>0.37356464144298934</v>
      </c>
      <c r="N2013" s="530"/>
    </row>
    <row r="2014" spans="1:14" hidden="1" x14ac:dyDescent="0.2">
      <c r="A2014" s="621" t="s">
        <v>463</v>
      </c>
      <c r="B2014" s="622" t="s">
        <v>539</v>
      </c>
      <c r="C2014" s="247" t="s">
        <v>23</v>
      </c>
      <c r="D2014" s="527" t="s">
        <v>135</v>
      </c>
      <c r="E2014" s="527">
        <f>1-(E1924+E1954+E1984)</f>
        <v>2.7016174628338163E-3</v>
      </c>
      <c r="F2014" s="518" t="s">
        <v>512</v>
      </c>
      <c r="G2014" s="528" t="s">
        <v>16</v>
      </c>
      <c r="H2014" s="527">
        <v>2</v>
      </c>
      <c r="I2014" s="527">
        <v>1</v>
      </c>
      <c r="J2014" s="527">
        <v>3</v>
      </c>
      <c r="K2014" s="527">
        <v>1</v>
      </c>
      <c r="L2014" s="529">
        <v>1</v>
      </c>
      <c r="M2014" s="626">
        <f>IF( OR( ISBLANK(H2014),ISBLANK(I2014), ISBLANK(J2014), ISBLANK(K2014), ISBLANK(L2014) ), "", 1.5*SQRT(   EXP(2.21*(H2014-1)) + EXP(2.21*(I2014-1)) + EXP(2.21*(J2014-1)) + EXP(2.21*(K2014-1)) + EXP(2.21*L2014)   )/100*2.45 )</f>
        <v>0.37356464144298934</v>
      </c>
      <c r="N2014" s="530"/>
    </row>
    <row r="2015" spans="1:14" hidden="1" x14ac:dyDescent="0.2">
      <c r="A2015" s="621" t="s">
        <v>463</v>
      </c>
      <c r="B2015" s="622" t="s">
        <v>539</v>
      </c>
      <c r="C2015" s="247" t="s">
        <v>24</v>
      </c>
      <c r="D2015" s="527" t="s">
        <v>135</v>
      </c>
      <c r="E2015" s="539">
        <v>0</v>
      </c>
      <c r="F2015" s="518" t="s">
        <v>508</v>
      </c>
      <c r="G2015" s="528" t="s">
        <v>16</v>
      </c>
      <c r="H2015" s="539"/>
      <c r="I2015" s="539"/>
      <c r="J2015" s="539"/>
      <c r="K2015" s="539"/>
      <c r="L2015" s="540"/>
      <c r="M2015" s="721" t="str">
        <f t="shared" ref="M2015:M2044" si="64">IF( OR( ISBLANK(H2015),ISBLANK(I2015), ISBLANK(J2015), ISBLANK(K2015), ISBLANK(L2015) ), "", 1.5*SQRT( EXP(2.21*(H2015-1)) + EXP(2.21*(I2015-1)) + EXP(2.21*(J2015-1)) + EXP(2.21*(K2015-1)) + EXP(2.21*L2015) )/100*2.45 )</f>
        <v/>
      </c>
      <c r="N2015" s="530"/>
    </row>
    <row r="2016" spans="1:14" hidden="1" x14ac:dyDescent="0.2">
      <c r="A2016" s="621" t="s">
        <v>463</v>
      </c>
      <c r="B2016" s="622" t="s">
        <v>539</v>
      </c>
      <c r="C2016" s="247" t="s">
        <v>25</v>
      </c>
      <c r="D2016" s="527" t="s">
        <v>135</v>
      </c>
      <c r="E2016" s="527">
        <f t="shared" ref="E2016:E2021" si="65">1-(E1926+E1956+E1986)</f>
        <v>1.0322217664600064E-3</v>
      </c>
      <c r="F2016" s="518" t="s">
        <v>514</v>
      </c>
      <c r="G2016" s="528" t="s">
        <v>16</v>
      </c>
      <c r="H2016" s="527">
        <v>2</v>
      </c>
      <c r="I2016" s="527">
        <v>1</v>
      </c>
      <c r="J2016" s="527">
        <v>3</v>
      </c>
      <c r="K2016" s="527">
        <v>1</v>
      </c>
      <c r="L2016" s="529">
        <v>1</v>
      </c>
      <c r="M2016" s="626">
        <f t="shared" si="64"/>
        <v>0.37356464144298934</v>
      </c>
      <c r="N2016" s="530"/>
    </row>
    <row r="2017" spans="1:14" hidden="1" x14ac:dyDescent="0.2">
      <c r="A2017" s="621" t="s">
        <v>463</v>
      </c>
      <c r="B2017" s="622" t="s">
        <v>539</v>
      </c>
      <c r="C2017" s="247" t="s">
        <v>26</v>
      </c>
      <c r="D2017" s="527" t="s">
        <v>135</v>
      </c>
      <c r="E2017" s="527">
        <f t="shared" si="65"/>
        <v>6.1168697271707373E-4</v>
      </c>
      <c r="F2017" s="518" t="s">
        <v>515</v>
      </c>
      <c r="G2017" s="528" t="s">
        <v>16</v>
      </c>
      <c r="H2017" s="527">
        <v>2</v>
      </c>
      <c r="I2017" s="527">
        <v>1</v>
      </c>
      <c r="J2017" s="527">
        <v>3</v>
      </c>
      <c r="K2017" s="527">
        <v>1</v>
      </c>
      <c r="L2017" s="529">
        <v>1</v>
      </c>
      <c r="M2017" s="626">
        <f t="shared" si="64"/>
        <v>0.37356464144298934</v>
      </c>
      <c r="N2017" s="530"/>
    </row>
    <row r="2018" spans="1:14" hidden="1" x14ac:dyDescent="0.2">
      <c r="A2018" s="621" t="s">
        <v>463</v>
      </c>
      <c r="B2018" s="622" t="s">
        <v>539</v>
      </c>
      <c r="C2018" s="247" t="s">
        <v>27</v>
      </c>
      <c r="D2018" s="527" t="s">
        <v>135</v>
      </c>
      <c r="E2018" s="527">
        <f t="shared" si="65"/>
        <v>2.8035652916180709E-4</v>
      </c>
      <c r="F2018" s="518" t="s">
        <v>516</v>
      </c>
      <c r="G2018" s="528" t="s">
        <v>16</v>
      </c>
      <c r="H2018" s="527">
        <v>2</v>
      </c>
      <c r="I2018" s="527">
        <v>1</v>
      </c>
      <c r="J2018" s="527">
        <v>3</v>
      </c>
      <c r="K2018" s="527">
        <v>1</v>
      </c>
      <c r="L2018" s="529">
        <v>1</v>
      </c>
      <c r="M2018" s="626">
        <f t="shared" si="64"/>
        <v>0.37356464144298934</v>
      </c>
      <c r="N2018" s="530"/>
    </row>
    <row r="2019" spans="1:14" hidden="1" x14ac:dyDescent="0.2">
      <c r="A2019" s="621" t="s">
        <v>463</v>
      </c>
      <c r="B2019" s="622" t="s">
        <v>539</v>
      </c>
      <c r="C2019" s="247" t="s">
        <v>28</v>
      </c>
      <c r="D2019" s="527" t="s">
        <v>135</v>
      </c>
      <c r="E2019" s="527">
        <f t="shared" si="65"/>
        <v>4.0779131514456779E-4</v>
      </c>
      <c r="F2019" s="518" t="s">
        <v>517</v>
      </c>
      <c r="G2019" s="528" t="s">
        <v>16</v>
      </c>
      <c r="H2019" s="527">
        <v>2</v>
      </c>
      <c r="I2019" s="527">
        <v>1</v>
      </c>
      <c r="J2019" s="527">
        <v>3</v>
      </c>
      <c r="K2019" s="527">
        <v>1</v>
      </c>
      <c r="L2019" s="529">
        <v>1</v>
      </c>
      <c r="M2019" s="626">
        <f t="shared" si="64"/>
        <v>0.37356464144298934</v>
      </c>
      <c r="N2019" s="530"/>
    </row>
    <row r="2020" spans="1:14" hidden="1" x14ac:dyDescent="0.2">
      <c r="A2020" s="621" t="s">
        <v>463</v>
      </c>
      <c r="B2020" s="622" t="s">
        <v>539</v>
      </c>
      <c r="C2020" s="247" t="s">
        <v>30</v>
      </c>
      <c r="D2020" s="527" t="s">
        <v>135</v>
      </c>
      <c r="E2020" s="527">
        <f t="shared" si="65"/>
        <v>1.7840870037566514E-4</v>
      </c>
      <c r="F2020" s="518" t="s">
        <v>518</v>
      </c>
      <c r="G2020" s="528" t="s">
        <v>16</v>
      </c>
      <c r="H2020" s="527">
        <v>2</v>
      </c>
      <c r="I2020" s="527">
        <v>1</v>
      </c>
      <c r="J2020" s="527">
        <v>3</v>
      </c>
      <c r="K2020" s="527">
        <v>1</v>
      </c>
      <c r="L2020" s="529">
        <v>1</v>
      </c>
      <c r="M2020" s="626">
        <f t="shared" si="64"/>
        <v>0.37356464144298934</v>
      </c>
      <c r="N2020" s="530"/>
    </row>
    <row r="2021" spans="1:14" hidden="1" x14ac:dyDescent="0.2">
      <c r="A2021" s="621" t="s">
        <v>463</v>
      </c>
      <c r="B2021" s="622" t="s">
        <v>539</v>
      </c>
      <c r="C2021" s="247" t="s">
        <v>32</v>
      </c>
      <c r="D2021" s="527" t="s">
        <v>135</v>
      </c>
      <c r="E2021" s="527">
        <f t="shared" si="65"/>
        <v>2.2810826690908836E-3</v>
      </c>
      <c r="F2021" s="518" t="s">
        <v>519</v>
      </c>
      <c r="G2021" s="528" t="s">
        <v>16</v>
      </c>
      <c r="H2021" s="527">
        <v>2</v>
      </c>
      <c r="I2021" s="527">
        <v>1</v>
      </c>
      <c r="J2021" s="527">
        <v>3</v>
      </c>
      <c r="K2021" s="527">
        <v>1</v>
      </c>
      <c r="L2021" s="529">
        <v>1</v>
      </c>
      <c r="M2021" s="626">
        <f t="shared" si="64"/>
        <v>0.37356464144298934</v>
      </c>
      <c r="N2021" s="530"/>
    </row>
    <row r="2022" spans="1:14" hidden="1" x14ac:dyDescent="0.2">
      <c r="A2022" s="621" t="s">
        <v>463</v>
      </c>
      <c r="B2022" s="622" t="s">
        <v>539</v>
      </c>
      <c r="C2022" s="247" t="s">
        <v>34</v>
      </c>
      <c r="D2022" s="527" t="s">
        <v>135</v>
      </c>
      <c r="E2022" s="539">
        <v>0</v>
      </c>
      <c r="F2022" s="518" t="s">
        <v>508</v>
      </c>
      <c r="G2022" s="528" t="s">
        <v>16</v>
      </c>
      <c r="H2022" s="539"/>
      <c r="I2022" s="539"/>
      <c r="J2022" s="539"/>
      <c r="K2022" s="539"/>
      <c r="L2022" s="540"/>
      <c r="M2022" s="721" t="str">
        <f t="shared" si="64"/>
        <v/>
      </c>
      <c r="N2022" s="530"/>
    </row>
    <row r="2023" spans="1:14" hidden="1" x14ac:dyDescent="0.2">
      <c r="A2023" s="621" t="s">
        <v>463</v>
      </c>
      <c r="B2023" s="622" t="s">
        <v>539</v>
      </c>
      <c r="C2023" s="247" t="s">
        <v>36</v>
      </c>
      <c r="D2023" s="527" t="s">
        <v>135</v>
      </c>
      <c r="E2023" s="527">
        <f>1-(E1933+E1963+E1993)</f>
        <v>9.6850437346862606E-4</v>
      </c>
      <c r="F2023" s="518" t="s">
        <v>521</v>
      </c>
      <c r="G2023" s="528" t="s">
        <v>16</v>
      </c>
      <c r="H2023" s="527">
        <v>2</v>
      </c>
      <c r="I2023" s="527">
        <v>1</v>
      </c>
      <c r="J2023" s="527">
        <v>3</v>
      </c>
      <c r="K2023" s="527">
        <v>1</v>
      </c>
      <c r="L2023" s="529">
        <v>1</v>
      </c>
      <c r="M2023" s="626">
        <f t="shared" si="64"/>
        <v>0.37356464144298934</v>
      </c>
      <c r="N2023" s="530"/>
    </row>
    <row r="2024" spans="1:14" hidden="1" x14ac:dyDescent="0.2">
      <c r="A2024" s="621" t="s">
        <v>463</v>
      </c>
      <c r="B2024" s="622" t="s">
        <v>539</v>
      </c>
      <c r="C2024" s="247" t="s">
        <v>37</v>
      </c>
      <c r="D2024" s="527" t="s">
        <v>135</v>
      </c>
      <c r="E2024" s="527">
        <f>1-(E1934+E1964+E1994)</f>
        <v>6.8814784430659692E-4</v>
      </c>
      <c r="F2024" s="518" t="s">
        <v>522</v>
      </c>
      <c r="G2024" s="528" t="s">
        <v>16</v>
      </c>
      <c r="H2024" s="527">
        <v>2</v>
      </c>
      <c r="I2024" s="527">
        <v>1</v>
      </c>
      <c r="J2024" s="527">
        <v>3</v>
      </c>
      <c r="K2024" s="527">
        <v>1</v>
      </c>
      <c r="L2024" s="529">
        <v>1</v>
      </c>
      <c r="M2024" s="626">
        <f t="shared" si="64"/>
        <v>0.37356464144298934</v>
      </c>
      <c r="N2024" s="530"/>
    </row>
    <row r="2025" spans="1:14" hidden="1" x14ac:dyDescent="0.2">
      <c r="A2025" s="621" t="s">
        <v>463</v>
      </c>
      <c r="B2025" s="622" t="s">
        <v>539</v>
      </c>
      <c r="C2025" s="247" t="s">
        <v>39</v>
      </c>
      <c r="D2025" s="527" t="s">
        <v>135</v>
      </c>
      <c r="E2025" s="527">
        <f>1-(E1935+E1965+E1995)</f>
        <v>3.1858696495690175E-4</v>
      </c>
      <c r="F2025" s="518" t="s">
        <v>523</v>
      </c>
      <c r="G2025" s="528" t="s">
        <v>16</v>
      </c>
      <c r="H2025" s="527">
        <v>2</v>
      </c>
      <c r="I2025" s="527">
        <v>1</v>
      </c>
      <c r="J2025" s="527">
        <v>3</v>
      </c>
      <c r="K2025" s="527">
        <v>1</v>
      </c>
      <c r="L2025" s="529">
        <v>1</v>
      </c>
      <c r="M2025" s="626">
        <f t="shared" si="64"/>
        <v>0.37356464144298934</v>
      </c>
      <c r="N2025" s="530"/>
    </row>
    <row r="2026" spans="1:14" hidden="1" x14ac:dyDescent="0.2">
      <c r="A2026" s="621" t="s">
        <v>463</v>
      </c>
      <c r="B2026" s="622" t="s">
        <v>539</v>
      </c>
      <c r="C2026" s="247" t="s">
        <v>40</v>
      </c>
      <c r="D2026" s="527" t="s">
        <v>135</v>
      </c>
      <c r="E2026" s="527">
        <f>1-(E1936+E1966+E1996)</f>
        <v>1.4017826458090354E-4</v>
      </c>
      <c r="F2026" s="518" t="s">
        <v>524</v>
      </c>
      <c r="G2026" s="528" t="s">
        <v>16</v>
      </c>
      <c r="H2026" s="527">
        <v>2</v>
      </c>
      <c r="I2026" s="527">
        <v>1</v>
      </c>
      <c r="J2026" s="527">
        <v>3</v>
      </c>
      <c r="K2026" s="527">
        <v>1</v>
      </c>
      <c r="L2026" s="529">
        <v>1</v>
      </c>
      <c r="M2026" s="626">
        <f t="shared" si="64"/>
        <v>0.37356464144298934</v>
      </c>
      <c r="N2026" s="530"/>
    </row>
    <row r="2027" spans="1:14" hidden="1" x14ac:dyDescent="0.2">
      <c r="A2027" s="621" t="s">
        <v>463</v>
      </c>
      <c r="B2027" s="622" t="s">
        <v>539</v>
      </c>
      <c r="C2027" s="247" t="s">
        <v>41</v>
      </c>
      <c r="D2027" s="527" t="s">
        <v>135</v>
      </c>
      <c r="E2027" s="539">
        <v>0</v>
      </c>
      <c r="F2027" s="518" t="s">
        <v>508</v>
      </c>
      <c r="G2027" s="528" t="s">
        <v>16</v>
      </c>
      <c r="H2027" s="539"/>
      <c r="I2027" s="539"/>
      <c r="J2027" s="539"/>
      <c r="K2027" s="539"/>
      <c r="L2027" s="540"/>
      <c r="M2027" s="721" t="str">
        <f t="shared" si="64"/>
        <v/>
      </c>
      <c r="N2027" s="530"/>
    </row>
    <row r="2028" spans="1:14" hidden="1" x14ac:dyDescent="0.2">
      <c r="A2028" s="621" t="s">
        <v>463</v>
      </c>
      <c r="B2028" s="622" t="s">
        <v>539</v>
      </c>
      <c r="C2028" s="247" t="s">
        <v>42</v>
      </c>
      <c r="D2028" s="527" t="s">
        <v>135</v>
      </c>
      <c r="E2028" s="527">
        <f t="shared" ref="E2028:E2033" si="66">1-(E1938+E1968+E1998)</f>
        <v>2.9182565990042431E-3</v>
      </c>
      <c r="F2028" s="518" t="s">
        <v>526</v>
      </c>
      <c r="G2028" s="528" t="s">
        <v>16</v>
      </c>
      <c r="H2028" s="527">
        <v>2</v>
      </c>
      <c r="I2028" s="527">
        <v>1</v>
      </c>
      <c r="J2028" s="527">
        <v>3</v>
      </c>
      <c r="K2028" s="527">
        <v>1</v>
      </c>
      <c r="L2028" s="529">
        <v>1</v>
      </c>
      <c r="M2028" s="626">
        <f t="shared" si="64"/>
        <v>0.37356464144298934</v>
      </c>
      <c r="N2028" s="530"/>
    </row>
    <row r="2029" spans="1:14" hidden="1" x14ac:dyDescent="0.2">
      <c r="A2029" s="621" t="s">
        <v>463</v>
      </c>
      <c r="B2029" s="622" t="s">
        <v>539</v>
      </c>
      <c r="C2029" s="247" t="s">
        <v>43</v>
      </c>
      <c r="D2029" s="527" t="s">
        <v>135</v>
      </c>
      <c r="E2029" s="527">
        <f t="shared" si="66"/>
        <v>5.9894349411881986E-4</v>
      </c>
      <c r="F2029" s="518" t="s">
        <v>527</v>
      </c>
      <c r="G2029" s="528" t="s">
        <v>16</v>
      </c>
      <c r="H2029" s="527">
        <v>2</v>
      </c>
      <c r="I2029" s="527">
        <v>1</v>
      </c>
      <c r="J2029" s="527">
        <v>3</v>
      </c>
      <c r="K2029" s="527">
        <v>1</v>
      </c>
      <c r="L2029" s="529">
        <v>1</v>
      </c>
      <c r="M2029" s="626">
        <f t="shared" si="64"/>
        <v>0.37356464144298934</v>
      </c>
      <c r="N2029" s="530"/>
    </row>
    <row r="2030" spans="1:14" x14ac:dyDescent="0.2">
      <c r="A2030" s="621" t="s">
        <v>463</v>
      </c>
      <c r="B2030" s="622" t="s">
        <v>539</v>
      </c>
      <c r="C2030" s="247" t="s">
        <v>45</v>
      </c>
      <c r="D2030" s="527" t="s">
        <v>135</v>
      </c>
      <c r="E2030" s="527">
        <f t="shared" si="66"/>
        <v>8.79300023280849E-4</v>
      </c>
      <c r="F2030" s="518" t="s">
        <v>528</v>
      </c>
      <c r="G2030" s="528" t="s">
        <v>16</v>
      </c>
      <c r="H2030" s="527">
        <v>2</v>
      </c>
      <c r="I2030" s="527">
        <v>1</v>
      </c>
      <c r="J2030" s="527">
        <v>3</v>
      </c>
      <c r="K2030" s="527">
        <v>1</v>
      </c>
      <c r="L2030" s="529">
        <v>1</v>
      </c>
      <c r="M2030" s="626">
        <f t="shared" si="64"/>
        <v>0.37356464144298934</v>
      </c>
      <c r="N2030" s="530"/>
    </row>
    <row r="2031" spans="1:14" hidden="1" x14ac:dyDescent="0.2">
      <c r="A2031" s="621" t="s">
        <v>463</v>
      </c>
      <c r="B2031" s="622" t="s">
        <v>539</v>
      </c>
      <c r="C2031" s="247" t="s">
        <v>46</v>
      </c>
      <c r="D2031" s="527" t="s">
        <v>135</v>
      </c>
      <c r="E2031" s="527">
        <f t="shared" si="66"/>
        <v>1.1469130738439581E-4</v>
      </c>
      <c r="F2031" s="518" t="s">
        <v>529</v>
      </c>
      <c r="G2031" s="528" t="s">
        <v>16</v>
      </c>
      <c r="H2031" s="527">
        <v>2</v>
      </c>
      <c r="I2031" s="527">
        <v>1</v>
      </c>
      <c r="J2031" s="527">
        <v>3</v>
      </c>
      <c r="K2031" s="527">
        <v>1</v>
      </c>
      <c r="L2031" s="529">
        <v>1</v>
      </c>
      <c r="M2031" s="626">
        <f t="shared" si="64"/>
        <v>0.37356464144298934</v>
      </c>
      <c r="N2031" s="530"/>
    </row>
    <row r="2032" spans="1:14" hidden="1" x14ac:dyDescent="0.2">
      <c r="A2032" s="621" t="s">
        <v>463</v>
      </c>
      <c r="B2032" s="622" t="s">
        <v>539</v>
      </c>
      <c r="C2032" s="247" t="s">
        <v>48</v>
      </c>
      <c r="D2032" s="527" t="s">
        <v>135</v>
      </c>
      <c r="E2032" s="527">
        <f t="shared" si="66"/>
        <v>1.1469130738446243E-3</v>
      </c>
      <c r="F2032" s="518" t="s">
        <v>530</v>
      </c>
      <c r="G2032" s="528" t="s">
        <v>16</v>
      </c>
      <c r="H2032" s="527">
        <v>2</v>
      </c>
      <c r="I2032" s="527">
        <v>1</v>
      </c>
      <c r="J2032" s="527">
        <v>3</v>
      </c>
      <c r="K2032" s="527">
        <v>1</v>
      </c>
      <c r="L2032" s="529">
        <v>1</v>
      </c>
      <c r="M2032" s="626">
        <f t="shared" si="64"/>
        <v>0.37356464144298934</v>
      </c>
      <c r="N2032" s="530"/>
    </row>
    <row r="2033" spans="1:14" hidden="1" x14ac:dyDescent="0.2">
      <c r="A2033" s="621" t="s">
        <v>463</v>
      </c>
      <c r="B2033" s="622" t="s">
        <v>539</v>
      </c>
      <c r="C2033" s="247" t="s">
        <v>50</v>
      </c>
      <c r="D2033" s="527" t="s">
        <v>135</v>
      </c>
      <c r="E2033" s="527">
        <f t="shared" si="66"/>
        <v>5.0973914393015463E-5</v>
      </c>
      <c r="F2033" s="518" t="s">
        <v>531</v>
      </c>
      <c r="G2033" s="528" t="s">
        <v>16</v>
      </c>
      <c r="H2033" s="527">
        <v>2</v>
      </c>
      <c r="I2033" s="527">
        <v>1</v>
      </c>
      <c r="J2033" s="527">
        <v>3</v>
      </c>
      <c r="K2033" s="527">
        <v>1</v>
      </c>
      <c r="L2033" s="529">
        <v>1</v>
      </c>
      <c r="M2033" s="626">
        <f t="shared" si="64"/>
        <v>0.37356464144298934</v>
      </c>
      <c r="N2033" s="530"/>
    </row>
    <row r="2034" spans="1:14" hidden="1" x14ac:dyDescent="0.2">
      <c r="A2034" s="621" t="s">
        <v>463</v>
      </c>
      <c r="B2034" s="622" t="s">
        <v>539</v>
      </c>
      <c r="C2034" s="247" t="s">
        <v>52</v>
      </c>
      <c r="D2034" s="527" t="s">
        <v>135</v>
      </c>
      <c r="E2034" s="539">
        <v>0</v>
      </c>
      <c r="F2034" s="518" t="s">
        <v>508</v>
      </c>
      <c r="G2034" s="528" t="s">
        <v>16</v>
      </c>
      <c r="H2034" s="539"/>
      <c r="I2034" s="539"/>
      <c r="J2034" s="539"/>
      <c r="K2034" s="539"/>
      <c r="L2034" s="540"/>
      <c r="M2034" s="721" t="str">
        <f t="shared" si="64"/>
        <v/>
      </c>
      <c r="N2034" s="530"/>
    </row>
    <row r="2035" spans="1:14" hidden="1" x14ac:dyDescent="0.2">
      <c r="A2035" s="621" t="s">
        <v>463</v>
      </c>
      <c r="B2035" s="622" t="s">
        <v>539</v>
      </c>
      <c r="C2035" s="247" t="s">
        <v>54</v>
      </c>
      <c r="D2035" s="527" t="s">
        <v>135</v>
      </c>
      <c r="E2035" s="527">
        <f>1-(E1945+E1975+E2005)</f>
        <v>2.4212609336715651E-4</v>
      </c>
      <c r="F2035" s="518" t="s">
        <v>533</v>
      </c>
      <c r="G2035" s="528" t="s">
        <v>16</v>
      </c>
      <c r="H2035" s="527">
        <v>2</v>
      </c>
      <c r="I2035" s="527">
        <v>1</v>
      </c>
      <c r="J2035" s="527">
        <v>3</v>
      </c>
      <c r="K2035" s="527">
        <v>1</v>
      </c>
      <c r="L2035" s="529">
        <v>1</v>
      </c>
      <c r="M2035" s="626">
        <f t="shared" si="64"/>
        <v>0.37356464144298934</v>
      </c>
      <c r="N2035" s="530"/>
    </row>
    <row r="2036" spans="1:14" hidden="1" x14ac:dyDescent="0.2">
      <c r="A2036" s="621" t="s">
        <v>463</v>
      </c>
      <c r="B2036" s="622" t="s">
        <v>539</v>
      </c>
      <c r="C2036" s="247" t="s">
        <v>55</v>
      </c>
      <c r="D2036" s="527" t="s">
        <v>135</v>
      </c>
      <c r="E2036" s="527">
        <f>1-(E1946+E1976+E2006)</f>
        <v>1.2616043812290201E-3</v>
      </c>
      <c r="F2036" s="518" t="s">
        <v>534</v>
      </c>
      <c r="G2036" s="528" t="s">
        <v>16</v>
      </c>
      <c r="H2036" s="527">
        <v>2</v>
      </c>
      <c r="I2036" s="527">
        <v>1</v>
      </c>
      <c r="J2036" s="527">
        <v>3</v>
      </c>
      <c r="K2036" s="527">
        <v>1</v>
      </c>
      <c r="L2036" s="529">
        <v>1</v>
      </c>
      <c r="M2036" s="626">
        <f t="shared" si="64"/>
        <v>0.37356464144298934</v>
      </c>
      <c r="N2036" s="530"/>
    </row>
    <row r="2037" spans="1:14" hidden="1" x14ac:dyDescent="0.2">
      <c r="A2037" s="621" t="s">
        <v>463</v>
      </c>
      <c r="B2037" s="622" t="s">
        <v>539</v>
      </c>
      <c r="C2037" s="247" t="s">
        <v>57</v>
      </c>
      <c r="D2037" s="527" t="s">
        <v>135</v>
      </c>
      <c r="E2037" s="527">
        <f>1-(E1947+E1977+E2007)</f>
        <v>6.4991740851194635E-4</v>
      </c>
      <c r="F2037" s="518" t="s">
        <v>535</v>
      </c>
      <c r="G2037" s="528" t="s">
        <v>16</v>
      </c>
      <c r="H2037" s="527">
        <v>2</v>
      </c>
      <c r="I2037" s="527">
        <v>1</v>
      </c>
      <c r="J2037" s="527">
        <v>3</v>
      </c>
      <c r="K2037" s="527">
        <v>1</v>
      </c>
      <c r="L2037" s="529">
        <v>1</v>
      </c>
      <c r="M2037" s="626">
        <f t="shared" si="64"/>
        <v>0.37356464144298934</v>
      </c>
      <c r="N2037" s="530"/>
    </row>
    <row r="2038" spans="1:14" hidden="1" x14ac:dyDescent="0.2">
      <c r="A2038" s="621" t="s">
        <v>463</v>
      </c>
      <c r="B2038" s="622" t="s">
        <v>539</v>
      </c>
      <c r="C2038" s="247" t="s">
        <v>59</v>
      </c>
      <c r="D2038" s="527" t="s">
        <v>135</v>
      </c>
      <c r="E2038" s="539">
        <v>0</v>
      </c>
      <c r="F2038" s="518" t="s">
        <v>536</v>
      </c>
      <c r="G2038" s="528" t="s">
        <v>16</v>
      </c>
      <c r="H2038" s="539"/>
      <c r="I2038" s="539"/>
      <c r="J2038" s="539"/>
      <c r="K2038" s="539"/>
      <c r="L2038" s="540"/>
      <c r="M2038" s="721" t="str">
        <f t="shared" si="64"/>
        <v/>
      </c>
      <c r="N2038" s="530"/>
    </row>
    <row r="2039" spans="1:14" hidden="1" x14ac:dyDescent="0.2">
      <c r="A2039" s="629" t="s">
        <v>463</v>
      </c>
      <c r="B2039" s="630" t="s">
        <v>539</v>
      </c>
      <c r="C2039" s="287" t="s">
        <v>60</v>
      </c>
      <c r="D2039" s="330" t="s">
        <v>135</v>
      </c>
      <c r="E2039" s="330">
        <f>1-(E1949+E1979+E2009)</f>
        <v>4.7150870813594814E-4</v>
      </c>
      <c r="F2039" s="655" t="s">
        <v>537</v>
      </c>
      <c r="G2039" s="535" t="s">
        <v>16</v>
      </c>
      <c r="H2039" s="330">
        <v>1</v>
      </c>
      <c r="I2039" s="330">
        <v>1</v>
      </c>
      <c r="J2039" s="330">
        <v>3</v>
      </c>
      <c r="K2039" s="330">
        <v>1</v>
      </c>
      <c r="L2039" s="536">
        <v>1</v>
      </c>
      <c r="M2039" s="750">
        <f t="shared" si="64"/>
        <v>0.35859414261160716</v>
      </c>
      <c r="N2039" s="522"/>
    </row>
    <row r="2040" spans="1:14" hidden="1" x14ac:dyDescent="0.2">
      <c r="A2040" s="632" t="s">
        <v>461</v>
      </c>
      <c r="B2040" s="633" t="s">
        <v>540</v>
      </c>
      <c r="C2040" s="247" t="s">
        <v>13</v>
      </c>
      <c r="D2040" s="527" t="s">
        <v>135</v>
      </c>
      <c r="E2040" s="623">
        <v>0.50588235294117645</v>
      </c>
      <c r="F2040" s="250" t="s">
        <v>541</v>
      </c>
      <c r="G2040" s="528" t="s">
        <v>16</v>
      </c>
      <c r="H2040" s="527">
        <v>1</v>
      </c>
      <c r="I2040" s="527">
        <v>3</v>
      </c>
      <c r="J2040" s="527">
        <v>3</v>
      </c>
      <c r="K2040" s="527">
        <v>3</v>
      </c>
      <c r="L2040" s="529">
        <v>3</v>
      </c>
      <c r="M2040" s="626">
        <f t="shared" si="64"/>
        <v>1.1666438005107913</v>
      </c>
      <c r="N2040" s="625"/>
    </row>
    <row r="2041" spans="1:14" hidden="1" x14ac:dyDescent="0.2">
      <c r="A2041" s="632" t="s">
        <v>461</v>
      </c>
      <c r="B2041" s="633" t="s">
        <v>540</v>
      </c>
      <c r="C2041" s="247" t="s">
        <v>18</v>
      </c>
      <c r="D2041" s="527" t="s">
        <v>135</v>
      </c>
      <c r="E2041" s="623">
        <v>0.50509116857925551</v>
      </c>
      <c r="F2041" s="250" t="s">
        <v>542</v>
      </c>
      <c r="G2041" s="528" t="s">
        <v>16</v>
      </c>
      <c r="H2041" s="527">
        <v>1</v>
      </c>
      <c r="I2041" s="527">
        <v>3</v>
      </c>
      <c r="J2041" s="527">
        <v>3</v>
      </c>
      <c r="K2041" s="527">
        <v>3</v>
      </c>
      <c r="L2041" s="529">
        <v>3</v>
      </c>
      <c r="M2041" s="626">
        <f t="shared" si="64"/>
        <v>1.1666438005107913</v>
      </c>
      <c r="N2041" s="530"/>
    </row>
    <row r="2042" spans="1:14" hidden="1" x14ac:dyDescent="0.2">
      <c r="A2042" s="632" t="s">
        <v>461</v>
      </c>
      <c r="B2042" s="633" t="s">
        <v>540</v>
      </c>
      <c r="C2042" s="247" t="s">
        <v>20</v>
      </c>
      <c r="D2042" s="527" t="s">
        <v>135</v>
      </c>
      <c r="E2042" s="623">
        <v>0.45438819518425638</v>
      </c>
      <c r="F2042" s="250" t="s">
        <v>542</v>
      </c>
      <c r="G2042" s="528" t="s">
        <v>16</v>
      </c>
      <c r="H2042" s="527">
        <v>1</v>
      </c>
      <c r="I2042" s="527">
        <v>4</v>
      </c>
      <c r="J2042" s="527">
        <v>3</v>
      </c>
      <c r="K2042" s="527">
        <v>3</v>
      </c>
      <c r="L2042" s="529">
        <v>3</v>
      </c>
      <c r="M2042" s="626">
        <f t="shared" si="64"/>
        <v>1.5072684049177882</v>
      </c>
      <c r="N2042" s="530"/>
    </row>
    <row r="2043" spans="1:14" hidden="1" x14ac:dyDescent="0.2">
      <c r="A2043" s="632" t="s">
        <v>461</v>
      </c>
      <c r="B2043" s="633" t="s">
        <v>540</v>
      </c>
      <c r="C2043" s="247" t="s">
        <v>22</v>
      </c>
      <c r="D2043" s="527" t="s">
        <v>135</v>
      </c>
      <c r="E2043" s="623">
        <v>0.47394896068195969</v>
      </c>
      <c r="F2043" s="250" t="s">
        <v>542</v>
      </c>
      <c r="G2043" s="528" t="s">
        <v>16</v>
      </c>
      <c r="H2043" s="527">
        <v>2</v>
      </c>
      <c r="I2043" s="527">
        <v>4</v>
      </c>
      <c r="J2043" s="527">
        <v>3</v>
      </c>
      <c r="K2043" s="527">
        <v>3</v>
      </c>
      <c r="L2043" s="529">
        <v>3</v>
      </c>
      <c r="M2043" s="626">
        <f t="shared" si="64"/>
        <v>1.5109000055213746</v>
      </c>
      <c r="N2043" s="530"/>
    </row>
    <row r="2044" spans="1:14" hidden="1" x14ac:dyDescent="0.2">
      <c r="A2044" s="632" t="s">
        <v>461</v>
      </c>
      <c r="B2044" s="633" t="s">
        <v>540</v>
      </c>
      <c r="C2044" s="247" t="s">
        <v>23</v>
      </c>
      <c r="D2044" s="527" t="s">
        <v>135</v>
      </c>
      <c r="E2044" s="623">
        <v>0.46608777122847722</v>
      </c>
      <c r="F2044" s="250" t="s">
        <v>542</v>
      </c>
      <c r="G2044" s="528" t="s">
        <v>16</v>
      </c>
      <c r="H2044" s="527">
        <v>2</v>
      </c>
      <c r="I2044" s="527">
        <v>3</v>
      </c>
      <c r="J2044" s="527">
        <v>3</v>
      </c>
      <c r="K2044" s="527">
        <v>3</v>
      </c>
      <c r="L2044" s="529">
        <v>3</v>
      </c>
      <c r="M2044" s="626">
        <f t="shared" si="64"/>
        <v>1.1713319510247036</v>
      </c>
      <c r="N2044" s="530"/>
    </row>
    <row r="2045" spans="1:14" hidden="1" x14ac:dyDescent="0.2">
      <c r="A2045" s="632" t="s">
        <v>461</v>
      </c>
      <c r="B2045" s="633" t="s">
        <v>540</v>
      </c>
      <c r="C2045" s="247" t="s">
        <v>24</v>
      </c>
      <c r="D2045" s="527" t="s">
        <v>135</v>
      </c>
      <c r="E2045" s="623">
        <v>0.49685534591194969</v>
      </c>
      <c r="F2045" s="250" t="s">
        <v>542</v>
      </c>
      <c r="G2045" s="528" t="s">
        <v>16</v>
      </c>
      <c r="H2045" s="527">
        <v>2</v>
      </c>
      <c r="I2045" s="527">
        <v>3</v>
      </c>
      <c r="J2045" s="527">
        <v>3</v>
      </c>
      <c r="K2045" s="527">
        <v>3</v>
      </c>
      <c r="L2045" s="529">
        <v>3</v>
      </c>
      <c r="M2045" s="626">
        <f>IF( OR( ISBLANK(H2045),ISBLANK(I2045), ISBLANK(J2045), ISBLANK(K2045), ISBLANK(L2045) ), "", 1.5*SQRT(   EXP(2.21*(H2045-1)) + EXP(2.21*(I2045-1)) + EXP(2.21*(J2045-1)) + EXP(2.21*(K2045-1)) + EXP(2.21*L2045)   )/100*2.45 )</f>
        <v>1.1713319510247036</v>
      </c>
      <c r="N2045" s="530"/>
    </row>
    <row r="2046" spans="1:14" hidden="1" x14ac:dyDescent="0.2">
      <c r="A2046" s="632" t="s">
        <v>461</v>
      </c>
      <c r="B2046" s="633" t="s">
        <v>540</v>
      </c>
      <c r="C2046" s="247" t="s">
        <v>25</v>
      </c>
      <c r="D2046" s="527" t="s">
        <v>135</v>
      </c>
      <c r="E2046" s="623">
        <v>0.51070193340407344</v>
      </c>
      <c r="F2046" s="250" t="s">
        <v>542</v>
      </c>
      <c r="G2046" s="528" t="s">
        <v>16</v>
      </c>
      <c r="H2046" s="527">
        <v>2</v>
      </c>
      <c r="I2046" s="527">
        <v>3</v>
      </c>
      <c r="J2046" s="527">
        <v>3</v>
      </c>
      <c r="K2046" s="527">
        <v>3</v>
      </c>
      <c r="L2046" s="529">
        <v>3</v>
      </c>
      <c r="M2046" s="626">
        <f t="shared" ref="M2046:M2076" si="67">IF( OR( ISBLANK(H2046),ISBLANK(I2046), ISBLANK(J2046), ISBLANK(K2046), ISBLANK(L2046) ), "", 1.5*SQRT( EXP(2.21*(H2046-1)) + EXP(2.21*(I2046-1)) + EXP(2.21*(J2046-1)) + EXP(2.21*(K2046-1)) + EXP(2.21*L2046) )/100*2.45 )</f>
        <v>1.1713319510247036</v>
      </c>
      <c r="N2046" s="530"/>
    </row>
    <row r="2047" spans="1:14" hidden="1" x14ac:dyDescent="0.2">
      <c r="A2047" s="632" t="s">
        <v>461</v>
      </c>
      <c r="B2047" s="633" t="s">
        <v>540</v>
      </c>
      <c r="C2047" s="247" t="s">
        <v>26</v>
      </c>
      <c r="D2047" s="527" t="s">
        <v>135</v>
      </c>
      <c r="E2047" s="623">
        <v>0.47745373589173262</v>
      </c>
      <c r="F2047" s="250" t="s">
        <v>542</v>
      </c>
      <c r="G2047" s="528" t="s">
        <v>16</v>
      </c>
      <c r="H2047" s="527">
        <v>1</v>
      </c>
      <c r="I2047" s="527">
        <v>3</v>
      </c>
      <c r="J2047" s="527">
        <v>3</v>
      </c>
      <c r="K2047" s="527">
        <v>3</v>
      </c>
      <c r="L2047" s="529">
        <v>3</v>
      </c>
      <c r="M2047" s="626">
        <f t="shared" si="67"/>
        <v>1.1666438005107913</v>
      </c>
      <c r="N2047" s="530"/>
    </row>
    <row r="2048" spans="1:14" hidden="1" x14ac:dyDescent="0.2">
      <c r="A2048" s="632" t="s">
        <v>461</v>
      </c>
      <c r="B2048" s="633" t="s">
        <v>540</v>
      </c>
      <c r="C2048" s="247" t="s">
        <v>27</v>
      </c>
      <c r="D2048" s="527" t="s">
        <v>135</v>
      </c>
      <c r="E2048" s="623">
        <v>0.49361392843172008</v>
      </c>
      <c r="F2048" s="250" t="s">
        <v>542</v>
      </c>
      <c r="G2048" s="528" t="s">
        <v>16</v>
      </c>
      <c r="H2048" s="527">
        <v>1</v>
      </c>
      <c r="I2048" s="527">
        <v>3</v>
      </c>
      <c r="J2048" s="527">
        <v>3</v>
      </c>
      <c r="K2048" s="527">
        <v>3</v>
      </c>
      <c r="L2048" s="529">
        <v>3</v>
      </c>
      <c r="M2048" s="626">
        <f t="shared" si="67"/>
        <v>1.1666438005107913</v>
      </c>
      <c r="N2048" s="530"/>
    </row>
    <row r="2049" spans="1:14" hidden="1" x14ac:dyDescent="0.2">
      <c r="A2049" s="632" t="s">
        <v>461</v>
      </c>
      <c r="B2049" s="633" t="s">
        <v>540</v>
      </c>
      <c r="C2049" s="247" t="s">
        <v>28</v>
      </c>
      <c r="D2049" s="527" t="s">
        <v>135</v>
      </c>
      <c r="E2049" s="623">
        <v>0.41781727274260672</v>
      </c>
      <c r="F2049" s="250" t="s">
        <v>542</v>
      </c>
      <c r="G2049" s="528" t="s">
        <v>16</v>
      </c>
      <c r="H2049" s="527">
        <v>1</v>
      </c>
      <c r="I2049" s="527">
        <v>3</v>
      </c>
      <c r="J2049" s="527">
        <v>3</v>
      </c>
      <c r="K2049" s="527">
        <v>3</v>
      </c>
      <c r="L2049" s="529">
        <v>3</v>
      </c>
      <c r="M2049" s="626">
        <f t="shared" si="67"/>
        <v>1.1666438005107913</v>
      </c>
      <c r="N2049" s="530"/>
    </row>
    <row r="2050" spans="1:14" hidden="1" x14ac:dyDescent="0.2">
      <c r="A2050" s="632" t="s">
        <v>461</v>
      </c>
      <c r="B2050" s="633" t="s">
        <v>540</v>
      </c>
      <c r="C2050" s="247" t="s">
        <v>30</v>
      </c>
      <c r="D2050" s="527" t="s">
        <v>135</v>
      </c>
      <c r="E2050" s="623">
        <v>0.52153273209010498</v>
      </c>
      <c r="F2050" s="250" t="s">
        <v>542</v>
      </c>
      <c r="G2050" s="528" t="s">
        <v>16</v>
      </c>
      <c r="H2050" s="527">
        <v>1</v>
      </c>
      <c r="I2050" s="527">
        <v>3</v>
      </c>
      <c r="J2050" s="527">
        <v>3</v>
      </c>
      <c r="K2050" s="527">
        <v>3</v>
      </c>
      <c r="L2050" s="529">
        <v>3</v>
      </c>
      <c r="M2050" s="626">
        <f t="shared" si="67"/>
        <v>1.1666438005107913</v>
      </c>
      <c r="N2050" s="530"/>
    </row>
    <row r="2051" spans="1:14" hidden="1" x14ac:dyDescent="0.2">
      <c r="A2051" s="632" t="s">
        <v>461</v>
      </c>
      <c r="B2051" s="633" t="s">
        <v>540</v>
      </c>
      <c r="C2051" s="247" t="s">
        <v>32</v>
      </c>
      <c r="D2051" s="527" t="s">
        <v>135</v>
      </c>
      <c r="E2051" s="623">
        <v>0.46767151843079158</v>
      </c>
      <c r="F2051" s="250" t="s">
        <v>542</v>
      </c>
      <c r="G2051" s="528" t="s">
        <v>16</v>
      </c>
      <c r="H2051" s="527">
        <v>1</v>
      </c>
      <c r="I2051" s="527">
        <v>3</v>
      </c>
      <c r="J2051" s="527">
        <v>3</v>
      </c>
      <c r="K2051" s="527">
        <v>3</v>
      </c>
      <c r="L2051" s="529">
        <v>3</v>
      </c>
      <c r="M2051" s="626">
        <f t="shared" si="67"/>
        <v>1.1666438005107913</v>
      </c>
      <c r="N2051" s="530"/>
    </row>
    <row r="2052" spans="1:14" hidden="1" x14ac:dyDescent="0.2">
      <c r="A2052" s="632" t="s">
        <v>461</v>
      </c>
      <c r="B2052" s="633" t="s">
        <v>540</v>
      </c>
      <c r="C2052" s="247" t="s">
        <v>34</v>
      </c>
      <c r="D2052" s="527" t="s">
        <v>135</v>
      </c>
      <c r="E2052" s="623">
        <v>0.47727272727272729</v>
      </c>
      <c r="F2052" s="250" t="s">
        <v>542</v>
      </c>
      <c r="G2052" s="528" t="s">
        <v>16</v>
      </c>
      <c r="H2052" s="527">
        <v>1</v>
      </c>
      <c r="I2052" s="527">
        <v>3</v>
      </c>
      <c r="J2052" s="527">
        <v>3</v>
      </c>
      <c r="K2052" s="527">
        <v>3</v>
      </c>
      <c r="L2052" s="529">
        <v>3</v>
      </c>
      <c r="M2052" s="626">
        <f t="shared" si="67"/>
        <v>1.1666438005107913</v>
      </c>
      <c r="N2052" s="530"/>
    </row>
    <row r="2053" spans="1:14" hidden="1" x14ac:dyDescent="0.2">
      <c r="A2053" s="632" t="s">
        <v>461</v>
      </c>
      <c r="B2053" s="633" t="s">
        <v>540</v>
      </c>
      <c r="C2053" s="247" t="s">
        <v>36</v>
      </c>
      <c r="D2053" s="527" t="s">
        <v>135</v>
      </c>
      <c r="E2053" s="623">
        <v>0.40479858544077052</v>
      </c>
      <c r="F2053" s="250" t="s">
        <v>542</v>
      </c>
      <c r="G2053" s="528" t="s">
        <v>16</v>
      </c>
      <c r="H2053" s="527">
        <v>1</v>
      </c>
      <c r="I2053" s="527">
        <v>3</v>
      </c>
      <c r="J2053" s="527">
        <v>3</v>
      </c>
      <c r="K2053" s="527">
        <v>3</v>
      </c>
      <c r="L2053" s="529">
        <v>3</v>
      </c>
      <c r="M2053" s="626">
        <f t="shared" si="67"/>
        <v>1.1666438005107913</v>
      </c>
      <c r="N2053" s="530"/>
    </row>
    <row r="2054" spans="1:14" hidden="1" x14ac:dyDescent="0.2">
      <c r="A2054" s="632" t="s">
        <v>461</v>
      </c>
      <c r="B2054" s="633" t="s">
        <v>540</v>
      </c>
      <c r="C2054" s="247" t="s">
        <v>37</v>
      </c>
      <c r="D2054" s="527" t="s">
        <v>135</v>
      </c>
      <c r="E2054" s="623">
        <v>0.46271794083488571</v>
      </c>
      <c r="F2054" s="250" t="s">
        <v>542</v>
      </c>
      <c r="G2054" s="528" t="s">
        <v>16</v>
      </c>
      <c r="H2054" s="527">
        <v>1</v>
      </c>
      <c r="I2054" s="527">
        <v>3</v>
      </c>
      <c r="J2054" s="527">
        <v>3</v>
      </c>
      <c r="K2054" s="527">
        <v>3</v>
      </c>
      <c r="L2054" s="529">
        <v>3</v>
      </c>
      <c r="M2054" s="626">
        <f t="shared" si="67"/>
        <v>1.1666438005107913</v>
      </c>
      <c r="N2054" s="530"/>
    </row>
    <row r="2055" spans="1:14" hidden="1" x14ac:dyDescent="0.2">
      <c r="A2055" s="632" t="s">
        <v>461</v>
      </c>
      <c r="B2055" s="633" t="s">
        <v>540</v>
      </c>
      <c r="C2055" s="247" t="s">
        <v>39</v>
      </c>
      <c r="D2055" s="527" t="s">
        <v>135</v>
      </c>
      <c r="E2055" s="623">
        <v>0.50130540788881039</v>
      </c>
      <c r="F2055" s="250" t="s">
        <v>542</v>
      </c>
      <c r="G2055" s="528" t="s">
        <v>16</v>
      </c>
      <c r="H2055" s="527">
        <v>1</v>
      </c>
      <c r="I2055" s="527">
        <v>4</v>
      </c>
      <c r="J2055" s="527">
        <v>3</v>
      </c>
      <c r="K2055" s="527">
        <v>3</v>
      </c>
      <c r="L2055" s="529">
        <v>3</v>
      </c>
      <c r="M2055" s="626">
        <f t="shared" si="67"/>
        <v>1.5072684049177882</v>
      </c>
      <c r="N2055" s="530"/>
    </row>
    <row r="2056" spans="1:14" hidden="1" x14ac:dyDescent="0.2">
      <c r="A2056" s="632" t="s">
        <v>461</v>
      </c>
      <c r="B2056" s="633" t="s">
        <v>540</v>
      </c>
      <c r="C2056" s="247" t="s">
        <v>40</v>
      </c>
      <c r="D2056" s="527" t="s">
        <v>135</v>
      </c>
      <c r="E2056" s="623">
        <v>0.49944392458063791</v>
      </c>
      <c r="F2056" s="250" t="s">
        <v>542</v>
      </c>
      <c r="G2056" s="528" t="s">
        <v>16</v>
      </c>
      <c r="H2056" s="527">
        <v>1</v>
      </c>
      <c r="I2056" s="527">
        <v>4</v>
      </c>
      <c r="J2056" s="527">
        <v>3</v>
      </c>
      <c r="K2056" s="527">
        <v>3</v>
      </c>
      <c r="L2056" s="529">
        <v>3</v>
      </c>
      <c r="M2056" s="626">
        <f t="shared" si="67"/>
        <v>1.5072684049177882</v>
      </c>
      <c r="N2056" s="530"/>
    </row>
    <row r="2057" spans="1:14" hidden="1" x14ac:dyDescent="0.2">
      <c r="A2057" s="632" t="s">
        <v>461</v>
      </c>
      <c r="B2057" s="633" t="s">
        <v>540</v>
      </c>
      <c r="C2057" s="247" t="s">
        <v>41</v>
      </c>
      <c r="D2057" s="527" t="s">
        <v>135</v>
      </c>
      <c r="E2057" s="623">
        <v>0.49767441860465123</v>
      </c>
      <c r="F2057" s="250" t="s">
        <v>542</v>
      </c>
      <c r="G2057" s="528" t="s">
        <v>16</v>
      </c>
      <c r="H2057" s="527">
        <v>1</v>
      </c>
      <c r="I2057" s="527">
        <v>3</v>
      </c>
      <c r="J2057" s="527">
        <v>3</v>
      </c>
      <c r="K2057" s="527">
        <v>3</v>
      </c>
      <c r="L2057" s="529">
        <v>3</v>
      </c>
      <c r="M2057" s="626">
        <f t="shared" si="67"/>
        <v>1.1666438005107913</v>
      </c>
      <c r="N2057" s="530"/>
    </row>
    <row r="2058" spans="1:14" hidden="1" x14ac:dyDescent="0.2">
      <c r="A2058" s="632" t="s">
        <v>461</v>
      </c>
      <c r="B2058" s="633" t="s">
        <v>540</v>
      </c>
      <c r="C2058" s="247" t="s">
        <v>42</v>
      </c>
      <c r="D2058" s="527" t="s">
        <v>135</v>
      </c>
      <c r="E2058" s="623">
        <v>0.45456488688136648</v>
      </c>
      <c r="F2058" s="250" t="s">
        <v>542</v>
      </c>
      <c r="G2058" s="528" t="s">
        <v>16</v>
      </c>
      <c r="H2058" s="527">
        <v>2</v>
      </c>
      <c r="I2058" s="527">
        <v>3</v>
      </c>
      <c r="J2058" s="527">
        <v>3</v>
      </c>
      <c r="K2058" s="527">
        <v>3</v>
      </c>
      <c r="L2058" s="529">
        <v>3</v>
      </c>
      <c r="M2058" s="626">
        <f t="shared" si="67"/>
        <v>1.1713319510247036</v>
      </c>
      <c r="N2058" s="530"/>
    </row>
    <row r="2059" spans="1:14" hidden="1" x14ac:dyDescent="0.2">
      <c r="A2059" s="632" t="s">
        <v>461</v>
      </c>
      <c r="B2059" s="633" t="s">
        <v>540</v>
      </c>
      <c r="C2059" s="247" t="s">
        <v>43</v>
      </c>
      <c r="D2059" s="527" t="s">
        <v>135</v>
      </c>
      <c r="E2059" s="623">
        <v>0.50266954403932551</v>
      </c>
      <c r="F2059" s="250" t="s">
        <v>542</v>
      </c>
      <c r="G2059" s="528" t="s">
        <v>16</v>
      </c>
      <c r="H2059" s="527">
        <v>1</v>
      </c>
      <c r="I2059" s="527">
        <v>3</v>
      </c>
      <c r="J2059" s="527">
        <v>3</v>
      </c>
      <c r="K2059" s="527">
        <v>3</v>
      </c>
      <c r="L2059" s="529">
        <v>3</v>
      </c>
      <c r="M2059" s="626">
        <f t="shared" si="67"/>
        <v>1.1666438005107913</v>
      </c>
      <c r="N2059" s="530"/>
    </row>
    <row r="2060" spans="1:14" x14ac:dyDescent="0.2">
      <c r="A2060" s="632" t="s">
        <v>461</v>
      </c>
      <c r="B2060" s="633" t="s">
        <v>540</v>
      </c>
      <c r="C2060" s="247" t="s">
        <v>45</v>
      </c>
      <c r="D2060" s="527" t="s">
        <v>135</v>
      </c>
      <c r="E2060" s="623">
        <v>0.51130877666690866</v>
      </c>
      <c r="F2060" s="250" t="s">
        <v>542</v>
      </c>
      <c r="G2060" s="528" t="s">
        <v>16</v>
      </c>
      <c r="H2060" s="527">
        <v>1</v>
      </c>
      <c r="I2060" s="527">
        <v>3</v>
      </c>
      <c r="J2060" s="527">
        <v>3</v>
      </c>
      <c r="K2060" s="527">
        <v>3</v>
      </c>
      <c r="L2060" s="529">
        <v>3</v>
      </c>
      <c r="M2060" s="626">
        <f t="shared" si="67"/>
        <v>1.1666438005107913</v>
      </c>
      <c r="N2060" s="530"/>
    </row>
    <row r="2061" spans="1:14" hidden="1" x14ac:dyDescent="0.2">
      <c r="A2061" s="632" t="s">
        <v>461</v>
      </c>
      <c r="B2061" s="633" t="s">
        <v>540</v>
      </c>
      <c r="C2061" s="247" t="s">
        <v>46</v>
      </c>
      <c r="D2061" s="527" t="s">
        <v>135</v>
      </c>
      <c r="E2061" s="623">
        <v>0.49643940671381309</v>
      </c>
      <c r="F2061" s="250" t="s">
        <v>542</v>
      </c>
      <c r="G2061" s="528" t="s">
        <v>16</v>
      </c>
      <c r="H2061" s="527">
        <v>1</v>
      </c>
      <c r="I2061" s="527">
        <v>3</v>
      </c>
      <c r="J2061" s="527">
        <v>3</v>
      </c>
      <c r="K2061" s="527">
        <v>3</v>
      </c>
      <c r="L2061" s="529">
        <v>3</v>
      </c>
      <c r="M2061" s="626">
        <f t="shared" si="67"/>
        <v>1.1666438005107913</v>
      </c>
      <c r="N2061" s="530"/>
    </row>
    <row r="2062" spans="1:14" hidden="1" x14ac:dyDescent="0.2">
      <c r="A2062" s="632" t="s">
        <v>461</v>
      </c>
      <c r="B2062" s="633" t="s">
        <v>540</v>
      </c>
      <c r="C2062" s="247" t="s">
        <v>48</v>
      </c>
      <c r="D2062" s="527" t="s">
        <v>135</v>
      </c>
      <c r="E2062" s="623">
        <v>0.44223969347870179</v>
      </c>
      <c r="F2062" s="250" t="s">
        <v>542</v>
      </c>
      <c r="G2062" s="528" t="s">
        <v>16</v>
      </c>
      <c r="H2062" s="527">
        <v>2</v>
      </c>
      <c r="I2062" s="527">
        <v>3</v>
      </c>
      <c r="J2062" s="527">
        <v>3</v>
      </c>
      <c r="K2062" s="527">
        <v>3</v>
      </c>
      <c r="L2062" s="529">
        <v>3</v>
      </c>
      <c r="M2062" s="626">
        <f t="shared" si="67"/>
        <v>1.1713319510247036</v>
      </c>
      <c r="N2062" s="530"/>
    </row>
    <row r="2063" spans="1:14" hidden="1" x14ac:dyDescent="0.2">
      <c r="A2063" s="632" t="s">
        <v>461</v>
      </c>
      <c r="B2063" s="633" t="s">
        <v>540</v>
      </c>
      <c r="C2063" s="247" t="s">
        <v>50</v>
      </c>
      <c r="D2063" s="527" t="s">
        <v>135</v>
      </c>
      <c r="E2063" s="623">
        <v>0.43087114554419198</v>
      </c>
      <c r="F2063" s="250" t="s">
        <v>542</v>
      </c>
      <c r="G2063" s="528" t="s">
        <v>16</v>
      </c>
      <c r="H2063" s="527">
        <v>1</v>
      </c>
      <c r="I2063" s="527">
        <v>3</v>
      </c>
      <c r="J2063" s="527">
        <v>3</v>
      </c>
      <c r="K2063" s="527">
        <v>3</v>
      </c>
      <c r="L2063" s="529">
        <v>3</v>
      </c>
      <c r="M2063" s="626">
        <f t="shared" si="67"/>
        <v>1.1666438005107913</v>
      </c>
      <c r="N2063" s="530"/>
    </row>
    <row r="2064" spans="1:14" hidden="1" x14ac:dyDescent="0.2">
      <c r="A2064" s="632" t="s">
        <v>461</v>
      </c>
      <c r="B2064" s="633" t="s">
        <v>540</v>
      </c>
      <c r="C2064" s="247" t="s">
        <v>52</v>
      </c>
      <c r="D2064" s="527" t="s">
        <v>135</v>
      </c>
      <c r="E2064" s="623">
        <v>0.49685534591194969</v>
      </c>
      <c r="F2064" s="250" t="s">
        <v>542</v>
      </c>
      <c r="G2064" s="528" t="s">
        <v>16</v>
      </c>
      <c r="H2064" s="527">
        <v>2</v>
      </c>
      <c r="I2064" s="527">
        <v>3</v>
      </c>
      <c r="J2064" s="527">
        <v>3</v>
      </c>
      <c r="K2064" s="527">
        <v>3</v>
      </c>
      <c r="L2064" s="529">
        <v>3</v>
      </c>
      <c r="M2064" s="626">
        <f t="shared" si="67"/>
        <v>1.1713319510247036</v>
      </c>
      <c r="N2064" s="530"/>
    </row>
    <row r="2065" spans="1:14" hidden="1" x14ac:dyDescent="0.2">
      <c r="A2065" s="632" t="s">
        <v>461</v>
      </c>
      <c r="B2065" s="633" t="s">
        <v>540</v>
      </c>
      <c r="C2065" s="247" t="s">
        <v>54</v>
      </c>
      <c r="D2065" s="527" t="s">
        <v>135</v>
      </c>
      <c r="E2065" s="623">
        <v>0.48686400472668162</v>
      </c>
      <c r="F2065" s="250" t="s">
        <v>542</v>
      </c>
      <c r="G2065" s="528" t="s">
        <v>16</v>
      </c>
      <c r="H2065" s="527">
        <v>1</v>
      </c>
      <c r="I2065" s="527">
        <v>4</v>
      </c>
      <c r="J2065" s="527">
        <v>3</v>
      </c>
      <c r="K2065" s="527">
        <v>3</v>
      </c>
      <c r="L2065" s="529">
        <v>3</v>
      </c>
      <c r="M2065" s="626">
        <f t="shared" si="67"/>
        <v>1.5072684049177882</v>
      </c>
      <c r="N2065" s="530"/>
    </row>
    <row r="2066" spans="1:14" hidden="1" x14ac:dyDescent="0.2">
      <c r="A2066" s="632" t="s">
        <v>461</v>
      </c>
      <c r="B2066" s="633" t="s">
        <v>540</v>
      </c>
      <c r="C2066" s="247" t="s">
        <v>55</v>
      </c>
      <c r="D2066" s="527" t="s">
        <v>135</v>
      </c>
      <c r="E2066" s="623">
        <v>0.44179280239888941</v>
      </c>
      <c r="F2066" s="250" t="s">
        <v>542</v>
      </c>
      <c r="G2066" s="528" t="s">
        <v>16</v>
      </c>
      <c r="H2066" s="527">
        <v>1</v>
      </c>
      <c r="I2066" s="527">
        <v>3</v>
      </c>
      <c r="J2066" s="527">
        <v>3</v>
      </c>
      <c r="K2066" s="527">
        <v>3</v>
      </c>
      <c r="L2066" s="529">
        <v>3</v>
      </c>
      <c r="M2066" s="626">
        <f t="shared" si="67"/>
        <v>1.1666438005107913</v>
      </c>
      <c r="N2066" s="530"/>
    </row>
    <row r="2067" spans="1:14" hidden="1" x14ac:dyDescent="0.2">
      <c r="A2067" s="632" t="s">
        <v>461</v>
      </c>
      <c r="B2067" s="633" t="s">
        <v>540</v>
      </c>
      <c r="C2067" s="247" t="s">
        <v>57</v>
      </c>
      <c r="D2067" s="527" t="s">
        <v>135</v>
      </c>
      <c r="E2067" s="623">
        <v>0.51221203094904566</v>
      </c>
      <c r="F2067" s="250" t="s">
        <v>542</v>
      </c>
      <c r="G2067" s="528" t="s">
        <v>16</v>
      </c>
      <c r="H2067" s="527">
        <v>2</v>
      </c>
      <c r="I2067" s="527">
        <v>3</v>
      </c>
      <c r="J2067" s="527">
        <v>3</v>
      </c>
      <c r="K2067" s="527">
        <v>3</v>
      </c>
      <c r="L2067" s="529">
        <v>3</v>
      </c>
      <c r="M2067" s="626">
        <f t="shared" si="67"/>
        <v>1.1713319510247036</v>
      </c>
      <c r="N2067" s="530"/>
    </row>
    <row r="2068" spans="1:14" hidden="1" x14ac:dyDescent="0.2">
      <c r="A2068" s="632" t="s">
        <v>461</v>
      </c>
      <c r="B2068" s="633" t="s">
        <v>540</v>
      </c>
      <c r="C2068" s="247" t="s">
        <v>59</v>
      </c>
      <c r="D2068" s="527" t="s">
        <v>135</v>
      </c>
      <c r="E2068" s="623">
        <v>0.52222222222222225</v>
      </c>
      <c r="F2068" s="250" t="s">
        <v>542</v>
      </c>
      <c r="G2068" s="528" t="s">
        <v>16</v>
      </c>
      <c r="H2068" s="519">
        <v>2</v>
      </c>
      <c r="I2068" s="519">
        <v>3</v>
      </c>
      <c r="J2068" s="527">
        <v>3</v>
      </c>
      <c r="K2068" s="527">
        <v>3</v>
      </c>
      <c r="L2068" s="529">
        <v>3</v>
      </c>
      <c r="M2068" s="626">
        <f t="shared" si="67"/>
        <v>1.1713319510247036</v>
      </c>
      <c r="N2068" s="530"/>
    </row>
    <row r="2069" spans="1:14" hidden="1" x14ac:dyDescent="0.2">
      <c r="A2069" s="632" t="s">
        <v>461</v>
      </c>
      <c r="B2069" s="633" t="s">
        <v>540</v>
      </c>
      <c r="C2069" s="247" t="s">
        <v>60</v>
      </c>
      <c r="D2069" s="527" t="s">
        <v>135</v>
      </c>
      <c r="E2069" s="627">
        <v>0.40642310862401893</v>
      </c>
      <c r="F2069" s="250" t="s">
        <v>542</v>
      </c>
      <c r="G2069" s="528" t="s">
        <v>16</v>
      </c>
      <c r="H2069" s="519">
        <v>1</v>
      </c>
      <c r="I2069" s="519">
        <v>3</v>
      </c>
      <c r="J2069" s="527">
        <v>3</v>
      </c>
      <c r="K2069" s="527">
        <v>3</v>
      </c>
      <c r="L2069" s="529">
        <v>3</v>
      </c>
      <c r="M2069" s="521">
        <f t="shared" si="67"/>
        <v>1.1666438005107913</v>
      </c>
      <c r="N2069" s="522"/>
    </row>
    <row r="2070" spans="1:14" hidden="1" x14ac:dyDescent="0.2">
      <c r="A2070" s="632" t="s">
        <v>461</v>
      </c>
      <c r="B2070" s="633" t="s">
        <v>543</v>
      </c>
      <c r="C2070" s="247" t="s">
        <v>13</v>
      </c>
      <c r="D2070" s="527" t="s">
        <v>135</v>
      </c>
      <c r="E2070" s="623">
        <v>0.40588235294117653</v>
      </c>
      <c r="F2070" s="250" t="s">
        <v>542</v>
      </c>
      <c r="G2070" s="528" t="s">
        <v>16</v>
      </c>
      <c r="H2070" s="527">
        <v>1</v>
      </c>
      <c r="I2070" s="527">
        <v>3</v>
      </c>
      <c r="J2070" s="527">
        <v>3</v>
      </c>
      <c r="K2070" s="527">
        <v>3</v>
      </c>
      <c r="L2070" s="529">
        <v>3</v>
      </c>
      <c r="M2070" s="626">
        <f t="shared" si="67"/>
        <v>1.1666438005107913</v>
      </c>
      <c r="N2070" s="530"/>
    </row>
    <row r="2071" spans="1:14" hidden="1" x14ac:dyDescent="0.2">
      <c r="A2071" s="632" t="s">
        <v>461</v>
      </c>
      <c r="B2071" s="633" t="s">
        <v>543</v>
      </c>
      <c r="C2071" s="247" t="s">
        <v>18</v>
      </c>
      <c r="D2071" s="527" t="s">
        <v>135</v>
      </c>
      <c r="E2071" s="623">
        <v>0.44403619215758727</v>
      </c>
      <c r="F2071" s="250" t="s">
        <v>542</v>
      </c>
      <c r="G2071" s="528" t="s">
        <v>16</v>
      </c>
      <c r="H2071" s="527">
        <v>1</v>
      </c>
      <c r="I2071" s="527">
        <v>3</v>
      </c>
      <c r="J2071" s="527">
        <v>3</v>
      </c>
      <c r="K2071" s="527">
        <v>3</v>
      </c>
      <c r="L2071" s="529">
        <v>3</v>
      </c>
      <c r="M2071" s="626">
        <f t="shared" si="67"/>
        <v>1.1666438005107913</v>
      </c>
      <c r="N2071" s="530"/>
    </row>
    <row r="2072" spans="1:14" hidden="1" x14ac:dyDescent="0.2">
      <c r="A2072" s="632" t="s">
        <v>461</v>
      </c>
      <c r="B2072" s="633" t="s">
        <v>543</v>
      </c>
      <c r="C2072" s="247" t="s">
        <v>20</v>
      </c>
      <c r="D2072" s="527" t="s">
        <v>135</v>
      </c>
      <c r="E2072" s="623">
        <v>0.43240166961082471</v>
      </c>
      <c r="F2072" s="250" t="s">
        <v>542</v>
      </c>
      <c r="G2072" s="528" t="s">
        <v>16</v>
      </c>
      <c r="H2072" s="527">
        <v>1</v>
      </c>
      <c r="I2072" s="527">
        <v>4</v>
      </c>
      <c r="J2072" s="527">
        <v>3</v>
      </c>
      <c r="K2072" s="527">
        <v>3</v>
      </c>
      <c r="L2072" s="529">
        <v>3</v>
      </c>
      <c r="M2072" s="626">
        <f t="shared" si="67"/>
        <v>1.5072684049177882</v>
      </c>
      <c r="N2072" s="530"/>
    </row>
    <row r="2073" spans="1:14" hidden="1" x14ac:dyDescent="0.2">
      <c r="A2073" s="632" t="s">
        <v>461</v>
      </c>
      <c r="B2073" s="633" t="s">
        <v>543</v>
      </c>
      <c r="C2073" s="247" t="s">
        <v>22</v>
      </c>
      <c r="D2073" s="527" t="s">
        <v>135</v>
      </c>
      <c r="E2073" s="623">
        <v>0.39100789256261681</v>
      </c>
      <c r="F2073" s="250" t="s">
        <v>542</v>
      </c>
      <c r="G2073" s="528" t="s">
        <v>16</v>
      </c>
      <c r="H2073" s="527">
        <v>2</v>
      </c>
      <c r="I2073" s="527">
        <v>4</v>
      </c>
      <c r="J2073" s="527">
        <v>3</v>
      </c>
      <c r="K2073" s="527">
        <v>3</v>
      </c>
      <c r="L2073" s="529">
        <v>3</v>
      </c>
      <c r="M2073" s="626">
        <f t="shared" si="67"/>
        <v>1.5109000055213746</v>
      </c>
      <c r="N2073" s="530"/>
    </row>
    <row r="2074" spans="1:14" hidden="1" x14ac:dyDescent="0.2">
      <c r="A2074" s="632" t="s">
        <v>461</v>
      </c>
      <c r="B2074" s="633" t="s">
        <v>543</v>
      </c>
      <c r="C2074" s="247" t="s">
        <v>23</v>
      </c>
      <c r="D2074" s="527" t="s">
        <v>135</v>
      </c>
      <c r="E2074" s="623">
        <v>0.41282059737379412</v>
      </c>
      <c r="F2074" s="250" t="s">
        <v>542</v>
      </c>
      <c r="G2074" s="528" t="s">
        <v>16</v>
      </c>
      <c r="H2074" s="527">
        <v>2</v>
      </c>
      <c r="I2074" s="527">
        <v>3</v>
      </c>
      <c r="J2074" s="527">
        <v>3</v>
      </c>
      <c r="K2074" s="527">
        <v>3</v>
      </c>
      <c r="L2074" s="529">
        <v>3</v>
      </c>
      <c r="M2074" s="626">
        <f t="shared" si="67"/>
        <v>1.1713319510247036</v>
      </c>
      <c r="N2074" s="530"/>
    </row>
    <row r="2075" spans="1:14" hidden="1" x14ac:dyDescent="0.2">
      <c r="A2075" s="632" t="s">
        <v>461</v>
      </c>
      <c r="B2075" s="633" t="s">
        <v>543</v>
      </c>
      <c r="C2075" s="247" t="s">
        <v>24</v>
      </c>
      <c r="D2075" s="527" t="s">
        <v>135</v>
      </c>
      <c r="E2075" s="623">
        <v>0.41509433962264147</v>
      </c>
      <c r="F2075" s="250" t="s">
        <v>542</v>
      </c>
      <c r="G2075" s="528" t="s">
        <v>16</v>
      </c>
      <c r="H2075" s="527">
        <v>2</v>
      </c>
      <c r="I2075" s="527">
        <v>3</v>
      </c>
      <c r="J2075" s="527">
        <v>3</v>
      </c>
      <c r="K2075" s="527">
        <v>3</v>
      </c>
      <c r="L2075" s="529">
        <v>3</v>
      </c>
      <c r="M2075" s="626">
        <f t="shared" si="67"/>
        <v>1.1713319510247036</v>
      </c>
      <c r="N2075" s="530"/>
    </row>
    <row r="2076" spans="1:14" hidden="1" x14ac:dyDescent="0.2">
      <c r="A2076" s="632" t="s">
        <v>461</v>
      </c>
      <c r="B2076" s="633" t="s">
        <v>543</v>
      </c>
      <c r="C2076" s="247" t="s">
        <v>25</v>
      </c>
      <c r="D2076" s="527" t="s">
        <v>135</v>
      </c>
      <c r="E2076" s="623">
        <v>0.42231121416106071</v>
      </c>
      <c r="F2076" s="250" t="s">
        <v>542</v>
      </c>
      <c r="G2076" s="528" t="s">
        <v>16</v>
      </c>
      <c r="H2076" s="527">
        <v>2</v>
      </c>
      <c r="I2076" s="527">
        <v>3</v>
      </c>
      <c r="J2076" s="527">
        <v>3</v>
      </c>
      <c r="K2076" s="527">
        <v>3</v>
      </c>
      <c r="L2076" s="529">
        <v>3</v>
      </c>
      <c r="M2076" s="626">
        <f t="shared" si="67"/>
        <v>1.1713319510247036</v>
      </c>
      <c r="N2076" s="530"/>
    </row>
    <row r="2077" spans="1:14" hidden="1" x14ac:dyDescent="0.2">
      <c r="A2077" s="632" t="s">
        <v>461</v>
      </c>
      <c r="B2077" s="633" t="s">
        <v>543</v>
      </c>
      <c r="C2077" s="247" t="s">
        <v>26</v>
      </c>
      <c r="D2077" s="527" t="s">
        <v>135</v>
      </c>
      <c r="E2077" s="623">
        <v>0.43718655334664669</v>
      </c>
      <c r="F2077" s="250" t="s">
        <v>542</v>
      </c>
      <c r="G2077" s="528" t="s">
        <v>16</v>
      </c>
      <c r="H2077" s="527">
        <v>1</v>
      </c>
      <c r="I2077" s="527">
        <v>3</v>
      </c>
      <c r="J2077" s="527">
        <v>3</v>
      </c>
      <c r="K2077" s="527">
        <v>3</v>
      </c>
      <c r="L2077" s="529">
        <v>3</v>
      </c>
      <c r="M2077" s="626">
        <f>IF( OR( ISBLANK(H2077),ISBLANK(I2077), ISBLANK(J2077), ISBLANK(K2077), ISBLANK(L2077) ), "", 1.5*SQRT(   EXP(2.21*(H2077-1)) + EXP(2.21*(I2077-1)) + EXP(2.21*(J2077-1)) + EXP(2.21*(K2077-1)) + EXP(2.21*L2077)   )/100*2.45 )</f>
        <v>1.1666438005107913</v>
      </c>
      <c r="N2077" s="530"/>
    </row>
    <row r="2078" spans="1:14" hidden="1" x14ac:dyDescent="0.2">
      <c r="A2078" s="632" t="s">
        <v>461</v>
      </c>
      <c r="B2078" s="633" t="s">
        <v>543</v>
      </c>
      <c r="C2078" s="247" t="s">
        <v>27</v>
      </c>
      <c r="D2078" s="527" t="s">
        <v>135</v>
      </c>
      <c r="E2078" s="623">
        <v>0.43522948528388222</v>
      </c>
      <c r="F2078" s="250" t="s">
        <v>542</v>
      </c>
      <c r="G2078" s="528" t="s">
        <v>16</v>
      </c>
      <c r="H2078" s="527">
        <v>1</v>
      </c>
      <c r="I2078" s="527">
        <v>3</v>
      </c>
      <c r="J2078" s="527">
        <v>3</v>
      </c>
      <c r="K2078" s="527">
        <v>3</v>
      </c>
      <c r="L2078" s="529">
        <v>3</v>
      </c>
      <c r="M2078" s="626">
        <f t="shared" ref="M2078:M2108" si="68">IF( OR( ISBLANK(H2078),ISBLANK(I2078), ISBLANK(J2078), ISBLANK(K2078), ISBLANK(L2078) ), "", 1.5*SQRT( EXP(2.21*(H2078-1)) + EXP(2.21*(I2078-1)) + EXP(2.21*(J2078-1)) + EXP(2.21*(K2078-1)) + EXP(2.21*L2078) )/100*2.45 )</f>
        <v>1.1666438005107913</v>
      </c>
      <c r="N2078" s="530"/>
    </row>
    <row r="2079" spans="1:14" hidden="1" x14ac:dyDescent="0.2">
      <c r="A2079" s="632" t="s">
        <v>461</v>
      </c>
      <c r="B2079" s="633" t="s">
        <v>543</v>
      </c>
      <c r="C2079" s="247" t="s">
        <v>28</v>
      </c>
      <c r="D2079" s="527" t="s">
        <v>135</v>
      </c>
      <c r="E2079" s="623">
        <v>0.49541190910909072</v>
      </c>
      <c r="F2079" s="250" t="s">
        <v>542</v>
      </c>
      <c r="G2079" s="528" t="s">
        <v>16</v>
      </c>
      <c r="H2079" s="527">
        <v>1</v>
      </c>
      <c r="I2079" s="527">
        <v>3</v>
      </c>
      <c r="J2079" s="527">
        <v>3</v>
      </c>
      <c r="K2079" s="527">
        <v>3</v>
      </c>
      <c r="L2079" s="529">
        <v>3</v>
      </c>
      <c r="M2079" s="626">
        <f t="shared" si="68"/>
        <v>1.1666438005107913</v>
      </c>
      <c r="N2079" s="530"/>
    </row>
    <row r="2080" spans="1:14" hidden="1" x14ac:dyDescent="0.2">
      <c r="A2080" s="632" t="s">
        <v>461</v>
      </c>
      <c r="B2080" s="633" t="s">
        <v>543</v>
      </c>
      <c r="C2080" s="247" t="s">
        <v>30</v>
      </c>
      <c r="D2080" s="527" t="s">
        <v>135</v>
      </c>
      <c r="E2080" s="623">
        <v>0.42721298266955399</v>
      </c>
      <c r="F2080" s="250" t="s">
        <v>542</v>
      </c>
      <c r="G2080" s="528" t="s">
        <v>16</v>
      </c>
      <c r="H2080" s="527">
        <v>1</v>
      </c>
      <c r="I2080" s="527">
        <v>3</v>
      </c>
      <c r="J2080" s="527">
        <v>3</v>
      </c>
      <c r="K2080" s="527">
        <v>3</v>
      </c>
      <c r="L2080" s="529">
        <v>3</v>
      </c>
      <c r="M2080" s="626">
        <f t="shared" si="68"/>
        <v>1.1666438005107913</v>
      </c>
      <c r="N2080" s="530"/>
    </row>
    <row r="2081" spans="1:14" hidden="1" x14ac:dyDescent="0.2">
      <c r="A2081" s="632" t="s">
        <v>461</v>
      </c>
      <c r="B2081" s="633" t="s">
        <v>543</v>
      </c>
      <c r="C2081" s="247" t="s">
        <v>32</v>
      </c>
      <c r="D2081" s="527" t="s">
        <v>135</v>
      </c>
      <c r="E2081" s="623">
        <v>0.41422334489584411</v>
      </c>
      <c r="F2081" s="250" t="s">
        <v>542</v>
      </c>
      <c r="G2081" s="528" t="s">
        <v>16</v>
      </c>
      <c r="H2081" s="527">
        <v>1</v>
      </c>
      <c r="I2081" s="527">
        <v>3</v>
      </c>
      <c r="J2081" s="527">
        <v>3</v>
      </c>
      <c r="K2081" s="527">
        <v>3</v>
      </c>
      <c r="L2081" s="529">
        <v>3</v>
      </c>
      <c r="M2081" s="626">
        <f t="shared" si="68"/>
        <v>1.1666438005107913</v>
      </c>
      <c r="N2081" s="530"/>
    </row>
    <row r="2082" spans="1:14" hidden="1" x14ac:dyDescent="0.2">
      <c r="A2082" s="632" t="s">
        <v>461</v>
      </c>
      <c r="B2082" s="633" t="s">
        <v>543</v>
      </c>
      <c r="C2082" s="247" t="s">
        <v>34</v>
      </c>
      <c r="D2082" s="527" t="s">
        <v>135</v>
      </c>
      <c r="E2082" s="623">
        <v>0.47727272727272729</v>
      </c>
      <c r="F2082" s="250" t="s">
        <v>542</v>
      </c>
      <c r="G2082" s="528" t="s">
        <v>16</v>
      </c>
      <c r="H2082" s="527">
        <v>1</v>
      </c>
      <c r="I2082" s="527">
        <v>3</v>
      </c>
      <c r="J2082" s="527">
        <v>3</v>
      </c>
      <c r="K2082" s="527">
        <v>3</v>
      </c>
      <c r="L2082" s="529">
        <v>3</v>
      </c>
      <c r="M2082" s="626">
        <f t="shared" si="68"/>
        <v>1.1666438005107913</v>
      </c>
      <c r="N2082" s="530"/>
    </row>
    <row r="2083" spans="1:14" hidden="1" x14ac:dyDescent="0.2">
      <c r="A2083" s="632" t="s">
        <v>461</v>
      </c>
      <c r="B2083" s="633" t="s">
        <v>543</v>
      </c>
      <c r="C2083" s="247" t="s">
        <v>36</v>
      </c>
      <c r="D2083" s="527" t="s">
        <v>135</v>
      </c>
      <c r="E2083" s="623">
        <v>0.56149481206300422</v>
      </c>
      <c r="F2083" s="250" t="s">
        <v>542</v>
      </c>
      <c r="G2083" s="528" t="s">
        <v>16</v>
      </c>
      <c r="H2083" s="527">
        <v>1</v>
      </c>
      <c r="I2083" s="527">
        <v>3</v>
      </c>
      <c r="J2083" s="527">
        <v>3</v>
      </c>
      <c r="K2083" s="527">
        <v>3</v>
      </c>
      <c r="L2083" s="529">
        <v>3</v>
      </c>
      <c r="M2083" s="626">
        <f t="shared" si="68"/>
        <v>1.1666438005107913</v>
      </c>
      <c r="N2083" s="530"/>
    </row>
    <row r="2084" spans="1:14" hidden="1" x14ac:dyDescent="0.2">
      <c r="A2084" s="632" t="s">
        <v>461</v>
      </c>
      <c r="B2084" s="633" t="s">
        <v>543</v>
      </c>
      <c r="C2084" s="247" t="s">
        <v>37</v>
      </c>
      <c r="D2084" s="527" t="s">
        <v>135</v>
      </c>
      <c r="E2084" s="623">
        <v>0.42016916466616061</v>
      </c>
      <c r="F2084" s="250" t="s">
        <v>542</v>
      </c>
      <c r="G2084" s="528" t="s">
        <v>16</v>
      </c>
      <c r="H2084" s="527">
        <v>1</v>
      </c>
      <c r="I2084" s="527">
        <v>3</v>
      </c>
      <c r="J2084" s="527">
        <v>3</v>
      </c>
      <c r="K2084" s="527">
        <v>3</v>
      </c>
      <c r="L2084" s="529">
        <v>3</v>
      </c>
      <c r="M2084" s="626">
        <f t="shared" si="68"/>
        <v>1.1666438005107913</v>
      </c>
      <c r="N2084" s="530"/>
    </row>
    <row r="2085" spans="1:14" hidden="1" x14ac:dyDescent="0.2">
      <c r="A2085" s="632" t="s">
        <v>461</v>
      </c>
      <c r="B2085" s="633" t="s">
        <v>543</v>
      </c>
      <c r="C2085" s="247" t="s">
        <v>39</v>
      </c>
      <c r="D2085" s="527" t="s">
        <v>135</v>
      </c>
      <c r="E2085" s="623">
        <v>0.42969034961898028</v>
      </c>
      <c r="F2085" s="250" t="s">
        <v>542</v>
      </c>
      <c r="G2085" s="528" t="s">
        <v>16</v>
      </c>
      <c r="H2085" s="527">
        <v>1</v>
      </c>
      <c r="I2085" s="527">
        <v>4</v>
      </c>
      <c r="J2085" s="527">
        <v>3</v>
      </c>
      <c r="K2085" s="527">
        <v>3</v>
      </c>
      <c r="L2085" s="529">
        <v>3</v>
      </c>
      <c r="M2085" s="626">
        <f t="shared" si="68"/>
        <v>1.5072684049177882</v>
      </c>
      <c r="N2085" s="530"/>
    </row>
    <row r="2086" spans="1:14" hidden="1" x14ac:dyDescent="0.2">
      <c r="A2086" s="632" t="s">
        <v>461</v>
      </c>
      <c r="B2086" s="633" t="s">
        <v>543</v>
      </c>
      <c r="C2086" s="247" t="s">
        <v>40</v>
      </c>
      <c r="D2086" s="527" t="s">
        <v>135</v>
      </c>
      <c r="E2086" s="623">
        <v>0.44755364670212999</v>
      </c>
      <c r="F2086" s="250" t="s">
        <v>542</v>
      </c>
      <c r="G2086" s="528" t="s">
        <v>16</v>
      </c>
      <c r="H2086" s="527">
        <v>1</v>
      </c>
      <c r="I2086" s="527">
        <v>4</v>
      </c>
      <c r="J2086" s="527">
        <v>3</v>
      </c>
      <c r="K2086" s="527">
        <v>3</v>
      </c>
      <c r="L2086" s="529">
        <v>3</v>
      </c>
      <c r="M2086" s="626">
        <f t="shared" si="68"/>
        <v>1.5072684049177882</v>
      </c>
      <c r="N2086" s="530"/>
    </row>
    <row r="2087" spans="1:14" hidden="1" x14ac:dyDescent="0.2">
      <c r="A2087" s="632" t="s">
        <v>461</v>
      </c>
      <c r="B2087" s="633" t="s">
        <v>543</v>
      </c>
      <c r="C2087" s="247" t="s">
        <v>41</v>
      </c>
      <c r="D2087" s="527" t="s">
        <v>135</v>
      </c>
      <c r="E2087" s="623">
        <v>0.42790697674418599</v>
      </c>
      <c r="F2087" s="250" t="s">
        <v>542</v>
      </c>
      <c r="G2087" s="528" t="s">
        <v>16</v>
      </c>
      <c r="H2087" s="527">
        <v>1</v>
      </c>
      <c r="I2087" s="527">
        <v>3</v>
      </c>
      <c r="J2087" s="527">
        <v>3</v>
      </c>
      <c r="K2087" s="527">
        <v>3</v>
      </c>
      <c r="L2087" s="529">
        <v>3</v>
      </c>
      <c r="M2087" s="626">
        <f t="shared" si="68"/>
        <v>1.1666438005107913</v>
      </c>
      <c r="N2087" s="530"/>
    </row>
    <row r="2088" spans="1:14" hidden="1" x14ac:dyDescent="0.2">
      <c r="A2088" s="632" t="s">
        <v>461</v>
      </c>
      <c r="B2088" s="633" t="s">
        <v>543</v>
      </c>
      <c r="C2088" s="247" t="s">
        <v>42</v>
      </c>
      <c r="D2088" s="527" t="s">
        <v>135</v>
      </c>
      <c r="E2088" s="623">
        <v>0.41276581682330982</v>
      </c>
      <c r="F2088" s="250" t="s">
        <v>542</v>
      </c>
      <c r="G2088" s="528" t="s">
        <v>16</v>
      </c>
      <c r="H2088" s="527">
        <v>2</v>
      </c>
      <c r="I2088" s="527">
        <v>3</v>
      </c>
      <c r="J2088" s="527">
        <v>3</v>
      </c>
      <c r="K2088" s="527">
        <v>3</v>
      </c>
      <c r="L2088" s="529">
        <v>3</v>
      </c>
      <c r="M2088" s="626">
        <f t="shared" si="68"/>
        <v>1.1713319510247036</v>
      </c>
      <c r="N2088" s="530"/>
    </row>
    <row r="2089" spans="1:14" hidden="1" x14ac:dyDescent="0.2">
      <c r="A2089" s="632" t="s">
        <v>461</v>
      </c>
      <c r="B2089" s="633" t="s">
        <v>543</v>
      </c>
      <c r="C2089" s="247" t="s">
        <v>43</v>
      </c>
      <c r="D2089" s="527" t="s">
        <v>135</v>
      </c>
      <c r="E2089" s="623">
        <v>0.45742928507578617</v>
      </c>
      <c r="F2089" s="250" t="s">
        <v>542</v>
      </c>
      <c r="G2089" s="528" t="s">
        <v>16</v>
      </c>
      <c r="H2089" s="527">
        <v>1</v>
      </c>
      <c r="I2089" s="527">
        <v>3</v>
      </c>
      <c r="J2089" s="527">
        <v>3</v>
      </c>
      <c r="K2089" s="527">
        <v>3</v>
      </c>
      <c r="L2089" s="529">
        <v>3</v>
      </c>
      <c r="M2089" s="626">
        <f t="shared" si="68"/>
        <v>1.1666438005107913</v>
      </c>
      <c r="N2089" s="530"/>
    </row>
    <row r="2090" spans="1:14" x14ac:dyDescent="0.2">
      <c r="A2090" s="632" t="s">
        <v>461</v>
      </c>
      <c r="B2090" s="633" t="s">
        <v>543</v>
      </c>
      <c r="C2090" s="247" t="s">
        <v>45</v>
      </c>
      <c r="D2090" s="527" t="s">
        <v>135</v>
      </c>
      <c r="E2090" s="623">
        <v>0.42281302685917438</v>
      </c>
      <c r="F2090" s="250" t="s">
        <v>542</v>
      </c>
      <c r="G2090" s="528" t="s">
        <v>16</v>
      </c>
      <c r="H2090" s="527">
        <v>1</v>
      </c>
      <c r="I2090" s="527">
        <v>3</v>
      </c>
      <c r="J2090" s="527">
        <v>3</v>
      </c>
      <c r="K2090" s="527">
        <v>3</v>
      </c>
      <c r="L2090" s="529">
        <v>3</v>
      </c>
      <c r="M2090" s="626">
        <f t="shared" si="68"/>
        <v>1.1666438005107913</v>
      </c>
      <c r="N2090" s="530"/>
    </row>
    <row r="2091" spans="1:14" hidden="1" x14ac:dyDescent="0.2">
      <c r="A2091" s="632" t="s">
        <v>461</v>
      </c>
      <c r="B2091" s="633" t="s">
        <v>543</v>
      </c>
      <c r="C2091" s="247" t="s">
        <v>46</v>
      </c>
      <c r="D2091" s="527" t="s">
        <v>135</v>
      </c>
      <c r="E2091" s="623">
        <v>0.41474684611533752</v>
      </c>
      <c r="F2091" s="250" t="s">
        <v>542</v>
      </c>
      <c r="G2091" s="528" t="s">
        <v>16</v>
      </c>
      <c r="H2091" s="527">
        <v>1</v>
      </c>
      <c r="I2091" s="527">
        <v>3</v>
      </c>
      <c r="J2091" s="527">
        <v>3</v>
      </c>
      <c r="K2091" s="527">
        <v>3</v>
      </c>
      <c r="L2091" s="529">
        <v>3</v>
      </c>
      <c r="M2091" s="626">
        <f t="shared" si="68"/>
        <v>1.1666438005107913</v>
      </c>
      <c r="N2091" s="530"/>
    </row>
    <row r="2092" spans="1:14" hidden="1" x14ac:dyDescent="0.2">
      <c r="A2092" s="632" t="s">
        <v>461</v>
      </c>
      <c r="B2092" s="633" t="s">
        <v>543</v>
      </c>
      <c r="C2092" s="247" t="s">
        <v>48</v>
      </c>
      <c r="D2092" s="527" t="s">
        <v>135</v>
      </c>
      <c r="E2092" s="623">
        <v>0.37297323546396538</v>
      </c>
      <c r="F2092" s="250" t="s">
        <v>542</v>
      </c>
      <c r="G2092" s="528" t="s">
        <v>16</v>
      </c>
      <c r="H2092" s="527">
        <v>2</v>
      </c>
      <c r="I2092" s="527">
        <v>3</v>
      </c>
      <c r="J2092" s="527">
        <v>3</v>
      </c>
      <c r="K2092" s="527">
        <v>3</v>
      </c>
      <c r="L2092" s="529">
        <v>3</v>
      </c>
      <c r="M2092" s="626">
        <f t="shared" si="68"/>
        <v>1.1713319510247036</v>
      </c>
      <c r="N2092" s="530"/>
    </row>
    <row r="2093" spans="1:14" hidden="1" x14ac:dyDescent="0.2">
      <c r="A2093" s="632" t="s">
        <v>461</v>
      </c>
      <c r="B2093" s="633" t="s">
        <v>543</v>
      </c>
      <c r="C2093" s="247" t="s">
        <v>50</v>
      </c>
      <c r="D2093" s="527" t="s">
        <v>135</v>
      </c>
      <c r="E2093" s="623">
        <v>0.49981052883126281</v>
      </c>
      <c r="F2093" s="250" t="s">
        <v>542</v>
      </c>
      <c r="G2093" s="528" t="s">
        <v>16</v>
      </c>
      <c r="H2093" s="527">
        <v>1</v>
      </c>
      <c r="I2093" s="527">
        <v>3</v>
      </c>
      <c r="J2093" s="527">
        <v>3</v>
      </c>
      <c r="K2093" s="527">
        <v>3</v>
      </c>
      <c r="L2093" s="529">
        <v>3</v>
      </c>
      <c r="M2093" s="626">
        <f t="shared" si="68"/>
        <v>1.1666438005107913</v>
      </c>
      <c r="N2093" s="530"/>
    </row>
    <row r="2094" spans="1:14" hidden="1" x14ac:dyDescent="0.2">
      <c r="A2094" s="632" t="s">
        <v>461</v>
      </c>
      <c r="B2094" s="633" t="s">
        <v>543</v>
      </c>
      <c r="C2094" s="247" t="s">
        <v>52</v>
      </c>
      <c r="D2094" s="527" t="s">
        <v>135</v>
      </c>
      <c r="E2094" s="623">
        <v>0.41509433962264147</v>
      </c>
      <c r="F2094" s="250" t="s">
        <v>542</v>
      </c>
      <c r="G2094" s="528" t="s">
        <v>16</v>
      </c>
      <c r="H2094" s="527">
        <v>2</v>
      </c>
      <c r="I2094" s="527">
        <v>3</v>
      </c>
      <c r="J2094" s="527">
        <v>3</v>
      </c>
      <c r="K2094" s="527">
        <v>3</v>
      </c>
      <c r="L2094" s="529">
        <v>3</v>
      </c>
      <c r="M2094" s="626">
        <f t="shared" si="68"/>
        <v>1.1713319510247036</v>
      </c>
      <c r="N2094" s="530"/>
    </row>
    <row r="2095" spans="1:14" hidden="1" x14ac:dyDescent="0.2">
      <c r="A2095" s="632" t="s">
        <v>461</v>
      </c>
      <c r="B2095" s="633" t="s">
        <v>543</v>
      </c>
      <c r="C2095" s="247" t="s">
        <v>54</v>
      </c>
      <c r="D2095" s="527" t="s">
        <v>135</v>
      </c>
      <c r="E2095" s="623">
        <v>0.40166280389951242</v>
      </c>
      <c r="F2095" s="250" t="s">
        <v>542</v>
      </c>
      <c r="G2095" s="528" t="s">
        <v>16</v>
      </c>
      <c r="H2095" s="527">
        <v>1</v>
      </c>
      <c r="I2095" s="527">
        <v>4</v>
      </c>
      <c r="J2095" s="527">
        <v>3</v>
      </c>
      <c r="K2095" s="527">
        <v>3</v>
      </c>
      <c r="L2095" s="529">
        <v>3</v>
      </c>
      <c r="M2095" s="626">
        <f t="shared" si="68"/>
        <v>1.5072684049177882</v>
      </c>
      <c r="N2095" s="530"/>
    </row>
    <row r="2096" spans="1:14" hidden="1" x14ac:dyDescent="0.2">
      <c r="A2096" s="632" t="s">
        <v>461</v>
      </c>
      <c r="B2096" s="633" t="s">
        <v>543</v>
      </c>
      <c r="C2096" s="247" t="s">
        <v>55</v>
      </c>
      <c r="D2096" s="527" t="s">
        <v>135</v>
      </c>
      <c r="E2096" s="623">
        <v>0.37259633937255732</v>
      </c>
      <c r="F2096" s="250" t="s">
        <v>542</v>
      </c>
      <c r="G2096" s="528" t="s">
        <v>16</v>
      </c>
      <c r="H2096" s="527">
        <v>1</v>
      </c>
      <c r="I2096" s="527">
        <v>3</v>
      </c>
      <c r="J2096" s="527">
        <v>3</v>
      </c>
      <c r="K2096" s="527">
        <v>3</v>
      </c>
      <c r="L2096" s="529">
        <v>3</v>
      </c>
      <c r="M2096" s="626">
        <f t="shared" si="68"/>
        <v>1.1666438005107913</v>
      </c>
      <c r="N2096" s="530"/>
    </row>
    <row r="2097" spans="1:14" hidden="1" x14ac:dyDescent="0.2">
      <c r="A2097" s="632" t="s">
        <v>461</v>
      </c>
      <c r="B2097" s="633" t="s">
        <v>543</v>
      </c>
      <c r="C2097" s="247" t="s">
        <v>57</v>
      </c>
      <c r="D2097" s="527" t="s">
        <v>135</v>
      </c>
      <c r="E2097" s="623">
        <v>0.42355994866940322</v>
      </c>
      <c r="F2097" s="250" t="s">
        <v>542</v>
      </c>
      <c r="G2097" s="528" t="s">
        <v>16</v>
      </c>
      <c r="H2097" s="527">
        <v>2</v>
      </c>
      <c r="I2097" s="527">
        <v>3</v>
      </c>
      <c r="J2097" s="527">
        <v>3</v>
      </c>
      <c r="K2097" s="527">
        <v>3</v>
      </c>
      <c r="L2097" s="529">
        <v>3</v>
      </c>
      <c r="M2097" s="626">
        <f t="shared" si="68"/>
        <v>1.1713319510247036</v>
      </c>
      <c r="N2097" s="530"/>
    </row>
    <row r="2098" spans="1:14" hidden="1" x14ac:dyDescent="0.2">
      <c r="A2098" s="632" t="s">
        <v>461</v>
      </c>
      <c r="B2098" s="633" t="s">
        <v>543</v>
      </c>
      <c r="C2098" s="247" t="s">
        <v>59</v>
      </c>
      <c r="D2098" s="527" t="s">
        <v>135</v>
      </c>
      <c r="E2098" s="623">
        <v>0.42777777777777781</v>
      </c>
      <c r="F2098" s="250" t="s">
        <v>542</v>
      </c>
      <c r="G2098" s="528" t="s">
        <v>16</v>
      </c>
      <c r="H2098" s="519">
        <v>2</v>
      </c>
      <c r="I2098" s="519">
        <v>3</v>
      </c>
      <c r="J2098" s="527">
        <v>3</v>
      </c>
      <c r="K2098" s="527">
        <v>3</v>
      </c>
      <c r="L2098" s="529">
        <v>3</v>
      </c>
      <c r="M2098" s="626">
        <f t="shared" si="68"/>
        <v>1.1713319510247036</v>
      </c>
      <c r="N2098" s="530"/>
    </row>
    <row r="2099" spans="1:14" hidden="1" x14ac:dyDescent="0.2">
      <c r="A2099" s="632" t="s">
        <v>461</v>
      </c>
      <c r="B2099" s="633" t="s">
        <v>543</v>
      </c>
      <c r="C2099" s="247" t="s">
        <v>60</v>
      </c>
      <c r="D2099" s="527" t="s">
        <v>135</v>
      </c>
      <c r="E2099" s="627">
        <v>0.56374818293009066</v>
      </c>
      <c r="F2099" s="250" t="s">
        <v>542</v>
      </c>
      <c r="G2099" s="528" t="s">
        <v>16</v>
      </c>
      <c r="H2099" s="519">
        <v>1</v>
      </c>
      <c r="I2099" s="519">
        <v>3</v>
      </c>
      <c r="J2099" s="527">
        <v>3</v>
      </c>
      <c r="K2099" s="527">
        <v>3</v>
      </c>
      <c r="L2099" s="529">
        <v>3</v>
      </c>
      <c r="M2099" s="521">
        <f t="shared" si="68"/>
        <v>1.1666438005107913</v>
      </c>
      <c r="N2099" s="522"/>
    </row>
    <row r="2100" spans="1:14" hidden="1" x14ac:dyDescent="0.2">
      <c r="A2100" s="632" t="s">
        <v>461</v>
      </c>
      <c r="B2100" s="633" t="s">
        <v>544</v>
      </c>
      <c r="C2100" s="247" t="s">
        <v>13</v>
      </c>
      <c r="D2100" s="527" t="s">
        <v>135</v>
      </c>
      <c r="E2100" s="623">
        <v>8.8235294117647065E-2</v>
      </c>
      <c r="F2100" s="250" t="s">
        <v>542</v>
      </c>
      <c r="G2100" s="528" t="s">
        <v>16</v>
      </c>
      <c r="H2100" s="527">
        <v>1</v>
      </c>
      <c r="I2100" s="527">
        <v>3</v>
      </c>
      <c r="J2100" s="527">
        <v>3</v>
      </c>
      <c r="K2100" s="527">
        <v>3</v>
      </c>
      <c r="L2100" s="529">
        <v>3</v>
      </c>
      <c r="M2100" s="626">
        <f t="shared" si="68"/>
        <v>1.1666438005107913</v>
      </c>
      <c r="N2100" s="530"/>
    </row>
    <row r="2101" spans="1:14" hidden="1" x14ac:dyDescent="0.2">
      <c r="A2101" s="632" t="s">
        <v>461</v>
      </c>
      <c r="B2101" s="633" t="s">
        <v>544</v>
      </c>
      <c r="C2101" s="247" t="s">
        <v>18</v>
      </c>
      <c r="D2101" s="527" t="s">
        <v>135</v>
      </c>
      <c r="E2101" s="623">
        <v>4.9954071617728572E-2</v>
      </c>
      <c r="F2101" s="250" t="s">
        <v>542</v>
      </c>
      <c r="G2101" s="528" t="s">
        <v>16</v>
      </c>
      <c r="H2101" s="527">
        <v>1</v>
      </c>
      <c r="I2101" s="527">
        <v>3</v>
      </c>
      <c r="J2101" s="527">
        <v>3</v>
      </c>
      <c r="K2101" s="527">
        <v>3</v>
      </c>
      <c r="L2101" s="529">
        <v>3</v>
      </c>
      <c r="M2101" s="626">
        <f t="shared" si="68"/>
        <v>1.1666438005107913</v>
      </c>
      <c r="N2101" s="530"/>
    </row>
    <row r="2102" spans="1:14" hidden="1" x14ac:dyDescent="0.2">
      <c r="A2102" s="632" t="s">
        <v>461</v>
      </c>
      <c r="B2102" s="633" t="s">
        <v>544</v>
      </c>
      <c r="C2102" s="247" t="s">
        <v>20</v>
      </c>
      <c r="D2102" s="527" t="s">
        <v>135</v>
      </c>
      <c r="E2102" s="623">
        <v>0.10993262786715879</v>
      </c>
      <c r="F2102" s="250" t="s">
        <v>542</v>
      </c>
      <c r="G2102" s="528" t="s">
        <v>16</v>
      </c>
      <c r="H2102" s="527">
        <v>1</v>
      </c>
      <c r="I2102" s="527">
        <v>4</v>
      </c>
      <c r="J2102" s="527">
        <v>3</v>
      </c>
      <c r="K2102" s="527">
        <v>3</v>
      </c>
      <c r="L2102" s="529">
        <v>3</v>
      </c>
      <c r="M2102" s="626">
        <f t="shared" si="68"/>
        <v>1.5072684049177882</v>
      </c>
      <c r="N2102" s="530"/>
    </row>
    <row r="2103" spans="1:14" hidden="1" x14ac:dyDescent="0.2">
      <c r="A2103" s="632" t="s">
        <v>461</v>
      </c>
      <c r="B2103" s="633" t="s">
        <v>544</v>
      </c>
      <c r="C2103" s="247" t="s">
        <v>22</v>
      </c>
      <c r="D2103" s="527" t="s">
        <v>135</v>
      </c>
      <c r="E2103" s="623">
        <v>0.1066385161534409</v>
      </c>
      <c r="F2103" s="250" t="s">
        <v>542</v>
      </c>
      <c r="G2103" s="528" t="s">
        <v>16</v>
      </c>
      <c r="H2103" s="527">
        <v>2</v>
      </c>
      <c r="I2103" s="527">
        <v>4</v>
      </c>
      <c r="J2103" s="527">
        <v>3</v>
      </c>
      <c r="K2103" s="527">
        <v>3</v>
      </c>
      <c r="L2103" s="529">
        <v>3</v>
      </c>
      <c r="M2103" s="626">
        <f t="shared" si="68"/>
        <v>1.5109000055213746</v>
      </c>
      <c r="N2103" s="530"/>
    </row>
    <row r="2104" spans="1:14" hidden="1" x14ac:dyDescent="0.2">
      <c r="A2104" s="632" t="s">
        <v>461</v>
      </c>
      <c r="B2104" s="633" t="s">
        <v>544</v>
      </c>
      <c r="C2104" s="247" t="s">
        <v>23</v>
      </c>
      <c r="D2104" s="527" t="s">
        <v>135</v>
      </c>
      <c r="E2104" s="623">
        <v>9.9875950977530839E-2</v>
      </c>
      <c r="F2104" s="250" t="s">
        <v>542</v>
      </c>
      <c r="G2104" s="528" t="s">
        <v>16</v>
      </c>
      <c r="H2104" s="527">
        <v>2</v>
      </c>
      <c r="I2104" s="527">
        <v>3</v>
      </c>
      <c r="J2104" s="527">
        <v>3</v>
      </c>
      <c r="K2104" s="527">
        <v>3</v>
      </c>
      <c r="L2104" s="529">
        <v>3</v>
      </c>
      <c r="M2104" s="626">
        <f t="shared" si="68"/>
        <v>1.1713319510247036</v>
      </c>
      <c r="N2104" s="530"/>
    </row>
    <row r="2105" spans="1:14" hidden="1" x14ac:dyDescent="0.2">
      <c r="A2105" s="632" t="s">
        <v>461</v>
      </c>
      <c r="B2105" s="633" t="s">
        <v>544</v>
      </c>
      <c r="C2105" s="247" t="s">
        <v>24</v>
      </c>
      <c r="D2105" s="527" t="s">
        <v>135</v>
      </c>
      <c r="E2105" s="623">
        <v>8.8050314465408799E-2</v>
      </c>
      <c r="F2105" s="250" t="s">
        <v>542</v>
      </c>
      <c r="G2105" s="528" t="s">
        <v>16</v>
      </c>
      <c r="H2105" s="527">
        <v>2</v>
      </c>
      <c r="I2105" s="527">
        <v>3</v>
      </c>
      <c r="J2105" s="527">
        <v>3</v>
      </c>
      <c r="K2105" s="527">
        <v>3</v>
      </c>
      <c r="L2105" s="529">
        <v>3</v>
      </c>
      <c r="M2105" s="626">
        <f t="shared" si="68"/>
        <v>1.1713319510247036</v>
      </c>
      <c r="N2105" s="530"/>
    </row>
    <row r="2106" spans="1:14" hidden="1" x14ac:dyDescent="0.2">
      <c r="A2106" s="632" t="s">
        <v>461</v>
      </c>
      <c r="B2106" s="633" t="s">
        <v>544</v>
      </c>
      <c r="C2106" s="247" t="s">
        <v>25</v>
      </c>
      <c r="D2106" s="527" t="s">
        <v>135</v>
      </c>
      <c r="E2106" s="623">
        <v>5.8927146162008462E-2</v>
      </c>
      <c r="F2106" s="250" t="s">
        <v>542</v>
      </c>
      <c r="G2106" s="528" t="s">
        <v>16</v>
      </c>
      <c r="H2106" s="527">
        <v>2</v>
      </c>
      <c r="I2106" s="527">
        <v>3</v>
      </c>
      <c r="J2106" s="527">
        <v>3</v>
      </c>
      <c r="K2106" s="527">
        <v>3</v>
      </c>
      <c r="L2106" s="529">
        <v>3</v>
      </c>
      <c r="M2106" s="626">
        <f t="shared" si="68"/>
        <v>1.1713319510247036</v>
      </c>
      <c r="N2106" s="530"/>
    </row>
    <row r="2107" spans="1:14" hidden="1" x14ac:dyDescent="0.2">
      <c r="A2107" s="632" t="s">
        <v>461</v>
      </c>
      <c r="B2107" s="633" t="s">
        <v>544</v>
      </c>
      <c r="C2107" s="247" t="s">
        <v>26</v>
      </c>
      <c r="D2107" s="527" t="s">
        <v>135</v>
      </c>
      <c r="E2107" s="623">
        <v>8.0534365090171756E-2</v>
      </c>
      <c r="F2107" s="250" t="s">
        <v>542</v>
      </c>
      <c r="G2107" s="528" t="s">
        <v>16</v>
      </c>
      <c r="H2107" s="527">
        <v>1</v>
      </c>
      <c r="I2107" s="527">
        <v>3</v>
      </c>
      <c r="J2107" s="527">
        <v>3</v>
      </c>
      <c r="K2107" s="527">
        <v>3</v>
      </c>
      <c r="L2107" s="529">
        <v>3</v>
      </c>
      <c r="M2107" s="626">
        <f t="shared" si="68"/>
        <v>1.1666438005107913</v>
      </c>
      <c r="N2107" s="530"/>
    </row>
    <row r="2108" spans="1:14" hidden="1" x14ac:dyDescent="0.2">
      <c r="A2108" s="632" t="s">
        <v>461</v>
      </c>
      <c r="B2108" s="633" t="s">
        <v>544</v>
      </c>
      <c r="C2108" s="247" t="s">
        <v>27</v>
      </c>
      <c r="D2108" s="527" t="s">
        <v>135</v>
      </c>
      <c r="E2108" s="623">
        <v>6.8999796447444736E-2</v>
      </c>
      <c r="F2108" s="250" t="s">
        <v>542</v>
      </c>
      <c r="G2108" s="528" t="s">
        <v>16</v>
      </c>
      <c r="H2108" s="527">
        <v>1</v>
      </c>
      <c r="I2108" s="527">
        <v>3</v>
      </c>
      <c r="J2108" s="527">
        <v>3</v>
      </c>
      <c r="K2108" s="527">
        <v>3</v>
      </c>
      <c r="L2108" s="529">
        <v>3</v>
      </c>
      <c r="M2108" s="626">
        <f t="shared" si="68"/>
        <v>1.1666438005107913</v>
      </c>
      <c r="N2108" s="530"/>
    </row>
    <row r="2109" spans="1:14" hidden="1" x14ac:dyDescent="0.2">
      <c r="A2109" s="632" t="s">
        <v>461</v>
      </c>
      <c r="B2109" s="633" t="s">
        <v>544</v>
      </c>
      <c r="C2109" s="247" t="s">
        <v>28</v>
      </c>
      <c r="D2109" s="527" t="s">
        <v>135</v>
      </c>
      <c r="E2109" s="623">
        <v>8.3563454548521321E-2</v>
      </c>
      <c r="F2109" s="250" t="s">
        <v>542</v>
      </c>
      <c r="G2109" s="528" t="s">
        <v>16</v>
      </c>
      <c r="H2109" s="527">
        <v>1</v>
      </c>
      <c r="I2109" s="527">
        <v>3</v>
      </c>
      <c r="J2109" s="527">
        <v>3</v>
      </c>
      <c r="K2109" s="527">
        <v>3</v>
      </c>
      <c r="L2109" s="529">
        <v>3</v>
      </c>
      <c r="M2109" s="626">
        <f>IF( OR( ISBLANK(H2109),ISBLANK(I2109), ISBLANK(J2109), ISBLANK(K2109), ISBLANK(L2109) ), "", 1.5*SQRT(   EXP(2.21*(H2109-1)) + EXP(2.21*(I2109-1)) + EXP(2.21*(J2109-1)) + EXP(2.21*(K2109-1)) + EXP(2.21*L2109)   )/100*2.45 )</f>
        <v>1.1666438005107913</v>
      </c>
      <c r="N2109" s="530"/>
    </row>
    <row r="2110" spans="1:14" hidden="1" x14ac:dyDescent="0.2">
      <c r="A2110" s="632" t="s">
        <v>461</v>
      </c>
      <c r="B2110" s="633" t="s">
        <v>544</v>
      </c>
      <c r="C2110" s="247" t="s">
        <v>30</v>
      </c>
      <c r="D2110" s="527" t="s">
        <v>135</v>
      </c>
      <c r="E2110" s="623">
        <v>4.993398498735048E-2</v>
      </c>
      <c r="F2110" s="250" t="s">
        <v>542</v>
      </c>
      <c r="G2110" s="528" t="s">
        <v>16</v>
      </c>
      <c r="H2110" s="527">
        <v>1</v>
      </c>
      <c r="I2110" s="527">
        <v>3</v>
      </c>
      <c r="J2110" s="527">
        <v>3</v>
      </c>
      <c r="K2110" s="527">
        <v>3</v>
      </c>
      <c r="L2110" s="529">
        <v>3</v>
      </c>
      <c r="M2110" s="626">
        <f t="shared" ref="M2110:M2129" si="69">IF( OR( ISBLANK(H2110),ISBLANK(I2110), ISBLANK(J2110), ISBLANK(K2110), ISBLANK(L2110) ), "", 1.5*SQRT( EXP(2.21*(H2110-1)) + EXP(2.21*(I2110-1)) + EXP(2.21*(J2110-1)) + EXP(2.21*(K2110-1)) + EXP(2.21*L2110) )/100*2.45 )</f>
        <v>1.1666438005107913</v>
      </c>
      <c r="N2110" s="530"/>
    </row>
    <row r="2111" spans="1:14" hidden="1" x14ac:dyDescent="0.2">
      <c r="A2111" s="632" t="s">
        <v>461</v>
      </c>
      <c r="B2111" s="633" t="s">
        <v>544</v>
      </c>
      <c r="C2111" s="247" t="s">
        <v>32</v>
      </c>
      <c r="D2111" s="527" t="s">
        <v>135</v>
      </c>
      <c r="E2111" s="623">
        <v>0.1002153253780268</v>
      </c>
      <c r="F2111" s="250" t="s">
        <v>542</v>
      </c>
      <c r="G2111" s="528" t="s">
        <v>16</v>
      </c>
      <c r="H2111" s="527">
        <v>1</v>
      </c>
      <c r="I2111" s="527">
        <v>3</v>
      </c>
      <c r="J2111" s="527">
        <v>3</v>
      </c>
      <c r="K2111" s="527">
        <v>3</v>
      </c>
      <c r="L2111" s="529">
        <v>3</v>
      </c>
      <c r="M2111" s="626">
        <f t="shared" si="69"/>
        <v>1.1666438005107913</v>
      </c>
      <c r="N2111" s="530"/>
    </row>
    <row r="2112" spans="1:14" hidden="1" x14ac:dyDescent="0.2">
      <c r="A2112" s="632" t="s">
        <v>461</v>
      </c>
      <c r="B2112" s="633" t="s">
        <v>544</v>
      </c>
      <c r="C2112" s="247" t="s">
        <v>34</v>
      </c>
      <c r="D2112" s="527" t="s">
        <v>135</v>
      </c>
      <c r="E2112" s="623">
        <v>4.5454545454545463E-2</v>
      </c>
      <c r="F2112" s="250" t="s">
        <v>542</v>
      </c>
      <c r="G2112" s="528" t="s">
        <v>16</v>
      </c>
      <c r="H2112" s="527">
        <v>1</v>
      </c>
      <c r="I2112" s="527">
        <v>3</v>
      </c>
      <c r="J2112" s="527">
        <v>3</v>
      </c>
      <c r="K2112" s="527">
        <v>3</v>
      </c>
      <c r="L2112" s="529">
        <v>3</v>
      </c>
      <c r="M2112" s="626">
        <f t="shared" si="69"/>
        <v>1.1666438005107913</v>
      </c>
      <c r="N2112" s="530"/>
    </row>
    <row r="2113" spans="1:14" hidden="1" x14ac:dyDescent="0.2">
      <c r="A2113" s="632" t="s">
        <v>461</v>
      </c>
      <c r="B2113" s="633" t="s">
        <v>544</v>
      </c>
      <c r="C2113" s="247" t="s">
        <v>36</v>
      </c>
      <c r="D2113" s="527" t="s">
        <v>135</v>
      </c>
      <c r="E2113" s="623">
        <v>2.6116037770372282E-2</v>
      </c>
      <c r="F2113" s="250" t="s">
        <v>542</v>
      </c>
      <c r="G2113" s="528" t="s">
        <v>16</v>
      </c>
      <c r="H2113" s="527">
        <v>1</v>
      </c>
      <c r="I2113" s="527">
        <v>3</v>
      </c>
      <c r="J2113" s="527">
        <v>3</v>
      </c>
      <c r="K2113" s="527">
        <v>3</v>
      </c>
      <c r="L2113" s="529">
        <v>3</v>
      </c>
      <c r="M2113" s="626">
        <f t="shared" si="69"/>
        <v>1.1666438005107913</v>
      </c>
      <c r="N2113" s="530"/>
    </row>
    <row r="2114" spans="1:14" hidden="1" x14ac:dyDescent="0.2">
      <c r="A2114" s="632" t="s">
        <v>461</v>
      </c>
      <c r="B2114" s="633" t="s">
        <v>544</v>
      </c>
      <c r="C2114" s="247" t="s">
        <v>37</v>
      </c>
      <c r="D2114" s="527" t="s">
        <v>135</v>
      </c>
      <c r="E2114" s="623">
        <v>0.1116905374429034</v>
      </c>
      <c r="F2114" s="250" t="s">
        <v>542</v>
      </c>
      <c r="G2114" s="528" t="s">
        <v>16</v>
      </c>
      <c r="H2114" s="527">
        <v>1</v>
      </c>
      <c r="I2114" s="527">
        <v>3</v>
      </c>
      <c r="J2114" s="527">
        <v>3</v>
      </c>
      <c r="K2114" s="527">
        <v>3</v>
      </c>
      <c r="L2114" s="529">
        <v>3</v>
      </c>
      <c r="M2114" s="626">
        <f t="shared" si="69"/>
        <v>1.1666438005107913</v>
      </c>
      <c r="N2114" s="530"/>
    </row>
    <row r="2115" spans="1:14" hidden="1" x14ac:dyDescent="0.2">
      <c r="A2115" s="632" t="s">
        <v>461</v>
      </c>
      <c r="B2115" s="633" t="s">
        <v>544</v>
      </c>
      <c r="C2115" s="247" t="s">
        <v>39</v>
      </c>
      <c r="D2115" s="527" t="s">
        <v>135</v>
      </c>
      <c r="E2115" s="623">
        <v>6.6499696964842189E-2</v>
      </c>
      <c r="F2115" s="250" t="s">
        <v>542</v>
      </c>
      <c r="G2115" s="528" t="s">
        <v>16</v>
      </c>
      <c r="H2115" s="527">
        <v>1</v>
      </c>
      <c r="I2115" s="527">
        <v>4</v>
      </c>
      <c r="J2115" s="527">
        <v>3</v>
      </c>
      <c r="K2115" s="527">
        <v>3</v>
      </c>
      <c r="L2115" s="529">
        <v>3</v>
      </c>
      <c r="M2115" s="626">
        <f t="shared" si="69"/>
        <v>1.5072684049177882</v>
      </c>
      <c r="N2115" s="530"/>
    </row>
    <row r="2116" spans="1:14" hidden="1" x14ac:dyDescent="0.2">
      <c r="A2116" s="632" t="s">
        <v>461</v>
      </c>
      <c r="B2116" s="633" t="s">
        <v>544</v>
      </c>
      <c r="C2116" s="247" t="s">
        <v>40</v>
      </c>
      <c r="D2116" s="527" t="s">
        <v>135</v>
      </c>
      <c r="E2116" s="623">
        <v>5.1890277878507841E-2</v>
      </c>
      <c r="F2116" s="250" t="s">
        <v>542</v>
      </c>
      <c r="G2116" s="528" t="s">
        <v>16</v>
      </c>
      <c r="H2116" s="527">
        <v>1</v>
      </c>
      <c r="I2116" s="527">
        <v>4</v>
      </c>
      <c r="J2116" s="527">
        <v>3</v>
      </c>
      <c r="K2116" s="527">
        <v>3</v>
      </c>
      <c r="L2116" s="529">
        <v>3</v>
      </c>
      <c r="M2116" s="626">
        <f t="shared" si="69"/>
        <v>1.5072684049177882</v>
      </c>
      <c r="N2116" s="530"/>
    </row>
    <row r="2117" spans="1:14" hidden="1" x14ac:dyDescent="0.2">
      <c r="A2117" s="632" t="s">
        <v>461</v>
      </c>
      <c r="B2117" s="633" t="s">
        <v>544</v>
      </c>
      <c r="C2117" s="247" t="s">
        <v>41</v>
      </c>
      <c r="D2117" s="527" t="s">
        <v>135</v>
      </c>
      <c r="E2117" s="623">
        <v>7.441860465116279E-2</v>
      </c>
      <c r="F2117" s="250" t="s">
        <v>542</v>
      </c>
      <c r="G2117" s="528" t="s">
        <v>16</v>
      </c>
      <c r="H2117" s="527">
        <v>1</v>
      </c>
      <c r="I2117" s="527">
        <v>3</v>
      </c>
      <c r="J2117" s="527">
        <v>3</v>
      </c>
      <c r="K2117" s="527">
        <v>3</v>
      </c>
      <c r="L2117" s="529">
        <v>3</v>
      </c>
      <c r="M2117" s="626">
        <f t="shared" si="69"/>
        <v>1.1666438005107913</v>
      </c>
      <c r="N2117" s="530"/>
    </row>
    <row r="2118" spans="1:14" hidden="1" x14ac:dyDescent="0.2">
      <c r="A2118" s="632" t="s">
        <v>461</v>
      </c>
      <c r="B2118" s="633" t="s">
        <v>544</v>
      </c>
      <c r="C2118" s="247" t="s">
        <v>42</v>
      </c>
      <c r="D2118" s="527" t="s">
        <v>135</v>
      </c>
      <c r="E2118" s="623">
        <v>0.10972255890239881</v>
      </c>
      <c r="F2118" s="250" t="s">
        <v>542</v>
      </c>
      <c r="G2118" s="528" t="s">
        <v>16</v>
      </c>
      <c r="H2118" s="527">
        <v>2</v>
      </c>
      <c r="I2118" s="527">
        <v>3</v>
      </c>
      <c r="J2118" s="527">
        <v>3</v>
      </c>
      <c r="K2118" s="527">
        <v>3</v>
      </c>
      <c r="L2118" s="529">
        <v>3</v>
      </c>
      <c r="M2118" s="626">
        <f t="shared" si="69"/>
        <v>1.1713319510247036</v>
      </c>
      <c r="N2118" s="530"/>
    </row>
    <row r="2119" spans="1:14" hidden="1" x14ac:dyDescent="0.2">
      <c r="A2119" s="632" t="s">
        <v>461</v>
      </c>
      <c r="B2119" s="633" t="s">
        <v>544</v>
      </c>
      <c r="C2119" s="247" t="s">
        <v>43</v>
      </c>
      <c r="D2119" s="527" t="s">
        <v>135</v>
      </c>
      <c r="E2119" s="623">
        <v>3.5186868082752787E-2</v>
      </c>
      <c r="F2119" s="250" t="s">
        <v>542</v>
      </c>
      <c r="G2119" s="528" t="s">
        <v>16</v>
      </c>
      <c r="H2119" s="527">
        <v>1</v>
      </c>
      <c r="I2119" s="527">
        <v>3</v>
      </c>
      <c r="J2119" s="527">
        <v>3</v>
      </c>
      <c r="K2119" s="527">
        <v>3</v>
      </c>
      <c r="L2119" s="529">
        <v>3</v>
      </c>
      <c r="M2119" s="626">
        <f t="shared" si="69"/>
        <v>1.1666438005107913</v>
      </c>
      <c r="N2119" s="530"/>
    </row>
    <row r="2120" spans="1:14" x14ac:dyDescent="0.2">
      <c r="A2120" s="632" t="s">
        <v>461</v>
      </c>
      <c r="B2120" s="633" t="s">
        <v>544</v>
      </c>
      <c r="C2120" s="247" t="s">
        <v>45</v>
      </c>
      <c r="D2120" s="527" t="s">
        <v>135</v>
      </c>
      <c r="E2120" s="623">
        <v>5.8997166538489451E-2</v>
      </c>
      <c r="F2120" s="250" t="s">
        <v>542</v>
      </c>
      <c r="G2120" s="528" t="s">
        <v>16</v>
      </c>
      <c r="H2120" s="527">
        <v>1</v>
      </c>
      <c r="I2120" s="527">
        <v>3</v>
      </c>
      <c r="J2120" s="527">
        <v>3</v>
      </c>
      <c r="K2120" s="527">
        <v>3</v>
      </c>
      <c r="L2120" s="529">
        <v>3</v>
      </c>
      <c r="M2120" s="626">
        <f t="shared" si="69"/>
        <v>1.1666438005107913</v>
      </c>
      <c r="N2120" s="530"/>
    </row>
    <row r="2121" spans="1:14" hidden="1" x14ac:dyDescent="0.2">
      <c r="A2121" s="632" t="s">
        <v>461</v>
      </c>
      <c r="B2121" s="633" t="s">
        <v>544</v>
      </c>
      <c r="C2121" s="247" t="s">
        <v>46</v>
      </c>
      <c r="D2121" s="527" t="s">
        <v>135</v>
      </c>
      <c r="E2121" s="623">
        <v>8.7976603721435218E-2</v>
      </c>
      <c r="F2121" s="250" t="s">
        <v>542</v>
      </c>
      <c r="G2121" s="528" t="s">
        <v>16</v>
      </c>
      <c r="H2121" s="527">
        <v>1</v>
      </c>
      <c r="I2121" s="527">
        <v>3</v>
      </c>
      <c r="J2121" s="527">
        <v>3</v>
      </c>
      <c r="K2121" s="527">
        <v>3</v>
      </c>
      <c r="L2121" s="529">
        <v>3</v>
      </c>
      <c r="M2121" s="626">
        <f t="shared" si="69"/>
        <v>1.1666438005107913</v>
      </c>
      <c r="N2121" s="530"/>
    </row>
    <row r="2122" spans="1:14" hidden="1" x14ac:dyDescent="0.2">
      <c r="A2122" s="632" t="s">
        <v>461</v>
      </c>
      <c r="B2122" s="633" t="s">
        <v>544</v>
      </c>
      <c r="C2122" s="247" t="s">
        <v>48</v>
      </c>
      <c r="D2122" s="527" t="s">
        <v>135</v>
      </c>
      <c r="E2122" s="623">
        <v>0.17583023957586941</v>
      </c>
      <c r="F2122" s="250" t="s">
        <v>542</v>
      </c>
      <c r="G2122" s="528" t="s">
        <v>16</v>
      </c>
      <c r="H2122" s="527">
        <v>2</v>
      </c>
      <c r="I2122" s="527">
        <v>3</v>
      </c>
      <c r="J2122" s="527">
        <v>3</v>
      </c>
      <c r="K2122" s="527">
        <v>3</v>
      </c>
      <c r="L2122" s="529">
        <v>3</v>
      </c>
      <c r="M2122" s="626">
        <f t="shared" si="69"/>
        <v>1.1713319510247036</v>
      </c>
      <c r="N2122" s="530"/>
    </row>
    <row r="2123" spans="1:14" hidden="1" x14ac:dyDescent="0.2">
      <c r="A2123" s="632" t="s">
        <v>461</v>
      </c>
      <c r="B2123" s="633" t="s">
        <v>544</v>
      </c>
      <c r="C2123" s="247" t="s">
        <v>50</v>
      </c>
      <c r="D2123" s="527" t="s">
        <v>135</v>
      </c>
      <c r="E2123" s="623">
        <v>6.8939383287070735E-2</v>
      </c>
      <c r="F2123" s="250" t="s">
        <v>542</v>
      </c>
      <c r="G2123" s="528" t="s">
        <v>16</v>
      </c>
      <c r="H2123" s="527">
        <v>1</v>
      </c>
      <c r="I2123" s="527">
        <v>3</v>
      </c>
      <c r="J2123" s="527">
        <v>3</v>
      </c>
      <c r="K2123" s="527">
        <v>3</v>
      </c>
      <c r="L2123" s="529">
        <v>3</v>
      </c>
      <c r="M2123" s="626">
        <f t="shared" si="69"/>
        <v>1.1666438005107913</v>
      </c>
      <c r="N2123" s="530"/>
    </row>
    <row r="2124" spans="1:14" hidden="1" x14ac:dyDescent="0.2">
      <c r="A2124" s="632" t="s">
        <v>461</v>
      </c>
      <c r="B2124" s="633" t="s">
        <v>544</v>
      </c>
      <c r="C2124" s="247" t="s">
        <v>52</v>
      </c>
      <c r="D2124" s="527" t="s">
        <v>135</v>
      </c>
      <c r="E2124" s="623">
        <v>8.8050314465408799E-2</v>
      </c>
      <c r="F2124" s="250" t="s">
        <v>542</v>
      </c>
      <c r="G2124" s="528" t="s">
        <v>16</v>
      </c>
      <c r="H2124" s="527">
        <v>2</v>
      </c>
      <c r="I2124" s="527">
        <v>3</v>
      </c>
      <c r="J2124" s="527">
        <v>3</v>
      </c>
      <c r="K2124" s="527">
        <v>3</v>
      </c>
      <c r="L2124" s="529">
        <v>3</v>
      </c>
      <c r="M2124" s="626">
        <f t="shared" si="69"/>
        <v>1.1713319510247036</v>
      </c>
      <c r="N2124" s="530"/>
    </row>
    <row r="2125" spans="1:14" hidden="1" x14ac:dyDescent="0.2">
      <c r="A2125" s="632" t="s">
        <v>461</v>
      </c>
      <c r="B2125" s="633" t="s">
        <v>544</v>
      </c>
      <c r="C2125" s="247" t="s">
        <v>54</v>
      </c>
      <c r="D2125" s="527" t="s">
        <v>135</v>
      </c>
      <c r="E2125" s="623">
        <v>0.1095444010635034</v>
      </c>
      <c r="F2125" s="250" t="s">
        <v>542</v>
      </c>
      <c r="G2125" s="528" t="s">
        <v>16</v>
      </c>
      <c r="H2125" s="527">
        <v>1</v>
      </c>
      <c r="I2125" s="527">
        <v>4</v>
      </c>
      <c r="J2125" s="527">
        <v>3</v>
      </c>
      <c r="K2125" s="527">
        <v>3</v>
      </c>
      <c r="L2125" s="529">
        <v>3</v>
      </c>
      <c r="M2125" s="626">
        <f t="shared" si="69"/>
        <v>1.5072684049177882</v>
      </c>
      <c r="N2125" s="530"/>
    </row>
    <row r="2126" spans="1:14" hidden="1" x14ac:dyDescent="0.2">
      <c r="A2126" s="632" t="s">
        <v>461</v>
      </c>
      <c r="B2126" s="633" t="s">
        <v>544</v>
      </c>
      <c r="C2126" s="247" t="s">
        <v>55</v>
      </c>
      <c r="D2126" s="527" t="s">
        <v>135</v>
      </c>
      <c r="E2126" s="623">
        <v>0.17565255998991991</v>
      </c>
      <c r="F2126" s="250" t="s">
        <v>542</v>
      </c>
      <c r="G2126" s="528" t="s">
        <v>16</v>
      </c>
      <c r="H2126" s="527">
        <v>1</v>
      </c>
      <c r="I2126" s="527">
        <v>3</v>
      </c>
      <c r="J2126" s="527">
        <v>3</v>
      </c>
      <c r="K2126" s="527">
        <v>3</v>
      </c>
      <c r="L2126" s="529">
        <v>3</v>
      </c>
      <c r="M2126" s="626">
        <f t="shared" si="69"/>
        <v>1.1666438005107913</v>
      </c>
      <c r="N2126" s="530"/>
    </row>
    <row r="2127" spans="1:14" hidden="1" x14ac:dyDescent="0.2">
      <c r="A2127" s="632" t="s">
        <v>461</v>
      </c>
      <c r="B2127" s="633" t="s">
        <v>544</v>
      </c>
      <c r="C2127" s="247" t="s">
        <v>57</v>
      </c>
      <c r="D2127" s="527" t="s">
        <v>135</v>
      </c>
      <c r="E2127" s="623">
        <v>5.910138818642835E-2</v>
      </c>
      <c r="F2127" s="250" t="s">
        <v>542</v>
      </c>
      <c r="G2127" s="528" t="s">
        <v>16</v>
      </c>
      <c r="H2127" s="527">
        <v>2</v>
      </c>
      <c r="I2127" s="527">
        <v>3</v>
      </c>
      <c r="J2127" s="527">
        <v>3</v>
      </c>
      <c r="K2127" s="527">
        <v>3</v>
      </c>
      <c r="L2127" s="529">
        <v>3</v>
      </c>
      <c r="M2127" s="626">
        <f t="shared" si="69"/>
        <v>1.1713319510247036</v>
      </c>
      <c r="N2127" s="530"/>
    </row>
    <row r="2128" spans="1:14" hidden="1" x14ac:dyDescent="0.2">
      <c r="A2128" s="632" t="s">
        <v>461</v>
      </c>
      <c r="B2128" s="633" t="s">
        <v>544</v>
      </c>
      <c r="C2128" s="247" t="s">
        <v>59</v>
      </c>
      <c r="D2128" s="527" t="s">
        <v>135</v>
      </c>
      <c r="E2128" s="623">
        <v>0.05</v>
      </c>
      <c r="F2128" s="250" t="s">
        <v>542</v>
      </c>
      <c r="G2128" s="528" t="s">
        <v>16</v>
      </c>
      <c r="H2128" s="519">
        <v>2</v>
      </c>
      <c r="I2128" s="519">
        <v>3</v>
      </c>
      <c r="J2128" s="527">
        <v>3</v>
      </c>
      <c r="K2128" s="527">
        <v>3</v>
      </c>
      <c r="L2128" s="529">
        <v>3</v>
      </c>
      <c r="M2128" s="626">
        <f t="shared" si="69"/>
        <v>1.1713319510247036</v>
      </c>
      <c r="N2128" s="530"/>
    </row>
    <row r="2129" spans="1:14" hidden="1" x14ac:dyDescent="0.2">
      <c r="A2129" s="632" t="s">
        <v>461</v>
      </c>
      <c r="B2129" s="633" t="s">
        <v>544</v>
      </c>
      <c r="C2129" s="247" t="s">
        <v>60</v>
      </c>
      <c r="D2129" s="527" t="s">
        <v>135</v>
      </c>
      <c r="E2129" s="627">
        <v>2.6220845717678631E-2</v>
      </c>
      <c r="F2129" s="250" t="s">
        <v>542</v>
      </c>
      <c r="G2129" s="528" t="s">
        <v>16</v>
      </c>
      <c r="H2129" s="519">
        <v>1</v>
      </c>
      <c r="I2129" s="519">
        <v>3</v>
      </c>
      <c r="J2129" s="527">
        <v>3</v>
      </c>
      <c r="K2129" s="527">
        <v>3</v>
      </c>
      <c r="L2129" s="529">
        <v>3</v>
      </c>
      <c r="M2129" s="521">
        <f t="shared" si="69"/>
        <v>1.1666438005107913</v>
      </c>
      <c r="N2129" s="522"/>
    </row>
    <row r="2130" spans="1:14" hidden="1" x14ac:dyDescent="0.2">
      <c r="A2130" s="632" t="s">
        <v>461</v>
      </c>
      <c r="B2130" s="633" t="s">
        <v>545</v>
      </c>
      <c r="C2130" s="247" t="s">
        <v>13</v>
      </c>
      <c r="D2130" s="527" t="s">
        <v>135</v>
      </c>
      <c r="E2130" s="634">
        <v>0</v>
      </c>
      <c r="F2130" s="250"/>
      <c r="G2130" s="251" t="s">
        <v>16</v>
      </c>
      <c r="H2130" s="478"/>
      <c r="I2130" s="478"/>
      <c r="J2130" s="478"/>
      <c r="K2130" s="478"/>
      <c r="L2130" s="471"/>
      <c r="M2130" s="456"/>
      <c r="N2130" s="530"/>
    </row>
    <row r="2131" spans="1:14" hidden="1" x14ac:dyDescent="0.2">
      <c r="A2131" s="632" t="s">
        <v>461</v>
      </c>
      <c r="B2131" s="633" t="s">
        <v>545</v>
      </c>
      <c r="C2131" s="247" t="s">
        <v>18</v>
      </c>
      <c r="D2131" s="527" t="s">
        <v>135</v>
      </c>
      <c r="E2131" s="623">
        <v>9.1856764542866322E-4</v>
      </c>
      <c r="F2131" s="250" t="s">
        <v>546</v>
      </c>
      <c r="G2131" s="528" t="s">
        <v>16</v>
      </c>
      <c r="H2131" s="527">
        <v>1</v>
      </c>
      <c r="I2131" s="527">
        <v>3</v>
      </c>
      <c r="J2131" s="527">
        <v>3</v>
      </c>
      <c r="K2131" s="527">
        <v>3</v>
      </c>
      <c r="L2131" s="529">
        <v>3</v>
      </c>
      <c r="M2131" s="626">
        <f>IF( OR( ISBLANK(H2131),ISBLANK(I2131), ISBLANK(J2131), ISBLANK(K2131), ISBLANK(L2131) ), "", 1.5*SQRT(   EXP(2.21*(H2131-1)) + EXP(2.21*(I2131-1)) + EXP(2.21*(J2131-1)) + EXP(2.21*(K2131-1)) + EXP(2.21*L2131)   )/100*2.45 )</f>
        <v>1.1666438005107913</v>
      </c>
      <c r="N2131" s="530"/>
    </row>
    <row r="2132" spans="1:14" hidden="1" x14ac:dyDescent="0.2">
      <c r="A2132" s="632" t="s">
        <v>461</v>
      </c>
      <c r="B2132" s="633" t="s">
        <v>545</v>
      </c>
      <c r="C2132" s="247" t="s">
        <v>20</v>
      </c>
      <c r="D2132" s="527" t="s">
        <v>135</v>
      </c>
      <c r="E2132" s="623">
        <v>3.2775073377599661E-3</v>
      </c>
      <c r="F2132" s="250" t="s">
        <v>546</v>
      </c>
      <c r="G2132" s="528" t="s">
        <v>16</v>
      </c>
      <c r="H2132" s="527">
        <v>1</v>
      </c>
      <c r="I2132" s="527">
        <v>4</v>
      </c>
      <c r="J2132" s="527">
        <v>3</v>
      </c>
      <c r="K2132" s="527">
        <v>3</v>
      </c>
      <c r="L2132" s="529">
        <v>3</v>
      </c>
      <c r="M2132" s="626">
        <f>IF( OR( ISBLANK(H2132),ISBLANK(I2132), ISBLANK(J2132), ISBLANK(K2132), ISBLANK(L2132) ), "", 1.5*SQRT(   EXP(2.21*(H2132-1)) + EXP(2.21*(I2132-1)) + EXP(2.21*(J2132-1)) + EXP(2.21*(K2132-1)) + EXP(2.21*L2132)   )/100*2.45 )</f>
        <v>1.5072684049177882</v>
      </c>
      <c r="N2132" s="530"/>
    </row>
    <row r="2133" spans="1:14" hidden="1" x14ac:dyDescent="0.2">
      <c r="A2133" s="632" t="s">
        <v>461</v>
      </c>
      <c r="B2133" s="633" t="s">
        <v>545</v>
      </c>
      <c r="C2133" s="247" t="s">
        <v>22</v>
      </c>
      <c r="D2133" s="527" t="s">
        <v>135</v>
      </c>
      <c r="E2133" s="623">
        <v>2.8404630601982509E-2</v>
      </c>
      <c r="F2133" s="250" t="s">
        <v>546</v>
      </c>
      <c r="G2133" s="528" t="s">
        <v>16</v>
      </c>
      <c r="H2133" s="527">
        <v>2</v>
      </c>
      <c r="I2133" s="527">
        <v>4</v>
      </c>
      <c r="J2133" s="527">
        <v>3</v>
      </c>
      <c r="K2133" s="527">
        <v>3</v>
      </c>
      <c r="L2133" s="529">
        <v>3</v>
      </c>
      <c r="M2133" s="626">
        <f>IF( OR( ISBLANK(H2133),ISBLANK(I2133), ISBLANK(J2133), ISBLANK(K2133), ISBLANK(L2133) ), "", 1.5*SQRT(   EXP(2.21*(H2133-1)) + EXP(2.21*(I2133-1)) + EXP(2.21*(J2133-1)) + EXP(2.21*(K2133-1)) + EXP(2.21*L2133)   )/100*2.45 )</f>
        <v>1.5109000055213746</v>
      </c>
      <c r="N2133" s="530"/>
    </row>
    <row r="2134" spans="1:14" hidden="1" x14ac:dyDescent="0.2">
      <c r="A2134" s="632" t="s">
        <v>461</v>
      </c>
      <c r="B2134" s="633" t="s">
        <v>545</v>
      </c>
      <c r="C2134" s="247" t="s">
        <v>23</v>
      </c>
      <c r="D2134" s="527" t="s">
        <v>135</v>
      </c>
      <c r="E2134" s="623">
        <v>2.121568042019786E-2</v>
      </c>
      <c r="F2134" s="250" t="s">
        <v>546</v>
      </c>
      <c r="G2134" s="528" t="s">
        <v>16</v>
      </c>
      <c r="H2134" s="527">
        <v>2</v>
      </c>
      <c r="I2134" s="527">
        <v>3</v>
      </c>
      <c r="J2134" s="527">
        <v>3</v>
      </c>
      <c r="K2134" s="527">
        <v>3</v>
      </c>
      <c r="L2134" s="529">
        <v>3</v>
      </c>
      <c r="M2134" s="626">
        <f>IF( OR( ISBLANK(H2134),ISBLANK(I2134), ISBLANK(J2134), ISBLANK(K2134), ISBLANK(L2134) ), "", 1.5*SQRT(   EXP(2.21*(H2134-1)) + EXP(2.21*(I2134-1)) + EXP(2.21*(J2134-1)) + EXP(2.21*(K2134-1)) + EXP(2.21*L2134)   )/100*2.45 )</f>
        <v>1.1713319510247036</v>
      </c>
      <c r="N2134" s="530"/>
    </row>
    <row r="2135" spans="1:14" hidden="1" x14ac:dyDescent="0.2">
      <c r="A2135" s="632" t="s">
        <v>461</v>
      </c>
      <c r="B2135" s="633" t="s">
        <v>545</v>
      </c>
      <c r="C2135" s="247" t="s">
        <v>24</v>
      </c>
      <c r="D2135" s="527" t="s">
        <v>135</v>
      </c>
      <c r="E2135" s="634">
        <v>0</v>
      </c>
      <c r="F2135" s="250"/>
      <c r="G2135" s="251" t="s">
        <v>16</v>
      </c>
      <c r="H2135" s="478"/>
      <c r="I2135" s="478"/>
      <c r="J2135" s="478"/>
      <c r="K2135" s="478"/>
      <c r="L2135" s="471"/>
      <c r="M2135" s="456"/>
      <c r="N2135" s="530"/>
    </row>
    <row r="2136" spans="1:14" hidden="1" x14ac:dyDescent="0.2">
      <c r="A2136" s="632" t="s">
        <v>461</v>
      </c>
      <c r="B2136" s="633" t="s">
        <v>545</v>
      </c>
      <c r="C2136" s="247" t="s">
        <v>25</v>
      </c>
      <c r="D2136" s="527" t="s">
        <v>135</v>
      </c>
      <c r="E2136" s="623">
        <v>8.0597062728575107E-3</v>
      </c>
      <c r="F2136" s="250" t="s">
        <v>546</v>
      </c>
      <c r="G2136" s="528" t="s">
        <v>16</v>
      </c>
      <c r="H2136" s="527">
        <v>2</v>
      </c>
      <c r="I2136" s="527">
        <v>3</v>
      </c>
      <c r="J2136" s="527">
        <v>3</v>
      </c>
      <c r="K2136" s="527">
        <v>3</v>
      </c>
      <c r="L2136" s="529">
        <v>3</v>
      </c>
      <c r="M2136" s="626">
        <f>IF( OR( ISBLANK(H2136),ISBLANK(I2136), ISBLANK(J2136), ISBLANK(K2136), ISBLANK(L2136) ), "", 1.5*SQRT(   EXP(2.21*(H2136-1)) + EXP(2.21*(I2136-1)) + EXP(2.21*(J2136-1)) + EXP(2.21*(K2136-1)) + EXP(2.21*L2136)   )/100*2.45 )</f>
        <v>1.1713319510247036</v>
      </c>
      <c r="N2136" s="530"/>
    </row>
    <row r="2137" spans="1:14" hidden="1" x14ac:dyDescent="0.2">
      <c r="A2137" s="632" t="s">
        <v>461</v>
      </c>
      <c r="B2137" s="633" t="s">
        <v>545</v>
      </c>
      <c r="C2137" s="247" t="s">
        <v>26</v>
      </c>
      <c r="D2137" s="527" t="s">
        <v>135</v>
      </c>
      <c r="E2137" s="623">
        <v>4.8253456714489667E-3</v>
      </c>
      <c r="F2137" s="250" t="s">
        <v>546</v>
      </c>
      <c r="G2137" s="528" t="s">
        <v>16</v>
      </c>
      <c r="H2137" s="527">
        <v>1</v>
      </c>
      <c r="I2137" s="527">
        <v>3</v>
      </c>
      <c r="J2137" s="527">
        <v>3</v>
      </c>
      <c r="K2137" s="527">
        <v>3</v>
      </c>
      <c r="L2137" s="529">
        <v>3</v>
      </c>
      <c r="M2137" s="626">
        <f>IF( OR( ISBLANK(H2137),ISBLANK(I2137), ISBLANK(J2137), ISBLANK(K2137), ISBLANK(L2137) ), "", 1.5*SQRT( EXP(2.21*(H2137-1)) + EXP(2.21*(I2137-1)) + EXP(2.21*(J2137-1)) + EXP(2.21*(K2137-1)) + EXP(2.21*L2137) )/100*2.45 )</f>
        <v>1.1666438005107913</v>
      </c>
      <c r="N2137" s="530"/>
    </row>
    <row r="2138" spans="1:14" hidden="1" x14ac:dyDescent="0.2">
      <c r="A2138" s="632" t="s">
        <v>461</v>
      </c>
      <c r="B2138" s="633" t="s">
        <v>545</v>
      </c>
      <c r="C2138" s="247" t="s">
        <v>27</v>
      </c>
      <c r="D2138" s="527" t="s">
        <v>135</v>
      </c>
      <c r="E2138" s="623">
        <v>2.1567898369529558E-3</v>
      </c>
      <c r="F2138" s="250" t="s">
        <v>546</v>
      </c>
      <c r="G2138" s="528" t="s">
        <v>16</v>
      </c>
      <c r="H2138" s="527">
        <v>1</v>
      </c>
      <c r="I2138" s="527">
        <v>3</v>
      </c>
      <c r="J2138" s="527">
        <v>3</v>
      </c>
      <c r="K2138" s="527">
        <v>3</v>
      </c>
      <c r="L2138" s="529">
        <v>3</v>
      </c>
      <c r="M2138" s="626">
        <f>IF( OR( ISBLANK(H2138),ISBLANK(I2138), ISBLANK(J2138), ISBLANK(K2138), ISBLANK(L2138) ), "", 1.5*SQRT( EXP(2.21*(H2138-1)) + EXP(2.21*(I2138-1)) + EXP(2.21*(J2138-1)) + EXP(2.21*(K2138-1)) + EXP(2.21*L2138) )/100*2.45 )</f>
        <v>1.1666438005107913</v>
      </c>
      <c r="N2138" s="530"/>
    </row>
    <row r="2139" spans="1:14" hidden="1" x14ac:dyDescent="0.2">
      <c r="A2139" s="632" t="s">
        <v>461</v>
      </c>
      <c r="B2139" s="633" t="s">
        <v>545</v>
      </c>
      <c r="C2139" s="247" t="s">
        <v>28</v>
      </c>
      <c r="D2139" s="527" t="s">
        <v>135</v>
      </c>
      <c r="E2139" s="623">
        <v>3.2073635997812611E-3</v>
      </c>
      <c r="F2139" s="250" t="s">
        <v>546</v>
      </c>
      <c r="G2139" s="528" t="s">
        <v>16</v>
      </c>
      <c r="H2139" s="527">
        <v>1</v>
      </c>
      <c r="I2139" s="527">
        <v>3</v>
      </c>
      <c r="J2139" s="527">
        <v>3</v>
      </c>
      <c r="K2139" s="527">
        <v>3</v>
      </c>
      <c r="L2139" s="529">
        <v>3</v>
      </c>
      <c r="M2139" s="626">
        <f>IF( OR( ISBLANK(H2139),ISBLANK(I2139), ISBLANK(J2139), ISBLANK(K2139), ISBLANK(L2139) ), "", 1.5*SQRT( EXP(2.21*(H2139-1)) + EXP(2.21*(I2139-1)) + EXP(2.21*(J2139-1)) + EXP(2.21*(K2139-1)) + EXP(2.21*L2139) )/100*2.45 )</f>
        <v>1.1666438005107913</v>
      </c>
      <c r="N2139" s="530"/>
    </row>
    <row r="2140" spans="1:14" hidden="1" x14ac:dyDescent="0.2">
      <c r="A2140" s="632" t="s">
        <v>461</v>
      </c>
      <c r="B2140" s="633" t="s">
        <v>545</v>
      </c>
      <c r="C2140" s="247" t="s">
        <v>30</v>
      </c>
      <c r="D2140" s="527" t="s">
        <v>135</v>
      </c>
      <c r="E2140" s="623">
        <v>1.3203002529905111E-3</v>
      </c>
      <c r="F2140" s="250" t="s">
        <v>546</v>
      </c>
      <c r="G2140" s="528" t="s">
        <v>16</v>
      </c>
      <c r="H2140" s="527">
        <v>1</v>
      </c>
      <c r="I2140" s="527">
        <v>3</v>
      </c>
      <c r="J2140" s="527">
        <v>3</v>
      </c>
      <c r="K2140" s="527">
        <v>3</v>
      </c>
      <c r="L2140" s="529">
        <v>3</v>
      </c>
      <c r="M2140" s="626">
        <f>IF( OR( ISBLANK(H2140),ISBLANK(I2140), ISBLANK(J2140), ISBLANK(K2140), ISBLANK(L2140) ), "", 1.5*SQRT( EXP(2.21*(H2140-1)) + EXP(2.21*(I2140-1)) + EXP(2.21*(J2140-1)) + EXP(2.21*(K2140-1)) + EXP(2.21*L2140) )/100*2.45 )</f>
        <v>1.1666438005107913</v>
      </c>
      <c r="N2140" s="530"/>
    </row>
    <row r="2141" spans="1:14" hidden="1" x14ac:dyDescent="0.2">
      <c r="A2141" s="632" t="s">
        <v>461</v>
      </c>
      <c r="B2141" s="633" t="s">
        <v>545</v>
      </c>
      <c r="C2141" s="247" t="s">
        <v>32</v>
      </c>
      <c r="D2141" s="527" t="s">
        <v>135</v>
      </c>
      <c r="E2141" s="623">
        <v>1.7889811295337531E-2</v>
      </c>
      <c r="F2141" s="250" t="s">
        <v>546</v>
      </c>
      <c r="G2141" s="528" t="s">
        <v>16</v>
      </c>
      <c r="H2141" s="527">
        <v>1</v>
      </c>
      <c r="I2141" s="527">
        <v>3</v>
      </c>
      <c r="J2141" s="527">
        <v>3</v>
      </c>
      <c r="K2141" s="527">
        <v>3</v>
      </c>
      <c r="L2141" s="529">
        <v>3</v>
      </c>
      <c r="M2141" s="626">
        <f>IF( OR( ISBLANK(H2141),ISBLANK(I2141), ISBLANK(J2141), ISBLANK(K2141), ISBLANK(L2141) ), "", 1.5*SQRT( EXP(2.21*(H2141-1)) + EXP(2.21*(I2141-1)) + EXP(2.21*(J2141-1)) + EXP(2.21*(K2141-1)) + EXP(2.21*L2141) )/100*2.45 )</f>
        <v>1.1666438005107913</v>
      </c>
      <c r="N2141" s="530"/>
    </row>
    <row r="2142" spans="1:14" hidden="1" x14ac:dyDescent="0.2">
      <c r="A2142" s="632" t="s">
        <v>461</v>
      </c>
      <c r="B2142" s="633" t="s">
        <v>545</v>
      </c>
      <c r="C2142" s="247" t="s">
        <v>34</v>
      </c>
      <c r="D2142" s="527" t="s">
        <v>135</v>
      </c>
      <c r="E2142" s="634">
        <v>0</v>
      </c>
      <c r="F2142" s="250"/>
      <c r="G2142" s="251" t="s">
        <v>16</v>
      </c>
      <c r="H2142" s="478"/>
      <c r="I2142" s="478"/>
      <c r="J2142" s="478"/>
      <c r="K2142" s="478"/>
      <c r="L2142" s="471"/>
      <c r="M2142" s="456"/>
      <c r="N2142" s="530"/>
    </row>
    <row r="2143" spans="1:14" hidden="1" x14ac:dyDescent="0.2">
      <c r="A2143" s="632" t="s">
        <v>461</v>
      </c>
      <c r="B2143" s="633" t="s">
        <v>545</v>
      </c>
      <c r="C2143" s="247" t="s">
        <v>36</v>
      </c>
      <c r="D2143" s="527" t="s">
        <v>135</v>
      </c>
      <c r="E2143" s="623">
        <v>7.5905647258530306E-3</v>
      </c>
      <c r="F2143" s="250" t="s">
        <v>546</v>
      </c>
      <c r="G2143" s="528" t="s">
        <v>16</v>
      </c>
      <c r="H2143" s="527">
        <v>1</v>
      </c>
      <c r="I2143" s="527">
        <v>3</v>
      </c>
      <c r="J2143" s="527">
        <v>3</v>
      </c>
      <c r="K2143" s="527">
        <v>3</v>
      </c>
      <c r="L2143" s="529">
        <v>3</v>
      </c>
      <c r="M2143" s="626">
        <f>IF( OR( ISBLANK(H2143),ISBLANK(I2143), ISBLANK(J2143), ISBLANK(K2143), ISBLANK(L2143) ), "", 1.5*SQRT(   EXP(2.21*(H2143-1)) + EXP(2.21*(I2143-1)) + EXP(2.21*(J2143-1)) + EXP(2.21*(K2143-1)) + EXP(2.21*L2143)   )/100*2.45 )</f>
        <v>1.1666438005107913</v>
      </c>
      <c r="N2143" s="530"/>
    </row>
    <row r="2144" spans="1:14" hidden="1" x14ac:dyDescent="0.2">
      <c r="A2144" s="632" t="s">
        <v>461</v>
      </c>
      <c r="B2144" s="633" t="s">
        <v>545</v>
      </c>
      <c r="C2144" s="247" t="s">
        <v>37</v>
      </c>
      <c r="D2144" s="527" t="s">
        <v>135</v>
      </c>
      <c r="E2144" s="623">
        <v>5.4223570560504629E-3</v>
      </c>
      <c r="F2144" s="250" t="s">
        <v>546</v>
      </c>
      <c r="G2144" s="528" t="s">
        <v>16</v>
      </c>
      <c r="H2144" s="527">
        <v>1</v>
      </c>
      <c r="I2144" s="527">
        <v>3</v>
      </c>
      <c r="J2144" s="527">
        <v>3</v>
      </c>
      <c r="K2144" s="527">
        <v>3</v>
      </c>
      <c r="L2144" s="529">
        <v>3</v>
      </c>
      <c r="M2144" s="626">
        <f>IF( OR( ISBLANK(H2144),ISBLANK(I2144), ISBLANK(J2144), ISBLANK(K2144), ISBLANK(L2144) ), "", 1.5*SQRT(   EXP(2.21*(H2144-1)) + EXP(2.21*(I2144-1)) + EXP(2.21*(J2144-1)) + EXP(2.21*(K2144-1)) + EXP(2.21*L2144)   )/100*2.45 )</f>
        <v>1.1666438005107913</v>
      </c>
      <c r="N2144" s="530"/>
    </row>
    <row r="2145" spans="1:14" hidden="1" x14ac:dyDescent="0.2">
      <c r="A2145" s="632" t="s">
        <v>461</v>
      </c>
      <c r="B2145" s="633" t="s">
        <v>545</v>
      </c>
      <c r="C2145" s="247" t="s">
        <v>39</v>
      </c>
      <c r="D2145" s="527" t="s">
        <v>135</v>
      </c>
      <c r="E2145" s="623">
        <v>2.5045455273670961E-3</v>
      </c>
      <c r="F2145" s="250" t="s">
        <v>546</v>
      </c>
      <c r="G2145" s="528" t="s">
        <v>16</v>
      </c>
      <c r="H2145" s="527">
        <v>1</v>
      </c>
      <c r="I2145" s="527">
        <v>4</v>
      </c>
      <c r="J2145" s="527">
        <v>3</v>
      </c>
      <c r="K2145" s="527">
        <v>3</v>
      </c>
      <c r="L2145" s="529">
        <v>3</v>
      </c>
      <c r="M2145" s="626">
        <f>IF( OR( ISBLANK(H2145),ISBLANK(I2145), ISBLANK(J2145), ISBLANK(K2145), ISBLANK(L2145) ), "", 1.5*SQRT(   EXP(2.21*(H2145-1)) + EXP(2.21*(I2145-1)) + EXP(2.21*(J2145-1)) + EXP(2.21*(K2145-1)) + EXP(2.21*L2145)   )/100*2.45 )</f>
        <v>1.5072684049177882</v>
      </c>
      <c r="N2145" s="530"/>
    </row>
    <row r="2146" spans="1:14" hidden="1" x14ac:dyDescent="0.2">
      <c r="A2146" s="632" t="s">
        <v>461</v>
      </c>
      <c r="B2146" s="633" t="s">
        <v>545</v>
      </c>
      <c r="C2146" s="247" t="s">
        <v>40</v>
      </c>
      <c r="D2146" s="527" t="s">
        <v>135</v>
      </c>
      <c r="E2146" s="623">
        <v>1.1121508387242269E-3</v>
      </c>
      <c r="F2146" s="250" t="s">
        <v>546</v>
      </c>
      <c r="G2146" s="528" t="s">
        <v>16</v>
      </c>
      <c r="H2146" s="527">
        <v>1</v>
      </c>
      <c r="I2146" s="527">
        <v>4</v>
      </c>
      <c r="J2146" s="527">
        <v>3</v>
      </c>
      <c r="K2146" s="527">
        <v>3</v>
      </c>
      <c r="L2146" s="529">
        <v>3</v>
      </c>
      <c r="M2146" s="626">
        <f>IF( OR( ISBLANK(H2146),ISBLANK(I2146), ISBLANK(J2146), ISBLANK(K2146), ISBLANK(L2146) ), "", 1.5*SQRT(   EXP(2.21*(H2146-1)) + EXP(2.21*(I2146-1)) + EXP(2.21*(J2146-1)) + EXP(2.21*(K2146-1)) + EXP(2.21*L2146)   )/100*2.45 )</f>
        <v>1.5072684049177882</v>
      </c>
      <c r="N2146" s="530"/>
    </row>
    <row r="2147" spans="1:14" hidden="1" x14ac:dyDescent="0.2">
      <c r="A2147" s="632" t="s">
        <v>461</v>
      </c>
      <c r="B2147" s="633" t="s">
        <v>545</v>
      </c>
      <c r="C2147" s="247" t="s">
        <v>41</v>
      </c>
      <c r="D2147" s="527" t="s">
        <v>135</v>
      </c>
      <c r="E2147" s="634">
        <v>0</v>
      </c>
      <c r="F2147" s="250"/>
      <c r="G2147" s="251" t="s">
        <v>16</v>
      </c>
      <c r="H2147" s="478"/>
      <c r="I2147" s="478"/>
      <c r="J2147" s="478"/>
      <c r="K2147" s="478"/>
      <c r="L2147" s="471"/>
      <c r="M2147" s="456"/>
      <c r="N2147" s="530"/>
    </row>
    <row r="2148" spans="1:14" hidden="1" x14ac:dyDescent="0.2">
      <c r="A2148" s="632" t="s">
        <v>461</v>
      </c>
      <c r="B2148" s="633" t="s">
        <v>545</v>
      </c>
      <c r="C2148" s="247" t="s">
        <v>42</v>
      </c>
      <c r="D2148" s="527" t="s">
        <v>135</v>
      </c>
      <c r="E2148" s="623">
        <v>2.2946737392924979E-2</v>
      </c>
      <c r="F2148" s="250" t="s">
        <v>546</v>
      </c>
      <c r="G2148" s="528" t="s">
        <v>16</v>
      </c>
      <c r="H2148" s="527">
        <v>2</v>
      </c>
      <c r="I2148" s="527">
        <v>3</v>
      </c>
      <c r="J2148" s="527">
        <v>3</v>
      </c>
      <c r="K2148" s="527">
        <v>3</v>
      </c>
      <c r="L2148" s="529">
        <v>3</v>
      </c>
      <c r="M2148" s="626">
        <f>IF( OR( ISBLANK(H2148),ISBLANK(I2148), ISBLANK(J2148), ISBLANK(K2148), ISBLANK(L2148) ), "", 1.5*SQRT(   EXP(2.21*(H2148-1)) + EXP(2.21*(I2148-1)) + EXP(2.21*(J2148-1)) + EXP(2.21*(K2148-1)) + EXP(2.21*L2148)   )/100*2.45 )</f>
        <v>1.1713319510247036</v>
      </c>
      <c r="N2148" s="530"/>
    </row>
    <row r="2149" spans="1:14" hidden="1" x14ac:dyDescent="0.2">
      <c r="A2149" s="632" t="s">
        <v>461</v>
      </c>
      <c r="B2149" s="633" t="s">
        <v>545</v>
      </c>
      <c r="C2149" s="247" t="s">
        <v>43</v>
      </c>
      <c r="D2149" s="527" t="s">
        <v>135</v>
      </c>
      <c r="E2149" s="623">
        <v>4.714302802135425E-3</v>
      </c>
      <c r="F2149" s="250" t="s">
        <v>546</v>
      </c>
      <c r="G2149" s="528" t="s">
        <v>16</v>
      </c>
      <c r="H2149" s="527">
        <v>1</v>
      </c>
      <c r="I2149" s="527">
        <v>3</v>
      </c>
      <c r="J2149" s="527">
        <v>3</v>
      </c>
      <c r="K2149" s="527">
        <v>3</v>
      </c>
      <c r="L2149" s="529">
        <v>3</v>
      </c>
      <c r="M2149" s="626">
        <f>IF( OR( ISBLANK(H2149),ISBLANK(I2149), ISBLANK(J2149), ISBLANK(K2149), ISBLANK(L2149) ), "", 1.5*SQRT( EXP(2.21*(H2149-1)) + EXP(2.21*(I2149-1)) + EXP(2.21*(J2149-1)) + EXP(2.21*(K2149-1)) + EXP(2.21*L2149) )/100*2.45 )</f>
        <v>1.1666438005107913</v>
      </c>
      <c r="N2149" s="530"/>
    </row>
    <row r="2150" spans="1:14" x14ac:dyDescent="0.2">
      <c r="A2150" s="632" t="s">
        <v>461</v>
      </c>
      <c r="B2150" s="633" t="s">
        <v>545</v>
      </c>
      <c r="C2150" s="247" t="s">
        <v>45</v>
      </c>
      <c r="D2150" s="527" t="s">
        <v>135</v>
      </c>
      <c r="E2150" s="623">
        <v>6.8810299354274867E-3</v>
      </c>
      <c r="F2150" s="250" t="s">
        <v>546</v>
      </c>
      <c r="G2150" s="528" t="s">
        <v>16</v>
      </c>
      <c r="H2150" s="527">
        <v>1</v>
      </c>
      <c r="I2150" s="527">
        <v>3</v>
      </c>
      <c r="J2150" s="527">
        <v>3</v>
      </c>
      <c r="K2150" s="527">
        <v>3</v>
      </c>
      <c r="L2150" s="529">
        <v>3</v>
      </c>
      <c r="M2150" s="626">
        <f>IF( OR( ISBLANK(H2150),ISBLANK(I2150), ISBLANK(J2150), ISBLANK(K2150), ISBLANK(L2150) ), "", 1.5*SQRT( EXP(2.21*(H2150-1)) + EXP(2.21*(I2150-1)) + EXP(2.21*(J2150-1)) + EXP(2.21*(K2150-1)) + EXP(2.21*L2150) )/100*2.45 )</f>
        <v>1.1666438005107913</v>
      </c>
      <c r="N2150" s="530"/>
    </row>
    <row r="2151" spans="1:14" hidden="1" x14ac:dyDescent="0.2">
      <c r="A2151" s="632" t="s">
        <v>461</v>
      </c>
      <c r="B2151" s="633" t="s">
        <v>545</v>
      </c>
      <c r="C2151" s="247" t="s">
        <v>46</v>
      </c>
      <c r="D2151" s="527" t="s">
        <v>135</v>
      </c>
      <c r="E2151" s="623">
        <v>8.3714344941426778E-4</v>
      </c>
      <c r="F2151" s="250" t="s">
        <v>546</v>
      </c>
      <c r="G2151" s="528" t="s">
        <v>16</v>
      </c>
      <c r="H2151" s="527">
        <v>1</v>
      </c>
      <c r="I2151" s="527">
        <v>3</v>
      </c>
      <c r="J2151" s="527">
        <v>3</v>
      </c>
      <c r="K2151" s="527">
        <v>3</v>
      </c>
      <c r="L2151" s="529">
        <v>3</v>
      </c>
      <c r="M2151" s="626">
        <f>IF( OR( ISBLANK(H2151),ISBLANK(I2151), ISBLANK(J2151), ISBLANK(K2151), ISBLANK(L2151) ), "", 1.5*SQRT( EXP(2.21*(H2151-1)) + EXP(2.21*(I2151-1)) + EXP(2.21*(J2151-1)) + EXP(2.21*(K2151-1)) + EXP(2.21*L2151) )/100*2.45 )</f>
        <v>1.1666438005107913</v>
      </c>
      <c r="N2151" s="530"/>
    </row>
    <row r="2152" spans="1:14" hidden="1" x14ac:dyDescent="0.2">
      <c r="A2152" s="632" t="s">
        <v>461</v>
      </c>
      <c r="B2152" s="633" t="s">
        <v>545</v>
      </c>
      <c r="C2152" s="247" t="s">
        <v>48</v>
      </c>
      <c r="D2152" s="527" t="s">
        <v>135</v>
      </c>
      <c r="E2152" s="623">
        <v>8.9568314814632913E-3</v>
      </c>
      <c r="F2152" s="250" t="s">
        <v>546</v>
      </c>
      <c r="G2152" s="528" t="s">
        <v>16</v>
      </c>
      <c r="H2152" s="527">
        <v>2</v>
      </c>
      <c r="I2152" s="527">
        <v>3</v>
      </c>
      <c r="J2152" s="527">
        <v>3</v>
      </c>
      <c r="K2152" s="527">
        <v>3</v>
      </c>
      <c r="L2152" s="529">
        <v>3</v>
      </c>
      <c r="M2152" s="626">
        <f>IF( OR( ISBLANK(H2152),ISBLANK(I2152), ISBLANK(J2152), ISBLANK(K2152), ISBLANK(L2152) ), "", 1.5*SQRT( EXP(2.21*(H2152-1)) + EXP(2.21*(I2152-1)) + EXP(2.21*(J2152-1)) + EXP(2.21*(K2152-1)) + EXP(2.21*L2152) )/100*2.45 )</f>
        <v>1.1713319510247036</v>
      </c>
      <c r="N2152" s="530"/>
    </row>
    <row r="2153" spans="1:14" hidden="1" x14ac:dyDescent="0.2">
      <c r="A2153" s="632" t="s">
        <v>461</v>
      </c>
      <c r="B2153" s="633" t="s">
        <v>545</v>
      </c>
      <c r="C2153" s="247" t="s">
        <v>50</v>
      </c>
      <c r="D2153" s="527" t="s">
        <v>135</v>
      </c>
      <c r="E2153" s="623">
        <v>3.789423374743422E-4</v>
      </c>
      <c r="F2153" s="250" t="s">
        <v>546</v>
      </c>
      <c r="G2153" s="528" t="s">
        <v>16</v>
      </c>
      <c r="H2153" s="527">
        <v>1</v>
      </c>
      <c r="I2153" s="527">
        <v>3</v>
      </c>
      <c r="J2153" s="527">
        <v>3</v>
      </c>
      <c r="K2153" s="527">
        <v>3</v>
      </c>
      <c r="L2153" s="529">
        <v>3</v>
      </c>
      <c r="M2153" s="626">
        <f>IF( OR( ISBLANK(H2153),ISBLANK(I2153), ISBLANK(J2153), ISBLANK(K2153), ISBLANK(L2153) ), "", 1.5*SQRT( EXP(2.21*(H2153-1)) + EXP(2.21*(I2153-1)) + EXP(2.21*(J2153-1)) + EXP(2.21*(K2153-1)) + EXP(2.21*L2153) )/100*2.45 )</f>
        <v>1.1666438005107913</v>
      </c>
      <c r="N2153" s="530"/>
    </row>
    <row r="2154" spans="1:14" hidden="1" x14ac:dyDescent="0.2">
      <c r="A2154" s="632" t="s">
        <v>461</v>
      </c>
      <c r="B2154" s="633" t="s">
        <v>545</v>
      </c>
      <c r="C2154" s="247" t="s">
        <v>52</v>
      </c>
      <c r="D2154" s="527" t="s">
        <v>135</v>
      </c>
      <c r="E2154" s="634">
        <v>0</v>
      </c>
      <c r="F2154" s="250"/>
      <c r="G2154" s="251" t="s">
        <v>16</v>
      </c>
      <c r="H2154" s="478"/>
      <c r="I2154" s="478"/>
      <c r="J2154" s="478"/>
      <c r="K2154" s="478"/>
      <c r="L2154" s="471"/>
      <c r="M2154" s="456"/>
      <c r="N2154" s="530"/>
    </row>
    <row r="2155" spans="1:14" hidden="1" x14ac:dyDescent="0.2">
      <c r="A2155" s="632" t="s">
        <v>461</v>
      </c>
      <c r="B2155" s="633" t="s">
        <v>545</v>
      </c>
      <c r="C2155" s="247" t="s">
        <v>54</v>
      </c>
      <c r="D2155" s="527" t="s">
        <v>135</v>
      </c>
      <c r="E2155" s="623">
        <v>1.9287903103027411E-3</v>
      </c>
      <c r="F2155" s="250" t="s">
        <v>546</v>
      </c>
      <c r="G2155" s="528" t="s">
        <v>16</v>
      </c>
      <c r="H2155" s="527">
        <v>1</v>
      </c>
      <c r="I2155" s="527">
        <v>4</v>
      </c>
      <c r="J2155" s="527">
        <v>3</v>
      </c>
      <c r="K2155" s="527">
        <v>3</v>
      </c>
      <c r="L2155" s="529">
        <v>3</v>
      </c>
      <c r="M2155" s="626">
        <f>IF( OR( ISBLANK(H2155),ISBLANK(I2155), ISBLANK(J2155), ISBLANK(K2155), ISBLANK(L2155) ), "", 1.5*SQRT(   EXP(2.21*(H2155-1)) + EXP(2.21*(I2155-1)) + EXP(2.21*(J2155-1)) + EXP(2.21*(K2155-1)) + EXP(2.21*L2155)   )/100*2.45 )</f>
        <v>1.5072684049177882</v>
      </c>
      <c r="N2155" s="530"/>
    </row>
    <row r="2156" spans="1:14" hidden="1" x14ac:dyDescent="0.2">
      <c r="A2156" s="632" t="s">
        <v>461</v>
      </c>
      <c r="B2156" s="633" t="s">
        <v>545</v>
      </c>
      <c r="C2156" s="247" t="s">
        <v>55</v>
      </c>
      <c r="D2156" s="527" t="s">
        <v>135</v>
      </c>
      <c r="E2156" s="623">
        <v>9.9582982386334836E-3</v>
      </c>
      <c r="F2156" s="250" t="s">
        <v>546</v>
      </c>
      <c r="G2156" s="528" t="s">
        <v>16</v>
      </c>
      <c r="H2156" s="527">
        <v>1</v>
      </c>
      <c r="I2156" s="527">
        <v>3</v>
      </c>
      <c r="J2156" s="527">
        <v>3</v>
      </c>
      <c r="K2156" s="527">
        <v>3</v>
      </c>
      <c r="L2156" s="529">
        <v>3</v>
      </c>
      <c r="M2156" s="626">
        <f>IF( OR( ISBLANK(H2156),ISBLANK(I2156), ISBLANK(J2156), ISBLANK(K2156), ISBLANK(L2156) ), "", 1.5*SQRT(   EXP(2.21*(H2156-1)) + EXP(2.21*(I2156-1)) + EXP(2.21*(J2156-1)) + EXP(2.21*(K2156-1)) + EXP(2.21*L2156)   )/100*2.45 )</f>
        <v>1.1666438005107913</v>
      </c>
      <c r="N2156" s="530"/>
    </row>
    <row r="2157" spans="1:14" hidden="1" x14ac:dyDescent="0.2">
      <c r="A2157" s="632" t="s">
        <v>461</v>
      </c>
      <c r="B2157" s="633" t="s">
        <v>545</v>
      </c>
      <c r="C2157" s="247" t="s">
        <v>57</v>
      </c>
      <c r="D2157" s="527" t="s">
        <v>135</v>
      </c>
      <c r="E2157" s="623">
        <v>5.1266321951227356E-3</v>
      </c>
      <c r="F2157" s="250" t="s">
        <v>546</v>
      </c>
      <c r="G2157" s="528" t="s">
        <v>16</v>
      </c>
      <c r="H2157" s="527">
        <v>2</v>
      </c>
      <c r="I2157" s="527">
        <v>3</v>
      </c>
      <c r="J2157" s="527">
        <v>3</v>
      </c>
      <c r="K2157" s="527">
        <v>3</v>
      </c>
      <c r="L2157" s="529">
        <v>3</v>
      </c>
      <c r="M2157" s="626">
        <f>IF( OR( ISBLANK(H2157),ISBLANK(I2157), ISBLANK(J2157), ISBLANK(K2157), ISBLANK(L2157) ), "", 1.5*SQRT(   EXP(2.21*(H2157-1)) + EXP(2.21*(I2157-1)) + EXP(2.21*(J2157-1)) + EXP(2.21*(K2157-1)) + EXP(2.21*L2157)   )/100*2.45 )</f>
        <v>1.1713319510247036</v>
      </c>
      <c r="N2157" s="530"/>
    </row>
    <row r="2158" spans="1:14" hidden="1" x14ac:dyDescent="0.2">
      <c r="A2158" s="632" t="s">
        <v>461</v>
      </c>
      <c r="B2158" s="633" t="s">
        <v>545</v>
      </c>
      <c r="C2158" s="247" t="s">
        <v>59</v>
      </c>
      <c r="D2158" s="527" t="s">
        <v>135</v>
      </c>
      <c r="E2158" s="634">
        <v>0</v>
      </c>
      <c r="F2158" s="250"/>
      <c r="G2158" s="251" t="s">
        <v>16</v>
      </c>
      <c r="H2158" s="478"/>
      <c r="I2158" s="478"/>
      <c r="J2158" s="478"/>
      <c r="K2158" s="478"/>
      <c r="L2158" s="471"/>
      <c r="M2158" s="456"/>
      <c r="N2158" s="530"/>
    </row>
    <row r="2159" spans="1:14" hidden="1" x14ac:dyDescent="0.2">
      <c r="A2159" s="632" t="s">
        <v>461</v>
      </c>
      <c r="B2159" s="633" t="s">
        <v>545</v>
      </c>
      <c r="C2159" s="247" t="s">
        <v>60</v>
      </c>
      <c r="D2159" s="527" t="s">
        <v>135</v>
      </c>
      <c r="E2159" s="627">
        <v>3.607862728211736E-3</v>
      </c>
      <c r="F2159" s="250" t="s">
        <v>546</v>
      </c>
      <c r="G2159" s="528" t="s">
        <v>16</v>
      </c>
      <c r="H2159" s="519">
        <v>1</v>
      </c>
      <c r="I2159" s="519">
        <v>3</v>
      </c>
      <c r="J2159" s="527">
        <v>3</v>
      </c>
      <c r="K2159" s="527">
        <v>3</v>
      </c>
      <c r="L2159" s="529">
        <v>3</v>
      </c>
      <c r="M2159" s="521">
        <f>IF( OR( ISBLANK(H2159),ISBLANK(I2159), ISBLANK(J2159), ISBLANK(K2159), ISBLANK(L2159) ), "", 1.5*SQRT(   EXP(2.21*(H2159-1)) + EXP(2.21*(I2159-1)) + EXP(2.21*(J2159-1)) + EXP(2.21*(K2159-1)) + EXP(2.21*L2159)   )/100*2.45 )</f>
        <v>1.1666438005107913</v>
      </c>
      <c r="N2159" s="522"/>
    </row>
    <row r="2160" spans="1:14" hidden="1" x14ac:dyDescent="0.2">
      <c r="A2160" s="635" t="s">
        <v>544</v>
      </c>
      <c r="B2160" s="636" t="s">
        <v>538</v>
      </c>
      <c r="C2160" s="265" t="s">
        <v>13</v>
      </c>
      <c r="D2160" s="321" t="s">
        <v>135</v>
      </c>
      <c r="E2160" s="322">
        <v>0.1017673575129534</v>
      </c>
      <c r="F2160" s="267" t="s">
        <v>547</v>
      </c>
      <c r="G2160" s="324" t="s">
        <v>16</v>
      </c>
      <c r="H2160" s="321">
        <v>1</v>
      </c>
      <c r="I2160" s="321">
        <v>2</v>
      </c>
      <c r="J2160" s="321">
        <v>3</v>
      </c>
      <c r="K2160" s="321">
        <v>3</v>
      </c>
      <c r="L2160" s="325">
        <v>3</v>
      </c>
      <c r="M2160" s="624">
        <f t="shared" ref="M2160:M2190" si="70">IF( OR( ISBLANK(H2160),ISBLANK(I2160), ISBLANK(J2160), ISBLANK(K2160), ISBLANK(L2160) ), "", 1.5*SQRT( EXP(2.21*(H2160-1)) + EXP(2.21*(I2160-1)) + EXP(2.21*(J2160-1)) + EXP(2.21*(K2160-1)) + EXP(2.21*L2160) )/100*2.45 )</f>
        <v>1.123005955058592</v>
      </c>
      <c r="N2160" s="625"/>
    </row>
    <row r="2161" spans="1:14" hidden="1" x14ac:dyDescent="0.2">
      <c r="A2161" s="632" t="s">
        <v>544</v>
      </c>
      <c r="B2161" s="637" t="s">
        <v>538</v>
      </c>
      <c r="C2161" s="247" t="s">
        <v>18</v>
      </c>
      <c r="D2161" s="527" t="s">
        <v>135</v>
      </c>
      <c r="E2161" s="623">
        <v>0.1027665036674817</v>
      </c>
      <c r="F2161" s="250" t="s">
        <v>547</v>
      </c>
      <c r="G2161" s="528" t="s">
        <v>16</v>
      </c>
      <c r="H2161" s="527">
        <v>1</v>
      </c>
      <c r="I2161" s="527">
        <v>2</v>
      </c>
      <c r="J2161" s="527">
        <v>3</v>
      </c>
      <c r="K2161" s="527">
        <v>3</v>
      </c>
      <c r="L2161" s="529">
        <v>3</v>
      </c>
      <c r="M2161" s="626">
        <f t="shared" si="70"/>
        <v>1.123005955058592</v>
      </c>
      <c r="N2161" s="530"/>
    </row>
    <row r="2162" spans="1:14" hidden="1" x14ac:dyDescent="0.2">
      <c r="A2162" s="632" t="s">
        <v>544</v>
      </c>
      <c r="B2162" s="637" t="s">
        <v>538</v>
      </c>
      <c r="C2162" s="247" t="s">
        <v>20</v>
      </c>
      <c r="D2162" s="527" t="s">
        <v>135</v>
      </c>
      <c r="E2162" s="623">
        <v>0.1113486486486487</v>
      </c>
      <c r="F2162" s="250" t="s">
        <v>547</v>
      </c>
      <c r="G2162" s="528" t="s">
        <v>16</v>
      </c>
      <c r="H2162" s="527">
        <v>1</v>
      </c>
      <c r="I2162" s="527">
        <v>2</v>
      </c>
      <c r="J2162" s="527">
        <v>3</v>
      </c>
      <c r="K2162" s="527">
        <v>3</v>
      </c>
      <c r="L2162" s="529">
        <v>3</v>
      </c>
      <c r="M2162" s="626">
        <f t="shared" si="70"/>
        <v>1.123005955058592</v>
      </c>
      <c r="N2162" s="530"/>
    </row>
    <row r="2163" spans="1:14" hidden="1" x14ac:dyDescent="0.2">
      <c r="A2163" s="632" t="s">
        <v>544</v>
      </c>
      <c r="B2163" s="637" t="s">
        <v>538</v>
      </c>
      <c r="C2163" s="247" t="s">
        <v>22</v>
      </c>
      <c r="D2163" s="527" t="s">
        <v>135</v>
      </c>
      <c r="E2163" s="623">
        <v>0.1088425925925926</v>
      </c>
      <c r="F2163" s="250" t="s">
        <v>547</v>
      </c>
      <c r="G2163" s="528" t="s">
        <v>16</v>
      </c>
      <c r="H2163" s="527">
        <v>1</v>
      </c>
      <c r="I2163" s="527">
        <v>2</v>
      </c>
      <c r="J2163" s="527">
        <v>3</v>
      </c>
      <c r="K2163" s="527">
        <v>3</v>
      </c>
      <c r="L2163" s="529">
        <v>3</v>
      </c>
      <c r="M2163" s="626">
        <f t="shared" si="70"/>
        <v>1.123005955058592</v>
      </c>
      <c r="N2163" s="530"/>
    </row>
    <row r="2164" spans="1:14" hidden="1" x14ac:dyDescent="0.2">
      <c r="A2164" s="632" t="s">
        <v>544</v>
      </c>
      <c r="B2164" s="637" t="s">
        <v>538</v>
      </c>
      <c r="C2164" s="247" t="s">
        <v>23</v>
      </c>
      <c r="D2164" s="527" t="s">
        <v>135</v>
      </c>
      <c r="E2164" s="623">
        <v>0.11253529411764709</v>
      </c>
      <c r="F2164" s="250" t="s">
        <v>547</v>
      </c>
      <c r="G2164" s="528" t="s">
        <v>16</v>
      </c>
      <c r="H2164" s="527">
        <v>1</v>
      </c>
      <c r="I2164" s="527">
        <v>2</v>
      </c>
      <c r="J2164" s="527">
        <v>3</v>
      </c>
      <c r="K2164" s="527">
        <v>3</v>
      </c>
      <c r="L2164" s="529">
        <v>3</v>
      </c>
      <c r="M2164" s="626">
        <f t="shared" si="70"/>
        <v>1.123005955058592</v>
      </c>
      <c r="N2164" s="530"/>
    </row>
    <row r="2165" spans="1:14" hidden="1" x14ac:dyDescent="0.2">
      <c r="A2165" s="632" t="s">
        <v>544</v>
      </c>
      <c r="B2165" s="637" t="s">
        <v>538</v>
      </c>
      <c r="C2165" s="247" t="s">
        <v>24</v>
      </c>
      <c r="D2165" s="527" t="s">
        <v>135</v>
      </c>
      <c r="E2165" s="623">
        <v>0.10444736842105259</v>
      </c>
      <c r="F2165" s="250" t="s">
        <v>547</v>
      </c>
      <c r="G2165" s="528" t="s">
        <v>16</v>
      </c>
      <c r="H2165" s="527">
        <v>1</v>
      </c>
      <c r="I2165" s="527">
        <v>2</v>
      </c>
      <c r="J2165" s="527">
        <v>3</v>
      </c>
      <c r="K2165" s="527">
        <v>3</v>
      </c>
      <c r="L2165" s="529">
        <v>3</v>
      </c>
      <c r="M2165" s="626">
        <f t="shared" si="70"/>
        <v>1.123005955058592</v>
      </c>
      <c r="N2165" s="530"/>
    </row>
    <row r="2166" spans="1:14" hidden="1" x14ac:dyDescent="0.2">
      <c r="A2166" s="632" t="s">
        <v>544</v>
      </c>
      <c r="B2166" s="637" t="s">
        <v>538</v>
      </c>
      <c r="C2166" s="247" t="s">
        <v>25</v>
      </c>
      <c r="D2166" s="527" t="s">
        <v>135</v>
      </c>
      <c r="E2166" s="623">
        <v>0.1012621621621622</v>
      </c>
      <c r="F2166" s="250" t="s">
        <v>547</v>
      </c>
      <c r="G2166" s="528" t="s">
        <v>16</v>
      </c>
      <c r="H2166" s="527">
        <v>1</v>
      </c>
      <c r="I2166" s="527">
        <v>2</v>
      </c>
      <c r="J2166" s="527">
        <v>3</v>
      </c>
      <c r="K2166" s="527">
        <v>3</v>
      </c>
      <c r="L2166" s="529">
        <v>3</v>
      </c>
      <c r="M2166" s="626">
        <f t="shared" si="70"/>
        <v>1.123005955058592</v>
      </c>
      <c r="N2166" s="530"/>
    </row>
    <row r="2167" spans="1:14" hidden="1" x14ac:dyDescent="0.2">
      <c r="A2167" s="632" t="s">
        <v>544</v>
      </c>
      <c r="B2167" s="637" t="s">
        <v>538</v>
      </c>
      <c r="C2167" s="247" t="s">
        <v>26</v>
      </c>
      <c r="D2167" s="527" t="s">
        <v>135</v>
      </c>
      <c r="E2167" s="623">
        <v>0.1212441975308642</v>
      </c>
      <c r="F2167" s="250" t="s">
        <v>547</v>
      </c>
      <c r="G2167" s="528" t="s">
        <v>16</v>
      </c>
      <c r="H2167" s="527">
        <v>1</v>
      </c>
      <c r="I2167" s="527">
        <v>2</v>
      </c>
      <c r="J2167" s="527">
        <v>3</v>
      </c>
      <c r="K2167" s="527">
        <v>3</v>
      </c>
      <c r="L2167" s="529">
        <v>3</v>
      </c>
      <c r="M2167" s="626">
        <f t="shared" si="70"/>
        <v>1.123005955058592</v>
      </c>
      <c r="N2167" s="530"/>
    </row>
    <row r="2168" spans="1:14" hidden="1" x14ac:dyDescent="0.2">
      <c r="A2168" s="632" t="s">
        <v>544</v>
      </c>
      <c r="B2168" s="637" t="s">
        <v>538</v>
      </c>
      <c r="C2168" s="247" t="s">
        <v>27</v>
      </c>
      <c r="D2168" s="527" t="s">
        <v>135</v>
      </c>
      <c r="E2168" s="623">
        <v>0.1006092558983666</v>
      </c>
      <c r="F2168" s="250" t="s">
        <v>547</v>
      </c>
      <c r="G2168" s="528" t="s">
        <v>16</v>
      </c>
      <c r="H2168" s="527">
        <v>1</v>
      </c>
      <c r="I2168" s="527">
        <v>2</v>
      </c>
      <c r="J2168" s="527">
        <v>3</v>
      </c>
      <c r="K2168" s="527">
        <v>3</v>
      </c>
      <c r="L2168" s="529">
        <v>3</v>
      </c>
      <c r="M2168" s="626">
        <f t="shared" si="70"/>
        <v>1.123005955058592</v>
      </c>
      <c r="N2168" s="530"/>
    </row>
    <row r="2169" spans="1:14" hidden="1" x14ac:dyDescent="0.2">
      <c r="A2169" s="632" t="s">
        <v>544</v>
      </c>
      <c r="B2169" s="637" t="s">
        <v>538</v>
      </c>
      <c r="C2169" s="247" t="s">
        <v>28</v>
      </c>
      <c r="D2169" s="527" t="s">
        <v>135</v>
      </c>
      <c r="E2169" s="623">
        <v>0.1037068222621185</v>
      </c>
      <c r="F2169" s="250" t="s">
        <v>547</v>
      </c>
      <c r="G2169" s="528" t="s">
        <v>16</v>
      </c>
      <c r="H2169" s="527">
        <v>1</v>
      </c>
      <c r="I2169" s="527">
        <v>2</v>
      </c>
      <c r="J2169" s="527">
        <v>3</v>
      </c>
      <c r="K2169" s="527">
        <v>3</v>
      </c>
      <c r="L2169" s="529">
        <v>3</v>
      </c>
      <c r="M2169" s="626">
        <f t="shared" si="70"/>
        <v>1.123005955058592</v>
      </c>
      <c r="N2169" s="530"/>
    </row>
    <row r="2170" spans="1:14" hidden="1" x14ac:dyDescent="0.2">
      <c r="A2170" s="632" t="s">
        <v>544</v>
      </c>
      <c r="B2170" s="637" t="s">
        <v>538</v>
      </c>
      <c r="C2170" s="247" t="s">
        <v>30</v>
      </c>
      <c r="D2170" s="527" t="s">
        <v>135</v>
      </c>
      <c r="E2170" s="623">
        <v>0.1020056105610561</v>
      </c>
      <c r="F2170" s="250" t="s">
        <v>547</v>
      </c>
      <c r="G2170" s="528" t="s">
        <v>16</v>
      </c>
      <c r="H2170" s="527">
        <v>1</v>
      </c>
      <c r="I2170" s="527">
        <v>2</v>
      </c>
      <c r="J2170" s="527">
        <v>3</v>
      </c>
      <c r="K2170" s="527">
        <v>3</v>
      </c>
      <c r="L2170" s="529">
        <v>3</v>
      </c>
      <c r="M2170" s="626">
        <f t="shared" si="70"/>
        <v>1.123005955058592</v>
      </c>
      <c r="N2170" s="530"/>
    </row>
    <row r="2171" spans="1:14" hidden="1" x14ac:dyDescent="0.2">
      <c r="A2171" s="632" t="s">
        <v>544</v>
      </c>
      <c r="B2171" s="637" t="s">
        <v>538</v>
      </c>
      <c r="C2171" s="247" t="s">
        <v>32</v>
      </c>
      <c r="D2171" s="527" t="s">
        <v>135</v>
      </c>
      <c r="E2171" s="623">
        <v>0.1075621359223301</v>
      </c>
      <c r="F2171" s="250" t="s">
        <v>547</v>
      </c>
      <c r="G2171" s="528" t="s">
        <v>16</v>
      </c>
      <c r="H2171" s="527">
        <v>1</v>
      </c>
      <c r="I2171" s="527">
        <v>2</v>
      </c>
      <c r="J2171" s="527">
        <v>3</v>
      </c>
      <c r="K2171" s="527">
        <v>3</v>
      </c>
      <c r="L2171" s="529">
        <v>3</v>
      </c>
      <c r="M2171" s="626">
        <f t="shared" si="70"/>
        <v>1.123005955058592</v>
      </c>
      <c r="N2171" s="530"/>
    </row>
    <row r="2172" spans="1:14" hidden="1" x14ac:dyDescent="0.2">
      <c r="A2172" s="632" t="s">
        <v>544</v>
      </c>
      <c r="B2172" s="637" t="s">
        <v>538</v>
      </c>
      <c r="C2172" s="247" t="s">
        <v>34</v>
      </c>
      <c r="D2172" s="527" t="s">
        <v>135</v>
      </c>
      <c r="E2172" s="623">
        <v>0.1096543307086614</v>
      </c>
      <c r="F2172" s="250" t="s">
        <v>547</v>
      </c>
      <c r="G2172" s="528" t="s">
        <v>16</v>
      </c>
      <c r="H2172" s="527">
        <v>1</v>
      </c>
      <c r="I2172" s="527">
        <v>2</v>
      </c>
      <c r="J2172" s="527">
        <v>3</v>
      </c>
      <c r="K2172" s="527">
        <v>3</v>
      </c>
      <c r="L2172" s="529">
        <v>3</v>
      </c>
      <c r="M2172" s="626">
        <f t="shared" si="70"/>
        <v>1.123005955058592</v>
      </c>
      <c r="N2172" s="530"/>
    </row>
    <row r="2173" spans="1:14" hidden="1" x14ac:dyDescent="0.2">
      <c r="A2173" s="632" t="s">
        <v>544</v>
      </c>
      <c r="B2173" s="637" t="s">
        <v>538</v>
      </c>
      <c r="C2173" s="247" t="s">
        <v>36</v>
      </c>
      <c r="D2173" s="527" t="s">
        <v>135</v>
      </c>
      <c r="E2173" s="623">
        <v>0.1092413105413105</v>
      </c>
      <c r="F2173" s="250" t="s">
        <v>547</v>
      </c>
      <c r="G2173" s="528" t="s">
        <v>16</v>
      </c>
      <c r="H2173" s="527">
        <v>1</v>
      </c>
      <c r="I2173" s="527">
        <v>2</v>
      </c>
      <c r="J2173" s="527">
        <v>3</v>
      </c>
      <c r="K2173" s="527">
        <v>3</v>
      </c>
      <c r="L2173" s="529">
        <v>3</v>
      </c>
      <c r="M2173" s="626">
        <f t="shared" si="70"/>
        <v>1.123005955058592</v>
      </c>
      <c r="N2173" s="530"/>
    </row>
    <row r="2174" spans="1:14" hidden="1" x14ac:dyDescent="0.2">
      <c r="A2174" s="632" t="s">
        <v>544</v>
      </c>
      <c r="B2174" s="637" t="s">
        <v>538</v>
      </c>
      <c r="C2174" s="247" t="s">
        <v>37</v>
      </c>
      <c r="D2174" s="527" t="s">
        <v>135</v>
      </c>
      <c r="E2174" s="623">
        <v>0.14525139664804471</v>
      </c>
      <c r="F2174" s="250" t="s">
        <v>547</v>
      </c>
      <c r="G2174" s="528" t="s">
        <v>16</v>
      </c>
      <c r="H2174" s="527">
        <v>1</v>
      </c>
      <c r="I2174" s="527">
        <v>2</v>
      </c>
      <c r="J2174" s="527">
        <v>3</v>
      </c>
      <c r="K2174" s="527">
        <v>3</v>
      </c>
      <c r="L2174" s="529">
        <v>3</v>
      </c>
      <c r="M2174" s="626">
        <f t="shared" si="70"/>
        <v>1.123005955058592</v>
      </c>
      <c r="N2174" s="530"/>
    </row>
    <row r="2175" spans="1:14" hidden="1" x14ac:dyDescent="0.2">
      <c r="A2175" s="632" t="s">
        <v>544</v>
      </c>
      <c r="B2175" s="637" t="s">
        <v>538</v>
      </c>
      <c r="C2175" s="247" t="s">
        <v>39</v>
      </c>
      <c r="D2175" s="527" t="s">
        <v>135</v>
      </c>
      <c r="E2175" s="623">
        <v>0.12112948402948399</v>
      </c>
      <c r="F2175" s="250" t="s">
        <v>547</v>
      </c>
      <c r="G2175" s="528" t="s">
        <v>16</v>
      </c>
      <c r="H2175" s="527">
        <v>1</v>
      </c>
      <c r="I2175" s="527">
        <v>2</v>
      </c>
      <c r="J2175" s="527">
        <v>3</v>
      </c>
      <c r="K2175" s="527">
        <v>3</v>
      </c>
      <c r="L2175" s="529">
        <v>3</v>
      </c>
      <c r="M2175" s="626">
        <f t="shared" si="70"/>
        <v>1.123005955058592</v>
      </c>
      <c r="N2175" s="530"/>
    </row>
    <row r="2176" spans="1:14" hidden="1" x14ac:dyDescent="0.2">
      <c r="A2176" s="632" t="s">
        <v>544</v>
      </c>
      <c r="B2176" s="637" t="s">
        <v>538</v>
      </c>
      <c r="C2176" s="247" t="s">
        <v>40</v>
      </c>
      <c r="D2176" s="527" t="s">
        <v>135</v>
      </c>
      <c r="E2176" s="623">
        <v>0.1054068965517241</v>
      </c>
      <c r="F2176" s="250" t="s">
        <v>547</v>
      </c>
      <c r="G2176" s="528" t="s">
        <v>16</v>
      </c>
      <c r="H2176" s="527">
        <v>1</v>
      </c>
      <c r="I2176" s="527">
        <v>2</v>
      </c>
      <c r="J2176" s="527">
        <v>3</v>
      </c>
      <c r="K2176" s="527">
        <v>3</v>
      </c>
      <c r="L2176" s="529">
        <v>3</v>
      </c>
      <c r="M2176" s="626">
        <f t="shared" si="70"/>
        <v>1.123005955058592</v>
      </c>
      <c r="N2176" s="530"/>
    </row>
    <row r="2177" spans="1:14" hidden="1" x14ac:dyDescent="0.2">
      <c r="A2177" s="632" t="s">
        <v>544</v>
      </c>
      <c r="B2177" s="637" t="s">
        <v>538</v>
      </c>
      <c r="C2177" s="247" t="s">
        <v>41</v>
      </c>
      <c r="D2177" s="527" t="s">
        <v>135</v>
      </c>
      <c r="E2177" s="623">
        <v>0.10130821917808221</v>
      </c>
      <c r="F2177" s="250" t="s">
        <v>547</v>
      </c>
      <c r="G2177" s="528" t="s">
        <v>16</v>
      </c>
      <c r="H2177" s="527">
        <v>1</v>
      </c>
      <c r="I2177" s="527">
        <v>2</v>
      </c>
      <c r="J2177" s="527">
        <v>3</v>
      </c>
      <c r="K2177" s="527">
        <v>3</v>
      </c>
      <c r="L2177" s="529">
        <v>3</v>
      </c>
      <c r="M2177" s="626">
        <f t="shared" si="70"/>
        <v>1.123005955058592</v>
      </c>
      <c r="N2177" s="530"/>
    </row>
    <row r="2178" spans="1:14" hidden="1" x14ac:dyDescent="0.2">
      <c r="A2178" s="632" t="s">
        <v>544</v>
      </c>
      <c r="B2178" s="637" t="s">
        <v>538</v>
      </c>
      <c r="C2178" s="247" t="s">
        <v>42</v>
      </c>
      <c r="D2178" s="527" t="s">
        <v>135</v>
      </c>
      <c r="E2178" s="623">
        <v>0.11456071428571429</v>
      </c>
      <c r="F2178" s="250" t="s">
        <v>547</v>
      </c>
      <c r="G2178" s="528" t="s">
        <v>16</v>
      </c>
      <c r="H2178" s="527">
        <v>1</v>
      </c>
      <c r="I2178" s="527">
        <v>2</v>
      </c>
      <c r="J2178" s="527">
        <v>3</v>
      </c>
      <c r="K2178" s="527">
        <v>3</v>
      </c>
      <c r="L2178" s="529">
        <v>3</v>
      </c>
      <c r="M2178" s="626">
        <f t="shared" si="70"/>
        <v>1.123005955058592</v>
      </c>
      <c r="N2178" s="530"/>
    </row>
    <row r="2179" spans="1:14" hidden="1" x14ac:dyDescent="0.2">
      <c r="A2179" s="632" t="s">
        <v>544</v>
      </c>
      <c r="B2179" s="637" t="s">
        <v>538</v>
      </c>
      <c r="C2179" s="247" t="s">
        <v>43</v>
      </c>
      <c r="D2179" s="527" t="s">
        <v>135</v>
      </c>
      <c r="E2179" s="623">
        <v>0.1017951076320939</v>
      </c>
      <c r="F2179" s="250" t="s">
        <v>547</v>
      </c>
      <c r="G2179" s="528" t="s">
        <v>16</v>
      </c>
      <c r="H2179" s="527">
        <v>1</v>
      </c>
      <c r="I2179" s="527">
        <v>2</v>
      </c>
      <c r="J2179" s="527">
        <v>3</v>
      </c>
      <c r="K2179" s="527">
        <v>3</v>
      </c>
      <c r="L2179" s="529">
        <v>3</v>
      </c>
      <c r="M2179" s="626">
        <f t="shared" si="70"/>
        <v>1.123005955058592</v>
      </c>
      <c r="N2179" s="530"/>
    </row>
    <row r="2180" spans="1:14" x14ac:dyDescent="0.2">
      <c r="A2180" s="632" t="s">
        <v>544</v>
      </c>
      <c r="B2180" s="637" t="s">
        <v>538</v>
      </c>
      <c r="C2180" s="247" t="s">
        <v>45</v>
      </c>
      <c r="D2180" s="527" t="s">
        <v>135</v>
      </c>
      <c r="E2180" s="623">
        <v>0.1032867388362652</v>
      </c>
      <c r="F2180" s="250" t="s">
        <v>547</v>
      </c>
      <c r="G2180" s="528" t="s">
        <v>16</v>
      </c>
      <c r="H2180" s="527">
        <v>1</v>
      </c>
      <c r="I2180" s="527">
        <v>2</v>
      </c>
      <c r="J2180" s="527">
        <v>3</v>
      </c>
      <c r="K2180" s="527">
        <v>3</v>
      </c>
      <c r="L2180" s="529">
        <v>3</v>
      </c>
      <c r="M2180" s="626">
        <f t="shared" si="70"/>
        <v>1.123005955058592</v>
      </c>
      <c r="N2180" s="530"/>
    </row>
    <row r="2181" spans="1:14" hidden="1" x14ac:dyDescent="0.2">
      <c r="A2181" s="632" t="s">
        <v>544</v>
      </c>
      <c r="B2181" s="637" t="s">
        <v>538</v>
      </c>
      <c r="C2181" s="247" t="s">
        <v>46</v>
      </c>
      <c r="D2181" s="527" t="s">
        <v>135</v>
      </c>
      <c r="E2181" s="623">
        <v>0.1077310030395137</v>
      </c>
      <c r="F2181" s="250" t="s">
        <v>547</v>
      </c>
      <c r="G2181" s="528" t="s">
        <v>16</v>
      </c>
      <c r="H2181" s="527">
        <v>1</v>
      </c>
      <c r="I2181" s="527">
        <v>2</v>
      </c>
      <c r="J2181" s="527">
        <v>3</v>
      </c>
      <c r="K2181" s="527">
        <v>3</v>
      </c>
      <c r="L2181" s="529">
        <v>3</v>
      </c>
      <c r="M2181" s="626">
        <f t="shared" si="70"/>
        <v>1.123005955058592</v>
      </c>
      <c r="N2181" s="530"/>
    </row>
    <row r="2182" spans="1:14" hidden="1" x14ac:dyDescent="0.2">
      <c r="A2182" s="632" t="s">
        <v>544</v>
      </c>
      <c r="B2182" s="637" t="s">
        <v>538</v>
      </c>
      <c r="C2182" s="247" t="s">
        <v>48</v>
      </c>
      <c r="D2182" s="527" t="s">
        <v>135</v>
      </c>
      <c r="E2182" s="623">
        <v>0.10526094674556211</v>
      </c>
      <c r="F2182" s="250" t="s">
        <v>547</v>
      </c>
      <c r="G2182" s="528" t="s">
        <v>16</v>
      </c>
      <c r="H2182" s="527">
        <v>1</v>
      </c>
      <c r="I2182" s="527">
        <v>2</v>
      </c>
      <c r="J2182" s="527">
        <v>3</v>
      </c>
      <c r="K2182" s="527">
        <v>3</v>
      </c>
      <c r="L2182" s="529">
        <v>3</v>
      </c>
      <c r="M2182" s="626">
        <f t="shared" si="70"/>
        <v>1.123005955058592</v>
      </c>
      <c r="N2182" s="530"/>
    </row>
    <row r="2183" spans="1:14" hidden="1" x14ac:dyDescent="0.2">
      <c r="A2183" s="632" t="s">
        <v>544</v>
      </c>
      <c r="B2183" s="637" t="s">
        <v>538</v>
      </c>
      <c r="C2183" s="247" t="s">
        <v>50</v>
      </c>
      <c r="D2183" s="527" t="s">
        <v>135</v>
      </c>
      <c r="E2183" s="623">
        <v>0.1427205882352941</v>
      </c>
      <c r="F2183" s="250" t="s">
        <v>547</v>
      </c>
      <c r="G2183" s="528" t="s">
        <v>16</v>
      </c>
      <c r="H2183" s="527">
        <v>1</v>
      </c>
      <c r="I2183" s="527">
        <v>2</v>
      </c>
      <c r="J2183" s="527">
        <v>3</v>
      </c>
      <c r="K2183" s="527">
        <v>3</v>
      </c>
      <c r="L2183" s="529">
        <v>3</v>
      </c>
      <c r="M2183" s="626">
        <f t="shared" si="70"/>
        <v>1.123005955058592</v>
      </c>
      <c r="N2183" s="530"/>
    </row>
    <row r="2184" spans="1:14" hidden="1" x14ac:dyDescent="0.2">
      <c r="A2184" s="632" t="s">
        <v>544</v>
      </c>
      <c r="B2184" s="637" t="s">
        <v>538</v>
      </c>
      <c r="C2184" s="247" t="s">
        <v>52</v>
      </c>
      <c r="D2184" s="527" t="s">
        <v>135</v>
      </c>
      <c r="E2184" s="623">
        <v>0.10511159420289851</v>
      </c>
      <c r="F2184" s="250" t="s">
        <v>547</v>
      </c>
      <c r="G2184" s="528" t="s">
        <v>16</v>
      </c>
      <c r="H2184" s="527">
        <v>1</v>
      </c>
      <c r="I2184" s="527">
        <v>2</v>
      </c>
      <c r="J2184" s="527">
        <v>3</v>
      </c>
      <c r="K2184" s="527">
        <v>3</v>
      </c>
      <c r="L2184" s="529">
        <v>3</v>
      </c>
      <c r="M2184" s="626">
        <f t="shared" si="70"/>
        <v>1.123005955058592</v>
      </c>
      <c r="N2184" s="530"/>
    </row>
    <row r="2185" spans="1:14" hidden="1" x14ac:dyDescent="0.2">
      <c r="A2185" s="632" t="s">
        <v>544</v>
      </c>
      <c r="B2185" s="637" t="s">
        <v>538</v>
      </c>
      <c r="C2185" s="247" t="s">
        <v>54</v>
      </c>
      <c r="D2185" s="527" t="s">
        <v>135</v>
      </c>
      <c r="E2185" s="623">
        <v>0.10250740740740739</v>
      </c>
      <c r="F2185" s="250" t="s">
        <v>547</v>
      </c>
      <c r="G2185" s="528" t="s">
        <v>16</v>
      </c>
      <c r="H2185" s="527">
        <v>1</v>
      </c>
      <c r="I2185" s="527">
        <v>2</v>
      </c>
      <c r="J2185" s="527">
        <v>3</v>
      </c>
      <c r="K2185" s="527">
        <v>3</v>
      </c>
      <c r="L2185" s="529">
        <v>3</v>
      </c>
      <c r="M2185" s="626">
        <f t="shared" si="70"/>
        <v>1.123005955058592</v>
      </c>
      <c r="N2185" s="530"/>
    </row>
    <row r="2186" spans="1:14" hidden="1" x14ac:dyDescent="0.2">
      <c r="A2186" s="632" t="s">
        <v>544</v>
      </c>
      <c r="B2186" s="637" t="s">
        <v>538</v>
      </c>
      <c r="C2186" s="247" t="s">
        <v>55</v>
      </c>
      <c r="D2186" s="527" t="s">
        <v>135</v>
      </c>
      <c r="E2186" s="623">
        <v>0.107852</v>
      </c>
      <c r="F2186" s="250" t="s">
        <v>547</v>
      </c>
      <c r="G2186" s="528" t="s">
        <v>16</v>
      </c>
      <c r="H2186" s="527">
        <v>1</v>
      </c>
      <c r="I2186" s="527">
        <v>2</v>
      </c>
      <c r="J2186" s="527">
        <v>3</v>
      </c>
      <c r="K2186" s="527">
        <v>3</v>
      </c>
      <c r="L2186" s="529">
        <v>3</v>
      </c>
      <c r="M2186" s="626">
        <f t="shared" si="70"/>
        <v>1.123005955058592</v>
      </c>
      <c r="N2186" s="530"/>
    </row>
    <row r="2187" spans="1:14" hidden="1" x14ac:dyDescent="0.2">
      <c r="A2187" s="632" t="s">
        <v>544</v>
      </c>
      <c r="B2187" s="637" t="s">
        <v>538</v>
      </c>
      <c r="C2187" s="247" t="s">
        <v>57</v>
      </c>
      <c r="D2187" s="527" t="s">
        <v>135</v>
      </c>
      <c r="E2187" s="623">
        <v>0.1024861751152074</v>
      </c>
      <c r="F2187" s="250" t="s">
        <v>547</v>
      </c>
      <c r="G2187" s="528" t="s">
        <v>16</v>
      </c>
      <c r="H2187" s="527">
        <v>1</v>
      </c>
      <c r="I2187" s="527">
        <v>2</v>
      </c>
      <c r="J2187" s="527">
        <v>3</v>
      </c>
      <c r="K2187" s="527">
        <v>3</v>
      </c>
      <c r="L2187" s="529">
        <v>3</v>
      </c>
      <c r="M2187" s="626">
        <f t="shared" si="70"/>
        <v>1.123005955058592</v>
      </c>
      <c r="N2187" s="530"/>
    </row>
    <row r="2188" spans="1:14" hidden="1" x14ac:dyDescent="0.2">
      <c r="A2188" s="632" t="s">
        <v>544</v>
      </c>
      <c r="B2188" s="637" t="s">
        <v>538</v>
      </c>
      <c r="C2188" s="247" t="s">
        <v>59</v>
      </c>
      <c r="D2188" s="527" t="s">
        <v>135</v>
      </c>
      <c r="E2188" s="623">
        <v>0.1</v>
      </c>
      <c r="F2188" s="250" t="s">
        <v>547</v>
      </c>
      <c r="G2188" s="528" t="s">
        <v>16</v>
      </c>
      <c r="H2188" s="519">
        <v>1</v>
      </c>
      <c r="I2188" s="527">
        <v>2</v>
      </c>
      <c r="J2188" s="527">
        <v>3</v>
      </c>
      <c r="K2188" s="527">
        <v>3</v>
      </c>
      <c r="L2188" s="529">
        <v>3</v>
      </c>
      <c r="M2188" s="626">
        <f t="shared" si="70"/>
        <v>1.123005955058592</v>
      </c>
      <c r="N2188" s="530"/>
    </row>
    <row r="2189" spans="1:14" hidden="1" x14ac:dyDescent="0.2">
      <c r="A2189" s="632" t="s">
        <v>544</v>
      </c>
      <c r="B2189" s="637" t="s">
        <v>538</v>
      </c>
      <c r="C2189" s="247" t="s">
        <v>60</v>
      </c>
      <c r="D2189" s="527" t="s">
        <v>135</v>
      </c>
      <c r="E2189" s="627">
        <v>0.1075725701943844</v>
      </c>
      <c r="F2189" s="250" t="s">
        <v>547</v>
      </c>
      <c r="G2189" s="528" t="s">
        <v>16</v>
      </c>
      <c r="H2189" s="519">
        <v>1</v>
      </c>
      <c r="I2189" s="519">
        <v>2</v>
      </c>
      <c r="J2189" s="527">
        <v>3</v>
      </c>
      <c r="K2189" s="527">
        <v>3</v>
      </c>
      <c r="L2189" s="529">
        <v>3</v>
      </c>
      <c r="M2189" s="521">
        <f t="shared" si="70"/>
        <v>1.123005955058592</v>
      </c>
      <c r="N2189" s="522"/>
    </row>
    <row r="2190" spans="1:14" x14ac:dyDescent="0.2">
      <c r="A2190" s="638" t="s">
        <v>544</v>
      </c>
      <c r="B2190" s="480" t="s">
        <v>387</v>
      </c>
      <c r="C2190" s="409" t="s">
        <v>135</v>
      </c>
      <c r="D2190" s="384" t="s">
        <v>135</v>
      </c>
      <c r="E2190" s="556" t="s">
        <v>188</v>
      </c>
      <c r="F2190" s="399"/>
      <c r="G2190" s="406" t="s">
        <v>16</v>
      </c>
      <c r="H2190" s="556"/>
      <c r="I2190" s="556"/>
      <c r="J2190" s="556"/>
      <c r="K2190" s="556"/>
      <c r="L2190" s="557"/>
      <c r="M2190" s="558" t="str">
        <f t="shared" si="70"/>
        <v/>
      </c>
      <c r="N2190" s="631"/>
    </row>
    <row r="2191" spans="1:14" hidden="1" x14ac:dyDescent="0.2">
      <c r="A2191" s="635" t="s">
        <v>543</v>
      </c>
      <c r="B2191" s="636" t="s">
        <v>457</v>
      </c>
      <c r="C2191" s="265" t="s">
        <v>13</v>
      </c>
      <c r="D2191" s="321" t="s">
        <v>135</v>
      </c>
      <c r="E2191" s="322">
        <v>0.1223276683937824</v>
      </c>
      <c r="F2191" s="250" t="s">
        <v>547</v>
      </c>
      <c r="G2191" s="528" t="s">
        <v>16</v>
      </c>
      <c r="H2191" s="321">
        <v>1</v>
      </c>
      <c r="I2191" s="321">
        <v>2</v>
      </c>
      <c r="J2191" s="321">
        <v>3</v>
      </c>
      <c r="K2191" s="321">
        <v>3</v>
      </c>
      <c r="L2191" s="325">
        <v>3</v>
      </c>
      <c r="M2191" s="624">
        <f>IF( OR( ISBLANK(H2191),ISBLANK(I2191), ISBLANK(J2191), ISBLANK(K2191), ISBLANK(L2191) ), "", 1.5*SQRT(   EXP(2.21*(H2191-1)) + EXP(2.21*(I2191-1)) + EXP(2.21*(J2191-1)) + EXP(2.21*(K2191-1)) + EXP(2.21*L2191)   )/100*2.45 )</f>
        <v>1.123005955058592</v>
      </c>
      <c r="N2191" s="625"/>
    </row>
    <row r="2192" spans="1:14" hidden="1" x14ac:dyDescent="0.2">
      <c r="A2192" s="632" t="s">
        <v>543</v>
      </c>
      <c r="B2192" s="637" t="s">
        <v>457</v>
      </c>
      <c r="C2192" s="247" t="s">
        <v>18</v>
      </c>
      <c r="D2192" s="527" t="s">
        <v>135</v>
      </c>
      <c r="E2192" s="623">
        <v>0.1236524205378973</v>
      </c>
      <c r="F2192" s="250" t="s">
        <v>547</v>
      </c>
      <c r="G2192" s="528" t="s">
        <v>16</v>
      </c>
      <c r="H2192" s="527">
        <v>1</v>
      </c>
      <c r="I2192" s="527">
        <v>2</v>
      </c>
      <c r="J2192" s="527">
        <v>3</v>
      </c>
      <c r="K2192" s="527">
        <v>3</v>
      </c>
      <c r="L2192" s="529">
        <v>3</v>
      </c>
      <c r="M2192" s="626">
        <f t="shared" ref="M2192:M2222" si="71">IF( OR( ISBLANK(H2192),ISBLANK(I2192), ISBLANK(J2192), ISBLANK(K2192), ISBLANK(L2192) ), "", 1.5*SQRT( EXP(2.21*(H2192-1)) + EXP(2.21*(I2192-1)) + EXP(2.21*(J2192-1)) + EXP(2.21*(K2192-1)) + EXP(2.21*L2192) )/100*2.45 )</f>
        <v>1.123005955058592</v>
      </c>
      <c r="N2192" s="530"/>
    </row>
    <row r="2193" spans="1:14" hidden="1" x14ac:dyDescent="0.2">
      <c r="A2193" s="632" t="s">
        <v>543</v>
      </c>
      <c r="B2193" s="637" t="s">
        <v>457</v>
      </c>
      <c r="C2193" s="247" t="s">
        <v>20</v>
      </c>
      <c r="D2193" s="527" t="s">
        <v>135</v>
      </c>
      <c r="E2193" s="623">
        <v>0.13503135135135139</v>
      </c>
      <c r="F2193" s="250" t="s">
        <v>547</v>
      </c>
      <c r="G2193" s="528" t="s">
        <v>16</v>
      </c>
      <c r="H2193" s="527">
        <v>1</v>
      </c>
      <c r="I2193" s="527">
        <v>2</v>
      </c>
      <c r="J2193" s="527">
        <v>3</v>
      </c>
      <c r="K2193" s="527">
        <v>3</v>
      </c>
      <c r="L2193" s="529">
        <v>3</v>
      </c>
      <c r="M2193" s="626">
        <f t="shared" si="71"/>
        <v>1.123005955058592</v>
      </c>
      <c r="N2193" s="530"/>
    </row>
    <row r="2194" spans="1:14" hidden="1" x14ac:dyDescent="0.2">
      <c r="A2194" s="632" t="s">
        <v>543</v>
      </c>
      <c r="B2194" s="637" t="s">
        <v>457</v>
      </c>
      <c r="C2194" s="247" t="s">
        <v>22</v>
      </c>
      <c r="D2194" s="527" t="s">
        <v>135</v>
      </c>
      <c r="E2194" s="623">
        <v>0.1317086111111111</v>
      </c>
      <c r="F2194" s="250" t="s">
        <v>547</v>
      </c>
      <c r="G2194" s="528" t="s">
        <v>16</v>
      </c>
      <c r="H2194" s="527">
        <v>1</v>
      </c>
      <c r="I2194" s="527">
        <v>2</v>
      </c>
      <c r="J2194" s="527">
        <v>3</v>
      </c>
      <c r="K2194" s="527">
        <v>3</v>
      </c>
      <c r="L2194" s="529">
        <v>3</v>
      </c>
      <c r="M2194" s="626">
        <f t="shared" si="71"/>
        <v>1.123005955058592</v>
      </c>
      <c r="N2194" s="530"/>
    </row>
    <row r="2195" spans="1:14" hidden="1" x14ac:dyDescent="0.2">
      <c r="A2195" s="632" t="s">
        <v>543</v>
      </c>
      <c r="B2195" s="637" t="s">
        <v>457</v>
      </c>
      <c r="C2195" s="247" t="s">
        <v>23</v>
      </c>
      <c r="D2195" s="527" t="s">
        <v>135</v>
      </c>
      <c r="E2195" s="623">
        <v>0.13660470588235291</v>
      </c>
      <c r="F2195" s="250" t="s">
        <v>547</v>
      </c>
      <c r="G2195" s="528" t="s">
        <v>16</v>
      </c>
      <c r="H2195" s="527">
        <v>1</v>
      </c>
      <c r="I2195" s="527">
        <v>2</v>
      </c>
      <c r="J2195" s="527">
        <v>3</v>
      </c>
      <c r="K2195" s="527">
        <v>3</v>
      </c>
      <c r="L2195" s="529">
        <v>3</v>
      </c>
      <c r="M2195" s="626">
        <f t="shared" si="71"/>
        <v>1.123005955058592</v>
      </c>
      <c r="N2195" s="530"/>
    </row>
    <row r="2196" spans="1:14" hidden="1" x14ac:dyDescent="0.2">
      <c r="A2196" s="632" t="s">
        <v>543</v>
      </c>
      <c r="B2196" s="637" t="s">
        <v>457</v>
      </c>
      <c r="C2196" s="247" t="s">
        <v>24</v>
      </c>
      <c r="D2196" s="527" t="s">
        <v>135</v>
      </c>
      <c r="E2196" s="623">
        <v>0.12588105263157889</v>
      </c>
      <c r="F2196" s="250" t="s">
        <v>547</v>
      </c>
      <c r="G2196" s="528" t="s">
        <v>16</v>
      </c>
      <c r="H2196" s="527">
        <v>1</v>
      </c>
      <c r="I2196" s="527">
        <v>2</v>
      </c>
      <c r="J2196" s="527">
        <v>3</v>
      </c>
      <c r="K2196" s="527">
        <v>3</v>
      </c>
      <c r="L2196" s="529">
        <v>3</v>
      </c>
      <c r="M2196" s="626">
        <f t="shared" si="71"/>
        <v>1.123005955058592</v>
      </c>
      <c r="N2196" s="530"/>
    </row>
    <row r="2197" spans="1:14" hidden="1" x14ac:dyDescent="0.2">
      <c r="A2197" s="632" t="s">
        <v>543</v>
      </c>
      <c r="B2197" s="637" t="s">
        <v>457</v>
      </c>
      <c r="C2197" s="247" t="s">
        <v>25</v>
      </c>
      <c r="D2197" s="527" t="s">
        <v>135</v>
      </c>
      <c r="E2197" s="623">
        <v>0.1216578378378378</v>
      </c>
      <c r="F2197" s="250" t="s">
        <v>547</v>
      </c>
      <c r="G2197" s="528" t="s">
        <v>16</v>
      </c>
      <c r="H2197" s="527">
        <v>1</v>
      </c>
      <c r="I2197" s="527">
        <v>2</v>
      </c>
      <c r="J2197" s="527">
        <v>3</v>
      </c>
      <c r="K2197" s="527">
        <v>3</v>
      </c>
      <c r="L2197" s="529">
        <v>3</v>
      </c>
      <c r="M2197" s="626">
        <f t="shared" si="71"/>
        <v>1.123005955058592</v>
      </c>
      <c r="N2197" s="530"/>
    </row>
    <row r="2198" spans="1:14" hidden="1" x14ac:dyDescent="0.2">
      <c r="A2198" s="632" t="s">
        <v>543</v>
      </c>
      <c r="B2198" s="637" t="s">
        <v>457</v>
      </c>
      <c r="C2198" s="247" t="s">
        <v>26</v>
      </c>
      <c r="D2198" s="527" t="s">
        <v>135</v>
      </c>
      <c r="E2198" s="623">
        <v>0.1481517037037037</v>
      </c>
      <c r="F2198" s="250" t="s">
        <v>547</v>
      </c>
      <c r="G2198" s="528" t="s">
        <v>16</v>
      </c>
      <c r="H2198" s="527">
        <v>1</v>
      </c>
      <c r="I2198" s="527">
        <v>2</v>
      </c>
      <c r="J2198" s="527">
        <v>3</v>
      </c>
      <c r="K2198" s="527">
        <v>3</v>
      </c>
      <c r="L2198" s="529">
        <v>3</v>
      </c>
      <c r="M2198" s="626">
        <f t="shared" si="71"/>
        <v>1.123005955058592</v>
      </c>
      <c r="N2198" s="530"/>
    </row>
    <row r="2199" spans="1:14" hidden="1" x14ac:dyDescent="0.2">
      <c r="A2199" s="632" t="s">
        <v>543</v>
      </c>
      <c r="B2199" s="637" t="s">
        <v>457</v>
      </c>
      <c r="C2199" s="247" t="s">
        <v>27</v>
      </c>
      <c r="D2199" s="527" t="s">
        <v>135</v>
      </c>
      <c r="E2199" s="623">
        <v>0.1207921597096189</v>
      </c>
      <c r="F2199" s="250" t="s">
        <v>547</v>
      </c>
      <c r="G2199" s="528" t="s">
        <v>16</v>
      </c>
      <c r="H2199" s="527">
        <v>1</v>
      </c>
      <c r="I2199" s="527">
        <v>2</v>
      </c>
      <c r="J2199" s="527">
        <v>3</v>
      </c>
      <c r="K2199" s="527">
        <v>3</v>
      </c>
      <c r="L2199" s="529">
        <v>3</v>
      </c>
      <c r="M2199" s="626">
        <f t="shared" si="71"/>
        <v>1.123005955058592</v>
      </c>
      <c r="N2199" s="530"/>
    </row>
    <row r="2200" spans="1:14" hidden="1" x14ac:dyDescent="0.2">
      <c r="A2200" s="632" t="s">
        <v>543</v>
      </c>
      <c r="B2200" s="637" t="s">
        <v>457</v>
      </c>
      <c r="C2200" s="247" t="s">
        <v>28</v>
      </c>
      <c r="D2200" s="527" t="s">
        <v>135</v>
      </c>
      <c r="E2200" s="623">
        <v>0.1248991741472172</v>
      </c>
      <c r="F2200" s="250" t="s">
        <v>547</v>
      </c>
      <c r="G2200" s="528" t="s">
        <v>16</v>
      </c>
      <c r="H2200" s="527">
        <v>1</v>
      </c>
      <c r="I2200" s="527">
        <v>2</v>
      </c>
      <c r="J2200" s="527">
        <v>3</v>
      </c>
      <c r="K2200" s="527">
        <v>3</v>
      </c>
      <c r="L2200" s="529">
        <v>3</v>
      </c>
      <c r="M2200" s="626">
        <f t="shared" si="71"/>
        <v>1.123005955058592</v>
      </c>
      <c r="N2200" s="530"/>
    </row>
    <row r="2201" spans="1:14" hidden="1" x14ac:dyDescent="0.2">
      <c r="A2201" s="632" t="s">
        <v>543</v>
      </c>
      <c r="B2201" s="637" t="s">
        <v>457</v>
      </c>
      <c r="C2201" s="247" t="s">
        <v>30</v>
      </c>
      <c r="D2201" s="527" t="s">
        <v>135</v>
      </c>
      <c r="E2201" s="623">
        <v>0.1226435643564356</v>
      </c>
      <c r="F2201" s="250" t="s">
        <v>547</v>
      </c>
      <c r="G2201" s="528" t="s">
        <v>16</v>
      </c>
      <c r="H2201" s="527">
        <v>1</v>
      </c>
      <c r="I2201" s="527">
        <v>2</v>
      </c>
      <c r="J2201" s="527">
        <v>3</v>
      </c>
      <c r="K2201" s="527">
        <v>3</v>
      </c>
      <c r="L2201" s="529">
        <v>3</v>
      </c>
      <c r="M2201" s="626">
        <f t="shared" si="71"/>
        <v>1.123005955058592</v>
      </c>
      <c r="N2201" s="530"/>
    </row>
    <row r="2202" spans="1:14" hidden="1" x14ac:dyDescent="0.2">
      <c r="A2202" s="632" t="s">
        <v>543</v>
      </c>
      <c r="B2202" s="637" t="s">
        <v>457</v>
      </c>
      <c r="C2202" s="247" t="s">
        <v>32</v>
      </c>
      <c r="D2202" s="527" t="s">
        <v>135</v>
      </c>
      <c r="E2202" s="623">
        <v>0.1300108737864078</v>
      </c>
      <c r="F2202" s="250" t="s">
        <v>547</v>
      </c>
      <c r="G2202" s="528" t="s">
        <v>16</v>
      </c>
      <c r="H2202" s="527">
        <v>1</v>
      </c>
      <c r="I2202" s="527">
        <v>2</v>
      </c>
      <c r="J2202" s="527">
        <v>3</v>
      </c>
      <c r="K2202" s="527">
        <v>3</v>
      </c>
      <c r="L2202" s="529">
        <v>3</v>
      </c>
      <c r="M2202" s="626">
        <f t="shared" si="71"/>
        <v>1.123005955058592</v>
      </c>
      <c r="N2202" s="530"/>
    </row>
    <row r="2203" spans="1:14" hidden="1" x14ac:dyDescent="0.2">
      <c r="A2203" s="632" t="s">
        <v>543</v>
      </c>
      <c r="B2203" s="637" t="s">
        <v>457</v>
      </c>
      <c r="C2203" s="247" t="s">
        <v>34</v>
      </c>
      <c r="D2203" s="527" t="s">
        <v>135</v>
      </c>
      <c r="E2203" s="623">
        <v>0.13278488188976381</v>
      </c>
      <c r="F2203" s="250" t="s">
        <v>547</v>
      </c>
      <c r="G2203" s="528" t="s">
        <v>16</v>
      </c>
      <c r="H2203" s="527">
        <v>1</v>
      </c>
      <c r="I2203" s="527">
        <v>2</v>
      </c>
      <c r="J2203" s="527">
        <v>3</v>
      </c>
      <c r="K2203" s="527">
        <v>3</v>
      </c>
      <c r="L2203" s="529">
        <v>3</v>
      </c>
      <c r="M2203" s="626">
        <f t="shared" si="71"/>
        <v>1.123005955058592</v>
      </c>
      <c r="N2203" s="530"/>
    </row>
    <row r="2204" spans="1:14" hidden="1" x14ac:dyDescent="0.2">
      <c r="A2204" s="632" t="s">
        <v>543</v>
      </c>
      <c r="B2204" s="637" t="s">
        <v>457</v>
      </c>
      <c r="C2204" s="247" t="s">
        <v>36</v>
      </c>
      <c r="D2204" s="527" t="s">
        <v>135</v>
      </c>
      <c r="E2204" s="623">
        <v>0.13223726495726501</v>
      </c>
      <c r="F2204" s="250" t="s">
        <v>547</v>
      </c>
      <c r="G2204" s="528" t="s">
        <v>16</v>
      </c>
      <c r="H2204" s="527">
        <v>1</v>
      </c>
      <c r="I2204" s="527">
        <v>2</v>
      </c>
      <c r="J2204" s="527">
        <v>3</v>
      </c>
      <c r="K2204" s="527">
        <v>3</v>
      </c>
      <c r="L2204" s="529">
        <v>3</v>
      </c>
      <c r="M2204" s="626">
        <f t="shared" si="71"/>
        <v>1.123005955058592</v>
      </c>
      <c r="N2204" s="530"/>
    </row>
    <row r="2205" spans="1:14" hidden="1" x14ac:dyDescent="0.2">
      <c r="A2205" s="632" t="s">
        <v>543</v>
      </c>
      <c r="B2205" s="637" t="s">
        <v>457</v>
      </c>
      <c r="C2205" s="247" t="s">
        <v>37</v>
      </c>
      <c r="D2205" s="527" t="s">
        <v>135</v>
      </c>
      <c r="E2205" s="623">
        <v>0.18</v>
      </c>
      <c r="F2205" s="250" t="s">
        <v>547</v>
      </c>
      <c r="G2205" s="528" t="s">
        <v>16</v>
      </c>
      <c r="H2205" s="527">
        <v>1</v>
      </c>
      <c r="I2205" s="527">
        <v>2</v>
      </c>
      <c r="J2205" s="527">
        <v>3</v>
      </c>
      <c r="K2205" s="527">
        <v>3</v>
      </c>
      <c r="L2205" s="529">
        <v>3</v>
      </c>
      <c r="M2205" s="626">
        <f t="shared" si="71"/>
        <v>1.123005955058592</v>
      </c>
      <c r="N2205" s="530"/>
    </row>
    <row r="2206" spans="1:14" hidden="1" x14ac:dyDescent="0.2">
      <c r="A2206" s="632" t="s">
        <v>543</v>
      </c>
      <c r="B2206" s="637" t="s">
        <v>457</v>
      </c>
      <c r="C2206" s="247" t="s">
        <v>39</v>
      </c>
      <c r="D2206" s="527" t="s">
        <v>135</v>
      </c>
      <c r="E2206" s="623">
        <v>0.14799960687960689</v>
      </c>
      <c r="F2206" s="250" t="s">
        <v>547</v>
      </c>
      <c r="G2206" s="528" t="s">
        <v>16</v>
      </c>
      <c r="H2206" s="527">
        <v>1</v>
      </c>
      <c r="I2206" s="527">
        <v>2</v>
      </c>
      <c r="J2206" s="527">
        <v>3</v>
      </c>
      <c r="K2206" s="527">
        <v>3</v>
      </c>
      <c r="L2206" s="529">
        <v>3</v>
      </c>
      <c r="M2206" s="626">
        <f t="shared" si="71"/>
        <v>1.123005955058592</v>
      </c>
      <c r="N2206" s="530"/>
    </row>
    <row r="2207" spans="1:14" hidden="1" x14ac:dyDescent="0.2">
      <c r="A2207" s="632" t="s">
        <v>543</v>
      </c>
      <c r="B2207" s="637" t="s">
        <v>457</v>
      </c>
      <c r="C2207" s="247" t="s">
        <v>40</v>
      </c>
      <c r="D2207" s="527" t="s">
        <v>135</v>
      </c>
      <c r="E2207" s="623">
        <v>0.12715327586206901</v>
      </c>
      <c r="F2207" s="250" t="s">
        <v>547</v>
      </c>
      <c r="G2207" s="528" t="s">
        <v>16</v>
      </c>
      <c r="H2207" s="527">
        <v>1</v>
      </c>
      <c r="I2207" s="527">
        <v>2</v>
      </c>
      <c r="J2207" s="527">
        <v>3</v>
      </c>
      <c r="K2207" s="527">
        <v>3</v>
      </c>
      <c r="L2207" s="529">
        <v>3</v>
      </c>
      <c r="M2207" s="626">
        <f t="shared" si="71"/>
        <v>1.123005955058592</v>
      </c>
      <c r="N2207" s="530"/>
    </row>
    <row r="2208" spans="1:14" hidden="1" x14ac:dyDescent="0.2">
      <c r="A2208" s="632" t="s">
        <v>543</v>
      </c>
      <c r="B2208" s="637" t="s">
        <v>457</v>
      </c>
      <c r="C2208" s="247" t="s">
        <v>41</v>
      </c>
      <c r="D2208" s="527" t="s">
        <v>135</v>
      </c>
      <c r="E2208" s="623">
        <v>0.12171890410958899</v>
      </c>
      <c r="F2208" s="250" t="s">
        <v>547</v>
      </c>
      <c r="G2208" s="528" t="s">
        <v>16</v>
      </c>
      <c r="H2208" s="527">
        <v>1</v>
      </c>
      <c r="I2208" s="527">
        <v>2</v>
      </c>
      <c r="J2208" s="527">
        <v>3</v>
      </c>
      <c r="K2208" s="527">
        <v>3</v>
      </c>
      <c r="L2208" s="529">
        <v>3</v>
      </c>
      <c r="M2208" s="626">
        <f t="shared" si="71"/>
        <v>1.123005955058592</v>
      </c>
      <c r="N2208" s="530"/>
    </row>
    <row r="2209" spans="1:14" hidden="1" x14ac:dyDescent="0.2">
      <c r="A2209" s="632" t="s">
        <v>543</v>
      </c>
      <c r="B2209" s="637" t="s">
        <v>457</v>
      </c>
      <c r="C2209" s="247" t="s">
        <v>42</v>
      </c>
      <c r="D2209" s="527" t="s">
        <v>135</v>
      </c>
      <c r="E2209" s="623">
        <v>0.13929017857142861</v>
      </c>
      <c r="F2209" s="250" t="s">
        <v>547</v>
      </c>
      <c r="G2209" s="528" t="s">
        <v>16</v>
      </c>
      <c r="H2209" s="527">
        <v>1</v>
      </c>
      <c r="I2209" s="527">
        <v>2</v>
      </c>
      <c r="J2209" s="527">
        <v>3</v>
      </c>
      <c r="K2209" s="527">
        <v>3</v>
      </c>
      <c r="L2209" s="529">
        <v>3</v>
      </c>
      <c r="M2209" s="626">
        <f t="shared" si="71"/>
        <v>1.123005955058592</v>
      </c>
      <c r="N2209" s="530"/>
    </row>
    <row r="2210" spans="1:14" hidden="1" x14ac:dyDescent="0.2">
      <c r="A2210" s="632" t="s">
        <v>543</v>
      </c>
      <c r="B2210" s="637" t="s">
        <v>457</v>
      </c>
      <c r="C2210" s="247" t="s">
        <v>43</v>
      </c>
      <c r="D2210" s="527" t="s">
        <v>135</v>
      </c>
      <c r="E2210" s="623">
        <v>0.1223644618395303</v>
      </c>
      <c r="F2210" s="250" t="s">
        <v>547</v>
      </c>
      <c r="G2210" s="528" t="s">
        <v>16</v>
      </c>
      <c r="H2210" s="527">
        <v>1</v>
      </c>
      <c r="I2210" s="527">
        <v>2</v>
      </c>
      <c r="J2210" s="527">
        <v>3</v>
      </c>
      <c r="K2210" s="527">
        <v>3</v>
      </c>
      <c r="L2210" s="529">
        <v>3</v>
      </c>
      <c r="M2210" s="626">
        <f t="shared" si="71"/>
        <v>1.123005955058592</v>
      </c>
      <c r="N2210" s="530"/>
    </row>
    <row r="2211" spans="1:14" x14ac:dyDescent="0.2">
      <c r="A2211" s="632" t="s">
        <v>543</v>
      </c>
      <c r="B2211" s="637" t="s">
        <v>457</v>
      </c>
      <c r="C2211" s="247" t="s">
        <v>45</v>
      </c>
      <c r="D2211" s="527" t="s">
        <v>135</v>
      </c>
      <c r="E2211" s="623">
        <v>0.1243421921515562</v>
      </c>
      <c r="F2211" s="250" t="s">
        <v>547</v>
      </c>
      <c r="G2211" s="528" t="s">
        <v>16</v>
      </c>
      <c r="H2211" s="527">
        <v>1</v>
      </c>
      <c r="I2211" s="527">
        <v>2</v>
      </c>
      <c r="J2211" s="527">
        <v>3</v>
      </c>
      <c r="K2211" s="527">
        <v>3</v>
      </c>
      <c r="L2211" s="529">
        <v>3</v>
      </c>
      <c r="M2211" s="626">
        <f t="shared" si="71"/>
        <v>1.123005955058592</v>
      </c>
      <c r="N2211" s="530"/>
    </row>
    <row r="2212" spans="1:14" hidden="1" x14ac:dyDescent="0.2">
      <c r="A2212" s="632" t="s">
        <v>543</v>
      </c>
      <c r="B2212" s="637" t="s">
        <v>457</v>
      </c>
      <c r="C2212" s="247" t="s">
        <v>46</v>
      </c>
      <c r="D2212" s="527" t="s">
        <v>135</v>
      </c>
      <c r="E2212" s="623">
        <v>0.13023477203647421</v>
      </c>
      <c r="F2212" s="250" t="s">
        <v>547</v>
      </c>
      <c r="G2212" s="528" t="s">
        <v>16</v>
      </c>
      <c r="H2212" s="527">
        <v>1</v>
      </c>
      <c r="I2212" s="527">
        <v>2</v>
      </c>
      <c r="J2212" s="527">
        <v>3</v>
      </c>
      <c r="K2212" s="527">
        <v>3</v>
      </c>
      <c r="L2212" s="529">
        <v>3</v>
      </c>
      <c r="M2212" s="626">
        <f t="shared" si="71"/>
        <v>1.123005955058592</v>
      </c>
      <c r="N2212" s="530"/>
    </row>
    <row r="2213" spans="1:14" hidden="1" x14ac:dyDescent="0.2">
      <c r="A2213" s="632" t="s">
        <v>543</v>
      </c>
      <c r="B2213" s="637" t="s">
        <v>457</v>
      </c>
      <c r="C2213" s="247" t="s">
        <v>48</v>
      </c>
      <c r="D2213" s="527" t="s">
        <v>135</v>
      </c>
      <c r="E2213" s="623">
        <v>0.1269597633136095</v>
      </c>
      <c r="F2213" s="250" t="s">
        <v>547</v>
      </c>
      <c r="G2213" s="528" t="s">
        <v>16</v>
      </c>
      <c r="H2213" s="527">
        <v>1</v>
      </c>
      <c r="I2213" s="527">
        <v>2</v>
      </c>
      <c r="J2213" s="527">
        <v>3</v>
      </c>
      <c r="K2213" s="527">
        <v>3</v>
      </c>
      <c r="L2213" s="529">
        <v>3</v>
      </c>
      <c r="M2213" s="626">
        <f t="shared" si="71"/>
        <v>1.123005955058592</v>
      </c>
      <c r="N2213" s="530"/>
    </row>
    <row r="2214" spans="1:14" hidden="1" x14ac:dyDescent="0.2">
      <c r="A2214" s="632" t="s">
        <v>543</v>
      </c>
      <c r="B2214" s="637" t="s">
        <v>457</v>
      </c>
      <c r="C2214" s="247" t="s">
        <v>50</v>
      </c>
      <c r="D2214" s="527" t="s">
        <v>135</v>
      </c>
      <c r="E2214" s="623">
        <v>0.17662691176470591</v>
      </c>
      <c r="F2214" s="250" t="s">
        <v>547</v>
      </c>
      <c r="G2214" s="528" t="s">
        <v>16</v>
      </c>
      <c r="H2214" s="527">
        <v>1</v>
      </c>
      <c r="I2214" s="527">
        <v>2</v>
      </c>
      <c r="J2214" s="527">
        <v>3</v>
      </c>
      <c r="K2214" s="527">
        <v>3</v>
      </c>
      <c r="L2214" s="529">
        <v>3</v>
      </c>
      <c r="M2214" s="626">
        <f t="shared" si="71"/>
        <v>1.123005955058592</v>
      </c>
      <c r="N2214" s="530"/>
    </row>
    <row r="2215" spans="1:14" hidden="1" x14ac:dyDescent="0.2">
      <c r="A2215" s="632" t="s">
        <v>543</v>
      </c>
      <c r="B2215" s="637" t="s">
        <v>457</v>
      </c>
      <c r="C2215" s="247" t="s">
        <v>52</v>
      </c>
      <c r="D2215" s="527" t="s">
        <v>135</v>
      </c>
      <c r="E2215" s="623">
        <v>0.12676173913043479</v>
      </c>
      <c r="F2215" s="250" t="s">
        <v>547</v>
      </c>
      <c r="G2215" s="528" t="s">
        <v>16</v>
      </c>
      <c r="H2215" s="527">
        <v>1</v>
      </c>
      <c r="I2215" s="527">
        <v>2</v>
      </c>
      <c r="J2215" s="527">
        <v>3</v>
      </c>
      <c r="K2215" s="527">
        <v>3</v>
      </c>
      <c r="L2215" s="529">
        <v>3</v>
      </c>
      <c r="M2215" s="626">
        <f t="shared" si="71"/>
        <v>1.123005955058592</v>
      </c>
      <c r="N2215" s="530"/>
    </row>
    <row r="2216" spans="1:14" hidden="1" x14ac:dyDescent="0.2">
      <c r="A2216" s="632" t="s">
        <v>543</v>
      </c>
      <c r="B2216" s="637" t="s">
        <v>457</v>
      </c>
      <c r="C2216" s="247" t="s">
        <v>54</v>
      </c>
      <c r="D2216" s="527" t="s">
        <v>135</v>
      </c>
      <c r="E2216" s="623">
        <v>0.1233088888888889</v>
      </c>
      <c r="F2216" s="250" t="s">
        <v>547</v>
      </c>
      <c r="G2216" s="528" t="s">
        <v>16</v>
      </c>
      <c r="H2216" s="527">
        <v>1</v>
      </c>
      <c r="I2216" s="527">
        <v>2</v>
      </c>
      <c r="J2216" s="527">
        <v>3</v>
      </c>
      <c r="K2216" s="527">
        <v>3</v>
      </c>
      <c r="L2216" s="529">
        <v>3</v>
      </c>
      <c r="M2216" s="626">
        <f t="shared" si="71"/>
        <v>1.123005955058592</v>
      </c>
      <c r="N2216" s="530"/>
    </row>
    <row r="2217" spans="1:14" hidden="1" x14ac:dyDescent="0.2">
      <c r="A2217" s="632" t="s">
        <v>543</v>
      </c>
      <c r="B2217" s="637" t="s">
        <v>457</v>
      </c>
      <c r="C2217" s="247" t="s">
        <v>55</v>
      </c>
      <c r="D2217" s="527" t="s">
        <v>135</v>
      </c>
      <c r="E2217" s="623">
        <v>0.13039519999999999</v>
      </c>
      <c r="F2217" s="250" t="s">
        <v>547</v>
      </c>
      <c r="G2217" s="528" t="s">
        <v>16</v>
      </c>
      <c r="H2217" s="527">
        <v>1</v>
      </c>
      <c r="I2217" s="527">
        <v>2</v>
      </c>
      <c r="J2217" s="527">
        <v>3</v>
      </c>
      <c r="K2217" s="527">
        <v>3</v>
      </c>
      <c r="L2217" s="529">
        <v>3</v>
      </c>
      <c r="M2217" s="626">
        <f t="shared" si="71"/>
        <v>1.123005955058592</v>
      </c>
      <c r="N2217" s="530"/>
    </row>
    <row r="2218" spans="1:14" hidden="1" x14ac:dyDescent="0.2">
      <c r="A2218" s="632" t="s">
        <v>543</v>
      </c>
      <c r="B2218" s="637" t="s">
        <v>457</v>
      </c>
      <c r="C2218" s="247" t="s">
        <v>57</v>
      </c>
      <c r="D2218" s="527" t="s">
        <v>135</v>
      </c>
      <c r="E2218" s="623">
        <v>0.1232807373271889</v>
      </c>
      <c r="F2218" s="250" t="s">
        <v>547</v>
      </c>
      <c r="G2218" s="528" t="s">
        <v>16</v>
      </c>
      <c r="H2218" s="527">
        <v>1</v>
      </c>
      <c r="I2218" s="527">
        <v>2</v>
      </c>
      <c r="J2218" s="527">
        <v>3</v>
      </c>
      <c r="K2218" s="527">
        <v>3</v>
      </c>
      <c r="L2218" s="529">
        <v>3</v>
      </c>
      <c r="M2218" s="626">
        <f t="shared" si="71"/>
        <v>1.123005955058592</v>
      </c>
      <c r="N2218" s="530"/>
    </row>
    <row r="2219" spans="1:14" hidden="1" x14ac:dyDescent="0.2">
      <c r="A2219" s="632" t="s">
        <v>543</v>
      </c>
      <c r="B2219" s="637" t="s">
        <v>457</v>
      </c>
      <c r="C2219" s="247" t="s">
        <v>59</v>
      </c>
      <c r="D2219" s="527" t="s">
        <v>135</v>
      </c>
      <c r="E2219" s="623">
        <v>0.12</v>
      </c>
      <c r="F2219" s="250" t="s">
        <v>547</v>
      </c>
      <c r="G2219" s="528" t="s">
        <v>16</v>
      </c>
      <c r="H2219" s="519">
        <v>1</v>
      </c>
      <c r="I2219" s="527">
        <v>2</v>
      </c>
      <c r="J2219" s="527">
        <v>3</v>
      </c>
      <c r="K2219" s="527">
        <v>3</v>
      </c>
      <c r="L2219" s="529">
        <v>3</v>
      </c>
      <c r="M2219" s="626">
        <f t="shared" si="71"/>
        <v>1.123005955058592</v>
      </c>
      <c r="N2219" s="530"/>
    </row>
    <row r="2220" spans="1:14" hidden="1" x14ac:dyDescent="0.2">
      <c r="A2220" s="632" t="s">
        <v>543</v>
      </c>
      <c r="B2220" s="637" t="s">
        <v>457</v>
      </c>
      <c r="C2220" s="247" t="s">
        <v>60</v>
      </c>
      <c r="D2220" s="527" t="s">
        <v>135</v>
      </c>
      <c r="E2220" s="627">
        <v>0.13002470842332611</v>
      </c>
      <c r="F2220" s="250" t="s">
        <v>547</v>
      </c>
      <c r="G2220" s="528" t="s">
        <v>16</v>
      </c>
      <c r="H2220" s="519">
        <v>1</v>
      </c>
      <c r="I2220" s="519">
        <v>2</v>
      </c>
      <c r="J2220" s="527">
        <v>3</v>
      </c>
      <c r="K2220" s="527">
        <v>3</v>
      </c>
      <c r="L2220" s="529">
        <v>3</v>
      </c>
      <c r="M2220" s="521">
        <f t="shared" si="71"/>
        <v>1.123005955058592</v>
      </c>
      <c r="N2220" s="522"/>
    </row>
    <row r="2221" spans="1:14" x14ac:dyDescent="0.2">
      <c r="A2221" s="638" t="s">
        <v>543</v>
      </c>
      <c r="B2221" s="480" t="s">
        <v>387</v>
      </c>
      <c r="C2221" s="409" t="s">
        <v>135</v>
      </c>
      <c r="D2221" s="384" t="s">
        <v>135</v>
      </c>
      <c r="E2221" s="556" t="s">
        <v>188</v>
      </c>
      <c r="F2221" s="399"/>
      <c r="G2221" s="406" t="s">
        <v>16</v>
      </c>
      <c r="H2221" s="556"/>
      <c r="I2221" s="556"/>
      <c r="J2221" s="556"/>
      <c r="K2221" s="556"/>
      <c r="L2221" s="557"/>
      <c r="M2221" s="558" t="str">
        <f t="shared" si="71"/>
        <v/>
      </c>
      <c r="N2221" s="631"/>
    </row>
    <row r="2222" spans="1:14" hidden="1" x14ac:dyDescent="0.2">
      <c r="A2222" s="635" t="s">
        <v>540</v>
      </c>
      <c r="B2222" s="636" t="s">
        <v>465</v>
      </c>
      <c r="C2222" s="265" t="s">
        <v>13</v>
      </c>
      <c r="D2222" s="321" t="s">
        <v>135</v>
      </c>
      <c r="E2222" s="322">
        <v>0.1734916580310881</v>
      </c>
      <c r="F2222" s="250" t="s">
        <v>547</v>
      </c>
      <c r="G2222" s="528" t="s">
        <v>16</v>
      </c>
      <c r="H2222" s="321">
        <v>1</v>
      </c>
      <c r="I2222" s="321">
        <v>2</v>
      </c>
      <c r="J2222" s="321">
        <v>3</v>
      </c>
      <c r="K2222" s="321">
        <v>3</v>
      </c>
      <c r="L2222" s="325">
        <v>3</v>
      </c>
      <c r="M2222" s="624">
        <f t="shared" si="71"/>
        <v>1.123005955058592</v>
      </c>
      <c r="N2222" s="625"/>
    </row>
    <row r="2223" spans="1:14" hidden="1" x14ac:dyDescent="0.2">
      <c r="A2223" s="632" t="s">
        <v>540</v>
      </c>
      <c r="B2223" s="637" t="s">
        <v>465</v>
      </c>
      <c r="C2223" s="247" t="s">
        <v>18</v>
      </c>
      <c r="D2223" s="527" t="s">
        <v>135</v>
      </c>
      <c r="E2223" s="623">
        <v>0.17547882640586801</v>
      </c>
      <c r="F2223" s="250" t="s">
        <v>547</v>
      </c>
      <c r="G2223" s="528" t="s">
        <v>16</v>
      </c>
      <c r="H2223" s="527">
        <v>1</v>
      </c>
      <c r="I2223" s="527">
        <v>2</v>
      </c>
      <c r="J2223" s="527">
        <v>3</v>
      </c>
      <c r="K2223" s="527">
        <v>3</v>
      </c>
      <c r="L2223" s="529">
        <v>3</v>
      </c>
      <c r="M2223" s="626">
        <f>IF( OR( ISBLANK(H2223),ISBLANK(I2223), ISBLANK(J2223), ISBLANK(K2223), ISBLANK(L2223) ), "", 1.5*SQRT(   EXP(2.21*(H2223-1)) + EXP(2.21*(I2223-1)) + EXP(2.21*(J2223-1)) + EXP(2.21*(K2223-1)) + EXP(2.21*L2223)   )/100*2.45 )</f>
        <v>1.123005955058592</v>
      </c>
      <c r="N2223" s="530"/>
    </row>
    <row r="2224" spans="1:14" hidden="1" x14ac:dyDescent="0.2">
      <c r="A2224" s="632" t="s">
        <v>540</v>
      </c>
      <c r="B2224" s="637" t="s">
        <v>465</v>
      </c>
      <c r="C2224" s="247" t="s">
        <v>20</v>
      </c>
      <c r="D2224" s="527" t="s">
        <v>135</v>
      </c>
      <c r="E2224" s="623">
        <v>0.19254756756756761</v>
      </c>
      <c r="F2224" s="250" t="s">
        <v>547</v>
      </c>
      <c r="G2224" s="528" t="s">
        <v>16</v>
      </c>
      <c r="H2224" s="527">
        <v>1</v>
      </c>
      <c r="I2224" s="527">
        <v>2</v>
      </c>
      <c r="J2224" s="527">
        <v>3</v>
      </c>
      <c r="K2224" s="527">
        <v>3</v>
      </c>
      <c r="L2224" s="529">
        <v>3</v>
      </c>
      <c r="M2224" s="626">
        <f t="shared" ref="M2224:M2252" si="72">IF( OR( ISBLANK(H2224),ISBLANK(I2224), ISBLANK(J2224), ISBLANK(K2224), ISBLANK(L2224) ), "", 1.5*SQRT( EXP(2.21*(H2224-1)) + EXP(2.21*(I2224-1)) + EXP(2.21*(J2224-1)) + EXP(2.21*(K2224-1)) + EXP(2.21*L2224) )/100*2.45 )</f>
        <v>1.123005955058592</v>
      </c>
      <c r="N2224" s="530"/>
    </row>
    <row r="2225" spans="1:14" hidden="1" x14ac:dyDescent="0.2">
      <c r="A2225" s="632" t="s">
        <v>540</v>
      </c>
      <c r="B2225" s="637" t="s">
        <v>465</v>
      </c>
      <c r="C2225" s="247" t="s">
        <v>22</v>
      </c>
      <c r="D2225" s="527" t="s">
        <v>135</v>
      </c>
      <c r="E2225" s="623">
        <v>0.18756335648148151</v>
      </c>
      <c r="F2225" s="250" t="s">
        <v>547</v>
      </c>
      <c r="G2225" s="528" t="s">
        <v>16</v>
      </c>
      <c r="H2225" s="527">
        <v>1</v>
      </c>
      <c r="I2225" s="527">
        <v>2</v>
      </c>
      <c r="J2225" s="527">
        <v>3</v>
      </c>
      <c r="K2225" s="527">
        <v>3</v>
      </c>
      <c r="L2225" s="529">
        <v>3</v>
      </c>
      <c r="M2225" s="626">
        <f t="shared" si="72"/>
        <v>1.123005955058592</v>
      </c>
      <c r="N2225" s="530"/>
    </row>
    <row r="2226" spans="1:14" hidden="1" x14ac:dyDescent="0.2">
      <c r="A2226" s="632" t="s">
        <v>540</v>
      </c>
      <c r="B2226" s="637" t="s">
        <v>465</v>
      </c>
      <c r="C2226" s="247" t="s">
        <v>23</v>
      </c>
      <c r="D2226" s="527" t="s">
        <v>135</v>
      </c>
      <c r="E2226" s="623">
        <v>0.19490764705882349</v>
      </c>
      <c r="F2226" s="250" t="s">
        <v>547</v>
      </c>
      <c r="G2226" s="528" t="s">
        <v>16</v>
      </c>
      <c r="H2226" s="527">
        <v>1</v>
      </c>
      <c r="I2226" s="527">
        <v>2</v>
      </c>
      <c r="J2226" s="527">
        <v>3</v>
      </c>
      <c r="K2226" s="527">
        <v>3</v>
      </c>
      <c r="L2226" s="529">
        <v>3</v>
      </c>
      <c r="M2226" s="626">
        <f t="shared" si="72"/>
        <v>1.123005955058592</v>
      </c>
      <c r="N2226" s="530"/>
    </row>
    <row r="2227" spans="1:14" hidden="1" x14ac:dyDescent="0.2">
      <c r="A2227" s="632" t="s">
        <v>540</v>
      </c>
      <c r="B2227" s="637" t="s">
        <v>465</v>
      </c>
      <c r="C2227" s="247" t="s">
        <v>24</v>
      </c>
      <c r="D2227" s="527" t="s">
        <v>135</v>
      </c>
      <c r="E2227" s="623">
        <v>0.1788218421052632</v>
      </c>
      <c r="F2227" s="250" t="s">
        <v>547</v>
      </c>
      <c r="G2227" s="528" t="s">
        <v>16</v>
      </c>
      <c r="H2227" s="527">
        <v>1</v>
      </c>
      <c r="I2227" s="527">
        <v>2</v>
      </c>
      <c r="J2227" s="527">
        <v>3</v>
      </c>
      <c r="K2227" s="527">
        <v>3</v>
      </c>
      <c r="L2227" s="529">
        <v>3</v>
      </c>
      <c r="M2227" s="626">
        <f t="shared" si="72"/>
        <v>1.123005955058592</v>
      </c>
      <c r="N2227" s="530"/>
    </row>
    <row r="2228" spans="1:14" hidden="1" x14ac:dyDescent="0.2">
      <c r="A2228" s="632" t="s">
        <v>540</v>
      </c>
      <c r="B2228" s="637" t="s">
        <v>465</v>
      </c>
      <c r="C2228" s="247" t="s">
        <v>25</v>
      </c>
      <c r="D2228" s="527" t="s">
        <v>135</v>
      </c>
      <c r="E2228" s="623">
        <v>0.1724868918918919</v>
      </c>
      <c r="F2228" s="250" t="s">
        <v>547</v>
      </c>
      <c r="G2228" s="528" t="s">
        <v>16</v>
      </c>
      <c r="H2228" s="527">
        <v>1</v>
      </c>
      <c r="I2228" s="527">
        <v>2</v>
      </c>
      <c r="J2228" s="527">
        <v>3</v>
      </c>
      <c r="K2228" s="527">
        <v>3</v>
      </c>
      <c r="L2228" s="529">
        <v>3</v>
      </c>
      <c r="M2228" s="626">
        <f t="shared" si="72"/>
        <v>1.123005955058592</v>
      </c>
      <c r="N2228" s="530"/>
    </row>
    <row r="2229" spans="1:14" hidden="1" x14ac:dyDescent="0.2">
      <c r="A2229" s="632" t="s">
        <v>540</v>
      </c>
      <c r="B2229" s="637" t="s">
        <v>465</v>
      </c>
      <c r="C2229" s="247" t="s">
        <v>26</v>
      </c>
      <c r="D2229" s="527" t="s">
        <v>135</v>
      </c>
      <c r="E2229" s="623">
        <v>0.2122284938271605</v>
      </c>
      <c r="F2229" s="250" t="s">
        <v>547</v>
      </c>
      <c r="G2229" s="528" t="s">
        <v>16</v>
      </c>
      <c r="H2229" s="527">
        <v>1</v>
      </c>
      <c r="I2229" s="527">
        <v>2</v>
      </c>
      <c r="J2229" s="527">
        <v>3</v>
      </c>
      <c r="K2229" s="527">
        <v>3</v>
      </c>
      <c r="L2229" s="529">
        <v>3</v>
      </c>
      <c r="M2229" s="626">
        <f t="shared" si="72"/>
        <v>1.123005955058592</v>
      </c>
      <c r="N2229" s="530"/>
    </row>
    <row r="2230" spans="1:14" hidden="1" x14ac:dyDescent="0.2">
      <c r="A2230" s="632" t="s">
        <v>540</v>
      </c>
      <c r="B2230" s="637" t="s">
        <v>465</v>
      </c>
      <c r="C2230" s="247" t="s">
        <v>27</v>
      </c>
      <c r="D2230" s="527" t="s">
        <v>135</v>
      </c>
      <c r="E2230" s="623">
        <v>0.17118834845735029</v>
      </c>
      <c r="F2230" s="250" t="s">
        <v>547</v>
      </c>
      <c r="G2230" s="528" t="s">
        <v>16</v>
      </c>
      <c r="H2230" s="527">
        <v>1</v>
      </c>
      <c r="I2230" s="527">
        <v>2</v>
      </c>
      <c r="J2230" s="527">
        <v>3</v>
      </c>
      <c r="K2230" s="527">
        <v>3</v>
      </c>
      <c r="L2230" s="529">
        <v>3</v>
      </c>
      <c r="M2230" s="626">
        <f t="shared" si="72"/>
        <v>1.123005955058592</v>
      </c>
      <c r="N2230" s="530"/>
    </row>
    <row r="2231" spans="1:14" hidden="1" x14ac:dyDescent="0.2">
      <c r="A2231" s="632" t="s">
        <v>540</v>
      </c>
      <c r="B2231" s="637" t="s">
        <v>465</v>
      </c>
      <c r="C2231" s="247" t="s">
        <v>28</v>
      </c>
      <c r="D2231" s="527" t="s">
        <v>135</v>
      </c>
      <c r="E2231" s="623">
        <v>0.17734899461400361</v>
      </c>
      <c r="F2231" s="250" t="s">
        <v>547</v>
      </c>
      <c r="G2231" s="528" t="s">
        <v>16</v>
      </c>
      <c r="H2231" s="527">
        <v>1</v>
      </c>
      <c r="I2231" s="527">
        <v>2</v>
      </c>
      <c r="J2231" s="527">
        <v>3</v>
      </c>
      <c r="K2231" s="527">
        <v>3</v>
      </c>
      <c r="L2231" s="529">
        <v>3</v>
      </c>
      <c r="M2231" s="626">
        <f t="shared" si="72"/>
        <v>1.123005955058592</v>
      </c>
      <c r="N2231" s="530"/>
    </row>
    <row r="2232" spans="1:14" hidden="1" x14ac:dyDescent="0.2">
      <c r="A2232" s="632" t="s">
        <v>540</v>
      </c>
      <c r="B2232" s="637" t="s">
        <v>465</v>
      </c>
      <c r="C2232" s="247" t="s">
        <v>30</v>
      </c>
      <c r="D2232" s="527" t="s">
        <v>135</v>
      </c>
      <c r="E2232" s="623">
        <v>0.17396551155115511</v>
      </c>
      <c r="F2232" s="250" t="s">
        <v>547</v>
      </c>
      <c r="G2232" s="528" t="s">
        <v>16</v>
      </c>
      <c r="H2232" s="527">
        <v>1</v>
      </c>
      <c r="I2232" s="527">
        <v>2</v>
      </c>
      <c r="J2232" s="527">
        <v>3</v>
      </c>
      <c r="K2232" s="527">
        <v>3</v>
      </c>
      <c r="L2232" s="529">
        <v>3</v>
      </c>
      <c r="M2232" s="626">
        <f t="shared" si="72"/>
        <v>1.123005955058592</v>
      </c>
      <c r="N2232" s="530"/>
    </row>
    <row r="2233" spans="1:14" hidden="1" x14ac:dyDescent="0.2">
      <c r="A2233" s="632" t="s">
        <v>540</v>
      </c>
      <c r="B2233" s="637" t="s">
        <v>465</v>
      </c>
      <c r="C2233" s="247" t="s">
        <v>32</v>
      </c>
      <c r="D2233" s="527" t="s">
        <v>135</v>
      </c>
      <c r="E2233" s="623">
        <v>0.18501669902912621</v>
      </c>
      <c r="F2233" s="250" t="s">
        <v>547</v>
      </c>
      <c r="G2233" s="528" t="s">
        <v>16</v>
      </c>
      <c r="H2233" s="527">
        <v>1</v>
      </c>
      <c r="I2233" s="527">
        <v>2</v>
      </c>
      <c r="J2233" s="527">
        <v>3</v>
      </c>
      <c r="K2233" s="527">
        <v>3</v>
      </c>
      <c r="L2233" s="529">
        <v>3</v>
      </c>
      <c r="M2233" s="626">
        <f t="shared" si="72"/>
        <v>1.123005955058592</v>
      </c>
      <c r="N2233" s="530"/>
    </row>
    <row r="2234" spans="1:14" hidden="1" x14ac:dyDescent="0.2">
      <c r="A2234" s="632" t="s">
        <v>540</v>
      </c>
      <c r="B2234" s="637" t="s">
        <v>465</v>
      </c>
      <c r="C2234" s="247" t="s">
        <v>34</v>
      </c>
      <c r="D2234" s="527" t="s">
        <v>135</v>
      </c>
      <c r="E2234" s="623">
        <v>0.18917779527559059</v>
      </c>
      <c r="F2234" s="250" t="s">
        <v>547</v>
      </c>
      <c r="G2234" s="528" t="s">
        <v>16</v>
      </c>
      <c r="H2234" s="527">
        <v>1</v>
      </c>
      <c r="I2234" s="527">
        <v>2</v>
      </c>
      <c r="J2234" s="527">
        <v>3</v>
      </c>
      <c r="K2234" s="527">
        <v>3</v>
      </c>
      <c r="L2234" s="529">
        <v>3</v>
      </c>
      <c r="M2234" s="626">
        <f t="shared" si="72"/>
        <v>1.123005955058592</v>
      </c>
      <c r="N2234" s="530"/>
    </row>
    <row r="2235" spans="1:14" hidden="1" x14ac:dyDescent="0.2">
      <c r="A2235" s="632" t="s">
        <v>540</v>
      </c>
      <c r="B2235" s="637" t="s">
        <v>465</v>
      </c>
      <c r="C2235" s="247" t="s">
        <v>36</v>
      </c>
      <c r="D2235" s="527" t="s">
        <v>135</v>
      </c>
      <c r="E2235" s="623">
        <v>0.18835635327635331</v>
      </c>
      <c r="F2235" s="250" t="s">
        <v>547</v>
      </c>
      <c r="G2235" s="528" t="s">
        <v>16</v>
      </c>
      <c r="H2235" s="527">
        <v>1</v>
      </c>
      <c r="I2235" s="527">
        <v>2</v>
      </c>
      <c r="J2235" s="527">
        <v>3</v>
      </c>
      <c r="K2235" s="527">
        <v>3</v>
      </c>
      <c r="L2235" s="529">
        <v>3</v>
      </c>
      <c r="M2235" s="626">
        <f t="shared" si="72"/>
        <v>1.123005955058592</v>
      </c>
      <c r="N2235" s="530"/>
    </row>
    <row r="2236" spans="1:14" hidden="1" x14ac:dyDescent="0.2">
      <c r="A2236" s="632" t="s">
        <v>540</v>
      </c>
      <c r="B2236" s="637" t="s">
        <v>465</v>
      </c>
      <c r="C2236" s="247" t="s">
        <v>37</v>
      </c>
      <c r="D2236" s="527" t="s">
        <v>135</v>
      </c>
      <c r="E2236" s="623">
        <v>0.26</v>
      </c>
      <c r="F2236" s="250" t="s">
        <v>547</v>
      </c>
      <c r="G2236" s="528" t="s">
        <v>16</v>
      </c>
      <c r="H2236" s="527">
        <v>1</v>
      </c>
      <c r="I2236" s="527">
        <v>2</v>
      </c>
      <c r="J2236" s="527">
        <v>3</v>
      </c>
      <c r="K2236" s="527">
        <v>3</v>
      </c>
      <c r="L2236" s="529">
        <v>3</v>
      </c>
      <c r="M2236" s="626">
        <f t="shared" si="72"/>
        <v>1.123005955058592</v>
      </c>
      <c r="N2236" s="530"/>
    </row>
    <row r="2237" spans="1:14" hidden="1" x14ac:dyDescent="0.2">
      <c r="A2237" s="632" t="s">
        <v>540</v>
      </c>
      <c r="B2237" s="637" t="s">
        <v>465</v>
      </c>
      <c r="C2237" s="247" t="s">
        <v>39</v>
      </c>
      <c r="D2237" s="527" t="s">
        <v>135</v>
      </c>
      <c r="E2237" s="623">
        <v>0.21200034398034401</v>
      </c>
      <c r="F2237" s="250" t="s">
        <v>547</v>
      </c>
      <c r="G2237" s="528" t="s">
        <v>16</v>
      </c>
      <c r="H2237" s="527">
        <v>1</v>
      </c>
      <c r="I2237" s="527">
        <v>2</v>
      </c>
      <c r="J2237" s="527">
        <v>3</v>
      </c>
      <c r="K2237" s="527">
        <v>3</v>
      </c>
      <c r="L2237" s="529">
        <v>3</v>
      </c>
      <c r="M2237" s="626">
        <f t="shared" si="72"/>
        <v>1.123005955058592</v>
      </c>
      <c r="N2237" s="530"/>
    </row>
    <row r="2238" spans="1:14" hidden="1" x14ac:dyDescent="0.2">
      <c r="A2238" s="632" t="s">
        <v>540</v>
      </c>
      <c r="B2238" s="637" t="s">
        <v>465</v>
      </c>
      <c r="C2238" s="247" t="s">
        <v>40</v>
      </c>
      <c r="D2238" s="527" t="s">
        <v>135</v>
      </c>
      <c r="E2238" s="623">
        <v>0.18073021551724139</v>
      </c>
      <c r="F2238" s="250" t="s">
        <v>547</v>
      </c>
      <c r="G2238" s="528" t="s">
        <v>16</v>
      </c>
      <c r="H2238" s="527">
        <v>1</v>
      </c>
      <c r="I2238" s="527">
        <v>2</v>
      </c>
      <c r="J2238" s="527">
        <v>3</v>
      </c>
      <c r="K2238" s="527">
        <v>3</v>
      </c>
      <c r="L2238" s="529">
        <v>3</v>
      </c>
      <c r="M2238" s="626">
        <f t="shared" si="72"/>
        <v>1.123005955058592</v>
      </c>
      <c r="N2238" s="530"/>
    </row>
    <row r="2239" spans="1:14" hidden="1" x14ac:dyDescent="0.2">
      <c r="A2239" s="632" t="s">
        <v>540</v>
      </c>
      <c r="B2239" s="637" t="s">
        <v>465</v>
      </c>
      <c r="C2239" s="247" t="s">
        <v>41</v>
      </c>
      <c r="D2239" s="527" t="s">
        <v>135</v>
      </c>
      <c r="E2239" s="623">
        <v>0.17257849315068491</v>
      </c>
      <c r="F2239" s="250" t="s">
        <v>547</v>
      </c>
      <c r="G2239" s="528" t="s">
        <v>16</v>
      </c>
      <c r="H2239" s="527">
        <v>1</v>
      </c>
      <c r="I2239" s="527">
        <v>2</v>
      </c>
      <c r="J2239" s="527">
        <v>3</v>
      </c>
      <c r="K2239" s="527">
        <v>3</v>
      </c>
      <c r="L2239" s="529">
        <v>3</v>
      </c>
      <c r="M2239" s="626">
        <f t="shared" si="72"/>
        <v>1.123005955058592</v>
      </c>
      <c r="N2239" s="530"/>
    </row>
    <row r="2240" spans="1:14" hidden="1" x14ac:dyDescent="0.2">
      <c r="A2240" s="632" t="s">
        <v>540</v>
      </c>
      <c r="B2240" s="637" t="s">
        <v>465</v>
      </c>
      <c r="C2240" s="247" t="s">
        <v>42</v>
      </c>
      <c r="D2240" s="527" t="s">
        <v>135</v>
      </c>
      <c r="E2240" s="623">
        <v>0.19893593749999999</v>
      </c>
      <c r="F2240" s="250" t="s">
        <v>547</v>
      </c>
      <c r="G2240" s="528" t="s">
        <v>16</v>
      </c>
      <c r="H2240" s="527">
        <v>1</v>
      </c>
      <c r="I2240" s="527">
        <v>2</v>
      </c>
      <c r="J2240" s="527">
        <v>3</v>
      </c>
      <c r="K2240" s="527">
        <v>3</v>
      </c>
      <c r="L2240" s="529">
        <v>3</v>
      </c>
      <c r="M2240" s="626">
        <f t="shared" si="72"/>
        <v>1.123005955058592</v>
      </c>
      <c r="N2240" s="530"/>
    </row>
    <row r="2241" spans="1:14" hidden="1" x14ac:dyDescent="0.2">
      <c r="A2241" s="632" t="s">
        <v>540</v>
      </c>
      <c r="B2241" s="637" t="s">
        <v>465</v>
      </c>
      <c r="C2241" s="247" t="s">
        <v>43</v>
      </c>
      <c r="D2241" s="527" t="s">
        <v>135</v>
      </c>
      <c r="E2241" s="623">
        <v>0.1735468493150685</v>
      </c>
      <c r="F2241" s="250" t="s">
        <v>547</v>
      </c>
      <c r="G2241" s="528" t="s">
        <v>16</v>
      </c>
      <c r="H2241" s="527">
        <v>1</v>
      </c>
      <c r="I2241" s="527">
        <v>2</v>
      </c>
      <c r="J2241" s="527">
        <v>3</v>
      </c>
      <c r="K2241" s="527">
        <v>3</v>
      </c>
      <c r="L2241" s="529">
        <v>3</v>
      </c>
      <c r="M2241" s="626">
        <f t="shared" si="72"/>
        <v>1.123005955058592</v>
      </c>
      <c r="N2241" s="530"/>
    </row>
    <row r="2242" spans="1:14" x14ac:dyDescent="0.2">
      <c r="A2242" s="632" t="s">
        <v>540</v>
      </c>
      <c r="B2242" s="637" t="s">
        <v>465</v>
      </c>
      <c r="C2242" s="247" t="s">
        <v>45</v>
      </c>
      <c r="D2242" s="527" t="s">
        <v>135</v>
      </c>
      <c r="E2242" s="623">
        <v>0.17651350473612989</v>
      </c>
      <c r="F2242" s="250" t="s">
        <v>547</v>
      </c>
      <c r="G2242" s="528" t="s">
        <v>16</v>
      </c>
      <c r="H2242" s="527">
        <v>1</v>
      </c>
      <c r="I2242" s="527">
        <v>2</v>
      </c>
      <c r="J2242" s="527">
        <v>3</v>
      </c>
      <c r="K2242" s="527">
        <v>3</v>
      </c>
      <c r="L2242" s="529">
        <v>3</v>
      </c>
      <c r="M2242" s="626">
        <f t="shared" si="72"/>
        <v>1.123005955058592</v>
      </c>
      <c r="N2242" s="530"/>
    </row>
    <row r="2243" spans="1:14" hidden="1" x14ac:dyDescent="0.2">
      <c r="A2243" s="632" t="s">
        <v>540</v>
      </c>
      <c r="B2243" s="637" t="s">
        <v>465</v>
      </c>
      <c r="C2243" s="247" t="s">
        <v>46</v>
      </c>
      <c r="D2243" s="527" t="s">
        <v>135</v>
      </c>
      <c r="E2243" s="623">
        <v>0.18535255319148941</v>
      </c>
      <c r="F2243" s="250" t="s">
        <v>547</v>
      </c>
      <c r="G2243" s="528" t="s">
        <v>16</v>
      </c>
      <c r="H2243" s="527">
        <v>1</v>
      </c>
      <c r="I2243" s="527">
        <v>2</v>
      </c>
      <c r="J2243" s="527">
        <v>3</v>
      </c>
      <c r="K2243" s="527">
        <v>3</v>
      </c>
      <c r="L2243" s="529">
        <v>3</v>
      </c>
      <c r="M2243" s="626">
        <f t="shared" si="72"/>
        <v>1.123005955058592</v>
      </c>
      <c r="N2243" s="530"/>
    </row>
    <row r="2244" spans="1:14" hidden="1" x14ac:dyDescent="0.2">
      <c r="A2244" s="632" t="s">
        <v>540</v>
      </c>
      <c r="B2244" s="637" t="s">
        <v>465</v>
      </c>
      <c r="C2244" s="247" t="s">
        <v>48</v>
      </c>
      <c r="D2244" s="527" t="s">
        <v>135</v>
      </c>
      <c r="E2244" s="623">
        <v>0.1804399408284024</v>
      </c>
      <c r="F2244" s="250" t="s">
        <v>547</v>
      </c>
      <c r="G2244" s="528" t="s">
        <v>16</v>
      </c>
      <c r="H2244" s="527">
        <v>1</v>
      </c>
      <c r="I2244" s="527">
        <v>2</v>
      </c>
      <c r="J2244" s="527">
        <v>3</v>
      </c>
      <c r="K2244" s="527">
        <v>3</v>
      </c>
      <c r="L2244" s="529">
        <v>3</v>
      </c>
      <c r="M2244" s="626">
        <f t="shared" si="72"/>
        <v>1.123005955058592</v>
      </c>
      <c r="N2244" s="530"/>
    </row>
    <row r="2245" spans="1:14" hidden="1" x14ac:dyDescent="0.2">
      <c r="A2245" s="632" t="s">
        <v>540</v>
      </c>
      <c r="B2245" s="637" t="s">
        <v>465</v>
      </c>
      <c r="C2245" s="247" t="s">
        <v>50</v>
      </c>
      <c r="D2245" s="527" t="s">
        <v>135</v>
      </c>
      <c r="E2245" s="623">
        <v>0.25494216911764711</v>
      </c>
      <c r="F2245" s="250" t="s">
        <v>547</v>
      </c>
      <c r="G2245" s="528" t="s">
        <v>16</v>
      </c>
      <c r="H2245" s="527">
        <v>1</v>
      </c>
      <c r="I2245" s="527">
        <v>2</v>
      </c>
      <c r="J2245" s="527">
        <v>3</v>
      </c>
      <c r="K2245" s="527">
        <v>3</v>
      </c>
      <c r="L2245" s="529">
        <v>3</v>
      </c>
      <c r="M2245" s="626">
        <f t="shared" si="72"/>
        <v>1.123005955058592</v>
      </c>
      <c r="N2245" s="530"/>
    </row>
    <row r="2246" spans="1:14" hidden="1" x14ac:dyDescent="0.2">
      <c r="A2246" s="632" t="s">
        <v>540</v>
      </c>
      <c r="B2246" s="637" t="s">
        <v>465</v>
      </c>
      <c r="C2246" s="247" t="s">
        <v>52</v>
      </c>
      <c r="D2246" s="527" t="s">
        <v>135</v>
      </c>
      <c r="E2246" s="623">
        <v>0.1801428985507246</v>
      </c>
      <c r="F2246" s="250" t="s">
        <v>547</v>
      </c>
      <c r="G2246" s="528" t="s">
        <v>16</v>
      </c>
      <c r="H2246" s="527">
        <v>1</v>
      </c>
      <c r="I2246" s="527">
        <v>2</v>
      </c>
      <c r="J2246" s="527">
        <v>3</v>
      </c>
      <c r="K2246" s="527">
        <v>3</v>
      </c>
      <c r="L2246" s="529">
        <v>3</v>
      </c>
      <c r="M2246" s="626">
        <f t="shared" si="72"/>
        <v>1.123005955058592</v>
      </c>
      <c r="N2246" s="530"/>
    </row>
    <row r="2247" spans="1:14" hidden="1" x14ac:dyDescent="0.2">
      <c r="A2247" s="632" t="s">
        <v>540</v>
      </c>
      <c r="B2247" s="637" t="s">
        <v>465</v>
      </c>
      <c r="C2247" s="247" t="s">
        <v>54</v>
      </c>
      <c r="D2247" s="527" t="s">
        <v>135</v>
      </c>
      <c r="E2247" s="623">
        <v>0.17496351851851849</v>
      </c>
      <c r="F2247" s="250" t="s">
        <v>547</v>
      </c>
      <c r="G2247" s="528" t="s">
        <v>16</v>
      </c>
      <c r="H2247" s="527">
        <v>1</v>
      </c>
      <c r="I2247" s="527">
        <v>2</v>
      </c>
      <c r="J2247" s="527">
        <v>3</v>
      </c>
      <c r="K2247" s="527">
        <v>3</v>
      </c>
      <c r="L2247" s="529">
        <v>3</v>
      </c>
      <c r="M2247" s="626">
        <f t="shared" si="72"/>
        <v>1.123005955058592</v>
      </c>
      <c r="N2247" s="530"/>
    </row>
    <row r="2248" spans="1:14" hidden="1" x14ac:dyDescent="0.2">
      <c r="A2248" s="632" t="s">
        <v>540</v>
      </c>
      <c r="B2248" s="637" t="s">
        <v>465</v>
      </c>
      <c r="C2248" s="247" t="s">
        <v>55</v>
      </c>
      <c r="D2248" s="527" t="s">
        <v>135</v>
      </c>
      <c r="E2248" s="623">
        <v>0.18559320000000001</v>
      </c>
      <c r="F2248" s="250" t="s">
        <v>547</v>
      </c>
      <c r="G2248" s="528" t="s">
        <v>16</v>
      </c>
      <c r="H2248" s="527">
        <v>1</v>
      </c>
      <c r="I2248" s="527">
        <v>2</v>
      </c>
      <c r="J2248" s="527">
        <v>3</v>
      </c>
      <c r="K2248" s="527">
        <v>3</v>
      </c>
      <c r="L2248" s="529">
        <v>3</v>
      </c>
      <c r="M2248" s="626">
        <f t="shared" si="72"/>
        <v>1.123005955058592</v>
      </c>
      <c r="N2248" s="530"/>
    </row>
    <row r="2249" spans="1:14" hidden="1" x14ac:dyDescent="0.2">
      <c r="A2249" s="632" t="s">
        <v>540</v>
      </c>
      <c r="B2249" s="637" t="s">
        <v>465</v>
      </c>
      <c r="C2249" s="247" t="s">
        <v>57</v>
      </c>
      <c r="D2249" s="527" t="s">
        <v>135</v>
      </c>
      <c r="E2249" s="623">
        <v>0.17492129032258061</v>
      </c>
      <c r="F2249" s="250" t="s">
        <v>547</v>
      </c>
      <c r="G2249" s="528" t="s">
        <v>16</v>
      </c>
      <c r="H2249" s="527">
        <v>1</v>
      </c>
      <c r="I2249" s="527">
        <v>2</v>
      </c>
      <c r="J2249" s="527">
        <v>3</v>
      </c>
      <c r="K2249" s="527">
        <v>3</v>
      </c>
      <c r="L2249" s="529">
        <v>3</v>
      </c>
      <c r="M2249" s="626">
        <f t="shared" si="72"/>
        <v>1.123005955058592</v>
      </c>
      <c r="N2249" s="530"/>
    </row>
    <row r="2250" spans="1:14" hidden="1" x14ac:dyDescent="0.2">
      <c r="A2250" s="632" t="s">
        <v>540</v>
      </c>
      <c r="B2250" s="637" t="s">
        <v>465</v>
      </c>
      <c r="C2250" s="247" t="s">
        <v>59</v>
      </c>
      <c r="D2250" s="527" t="s">
        <v>135</v>
      </c>
      <c r="E2250" s="623">
        <v>0.17</v>
      </c>
      <c r="F2250" s="250" t="s">
        <v>547</v>
      </c>
      <c r="G2250" s="528" t="s">
        <v>16</v>
      </c>
      <c r="H2250" s="519">
        <v>1</v>
      </c>
      <c r="I2250" s="527">
        <v>2</v>
      </c>
      <c r="J2250" s="527">
        <v>3</v>
      </c>
      <c r="K2250" s="527">
        <v>3</v>
      </c>
      <c r="L2250" s="529">
        <v>3</v>
      </c>
      <c r="M2250" s="626">
        <f t="shared" si="72"/>
        <v>1.123005955058592</v>
      </c>
      <c r="N2250" s="530"/>
    </row>
    <row r="2251" spans="1:14" hidden="1" x14ac:dyDescent="0.2">
      <c r="A2251" s="632" t="s">
        <v>540</v>
      </c>
      <c r="B2251" s="637" t="s">
        <v>465</v>
      </c>
      <c r="C2251" s="247" t="s">
        <v>60</v>
      </c>
      <c r="D2251" s="527" t="s">
        <v>135</v>
      </c>
      <c r="E2251" s="627">
        <v>0.18503745140388769</v>
      </c>
      <c r="F2251" s="250" t="s">
        <v>547</v>
      </c>
      <c r="G2251" s="528" t="s">
        <v>16</v>
      </c>
      <c r="H2251" s="519">
        <v>1</v>
      </c>
      <c r="I2251" s="519">
        <v>2</v>
      </c>
      <c r="J2251" s="527">
        <v>3</v>
      </c>
      <c r="K2251" s="527">
        <v>3</v>
      </c>
      <c r="L2251" s="529">
        <v>3</v>
      </c>
      <c r="M2251" s="521">
        <f t="shared" si="72"/>
        <v>1.123005955058592</v>
      </c>
      <c r="N2251" s="522"/>
    </row>
    <row r="2252" spans="1:14" x14ac:dyDescent="0.2">
      <c r="A2252" s="638" t="s">
        <v>540</v>
      </c>
      <c r="B2252" s="480" t="s">
        <v>387</v>
      </c>
      <c r="C2252" s="409" t="s">
        <v>135</v>
      </c>
      <c r="D2252" s="384" t="s">
        <v>135</v>
      </c>
      <c r="E2252" s="556" t="s">
        <v>188</v>
      </c>
      <c r="F2252" s="399"/>
      <c r="G2252" s="406" t="s">
        <v>16</v>
      </c>
      <c r="H2252" s="556"/>
      <c r="I2252" s="556"/>
      <c r="J2252" s="556"/>
      <c r="K2252" s="556"/>
      <c r="L2252" s="557"/>
      <c r="M2252" s="558" t="str">
        <f t="shared" si="72"/>
        <v/>
      </c>
      <c r="N2252" s="631"/>
    </row>
    <row r="2253" spans="1:14" hidden="1" x14ac:dyDescent="0.2">
      <c r="A2253" s="635" t="s">
        <v>545</v>
      </c>
      <c r="B2253" s="636" t="s">
        <v>539</v>
      </c>
      <c r="C2253" s="265" t="s">
        <v>13</v>
      </c>
      <c r="D2253" s="321" t="s">
        <v>135</v>
      </c>
      <c r="E2253" s="634">
        <v>0</v>
      </c>
      <c r="F2253" s="250"/>
      <c r="G2253" s="251" t="s">
        <v>16</v>
      </c>
      <c r="H2253" s="478"/>
      <c r="I2253" s="478"/>
      <c r="J2253" s="478"/>
      <c r="K2253" s="478"/>
      <c r="L2253" s="471"/>
      <c r="M2253" s="456"/>
      <c r="N2253" s="625"/>
    </row>
    <row r="2254" spans="1:14" hidden="1" x14ac:dyDescent="0.2">
      <c r="A2254" s="632" t="s">
        <v>545</v>
      </c>
      <c r="B2254" s="637" t="s">
        <v>539</v>
      </c>
      <c r="C2254" s="247" t="s">
        <v>18</v>
      </c>
      <c r="D2254" s="527" t="s">
        <v>135</v>
      </c>
      <c r="E2254" s="623">
        <v>0.13912266503667481</v>
      </c>
      <c r="F2254" s="250" t="s">
        <v>133</v>
      </c>
      <c r="G2254" s="528"/>
      <c r="H2254" s="527">
        <v>1</v>
      </c>
      <c r="I2254" s="527">
        <v>2</v>
      </c>
      <c r="J2254" s="527">
        <v>3</v>
      </c>
      <c r="K2254" s="527">
        <v>3</v>
      </c>
      <c r="L2254" s="529">
        <v>3</v>
      </c>
      <c r="M2254" s="626">
        <f>IF( OR( ISBLANK(H2254),ISBLANK(I2254), ISBLANK(J2254), ISBLANK(K2254), ISBLANK(L2254) ), "", 1.5*SQRT(   EXP(2.21*(H2254-1)) + EXP(2.21*(I2254-1)) + EXP(2.21*(J2254-1)) + EXP(2.21*(K2254-1)) + EXP(2.21*L2254)   )/100*2.45 )</f>
        <v>1.123005955058592</v>
      </c>
      <c r="N2254" s="530"/>
    </row>
    <row r="2255" spans="1:14" hidden="1" x14ac:dyDescent="0.2">
      <c r="A2255" s="632" t="s">
        <v>545</v>
      </c>
      <c r="B2255" s="637" t="s">
        <v>539</v>
      </c>
      <c r="C2255" s="247" t="s">
        <v>20</v>
      </c>
      <c r="D2255" s="527" t="s">
        <v>135</v>
      </c>
      <c r="E2255" s="623">
        <v>0.1519481081081081</v>
      </c>
      <c r="F2255" s="250" t="s">
        <v>133</v>
      </c>
      <c r="G2255" s="528"/>
      <c r="H2255" s="527">
        <v>1</v>
      </c>
      <c r="I2255" s="527">
        <v>2</v>
      </c>
      <c r="J2255" s="527">
        <v>3</v>
      </c>
      <c r="K2255" s="527">
        <v>3</v>
      </c>
      <c r="L2255" s="529">
        <v>3</v>
      </c>
      <c r="M2255" s="626">
        <f>IF( OR( ISBLANK(H2255),ISBLANK(I2255), ISBLANK(J2255), ISBLANK(K2255), ISBLANK(L2255) ), "", 1.5*SQRT(   EXP(2.21*(H2255-1)) + EXP(2.21*(I2255-1)) + EXP(2.21*(J2255-1)) + EXP(2.21*(K2255-1)) + EXP(2.21*L2255)   )/100*2.45 )</f>
        <v>1.123005955058592</v>
      </c>
      <c r="N2255" s="530"/>
    </row>
    <row r="2256" spans="1:14" hidden="1" x14ac:dyDescent="0.2">
      <c r="A2256" s="632" t="s">
        <v>545</v>
      </c>
      <c r="B2256" s="637" t="s">
        <v>539</v>
      </c>
      <c r="C2256" s="247" t="s">
        <v>22</v>
      </c>
      <c r="D2256" s="527" t="s">
        <v>135</v>
      </c>
      <c r="E2256" s="623">
        <v>0.14820297453703701</v>
      </c>
      <c r="F2256" s="250" t="s">
        <v>133</v>
      </c>
      <c r="G2256" s="528"/>
      <c r="H2256" s="527">
        <v>1</v>
      </c>
      <c r="I2256" s="527">
        <v>2</v>
      </c>
      <c r="J2256" s="527">
        <v>3</v>
      </c>
      <c r="K2256" s="527">
        <v>3</v>
      </c>
      <c r="L2256" s="529">
        <v>3</v>
      </c>
      <c r="M2256" s="626">
        <f>IF( OR( ISBLANK(H2256),ISBLANK(I2256), ISBLANK(J2256), ISBLANK(K2256), ISBLANK(L2256) ), "", 1.5*SQRT(   EXP(2.21*(H2256-1)) + EXP(2.21*(I2256-1)) + EXP(2.21*(J2256-1)) + EXP(2.21*(K2256-1)) + EXP(2.21*L2256)   )/100*2.45 )</f>
        <v>1.123005955058592</v>
      </c>
      <c r="N2256" s="530"/>
    </row>
    <row r="2257" spans="1:14" hidden="1" x14ac:dyDescent="0.2">
      <c r="A2257" s="632" t="s">
        <v>545</v>
      </c>
      <c r="B2257" s="637" t="s">
        <v>539</v>
      </c>
      <c r="C2257" s="247" t="s">
        <v>23</v>
      </c>
      <c r="D2257" s="527" t="s">
        <v>135</v>
      </c>
      <c r="E2257" s="623">
        <v>0.15372147058823529</v>
      </c>
      <c r="F2257" s="250" t="s">
        <v>133</v>
      </c>
      <c r="G2257" s="528"/>
      <c r="H2257" s="527">
        <v>1</v>
      </c>
      <c r="I2257" s="527">
        <v>2</v>
      </c>
      <c r="J2257" s="527">
        <v>3</v>
      </c>
      <c r="K2257" s="527">
        <v>3</v>
      </c>
      <c r="L2257" s="529">
        <v>3</v>
      </c>
      <c r="M2257" s="626">
        <f>IF( OR( ISBLANK(H2257),ISBLANK(I2257), ISBLANK(J2257), ISBLANK(K2257), ISBLANK(L2257) ), "", 1.5*SQRT(   EXP(2.21*(H2257-1)) + EXP(2.21*(I2257-1)) + EXP(2.21*(J2257-1)) + EXP(2.21*(K2257-1)) + EXP(2.21*L2257)   )/100*2.45 )</f>
        <v>1.123005955058592</v>
      </c>
      <c r="N2257" s="530"/>
    </row>
    <row r="2258" spans="1:14" hidden="1" x14ac:dyDescent="0.2">
      <c r="A2258" s="632" t="s">
        <v>545</v>
      </c>
      <c r="B2258" s="637" t="s">
        <v>539</v>
      </c>
      <c r="C2258" s="247" t="s">
        <v>24</v>
      </c>
      <c r="D2258" s="527" t="s">
        <v>135</v>
      </c>
      <c r="E2258" s="634">
        <v>0</v>
      </c>
      <c r="F2258" s="250"/>
      <c r="G2258" s="251" t="s">
        <v>16</v>
      </c>
      <c r="H2258" s="478"/>
      <c r="I2258" s="478"/>
      <c r="J2258" s="478"/>
      <c r="K2258" s="478"/>
      <c r="L2258" s="471"/>
      <c r="M2258" s="456"/>
      <c r="N2258" s="530"/>
    </row>
    <row r="2259" spans="1:14" hidden="1" x14ac:dyDescent="0.2">
      <c r="A2259" s="632" t="s">
        <v>545</v>
      </c>
      <c r="B2259" s="637" t="s">
        <v>539</v>
      </c>
      <c r="C2259" s="247" t="s">
        <v>25</v>
      </c>
      <c r="D2259" s="527" t="s">
        <v>135</v>
      </c>
      <c r="E2259" s="623">
        <v>0.13687452702702699</v>
      </c>
      <c r="F2259" s="250" t="s">
        <v>133</v>
      </c>
      <c r="G2259" s="528"/>
      <c r="H2259" s="527">
        <v>1</v>
      </c>
      <c r="I2259" s="527">
        <v>2</v>
      </c>
      <c r="J2259" s="527">
        <v>3</v>
      </c>
      <c r="K2259" s="527">
        <v>3</v>
      </c>
      <c r="L2259" s="529">
        <v>3</v>
      </c>
      <c r="M2259" s="626">
        <f>IF( OR( ISBLANK(H2259),ISBLANK(I2259), ISBLANK(J2259), ISBLANK(K2259), ISBLANK(L2259) ), "", 1.5*SQRT(   EXP(2.21*(H2259-1)) + EXP(2.21*(I2259-1)) + EXP(2.21*(J2259-1)) + EXP(2.21*(K2259-1)) + EXP(2.21*L2259)   )/100*2.45 )</f>
        <v>1.123005955058592</v>
      </c>
      <c r="N2259" s="530"/>
    </row>
    <row r="2260" spans="1:14" hidden="1" x14ac:dyDescent="0.2">
      <c r="A2260" s="632" t="s">
        <v>545</v>
      </c>
      <c r="B2260" s="637" t="s">
        <v>539</v>
      </c>
      <c r="C2260" s="247" t="s">
        <v>26</v>
      </c>
      <c r="D2260" s="527" t="s">
        <v>135</v>
      </c>
      <c r="E2260" s="623">
        <v>0.16673634567901241</v>
      </c>
      <c r="F2260" s="250" t="s">
        <v>133</v>
      </c>
      <c r="G2260" s="528"/>
      <c r="H2260" s="527">
        <v>1</v>
      </c>
      <c r="I2260" s="527">
        <v>2</v>
      </c>
      <c r="J2260" s="527">
        <v>3</v>
      </c>
      <c r="K2260" s="527">
        <v>3</v>
      </c>
      <c r="L2260" s="529">
        <v>3</v>
      </c>
      <c r="M2260" s="626">
        <f>IF( OR( ISBLANK(H2260),ISBLANK(I2260), ISBLANK(J2260), ISBLANK(K2260), ISBLANK(L2260) ), "", 1.5*SQRT( EXP(2.21*(H2260-1)) + EXP(2.21*(I2260-1)) + EXP(2.21*(J2260-1)) + EXP(2.21*(K2260-1)) + EXP(2.21*L2260) )/100*2.45 )</f>
        <v>1.123005955058592</v>
      </c>
      <c r="N2260" s="530"/>
    </row>
    <row r="2261" spans="1:14" hidden="1" x14ac:dyDescent="0.2">
      <c r="A2261" s="632" t="s">
        <v>545</v>
      </c>
      <c r="B2261" s="637" t="s">
        <v>539</v>
      </c>
      <c r="C2261" s="247" t="s">
        <v>27</v>
      </c>
      <c r="D2261" s="527" t="s">
        <v>135</v>
      </c>
      <c r="E2261" s="623">
        <v>0.13589880217785841</v>
      </c>
      <c r="F2261" s="250" t="s">
        <v>133</v>
      </c>
      <c r="G2261" s="528"/>
      <c r="H2261" s="527">
        <v>1</v>
      </c>
      <c r="I2261" s="527">
        <v>2</v>
      </c>
      <c r="J2261" s="527">
        <v>3</v>
      </c>
      <c r="K2261" s="527">
        <v>3</v>
      </c>
      <c r="L2261" s="529">
        <v>3</v>
      </c>
      <c r="M2261" s="626">
        <f>IF( OR( ISBLANK(H2261),ISBLANK(I2261), ISBLANK(J2261), ISBLANK(K2261), ISBLANK(L2261) ), "", 1.5*SQRT( EXP(2.21*(H2261-1)) + EXP(2.21*(I2261-1)) + EXP(2.21*(J2261-1)) + EXP(2.21*(K2261-1)) + EXP(2.21*L2261) )/100*2.45 )</f>
        <v>1.123005955058592</v>
      </c>
      <c r="N2261" s="530"/>
    </row>
    <row r="2262" spans="1:14" hidden="1" x14ac:dyDescent="0.2">
      <c r="A2262" s="632" t="s">
        <v>545</v>
      </c>
      <c r="B2262" s="637" t="s">
        <v>539</v>
      </c>
      <c r="C2262" s="247" t="s">
        <v>28</v>
      </c>
      <c r="D2262" s="527" t="s">
        <v>135</v>
      </c>
      <c r="E2262" s="623">
        <v>0.14052790843806101</v>
      </c>
      <c r="F2262" s="250" t="s">
        <v>133</v>
      </c>
      <c r="G2262" s="528"/>
      <c r="H2262" s="527">
        <v>1</v>
      </c>
      <c r="I2262" s="527">
        <v>2</v>
      </c>
      <c r="J2262" s="527">
        <v>3</v>
      </c>
      <c r="K2262" s="527">
        <v>3</v>
      </c>
      <c r="L2262" s="529">
        <v>3</v>
      </c>
      <c r="M2262" s="626">
        <f>IF( OR( ISBLANK(H2262),ISBLANK(I2262), ISBLANK(J2262), ISBLANK(K2262), ISBLANK(L2262) ), "", 1.5*SQRT( EXP(2.21*(H2262-1)) + EXP(2.21*(I2262-1)) + EXP(2.21*(J2262-1)) + EXP(2.21*(K2262-1)) + EXP(2.21*L2262) )/100*2.45 )</f>
        <v>1.123005955058592</v>
      </c>
      <c r="N2262" s="530"/>
    </row>
    <row r="2263" spans="1:14" hidden="1" x14ac:dyDescent="0.2">
      <c r="A2263" s="632" t="s">
        <v>545</v>
      </c>
      <c r="B2263" s="637" t="s">
        <v>539</v>
      </c>
      <c r="C2263" s="247" t="s">
        <v>30</v>
      </c>
      <c r="D2263" s="527" t="s">
        <v>135</v>
      </c>
      <c r="E2263" s="623">
        <v>0.1379855610561056</v>
      </c>
      <c r="F2263" s="250" t="s">
        <v>133</v>
      </c>
      <c r="G2263" s="528"/>
      <c r="H2263" s="527">
        <v>1</v>
      </c>
      <c r="I2263" s="527">
        <v>2</v>
      </c>
      <c r="J2263" s="527">
        <v>3</v>
      </c>
      <c r="K2263" s="527">
        <v>3</v>
      </c>
      <c r="L2263" s="529">
        <v>3</v>
      </c>
      <c r="M2263" s="626">
        <f>IF( OR( ISBLANK(H2263),ISBLANK(I2263), ISBLANK(J2263), ISBLANK(K2263), ISBLANK(L2263) ), "", 1.5*SQRT( EXP(2.21*(H2263-1)) + EXP(2.21*(I2263-1)) + EXP(2.21*(J2263-1)) + EXP(2.21*(K2263-1)) + EXP(2.21*L2263) )/100*2.45 )</f>
        <v>1.123005955058592</v>
      </c>
      <c r="N2263" s="530"/>
    </row>
    <row r="2264" spans="1:14" hidden="1" x14ac:dyDescent="0.2">
      <c r="A2264" s="632" t="s">
        <v>545</v>
      </c>
      <c r="B2264" s="637" t="s">
        <v>539</v>
      </c>
      <c r="C2264" s="247" t="s">
        <v>32</v>
      </c>
      <c r="D2264" s="527" t="s">
        <v>135</v>
      </c>
      <c r="E2264" s="623">
        <v>0.14628941747572821</v>
      </c>
      <c r="F2264" s="250" t="s">
        <v>133</v>
      </c>
      <c r="G2264" s="528"/>
      <c r="H2264" s="527">
        <v>1</v>
      </c>
      <c r="I2264" s="527">
        <v>2</v>
      </c>
      <c r="J2264" s="527">
        <v>3</v>
      </c>
      <c r="K2264" s="527">
        <v>3</v>
      </c>
      <c r="L2264" s="529">
        <v>3</v>
      </c>
      <c r="M2264" s="626">
        <f>IF( OR( ISBLANK(H2264),ISBLANK(I2264), ISBLANK(J2264), ISBLANK(K2264), ISBLANK(L2264) ), "", 1.5*SQRT( EXP(2.21*(H2264-1)) + EXP(2.21*(I2264-1)) + EXP(2.21*(J2264-1)) + EXP(2.21*(K2264-1)) + EXP(2.21*L2264) )/100*2.45 )</f>
        <v>1.123005955058592</v>
      </c>
      <c r="N2264" s="530"/>
    </row>
    <row r="2265" spans="1:14" hidden="1" x14ac:dyDescent="0.2">
      <c r="A2265" s="632" t="s">
        <v>545</v>
      </c>
      <c r="B2265" s="637" t="s">
        <v>539</v>
      </c>
      <c r="C2265" s="247" t="s">
        <v>34</v>
      </c>
      <c r="D2265" s="527" t="s">
        <v>135</v>
      </c>
      <c r="E2265" s="634">
        <v>0</v>
      </c>
      <c r="F2265" s="250"/>
      <c r="G2265" s="251" t="s">
        <v>16</v>
      </c>
      <c r="H2265" s="478"/>
      <c r="I2265" s="478"/>
      <c r="J2265" s="478"/>
      <c r="K2265" s="478"/>
      <c r="L2265" s="471"/>
      <c r="M2265" s="456"/>
      <c r="N2265" s="530"/>
    </row>
    <row r="2266" spans="1:14" hidden="1" x14ac:dyDescent="0.2">
      <c r="A2266" s="632" t="s">
        <v>545</v>
      </c>
      <c r="B2266" s="637" t="s">
        <v>539</v>
      </c>
      <c r="C2266" s="247" t="s">
        <v>36</v>
      </c>
      <c r="D2266" s="527" t="s">
        <v>135</v>
      </c>
      <c r="E2266" s="623">
        <v>0.14879883190883189</v>
      </c>
      <c r="F2266" s="250" t="s">
        <v>133</v>
      </c>
      <c r="G2266" s="528"/>
      <c r="H2266" s="527">
        <v>1</v>
      </c>
      <c r="I2266" s="527">
        <v>2</v>
      </c>
      <c r="J2266" s="527">
        <v>3</v>
      </c>
      <c r="K2266" s="527">
        <v>3</v>
      </c>
      <c r="L2266" s="529">
        <v>3</v>
      </c>
      <c r="M2266" s="626">
        <f>IF( OR( ISBLANK(H2266),ISBLANK(I2266), ISBLANK(J2266), ISBLANK(K2266), ISBLANK(L2266) ), "", 1.5*SQRT(   EXP(2.21*(H2266-1)) + EXP(2.21*(I2266-1)) + EXP(2.21*(J2266-1)) + EXP(2.21*(K2266-1)) + EXP(2.21*L2266)   )/100*2.45 )</f>
        <v>1.123005955058592</v>
      </c>
      <c r="N2266" s="530"/>
    </row>
    <row r="2267" spans="1:14" hidden="1" x14ac:dyDescent="0.2">
      <c r="A2267" s="632" t="s">
        <v>545</v>
      </c>
      <c r="B2267" s="637" t="s">
        <v>539</v>
      </c>
      <c r="C2267" s="247" t="s">
        <v>37</v>
      </c>
      <c r="D2267" s="527" t="s">
        <v>135</v>
      </c>
      <c r="E2267" s="623">
        <v>0.20262569832402241</v>
      </c>
      <c r="F2267" s="250" t="s">
        <v>133</v>
      </c>
      <c r="G2267" s="528"/>
      <c r="H2267" s="527">
        <v>1</v>
      </c>
      <c r="I2267" s="527">
        <v>2</v>
      </c>
      <c r="J2267" s="527">
        <v>3</v>
      </c>
      <c r="K2267" s="527">
        <v>3</v>
      </c>
      <c r="L2267" s="529">
        <v>3</v>
      </c>
      <c r="M2267" s="626">
        <f>IF( OR( ISBLANK(H2267),ISBLANK(I2267), ISBLANK(J2267), ISBLANK(K2267), ISBLANK(L2267) ), "", 1.5*SQRT(   EXP(2.21*(H2267-1)) + EXP(2.21*(I2267-1)) + EXP(2.21*(J2267-1)) + EXP(2.21*(K2267-1)) + EXP(2.21*L2267)   )/100*2.45 )</f>
        <v>1.123005955058592</v>
      </c>
      <c r="N2267" s="530"/>
    </row>
    <row r="2268" spans="1:14" hidden="1" x14ac:dyDescent="0.2">
      <c r="A2268" s="632" t="s">
        <v>545</v>
      </c>
      <c r="B2268" s="637" t="s">
        <v>539</v>
      </c>
      <c r="C2268" s="247" t="s">
        <v>39</v>
      </c>
      <c r="D2268" s="527" t="s">
        <v>135</v>
      </c>
      <c r="E2268" s="623">
        <v>0.16656491400491399</v>
      </c>
      <c r="F2268" s="250" t="s">
        <v>133</v>
      </c>
      <c r="G2268" s="528"/>
      <c r="H2268" s="527">
        <v>1</v>
      </c>
      <c r="I2268" s="527">
        <v>2</v>
      </c>
      <c r="J2268" s="527">
        <v>3</v>
      </c>
      <c r="K2268" s="527">
        <v>3</v>
      </c>
      <c r="L2268" s="529">
        <v>3</v>
      </c>
      <c r="M2268" s="626">
        <f>IF( OR( ISBLANK(H2268),ISBLANK(I2268), ISBLANK(J2268), ISBLANK(K2268), ISBLANK(L2268) ), "", 1.5*SQRT(   EXP(2.21*(H2268-1)) + EXP(2.21*(I2268-1)) + EXP(2.21*(J2268-1)) + EXP(2.21*(K2268-1)) + EXP(2.21*L2268)   )/100*2.45 )</f>
        <v>1.123005955058592</v>
      </c>
      <c r="N2268" s="530"/>
    </row>
    <row r="2269" spans="1:14" hidden="1" x14ac:dyDescent="0.2">
      <c r="A2269" s="632" t="s">
        <v>545</v>
      </c>
      <c r="B2269" s="637" t="s">
        <v>539</v>
      </c>
      <c r="C2269" s="247" t="s">
        <v>40</v>
      </c>
      <c r="D2269" s="527" t="s">
        <v>135</v>
      </c>
      <c r="E2269" s="623">
        <v>0.14306855603448279</v>
      </c>
      <c r="F2269" s="250" t="s">
        <v>133</v>
      </c>
      <c r="G2269" s="528"/>
      <c r="H2269" s="527">
        <v>1</v>
      </c>
      <c r="I2269" s="527">
        <v>2</v>
      </c>
      <c r="J2269" s="527">
        <v>3</v>
      </c>
      <c r="K2269" s="527">
        <v>3</v>
      </c>
      <c r="L2269" s="529">
        <v>3</v>
      </c>
      <c r="M2269" s="626">
        <f>IF( OR( ISBLANK(H2269),ISBLANK(I2269), ISBLANK(J2269), ISBLANK(K2269), ISBLANK(L2269) ), "", 1.5*SQRT(   EXP(2.21*(H2269-1)) + EXP(2.21*(I2269-1)) + EXP(2.21*(J2269-1)) + EXP(2.21*(K2269-1)) + EXP(2.21*L2269)   )/100*2.45 )</f>
        <v>1.123005955058592</v>
      </c>
      <c r="N2269" s="530"/>
    </row>
    <row r="2270" spans="1:14" hidden="1" x14ac:dyDescent="0.2">
      <c r="A2270" s="632" t="s">
        <v>545</v>
      </c>
      <c r="B2270" s="637" t="s">
        <v>539</v>
      </c>
      <c r="C2270" s="247" t="s">
        <v>41</v>
      </c>
      <c r="D2270" s="527" t="s">
        <v>135</v>
      </c>
      <c r="E2270" s="634">
        <v>0</v>
      </c>
      <c r="F2270" s="250"/>
      <c r="G2270" s="251" t="s">
        <v>16</v>
      </c>
      <c r="H2270" s="478"/>
      <c r="I2270" s="478"/>
      <c r="J2270" s="478"/>
      <c r="K2270" s="478"/>
      <c r="L2270" s="471"/>
      <c r="M2270" s="456"/>
      <c r="N2270" s="530"/>
    </row>
    <row r="2271" spans="1:14" hidden="1" x14ac:dyDescent="0.2">
      <c r="A2271" s="632" t="s">
        <v>545</v>
      </c>
      <c r="B2271" s="637" t="s">
        <v>539</v>
      </c>
      <c r="C2271" s="247" t="s">
        <v>42</v>
      </c>
      <c r="D2271" s="527" t="s">
        <v>135</v>
      </c>
      <c r="E2271" s="623">
        <v>0.15674832589285709</v>
      </c>
      <c r="F2271" s="250" t="s">
        <v>133</v>
      </c>
      <c r="G2271" s="528"/>
      <c r="H2271" s="527">
        <v>1</v>
      </c>
      <c r="I2271" s="527">
        <v>2</v>
      </c>
      <c r="J2271" s="527">
        <v>3</v>
      </c>
      <c r="K2271" s="527">
        <v>3</v>
      </c>
      <c r="L2271" s="529">
        <v>3</v>
      </c>
      <c r="M2271" s="626">
        <f>IF( OR( ISBLANK(H2271),ISBLANK(I2271), ISBLANK(J2271), ISBLANK(K2271), ISBLANK(L2271) ), "", 1.5*SQRT(   EXP(2.21*(H2271-1)) + EXP(2.21*(I2271-1)) + EXP(2.21*(J2271-1)) + EXP(2.21*(K2271-1)) + EXP(2.21*L2271)   )/100*2.45 )</f>
        <v>1.123005955058592</v>
      </c>
      <c r="N2271" s="530"/>
    </row>
    <row r="2272" spans="1:14" hidden="1" x14ac:dyDescent="0.2">
      <c r="A2272" s="632" t="s">
        <v>545</v>
      </c>
      <c r="B2272" s="637" t="s">
        <v>539</v>
      </c>
      <c r="C2272" s="247" t="s">
        <v>43</v>
      </c>
      <c r="D2272" s="527" t="s">
        <v>135</v>
      </c>
      <c r="E2272" s="623">
        <v>0.1376709784735812</v>
      </c>
      <c r="F2272" s="250" t="s">
        <v>133</v>
      </c>
      <c r="G2272" s="528"/>
      <c r="H2272" s="527">
        <v>1</v>
      </c>
      <c r="I2272" s="527">
        <v>2</v>
      </c>
      <c r="J2272" s="527">
        <v>3</v>
      </c>
      <c r="K2272" s="527">
        <v>3</v>
      </c>
      <c r="L2272" s="529">
        <v>3</v>
      </c>
      <c r="M2272" s="626">
        <f>IF( OR( ISBLANK(H2272),ISBLANK(I2272), ISBLANK(J2272), ISBLANK(K2272), ISBLANK(L2272) ), "", 1.5*SQRT( EXP(2.21*(H2272-1)) + EXP(2.21*(I2272-1)) + EXP(2.21*(J2272-1)) + EXP(2.21*(K2272-1)) + EXP(2.21*L2272) )/100*2.45 )</f>
        <v>1.123005955058592</v>
      </c>
      <c r="N2272" s="530"/>
    </row>
    <row r="2273" spans="1:14" x14ac:dyDescent="0.2">
      <c r="A2273" s="632" t="s">
        <v>545</v>
      </c>
      <c r="B2273" s="637" t="s">
        <v>539</v>
      </c>
      <c r="C2273" s="247" t="s">
        <v>45</v>
      </c>
      <c r="D2273" s="527" t="s">
        <v>135</v>
      </c>
      <c r="E2273" s="623">
        <v>0.1399001217861976</v>
      </c>
      <c r="F2273" s="250" t="s">
        <v>133</v>
      </c>
      <c r="G2273" s="528"/>
      <c r="H2273" s="527">
        <v>1</v>
      </c>
      <c r="I2273" s="527">
        <v>2</v>
      </c>
      <c r="J2273" s="527">
        <v>3</v>
      </c>
      <c r="K2273" s="527">
        <v>3</v>
      </c>
      <c r="L2273" s="529">
        <v>3</v>
      </c>
      <c r="M2273" s="626">
        <f>IF( OR( ISBLANK(H2273),ISBLANK(I2273), ISBLANK(J2273), ISBLANK(K2273), ISBLANK(L2273) ), "", 1.5*SQRT( EXP(2.21*(H2273-1)) + EXP(2.21*(I2273-1)) + EXP(2.21*(J2273-1)) + EXP(2.21*(K2273-1)) + EXP(2.21*L2273) )/100*2.45 )</f>
        <v>1.123005955058592</v>
      </c>
      <c r="N2273" s="530"/>
    </row>
    <row r="2274" spans="1:14" hidden="1" x14ac:dyDescent="0.2">
      <c r="A2274" s="632" t="s">
        <v>545</v>
      </c>
      <c r="B2274" s="637" t="s">
        <v>539</v>
      </c>
      <c r="C2274" s="247" t="s">
        <v>46</v>
      </c>
      <c r="D2274" s="527" t="s">
        <v>135</v>
      </c>
      <c r="E2274" s="623">
        <v>0.14654177811550151</v>
      </c>
      <c r="F2274" s="250" t="s">
        <v>133</v>
      </c>
      <c r="G2274" s="528"/>
      <c r="H2274" s="527">
        <v>1</v>
      </c>
      <c r="I2274" s="527">
        <v>2</v>
      </c>
      <c r="J2274" s="527">
        <v>3</v>
      </c>
      <c r="K2274" s="527">
        <v>3</v>
      </c>
      <c r="L2274" s="529">
        <v>3</v>
      </c>
      <c r="M2274" s="626">
        <f>IF( OR( ISBLANK(H2274),ISBLANK(I2274), ISBLANK(J2274), ISBLANK(K2274), ISBLANK(L2274) ), "", 1.5*SQRT( EXP(2.21*(H2274-1)) + EXP(2.21*(I2274-1)) + EXP(2.21*(J2274-1)) + EXP(2.21*(K2274-1)) + EXP(2.21*L2274) )/100*2.45 )</f>
        <v>1.123005955058592</v>
      </c>
      <c r="N2274" s="530"/>
    </row>
    <row r="2275" spans="1:14" hidden="1" x14ac:dyDescent="0.2">
      <c r="A2275" s="632" t="s">
        <v>545</v>
      </c>
      <c r="B2275" s="637" t="s">
        <v>539</v>
      </c>
      <c r="C2275" s="247" t="s">
        <v>48</v>
      </c>
      <c r="D2275" s="527" t="s">
        <v>135</v>
      </c>
      <c r="E2275" s="623">
        <v>0.14285044378698231</v>
      </c>
      <c r="F2275" s="250" t="s">
        <v>133</v>
      </c>
      <c r="G2275" s="528"/>
      <c r="H2275" s="527">
        <v>1</v>
      </c>
      <c r="I2275" s="527">
        <v>2</v>
      </c>
      <c r="J2275" s="527">
        <v>3</v>
      </c>
      <c r="K2275" s="527">
        <v>3</v>
      </c>
      <c r="L2275" s="529">
        <v>3</v>
      </c>
      <c r="M2275" s="626">
        <f>IF( OR( ISBLANK(H2275),ISBLANK(I2275), ISBLANK(J2275), ISBLANK(K2275), ISBLANK(L2275) ), "", 1.5*SQRT( EXP(2.21*(H2275-1)) + EXP(2.21*(I2275-1)) + EXP(2.21*(J2275-1)) + EXP(2.21*(K2275-1)) + EXP(2.21*L2275) )/100*2.45 )</f>
        <v>1.123005955058592</v>
      </c>
      <c r="N2275" s="530"/>
    </row>
    <row r="2276" spans="1:14" hidden="1" x14ac:dyDescent="0.2">
      <c r="A2276" s="632" t="s">
        <v>545</v>
      </c>
      <c r="B2276" s="637" t="s">
        <v>539</v>
      </c>
      <c r="C2276" s="247" t="s">
        <v>50</v>
      </c>
      <c r="D2276" s="527" t="s">
        <v>135</v>
      </c>
      <c r="E2276" s="623">
        <v>0.1988313786764706</v>
      </c>
      <c r="F2276" s="250" t="s">
        <v>133</v>
      </c>
      <c r="G2276" s="528"/>
      <c r="H2276" s="527">
        <v>1</v>
      </c>
      <c r="I2276" s="527">
        <v>2</v>
      </c>
      <c r="J2276" s="527">
        <v>3</v>
      </c>
      <c r="K2276" s="527">
        <v>3</v>
      </c>
      <c r="L2276" s="529">
        <v>3</v>
      </c>
      <c r="M2276" s="626">
        <f>IF( OR( ISBLANK(H2276),ISBLANK(I2276), ISBLANK(J2276), ISBLANK(K2276), ISBLANK(L2276) ), "", 1.5*SQRT( EXP(2.21*(H2276-1)) + EXP(2.21*(I2276-1)) + EXP(2.21*(J2276-1)) + EXP(2.21*(K2276-1)) + EXP(2.21*L2276) )/100*2.45 )</f>
        <v>1.123005955058592</v>
      </c>
      <c r="N2276" s="530"/>
    </row>
    <row r="2277" spans="1:14" hidden="1" x14ac:dyDescent="0.2">
      <c r="A2277" s="632" t="s">
        <v>545</v>
      </c>
      <c r="B2277" s="637" t="s">
        <v>539</v>
      </c>
      <c r="C2277" s="247" t="s">
        <v>52</v>
      </c>
      <c r="D2277" s="527" t="s">
        <v>135</v>
      </c>
      <c r="E2277" s="634">
        <v>0</v>
      </c>
      <c r="F2277" s="250"/>
      <c r="G2277" s="251" t="s">
        <v>16</v>
      </c>
      <c r="H2277" s="478"/>
      <c r="I2277" s="478"/>
      <c r="J2277" s="478"/>
      <c r="K2277" s="478"/>
      <c r="L2277" s="471"/>
      <c r="M2277" s="456"/>
      <c r="N2277" s="530"/>
    </row>
    <row r="2278" spans="1:14" hidden="1" x14ac:dyDescent="0.2">
      <c r="A2278" s="632" t="s">
        <v>545</v>
      </c>
      <c r="B2278" s="637" t="s">
        <v>539</v>
      </c>
      <c r="C2278" s="247" t="s">
        <v>54</v>
      </c>
      <c r="D2278" s="527" t="s">
        <v>135</v>
      </c>
      <c r="E2278" s="623">
        <v>0.13873546296296299</v>
      </c>
      <c r="F2278" s="250" t="s">
        <v>133</v>
      </c>
      <c r="G2278" s="528"/>
      <c r="H2278" s="527">
        <v>1</v>
      </c>
      <c r="I2278" s="527">
        <v>2</v>
      </c>
      <c r="J2278" s="527">
        <v>3</v>
      </c>
      <c r="K2278" s="527">
        <v>3</v>
      </c>
      <c r="L2278" s="529">
        <v>3</v>
      </c>
      <c r="M2278" s="626">
        <f>IF( OR( ISBLANK(H2278),ISBLANK(I2278), ISBLANK(J2278), ISBLANK(K2278), ISBLANK(L2278) ), "", 1.5*SQRT(   EXP(2.21*(H2278-1)) + EXP(2.21*(I2278-1)) + EXP(2.21*(J2278-1)) + EXP(2.21*(K2278-1)) + EXP(2.21*L2278)   )/100*2.45 )</f>
        <v>1.123005955058592</v>
      </c>
      <c r="N2278" s="530"/>
    </row>
    <row r="2279" spans="1:14" hidden="1" x14ac:dyDescent="0.2">
      <c r="A2279" s="632" t="s">
        <v>545</v>
      </c>
      <c r="B2279" s="637" t="s">
        <v>539</v>
      </c>
      <c r="C2279" s="247" t="s">
        <v>55</v>
      </c>
      <c r="D2279" s="527" t="s">
        <v>135</v>
      </c>
      <c r="E2279" s="623">
        <v>0.14672260000000001</v>
      </c>
      <c r="F2279" s="250" t="s">
        <v>133</v>
      </c>
      <c r="G2279" s="528"/>
      <c r="H2279" s="527">
        <v>1</v>
      </c>
      <c r="I2279" s="527">
        <v>2</v>
      </c>
      <c r="J2279" s="527">
        <v>3</v>
      </c>
      <c r="K2279" s="527">
        <v>3</v>
      </c>
      <c r="L2279" s="529">
        <v>3</v>
      </c>
      <c r="M2279" s="626">
        <f>IF( OR( ISBLANK(H2279),ISBLANK(I2279), ISBLANK(J2279), ISBLANK(K2279), ISBLANK(L2279) ), "", 1.5*SQRT(   EXP(2.21*(H2279-1)) + EXP(2.21*(I2279-1)) + EXP(2.21*(J2279-1)) + EXP(2.21*(K2279-1)) + EXP(2.21*L2279)   )/100*2.45 )</f>
        <v>1.123005955058592</v>
      </c>
      <c r="N2279" s="530"/>
    </row>
    <row r="2280" spans="1:14" hidden="1" x14ac:dyDescent="0.2">
      <c r="A2280" s="632" t="s">
        <v>545</v>
      </c>
      <c r="B2280" s="637" t="s">
        <v>539</v>
      </c>
      <c r="C2280" s="247" t="s">
        <v>57</v>
      </c>
      <c r="D2280" s="527" t="s">
        <v>135</v>
      </c>
      <c r="E2280" s="623">
        <v>0.138703732718894</v>
      </c>
      <c r="F2280" s="250" t="s">
        <v>133</v>
      </c>
      <c r="G2280" s="528"/>
      <c r="H2280" s="527">
        <v>1</v>
      </c>
      <c r="I2280" s="527">
        <v>2</v>
      </c>
      <c r="J2280" s="527">
        <v>3</v>
      </c>
      <c r="K2280" s="527">
        <v>3</v>
      </c>
      <c r="L2280" s="529">
        <v>3</v>
      </c>
      <c r="M2280" s="626">
        <f>IF( OR( ISBLANK(H2280),ISBLANK(I2280), ISBLANK(J2280), ISBLANK(K2280), ISBLANK(L2280) ), "", 1.5*SQRT(   EXP(2.21*(H2280-1)) + EXP(2.21*(I2280-1)) + EXP(2.21*(J2280-1)) + EXP(2.21*(K2280-1)) + EXP(2.21*L2280)   )/100*2.45 )</f>
        <v>1.123005955058592</v>
      </c>
      <c r="N2280" s="530"/>
    </row>
    <row r="2281" spans="1:14" hidden="1" x14ac:dyDescent="0.2">
      <c r="A2281" s="632" t="s">
        <v>545</v>
      </c>
      <c r="B2281" s="637" t="s">
        <v>539</v>
      </c>
      <c r="C2281" s="247" t="s">
        <v>59</v>
      </c>
      <c r="D2281" s="527" t="s">
        <v>135</v>
      </c>
      <c r="E2281" s="634">
        <v>0</v>
      </c>
      <c r="F2281" s="250"/>
      <c r="G2281" s="251" t="s">
        <v>16</v>
      </c>
      <c r="H2281" s="478"/>
      <c r="I2281" s="478"/>
      <c r="J2281" s="478"/>
      <c r="K2281" s="478"/>
      <c r="L2281" s="471"/>
      <c r="M2281" s="456"/>
      <c r="N2281" s="530"/>
    </row>
    <row r="2282" spans="1:14" hidden="1" x14ac:dyDescent="0.2">
      <c r="A2282" s="632" t="s">
        <v>545</v>
      </c>
      <c r="B2282" s="637" t="s">
        <v>539</v>
      </c>
      <c r="C2282" s="247" t="s">
        <v>60</v>
      </c>
      <c r="D2282" s="527" t="s">
        <v>135</v>
      </c>
      <c r="E2282" s="627">
        <v>0.1463050107991361</v>
      </c>
      <c r="F2282" s="250" t="s">
        <v>133</v>
      </c>
      <c r="G2282" s="57"/>
      <c r="H2282" s="519">
        <v>1</v>
      </c>
      <c r="I2282" s="519">
        <v>2</v>
      </c>
      <c r="J2282" s="527">
        <v>3</v>
      </c>
      <c r="K2282" s="527">
        <v>3</v>
      </c>
      <c r="L2282" s="529">
        <v>3</v>
      </c>
      <c r="M2282" s="521">
        <f>IF( OR( ISBLANK(H2282),ISBLANK(I2282), ISBLANK(J2282), ISBLANK(K2282), ISBLANK(L2282) ), "", 1.5*SQRT(   EXP(2.21*(H2282-1)) + EXP(2.21*(I2282-1)) + EXP(2.21*(J2282-1)) + EXP(2.21*(K2282-1)) + EXP(2.21*L2282)   )/100*2.45 )</f>
        <v>1.123005955058592</v>
      </c>
      <c r="N2282" s="522"/>
    </row>
    <row r="2283" spans="1:14" x14ac:dyDescent="0.2">
      <c r="A2283" s="638" t="s">
        <v>545</v>
      </c>
      <c r="B2283" s="480" t="s">
        <v>387</v>
      </c>
      <c r="C2283" s="409" t="s">
        <v>135</v>
      </c>
      <c r="D2283" s="384" t="s">
        <v>135</v>
      </c>
      <c r="E2283" s="556" t="s">
        <v>188</v>
      </c>
      <c r="F2283" s="399"/>
      <c r="G2283" s="406" t="s">
        <v>16</v>
      </c>
      <c r="H2283" s="556"/>
      <c r="I2283" s="556"/>
      <c r="J2283" s="556"/>
      <c r="K2283" s="556"/>
      <c r="L2283" s="557"/>
      <c r="M2283" s="558" t="str">
        <f t="shared" ref="M2283:M2314" si="73">IF( OR( ISBLANK(H2283),ISBLANK(I2283), ISBLANK(J2283), ISBLANK(K2283), ISBLANK(L2283) ), "", 1.5*SQRT( EXP(2.21*(H2283-1)) + EXP(2.21*(I2283-1)) + EXP(2.21*(J2283-1)) + EXP(2.21*(K2283-1)) + EXP(2.21*L2283) )/100*2.45 )</f>
        <v/>
      </c>
      <c r="N2283" s="631"/>
    </row>
    <row r="2284" spans="1:14" hidden="1" x14ac:dyDescent="0.2">
      <c r="A2284" s="621" t="s">
        <v>465</v>
      </c>
      <c r="B2284" s="611" t="s">
        <v>456</v>
      </c>
      <c r="C2284" s="265" t="s">
        <v>13</v>
      </c>
      <c r="D2284" s="321" t="s">
        <v>135</v>
      </c>
      <c r="E2284" s="322">
        <v>8.9070574368439737E-3</v>
      </c>
      <c r="F2284" s="267" t="s">
        <v>548</v>
      </c>
      <c r="G2284" s="324" t="s">
        <v>16</v>
      </c>
      <c r="H2284" s="321">
        <v>1</v>
      </c>
      <c r="I2284" s="321">
        <v>3</v>
      </c>
      <c r="J2284" s="321">
        <v>3</v>
      </c>
      <c r="K2284" s="321">
        <v>3</v>
      </c>
      <c r="L2284" s="325">
        <v>3</v>
      </c>
      <c r="M2284" s="624">
        <f t="shared" si="73"/>
        <v>1.1666438005107913</v>
      </c>
      <c r="N2284" s="625"/>
    </row>
    <row r="2285" spans="1:14" hidden="1" x14ac:dyDescent="0.2">
      <c r="A2285" s="621" t="s">
        <v>465</v>
      </c>
      <c r="B2285" s="611" t="s">
        <v>456</v>
      </c>
      <c r="C2285" s="247" t="s">
        <v>18</v>
      </c>
      <c r="D2285" s="527" t="s">
        <v>135</v>
      </c>
      <c r="E2285" s="623">
        <v>2.2587403872065839E-2</v>
      </c>
      <c r="F2285" s="250" t="s">
        <v>548</v>
      </c>
      <c r="G2285" s="528" t="s">
        <v>16</v>
      </c>
      <c r="H2285" s="527">
        <v>1</v>
      </c>
      <c r="I2285" s="527">
        <v>3</v>
      </c>
      <c r="J2285" s="527">
        <v>3</v>
      </c>
      <c r="K2285" s="527">
        <v>3</v>
      </c>
      <c r="L2285" s="529">
        <v>3</v>
      </c>
      <c r="M2285" s="626">
        <f t="shared" si="73"/>
        <v>1.1666438005107913</v>
      </c>
      <c r="N2285" s="530"/>
    </row>
    <row r="2286" spans="1:14" hidden="1" x14ac:dyDescent="0.2">
      <c r="A2286" s="621" t="s">
        <v>465</v>
      </c>
      <c r="B2286" s="524" t="s">
        <v>456</v>
      </c>
      <c r="C2286" s="247" t="s">
        <v>20</v>
      </c>
      <c r="D2286" s="527" t="s">
        <v>135</v>
      </c>
      <c r="E2286" s="623">
        <v>2.7480378244306741E-2</v>
      </c>
      <c r="F2286" s="250" t="s">
        <v>548</v>
      </c>
      <c r="G2286" s="528" t="s">
        <v>16</v>
      </c>
      <c r="H2286" s="527">
        <v>1</v>
      </c>
      <c r="I2286" s="527">
        <v>3</v>
      </c>
      <c r="J2286" s="527">
        <v>3</v>
      </c>
      <c r="K2286" s="527">
        <v>3</v>
      </c>
      <c r="L2286" s="529">
        <v>3</v>
      </c>
      <c r="M2286" s="626">
        <f t="shared" si="73"/>
        <v>1.1666438005107913</v>
      </c>
      <c r="N2286" s="530"/>
    </row>
    <row r="2287" spans="1:14" hidden="1" x14ac:dyDescent="0.2">
      <c r="A2287" s="621" t="s">
        <v>465</v>
      </c>
      <c r="B2287" s="524" t="s">
        <v>456</v>
      </c>
      <c r="C2287" s="247" t="s">
        <v>22</v>
      </c>
      <c r="D2287" s="527" t="s">
        <v>135</v>
      </c>
      <c r="E2287" s="623">
        <v>1.8347048673614461E-2</v>
      </c>
      <c r="F2287" s="250" t="s">
        <v>548</v>
      </c>
      <c r="G2287" s="528" t="s">
        <v>16</v>
      </c>
      <c r="H2287" s="527">
        <v>1</v>
      </c>
      <c r="I2287" s="527">
        <v>3</v>
      </c>
      <c r="J2287" s="527">
        <v>3</v>
      </c>
      <c r="K2287" s="527">
        <v>3</v>
      </c>
      <c r="L2287" s="529">
        <v>3</v>
      </c>
      <c r="M2287" s="626">
        <f t="shared" si="73"/>
        <v>1.1666438005107913</v>
      </c>
      <c r="N2287" s="530"/>
    </row>
    <row r="2288" spans="1:14" hidden="1" x14ac:dyDescent="0.2">
      <c r="A2288" s="621" t="s">
        <v>465</v>
      </c>
      <c r="B2288" s="524" t="s">
        <v>456</v>
      </c>
      <c r="C2288" s="247" t="s">
        <v>23</v>
      </c>
      <c r="D2288" s="527" t="s">
        <v>135</v>
      </c>
      <c r="E2288" s="623">
        <v>1.8455176446997131E-2</v>
      </c>
      <c r="F2288" s="250" t="s">
        <v>548</v>
      </c>
      <c r="G2288" s="528" t="s">
        <v>16</v>
      </c>
      <c r="H2288" s="527">
        <v>1</v>
      </c>
      <c r="I2288" s="527">
        <v>3</v>
      </c>
      <c r="J2288" s="527">
        <v>3</v>
      </c>
      <c r="K2288" s="527">
        <v>3</v>
      </c>
      <c r="L2288" s="529">
        <v>3</v>
      </c>
      <c r="M2288" s="626">
        <f t="shared" si="73"/>
        <v>1.1666438005107913</v>
      </c>
      <c r="N2288" s="530"/>
    </row>
    <row r="2289" spans="1:14" hidden="1" x14ac:dyDescent="0.2">
      <c r="A2289" s="621" t="s">
        <v>465</v>
      </c>
      <c r="B2289" s="524" t="s">
        <v>456</v>
      </c>
      <c r="C2289" s="247" t="s">
        <v>24</v>
      </c>
      <c r="D2289" s="527" t="s">
        <v>135</v>
      </c>
      <c r="E2289" s="623">
        <v>1.9510770624200958E-2</v>
      </c>
      <c r="F2289" s="250" t="s">
        <v>548</v>
      </c>
      <c r="G2289" s="528" t="s">
        <v>16</v>
      </c>
      <c r="H2289" s="527">
        <v>1</v>
      </c>
      <c r="I2289" s="527">
        <v>3</v>
      </c>
      <c r="J2289" s="527">
        <v>3</v>
      </c>
      <c r="K2289" s="527">
        <v>3</v>
      </c>
      <c r="L2289" s="529">
        <v>3</v>
      </c>
      <c r="M2289" s="626">
        <f t="shared" si="73"/>
        <v>1.1666438005107913</v>
      </c>
      <c r="N2289" s="530"/>
    </row>
    <row r="2290" spans="1:14" hidden="1" x14ac:dyDescent="0.2">
      <c r="A2290" s="621" t="s">
        <v>465</v>
      </c>
      <c r="B2290" s="524" t="s">
        <v>456</v>
      </c>
      <c r="C2290" s="247" t="s">
        <v>25</v>
      </c>
      <c r="D2290" s="527" t="s">
        <v>135</v>
      </c>
      <c r="E2290" s="623">
        <v>1.1778992738423829E-2</v>
      </c>
      <c r="F2290" s="250" t="s">
        <v>548</v>
      </c>
      <c r="G2290" s="528" t="s">
        <v>16</v>
      </c>
      <c r="H2290" s="527">
        <v>1</v>
      </c>
      <c r="I2290" s="527">
        <v>3</v>
      </c>
      <c r="J2290" s="527">
        <v>3</v>
      </c>
      <c r="K2290" s="527">
        <v>3</v>
      </c>
      <c r="L2290" s="529">
        <v>3</v>
      </c>
      <c r="M2290" s="626">
        <f t="shared" si="73"/>
        <v>1.1666438005107913</v>
      </c>
      <c r="N2290" s="530"/>
    </row>
    <row r="2291" spans="1:14" hidden="1" x14ac:dyDescent="0.2">
      <c r="A2291" s="621" t="s">
        <v>465</v>
      </c>
      <c r="B2291" s="524" t="s">
        <v>456</v>
      </c>
      <c r="C2291" s="247" t="s">
        <v>26</v>
      </c>
      <c r="D2291" s="527" t="s">
        <v>135</v>
      </c>
      <c r="E2291" s="623">
        <v>9.8470756092444624E-3</v>
      </c>
      <c r="F2291" s="250" t="s">
        <v>548</v>
      </c>
      <c r="G2291" s="528" t="s">
        <v>16</v>
      </c>
      <c r="H2291" s="527">
        <v>1</v>
      </c>
      <c r="I2291" s="527">
        <v>3</v>
      </c>
      <c r="J2291" s="527">
        <v>3</v>
      </c>
      <c r="K2291" s="527">
        <v>3</v>
      </c>
      <c r="L2291" s="529">
        <v>3</v>
      </c>
      <c r="M2291" s="626">
        <f t="shared" si="73"/>
        <v>1.1666438005107913</v>
      </c>
      <c r="N2291" s="530"/>
    </row>
    <row r="2292" spans="1:14" hidden="1" x14ac:dyDescent="0.2">
      <c r="A2292" s="621" t="s">
        <v>465</v>
      </c>
      <c r="B2292" s="524" t="s">
        <v>456</v>
      </c>
      <c r="C2292" s="247" t="s">
        <v>27</v>
      </c>
      <c r="D2292" s="527" t="s">
        <v>135</v>
      </c>
      <c r="E2292" s="623">
        <v>9.1034082272265348E-3</v>
      </c>
      <c r="F2292" s="250" t="s">
        <v>548</v>
      </c>
      <c r="G2292" s="528" t="s">
        <v>16</v>
      </c>
      <c r="H2292" s="527">
        <v>1</v>
      </c>
      <c r="I2292" s="527">
        <v>3</v>
      </c>
      <c r="J2292" s="527">
        <v>3</v>
      </c>
      <c r="K2292" s="527">
        <v>3</v>
      </c>
      <c r="L2292" s="529">
        <v>3</v>
      </c>
      <c r="M2292" s="626">
        <f t="shared" si="73"/>
        <v>1.1666438005107913</v>
      </c>
      <c r="N2292" s="530"/>
    </row>
    <row r="2293" spans="1:14" hidden="1" x14ac:dyDescent="0.2">
      <c r="A2293" s="621" t="s">
        <v>465</v>
      </c>
      <c r="B2293" s="524" t="s">
        <v>456</v>
      </c>
      <c r="C2293" s="247" t="s">
        <v>28</v>
      </c>
      <c r="D2293" s="527" t="s">
        <v>135</v>
      </c>
      <c r="E2293" s="623">
        <v>1.9473272631531431E-2</v>
      </c>
      <c r="F2293" s="250" t="s">
        <v>548</v>
      </c>
      <c r="G2293" s="528" t="s">
        <v>16</v>
      </c>
      <c r="H2293" s="527">
        <v>1</v>
      </c>
      <c r="I2293" s="527">
        <v>3</v>
      </c>
      <c r="J2293" s="527">
        <v>3</v>
      </c>
      <c r="K2293" s="527">
        <v>3</v>
      </c>
      <c r="L2293" s="529">
        <v>3</v>
      </c>
      <c r="M2293" s="626">
        <f t="shared" si="73"/>
        <v>1.1666438005107913</v>
      </c>
      <c r="N2293" s="530"/>
    </row>
    <row r="2294" spans="1:14" hidden="1" x14ac:dyDescent="0.2">
      <c r="A2294" s="621" t="s">
        <v>465</v>
      </c>
      <c r="B2294" s="524" t="s">
        <v>456</v>
      </c>
      <c r="C2294" s="247" t="s">
        <v>30</v>
      </c>
      <c r="D2294" s="527" t="s">
        <v>135</v>
      </c>
      <c r="E2294" s="623">
        <v>1.1695906432748541E-2</v>
      </c>
      <c r="F2294" s="250" t="s">
        <v>548</v>
      </c>
      <c r="G2294" s="528" t="s">
        <v>16</v>
      </c>
      <c r="H2294" s="527">
        <v>1</v>
      </c>
      <c r="I2294" s="527">
        <v>3</v>
      </c>
      <c r="J2294" s="527">
        <v>3</v>
      </c>
      <c r="K2294" s="527">
        <v>3</v>
      </c>
      <c r="L2294" s="529">
        <v>3</v>
      </c>
      <c r="M2294" s="626">
        <f t="shared" si="73"/>
        <v>1.1666438005107913</v>
      </c>
      <c r="N2294" s="530"/>
    </row>
    <row r="2295" spans="1:14" hidden="1" x14ac:dyDescent="0.2">
      <c r="A2295" s="621" t="s">
        <v>465</v>
      </c>
      <c r="B2295" s="524" t="s">
        <v>456</v>
      </c>
      <c r="C2295" s="247" t="s">
        <v>32</v>
      </c>
      <c r="D2295" s="527" t="s">
        <v>135</v>
      </c>
      <c r="E2295" s="623">
        <v>3.6916131694234432E-2</v>
      </c>
      <c r="F2295" s="250" t="s">
        <v>548</v>
      </c>
      <c r="G2295" s="528" t="s">
        <v>16</v>
      </c>
      <c r="H2295" s="527">
        <v>1</v>
      </c>
      <c r="I2295" s="527">
        <v>3</v>
      </c>
      <c r="J2295" s="527">
        <v>3</v>
      </c>
      <c r="K2295" s="527">
        <v>3</v>
      </c>
      <c r="L2295" s="529">
        <v>3</v>
      </c>
      <c r="M2295" s="626">
        <f t="shared" si="73"/>
        <v>1.1666438005107913</v>
      </c>
      <c r="N2295" s="530"/>
    </row>
    <row r="2296" spans="1:14" hidden="1" x14ac:dyDescent="0.2">
      <c r="A2296" s="621" t="s">
        <v>465</v>
      </c>
      <c r="B2296" s="524" t="s">
        <v>456</v>
      </c>
      <c r="C2296" s="247" t="s">
        <v>34</v>
      </c>
      <c r="D2296" s="527" t="s">
        <v>135</v>
      </c>
      <c r="E2296" s="623">
        <v>1.8616726018155581E-2</v>
      </c>
      <c r="F2296" s="250" t="s">
        <v>548</v>
      </c>
      <c r="G2296" s="528" t="s">
        <v>16</v>
      </c>
      <c r="H2296" s="527">
        <v>1</v>
      </c>
      <c r="I2296" s="527">
        <v>3</v>
      </c>
      <c r="J2296" s="527">
        <v>3</v>
      </c>
      <c r="K2296" s="527">
        <v>3</v>
      </c>
      <c r="L2296" s="529">
        <v>3</v>
      </c>
      <c r="M2296" s="626">
        <f t="shared" si="73"/>
        <v>1.1666438005107913</v>
      </c>
      <c r="N2296" s="530"/>
    </row>
    <row r="2297" spans="1:14" hidden="1" x14ac:dyDescent="0.2">
      <c r="A2297" s="621" t="s">
        <v>465</v>
      </c>
      <c r="B2297" s="524" t="s">
        <v>456</v>
      </c>
      <c r="C2297" s="247" t="s">
        <v>36</v>
      </c>
      <c r="D2297" s="527" t="s">
        <v>135</v>
      </c>
      <c r="E2297" s="623">
        <v>1.0930408027601091E-2</v>
      </c>
      <c r="F2297" s="250" t="s">
        <v>548</v>
      </c>
      <c r="G2297" s="528" t="s">
        <v>16</v>
      </c>
      <c r="H2297" s="527">
        <v>1</v>
      </c>
      <c r="I2297" s="527">
        <v>3</v>
      </c>
      <c r="J2297" s="527">
        <v>3</v>
      </c>
      <c r="K2297" s="527">
        <v>3</v>
      </c>
      <c r="L2297" s="529">
        <v>3</v>
      </c>
      <c r="M2297" s="626">
        <f t="shared" si="73"/>
        <v>1.1666438005107913</v>
      </c>
      <c r="N2297" s="530"/>
    </row>
    <row r="2298" spans="1:14" hidden="1" x14ac:dyDescent="0.2">
      <c r="A2298" s="621" t="s">
        <v>465</v>
      </c>
      <c r="B2298" s="524" t="s">
        <v>456</v>
      </c>
      <c r="C2298" s="247" t="s">
        <v>37</v>
      </c>
      <c r="D2298" s="527" t="s">
        <v>135</v>
      </c>
      <c r="E2298" s="623">
        <v>2.7233816100726279E-2</v>
      </c>
      <c r="F2298" s="250" t="s">
        <v>548</v>
      </c>
      <c r="G2298" s="528" t="s">
        <v>16</v>
      </c>
      <c r="H2298" s="527">
        <v>1</v>
      </c>
      <c r="I2298" s="527">
        <v>3</v>
      </c>
      <c r="J2298" s="527">
        <v>3</v>
      </c>
      <c r="K2298" s="527">
        <v>3</v>
      </c>
      <c r="L2298" s="529">
        <v>3</v>
      </c>
      <c r="M2298" s="626">
        <f t="shared" si="73"/>
        <v>1.1666438005107913</v>
      </c>
      <c r="N2298" s="530"/>
    </row>
    <row r="2299" spans="1:14" hidden="1" x14ac:dyDescent="0.2">
      <c r="A2299" s="621" t="s">
        <v>465</v>
      </c>
      <c r="B2299" s="524" t="s">
        <v>456</v>
      </c>
      <c r="C2299" s="247" t="s">
        <v>39</v>
      </c>
      <c r="D2299" s="527" t="s">
        <v>135</v>
      </c>
      <c r="E2299" s="623">
        <v>1.2391673981664641E-2</v>
      </c>
      <c r="F2299" s="250" t="s">
        <v>548</v>
      </c>
      <c r="G2299" s="528" t="s">
        <v>16</v>
      </c>
      <c r="H2299" s="527">
        <v>1</v>
      </c>
      <c r="I2299" s="527">
        <v>3</v>
      </c>
      <c r="J2299" s="527">
        <v>3</v>
      </c>
      <c r="K2299" s="527">
        <v>3</v>
      </c>
      <c r="L2299" s="529">
        <v>3</v>
      </c>
      <c r="M2299" s="626">
        <f t="shared" si="73"/>
        <v>1.1666438005107913</v>
      </c>
      <c r="N2299" s="530"/>
    </row>
    <row r="2300" spans="1:14" hidden="1" x14ac:dyDescent="0.2">
      <c r="A2300" s="621" t="s">
        <v>465</v>
      </c>
      <c r="B2300" s="524" t="s">
        <v>456</v>
      </c>
      <c r="C2300" s="247" t="s">
        <v>40</v>
      </c>
      <c r="D2300" s="527" t="s">
        <v>135</v>
      </c>
      <c r="E2300" s="623">
        <v>1.272466129328137E-2</v>
      </c>
      <c r="F2300" s="250" t="s">
        <v>548</v>
      </c>
      <c r="G2300" s="528" t="s">
        <v>16</v>
      </c>
      <c r="H2300" s="527">
        <v>1</v>
      </c>
      <c r="I2300" s="527">
        <v>3</v>
      </c>
      <c r="J2300" s="527">
        <v>3</v>
      </c>
      <c r="K2300" s="527">
        <v>3</v>
      </c>
      <c r="L2300" s="529">
        <v>3</v>
      </c>
      <c r="M2300" s="626">
        <f t="shared" si="73"/>
        <v>1.1666438005107913</v>
      </c>
      <c r="N2300" s="530"/>
    </row>
    <row r="2301" spans="1:14" hidden="1" x14ac:dyDescent="0.2">
      <c r="A2301" s="621" t="s">
        <v>465</v>
      </c>
      <c r="B2301" s="524" t="s">
        <v>456</v>
      </c>
      <c r="C2301" s="247" t="s">
        <v>41</v>
      </c>
      <c r="D2301" s="527" t="s">
        <v>135</v>
      </c>
      <c r="E2301" s="623">
        <v>1.5805147074639689E-2</v>
      </c>
      <c r="F2301" s="250" t="s">
        <v>548</v>
      </c>
      <c r="G2301" s="528" t="s">
        <v>16</v>
      </c>
      <c r="H2301" s="527">
        <v>1</v>
      </c>
      <c r="I2301" s="527">
        <v>3</v>
      </c>
      <c r="J2301" s="527">
        <v>3</v>
      </c>
      <c r="K2301" s="527">
        <v>3</v>
      </c>
      <c r="L2301" s="529">
        <v>3</v>
      </c>
      <c r="M2301" s="626">
        <f t="shared" si="73"/>
        <v>1.1666438005107913</v>
      </c>
      <c r="N2301" s="530"/>
    </row>
    <row r="2302" spans="1:14" hidden="1" x14ac:dyDescent="0.2">
      <c r="A2302" s="621" t="s">
        <v>465</v>
      </c>
      <c r="B2302" s="524" t="s">
        <v>456</v>
      </c>
      <c r="C2302" s="247" t="s">
        <v>42</v>
      </c>
      <c r="D2302" s="527" t="s">
        <v>135</v>
      </c>
      <c r="E2302" s="623">
        <v>7.8879339100447563E-3</v>
      </c>
      <c r="F2302" s="250" t="s">
        <v>548</v>
      </c>
      <c r="G2302" s="528" t="s">
        <v>16</v>
      </c>
      <c r="H2302" s="527">
        <v>1</v>
      </c>
      <c r="I2302" s="527">
        <v>3</v>
      </c>
      <c r="J2302" s="527">
        <v>3</v>
      </c>
      <c r="K2302" s="527">
        <v>3</v>
      </c>
      <c r="L2302" s="529">
        <v>3</v>
      </c>
      <c r="M2302" s="626">
        <f t="shared" si="73"/>
        <v>1.1666438005107913</v>
      </c>
      <c r="N2302" s="530"/>
    </row>
    <row r="2303" spans="1:14" hidden="1" x14ac:dyDescent="0.2">
      <c r="A2303" s="621" t="s">
        <v>465</v>
      </c>
      <c r="B2303" s="524" t="s">
        <v>456</v>
      </c>
      <c r="C2303" s="247" t="s">
        <v>43</v>
      </c>
      <c r="D2303" s="527" t="s">
        <v>135</v>
      </c>
      <c r="E2303" s="623">
        <v>1.4517630381130501E-2</v>
      </c>
      <c r="F2303" s="250" t="s">
        <v>548</v>
      </c>
      <c r="G2303" s="528" t="s">
        <v>16</v>
      </c>
      <c r="H2303" s="527">
        <v>1</v>
      </c>
      <c r="I2303" s="527">
        <v>3</v>
      </c>
      <c r="J2303" s="527">
        <v>3</v>
      </c>
      <c r="K2303" s="527">
        <v>3</v>
      </c>
      <c r="L2303" s="529">
        <v>3</v>
      </c>
      <c r="M2303" s="626">
        <f t="shared" si="73"/>
        <v>1.1666438005107913</v>
      </c>
      <c r="N2303" s="530"/>
    </row>
    <row r="2304" spans="1:14" x14ac:dyDescent="0.2">
      <c r="A2304" s="621" t="s">
        <v>465</v>
      </c>
      <c r="B2304" s="524" t="s">
        <v>456</v>
      </c>
      <c r="C2304" s="247" t="s">
        <v>45</v>
      </c>
      <c r="D2304" s="527" t="s">
        <v>135</v>
      </c>
      <c r="E2304" s="623">
        <v>8.3145377855521913E-3</v>
      </c>
      <c r="F2304" s="250" t="s">
        <v>548</v>
      </c>
      <c r="G2304" s="528" t="s">
        <v>16</v>
      </c>
      <c r="H2304" s="527">
        <v>2</v>
      </c>
      <c r="I2304" s="527">
        <v>3</v>
      </c>
      <c r="J2304" s="527">
        <v>3</v>
      </c>
      <c r="K2304" s="527">
        <v>3</v>
      </c>
      <c r="L2304" s="529">
        <v>3</v>
      </c>
      <c r="M2304" s="626">
        <f t="shared" si="73"/>
        <v>1.1713319510247036</v>
      </c>
      <c r="N2304" s="530"/>
    </row>
    <row r="2305" spans="1:14" hidden="1" x14ac:dyDescent="0.2">
      <c r="A2305" s="621" t="s">
        <v>465</v>
      </c>
      <c r="B2305" s="524" t="s">
        <v>456</v>
      </c>
      <c r="C2305" s="247" t="s">
        <v>46</v>
      </c>
      <c r="D2305" s="527" t="s">
        <v>135</v>
      </c>
      <c r="E2305" s="623">
        <v>2.5917919077148709E-2</v>
      </c>
      <c r="F2305" s="250" t="s">
        <v>548</v>
      </c>
      <c r="G2305" s="528" t="s">
        <v>16</v>
      </c>
      <c r="H2305" s="527">
        <v>1</v>
      </c>
      <c r="I2305" s="527">
        <v>3</v>
      </c>
      <c r="J2305" s="527">
        <v>3</v>
      </c>
      <c r="K2305" s="527">
        <v>3</v>
      </c>
      <c r="L2305" s="529">
        <v>3</v>
      </c>
      <c r="M2305" s="626">
        <f t="shared" si="73"/>
        <v>1.1666438005107913</v>
      </c>
      <c r="N2305" s="530"/>
    </row>
    <row r="2306" spans="1:14" hidden="1" x14ac:dyDescent="0.2">
      <c r="A2306" s="621" t="s">
        <v>465</v>
      </c>
      <c r="B2306" s="524" t="s">
        <v>456</v>
      </c>
      <c r="C2306" s="247" t="s">
        <v>48</v>
      </c>
      <c r="D2306" s="527" t="s">
        <v>135</v>
      </c>
      <c r="E2306" s="623">
        <v>2.2242473706619428E-2</v>
      </c>
      <c r="F2306" s="250" t="s">
        <v>548</v>
      </c>
      <c r="G2306" s="528" t="s">
        <v>16</v>
      </c>
      <c r="H2306" s="527">
        <v>1</v>
      </c>
      <c r="I2306" s="527">
        <v>3</v>
      </c>
      <c r="J2306" s="527">
        <v>3</v>
      </c>
      <c r="K2306" s="527">
        <v>3</v>
      </c>
      <c r="L2306" s="529">
        <v>3</v>
      </c>
      <c r="M2306" s="626">
        <f t="shared" si="73"/>
        <v>1.1666438005107913</v>
      </c>
      <c r="N2306" s="530"/>
    </row>
    <row r="2307" spans="1:14" hidden="1" x14ac:dyDescent="0.2">
      <c r="A2307" s="621" t="s">
        <v>465</v>
      </c>
      <c r="B2307" s="524" t="s">
        <v>456</v>
      </c>
      <c r="C2307" s="247" t="s">
        <v>50</v>
      </c>
      <c r="D2307" s="527" t="s">
        <v>135</v>
      </c>
      <c r="E2307" s="623">
        <v>2.595785700769743E-2</v>
      </c>
      <c r="F2307" s="250" t="s">
        <v>548</v>
      </c>
      <c r="G2307" s="528" t="s">
        <v>16</v>
      </c>
      <c r="H2307" s="527">
        <v>1</v>
      </c>
      <c r="I2307" s="527">
        <v>3</v>
      </c>
      <c r="J2307" s="527">
        <v>3</v>
      </c>
      <c r="K2307" s="527">
        <v>3</v>
      </c>
      <c r="L2307" s="529">
        <v>3</v>
      </c>
      <c r="M2307" s="626">
        <f t="shared" si="73"/>
        <v>1.1666438005107913</v>
      </c>
      <c r="N2307" s="530"/>
    </row>
    <row r="2308" spans="1:14" hidden="1" x14ac:dyDescent="0.2">
      <c r="A2308" s="621" t="s">
        <v>465</v>
      </c>
      <c r="B2308" s="524" t="s">
        <v>456</v>
      </c>
      <c r="C2308" s="247" t="s">
        <v>52</v>
      </c>
      <c r="D2308" s="527" t="s">
        <v>135</v>
      </c>
      <c r="E2308" s="623">
        <v>2.902241898394951E-2</v>
      </c>
      <c r="F2308" s="250" t="s">
        <v>548</v>
      </c>
      <c r="G2308" s="528" t="s">
        <v>16</v>
      </c>
      <c r="H2308" s="527">
        <v>1</v>
      </c>
      <c r="I2308" s="527">
        <v>3</v>
      </c>
      <c r="J2308" s="527">
        <v>3</v>
      </c>
      <c r="K2308" s="527">
        <v>3</v>
      </c>
      <c r="L2308" s="529">
        <v>3</v>
      </c>
      <c r="M2308" s="626">
        <f t="shared" si="73"/>
        <v>1.1666438005107913</v>
      </c>
      <c r="N2308" s="530"/>
    </row>
    <row r="2309" spans="1:14" hidden="1" x14ac:dyDescent="0.2">
      <c r="A2309" s="621" t="s">
        <v>465</v>
      </c>
      <c r="B2309" s="524" t="s">
        <v>456</v>
      </c>
      <c r="C2309" s="247" t="s">
        <v>54</v>
      </c>
      <c r="D2309" s="527" t="s">
        <v>135</v>
      </c>
      <c r="E2309" s="623">
        <v>1.1757033297511189E-2</v>
      </c>
      <c r="F2309" s="250" t="s">
        <v>548</v>
      </c>
      <c r="G2309" s="528" t="s">
        <v>16</v>
      </c>
      <c r="H2309" s="527">
        <v>1</v>
      </c>
      <c r="I2309" s="527">
        <v>3</v>
      </c>
      <c r="J2309" s="527">
        <v>3</v>
      </c>
      <c r="K2309" s="527">
        <v>3</v>
      </c>
      <c r="L2309" s="529">
        <v>3</v>
      </c>
      <c r="M2309" s="626">
        <f t="shared" si="73"/>
        <v>1.1666438005107913</v>
      </c>
      <c r="N2309" s="530"/>
    </row>
    <row r="2310" spans="1:14" hidden="1" x14ac:dyDescent="0.2">
      <c r="A2310" s="621" t="s">
        <v>465</v>
      </c>
      <c r="B2310" s="524" t="s">
        <v>456</v>
      </c>
      <c r="C2310" s="247" t="s">
        <v>55</v>
      </c>
      <c r="D2310" s="527" t="s">
        <v>135</v>
      </c>
      <c r="E2310" s="623">
        <v>1.6942928633037001E-2</v>
      </c>
      <c r="F2310" s="250" t="s">
        <v>548</v>
      </c>
      <c r="G2310" s="528" t="s">
        <v>16</v>
      </c>
      <c r="H2310" s="527">
        <v>1</v>
      </c>
      <c r="I2310" s="527">
        <v>3</v>
      </c>
      <c r="J2310" s="527">
        <v>3</v>
      </c>
      <c r="K2310" s="527">
        <v>3</v>
      </c>
      <c r="L2310" s="529">
        <v>3</v>
      </c>
      <c r="M2310" s="626">
        <f t="shared" si="73"/>
        <v>1.1666438005107913</v>
      </c>
      <c r="N2310" s="530"/>
    </row>
    <row r="2311" spans="1:14" hidden="1" x14ac:dyDescent="0.2">
      <c r="A2311" s="621" t="s">
        <v>465</v>
      </c>
      <c r="B2311" s="524" t="s">
        <v>456</v>
      </c>
      <c r="C2311" s="247" t="s">
        <v>57</v>
      </c>
      <c r="D2311" s="527" t="s">
        <v>135</v>
      </c>
      <c r="E2311" s="623">
        <v>8.3145377855521913E-3</v>
      </c>
      <c r="F2311" s="250" t="s">
        <v>548</v>
      </c>
      <c r="G2311" s="528" t="s">
        <v>16</v>
      </c>
      <c r="H2311" s="527">
        <v>1</v>
      </c>
      <c r="I2311" s="527">
        <v>3</v>
      </c>
      <c r="J2311" s="527">
        <v>3</v>
      </c>
      <c r="K2311" s="527">
        <v>3</v>
      </c>
      <c r="L2311" s="529">
        <v>3</v>
      </c>
      <c r="M2311" s="626">
        <f t="shared" si="73"/>
        <v>1.1666438005107913</v>
      </c>
      <c r="N2311" s="530"/>
    </row>
    <row r="2312" spans="1:14" hidden="1" x14ac:dyDescent="0.2">
      <c r="A2312" s="621" t="s">
        <v>465</v>
      </c>
      <c r="B2312" s="524" t="s">
        <v>456</v>
      </c>
      <c r="C2312" s="247" t="s">
        <v>59</v>
      </c>
      <c r="D2312" s="527" t="s">
        <v>135</v>
      </c>
      <c r="E2312" s="623">
        <v>1.1695906432748541E-2</v>
      </c>
      <c r="F2312" s="250" t="s">
        <v>548</v>
      </c>
      <c r="G2312" s="528" t="s">
        <v>16</v>
      </c>
      <c r="H2312" s="519">
        <v>1</v>
      </c>
      <c r="I2312" s="527">
        <v>3</v>
      </c>
      <c r="J2312" s="527">
        <v>3</v>
      </c>
      <c r="K2312" s="527">
        <v>3</v>
      </c>
      <c r="L2312" s="529">
        <v>3</v>
      </c>
      <c r="M2312" s="626">
        <f t="shared" si="73"/>
        <v>1.1666438005107913</v>
      </c>
      <c r="N2312" s="530"/>
    </row>
    <row r="2313" spans="1:14" hidden="1" x14ac:dyDescent="0.2">
      <c r="A2313" s="621" t="s">
        <v>465</v>
      </c>
      <c r="B2313" s="524" t="s">
        <v>456</v>
      </c>
      <c r="C2313" s="247" t="s">
        <v>60</v>
      </c>
      <c r="D2313" s="527" t="s">
        <v>135</v>
      </c>
      <c r="E2313" s="627">
        <v>1.522829439288791E-2</v>
      </c>
      <c r="F2313" s="250" t="s">
        <v>548</v>
      </c>
      <c r="G2313" s="528" t="s">
        <v>16</v>
      </c>
      <c r="H2313" s="519">
        <v>2</v>
      </c>
      <c r="I2313" s="527">
        <v>3</v>
      </c>
      <c r="J2313" s="527">
        <v>3</v>
      </c>
      <c r="K2313" s="527">
        <v>3</v>
      </c>
      <c r="L2313" s="529">
        <v>3</v>
      </c>
      <c r="M2313" s="521">
        <f t="shared" si="73"/>
        <v>1.1713319510247036</v>
      </c>
      <c r="N2313" s="522"/>
    </row>
    <row r="2314" spans="1:14" hidden="1" x14ac:dyDescent="0.2">
      <c r="A2314" s="621" t="s">
        <v>465</v>
      </c>
      <c r="B2314" s="611" t="s">
        <v>549</v>
      </c>
      <c r="C2314" s="247" t="s">
        <v>13</v>
      </c>
      <c r="D2314" s="527" t="s">
        <v>135</v>
      </c>
      <c r="E2314" s="623">
        <v>7.6155341085015994E-3</v>
      </c>
      <c r="F2314" s="250" t="s">
        <v>548</v>
      </c>
      <c r="G2314" s="528" t="s">
        <v>16</v>
      </c>
      <c r="H2314" s="527">
        <v>1</v>
      </c>
      <c r="I2314" s="527">
        <v>3</v>
      </c>
      <c r="J2314" s="527">
        <v>3</v>
      </c>
      <c r="K2314" s="527">
        <v>3</v>
      </c>
      <c r="L2314" s="529">
        <v>3</v>
      </c>
      <c r="M2314" s="626">
        <f t="shared" si="73"/>
        <v>1.1666438005107913</v>
      </c>
      <c r="N2314" s="530"/>
    </row>
    <row r="2315" spans="1:14" hidden="1" x14ac:dyDescent="0.2">
      <c r="A2315" s="621" t="s">
        <v>465</v>
      </c>
      <c r="B2315" s="611" t="s">
        <v>549</v>
      </c>
      <c r="C2315" s="247" t="s">
        <v>18</v>
      </c>
      <c r="D2315" s="527" t="s">
        <v>135</v>
      </c>
      <c r="E2315" s="623">
        <v>1.93122303106163E-2</v>
      </c>
      <c r="F2315" s="250" t="s">
        <v>548</v>
      </c>
      <c r="G2315" s="528" t="s">
        <v>16</v>
      </c>
      <c r="H2315" s="527">
        <v>1</v>
      </c>
      <c r="I2315" s="527">
        <v>3</v>
      </c>
      <c r="J2315" s="527">
        <v>3</v>
      </c>
      <c r="K2315" s="527">
        <v>3</v>
      </c>
      <c r="L2315" s="529">
        <v>3</v>
      </c>
      <c r="M2315" s="626">
        <f t="shared" ref="M2315:M2345" si="74">IF( OR( ISBLANK(H2315),ISBLANK(I2315), ISBLANK(J2315), ISBLANK(K2315), ISBLANK(L2315) ), "", 1.5*SQRT( EXP(2.21*(H2315-1)) + EXP(2.21*(I2315-1)) + EXP(2.21*(J2315-1)) + EXP(2.21*(K2315-1)) + EXP(2.21*L2315) )/100*2.45 )</f>
        <v>1.1666438005107913</v>
      </c>
      <c r="N2315" s="530"/>
    </row>
    <row r="2316" spans="1:14" hidden="1" x14ac:dyDescent="0.2">
      <c r="A2316" s="621" t="s">
        <v>465</v>
      </c>
      <c r="B2316" s="611" t="s">
        <v>549</v>
      </c>
      <c r="C2316" s="247" t="s">
        <v>20</v>
      </c>
      <c r="D2316" s="527" t="s">
        <v>135</v>
      </c>
      <c r="E2316" s="623">
        <v>2.3495723398882271E-2</v>
      </c>
      <c r="F2316" s="250" t="s">
        <v>548</v>
      </c>
      <c r="G2316" s="528" t="s">
        <v>16</v>
      </c>
      <c r="H2316" s="527">
        <v>1</v>
      </c>
      <c r="I2316" s="527">
        <v>3</v>
      </c>
      <c r="J2316" s="527">
        <v>3</v>
      </c>
      <c r="K2316" s="527">
        <v>3</v>
      </c>
      <c r="L2316" s="529">
        <v>3</v>
      </c>
      <c r="M2316" s="626">
        <f t="shared" si="74"/>
        <v>1.1666438005107913</v>
      </c>
      <c r="N2316" s="530"/>
    </row>
    <row r="2317" spans="1:14" hidden="1" x14ac:dyDescent="0.2">
      <c r="A2317" s="621" t="s">
        <v>465</v>
      </c>
      <c r="B2317" s="611" t="s">
        <v>549</v>
      </c>
      <c r="C2317" s="247" t="s">
        <v>22</v>
      </c>
      <c r="D2317" s="527" t="s">
        <v>135</v>
      </c>
      <c r="E2317" s="623">
        <v>1.5686726615940359E-2</v>
      </c>
      <c r="F2317" s="250" t="s">
        <v>548</v>
      </c>
      <c r="G2317" s="528" t="s">
        <v>16</v>
      </c>
      <c r="H2317" s="527">
        <v>1</v>
      </c>
      <c r="I2317" s="527">
        <v>3</v>
      </c>
      <c r="J2317" s="527">
        <v>3</v>
      </c>
      <c r="K2317" s="527">
        <v>3</v>
      </c>
      <c r="L2317" s="529">
        <v>3</v>
      </c>
      <c r="M2317" s="626">
        <f t="shared" si="74"/>
        <v>1.1666438005107913</v>
      </c>
      <c r="N2317" s="530"/>
    </row>
    <row r="2318" spans="1:14" hidden="1" x14ac:dyDescent="0.2">
      <c r="A2318" s="621" t="s">
        <v>465</v>
      </c>
      <c r="B2318" s="611" t="s">
        <v>549</v>
      </c>
      <c r="C2318" s="247" t="s">
        <v>23</v>
      </c>
      <c r="D2318" s="527" t="s">
        <v>135</v>
      </c>
      <c r="E2318" s="623">
        <v>1.577917586218255E-2</v>
      </c>
      <c r="F2318" s="250" t="s">
        <v>548</v>
      </c>
      <c r="G2318" s="528" t="s">
        <v>16</v>
      </c>
      <c r="H2318" s="527">
        <v>1</v>
      </c>
      <c r="I2318" s="527">
        <v>3</v>
      </c>
      <c r="J2318" s="527">
        <v>3</v>
      </c>
      <c r="K2318" s="527">
        <v>3</v>
      </c>
      <c r="L2318" s="529">
        <v>3</v>
      </c>
      <c r="M2318" s="626">
        <f t="shared" si="74"/>
        <v>1.1666438005107913</v>
      </c>
      <c r="N2318" s="530"/>
    </row>
    <row r="2319" spans="1:14" hidden="1" x14ac:dyDescent="0.2">
      <c r="A2319" s="621" t="s">
        <v>465</v>
      </c>
      <c r="B2319" s="611" t="s">
        <v>549</v>
      </c>
      <c r="C2319" s="247" t="s">
        <v>24</v>
      </c>
      <c r="D2319" s="527" t="s">
        <v>135</v>
      </c>
      <c r="E2319" s="623">
        <v>1.6681708883691821E-2</v>
      </c>
      <c r="F2319" s="250" t="s">
        <v>548</v>
      </c>
      <c r="G2319" s="528" t="s">
        <v>16</v>
      </c>
      <c r="H2319" s="527">
        <v>1</v>
      </c>
      <c r="I2319" s="527">
        <v>3</v>
      </c>
      <c r="J2319" s="527">
        <v>3</v>
      </c>
      <c r="K2319" s="527">
        <v>3</v>
      </c>
      <c r="L2319" s="529">
        <v>3</v>
      </c>
      <c r="M2319" s="626">
        <f t="shared" si="74"/>
        <v>1.1666438005107913</v>
      </c>
      <c r="N2319" s="530"/>
    </row>
    <row r="2320" spans="1:14" hidden="1" x14ac:dyDescent="0.2">
      <c r="A2320" s="621" t="s">
        <v>465</v>
      </c>
      <c r="B2320" s="611" t="s">
        <v>549</v>
      </c>
      <c r="C2320" s="247" t="s">
        <v>25</v>
      </c>
      <c r="D2320" s="527" t="s">
        <v>135</v>
      </c>
      <c r="E2320" s="623">
        <v>1.007103879135237E-2</v>
      </c>
      <c r="F2320" s="250" t="s">
        <v>548</v>
      </c>
      <c r="G2320" s="528" t="s">
        <v>16</v>
      </c>
      <c r="H2320" s="527">
        <v>1</v>
      </c>
      <c r="I2320" s="527">
        <v>3</v>
      </c>
      <c r="J2320" s="527">
        <v>3</v>
      </c>
      <c r="K2320" s="527">
        <v>3</v>
      </c>
      <c r="L2320" s="529">
        <v>3</v>
      </c>
      <c r="M2320" s="626">
        <f t="shared" si="74"/>
        <v>1.1666438005107913</v>
      </c>
      <c r="N2320" s="530"/>
    </row>
    <row r="2321" spans="1:14" hidden="1" x14ac:dyDescent="0.2">
      <c r="A2321" s="621" t="s">
        <v>465</v>
      </c>
      <c r="B2321" s="611" t="s">
        <v>549</v>
      </c>
      <c r="C2321" s="247" t="s">
        <v>26</v>
      </c>
      <c r="D2321" s="527" t="s">
        <v>135</v>
      </c>
      <c r="E2321" s="623">
        <v>8.4192496459040162E-3</v>
      </c>
      <c r="F2321" s="250" t="s">
        <v>548</v>
      </c>
      <c r="G2321" s="528" t="s">
        <v>16</v>
      </c>
      <c r="H2321" s="527">
        <v>1</v>
      </c>
      <c r="I2321" s="527">
        <v>3</v>
      </c>
      <c r="J2321" s="527">
        <v>3</v>
      </c>
      <c r="K2321" s="527">
        <v>3</v>
      </c>
      <c r="L2321" s="529">
        <v>3</v>
      </c>
      <c r="M2321" s="626">
        <f t="shared" si="74"/>
        <v>1.1666438005107913</v>
      </c>
      <c r="N2321" s="530"/>
    </row>
    <row r="2322" spans="1:14" hidden="1" x14ac:dyDescent="0.2">
      <c r="A2322" s="621" t="s">
        <v>465</v>
      </c>
      <c r="B2322" s="611" t="s">
        <v>549</v>
      </c>
      <c r="C2322" s="247" t="s">
        <v>27</v>
      </c>
      <c r="D2322" s="527" t="s">
        <v>135</v>
      </c>
      <c r="E2322" s="623">
        <v>7.7834140342786873E-3</v>
      </c>
      <c r="F2322" s="250" t="s">
        <v>548</v>
      </c>
      <c r="G2322" s="528" t="s">
        <v>16</v>
      </c>
      <c r="H2322" s="527">
        <v>1</v>
      </c>
      <c r="I2322" s="527">
        <v>3</v>
      </c>
      <c r="J2322" s="527">
        <v>3</v>
      </c>
      <c r="K2322" s="527">
        <v>3</v>
      </c>
      <c r="L2322" s="529">
        <v>3</v>
      </c>
      <c r="M2322" s="626">
        <f t="shared" si="74"/>
        <v>1.1666438005107913</v>
      </c>
      <c r="N2322" s="530"/>
    </row>
    <row r="2323" spans="1:14" hidden="1" x14ac:dyDescent="0.2">
      <c r="A2323" s="621" t="s">
        <v>465</v>
      </c>
      <c r="B2323" s="611" t="s">
        <v>549</v>
      </c>
      <c r="C2323" s="247" t="s">
        <v>28</v>
      </c>
      <c r="D2323" s="527" t="s">
        <v>135</v>
      </c>
      <c r="E2323" s="623">
        <v>1.6649648099959381E-2</v>
      </c>
      <c r="F2323" s="250" t="s">
        <v>548</v>
      </c>
      <c r="G2323" s="528" t="s">
        <v>16</v>
      </c>
      <c r="H2323" s="527">
        <v>1</v>
      </c>
      <c r="I2323" s="527">
        <v>3</v>
      </c>
      <c r="J2323" s="527">
        <v>3</v>
      </c>
      <c r="K2323" s="527">
        <v>3</v>
      </c>
      <c r="L2323" s="529">
        <v>3</v>
      </c>
      <c r="M2323" s="626">
        <f t="shared" si="74"/>
        <v>1.1666438005107913</v>
      </c>
      <c r="N2323" s="530"/>
    </row>
    <row r="2324" spans="1:14" hidden="1" x14ac:dyDescent="0.2">
      <c r="A2324" s="621" t="s">
        <v>465</v>
      </c>
      <c r="B2324" s="611" t="s">
        <v>549</v>
      </c>
      <c r="C2324" s="247" t="s">
        <v>30</v>
      </c>
      <c r="D2324" s="527" t="s">
        <v>135</v>
      </c>
      <c r="E2324" s="623">
        <v>0.01</v>
      </c>
      <c r="F2324" s="250" t="s">
        <v>548</v>
      </c>
      <c r="G2324" s="528" t="s">
        <v>16</v>
      </c>
      <c r="H2324" s="527">
        <v>1</v>
      </c>
      <c r="I2324" s="527">
        <v>3</v>
      </c>
      <c r="J2324" s="527">
        <v>3</v>
      </c>
      <c r="K2324" s="527">
        <v>3</v>
      </c>
      <c r="L2324" s="529">
        <v>3</v>
      </c>
      <c r="M2324" s="626">
        <f t="shared" si="74"/>
        <v>1.1666438005107913</v>
      </c>
      <c r="N2324" s="530"/>
    </row>
    <row r="2325" spans="1:14" hidden="1" x14ac:dyDescent="0.2">
      <c r="A2325" s="621" t="s">
        <v>465</v>
      </c>
      <c r="B2325" s="611" t="s">
        <v>549</v>
      </c>
      <c r="C2325" s="247" t="s">
        <v>32</v>
      </c>
      <c r="D2325" s="527" t="s">
        <v>135</v>
      </c>
      <c r="E2325" s="623">
        <v>3.1563292598570443E-2</v>
      </c>
      <c r="F2325" s="250" t="s">
        <v>548</v>
      </c>
      <c r="G2325" s="528" t="s">
        <v>16</v>
      </c>
      <c r="H2325" s="527">
        <v>1</v>
      </c>
      <c r="I2325" s="527">
        <v>3</v>
      </c>
      <c r="J2325" s="527">
        <v>3</v>
      </c>
      <c r="K2325" s="527">
        <v>3</v>
      </c>
      <c r="L2325" s="529">
        <v>3</v>
      </c>
      <c r="M2325" s="626">
        <f t="shared" si="74"/>
        <v>1.1666438005107913</v>
      </c>
      <c r="N2325" s="530"/>
    </row>
    <row r="2326" spans="1:14" hidden="1" x14ac:dyDescent="0.2">
      <c r="A2326" s="621" t="s">
        <v>465</v>
      </c>
      <c r="B2326" s="611" t="s">
        <v>549</v>
      </c>
      <c r="C2326" s="247" t="s">
        <v>34</v>
      </c>
      <c r="D2326" s="527" t="s">
        <v>135</v>
      </c>
      <c r="E2326" s="623">
        <v>1.5917300745523021E-2</v>
      </c>
      <c r="F2326" s="250" t="s">
        <v>548</v>
      </c>
      <c r="G2326" s="528" t="s">
        <v>16</v>
      </c>
      <c r="H2326" s="527">
        <v>1</v>
      </c>
      <c r="I2326" s="527">
        <v>3</v>
      </c>
      <c r="J2326" s="527">
        <v>3</v>
      </c>
      <c r="K2326" s="527">
        <v>3</v>
      </c>
      <c r="L2326" s="529">
        <v>3</v>
      </c>
      <c r="M2326" s="626">
        <f t="shared" si="74"/>
        <v>1.1666438005107913</v>
      </c>
      <c r="N2326" s="530"/>
    </row>
    <row r="2327" spans="1:14" hidden="1" x14ac:dyDescent="0.2">
      <c r="A2327" s="621" t="s">
        <v>465</v>
      </c>
      <c r="B2327" s="611" t="s">
        <v>549</v>
      </c>
      <c r="C2327" s="247" t="s">
        <v>36</v>
      </c>
      <c r="D2327" s="527" t="s">
        <v>135</v>
      </c>
      <c r="E2327" s="623">
        <v>9.3454988635989344E-3</v>
      </c>
      <c r="F2327" s="250" t="s">
        <v>548</v>
      </c>
      <c r="G2327" s="528" t="s">
        <v>16</v>
      </c>
      <c r="H2327" s="527">
        <v>1</v>
      </c>
      <c r="I2327" s="527">
        <v>3</v>
      </c>
      <c r="J2327" s="527">
        <v>3</v>
      </c>
      <c r="K2327" s="527">
        <v>3</v>
      </c>
      <c r="L2327" s="529">
        <v>3</v>
      </c>
      <c r="M2327" s="626">
        <f t="shared" si="74"/>
        <v>1.1666438005107913</v>
      </c>
      <c r="N2327" s="530"/>
    </row>
    <row r="2328" spans="1:14" hidden="1" x14ac:dyDescent="0.2">
      <c r="A2328" s="621" t="s">
        <v>465</v>
      </c>
      <c r="B2328" s="611" t="s">
        <v>549</v>
      </c>
      <c r="C2328" s="247" t="s">
        <v>37</v>
      </c>
      <c r="D2328" s="527" t="s">
        <v>135</v>
      </c>
      <c r="E2328" s="623">
        <v>2.328491276612097E-2</v>
      </c>
      <c r="F2328" s="250" t="s">
        <v>548</v>
      </c>
      <c r="G2328" s="528" t="s">
        <v>16</v>
      </c>
      <c r="H2328" s="527">
        <v>1</v>
      </c>
      <c r="I2328" s="527">
        <v>3</v>
      </c>
      <c r="J2328" s="527">
        <v>3</v>
      </c>
      <c r="K2328" s="527">
        <v>3</v>
      </c>
      <c r="L2328" s="529">
        <v>3</v>
      </c>
      <c r="M2328" s="626">
        <f t="shared" si="74"/>
        <v>1.1666438005107913</v>
      </c>
      <c r="N2328" s="530"/>
    </row>
    <row r="2329" spans="1:14" hidden="1" x14ac:dyDescent="0.2">
      <c r="A2329" s="621" t="s">
        <v>465</v>
      </c>
      <c r="B2329" s="611" t="s">
        <v>549</v>
      </c>
      <c r="C2329" s="247" t="s">
        <v>39</v>
      </c>
      <c r="D2329" s="527" t="s">
        <v>135</v>
      </c>
      <c r="E2329" s="623">
        <v>1.0594881254323269E-2</v>
      </c>
      <c r="F2329" s="250" t="s">
        <v>548</v>
      </c>
      <c r="G2329" s="528" t="s">
        <v>16</v>
      </c>
      <c r="H2329" s="527">
        <v>1</v>
      </c>
      <c r="I2329" s="527">
        <v>3</v>
      </c>
      <c r="J2329" s="527">
        <v>3</v>
      </c>
      <c r="K2329" s="527">
        <v>3</v>
      </c>
      <c r="L2329" s="529">
        <v>3</v>
      </c>
      <c r="M2329" s="626">
        <f t="shared" si="74"/>
        <v>1.1666438005107913</v>
      </c>
      <c r="N2329" s="530"/>
    </row>
    <row r="2330" spans="1:14" hidden="1" x14ac:dyDescent="0.2">
      <c r="A2330" s="621" t="s">
        <v>465</v>
      </c>
      <c r="B2330" s="611" t="s">
        <v>549</v>
      </c>
      <c r="C2330" s="247" t="s">
        <v>40</v>
      </c>
      <c r="D2330" s="527" t="s">
        <v>135</v>
      </c>
      <c r="E2330" s="623">
        <v>1.087958540575557E-2</v>
      </c>
      <c r="F2330" s="250" t="s">
        <v>548</v>
      </c>
      <c r="G2330" s="528" t="s">
        <v>16</v>
      </c>
      <c r="H2330" s="527">
        <v>1</v>
      </c>
      <c r="I2330" s="527">
        <v>3</v>
      </c>
      <c r="J2330" s="527">
        <v>3</v>
      </c>
      <c r="K2330" s="527">
        <v>3</v>
      </c>
      <c r="L2330" s="529">
        <v>3</v>
      </c>
      <c r="M2330" s="626">
        <f t="shared" si="74"/>
        <v>1.1666438005107913</v>
      </c>
      <c r="N2330" s="530"/>
    </row>
    <row r="2331" spans="1:14" hidden="1" x14ac:dyDescent="0.2">
      <c r="A2331" s="621" t="s">
        <v>465</v>
      </c>
      <c r="B2331" s="611" t="s">
        <v>549</v>
      </c>
      <c r="C2331" s="247" t="s">
        <v>41</v>
      </c>
      <c r="D2331" s="527" t="s">
        <v>135</v>
      </c>
      <c r="E2331" s="623">
        <v>1.3513400748816941E-2</v>
      </c>
      <c r="F2331" s="250" t="s">
        <v>548</v>
      </c>
      <c r="G2331" s="528" t="s">
        <v>16</v>
      </c>
      <c r="H2331" s="527">
        <v>1</v>
      </c>
      <c r="I2331" s="527">
        <v>3</v>
      </c>
      <c r="J2331" s="527">
        <v>3</v>
      </c>
      <c r="K2331" s="527">
        <v>3</v>
      </c>
      <c r="L2331" s="529">
        <v>3</v>
      </c>
      <c r="M2331" s="626">
        <f t="shared" si="74"/>
        <v>1.1666438005107913</v>
      </c>
      <c r="N2331" s="530"/>
    </row>
    <row r="2332" spans="1:14" hidden="1" x14ac:dyDescent="0.2">
      <c r="A2332" s="621" t="s">
        <v>465</v>
      </c>
      <c r="B2332" s="611" t="s">
        <v>549</v>
      </c>
      <c r="C2332" s="247" t="s">
        <v>42</v>
      </c>
      <c r="D2332" s="527" t="s">
        <v>135</v>
      </c>
      <c r="E2332" s="623">
        <v>6.7441834930882672E-3</v>
      </c>
      <c r="F2332" s="250" t="s">
        <v>548</v>
      </c>
      <c r="G2332" s="528" t="s">
        <v>16</v>
      </c>
      <c r="H2332" s="527">
        <v>1</v>
      </c>
      <c r="I2332" s="527">
        <v>3</v>
      </c>
      <c r="J2332" s="527">
        <v>3</v>
      </c>
      <c r="K2332" s="527">
        <v>3</v>
      </c>
      <c r="L2332" s="529">
        <v>3</v>
      </c>
      <c r="M2332" s="626">
        <f t="shared" si="74"/>
        <v>1.1666438005107913</v>
      </c>
      <c r="N2332" s="530"/>
    </row>
    <row r="2333" spans="1:14" hidden="1" x14ac:dyDescent="0.2">
      <c r="A2333" s="621" t="s">
        <v>465</v>
      </c>
      <c r="B2333" s="611" t="s">
        <v>549</v>
      </c>
      <c r="C2333" s="247" t="s">
        <v>43</v>
      </c>
      <c r="D2333" s="527" t="s">
        <v>135</v>
      </c>
      <c r="E2333" s="623">
        <v>1.241257397586657E-2</v>
      </c>
      <c r="F2333" s="250" t="s">
        <v>548</v>
      </c>
      <c r="G2333" s="528" t="s">
        <v>16</v>
      </c>
      <c r="H2333" s="527">
        <v>1</v>
      </c>
      <c r="I2333" s="527">
        <v>3</v>
      </c>
      <c r="J2333" s="527">
        <v>3</v>
      </c>
      <c r="K2333" s="527">
        <v>3</v>
      </c>
      <c r="L2333" s="529">
        <v>3</v>
      </c>
      <c r="M2333" s="626">
        <f t="shared" si="74"/>
        <v>1.1666438005107913</v>
      </c>
      <c r="N2333" s="530"/>
    </row>
    <row r="2334" spans="1:14" x14ac:dyDescent="0.2">
      <c r="A2334" s="621" t="s">
        <v>465</v>
      </c>
      <c r="B2334" s="611" t="s">
        <v>549</v>
      </c>
      <c r="C2334" s="247" t="s">
        <v>45</v>
      </c>
      <c r="D2334" s="527" t="s">
        <v>135</v>
      </c>
      <c r="E2334" s="623">
        <v>7.108929806647124E-3</v>
      </c>
      <c r="F2334" s="250" t="s">
        <v>548</v>
      </c>
      <c r="G2334" s="528" t="s">
        <v>16</v>
      </c>
      <c r="H2334" s="527">
        <v>2</v>
      </c>
      <c r="I2334" s="527">
        <v>3</v>
      </c>
      <c r="J2334" s="527">
        <v>3</v>
      </c>
      <c r="K2334" s="527">
        <v>3</v>
      </c>
      <c r="L2334" s="529">
        <v>3</v>
      </c>
      <c r="M2334" s="626">
        <f t="shared" si="74"/>
        <v>1.1713319510247036</v>
      </c>
      <c r="N2334" s="530"/>
    </row>
    <row r="2335" spans="1:14" hidden="1" x14ac:dyDescent="0.2">
      <c r="A2335" s="621" t="s">
        <v>465</v>
      </c>
      <c r="B2335" s="611" t="s">
        <v>549</v>
      </c>
      <c r="C2335" s="247" t="s">
        <v>46</v>
      </c>
      <c r="D2335" s="527" t="s">
        <v>135</v>
      </c>
      <c r="E2335" s="623">
        <v>2.2159820810962148E-2</v>
      </c>
      <c r="F2335" s="250" t="s">
        <v>548</v>
      </c>
      <c r="G2335" s="528" t="s">
        <v>16</v>
      </c>
      <c r="H2335" s="527">
        <v>1</v>
      </c>
      <c r="I2335" s="527">
        <v>3</v>
      </c>
      <c r="J2335" s="527">
        <v>3</v>
      </c>
      <c r="K2335" s="527">
        <v>3</v>
      </c>
      <c r="L2335" s="529">
        <v>3</v>
      </c>
      <c r="M2335" s="626">
        <f t="shared" si="74"/>
        <v>1.1666438005107913</v>
      </c>
      <c r="N2335" s="530"/>
    </row>
    <row r="2336" spans="1:14" hidden="1" x14ac:dyDescent="0.2">
      <c r="A2336" s="621" t="s">
        <v>465</v>
      </c>
      <c r="B2336" s="611" t="s">
        <v>549</v>
      </c>
      <c r="C2336" s="247" t="s">
        <v>48</v>
      </c>
      <c r="D2336" s="527" t="s">
        <v>135</v>
      </c>
      <c r="E2336" s="623">
        <v>1.9017315019159611E-2</v>
      </c>
      <c r="F2336" s="250" t="s">
        <v>548</v>
      </c>
      <c r="G2336" s="528" t="s">
        <v>16</v>
      </c>
      <c r="H2336" s="527">
        <v>1</v>
      </c>
      <c r="I2336" s="527">
        <v>3</v>
      </c>
      <c r="J2336" s="527">
        <v>3</v>
      </c>
      <c r="K2336" s="527">
        <v>3</v>
      </c>
      <c r="L2336" s="529">
        <v>3</v>
      </c>
      <c r="M2336" s="626">
        <f t="shared" si="74"/>
        <v>1.1666438005107913</v>
      </c>
      <c r="N2336" s="530"/>
    </row>
    <row r="2337" spans="1:14" hidden="1" x14ac:dyDescent="0.2">
      <c r="A2337" s="621" t="s">
        <v>465</v>
      </c>
      <c r="B2337" s="611" t="s">
        <v>549</v>
      </c>
      <c r="C2337" s="247" t="s">
        <v>50</v>
      </c>
      <c r="D2337" s="527" t="s">
        <v>135</v>
      </c>
      <c r="E2337" s="623">
        <v>2.2193967741581298E-2</v>
      </c>
      <c r="F2337" s="250" t="s">
        <v>548</v>
      </c>
      <c r="G2337" s="528" t="s">
        <v>16</v>
      </c>
      <c r="H2337" s="527">
        <v>1</v>
      </c>
      <c r="I2337" s="527">
        <v>3</v>
      </c>
      <c r="J2337" s="527">
        <v>3</v>
      </c>
      <c r="K2337" s="527">
        <v>3</v>
      </c>
      <c r="L2337" s="529">
        <v>3</v>
      </c>
      <c r="M2337" s="626">
        <f t="shared" si="74"/>
        <v>1.1666438005107913</v>
      </c>
      <c r="N2337" s="530"/>
    </row>
    <row r="2338" spans="1:14" hidden="1" x14ac:dyDescent="0.2">
      <c r="A2338" s="621" t="s">
        <v>465</v>
      </c>
      <c r="B2338" s="611" t="s">
        <v>549</v>
      </c>
      <c r="C2338" s="247" t="s">
        <v>52</v>
      </c>
      <c r="D2338" s="527" t="s">
        <v>135</v>
      </c>
      <c r="E2338" s="623">
        <v>2.4814168231276839E-2</v>
      </c>
      <c r="F2338" s="250" t="s">
        <v>548</v>
      </c>
      <c r="G2338" s="528" t="s">
        <v>16</v>
      </c>
      <c r="H2338" s="527">
        <v>1</v>
      </c>
      <c r="I2338" s="527">
        <v>3</v>
      </c>
      <c r="J2338" s="527">
        <v>3</v>
      </c>
      <c r="K2338" s="527">
        <v>3</v>
      </c>
      <c r="L2338" s="529">
        <v>3</v>
      </c>
      <c r="M2338" s="626">
        <f t="shared" si="74"/>
        <v>1.1666438005107913</v>
      </c>
      <c r="N2338" s="530"/>
    </row>
    <row r="2339" spans="1:14" hidden="1" x14ac:dyDescent="0.2">
      <c r="A2339" s="621" t="s">
        <v>465</v>
      </c>
      <c r="B2339" s="611" t="s">
        <v>549</v>
      </c>
      <c r="C2339" s="247" t="s">
        <v>54</v>
      </c>
      <c r="D2339" s="527" t="s">
        <v>135</v>
      </c>
      <c r="E2339" s="623">
        <v>1.005226346937207E-2</v>
      </c>
      <c r="F2339" s="250" t="s">
        <v>548</v>
      </c>
      <c r="G2339" s="528" t="s">
        <v>16</v>
      </c>
      <c r="H2339" s="527">
        <v>1</v>
      </c>
      <c r="I2339" s="527">
        <v>3</v>
      </c>
      <c r="J2339" s="527">
        <v>3</v>
      </c>
      <c r="K2339" s="527">
        <v>3</v>
      </c>
      <c r="L2339" s="529">
        <v>3</v>
      </c>
      <c r="M2339" s="626">
        <f t="shared" si="74"/>
        <v>1.1666438005107913</v>
      </c>
      <c r="N2339" s="530"/>
    </row>
    <row r="2340" spans="1:14" hidden="1" x14ac:dyDescent="0.2">
      <c r="A2340" s="621" t="s">
        <v>465</v>
      </c>
      <c r="B2340" s="611" t="s">
        <v>549</v>
      </c>
      <c r="C2340" s="247" t="s">
        <v>55</v>
      </c>
      <c r="D2340" s="527" t="s">
        <v>135</v>
      </c>
      <c r="E2340" s="623">
        <v>1.4486203981246641E-2</v>
      </c>
      <c r="F2340" s="250" t="s">
        <v>548</v>
      </c>
      <c r="G2340" s="528" t="s">
        <v>16</v>
      </c>
      <c r="H2340" s="527">
        <v>1</v>
      </c>
      <c r="I2340" s="527">
        <v>3</v>
      </c>
      <c r="J2340" s="527">
        <v>3</v>
      </c>
      <c r="K2340" s="527">
        <v>3</v>
      </c>
      <c r="L2340" s="529">
        <v>3</v>
      </c>
      <c r="M2340" s="626">
        <f t="shared" si="74"/>
        <v>1.1666438005107913</v>
      </c>
      <c r="N2340" s="530"/>
    </row>
    <row r="2341" spans="1:14" hidden="1" x14ac:dyDescent="0.2">
      <c r="A2341" s="621" t="s">
        <v>465</v>
      </c>
      <c r="B2341" s="611" t="s">
        <v>549</v>
      </c>
      <c r="C2341" s="247" t="s">
        <v>57</v>
      </c>
      <c r="D2341" s="527" t="s">
        <v>135</v>
      </c>
      <c r="E2341" s="623">
        <v>7.108929806647124E-3</v>
      </c>
      <c r="F2341" s="250" t="s">
        <v>548</v>
      </c>
      <c r="G2341" s="528" t="s">
        <v>16</v>
      </c>
      <c r="H2341" s="527">
        <v>1</v>
      </c>
      <c r="I2341" s="527">
        <v>3</v>
      </c>
      <c r="J2341" s="527">
        <v>3</v>
      </c>
      <c r="K2341" s="527">
        <v>3</v>
      </c>
      <c r="L2341" s="529">
        <v>3</v>
      </c>
      <c r="M2341" s="626">
        <f t="shared" si="74"/>
        <v>1.1666438005107913</v>
      </c>
      <c r="N2341" s="530"/>
    </row>
    <row r="2342" spans="1:14" hidden="1" x14ac:dyDescent="0.2">
      <c r="A2342" s="621" t="s">
        <v>465</v>
      </c>
      <c r="B2342" s="611" t="s">
        <v>549</v>
      </c>
      <c r="C2342" s="247" t="s">
        <v>59</v>
      </c>
      <c r="D2342" s="527" t="s">
        <v>135</v>
      </c>
      <c r="E2342" s="623">
        <v>0.01</v>
      </c>
      <c r="F2342" s="250" t="s">
        <v>548</v>
      </c>
      <c r="G2342" s="528" t="s">
        <v>16</v>
      </c>
      <c r="H2342" s="519">
        <v>1</v>
      </c>
      <c r="I2342" s="527">
        <v>3</v>
      </c>
      <c r="J2342" s="527">
        <v>3</v>
      </c>
      <c r="K2342" s="527">
        <v>3</v>
      </c>
      <c r="L2342" s="529">
        <v>3</v>
      </c>
      <c r="M2342" s="626">
        <f t="shared" si="74"/>
        <v>1.1666438005107913</v>
      </c>
      <c r="N2342" s="530"/>
    </row>
    <row r="2343" spans="1:14" hidden="1" x14ac:dyDescent="0.2">
      <c r="A2343" s="621" t="s">
        <v>465</v>
      </c>
      <c r="B2343" s="611" t="s">
        <v>549</v>
      </c>
      <c r="C2343" s="247" t="s">
        <v>60</v>
      </c>
      <c r="D2343" s="527" t="s">
        <v>135</v>
      </c>
      <c r="E2343" s="627">
        <v>1.3020191705919171E-2</v>
      </c>
      <c r="F2343" s="250" t="s">
        <v>548</v>
      </c>
      <c r="G2343" s="528" t="s">
        <v>16</v>
      </c>
      <c r="H2343" s="519">
        <v>2</v>
      </c>
      <c r="I2343" s="527">
        <v>3</v>
      </c>
      <c r="J2343" s="527">
        <v>3</v>
      </c>
      <c r="K2343" s="527">
        <v>3</v>
      </c>
      <c r="L2343" s="529">
        <v>3</v>
      </c>
      <c r="M2343" s="521">
        <f t="shared" si="74"/>
        <v>1.1713319510247036</v>
      </c>
      <c r="N2343" s="522"/>
    </row>
    <row r="2344" spans="1:14" hidden="1" x14ac:dyDescent="0.2">
      <c r="A2344" s="621" t="s">
        <v>465</v>
      </c>
      <c r="B2344" s="524" t="s">
        <v>481</v>
      </c>
      <c r="C2344" s="247" t="s">
        <v>13</v>
      </c>
      <c r="D2344" s="527" t="s">
        <v>135</v>
      </c>
      <c r="E2344" s="623">
        <v>7.7630317110108046E-4</v>
      </c>
      <c r="F2344" s="250" t="s">
        <v>548</v>
      </c>
      <c r="G2344" s="528" t="s">
        <v>16</v>
      </c>
      <c r="H2344" s="527">
        <v>1</v>
      </c>
      <c r="I2344" s="527">
        <v>3</v>
      </c>
      <c r="J2344" s="527">
        <v>3</v>
      </c>
      <c r="K2344" s="527">
        <v>3</v>
      </c>
      <c r="L2344" s="529">
        <v>3</v>
      </c>
      <c r="M2344" s="626">
        <f t="shared" si="74"/>
        <v>1.1666438005107913</v>
      </c>
      <c r="N2344" s="530"/>
    </row>
    <row r="2345" spans="1:14" hidden="1" x14ac:dyDescent="0.2">
      <c r="A2345" s="621" t="s">
        <v>465</v>
      </c>
      <c r="B2345" s="524" t="s">
        <v>481</v>
      </c>
      <c r="C2345" s="247" t="s">
        <v>18</v>
      </c>
      <c r="D2345" s="527" t="s">
        <v>135</v>
      </c>
      <c r="E2345" s="623">
        <v>1.3386663212251861E-3</v>
      </c>
      <c r="F2345" s="250" t="s">
        <v>548</v>
      </c>
      <c r="G2345" s="528" t="s">
        <v>16</v>
      </c>
      <c r="H2345" s="527">
        <v>1</v>
      </c>
      <c r="I2345" s="527">
        <v>3</v>
      </c>
      <c r="J2345" s="527">
        <v>3</v>
      </c>
      <c r="K2345" s="527">
        <v>3</v>
      </c>
      <c r="L2345" s="529">
        <v>3</v>
      </c>
      <c r="M2345" s="626">
        <f t="shared" si="74"/>
        <v>1.1666438005107913</v>
      </c>
      <c r="N2345" s="530"/>
    </row>
    <row r="2346" spans="1:14" hidden="1" x14ac:dyDescent="0.2">
      <c r="A2346" s="621" t="s">
        <v>465</v>
      </c>
      <c r="B2346" s="524" t="s">
        <v>481</v>
      </c>
      <c r="C2346" s="247" t="s">
        <v>20</v>
      </c>
      <c r="D2346" s="527" t="s">
        <v>135</v>
      </c>
      <c r="E2346" s="623">
        <v>2.0597678005136338E-3</v>
      </c>
      <c r="F2346" s="250" t="s">
        <v>548</v>
      </c>
      <c r="G2346" s="528" t="s">
        <v>16</v>
      </c>
      <c r="H2346" s="527">
        <v>1</v>
      </c>
      <c r="I2346" s="527">
        <v>3</v>
      </c>
      <c r="J2346" s="527">
        <v>3</v>
      </c>
      <c r="K2346" s="527">
        <v>3</v>
      </c>
      <c r="L2346" s="529">
        <v>3</v>
      </c>
      <c r="M2346" s="626">
        <f>IF( OR( ISBLANK(H2346),ISBLANK(I2346), ISBLANK(J2346), ISBLANK(K2346), ISBLANK(L2346) ), "", 1.5*SQRT(   EXP(2.21*(H2346-1)) + EXP(2.21*(I2346-1)) + EXP(2.21*(J2346-1)) + EXP(2.21*(K2346-1)) + EXP(2.21*L2346)   )/100*2.45 )</f>
        <v>1.1666438005107913</v>
      </c>
      <c r="N2346" s="530"/>
    </row>
    <row r="2347" spans="1:14" hidden="1" x14ac:dyDescent="0.2">
      <c r="A2347" s="621" t="s">
        <v>465</v>
      </c>
      <c r="B2347" s="524" t="s">
        <v>481</v>
      </c>
      <c r="C2347" s="247" t="s">
        <v>22</v>
      </c>
      <c r="D2347" s="527" t="s">
        <v>135</v>
      </c>
      <c r="E2347" s="623">
        <v>1.071366649610606E-3</v>
      </c>
      <c r="F2347" s="250" t="s">
        <v>548</v>
      </c>
      <c r="G2347" s="528" t="s">
        <v>16</v>
      </c>
      <c r="H2347" s="527">
        <v>1</v>
      </c>
      <c r="I2347" s="527">
        <v>3</v>
      </c>
      <c r="J2347" s="527">
        <v>3</v>
      </c>
      <c r="K2347" s="527">
        <v>3</v>
      </c>
      <c r="L2347" s="529">
        <v>3</v>
      </c>
      <c r="M2347" s="626">
        <f t="shared" ref="M2347:M2378" si="75">IF( OR( ISBLANK(H2347),ISBLANK(I2347), ISBLANK(J2347), ISBLANK(K2347), ISBLANK(L2347) ), "", 1.5*SQRT( EXP(2.21*(H2347-1)) + EXP(2.21*(I2347-1)) + EXP(2.21*(J2347-1)) + EXP(2.21*(K2347-1)) + EXP(2.21*L2347) )/100*2.45 )</f>
        <v>1.1666438005107913</v>
      </c>
      <c r="N2347" s="530"/>
    </row>
    <row r="2348" spans="1:14" hidden="1" x14ac:dyDescent="0.2">
      <c r="A2348" s="621" t="s">
        <v>465</v>
      </c>
      <c r="B2348" s="524" t="s">
        <v>481</v>
      </c>
      <c r="C2348" s="247" t="s">
        <v>23</v>
      </c>
      <c r="D2348" s="527" t="s">
        <v>135</v>
      </c>
      <c r="E2348" s="539">
        <v>0</v>
      </c>
      <c r="F2348" s="250" t="s">
        <v>548</v>
      </c>
      <c r="G2348" s="528" t="s">
        <v>16</v>
      </c>
      <c r="H2348" s="539"/>
      <c r="I2348" s="539"/>
      <c r="J2348" s="539"/>
      <c r="K2348" s="539"/>
      <c r="L2348" s="540"/>
      <c r="M2348" s="721" t="str">
        <f t="shared" si="75"/>
        <v/>
      </c>
      <c r="N2348" s="530"/>
    </row>
    <row r="2349" spans="1:14" hidden="1" x14ac:dyDescent="0.2">
      <c r="A2349" s="621" t="s">
        <v>465</v>
      </c>
      <c r="B2349" s="524" t="s">
        <v>481</v>
      </c>
      <c r="C2349" s="247" t="s">
        <v>24</v>
      </c>
      <c r="D2349" s="527" t="s">
        <v>135</v>
      </c>
      <c r="E2349" s="623">
        <v>1.7004800085312769E-3</v>
      </c>
      <c r="F2349" s="250" t="s">
        <v>548</v>
      </c>
      <c r="G2349" s="528" t="s">
        <v>16</v>
      </c>
      <c r="H2349" s="527">
        <v>1</v>
      </c>
      <c r="I2349" s="527">
        <v>3</v>
      </c>
      <c r="J2349" s="527">
        <v>3</v>
      </c>
      <c r="K2349" s="527">
        <v>3</v>
      </c>
      <c r="L2349" s="529">
        <v>3</v>
      </c>
      <c r="M2349" s="626">
        <f t="shared" si="75"/>
        <v>1.1666438005107913</v>
      </c>
      <c r="N2349" s="530"/>
    </row>
    <row r="2350" spans="1:14" hidden="1" x14ac:dyDescent="0.2">
      <c r="A2350" s="621" t="s">
        <v>465</v>
      </c>
      <c r="B2350" s="524" t="s">
        <v>481</v>
      </c>
      <c r="C2350" s="247" t="s">
        <v>25</v>
      </c>
      <c r="D2350" s="527" t="s">
        <v>135</v>
      </c>
      <c r="E2350" s="539">
        <v>0</v>
      </c>
      <c r="F2350" s="250" t="s">
        <v>548</v>
      </c>
      <c r="G2350" s="528" t="s">
        <v>16</v>
      </c>
      <c r="H2350" s="539"/>
      <c r="I2350" s="539"/>
      <c r="J2350" s="539"/>
      <c r="K2350" s="539"/>
      <c r="L2350" s="540"/>
      <c r="M2350" s="721" t="str">
        <f t="shared" si="75"/>
        <v/>
      </c>
      <c r="N2350" s="530"/>
    </row>
    <row r="2351" spans="1:14" hidden="1" x14ac:dyDescent="0.2">
      <c r="A2351" s="621" t="s">
        <v>465</v>
      </c>
      <c r="B2351" s="524" t="s">
        <v>481</v>
      </c>
      <c r="C2351" s="247" t="s">
        <v>26</v>
      </c>
      <c r="D2351" s="527" t="s">
        <v>135</v>
      </c>
      <c r="E2351" s="623">
        <v>2.2314015371407181E-4</v>
      </c>
      <c r="F2351" s="250" t="s">
        <v>548</v>
      </c>
      <c r="G2351" s="528" t="s">
        <v>16</v>
      </c>
      <c r="H2351" s="527">
        <v>1</v>
      </c>
      <c r="I2351" s="527">
        <v>3</v>
      </c>
      <c r="J2351" s="527">
        <v>3</v>
      </c>
      <c r="K2351" s="527">
        <v>3</v>
      </c>
      <c r="L2351" s="529">
        <v>3</v>
      </c>
      <c r="M2351" s="626">
        <f t="shared" si="75"/>
        <v>1.1666438005107913</v>
      </c>
      <c r="N2351" s="530"/>
    </row>
    <row r="2352" spans="1:14" hidden="1" x14ac:dyDescent="0.2">
      <c r="A2352" s="621" t="s">
        <v>465</v>
      </c>
      <c r="B2352" s="524" t="s">
        <v>481</v>
      </c>
      <c r="C2352" s="247" t="s">
        <v>27</v>
      </c>
      <c r="D2352" s="527" t="s">
        <v>135</v>
      </c>
      <c r="E2352" s="623">
        <v>2.9356403595138782E-4</v>
      </c>
      <c r="F2352" s="250" t="s">
        <v>548</v>
      </c>
      <c r="G2352" s="528" t="s">
        <v>16</v>
      </c>
      <c r="H2352" s="527">
        <v>1</v>
      </c>
      <c r="I2352" s="527">
        <v>3</v>
      </c>
      <c r="J2352" s="527">
        <v>3</v>
      </c>
      <c r="K2352" s="527">
        <v>3</v>
      </c>
      <c r="L2352" s="529">
        <v>3</v>
      </c>
      <c r="M2352" s="626">
        <f t="shared" si="75"/>
        <v>1.1666438005107913</v>
      </c>
      <c r="N2352" s="530"/>
    </row>
    <row r="2353" spans="1:14" hidden="1" x14ac:dyDescent="0.2">
      <c r="A2353" s="621" t="s">
        <v>465</v>
      </c>
      <c r="B2353" s="524" t="s">
        <v>481</v>
      </c>
      <c r="C2353" s="247" t="s">
        <v>28</v>
      </c>
      <c r="D2353" s="527" t="s">
        <v>135</v>
      </c>
      <c r="E2353" s="623">
        <v>1.052271337612111E-3</v>
      </c>
      <c r="F2353" s="250" t="s">
        <v>548</v>
      </c>
      <c r="G2353" s="528" t="s">
        <v>16</v>
      </c>
      <c r="H2353" s="527">
        <v>1</v>
      </c>
      <c r="I2353" s="527">
        <v>3</v>
      </c>
      <c r="J2353" s="527">
        <v>3</v>
      </c>
      <c r="K2353" s="527">
        <v>3</v>
      </c>
      <c r="L2353" s="529">
        <v>3</v>
      </c>
      <c r="M2353" s="626">
        <f t="shared" si="75"/>
        <v>1.1666438005107913</v>
      </c>
      <c r="N2353" s="530"/>
    </row>
    <row r="2354" spans="1:14" hidden="1" x14ac:dyDescent="0.2">
      <c r="A2354" s="621" t="s">
        <v>465</v>
      </c>
      <c r="B2354" s="524" t="s">
        <v>481</v>
      </c>
      <c r="C2354" s="247" t="s">
        <v>30</v>
      </c>
      <c r="D2354" s="527" t="s">
        <v>135</v>
      </c>
      <c r="E2354" s="623">
        <v>9.2762487257900107E-4</v>
      </c>
      <c r="F2354" s="250" t="s">
        <v>548</v>
      </c>
      <c r="G2354" s="528" t="s">
        <v>16</v>
      </c>
      <c r="H2354" s="527">
        <v>1</v>
      </c>
      <c r="I2354" s="527">
        <v>3</v>
      </c>
      <c r="J2354" s="527">
        <v>3</v>
      </c>
      <c r="K2354" s="527">
        <v>3</v>
      </c>
      <c r="L2354" s="529">
        <v>3</v>
      </c>
      <c r="M2354" s="626">
        <f t="shared" si="75"/>
        <v>1.1666438005107913</v>
      </c>
      <c r="N2354" s="530"/>
    </row>
    <row r="2355" spans="1:14" hidden="1" x14ac:dyDescent="0.2">
      <c r="A2355" s="621" t="s">
        <v>465</v>
      </c>
      <c r="B2355" s="524" t="s">
        <v>481</v>
      </c>
      <c r="C2355" s="247" t="s">
        <v>32</v>
      </c>
      <c r="D2355" s="527" t="s">
        <v>135</v>
      </c>
      <c r="E2355" s="623">
        <v>1.9304766115333619E-4</v>
      </c>
      <c r="F2355" s="250" t="s">
        <v>548</v>
      </c>
      <c r="G2355" s="528" t="s">
        <v>16</v>
      </c>
      <c r="H2355" s="527">
        <v>1</v>
      </c>
      <c r="I2355" s="527">
        <v>3</v>
      </c>
      <c r="J2355" s="527">
        <v>3</v>
      </c>
      <c r="K2355" s="527">
        <v>3</v>
      </c>
      <c r="L2355" s="529">
        <v>3</v>
      </c>
      <c r="M2355" s="626">
        <f t="shared" si="75"/>
        <v>1.1666438005107913</v>
      </c>
      <c r="N2355" s="530"/>
    </row>
    <row r="2356" spans="1:14" hidden="1" x14ac:dyDescent="0.2">
      <c r="A2356" s="621" t="s">
        <v>465</v>
      </c>
      <c r="B2356" s="524" t="s">
        <v>481</v>
      </c>
      <c r="C2356" s="247" t="s">
        <v>34</v>
      </c>
      <c r="D2356" s="527" t="s">
        <v>135</v>
      </c>
      <c r="E2356" s="623">
        <v>1.622558689655762E-3</v>
      </c>
      <c r="F2356" s="250" t="s">
        <v>548</v>
      </c>
      <c r="G2356" s="528" t="s">
        <v>16</v>
      </c>
      <c r="H2356" s="527">
        <v>1</v>
      </c>
      <c r="I2356" s="527">
        <v>3</v>
      </c>
      <c r="J2356" s="527">
        <v>3</v>
      </c>
      <c r="K2356" s="527">
        <v>3</v>
      </c>
      <c r="L2356" s="529">
        <v>3</v>
      </c>
      <c r="M2356" s="626">
        <f t="shared" si="75"/>
        <v>1.1666438005107913</v>
      </c>
      <c r="N2356" s="530"/>
    </row>
    <row r="2357" spans="1:14" hidden="1" x14ac:dyDescent="0.2">
      <c r="A2357" s="621" t="s">
        <v>465</v>
      </c>
      <c r="B2357" s="524" t="s">
        <v>481</v>
      </c>
      <c r="C2357" s="247" t="s">
        <v>36</v>
      </c>
      <c r="D2357" s="527" t="s">
        <v>135</v>
      </c>
      <c r="E2357" s="623">
        <v>5.715901445626265E-5</v>
      </c>
      <c r="F2357" s="250" t="s">
        <v>548</v>
      </c>
      <c r="G2357" s="528" t="s">
        <v>16</v>
      </c>
      <c r="H2357" s="527">
        <v>1</v>
      </c>
      <c r="I2357" s="527">
        <v>3</v>
      </c>
      <c r="J2357" s="527">
        <v>3</v>
      </c>
      <c r="K2357" s="527">
        <v>3</v>
      </c>
      <c r="L2357" s="529">
        <v>3</v>
      </c>
      <c r="M2357" s="626">
        <f t="shared" si="75"/>
        <v>1.1666438005107913</v>
      </c>
      <c r="N2357" s="530"/>
    </row>
    <row r="2358" spans="1:14" hidden="1" x14ac:dyDescent="0.2">
      <c r="A2358" s="621" t="s">
        <v>465</v>
      </c>
      <c r="B2358" s="524" t="s">
        <v>481</v>
      </c>
      <c r="C2358" s="247" t="s">
        <v>37</v>
      </c>
      <c r="D2358" s="527" t="s">
        <v>135</v>
      </c>
      <c r="E2358" s="623">
        <v>9.4943579066752201E-4</v>
      </c>
      <c r="F2358" s="250" t="s">
        <v>548</v>
      </c>
      <c r="G2358" s="528" t="s">
        <v>16</v>
      </c>
      <c r="H2358" s="527">
        <v>1</v>
      </c>
      <c r="I2358" s="527">
        <v>3</v>
      </c>
      <c r="J2358" s="527">
        <v>3</v>
      </c>
      <c r="K2358" s="527">
        <v>3</v>
      </c>
      <c r="L2358" s="529">
        <v>3</v>
      </c>
      <c r="M2358" s="626">
        <f t="shared" si="75"/>
        <v>1.1666438005107913</v>
      </c>
      <c r="N2358" s="530"/>
    </row>
    <row r="2359" spans="1:14" hidden="1" x14ac:dyDescent="0.2">
      <c r="A2359" s="621" t="s">
        <v>465</v>
      </c>
      <c r="B2359" s="524" t="s">
        <v>481</v>
      </c>
      <c r="C2359" s="247" t="s">
        <v>39</v>
      </c>
      <c r="D2359" s="527" t="s">
        <v>135</v>
      </c>
      <c r="E2359" s="623">
        <v>4.104031474661408E-4</v>
      </c>
      <c r="F2359" s="250" t="s">
        <v>548</v>
      </c>
      <c r="G2359" s="528" t="s">
        <v>16</v>
      </c>
      <c r="H2359" s="527">
        <v>1</v>
      </c>
      <c r="I2359" s="527">
        <v>3</v>
      </c>
      <c r="J2359" s="527">
        <v>3</v>
      </c>
      <c r="K2359" s="527">
        <v>3</v>
      </c>
      <c r="L2359" s="529">
        <v>3</v>
      </c>
      <c r="M2359" s="626">
        <f t="shared" si="75"/>
        <v>1.1666438005107913</v>
      </c>
      <c r="N2359" s="530"/>
    </row>
    <row r="2360" spans="1:14" hidden="1" x14ac:dyDescent="0.2">
      <c r="A2360" s="621" t="s">
        <v>465</v>
      </c>
      <c r="B2360" s="524" t="s">
        <v>481</v>
      </c>
      <c r="C2360" s="247" t="s">
        <v>40</v>
      </c>
      <c r="D2360" s="527" t="s">
        <v>135</v>
      </c>
      <c r="E2360" s="623">
        <v>9.8703680031829357E-4</v>
      </c>
      <c r="F2360" s="250" t="s">
        <v>548</v>
      </c>
      <c r="G2360" s="528" t="s">
        <v>16</v>
      </c>
      <c r="H2360" s="527">
        <v>1</v>
      </c>
      <c r="I2360" s="527">
        <v>3</v>
      </c>
      <c r="J2360" s="527">
        <v>3</v>
      </c>
      <c r="K2360" s="527">
        <v>3</v>
      </c>
      <c r="L2360" s="529">
        <v>3</v>
      </c>
      <c r="M2360" s="626">
        <f t="shared" si="75"/>
        <v>1.1666438005107913</v>
      </c>
      <c r="N2360" s="530"/>
    </row>
    <row r="2361" spans="1:14" hidden="1" x14ac:dyDescent="0.2">
      <c r="A2361" s="621" t="s">
        <v>465</v>
      </c>
      <c r="B2361" s="524" t="s">
        <v>481</v>
      </c>
      <c r="C2361" s="247" t="s">
        <v>41</v>
      </c>
      <c r="D2361" s="527" t="s">
        <v>135</v>
      </c>
      <c r="E2361" s="623">
        <v>1.3775128184318999E-3</v>
      </c>
      <c r="F2361" s="250" t="s">
        <v>548</v>
      </c>
      <c r="G2361" s="528" t="s">
        <v>16</v>
      </c>
      <c r="H2361" s="527">
        <v>1</v>
      </c>
      <c r="I2361" s="527">
        <v>3</v>
      </c>
      <c r="J2361" s="527">
        <v>3</v>
      </c>
      <c r="K2361" s="527">
        <v>3</v>
      </c>
      <c r="L2361" s="529">
        <v>3</v>
      </c>
      <c r="M2361" s="626">
        <f t="shared" si="75"/>
        <v>1.1666438005107913</v>
      </c>
      <c r="N2361" s="530"/>
    </row>
    <row r="2362" spans="1:14" hidden="1" x14ac:dyDescent="0.2">
      <c r="A2362" s="621" t="s">
        <v>465</v>
      </c>
      <c r="B2362" s="524" t="s">
        <v>481</v>
      </c>
      <c r="C2362" s="247" t="s">
        <v>42</v>
      </c>
      <c r="D2362" s="527" t="s">
        <v>135</v>
      </c>
      <c r="E2362" s="539">
        <v>0</v>
      </c>
      <c r="F2362" s="250" t="s">
        <v>548</v>
      </c>
      <c r="G2362" s="528" t="s">
        <v>16</v>
      </c>
      <c r="H2362" s="539"/>
      <c r="I2362" s="539"/>
      <c r="J2362" s="539"/>
      <c r="K2362" s="539"/>
      <c r="L2362" s="540"/>
      <c r="M2362" s="721" t="str">
        <f t="shared" si="75"/>
        <v/>
      </c>
      <c r="N2362" s="530"/>
    </row>
    <row r="2363" spans="1:14" hidden="1" x14ac:dyDescent="0.2">
      <c r="A2363" s="621" t="s">
        <v>465</v>
      </c>
      <c r="B2363" s="524" t="s">
        <v>481</v>
      </c>
      <c r="C2363" s="247" t="s">
        <v>43</v>
      </c>
      <c r="D2363" s="527" t="s">
        <v>135</v>
      </c>
      <c r="E2363" s="623">
        <v>5.8203710794073641E-4</v>
      </c>
      <c r="F2363" s="250" t="s">
        <v>548</v>
      </c>
      <c r="G2363" s="528" t="s">
        <v>16</v>
      </c>
      <c r="H2363" s="527">
        <v>1</v>
      </c>
      <c r="I2363" s="527">
        <v>3</v>
      </c>
      <c r="J2363" s="527">
        <v>3</v>
      </c>
      <c r="K2363" s="527">
        <v>3</v>
      </c>
      <c r="L2363" s="529">
        <v>3</v>
      </c>
      <c r="M2363" s="626">
        <f t="shared" si="75"/>
        <v>1.1666438005107913</v>
      </c>
      <c r="N2363" s="530"/>
    </row>
    <row r="2364" spans="1:14" x14ac:dyDescent="0.2">
      <c r="A2364" s="621" t="s">
        <v>465</v>
      </c>
      <c r="B2364" s="524" t="s">
        <v>481</v>
      </c>
      <c r="C2364" s="247" t="s">
        <v>45</v>
      </c>
      <c r="D2364" s="527" t="s">
        <v>135</v>
      </c>
      <c r="E2364" s="623">
        <v>1.3162577166764779E-4</v>
      </c>
      <c r="F2364" s="250" t="s">
        <v>548</v>
      </c>
      <c r="G2364" s="528" t="s">
        <v>16</v>
      </c>
      <c r="H2364" s="527">
        <v>2</v>
      </c>
      <c r="I2364" s="527">
        <v>3</v>
      </c>
      <c r="J2364" s="527">
        <v>3</v>
      </c>
      <c r="K2364" s="527">
        <v>3</v>
      </c>
      <c r="L2364" s="529">
        <v>3</v>
      </c>
      <c r="M2364" s="626">
        <f t="shared" si="75"/>
        <v>1.1713319510247036</v>
      </c>
      <c r="N2364" s="530"/>
    </row>
    <row r="2365" spans="1:14" hidden="1" x14ac:dyDescent="0.2">
      <c r="A2365" s="621" t="s">
        <v>465</v>
      </c>
      <c r="B2365" s="524" t="s">
        <v>481</v>
      </c>
      <c r="C2365" s="247" t="s">
        <v>46</v>
      </c>
      <c r="D2365" s="527" t="s">
        <v>135</v>
      </c>
      <c r="E2365" s="623">
        <v>1.987833059495076E-3</v>
      </c>
      <c r="F2365" s="250" t="s">
        <v>548</v>
      </c>
      <c r="G2365" s="528" t="s">
        <v>16</v>
      </c>
      <c r="H2365" s="527">
        <v>1</v>
      </c>
      <c r="I2365" s="527">
        <v>3</v>
      </c>
      <c r="J2365" s="527">
        <v>3</v>
      </c>
      <c r="K2365" s="527">
        <v>3</v>
      </c>
      <c r="L2365" s="529">
        <v>3</v>
      </c>
      <c r="M2365" s="626">
        <f t="shared" si="75"/>
        <v>1.1666438005107913</v>
      </c>
      <c r="N2365" s="530"/>
    </row>
    <row r="2366" spans="1:14" hidden="1" x14ac:dyDescent="0.2">
      <c r="A2366" s="621" t="s">
        <v>465</v>
      </c>
      <c r="B2366" s="524" t="s">
        <v>481</v>
      </c>
      <c r="C2366" s="247" t="s">
        <v>48</v>
      </c>
      <c r="D2366" s="527" t="s">
        <v>135</v>
      </c>
      <c r="E2366" s="623">
        <v>3.2955591776321459E-4</v>
      </c>
      <c r="F2366" s="250" t="s">
        <v>548</v>
      </c>
      <c r="G2366" s="528" t="s">
        <v>16</v>
      </c>
      <c r="H2366" s="527">
        <v>1</v>
      </c>
      <c r="I2366" s="527">
        <v>3</v>
      </c>
      <c r="J2366" s="527">
        <v>3</v>
      </c>
      <c r="K2366" s="527">
        <v>3</v>
      </c>
      <c r="L2366" s="529">
        <v>3</v>
      </c>
      <c r="M2366" s="626">
        <f t="shared" si="75"/>
        <v>1.1666438005107913</v>
      </c>
      <c r="N2366" s="530"/>
    </row>
    <row r="2367" spans="1:14" hidden="1" x14ac:dyDescent="0.2">
      <c r="A2367" s="621" t="s">
        <v>465</v>
      </c>
      <c r="B2367" s="524" t="s">
        <v>481</v>
      </c>
      <c r="C2367" s="247" t="s">
        <v>50</v>
      </c>
      <c r="D2367" s="527" t="s">
        <v>135</v>
      </c>
      <c r="E2367" s="623">
        <v>2.14926293114192E-3</v>
      </c>
      <c r="F2367" s="250" t="s">
        <v>548</v>
      </c>
      <c r="G2367" s="528" t="s">
        <v>16</v>
      </c>
      <c r="H2367" s="527">
        <v>1</v>
      </c>
      <c r="I2367" s="527">
        <v>3</v>
      </c>
      <c r="J2367" s="527">
        <v>3</v>
      </c>
      <c r="K2367" s="527">
        <v>3</v>
      </c>
      <c r="L2367" s="529">
        <v>3</v>
      </c>
      <c r="M2367" s="626">
        <f t="shared" si="75"/>
        <v>1.1666438005107913</v>
      </c>
      <c r="N2367" s="530"/>
    </row>
    <row r="2368" spans="1:14" hidden="1" x14ac:dyDescent="0.2">
      <c r="A2368" s="621" t="s">
        <v>465</v>
      </c>
      <c r="B2368" s="524" t="s">
        <v>481</v>
      </c>
      <c r="C2368" s="247" t="s">
        <v>52</v>
      </c>
      <c r="D2368" s="527" t="s">
        <v>135</v>
      </c>
      <c r="E2368" s="623">
        <v>2.5294768839222059E-3</v>
      </c>
      <c r="F2368" s="250" t="s">
        <v>548</v>
      </c>
      <c r="G2368" s="528" t="s">
        <v>16</v>
      </c>
      <c r="H2368" s="527">
        <v>1</v>
      </c>
      <c r="I2368" s="527">
        <v>3</v>
      </c>
      <c r="J2368" s="527">
        <v>3</v>
      </c>
      <c r="K2368" s="527">
        <v>3</v>
      </c>
      <c r="L2368" s="529">
        <v>3</v>
      </c>
      <c r="M2368" s="626">
        <f t="shared" si="75"/>
        <v>1.1666438005107913</v>
      </c>
      <c r="N2368" s="530"/>
    </row>
    <row r="2369" spans="1:14" hidden="1" x14ac:dyDescent="0.2">
      <c r="A2369" s="621" t="s">
        <v>465</v>
      </c>
      <c r="B2369" s="524" t="s">
        <v>481</v>
      </c>
      <c r="C2369" s="247" t="s">
        <v>54</v>
      </c>
      <c r="D2369" s="527" t="s">
        <v>135</v>
      </c>
      <c r="E2369" s="623">
        <v>8.8123818385932545E-4</v>
      </c>
      <c r="F2369" s="250" t="s">
        <v>548</v>
      </c>
      <c r="G2369" s="528" t="s">
        <v>16</v>
      </c>
      <c r="H2369" s="527">
        <v>1</v>
      </c>
      <c r="I2369" s="527">
        <v>3</v>
      </c>
      <c r="J2369" s="527">
        <v>3</v>
      </c>
      <c r="K2369" s="527">
        <v>3</v>
      </c>
      <c r="L2369" s="529">
        <v>3</v>
      </c>
      <c r="M2369" s="626">
        <f t="shared" si="75"/>
        <v>1.1666438005107913</v>
      </c>
      <c r="N2369" s="530"/>
    </row>
    <row r="2370" spans="1:14" hidden="1" x14ac:dyDescent="0.2">
      <c r="A2370" s="621" t="s">
        <v>465</v>
      </c>
      <c r="B2370" s="524" t="s">
        <v>481</v>
      </c>
      <c r="C2370" s="247" t="s">
        <v>55</v>
      </c>
      <c r="D2370" s="527" t="s">
        <v>135</v>
      </c>
      <c r="E2370" s="623">
        <v>5.9067090647284975E-4</v>
      </c>
      <c r="F2370" s="250" t="s">
        <v>548</v>
      </c>
      <c r="G2370" s="528" t="s">
        <v>16</v>
      </c>
      <c r="H2370" s="527">
        <v>1</v>
      </c>
      <c r="I2370" s="527">
        <v>3</v>
      </c>
      <c r="J2370" s="527">
        <v>3</v>
      </c>
      <c r="K2370" s="527">
        <v>3</v>
      </c>
      <c r="L2370" s="529">
        <v>3</v>
      </c>
      <c r="M2370" s="626">
        <f t="shared" si="75"/>
        <v>1.1666438005107913</v>
      </c>
      <c r="N2370" s="530"/>
    </row>
    <row r="2371" spans="1:14" hidden="1" x14ac:dyDescent="0.2">
      <c r="A2371" s="621" t="s">
        <v>465</v>
      </c>
      <c r="B2371" s="524" t="s">
        <v>481</v>
      </c>
      <c r="C2371" s="247" t="s">
        <v>57</v>
      </c>
      <c r="D2371" s="527" t="s">
        <v>135</v>
      </c>
      <c r="E2371" s="623">
        <v>1.3768569452221751E-4</v>
      </c>
      <c r="F2371" s="250" t="s">
        <v>548</v>
      </c>
      <c r="G2371" s="528" t="s">
        <v>16</v>
      </c>
      <c r="H2371" s="527">
        <v>1</v>
      </c>
      <c r="I2371" s="527">
        <v>3</v>
      </c>
      <c r="J2371" s="527">
        <v>3</v>
      </c>
      <c r="K2371" s="527">
        <v>3</v>
      </c>
      <c r="L2371" s="529">
        <v>3</v>
      </c>
      <c r="M2371" s="626">
        <f t="shared" si="75"/>
        <v>1.1666438005107913</v>
      </c>
      <c r="N2371" s="530"/>
    </row>
    <row r="2372" spans="1:14" hidden="1" x14ac:dyDescent="0.2">
      <c r="A2372" s="621" t="s">
        <v>465</v>
      </c>
      <c r="B2372" s="524" t="s">
        <v>481</v>
      </c>
      <c r="C2372" s="247" t="s">
        <v>59</v>
      </c>
      <c r="D2372" s="527" t="s">
        <v>135</v>
      </c>
      <c r="E2372" s="623">
        <v>1.0193679918450559E-3</v>
      </c>
      <c r="F2372" s="250" t="s">
        <v>548</v>
      </c>
      <c r="G2372" s="528" t="s">
        <v>16</v>
      </c>
      <c r="H2372" s="519">
        <v>1</v>
      </c>
      <c r="I2372" s="527">
        <v>3</v>
      </c>
      <c r="J2372" s="527">
        <v>3</v>
      </c>
      <c r="K2372" s="527">
        <v>3</v>
      </c>
      <c r="L2372" s="529">
        <v>3</v>
      </c>
      <c r="M2372" s="626">
        <f t="shared" si="75"/>
        <v>1.1666438005107913</v>
      </c>
      <c r="N2372" s="530"/>
    </row>
    <row r="2373" spans="1:14" hidden="1" x14ac:dyDescent="0.2">
      <c r="A2373" s="621" t="s">
        <v>465</v>
      </c>
      <c r="B2373" s="524" t="s">
        <v>481</v>
      </c>
      <c r="C2373" s="247" t="s">
        <v>60</v>
      </c>
      <c r="D2373" s="527" t="s">
        <v>135</v>
      </c>
      <c r="E2373" s="627">
        <v>3.0526443347211099E-4</v>
      </c>
      <c r="F2373" s="250" t="s">
        <v>548</v>
      </c>
      <c r="G2373" s="528" t="s">
        <v>16</v>
      </c>
      <c r="H2373" s="519">
        <v>2</v>
      </c>
      <c r="I2373" s="527">
        <v>3</v>
      </c>
      <c r="J2373" s="527">
        <v>3</v>
      </c>
      <c r="K2373" s="527">
        <v>3</v>
      </c>
      <c r="L2373" s="529">
        <v>3</v>
      </c>
      <c r="M2373" s="521">
        <f t="shared" si="75"/>
        <v>1.1713319510247036</v>
      </c>
      <c r="N2373" s="522"/>
    </row>
    <row r="2374" spans="1:14" hidden="1" x14ac:dyDescent="0.2">
      <c r="A2374" s="621" t="s">
        <v>465</v>
      </c>
      <c r="B2374" s="524" t="s">
        <v>482</v>
      </c>
      <c r="C2374" s="247" t="s">
        <v>13</v>
      </c>
      <c r="D2374" s="527" t="s">
        <v>135</v>
      </c>
      <c r="E2374" s="539">
        <v>0</v>
      </c>
      <c r="F2374" s="250" t="s">
        <v>548</v>
      </c>
      <c r="G2374" s="528" t="s">
        <v>16</v>
      </c>
      <c r="H2374" s="539"/>
      <c r="I2374" s="539"/>
      <c r="J2374" s="539"/>
      <c r="K2374" s="539"/>
      <c r="L2374" s="540"/>
      <c r="M2374" s="721" t="str">
        <f t="shared" si="75"/>
        <v/>
      </c>
      <c r="N2374" s="530"/>
    </row>
    <row r="2375" spans="1:14" hidden="1" x14ac:dyDescent="0.2">
      <c r="A2375" s="621" t="s">
        <v>465</v>
      </c>
      <c r="B2375" s="524" t="s">
        <v>482</v>
      </c>
      <c r="C2375" s="247" t="s">
        <v>18</v>
      </c>
      <c r="D2375" s="527" t="s">
        <v>135</v>
      </c>
      <c r="E2375" s="623">
        <v>6.2996062175302899E-4</v>
      </c>
      <c r="F2375" s="250" t="s">
        <v>548</v>
      </c>
      <c r="G2375" s="528" t="s">
        <v>16</v>
      </c>
      <c r="H2375" s="527">
        <v>1</v>
      </c>
      <c r="I2375" s="527">
        <v>3</v>
      </c>
      <c r="J2375" s="527">
        <v>3</v>
      </c>
      <c r="K2375" s="527">
        <v>3</v>
      </c>
      <c r="L2375" s="529">
        <v>3</v>
      </c>
      <c r="M2375" s="626">
        <f t="shared" si="75"/>
        <v>1.1666438005107913</v>
      </c>
      <c r="N2375" s="530"/>
    </row>
    <row r="2376" spans="1:14" hidden="1" x14ac:dyDescent="0.2">
      <c r="A2376" s="621" t="s">
        <v>465</v>
      </c>
      <c r="B2376" s="524" t="s">
        <v>482</v>
      </c>
      <c r="C2376" s="247" t="s">
        <v>20</v>
      </c>
      <c r="D2376" s="527" t="s">
        <v>135</v>
      </c>
      <c r="E2376" s="623">
        <v>3.3531103729291721E-4</v>
      </c>
      <c r="F2376" s="250" t="s">
        <v>548</v>
      </c>
      <c r="G2376" s="528" t="s">
        <v>16</v>
      </c>
      <c r="H2376" s="527">
        <v>1</v>
      </c>
      <c r="I2376" s="527">
        <v>3</v>
      </c>
      <c r="J2376" s="527">
        <v>3</v>
      </c>
      <c r="K2376" s="527">
        <v>3</v>
      </c>
      <c r="L2376" s="529">
        <v>3</v>
      </c>
      <c r="M2376" s="626">
        <f t="shared" si="75"/>
        <v>1.1666438005107913</v>
      </c>
      <c r="N2376" s="530"/>
    </row>
    <row r="2377" spans="1:14" hidden="1" x14ac:dyDescent="0.2">
      <c r="A2377" s="621" t="s">
        <v>465</v>
      </c>
      <c r="B2377" s="524" t="s">
        <v>482</v>
      </c>
      <c r="C2377" s="247" t="s">
        <v>22</v>
      </c>
      <c r="D2377" s="527" t="s">
        <v>135</v>
      </c>
      <c r="E2377" s="623">
        <v>5.276880513007461E-4</v>
      </c>
      <c r="F2377" s="250" t="s">
        <v>548</v>
      </c>
      <c r="G2377" s="528" t="s">
        <v>16</v>
      </c>
      <c r="H2377" s="527">
        <v>1</v>
      </c>
      <c r="I2377" s="527">
        <v>3</v>
      </c>
      <c r="J2377" s="527">
        <v>3</v>
      </c>
      <c r="K2377" s="527">
        <v>3</v>
      </c>
      <c r="L2377" s="529">
        <v>3</v>
      </c>
      <c r="M2377" s="626">
        <f t="shared" si="75"/>
        <v>1.1666438005107913</v>
      </c>
      <c r="N2377" s="530"/>
    </row>
    <row r="2378" spans="1:14" hidden="1" x14ac:dyDescent="0.2">
      <c r="A2378" s="621" t="s">
        <v>465</v>
      </c>
      <c r="B2378" s="524" t="s">
        <v>482</v>
      </c>
      <c r="C2378" s="247" t="s">
        <v>23</v>
      </c>
      <c r="D2378" s="527" t="s">
        <v>135</v>
      </c>
      <c r="E2378" s="623">
        <v>1.6084786811603009E-3</v>
      </c>
      <c r="F2378" s="250" t="s">
        <v>548</v>
      </c>
      <c r="G2378" s="528" t="s">
        <v>16</v>
      </c>
      <c r="H2378" s="527">
        <v>1</v>
      </c>
      <c r="I2378" s="527">
        <v>3</v>
      </c>
      <c r="J2378" s="527">
        <v>3</v>
      </c>
      <c r="K2378" s="527">
        <v>3</v>
      </c>
      <c r="L2378" s="529">
        <v>3</v>
      </c>
      <c r="M2378" s="626">
        <f t="shared" si="75"/>
        <v>1.1666438005107913</v>
      </c>
      <c r="N2378" s="530"/>
    </row>
    <row r="2379" spans="1:14" hidden="1" x14ac:dyDescent="0.2">
      <c r="A2379" s="621" t="s">
        <v>465</v>
      </c>
      <c r="B2379" s="524" t="s">
        <v>482</v>
      </c>
      <c r="C2379" s="247" t="s">
        <v>24</v>
      </c>
      <c r="D2379" s="527" t="s">
        <v>135</v>
      </c>
      <c r="E2379" s="539">
        <v>0</v>
      </c>
      <c r="F2379" s="250" t="s">
        <v>548</v>
      </c>
      <c r="G2379" s="528" t="s">
        <v>16</v>
      </c>
      <c r="H2379" s="539"/>
      <c r="I2379" s="539"/>
      <c r="J2379" s="539"/>
      <c r="K2379" s="539"/>
      <c r="L2379" s="540"/>
      <c r="M2379" s="721" t="str">
        <f t="shared" ref="M2379:M2409" si="76">IF( OR( ISBLANK(H2379),ISBLANK(I2379), ISBLANK(J2379), ISBLANK(K2379), ISBLANK(L2379) ), "", 1.5*SQRT( EXP(2.21*(H2379-1)) + EXP(2.21*(I2379-1)) + EXP(2.21*(J2379-1)) + EXP(2.21*(K2379-1)) + EXP(2.21*L2379) )/100*2.45 )</f>
        <v/>
      </c>
      <c r="N2379" s="530"/>
    </row>
    <row r="2380" spans="1:14" hidden="1" x14ac:dyDescent="0.2">
      <c r="A2380" s="621" t="s">
        <v>465</v>
      </c>
      <c r="B2380" s="524" t="s">
        <v>482</v>
      </c>
      <c r="C2380" s="247" t="s">
        <v>25</v>
      </c>
      <c r="D2380" s="527" t="s">
        <v>135</v>
      </c>
      <c r="E2380" s="623">
        <v>1.026609458853453E-3</v>
      </c>
      <c r="F2380" s="250" t="s">
        <v>548</v>
      </c>
      <c r="G2380" s="528" t="s">
        <v>16</v>
      </c>
      <c r="H2380" s="527">
        <v>1</v>
      </c>
      <c r="I2380" s="527">
        <v>3</v>
      </c>
      <c r="J2380" s="527">
        <v>3</v>
      </c>
      <c r="K2380" s="527">
        <v>3</v>
      </c>
      <c r="L2380" s="529">
        <v>3</v>
      </c>
      <c r="M2380" s="626">
        <f t="shared" si="76"/>
        <v>1.1666438005107913</v>
      </c>
      <c r="N2380" s="530"/>
    </row>
    <row r="2381" spans="1:14" hidden="1" x14ac:dyDescent="0.2">
      <c r="A2381" s="621" t="s">
        <v>465</v>
      </c>
      <c r="B2381" s="524" t="s">
        <v>482</v>
      </c>
      <c r="C2381" s="247" t="s">
        <v>26</v>
      </c>
      <c r="D2381" s="527" t="s">
        <v>135</v>
      </c>
      <c r="E2381" s="623">
        <v>6.3509120672466588E-4</v>
      </c>
      <c r="F2381" s="250" t="s">
        <v>548</v>
      </c>
      <c r="G2381" s="528" t="s">
        <v>16</v>
      </c>
      <c r="H2381" s="527">
        <v>1</v>
      </c>
      <c r="I2381" s="527">
        <v>3</v>
      </c>
      <c r="J2381" s="527">
        <v>3</v>
      </c>
      <c r="K2381" s="527">
        <v>3</v>
      </c>
      <c r="L2381" s="529">
        <v>3</v>
      </c>
      <c r="M2381" s="626">
        <f t="shared" si="76"/>
        <v>1.1666438005107913</v>
      </c>
      <c r="N2381" s="530"/>
    </row>
    <row r="2382" spans="1:14" hidden="1" x14ac:dyDescent="0.2">
      <c r="A2382" s="621" t="s">
        <v>465</v>
      </c>
      <c r="B2382" s="524" t="s">
        <v>482</v>
      </c>
      <c r="C2382" s="247" t="s">
        <v>27</v>
      </c>
      <c r="D2382" s="527" t="s">
        <v>135</v>
      </c>
      <c r="E2382" s="623">
        <v>4.9985227743074142E-4</v>
      </c>
      <c r="F2382" s="250" t="s">
        <v>548</v>
      </c>
      <c r="G2382" s="528" t="s">
        <v>16</v>
      </c>
      <c r="H2382" s="527">
        <v>1</v>
      </c>
      <c r="I2382" s="527">
        <v>3</v>
      </c>
      <c r="J2382" s="527">
        <v>3</v>
      </c>
      <c r="K2382" s="527">
        <v>3</v>
      </c>
      <c r="L2382" s="529">
        <v>3</v>
      </c>
      <c r="M2382" s="626">
        <f t="shared" si="76"/>
        <v>1.1666438005107913</v>
      </c>
      <c r="N2382" s="530"/>
    </row>
    <row r="2383" spans="1:14" hidden="1" x14ac:dyDescent="0.2">
      <c r="A2383" s="621" t="s">
        <v>465</v>
      </c>
      <c r="B2383" s="524" t="s">
        <v>482</v>
      </c>
      <c r="C2383" s="247" t="s">
        <v>28</v>
      </c>
      <c r="D2383" s="527" t="s">
        <v>135</v>
      </c>
      <c r="E2383" s="623">
        <v>6.4494049724613282E-4</v>
      </c>
      <c r="F2383" s="250" t="s">
        <v>548</v>
      </c>
      <c r="G2383" s="528" t="s">
        <v>16</v>
      </c>
      <c r="H2383" s="527">
        <v>1</v>
      </c>
      <c r="I2383" s="527">
        <v>3</v>
      </c>
      <c r="J2383" s="527">
        <v>3</v>
      </c>
      <c r="K2383" s="527">
        <v>3</v>
      </c>
      <c r="L2383" s="529">
        <v>3</v>
      </c>
      <c r="M2383" s="626">
        <f t="shared" si="76"/>
        <v>1.1666438005107913</v>
      </c>
      <c r="N2383" s="530"/>
    </row>
    <row r="2384" spans="1:14" hidden="1" x14ac:dyDescent="0.2">
      <c r="A2384" s="621" t="s">
        <v>465</v>
      </c>
      <c r="B2384" s="524" t="s">
        <v>482</v>
      </c>
      <c r="C2384" s="247" t="s">
        <v>30</v>
      </c>
      <c r="D2384" s="527" t="s">
        <v>135</v>
      </c>
      <c r="E2384" s="623">
        <v>9.1743119266055046E-5</v>
      </c>
      <c r="F2384" s="250" t="s">
        <v>548</v>
      </c>
      <c r="G2384" s="528" t="s">
        <v>16</v>
      </c>
      <c r="H2384" s="527">
        <v>1</v>
      </c>
      <c r="I2384" s="527">
        <v>3</v>
      </c>
      <c r="J2384" s="527">
        <v>3</v>
      </c>
      <c r="K2384" s="527">
        <v>3</v>
      </c>
      <c r="L2384" s="529">
        <v>3</v>
      </c>
      <c r="M2384" s="626">
        <f t="shared" si="76"/>
        <v>1.1666438005107913</v>
      </c>
      <c r="N2384" s="530"/>
    </row>
    <row r="2385" spans="1:14" hidden="1" x14ac:dyDescent="0.2">
      <c r="A2385" s="621" t="s">
        <v>465</v>
      </c>
      <c r="B2385" s="524" t="s">
        <v>482</v>
      </c>
      <c r="C2385" s="247" t="s">
        <v>32</v>
      </c>
      <c r="D2385" s="527" t="s">
        <v>135</v>
      </c>
      <c r="E2385" s="623">
        <v>3.0244133580689309E-3</v>
      </c>
      <c r="F2385" s="250" t="s">
        <v>548</v>
      </c>
      <c r="G2385" s="528" t="s">
        <v>16</v>
      </c>
      <c r="H2385" s="527">
        <v>1</v>
      </c>
      <c r="I2385" s="527">
        <v>3</v>
      </c>
      <c r="J2385" s="527">
        <v>3</v>
      </c>
      <c r="K2385" s="527">
        <v>3</v>
      </c>
      <c r="L2385" s="529">
        <v>3</v>
      </c>
      <c r="M2385" s="626">
        <f t="shared" si="76"/>
        <v>1.1666438005107913</v>
      </c>
      <c r="N2385" s="530"/>
    </row>
    <row r="2386" spans="1:14" hidden="1" x14ac:dyDescent="0.2">
      <c r="A2386" s="621" t="s">
        <v>465</v>
      </c>
      <c r="B2386" s="524" t="s">
        <v>482</v>
      </c>
      <c r="C2386" s="247" t="s">
        <v>34</v>
      </c>
      <c r="D2386" s="527" t="s">
        <v>135</v>
      </c>
      <c r="E2386" s="539">
        <v>0</v>
      </c>
      <c r="F2386" s="250" t="s">
        <v>548</v>
      </c>
      <c r="G2386" s="528" t="s">
        <v>16</v>
      </c>
      <c r="H2386" s="539"/>
      <c r="I2386" s="539"/>
      <c r="J2386" s="539"/>
      <c r="K2386" s="539"/>
      <c r="L2386" s="540"/>
      <c r="M2386" s="721" t="str">
        <f t="shared" si="76"/>
        <v/>
      </c>
      <c r="N2386" s="530"/>
    </row>
    <row r="2387" spans="1:14" hidden="1" x14ac:dyDescent="0.2">
      <c r="A2387" s="621" t="s">
        <v>465</v>
      </c>
      <c r="B2387" s="524" t="s">
        <v>482</v>
      </c>
      <c r="C2387" s="247" t="s">
        <v>36</v>
      </c>
      <c r="D2387" s="527" t="s">
        <v>135</v>
      </c>
      <c r="E2387" s="623">
        <v>8.9549122648144731E-4</v>
      </c>
      <c r="F2387" s="250" t="s">
        <v>548</v>
      </c>
      <c r="G2387" s="528" t="s">
        <v>16</v>
      </c>
      <c r="H2387" s="527">
        <v>1</v>
      </c>
      <c r="I2387" s="527">
        <v>3</v>
      </c>
      <c r="J2387" s="527">
        <v>3</v>
      </c>
      <c r="K2387" s="527">
        <v>3</v>
      </c>
      <c r="L2387" s="529">
        <v>3</v>
      </c>
      <c r="M2387" s="626">
        <f t="shared" si="76"/>
        <v>1.1666438005107913</v>
      </c>
      <c r="N2387" s="530"/>
    </row>
    <row r="2388" spans="1:14" hidden="1" x14ac:dyDescent="0.2">
      <c r="A2388" s="621" t="s">
        <v>465</v>
      </c>
      <c r="B2388" s="524" t="s">
        <v>482</v>
      </c>
      <c r="C2388" s="247" t="s">
        <v>37</v>
      </c>
      <c r="D2388" s="527" t="s">
        <v>135</v>
      </c>
      <c r="E2388" s="623">
        <v>1.424153686001283E-3</v>
      </c>
      <c r="F2388" s="250" t="s">
        <v>548</v>
      </c>
      <c r="G2388" s="528" t="s">
        <v>16</v>
      </c>
      <c r="H2388" s="527">
        <v>1</v>
      </c>
      <c r="I2388" s="527">
        <v>3</v>
      </c>
      <c r="J2388" s="527">
        <v>3</v>
      </c>
      <c r="K2388" s="527">
        <v>3</v>
      </c>
      <c r="L2388" s="529">
        <v>3</v>
      </c>
      <c r="M2388" s="626">
        <f t="shared" si="76"/>
        <v>1.1666438005107913</v>
      </c>
      <c r="N2388" s="530"/>
    </row>
    <row r="2389" spans="1:14" hidden="1" x14ac:dyDescent="0.2">
      <c r="A2389" s="621" t="s">
        <v>465</v>
      </c>
      <c r="B2389" s="524" t="s">
        <v>482</v>
      </c>
      <c r="C2389" s="247" t="s">
        <v>39</v>
      </c>
      <c r="D2389" s="527" t="s">
        <v>135</v>
      </c>
      <c r="E2389" s="623">
        <v>6.6960513533949285E-4</v>
      </c>
      <c r="F2389" s="250" t="s">
        <v>548</v>
      </c>
      <c r="G2389" s="528" t="s">
        <v>16</v>
      </c>
      <c r="H2389" s="527">
        <v>1</v>
      </c>
      <c r="I2389" s="527">
        <v>3</v>
      </c>
      <c r="J2389" s="527">
        <v>3</v>
      </c>
      <c r="K2389" s="527">
        <v>3</v>
      </c>
      <c r="L2389" s="529">
        <v>3</v>
      </c>
      <c r="M2389" s="626">
        <f t="shared" si="76"/>
        <v>1.1666438005107913</v>
      </c>
      <c r="N2389" s="530"/>
    </row>
    <row r="2390" spans="1:14" hidden="1" x14ac:dyDescent="0.2">
      <c r="A2390" s="621" t="s">
        <v>465</v>
      </c>
      <c r="B2390" s="524" t="s">
        <v>482</v>
      </c>
      <c r="C2390" s="247" t="s">
        <v>40</v>
      </c>
      <c r="D2390" s="527" t="s">
        <v>135</v>
      </c>
      <c r="E2390" s="623">
        <v>1.219933123988902E-4</v>
      </c>
      <c r="F2390" s="250" t="s">
        <v>548</v>
      </c>
      <c r="G2390" s="528" t="s">
        <v>16</v>
      </c>
      <c r="H2390" s="527">
        <v>1</v>
      </c>
      <c r="I2390" s="527">
        <v>3</v>
      </c>
      <c r="J2390" s="527">
        <v>3</v>
      </c>
      <c r="K2390" s="527">
        <v>3</v>
      </c>
      <c r="L2390" s="529">
        <v>3</v>
      </c>
      <c r="M2390" s="626">
        <f t="shared" si="76"/>
        <v>1.1666438005107913</v>
      </c>
      <c r="N2390" s="530"/>
    </row>
    <row r="2391" spans="1:14" hidden="1" x14ac:dyDescent="0.2">
      <c r="A2391" s="621" t="s">
        <v>465</v>
      </c>
      <c r="B2391" s="524" t="s">
        <v>482</v>
      </c>
      <c r="C2391" s="247" t="s">
        <v>41</v>
      </c>
      <c r="D2391" s="527" t="s">
        <v>135</v>
      </c>
      <c r="E2391" s="539">
        <v>0</v>
      </c>
      <c r="F2391" s="250" t="s">
        <v>548</v>
      </c>
      <c r="G2391" s="528" t="s">
        <v>16</v>
      </c>
      <c r="H2391" s="539"/>
      <c r="I2391" s="539"/>
      <c r="J2391" s="539"/>
      <c r="K2391" s="539"/>
      <c r="L2391" s="540"/>
      <c r="M2391" s="721" t="str">
        <f t="shared" si="76"/>
        <v/>
      </c>
      <c r="N2391" s="530"/>
    </row>
    <row r="2392" spans="1:14" hidden="1" x14ac:dyDescent="0.2">
      <c r="A2392" s="621" t="s">
        <v>465</v>
      </c>
      <c r="B2392" s="524" t="s">
        <v>482</v>
      </c>
      <c r="C2392" s="247" t="s">
        <v>42</v>
      </c>
      <c r="D2392" s="527" t="s">
        <v>135</v>
      </c>
      <c r="E2392" s="623">
        <v>6.8748047839839628E-4</v>
      </c>
      <c r="F2392" s="250" t="s">
        <v>548</v>
      </c>
      <c r="G2392" s="528" t="s">
        <v>16</v>
      </c>
      <c r="H2392" s="527">
        <v>1</v>
      </c>
      <c r="I2392" s="527">
        <v>3</v>
      </c>
      <c r="J2392" s="527">
        <v>3</v>
      </c>
      <c r="K2392" s="527">
        <v>3</v>
      </c>
      <c r="L2392" s="529">
        <v>3</v>
      </c>
      <c r="M2392" s="626">
        <f t="shared" si="76"/>
        <v>1.1666438005107913</v>
      </c>
      <c r="N2392" s="530"/>
    </row>
    <row r="2393" spans="1:14" hidden="1" x14ac:dyDescent="0.2">
      <c r="A2393" s="621" t="s">
        <v>465</v>
      </c>
      <c r="B2393" s="524" t="s">
        <v>482</v>
      </c>
      <c r="C2393" s="247" t="s">
        <v>43</v>
      </c>
      <c r="D2393" s="527" t="s">
        <v>135</v>
      </c>
      <c r="E2393" s="623">
        <v>6.8326095279999503E-4</v>
      </c>
      <c r="F2393" s="250" t="s">
        <v>548</v>
      </c>
      <c r="G2393" s="528" t="s">
        <v>16</v>
      </c>
      <c r="H2393" s="527">
        <v>1</v>
      </c>
      <c r="I2393" s="527">
        <v>3</v>
      </c>
      <c r="J2393" s="527">
        <v>3</v>
      </c>
      <c r="K2393" s="527">
        <v>3</v>
      </c>
      <c r="L2393" s="529">
        <v>3</v>
      </c>
      <c r="M2393" s="626">
        <f t="shared" si="76"/>
        <v>1.1666438005107913</v>
      </c>
      <c r="N2393" s="530"/>
    </row>
    <row r="2394" spans="1:14" x14ac:dyDescent="0.2">
      <c r="A2394" s="621" t="s">
        <v>465</v>
      </c>
      <c r="B2394" s="524" t="s">
        <v>482</v>
      </c>
      <c r="C2394" s="247" t="s">
        <v>45</v>
      </c>
      <c r="D2394" s="527" t="s">
        <v>135</v>
      </c>
      <c r="E2394" s="623">
        <v>5.9303577844928648E-4</v>
      </c>
      <c r="F2394" s="250" t="s">
        <v>548</v>
      </c>
      <c r="G2394" s="528" t="s">
        <v>16</v>
      </c>
      <c r="H2394" s="527">
        <v>2</v>
      </c>
      <c r="I2394" s="527">
        <v>3</v>
      </c>
      <c r="J2394" s="527">
        <v>3</v>
      </c>
      <c r="K2394" s="527">
        <v>3</v>
      </c>
      <c r="L2394" s="529">
        <v>3</v>
      </c>
      <c r="M2394" s="626">
        <f t="shared" si="76"/>
        <v>1.1713319510247036</v>
      </c>
      <c r="N2394" s="530"/>
    </row>
    <row r="2395" spans="1:14" hidden="1" x14ac:dyDescent="0.2">
      <c r="A2395" s="621" t="s">
        <v>465</v>
      </c>
      <c r="B2395" s="524" t="s">
        <v>482</v>
      </c>
      <c r="C2395" s="247" t="s">
        <v>46</v>
      </c>
      <c r="D2395" s="527" t="s">
        <v>135</v>
      </c>
      <c r="E2395" s="623">
        <v>2.7106814447660122E-4</v>
      </c>
      <c r="F2395" s="250" t="s">
        <v>548</v>
      </c>
      <c r="G2395" s="528" t="s">
        <v>16</v>
      </c>
      <c r="H2395" s="527">
        <v>1</v>
      </c>
      <c r="I2395" s="527">
        <v>3</v>
      </c>
      <c r="J2395" s="527">
        <v>3</v>
      </c>
      <c r="K2395" s="527">
        <v>3</v>
      </c>
      <c r="L2395" s="529">
        <v>3</v>
      </c>
      <c r="M2395" s="626">
        <f t="shared" si="76"/>
        <v>1.1666438005107913</v>
      </c>
      <c r="N2395" s="530"/>
    </row>
    <row r="2396" spans="1:14" hidden="1" x14ac:dyDescent="0.2">
      <c r="A2396" s="621" t="s">
        <v>465</v>
      </c>
      <c r="B2396" s="524" t="s">
        <v>482</v>
      </c>
      <c r="C2396" s="247" t="s">
        <v>48</v>
      </c>
      <c r="D2396" s="527" t="s">
        <v>135</v>
      </c>
      <c r="E2396" s="623">
        <v>1.6090083043733411E-3</v>
      </c>
      <c r="F2396" s="250" t="s">
        <v>548</v>
      </c>
      <c r="G2396" s="528" t="s">
        <v>16</v>
      </c>
      <c r="H2396" s="527">
        <v>1</v>
      </c>
      <c r="I2396" s="527">
        <v>3</v>
      </c>
      <c r="J2396" s="527">
        <v>3</v>
      </c>
      <c r="K2396" s="527">
        <v>3</v>
      </c>
      <c r="L2396" s="529">
        <v>3</v>
      </c>
      <c r="M2396" s="626">
        <f t="shared" si="76"/>
        <v>1.1666438005107913</v>
      </c>
      <c r="N2396" s="530"/>
    </row>
    <row r="2397" spans="1:14" hidden="1" x14ac:dyDescent="0.2">
      <c r="A2397" s="621" t="s">
        <v>465</v>
      </c>
      <c r="B2397" s="524" t="s">
        <v>482</v>
      </c>
      <c r="C2397" s="247" t="s">
        <v>50</v>
      </c>
      <c r="D2397" s="527" t="s">
        <v>135</v>
      </c>
      <c r="E2397" s="623">
        <v>1.131191016390484E-4</v>
      </c>
      <c r="F2397" s="250" t="s">
        <v>548</v>
      </c>
      <c r="G2397" s="528" t="s">
        <v>16</v>
      </c>
      <c r="H2397" s="527">
        <v>1</v>
      </c>
      <c r="I2397" s="527">
        <v>3</v>
      </c>
      <c r="J2397" s="527">
        <v>3</v>
      </c>
      <c r="K2397" s="527">
        <v>3</v>
      </c>
      <c r="L2397" s="529">
        <v>3</v>
      </c>
      <c r="M2397" s="626">
        <f t="shared" si="76"/>
        <v>1.1666438005107913</v>
      </c>
      <c r="N2397" s="530"/>
    </row>
    <row r="2398" spans="1:14" hidden="1" x14ac:dyDescent="0.2">
      <c r="A2398" s="621" t="s">
        <v>465</v>
      </c>
      <c r="B2398" s="524" t="s">
        <v>482</v>
      </c>
      <c r="C2398" s="247" t="s">
        <v>52</v>
      </c>
      <c r="D2398" s="527" t="s">
        <v>135</v>
      </c>
      <c r="E2398" s="539">
        <v>0</v>
      </c>
      <c r="F2398" s="250" t="s">
        <v>548</v>
      </c>
      <c r="G2398" s="528" t="s">
        <v>16</v>
      </c>
      <c r="H2398" s="539"/>
      <c r="I2398" s="539"/>
      <c r="J2398" s="539"/>
      <c r="K2398" s="539"/>
      <c r="L2398" s="540"/>
      <c r="M2398" s="721" t="str">
        <f t="shared" si="76"/>
        <v/>
      </c>
      <c r="N2398" s="530"/>
    </row>
    <row r="2399" spans="1:14" hidden="1" x14ac:dyDescent="0.2">
      <c r="A2399" s="621" t="s">
        <v>465</v>
      </c>
      <c r="B2399" s="524" t="s">
        <v>482</v>
      </c>
      <c r="C2399" s="247" t="s">
        <v>54</v>
      </c>
      <c r="D2399" s="527" t="s">
        <v>135</v>
      </c>
      <c r="E2399" s="623">
        <v>1.434573787677972E-4</v>
      </c>
      <c r="F2399" s="250" t="s">
        <v>548</v>
      </c>
      <c r="G2399" s="528" t="s">
        <v>16</v>
      </c>
      <c r="H2399" s="527">
        <v>1</v>
      </c>
      <c r="I2399" s="527">
        <v>3</v>
      </c>
      <c r="J2399" s="527">
        <v>3</v>
      </c>
      <c r="K2399" s="527">
        <v>3</v>
      </c>
      <c r="L2399" s="529">
        <v>3</v>
      </c>
      <c r="M2399" s="626">
        <f t="shared" si="76"/>
        <v>1.1666438005107913</v>
      </c>
      <c r="N2399" s="530"/>
    </row>
    <row r="2400" spans="1:14" hidden="1" x14ac:dyDescent="0.2">
      <c r="A2400" s="621" t="s">
        <v>465</v>
      </c>
      <c r="B2400" s="524" t="s">
        <v>482</v>
      </c>
      <c r="C2400" s="247" t="s">
        <v>55</v>
      </c>
      <c r="D2400" s="527" t="s">
        <v>135</v>
      </c>
      <c r="E2400" s="623">
        <v>8.8600635970927457E-4</v>
      </c>
      <c r="F2400" s="250" t="s">
        <v>548</v>
      </c>
      <c r="G2400" s="528" t="s">
        <v>16</v>
      </c>
      <c r="H2400" s="527">
        <v>1</v>
      </c>
      <c r="I2400" s="527">
        <v>3</v>
      </c>
      <c r="J2400" s="527">
        <v>3</v>
      </c>
      <c r="K2400" s="527">
        <v>3</v>
      </c>
      <c r="L2400" s="529">
        <v>3</v>
      </c>
      <c r="M2400" s="626">
        <f t="shared" si="76"/>
        <v>1.1666438005107913</v>
      </c>
      <c r="N2400" s="530"/>
    </row>
    <row r="2401" spans="1:14" hidden="1" x14ac:dyDescent="0.2">
      <c r="A2401" s="621" t="s">
        <v>465</v>
      </c>
      <c r="B2401" s="524" t="s">
        <v>482</v>
      </c>
      <c r="C2401" s="247" t="s">
        <v>57</v>
      </c>
      <c r="D2401" s="527" t="s">
        <v>135</v>
      </c>
      <c r="E2401" s="623">
        <v>5.8697585559471682E-4</v>
      </c>
      <c r="F2401" s="250" t="s">
        <v>548</v>
      </c>
      <c r="G2401" s="528" t="s">
        <v>16</v>
      </c>
      <c r="H2401" s="527">
        <v>1</v>
      </c>
      <c r="I2401" s="527">
        <v>3</v>
      </c>
      <c r="J2401" s="527">
        <v>3</v>
      </c>
      <c r="K2401" s="527">
        <v>3</v>
      </c>
      <c r="L2401" s="529">
        <v>3</v>
      </c>
      <c r="M2401" s="626">
        <f t="shared" si="76"/>
        <v>1.1666438005107913</v>
      </c>
      <c r="N2401" s="530"/>
    </row>
    <row r="2402" spans="1:14" hidden="1" x14ac:dyDescent="0.2">
      <c r="A2402" s="621" t="s">
        <v>465</v>
      </c>
      <c r="B2402" s="524" t="s">
        <v>482</v>
      </c>
      <c r="C2402" s="247" t="s">
        <v>59</v>
      </c>
      <c r="D2402" s="527" t="s">
        <v>135</v>
      </c>
      <c r="E2402" s="539">
        <v>0</v>
      </c>
      <c r="F2402" s="250" t="s">
        <v>548</v>
      </c>
      <c r="G2402" s="528" t="s">
        <v>16</v>
      </c>
      <c r="H2402" s="656"/>
      <c r="I2402" s="539"/>
      <c r="J2402" s="539"/>
      <c r="K2402" s="539"/>
      <c r="L2402" s="540"/>
      <c r="M2402" s="721" t="str">
        <f t="shared" si="76"/>
        <v/>
      </c>
      <c r="N2402" s="530"/>
    </row>
    <row r="2403" spans="1:14" hidden="1" x14ac:dyDescent="0.2">
      <c r="A2403" s="621" t="s">
        <v>465</v>
      </c>
      <c r="B2403" s="524" t="s">
        <v>482</v>
      </c>
      <c r="C2403" s="247" t="s">
        <v>60</v>
      </c>
      <c r="D2403" s="527" t="s">
        <v>135</v>
      </c>
      <c r="E2403" s="627">
        <v>1.0219722337979371E-3</v>
      </c>
      <c r="F2403" s="250" t="s">
        <v>548</v>
      </c>
      <c r="G2403" s="528" t="s">
        <v>16</v>
      </c>
      <c r="H2403" s="519">
        <v>2</v>
      </c>
      <c r="I2403" s="527">
        <v>3</v>
      </c>
      <c r="J2403" s="527">
        <v>3</v>
      </c>
      <c r="K2403" s="527">
        <v>3</v>
      </c>
      <c r="L2403" s="529">
        <v>3</v>
      </c>
      <c r="M2403" s="521">
        <f t="shared" si="76"/>
        <v>1.1713319510247036</v>
      </c>
      <c r="N2403" s="522"/>
    </row>
    <row r="2404" spans="1:14" x14ac:dyDescent="0.2">
      <c r="A2404" s="621" t="s">
        <v>465</v>
      </c>
      <c r="B2404" s="639" t="s">
        <v>387</v>
      </c>
      <c r="C2404" s="640" t="s">
        <v>135</v>
      </c>
      <c r="D2404" t="s">
        <v>135</v>
      </c>
      <c r="E2404" s="539" t="s">
        <v>188</v>
      </c>
      <c r="F2404" s="534"/>
      <c r="G2404" s="535" t="s">
        <v>16</v>
      </c>
      <c r="H2404" s="539"/>
      <c r="I2404" s="539"/>
      <c r="J2404" s="539"/>
      <c r="K2404" s="539"/>
      <c r="L2404" s="540"/>
      <c r="M2404" s="541" t="str">
        <f t="shared" si="76"/>
        <v/>
      </c>
      <c r="N2404" s="530"/>
    </row>
    <row r="2405" spans="1:14" hidden="1" x14ac:dyDescent="0.2">
      <c r="A2405" s="641" t="s">
        <v>457</v>
      </c>
      <c r="B2405" s="642" t="s">
        <v>485</v>
      </c>
      <c r="C2405" s="265" t="s">
        <v>13</v>
      </c>
      <c r="D2405" s="321" t="s">
        <v>135</v>
      </c>
      <c r="E2405" s="322">
        <v>0.17211107085213609</v>
      </c>
      <c r="F2405" s="250" t="s">
        <v>548</v>
      </c>
      <c r="G2405" s="528" t="s">
        <v>16</v>
      </c>
      <c r="H2405" s="321">
        <v>1</v>
      </c>
      <c r="I2405" s="321">
        <v>3</v>
      </c>
      <c r="J2405" s="321">
        <v>3</v>
      </c>
      <c r="K2405" s="321">
        <v>3</v>
      </c>
      <c r="L2405" s="325">
        <v>3</v>
      </c>
      <c r="M2405" s="624">
        <f t="shared" si="76"/>
        <v>1.1666438005107913</v>
      </c>
      <c r="N2405" s="625"/>
    </row>
    <row r="2406" spans="1:14" hidden="1" x14ac:dyDescent="0.2">
      <c r="A2406" s="621" t="s">
        <v>457</v>
      </c>
      <c r="B2406" s="611" t="s">
        <v>485</v>
      </c>
      <c r="C2406" s="247" t="s">
        <v>18</v>
      </c>
      <c r="D2406" s="527" t="s">
        <v>135</v>
      </c>
      <c r="E2406" s="623">
        <v>0.43645640501992822</v>
      </c>
      <c r="F2406" s="250" t="s">
        <v>548</v>
      </c>
      <c r="G2406" s="528" t="s">
        <v>16</v>
      </c>
      <c r="H2406" s="527">
        <v>1</v>
      </c>
      <c r="I2406" s="527">
        <v>3</v>
      </c>
      <c r="J2406" s="527">
        <v>3</v>
      </c>
      <c r="K2406" s="527">
        <v>3</v>
      </c>
      <c r="L2406" s="529">
        <v>3</v>
      </c>
      <c r="M2406" s="626">
        <f t="shared" si="76"/>
        <v>1.1666438005107913</v>
      </c>
      <c r="N2406" s="530"/>
    </row>
    <row r="2407" spans="1:14" hidden="1" x14ac:dyDescent="0.2">
      <c r="A2407" s="621" t="s">
        <v>457</v>
      </c>
      <c r="B2407" s="611" t="s">
        <v>485</v>
      </c>
      <c r="C2407" s="247" t="s">
        <v>20</v>
      </c>
      <c r="D2407" s="527" t="s">
        <v>135</v>
      </c>
      <c r="E2407" s="623">
        <v>0.53100334881473921</v>
      </c>
      <c r="F2407" s="250" t="s">
        <v>548</v>
      </c>
      <c r="G2407" s="528" t="s">
        <v>16</v>
      </c>
      <c r="H2407" s="527">
        <v>1</v>
      </c>
      <c r="I2407" s="527">
        <v>3</v>
      </c>
      <c r="J2407" s="527">
        <v>3</v>
      </c>
      <c r="K2407" s="527">
        <v>3</v>
      </c>
      <c r="L2407" s="529">
        <v>3</v>
      </c>
      <c r="M2407" s="626">
        <f t="shared" si="76"/>
        <v>1.1666438005107913</v>
      </c>
      <c r="N2407" s="530"/>
    </row>
    <row r="2408" spans="1:14" hidden="1" x14ac:dyDescent="0.2">
      <c r="A2408" s="621" t="s">
        <v>457</v>
      </c>
      <c r="B2408" s="611" t="s">
        <v>485</v>
      </c>
      <c r="C2408" s="247" t="s">
        <v>22</v>
      </c>
      <c r="D2408" s="527" t="s">
        <v>135</v>
      </c>
      <c r="E2408" s="623">
        <v>0.35452002152025219</v>
      </c>
      <c r="F2408" s="250" t="s">
        <v>548</v>
      </c>
      <c r="G2408" s="528" t="s">
        <v>16</v>
      </c>
      <c r="H2408" s="527">
        <v>1</v>
      </c>
      <c r="I2408" s="527">
        <v>3</v>
      </c>
      <c r="J2408" s="527">
        <v>3</v>
      </c>
      <c r="K2408" s="527">
        <v>3</v>
      </c>
      <c r="L2408" s="529">
        <v>3</v>
      </c>
      <c r="M2408" s="626">
        <f t="shared" si="76"/>
        <v>1.1666438005107913</v>
      </c>
      <c r="N2408" s="530"/>
    </row>
    <row r="2409" spans="1:14" hidden="1" x14ac:dyDescent="0.2">
      <c r="A2409" s="621" t="s">
        <v>457</v>
      </c>
      <c r="B2409" s="611" t="s">
        <v>485</v>
      </c>
      <c r="C2409" s="247" t="s">
        <v>23</v>
      </c>
      <c r="D2409" s="527" t="s">
        <v>135</v>
      </c>
      <c r="E2409" s="623">
        <v>0.35660937448532559</v>
      </c>
      <c r="F2409" s="250" t="s">
        <v>548</v>
      </c>
      <c r="G2409" s="528" t="s">
        <v>16</v>
      </c>
      <c r="H2409" s="527">
        <v>1</v>
      </c>
      <c r="I2409" s="527">
        <v>3</v>
      </c>
      <c r="J2409" s="527">
        <v>3</v>
      </c>
      <c r="K2409" s="527">
        <v>3</v>
      </c>
      <c r="L2409" s="529">
        <v>3</v>
      </c>
      <c r="M2409" s="626">
        <f t="shared" si="76"/>
        <v>1.1666438005107913</v>
      </c>
      <c r="N2409" s="530"/>
    </row>
    <row r="2410" spans="1:14" hidden="1" x14ac:dyDescent="0.2">
      <c r="A2410" s="621" t="s">
        <v>457</v>
      </c>
      <c r="B2410" s="611" t="s">
        <v>485</v>
      </c>
      <c r="C2410" s="247" t="s">
        <v>24</v>
      </c>
      <c r="D2410" s="527" t="s">
        <v>135</v>
      </c>
      <c r="E2410" s="623">
        <v>0.3770066207714351</v>
      </c>
      <c r="F2410" s="250" t="s">
        <v>548</v>
      </c>
      <c r="G2410" s="528" t="s">
        <v>16</v>
      </c>
      <c r="H2410" s="527">
        <v>1</v>
      </c>
      <c r="I2410" s="527">
        <v>3</v>
      </c>
      <c r="J2410" s="527">
        <v>3</v>
      </c>
      <c r="K2410" s="527">
        <v>3</v>
      </c>
      <c r="L2410" s="529">
        <v>3</v>
      </c>
      <c r="M2410" s="626">
        <f>IF( OR( ISBLANK(H2410),ISBLANK(I2410), ISBLANK(J2410), ISBLANK(K2410), ISBLANK(L2410) ), "", 1.5*SQRT(   EXP(2.21*(H2410-1)) + EXP(2.21*(I2410-1)) + EXP(2.21*(J2410-1)) + EXP(2.21*(K2410-1)) + EXP(2.21*L2410)   )/100*2.45 )</f>
        <v>1.1666438005107913</v>
      </c>
      <c r="N2410" s="530"/>
    </row>
    <row r="2411" spans="1:14" hidden="1" x14ac:dyDescent="0.2">
      <c r="A2411" s="621" t="s">
        <v>457</v>
      </c>
      <c r="B2411" s="611" t="s">
        <v>485</v>
      </c>
      <c r="C2411" s="247" t="s">
        <v>25</v>
      </c>
      <c r="D2411" s="527" t="s">
        <v>135</v>
      </c>
      <c r="E2411" s="623">
        <v>0.22760547668456349</v>
      </c>
      <c r="F2411" s="250" t="s">
        <v>548</v>
      </c>
      <c r="G2411" s="528" t="s">
        <v>16</v>
      </c>
      <c r="H2411" s="527">
        <v>1</v>
      </c>
      <c r="I2411" s="527">
        <v>3</v>
      </c>
      <c r="J2411" s="527">
        <v>3</v>
      </c>
      <c r="K2411" s="527">
        <v>3</v>
      </c>
      <c r="L2411" s="529">
        <v>3</v>
      </c>
      <c r="M2411" s="626">
        <f t="shared" ref="M2411:M2442" si="77">IF( OR( ISBLANK(H2411),ISBLANK(I2411), ISBLANK(J2411), ISBLANK(K2411), ISBLANK(L2411) ), "", 1.5*SQRT( EXP(2.21*(H2411-1)) + EXP(2.21*(I2411-1)) + EXP(2.21*(J2411-1)) + EXP(2.21*(K2411-1)) + EXP(2.21*L2411) )/100*2.45 )</f>
        <v>1.1666438005107913</v>
      </c>
      <c r="N2411" s="530"/>
    </row>
    <row r="2412" spans="1:14" hidden="1" x14ac:dyDescent="0.2">
      <c r="A2412" s="621" t="s">
        <v>457</v>
      </c>
      <c r="B2412" s="611" t="s">
        <v>485</v>
      </c>
      <c r="C2412" s="247" t="s">
        <v>26</v>
      </c>
      <c r="D2412" s="527" t="s">
        <v>135</v>
      </c>
      <c r="E2412" s="623">
        <v>0.1902750419974307</v>
      </c>
      <c r="F2412" s="250" t="s">
        <v>548</v>
      </c>
      <c r="G2412" s="528" t="s">
        <v>16</v>
      </c>
      <c r="H2412" s="527">
        <v>1</v>
      </c>
      <c r="I2412" s="527">
        <v>3</v>
      </c>
      <c r="J2412" s="527">
        <v>3</v>
      </c>
      <c r="K2412" s="527">
        <v>3</v>
      </c>
      <c r="L2412" s="529">
        <v>3</v>
      </c>
      <c r="M2412" s="626">
        <f t="shared" si="77"/>
        <v>1.1666438005107913</v>
      </c>
      <c r="N2412" s="530"/>
    </row>
    <row r="2413" spans="1:14" hidden="1" x14ac:dyDescent="0.2">
      <c r="A2413" s="621" t="s">
        <v>457</v>
      </c>
      <c r="B2413" s="611" t="s">
        <v>485</v>
      </c>
      <c r="C2413" s="247" t="s">
        <v>27</v>
      </c>
      <c r="D2413" s="527" t="s">
        <v>135</v>
      </c>
      <c r="E2413" s="623">
        <v>0.17590515717469829</v>
      </c>
      <c r="F2413" s="250" t="s">
        <v>548</v>
      </c>
      <c r="G2413" s="528" t="s">
        <v>16</v>
      </c>
      <c r="H2413" s="527">
        <v>1</v>
      </c>
      <c r="I2413" s="527">
        <v>3</v>
      </c>
      <c r="J2413" s="527">
        <v>3</v>
      </c>
      <c r="K2413" s="527">
        <v>3</v>
      </c>
      <c r="L2413" s="529">
        <v>3</v>
      </c>
      <c r="M2413" s="626">
        <f t="shared" si="77"/>
        <v>1.1666438005107913</v>
      </c>
      <c r="N2413" s="530"/>
    </row>
    <row r="2414" spans="1:14" hidden="1" x14ac:dyDescent="0.2">
      <c r="A2414" s="621" t="s">
        <v>457</v>
      </c>
      <c r="B2414" s="611" t="s">
        <v>485</v>
      </c>
      <c r="C2414" s="247" t="s">
        <v>28</v>
      </c>
      <c r="D2414" s="527" t="s">
        <v>135</v>
      </c>
      <c r="E2414" s="623">
        <v>0.37628204705908191</v>
      </c>
      <c r="F2414" s="250" t="s">
        <v>548</v>
      </c>
      <c r="G2414" s="528" t="s">
        <v>16</v>
      </c>
      <c r="H2414" s="527">
        <v>1</v>
      </c>
      <c r="I2414" s="527">
        <v>3</v>
      </c>
      <c r="J2414" s="527">
        <v>3</v>
      </c>
      <c r="K2414" s="527">
        <v>3</v>
      </c>
      <c r="L2414" s="529">
        <v>3</v>
      </c>
      <c r="M2414" s="626">
        <f t="shared" si="77"/>
        <v>1.1666438005107913</v>
      </c>
      <c r="N2414" s="530"/>
    </row>
    <row r="2415" spans="1:14" hidden="1" x14ac:dyDescent="0.2">
      <c r="A2415" s="621" t="s">
        <v>457</v>
      </c>
      <c r="B2415" s="611" t="s">
        <v>485</v>
      </c>
      <c r="C2415" s="247" t="s">
        <v>30</v>
      </c>
      <c r="D2415" s="527" t="s">
        <v>135</v>
      </c>
      <c r="E2415" s="623">
        <v>0.22600000000000001</v>
      </c>
      <c r="F2415" s="250" t="s">
        <v>548</v>
      </c>
      <c r="G2415" s="528" t="s">
        <v>16</v>
      </c>
      <c r="H2415" s="527">
        <v>1</v>
      </c>
      <c r="I2415" s="527">
        <v>3</v>
      </c>
      <c r="J2415" s="527">
        <v>3</v>
      </c>
      <c r="K2415" s="527">
        <v>3</v>
      </c>
      <c r="L2415" s="529">
        <v>3</v>
      </c>
      <c r="M2415" s="626">
        <f t="shared" si="77"/>
        <v>1.1666438005107913</v>
      </c>
      <c r="N2415" s="530"/>
    </row>
    <row r="2416" spans="1:14" hidden="1" x14ac:dyDescent="0.2">
      <c r="A2416" s="621" t="s">
        <v>457</v>
      </c>
      <c r="B2416" s="611" t="s">
        <v>485</v>
      </c>
      <c r="C2416" s="247" t="s">
        <v>32</v>
      </c>
      <c r="D2416" s="527" t="s">
        <v>135</v>
      </c>
      <c r="E2416" s="623">
        <v>0.71333041272769193</v>
      </c>
      <c r="F2416" s="250" t="s">
        <v>548</v>
      </c>
      <c r="G2416" s="528" t="s">
        <v>16</v>
      </c>
      <c r="H2416" s="527">
        <v>1</v>
      </c>
      <c r="I2416" s="527">
        <v>3</v>
      </c>
      <c r="J2416" s="527">
        <v>3</v>
      </c>
      <c r="K2416" s="527">
        <v>3</v>
      </c>
      <c r="L2416" s="529">
        <v>3</v>
      </c>
      <c r="M2416" s="626">
        <f t="shared" si="77"/>
        <v>1.1666438005107913</v>
      </c>
      <c r="N2416" s="530"/>
    </row>
    <row r="2417" spans="1:14" hidden="1" x14ac:dyDescent="0.2">
      <c r="A2417" s="621" t="s">
        <v>457</v>
      </c>
      <c r="B2417" s="611" t="s">
        <v>485</v>
      </c>
      <c r="C2417" s="247" t="s">
        <v>34</v>
      </c>
      <c r="D2417" s="527" t="s">
        <v>135</v>
      </c>
      <c r="E2417" s="623">
        <v>0.35973099684882032</v>
      </c>
      <c r="F2417" s="250" t="s">
        <v>548</v>
      </c>
      <c r="G2417" s="528" t="s">
        <v>16</v>
      </c>
      <c r="H2417" s="527">
        <v>1</v>
      </c>
      <c r="I2417" s="527">
        <v>3</v>
      </c>
      <c r="J2417" s="527">
        <v>3</v>
      </c>
      <c r="K2417" s="527">
        <v>3</v>
      </c>
      <c r="L2417" s="529">
        <v>3</v>
      </c>
      <c r="M2417" s="626">
        <f t="shared" si="77"/>
        <v>1.1666438005107913</v>
      </c>
      <c r="N2417" s="530"/>
    </row>
    <row r="2418" spans="1:14" hidden="1" x14ac:dyDescent="0.2">
      <c r="A2418" s="621" t="s">
        <v>457</v>
      </c>
      <c r="B2418" s="611" t="s">
        <v>485</v>
      </c>
      <c r="C2418" s="247" t="s">
        <v>36</v>
      </c>
      <c r="D2418" s="527" t="s">
        <v>135</v>
      </c>
      <c r="E2418" s="623">
        <v>0.21120827431733591</v>
      </c>
      <c r="F2418" s="250" t="s">
        <v>548</v>
      </c>
      <c r="G2418" s="528" t="s">
        <v>16</v>
      </c>
      <c r="H2418" s="527">
        <v>1</v>
      </c>
      <c r="I2418" s="527">
        <v>3</v>
      </c>
      <c r="J2418" s="527">
        <v>3</v>
      </c>
      <c r="K2418" s="527">
        <v>3</v>
      </c>
      <c r="L2418" s="529">
        <v>3</v>
      </c>
      <c r="M2418" s="626">
        <f t="shared" si="77"/>
        <v>1.1666438005107913</v>
      </c>
      <c r="N2418" s="530"/>
    </row>
    <row r="2419" spans="1:14" hidden="1" x14ac:dyDescent="0.2">
      <c r="A2419" s="621" t="s">
        <v>457</v>
      </c>
      <c r="B2419" s="611" t="s">
        <v>485</v>
      </c>
      <c r="C2419" s="247" t="s">
        <v>37</v>
      </c>
      <c r="D2419" s="527" t="s">
        <v>135</v>
      </c>
      <c r="E2419" s="623">
        <v>0.52623902851433391</v>
      </c>
      <c r="F2419" s="250" t="s">
        <v>548</v>
      </c>
      <c r="G2419" s="528" t="s">
        <v>16</v>
      </c>
      <c r="H2419" s="527">
        <v>1</v>
      </c>
      <c r="I2419" s="527">
        <v>3</v>
      </c>
      <c r="J2419" s="527">
        <v>3</v>
      </c>
      <c r="K2419" s="527">
        <v>3</v>
      </c>
      <c r="L2419" s="529">
        <v>3</v>
      </c>
      <c r="M2419" s="626">
        <f t="shared" si="77"/>
        <v>1.1666438005107913</v>
      </c>
      <c r="N2419" s="530"/>
    </row>
    <row r="2420" spans="1:14" hidden="1" x14ac:dyDescent="0.2">
      <c r="A2420" s="621" t="s">
        <v>457</v>
      </c>
      <c r="B2420" s="611" t="s">
        <v>485</v>
      </c>
      <c r="C2420" s="247" t="s">
        <v>39</v>
      </c>
      <c r="D2420" s="527" t="s">
        <v>135</v>
      </c>
      <c r="E2420" s="623">
        <v>0.2394443163477058</v>
      </c>
      <c r="F2420" s="250" t="s">
        <v>548</v>
      </c>
      <c r="G2420" s="528" t="s">
        <v>16</v>
      </c>
      <c r="H2420" s="527">
        <v>1</v>
      </c>
      <c r="I2420" s="527">
        <v>3</v>
      </c>
      <c r="J2420" s="527">
        <v>3</v>
      </c>
      <c r="K2420" s="527">
        <v>3</v>
      </c>
      <c r="L2420" s="529">
        <v>3</v>
      </c>
      <c r="M2420" s="626">
        <f t="shared" si="77"/>
        <v>1.1666438005107913</v>
      </c>
      <c r="N2420" s="530"/>
    </row>
    <row r="2421" spans="1:14" hidden="1" x14ac:dyDescent="0.2">
      <c r="A2421" s="621" t="s">
        <v>457</v>
      </c>
      <c r="B2421" s="611" t="s">
        <v>485</v>
      </c>
      <c r="C2421" s="247" t="s">
        <v>40</v>
      </c>
      <c r="D2421" s="527" t="s">
        <v>135</v>
      </c>
      <c r="E2421" s="623">
        <v>0.24587863017007591</v>
      </c>
      <c r="F2421" s="250" t="s">
        <v>548</v>
      </c>
      <c r="G2421" s="528" t="s">
        <v>16</v>
      </c>
      <c r="H2421" s="527">
        <v>1</v>
      </c>
      <c r="I2421" s="527">
        <v>3</v>
      </c>
      <c r="J2421" s="527">
        <v>3</v>
      </c>
      <c r="K2421" s="527">
        <v>3</v>
      </c>
      <c r="L2421" s="529">
        <v>3</v>
      </c>
      <c r="M2421" s="626">
        <f t="shared" si="77"/>
        <v>1.1666438005107913</v>
      </c>
      <c r="N2421" s="530"/>
    </row>
    <row r="2422" spans="1:14" hidden="1" x14ac:dyDescent="0.2">
      <c r="A2422" s="621" t="s">
        <v>457</v>
      </c>
      <c r="B2422" s="611" t="s">
        <v>485</v>
      </c>
      <c r="C2422" s="247" t="s">
        <v>41</v>
      </c>
      <c r="D2422" s="527" t="s">
        <v>135</v>
      </c>
      <c r="E2422" s="623">
        <v>0.30540285692326269</v>
      </c>
      <c r="F2422" s="250" t="s">
        <v>548</v>
      </c>
      <c r="G2422" s="528" t="s">
        <v>16</v>
      </c>
      <c r="H2422" s="527">
        <v>1</v>
      </c>
      <c r="I2422" s="527">
        <v>3</v>
      </c>
      <c r="J2422" s="527">
        <v>3</v>
      </c>
      <c r="K2422" s="527">
        <v>3</v>
      </c>
      <c r="L2422" s="529">
        <v>3</v>
      </c>
      <c r="M2422" s="626">
        <f t="shared" si="77"/>
        <v>1.1666438005107913</v>
      </c>
      <c r="N2422" s="530"/>
    </row>
    <row r="2423" spans="1:14" hidden="1" x14ac:dyDescent="0.2">
      <c r="A2423" s="621" t="s">
        <v>457</v>
      </c>
      <c r="B2423" s="611" t="s">
        <v>485</v>
      </c>
      <c r="C2423" s="247" t="s">
        <v>42</v>
      </c>
      <c r="D2423" s="527" t="s">
        <v>135</v>
      </c>
      <c r="E2423" s="623">
        <v>0.15241854694379489</v>
      </c>
      <c r="F2423" s="250" t="s">
        <v>548</v>
      </c>
      <c r="G2423" s="528" t="s">
        <v>16</v>
      </c>
      <c r="H2423" s="527">
        <v>1</v>
      </c>
      <c r="I2423" s="527">
        <v>3</v>
      </c>
      <c r="J2423" s="527">
        <v>3</v>
      </c>
      <c r="K2423" s="527">
        <v>3</v>
      </c>
      <c r="L2423" s="529">
        <v>3</v>
      </c>
      <c r="M2423" s="626">
        <f t="shared" si="77"/>
        <v>1.1666438005107913</v>
      </c>
      <c r="N2423" s="530"/>
    </row>
    <row r="2424" spans="1:14" hidden="1" x14ac:dyDescent="0.2">
      <c r="A2424" s="621" t="s">
        <v>457</v>
      </c>
      <c r="B2424" s="611" t="s">
        <v>485</v>
      </c>
      <c r="C2424" s="247" t="s">
        <v>43</v>
      </c>
      <c r="D2424" s="527" t="s">
        <v>135</v>
      </c>
      <c r="E2424" s="623">
        <v>0.28052417185458461</v>
      </c>
      <c r="F2424" s="250" t="s">
        <v>548</v>
      </c>
      <c r="G2424" s="528" t="s">
        <v>16</v>
      </c>
      <c r="H2424" s="527">
        <v>1</v>
      </c>
      <c r="I2424" s="527">
        <v>3</v>
      </c>
      <c r="J2424" s="527">
        <v>3</v>
      </c>
      <c r="K2424" s="527">
        <v>3</v>
      </c>
      <c r="L2424" s="529">
        <v>3</v>
      </c>
      <c r="M2424" s="626">
        <f t="shared" si="77"/>
        <v>1.1666438005107913</v>
      </c>
      <c r="N2424" s="530"/>
    </row>
    <row r="2425" spans="1:14" x14ac:dyDescent="0.2">
      <c r="A2425" s="621" t="s">
        <v>457</v>
      </c>
      <c r="B2425" s="611" t="s">
        <v>485</v>
      </c>
      <c r="C2425" s="247" t="s">
        <v>45</v>
      </c>
      <c r="D2425" s="527" t="s">
        <v>135</v>
      </c>
      <c r="E2425" s="623">
        <v>0.160661813630225</v>
      </c>
      <c r="F2425" s="250" t="s">
        <v>548</v>
      </c>
      <c r="G2425" s="528" t="s">
        <v>16</v>
      </c>
      <c r="H2425" s="527">
        <v>2</v>
      </c>
      <c r="I2425" s="527">
        <v>3</v>
      </c>
      <c r="J2425" s="527">
        <v>3</v>
      </c>
      <c r="K2425" s="527">
        <v>3</v>
      </c>
      <c r="L2425" s="529">
        <v>3</v>
      </c>
      <c r="M2425" s="626">
        <f t="shared" si="77"/>
        <v>1.1713319510247036</v>
      </c>
      <c r="N2425" s="530"/>
    </row>
    <row r="2426" spans="1:14" hidden="1" x14ac:dyDescent="0.2">
      <c r="A2426" s="621" t="s">
        <v>457</v>
      </c>
      <c r="B2426" s="611" t="s">
        <v>485</v>
      </c>
      <c r="C2426" s="247" t="s">
        <v>46</v>
      </c>
      <c r="D2426" s="527" t="s">
        <v>135</v>
      </c>
      <c r="E2426" s="623">
        <v>0.5008119503277445</v>
      </c>
      <c r="F2426" s="250" t="s">
        <v>548</v>
      </c>
      <c r="G2426" s="528" t="s">
        <v>16</v>
      </c>
      <c r="H2426" s="527">
        <v>1</v>
      </c>
      <c r="I2426" s="527">
        <v>3</v>
      </c>
      <c r="J2426" s="527">
        <v>3</v>
      </c>
      <c r="K2426" s="527">
        <v>3</v>
      </c>
      <c r="L2426" s="529">
        <v>3</v>
      </c>
      <c r="M2426" s="626">
        <f t="shared" si="77"/>
        <v>1.1666438005107913</v>
      </c>
      <c r="N2426" s="530"/>
    </row>
    <row r="2427" spans="1:14" hidden="1" x14ac:dyDescent="0.2">
      <c r="A2427" s="621" t="s">
        <v>457</v>
      </c>
      <c r="B2427" s="611" t="s">
        <v>485</v>
      </c>
      <c r="C2427" s="247" t="s">
        <v>48</v>
      </c>
      <c r="D2427" s="527" t="s">
        <v>135</v>
      </c>
      <c r="E2427" s="623">
        <v>0.42979131943300719</v>
      </c>
      <c r="F2427" s="250" t="s">
        <v>548</v>
      </c>
      <c r="G2427" s="528" t="s">
        <v>16</v>
      </c>
      <c r="H2427" s="527">
        <v>1</v>
      </c>
      <c r="I2427" s="527">
        <v>3</v>
      </c>
      <c r="J2427" s="527">
        <v>3</v>
      </c>
      <c r="K2427" s="527">
        <v>3</v>
      </c>
      <c r="L2427" s="529">
        <v>3</v>
      </c>
      <c r="M2427" s="626">
        <f t="shared" si="77"/>
        <v>1.1666438005107913</v>
      </c>
      <c r="N2427" s="530"/>
    </row>
    <row r="2428" spans="1:14" hidden="1" x14ac:dyDescent="0.2">
      <c r="A2428" s="621" t="s">
        <v>457</v>
      </c>
      <c r="B2428" s="611" t="s">
        <v>485</v>
      </c>
      <c r="C2428" s="247" t="s">
        <v>50</v>
      </c>
      <c r="D2428" s="527" t="s">
        <v>135</v>
      </c>
      <c r="E2428" s="623">
        <v>0.50158367095973733</v>
      </c>
      <c r="F2428" s="250" t="s">
        <v>548</v>
      </c>
      <c r="G2428" s="528" t="s">
        <v>16</v>
      </c>
      <c r="H2428" s="527">
        <v>1</v>
      </c>
      <c r="I2428" s="527">
        <v>3</v>
      </c>
      <c r="J2428" s="527">
        <v>3</v>
      </c>
      <c r="K2428" s="527">
        <v>3</v>
      </c>
      <c r="L2428" s="529">
        <v>3</v>
      </c>
      <c r="M2428" s="626">
        <f t="shared" si="77"/>
        <v>1.1666438005107913</v>
      </c>
      <c r="N2428" s="530"/>
    </row>
    <row r="2429" spans="1:14" hidden="1" x14ac:dyDescent="0.2">
      <c r="A2429" s="621" t="s">
        <v>457</v>
      </c>
      <c r="B2429" s="611" t="s">
        <v>485</v>
      </c>
      <c r="C2429" s="247" t="s">
        <v>52</v>
      </c>
      <c r="D2429" s="527" t="s">
        <v>135</v>
      </c>
      <c r="E2429" s="623">
        <v>0.56080020202685643</v>
      </c>
      <c r="F2429" s="250" t="s">
        <v>548</v>
      </c>
      <c r="G2429" s="528" t="s">
        <v>16</v>
      </c>
      <c r="H2429" s="527">
        <v>1</v>
      </c>
      <c r="I2429" s="527">
        <v>3</v>
      </c>
      <c r="J2429" s="527">
        <v>3</v>
      </c>
      <c r="K2429" s="527">
        <v>3</v>
      </c>
      <c r="L2429" s="529">
        <v>3</v>
      </c>
      <c r="M2429" s="626">
        <f t="shared" si="77"/>
        <v>1.1666438005107913</v>
      </c>
      <c r="N2429" s="530"/>
    </row>
    <row r="2430" spans="1:14" hidden="1" x14ac:dyDescent="0.2">
      <c r="A2430" s="621" t="s">
        <v>457</v>
      </c>
      <c r="B2430" s="611" t="s">
        <v>485</v>
      </c>
      <c r="C2430" s="247" t="s">
        <v>54</v>
      </c>
      <c r="D2430" s="527" t="s">
        <v>135</v>
      </c>
      <c r="E2430" s="623">
        <v>0.22718115440780881</v>
      </c>
      <c r="F2430" s="250" t="s">
        <v>548</v>
      </c>
      <c r="G2430" s="528" t="s">
        <v>16</v>
      </c>
      <c r="H2430" s="527">
        <v>1</v>
      </c>
      <c r="I2430" s="527">
        <v>3</v>
      </c>
      <c r="J2430" s="527">
        <v>3</v>
      </c>
      <c r="K2430" s="527">
        <v>3</v>
      </c>
      <c r="L2430" s="529">
        <v>3</v>
      </c>
      <c r="M2430" s="626">
        <f t="shared" si="77"/>
        <v>1.1666438005107913</v>
      </c>
      <c r="N2430" s="530"/>
    </row>
    <row r="2431" spans="1:14" hidden="1" x14ac:dyDescent="0.2">
      <c r="A2431" s="621" t="s">
        <v>457</v>
      </c>
      <c r="B2431" s="611" t="s">
        <v>485</v>
      </c>
      <c r="C2431" s="247" t="s">
        <v>55</v>
      </c>
      <c r="D2431" s="527" t="s">
        <v>135</v>
      </c>
      <c r="E2431" s="623">
        <v>0.32738820997617402</v>
      </c>
      <c r="F2431" s="250" t="s">
        <v>548</v>
      </c>
      <c r="G2431" s="528" t="s">
        <v>16</v>
      </c>
      <c r="H2431" s="527">
        <v>1</v>
      </c>
      <c r="I2431" s="527">
        <v>3</v>
      </c>
      <c r="J2431" s="527">
        <v>3</v>
      </c>
      <c r="K2431" s="527">
        <v>3</v>
      </c>
      <c r="L2431" s="529">
        <v>3</v>
      </c>
      <c r="M2431" s="626">
        <f t="shared" si="77"/>
        <v>1.1666438005107913</v>
      </c>
      <c r="N2431" s="530"/>
    </row>
    <row r="2432" spans="1:14" hidden="1" x14ac:dyDescent="0.2">
      <c r="A2432" s="621" t="s">
        <v>457</v>
      </c>
      <c r="B2432" s="611" t="s">
        <v>485</v>
      </c>
      <c r="C2432" s="247" t="s">
        <v>57</v>
      </c>
      <c r="D2432" s="527" t="s">
        <v>135</v>
      </c>
      <c r="E2432" s="623">
        <v>0.160661813630225</v>
      </c>
      <c r="F2432" s="250" t="s">
        <v>548</v>
      </c>
      <c r="G2432" s="528" t="s">
        <v>16</v>
      </c>
      <c r="H2432" s="527">
        <v>1</v>
      </c>
      <c r="I2432" s="527">
        <v>3</v>
      </c>
      <c r="J2432" s="527">
        <v>3</v>
      </c>
      <c r="K2432" s="527">
        <v>3</v>
      </c>
      <c r="L2432" s="529">
        <v>3</v>
      </c>
      <c r="M2432" s="626">
        <f t="shared" si="77"/>
        <v>1.1666438005107913</v>
      </c>
      <c r="N2432" s="530"/>
    </row>
    <row r="2433" spans="1:14" hidden="1" x14ac:dyDescent="0.2">
      <c r="A2433" s="621" t="s">
        <v>457</v>
      </c>
      <c r="B2433" s="611" t="s">
        <v>485</v>
      </c>
      <c r="C2433" s="247" t="s">
        <v>59</v>
      </c>
      <c r="D2433" s="527" t="s">
        <v>135</v>
      </c>
      <c r="E2433" s="623">
        <v>0.22600000000000001</v>
      </c>
      <c r="F2433" s="250" t="s">
        <v>548</v>
      </c>
      <c r="G2433" s="528" t="s">
        <v>16</v>
      </c>
      <c r="H2433" s="519">
        <v>1</v>
      </c>
      <c r="I2433" s="527">
        <v>3</v>
      </c>
      <c r="J2433" s="527">
        <v>3</v>
      </c>
      <c r="K2433" s="527">
        <v>3</v>
      </c>
      <c r="L2433" s="529">
        <v>3</v>
      </c>
      <c r="M2433" s="626">
        <f t="shared" si="77"/>
        <v>1.1666438005107913</v>
      </c>
      <c r="N2433" s="530"/>
    </row>
    <row r="2434" spans="1:14" hidden="1" x14ac:dyDescent="0.2">
      <c r="A2434" s="621" t="s">
        <v>457</v>
      </c>
      <c r="B2434" s="611" t="s">
        <v>485</v>
      </c>
      <c r="C2434" s="247" t="s">
        <v>60</v>
      </c>
      <c r="D2434" s="527" t="s">
        <v>135</v>
      </c>
      <c r="E2434" s="627">
        <v>0.29425633255377331</v>
      </c>
      <c r="F2434" s="250" t="s">
        <v>548</v>
      </c>
      <c r="G2434" s="528" t="s">
        <v>16</v>
      </c>
      <c r="H2434" s="519">
        <v>2</v>
      </c>
      <c r="I2434" s="527">
        <v>3</v>
      </c>
      <c r="J2434" s="527">
        <v>3</v>
      </c>
      <c r="K2434" s="527">
        <v>3</v>
      </c>
      <c r="L2434" s="529">
        <v>3</v>
      </c>
      <c r="M2434" s="521">
        <f t="shared" si="77"/>
        <v>1.1713319510247036</v>
      </c>
      <c r="N2434" s="522"/>
    </row>
    <row r="2435" spans="1:14" x14ac:dyDescent="0.2">
      <c r="A2435" s="629" t="s">
        <v>457</v>
      </c>
      <c r="B2435" s="643" t="s">
        <v>387</v>
      </c>
      <c r="C2435" s="644" t="s">
        <v>135</v>
      </c>
      <c r="D2435" s="573" t="s">
        <v>135</v>
      </c>
      <c r="E2435" s="645" t="s">
        <v>188</v>
      </c>
      <c r="F2435" s="534"/>
      <c r="G2435" s="528" t="s">
        <v>16</v>
      </c>
      <c r="H2435" s="539"/>
      <c r="I2435" s="539"/>
      <c r="J2435" s="539"/>
      <c r="K2435" s="539"/>
      <c r="L2435" s="540"/>
      <c r="M2435" s="541" t="str">
        <f t="shared" si="77"/>
        <v/>
      </c>
      <c r="N2435" s="530"/>
    </row>
    <row r="2436" spans="1:14" hidden="1" x14ac:dyDescent="0.2">
      <c r="A2436" s="621" t="s">
        <v>538</v>
      </c>
      <c r="B2436" s="646" t="s">
        <v>481</v>
      </c>
      <c r="C2436" s="247" t="s">
        <v>13</v>
      </c>
      <c r="D2436" s="527" t="s">
        <v>135</v>
      </c>
      <c r="E2436" s="623">
        <v>7.7630317110108046E-4</v>
      </c>
      <c r="F2436" s="250" t="s">
        <v>548</v>
      </c>
      <c r="G2436" s="528" t="s">
        <v>16</v>
      </c>
      <c r="H2436" s="321">
        <v>1</v>
      </c>
      <c r="I2436" s="321">
        <v>3</v>
      </c>
      <c r="J2436" s="321">
        <v>3</v>
      </c>
      <c r="K2436" s="321">
        <v>3</v>
      </c>
      <c r="L2436" s="325">
        <v>3</v>
      </c>
      <c r="M2436" s="624">
        <f t="shared" si="77"/>
        <v>1.1666438005107913</v>
      </c>
      <c r="N2436" s="625"/>
    </row>
    <row r="2437" spans="1:14" hidden="1" x14ac:dyDescent="0.2">
      <c r="A2437" s="621" t="s">
        <v>538</v>
      </c>
      <c r="B2437" s="611" t="s">
        <v>481</v>
      </c>
      <c r="C2437" s="247" t="s">
        <v>18</v>
      </c>
      <c r="D2437" s="527" t="s">
        <v>135</v>
      </c>
      <c r="E2437" s="623">
        <v>1.3386663212251861E-3</v>
      </c>
      <c r="F2437" s="250" t="s">
        <v>548</v>
      </c>
      <c r="G2437" s="528" t="s">
        <v>16</v>
      </c>
      <c r="H2437" s="527">
        <v>1</v>
      </c>
      <c r="I2437" s="527">
        <v>3</v>
      </c>
      <c r="J2437" s="527">
        <v>3</v>
      </c>
      <c r="K2437" s="527">
        <v>3</v>
      </c>
      <c r="L2437" s="529">
        <v>3</v>
      </c>
      <c r="M2437" s="626">
        <f t="shared" si="77"/>
        <v>1.1666438005107913</v>
      </c>
      <c r="N2437" s="530"/>
    </row>
    <row r="2438" spans="1:14" hidden="1" x14ac:dyDescent="0.2">
      <c r="A2438" s="621" t="s">
        <v>538</v>
      </c>
      <c r="B2438" s="611" t="s">
        <v>481</v>
      </c>
      <c r="C2438" s="247" t="s">
        <v>20</v>
      </c>
      <c r="D2438" s="527" t="s">
        <v>135</v>
      </c>
      <c r="E2438" s="623">
        <v>2.0597678005136338E-3</v>
      </c>
      <c r="F2438" s="250" t="s">
        <v>548</v>
      </c>
      <c r="G2438" s="528" t="s">
        <v>16</v>
      </c>
      <c r="H2438" s="527">
        <v>1</v>
      </c>
      <c r="I2438" s="527">
        <v>3</v>
      </c>
      <c r="J2438" s="527">
        <v>3</v>
      </c>
      <c r="K2438" s="527">
        <v>3</v>
      </c>
      <c r="L2438" s="529">
        <v>3</v>
      </c>
      <c r="M2438" s="626">
        <f t="shared" si="77"/>
        <v>1.1666438005107913</v>
      </c>
      <c r="N2438" s="530"/>
    </row>
    <row r="2439" spans="1:14" hidden="1" x14ac:dyDescent="0.2">
      <c r="A2439" s="621" t="s">
        <v>538</v>
      </c>
      <c r="B2439" s="611" t="s">
        <v>481</v>
      </c>
      <c r="C2439" s="247" t="s">
        <v>22</v>
      </c>
      <c r="D2439" s="527" t="s">
        <v>135</v>
      </c>
      <c r="E2439" s="623">
        <v>1.071366649610606E-3</v>
      </c>
      <c r="F2439" s="250" t="s">
        <v>548</v>
      </c>
      <c r="G2439" s="528" t="s">
        <v>16</v>
      </c>
      <c r="H2439" s="527">
        <v>1</v>
      </c>
      <c r="I2439" s="527">
        <v>3</v>
      </c>
      <c r="J2439" s="527">
        <v>3</v>
      </c>
      <c r="K2439" s="527">
        <v>3</v>
      </c>
      <c r="L2439" s="529">
        <v>3</v>
      </c>
      <c r="M2439" s="626">
        <f t="shared" si="77"/>
        <v>1.1666438005107913</v>
      </c>
      <c r="N2439" s="530"/>
    </row>
    <row r="2440" spans="1:14" hidden="1" x14ac:dyDescent="0.2">
      <c r="A2440" s="621" t="s">
        <v>538</v>
      </c>
      <c r="B2440" s="611" t="s">
        <v>481</v>
      </c>
      <c r="C2440" s="247" t="s">
        <v>23</v>
      </c>
      <c r="D2440" s="527" t="s">
        <v>135</v>
      </c>
      <c r="E2440" s="539">
        <v>0</v>
      </c>
      <c r="F2440" s="250" t="s">
        <v>548</v>
      </c>
      <c r="G2440" s="528" t="s">
        <v>16</v>
      </c>
      <c r="H2440" s="539"/>
      <c r="I2440" s="539"/>
      <c r="J2440" s="539"/>
      <c r="K2440" s="539"/>
      <c r="L2440" s="540"/>
      <c r="M2440" s="721" t="str">
        <f t="shared" si="77"/>
        <v/>
      </c>
      <c r="N2440" s="530"/>
    </row>
    <row r="2441" spans="1:14" hidden="1" x14ac:dyDescent="0.2">
      <c r="A2441" s="621" t="s">
        <v>538</v>
      </c>
      <c r="B2441" s="611" t="s">
        <v>481</v>
      </c>
      <c r="C2441" s="247" t="s">
        <v>24</v>
      </c>
      <c r="D2441" s="527" t="s">
        <v>135</v>
      </c>
      <c r="E2441" s="623">
        <v>1.7004800085312769E-3</v>
      </c>
      <c r="F2441" s="250" t="s">
        <v>548</v>
      </c>
      <c r="G2441" s="528" t="s">
        <v>16</v>
      </c>
      <c r="H2441" s="527">
        <v>1</v>
      </c>
      <c r="I2441" s="527">
        <v>3</v>
      </c>
      <c r="J2441" s="527">
        <v>3</v>
      </c>
      <c r="K2441" s="527">
        <v>3</v>
      </c>
      <c r="L2441" s="529">
        <v>3</v>
      </c>
      <c r="M2441" s="626">
        <f t="shared" si="77"/>
        <v>1.1666438005107913</v>
      </c>
      <c r="N2441" s="530"/>
    </row>
    <row r="2442" spans="1:14" hidden="1" x14ac:dyDescent="0.2">
      <c r="A2442" s="621" t="s">
        <v>538</v>
      </c>
      <c r="B2442" s="611" t="s">
        <v>481</v>
      </c>
      <c r="C2442" s="247" t="s">
        <v>25</v>
      </c>
      <c r="D2442" s="527" t="s">
        <v>135</v>
      </c>
      <c r="E2442" s="539">
        <v>0</v>
      </c>
      <c r="F2442" s="250" t="s">
        <v>548</v>
      </c>
      <c r="G2442" s="528" t="s">
        <v>16</v>
      </c>
      <c r="H2442" s="539"/>
      <c r="I2442" s="539"/>
      <c r="J2442" s="539"/>
      <c r="K2442" s="539"/>
      <c r="L2442" s="540"/>
      <c r="M2442" s="721" t="str">
        <f t="shared" si="77"/>
        <v/>
      </c>
      <c r="N2442" s="530"/>
    </row>
    <row r="2443" spans="1:14" hidden="1" x14ac:dyDescent="0.2">
      <c r="A2443" s="621" t="s">
        <v>538</v>
      </c>
      <c r="B2443" s="611" t="s">
        <v>481</v>
      </c>
      <c r="C2443" s="247" t="s">
        <v>26</v>
      </c>
      <c r="D2443" s="527" t="s">
        <v>135</v>
      </c>
      <c r="E2443" s="623">
        <v>2.2314015371407181E-4</v>
      </c>
      <c r="F2443" s="250" t="s">
        <v>548</v>
      </c>
      <c r="G2443" s="528" t="s">
        <v>16</v>
      </c>
      <c r="H2443" s="527">
        <v>1</v>
      </c>
      <c r="I2443" s="527">
        <v>3</v>
      </c>
      <c r="J2443" s="527">
        <v>3</v>
      </c>
      <c r="K2443" s="527">
        <v>3</v>
      </c>
      <c r="L2443" s="529">
        <v>3</v>
      </c>
      <c r="M2443" s="626">
        <f t="shared" ref="M2443:M2473" si="78">IF( OR( ISBLANK(H2443),ISBLANK(I2443), ISBLANK(J2443), ISBLANK(K2443), ISBLANK(L2443) ), "", 1.5*SQRT( EXP(2.21*(H2443-1)) + EXP(2.21*(I2443-1)) + EXP(2.21*(J2443-1)) + EXP(2.21*(K2443-1)) + EXP(2.21*L2443) )/100*2.45 )</f>
        <v>1.1666438005107913</v>
      </c>
      <c r="N2443" s="530"/>
    </row>
    <row r="2444" spans="1:14" hidden="1" x14ac:dyDescent="0.2">
      <c r="A2444" s="621" t="s">
        <v>538</v>
      </c>
      <c r="B2444" s="611" t="s">
        <v>481</v>
      </c>
      <c r="C2444" s="247" t="s">
        <v>27</v>
      </c>
      <c r="D2444" s="527" t="s">
        <v>135</v>
      </c>
      <c r="E2444" s="623">
        <v>2.9356403595138782E-4</v>
      </c>
      <c r="F2444" s="250" t="s">
        <v>548</v>
      </c>
      <c r="G2444" s="528" t="s">
        <v>16</v>
      </c>
      <c r="H2444" s="527">
        <v>1</v>
      </c>
      <c r="I2444" s="527">
        <v>3</v>
      </c>
      <c r="J2444" s="527">
        <v>3</v>
      </c>
      <c r="K2444" s="527">
        <v>3</v>
      </c>
      <c r="L2444" s="529">
        <v>3</v>
      </c>
      <c r="M2444" s="626">
        <f t="shared" si="78"/>
        <v>1.1666438005107913</v>
      </c>
      <c r="N2444" s="530"/>
    </row>
    <row r="2445" spans="1:14" hidden="1" x14ac:dyDescent="0.2">
      <c r="A2445" s="621" t="s">
        <v>538</v>
      </c>
      <c r="B2445" s="611" t="s">
        <v>481</v>
      </c>
      <c r="C2445" s="247" t="s">
        <v>28</v>
      </c>
      <c r="D2445" s="527" t="s">
        <v>135</v>
      </c>
      <c r="E2445" s="623">
        <v>1.052271337612111E-3</v>
      </c>
      <c r="F2445" s="250" t="s">
        <v>548</v>
      </c>
      <c r="G2445" s="528" t="s">
        <v>16</v>
      </c>
      <c r="H2445" s="527">
        <v>1</v>
      </c>
      <c r="I2445" s="527">
        <v>3</v>
      </c>
      <c r="J2445" s="527">
        <v>3</v>
      </c>
      <c r="K2445" s="527">
        <v>3</v>
      </c>
      <c r="L2445" s="529">
        <v>3</v>
      </c>
      <c r="M2445" s="626">
        <f t="shared" si="78"/>
        <v>1.1666438005107913</v>
      </c>
      <c r="N2445" s="530"/>
    </row>
    <row r="2446" spans="1:14" hidden="1" x14ac:dyDescent="0.2">
      <c r="A2446" s="621" t="s">
        <v>538</v>
      </c>
      <c r="B2446" s="611" t="s">
        <v>481</v>
      </c>
      <c r="C2446" s="247" t="s">
        <v>30</v>
      </c>
      <c r="D2446" s="527" t="s">
        <v>135</v>
      </c>
      <c r="E2446" s="623">
        <v>9.2762487257900107E-4</v>
      </c>
      <c r="F2446" s="250" t="s">
        <v>548</v>
      </c>
      <c r="G2446" s="528" t="s">
        <v>16</v>
      </c>
      <c r="H2446" s="527">
        <v>1</v>
      </c>
      <c r="I2446" s="527">
        <v>3</v>
      </c>
      <c r="J2446" s="527">
        <v>3</v>
      </c>
      <c r="K2446" s="527">
        <v>3</v>
      </c>
      <c r="L2446" s="529">
        <v>3</v>
      </c>
      <c r="M2446" s="626">
        <f t="shared" si="78"/>
        <v>1.1666438005107913</v>
      </c>
      <c r="N2446" s="530"/>
    </row>
    <row r="2447" spans="1:14" hidden="1" x14ac:dyDescent="0.2">
      <c r="A2447" s="621" t="s">
        <v>538</v>
      </c>
      <c r="B2447" s="611" t="s">
        <v>481</v>
      </c>
      <c r="C2447" s="247" t="s">
        <v>32</v>
      </c>
      <c r="D2447" s="527" t="s">
        <v>135</v>
      </c>
      <c r="E2447" s="623">
        <v>1.9304766115333619E-4</v>
      </c>
      <c r="F2447" s="250" t="s">
        <v>548</v>
      </c>
      <c r="G2447" s="528" t="s">
        <v>16</v>
      </c>
      <c r="H2447" s="527">
        <v>1</v>
      </c>
      <c r="I2447" s="527">
        <v>3</v>
      </c>
      <c r="J2447" s="527">
        <v>3</v>
      </c>
      <c r="K2447" s="527">
        <v>3</v>
      </c>
      <c r="L2447" s="529">
        <v>3</v>
      </c>
      <c r="M2447" s="626">
        <f t="shared" si="78"/>
        <v>1.1666438005107913</v>
      </c>
      <c r="N2447" s="530"/>
    </row>
    <row r="2448" spans="1:14" hidden="1" x14ac:dyDescent="0.2">
      <c r="A2448" s="621" t="s">
        <v>538</v>
      </c>
      <c r="B2448" s="611" t="s">
        <v>481</v>
      </c>
      <c r="C2448" s="247" t="s">
        <v>34</v>
      </c>
      <c r="D2448" s="527" t="s">
        <v>135</v>
      </c>
      <c r="E2448" s="623">
        <v>1.622558689655762E-3</v>
      </c>
      <c r="F2448" s="250" t="s">
        <v>548</v>
      </c>
      <c r="G2448" s="528" t="s">
        <v>16</v>
      </c>
      <c r="H2448" s="527">
        <v>1</v>
      </c>
      <c r="I2448" s="527">
        <v>3</v>
      </c>
      <c r="J2448" s="527">
        <v>3</v>
      </c>
      <c r="K2448" s="527">
        <v>3</v>
      </c>
      <c r="L2448" s="529">
        <v>3</v>
      </c>
      <c r="M2448" s="626">
        <f t="shared" si="78"/>
        <v>1.1666438005107913</v>
      </c>
      <c r="N2448" s="530"/>
    </row>
    <row r="2449" spans="1:14" hidden="1" x14ac:dyDescent="0.2">
      <c r="A2449" s="621" t="s">
        <v>538</v>
      </c>
      <c r="B2449" s="611" t="s">
        <v>481</v>
      </c>
      <c r="C2449" s="247" t="s">
        <v>36</v>
      </c>
      <c r="D2449" s="527" t="s">
        <v>135</v>
      </c>
      <c r="E2449" s="623">
        <v>5.715901445626265E-5</v>
      </c>
      <c r="F2449" s="250" t="s">
        <v>548</v>
      </c>
      <c r="G2449" s="528" t="s">
        <v>16</v>
      </c>
      <c r="H2449" s="527">
        <v>1</v>
      </c>
      <c r="I2449" s="527">
        <v>3</v>
      </c>
      <c r="J2449" s="527">
        <v>3</v>
      </c>
      <c r="K2449" s="527">
        <v>3</v>
      </c>
      <c r="L2449" s="529">
        <v>3</v>
      </c>
      <c r="M2449" s="626">
        <f t="shared" si="78"/>
        <v>1.1666438005107913</v>
      </c>
      <c r="N2449" s="530"/>
    </row>
    <row r="2450" spans="1:14" hidden="1" x14ac:dyDescent="0.2">
      <c r="A2450" s="621" t="s">
        <v>538</v>
      </c>
      <c r="B2450" s="611" t="s">
        <v>481</v>
      </c>
      <c r="C2450" s="247" t="s">
        <v>37</v>
      </c>
      <c r="D2450" s="527" t="s">
        <v>135</v>
      </c>
      <c r="E2450" s="623">
        <v>9.4943579066752201E-4</v>
      </c>
      <c r="F2450" s="250" t="s">
        <v>548</v>
      </c>
      <c r="G2450" s="528" t="s">
        <v>16</v>
      </c>
      <c r="H2450" s="527">
        <v>1</v>
      </c>
      <c r="I2450" s="527">
        <v>3</v>
      </c>
      <c r="J2450" s="527">
        <v>3</v>
      </c>
      <c r="K2450" s="527">
        <v>3</v>
      </c>
      <c r="L2450" s="529">
        <v>3</v>
      </c>
      <c r="M2450" s="626">
        <f t="shared" si="78"/>
        <v>1.1666438005107913</v>
      </c>
      <c r="N2450" s="530"/>
    </row>
    <row r="2451" spans="1:14" hidden="1" x14ac:dyDescent="0.2">
      <c r="A2451" s="621" t="s">
        <v>538</v>
      </c>
      <c r="B2451" s="611" t="s">
        <v>481</v>
      </c>
      <c r="C2451" s="247" t="s">
        <v>39</v>
      </c>
      <c r="D2451" s="527" t="s">
        <v>135</v>
      </c>
      <c r="E2451" s="623">
        <v>4.104031474661408E-4</v>
      </c>
      <c r="F2451" s="250" t="s">
        <v>548</v>
      </c>
      <c r="G2451" s="528" t="s">
        <v>16</v>
      </c>
      <c r="H2451" s="527">
        <v>1</v>
      </c>
      <c r="I2451" s="527">
        <v>3</v>
      </c>
      <c r="J2451" s="527">
        <v>3</v>
      </c>
      <c r="K2451" s="527">
        <v>3</v>
      </c>
      <c r="L2451" s="529">
        <v>3</v>
      </c>
      <c r="M2451" s="626">
        <f t="shared" si="78"/>
        <v>1.1666438005107913</v>
      </c>
      <c r="N2451" s="530"/>
    </row>
    <row r="2452" spans="1:14" hidden="1" x14ac:dyDescent="0.2">
      <c r="A2452" s="621" t="s">
        <v>538</v>
      </c>
      <c r="B2452" s="611" t="s">
        <v>481</v>
      </c>
      <c r="C2452" s="247" t="s">
        <v>40</v>
      </c>
      <c r="D2452" s="527" t="s">
        <v>135</v>
      </c>
      <c r="E2452" s="623">
        <v>9.8703680031829357E-4</v>
      </c>
      <c r="F2452" s="250" t="s">
        <v>548</v>
      </c>
      <c r="G2452" s="528" t="s">
        <v>16</v>
      </c>
      <c r="H2452" s="527">
        <v>1</v>
      </c>
      <c r="I2452" s="527">
        <v>3</v>
      </c>
      <c r="J2452" s="527">
        <v>3</v>
      </c>
      <c r="K2452" s="527">
        <v>3</v>
      </c>
      <c r="L2452" s="529">
        <v>3</v>
      </c>
      <c r="M2452" s="626">
        <f t="shared" si="78"/>
        <v>1.1666438005107913</v>
      </c>
      <c r="N2452" s="530"/>
    </row>
    <row r="2453" spans="1:14" hidden="1" x14ac:dyDescent="0.2">
      <c r="A2453" s="621" t="s">
        <v>538</v>
      </c>
      <c r="B2453" s="611" t="s">
        <v>481</v>
      </c>
      <c r="C2453" s="247" t="s">
        <v>41</v>
      </c>
      <c r="D2453" s="527" t="s">
        <v>135</v>
      </c>
      <c r="E2453" s="623">
        <v>1.3775128184318999E-3</v>
      </c>
      <c r="F2453" s="250" t="s">
        <v>548</v>
      </c>
      <c r="G2453" s="528" t="s">
        <v>16</v>
      </c>
      <c r="H2453" s="527">
        <v>1</v>
      </c>
      <c r="I2453" s="527">
        <v>3</v>
      </c>
      <c r="J2453" s="527">
        <v>3</v>
      </c>
      <c r="K2453" s="527">
        <v>3</v>
      </c>
      <c r="L2453" s="529">
        <v>3</v>
      </c>
      <c r="M2453" s="626">
        <f t="shared" si="78"/>
        <v>1.1666438005107913</v>
      </c>
      <c r="N2453" s="530"/>
    </row>
    <row r="2454" spans="1:14" hidden="1" x14ac:dyDescent="0.2">
      <c r="A2454" s="621" t="s">
        <v>538</v>
      </c>
      <c r="B2454" s="611" t="s">
        <v>481</v>
      </c>
      <c r="C2454" s="247" t="s">
        <v>42</v>
      </c>
      <c r="D2454" s="527" t="s">
        <v>135</v>
      </c>
      <c r="E2454" s="539">
        <v>0</v>
      </c>
      <c r="F2454" s="250" t="s">
        <v>548</v>
      </c>
      <c r="G2454" s="528" t="s">
        <v>16</v>
      </c>
      <c r="H2454" s="539"/>
      <c r="I2454" s="539"/>
      <c r="J2454" s="539"/>
      <c r="K2454" s="539"/>
      <c r="L2454" s="540"/>
      <c r="M2454" s="721" t="str">
        <f t="shared" si="78"/>
        <v/>
      </c>
      <c r="N2454" s="530"/>
    </row>
    <row r="2455" spans="1:14" hidden="1" x14ac:dyDescent="0.2">
      <c r="A2455" s="621" t="s">
        <v>538</v>
      </c>
      <c r="B2455" s="611" t="s">
        <v>481</v>
      </c>
      <c r="C2455" s="247" t="s">
        <v>43</v>
      </c>
      <c r="D2455" s="527" t="s">
        <v>135</v>
      </c>
      <c r="E2455" s="623">
        <v>5.8203710794073641E-4</v>
      </c>
      <c r="F2455" s="250" t="s">
        <v>548</v>
      </c>
      <c r="G2455" s="528" t="s">
        <v>16</v>
      </c>
      <c r="H2455" s="527">
        <v>1</v>
      </c>
      <c r="I2455" s="527">
        <v>3</v>
      </c>
      <c r="J2455" s="527">
        <v>3</v>
      </c>
      <c r="K2455" s="527">
        <v>3</v>
      </c>
      <c r="L2455" s="529">
        <v>3</v>
      </c>
      <c r="M2455" s="626">
        <f t="shared" si="78"/>
        <v>1.1666438005107913</v>
      </c>
      <c r="N2455" s="530"/>
    </row>
    <row r="2456" spans="1:14" x14ac:dyDescent="0.2">
      <c r="A2456" s="621" t="s">
        <v>538</v>
      </c>
      <c r="B2456" s="611" t="s">
        <v>481</v>
      </c>
      <c r="C2456" s="247" t="s">
        <v>45</v>
      </c>
      <c r="D2456" s="527" t="s">
        <v>135</v>
      </c>
      <c r="E2456" s="623">
        <v>1.3162577166764779E-4</v>
      </c>
      <c r="F2456" s="250" t="s">
        <v>548</v>
      </c>
      <c r="G2456" s="528" t="s">
        <v>16</v>
      </c>
      <c r="H2456" s="527">
        <v>2</v>
      </c>
      <c r="I2456" s="527">
        <v>3</v>
      </c>
      <c r="J2456" s="527">
        <v>3</v>
      </c>
      <c r="K2456" s="527">
        <v>3</v>
      </c>
      <c r="L2456" s="529">
        <v>3</v>
      </c>
      <c r="M2456" s="626">
        <f t="shared" si="78"/>
        <v>1.1713319510247036</v>
      </c>
      <c r="N2456" s="530"/>
    </row>
    <row r="2457" spans="1:14" hidden="1" x14ac:dyDescent="0.2">
      <c r="A2457" s="621" t="s">
        <v>538</v>
      </c>
      <c r="B2457" s="611" t="s">
        <v>481</v>
      </c>
      <c r="C2457" s="247" t="s">
        <v>46</v>
      </c>
      <c r="D2457" s="527" t="s">
        <v>135</v>
      </c>
      <c r="E2457" s="623">
        <v>1.987833059495076E-3</v>
      </c>
      <c r="F2457" s="250" t="s">
        <v>548</v>
      </c>
      <c r="G2457" s="528" t="s">
        <v>16</v>
      </c>
      <c r="H2457" s="527">
        <v>1</v>
      </c>
      <c r="I2457" s="527">
        <v>3</v>
      </c>
      <c r="J2457" s="527">
        <v>3</v>
      </c>
      <c r="K2457" s="527">
        <v>3</v>
      </c>
      <c r="L2457" s="529">
        <v>3</v>
      </c>
      <c r="M2457" s="626">
        <f t="shared" si="78"/>
        <v>1.1666438005107913</v>
      </c>
      <c r="N2457" s="530"/>
    </row>
    <row r="2458" spans="1:14" hidden="1" x14ac:dyDescent="0.2">
      <c r="A2458" s="621" t="s">
        <v>538</v>
      </c>
      <c r="B2458" s="611" t="s">
        <v>481</v>
      </c>
      <c r="C2458" s="247" t="s">
        <v>48</v>
      </c>
      <c r="D2458" s="527" t="s">
        <v>135</v>
      </c>
      <c r="E2458" s="623">
        <v>3.2955591776321459E-4</v>
      </c>
      <c r="F2458" s="250" t="s">
        <v>548</v>
      </c>
      <c r="G2458" s="528" t="s">
        <v>16</v>
      </c>
      <c r="H2458" s="527">
        <v>1</v>
      </c>
      <c r="I2458" s="527">
        <v>3</v>
      </c>
      <c r="J2458" s="527">
        <v>3</v>
      </c>
      <c r="K2458" s="527">
        <v>3</v>
      </c>
      <c r="L2458" s="529">
        <v>3</v>
      </c>
      <c r="M2458" s="626">
        <f t="shared" si="78"/>
        <v>1.1666438005107913</v>
      </c>
      <c r="N2458" s="530"/>
    </row>
    <row r="2459" spans="1:14" hidden="1" x14ac:dyDescent="0.2">
      <c r="A2459" s="621" t="s">
        <v>538</v>
      </c>
      <c r="B2459" s="611" t="s">
        <v>481</v>
      </c>
      <c r="C2459" s="247" t="s">
        <v>50</v>
      </c>
      <c r="D2459" s="527" t="s">
        <v>135</v>
      </c>
      <c r="E2459" s="623">
        <v>2.14926293114192E-3</v>
      </c>
      <c r="F2459" s="250" t="s">
        <v>548</v>
      </c>
      <c r="G2459" s="528" t="s">
        <v>16</v>
      </c>
      <c r="H2459" s="527">
        <v>1</v>
      </c>
      <c r="I2459" s="527">
        <v>3</v>
      </c>
      <c r="J2459" s="527">
        <v>3</v>
      </c>
      <c r="K2459" s="527">
        <v>3</v>
      </c>
      <c r="L2459" s="529">
        <v>3</v>
      </c>
      <c r="M2459" s="626">
        <f t="shared" si="78"/>
        <v>1.1666438005107913</v>
      </c>
      <c r="N2459" s="530"/>
    </row>
    <row r="2460" spans="1:14" hidden="1" x14ac:dyDescent="0.2">
      <c r="A2460" s="621" t="s">
        <v>538</v>
      </c>
      <c r="B2460" s="611" t="s">
        <v>481</v>
      </c>
      <c r="C2460" s="247" t="s">
        <v>52</v>
      </c>
      <c r="D2460" s="527" t="s">
        <v>135</v>
      </c>
      <c r="E2460" s="623">
        <v>2.5294768839222059E-3</v>
      </c>
      <c r="F2460" s="250" t="s">
        <v>548</v>
      </c>
      <c r="G2460" s="528" t="s">
        <v>16</v>
      </c>
      <c r="H2460" s="527">
        <v>1</v>
      </c>
      <c r="I2460" s="527">
        <v>3</v>
      </c>
      <c r="J2460" s="527">
        <v>3</v>
      </c>
      <c r="K2460" s="527">
        <v>3</v>
      </c>
      <c r="L2460" s="529">
        <v>3</v>
      </c>
      <c r="M2460" s="626">
        <f t="shared" si="78"/>
        <v>1.1666438005107913</v>
      </c>
      <c r="N2460" s="530"/>
    </row>
    <row r="2461" spans="1:14" hidden="1" x14ac:dyDescent="0.2">
      <c r="A2461" s="621" t="s">
        <v>538</v>
      </c>
      <c r="B2461" s="611" t="s">
        <v>481</v>
      </c>
      <c r="C2461" s="247" t="s">
        <v>54</v>
      </c>
      <c r="D2461" s="527" t="s">
        <v>135</v>
      </c>
      <c r="E2461" s="623">
        <v>8.8123818385932545E-4</v>
      </c>
      <c r="F2461" s="250" t="s">
        <v>548</v>
      </c>
      <c r="G2461" s="528" t="s">
        <v>16</v>
      </c>
      <c r="H2461" s="527">
        <v>1</v>
      </c>
      <c r="I2461" s="527">
        <v>3</v>
      </c>
      <c r="J2461" s="527">
        <v>3</v>
      </c>
      <c r="K2461" s="527">
        <v>3</v>
      </c>
      <c r="L2461" s="529">
        <v>3</v>
      </c>
      <c r="M2461" s="626">
        <f t="shared" si="78"/>
        <v>1.1666438005107913</v>
      </c>
      <c r="N2461" s="530"/>
    </row>
    <row r="2462" spans="1:14" hidden="1" x14ac:dyDescent="0.2">
      <c r="A2462" s="621" t="s">
        <v>538</v>
      </c>
      <c r="B2462" s="611" t="s">
        <v>481</v>
      </c>
      <c r="C2462" s="247" t="s">
        <v>55</v>
      </c>
      <c r="D2462" s="527" t="s">
        <v>135</v>
      </c>
      <c r="E2462" s="623">
        <v>5.9067090647284975E-4</v>
      </c>
      <c r="F2462" s="250" t="s">
        <v>548</v>
      </c>
      <c r="G2462" s="528" t="s">
        <v>16</v>
      </c>
      <c r="H2462" s="527">
        <v>1</v>
      </c>
      <c r="I2462" s="527">
        <v>3</v>
      </c>
      <c r="J2462" s="527">
        <v>3</v>
      </c>
      <c r="K2462" s="527">
        <v>3</v>
      </c>
      <c r="L2462" s="529">
        <v>3</v>
      </c>
      <c r="M2462" s="626">
        <f t="shared" si="78"/>
        <v>1.1666438005107913</v>
      </c>
      <c r="N2462" s="530"/>
    </row>
    <row r="2463" spans="1:14" hidden="1" x14ac:dyDescent="0.2">
      <c r="A2463" s="621" t="s">
        <v>538</v>
      </c>
      <c r="B2463" s="611" t="s">
        <v>481</v>
      </c>
      <c r="C2463" s="247" t="s">
        <v>57</v>
      </c>
      <c r="D2463" s="527" t="s">
        <v>135</v>
      </c>
      <c r="E2463" s="623">
        <v>1.3768569452221751E-4</v>
      </c>
      <c r="F2463" s="250" t="s">
        <v>548</v>
      </c>
      <c r="G2463" s="528" t="s">
        <v>16</v>
      </c>
      <c r="H2463" s="527">
        <v>1</v>
      </c>
      <c r="I2463" s="527">
        <v>3</v>
      </c>
      <c r="J2463" s="527">
        <v>3</v>
      </c>
      <c r="K2463" s="527">
        <v>3</v>
      </c>
      <c r="L2463" s="529">
        <v>3</v>
      </c>
      <c r="M2463" s="626">
        <f t="shared" si="78"/>
        <v>1.1666438005107913</v>
      </c>
      <c r="N2463" s="530"/>
    </row>
    <row r="2464" spans="1:14" hidden="1" x14ac:dyDescent="0.2">
      <c r="A2464" s="621" t="s">
        <v>538</v>
      </c>
      <c r="B2464" s="611" t="s">
        <v>481</v>
      </c>
      <c r="C2464" s="247" t="s">
        <v>59</v>
      </c>
      <c r="D2464" s="527" t="s">
        <v>135</v>
      </c>
      <c r="E2464" s="623">
        <v>1.0193679918450559E-3</v>
      </c>
      <c r="F2464" s="250" t="s">
        <v>548</v>
      </c>
      <c r="G2464" s="528" t="s">
        <v>16</v>
      </c>
      <c r="H2464" s="519">
        <v>1</v>
      </c>
      <c r="I2464" s="527">
        <v>3</v>
      </c>
      <c r="J2464" s="527">
        <v>3</v>
      </c>
      <c r="K2464" s="527">
        <v>3</v>
      </c>
      <c r="L2464" s="529">
        <v>3</v>
      </c>
      <c r="M2464" s="626">
        <f t="shared" si="78"/>
        <v>1.1666438005107913</v>
      </c>
      <c r="N2464" s="530"/>
    </row>
    <row r="2465" spans="1:14" hidden="1" x14ac:dyDescent="0.2">
      <c r="A2465" s="621" t="s">
        <v>538</v>
      </c>
      <c r="B2465" s="611" t="s">
        <v>481</v>
      </c>
      <c r="C2465" s="247" t="s">
        <v>60</v>
      </c>
      <c r="D2465" s="527" t="s">
        <v>135</v>
      </c>
      <c r="E2465" s="627">
        <v>1.522829439288791E-2</v>
      </c>
      <c r="F2465" s="250" t="s">
        <v>548</v>
      </c>
      <c r="G2465" s="528" t="s">
        <v>16</v>
      </c>
      <c r="H2465" s="519">
        <v>2</v>
      </c>
      <c r="I2465" s="527">
        <v>3</v>
      </c>
      <c r="J2465" s="527">
        <v>3</v>
      </c>
      <c r="K2465" s="527">
        <v>3</v>
      </c>
      <c r="L2465" s="529">
        <v>3</v>
      </c>
      <c r="M2465" s="521">
        <f t="shared" si="78"/>
        <v>1.1713319510247036</v>
      </c>
      <c r="N2465" s="522"/>
    </row>
    <row r="2466" spans="1:14" hidden="1" x14ac:dyDescent="0.2">
      <c r="A2466" s="621" t="s">
        <v>538</v>
      </c>
      <c r="B2466" s="611" t="s">
        <v>482</v>
      </c>
      <c r="C2466" s="247" t="s">
        <v>13</v>
      </c>
      <c r="D2466" s="527" t="s">
        <v>135</v>
      </c>
      <c r="E2466" s="539">
        <v>0</v>
      </c>
      <c r="F2466" s="250" t="s">
        <v>548</v>
      </c>
      <c r="G2466" s="528" t="s">
        <v>16</v>
      </c>
      <c r="H2466" s="539"/>
      <c r="I2466" s="539"/>
      <c r="J2466" s="539"/>
      <c r="K2466" s="539"/>
      <c r="L2466" s="540"/>
      <c r="M2466" s="721" t="str">
        <f t="shared" si="78"/>
        <v/>
      </c>
      <c r="N2466" s="530"/>
    </row>
    <row r="2467" spans="1:14" hidden="1" x14ac:dyDescent="0.2">
      <c r="A2467" s="621" t="s">
        <v>538</v>
      </c>
      <c r="B2467" s="611" t="s">
        <v>482</v>
      </c>
      <c r="C2467" s="247" t="s">
        <v>18</v>
      </c>
      <c r="D2467" s="527" t="s">
        <v>135</v>
      </c>
      <c r="E2467" s="623">
        <v>6.2996062175302899E-4</v>
      </c>
      <c r="F2467" s="250" t="s">
        <v>548</v>
      </c>
      <c r="G2467" s="528" t="s">
        <v>16</v>
      </c>
      <c r="H2467" s="527">
        <v>1</v>
      </c>
      <c r="I2467" s="527">
        <v>3</v>
      </c>
      <c r="J2467" s="527">
        <v>3</v>
      </c>
      <c r="K2467" s="527">
        <v>3</v>
      </c>
      <c r="L2467" s="529">
        <v>3</v>
      </c>
      <c r="M2467" s="626">
        <f t="shared" si="78"/>
        <v>1.1666438005107913</v>
      </c>
      <c r="N2467" s="530"/>
    </row>
    <row r="2468" spans="1:14" hidden="1" x14ac:dyDescent="0.2">
      <c r="A2468" s="621" t="s">
        <v>538</v>
      </c>
      <c r="B2468" s="611" t="s">
        <v>482</v>
      </c>
      <c r="C2468" s="247" t="s">
        <v>20</v>
      </c>
      <c r="D2468" s="527" t="s">
        <v>135</v>
      </c>
      <c r="E2468" s="623">
        <v>3.3531103729291721E-4</v>
      </c>
      <c r="F2468" s="250" t="s">
        <v>548</v>
      </c>
      <c r="G2468" s="528" t="s">
        <v>16</v>
      </c>
      <c r="H2468" s="527">
        <v>1</v>
      </c>
      <c r="I2468" s="527">
        <v>3</v>
      </c>
      <c r="J2468" s="527">
        <v>3</v>
      </c>
      <c r="K2468" s="527">
        <v>3</v>
      </c>
      <c r="L2468" s="529">
        <v>3</v>
      </c>
      <c r="M2468" s="626">
        <f t="shared" si="78"/>
        <v>1.1666438005107913</v>
      </c>
      <c r="N2468" s="530"/>
    </row>
    <row r="2469" spans="1:14" hidden="1" x14ac:dyDescent="0.2">
      <c r="A2469" s="621" t="s">
        <v>538</v>
      </c>
      <c r="B2469" s="611" t="s">
        <v>482</v>
      </c>
      <c r="C2469" s="247" t="s">
        <v>22</v>
      </c>
      <c r="D2469" s="527" t="s">
        <v>135</v>
      </c>
      <c r="E2469" s="623">
        <v>5.276880513007461E-4</v>
      </c>
      <c r="F2469" s="250" t="s">
        <v>548</v>
      </c>
      <c r="G2469" s="528" t="s">
        <v>16</v>
      </c>
      <c r="H2469" s="527">
        <v>1</v>
      </c>
      <c r="I2469" s="527">
        <v>3</v>
      </c>
      <c r="J2469" s="527">
        <v>3</v>
      </c>
      <c r="K2469" s="527">
        <v>3</v>
      </c>
      <c r="L2469" s="529">
        <v>3</v>
      </c>
      <c r="M2469" s="626">
        <f t="shared" si="78"/>
        <v>1.1666438005107913</v>
      </c>
      <c r="N2469" s="530"/>
    </row>
    <row r="2470" spans="1:14" hidden="1" x14ac:dyDescent="0.2">
      <c r="A2470" s="621" t="s">
        <v>538</v>
      </c>
      <c r="B2470" s="611" t="s">
        <v>482</v>
      </c>
      <c r="C2470" s="247" t="s">
        <v>23</v>
      </c>
      <c r="D2470" s="527" t="s">
        <v>135</v>
      </c>
      <c r="E2470" s="623">
        <v>1.6084786811603009E-3</v>
      </c>
      <c r="F2470" s="250" t="s">
        <v>548</v>
      </c>
      <c r="G2470" s="528" t="s">
        <v>16</v>
      </c>
      <c r="H2470" s="527">
        <v>1</v>
      </c>
      <c r="I2470" s="527">
        <v>3</v>
      </c>
      <c r="J2470" s="527">
        <v>3</v>
      </c>
      <c r="K2470" s="527">
        <v>3</v>
      </c>
      <c r="L2470" s="529">
        <v>3</v>
      </c>
      <c r="M2470" s="626">
        <f t="shared" si="78"/>
        <v>1.1666438005107913</v>
      </c>
      <c r="N2470" s="530"/>
    </row>
    <row r="2471" spans="1:14" hidden="1" x14ac:dyDescent="0.2">
      <c r="A2471" s="621" t="s">
        <v>538</v>
      </c>
      <c r="B2471" s="611" t="s">
        <v>482</v>
      </c>
      <c r="C2471" s="247" t="s">
        <v>24</v>
      </c>
      <c r="D2471" s="527" t="s">
        <v>135</v>
      </c>
      <c r="E2471" s="539">
        <v>0</v>
      </c>
      <c r="F2471" s="250" t="s">
        <v>548</v>
      </c>
      <c r="G2471" s="528" t="s">
        <v>16</v>
      </c>
      <c r="H2471" s="539"/>
      <c r="I2471" s="539"/>
      <c r="J2471" s="539"/>
      <c r="K2471" s="539"/>
      <c r="L2471" s="540"/>
      <c r="M2471" s="721" t="str">
        <f t="shared" si="78"/>
        <v/>
      </c>
      <c r="N2471" s="530"/>
    </row>
    <row r="2472" spans="1:14" hidden="1" x14ac:dyDescent="0.2">
      <c r="A2472" s="621" t="s">
        <v>538</v>
      </c>
      <c r="B2472" s="611" t="s">
        <v>482</v>
      </c>
      <c r="C2472" s="247" t="s">
        <v>25</v>
      </c>
      <c r="D2472" s="527" t="s">
        <v>135</v>
      </c>
      <c r="E2472" s="623">
        <v>1.026609458853453E-3</v>
      </c>
      <c r="F2472" s="250" t="s">
        <v>548</v>
      </c>
      <c r="G2472" s="528" t="s">
        <v>16</v>
      </c>
      <c r="H2472" s="527">
        <v>1</v>
      </c>
      <c r="I2472" s="527">
        <v>3</v>
      </c>
      <c r="J2472" s="527">
        <v>3</v>
      </c>
      <c r="K2472" s="527">
        <v>3</v>
      </c>
      <c r="L2472" s="529">
        <v>3</v>
      </c>
      <c r="M2472" s="626">
        <f t="shared" si="78"/>
        <v>1.1666438005107913</v>
      </c>
      <c r="N2472" s="530"/>
    </row>
    <row r="2473" spans="1:14" hidden="1" x14ac:dyDescent="0.2">
      <c r="A2473" s="621" t="s">
        <v>538</v>
      </c>
      <c r="B2473" s="611" t="s">
        <v>482</v>
      </c>
      <c r="C2473" s="247" t="s">
        <v>26</v>
      </c>
      <c r="D2473" s="527" t="s">
        <v>135</v>
      </c>
      <c r="E2473" s="623">
        <v>6.3509120672466588E-4</v>
      </c>
      <c r="F2473" s="250" t="s">
        <v>548</v>
      </c>
      <c r="G2473" s="528" t="s">
        <v>16</v>
      </c>
      <c r="H2473" s="527">
        <v>1</v>
      </c>
      <c r="I2473" s="527">
        <v>3</v>
      </c>
      <c r="J2473" s="527">
        <v>3</v>
      </c>
      <c r="K2473" s="527">
        <v>3</v>
      </c>
      <c r="L2473" s="529">
        <v>3</v>
      </c>
      <c r="M2473" s="626">
        <f t="shared" si="78"/>
        <v>1.1666438005107913</v>
      </c>
      <c r="N2473" s="530"/>
    </row>
    <row r="2474" spans="1:14" hidden="1" x14ac:dyDescent="0.2">
      <c r="A2474" s="621" t="s">
        <v>538</v>
      </c>
      <c r="B2474" s="611" t="s">
        <v>482</v>
      </c>
      <c r="C2474" s="247" t="s">
        <v>27</v>
      </c>
      <c r="D2474" s="527" t="s">
        <v>135</v>
      </c>
      <c r="E2474" s="623">
        <v>4.9985227743074142E-4</v>
      </c>
      <c r="F2474" s="250" t="s">
        <v>548</v>
      </c>
      <c r="G2474" s="528" t="s">
        <v>16</v>
      </c>
      <c r="H2474" s="527">
        <v>1</v>
      </c>
      <c r="I2474" s="527">
        <v>3</v>
      </c>
      <c r="J2474" s="527">
        <v>3</v>
      </c>
      <c r="K2474" s="527">
        <v>3</v>
      </c>
      <c r="L2474" s="529">
        <v>3</v>
      </c>
      <c r="M2474" s="626">
        <f>IF( OR( ISBLANK(H2474),ISBLANK(I2474), ISBLANK(J2474), ISBLANK(K2474), ISBLANK(L2474) ), "", 1.5*SQRT(   EXP(2.21*(H2474-1)) + EXP(2.21*(I2474-1)) + EXP(2.21*(J2474-1)) + EXP(2.21*(K2474-1)) + EXP(2.21*L2474)   )/100*2.45 )</f>
        <v>1.1666438005107913</v>
      </c>
      <c r="N2474" s="530"/>
    </row>
    <row r="2475" spans="1:14" hidden="1" x14ac:dyDescent="0.2">
      <c r="A2475" s="621" t="s">
        <v>538</v>
      </c>
      <c r="B2475" s="611" t="s">
        <v>482</v>
      </c>
      <c r="C2475" s="247" t="s">
        <v>28</v>
      </c>
      <c r="D2475" s="527" t="s">
        <v>135</v>
      </c>
      <c r="E2475" s="623">
        <v>6.4494049724613282E-4</v>
      </c>
      <c r="F2475" s="250" t="s">
        <v>548</v>
      </c>
      <c r="G2475" s="528" t="s">
        <v>16</v>
      </c>
      <c r="H2475" s="527">
        <v>1</v>
      </c>
      <c r="I2475" s="527">
        <v>3</v>
      </c>
      <c r="J2475" s="527">
        <v>3</v>
      </c>
      <c r="K2475" s="527">
        <v>3</v>
      </c>
      <c r="L2475" s="529">
        <v>3</v>
      </c>
      <c r="M2475" s="626">
        <f t="shared" ref="M2475:M2506" si="79">IF( OR( ISBLANK(H2475),ISBLANK(I2475), ISBLANK(J2475), ISBLANK(K2475), ISBLANK(L2475) ), "", 1.5*SQRT( EXP(2.21*(H2475-1)) + EXP(2.21*(I2475-1)) + EXP(2.21*(J2475-1)) + EXP(2.21*(K2475-1)) + EXP(2.21*L2475) )/100*2.45 )</f>
        <v>1.1666438005107913</v>
      </c>
      <c r="N2475" s="530"/>
    </row>
    <row r="2476" spans="1:14" hidden="1" x14ac:dyDescent="0.2">
      <c r="A2476" s="621" t="s">
        <v>538</v>
      </c>
      <c r="B2476" s="611" t="s">
        <v>482</v>
      </c>
      <c r="C2476" s="247" t="s">
        <v>30</v>
      </c>
      <c r="D2476" s="527" t="s">
        <v>135</v>
      </c>
      <c r="E2476" s="623">
        <v>9.1743119266055046E-5</v>
      </c>
      <c r="F2476" s="250" t="s">
        <v>548</v>
      </c>
      <c r="G2476" s="528" t="s">
        <v>16</v>
      </c>
      <c r="H2476" s="527">
        <v>1</v>
      </c>
      <c r="I2476" s="527">
        <v>3</v>
      </c>
      <c r="J2476" s="527">
        <v>3</v>
      </c>
      <c r="K2476" s="527">
        <v>3</v>
      </c>
      <c r="L2476" s="529">
        <v>3</v>
      </c>
      <c r="M2476" s="626">
        <f t="shared" si="79"/>
        <v>1.1666438005107913</v>
      </c>
      <c r="N2476" s="530"/>
    </row>
    <row r="2477" spans="1:14" hidden="1" x14ac:dyDescent="0.2">
      <c r="A2477" s="621" t="s">
        <v>538</v>
      </c>
      <c r="B2477" s="611" t="s">
        <v>482</v>
      </c>
      <c r="C2477" s="247" t="s">
        <v>32</v>
      </c>
      <c r="D2477" s="527" t="s">
        <v>135</v>
      </c>
      <c r="E2477" s="623">
        <v>3.0244133580689309E-3</v>
      </c>
      <c r="F2477" s="250" t="s">
        <v>548</v>
      </c>
      <c r="G2477" s="528" t="s">
        <v>16</v>
      </c>
      <c r="H2477" s="527">
        <v>1</v>
      </c>
      <c r="I2477" s="527">
        <v>3</v>
      </c>
      <c r="J2477" s="527">
        <v>3</v>
      </c>
      <c r="K2477" s="527">
        <v>3</v>
      </c>
      <c r="L2477" s="529">
        <v>3</v>
      </c>
      <c r="M2477" s="626">
        <f t="shared" si="79"/>
        <v>1.1666438005107913</v>
      </c>
      <c r="N2477" s="530"/>
    </row>
    <row r="2478" spans="1:14" hidden="1" x14ac:dyDescent="0.2">
      <c r="A2478" s="621" t="s">
        <v>538</v>
      </c>
      <c r="B2478" s="611" t="s">
        <v>482</v>
      </c>
      <c r="C2478" s="247" t="s">
        <v>34</v>
      </c>
      <c r="D2478" s="527" t="s">
        <v>135</v>
      </c>
      <c r="E2478" s="539">
        <v>0</v>
      </c>
      <c r="F2478" s="250" t="s">
        <v>548</v>
      </c>
      <c r="G2478" s="528" t="s">
        <v>16</v>
      </c>
      <c r="H2478" s="539"/>
      <c r="I2478" s="539"/>
      <c r="J2478" s="539"/>
      <c r="K2478" s="539"/>
      <c r="L2478" s="540"/>
      <c r="M2478" s="721" t="str">
        <f t="shared" si="79"/>
        <v/>
      </c>
      <c r="N2478" s="530"/>
    </row>
    <row r="2479" spans="1:14" hidden="1" x14ac:dyDescent="0.2">
      <c r="A2479" s="621" t="s">
        <v>538</v>
      </c>
      <c r="B2479" s="611" t="s">
        <v>482</v>
      </c>
      <c r="C2479" s="247" t="s">
        <v>36</v>
      </c>
      <c r="D2479" s="527" t="s">
        <v>135</v>
      </c>
      <c r="E2479" s="623">
        <v>8.9549122648144731E-4</v>
      </c>
      <c r="F2479" s="250" t="s">
        <v>548</v>
      </c>
      <c r="G2479" s="528" t="s">
        <v>16</v>
      </c>
      <c r="H2479" s="527">
        <v>1</v>
      </c>
      <c r="I2479" s="527">
        <v>3</v>
      </c>
      <c r="J2479" s="527">
        <v>3</v>
      </c>
      <c r="K2479" s="527">
        <v>3</v>
      </c>
      <c r="L2479" s="529">
        <v>3</v>
      </c>
      <c r="M2479" s="626">
        <f t="shared" si="79"/>
        <v>1.1666438005107913</v>
      </c>
      <c r="N2479" s="530"/>
    </row>
    <row r="2480" spans="1:14" hidden="1" x14ac:dyDescent="0.2">
      <c r="A2480" s="621" t="s">
        <v>538</v>
      </c>
      <c r="B2480" s="611" t="s">
        <v>482</v>
      </c>
      <c r="C2480" s="247" t="s">
        <v>37</v>
      </c>
      <c r="D2480" s="527" t="s">
        <v>135</v>
      </c>
      <c r="E2480" s="623">
        <v>1.424153686001283E-3</v>
      </c>
      <c r="F2480" s="250" t="s">
        <v>548</v>
      </c>
      <c r="G2480" s="528" t="s">
        <v>16</v>
      </c>
      <c r="H2480" s="527">
        <v>1</v>
      </c>
      <c r="I2480" s="527">
        <v>3</v>
      </c>
      <c r="J2480" s="527">
        <v>3</v>
      </c>
      <c r="K2480" s="527">
        <v>3</v>
      </c>
      <c r="L2480" s="529">
        <v>3</v>
      </c>
      <c r="M2480" s="626">
        <f t="shared" si="79"/>
        <v>1.1666438005107913</v>
      </c>
      <c r="N2480" s="530"/>
    </row>
    <row r="2481" spans="1:14" hidden="1" x14ac:dyDescent="0.2">
      <c r="A2481" s="621" t="s">
        <v>538</v>
      </c>
      <c r="B2481" s="611" t="s">
        <v>482</v>
      </c>
      <c r="C2481" s="247" t="s">
        <v>39</v>
      </c>
      <c r="D2481" s="527" t="s">
        <v>135</v>
      </c>
      <c r="E2481" s="623">
        <v>6.6960513533949285E-4</v>
      </c>
      <c r="F2481" s="250" t="s">
        <v>548</v>
      </c>
      <c r="G2481" s="528" t="s">
        <v>16</v>
      </c>
      <c r="H2481" s="527">
        <v>1</v>
      </c>
      <c r="I2481" s="527">
        <v>3</v>
      </c>
      <c r="J2481" s="527">
        <v>3</v>
      </c>
      <c r="K2481" s="527">
        <v>3</v>
      </c>
      <c r="L2481" s="529">
        <v>3</v>
      </c>
      <c r="M2481" s="626">
        <f t="shared" si="79"/>
        <v>1.1666438005107913</v>
      </c>
      <c r="N2481" s="530"/>
    </row>
    <row r="2482" spans="1:14" hidden="1" x14ac:dyDescent="0.2">
      <c r="A2482" s="621" t="s">
        <v>538</v>
      </c>
      <c r="B2482" s="611" t="s">
        <v>482</v>
      </c>
      <c r="C2482" s="247" t="s">
        <v>40</v>
      </c>
      <c r="D2482" s="527" t="s">
        <v>135</v>
      </c>
      <c r="E2482" s="623">
        <v>1.219933123988902E-4</v>
      </c>
      <c r="F2482" s="250" t="s">
        <v>548</v>
      </c>
      <c r="G2482" s="528" t="s">
        <v>16</v>
      </c>
      <c r="H2482" s="527">
        <v>1</v>
      </c>
      <c r="I2482" s="527">
        <v>3</v>
      </c>
      <c r="J2482" s="527">
        <v>3</v>
      </c>
      <c r="K2482" s="527">
        <v>3</v>
      </c>
      <c r="L2482" s="529">
        <v>3</v>
      </c>
      <c r="M2482" s="626">
        <f t="shared" si="79"/>
        <v>1.1666438005107913</v>
      </c>
      <c r="N2482" s="530"/>
    </row>
    <row r="2483" spans="1:14" hidden="1" x14ac:dyDescent="0.2">
      <c r="A2483" s="621" t="s">
        <v>538</v>
      </c>
      <c r="B2483" s="611" t="s">
        <v>482</v>
      </c>
      <c r="C2483" s="247" t="s">
        <v>41</v>
      </c>
      <c r="D2483" s="527" t="s">
        <v>135</v>
      </c>
      <c r="E2483" s="539">
        <v>0</v>
      </c>
      <c r="F2483" s="250" t="s">
        <v>548</v>
      </c>
      <c r="G2483" s="528" t="s">
        <v>16</v>
      </c>
      <c r="H2483" s="539"/>
      <c r="I2483" s="539"/>
      <c r="J2483" s="539"/>
      <c r="K2483" s="539"/>
      <c r="L2483" s="540"/>
      <c r="M2483" s="721" t="str">
        <f t="shared" si="79"/>
        <v/>
      </c>
      <c r="N2483" s="530"/>
    </row>
    <row r="2484" spans="1:14" hidden="1" x14ac:dyDescent="0.2">
      <c r="A2484" s="621" t="s">
        <v>538</v>
      </c>
      <c r="B2484" s="611" t="s">
        <v>482</v>
      </c>
      <c r="C2484" s="247" t="s">
        <v>42</v>
      </c>
      <c r="D2484" s="527" t="s">
        <v>135</v>
      </c>
      <c r="E2484" s="623">
        <v>6.8748047839839628E-4</v>
      </c>
      <c r="F2484" s="250" t="s">
        <v>548</v>
      </c>
      <c r="G2484" s="528" t="s">
        <v>16</v>
      </c>
      <c r="H2484" s="527">
        <v>1</v>
      </c>
      <c r="I2484" s="527">
        <v>3</v>
      </c>
      <c r="J2484" s="527">
        <v>3</v>
      </c>
      <c r="K2484" s="527">
        <v>3</v>
      </c>
      <c r="L2484" s="529">
        <v>3</v>
      </c>
      <c r="M2484" s="626">
        <f t="shared" si="79"/>
        <v>1.1666438005107913</v>
      </c>
      <c r="N2484" s="530"/>
    </row>
    <row r="2485" spans="1:14" hidden="1" x14ac:dyDescent="0.2">
      <c r="A2485" s="621" t="s">
        <v>538</v>
      </c>
      <c r="B2485" s="611" t="s">
        <v>482</v>
      </c>
      <c r="C2485" s="247" t="s">
        <v>43</v>
      </c>
      <c r="D2485" s="527" t="s">
        <v>135</v>
      </c>
      <c r="E2485" s="623">
        <v>6.8326095279999503E-4</v>
      </c>
      <c r="F2485" s="250" t="s">
        <v>548</v>
      </c>
      <c r="G2485" s="528" t="s">
        <v>16</v>
      </c>
      <c r="H2485" s="527">
        <v>1</v>
      </c>
      <c r="I2485" s="527">
        <v>3</v>
      </c>
      <c r="J2485" s="527">
        <v>3</v>
      </c>
      <c r="K2485" s="527">
        <v>3</v>
      </c>
      <c r="L2485" s="529">
        <v>3</v>
      </c>
      <c r="M2485" s="626">
        <f t="shared" si="79"/>
        <v>1.1666438005107913</v>
      </c>
      <c r="N2485" s="530"/>
    </row>
    <row r="2486" spans="1:14" x14ac:dyDescent="0.2">
      <c r="A2486" s="621" t="s">
        <v>538</v>
      </c>
      <c r="B2486" s="611" t="s">
        <v>482</v>
      </c>
      <c r="C2486" s="247" t="s">
        <v>45</v>
      </c>
      <c r="D2486" s="527" t="s">
        <v>135</v>
      </c>
      <c r="E2486" s="623">
        <v>5.9303577844928648E-4</v>
      </c>
      <c r="F2486" s="250" t="s">
        <v>548</v>
      </c>
      <c r="G2486" s="528" t="s">
        <v>16</v>
      </c>
      <c r="H2486" s="527">
        <v>2</v>
      </c>
      <c r="I2486" s="527">
        <v>3</v>
      </c>
      <c r="J2486" s="527">
        <v>3</v>
      </c>
      <c r="K2486" s="527">
        <v>3</v>
      </c>
      <c r="L2486" s="529">
        <v>3</v>
      </c>
      <c r="M2486" s="626">
        <f t="shared" si="79"/>
        <v>1.1713319510247036</v>
      </c>
      <c r="N2486" s="530"/>
    </row>
    <row r="2487" spans="1:14" hidden="1" x14ac:dyDescent="0.2">
      <c r="A2487" s="621" t="s">
        <v>538</v>
      </c>
      <c r="B2487" s="611" t="s">
        <v>482</v>
      </c>
      <c r="C2487" s="247" t="s">
        <v>46</v>
      </c>
      <c r="D2487" s="527" t="s">
        <v>135</v>
      </c>
      <c r="E2487" s="623">
        <v>2.7106814447660122E-4</v>
      </c>
      <c r="F2487" s="250" t="s">
        <v>548</v>
      </c>
      <c r="G2487" s="528" t="s">
        <v>16</v>
      </c>
      <c r="H2487" s="527">
        <v>1</v>
      </c>
      <c r="I2487" s="527">
        <v>3</v>
      </c>
      <c r="J2487" s="527">
        <v>3</v>
      </c>
      <c r="K2487" s="527">
        <v>3</v>
      </c>
      <c r="L2487" s="529">
        <v>3</v>
      </c>
      <c r="M2487" s="626">
        <f t="shared" si="79"/>
        <v>1.1666438005107913</v>
      </c>
      <c r="N2487" s="530"/>
    </row>
    <row r="2488" spans="1:14" hidden="1" x14ac:dyDescent="0.2">
      <c r="A2488" s="621" t="s">
        <v>538</v>
      </c>
      <c r="B2488" s="611" t="s">
        <v>482</v>
      </c>
      <c r="C2488" s="247" t="s">
        <v>48</v>
      </c>
      <c r="D2488" s="527" t="s">
        <v>135</v>
      </c>
      <c r="E2488" s="623">
        <v>1.6090083043733411E-3</v>
      </c>
      <c r="F2488" s="250" t="s">
        <v>548</v>
      </c>
      <c r="G2488" s="528" t="s">
        <v>16</v>
      </c>
      <c r="H2488" s="527">
        <v>1</v>
      </c>
      <c r="I2488" s="527">
        <v>3</v>
      </c>
      <c r="J2488" s="527">
        <v>3</v>
      </c>
      <c r="K2488" s="527">
        <v>3</v>
      </c>
      <c r="L2488" s="529">
        <v>3</v>
      </c>
      <c r="M2488" s="626">
        <f t="shared" si="79"/>
        <v>1.1666438005107913</v>
      </c>
      <c r="N2488" s="530"/>
    </row>
    <row r="2489" spans="1:14" hidden="1" x14ac:dyDescent="0.2">
      <c r="A2489" s="621" t="s">
        <v>538</v>
      </c>
      <c r="B2489" s="611" t="s">
        <v>482</v>
      </c>
      <c r="C2489" s="247" t="s">
        <v>50</v>
      </c>
      <c r="D2489" s="527" t="s">
        <v>135</v>
      </c>
      <c r="E2489" s="623">
        <v>1.131191016390484E-4</v>
      </c>
      <c r="F2489" s="250" t="s">
        <v>548</v>
      </c>
      <c r="G2489" s="528" t="s">
        <v>16</v>
      </c>
      <c r="H2489" s="527">
        <v>1</v>
      </c>
      <c r="I2489" s="527">
        <v>3</v>
      </c>
      <c r="J2489" s="527">
        <v>3</v>
      </c>
      <c r="K2489" s="527">
        <v>3</v>
      </c>
      <c r="L2489" s="529">
        <v>3</v>
      </c>
      <c r="M2489" s="626">
        <f t="shared" si="79"/>
        <v>1.1666438005107913</v>
      </c>
      <c r="N2489" s="530"/>
    </row>
    <row r="2490" spans="1:14" hidden="1" x14ac:dyDescent="0.2">
      <c r="A2490" s="621" t="s">
        <v>538</v>
      </c>
      <c r="B2490" s="611" t="s">
        <v>482</v>
      </c>
      <c r="C2490" s="247" t="s">
        <v>52</v>
      </c>
      <c r="D2490" s="527" t="s">
        <v>135</v>
      </c>
      <c r="E2490" s="539">
        <v>0</v>
      </c>
      <c r="F2490" s="250" t="s">
        <v>548</v>
      </c>
      <c r="G2490" s="528" t="s">
        <v>16</v>
      </c>
      <c r="H2490" s="539"/>
      <c r="I2490" s="539"/>
      <c r="J2490" s="539"/>
      <c r="K2490" s="539"/>
      <c r="L2490" s="540"/>
      <c r="M2490" s="721" t="str">
        <f t="shared" si="79"/>
        <v/>
      </c>
      <c r="N2490" s="530"/>
    </row>
    <row r="2491" spans="1:14" hidden="1" x14ac:dyDescent="0.2">
      <c r="A2491" s="621" t="s">
        <v>538</v>
      </c>
      <c r="B2491" s="611" t="s">
        <v>482</v>
      </c>
      <c r="C2491" s="247" t="s">
        <v>54</v>
      </c>
      <c r="D2491" s="527" t="s">
        <v>135</v>
      </c>
      <c r="E2491" s="623">
        <v>1.434573787677972E-4</v>
      </c>
      <c r="F2491" s="250" t="s">
        <v>548</v>
      </c>
      <c r="G2491" s="528" t="s">
        <v>16</v>
      </c>
      <c r="H2491" s="527">
        <v>1</v>
      </c>
      <c r="I2491" s="527">
        <v>3</v>
      </c>
      <c r="J2491" s="527">
        <v>3</v>
      </c>
      <c r="K2491" s="527">
        <v>3</v>
      </c>
      <c r="L2491" s="529">
        <v>3</v>
      </c>
      <c r="M2491" s="626">
        <f t="shared" si="79"/>
        <v>1.1666438005107913</v>
      </c>
      <c r="N2491" s="530"/>
    </row>
    <row r="2492" spans="1:14" hidden="1" x14ac:dyDescent="0.2">
      <c r="A2492" s="621" t="s">
        <v>538</v>
      </c>
      <c r="B2492" s="611" t="s">
        <v>482</v>
      </c>
      <c r="C2492" s="247" t="s">
        <v>55</v>
      </c>
      <c r="D2492" s="527" t="s">
        <v>135</v>
      </c>
      <c r="E2492" s="623">
        <v>8.8600635970927457E-4</v>
      </c>
      <c r="F2492" s="250" t="s">
        <v>548</v>
      </c>
      <c r="G2492" s="528" t="s">
        <v>16</v>
      </c>
      <c r="H2492" s="527">
        <v>1</v>
      </c>
      <c r="I2492" s="527">
        <v>3</v>
      </c>
      <c r="J2492" s="527">
        <v>3</v>
      </c>
      <c r="K2492" s="527">
        <v>3</v>
      </c>
      <c r="L2492" s="529">
        <v>3</v>
      </c>
      <c r="M2492" s="626">
        <f t="shared" si="79"/>
        <v>1.1666438005107913</v>
      </c>
      <c r="N2492" s="530"/>
    </row>
    <row r="2493" spans="1:14" hidden="1" x14ac:dyDescent="0.2">
      <c r="A2493" s="621" t="s">
        <v>538</v>
      </c>
      <c r="B2493" s="611" t="s">
        <v>482</v>
      </c>
      <c r="C2493" s="247" t="s">
        <v>57</v>
      </c>
      <c r="D2493" s="527" t="s">
        <v>135</v>
      </c>
      <c r="E2493" s="623">
        <v>5.8697585559471682E-4</v>
      </c>
      <c r="F2493" s="250" t="s">
        <v>548</v>
      </c>
      <c r="G2493" s="528" t="s">
        <v>16</v>
      </c>
      <c r="H2493" s="527">
        <v>1</v>
      </c>
      <c r="I2493" s="527">
        <v>3</v>
      </c>
      <c r="J2493" s="527">
        <v>3</v>
      </c>
      <c r="K2493" s="527">
        <v>3</v>
      </c>
      <c r="L2493" s="529">
        <v>3</v>
      </c>
      <c r="M2493" s="626">
        <f t="shared" si="79"/>
        <v>1.1666438005107913</v>
      </c>
      <c r="N2493" s="530"/>
    </row>
    <row r="2494" spans="1:14" hidden="1" x14ac:dyDescent="0.2">
      <c r="A2494" s="621" t="s">
        <v>538</v>
      </c>
      <c r="B2494" s="611" t="s">
        <v>482</v>
      </c>
      <c r="C2494" s="247" t="s">
        <v>59</v>
      </c>
      <c r="D2494" s="527" t="s">
        <v>135</v>
      </c>
      <c r="E2494" s="539">
        <v>0</v>
      </c>
      <c r="F2494" s="250" t="s">
        <v>548</v>
      </c>
      <c r="G2494" s="528" t="s">
        <v>16</v>
      </c>
      <c r="H2494" s="656"/>
      <c r="I2494" s="539"/>
      <c r="J2494" s="539"/>
      <c r="K2494" s="539"/>
      <c r="L2494" s="540"/>
      <c r="M2494" s="721" t="str">
        <f t="shared" si="79"/>
        <v/>
      </c>
      <c r="N2494" s="530"/>
    </row>
    <row r="2495" spans="1:14" hidden="1" x14ac:dyDescent="0.2">
      <c r="A2495" s="621" t="s">
        <v>538</v>
      </c>
      <c r="B2495" s="611" t="s">
        <v>482</v>
      </c>
      <c r="C2495" s="247" t="s">
        <v>60</v>
      </c>
      <c r="D2495" s="527" t="s">
        <v>135</v>
      </c>
      <c r="E2495" s="627">
        <v>1.0219722337979371E-3</v>
      </c>
      <c r="F2495" s="250" t="s">
        <v>548</v>
      </c>
      <c r="G2495" s="528" t="s">
        <v>16</v>
      </c>
      <c r="H2495" s="519">
        <v>2</v>
      </c>
      <c r="I2495" s="527">
        <v>3</v>
      </c>
      <c r="J2495" s="527">
        <v>3</v>
      </c>
      <c r="K2495" s="527">
        <v>3</v>
      </c>
      <c r="L2495" s="529">
        <v>3</v>
      </c>
      <c r="M2495" s="521">
        <f t="shared" si="79"/>
        <v>1.1713319510247036</v>
      </c>
      <c r="N2495" s="522"/>
    </row>
    <row r="2496" spans="1:14" hidden="1" x14ac:dyDescent="0.2">
      <c r="A2496" s="621" t="s">
        <v>538</v>
      </c>
      <c r="B2496" s="524" t="s">
        <v>479</v>
      </c>
      <c r="C2496" s="247" t="s">
        <v>13</v>
      </c>
      <c r="D2496" s="527" t="s">
        <v>135</v>
      </c>
      <c r="E2496" s="623">
        <v>0.4996118484144495</v>
      </c>
      <c r="F2496" s="250" t="s">
        <v>548</v>
      </c>
      <c r="G2496" s="528" t="s">
        <v>16</v>
      </c>
      <c r="H2496" s="527">
        <v>1</v>
      </c>
      <c r="I2496" s="527">
        <v>3</v>
      </c>
      <c r="J2496" s="527">
        <v>3</v>
      </c>
      <c r="K2496" s="527">
        <v>3</v>
      </c>
      <c r="L2496" s="529">
        <v>3</v>
      </c>
      <c r="M2496" s="626">
        <f t="shared" si="79"/>
        <v>1.1666438005107913</v>
      </c>
      <c r="N2496" s="530"/>
    </row>
    <row r="2497" spans="1:14" hidden="1" x14ac:dyDescent="0.2">
      <c r="A2497" s="621" t="s">
        <v>538</v>
      </c>
      <c r="B2497" s="524" t="s">
        <v>479</v>
      </c>
      <c r="C2497" s="247" t="s">
        <v>18</v>
      </c>
      <c r="D2497" s="527" t="s">
        <v>135</v>
      </c>
      <c r="E2497" s="623">
        <v>0.49901568652851092</v>
      </c>
      <c r="F2497" s="250" t="s">
        <v>548</v>
      </c>
      <c r="G2497" s="528" t="s">
        <v>16</v>
      </c>
      <c r="H2497" s="527">
        <v>1</v>
      </c>
      <c r="I2497" s="527">
        <v>3</v>
      </c>
      <c r="J2497" s="527">
        <v>3</v>
      </c>
      <c r="K2497" s="527">
        <v>3</v>
      </c>
      <c r="L2497" s="529">
        <v>3</v>
      </c>
      <c r="M2497" s="626">
        <f t="shared" si="79"/>
        <v>1.1666438005107913</v>
      </c>
      <c r="N2497" s="530"/>
    </row>
    <row r="2498" spans="1:14" hidden="1" x14ac:dyDescent="0.2">
      <c r="A2498" s="621" t="s">
        <v>538</v>
      </c>
      <c r="B2498" s="524" t="s">
        <v>479</v>
      </c>
      <c r="C2498" s="247" t="s">
        <v>20</v>
      </c>
      <c r="D2498" s="527" t="s">
        <v>135</v>
      </c>
      <c r="E2498" s="623">
        <v>0.49880246058109667</v>
      </c>
      <c r="F2498" s="250" t="s">
        <v>548</v>
      </c>
      <c r="G2498" s="528" t="s">
        <v>16</v>
      </c>
      <c r="H2498" s="527">
        <v>1</v>
      </c>
      <c r="I2498" s="527">
        <v>3</v>
      </c>
      <c r="J2498" s="527">
        <v>3</v>
      </c>
      <c r="K2498" s="527">
        <v>3</v>
      </c>
      <c r="L2498" s="529">
        <v>3</v>
      </c>
      <c r="M2498" s="626">
        <f t="shared" si="79"/>
        <v>1.1666438005107913</v>
      </c>
      <c r="N2498" s="530"/>
    </row>
    <row r="2499" spans="1:14" hidden="1" x14ac:dyDescent="0.2">
      <c r="A2499" s="621" t="s">
        <v>538</v>
      </c>
      <c r="B2499" s="524" t="s">
        <v>479</v>
      </c>
      <c r="C2499" s="247" t="s">
        <v>22</v>
      </c>
      <c r="D2499" s="527" t="s">
        <v>135</v>
      </c>
      <c r="E2499" s="623">
        <v>0.49920047264954442</v>
      </c>
      <c r="F2499" s="250" t="s">
        <v>548</v>
      </c>
      <c r="G2499" s="528" t="s">
        <v>16</v>
      </c>
      <c r="H2499" s="527">
        <v>1</v>
      </c>
      <c r="I2499" s="527">
        <v>3</v>
      </c>
      <c r="J2499" s="527">
        <v>3</v>
      </c>
      <c r="K2499" s="527">
        <v>3</v>
      </c>
      <c r="L2499" s="529">
        <v>3</v>
      </c>
      <c r="M2499" s="626">
        <f t="shared" si="79"/>
        <v>1.1666438005107913</v>
      </c>
      <c r="N2499" s="530"/>
    </row>
    <row r="2500" spans="1:14" hidden="1" x14ac:dyDescent="0.2">
      <c r="A2500" s="621" t="s">
        <v>538</v>
      </c>
      <c r="B2500" s="524" t="s">
        <v>479</v>
      </c>
      <c r="C2500" s="247" t="s">
        <v>23</v>
      </c>
      <c r="D2500" s="527" t="s">
        <v>135</v>
      </c>
      <c r="E2500" s="623">
        <v>0.49919576065941978</v>
      </c>
      <c r="F2500" s="250" t="s">
        <v>548</v>
      </c>
      <c r="G2500" s="528" t="s">
        <v>16</v>
      </c>
      <c r="H2500" s="527">
        <v>1</v>
      </c>
      <c r="I2500" s="527">
        <v>3</v>
      </c>
      <c r="J2500" s="527">
        <v>3</v>
      </c>
      <c r="K2500" s="527">
        <v>3</v>
      </c>
      <c r="L2500" s="529">
        <v>3</v>
      </c>
      <c r="M2500" s="626">
        <f t="shared" si="79"/>
        <v>1.1666438005107913</v>
      </c>
      <c r="N2500" s="530"/>
    </row>
    <row r="2501" spans="1:14" hidden="1" x14ac:dyDescent="0.2">
      <c r="A2501" s="621" t="s">
        <v>538</v>
      </c>
      <c r="B2501" s="524" t="s">
        <v>479</v>
      </c>
      <c r="C2501" s="247" t="s">
        <v>24</v>
      </c>
      <c r="D2501" s="527" t="s">
        <v>135</v>
      </c>
      <c r="E2501" s="623">
        <v>0.49914975999573441</v>
      </c>
      <c r="F2501" s="250" t="s">
        <v>548</v>
      </c>
      <c r="G2501" s="528" t="s">
        <v>16</v>
      </c>
      <c r="H2501" s="527">
        <v>1</v>
      </c>
      <c r="I2501" s="527">
        <v>3</v>
      </c>
      <c r="J2501" s="527">
        <v>3</v>
      </c>
      <c r="K2501" s="527">
        <v>3</v>
      </c>
      <c r="L2501" s="529">
        <v>3</v>
      </c>
      <c r="M2501" s="626">
        <f t="shared" si="79"/>
        <v>1.1666438005107913</v>
      </c>
      <c r="N2501" s="530"/>
    </row>
    <row r="2502" spans="1:14" hidden="1" x14ac:dyDescent="0.2">
      <c r="A2502" s="621" t="s">
        <v>538</v>
      </c>
      <c r="B2502" s="524" t="s">
        <v>479</v>
      </c>
      <c r="C2502" s="247" t="s">
        <v>25</v>
      </c>
      <c r="D2502" s="527" t="s">
        <v>135</v>
      </c>
      <c r="E2502" s="623">
        <v>0.49948669527057332</v>
      </c>
      <c r="F2502" s="250" t="s">
        <v>548</v>
      </c>
      <c r="G2502" s="528" t="s">
        <v>16</v>
      </c>
      <c r="H2502" s="527">
        <v>1</v>
      </c>
      <c r="I2502" s="527">
        <v>3</v>
      </c>
      <c r="J2502" s="527">
        <v>3</v>
      </c>
      <c r="K2502" s="527">
        <v>3</v>
      </c>
      <c r="L2502" s="529">
        <v>3</v>
      </c>
      <c r="M2502" s="626">
        <f t="shared" si="79"/>
        <v>1.1666438005107913</v>
      </c>
      <c r="N2502" s="530"/>
    </row>
    <row r="2503" spans="1:14" hidden="1" x14ac:dyDescent="0.2">
      <c r="A2503" s="621" t="s">
        <v>538</v>
      </c>
      <c r="B2503" s="524" t="s">
        <v>479</v>
      </c>
      <c r="C2503" s="247" t="s">
        <v>26</v>
      </c>
      <c r="D2503" s="527" t="s">
        <v>135</v>
      </c>
      <c r="E2503" s="623">
        <v>0.49957088431978058</v>
      </c>
      <c r="F2503" s="250" t="s">
        <v>548</v>
      </c>
      <c r="G2503" s="528" t="s">
        <v>16</v>
      </c>
      <c r="H2503" s="527">
        <v>1</v>
      </c>
      <c r="I2503" s="527">
        <v>3</v>
      </c>
      <c r="J2503" s="527">
        <v>3</v>
      </c>
      <c r="K2503" s="527">
        <v>3</v>
      </c>
      <c r="L2503" s="529">
        <v>3</v>
      </c>
      <c r="M2503" s="626">
        <f t="shared" si="79"/>
        <v>1.1666438005107913</v>
      </c>
      <c r="N2503" s="530"/>
    </row>
    <row r="2504" spans="1:14" hidden="1" x14ac:dyDescent="0.2">
      <c r="A2504" s="621" t="s">
        <v>538</v>
      </c>
      <c r="B2504" s="524" t="s">
        <v>479</v>
      </c>
      <c r="C2504" s="247" t="s">
        <v>27</v>
      </c>
      <c r="D2504" s="527" t="s">
        <v>135</v>
      </c>
      <c r="E2504" s="623">
        <v>0.49960329184330898</v>
      </c>
      <c r="F2504" s="250" t="s">
        <v>548</v>
      </c>
      <c r="G2504" s="528" t="s">
        <v>16</v>
      </c>
      <c r="H2504" s="527">
        <v>1</v>
      </c>
      <c r="I2504" s="527">
        <v>3</v>
      </c>
      <c r="J2504" s="527">
        <v>3</v>
      </c>
      <c r="K2504" s="527">
        <v>3</v>
      </c>
      <c r="L2504" s="529">
        <v>3</v>
      </c>
      <c r="M2504" s="626">
        <f t="shared" si="79"/>
        <v>1.1666438005107913</v>
      </c>
      <c r="N2504" s="530"/>
    </row>
    <row r="2505" spans="1:14" hidden="1" x14ac:dyDescent="0.2">
      <c r="A2505" s="621" t="s">
        <v>538</v>
      </c>
      <c r="B2505" s="524" t="s">
        <v>479</v>
      </c>
      <c r="C2505" s="247" t="s">
        <v>28</v>
      </c>
      <c r="D2505" s="527" t="s">
        <v>135</v>
      </c>
      <c r="E2505" s="623">
        <v>0.49915139408257092</v>
      </c>
      <c r="F2505" s="250" t="s">
        <v>548</v>
      </c>
      <c r="G2505" s="528" t="s">
        <v>16</v>
      </c>
      <c r="H2505" s="527">
        <v>1</v>
      </c>
      <c r="I2505" s="527">
        <v>3</v>
      </c>
      <c r="J2505" s="527">
        <v>3</v>
      </c>
      <c r="K2505" s="527">
        <v>3</v>
      </c>
      <c r="L2505" s="529">
        <v>3</v>
      </c>
      <c r="M2505" s="626">
        <f t="shared" si="79"/>
        <v>1.1666438005107913</v>
      </c>
      <c r="N2505" s="530"/>
    </row>
    <row r="2506" spans="1:14" hidden="1" x14ac:dyDescent="0.2">
      <c r="A2506" s="621" t="s">
        <v>538</v>
      </c>
      <c r="B2506" s="524" t="s">
        <v>479</v>
      </c>
      <c r="C2506" s="247" t="s">
        <v>30</v>
      </c>
      <c r="D2506" s="527" t="s">
        <v>135</v>
      </c>
      <c r="E2506" s="623">
        <v>0.49949031600407751</v>
      </c>
      <c r="F2506" s="250" t="s">
        <v>548</v>
      </c>
      <c r="G2506" s="528" t="s">
        <v>16</v>
      </c>
      <c r="H2506" s="527">
        <v>1</v>
      </c>
      <c r="I2506" s="527">
        <v>3</v>
      </c>
      <c r="J2506" s="527">
        <v>3</v>
      </c>
      <c r="K2506" s="527">
        <v>3</v>
      </c>
      <c r="L2506" s="529">
        <v>3</v>
      </c>
      <c r="M2506" s="626">
        <f t="shared" si="79"/>
        <v>1.1666438005107913</v>
      </c>
      <c r="N2506" s="530"/>
    </row>
    <row r="2507" spans="1:14" hidden="1" x14ac:dyDescent="0.2">
      <c r="A2507" s="621" t="s">
        <v>538</v>
      </c>
      <c r="B2507" s="524" t="s">
        <v>479</v>
      </c>
      <c r="C2507" s="247" t="s">
        <v>32</v>
      </c>
      <c r="D2507" s="527" t="s">
        <v>135</v>
      </c>
      <c r="E2507" s="623">
        <v>0.49839126949038892</v>
      </c>
      <c r="F2507" s="250" t="s">
        <v>548</v>
      </c>
      <c r="G2507" s="528" t="s">
        <v>16</v>
      </c>
      <c r="H2507" s="527">
        <v>1</v>
      </c>
      <c r="I2507" s="527">
        <v>3</v>
      </c>
      <c r="J2507" s="527">
        <v>3</v>
      </c>
      <c r="K2507" s="527">
        <v>3</v>
      </c>
      <c r="L2507" s="529">
        <v>3</v>
      </c>
      <c r="M2507" s="626">
        <f t="shared" ref="M2507:M2526" si="80">IF( OR( ISBLANK(H2507),ISBLANK(I2507), ISBLANK(J2507), ISBLANK(K2507), ISBLANK(L2507) ), "", 1.5*SQRT( EXP(2.21*(H2507-1)) + EXP(2.21*(I2507-1)) + EXP(2.21*(J2507-1)) + EXP(2.21*(K2507-1)) + EXP(2.21*L2507) )/100*2.45 )</f>
        <v>1.1666438005107913</v>
      </c>
      <c r="N2507" s="530"/>
    </row>
    <row r="2508" spans="1:14" hidden="1" x14ac:dyDescent="0.2">
      <c r="A2508" s="621" t="s">
        <v>538</v>
      </c>
      <c r="B2508" s="524" t="s">
        <v>479</v>
      </c>
      <c r="C2508" s="247" t="s">
        <v>34</v>
      </c>
      <c r="D2508" s="527" t="s">
        <v>135</v>
      </c>
      <c r="E2508" s="623">
        <v>0.49918872065517222</v>
      </c>
      <c r="F2508" s="250" t="s">
        <v>548</v>
      </c>
      <c r="G2508" s="528" t="s">
        <v>16</v>
      </c>
      <c r="H2508" s="527">
        <v>1</v>
      </c>
      <c r="I2508" s="527">
        <v>3</v>
      </c>
      <c r="J2508" s="527">
        <v>3</v>
      </c>
      <c r="K2508" s="527">
        <v>3</v>
      </c>
      <c r="L2508" s="529">
        <v>3</v>
      </c>
      <c r="M2508" s="626">
        <f t="shared" si="80"/>
        <v>1.1666438005107913</v>
      </c>
      <c r="N2508" s="530"/>
    </row>
    <row r="2509" spans="1:14" hidden="1" x14ac:dyDescent="0.2">
      <c r="A2509" s="621" t="s">
        <v>538</v>
      </c>
      <c r="B2509" s="524" t="s">
        <v>479</v>
      </c>
      <c r="C2509" s="247" t="s">
        <v>36</v>
      </c>
      <c r="D2509" s="527" t="s">
        <v>135</v>
      </c>
      <c r="E2509" s="623">
        <v>0.4995236748795312</v>
      </c>
      <c r="F2509" s="250" t="s">
        <v>548</v>
      </c>
      <c r="G2509" s="528" t="s">
        <v>16</v>
      </c>
      <c r="H2509" s="527">
        <v>1</v>
      </c>
      <c r="I2509" s="527">
        <v>3</v>
      </c>
      <c r="J2509" s="527">
        <v>3</v>
      </c>
      <c r="K2509" s="527">
        <v>3</v>
      </c>
      <c r="L2509" s="529">
        <v>3</v>
      </c>
      <c r="M2509" s="626">
        <f t="shared" si="80"/>
        <v>1.1666438005107913</v>
      </c>
      <c r="N2509" s="530"/>
    </row>
    <row r="2510" spans="1:14" hidden="1" x14ac:dyDescent="0.2">
      <c r="A2510" s="621" t="s">
        <v>538</v>
      </c>
      <c r="B2510" s="524" t="s">
        <v>479</v>
      </c>
      <c r="C2510" s="247" t="s">
        <v>37</v>
      </c>
      <c r="D2510" s="527" t="s">
        <v>135</v>
      </c>
      <c r="E2510" s="623">
        <v>0.49881320526166562</v>
      </c>
      <c r="F2510" s="250" t="s">
        <v>548</v>
      </c>
      <c r="G2510" s="528" t="s">
        <v>16</v>
      </c>
      <c r="H2510" s="527">
        <v>1</v>
      </c>
      <c r="I2510" s="527">
        <v>3</v>
      </c>
      <c r="J2510" s="527">
        <v>3</v>
      </c>
      <c r="K2510" s="527">
        <v>3</v>
      </c>
      <c r="L2510" s="529">
        <v>3</v>
      </c>
      <c r="M2510" s="626">
        <f t="shared" si="80"/>
        <v>1.1666438005107913</v>
      </c>
      <c r="N2510" s="530"/>
    </row>
    <row r="2511" spans="1:14" hidden="1" x14ac:dyDescent="0.2">
      <c r="A2511" s="621" t="s">
        <v>538</v>
      </c>
      <c r="B2511" s="524" t="s">
        <v>479</v>
      </c>
      <c r="C2511" s="247" t="s">
        <v>39</v>
      </c>
      <c r="D2511" s="527" t="s">
        <v>135</v>
      </c>
      <c r="E2511" s="623">
        <v>0.49945999585859707</v>
      </c>
      <c r="F2511" s="250" t="s">
        <v>548</v>
      </c>
      <c r="G2511" s="528" t="s">
        <v>16</v>
      </c>
      <c r="H2511" s="527">
        <v>1</v>
      </c>
      <c r="I2511" s="527">
        <v>3</v>
      </c>
      <c r="J2511" s="527">
        <v>3</v>
      </c>
      <c r="K2511" s="527">
        <v>3</v>
      </c>
      <c r="L2511" s="529">
        <v>3</v>
      </c>
      <c r="M2511" s="626">
        <f t="shared" si="80"/>
        <v>1.1666438005107913</v>
      </c>
      <c r="N2511" s="530"/>
    </row>
    <row r="2512" spans="1:14" hidden="1" x14ac:dyDescent="0.2">
      <c r="A2512" s="621" t="s">
        <v>538</v>
      </c>
      <c r="B2512" s="524" t="s">
        <v>479</v>
      </c>
      <c r="C2512" s="247" t="s">
        <v>40</v>
      </c>
      <c r="D2512" s="527" t="s">
        <v>135</v>
      </c>
      <c r="E2512" s="623">
        <v>0.49944548494364138</v>
      </c>
      <c r="F2512" s="250" t="s">
        <v>548</v>
      </c>
      <c r="G2512" s="528" t="s">
        <v>16</v>
      </c>
      <c r="H2512" s="527">
        <v>1</v>
      </c>
      <c r="I2512" s="527">
        <v>3</v>
      </c>
      <c r="J2512" s="527">
        <v>3</v>
      </c>
      <c r="K2512" s="527">
        <v>3</v>
      </c>
      <c r="L2512" s="529">
        <v>3</v>
      </c>
      <c r="M2512" s="626">
        <f t="shared" si="80"/>
        <v>1.1666438005107913</v>
      </c>
      <c r="N2512" s="530"/>
    </row>
    <row r="2513" spans="1:14" hidden="1" x14ac:dyDescent="0.2">
      <c r="A2513" s="621" t="s">
        <v>538</v>
      </c>
      <c r="B2513" s="524" t="s">
        <v>479</v>
      </c>
      <c r="C2513" s="247" t="s">
        <v>41</v>
      </c>
      <c r="D2513" s="527" t="s">
        <v>135</v>
      </c>
      <c r="E2513" s="623">
        <v>0.49931124359078399</v>
      </c>
      <c r="F2513" s="250" t="s">
        <v>548</v>
      </c>
      <c r="G2513" s="528" t="s">
        <v>16</v>
      </c>
      <c r="H2513" s="527">
        <v>1</v>
      </c>
      <c r="I2513" s="527">
        <v>3</v>
      </c>
      <c r="J2513" s="527">
        <v>3</v>
      </c>
      <c r="K2513" s="527">
        <v>3</v>
      </c>
      <c r="L2513" s="529">
        <v>3</v>
      </c>
      <c r="M2513" s="626">
        <f t="shared" si="80"/>
        <v>1.1666438005107913</v>
      </c>
      <c r="N2513" s="530"/>
    </row>
    <row r="2514" spans="1:14" hidden="1" x14ac:dyDescent="0.2">
      <c r="A2514" s="621" t="s">
        <v>538</v>
      </c>
      <c r="B2514" s="524" t="s">
        <v>479</v>
      </c>
      <c r="C2514" s="247" t="s">
        <v>42</v>
      </c>
      <c r="D2514" s="527" t="s">
        <v>135</v>
      </c>
      <c r="E2514" s="623">
        <v>0.49965625976080069</v>
      </c>
      <c r="F2514" s="250" t="s">
        <v>548</v>
      </c>
      <c r="G2514" s="528" t="s">
        <v>16</v>
      </c>
      <c r="H2514" s="527">
        <v>1</v>
      </c>
      <c r="I2514" s="527">
        <v>3</v>
      </c>
      <c r="J2514" s="527">
        <v>3</v>
      </c>
      <c r="K2514" s="527">
        <v>3</v>
      </c>
      <c r="L2514" s="529">
        <v>3</v>
      </c>
      <c r="M2514" s="626">
        <f t="shared" si="80"/>
        <v>1.1666438005107913</v>
      </c>
      <c r="N2514" s="530"/>
    </row>
    <row r="2515" spans="1:14" hidden="1" x14ac:dyDescent="0.2">
      <c r="A2515" s="621" t="s">
        <v>538</v>
      </c>
      <c r="B2515" s="524" t="s">
        <v>479</v>
      </c>
      <c r="C2515" s="247" t="s">
        <v>43</v>
      </c>
      <c r="D2515" s="527" t="s">
        <v>135</v>
      </c>
      <c r="E2515" s="623">
        <v>0.49936735096962959</v>
      </c>
      <c r="F2515" s="250" t="s">
        <v>548</v>
      </c>
      <c r="G2515" s="528" t="s">
        <v>16</v>
      </c>
      <c r="H2515" s="527">
        <v>1</v>
      </c>
      <c r="I2515" s="527">
        <v>3</v>
      </c>
      <c r="J2515" s="527">
        <v>3</v>
      </c>
      <c r="K2515" s="527">
        <v>3</v>
      </c>
      <c r="L2515" s="529">
        <v>3</v>
      </c>
      <c r="M2515" s="626">
        <f t="shared" si="80"/>
        <v>1.1666438005107913</v>
      </c>
      <c r="N2515" s="530"/>
    </row>
    <row r="2516" spans="1:14" x14ac:dyDescent="0.2">
      <c r="A2516" s="621" t="s">
        <v>538</v>
      </c>
      <c r="B2516" s="524" t="s">
        <v>479</v>
      </c>
      <c r="C2516" s="247" t="s">
        <v>45</v>
      </c>
      <c r="D2516" s="527" t="s">
        <v>135</v>
      </c>
      <c r="E2516" s="623">
        <v>0.49963766922494163</v>
      </c>
      <c r="F2516" s="250" t="s">
        <v>548</v>
      </c>
      <c r="G2516" s="528" t="s">
        <v>16</v>
      </c>
      <c r="H2516" s="527">
        <v>2</v>
      </c>
      <c r="I2516" s="527">
        <v>3</v>
      </c>
      <c r="J2516" s="527">
        <v>3</v>
      </c>
      <c r="K2516" s="527">
        <v>3</v>
      </c>
      <c r="L2516" s="529">
        <v>3</v>
      </c>
      <c r="M2516" s="626">
        <f t="shared" si="80"/>
        <v>1.1713319510247036</v>
      </c>
      <c r="N2516" s="530"/>
    </row>
    <row r="2517" spans="1:14" hidden="1" x14ac:dyDescent="0.2">
      <c r="A2517" s="621" t="s">
        <v>538</v>
      </c>
      <c r="B2517" s="524" t="s">
        <v>479</v>
      </c>
      <c r="C2517" s="247" t="s">
        <v>46</v>
      </c>
      <c r="D2517" s="527" t="s">
        <v>135</v>
      </c>
      <c r="E2517" s="623">
        <v>0.49887054939801417</v>
      </c>
      <c r="F2517" s="250" t="s">
        <v>548</v>
      </c>
      <c r="G2517" s="528" t="s">
        <v>16</v>
      </c>
      <c r="H2517" s="527">
        <v>1</v>
      </c>
      <c r="I2517" s="527">
        <v>3</v>
      </c>
      <c r="J2517" s="527">
        <v>3</v>
      </c>
      <c r="K2517" s="527">
        <v>3</v>
      </c>
      <c r="L2517" s="529">
        <v>3</v>
      </c>
      <c r="M2517" s="626">
        <f t="shared" si="80"/>
        <v>1.1666438005107913</v>
      </c>
      <c r="N2517" s="530"/>
    </row>
    <row r="2518" spans="1:14" hidden="1" x14ac:dyDescent="0.2">
      <c r="A2518" s="621" t="s">
        <v>538</v>
      </c>
      <c r="B2518" s="524" t="s">
        <v>479</v>
      </c>
      <c r="C2518" s="247" t="s">
        <v>48</v>
      </c>
      <c r="D2518" s="527" t="s">
        <v>135</v>
      </c>
      <c r="E2518" s="623">
        <v>0.49903071788893172</v>
      </c>
      <c r="F2518" s="250" t="s">
        <v>548</v>
      </c>
      <c r="G2518" s="528" t="s">
        <v>16</v>
      </c>
      <c r="H2518" s="527">
        <v>1</v>
      </c>
      <c r="I2518" s="527">
        <v>3</v>
      </c>
      <c r="J2518" s="527">
        <v>3</v>
      </c>
      <c r="K2518" s="527">
        <v>3</v>
      </c>
      <c r="L2518" s="529">
        <v>3</v>
      </c>
      <c r="M2518" s="626">
        <f t="shared" si="80"/>
        <v>1.1666438005107913</v>
      </c>
      <c r="N2518" s="530"/>
    </row>
    <row r="2519" spans="1:14" hidden="1" x14ac:dyDescent="0.2">
      <c r="A2519" s="621" t="s">
        <v>538</v>
      </c>
      <c r="B2519" s="524" t="s">
        <v>479</v>
      </c>
      <c r="C2519" s="247" t="s">
        <v>50</v>
      </c>
      <c r="D2519" s="527" t="s">
        <v>135</v>
      </c>
      <c r="E2519" s="623">
        <v>0.49886880898360952</v>
      </c>
      <c r="F2519" s="250" t="s">
        <v>548</v>
      </c>
      <c r="G2519" s="528" t="s">
        <v>16</v>
      </c>
      <c r="H2519" s="527">
        <v>1</v>
      </c>
      <c r="I2519" s="527">
        <v>3</v>
      </c>
      <c r="J2519" s="527">
        <v>3</v>
      </c>
      <c r="K2519" s="527">
        <v>3</v>
      </c>
      <c r="L2519" s="529">
        <v>3</v>
      </c>
      <c r="M2519" s="626">
        <f t="shared" si="80"/>
        <v>1.1666438005107913</v>
      </c>
      <c r="N2519" s="530"/>
    </row>
    <row r="2520" spans="1:14" hidden="1" x14ac:dyDescent="0.2">
      <c r="A2520" s="621" t="s">
        <v>538</v>
      </c>
      <c r="B2520" s="524" t="s">
        <v>479</v>
      </c>
      <c r="C2520" s="247" t="s">
        <v>52</v>
      </c>
      <c r="D2520" s="527" t="s">
        <v>135</v>
      </c>
      <c r="E2520" s="623">
        <v>0.49873526155803888</v>
      </c>
      <c r="F2520" s="250" t="s">
        <v>548</v>
      </c>
      <c r="G2520" s="528" t="s">
        <v>16</v>
      </c>
      <c r="H2520" s="527">
        <v>1</v>
      </c>
      <c r="I2520" s="527">
        <v>3</v>
      </c>
      <c r="J2520" s="527">
        <v>3</v>
      </c>
      <c r="K2520" s="527">
        <v>3</v>
      </c>
      <c r="L2520" s="529">
        <v>3</v>
      </c>
      <c r="M2520" s="626">
        <f t="shared" si="80"/>
        <v>1.1666438005107913</v>
      </c>
      <c r="N2520" s="530"/>
    </row>
    <row r="2521" spans="1:14" hidden="1" x14ac:dyDescent="0.2">
      <c r="A2521" s="621" t="s">
        <v>538</v>
      </c>
      <c r="B2521" s="524" t="s">
        <v>479</v>
      </c>
      <c r="C2521" s="247" t="s">
        <v>54</v>
      </c>
      <c r="D2521" s="527" t="s">
        <v>135</v>
      </c>
      <c r="E2521" s="623">
        <v>0.49948765221868641</v>
      </c>
      <c r="F2521" s="250" t="s">
        <v>548</v>
      </c>
      <c r="G2521" s="528" t="s">
        <v>16</v>
      </c>
      <c r="H2521" s="527">
        <v>1</v>
      </c>
      <c r="I2521" s="527">
        <v>3</v>
      </c>
      <c r="J2521" s="527">
        <v>3</v>
      </c>
      <c r="K2521" s="527">
        <v>3</v>
      </c>
      <c r="L2521" s="529">
        <v>3</v>
      </c>
      <c r="M2521" s="626">
        <f t="shared" si="80"/>
        <v>1.1666438005107913</v>
      </c>
      <c r="N2521" s="530"/>
    </row>
    <row r="2522" spans="1:14" hidden="1" x14ac:dyDescent="0.2">
      <c r="A2522" s="621" t="s">
        <v>538</v>
      </c>
      <c r="B2522" s="524" t="s">
        <v>479</v>
      </c>
      <c r="C2522" s="247" t="s">
        <v>55</v>
      </c>
      <c r="D2522" s="527" t="s">
        <v>135</v>
      </c>
      <c r="E2522" s="623">
        <v>0.49926166136690892</v>
      </c>
      <c r="F2522" s="250" t="s">
        <v>548</v>
      </c>
      <c r="G2522" s="528" t="s">
        <v>16</v>
      </c>
      <c r="H2522" s="527">
        <v>1</v>
      </c>
      <c r="I2522" s="527">
        <v>3</v>
      </c>
      <c r="J2522" s="527">
        <v>3</v>
      </c>
      <c r="K2522" s="527">
        <v>3</v>
      </c>
      <c r="L2522" s="529">
        <v>3</v>
      </c>
      <c r="M2522" s="626">
        <f t="shared" si="80"/>
        <v>1.1666438005107913</v>
      </c>
      <c r="N2522" s="530"/>
    </row>
    <row r="2523" spans="1:14" hidden="1" x14ac:dyDescent="0.2">
      <c r="A2523" s="621" t="s">
        <v>538</v>
      </c>
      <c r="B2523" s="524" t="s">
        <v>479</v>
      </c>
      <c r="C2523" s="247" t="s">
        <v>57</v>
      </c>
      <c r="D2523" s="527" t="s">
        <v>135</v>
      </c>
      <c r="E2523" s="623">
        <v>0.49963766922494163</v>
      </c>
      <c r="F2523" s="250" t="s">
        <v>548</v>
      </c>
      <c r="G2523" s="528" t="s">
        <v>16</v>
      </c>
      <c r="H2523" s="527">
        <v>1</v>
      </c>
      <c r="I2523" s="527">
        <v>3</v>
      </c>
      <c r="J2523" s="527">
        <v>3</v>
      </c>
      <c r="K2523" s="527">
        <v>3</v>
      </c>
      <c r="L2523" s="529">
        <v>3</v>
      </c>
      <c r="M2523" s="626">
        <f t="shared" si="80"/>
        <v>1.1666438005107913</v>
      </c>
      <c r="N2523" s="530"/>
    </row>
    <row r="2524" spans="1:14" hidden="1" x14ac:dyDescent="0.2">
      <c r="A2524" s="621" t="s">
        <v>538</v>
      </c>
      <c r="B2524" s="524" t="s">
        <v>479</v>
      </c>
      <c r="C2524" s="247" t="s">
        <v>59</v>
      </c>
      <c r="D2524" s="527" t="s">
        <v>135</v>
      </c>
      <c r="E2524" s="623">
        <v>0.49949031600407751</v>
      </c>
      <c r="F2524" s="250" t="s">
        <v>548</v>
      </c>
      <c r="G2524" s="528" t="s">
        <v>16</v>
      </c>
      <c r="H2524" s="519">
        <v>1</v>
      </c>
      <c r="I2524" s="527">
        <v>3</v>
      </c>
      <c r="J2524" s="527">
        <v>3</v>
      </c>
      <c r="K2524" s="527">
        <v>3</v>
      </c>
      <c r="L2524" s="529">
        <v>3</v>
      </c>
      <c r="M2524" s="626">
        <f t="shared" si="80"/>
        <v>1.1666438005107913</v>
      </c>
      <c r="N2524" s="530"/>
    </row>
    <row r="2525" spans="1:14" hidden="1" x14ac:dyDescent="0.2">
      <c r="A2525" s="621" t="s">
        <v>538</v>
      </c>
      <c r="B2525" s="524" t="s">
        <v>479</v>
      </c>
      <c r="C2525" s="247" t="s">
        <v>60</v>
      </c>
      <c r="D2525" s="527" t="s">
        <v>135</v>
      </c>
      <c r="E2525" s="627">
        <v>0.49933638166636501</v>
      </c>
      <c r="F2525" s="250" t="s">
        <v>548</v>
      </c>
      <c r="G2525" s="528" t="s">
        <v>16</v>
      </c>
      <c r="H2525" s="519">
        <v>2</v>
      </c>
      <c r="I2525" s="527">
        <v>3</v>
      </c>
      <c r="J2525" s="527">
        <v>3</v>
      </c>
      <c r="K2525" s="527">
        <v>3</v>
      </c>
      <c r="L2525" s="529">
        <v>3</v>
      </c>
      <c r="M2525" s="521">
        <f t="shared" si="80"/>
        <v>1.1713319510247036</v>
      </c>
      <c r="N2525" s="522"/>
    </row>
    <row r="2526" spans="1:14" x14ac:dyDescent="0.2">
      <c r="A2526" s="629" t="s">
        <v>538</v>
      </c>
      <c r="B2526" s="647" t="s">
        <v>387</v>
      </c>
      <c r="C2526" s="644" t="s">
        <v>135</v>
      </c>
      <c r="D2526" s="573" t="s">
        <v>135</v>
      </c>
      <c r="E2526" s="645" t="s">
        <v>188</v>
      </c>
      <c r="F2526" s="534"/>
      <c r="G2526" s="535" t="s">
        <v>16</v>
      </c>
      <c r="H2526" s="645"/>
      <c r="I2526" s="645"/>
      <c r="J2526" s="645"/>
      <c r="K2526" s="645"/>
      <c r="L2526" s="648"/>
      <c r="M2526" s="649" t="str">
        <f t="shared" si="80"/>
        <v/>
      </c>
      <c r="N2526" s="650"/>
    </row>
    <row r="2527" spans="1:14" hidden="1" x14ac:dyDescent="0.2">
      <c r="A2527" s="621" t="s">
        <v>539</v>
      </c>
      <c r="B2527" s="524" t="s">
        <v>550</v>
      </c>
      <c r="C2527" s="247" t="s">
        <v>13</v>
      </c>
      <c r="D2527" s="527" t="s">
        <v>135</v>
      </c>
      <c r="E2527" s="634">
        <v>0</v>
      </c>
      <c r="F2527" s="250"/>
      <c r="G2527" s="251" t="s">
        <v>16</v>
      </c>
      <c r="H2527" s="478"/>
      <c r="I2527" s="478"/>
      <c r="J2527" s="478"/>
      <c r="K2527" s="478"/>
      <c r="L2527" s="471"/>
      <c r="M2527" s="456"/>
      <c r="N2527" s="530"/>
    </row>
    <row r="2528" spans="1:14" hidden="1" x14ac:dyDescent="0.2">
      <c r="A2528" s="621" t="s">
        <v>539</v>
      </c>
      <c r="B2528" s="524" t="s">
        <v>550</v>
      </c>
      <c r="C2528" s="247" t="s">
        <v>18</v>
      </c>
      <c r="D2528" s="527" t="s">
        <v>135</v>
      </c>
      <c r="E2528" s="623">
        <v>0.24518365856871729</v>
      </c>
      <c r="F2528" s="250" t="s">
        <v>551</v>
      </c>
      <c r="G2528" s="528" t="s">
        <v>16</v>
      </c>
      <c r="H2528" s="527">
        <v>1</v>
      </c>
      <c r="I2528" s="527">
        <v>3</v>
      </c>
      <c r="J2528" s="527">
        <v>3</v>
      </c>
      <c r="K2528" s="527">
        <v>3</v>
      </c>
      <c r="L2528" s="529">
        <v>3</v>
      </c>
      <c r="M2528" s="626">
        <f>IF( OR( ISBLANK(H2528),ISBLANK(I2528), ISBLANK(J2528), ISBLANK(K2528), ISBLANK(L2528) ), "", 1.5*SQRT(   EXP(2.21*(H2528-1)) + EXP(2.21*(I2528-1)) + EXP(2.21*(J2528-1)) + EXP(2.21*(K2528-1)) + EXP(2.21*L2528)   )/100*2.45 )</f>
        <v>1.1666438005107913</v>
      </c>
      <c r="N2528" s="530"/>
    </row>
    <row r="2529" spans="1:14" hidden="1" x14ac:dyDescent="0.2">
      <c r="A2529" s="621" t="s">
        <v>539</v>
      </c>
      <c r="B2529" s="524" t="s">
        <v>550</v>
      </c>
      <c r="C2529" s="247" t="s">
        <v>20</v>
      </c>
      <c r="D2529" s="527" t="s">
        <v>135</v>
      </c>
      <c r="E2529" s="623">
        <v>0.24955592395495441</v>
      </c>
      <c r="F2529" s="250" t="s">
        <v>551</v>
      </c>
      <c r="G2529" s="528" t="s">
        <v>16</v>
      </c>
      <c r="H2529" s="527">
        <v>1</v>
      </c>
      <c r="I2529" s="527">
        <v>3</v>
      </c>
      <c r="J2529" s="527">
        <v>3</v>
      </c>
      <c r="K2529" s="527">
        <v>3</v>
      </c>
      <c r="L2529" s="529">
        <v>3</v>
      </c>
      <c r="M2529" s="626">
        <f>IF( OR( ISBLANK(H2529),ISBLANK(I2529), ISBLANK(J2529), ISBLANK(K2529), ISBLANK(L2529) ), "", 1.5*SQRT(   EXP(2.21*(H2529-1)) + EXP(2.21*(I2529-1)) + EXP(2.21*(J2529-1)) + EXP(2.21*(K2529-1)) + EXP(2.21*L2529)   )/100*2.45 )</f>
        <v>1.1666438005107913</v>
      </c>
      <c r="N2529" s="530"/>
    </row>
    <row r="2530" spans="1:14" hidden="1" x14ac:dyDescent="0.2">
      <c r="A2530" s="621" t="s">
        <v>539</v>
      </c>
      <c r="B2530" s="524" t="s">
        <v>550</v>
      </c>
      <c r="C2530" s="247" t="s">
        <v>22</v>
      </c>
      <c r="D2530" s="527" t="s">
        <v>135</v>
      </c>
      <c r="E2530" s="623">
        <v>0.24139456080341479</v>
      </c>
      <c r="F2530" s="250" t="s">
        <v>551</v>
      </c>
      <c r="G2530" s="528" t="s">
        <v>16</v>
      </c>
      <c r="H2530" s="527">
        <v>1</v>
      </c>
      <c r="I2530" s="527">
        <v>3</v>
      </c>
      <c r="J2530" s="527">
        <v>3</v>
      </c>
      <c r="K2530" s="527">
        <v>3</v>
      </c>
      <c r="L2530" s="529">
        <v>3</v>
      </c>
      <c r="M2530" s="626">
        <f>IF( OR( ISBLANK(H2530),ISBLANK(I2530), ISBLANK(J2530), ISBLANK(K2530), ISBLANK(L2530) ), "", 1.5*SQRT(   EXP(2.21*(H2530-1)) + EXP(2.21*(I2530-1)) + EXP(2.21*(J2530-1)) + EXP(2.21*(K2530-1)) + EXP(2.21*L2530)   )/100*2.45 )</f>
        <v>1.1666438005107913</v>
      </c>
      <c r="N2530" s="530"/>
    </row>
    <row r="2531" spans="1:14" hidden="1" x14ac:dyDescent="0.2">
      <c r="A2531" s="621" t="s">
        <v>539</v>
      </c>
      <c r="B2531" s="524" t="s">
        <v>550</v>
      </c>
      <c r="C2531" s="247" t="s">
        <v>23</v>
      </c>
      <c r="D2531" s="527" t="s">
        <v>135</v>
      </c>
      <c r="E2531" s="623">
        <v>0.24149118164891401</v>
      </c>
      <c r="F2531" s="250" t="s">
        <v>551</v>
      </c>
      <c r="G2531" s="528" t="s">
        <v>16</v>
      </c>
      <c r="H2531" s="527">
        <v>1</v>
      </c>
      <c r="I2531" s="527">
        <v>3</v>
      </c>
      <c r="J2531" s="527">
        <v>3</v>
      </c>
      <c r="K2531" s="527">
        <v>3</v>
      </c>
      <c r="L2531" s="529">
        <v>3</v>
      </c>
      <c r="M2531" s="626">
        <f>IF( OR( ISBLANK(H2531),ISBLANK(I2531), ISBLANK(J2531), ISBLANK(K2531), ISBLANK(L2531) ), "", 1.5*SQRT(   EXP(2.21*(H2531-1)) + EXP(2.21*(I2531-1)) + EXP(2.21*(J2531-1)) + EXP(2.21*(K2531-1)) + EXP(2.21*L2531)   )/100*2.45 )</f>
        <v>1.1666438005107913</v>
      </c>
      <c r="N2531" s="530"/>
    </row>
    <row r="2532" spans="1:14" hidden="1" x14ac:dyDescent="0.2">
      <c r="A2532" s="621" t="s">
        <v>539</v>
      </c>
      <c r="B2532" s="524" t="s">
        <v>550</v>
      </c>
      <c r="C2532" s="247" t="s">
        <v>24</v>
      </c>
      <c r="D2532" s="527" t="s">
        <v>135</v>
      </c>
      <c r="E2532" s="634">
        <v>0</v>
      </c>
      <c r="F2532" s="250"/>
      <c r="G2532" s="251" t="s">
        <v>16</v>
      </c>
      <c r="H2532" s="478"/>
      <c r="I2532" s="478"/>
      <c r="J2532" s="478"/>
      <c r="K2532" s="478"/>
      <c r="L2532" s="471"/>
      <c r="M2532" s="456"/>
      <c r="N2532" s="530"/>
    </row>
    <row r="2533" spans="1:14" hidden="1" x14ac:dyDescent="0.2">
      <c r="A2533" s="621" t="s">
        <v>539</v>
      </c>
      <c r="B2533" s="524" t="s">
        <v>550</v>
      </c>
      <c r="C2533" s="247" t="s">
        <v>25</v>
      </c>
      <c r="D2533" s="527" t="s">
        <v>135</v>
      </c>
      <c r="E2533" s="623">
        <v>0.23552547557312539</v>
      </c>
      <c r="F2533" s="250" t="s">
        <v>551</v>
      </c>
      <c r="G2533" s="528" t="s">
        <v>16</v>
      </c>
      <c r="H2533" s="527">
        <v>1</v>
      </c>
      <c r="I2533" s="527">
        <v>3</v>
      </c>
      <c r="J2533" s="527">
        <v>3</v>
      </c>
      <c r="K2533" s="527">
        <v>3</v>
      </c>
      <c r="L2533" s="529">
        <v>3</v>
      </c>
      <c r="M2533" s="626">
        <f>IF( OR( ISBLANK(H2533),ISBLANK(I2533), ISBLANK(J2533), ISBLANK(K2533), ISBLANK(L2533) ), "", 1.5*SQRT(   EXP(2.21*(H2533-1)) + EXP(2.21*(I2533-1)) + EXP(2.21*(J2533-1)) + EXP(2.21*(K2533-1)) + EXP(2.21*L2533)   )/100*2.45 )</f>
        <v>1.1666438005107913</v>
      </c>
      <c r="N2533" s="530"/>
    </row>
    <row r="2534" spans="1:14" hidden="1" x14ac:dyDescent="0.2">
      <c r="A2534" s="621" t="s">
        <v>539</v>
      </c>
      <c r="B2534" s="524" t="s">
        <v>550</v>
      </c>
      <c r="C2534" s="247" t="s">
        <v>26</v>
      </c>
      <c r="D2534" s="527" t="s">
        <v>135</v>
      </c>
      <c r="E2534" s="623">
        <v>0.2337991525331129</v>
      </c>
      <c r="F2534" s="250" t="s">
        <v>551</v>
      </c>
      <c r="G2534" s="528" t="s">
        <v>16</v>
      </c>
      <c r="H2534" s="527">
        <v>1</v>
      </c>
      <c r="I2534" s="527">
        <v>3</v>
      </c>
      <c r="J2534" s="527">
        <v>3</v>
      </c>
      <c r="K2534" s="527">
        <v>3</v>
      </c>
      <c r="L2534" s="529">
        <v>3</v>
      </c>
      <c r="M2534" s="626">
        <f>IF( OR( ISBLANK(H2534),ISBLANK(I2534), ISBLANK(J2534), ISBLANK(K2534), ISBLANK(L2534) ), "", 1.5*SQRT( EXP(2.21*(H2534-1)) + EXP(2.21*(I2534-1)) + EXP(2.21*(J2534-1)) + EXP(2.21*(K2534-1)) + EXP(2.21*L2534) )/100*2.45 )</f>
        <v>1.1666438005107913</v>
      </c>
      <c r="N2534" s="530"/>
    </row>
    <row r="2535" spans="1:14" hidden="1" x14ac:dyDescent="0.2">
      <c r="A2535" s="621" t="s">
        <v>539</v>
      </c>
      <c r="B2535" s="524" t="s">
        <v>550</v>
      </c>
      <c r="C2535" s="247" t="s">
        <v>27</v>
      </c>
      <c r="D2535" s="527" t="s">
        <v>135</v>
      </c>
      <c r="E2535" s="623">
        <v>0.23313462602921031</v>
      </c>
      <c r="F2535" s="250" t="s">
        <v>551</v>
      </c>
      <c r="G2535" s="528" t="s">
        <v>16</v>
      </c>
      <c r="H2535" s="527">
        <v>1</v>
      </c>
      <c r="I2535" s="527">
        <v>3</v>
      </c>
      <c r="J2535" s="527">
        <v>3</v>
      </c>
      <c r="K2535" s="527">
        <v>3</v>
      </c>
      <c r="L2535" s="529">
        <v>3</v>
      </c>
      <c r="M2535" s="626">
        <f>IF( OR( ISBLANK(H2535),ISBLANK(I2535), ISBLANK(J2535), ISBLANK(K2535), ISBLANK(L2535) ), "", 1.5*SQRT( EXP(2.21*(H2535-1)) + EXP(2.21*(I2535-1)) + EXP(2.21*(J2535-1)) + EXP(2.21*(K2535-1)) + EXP(2.21*L2535) )/100*2.45 )</f>
        <v>1.1666438005107913</v>
      </c>
      <c r="N2535" s="530"/>
    </row>
    <row r="2536" spans="1:14" hidden="1" x14ac:dyDescent="0.2">
      <c r="A2536" s="621" t="s">
        <v>539</v>
      </c>
      <c r="B2536" s="524" t="s">
        <v>550</v>
      </c>
      <c r="C2536" s="247" t="s">
        <v>28</v>
      </c>
      <c r="D2536" s="527" t="s">
        <v>135</v>
      </c>
      <c r="E2536" s="623">
        <v>0.24240093231770021</v>
      </c>
      <c r="F2536" s="250" t="s">
        <v>551</v>
      </c>
      <c r="G2536" s="528" t="s">
        <v>16</v>
      </c>
      <c r="H2536" s="527">
        <v>1</v>
      </c>
      <c r="I2536" s="527">
        <v>3</v>
      </c>
      <c r="J2536" s="527">
        <v>3</v>
      </c>
      <c r="K2536" s="527">
        <v>3</v>
      </c>
      <c r="L2536" s="529">
        <v>3</v>
      </c>
      <c r="M2536" s="626">
        <f>IF( OR( ISBLANK(H2536),ISBLANK(I2536), ISBLANK(J2536), ISBLANK(K2536), ISBLANK(L2536) ), "", 1.5*SQRT( EXP(2.21*(H2536-1)) + EXP(2.21*(I2536-1)) + EXP(2.21*(J2536-1)) + EXP(2.21*(K2536-1)) + EXP(2.21*L2536) )/100*2.45 )</f>
        <v>1.1666438005107913</v>
      </c>
      <c r="N2536" s="530"/>
    </row>
    <row r="2537" spans="1:14" hidden="1" x14ac:dyDescent="0.2">
      <c r="A2537" s="621" t="s">
        <v>539</v>
      </c>
      <c r="B2537" s="524" t="s">
        <v>550</v>
      </c>
      <c r="C2537" s="247" t="s">
        <v>30</v>
      </c>
      <c r="D2537" s="527" t="s">
        <v>135</v>
      </c>
      <c r="E2537" s="623">
        <v>0.23545123128923229</v>
      </c>
      <c r="F2537" s="250" t="s">
        <v>551</v>
      </c>
      <c r="G2537" s="528" t="s">
        <v>16</v>
      </c>
      <c r="H2537" s="527">
        <v>1</v>
      </c>
      <c r="I2537" s="527">
        <v>3</v>
      </c>
      <c r="J2537" s="527">
        <v>3</v>
      </c>
      <c r="K2537" s="527">
        <v>3</v>
      </c>
      <c r="L2537" s="529">
        <v>3</v>
      </c>
      <c r="M2537" s="626">
        <f>IF( OR( ISBLANK(H2537),ISBLANK(I2537), ISBLANK(J2537), ISBLANK(K2537), ISBLANK(L2537) ), "", 1.5*SQRT( EXP(2.21*(H2537-1)) + EXP(2.21*(I2537-1)) + EXP(2.21*(J2537-1)) + EXP(2.21*(K2537-1)) + EXP(2.21*L2537) )/100*2.45 )</f>
        <v>1.1666438005107913</v>
      </c>
      <c r="N2537" s="530"/>
    </row>
    <row r="2538" spans="1:14" hidden="1" x14ac:dyDescent="0.2">
      <c r="A2538" s="621" t="s">
        <v>539</v>
      </c>
      <c r="B2538" s="524" t="s">
        <v>550</v>
      </c>
      <c r="C2538" s="247" t="s">
        <v>32</v>
      </c>
      <c r="D2538" s="527" t="s">
        <v>135</v>
      </c>
      <c r="E2538" s="623">
        <v>0.25798752711973733</v>
      </c>
      <c r="F2538" s="250" t="s">
        <v>551</v>
      </c>
      <c r="G2538" s="528" t="s">
        <v>16</v>
      </c>
      <c r="H2538" s="527">
        <v>1</v>
      </c>
      <c r="I2538" s="527">
        <v>3</v>
      </c>
      <c r="J2538" s="527">
        <v>3</v>
      </c>
      <c r="K2538" s="527">
        <v>3</v>
      </c>
      <c r="L2538" s="529">
        <v>3</v>
      </c>
      <c r="M2538" s="626">
        <f>IF( OR( ISBLANK(H2538),ISBLANK(I2538), ISBLANK(J2538), ISBLANK(K2538), ISBLANK(L2538) ), "", 1.5*SQRT( EXP(2.21*(H2538-1)) + EXP(2.21*(I2538-1)) + EXP(2.21*(J2538-1)) + EXP(2.21*(K2538-1)) + EXP(2.21*L2538) )/100*2.45 )</f>
        <v>1.1666438005107913</v>
      </c>
      <c r="N2538" s="530"/>
    </row>
    <row r="2539" spans="1:14" hidden="1" x14ac:dyDescent="0.2">
      <c r="A2539" s="621" t="s">
        <v>539</v>
      </c>
      <c r="B2539" s="524" t="s">
        <v>550</v>
      </c>
      <c r="C2539" s="247" t="s">
        <v>34</v>
      </c>
      <c r="D2539" s="527" t="s">
        <v>135</v>
      </c>
      <c r="E2539" s="634">
        <v>0</v>
      </c>
      <c r="F2539" s="250"/>
      <c r="G2539" s="251" t="s">
        <v>16</v>
      </c>
      <c r="H2539" s="478"/>
      <c r="I2539" s="478"/>
      <c r="J2539" s="478"/>
      <c r="K2539" s="478"/>
      <c r="L2539" s="471"/>
      <c r="M2539" s="456"/>
      <c r="N2539" s="530"/>
    </row>
    <row r="2540" spans="1:14" hidden="1" x14ac:dyDescent="0.2">
      <c r="A2540" s="621" t="s">
        <v>539</v>
      </c>
      <c r="B2540" s="524" t="s">
        <v>550</v>
      </c>
      <c r="C2540" s="247" t="s">
        <v>36</v>
      </c>
      <c r="D2540" s="527" t="s">
        <v>135</v>
      </c>
      <c r="E2540" s="623">
        <v>0.23476719701367299</v>
      </c>
      <c r="F2540" s="250" t="s">
        <v>551</v>
      </c>
      <c r="G2540" s="528" t="s">
        <v>16</v>
      </c>
      <c r="H2540" s="527">
        <v>1</v>
      </c>
      <c r="I2540" s="527">
        <v>3</v>
      </c>
      <c r="J2540" s="527">
        <v>3</v>
      </c>
      <c r="K2540" s="527">
        <v>3</v>
      </c>
      <c r="L2540" s="529">
        <v>3</v>
      </c>
      <c r="M2540" s="626">
        <f>IF( OR( ISBLANK(H2540),ISBLANK(I2540), ISBLANK(J2540), ISBLANK(K2540), ISBLANK(L2540) ), "", 1.5*SQRT(   EXP(2.21*(H2540-1)) + EXP(2.21*(I2540-1)) + EXP(2.21*(J2540-1)) + EXP(2.21*(K2540-1)) + EXP(2.21*L2540)   )/100*2.45 )</f>
        <v>1.1666438005107913</v>
      </c>
      <c r="N2540" s="530"/>
    </row>
    <row r="2541" spans="1:14" hidden="1" x14ac:dyDescent="0.2">
      <c r="A2541" s="621" t="s">
        <v>539</v>
      </c>
      <c r="B2541" s="524" t="s">
        <v>550</v>
      </c>
      <c r="C2541" s="247" t="s">
        <v>37</v>
      </c>
      <c r="D2541" s="527" t="s">
        <v>135</v>
      </c>
      <c r="E2541" s="623">
        <v>0.24933560088683271</v>
      </c>
      <c r="F2541" s="250" t="s">
        <v>551</v>
      </c>
      <c r="G2541" s="528" t="s">
        <v>16</v>
      </c>
      <c r="H2541" s="527">
        <v>1</v>
      </c>
      <c r="I2541" s="527">
        <v>3</v>
      </c>
      <c r="J2541" s="527">
        <v>3</v>
      </c>
      <c r="K2541" s="527">
        <v>3</v>
      </c>
      <c r="L2541" s="529">
        <v>3</v>
      </c>
      <c r="M2541" s="626">
        <f>IF( OR( ISBLANK(H2541),ISBLANK(I2541), ISBLANK(J2541), ISBLANK(K2541), ISBLANK(L2541) ), "", 1.5*SQRT(   EXP(2.21*(H2541-1)) + EXP(2.21*(I2541-1)) + EXP(2.21*(J2541-1)) + EXP(2.21*(K2541-1)) + EXP(2.21*L2541)   )/100*2.45 )</f>
        <v>1.1666438005107913</v>
      </c>
      <c r="N2541" s="530"/>
    </row>
    <row r="2542" spans="1:14" hidden="1" x14ac:dyDescent="0.2">
      <c r="A2542" s="621" t="s">
        <v>539</v>
      </c>
      <c r="B2542" s="524" t="s">
        <v>550</v>
      </c>
      <c r="C2542" s="247" t="s">
        <v>39</v>
      </c>
      <c r="D2542" s="527" t="s">
        <v>135</v>
      </c>
      <c r="E2542" s="623">
        <v>0.23607295544708831</v>
      </c>
      <c r="F2542" s="250" t="s">
        <v>551</v>
      </c>
      <c r="G2542" s="528" t="s">
        <v>16</v>
      </c>
      <c r="H2542" s="527">
        <v>1</v>
      </c>
      <c r="I2542" s="527">
        <v>3</v>
      </c>
      <c r="J2542" s="527">
        <v>3</v>
      </c>
      <c r="K2542" s="527">
        <v>3</v>
      </c>
      <c r="L2542" s="529">
        <v>3</v>
      </c>
      <c r="M2542" s="626">
        <f>IF( OR( ISBLANK(H2542),ISBLANK(I2542), ISBLANK(J2542), ISBLANK(K2542), ISBLANK(L2542) ), "", 1.5*SQRT(   EXP(2.21*(H2542-1)) + EXP(2.21*(I2542-1)) + EXP(2.21*(J2542-1)) + EXP(2.21*(K2542-1)) + EXP(2.21*L2542)   )/100*2.45 )</f>
        <v>1.1666438005107913</v>
      </c>
      <c r="N2542" s="530"/>
    </row>
    <row r="2543" spans="1:14" hidden="1" x14ac:dyDescent="0.2">
      <c r="A2543" s="621" t="s">
        <v>539</v>
      </c>
      <c r="B2543" s="524" t="s">
        <v>550</v>
      </c>
      <c r="C2543" s="247" t="s">
        <v>40</v>
      </c>
      <c r="D2543" s="527" t="s">
        <v>135</v>
      </c>
      <c r="E2543" s="623">
        <v>0.23637050634065079</v>
      </c>
      <c r="F2543" s="250" t="s">
        <v>551</v>
      </c>
      <c r="G2543" s="528" t="s">
        <v>16</v>
      </c>
      <c r="H2543" s="527">
        <v>1</v>
      </c>
      <c r="I2543" s="527">
        <v>3</v>
      </c>
      <c r="J2543" s="527">
        <v>3</v>
      </c>
      <c r="K2543" s="527">
        <v>3</v>
      </c>
      <c r="L2543" s="529">
        <v>3</v>
      </c>
      <c r="M2543" s="626">
        <f>IF( OR( ISBLANK(H2543),ISBLANK(I2543), ISBLANK(J2543), ISBLANK(K2543), ISBLANK(L2543) ), "", 1.5*SQRT(   EXP(2.21*(H2543-1)) + EXP(2.21*(I2543-1)) + EXP(2.21*(J2543-1)) + EXP(2.21*(K2543-1)) + EXP(2.21*L2543)   )/100*2.45 )</f>
        <v>1.1666438005107913</v>
      </c>
      <c r="N2543" s="530"/>
    </row>
    <row r="2544" spans="1:14" hidden="1" x14ac:dyDescent="0.2">
      <c r="A2544" s="621" t="s">
        <v>539</v>
      </c>
      <c r="B2544" s="524" t="s">
        <v>550</v>
      </c>
      <c r="C2544" s="247" t="s">
        <v>41</v>
      </c>
      <c r="D2544" s="527" t="s">
        <v>135</v>
      </c>
      <c r="E2544" s="634">
        <v>0</v>
      </c>
      <c r="F2544" s="250"/>
      <c r="G2544" s="251" t="s">
        <v>16</v>
      </c>
      <c r="H2544" s="478"/>
      <c r="I2544" s="478"/>
      <c r="J2544" s="478"/>
      <c r="K2544" s="478"/>
      <c r="L2544" s="471"/>
      <c r="M2544" s="456"/>
      <c r="N2544" s="530"/>
    </row>
    <row r="2545" spans="1:14" hidden="1" x14ac:dyDescent="0.2">
      <c r="A2545" s="621" t="s">
        <v>539</v>
      </c>
      <c r="B2545" s="524" t="s">
        <v>550</v>
      </c>
      <c r="C2545" s="247" t="s">
        <v>42</v>
      </c>
      <c r="D2545" s="527" t="s">
        <v>135</v>
      </c>
      <c r="E2545" s="623">
        <v>0.23204850215432871</v>
      </c>
      <c r="F2545" s="250" t="s">
        <v>551</v>
      </c>
      <c r="G2545" s="528" t="s">
        <v>16</v>
      </c>
      <c r="H2545" s="527">
        <v>1</v>
      </c>
      <c r="I2545" s="527">
        <v>3</v>
      </c>
      <c r="J2545" s="527">
        <v>3</v>
      </c>
      <c r="K2545" s="527">
        <v>3</v>
      </c>
      <c r="L2545" s="529">
        <v>3</v>
      </c>
      <c r="M2545" s="626">
        <f>IF( OR( ISBLANK(H2545),ISBLANK(I2545), ISBLANK(J2545), ISBLANK(K2545), ISBLANK(L2545) ), "", 1.5*SQRT(   EXP(2.21*(H2545-1)) + EXP(2.21*(I2545-1)) + EXP(2.21*(J2545-1)) + EXP(2.21*(K2545-1)) + EXP(2.21*L2545)   )/100*2.45 )</f>
        <v>1.1666438005107913</v>
      </c>
      <c r="N2545" s="530"/>
    </row>
    <row r="2546" spans="1:14" hidden="1" x14ac:dyDescent="0.2">
      <c r="A2546" s="621" t="s">
        <v>539</v>
      </c>
      <c r="B2546" s="524" t="s">
        <v>550</v>
      </c>
      <c r="C2546" s="247" t="s">
        <v>43</v>
      </c>
      <c r="D2546" s="527" t="s">
        <v>135</v>
      </c>
      <c r="E2546" s="623">
        <v>0.23797266815164869</v>
      </c>
      <c r="F2546" s="250" t="s">
        <v>551</v>
      </c>
      <c r="G2546" s="528" t="s">
        <v>16</v>
      </c>
      <c r="H2546" s="527">
        <v>1</v>
      </c>
      <c r="I2546" s="527">
        <v>3</v>
      </c>
      <c r="J2546" s="527">
        <v>3</v>
      </c>
      <c r="K2546" s="527">
        <v>3</v>
      </c>
      <c r="L2546" s="529">
        <v>3</v>
      </c>
      <c r="M2546" s="626">
        <f>IF( OR( ISBLANK(H2546),ISBLANK(I2546), ISBLANK(J2546), ISBLANK(K2546), ISBLANK(L2546) ), "", 1.5*SQRT( EXP(2.21*(H2546-1)) + EXP(2.21*(I2546-1)) + EXP(2.21*(J2546-1)) + EXP(2.21*(K2546-1)) + EXP(2.21*L2546) )/100*2.45 )</f>
        <v>1.1666438005107913</v>
      </c>
      <c r="N2546" s="530"/>
    </row>
    <row r="2547" spans="1:14" x14ac:dyDescent="0.2">
      <c r="A2547" s="621" t="s">
        <v>539</v>
      </c>
      <c r="B2547" s="524" t="s">
        <v>550</v>
      </c>
      <c r="C2547" s="247" t="s">
        <v>45</v>
      </c>
      <c r="D2547" s="527" t="s">
        <v>135</v>
      </c>
      <c r="E2547" s="623">
        <v>0.23242970696281859</v>
      </c>
      <c r="F2547" s="250" t="s">
        <v>551</v>
      </c>
      <c r="G2547" s="528" t="s">
        <v>16</v>
      </c>
      <c r="H2547" s="527">
        <v>2</v>
      </c>
      <c r="I2547" s="527">
        <v>3</v>
      </c>
      <c r="J2547" s="527">
        <v>3</v>
      </c>
      <c r="K2547" s="527">
        <v>3</v>
      </c>
      <c r="L2547" s="529">
        <v>3</v>
      </c>
      <c r="M2547" s="626">
        <f>IF( OR( ISBLANK(H2547),ISBLANK(I2547), ISBLANK(J2547), ISBLANK(K2547), ISBLANK(L2547) ), "", 1.5*SQRT( EXP(2.21*(H2547-1)) + EXP(2.21*(I2547-1)) + EXP(2.21*(J2547-1)) + EXP(2.21*(K2547-1)) + EXP(2.21*L2547) )/100*2.45 )</f>
        <v>1.1713319510247036</v>
      </c>
      <c r="N2547" s="530"/>
    </row>
    <row r="2548" spans="1:14" hidden="1" x14ac:dyDescent="0.2">
      <c r="A2548" s="621" t="s">
        <v>539</v>
      </c>
      <c r="B2548" s="524" t="s">
        <v>550</v>
      </c>
      <c r="C2548" s="247" t="s">
        <v>46</v>
      </c>
      <c r="D2548" s="527" t="s">
        <v>135</v>
      </c>
      <c r="E2548" s="623">
        <v>0.24815974126233081</v>
      </c>
      <c r="F2548" s="250" t="s">
        <v>551</v>
      </c>
      <c r="G2548" s="528" t="s">
        <v>16</v>
      </c>
      <c r="H2548" s="527">
        <v>1</v>
      </c>
      <c r="I2548" s="527">
        <v>3</v>
      </c>
      <c r="J2548" s="527">
        <v>3</v>
      </c>
      <c r="K2548" s="527">
        <v>3</v>
      </c>
      <c r="L2548" s="529">
        <v>3</v>
      </c>
      <c r="M2548" s="626">
        <f>IF( OR( ISBLANK(H2548),ISBLANK(I2548), ISBLANK(J2548), ISBLANK(K2548), ISBLANK(L2548) ), "", 1.5*SQRT( EXP(2.21*(H2548-1)) + EXP(2.21*(I2548-1)) + EXP(2.21*(J2548-1)) + EXP(2.21*(K2548-1)) + EXP(2.21*L2548) )/100*2.45 )</f>
        <v>1.1666438005107913</v>
      </c>
      <c r="N2548" s="530"/>
    </row>
    <row r="2549" spans="1:14" hidden="1" x14ac:dyDescent="0.2">
      <c r="A2549" s="621" t="s">
        <v>539</v>
      </c>
      <c r="B2549" s="524" t="s">
        <v>550</v>
      </c>
      <c r="C2549" s="247" t="s">
        <v>48</v>
      </c>
      <c r="D2549" s="527" t="s">
        <v>135</v>
      </c>
      <c r="E2549" s="623">
        <v>0.2448754357765428</v>
      </c>
      <c r="F2549" s="250" t="s">
        <v>551</v>
      </c>
      <c r="G2549" s="528" t="s">
        <v>16</v>
      </c>
      <c r="H2549" s="527">
        <v>1</v>
      </c>
      <c r="I2549" s="527">
        <v>3</v>
      </c>
      <c r="J2549" s="527">
        <v>3</v>
      </c>
      <c r="K2549" s="527">
        <v>3</v>
      </c>
      <c r="L2549" s="529">
        <v>3</v>
      </c>
      <c r="M2549" s="626">
        <f>IF( OR( ISBLANK(H2549),ISBLANK(I2549), ISBLANK(J2549), ISBLANK(K2549), ISBLANK(L2549) ), "", 1.5*SQRT( EXP(2.21*(H2549-1)) + EXP(2.21*(I2549-1)) + EXP(2.21*(J2549-1)) + EXP(2.21*(K2549-1)) + EXP(2.21*L2549) )/100*2.45 )</f>
        <v>1.1666438005107913</v>
      </c>
      <c r="N2549" s="530"/>
    </row>
    <row r="2550" spans="1:14" hidden="1" x14ac:dyDescent="0.2">
      <c r="A2550" s="621" t="s">
        <v>539</v>
      </c>
      <c r="B2550" s="524" t="s">
        <v>550</v>
      </c>
      <c r="C2550" s="247" t="s">
        <v>50</v>
      </c>
      <c r="D2550" s="527" t="s">
        <v>135</v>
      </c>
      <c r="E2550" s="623">
        <v>0.24819542900930261</v>
      </c>
      <c r="F2550" s="250" t="s">
        <v>551</v>
      </c>
      <c r="G2550" s="528" t="s">
        <v>16</v>
      </c>
      <c r="H2550" s="527">
        <v>1</v>
      </c>
      <c r="I2550" s="527">
        <v>3</v>
      </c>
      <c r="J2550" s="527">
        <v>3</v>
      </c>
      <c r="K2550" s="527">
        <v>3</v>
      </c>
      <c r="L2550" s="529">
        <v>3</v>
      </c>
      <c r="M2550" s="626">
        <f>IF( OR( ISBLANK(H2550),ISBLANK(I2550), ISBLANK(J2550), ISBLANK(K2550), ISBLANK(L2550) ), "", 1.5*SQRT( EXP(2.21*(H2550-1)) + EXP(2.21*(I2550-1)) + EXP(2.21*(J2550-1)) + EXP(2.21*(K2550-1)) + EXP(2.21*L2550) )/100*2.45 )</f>
        <v>1.1666438005107913</v>
      </c>
      <c r="N2550" s="530"/>
    </row>
    <row r="2551" spans="1:14" hidden="1" x14ac:dyDescent="0.2">
      <c r="A2551" s="621" t="s">
        <v>539</v>
      </c>
      <c r="B2551" s="524" t="s">
        <v>550</v>
      </c>
      <c r="C2551" s="247" t="s">
        <v>52</v>
      </c>
      <c r="D2551" s="527" t="s">
        <v>135</v>
      </c>
      <c r="E2551" s="634">
        <v>0</v>
      </c>
      <c r="F2551" s="250"/>
      <c r="G2551" s="251" t="s">
        <v>16</v>
      </c>
      <c r="H2551" s="478"/>
      <c r="I2551" s="478"/>
      <c r="J2551" s="478"/>
      <c r="K2551" s="478"/>
      <c r="L2551" s="471"/>
      <c r="M2551" s="456"/>
      <c r="N2551" s="530"/>
    </row>
    <row r="2552" spans="1:14" hidden="1" x14ac:dyDescent="0.2">
      <c r="A2552" s="621" t="s">
        <v>539</v>
      </c>
      <c r="B2552" s="524" t="s">
        <v>550</v>
      </c>
      <c r="C2552" s="247" t="s">
        <v>54</v>
      </c>
      <c r="D2552" s="527" t="s">
        <v>135</v>
      </c>
      <c r="E2552" s="623">
        <v>0.23550585304987071</v>
      </c>
      <c r="F2552" s="250" t="s">
        <v>551</v>
      </c>
      <c r="G2552" s="528" t="s">
        <v>16</v>
      </c>
      <c r="H2552" s="527">
        <v>1</v>
      </c>
      <c r="I2552" s="527">
        <v>3</v>
      </c>
      <c r="J2552" s="527">
        <v>3</v>
      </c>
      <c r="K2552" s="527">
        <v>3</v>
      </c>
      <c r="L2552" s="529">
        <v>3</v>
      </c>
      <c r="M2552" s="626">
        <f>IF( OR( ISBLANK(H2552),ISBLANK(I2552), ISBLANK(J2552), ISBLANK(K2552), ISBLANK(L2552) ), "", 1.5*SQRT(   EXP(2.21*(H2552-1)) + EXP(2.21*(I2552-1)) + EXP(2.21*(J2552-1)) + EXP(2.21*(K2552-1)) + EXP(2.21*L2552)   )/100*2.45 )</f>
        <v>1.1666438005107913</v>
      </c>
      <c r="N2552" s="530"/>
    </row>
    <row r="2553" spans="1:14" hidden="1" x14ac:dyDescent="0.2">
      <c r="A2553" s="621" t="s">
        <v>539</v>
      </c>
      <c r="B2553" s="524" t="s">
        <v>550</v>
      </c>
      <c r="C2553" s="247" t="s">
        <v>55</v>
      </c>
      <c r="D2553" s="527" t="s">
        <v>135</v>
      </c>
      <c r="E2553" s="623">
        <v>0.24013986683110061</v>
      </c>
      <c r="F2553" s="250" t="s">
        <v>551</v>
      </c>
      <c r="G2553" s="528" t="s">
        <v>16</v>
      </c>
      <c r="H2553" s="527">
        <v>1</v>
      </c>
      <c r="I2553" s="527">
        <v>3</v>
      </c>
      <c r="J2553" s="527">
        <v>3</v>
      </c>
      <c r="K2553" s="527">
        <v>3</v>
      </c>
      <c r="L2553" s="529">
        <v>3</v>
      </c>
      <c r="M2553" s="626">
        <f>IF( OR( ISBLANK(H2553),ISBLANK(I2553), ISBLANK(J2553), ISBLANK(K2553), ISBLANK(L2553) ), "", 1.5*SQRT(   EXP(2.21*(H2553-1)) + EXP(2.21*(I2553-1)) + EXP(2.21*(J2553-1)) + EXP(2.21*(K2553-1)) + EXP(2.21*L2553)   )/100*2.45 )</f>
        <v>1.1666438005107913</v>
      </c>
      <c r="N2553" s="530"/>
    </row>
    <row r="2554" spans="1:14" hidden="1" x14ac:dyDescent="0.2">
      <c r="A2554" s="621" t="s">
        <v>539</v>
      </c>
      <c r="B2554" s="524" t="s">
        <v>550</v>
      </c>
      <c r="C2554" s="247" t="s">
        <v>57</v>
      </c>
      <c r="D2554" s="527" t="s">
        <v>135</v>
      </c>
      <c r="E2554" s="623">
        <v>0.23242970696281859</v>
      </c>
      <c r="F2554" s="250" t="s">
        <v>551</v>
      </c>
      <c r="G2554" s="528" t="s">
        <v>16</v>
      </c>
      <c r="H2554" s="527">
        <v>1</v>
      </c>
      <c r="I2554" s="527">
        <v>3</v>
      </c>
      <c r="J2554" s="527">
        <v>3</v>
      </c>
      <c r="K2554" s="527">
        <v>3</v>
      </c>
      <c r="L2554" s="529">
        <v>3</v>
      </c>
      <c r="M2554" s="626">
        <f>IF( OR( ISBLANK(H2554),ISBLANK(I2554), ISBLANK(J2554), ISBLANK(K2554), ISBLANK(L2554) ), "", 1.5*SQRT(   EXP(2.21*(H2554-1)) + EXP(2.21*(I2554-1)) + EXP(2.21*(J2554-1)) + EXP(2.21*(K2554-1)) + EXP(2.21*L2554)   )/100*2.45 )</f>
        <v>1.1666438005107913</v>
      </c>
      <c r="N2554" s="530"/>
    </row>
    <row r="2555" spans="1:14" hidden="1" x14ac:dyDescent="0.2">
      <c r="A2555" s="621" t="s">
        <v>539</v>
      </c>
      <c r="B2555" s="524" t="s">
        <v>550</v>
      </c>
      <c r="C2555" s="247" t="s">
        <v>59</v>
      </c>
      <c r="D2555" s="527" t="s">
        <v>135</v>
      </c>
      <c r="E2555" s="634">
        <v>0</v>
      </c>
      <c r="F2555" s="250"/>
      <c r="G2555" s="251" t="s">
        <v>16</v>
      </c>
      <c r="H2555" s="478"/>
      <c r="I2555" s="478"/>
      <c r="J2555" s="478"/>
      <c r="K2555" s="478"/>
      <c r="L2555" s="471"/>
      <c r="M2555" s="456"/>
      <c r="N2555" s="530"/>
    </row>
    <row r="2556" spans="1:14" hidden="1" x14ac:dyDescent="0.2">
      <c r="A2556" s="621" t="s">
        <v>539</v>
      </c>
      <c r="B2556" s="524" t="s">
        <v>550</v>
      </c>
      <c r="C2556" s="247" t="s">
        <v>60</v>
      </c>
      <c r="D2556" s="527" t="s">
        <v>135</v>
      </c>
      <c r="E2556" s="627">
        <v>0.23860770349487051</v>
      </c>
      <c r="F2556" s="250" t="s">
        <v>551</v>
      </c>
      <c r="G2556" s="528" t="s">
        <v>16</v>
      </c>
      <c r="H2556" s="519">
        <v>2</v>
      </c>
      <c r="I2556" s="527">
        <v>3</v>
      </c>
      <c r="J2556" s="527">
        <v>3</v>
      </c>
      <c r="K2556" s="527">
        <v>3</v>
      </c>
      <c r="L2556" s="529">
        <v>3</v>
      </c>
      <c r="M2556" s="521">
        <f>IF( OR( ISBLANK(H2556),ISBLANK(I2556), ISBLANK(J2556), ISBLANK(K2556), ISBLANK(L2556) ), "", 1.5*SQRT(   EXP(2.21*(H2556-1)) + EXP(2.21*(I2556-1)) + EXP(2.21*(J2556-1)) + EXP(2.21*(K2556-1)) + EXP(2.21*L2556)   )/100*2.45 )</f>
        <v>1.1713319510247036</v>
      </c>
      <c r="N2556" s="522"/>
    </row>
    <row r="2557" spans="1:14" hidden="1" x14ac:dyDescent="0.2">
      <c r="A2557" s="621" t="s">
        <v>539</v>
      </c>
      <c r="B2557" s="524" t="s">
        <v>482</v>
      </c>
      <c r="C2557" s="247" t="s">
        <v>13</v>
      </c>
      <c r="D2557" s="527" t="s">
        <v>135</v>
      </c>
      <c r="E2557" s="634">
        <v>0</v>
      </c>
      <c r="F2557" s="250"/>
      <c r="G2557" s="251" t="s">
        <v>16</v>
      </c>
      <c r="H2557" s="478"/>
      <c r="I2557" s="478"/>
      <c r="J2557" s="478"/>
      <c r="K2557" s="478"/>
      <c r="L2557" s="471"/>
      <c r="M2557" s="456"/>
      <c r="N2557" s="530"/>
    </row>
    <row r="2558" spans="1:14" hidden="1" x14ac:dyDescent="0.2">
      <c r="A2558" s="621" t="s">
        <v>539</v>
      </c>
      <c r="B2558" s="524" t="s">
        <v>482</v>
      </c>
      <c r="C2558" s="247" t="s">
        <v>18</v>
      </c>
      <c r="D2558" s="527" t="s">
        <v>135</v>
      </c>
      <c r="E2558" s="623">
        <v>2.7242628729857481E-2</v>
      </c>
      <c r="F2558" s="250" t="s">
        <v>551</v>
      </c>
      <c r="G2558" s="528" t="s">
        <v>16</v>
      </c>
      <c r="H2558" s="527">
        <v>1</v>
      </c>
      <c r="I2558" s="527">
        <v>3</v>
      </c>
      <c r="J2558" s="527">
        <v>3</v>
      </c>
      <c r="K2558" s="527">
        <v>3</v>
      </c>
      <c r="L2558" s="529">
        <v>3</v>
      </c>
      <c r="M2558" s="626">
        <f>IF( OR( ISBLANK(H2558),ISBLANK(I2558), ISBLANK(J2558), ISBLANK(K2558), ISBLANK(L2558) ), "", 1.5*SQRT(   EXP(2.21*(H2558-1)) + EXP(2.21*(I2558-1)) + EXP(2.21*(J2558-1)) + EXP(2.21*(K2558-1)) + EXP(2.21*L2558)   )/100*2.45 )</f>
        <v>1.1666438005107913</v>
      </c>
      <c r="N2558" s="530"/>
    </row>
    <row r="2559" spans="1:14" hidden="1" x14ac:dyDescent="0.2">
      <c r="A2559" s="621" t="s">
        <v>539</v>
      </c>
      <c r="B2559" s="524" t="s">
        <v>482</v>
      </c>
      <c r="C2559" s="247" t="s">
        <v>20</v>
      </c>
      <c r="D2559" s="527" t="s">
        <v>135</v>
      </c>
      <c r="E2559" s="623">
        <v>2.772843599499494E-2</v>
      </c>
      <c r="F2559" s="250" t="s">
        <v>551</v>
      </c>
      <c r="G2559" s="528" t="s">
        <v>16</v>
      </c>
      <c r="H2559" s="527">
        <v>1</v>
      </c>
      <c r="I2559" s="527">
        <v>3</v>
      </c>
      <c r="J2559" s="527">
        <v>3</v>
      </c>
      <c r="K2559" s="527">
        <v>3</v>
      </c>
      <c r="L2559" s="529">
        <v>3</v>
      </c>
      <c r="M2559" s="626">
        <f>IF( OR( ISBLANK(H2559),ISBLANK(I2559), ISBLANK(J2559), ISBLANK(K2559), ISBLANK(L2559) ), "", 1.5*SQRT(   EXP(2.21*(H2559-1)) + EXP(2.21*(I2559-1)) + EXP(2.21*(J2559-1)) + EXP(2.21*(K2559-1)) + EXP(2.21*L2559)   )/100*2.45 )</f>
        <v>1.1666438005107913</v>
      </c>
      <c r="N2559" s="530"/>
    </row>
    <row r="2560" spans="1:14" hidden="1" x14ac:dyDescent="0.2">
      <c r="A2560" s="621" t="s">
        <v>539</v>
      </c>
      <c r="B2560" s="524" t="s">
        <v>482</v>
      </c>
      <c r="C2560" s="247" t="s">
        <v>22</v>
      </c>
      <c r="D2560" s="527" t="s">
        <v>135</v>
      </c>
      <c r="E2560" s="623">
        <v>2.682161786704609E-2</v>
      </c>
      <c r="F2560" s="250" t="s">
        <v>551</v>
      </c>
      <c r="G2560" s="528" t="s">
        <v>16</v>
      </c>
      <c r="H2560" s="527">
        <v>1</v>
      </c>
      <c r="I2560" s="527">
        <v>3</v>
      </c>
      <c r="J2560" s="527">
        <v>3</v>
      </c>
      <c r="K2560" s="527">
        <v>3</v>
      </c>
      <c r="L2560" s="529">
        <v>3</v>
      </c>
      <c r="M2560" s="626">
        <f>IF( OR( ISBLANK(H2560),ISBLANK(I2560), ISBLANK(J2560), ISBLANK(K2560), ISBLANK(L2560) ), "", 1.5*SQRT(   EXP(2.21*(H2560-1)) + EXP(2.21*(I2560-1)) + EXP(2.21*(J2560-1)) + EXP(2.21*(K2560-1)) + EXP(2.21*L2560)   )/100*2.45 )</f>
        <v>1.1666438005107913</v>
      </c>
      <c r="N2560" s="530"/>
    </row>
    <row r="2561" spans="1:14" hidden="1" x14ac:dyDescent="0.2">
      <c r="A2561" s="621" t="s">
        <v>539</v>
      </c>
      <c r="B2561" s="524" t="s">
        <v>482</v>
      </c>
      <c r="C2561" s="247" t="s">
        <v>23</v>
      </c>
      <c r="D2561" s="527" t="s">
        <v>135</v>
      </c>
      <c r="E2561" s="623">
        <v>2.6832353516546E-2</v>
      </c>
      <c r="F2561" s="250" t="s">
        <v>551</v>
      </c>
      <c r="G2561" s="528" t="s">
        <v>16</v>
      </c>
      <c r="H2561" s="527">
        <v>1</v>
      </c>
      <c r="I2561" s="527">
        <v>3</v>
      </c>
      <c r="J2561" s="527">
        <v>3</v>
      </c>
      <c r="K2561" s="527">
        <v>3</v>
      </c>
      <c r="L2561" s="529">
        <v>3</v>
      </c>
      <c r="M2561" s="626">
        <f>IF( OR( ISBLANK(H2561),ISBLANK(I2561), ISBLANK(J2561), ISBLANK(K2561), ISBLANK(L2561) ), "", 1.5*SQRT(   EXP(2.21*(H2561-1)) + EXP(2.21*(I2561-1)) + EXP(2.21*(J2561-1)) + EXP(2.21*(K2561-1)) + EXP(2.21*L2561)   )/100*2.45 )</f>
        <v>1.1666438005107913</v>
      </c>
      <c r="N2561" s="530"/>
    </row>
    <row r="2562" spans="1:14" hidden="1" x14ac:dyDescent="0.2">
      <c r="A2562" s="621" t="s">
        <v>539</v>
      </c>
      <c r="B2562" s="524" t="s">
        <v>482</v>
      </c>
      <c r="C2562" s="247" t="s">
        <v>24</v>
      </c>
      <c r="D2562" s="527" t="s">
        <v>135</v>
      </c>
      <c r="E2562" s="634">
        <v>0</v>
      </c>
      <c r="F2562" s="250"/>
      <c r="G2562" s="251" t="s">
        <v>16</v>
      </c>
      <c r="H2562" s="478"/>
      <c r="I2562" s="478"/>
      <c r="J2562" s="478"/>
      <c r="K2562" s="478"/>
      <c r="L2562" s="471"/>
      <c r="M2562" s="456"/>
      <c r="N2562" s="530"/>
    </row>
    <row r="2563" spans="1:14" hidden="1" x14ac:dyDescent="0.2">
      <c r="A2563" s="621" t="s">
        <v>539</v>
      </c>
      <c r="B2563" s="524" t="s">
        <v>482</v>
      </c>
      <c r="C2563" s="247" t="s">
        <v>25</v>
      </c>
      <c r="D2563" s="527" t="s">
        <v>135</v>
      </c>
      <c r="E2563" s="623">
        <v>2.6169497285902819E-2</v>
      </c>
      <c r="F2563" s="250" t="s">
        <v>551</v>
      </c>
      <c r="G2563" s="528" t="s">
        <v>16</v>
      </c>
      <c r="H2563" s="527">
        <v>1</v>
      </c>
      <c r="I2563" s="527">
        <v>3</v>
      </c>
      <c r="J2563" s="527">
        <v>3</v>
      </c>
      <c r="K2563" s="527">
        <v>3</v>
      </c>
      <c r="L2563" s="529">
        <v>3</v>
      </c>
      <c r="M2563" s="626">
        <f>IF( OR( ISBLANK(H2563),ISBLANK(I2563), ISBLANK(J2563), ISBLANK(K2563), ISBLANK(L2563) ), "", 1.5*SQRT(   EXP(2.21*(H2563-1)) + EXP(2.21*(I2563-1)) + EXP(2.21*(J2563-1)) + EXP(2.21*(K2563-1)) + EXP(2.21*L2563)   )/100*2.45 )</f>
        <v>1.1666438005107913</v>
      </c>
      <c r="N2563" s="530"/>
    </row>
    <row r="2564" spans="1:14" hidden="1" x14ac:dyDescent="0.2">
      <c r="A2564" s="621" t="s">
        <v>539</v>
      </c>
      <c r="B2564" s="524" t="s">
        <v>482</v>
      </c>
      <c r="C2564" s="247" t="s">
        <v>26</v>
      </c>
      <c r="D2564" s="527" t="s">
        <v>135</v>
      </c>
      <c r="E2564" s="623">
        <v>2.5977683614790331E-2</v>
      </c>
      <c r="F2564" s="250" t="s">
        <v>551</v>
      </c>
      <c r="G2564" s="528" t="s">
        <v>16</v>
      </c>
      <c r="H2564" s="527">
        <v>1</v>
      </c>
      <c r="I2564" s="527">
        <v>3</v>
      </c>
      <c r="J2564" s="527">
        <v>3</v>
      </c>
      <c r="K2564" s="527">
        <v>3</v>
      </c>
      <c r="L2564" s="529">
        <v>3</v>
      </c>
      <c r="M2564" s="626">
        <f>IF( OR( ISBLANK(H2564),ISBLANK(I2564), ISBLANK(J2564), ISBLANK(K2564), ISBLANK(L2564) ), "", 1.5*SQRT( EXP(2.21*(H2564-1)) + EXP(2.21*(I2564-1)) + EXP(2.21*(J2564-1)) + EXP(2.21*(K2564-1)) + EXP(2.21*L2564) )/100*2.45 )</f>
        <v>1.1666438005107913</v>
      </c>
      <c r="N2564" s="530"/>
    </row>
    <row r="2565" spans="1:14" hidden="1" x14ac:dyDescent="0.2">
      <c r="A2565" s="621" t="s">
        <v>539</v>
      </c>
      <c r="B2565" s="524" t="s">
        <v>482</v>
      </c>
      <c r="C2565" s="247" t="s">
        <v>27</v>
      </c>
      <c r="D2565" s="527" t="s">
        <v>135</v>
      </c>
      <c r="E2565" s="623">
        <v>2.5903847336578929E-2</v>
      </c>
      <c r="F2565" s="250" t="s">
        <v>551</v>
      </c>
      <c r="G2565" s="528" t="s">
        <v>16</v>
      </c>
      <c r="H2565" s="527">
        <v>1</v>
      </c>
      <c r="I2565" s="527">
        <v>3</v>
      </c>
      <c r="J2565" s="527">
        <v>3</v>
      </c>
      <c r="K2565" s="527">
        <v>3</v>
      </c>
      <c r="L2565" s="529">
        <v>3</v>
      </c>
      <c r="M2565" s="626">
        <f>IF( OR( ISBLANK(H2565),ISBLANK(I2565), ISBLANK(J2565), ISBLANK(K2565), ISBLANK(L2565) ), "", 1.5*SQRT( EXP(2.21*(H2565-1)) + EXP(2.21*(I2565-1)) + EXP(2.21*(J2565-1)) + EXP(2.21*(K2565-1)) + EXP(2.21*L2565) )/100*2.45 )</f>
        <v>1.1666438005107913</v>
      </c>
      <c r="N2565" s="530"/>
    </row>
    <row r="2566" spans="1:14" hidden="1" x14ac:dyDescent="0.2">
      <c r="A2566" s="621" t="s">
        <v>539</v>
      </c>
      <c r="B2566" s="524" t="s">
        <v>482</v>
      </c>
      <c r="C2566" s="247" t="s">
        <v>28</v>
      </c>
      <c r="D2566" s="527" t="s">
        <v>135</v>
      </c>
      <c r="E2566" s="623">
        <v>2.6933436924188911E-2</v>
      </c>
      <c r="F2566" s="250" t="s">
        <v>551</v>
      </c>
      <c r="G2566" s="528" t="s">
        <v>16</v>
      </c>
      <c r="H2566" s="527">
        <v>1</v>
      </c>
      <c r="I2566" s="527">
        <v>3</v>
      </c>
      <c r="J2566" s="527">
        <v>3</v>
      </c>
      <c r="K2566" s="527">
        <v>3</v>
      </c>
      <c r="L2566" s="529">
        <v>3</v>
      </c>
      <c r="M2566" s="626">
        <f>IF( OR( ISBLANK(H2566),ISBLANK(I2566), ISBLANK(J2566), ISBLANK(K2566), ISBLANK(L2566) ), "", 1.5*SQRT( EXP(2.21*(H2566-1)) + EXP(2.21*(I2566-1)) + EXP(2.21*(J2566-1)) + EXP(2.21*(K2566-1)) + EXP(2.21*L2566) )/100*2.45 )</f>
        <v>1.1666438005107913</v>
      </c>
      <c r="N2566" s="530"/>
    </row>
    <row r="2567" spans="1:14" hidden="1" x14ac:dyDescent="0.2">
      <c r="A2567" s="621" t="s">
        <v>539</v>
      </c>
      <c r="B2567" s="524" t="s">
        <v>482</v>
      </c>
      <c r="C2567" s="247" t="s">
        <v>30</v>
      </c>
      <c r="D2567" s="527" t="s">
        <v>135</v>
      </c>
      <c r="E2567" s="623">
        <v>2.616124792102581E-2</v>
      </c>
      <c r="F2567" s="250" t="s">
        <v>551</v>
      </c>
      <c r="G2567" s="528" t="s">
        <v>16</v>
      </c>
      <c r="H2567" s="527">
        <v>1</v>
      </c>
      <c r="I2567" s="527">
        <v>3</v>
      </c>
      <c r="J2567" s="527">
        <v>3</v>
      </c>
      <c r="K2567" s="527">
        <v>3</v>
      </c>
      <c r="L2567" s="529">
        <v>3</v>
      </c>
      <c r="M2567" s="626">
        <f>IF( OR( ISBLANK(H2567),ISBLANK(I2567), ISBLANK(J2567), ISBLANK(K2567), ISBLANK(L2567) ), "", 1.5*SQRT( EXP(2.21*(H2567-1)) + EXP(2.21*(I2567-1)) + EXP(2.21*(J2567-1)) + EXP(2.21*(K2567-1)) + EXP(2.21*L2567) )/100*2.45 )</f>
        <v>1.1666438005107913</v>
      </c>
      <c r="N2567" s="530"/>
    </row>
    <row r="2568" spans="1:14" hidden="1" x14ac:dyDescent="0.2">
      <c r="A2568" s="621" t="s">
        <v>539</v>
      </c>
      <c r="B2568" s="524" t="s">
        <v>482</v>
      </c>
      <c r="C2568" s="247" t="s">
        <v>32</v>
      </c>
      <c r="D2568" s="527" t="s">
        <v>135</v>
      </c>
      <c r="E2568" s="623">
        <v>2.866528079108192E-2</v>
      </c>
      <c r="F2568" s="250" t="s">
        <v>551</v>
      </c>
      <c r="G2568" s="528" t="s">
        <v>16</v>
      </c>
      <c r="H2568" s="527">
        <v>1</v>
      </c>
      <c r="I2568" s="527">
        <v>3</v>
      </c>
      <c r="J2568" s="527">
        <v>3</v>
      </c>
      <c r="K2568" s="527">
        <v>3</v>
      </c>
      <c r="L2568" s="529">
        <v>3</v>
      </c>
      <c r="M2568" s="626">
        <f>IF( OR( ISBLANK(H2568),ISBLANK(I2568), ISBLANK(J2568), ISBLANK(K2568), ISBLANK(L2568) ), "", 1.5*SQRT( EXP(2.21*(H2568-1)) + EXP(2.21*(I2568-1)) + EXP(2.21*(J2568-1)) + EXP(2.21*(K2568-1)) + EXP(2.21*L2568) )/100*2.45 )</f>
        <v>1.1666438005107913</v>
      </c>
      <c r="N2568" s="530"/>
    </row>
    <row r="2569" spans="1:14" hidden="1" x14ac:dyDescent="0.2">
      <c r="A2569" s="621" t="s">
        <v>539</v>
      </c>
      <c r="B2569" s="524" t="s">
        <v>482</v>
      </c>
      <c r="C2569" s="247" t="s">
        <v>34</v>
      </c>
      <c r="D2569" s="527" t="s">
        <v>135</v>
      </c>
      <c r="E2569" s="634">
        <v>0</v>
      </c>
      <c r="F2569" s="250"/>
      <c r="G2569" s="251" t="s">
        <v>16</v>
      </c>
      <c r="H2569" s="478"/>
      <c r="I2569" s="478"/>
      <c r="J2569" s="478"/>
      <c r="K2569" s="478"/>
      <c r="L2569" s="471"/>
      <c r="M2569" s="456"/>
      <c r="N2569" s="530"/>
    </row>
    <row r="2570" spans="1:14" hidden="1" x14ac:dyDescent="0.2">
      <c r="A2570" s="621" t="s">
        <v>539</v>
      </c>
      <c r="B2570" s="524" t="s">
        <v>482</v>
      </c>
      <c r="C2570" s="247" t="s">
        <v>36</v>
      </c>
      <c r="D2570" s="527" t="s">
        <v>135</v>
      </c>
      <c r="E2570" s="623">
        <v>2.608524411263034E-2</v>
      </c>
      <c r="F2570" s="250" t="s">
        <v>551</v>
      </c>
      <c r="G2570" s="528" t="s">
        <v>16</v>
      </c>
      <c r="H2570" s="527">
        <v>1</v>
      </c>
      <c r="I2570" s="527">
        <v>3</v>
      </c>
      <c r="J2570" s="527">
        <v>3</v>
      </c>
      <c r="K2570" s="527">
        <v>3</v>
      </c>
      <c r="L2570" s="529">
        <v>3</v>
      </c>
      <c r="M2570" s="626">
        <f>IF( OR( ISBLANK(H2570),ISBLANK(I2570), ISBLANK(J2570), ISBLANK(K2570), ISBLANK(L2570) ), "", 1.5*SQRT(   EXP(2.21*(H2570-1)) + EXP(2.21*(I2570-1)) + EXP(2.21*(J2570-1)) + EXP(2.21*(K2570-1)) + EXP(2.21*L2570)   )/100*2.45 )</f>
        <v>1.1666438005107913</v>
      </c>
      <c r="N2570" s="530"/>
    </row>
    <row r="2571" spans="1:14" hidden="1" x14ac:dyDescent="0.2">
      <c r="A2571" s="621" t="s">
        <v>539</v>
      </c>
      <c r="B2571" s="524" t="s">
        <v>482</v>
      </c>
      <c r="C2571" s="247" t="s">
        <v>37</v>
      </c>
      <c r="D2571" s="527" t="s">
        <v>135</v>
      </c>
      <c r="E2571" s="623">
        <v>2.7703955654092519E-2</v>
      </c>
      <c r="F2571" s="250" t="s">
        <v>551</v>
      </c>
      <c r="G2571" s="528" t="s">
        <v>16</v>
      </c>
      <c r="H2571" s="527">
        <v>1</v>
      </c>
      <c r="I2571" s="527">
        <v>3</v>
      </c>
      <c r="J2571" s="527">
        <v>3</v>
      </c>
      <c r="K2571" s="527">
        <v>3</v>
      </c>
      <c r="L2571" s="529">
        <v>3</v>
      </c>
      <c r="M2571" s="626">
        <f>IF( OR( ISBLANK(H2571),ISBLANK(I2571), ISBLANK(J2571), ISBLANK(K2571), ISBLANK(L2571) ), "", 1.5*SQRT(   EXP(2.21*(H2571-1)) + EXP(2.21*(I2571-1)) + EXP(2.21*(J2571-1)) + EXP(2.21*(K2571-1)) + EXP(2.21*L2571)   )/100*2.45 )</f>
        <v>1.1666438005107913</v>
      </c>
      <c r="N2571" s="530"/>
    </row>
    <row r="2572" spans="1:14" hidden="1" x14ac:dyDescent="0.2">
      <c r="A2572" s="621" t="s">
        <v>539</v>
      </c>
      <c r="B2572" s="524" t="s">
        <v>482</v>
      </c>
      <c r="C2572" s="247" t="s">
        <v>39</v>
      </c>
      <c r="D2572" s="527" t="s">
        <v>135</v>
      </c>
      <c r="E2572" s="623">
        <v>2.6230328383009819E-2</v>
      </c>
      <c r="F2572" s="250" t="s">
        <v>551</v>
      </c>
      <c r="G2572" s="528" t="s">
        <v>16</v>
      </c>
      <c r="H2572" s="527">
        <v>1</v>
      </c>
      <c r="I2572" s="527">
        <v>3</v>
      </c>
      <c r="J2572" s="527">
        <v>3</v>
      </c>
      <c r="K2572" s="527">
        <v>3</v>
      </c>
      <c r="L2572" s="529">
        <v>3</v>
      </c>
      <c r="M2572" s="626">
        <f>IF( OR( ISBLANK(H2572),ISBLANK(I2572), ISBLANK(J2572), ISBLANK(K2572), ISBLANK(L2572) ), "", 1.5*SQRT(   EXP(2.21*(H2572-1)) + EXP(2.21*(I2572-1)) + EXP(2.21*(J2572-1)) + EXP(2.21*(K2572-1)) + EXP(2.21*L2572)   )/100*2.45 )</f>
        <v>1.1666438005107913</v>
      </c>
      <c r="N2572" s="530"/>
    </row>
    <row r="2573" spans="1:14" hidden="1" x14ac:dyDescent="0.2">
      <c r="A2573" s="621" t="s">
        <v>539</v>
      </c>
      <c r="B2573" s="524" t="s">
        <v>482</v>
      </c>
      <c r="C2573" s="247" t="s">
        <v>40</v>
      </c>
      <c r="D2573" s="527" t="s">
        <v>135</v>
      </c>
      <c r="E2573" s="623">
        <v>2.6263389593405639E-2</v>
      </c>
      <c r="F2573" s="250" t="s">
        <v>551</v>
      </c>
      <c r="G2573" s="528" t="s">
        <v>16</v>
      </c>
      <c r="H2573" s="527">
        <v>1</v>
      </c>
      <c r="I2573" s="527">
        <v>3</v>
      </c>
      <c r="J2573" s="527">
        <v>3</v>
      </c>
      <c r="K2573" s="527">
        <v>3</v>
      </c>
      <c r="L2573" s="529">
        <v>3</v>
      </c>
      <c r="M2573" s="626">
        <f>IF( OR( ISBLANK(H2573),ISBLANK(I2573), ISBLANK(J2573), ISBLANK(K2573), ISBLANK(L2573) ), "", 1.5*SQRT(   EXP(2.21*(H2573-1)) + EXP(2.21*(I2573-1)) + EXP(2.21*(J2573-1)) + EXP(2.21*(K2573-1)) + EXP(2.21*L2573)   )/100*2.45 )</f>
        <v>1.1666438005107913</v>
      </c>
      <c r="N2573" s="530"/>
    </row>
    <row r="2574" spans="1:14" hidden="1" x14ac:dyDescent="0.2">
      <c r="A2574" s="621" t="s">
        <v>539</v>
      </c>
      <c r="B2574" s="524" t="s">
        <v>482</v>
      </c>
      <c r="C2574" s="247" t="s">
        <v>41</v>
      </c>
      <c r="D2574" s="527" t="s">
        <v>135</v>
      </c>
      <c r="E2574" s="634">
        <v>0</v>
      </c>
      <c r="F2574" s="250"/>
      <c r="G2574" s="251" t="s">
        <v>16</v>
      </c>
      <c r="H2574" s="478"/>
      <c r="I2574" s="478"/>
      <c r="J2574" s="478"/>
      <c r="K2574" s="478"/>
      <c r="L2574" s="471"/>
      <c r="M2574" s="456"/>
      <c r="N2574" s="530"/>
    </row>
    <row r="2575" spans="1:14" hidden="1" x14ac:dyDescent="0.2">
      <c r="A2575" s="621" t="s">
        <v>539</v>
      </c>
      <c r="B2575" s="524" t="s">
        <v>482</v>
      </c>
      <c r="C2575" s="247" t="s">
        <v>42</v>
      </c>
      <c r="D2575" s="527" t="s">
        <v>135</v>
      </c>
      <c r="E2575" s="623">
        <v>2.578316690603653E-2</v>
      </c>
      <c r="F2575" s="250" t="s">
        <v>551</v>
      </c>
      <c r="G2575" s="528" t="s">
        <v>16</v>
      </c>
      <c r="H2575" s="527">
        <v>1</v>
      </c>
      <c r="I2575" s="527">
        <v>3</v>
      </c>
      <c r="J2575" s="527">
        <v>3</v>
      </c>
      <c r="K2575" s="527">
        <v>3</v>
      </c>
      <c r="L2575" s="529">
        <v>3</v>
      </c>
      <c r="M2575" s="626">
        <f>IF( OR( ISBLANK(H2575),ISBLANK(I2575), ISBLANK(J2575), ISBLANK(K2575), ISBLANK(L2575) ), "", 1.5*SQRT(   EXP(2.21*(H2575-1)) + EXP(2.21*(I2575-1)) + EXP(2.21*(J2575-1)) + EXP(2.21*(K2575-1)) + EXP(2.21*L2575)   )/100*2.45 )</f>
        <v>1.1666438005107913</v>
      </c>
      <c r="N2575" s="530"/>
    </row>
    <row r="2576" spans="1:14" hidden="1" x14ac:dyDescent="0.2">
      <c r="A2576" s="621" t="s">
        <v>539</v>
      </c>
      <c r="B2576" s="524" t="s">
        <v>482</v>
      </c>
      <c r="C2576" s="247" t="s">
        <v>43</v>
      </c>
      <c r="D2576" s="527" t="s">
        <v>135</v>
      </c>
      <c r="E2576" s="623">
        <v>2.6441407572405411E-2</v>
      </c>
      <c r="F2576" s="250" t="s">
        <v>551</v>
      </c>
      <c r="G2576" s="528" t="s">
        <v>16</v>
      </c>
      <c r="H2576" s="527">
        <v>1</v>
      </c>
      <c r="I2576" s="527">
        <v>3</v>
      </c>
      <c r="J2576" s="527">
        <v>3</v>
      </c>
      <c r="K2576" s="527">
        <v>3</v>
      </c>
      <c r="L2576" s="529">
        <v>3</v>
      </c>
      <c r="M2576" s="626">
        <f>IF( OR( ISBLANK(H2576),ISBLANK(I2576), ISBLANK(J2576), ISBLANK(K2576), ISBLANK(L2576) ), "", 1.5*SQRT( EXP(2.21*(H2576-1)) + EXP(2.21*(I2576-1)) + EXP(2.21*(J2576-1)) + EXP(2.21*(K2576-1)) + EXP(2.21*L2576) )/100*2.45 )</f>
        <v>1.1666438005107913</v>
      </c>
      <c r="N2576" s="530"/>
    </row>
    <row r="2577" spans="1:14" x14ac:dyDescent="0.2">
      <c r="A2577" s="621" t="s">
        <v>539</v>
      </c>
      <c r="B2577" s="524" t="s">
        <v>482</v>
      </c>
      <c r="C2577" s="247" t="s">
        <v>45</v>
      </c>
      <c r="D2577" s="527" t="s">
        <v>135</v>
      </c>
      <c r="E2577" s="623">
        <v>2.5825522995868731E-2</v>
      </c>
      <c r="F2577" s="250" t="s">
        <v>551</v>
      </c>
      <c r="G2577" s="528" t="s">
        <v>16</v>
      </c>
      <c r="H2577" s="527">
        <v>2</v>
      </c>
      <c r="I2577" s="527">
        <v>3</v>
      </c>
      <c r="J2577" s="527">
        <v>3</v>
      </c>
      <c r="K2577" s="527">
        <v>3</v>
      </c>
      <c r="L2577" s="529">
        <v>3</v>
      </c>
      <c r="M2577" s="626">
        <f>IF( OR( ISBLANK(H2577),ISBLANK(I2577), ISBLANK(J2577), ISBLANK(K2577), ISBLANK(L2577) ), "", 1.5*SQRT( EXP(2.21*(H2577-1)) + EXP(2.21*(I2577-1)) + EXP(2.21*(J2577-1)) + EXP(2.21*(K2577-1)) + EXP(2.21*L2577) )/100*2.45 )</f>
        <v>1.1713319510247036</v>
      </c>
      <c r="N2577" s="530"/>
    </row>
    <row r="2578" spans="1:14" hidden="1" x14ac:dyDescent="0.2">
      <c r="A2578" s="621" t="s">
        <v>539</v>
      </c>
      <c r="B2578" s="524" t="s">
        <v>482</v>
      </c>
      <c r="C2578" s="247" t="s">
        <v>46</v>
      </c>
      <c r="D2578" s="527" t="s">
        <v>135</v>
      </c>
      <c r="E2578" s="623">
        <v>2.7573304584703421E-2</v>
      </c>
      <c r="F2578" s="250" t="s">
        <v>551</v>
      </c>
      <c r="G2578" s="528" t="s">
        <v>16</v>
      </c>
      <c r="H2578" s="527">
        <v>1</v>
      </c>
      <c r="I2578" s="527">
        <v>3</v>
      </c>
      <c r="J2578" s="527">
        <v>3</v>
      </c>
      <c r="K2578" s="527">
        <v>3</v>
      </c>
      <c r="L2578" s="529">
        <v>3</v>
      </c>
      <c r="M2578" s="626">
        <f>IF( OR( ISBLANK(H2578),ISBLANK(I2578), ISBLANK(J2578), ISBLANK(K2578), ISBLANK(L2578) ), "", 1.5*SQRT( EXP(2.21*(H2578-1)) + EXP(2.21*(I2578-1)) + EXP(2.21*(J2578-1)) + EXP(2.21*(K2578-1)) + EXP(2.21*L2578) )/100*2.45 )</f>
        <v>1.1666438005107913</v>
      </c>
      <c r="N2578" s="530"/>
    </row>
    <row r="2579" spans="1:14" hidden="1" x14ac:dyDescent="0.2">
      <c r="A2579" s="621" t="s">
        <v>539</v>
      </c>
      <c r="B2579" s="524" t="s">
        <v>482</v>
      </c>
      <c r="C2579" s="247" t="s">
        <v>48</v>
      </c>
      <c r="D2579" s="527" t="s">
        <v>135</v>
      </c>
      <c r="E2579" s="623">
        <v>2.72083817529492E-2</v>
      </c>
      <c r="F2579" s="250" t="s">
        <v>551</v>
      </c>
      <c r="G2579" s="528" t="s">
        <v>16</v>
      </c>
      <c r="H2579" s="527">
        <v>1</v>
      </c>
      <c r="I2579" s="527">
        <v>3</v>
      </c>
      <c r="J2579" s="527">
        <v>3</v>
      </c>
      <c r="K2579" s="527">
        <v>3</v>
      </c>
      <c r="L2579" s="529">
        <v>3</v>
      </c>
      <c r="M2579" s="626">
        <f>IF( OR( ISBLANK(H2579),ISBLANK(I2579), ISBLANK(J2579), ISBLANK(K2579), ISBLANK(L2579) ), "", 1.5*SQRT( EXP(2.21*(H2579-1)) + EXP(2.21*(I2579-1)) + EXP(2.21*(J2579-1)) + EXP(2.21*(K2579-1)) + EXP(2.21*L2579) )/100*2.45 )</f>
        <v>1.1666438005107913</v>
      </c>
      <c r="N2579" s="530"/>
    </row>
    <row r="2580" spans="1:14" hidden="1" x14ac:dyDescent="0.2">
      <c r="A2580" s="621" t="s">
        <v>539</v>
      </c>
      <c r="B2580" s="524" t="s">
        <v>482</v>
      </c>
      <c r="C2580" s="247" t="s">
        <v>50</v>
      </c>
      <c r="D2580" s="527" t="s">
        <v>135</v>
      </c>
      <c r="E2580" s="623">
        <v>2.7577269889922509E-2</v>
      </c>
      <c r="F2580" s="250" t="s">
        <v>551</v>
      </c>
      <c r="G2580" s="528" t="s">
        <v>16</v>
      </c>
      <c r="H2580" s="527">
        <v>1</v>
      </c>
      <c r="I2580" s="527">
        <v>3</v>
      </c>
      <c r="J2580" s="527">
        <v>3</v>
      </c>
      <c r="K2580" s="527">
        <v>3</v>
      </c>
      <c r="L2580" s="529">
        <v>3</v>
      </c>
      <c r="M2580" s="626">
        <f>IF( OR( ISBLANK(H2580),ISBLANK(I2580), ISBLANK(J2580), ISBLANK(K2580), ISBLANK(L2580) ), "", 1.5*SQRT( EXP(2.21*(H2580-1)) + EXP(2.21*(I2580-1)) + EXP(2.21*(J2580-1)) + EXP(2.21*(K2580-1)) + EXP(2.21*L2580) )/100*2.45 )</f>
        <v>1.1666438005107913</v>
      </c>
      <c r="N2580" s="530"/>
    </row>
    <row r="2581" spans="1:14" hidden="1" x14ac:dyDescent="0.2">
      <c r="A2581" s="621" t="s">
        <v>539</v>
      </c>
      <c r="B2581" s="524" t="s">
        <v>482</v>
      </c>
      <c r="C2581" s="247" t="s">
        <v>52</v>
      </c>
      <c r="D2581" s="527" t="s">
        <v>135</v>
      </c>
      <c r="E2581" s="634">
        <v>0</v>
      </c>
      <c r="F2581" s="250"/>
      <c r="G2581" s="251" t="s">
        <v>16</v>
      </c>
      <c r="H2581" s="478"/>
      <c r="I2581" s="478"/>
      <c r="J2581" s="478"/>
      <c r="K2581" s="478"/>
      <c r="L2581" s="471"/>
      <c r="M2581" s="456"/>
      <c r="N2581" s="530"/>
    </row>
    <row r="2582" spans="1:14" hidden="1" x14ac:dyDescent="0.2">
      <c r="A2582" s="621" t="s">
        <v>539</v>
      </c>
      <c r="B2582" s="524" t="s">
        <v>482</v>
      </c>
      <c r="C2582" s="247" t="s">
        <v>54</v>
      </c>
      <c r="D2582" s="527" t="s">
        <v>135</v>
      </c>
      <c r="E2582" s="623">
        <v>2.6167317005541191E-2</v>
      </c>
      <c r="F2582" s="250" t="s">
        <v>551</v>
      </c>
      <c r="G2582" s="528" t="s">
        <v>16</v>
      </c>
      <c r="H2582" s="527">
        <v>1</v>
      </c>
      <c r="I2582" s="527">
        <v>3</v>
      </c>
      <c r="J2582" s="527">
        <v>3</v>
      </c>
      <c r="K2582" s="527">
        <v>3</v>
      </c>
      <c r="L2582" s="529">
        <v>3</v>
      </c>
      <c r="M2582" s="626">
        <f>IF( OR( ISBLANK(H2582),ISBLANK(I2582), ISBLANK(J2582), ISBLANK(K2582), ISBLANK(L2582) ), "", 1.5*SQRT(   EXP(2.21*(H2582-1)) + EXP(2.21*(I2582-1)) + EXP(2.21*(J2582-1)) + EXP(2.21*(K2582-1)) + EXP(2.21*L2582)   )/100*2.45 )</f>
        <v>1.1666438005107913</v>
      </c>
      <c r="N2582" s="530"/>
    </row>
    <row r="2583" spans="1:14" hidden="1" x14ac:dyDescent="0.2">
      <c r="A2583" s="621" t="s">
        <v>539</v>
      </c>
      <c r="B2583" s="524" t="s">
        <v>482</v>
      </c>
      <c r="C2583" s="247" t="s">
        <v>55</v>
      </c>
      <c r="D2583" s="527" t="s">
        <v>135</v>
      </c>
      <c r="E2583" s="623">
        <v>2.668220742567784E-2</v>
      </c>
      <c r="F2583" s="250" t="s">
        <v>551</v>
      </c>
      <c r="G2583" s="528" t="s">
        <v>16</v>
      </c>
      <c r="H2583" s="527">
        <v>1</v>
      </c>
      <c r="I2583" s="527">
        <v>3</v>
      </c>
      <c r="J2583" s="527">
        <v>3</v>
      </c>
      <c r="K2583" s="527">
        <v>3</v>
      </c>
      <c r="L2583" s="529">
        <v>3</v>
      </c>
      <c r="M2583" s="626">
        <f>IF( OR( ISBLANK(H2583),ISBLANK(I2583), ISBLANK(J2583), ISBLANK(K2583), ISBLANK(L2583) ), "", 1.5*SQRT(   EXP(2.21*(H2583-1)) + EXP(2.21*(I2583-1)) + EXP(2.21*(J2583-1)) + EXP(2.21*(K2583-1)) + EXP(2.21*L2583)   )/100*2.45 )</f>
        <v>1.1666438005107913</v>
      </c>
      <c r="N2583" s="530"/>
    </row>
    <row r="2584" spans="1:14" hidden="1" x14ac:dyDescent="0.2">
      <c r="A2584" s="621" t="s">
        <v>539</v>
      </c>
      <c r="B2584" s="524" t="s">
        <v>482</v>
      </c>
      <c r="C2584" s="247" t="s">
        <v>57</v>
      </c>
      <c r="D2584" s="527" t="s">
        <v>135</v>
      </c>
      <c r="E2584" s="623">
        <v>2.5825522995868731E-2</v>
      </c>
      <c r="F2584" s="250" t="s">
        <v>551</v>
      </c>
      <c r="G2584" s="528" t="s">
        <v>16</v>
      </c>
      <c r="H2584" s="527">
        <v>1</v>
      </c>
      <c r="I2584" s="527">
        <v>3</v>
      </c>
      <c r="J2584" s="527">
        <v>3</v>
      </c>
      <c r="K2584" s="527">
        <v>3</v>
      </c>
      <c r="L2584" s="529">
        <v>3</v>
      </c>
      <c r="M2584" s="626">
        <f>IF( OR( ISBLANK(H2584),ISBLANK(I2584), ISBLANK(J2584), ISBLANK(K2584), ISBLANK(L2584) ), "", 1.5*SQRT(   EXP(2.21*(H2584-1)) + EXP(2.21*(I2584-1)) + EXP(2.21*(J2584-1)) + EXP(2.21*(K2584-1)) + EXP(2.21*L2584)   )/100*2.45 )</f>
        <v>1.1666438005107913</v>
      </c>
      <c r="N2584" s="530"/>
    </row>
    <row r="2585" spans="1:14" hidden="1" x14ac:dyDescent="0.2">
      <c r="A2585" s="621" t="s">
        <v>539</v>
      </c>
      <c r="B2585" s="524" t="s">
        <v>482</v>
      </c>
      <c r="C2585" s="247" t="s">
        <v>59</v>
      </c>
      <c r="D2585" s="527" t="s">
        <v>135</v>
      </c>
      <c r="E2585" s="634">
        <v>0</v>
      </c>
      <c r="F2585" s="250"/>
      <c r="G2585" s="251" t="s">
        <v>16</v>
      </c>
      <c r="H2585" s="478"/>
      <c r="I2585" s="478"/>
      <c r="J2585" s="478"/>
      <c r="K2585" s="478"/>
      <c r="L2585" s="471"/>
      <c r="M2585" s="456"/>
      <c r="N2585" s="530"/>
    </row>
    <row r="2586" spans="1:14" hidden="1" x14ac:dyDescent="0.2">
      <c r="A2586" s="621" t="s">
        <v>539</v>
      </c>
      <c r="B2586" s="524" t="s">
        <v>482</v>
      </c>
      <c r="C2586" s="247" t="s">
        <v>60</v>
      </c>
      <c r="D2586" s="527" t="s">
        <v>135</v>
      </c>
      <c r="E2586" s="627">
        <v>2.6511967054985611E-2</v>
      </c>
      <c r="F2586" s="250" t="s">
        <v>551</v>
      </c>
      <c r="G2586" s="528" t="s">
        <v>16</v>
      </c>
      <c r="H2586" s="519">
        <v>2</v>
      </c>
      <c r="I2586" s="527">
        <v>3</v>
      </c>
      <c r="J2586" s="527">
        <v>3</v>
      </c>
      <c r="K2586" s="527">
        <v>3</v>
      </c>
      <c r="L2586" s="529">
        <v>3</v>
      </c>
      <c r="M2586" s="521">
        <f>IF( OR( ISBLANK(H2586),ISBLANK(I2586), ISBLANK(J2586), ISBLANK(K2586), ISBLANK(L2586) ), "", 1.5*SQRT(   EXP(2.21*(H2586-1)) + EXP(2.21*(I2586-1)) + EXP(2.21*(J2586-1)) + EXP(2.21*(K2586-1)) + EXP(2.21*L2586)   )/100*2.45 )</f>
        <v>1.1713319510247036</v>
      </c>
      <c r="N2586" s="522"/>
    </row>
    <row r="2587" spans="1:14" x14ac:dyDescent="0.2">
      <c r="A2587" s="651" t="s">
        <v>539</v>
      </c>
      <c r="B2587" s="639" t="s">
        <v>387</v>
      </c>
      <c r="C2587" s="644" t="s">
        <v>135</v>
      </c>
      <c r="D2587" s="573" t="s">
        <v>135</v>
      </c>
      <c r="E2587" s="645" t="s">
        <v>188</v>
      </c>
      <c r="F2587" s="534"/>
      <c r="G2587" s="535" t="s">
        <v>16</v>
      </c>
      <c r="H2587" s="645"/>
      <c r="I2587" s="645"/>
      <c r="J2587" s="645"/>
      <c r="K2587" s="645"/>
      <c r="L2587" s="648"/>
      <c r="M2587" s="649" t="str">
        <f>IF( OR( ISBLANK(H2587),ISBLANK(I2587), ISBLANK(J2587), ISBLANK(K2587), ISBLANK(L2587) ), "", 1.5*SQRT(   EXP(2.21*(H2587-1)) + EXP(2.21*(I2587-1)) + EXP(2.21*(J2587-1)) + EXP(2.21*(K2587-1)) + EXP(2.21*L2587)   )/100*2.45 )</f>
        <v/>
      </c>
      <c r="N2587" s="533"/>
    </row>
  </sheetData>
  <autoFilter ref="A1:N2587" xr:uid="{00000000-0009-0000-0000-000005000000}">
    <filterColumn colId="2">
      <filters>
        <filter val="any"/>
        <filter val="NO"/>
      </filters>
    </filterColumn>
  </autoFilter>
  <conditionalFormatting sqref="H2373 H2343 H2403 J2343:L2343 J2373:L2373 J2403:L2403">
    <cfRule type="dataBar" priority="375">
      <dataBar>
        <cfvo type="min"/>
        <cfvo type="max"/>
        <color rgb="FFFFB628"/>
      </dataBar>
    </cfRule>
  </conditionalFormatting>
  <conditionalFormatting sqref="H2525 H2495 J2495:L2495 J2525:L2525">
    <cfRule type="dataBar" priority="485">
      <dataBar>
        <cfvo type="min"/>
        <cfvo type="max"/>
        <color rgb="FFFFB628"/>
      </dataBar>
    </cfRule>
  </conditionalFormatting>
  <conditionalFormatting sqref="H2586 H2556 J2556:L2556 J2586:L2586">
    <cfRule type="dataBar" priority="331">
      <dataBar>
        <cfvo type="min"/>
        <cfvo type="max"/>
        <color rgb="FFFFB628"/>
      </dataBar>
    </cfRule>
  </conditionalFormatting>
  <conditionalFormatting sqref="H2:L5 H7:L8">
    <cfRule type="dataBar" priority="811">
      <dataBar>
        <cfvo type="min"/>
        <cfvo type="max"/>
        <color rgb="FFFFB628"/>
      </dataBar>
    </cfRule>
    <cfRule type="dataBar" priority="808">
      <dataBar>
        <cfvo type="min"/>
        <cfvo type="max"/>
        <color rgb="FFFFB628"/>
      </dataBar>
    </cfRule>
    <cfRule type="dataBar" priority="809">
      <dataBar>
        <cfvo type="min"/>
        <cfvo type="max"/>
        <color rgb="FFFFB628"/>
      </dataBar>
    </cfRule>
    <cfRule type="dataBar" priority="810">
      <dataBar>
        <cfvo type="min"/>
        <cfvo type="max"/>
        <color rgb="FFFFB628"/>
      </dataBar>
    </cfRule>
  </conditionalFormatting>
  <conditionalFormatting sqref="H6:L6">
    <cfRule type="dataBar" priority="40">
      <dataBar>
        <cfvo type="min"/>
        <cfvo type="max"/>
        <color rgb="FFFFB628"/>
      </dataBar>
    </cfRule>
    <cfRule type="dataBar" priority="41">
      <dataBar>
        <cfvo type="min"/>
        <cfvo type="max"/>
        <color rgb="FFFFB628"/>
      </dataBar>
    </cfRule>
    <cfRule type="dataBar" priority="42">
      <dataBar>
        <cfvo type="min"/>
        <cfvo type="max"/>
        <color rgb="FFFFB628"/>
      </dataBar>
    </cfRule>
    <cfRule type="dataBar" priority="39">
      <dataBar>
        <cfvo type="min"/>
        <cfvo type="max"/>
        <color rgb="FFFFB628"/>
      </dataBar>
    </cfRule>
  </conditionalFormatting>
  <conditionalFormatting sqref="H9:L38 H46:L75 H83:L112 H120:L179 H240:L269 H330:L359">
    <cfRule type="dataBar" priority="812">
      <dataBar>
        <cfvo type="min"/>
        <cfvo type="max"/>
        <color rgb="FFFFB628"/>
      </dataBar>
    </cfRule>
  </conditionalFormatting>
  <conditionalFormatting sqref="H39:L45">
    <cfRule type="dataBar" priority="807">
      <dataBar>
        <cfvo type="min"/>
        <cfvo type="max"/>
        <color rgb="FFFFB628"/>
      </dataBar>
    </cfRule>
    <cfRule type="dataBar" priority="806">
      <dataBar>
        <cfvo type="min"/>
        <cfvo type="max"/>
        <color rgb="FFFFB628"/>
      </dataBar>
    </cfRule>
    <cfRule type="dataBar" priority="804">
      <dataBar>
        <cfvo type="min"/>
        <cfvo type="max"/>
        <color rgb="FFFFB628"/>
      </dataBar>
    </cfRule>
    <cfRule type="dataBar" priority="805">
      <dataBar>
        <cfvo type="min"/>
        <cfvo type="max"/>
        <color rgb="FFFFB628"/>
      </dataBar>
    </cfRule>
  </conditionalFormatting>
  <conditionalFormatting sqref="H76:L82">
    <cfRule type="dataBar" priority="803">
      <dataBar>
        <cfvo type="min"/>
        <cfvo type="max"/>
        <color rgb="FFFFB628"/>
      </dataBar>
    </cfRule>
    <cfRule type="dataBar" priority="802">
      <dataBar>
        <cfvo type="min"/>
        <cfvo type="max"/>
        <color rgb="FFFFB628"/>
      </dataBar>
    </cfRule>
    <cfRule type="dataBar" priority="801">
      <dataBar>
        <cfvo type="min"/>
        <cfvo type="max"/>
        <color rgb="FFFFB628"/>
      </dataBar>
    </cfRule>
    <cfRule type="dataBar" priority="800">
      <dataBar>
        <cfvo type="min"/>
        <cfvo type="max"/>
        <color rgb="FFFFB628"/>
      </dataBar>
    </cfRule>
  </conditionalFormatting>
  <conditionalFormatting sqref="H113:L119">
    <cfRule type="dataBar" priority="799">
      <dataBar>
        <cfvo type="min"/>
        <cfvo type="max"/>
        <color rgb="FFFFB628"/>
      </dataBar>
    </cfRule>
    <cfRule type="dataBar" priority="798">
      <dataBar>
        <cfvo type="min"/>
        <cfvo type="max"/>
        <color rgb="FFFFB628"/>
      </dataBar>
    </cfRule>
    <cfRule type="dataBar" priority="797">
      <dataBar>
        <cfvo type="min"/>
        <cfvo type="max"/>
        <color rgb="FFFFB628"/>
      </dataBar>
    </cfRule>
    <cfRule type="dataBar" priority="796">
      <dataBar>
        <cfvo type="min"/>
        <cfvo type="max"/>
        <color rgb="FFFFB628"/>
      </dataBar>
    </cfRule>
  </conditionalFormatting>
  <conditionalFormatting sqref="H180:L239">
    <cfRule type="dataBar" priority="789">
      <dataBar>
        <cfvo type="min"/>
        <cfvo type="max"/>
        <color rgb="FFFFB628"/>
      </dataBar>
    </cfRule>
    <cfRule type="dataBar" priority="788">
      <dataBar>
        <cfvo type="min"/>
        <cfvo type="max"/>
        <color rgb="FFFFB628"/>
      </dataBar>
    </cfRule>
    <cfRule type="dataBar" priority="787">
      <dataBar>
        <cfvo type="min"/>
        <cfvo type="max"/>
        <color rgb="FFFFB628"/>
      </dataBar>
    </cfRule>
  </conditionalFormatting>
  <conditionalFormatting sqref="H270:L329">
    <cfRule type="dataBar" priority="778">
      <dataBar>
        <cfvo type="min"/>
        <cfvo type="max"/>
        <color rgb="FFFFB628"/>
      </dataBar>
    </cfRule>
    <cfRule type="dataBar" priority="780">
      <dataBar>
        <cfvo type="min"/>
        <cfvo type="max"/>
        <color rgb="FFFFB628"/>
      </dataBar>
    </cfRule>
    <cfRule type="dataBar" priority="779">
      <dataBar>
        <cfvo type="min"/>
        <cfvo type="max"/>
        <color rgb="FFFFB628"/>
      </dataBar>
    </cfRule>
  </conditionalFormatting>
  <conditionalFormatting sqref="H360:L419">
    <cfRule type="dataBar" priority="770">
      <dataBar>
        <cfvo type="min"/>
        <cfvo type="max"/>
        <color rgb="FFFFB628"/>
      </dataBar>
    </cfRule>
    <cfRule type="dataBar" priority="769">
      <dataBar>
        <cfvo type="min"/>
        <cfvo type="max"/>
        <color rgb="FFFFB628"/>
      </dataBar>
    </cfRule>
    <cfRule type="dataBar" priority="771">
      <dataBar>
        <cfvo type="min"/>
        <cfvo type="max"/>
        <color rgb="FFFFB628"/>
      </dataBar>
    </cfRule>
  </conditionalFormatting>
  <conditionalFormatting sqref="H420:L792">
    <cfRule type="dataBar" priority="750">
      <dataBar>
        <cfvo type="min"/>
        <cfvo type="max"/>
        <color rgb="FFFFB628"/>
      </dataBar>
    </cfRule>
    <cfRule type="dataBar" priority="752">
      <dataBar>
        <cfvo type="min"/>
        <cfvo type="max"/>
        <color rgb="FFFFB628"/>
      </dataBar>
    </cfRule>
    <cfRule type="dataBar" priority="751">
      <dataBar>
        <cfvo type="min"/>
        <cfvo type="max"/>
        <color rgb="FFFFB628"/>
      </dataBar>
    </cfRule>
  </conditionalFormatting>
  <conditionalFormatting sqref="H793:L822">
    <cfRule type="dataBar" priority="704">
      <dataBar>
        <cfvo type="min"/>
        <cfvo type="max"/>
        <color rgb="FFFFB628"/>
      </dataBar>
    </cfRule>
  </conditionalFormatting>
  <conditionalFormatting sqref="H823:L827 H858:L862 H893:L897 H928:L1083 H1114:L1118 H1149:L1153">
    <cfRule type="dataBar" priority="761">
      <dataBar>
        <cfvo type="min"/>
        <cfvo type="max"/>
        <color rgb="FFFFB628"/>
      </dataBar>
    </cfRule>
    <cfRule type="dataBar" priority="760">
      <dataBar>
        <cfvo type="min"/>
        <cfvo type="max"/>
        <color rgb="FFFFB628"/>
      </dataBar>
    </cfRule>
    <cfRule type="dataBar" priority="759">
      <dataBar>
        <cfvo type="min"/>
        <cfvo type="max"/>
        <color rgb="FFFFB628"/>
      </dataBar>
    </cfRule>
  </conditionalFormatting>
  <conditionalFormatting sqref="H827:L827">
    <cfRule type="dataBar" priority="746">
      <dataBar>
        <cfvo type="min"/>
        <cfvo type="max"/>
        <color rgb="FFFFB628"/>
      </dataBar>
    </cfRule>
  </conditionalFormatting>
  <conditionalFormatting sqref="H828:L857">
    <cfRule type="dataBar" priority="702">
      <dataBar>
        <cfvo type="min"/>
        <cfvo type="max"/>
        <color rgb="FFFFB628"/>
      </dataBar>
    </cfRule>
  </conditionalFormatting>
  <conditionalFormatting sqref="H862:L862">
    <cfRule type="dataBar" priority="745">
      <dataBar>
        <cfvo type="min"/>
        <cfvo type="max"/>
        <color rgb="FFFFB628"/>
      </dataBar>
    </cfRule>
  </conditionalFormatting>
  <conditionalFormatting sqref="H863:L892">
    <cfRule type="dataBar" priority="700">
      <dataBar>
        <cfvo type="min"/>
        <cfvo type="max"/>
        <color rgb="FFFFB628"/>
      </dataBar>
    </cfRule>
  </conditionalFormatting>
  <conditionalFormatting sqref="H897:L897">
    <cfRule type="dataBar" priority="744">
      <dataBar>
        <cfvo type="min"/>
        <cfvo type="max"/>
        <color rgb="FFFFB628"/>
      </dataBar>
    </cfRule>
  </conditionalFormatting>
  <conditionalFormatting sqref="H898:L927">
    <cfRule type="dataBar" priority="698">
      <dataBar>
        <cfvo type="min"/>
        <cfvo type="max"/>
        <color rgb="FFFFB628"/>
      </dataBar>
    </cfRule>
  </conditionalFormatting>
  <conditionalFormatting sqref="H932:L932">
    <cfRule type="dataBar" priority="743">
      <dataBar>
        <cfvo type="min"/>
        <cfvo type="max"/>
        <color rgb="FFFFB628"/>
      </dataBar>
    </cfRule>
  </conditionalFormatting>
  <conditionalFormatting sqref="H933:L933">
    <cfRule type="dataBar" priority="730">
      <dataBar>
        <cfvo type="min"/>
        <cfvo type="max"/>
        <color rgb="FFFFB628"/>
      </dataBar>
    </cfRule>
  </conditionalFormatting>
  <conditionalFormatting sqref="H1083:L1083">
    <cfRule type="dataBar" priority="731">
      <dataBar>
        <cfvo type="min"/>
        <cfvo type="max"/>
        <color rgb="FFFFB628"/>
      </dataBar>
    </cfRule>
  </conditionalFormatting>
  <conditionalFormatting sqref="H1084:L1113">
    <cfRule type="dataBar" priority="696">
      <dataBar>
        <cfvo type="min"/>
        <cfvo type="max"/>
        <color rgb="FFFFB628"/>
      </dataBar>
    </cfRule>
  </conditionalFormatting>
  <conditionalFormatting sqref="H1118:L1118">
    <cfRule type="dataBar" priority="739">
      <dataBar>
        <cfvo type="min"/>
        <cfvo type="max"/>
        <color rgb="FFFFB628"/>
      </dataBar>
    </cfRule>
  </conditionalFormatting>
  <conditionalFormatting sqref="H1119:L1148">
    <cfRule type="dataBar" priority="694">
      <dataBar>
        <cfvo type="min"/>
        <cfvo type="max"/>
        <color rgb="FFFFB628"/>
      </dataBar>
    </cfRule>
  </conditionalFormatting>
  <conditionalFormatting sqref="H1153:L1153">
    <cfRule type="dataBar" priority="735">
      <dataBar>
        <cfvo type="min"/>
        <cfvo type="max"/>
        <color rgb="FFFFB628"/>
      </dataBar>
    </cfRule>
  </conditionalFormatting>
  <conditionalFormatting sqref="H1154:L1161">
    <cfRule type="dataBar" priority="689">
      <dataBar>
        <cfvo type="min"/>
        <cfvo type="max"/>
        <color rgb="FFFFB628"/>
      </dataBar>
    </cfRule>
  </conditionalFormatting>
  <conditionalFormatting sqref="H1162:L1191">
    <cfRule type="dataBar" priority="687">
      <dataBar>
        <cfvo type="min"/>
        <cfvo type="max"/>
        <color rgb="FFFFB628"/>
      </dataBar>
    </cfRule>
  </conditionalFormatting>
  <conditionalFormatting sqref="H1192:L1221">
    <cfRule type="dataBar" priority="679">
      <dataBar>
        <cfvo type="min"/>
        <cfvo type="max"/>
        <color rgb="FFFFB628"/>
      </dataBar>
    </cfRule>
  </conditionalFormatting>
  <conditionalFormatting sqref="H1222:L1223 H1254:L1255 H1286:L1289 H1320:L1322 H1353:L1355 H1386:L1389">
    <cfRule type="dataBar" priority="681">
      <dataBar>
        <cfvo type="min"/>
        <cfvo type="max"/>
        <color rgb="FFFFB628"/>
      </dataBar>
    </cfRule>
  </conditionalFormatting>
  <conditionalFormatting sqref="H1224:L1253">
    <cfRule type="dataBar" priority="677">
      <dataBar>
        <cfvo type="min"/>
        <cfvo type="max"/>
        <color rgb="FFFFB628"/>
      </dataBar>
    </cfRule>
  </conditionalFormatting>
  <conditionalFormatting sqref="H1254:L1255 H1286:L1289 H1320:L1322 H1353:L1355 H1386:L1389">
    <cfRule type="dataBar" priority="682">
      <dataBar>
        <cfvo type="min"/>
        <cfvo type="max"/>
        <color rgb="FFFFB628"/>
      </dataBar>
    </cfRule>
  </conditionalFormatting>
  <conditionalFormatting sqref="H1256:L1285">
    <cfRule type="dataBar" priority="675">
      <dataBar>
        <cfvo type="min"/>
        <cfvo type="max"/>
        <color rgb="FFFFB628"/>
      </dataBar>
    </cfRule>
  </conditionalFormatting>
  <conditionalFormatting sqref="H1290:L1319">
    <cfRule type="dataBar" priority="673">
      <dataBar>
        <cfvo type="min"/>
        <cfvo type="max"/>
        <color rgb="FFFFB628"/>
      </dataBar>
    </cfRule>
  </conditionalFormatting>
  <conditionalFormatting sqref="H1323:L1352">
    <cfRule type="dataBar" priority="671">
      <dataBar>
        <cfvo type="min"/>
        <cfvo type="max"/>
        <color rgb="FFFFB628"/>
      </dataBar>
    </cfRule>
  </conditionalFormatting>
  <conditionalFormatting sqref="H1356:L1385">
    <cfRule type="dataBar" priority="669">
      <dataBar>
        <cfvo type="min"/>
        <cfvo type="max"/>
        <color rgb="FFFFB628"/>
      </dataBar>
    </cfRule>
  </conditionalFormatting>
  <conditionalFormatting sqref="H1390:L1419">
    <cfRule type="dataBar" priority="659">
      <dataBar>
        <cfvo type="min"/>
        <cfvo type="max"/>
        <color rgb="FFFFB628"/>
      </dataBar>
    </cfRule>
  </conditionalFormatting>
  <conditionalFormatting sqref="H1420:L1422 H1453:L1455 H1486:L1488 H1519:L1521">
    <cfRule type="dataBar" priority="661">
      <dataBar>
        <cfvo type="min"/>
        <cfvo type="max"/>
        <color rgb="FFFFB628"/>
      </dataBar>
    </cfRule>
    <cfRule type="dataBar" priority="664">
      <dataBar>
        <cfvo type="min"/>
        <cfvo type="max"/>
        <color rgb="FFFFB628"/>
      </dataBar>
    </cfRule>
    <cfRule type="dataBar" priority="663">
      <dataBar>
        <cfvo type="min"/>
        <cfvo type="max"/>
        <color rgb="FFFFB628"/>
      </dataBar>
    </cfRule>
    <cfRule type="dataBar" priority="662">
      <dataBar>
        <cfvo type="min"/>
        <cfvo type="max"/>
        <color rgb="FFFFB628"/>
      </dataBar>
    </cfRule>
  </conditionalFormatting>
  <conditionalFormatting sqref="H1423:L1452">
    <cfRule type="dataBar" priority="657">
      <dataBar>
        <cfvo type="min"/>
        <cfvo type="max"/>
        <color rgb="FFFFB628"/>
      </dataBar>
    </cfRule>
  </conditionalFormatting>
  <conditionalFormatting sqref="H1456:L1485">
    <cfRule type="dataBar" priority="655">
      <dataBar>
        <cfvo type="min"/>
        <cfvo type="max"/>
        <color rgb="FFFFB628"/>
      </dataBar>
    </cfRule>
  </conditionalFormatting>
  <conditionalFormatting sqref="H1489:L1518">
    <cfRule type="dataBar" priority="653">
      <dataBar>
        <cfvo type="min"/>
        <cfvo type="max"/>
        <color rgb="FFFFB628"/>
      </dataBar>
    </cfRule>
  </conditionalFormatting>
  <conditionalFormatting sqref="H1522:L1551">
    <cfRule type="dataBar" priority="651">
      <dataBar>
        <cfvo type="min"/>
        <cfvo type="max"/>
        <color rgb="FFFFB628"/>
      </dataBar>
    </cfRule>
  </conditionalFormatting>
  <conditionalFormatting sqref="H1552:L1581">
    <cfRule type="dataBar" priority="633">
      <dataBar>
        <cfvo type="min"/>
        <cfvo type="max"/>
        <color rgb="FFFFB628"/>
      </dataBar>
    </cfRule>
  </conditionalFormatting>
  <conditionalFormatting sqref="H1582:L1582 H1613:L1615 H1646:L1648 H1679:L1679 H1710:L1712 H1743:L1744">
    <cfRule type="dataBar" priority="637">
      <dataBar>
        <cfvo type="min"/>
        <cfvo type="max"/>
        <color rgb="FFFFB628"/>
      </dataBar>
    </cfRule>
    <cfRule type="dataBar" priority="636">
      <dataBar>
        <cfvo type="min"/>
        <cfvo type="max"/>
        <color rgb="FFFFB628"/>
      </dataBar>
    </cfRule>
  </conditionalFormatting>
  <conditionalFormatting sqref="H1582:L1582 H1615:L1615 H1648:L1648 H1679:L1679 H1712:L1712 H1744:L1744">
    <cfRule type="dataBar" priority="646">
      <dataBar>
        <cfvo type="min"/>
        <cfvo type="max"/>
        <color rgb="FFFFB628"/>
      </dataBar>
    </cfRule>
  </conditionalFormatting>
  <conditionalFormatting sqref="H1583:L1612">
    <cfRule type="dataBar" priority="631">
      <dataBar>
        <cfvo type="min"/>
        <cfvo type="max"/>
        <color rgb="FFFFB628"/>
      </dataBar>
    </cfRule>
  </conditionalFormatting>
  <conditionalFormatting sqref="H1613:L1614">
    <cfRule type="dataBar" priority="644">
      <dataBar>
        <cfvo type="min"/>
        <cfvo type="max"/>
        <color rgb="FFFFB628"/>
      </dataBar>
    </cfRule>
  </conditionalFormatting>
  <conditionalFormatting sqref="H1615:L1615">
    <cfRule type="dataBar" priority="650">
      <dataBar>
        <cfvo type="min"/>
        <cfvo type="max"/>
        <color rgb="FFFFB628"/>
      </dataBar>
    </cfRule>
  </conditionalFormatting>
  <conditionalFormatting sqref="H1616:L1645">
    <cfRule type="dataBar" priority="629">
      <dataBar>
        <cfvo type="min"/>
        <cfvo type="max"/>
        <color rgb="FFFFB628"/>
      </dataBar>
    </cfRule>
  </conditionalFormatting>
  <conditionalFormatting sqref="H1646:L1647">
    <cfRule type="dataBar" priority="642">
      <dataBar>
        <cfvo type="min"/>
        <cfvo type="max"/>
        <color rgb="FFFFB628"/>
      </dataBar>
    </cfRule>
  </conditionalFormatting>
  <conditionalFormatting sqref="H1649:L1678">
    <cfRule type="dataBar" priority="627">
      <dataBar>
        <cfvo type="min"/>
        <cfvo type="max"/>
        <color rgb="FFFFB628"/>
      </dataBar>
    </cfRule>
  </conditionalFormatting>
  <conditionalFormatting sqref="H1680:L1709">
    <cfRule type="dataBar" priority="625">
      <dataBar>
        <cfvo type="min"/>
        <cfvo type="max"/>
        <color rgb="FFFFB628"/>
      </dataBar>
    </cfRule>
  </conditionalFormatting>
  <conditionalFormatting sqref="H1710:L1711">
    <cfRule type="dataBar" priority="640">
      <dataBar>
        <cfvo type="min"/>
        <cfvo type="max"/>
        <color rgb="FFFFB628"/>
      </dataBar>
    </cfRule>
  </conditionalFormatting>
  <conditionalFormatting sqref="H1713:L1742">
    <cfRule type="dataBar" priority="623">
      <dataBar>
        <cfvo type="min"/>
        <cfvo type="max"/>
        <color rgb="FFFFB628"/>
      </dataBar>
    </cfRule>
  </conditionalFormatting>
  <conditionalFormatting sqref="H1743:L1743">
    <cfRule type="dataBar" priority="638">
      <dataBar>
        <cfvo type="min"/>
        <cfvo type="max"/>
        <color rgb="FFFFB628"/>
      </dataBar>
    </cfRule>
  </conditionalFormatting>
  <conditionalFormatting sqref="H1745:L1747">
    <cfRule type="dataBar" priority="1773">
      <dataBar>
        <cfvo type="min"/>
        <cfvo type="max"/>
        <color rgb="FFFFB628"/>
      </dataBar>
    </cfRule>
  </conditionalFormatting>
  <conditionalFormatting sqref="H1745:L1758">
    <cfRule type="dataBar" priority="1616">
      <dataBar>
        <cfvo type="min"/>
        <cfvo type="max"/>
        <color rgb="FFFFB628"/>
      </dataBar>
    </cfRule>
  </conditionalFormatting>
  <conditionalFormatting sqref="H1748:L1750">
    <cfRule type="dataBar" priority="1772">
      <dataBar>
        <cfvo type="min"/>
        <cfvo type="max"/>
        <color rgb="FFFFB628"/>
      </dataBar>
    </cfRule>
  </conditionalFormatting>
  <conditionalFormatting sqref="H1759:L1788">
    <cfRule type="dataBar" priority="522">
      <dataBar>
        <cfvo type="min"/>
        <cfvo type="max"/>
        <color rgb="FFFFB628"/>
      </dataBar>
    </cfRule>
  </conditionalFormatting>
  <conditionalFormatting sqref="H1789:L1789 H1850:L1855 H1886:L1887">
    <cfRule type="dataBar" priority="530">
      <dataBar>
        <cfvo type="min"/>
        <cfvo type="max"/>
        <color rgb="FFFFB628"/>
      </dataBar>
    </cfRule>
    <cfRule type="dataBar" priority="527">
      <dataBar>
        <cfvo type="min"/>
        <cfvo type="max"/>
        <color rgb="FFFFB628"/>
      </dataBar>
    </cfRule>
    <cfRule type="dataBar" priority="526">
      <dataBar>
        <cfvo type="min"/>
        <cfvo type="max"/>
        <color rgb="FFFFB628"/>
      </dataBar>
    </cfRule>
    <cfRule type="dataBar" priority="525">
      <dataBar>
        <cfvo type="min"/>
        <cfvo type="max"/>
        <color rgb="FFFFB628"/>
      </dataBar>
    </cfRule>
  </conditionalFormatting>
  <conditionalFormatting sqref="H1790:L1819">
    <cfRule type="dataBar" priority="520">
      <dataBar>
        <cfvo type="min"/>
        <cfvo type="max"/>
        <color rgb="FFFFB628"/>
      </dataBar>
    </cfRule>
  </conditionalFormatting>
  <conditionalFormatting sqref="H1820:L1849">
    <cfRule type="dataBar" priority="518">
      <dataBar>
        <cfvo type="min"/>
        <cfvo type="max"/>
        <color rgb="FFFFB628"/>
      </dataBar>
    </cfRule>
  </conditionalFormatting>
  <conditionalFormatting sqref="H1856:L1885">
    <cfRule type="dataBar" priority="516">
      <dataBar>
        <cfvo type="min"/>
        <cfvo type="max"/>
        <color rgb="FFFFB628"/>
      </dataBar>
    </cfRule>
  </conditionalFormatting>
  <conditionalFormatting sqref="H1888:L1917 H1918:K1918">
    <cfRule type="dataBar" priority="514">
      <dataBar>
        <cfvo type="min"/>
        <cfvo type="max"/>
        <color rgb="FFFFB628"/>
      </dataBar>
    </cfRule>
  </conditionalFormatting>
  <conditionalFormatting sqref="H1919:L1919">
    <cfRule type="dataBar" priority="513">
      <dataBar>
        <cfvo type="min"/>
        <cfvo type="max"/>
        <color rgb="FFFFB628"/>
      </dataBar>
    </cfRule>
    <cfRule type="dataBar" priority="507">
      <dataBar>
        <cfvo type="min"/>
        <cfvo type="max"/>
        <color rgb="FFFFB628"/>
      </dataBar>
    </cfRule>
    <cfRule type="dataBar" priority="506">
      <dataBar>
        <cfvo type="min"/>
        <cfvo type="max"/>
        <color rgb="FFFFB628"/>
      </dataBar>
    </cfRule>
    <cfRule type="dataBar" priority="505">
      <dataBar>
        <cfvo type="min"/>
        <cfvo type="max"/>
        <color rgb="FFFFB628"/>
      </dataBar>
    </cfRule>
    <cfRule type="dataBar" priority="504">
      <dataBar>
        <cfvo type="min"/>
        <cfvo type="max"/>
        <color rgb="FFFFB628"/>
      </dataBar>
    </cfRule>
  </conditionalFormatting>
  <conditionalFormatting sqref="H1920:L1979">
    <cfRule type="dataBar" priority="315">
      <dataBar>
        <cfvo type="min"/>
        <cfvo type="max"/>
        <color rgb="FFFFB628"/>
      </dataBar>
    </cfRule>
    <cfRule type="dataBar" priority="310">
      <dataBar>
        <cfvo type="min"/>
        <cfvo type="max"/>
        <color rgb="FFFFB628"/>
      </dataBar>
    </cfRule>
    <cfRule type="dataBar" priority="317">
      <dataBar>
        <cfvo type="min"/>
        <cfvo type="max"/>
        <color rgb="FFFFB628"/>
      </dataBar>
    </cfRule>
  </conditionalFormatting>
  <conditionalFormatting sqref="H1948:L1948">
    <cfRule type="dataBar" priority="309">
      <dataBar>
        <cfvo type="min"/>
        <cfvo type="max"/>
        <color rgb="FFFFB628"/>
      </dataBar>
    </cfRule>
  </conditionalFormatting>
  <conditionalFormatting sqref="H1949:L1949 H1979:L1979">
    <cfRule type="dataBar" priority="314">
      <dataBar>
        <cfvo type="min"/>
        <cfvo type="max"/>
        <color rgb="FFFFB628"/>
      </dataBar>
    </cfRule>
  </conditionalFormatting>
  <conditionalFormatting sqref="H1978:L1978">
    <cfRule type="dataBar" priority="307">
      <dataBar>
        <cfvo type="min"/>
        <cfvo type="max"/>
        <color rgb="FFFFB628"/>
      </dataBar>
    </cfRule>
  </conditionalFormatting>
  <conditionalFormatting sqref="H1980:L2039">
    <cfRule type="dataBar" priority="297">
      <dataBar>
        <cfvo type="min"/>
        <cfvo type="max"/>
        <color rgb="FFFFB628"/>
      </dataBar>
    </cfRule>
    <cfRule type="dataBar" priority="303">
      <dataBar>
        <cfvo type="min"/>
        <cfvo type="max"/>
        <color rgb="FFFFB628"/>
      </dataBar>
    </cfRule>
    <cfRule type="dataBar" priority="302">
      <dataBar>
        <cfvo type="min"/>
        <cfvo type="max"/>
        <color rgb="FFFFB628"/>
      </dataBar>
    </cfRule>
  </conditionalFormatting>
  <conditionalFormatting sqref="H2008:L2008">
    <cfRule type="dataBar" priority="295">
      <dataBar>
        <cfvo type="min"/>
        <cfvo type="max"/>
        <color rgb="FFFFB628"/>
      </dataBar>
    </cfRule>
  </conditionalFormatting>
  <conditionalFormatting sqref="H2009:L2009 H2039:L2039">
    <cfRule type="dataBar" priority="301">
      <dataBar>
        <cfvo type="min"/>
        <cfvo type="max"/>
        <color rgb="FFFFB628"/>
      </dataBar>
    </cfRule>
  </conditionalFormatting>
  <conditionalFormatting sqref="H2010:L2010">
    <cfRule type="dataBar" priority="5">
      <dataBar>
        <cfvo type="min"/>
        <cfvo type="max"/>
        <color rgb="FFFFB628"/>
      </dataBar>
    </cfRule>
  </conditionalFormatting>
  <conditionalFormatting sqref="H2015:L2015">
    <cfRule type="dataBar" priority="4">
      <dataBar>
        <cfvo type="min"/>
        <cfvo type="max"/>
        <color rgb="FFFFB628"/>
      </dataBar>
    </cfRule>
  </conditionalFormatting>
  <conditionalFormatting sqref="H2022:L2022">
    <cfRule type="dataBar" priority="3">
      <dataBar>
        <cfvo type="min"/>
        <cfvo type="max"/>
        <color rgb="FFFFB628"/>
      </dataBar>
    </cfRule>
  </conditionalFormatting>
  <conditionalFormatting sqref="H2027:L2027">
    <cfRule type="dataBar" priority="2">
      <dataBar>
        <cfvo type="min"/>
        <cfvo type="max"/>
        <color rgb="FFFFB628"/>
      </dataBar>
    </cfRule>
  </conditionalFormatting>
  <conditionalFormatting sqref="H2034:L2034">
    <cfRule type="dataBar" priority="1">
      <dataBar>
        <cfvo type="min"/>
        <cfvo type="max"/>
        <color rgb="FFFFB628"/>
      </dataBar>
    </cfRule>
  </conditionalFormatting>
  <conditionalFormatting sqref="H2038:L2038">
    <cfRule type="dataBar" priority="6">
      <dataBar>
        <cfvo type="min"/>
        <cfvo type="max"/>
        <color rgb="FFFFB628"/>
      </dataBar>
    </cfRule>
  </conditionalFormatting>
  <conditionalFormatting sqref="H2040:L2068 J2069:L2069">
    <cfRule type="dataBar" priority="471">
      <dataBar>
        <cfvo type="min"/>
        <cfvo type="max"/>
        <color rgb="FFFFB628"/>
      </dataBar>
    </cfRule>
  </conditionalFormatting>
  <conditionalFormatting sqref="H2040:L2069">
    <cfRule type="dataBar" priority="469">
      <dataBar>
        <cfvo type="min"/>
        <cfvo type="max"/>
        <color rgb="FFFFB628"/>
      </dataBar>
    </cfRule>
    <cfRule type="dataBar" priority="464">
      <dataBar>
        <cfvo type="min"/>
        <cfvo type="max"/>
        <color rgb="FFFFB628"/>
      </dataBar>
    </cfRule>
  </conditionalFormatting>
  <conditionalFormatting sqref="H2068:L2068">
    <cfRule type="dataBar" priority="463">
      <dataBar>
        <cfvo type="min"/>
        <cfvo type="max"/>
        <color rgb="FFFFB628"/>
      </dataBar>
    </cfRule>
  </conditionalFormatting>
  <conditionalFormatting sqref="H2069:L2069">
    <cfRule type="dataBar" priority="468">
      <dataBar>
        <cfvo type="min"/>
        <cfvo type="max"/>
        <color rgb="FFFFB628"/>
      </dataBar>
    </cfRule>
  </conditionalFormatting>
  <conditionalFormatting sqref="H2070:L2098 H2100:L2128 J2099:L2099 J2129:L2129">
    <cfRule type="dataBar" priority="459">
      <dataBar>
        <cfvo type="min"/>
        <cfvo type="max"/>
        <color rgb="FFFFB628"/>
      </dataBar>
    </cfRule>
  </conditionalFormatting>
  <conditionalFormatting sqref="H2070:L2129">
    <cfRule type="dataBar" priority="452">
      <dataBar>
        <cfvo type="min"/>
        <cfvo type="max"/>
        <color rgb="FFFFB628"/>
      </dataBar>
    </cfRule>
    <cfRule type="dataBar" priority="457">
      <dataBar>
        <cfvo type="min"/>
        <cfvo type="max"/>
        <color rgb="FFFFB628"/>
      </dataBar>
    </cfRule>
  </conditionalFormatting>
  <conditionalFormatting sqref="H2098:L2098">
    <cfRule type="dataBar" priority="451">
      <dataBar>
        <cfvo type="min"/>
        <cfvo type="max"/>
        <color rgb="FFFFB628"/>
      </dataBar>
    </cfRule>
  </conditionalFormatting>
  <conditionalFormatting sqref="H2099:L2099 H2129:L2129">
    <cfRule type="dataBar" priority="456">
      <dataBar>
        <cfvo type="min"/>
        <cfvo type="max"/>
        <color rgb="FFFFB628"/>
      </dataBar>
    </cfRule>
  </conditionalFormatting>
  <conditionalFormatting sqref="H2128:L2128">
    <cfRule type="dataBar" priority="449">
      <dataBar>
        <cfvo type="min"/>
        <cfvo type="max"/>
        <color rgb="FFFFB628"/>
      </dataBar>
    </cfRule>
  </conditionalFormatting>
  <conditionalFormatting sqref="H2130:L2130">
    <cfRule type="dataBar" priority="281">
      <dataBar>
        <cfvo type="min"/>
        <cfvo type="max"/>
        <color rgb="FFFFB628"/>
      </dataBar>
    </cfRule>
    <cfRule type="dataBar" priority="282">
      <dataBar>
        <cfvo type="min"/>
        <cfvo type="max"/>
        <color rgb="FFFFB628"/>
      </dataBar>
    </cfRule>
    <cfRule type="dataBar" priority="283">
      <dataBar>
        <cfvo type="min"/>
        <cfvo type="max"/>
        <color rgb="FFFFB628"/>
      </dataBar>
    </cfRule>
  </conditionalFormatting>
  <conditionalFormatting sqref="H2131:L2134 H2136:L2141 H2143:L2146 H2148:L2153 H2155:L2157 H2159:L2159">
    <cfRule type="dataBar" priority="439">
      <dataBar>
        <cfvo type="min"/>
        <cfvo type="max"/>
        <color rgb="FFFFB628"/>
      </dataBar>
    </cfRule>
    <cfRule type="dataBar" priority="444">
      <dataBar>
        <cfvo type="min"/>
        <cfvo type="max"/>
        <color rgb="FFFFB628"/>
      </dataBar>
    </cfRule>
  </conditionalFormatting>
  <conditionalFormatting sqref="H2131:L2134 H2136:L2141 H2143:L2146 H2148:L2153 H2155:L2157 J2159:L2159">
    <cfRule type="dataBar" priority="445">
      <dataBar>
        <cfvo type="min"/>
        <cfvo type="max"/>
        <color rgb="FFFFB628"/>
      </dataBar>
    </cfRule>
  </conditionalFormatting>
  <conditionalFormatting sqref="H2135:L2135">
    <cfRule type="dataBar" priority="271">
      <dataBar>
        <cfvo type="min"/>
        <cfvo type="max"/>
        <color rgb="FFFFB628"/>
      </dataBar>
    </cfRule>
    <cfRule type="dataBar" priority="272">
      <dataBar>
        <cfvo type="min"/>
        <cfvo type="max"/>
        <color rgb="FFFFB628"/>
      </dataBar>
    </cfRule>
    <cfRule type="dataBar" priority="273">
      <dataBar>
        <cfvo type="min"/>
        <cfvo type="max"/>
        <color rgb="FFFFB628"/>
      </dataBar>
    </cfRule>
  </conditionalFormatting>
  <conditionalFormatting sqref="H2142:L2142">
    <cfRule type="dataBar" priority="261">
      <dataBar>
        <cfvo type="min"/>
        <cfvo type="max"/>
        <color rgb="FFFFB628"/>
      </dataBar>
    </cfRule>
    <cfRule type="dataBar" priority="262">
      <dataBar>
        <cfvo type="min"/>
        <cfvo type="max"/>
        <color rgb="FFFFB628"/>
      </dataBar>
    </cfRule>
    <cfRule type="dataBar" priority="263">
      <dataBar>
        <cfvo type="min"/>
        <cfvo type="max"/>
        <color rgb="FFFFB628"/>
      </dataBar>
    </cfRule>
  </conditionalFormatting>
  <conditionalFormatting sqref="H2147:L2147">
    <cfRule type="dataBar" priority="253">
      <dataBar>
        <cfvo type="min"/>
        <cfvo type="max"/>
        <color rgb="FFFFB628"/>
      </dataBar>
    </cfRule>
    <cfRule type="dataBar" priority="252">
      <dataBar>
        <cfvo type="min"/>
        <cfvo type="max"/>
        <color rgb="FFFFB628"/>
      </dataBar>
    </cfRule>
    <cfRule type="dataBar" priority="251">
      <dataBar>
        <cfvo type="min"/>
        <cfvo type="max"/>
        <color rgb="FFFFB628"/>
      </dataBar>
    </cfRule>
  </conditionalFormatting>
  <conditionalFormatting sqref="H2154:L2154">
    <cfRule type="dataBar" priority="241">
      <dataBar>
        <cfvo type="min"/>
        <cfvo type="max"/>
        <color rgb="FFFFB628"/>
      </dataBar>
    </cfRule>
    <cfRule type="dataBar" priority="242">
      <dataBar>
        <cfvo type="min"/>
        <cfvo type="max"/>
        <color rgb="FFFFB628"/>
      </dataBar>
    </cfRule>
    <cfRule type="dataBar" priority="243">
      <dataBar>
        <cfvo type="min"/>
        <cfvo type="max"/>
        <color rgb="FFFFB628"/>
      </dataBar>
    </cfRule>
  </conditionalFormatting>
  <conditionalFormatting sqref="H2158:L2158">
    <cfRule type="dataBar" priority="233">
      <dataBar>
        <cfvo type="min"/>
        <cfvo type="max"/>
        <color rgb="FFFFB628"/>
      </dataBar>
    </cfRule>
    <cfRule type="dataBar" priority="231">
      <dataBar>
        <cfvo type="min"/>
        <cfvo type="max"/>
        <color rgb="FFFFB628"/>
      </dataBar>
    </cfRule>
    <cfRule type="dataBar" priority="232">
      <dataBar>
        <cfvo type="min"/>
        <cfvo type="max"/>
        <color rgb="FFFFB628"/>
      </dataBar>
    </cfRule>
  </conditionalFormatting>
  <conditionalFormatting sqref="H2159:L2159">
    <cfRule type="dataBar" priority="443">
      <dataBar>
        <cfvo type="min"/>
        <cfvo type="max"/>
        <color rgb="FFFFB628"/>
      </dataBar>
    </cfRule>
  </conditionalFormatting>
  <conditionalFormatting sqref="H2160:L2188 J2189:L2189">
    <cfRule type="dataBar" priority="434">
      <dataBar>
        <cfvo type="min"/>
        <cfvo type="max"/>
        <color rgb="FFFFB628"/>
      </dataBar>
    </cfRule>
  </conditionalFormatting>
  <conditionalFormatting sqref="H2160:L2189">
    <cfRule type="dataBar" priority="428">
      <dataBar>
        <cfvo type="min"/>
        <cfvo type="max"/>
        <color rgb="FFFFB628"/>
      </dataBar>
    </cfRule>
    <cfRule type="dataBar" priority="433">
      <dataBar>
        <cfvo type="min"/>
        <cfvo type="max"/>
        <color rgb="FFFFB628"/>
      </dataBar>
    </cfRule>
  </conditionalFormatting>
  <conditionalFormatting sqref="H2188:L2188">
    <cfRule type="dataBar" priority="426">
      <dataBar>
        <cfvo type="min"/>
        <cfvo type="max"/>
        <color rgb="FFFFB628"/>
      </dataBar>
    </cfRule>
  </conditionalFormatting>
  <conditionalFormatting sqref="H2189:L2189">
    <cfRule type="dataBar" priority="432">
      <dataBar>
        <cfvo type="min"/>
        <cfvo type="max"/>
        <color rgb="FFFFB628"/>
      </dataBar>
    </cfRule>
  </conditionalFormatting>
  <conditionalFormatting sqref="H2190:L2190 H2221:L2221 H2252:L2252 H2283:L2283 H2404:L2404 H2435:L2435 H2526:L2526 H2587:L2587">
    <cfRule type="dataBar" priority="476">
      <dataBar>
        <cfvo type="min"/>
        <cfvo type="max"/>
        <color rgb="FFFFB628"/>
      </dataBar>
    </cfRule>
  </conditionalFormatting>
  <conditionalFormatting sqref="H2190:L2190 H2221:L2221 H2252:L2252 H2283:L2283">
    <cfRule type="dataBar" priority="480">
      <dataBar>
        <cfvo type="min"/>
        <cfvo type="max"/>
        <color rgb="FFFFB628"/>
      </dataBar>
    </cfRule>
    <cfRule type="dataBar" priority="477">
      <dataBar>
        <cfvo type="min"/>
        <cfvo type="max"/>
        <color rgb="FFFFB628"/>
      </dataBar>
    </cfRule>
    <cfRule type="dataBar" priority="478">
      <dataBar>
        <cfvo type="min"/>
        <cfvo type="max"/>
        <color rgb="FFFFB628"/>
      </dataBar>
    </cfRule>
    <cfRule type="dataBar" priority="479">
      <dataBar>
        <cfvo type="min"/>
        <cfvo type="max"/>
        <color rgb="FFFFB628"/>
      </dataBar>
    </cfRule>
  </conditionalFormatting>
  <conditionalFormatting sqref="H2191:L2219 J2220:L2220">
    <cfRule type="dataBar" priority="422">
      <dataBar>
        <cfvo type="min"/>
        <cfvo type="max"/>
        <color rgb="FFFFB628"/>
      </dataBar>
    </cfRule>
  </conditionalFormatting>
  <conditionalFormatting sqref="H2191:L2220">
    <cfRule type="dataBar" priority="416">
      <dataBar>
        <cfvo type="min"/>
        <cfvo type="max"/>
        <color rgb="FFFFB628"/>
      </dataBar>
    </cfRule>
    <cfRule type="dataBar" priority="421">
      <dataBar>
        <cfvo type="min"/>
        <cfvo type="max"/>
        <color rgb="FFFFB628"/>
      </dataBar>
    </cfRule>
  </conditionalFormatting>
  <conditionalFormatting sqref="H2219:L2219">
    <cfRule type="dataBar" priority="414">
      <dataBar>
        <cfvo type="min"/>
        <cfvo type="max"/>
        <color rgb="FFFFB628"/>
      </dataBar>
    </cfRule>
  </conditionalFormatting>
  <conditionalFormatting sqref="H2220:L2220">
    <cfRule type="dataBar" priority="420">
      <dataBar>
        <cfvo type="min"/>
        <cfvo type="max"/>
        <color rgb="FFFFB628"/>
      </dataBar>
    </cfRule>
  </conditionalFormatting>
  <conditionalFormatting sqref="H2222:L2250 J2251:L2251">
    <cfRule type="dataBar" priority="410">
      <dataBar>
        <cfvo type="min"/>
        <cfvo type="max"/>
        <color rgb="FFFFB628"/>
      </dataBar>
    </cfRule>
  </conditionalFormatting>
  <conditionalFormatting sqref="H2222:L2251">
    <cfRule type="dataBar" priority="409">
      <dataBar>
        <cfvo type="min"/>
        <cfvo type="max"/>
        <color rgb="FFFFB628"/>
      </dataBar>
    </cfRule>
    <cfRule type="dataBar" priority="404">
      <dataBar>
        <cfvo type="min"/>
        <cfvo type="max"/>
        <color rgb="FFFFB628"/>
      </dataBar>
    </cfRule>
  </conditionalFormatting>
  <conditionalFormatting sqref="H2250:L2250">
    <cfRule type="dataBar" priority="402">
      <dataBar>
        <cfvo type="min"/>
        <cfvo type="max"/>
        <color rgb="FFFFB628"/>
      </dataBar>
    </cfRule>
  </conditionalFormatting>
  <conditionalFormatting sqref="H2251:L2251">
    <cfRule type="dataBar" priority="408">
      <dataBar>
        <cfvo type="min"/>
        <cfvo type="max"/>
        <color rgb="FFFFB628"/>
      </dataBar>
    </cfRule>
  </conditionalFormatting>
  <conditionalFormatting sqref="H2253:L2253">
    <cfRule type="dataBar" priority="223">
      <dataBar>
        <cfvo type="min"/>
        <cfvo type="max"/>
        <color rgb="FFFFB628"/>
      </dataBar>
    </cfRule>
    <cfRule type="dataBar" priority="222">
      <dataBar>
        <cfvo type="min"/>
        <cfvo type="max"/>
        <color rgb="FFFFB628"/>
      </dataBar>
    </cfRule>
    <cfRule type="dataBar" priority="221">
      <dataBar>
        <cfvo type="min"/>
        <cfvo type="max"/>
        <color rgb="FFFFB628"/>
      </dataBar>
    </cfRule>
  </conditionalFormatting>
  <conditionalFormatting sqref="H2254:L2257 H2259:L2264 H2266:L2269 H2271:L2276 H2278:L2280 H2282:L2282">
    <cfRule type="dataBar" priority="392">
      <dataBar>
        <cfvo type="min"/>
        <cfvo type="max"/>
        <color rgb="FFFFB628"/>
      </dataBar>
    </cfRule>
    <cfRule type="dataBar" priority="397">
      <dataBar>
        <cfvo type="min"/>
        <cfvo type="max"/>
        <color rgb="FFFFB628"/>
      </dataBar>
    </cfRule>
  </conditionalFormatting>
  <conditionalFormatting sqref="H2254:L2257 H2259:L2264 H2266:L2269 H2271:L2276 H2278:L2280 J2282:L2282">
    <cfRule type="dataBar" priority="398">
      <dataBar>
        <cfvo type="min"/>
        <cfvo type="max"/>
        <color rgb="FFFFB628"/>
      </dataBar>
    </cfRule>
  </conditionalFormatting>
  <conditionalFormatting sqref="H2258:L2258">
    <cfRule type="dataBar" priority="213">
      <dataBar>
        <cfvo type="min"/>
        <cfvo type="max"/>
        <color rgb="FFFFB628"/>
      </dataBar>
    </cfRule>
    <cfRule type="dataBar" priority="212">
      <dataBar>
        <cfvo type="min"/>
        <cfvo type="max"/>
        <color rgb="FFFFB628"/>
      </dataBar>
    </cfRule>
    <cfRule type="dataBar" priority="211">
      <dataBar>
        <cfvo type="min"/>
        <cfvo type="max"/>
        <color rgb="FFFFB628"/>
      </dataBar>
    </cfRule>
  </conditionalFormatting>
  <conditionalFormatting sqref="H2265:L2265">
    <cfRule type="dataBar" priority="203">
      <dataBar>
        <cfvo type="min"/>
        <cfvo type="max"/>
        <color rgb="FFFFB628"/>
      </dataBar>
    </cfRule>
    <cfRule type="dataBar" priority="201">
      <dataBar>
        <cfvo type="min"/>
        <cfvo type="max"/>
        <color rgb="FFFFB628"/>
      </dataBar>
    </cfRule>
    <cfRule type="dataBar" priority="202">
      <dataBar>
        <cfvo type="min"/>
        <cfvo type="max"/>
        <color rgb="FFFFB628"/>
      </dataBar>
    </cfRule>
  </conditionalFormatting>
  <conditionalFormatting sqref="H2270:L2270">
    <cfRule type="dataBar" priority="191">
      <dataBar>
        <cfvo type="min"/>
        <cfvo type="max"/>
        <color rgb="FFFFB628"/>
      </dataBar>
    </cfRule>
    <cfRule type="dataBar" priority="193">
      <dataBar>
        <cfvo type="min"/>
        <cfvo type="max"/>
        <color rgb="FFFFB628"/>
      </dataBar>
    </cfRule>
    <cfRule type="dataBar" priority="192">
      <dataBar>
        <cfvo type="min"/>
        <cfvo type="max"/>
        <color rgb="FFFFB628"/>
      </dataBar>
    </cfRule>
  </conditionalFormatting>
  <conditionalFormatting sqref="H2277:L2277">
    <cfRule type="dataBar" priority="183">
      <dataBar>
        <cfvo type="min"/>
        <cfvo type="max"/>
        <color rgb="FFFFB628"/>
      </dataBar>
    </cfRule>
    <cfRule type="dataBar" priority="181">
      <dataBar>
        <cfvo type="min"/>
        <cfvo type="max"/>
        <color rgb="FFFFB628"/>
      </dataBar>
    </cfRule>
    <cfRule type="dataBar" priority="182">
      <dataBar>
        <cfvo type="min"/>
        <cfvo type="max"/>
        <color rgb="FFFFB628"/>
      </dataBar>
    </cfRule>
  </conditionalFormatting>
  <conditionalFormatting sqref="H2281:L2281">
    <cfRule type="dataBar" priority="171">
      <dataBar>
        <cfvo type="min"/>
        <cfvo type="max"/>
        <color rgb="FFFFB628"/>
      </dataBar>
    </cfRule>
    <cfRule type="dataBar" priority="172">
      <dataBar>
        <cfvo type="min"/>
        <cfvo type="max"/>
        <color rgb="FFFFB628"/>
      </dataBar>
    </cfRule>
    <cfRule type="dataBar" priority="173">
      <dataBar>
        <cfvo type="min"/>
        <cfvo type="max"/>
        <color rgb="FFFFB628"/>
      </dataBar>
    </cfRule>
  </conditionalFormatting>
  <conditionalFormatting sqref="H2282:L2282">
    <cfRule type="dataBar" priority="396">
      <dataBar>
        <cfvo type="min"/>
        <cfvo type="max"/>
        <color rgb="FFFFB628"/>
      </dataBar>
    </cfRule>
  </conditionalFormatting>
  <conditionalFormatting sqref="H2284:L2287 H2288:H2312 H2314:L2317 H2318:H2342 H2344:L2347 H2348:H2372 H2374:L2377 H2378:H2402 I2288:L2313 I2318:L2343 I2348:L2373 I2378:L2403">
    <cfRule type="dataBar" priority="387">
      <dataBar>
        <cfvo type="min"/>
        <cfvo type="max"/>
        <color rgb="FFFFB628"/>
      </dataBar>
    </cfRule>
  </conditionalFormatting>
  <conditionalFormatting sqref="H2284:L2403">
    <cfRule type="dataBar" priority="381">
      <dataBar>
        <cfvo type="min"/>
        <cfvo type="max"/>
        <color rgb="FFFFB628"/>
      </dataBar>
    </cfRule>
  </conditionalFormatting>
  <conditionalFormatting sqref="H2314:L2403">
    <cfRule type="dataBar" priority="386">
      <dataBar>
        <cfvo type="min"/>
        <cfvo type="max"/>
        <color rgb="FFFFB628"/>
      </dataBar>
    </cfRule>
  </conditionalFormatting>
  <conditionalFormatting sqref="H2404:L2404 H2435:L2435 H2526:L2526">
    <cfRule type="dataBar" priority="495">
      <dataBar>
        <cfvo type="min"/>
        <cfvo type="max"/>
        <color rgb="FFFFB628"/>
      </dataBar>
    </cfRule>
    <cfRule type="dataBar" priority="496">
      <dataBar>
        <cfvo type="min"/>
        <cfvo type="max"/>
        <color rgb="FFFFB628"/>
      </dataBar>
    </cfRule>
    <cfRule type="dataBar" priority="497">
      <dataBar>
        <cfvo type="min"/>
        <cfvo type="max"/>
        <color rgb="FFFFB628"/>
      </dataBar>
    </cfRule>
    <cfRule type="dataBar" priority="498">
      <dataBar>
        <cfvo type="min"/>
        <cfvo type="max"/>
        <color rgb="FFFFB628"/>
      </dataBar>
    </cfRule>
  </conditionalFormatting>
  <conditionalFormatting sqref="H2405:L2408 H2409:H2433 I2409:L2434">
    <cfRule type="dataBar" priority="365">
      <dataBar>
        <cfvo type="min"/>
        <cfvo type="max"/>
        <color rgb="FFFFB628"/>
      </dataBar>
    </cfRule>
  </conditionalFormatting>
  <conditionalFormatting sqref="H2405:L2434">
    <cfRule type="dataBar" priority="363">
      <dataBar>
        <cfvo type="min"/>
        <cfvo type="max"/>
        <color rgb="FFFFB628"/>
      </dataBar>
    </cfRule>
    <cfRule type="dataBar" priority="364">
      <dataBar>
        <cfvo type="min"/>
        <cfvo type="max"/>
        <color rgb="FFFFB628"/>
      </dataBar>
    </cfRule>
  </conditionalFormatting>
  <conditionalFormatting sqref="H2436:L2439 H2440:H2464 H2466:L2469 H2470:H2494 H2496:L2499 H2500:H2524 I2440:L2465 I2470:L2495 I2500:L2525">
    <cfRule type="dataBar" priority="491">
      <dataBar>
        <cfvo type="min"/>
        <cfvo type="max"/>
        <color rgb="FFFFB628"/>
      </dataBar>
    </cfRule>
  </conditionalFormatting>
  <conditionalFormatting sqref="H2436:L2525">
    <cfRule type="dataBar" priority="489">
      <dataBar>
        <cfvo type="min"/>
        <cfvo type="max"/>
        <color rgb="FFFFB628"/>
      </dataBar>
    </cfRule>
  </conditionalFormatting>
  <conditionalFormatting sqref="H2466:L2525">
    <cfRule type="dataBar" priority="490">
      <dataBar>
        <cfvo type="min"/>
        <cfvo type="max"/>
        <color rgb="FFFFB628"/>
      </dataBar>
    </cfRule>
  </conditionalFormatting>
  <conditionalFormatting sqref="H2527:L2527">
    <cfRule type="dataBar" priority="161">
      <dataBar>
        <cfvo type="min"/>
        <cfvo type="max"/>
        <color rgb="FFFFB628"/>
      </dataBar>
    </cfRule>
    <cfRule type="dataBar" priority="162">
      <dataBar>
        <cfvo type="min"/>
        <cfvo type="max"/>
        <color rgb="FFFFB628"/>
      </dataBar>
    </cfRule>
    <cfRule type="dataBar" priority="163">
      <dataBar>
        <cfvo type="min"/>
        <cfvo type="max"/>
        <color rgb="FFFFB628"/>
      </dataBar>
    </cfRule>
  </conditionalFormatting>
  <conditionalFormatting sqref="H2528:L2531 H2533:L2538 H2540:L2543 H2545:L2550 H2552:L2554 H2556:L2556 H2558:L2561 H2563:L2568 H2570:L2573 H2575:L2580 H2582:L2584 H2586:L2586">
    <cfRule type="dataBar" priority="335">
      <dataBar>
        <cfvo type="min"/>
        <cfvo type="max"/>
        <color rgb="FFFFB628"/>
      </dataBar>
    </cfRule>
    <cfRule type="dataBar" priority="336">
      <dataBar>
        <cfvo type="min"/>
        <cfvo type="max"/>
        <color rgb="FFFFB628"/>
      </dataBar>
    </cfRule>
  </conditionalFormatting>
  <conditionalFormatting sqref="H2528:L2531 H2533:L2538 H2540:L2543 H2545:L2550 H2552:L2554 H2558:L2561 H2563:L2568 H2570:L2573 H2575:L2580 H2582:L2584 I2556:L2556 I2586:L2586">
    <cfRule type="dataBar" priority="337">
      <dataBar>
        <cfvo type="min"/>
        <cfvo type="max"/>
        <color rgb="FFFFB628"/>
      </dataBar>
    </cfRule>
  </conditionalFormatting>
  <conditionalFormatting sqref="H2532:L2532">
    <cfRule type="dataBar" priority="152">
      <dataBar>
        <cfvo type="min"/>
        <cfvo type="max"/>
        <color rgb="FFFFB628"/>
      </dataBar>
    </cfRule>
    <cfRule type="dataBar" priority="153">
      <dataBar>
        <cfvo type="min"/>
        <cfvo type="max"/>
        <color rgb="FFFFB628"/>
      </dataBar>
    </cfRule>
    <cfRule type="dataBar" priority="151">
      <dataBar>
        <cfvo type="min"/>
        <cfvo type="max"/>
        <color rgb="FFFFB628"/>
      </dataBar>
    </cfRule>
  </conditionalFormatting>
  <conditionalFormatting sqref="H2539:L2539">
    <cfRule type="dataBar" priority="141">
      <dataBar>
        <cfvo type="min"/>
        <cfvo type="max"/>
        <color rgb="FFFFB628"/>
      </dataBar>
    </cfRule>
    <cfRule type="dataBar" priority="142">
      <dataBar>
        <cfvo type="min"/>
        <cfvo type="max"/>
        <color rgb="FFFFB628"/>
      </dataBar>
    </cfRule>
    <cfRule type="dataBar" priority="143">
      <dataBar>
        <cfvo type="min"/>
        <cfvo type="max"/>
        <color rgb="FFFFB628"/>
      </dataBar>
    </cfRule>
  </conditionalFormatting>
  <conditionalFormatting sqref="H2544:L2544">
    <cfRule type="dataBar" priority="131">
      <dataBar>
        <cfvo type="min"/>
        <cfvo type="max"/>
        <color rgb="FFFFB628"/>
      </dataBar>
    </cfRule>
    <cfRule type="dataBar" priority="133">
      <dataBar>
        <cfvo type="min"/>
        <cfvo type="max"/>
        <color rgb="FFFFB628"/>
      </dataBar>
    </cfRule>
    <cfRule type="dataBar" priority="132">
      <dataBar>
        <cfvo type="min"/>
        <cfvo type="max"/>
        <color rgb="FFFFB628"/>
      </dataBar>
    </cfRule>
  </conditionalFormatting>
  <conditionalFormatting sqref="H2551:L2551">
    <cfRule type="dataBar" priority="123">
      <dataBar>
        <cfvo type="min"/>
        <cfvo type="max"/>
        <color rgb="FFFFB628"/>
      </dataBar>
    </cfRule>
    <cfRule type="dataBar" priority="122">
      <dataBar>
        <cfvo type="min"/>
        <cfvo type="max"/>
        <color rgb="FFFFB628"/>
      </dataBar>
    </cfRule>
    <cfRule type="dataBar" priority="121">
      <dataBar>
        <cfvo type="min"/>
        <cfvo type="max"/>
        <color rgb="FFFFB628"/>
      </dataBar>
    </cfRule>
  </conditionalFormatting>
  <conditionalFormatting sqref="H2555:L2555">
    <cfRule type="dataBar" priority="113">
      <dataBar>
        <cfvo type="min"/>
        <cfvo type="max"/>
        <color rgb="FFFFB628"/>
      </dataBar>
    </cfRule>
    <cfRule type="dataBar" priority="112">
      <dataBar>
        <cfvo type="min"/>
        <cfvo type="max"/>
        <color rgb="FFFFB628"/>
      </dataBar>
    </cfRule>
    <cfRule type="dataBar" priority="111">
      <dataBar>
        <cfvo type="min"/>
        <cfvo type="max"/>
        <color rgb="FFFFB628"/>
      </dataBar>
    </cfRule>
  </conditionalFormatting>
  <conditionalFormatting sqref="H2557:L2557">
    <cfRule type="dataBar" priority="101">
      <dataBar>
        <cfvo type="min"/>
        <cfvo type="max"/>
        <color rgb="FFFFB628"/>
      </dataBar>
    </cfRule>
    <cfRule type="dataBar" priority="102">
      <dataBar>
        <cfvo type="min"/>
        <cfvo type="max"/>
        <color rgb="FFFFB628"/>
      </dataBar>
    </cfRule>
    <cfRule type="dataBar" priority="103">
      <dataBar>
        <cfvo type="min"/>
        <cfvo type="max"/>
        <color rgb="FFFFB628"/>
      </dataBar>
    </cfRule>
  </conditionalFormatting>
  <conditionalFormatting sqref="H2562:L2562">
    <cfRule type="dataBar" priority="91">
      <dataBar>
        <cfvo type="min"/>
        <cfvo type="max"/>
        <color rgb="FFFFB628"/>
      </dataBar>
    </cfRule>
    <cfRule type="dataBar" priority="93">
      <dataBar>
        <cfvo type="min"/>
        <cfvo type="max"/>
        <color rgb="FFFFB628"/>
      </dataBar>
    </cfRule>
    <cfRule type="dataBar" priority="92">
      <dataBar>
        <cfvo type="min"/>
        <cfvo type="max"/>
        <color rgb="FFFFB628"/>
      </dataBar>
    </cfRule>
  </conditionalFormatting>
  <conditionalFormatting sqref="H2569:L2569">
    <cfRule type="dataBar" priority="83">
      <dataBar>
        <cfvo type="min"/>
        <cfvo type="max"/>
        <color rgb="FFFFB628"/>
      </dataBar>
    </cfRule>
    <cfRule type="dataBar" priority="82">
      <dataBar>
        <cfvo type="min"/>
        <cfvo type="max"/>
        <color rgb="FFFFB628"/>
      </dataBar>
    </cfRule>
    <cfRule type="dataBar" priority="81">
      <dataBar>
        <cfvo type="min"/>
        <cfvo type="max"/>
        <color rgb="FFFFB628"/>
      </dataBar>
    </cfRule>
  </conditionalFormatting>
  <conditionalFormatting sqref="H2574:L2574">
    <cfRule type="dataBar" priority="73">
      <dataBar>
        <cfvo type="min"/>
        <cfvo type="max"/>
        <color rgb="FFFFB628"/>
      </dataBar>
    </cfRule>
    <cfRule type="dataBar" priority="71">
      <dataBar>
        <cfvo type="min"/>
        <cfvo type="max"/>
        <color rgb="FFFFB628"/>
      </dataBar>
    </cfRule>
    <cfRule type="dataBar" priority="72">
      <dataBar>
        <cfvo type="min"/>
        <cfvo type="max"/>
        <color rgb="FFFFB628"/>
      </dataBar>
    </cfRule>
  </conditionalFormatting>
  <conditionalFormatting sqref="H2581:L2581">
    <cfRule type="dataBar" priority="63">
      <dataBar>
        <cfvo type="min"/>
        <cfvo type="max"/>
        <color rgb="FFFFB628"/>
      </dataBar>
    </cfRule>
    <cfRule type="dataBar" priority="61">
      <dataBar>
        <cfvo type="min"/>
        <cfvo type="max"/>
        <color rgb="FFFFB628"/>
      </dataBar>
    </cfRule>
    <cfRule type="dataBar" priority="62">
      <dataBar>
        <cfvo type="min"/>
        <cfvo type="max"/>
        <color rgb="FFFFB628"/>
      </dataBar>
    </cfRule>
  </conditionalFormatting>
  <conditionalFormatting sqref="H2585:L2585">
    <cfRule type="dataBar" priority="52">
      <dataBar>
        <cfvo type="min"/>
        <cfvo type="max"/>
        <color rgb="FFFFB628"/>
      </dataBar>
    </cfRule>
    <cfRule type="dataBar" priority="51">
      <dataBar>
        <cfvo type="min"/>
        <cfvo type="max"/>
        <color rgb="FFFFB628"/>
      </dataBar>
    </cfRule>
    <cfRule type="dataBar" priority="53">
      <dataBar>
        <cfvo type="min"/>
        <cfvo type="max"/>
        <color rgb="FFFFB628"/>
      </dataBar>
    </cfRule>
  </conditionalFormatting>
  <conditionalFormatting sqref="H2587:L2587">
    <cfRule type="dataBar" priority="322">
      <dataBar>
        <cfvo type="min"/>
        <cfvo type="max"/>
        <color rgb="FFFFB628"/>
      </dataBar>
    </cfRule>
    <cfRule type="dataBar" priority="321">
      <dataBar>
        <cfvo type="min"/>
        <cfvo type="max"/>
        <color rgb="FFFFB628"/>
      </dataBar>
    </cfRule>
    <cfRule type="dataBar" priority="323">
      <dataBar>
        <cfvo type="min"/>
        <cfvo type="max"/>
        <color rgb="FFFFB628"/>
      </dataBar>
    </cfRule>
    <cfRule type="dataBar" priority="324">
      <dataBar>
        <cfvo type="min"/>
        <cfvo type="max"/>
        <color rgb="FFFFB628"/>
      </dataBar>
    </cfRule>
  </conditionalFormatting>
  <conditionalFormatting sqref="J2312:L2312 H2312">
    <cfRule type="dataBar" priority="379">
      <dataBar>
        <cfvo type="min"/>
        <cfvo type="max"/>
        <color rgb="FFFFB628"/>
      </dataBar>
    </cfRule>
  </conditionalFormatting>
  <conditionalFormatting sqref="J2313:L2313 H2313">
    <cfRule type="dataBar" priority="385">
      <dataBar>
        <cfvo type="min"/>
        <cfvo type="max"/>
        <color rgb="FFFFB628"/>
      </dataBar>
    </cfRule>
  </conditionalFormatting>
  <conditionalFormatting sqref="J2342:L2342 H2342">
    <cfRule type="dataBar" priority="370">
      <dataBar>
        <cfvo type="min"/>
        <cfvo type="max"/>
        <color rgb="FFFFB628"/>
      </dataBar>
    </cfRule>
  </conditionalFormatting>
  <conditionalFormatting sqref="J2372:L2372 H2372">
    <cfRule type="dataBar" priority="368">
      <dataBar>
        <cfvo type="min"/>
        <cfvo type="max"/>
        <color rgb="FFFFB628"/>
      </dataBar>
    </cfRule>
  </conditionalFormatting>
  <conditionalFormatting sqref="J2402:L2402 H2402">
    <cfRule type="dataBar" priority="366">
      <dataBar>
        <cfvo type="min"/>
        <cfvo type="max"/>
        <color rgb="FFFFB628"/>
      </dataBar>
    </cfRule>
  </conditionalFormatting>
  <conditionalFormatting sqref="J2433:L2433 H2433">
    <cfRule type="dataBar" priority="354">
      <dataBar>
        <cfvo type="min"/>
        <cfvo type="max"/>
        <color rgb="FFFFB628"/>
      </dataBar>
    </cfRule>
  </conditionalFormatting>
  <conditionalFormatting sqref="J2434:L2434 H2434">
    <cfRule type="dataBar" priority="359">
      <dataBar>
        <cfvo type="min"/>
        <cfvo type="max"/>
        <color rgb="FFFFB628"/>
      </dataBar>
    </cfRule>
  </conditionalFormatting>
  <conditionalFormatting sqref="J2464:L2464 H2464">
    <cfRule type="dataBar" priority="345">
      <dataBar>
        <cfvo type="min"/>
        <cfvo type="max"/>
        <color rgb="FFFFB628"/>
      </dataBar>
    </cfRule>
  </conditionalFormatting>
  <conditionalFormatting sqref="J2465:L2465 H2465">
    <cfRule type="dataBar" priority="350">
      <dataBar>
        <cfvo type="min"/>
        <cfvo type="max"/>
        <color rgb="FFFFB628"/>
      </dataBar>
    </cfRule>
  </conditionalFormatting>
  <conditionalFormatting sqref="J2494:L2494 H2494">
    <cfRule type="dataBar" priority="343">
      <dataBar>
        <cfvo type="min"/>
        <cfvo type="max"/>
        <color rgb="FFFFB628"/>
      </dataBar>
    </cfRule>
  </conditionalFormatting>
  <conditionalFormatting sqref="J2524:L2524 H2524">
    <cfRule type="dataBar" priority="341">
      <dataBar>
        <cfvo type="min"/>
        <cfvo type="max"/>
        <color rgb="FFFFB628"/>
      </dataBar>
    </cfRule>
  </conditionalFormatting>
  <conditionalFormatting sqref="L823:L826">
    <cfRule type="dataBar" priority="726">
      <dataBar>
        <cfvo type="min"/>
        <cfvo type="max"/>
        <color rgb="FFFFB628"/>
      </dataBar>
    </cfRule>
  </conditionalFormatting>
  <conditionalFormatting sqref="L858:L860">
    <cfRule type="dataBar" priority="722">
      <dataBar>
        <cfvo type="min"/>
        <cfvo type="max"/>
        <color rgb="FFFFB628"/>
      </dataBar>
    </cfRule>
  </conditionalFormatting>
  <conditionalFormatting sqref="L861">
    <cfRule type="dataBar" priority="31">
      <dataBar>
        <cfvo type="min"/>
        <cfvo type="max"/>
        <color rgb="FFFFB628"/>
      </dataBar>
    </cfRule>
  </conditionalFormatting>
  <conditionalFormatting sqref="L893:L895">
    <cfRule type="dataBar" priority="718">
      <dataBar>
        <cfvo type="min"/>
        <cfvo type="max"/>
        <color rgb="FFFFB628"/>
      </dataBar>
    </cfRule>
  </conditionalFormatting>
  <conditionalFormatting sqref="L896">
    <cfRule type="dataBar" priority="27">
      <dataBar>
        <cfvo type="min"/>
        <cfvo type="max"/>
        <color rgb="FFFFB628"/>
      </dataBar>
    </cfRule>
  </conditionalFormatting>
  <conditionalFormatting sqref="L928:L930">
    <cfRule type="dataBar" priority="714">
      <dataBar>
        <cfvo type="min"/>
        <cfvo type="max"/>
        <color rgb="FFFFB628"/>
      </dataBar>
    </cfRule>
  </conditionalFormatting>
  <conditionalFormatting sqref="L931">
    <cfRule type="dataBar" priority="23">
      <dataBar>
        <cfvo type="min"/>
        <cfvo type="max"/>
        <color rgb="FFFFB628"/>
      </dataBar>
    </cfRule>
  </conditionalFormatting>
  <conditionalFormatting sqref="L934:L1082">
    <cfRule type="dataBar" priority="765">
      <dataBar>
        <cfvo type="min"/>
        <cfvo type="max"/>
        <color rgb="FFFFB628"/>
      </dataBar>
    </cfRule>
  </conditionalFormatting>
  <conditionalFormatting sqref="L1114:L1116">
    <cfRule type="dataBar" priority="710">
      <dataBar>
        <cfvo type="min"/>
        <cfvo type="max"/>
        <color rgb="FFFFB628"/>
      </dataBar>
    </cfRule>
  </conditionalFormatting>
  <conditionalFormatting sqref="L1117">
    <cfRule type="dataBar" priority="19">
      <dataBar>
        <cfvo type="min"/>
        <cfvo type="max"/>
        <color rgb="FFFFB628"/>
      </dataBar>
    </cfRule>
  </conditionalFormatting>
  <conditionalFormatting sqref="L1149:L1151">
    <cfRule type="dataBar" priority="706">
      <dataBar>
        <cfvo type="min"/>
        <cfvo type="max"/>
        <color rgb="FFFFB628"/>
      </dataBar>
    </cfRule>
  </conditionalFormatting>
  <conditionalFormatting sqref="L1152">
    <cfRule type="dataBar" priority="15">
      <dataBar>
        <cfvo type="min"/>
        <cfvo type="max"/>
        <color rgb="FFFFB628"/>
      </dataBar>
    </cfRule>
  </conditionalFormatting>
  <conditionalFormatting sqref="L1918">
    <cfRule type="dataBar" priority="503">
      <dataBar>
        <cfvo type="min"/>
        <cfvo type="max"/>
        <color rgb="FFFFB628"/>
      </dataBar>
    </cfRule>
  </conditionalFormatting>
  <conditionalFormatting sqref="L2130">
    <cfRule type="dataBar" priority="277">
      <dataBar>
        <cfvo type="min"/>
        <cfvo type="max"/>
        <color rgb="FFFFB628"/>
      </dataBar>
    </cfRule>
  </conditionalFormatting>
  <conditionalFormatting sqref="L2135">
    <cfRule type="dataBar" priority="267">
      <dataBar>
        <cfvo type="min"/>
        <cfvo type="max"/>
        <color rgb="FFFFB628"/>
      </dataBar>
    </cfRule>
  </conditionalFormatting>
  <conditionalFormatting sqref="L2142">
    <cfRule type="dataBar" priority="257">
      <dataBar>
        <cfvo type="min"/>
        <cfvo type="max"/>
        <color rgb="FFFFB628"/>
      </dataBar>
    </cfRule>
  </conditionalFormatting>
  <conditionalFormatting sqref="L2147">
    <cfRule type="dataBar" priority="247">
      <dataBar>
        <cfvo type="min"/>
        <cfvo type="max"/>
        <color rgb="FFFFB628"/>
      </dataBar>
    </cfRule>
  </conditionalFormatting>
  <conditionalFormatting sqref="L2154">
    <cfRule type="dataBar" priority="237">
      <dataBar>
        <cfvo type="min"/>
        <cfvo type="max"/>
        <color rgb="FFFFB628"/>
      </dataBar>
    </cfRule>
  </conditionalFormatting>
  <conditionalFormatting sqref="L2158">
    <cfRule type="dataBar" priority="227">
      <dataBar>
        <cfvo type="min"/>
        <cfvo type="max"/>
        <color rgb="FFFFB628"/>
      </dataBar>
    </cfRule>
  </conditionalFormatting>
  <conditionalFormatting sqref="L2253">
    <cfRule type="dataBar" priority="217">
      <dataBar>
        <cfvo type="min"/>
        <cfvo type="max"/>
        <color rgb="FFFFB628"/>
      </dataBar>
    </cfRule>
  </conditionalFormatting>
  <conditionalFormatting sqref="L2258">
    <cfRule type="dataBar" priority="207">
      <dataBar>
        <cfvo type="min"/>
        <cfvo type="max"/>
        <color rgb="FFFFB628"/>
      </dataBar>
    </cfRule>
  </conditionalFormatting>
  <conditionalFormatting sqref="L2265">
    <cfRule type="dataBar" priority="197">
      <dataBar>
        <cfvo type="min"/>
        <cfvo type="max"/>
        <color rgb="FFFFB628"/>
      </dataBar>
    </cfRule>
  </conditionalFormatting>
  <conditionalFormatting sqref="L2270">
    <cfRule type="dataBar" priority="187">
      <dataBar>
        <cfvo type="min"/>
        <cfvo type="max"/>
        <color rgb="FFFFB628"/>
      </dataBar>
    </cfRule>
  </conditionalFormatting>
  <conditionalFormatting sqref="L2277">
    <cfRule type="dataBar" priority="177">
      <dataBar>
        <cfvo type="min"/>
        <cfvo type="max"/>
        <color rgb="FFFFB628"/>
      </dataBar>
    </cfRule>
  </conditionalFormatting>
  <conditionalFormatting sqref="L2281">
    <cfRule type="dataBar" priority="167">
      <dataBar>
        <cfvo type="min"/>
        <cfvo type="max"/>
        <color rgb="FFFFB628"/>
      </dataBar>
    </cfRule>
  </conditionalFormatting>
  <conditionalFormatting sqref="L2527">
    <cfRule type="dataBar" priority="157">
      <dataBar>
        <cfvo type="min"/>
        <cfvo type="max"/>
        <color rgb="FFFFB628"/>
      </dataBar>
    </cfRule>
  </conditionalFormatting>
  <conditionalFormatting sqref="L2532">
    <cfRule type="dataBar" priority="147">
      <dataBar>
        <cfvo type="min"/>
        <cfvo type="max"/>
        <color rgb="FFFFB628"/>
      </dataBar>
    </cfRule>
  </conditionalFormatting>
  <conditionalFormatting sqref="L2539">
    <cfRule type="dataBar" priority="137">
      <dataBar>
        <cfvo type="min"/>
        <cfvo type="max"/>
        <color rgb="FFFFB628"/>
      </dataBar>
    </cfRule>
  </conditionalFormatting>
  <conditionalFormatting sqref="L2544">
    <cfRule type="dataBar" priority="127">
      <dataBar>
        <cfvo type="min"/>
        <cfvo type="max"/>
        <color rgb="FFFFB628"/>
      </dataBar>
    </cfRule>
  </conditionalFormatting>
  <conditionalFormatting sqref="L2551">
    <cfRule type="dataBar" priority="117">
      <dataBar>
        <cfvo type="min"/>
        <cfvo type="max"/>
        <color rgb="FFFFB628"/>
      </dataBar>
    </cfRule>
  </conditionalFormatting>
  <conditionalFormatting sqref="L2555">
    <cfRule type="dataBar" priority="107">
      <dataBar>
        <cfvo type="min"/>
        <cfvo type="max"/>
        <color rgb="FFFFB628"/>
      </dataBar>
    </cfRule>
  </conditionalFormatting>
  <conditionalFormatting sqref="L2557">
    <cfRule type="dataBar" priority="97">
      <dataBar>
        <cfvo type="min"/>
        <cfvo type="max"/>
        <color rgb="FFFFB628"/>
      </dataBar>
    </cfRule>
  </conditionalFormatting>
  <conditionalFormatting sqref="L2562">
    <cfRule type="dataBar" priority="87">
      <dataBar>
        <cfvo type="min"/>
        <cfvo type="max"/>
        <color rgb="FFFFB628"/>
      </dataBar>
    </cfRule>
  </conditionalFormatting>
  <conditionalFormatting sqref="L2569">
    <cfRule type="dataBar" priority="77">
      <dataBar>
        <cfvo type="min"/>
        <cfvo type="max"/>
        <color rgb="FFFFB628"/>
      </dataBar>
    </cfRule>
  </conditionalFormatting>
  <conditionalFormatting sqref="L2574">
    <cfRule type="dataBar" priority="67">
      <dataBar>
        <cfvo type="min"/>
        <cfvo type="max"/>
        <color rgb="FFFFB628"/>
      </dataBar>
    </cfRule>
  </conditionalFormatting>
  <conditionalFormatting sqref="L2581">
    <cfRule type="dataBar" priority="57">
      <dataBar>
        <cfvo type="min"/>
        <cfvo type="max"/>
        <color rgb="FFFFB628"/>
      </dataBar>
    </cfRule>
  </conditionalFormatting>
  <conditionalFormatting sqref="L2585">
    <cfRule type="dataBar" priority="47">
      <dataBar>
        <cfvo type="min"/>
        <cfvo type="max"/>
        <color rgb="FFFFB628"/>
      </dataBar>
    </cfRule>
  </conditionalFormatting>
  <conditionalFormatting sqref="M1:M1048576">
    <cfRule type="dataBar" priority="46">
      <dataBar>
        <cfvo type="min"/>
        <cfvo type="max"/>
        <color rgb="FF00B0F0"/>
      </dataBar>
    </cfRule>
  </conditionalFormatting>
  <conditionalFormatting sqref="M2:M179 M240:M269 M330:M359">
    <cfRule type="dataBar" priority="813">
      <dataBar>
        <cfvo type="min"/>
        <cfvo type="max"/>
        <color rgb="FF3FCDFF"/>
      </dataBar>
    </cfRule>
  </conditionalFormatting>
  <conditionalFormatting sqref="M180:M239">
    <cfRule type="dataBar" priority="791">
      <dataBar>
        <cfvo type="min"/>
        <cfvo type="max"/>
        <color rgb="FF00B0F0"/>
      </dataBar>
    </cfRule>
    <cfRule type="dataBar" priority="790">
      <dataBar>
        <cfvo type="min"/>
        <cfvo type="max"/>
        <color rgb="FF00B0F0"/>
      </dataBar>
    </cfRule>
    <cfRule type="dataBar" priority="792">
      <dataBar>
        <cfvo type="min"/>
        <cfvo type="max"/>
        <color rgb="FF008AEF"/>
      </dataBar>
    </cfRule>
    <cfRule type="dataBar" priority="793">
      <dataBar>
        <cfvo type="min"/>
        <cfvo type="max"/>
        <color rgb="FF3FCDFF"/>
      </dataBar>
    </cfRule>
    <cfRule type="dataBar" priority="794">
      <dataBar>
        <cfvo type="min"/>
        <cfvo type="max"/>
        <color rgb="FF00B0F0"/>
      </dataBar>
    </cfRule>
    <cfRule type="dataBar" priority="795">
      <dataBar>
        <cfvo type="min"/>
        <cfvo type="max"/>
        <color rgb="FF008AEF"/>
      </dataBar>
    </cfRule>
  </conditionalFormatting>
  <conditionalFormatting sqref="M270:M329">
    <cfRule type="dataBar" priority="786">
      <dataBar>
        <cfvo type="min"/>
        <cfvo type="max"/>
        <color rgb="FF008AEF"/>
      </dataBar>
    </cfRule>
    <cfRule type="dataBar" priority="785">
      <dataBar>
        <cfvo type="min"/>
        <cfvo type="max"/>
        <color rgb="FF00B0F0"/>
      </dataBar>
    </cfRule>
    <cfRule type="dataBar" priority="784">
      <dataBar>
        <cfvo type="min"/>
        <cfvo type="max"/>
        <color rgb="FF3FCDFF"/>
      </dataBar>
    </cfRule>
    <cfRule type="dataBar" priority="783">
      <dataBar>
        <cfvo type="min"/>
        <cfvo type="max"/>
        <color rgb="FF008AEF"/>
      </dataBar>
    </cfRule>
    <cfRule type="dataBar" priority="782">
      <dataBar>
        <cfvo type="min"/>
        <cfvo type="max"/>
        <color rgb="FF00B0F0"/>
      </dataBar>
    </cfRule>
    <cfRule type="dataBar" priority="781">
      <dataBar>
        <cfvo type="min"/>
        <cfvo type="max"/>
        <color rgb="FF00B0F0"/>
      </dataBar>
    </cfRule>
  </conditionalFormatting>
  <conditionalFormatting sqref="M360:M419">
    <cfRule type="dataBar" priority="776">
      <dataBar>
        <cfvo type="min"/>
        <cfvo type="max"/>
        <color rgb="FF00B0F0"/>
      </dataBar>
    </cfRule>
    <cfRule type="dataBar" priority="775">
      <dataBar>
        <cfvo type="min"/>
        <cfvo type="max"/>
        <color rgb="FF3FCDFF"/>
      </dataBar>
    </cfRule>
    <cfRule type="dataBar" priority="774">
      <dataBar>
        <cfvo type="min"/>
        <cfvo type="max"/>
        <color rgb="FF008AEF"/>
      </dataBar>
    </cfRule>
    <cfRule type="dataBar" priority="773">
      <dataBar>
        <cfvo type="min"/>
        <cfvo type="max"/>
        <color rgb="FF00B0F0"/>
      </dataBar>
    </cfRule>
    <cfRule type="dataBar" priority="772">
      <dataBar>
        <cfvo type="min"/>
        <cfvo type="max"/>
        <color rgb="FF00B0F0"/>
      </dataBar>
    </cfRule>
    <cfRule type="dataBar" priority="777">
      <dataBar>
        <cfvo type="min"/>
        <cfvo type="max"/>
        <color rgb="FF008AEF"/>
      </dataBar>
    </cfRule>
  </conditionalFormatting>
  <conditionalFormatting sqref="M420:M792">
    <cfRule type="dataBar" priority="755">
      <dataBar>
        <cfvo type="min"/>
        <cfvo type="max"/>
        <color rgb="FF008AEF"/>
      </dataBar>
    </cfRule>
    <cfRule type="dataBar" priority="758">
      <dataBar>
        <cfvo type="min"/>
        <cfvo type="max"/>
        <color rgb="FF008AEF"/>
      </dataBar>
    </cfRule>
    <cfRule type="dataBar" priority="756">
      <dataBar>
        <cfvo type="min"/>
        <cfvo type="max"/>
        <color rgb="FF3FCDFF"/>
      </dataBar>
    </cfRule>
    <cfRule type="dataBar" priority="754">
      <dataBar>
        <cfvo type="min"/>
        <cfvo type="max"/>
        <color rgb="FF00B0F0"/>
      </dataBar>
    </cfRule>
    <cfRule type="dataBar" priority="753">
      <dataBar>
        <cfvo type="min"/>
        <cfvo type="max"/>
        <color rgb="FF00B0F0"/>
      </dataBar>
    </cfRule>
    <cfRule type="dataBar" priority="757">
      <dataBar>
        <cfvo type="min"/>
        <cfvo type="max"/>
        <color rgb="FF00B0F0"/>
      </dataBar>
    </cfRule>
  </conditionalFormatting>
  <conditionalFormatting sqref="M793:M822">
    <cfRule type="dataBar" priority="705">
      <dataBar>
        <cfvo type="min"/>
        <cfvo type="max"/>
        <color rgb="FF3FCDFF"/>
      </dataBar>
    </cfRule>
  </conditionalFormatting>
  <conditionalFormatting sqref="M823:M826">
    <cfRule type="dataBar" priority="727">
      <dataBar>
        <cfvo type="min"/>
        <cfvo type="max"/>
        <color rgb="FF00B0F0"/>
      </dataBar>
    </cfRule>
    <cfRule type="dataBar" priority="729">
      <dataBar>
        <cfvo type="min"/>
        <cfvo type="max"/>
        <color rgb="FF3FCDFF"/>
      </dataBar>
    </cfRule>
    <cfRule type="dataBar" priority="728">
      <dataBar>
        <cfvo type="min"/>
        <cfvo type="max"/>
        <color rgb="FF008AEF"/>
      </dataBar>
    </cfRule>
  </conditionalFormatting>
  <conditionalFormatting sqref="M823:M827 M858:M862 M893:M897 M928:M1083 M1114:M1118 M1149:M1153">
    <cfRule type="dataBar" priority="763">
      <dataBar>
        <cfvo type="min"/>
        <cfvo type="max"/>
        <color rgb="FF00B0F0"/>
      </dataBar>
    </cfRule>
    <cfRule type="dataBar" priority="764">
      <dataBar>
        <cfvo type="min"/>
        <cfvo type="max"/>
        <color rgb="FF008AEF"/>
      </dataBar>
    </cfRule>
    <cfRule type="dataBar" priority="762">
      <dataBar>
        <cfvo type="min"/>
        <cfvo type="max"/>
        <color rgb="FF00B0F0"/>
      </dataBar>
    </cfRule>
  </conditionalFormatting>
  <conditionalFormatting sqref="M828:M857">
    <cfRule type="dataBar" priority="703">
      <dataBar>
        <cfvo type="min"/>
        <cfvo type="max"/>
        <color rgb="FF3FCDFF"/>
      </dataBar>
    </cfRule>
  </conditionalFormatting>
  <conditionalFormatting sqref="M858:M860">
    <cfRule type="dataBar" priority="724">
      <dataBar>
        <cfvo type="min"/>
        <cfvo type="max"/>
        <color rgb="FF008AEF"/>
      </dataBar>
    </cfRule>
    <cfRule type="dataBar" priority="725">
      <dataBar>
        <cfvo type="min"/>
        <cfvo type="max"/>
        <color rgb="FF3FCDFF"/>
      </dataBar>
    </cfRule>
    <cfRule type="dataBar" priority="723">
      <dataBar>
        <cfvo type="min"/>
        <cfvo type="max"/>
        <color rgb="FF00B0F0"/>
      </dataBar>
    </cfRule>
  </conditionalFormatting>
  <conditionalFormatting sqref="M861">
    <cfRule type="dataBar" priority="34">
      <dataBar>
        <cfvo type="min"/>
        <cfvo type="max"/>
        <color rgb="FF3FCDFF"/>
      </dataBar>
    </cfRule>
    <cfRule type="dataBar" priority="32">
      <dataBar>
        <cfvo type="min"/>
        <cfvo type="max"/>
        <color rgb="FF00B0F0"/>
      </dataBar>
    </cfRule>
    <cfRule type="dataBar" priority="33">
      <dataBar>
        <cfvo type="min"/>
        <cfvo type="max"/>
        <color rgb="FF008AEF"/>
      </dataBar>
    </cfRule>
  </conditionalFormatting>
  <conditionalFormatting sqref="M862 M827 M897 M932:M933">
    <cfRule type="dataBar" priority="747">
      <dataBar>
        <cfvo type="min"/>
        <cfvo type="max"/>
        <color rgb="FF00B0F0"/>
      </dataBar>
    </cfRule>
    <cfRule type="dataBar" priority="748">
      <dataBar>
        <cfvo type="min"/>
        <cfvo type="max"/>
        <color rgb="FF008AEF"/>
      </dataBar>
    </cfRule>
    <cfRule type="dataBar" priority="749">
      <dataBar>
        <cfvo type="min"/>
        <cfvo type="max"/>
        <color rgb="FF3FCDFF"/>
      </dataBar>
    </cfRule>
  </conditionalFormatting>
  <conditionalFormatting sqref="M863:M892">
    <cfRule type="dataBar" priority="701">
      <dataBar>
        <cfvo type="min"/>
        <cfvo type="max"/>
        <color rgb="FF3FCDFF"/>
      </dataBar>
    </cfRule>
  </conditionalFormatting>
  <conditionalFormatting sqref="M893:M895">
    <cfRule type="dataBar" priority="721">
      <dataBar>
        <cfvo type="min"/>
        <cfvo type="max"/>
        <color rgb="FF3FCDFF"/>
      </dataBar>
    </cfRule>
    <cfRule type="dataBar" priority="720">
      <dataBar>
        <cfvo type="min"/>
        <cfvo type="max"/>
        <color rgb="FF008AEF"/>
      </dataBar>
    </cfRule>
    <cfRule type="dataBar" priority="719">
      <dataBar>
        <cfvo type="min"/>
        <cfvo type="max"/>
        <color rgb="FF00B0F0"/>
      </dataBar>
    </cfRule>
  </conditionalFormatting>
  <conditionalFormatting sqref="M896">
    <cfRule type="dataBar" priority="30">
      <dataBar>
        <cfvo type="min"/>
        <cfvo type="max"/>
        <color rgb="FF3FCDFF"/>
      </dataBar>
    </cfRule>
    <cfRule type="dataBar" priority="29">
      <dataBar>
        <cfvo type="min"/>
        <cfvo type="max"/>
        <color rgb="FF008AEF"/>
      </dataBar>
    </cfRule>
    <cfRule type="dataBar" priority="28">
      <dataBar>
        <cfvo type="min"/>
        <cfvo type="max"/>
        <color rgb="FF00B0F0"/>
      </dataBar>
    </cfRule>
  </conditionalFormatting>
  <conditionalFormatting sqref="M898:M927">
    <cfRule type="dataBar" priority="699">
      <dataBar>
        <cfvo type="min"/>
        <cfvo type="max"/>
        <color rgb="FF3FCDFF"/>
      </dataBar>
    </cfRule>
  </conditionalFormatting>
  <conditionalFormatting sqref="M928:M930">
    <cfRule type="dataBar" priority="716">
      <dataBar>
        <cfvo type="min"/>
        <cfvo type="max"/>
        <color rgb="FF008AEF"/>
      </dataBar>
    </cfRule>
    <cfRule type="dataBar" priority="717">
      <dataBar>
        <cfvo type="min"/>
        <cfvo type="max"/>
        <color rgb="FF3FCDFF"/>
      </dataBar>
    </cfRule>
    <cfRule type="dataBar" priority="715">
      <dataBar>
        <cfvo type="min"/>
        <cfvo type="max"/>
        <color rgb="FF00B0F0"/>
      </dataBar>
    </cfRule>
  </conditionalFormatting>
  <conditionalFormatting sqref="M931">
    <cfRule type="dataBar" priority="24">
      <dataBar>
        <cfvo type="min"/>
        <cfvo type="max"/>
        <color rgb="FF00B0F0"/>
      </dataBar>
    </cfRule>
    <cfRule type="dataBar" priority="26">
      <dataBar>
        <cfvo type="min"/>
        <cfvo type="max"/>
        <color rgb="FF3FCDFF"/>
      </dataBar>
    </cfRule>
    <cfRule type="dataBar" priority="25">
      <dataBar>
        <cfvo type="min"/>
        <cfvo type="max"/>
        <color rgb="FF008AEF"/>
      </dataBar>
    </cfRule>
  </conditionalFormatting>
  <conditionalFormatting sqref="M934:M1082">
    <cfRule type="dataBar" priority="768">
      <dataBar>
        <cfvo type="min"/>
        <cfvo type="max"/>
        <color rgb="FF3FCDFF"/>
      </dataBar>
    </cfRule>
    <cfRule type="dataBar" priority="767">
      <dataBar>
        <cfvo type="min"/>
        <cfvo type="max"/>
        <color rgb="FF008AEF"/>
      </dataBar>
    </cfRule>
    <cfRule type="dataBar" priority="766">
      <dataBar>
        <cfvo type="min"/>
        <cfvo type="max"/>
        <color rgb="FF00B0F0"/>
      </dataBar>
    </cfRule>
  </conditionalFormatting>
  <conditionalFormatting sqref="M1083">
    <cfRule type="dataBar" priority="734">
      <dataBar>
        <cfvo type="min"/>
        <cfvo type="max"/>
        <color rgb="FF3FCDFF"/>
      </dataBar>
    </cfRule>
    <cfRule type="dataBar" priority="733">
      <dataBar>
        <cfvo type="min"/>
        <cfvo type="max"/>
        <color rgb="FF008AEF"/>
      </dataBar>
    </cfRule>
    <cfRule type="dataBar" priority="732">
      <dataBar>
        <cfvo type="min"/>
        <cfvo type="max"/>
        <color rgb="FF00B0F0"/>
      </dataBar>
    </cfRule>
  </conditionalFormatting>
  <conditionalFormatting sqref="M1084:M1113">
    <cfRule type="dataBar" priority="697">
      <dataBar>
        <cfvo type="min"/>
        <cfvo type="max"/>
        <color rgb="FF3FCDFF"/>
      </dataBar>
    </cfRule>
  </conditionalFormatting>
  <conditionalFormatting sqref="M1114:M1116">
    <cfRule type="dataBar" priority="713">
      <dataBar>
        <cfvo type="min"/>
        <cfvo type="max"/>
        <color rgb="FF3FCDFF"/>
      </dataBar>
    </cfRule>
    <cfRule type="dataBar" priority="712">
      <dataBar>
        <cfvo type="min"/>
        <cfvo type="max"/>
        <color rgb="FF008AEF"/>
      </dataBar>
    </cfRule>
    <cfRule type="dataBar" priority="711">
      <dataBar>
        <cfvo type="min"/>
        <cfvo type="max"/>
        <color rgb="FF00B0F0"/>
      </dataBar>
    </cfRule>
  </conditionalFormatting>
  <conditionalFormatting sqref="M1117">
    <cfRule type="dataBar" priority="20">
      <dataBar>
        <cfvo type="min"/>
        <cfvo type="max"/>
        <color rgb="FF00B0F0"/>
      </dataBar>
    </cfRule>
    <cfRule type="dataBar" priority="21">
      <dataBar>
        <cfvo type="min"/>
        <cfvo type="max"/>
        <color rgb="FF008AEF"/>
      </dataBar>
    </cfRule>
    <cfRule type="dataBar" priority="22">
      <dataBar>
        <cfvo type="min"/>
        <cfvo type="max"/>
        <color rgb="FF3FCDFF"/>
      </dataBar>
    </cfRule>
  </conditionalFormatting>
  <conditionalFormatting sqref="M1118">
    <cfRule type="dataBar" priority="742">
      <dataBar>
        <cfvo type="min"/>
        <cfvo type="max"/>
        <color rgb="FF3FCDFF"/>
      </dataBar>
    </cfRule>
    <cfRule type="dataBar" priority="740">
      <dataBar>
        <cfvo type="min"/>
        <cfvo type="max"/>
        <color rgb="FF00B0F0"/>
      </dataBar>
    </cfRule>
    <cfRule type="dataBar" priority="741">
      <dataBar>
        <cfvo type="min"/>
        <cfvo type="max"/>
        <color rgb="FF008AEF"/>
      </dataBar>
    </cfRule>
  </conditionalFormatting>
  <conditionalFormatting sqref="M1119:M1148">
    <cfRule type="dataBar" priority="695">
      <dataBar>
        <cfvo type="min"/>
        <cfvo type="max"/>
        <color rgb="FF3FCDFF"/>
      </dataBar>
    </cfRule>
  </conditionalFormatting>
  <conditionalFormatting sqref="M1149:M1151">
    <cfRule type="dataBar" priority="709">
      <dataBar>
        <cfvo type="min"/>
        <cfvo type="max"/>
        <color rgb="FF3FCDFF"/>
      </dataBar>
    </cfRule>
    <cfRule type="dataBar" priority="708">
      <dataBar>
        <cfvo type="min"/>
        <cfvo type="max"/>
        <color rgb="FF008AEF"/>
      </dataBar>
    </cfRule>
    <cfRule type="dataBar" priority="707">
      <dataBar>
        <cfvo type="min"/>
        <cfvo type="max"/>
        <color rgb="FF00B0F0"/>
      </dataBar>
    </cfRule>
  </conditionalFormatting>
  <conditionalFormatting sqref="M1152">
    <cfRule type="dataBar" priority="17">
      <dataBar>
        <cfvo type="min"/>
        <cfvo type="max"/>
        <color rgb="FF008AEF"/>
      </dataBar>
    </cfRule>
    <cfRule type="dataBar" priority="18">
      <dataBar>
        <cfvo type="min"/>
        <cfvo type="max"/>
        <color rgb="FF3FCDFF"/>
      </dataBar>
    </cfRule>
    <cfRule type="dataBar" priority="16">
      <dataBar>
        <cfvo type="min"/>
        <cfvo type="max"/>
        <color rgb="FF00B0F0"/>
      </dataBar>
    </cfRule>
  </conditionalFormatting>
  <conditionalFormatting sqref="M1153">
    <cfRule type="dataBar" priority="736">
      <dataBar>
        <cfvo type="min"/>
        <cfvo type="max"/>
        <color rgb="FF00B0F0"/>
      </dataBar>
    </cfRule>
    <cfRule type="dataBar" priority="738">
      <dataBar>
        <cfvo type="min"/>
        <cfvo type="max"/>
        <color rgb="FF3FCDFF"/>
      </dataBar>
    </cfRule>
    <cfRule type="dataBar" priority="737">
      <dataBar>
        <cfvo type="min"/>
        <cfvo type="max"/>
        <color rgb="FF008AEF"/>
      </dataBar>
    </cfRule>
  </conditionalFormatting>
  <conditionalFormatting sqref="M1154:M1161">
    <cfRule type="dataBar" priority="690">
      <dataBar>
        <cfvo type="min"/>
        <cfvo type="max"/>
        <color rgb="FF00B0F0"/>
      </dataBar>
    </cfRule>
    <cfRule type="dataBar" priority="691">
      <dataBar>
        <cfvo type="min"/>
        <cfvo type="max"/>
        <color rgb="FF00B0F0"/>
      </dataBar>
    </cfRule>
    <cfRule type="dataBar" priority="692">
      <dataBar>
        <cfvo type="min"/>
        <cfvo type="max"/>
        <color rgb="FF638EC6"/>
      </dataBar>
    </cfRule>
    <cfRule type="dataBar" priority="693">
      <dataBar>
        <cfvo type="min"/>
        <cfvo type="max"/>
        <color rgb="FF3FCDFF"/>
      </dataBar>
    </cfRule>
  </conditionalFormatting>
  <conditionalFormatting sqref="M1162:M1191">
    <cfRule type="dataBar" priority="688">
      <dataBar>
        <cfvo type="min"/>
        <cfvo type="max"/>
        <color rgb="FF3FCDFF"/>
      </dataBar>
    </cfRule>
  </conditionalFormatting>
  <conditionalFormatting sqref="M1192:M1221">
    <cfRule type="dataBar" priority="680">
      <dataBar>
        <cfvo type="min"/>
        <cfvo type="max"/>
        <color rgb="FF3FCDFF"/>
      </dataBar>
    </cfRule>
  </conditionalFormatting>
  <conditionalFormatting sqref="M1222:M1223 M1254:M1255 M1286:M1289 M1320:M1322 M1353:M1355 M1386:M1389">
    <cfRule type="dataBar" priority="684">
      <dataBar>
        <cfvo type="min"/>
        <cfvo type="max"/>
        <color rgb="FF00B0F0"/>
      </dataBar>
    </cfRule>
    <cfRule type="dataBar" priority="683">
      <dataBar>
        <cfvo type="min"/>
        <cfvo type="max"/>
        <color rgb="FF00B0F0"/>
      </dataBar>
    </cfRule>
    <cfRule type="dataBar" priority="686">
      <dataBar>
        <cfvo type="min"/>
        <cfvo type="max"/>
        <color rgb="FF3FCDFF"/>
      </dataBar>
    </cfRule>
    <cfRule type="dataBar" priority="685">
      <dataBar>
        <cfvo type="min"/>
        <cfvo type="max"/>
        <color rgb="FF638EC6"/>
      </dataBar>
    </cfRule>
  </conditionalFormatting>
  <conditionalFormatting sqref="M1224:M1253">
    <cfRule type="dataBar" priority="678">
      <dataBar>
        <cfvo type="min"/>
        <cfvo type="max"/>
        <color rgb="FF3FCDFF"/>
      </dataBar>
    </cfRule>
  </conditionalFormatting>
  <conditionalFormatting sqref="M1256:M1285">
    <cfRule type="dataBar" priority="676">
      <dataBar>
        <cfvo type="min"/>
        <cfvo type="max"/>
        <color rgb="FF3FCDFF"/>
      </dataBar>
    </cfRule>
  </conditionalFormatting>
  <conditionalFormatting sqref="M1290:M1319">
    <cfRule type="dataBar" priority="674">
      <dataBar>
        <cfvo type="min"/>
        <cfvo type="max"/>
        <color rgb="FF3FCDFF"/>
      </dataBar>
    </cfRule>
  </conditionalFormatting>
  <conditionalFormatting sqref="M1323:M1352">
    <cfRule type="dataBar" priority="672">
      <dataBar>
        <cfvo type="min"/>
        <cfvo type="max"/>
        <color rgb="FF3FCDFF"/>
      </dataBar>
    </cfRule>
  </conditionalFormatting>
  <conditionalFormatting sqref="M1356:M1385">
    <cfRule type="dataBar" priority="670">
      <dataBar>
        <cfvo type="min"/>
        <cfvo type="max"/>
        <color rgb="FF3FCDFF"/>
      </dataBar>
    </cfRule>
  </conditionalFormatting>
  <conditionalFormatting sqref="M1390:M1419">
    <cfRule type="dataBar" priority="660">
      <dataBar>
        <cfvo type="min"/>
        <cfvo type="max"/>
        <color rgb="FF3FCDFF"/>
      </dataBar>
    </cfRule>
  </conditionalFormatting>
  <conditionalFormatting sqref="M1420:M1422 M1453:M1455 M1486:M1488 M1519:M1521">
    <cfRule type="dataBar" priority="665">
      <dataBar>
        <cfvo type="min"/>
        <cfvo type="max"/>
        <color rgb="FF00B0F0"/>
      </dataBar>
    </cfRule>
    <cfRule type="dataBar" priority="666">
      <dataBar>
        <cfvo type="min"/>
        <cfvo type="max"/>
        <color rgb="FF00B0F0"/>
      </dataBar>
    </cfRule>
    <cfRule type="dataBar" priority="667">
      <dataBar>
        <cfvo type="min"/>
        <cfvo type="max"/>
        <color rgb="FF638EC6"/>
      </dataBar>
    </cfRule>
    <cfRule type="dataBar" priority="668">
      <dataBar>
        <cfvo type="min"/>
        <cfvo type="max"/>
        <color rgb="FF3FCDFF"/>
      </dataBar>
    </cfRule>
  </conditionalFormatting>
  <conditionalFormatting sqref="M1423:M1452">
    <cfRule type="dataBar" priority="658">
      <dataBar>
        <cfvo type="min"/>
        <cfvo type="max"/>
        <color rgb="FF3FCDFF"/>
      </dataBar>
    </cfRule>
  </conditionalFormatting>
  <conditionalFormatting sqref="M1456:M1485">
    <cfRule type="dataBar" priority="656">
      <dataBar>
        <cfvo type="min"/>
        <cfvo type="max"/>
        <color rgb="FF3FCDFF"/>
      </dataBar>
    </cfRule>
  </conditionalFormatting>
  <conditionalFormatting sqref="M1489:M1518">
    <cfRule type="dataBar" priority="654">
      <dataBar>
        <cfvo type="min"/>
        <cfvo type="max"/>
        <color rgb="FF3FCDFF"/>
      </dataBar>
    </cfRule>
  </conditionalFormatting>
  <conditionalFormatting sqref="M1522:M1551">
    <cfRule type="dataBar" priority="652">
      <dataBar>
        <cfvo type="min"/>
        <cfvo type="max"/>
        <color rgb="FF3FCDFF"/>
      </dataBar>
    </cfRule>
  </conditionalFormatting>
  <conditionalFormatting sqref="M1552:M1581">
    <cfRule type="dataBar" priority="634">
      <dataBar>
        <cfvo type="min"/>
        <cfvo type="max"/>
        <color rgb="FF3FCDFF"/>
      </dataBar>
    </cfRule>
  </conditionalFormatting>
  <conditionalFormatting sqref="M1583:M1612">
    <cfRule type="dataBar" priority="632">
      <dataBar>
        <cfvo type="min"/>
        <cfvo type="max"/>
        <color rgb="FF3FCDFF"/>
      </dataBar>
    </cfRule>
  </conditionalFormatting>
  <conditionalFormatting sqref="M1613:M1614">
    <cfRule type="dataBar" priority="645">
      <dataBar>
        <cfvo type="min"/>
        <cfvo type="max"/>
        <color rgb="FF3FCDFF"/>
      </dataBar>
    </cfRule>
  </conditionalFormatting>
  <conditionalFormatting sqref="M1613:M1615 M1582 M1646:M1648 M1679 M1710:M1712 M1743:M1744">
    <cfRule type="dataBar" priority="635">
      <dataBar>
        <cfvo type="min"/>
        <cfvo type="max"/>
        <color rgb="FF00B0F0"/>
      </dataBar>
    </cfRule>
  </conditionalFormatting>
  <conditionalFormatting sqref="M1615 M1582 M1648 M1679 M1712 M1744">
    <cfRule type="dataBar" priority="649">
      <dataBar>
        <cfvo type="min"/>
        <cfvo type="max"/>
        <color rgb="FF3FCDFF"/>
      </dataBar>
    </cfRule>
    <cfRule type="dataBar" priority="647">
      <dataBar>
        <cfvo type="min"/>
        <cfvo type="max"/>
        <color rgb="FF00B0F0"/>
      </dataBar>
    </cfRule>
    <cfRule type="dataBar" priority="648">
      <dataBar>
        <cfvo type="min"/>
        <cfvo type="max"/>
        <color rgb="FF638EC6"/>
      </dataBar>
    </cfRule>
  </conditionalFormatting>
  <conditionalFormatting sqref="M1616:M1645">
    <cfRule type="dataBar" priority="630">
      <dataBar>
        <cfvo type="min"/>
        <cfvo type="max"/>
        <color rgb="FF3FCDFF"/>
      </dataBar>
    </cfRule>
  </conditionalFormatting>
  <conditionalFormatting sqref="M1646:M1647">
    <cfRule type="dataBar" priority="643">
      <dataBar>
        <cfvo type="min"/>
        <cfvo type="max"/>
        <color rgb="FF3FCDFF"/>
      </dataBar>
    </cfRule>
  </conditionalFormatting>
  <conditionalFormatting sqref="M1649:M1678">
    <cfRule type="dataBar" priority="628">
      <dataBar>
        <cfvo type="min"/>
        <cfvo type="max"/>
        <color rgb="FF3FCDFF"/>
      </dataBar>
    </cfRule>
  </conditionalFormatting>
  <conditionalFormatting sqref="M1680:M1709">
    <cfRule type="dataBar" priority="626">
      <dataBar>
        <cfvo type="min"/>
        <cfvo type="max"/>
        <color rgb="FF3FCDFF"/>
      </dataBar>
    </cfRule>
  </conditionalFormatting>
  <conditionalFormatting sqref="M1710:M1711">
    <cfRule type="dataBar" priority="641">
      <dataBar>
        <cfvo type="min"/>
        <cfvo type="max"/>
        <color rgb="FF3FCDFF"/>
      </dataBar>
    </cfRule>
  </conditionalFormatting>
  <conditionalFormatting sqref="M1713:M1742">
    <cfRule type="dataBar" priority="624">
      <dataBar>
        <cfvo type="min"/>
        <cfvo type="max"/>
        <color rgb="FF3FCDFF"/>
      </dataBar>
    </cfRule>
  </conditionalFormatting>
  <conditionalFormatting sqref="M1743">
    <cfRule type="dataBar" priority="639">
      <dataBar>
        <cfvo type="min"/>
        <cfvo type="max"/>
        <color rgb="FF3FCDFF"/>
      </dataBar>
    </cfRule>
  </conditionalFormatting>
  <conditionalFormatting sqref="M1745:M1758">
    <cfRule type="dataBar" priority="1770">
      <dataBar>
        <cfvo type="min"/>
        <cfvo type="max"/>
        <color rgb="FF00B0F0"/>
      </dataBar>
    </cfRule>
    <cfRule type="dataBar" priority="1771">
      <dataBar>
        <cfvo type="min"/>
        <cfvo type="max"/>
        <color rgb="FF3FCDFF"/>
      </dataBar>
    </cfRule>
  </conditionalFormatting>
  <conditionalFormatting sqref="M1759:M1788">
    <cfRule type="dataBar" priority="523">
      <dataBar>
        <cfvo type="min"/>
        <cfvo type="max"/>
        <color rgb="FF3FCDFF"/>
      </dataBar>
    </cfRule>
  </conditionalFormatting>
  <conditionalFormatting sqref="M1790:M1819">
    <cfRule type="dataBar" priority="521">
      <dataBar>
        <cfvo type="min"/>
        <cfvo type="max"/>
        <color rgb="FF3FCDFF"/>
      </dataBar>
    </cfRule>
  </conditionalFormatting>
  <conditionalFormatting sqref="M1820:M1849">
    <cfRule type="dataBar" priority="519">
      <dataBar>
        <cfvo type="min"/>
        <cfvo type="max"/>
        <color rgb="FF3FCDFF"/>
      </dataBar>
    </cfRule>
  </conditionalFormatting>
  <conditionalFormatting sqref="M1850:M1855 M1789 M1886:M1887">
    <cfRule type="dataBar" priority="524">
      <dataBar>
        <cfvo type="min"/>
        <cfvo type="max"/>
        <color rgb="FF00B0F0"/>
      </dataBar>
    </cfRule>
    <cfRule type="dataBar" priority="528">
      <dataBar>
        <cfvo type="min"/>
        <cfvo type="max"/>
        <color rgb="FF00B0F0"/>
      </dataBar>
    </cfRule>
    <cfRule type="dataBar" priority="529">
      <dataBar>
        <cfvo type="min"/>
        <cfvo type="max"/>
        <color rgb="FF638EC6"/>
      </dataBar>
    </cfRule>
    <cfRule type="dataBar" priority="531">
      <dataBar>
        <cfvo type="min"/>
        <cfvo type="max"/>
        <color rgb="FF3FCDFF"/>
      </dataBar>
    </cfRule>
  </conditionalFormatting>
  <conditionalFormatting sqref="M1856:M1885">
    <cfRule type="dataBar" priority="517">
      <dataBar>
        <cfvo type="min"/>
        <cfvo type="max"/>
        <color rgb="FF3FCDFF"/>
      </dataBar>
    </cfRule>
  </conditionalFormatting>
  <conditionalFormatting sqref="M1888:M1918">
    <cfRule type="dataBar" priority="515">
      <dataBar>
        <cfvo type="min"/>
        <cfvo type="max"/>
        <color rgb="FF3FCDFF"/>
      </dataBar>
    </cfRule>
  </conditionalFormatting>
  <conditionalFormatting sqref="M1919">
    <cfRule type="dataBar" priority="511">
      <dataBar>
        <cfvo type="min"/>
        <cfvo type="max"/>
        <color rgb="FF3FCDFF"/>
      </dataBar>
    </cfRule>
    <cfRule type="dataBar" priority="510">
      <dataBar>
        <cfvo type="min"/>
        <cfvo type="max"/>
        <color rgb="FF638EC6"/>
      </dataBar>
    </cfRule>
    <cfRule type="dataBar" priority="512">
      <dataBar>
        <cfvo type="min"/>
        <cfvo type="max"/>
        <color rgb="FF00B0F0"/>
      </dataBar>
    </cfRule>
    <cfRule type="dataBar" priority="508">
      <dataBar>
        <cfvo type="min"/>
        <cfvo type="max"/>
        <color rgb="FF00B0F0"/>
      </dataBar>
    </cfRule>
    <cfRule type="dataBar" priority="509">
      <dataBar>
        <cfvo type="min"/>
        <cfvo type="max"/>
        <color rgb="FF00B0F0"/>
      </dataBar>
    </cfRule>
  </conditionalFormatting>
  <conditionalFormatting sqref="M1920:M1948">
    <cfRule type="dataBar" priority="316">
      <dataBar>
        <cfvo type="min"/>
        <cfvo type="max"/>
        <color rgb="FF3FCDFF"/>
      </dataBar>
    </cfRule>
  </conditionalFormatting>
  <conditionalFormatting sqref="M1920:M1979">
    <cfRule type="dataBar" priority="319">
      <dataBar>
        <cfvo type="min"/>
        <cfvo type="max"/>
        <color rgb="FF00B0F0"/>
      </dataBar>
    </cfRule>
    <cfRule type="dataBar" priority="318">
      <dataBar>
        <cfvo type="min"/>
        <cfvo type="max"/>
        <color rgb="FF00B0F0"/>
      </dataBar>
    </cfRule>
    <cfRule type="dataBar" priority="320">
      <dataBar>
        <cfvo type="min"/>
        <cfvo type="max"/>
        <color rgb="FF638EC6"/>
      </dataBar>
    </cfRule>
  </conditionalFormatting>
  <conditionalFormatting sqref="M1950:M1978">
    <cfRule type="dataBar" priority="308">
      <dataBar>
        <cfvo type="min"/>
        <cfvo type="max"/>
        <color rgb="FF3FCDFF"/>
      </dataBar>
    </cfRule>
  </conditionalFormatting>
  <conditionalFormatting sqref="M1979 M1949">
    <cfRule type="dataBar" priority="311">
      <dataBar>
        <cfvo type="min"/>
        <cfvo type="max"/>
        <color rgb="FF00B0F0"/>
      </dataBar>
    </cfRule>
    <cfRule type="dataBar" priority="312">
      <dataBar>
        <cfvo type="min"/>
        <cfvo type="max"/>
        <color rgb="FF008AEF"/>
      </dataBar>
    </cfRule>
    <cfRule type="dataBar" priority="313">
      <dataBar>
        <cfvo type="min"/>
        <cfvo type="max"/>
        <color rgb="FF3FCDFF"/>
      </dataBar>
    </cfRule>
  </conditionalFormatting>
  <conditionalFormatting sqref="M1980:M2008">
    <cfRule type="dataBar" priority="296">
      <dataBar>
        <cfvo type="min"/>
        <cfvo type="max"/>
        <color rgb="FF3FCDFF"/>
      </dataBar>
    </cfRule>
  </conditionalFormatting>
  <conditionalFormatting sqref="M1980:M2039">
    <cfRule type="dataBar" priority="304">
      <dataBar>
        <cfvo type="min"/>
        <cfvo type="max"/>
        <color rgb="FF00B0F0"/>
      </dataBar>
    </cfRule>
    <cfRule type="dataBar" priority="306">
      <dataBar>
        <cfvo type="min"/>
        <cfvo type="max"/>
        <color rgb="FF638EC6"/>
      </dataBar>
    </cfRule>
    <cfRule type="dataBar" priority="305">
      <dataBar>
        <cfvo type="min"/>
        <cfvo type="max"/>
        <color rgb="FF00B0F0"/>
      </dataBar>
    </cfRule>
  </conditionalFormatting>
  <conditionalFormatting sqref="M2010:M2038">
    <cfRule type="dataBar" priority="7">
      <dataBar>
        <cfvo type="min"/>
        <cfvo type="max"/>
        <color rgb="FF3FCDFF"/>
      </dataBar>
    </cfRule>
  </conditionalFormatting>
  <conditionalFormatting sqref="M2039 M2009">
    <cfRule type="dataBar" priority="300">
      <dataBar>
        <cfvo type="min"/>
        <cfvo type="max"/>
        <color rgb="FF3FCDFF"/>
      </dataBar>
    </cfRule>
    <cfRule type="dataBar" priority="298">
      <dataBar>
        <cfvo type="min"/>
        <cfvo type="max"/>
        <color rgb="FF00B0F0"/>
      </dataBar>
    </cfRule>
    <cfRule type="dataBar" priority="299">
      <dataBar>
        <cfvo type="min"/>
        <cfvo type="max"/>
        <color rgb="FF008AEF"/>
      </dataBar>
    </cfRule>
  </conditionalFormatting>
  <conditionalFormatting sqref="M2040:M2068">
    <cfRule type="dataBar" priority="470">
      <dataBar>
        <cfvo type="min"/>
        <cfvo type="max"/>
        <color rgb="FF3FCDFF"/>
      </dataBar>
    </cfRule>
  </conditionalFormatting>
  <conditionalFormatting sqref="M2040:M2069">
    <cfRule type="dataBar" priority="474">
      <dataBar>
        <cfvo type="min"/>
        <cfvo type="max"/>
        <color rgb="FF638EC6"/>
      </dataBar>
    </cfRule>
    <cfRule type="dataBar" priority="473">
      <dataBar>
        <cfvo type="min"/>
        <cfvo type="max"/>
        <color rgb="FF00B0F0"/>
      </dataBar>
    </cfRule>
    <cfRule type="dataBar" priority="472">
      <dataBar>
        <cfvo type="min"/>
        <cfvo type="max"/>
        <color rgb="FF00B0F0"/>
      </dataBar>
    </cfRule>
  </conditionalFormatting>
  <conditionalFormatting sqref="M2069">
    <cfRule type="dataBar" priority="467">
      <dataBar>
        <cfvo type="min"/>
        <cfvo type="max"/>
        <color rgb="FF3FCDFF"/>
      </dataBar>
    </cfRule>
    <cfRule type="dataBar" priority="466">
      <dataBar>
        <cfvo type="min"/>
        <cfvo type="max"/>
        <color rgb="FF008AEF"/>
      </dataBar>
    </cfRule>
    <cfRule type="dataBar" priority="465">
      <dataBar>
        <cfvo type="min"/>
        <cfvo type="max"/>
        <color rgb="FF00B0F0"/>
      </dataBar>
    </cfRule>
  </conditionalFormatting>
  <conditionalFormatting sqref="M2070:M2098">
    <cfRule type="dataBar" priority="458">
      <dataBar>
        <cfvo type="min"/>
        <cfvo type="max"/>
        <color rgb="FF3FCDFF"/>
      </dataBar>
    </cfRule>
  </conditionalFormatting>
  <conditionalFormatting sqref="M2070:M2129">
    <cfRule type="dataBar" priority="462">
      <dataBar>
        <cfvo type="min"/>
        <cfvo type="max"/>
        <color rgb="FF638EC6"/>
      </dataBar>
    </cfRule>
    <cfRule type="dataBar" priority="461">
      <dataBar>
        <cfvo type="min"/>
        <cfvo type="max"/>
        <color rgb="FF00B0F0"/>
      </dataBar>
    </cfRule>
    <cfRule type="dataBar" priority="460">
      <dataBar>
        <cfvo type="min"/>
        <cfvo type="max"/>
        <color rgb="FF00B0F0"/>
      </dataBar>
    </cfRule>
  </conditionalFormatting>
  <conditionalFormatting sqref="M2100:M2128">
    <cfRule type="dataBar" priority="450">
      <dataBar>
        <cfvo type="min"/>
        <cfvo type="max"/>
        <color rgb="FF3FCDFF"/>
      </dataBar>
    </cfRule>
  </conditionalFormatting>
  <conditionalFormatting sqref="M2129 M2099">
    <cfRule type="dataBar" priority="455">
      <dataBar>
        <cfvo type="min"/>
        <cfvo type="max"/>
        <color rgb="FF3FCDFF"/>
      </dataBar>
    </cfRule>
    <cfRule type="dataBar" priority="453">
      <dataBar>
        <cfvo type="min"/>
        <cfvo type="max"/>
        <color rgb="FF00B0F0"/>
      </dataBar>
    </cfRule>
    <cfRule type="dataBar" priority="454">
      <dataBar>
        <cfvo type="min"/>
        <cfvo type="max"/>
        <color rgb="FF008AEF"/>
      </dataBar>
    </cfRule>
  </conditionalFormatting>
  <conditionalFormatting sqref="M2130">
    <cfRule type="dataBar" priority="286">
      <dataBar>
        <cfvo type="min"/>
        <cfvo type="max"/>
        <color rgb="FF008AEF"/>
      </dataBar>
    </cfRule>
    <cfRule type="dataBar" priority="284">
      <dataBar>
        <cfvo type="min"/>
        <cfvo type="max"/>
        <color rgb="FF00B0F0"/>
      </dataBar>
    </cfRule>
    <cfRule type="dataBar" priority="280">
      <dataBar>
        <cfvo type="min"/>
        <cfvo type="max"/>
        <color rgb="FF3FCDFF"/>
      </dataBar>
    </cfRule>
    <cfRule type="dataBar" priority="279">
      <dataBar>
        <cfvo type="min"/>
        <cfvo type="max"/>
        <color rgb="FF008AEF"/>
      </dataBar>
    </cfRule>
    <cfRule type="dataBar" priority="285">
      <dataBar>
        <cfvo type="min"/>
        <cfvo type="max"/>
        <color rgb="FF00B0F0"/>
      </dataBar>
    </cfRule>
    <cfRule type="dataBar" priority="278">
      <dataBar>
        <cfvo type="min"/>
        <cfvo type="max"/>
        <color rgb="FF00B0F0"/>
      </dataBar>
    </cfRule>
  </conditionalFormatting>
  <conditionalFormatting sqref="M2131:M2134 M2136:M2141 M2143:M2146 M2148:M2153 M2155:M2157 M2159">
    <cfRule type="dataBar" priority="448">
      <dataBar>
        <cfvo type="min"/>
        <cfvo type="max"/>
        <color rgb="FF638EC6"/>
      </dataBar>
    </cfRule>
    <cfRule type="dataBar" priority="447">
      <dataBar>
        <cfvo type="min"/>
        <cfvo type="max"/>
        <color rgb="FF00B0F0"/>
      </dataBar>
    </cfRule>
    <cfRule type="dataBar" priority="446">
      <dataBar>
        <cfvo type="min"/>
        <cfvo type="max"/>
        <color rgb="FF00B0F0"/>
      </dataBar>
    </cfRule>
  </conditionalFormatting>
  <conditionalFormatting sqref="M2131:M2134 M2136:M2141 M2143:M2146 M2148:M2153 M2155:M2157">
    <cfRule type="dataBar" priority="438">
      <dataBar>
        <cfvo type="min"/>
        <cfvo type="max"/>
        <color rgb="FF3FCDFF"/>
      </dataBar>
    </cfRule>
  </conditionalFormatting>
  <conditionalFormatting sqref="M2135">
    <cfRule type="dataBar" priority="268">
      <dataBar>
        <cfvo type="min"/>
        <cfvo type="max"/>
        <color rgb="FF00B0F0"/>
      </dataBar>
    </cfRule>
    <cfRule type="dataBar" priority="269">
      <dataBar>
        <cfvo type="min"/>
        <cfvo type="max"/>
        <color rgb="FF008AEF"/>
      </dataBar>
    </cfRule>
    <cfRule type="dataBar" priority="276">
      <dataBar>
        <cfvo type="min"/>
        <cfvo type="max"/>
        <color rgb="FF008AEF"/>
      </dataBar>
    </cfRule>
    <cfRule type="dataBar" priority="275">
      <dataBar>
        <cfvo type="min"/>
        <cfvo type="max"/>
        <color rgb="FF00B0F0"/>
      </dataBar>
    </cfRule>
    <cfRule type="dataBar" priority="270">
      <dataBar>
        <cfvo type="min"/>
        <cfvo type="max"/>
        <color rgb="FF3FCDFF"/>
      </dataBar>
    </cfRule>
    <cfRule type="dataBar" priority="274">
      <dataBar>
        <cfvo type="min"/>
        <cfvo type="max"/>
        <color rgb="FF00B0F0"/>
      </dataBar>
    </cfRule>
  </conditionalFormatting>
  <conditionalFormatting sqref="M2142">
    <cfRule type="dataBar" priority="266">
      <dataBar>
        <cfvo type="min"/>
        <cfvo type="max"/>
        <color rgb="FF008AEF"/>
      </dataBar>
    </cfRule>
    <cfRule type="dataBar" priority="265">
      <dataBar>
        <cfvo type="min"/>
        <cfvo type="max"/>
        <color rgb="FF00B0F0"/>
      </dataBar>
    </cfRule>
    <cfRule type="dataBar" priority="258">
      <dataBar>
        <cfvo type="min"/>
        <cfvo type="max"/>
        <color rgb="FF00B0F0"/>
      </dataBar>
    </cfRule>
    <cfRule type="dataBar" priority="259">
      <dataBar>
        <cfvo type="min"/>
        <cfvo type="max"/>
        <color rgb="FF008AEF"/>
      </dataBar>
    </cfRule>
    <cfRule type="dataBar" priority="260">
      <dataBar>
        <cfvo type="min"/>
        <cfvo type="max"/>
        <color rgb="FF3FCDFF"/>
      </dataBar>
    </cfRule>
    <cfRule type="dataBar" priority="264">
      <dataBar>
        <cfvo type="min"/>
        <cfvo type="max"/>
        <color rgb="FF00B0F0"/>
      </dataBar>
    </cfRule>
  </conditionalFormatting>
  <conditionalFormatting sqref="M2147">
    <cfRule type="dataBar" priority="250">
      <dataBar>
        <cfvo type="min"/>
        <cfvo type="max"/>
        <color rgb="FF3FCDFF"/>
      </dataBar>
    </cfRule>
    <cfRule type="dataBar" priority="255">
      <dataBar>
        <cfvo type="min"/>
        <cfvo type="max"/>
        <color rgb="FF00B0F0"/>
      </dataBar>
    </cfRule>
    <cfRule type="dataBar" priority="256">
      <dataBar>
        <cfvo type="min"/>
        <cfvo type="max"/>
        <color rgb="FF008AEF"/>
      </dataBar>
    </cfRule>
    <cfRule type="dataBar" priority="248">
      <dataBar>
        <cfvo type="min"/>
        <cfvo type="max"/>
        <color rgb="FF00B0F0"/>
      </dataBar>
    </cfRule>
    <cfRule type="dataBar" priority="249">
      <dataBar>
        <cfvo type="min"/>
        <cfvo type="max"/>
        <color rgb="FF008AEF"/>
      </dataBar>
    </cfRule>
    <cfRule type="dataBar" priority="254">
      <dataBar>
        <cfvo type="min"/>
        <cfvo type="max"/>
        <color rgb="FF00B0F0"/>
      </dataBar>
    </cfRule>
  </conditionalFormatting>
  <conditionalFormatting sqref="M2154">
    <cfRule type="dataBar" priority="244">
      <dataBar>
        <cfvo type="min"/>
        <cfvo type="max"/>
        <color rgb="FF00B0F0"/>
      </dataBar>
    </cfRule>
    <cfRule type="dataBar" priority="238">
      <dataBar>
        <cfvo type="min"/>
        <cfvo type="max"/>
        <color rgb="FF00B0F0"/>
      </dataBar>
    </cfRule>
    <cfRule type="dataBar" priority="239">
      <dataBar>
        <cfvo type="min"/>
        <cfvo type="max"/>
        <color rgb="FF008AEF"/>
      </dataBar>
    </cfRule>
    <cfRule type="dataBar" priority="240">
      <dataBar>
        <cfvo type="min"/>
        <cfvo type="max"/>
        <color rgb="FF3FCDFF"/>
      </dataBar>
    </cfRule>
    <cfRule type="dataBar" priority="246">
      <dataBar>
        <cfvo type="min"/>
        <cfvo type="max"/>
        <color rgb="FF008AEF"/>
      </dataBar>
    </cfRule>
    <cfRule type="dataBar" priority="245">
      <dataBar>
        <cfvo type="min"/>
        <cfvo type="max"/>
        <color rgb="FF00B0F0"/>
      </dataBar>
    </cfRule>
  </conditionalFormatting>
  <conditionalFormatting sqref="M2158">
    <cfRule type="dataBar" priority="236">
      <dataBar>
        <cfvo type="min"/>
        <cfvo type="max"/>
        <color rgb="FF008AEF"/>
      </dataBar>
    </cfRule>
    <cfRule type="dataBar" priority="235">
      <dataBar>
        <cfvo type="min"/>
        <cfvo type="max"/>
        <color rgb="FF00B0F0"/>
      </dataBar>
    </cfRule>
    <cfRule type="dataBar" priority="234">
      <dataBar>
        <cfvo type="min"/>
        <cfvo type="max"/>
        <color rgb="FF00B0F0"/>
      </dataBar>
    </cfRule>
    <cfRule type="dataBar" priority="230">
      <dataBar>
        <cfvo type="min"/>
        <cfvo type="max"/>
        <color rgb="FF3FCDFF"/>
      </dataBar>
    </cfRule>
    <cfRule type="dataBar" priority="229">
      <dataBar>
        <cfvo type="min"/>
        <cfvo type="max"/>
        <color rgb="FF008AEF"/>
      </dataBar>
    </cfRule>
    <cfRule type="dataBar" priority="228">
      <dataBar>
        <cfvo type="min"/>
        <cfvo type="max"/>
        <color rgb="FF00B0F0"/>
      </dataBar>
    </cfRule>
  </conditionalFormatting>
  <conditionalFormatting sqref="M2159">
    <cfRule type="dataBar" priority="442">
      <dataBar>
        <cfvo type="min"/>
        <cfvo type="max"/>
        <color rgb="FF3FCDFF"/>
      </dataBar>
    </cfRule>
    <cfRule type="dataBar" priority="440">
      <dataBar>
        <cfvo type="min"/>
        <cfvo type="max"/>
        <color rgb="FF00B0F0"/>
      </dataBar>
    </cfRule>
    <cfRule type="dataBar" priority="441">
      <dataBar>
        <cfvo type="min"/>
        <cfvo type="max"/>
        <color rgb="FF008AEF"/>
      </dataBar>
    </cfRule>
  </conditionalFormatting>
  <conditionalFormatting sqref="M2160:M2188">
    <cfRule type="dataBar" priority="427">
      <dataBar>
        <cfvo type="min"/>
        <cfvo type="max"/>
        <color rgb="FF3FCDFF"/>
      </dataBar>
    </cfRule>
  </conditionalFormatting>
  <conditionalFormatting sqref="M2160:M2189">
    <cfRule type="dataBar" priority="437">
      <dataBar>
        <cfvo type="min"/>
        <cfvo type="max"/>
        <color rgb="FF638EC6"/>
      </dataBar>
    </cfRule>
    <cfRule type="dataBar" priority="435">
      <dataBar>
        <cfvo type="min"/>
        <cfvo type="max"/>
        <color rgb="FF00B0F0"/>
      </dataBar>
    </cfRule>
    <cfRule type="dataBar" priority="436">
      <dataBar>
        <cfvo type="min"/>
        <cfvo type="max"/>
        <color rgb="FF00B0F0"/>
      </dataBar>
    </cfRule>
  </conditionalFormatting>
  <conditionalFormatting sqref="M2189">
    <cfRule type="dataBar" priority="431">
      <dataBar>
        <cfvo type="min"/>
        <cfvo type="max"/>
        <color rgb="FF3FCDFF"/>
      </dataBar>
    </cfRule>
    <cfRule type="dataBar" priority="430">
      <dataBar>
        <cfvo type="min"/>
        <cfvo type="max"/>
        <color rgb="FF008AEF"/>
      </dataBar>
    </cfRule>
    <cfRule type="dataBar" priority="429">
      <dataBar>
        <cfvo type="min"/>
        <cfvo type="max"/>
        <color rgb="FF00B0F0"/>
      </dataBar>
    </cfRule>
  </conditionalFormatting>
  <conditionalFormatting sqref="M2190 M2221 M2252 M2283">
    <cfRule type="dataBar" priority="481">
      <dataBar>
        <cfvo type="min"/>
        <cfvo type="max"/>
        <color rgb="FF00B0F0"/>
      </dataBar>
    </cfRule>
    <cfRule type="dataBar" priority="482">
      <dataBar>
        <cfvo type="min"/>
        <cfvo type="max"/>
        <color rgb="FF00B0F0"/>
      </dataBar>
    </cfRule>
    <cfRule type="dataBar" priority="483">
      <dataBar>
        <cfvo type="min"/>
        <cfvo type="max"/>
        <color rgb="FF638EC6"/>
      </dataBar>
    </cfRule>
    <cfRule type="dataBar" priority="484">
      <dataBar>
        <cfvo type="min"/>
        <cfvo type="max"/>
        <color rgb="FF3FCDFF"/>
      </dataBar>
    </cfRule>
  </conditionalFormatting>
  <conditionalFormatting sqref="M2191:M2219">
    <cfRule type="dataBar" priority="415">
      <dataBar>
        <cfvo type="min"/>
        <cfvo type="max"/>
        <color rgb="FF3FCDFF"/>
      </dataBar>
    </cfRule>
  </conditionalFormatting>
  <conditionalFormatting sqref="M2191:M2220">
    <cfRule type="dataBar" priority="425">
      <dataBar>
        <cfvo type="min"/>
        <cfvo type="max"/>
        <color rgb="FF638EC6"/>
      </dataBar>
    </cfRule>
    <cfRule type="dataBar" priority="424">
      <dataBar>
        <cfvo type="min"/>
        <cfvo type="max"/>
        <color rgb="FF00B0F0"/>
      </dataBar>
    </cfRule>
    <cfRule type="dataBar" priority="423">
      <dataBar>
        <cfvo type="min"/>
        <cfvo type="max"/>
        <color rgb="FF00B0F0"/>
      </dataBar>
    </cfRule>
  </conditionalFormatting>
  <conditionalFormatting sqref="M2220">
    <cfRule type="dataBar" priority="419">
      <dataBar>
        <cfvo type="min"/>
        <cfvo type="max"/>
        <color rgb="FF3FCDFF"/>
      </dataBar>
    </cfRule>
    <cfRule type="dataBar" priority="418">
      <dataBar>
        <cfvo type="min"/>
        <cfvo type="max"/>
        <color rgb="FF008AEF"/>
      </dataBar>
    </cfRule>
    <cfRule type="dataBar" priority="417">
      <dataBar>
        <cfvo type="min"/>
        <cfvo type="max"/>
        <color rgb="FF00B0F0"/>
      </dataBar>
    </cfRule>
  </conditionalFormatting>
  <conditionalFormatting sqref="M2221 M2190 M2252 M2283 M2404 M2435 M2526 M2587">
    <cfRule type="dataBar" priority="475">
      <dataBar>
        <cfvo type="min"/>
        <cfvo type="max"/>
        <color rgb="FF00B0F0"/>
      </dataBar>
    </cfRule>
  </conditionalFormatting>
  <conditionalFormatting sqref="M2222:M2250">
    <cfRule type="dataBar" priority="403">
      <dataBar>
        <cfvo type="min"/>
        <cfvo type="max"/>
        <color rgb="FF3FCDFF"/>
      </dataBar>
    </cfRule>
  </conditionalFormatting>
  <conditionalFormatting sqref="M2222:M2251">
    <cfRule type="dataBar" priority="411">
      <dataBar>
        <cfvo type="min"/>
        <cfvo type="max"/>
        <color rgb="FF00B0F0"/>
      </dataBar>
    </cfRule>
    <cfRule type="dataBar" priority="412">
      <dataBar>
        <cfvo type="min"/>
        <cfvo type="max"/>
        <color rgb="FF00B0F0"/>
      </dataBar>
    </cfRule>
    <cfRule type="dataBar" priority="413">
      <dataBar>
        <cfvo type="min"/>
        <cfvo type="max"/>
        <color rgb="FF638EC6"/>
      </dataBar>
    </cfRule>
  </conditionalFormatting>
  <conditionalFormatting sqref="M2251">
    <cfRule type="dataBar" priority="405">
      <dataBar>
        <cfvo type="min"/>
        <cfvo type="max"/>
        <color rgb="FF00B0F0"/>
      </dataBar>
    </cfRule>
    <cfRule type="dataBar" priority="406">
      <dataBar>
        <cfvo type="min"/>
        <cfvo type="max"/>
        <color rgb="FF008AEF"/>
      </dataBar>
    </cfRule>
    <cfRule type="dataBar" priority="407">
      <dataBar>
        <cfvo type="min"/>
        <cfvo type="max"/>
        <color rgb="FF3FCDFF"/>
      </dataBar>
    </cfRule>
  </conditionalFormatting>
  <conditionalFormatting sqref="M2253">
    <cfRule type="dataBar" priority="226">
      <dataBar>
        <cfvo type="min"/>
        <cfvo type="max"/>
        <color rgb="FF008AEF"/>
      </dataBar>
    </cfRule>
    <cfRule type="dataBar" priority="225">
      <dataBar>
        <cfvo type="min"/>
        <cfvo type="max"/>
        <color rgb="FF00B0F0"/>
      </dataBar>
    </cfRule>
    <cfRule type="dataBar" priority="224">
      <dataBar>
        <cfvo type="min"/>
        <cfvo type="max"/>
        <color rgb="FF00B0F0"/>
      </dataBar>
    </cfRule>
    <cfRule type="dataBar" priority="220">
      <dataBar>
        <cfvo type="min"/>
        <cfvo type="max"/>
        <color rgb="FF3FCDFF"/>
      </dataBar>
    </cfRule>
    <cfRule type="dataBar" priority="219">
      <dataBar>
        <cfvo type="min"/>
        <cfvo type="max"/>
        <color rgb="FF008AEF"/>
      </dataBar>
    </cfRule>
    <cfRule type="dataBar" priority="218">
      <dataBar>
        <cfvo type="min"/>
        <cfvo type="max"/>
        <color rgb="FF00B0F0"/>
      </dataBar>
    </cfRule>
  </conditionalFormatting>
  <conditionalFormatting sqref="M2254:M2257 M2259:M2264 M2266:M2269 M2271:M2276 M2278:M2280 M2282">
    <cfRule type="dataBar" priority="401">
      <dataBar>
        <cfvo type="min"/>
        <cfvo type="max"/>
        <color rgb="FF638EC6"/>
      </dataBar>
    </cfRule>
    <cfRule type="dataBar" priority="399">
      <dataBar>
        <cfvo type="min"/>
        <cfvo type="max"/>
        <color rgb="FF00B0F0"/>
      </dataBar>
    </cfRule>
    <cfRule type="dataBar" priority="400">
      <dataBar>
        <cfvo type="min"/>
        <cfvo type="max"/>
        <color rgb="FF00B0F0"/>
      </dataBar>
    </cfRule>
  </conditionalFormatting>
  <conditionalFormatting sqref="M2254:M2257 M2259:M2264 M2266:M2269 M2271:M2276 M2278:M2280">
    <cfRule type="dataBar" priority="391">
      <dataBar>
        <cfvo type="min"/>
        <cfvo type="max"/>
        <color rgb="FF3FCDFF"/>
      </dataBar>
    </cfRule>
  </conditionalFormatting>
  <conditionalFormatting sqref="M2258">
    <cfRule type="dataBar" priority="208">
      <dataBar>
        <cfvo type="min"/>
        <cfvo type="max"/>
        <color rgb="FF00B0F0"/>
      </dataBar>
    </cfRule>
    <cfRule type="dataBar" priority="215">
      <dataBar>
        <cfvo type="min"/>
        <cfvo type="max"/>
        <color rgb="FF00B0F0"/>
      </dataBar>
    </cfRule>
    <cfRule type="dataBar" priority="214">
      <dataBar>
        <cfvo type="min"/>
        <cfvo type="max"/>
        <color rgb="FF00B0F0"/>
      </dataBar>
    </cfRule>
    <cfRule type="dataBar" priority="210">
      <dataBar>
        <cfvo type="min"/>
        <cfvo type="max"/>
        <color rgb="FF3FCDFF"/>
      </dataBar>
    </cfRule>
    <cfRule type="dataBar" priority="209">
      <dataBar>
        <cfvo type="min"/>
        <cfvo type="max"/>
        <color rgb="FF008AEF"/>
      </dataBar>
    </cfRule>
    <cfRule type="dataBar" priority="216">
      <dataBar>
        <cfvo type="min"/>
        <cfvo type="max"/>
        <color rgb="FF008AEF"/>
      </dataBar>
    </cfRule>
  </conditionalFormatting>
  <conditionalFormatting sqref="M2265">
    <cfRule type="dataBar" priority="200">
      <dataBar>
        <cfvo type="min"/>
        <cfvo type="max"/>
        <color rgb="FF3FCDFF"/>
      </dataBar>
    </cfRule>
    <cfRule type="dataBar" priority="206">
      <dataBar>
        <cfvo type="min"/>
        <cfvo type="max"/>
        <color rgb="FF008AEF"/>
      </dataBar>
    </cfRule>
    <cfRule type="dataBar" priority="204">
      <dataBar>
        <cfvo type="min"/>
        <cfvo type="max"/>
        <color rgb="FF00B0F0"/>
      </dataBar>
    </cfRule>
    <cfRule type="dataBar" priority="199">
      <dataBar>
        <cfvo type="min"/>
        <cfvo type="max"/>
        <color rgb="FF008AEF"/>
      </dataBar>
    </cfRule>
    <cfRule type="dataBar" priority="198">
      <dataBar>
        <cfvo type="min"/>
        <cfvo type="max"/>
        <color rgb="FF00B0F0"/>
      </dataBar>
    </cfRule>
    <cfRule type="dataBar" priority="205">
      <dataBar>
        <cfvo type="min"/>
        <cfvo type="max"/>
        <color rgb="FF00B0F0"/>
      </dataBar>
    </cfRule>
  </conditionalFormatting>
  <conditionalFormatting sqref="M2270">
    <cfRule type="dataBar" priority="189">
      <dataBar>
        <cfvo type="min"/>
        <cfvo type="max"/>
        <color rgb="FF008AEF"/>
      </dataBar>
    </cfRule>
    <cfRule type="dataBar" priority="188">
      <dataBar>
        <cfvo type="min"/>
        <cfvo type="max"/>
        <color rgb="FF00B0F0"/>
      </dataBar>
    </cfRule>
    <cfRule type="dataBar" priority="196">
      <dataBar>
        <cfvo type="min"/>
        <cfvo type="max"/>
        <color rgb="FF008AEF"/>
      </dataBar>
    </cfRule>
    <cfRule type="dataBar" priority="195">
      <dataBar>
        <cfvo type="min"/>
        <cfvo type="max"/>
        <color rgb="FF00B0F0"/>
      </dataBar>
    </cfRule>
    <cfRule type="dataBar" priority="194">
      <dataBar>
        <cfvo type="min"/>
        <cfvo type="max"/>
        <color rgb="FF00B0F0"/>
      </dataBar>
    </cfRule>
    <cfRule type="dataBar" priority="190">
      <dataBar>
        <cfvo type="min"/>
        <cfvo type="max"/>
        <color rgb="FF3FCDFF"/>
      </dataBar>
    </cfRule>
  </conditionalFormatting>
  <conditionalFormatting sqref="M2277">
    <cfRule type="dataBar" priority="186">
      <dataBar>
        <cfvo type="min"/>
        <cfvo type="max"/>
        <color rgb="FF008AEF"/>
      </dataBar>
    </cfRule>
    <cfRule type="dataBar" priority="185">
      <dataBar>
        <cfvo type="min"/>
        <cfvo type="max"/>
        <color rgb="FF00B0F0"/>
      </dataBar>
    </cfRule>
    <cfRule type="dataBar" priority="184">
      <dataBar>
        <cfvo type="min"/>
        <cfvo type="max"/>
        <color rgb="FF00B0F0"/>
      </dataBar>
    </cfRule>
    <cfRule type="dataBar" priority="180">
      <dataBar>
        <cfvo type="min"/>
        <cfvo type="max"/>
        <color rgb="FF3FCDFF"/>
      </dataBar>
    </cfRule>
    <cfRule type="dataBar" priority="179">
      <dataBar>
        <cfvo type="min"/>
        <cfvo type="max"/>
        <color rgb="FF008AEF"/>
      </dataBar>
    </cfRule>
    <cfRule type="dataBar" priority="178">
      <dataBar>
        <cfvo type="min"/>
        <cfvo type="max"/>
        <color rgb="FF00B0F0"/>
      </dataBar>
    </cfRule>
  </conditionalFormatting>
  <conditionalFormatting sqref="M2281">
    <cfRule type="dataBar" priority="169">
      <dataBar>
        <cfvo type="min"/>
        <cfvo type="max"/>
        <color rgb="FF008AEF"/>
      </dataBar>
    </cfRule>
    <cfRule type="dataBar" priority="176">
      <dataBar>
        <cfvo type="min"/>
        <cfvo type="max"/>
        <color rgb="FF008AEF"/>
      </dataBar>
    </cfRule>
    <cfRule type="dataBar" priority="175">
      <dataBar>
        <cfvo type="min"/>
        <cfvo type="max"/>
        <color rgb="FF00B0F0"/>
      </dataBar>
    </cfRule>
    <cfRule type="dataBar" priority="174">
      <dataBar>
        <cfvo type="min"/>
        <cfvo type="max"/>
        <color rgb="FF00B0F0"/>
      </dataBar>
    </cfRule>
    <cfRule type="dataBar" priority="170">
      <dataBar>
        <cfvo type="min"/>
        <cfvo type="max"/>
        <color rgb="FF3FCDFF"/>
      </dataBar>
    </cfRule>
    <cfRule type="dataBar" priority="168">
      <dataBar>
        <cfvo type="min"/>
        <cfvo type="max"/>
        <color rgb="FF00B0F0"/>
      </dataBar>
    </cfRule>
  </conditionalFormatting>
  <conditionalFormatting sqref="M2282">
    <cfRule type="dataBar" priority="395">
      <dataBar>
        <cfvo type="min"/>
        <cfvo type="max"/>
        <color rgb="FF3FCDFF"/>
      </dataBar>
    </cfRule>
    <cfRule type="dataBar" priority="394">
      <dataBar>
        <cfvo type="min"/>
        <cfvo type="max"/>
        <color rgb="FF008AEF"/>
      </dataBar>
    </cfRule>
    <cfRule type="dataBar" priority="393">
      <dataBar>
        <cfvo type="min"/>
        <cfvo type="max"/>
        <color rgb="FF00B0F0"/>
      </dataBar>
    </cfRule>
  </conditionalFormatting>
  <conditionalFormatting sqref="M2284:M2312">
    <cfRule type="dataBar" priority="380">
      <dataBar>
        <cfvo type="min"/>
        <cfvo type="max"/>
        <color rgb="FF3FCDFF"/>
      </dataBar>
    </cfRule>
  </conditionalFormatting>
  <conditionalFormatting sqref="M2284:M2313">
    <cfRule type="dataBar" priority="390">
      <dataBar>
        <cfvo type="min"/>
        <cfvo type="max"/>
        <color rgb="FF638EC6"/>
      </dataBar>
    </cfRule>
    <cfRule type="dataBar" priority="389">
      <dataBar>
        <cfvo type="min"/>
        <cfvo type="max"/>
        <color rgb="FF00B0F0"/>
      </dataBar>
    </cfRule>
    <cfRule type="dataBar" priority="388">
      <dataBar>
        <cfvo type="min"/>
        <cfvo type="max"/>
        <color rgb="FF00B0F0"/>
      </dataBar>
    </cfRule>
  </conditionalFormatting>
  <conditionalFormatting sqref="M2313">
    <cfRule type="dataBar" priority="384">
      <dataBar>
        <cfvo type="min"/>
        <cfvo type="max"/>
        <color rgb="FF3FCDFF"/>
      </dataBar>
    </cfRule>
    <cfRule type="dataBar" priority="383">
      <dataBar>
        <cfvo type="min"/>
        <cfvo type="max"/>
        <color rgb="FF008AEF"/>
      </dataBar>
    </cfRule>
    <cfRule type="dataBar" priority="382">
      <dataBar>
        <cfvo type="min"/>
        <cfvo type="max"/>
        <color rgb="FF00B0F0"/>
      </dataBar>
    </cfRule>
  </conditionalFormatting>
  <conditionalFormatting sqref="M2314:M2342">
    <cfRule type="dataBar" priority="371">
      <dataBar>
        <cfvo type="min"/>
        <cfvo type="max"/>
        <color rgb="FF3FCDFF"/>
      </dataBar>
    </cfRule>
  </conditionalFormatting>
  <conditionalFormatting sqref="M2314:M2403">
    <cfRule type="dataBar" priority="376">
      <dataBar>
        <cfvo type="min"/>
        <cfvo type="max"/>
        <color rgb="FF00B0F0"/>
      </dataBar>
    </cfRule>
    <cfRule type="dataBar" priority="378">
      <dataBar>
        <cfvo type="min"/>
        <cfvo type="max"/>
        <color rgb="FF638EC6"/>
      </dataBar>
    </cfRule>
    <cfRule type="dataBar" priority="377">
      <dataBar>
        <cfvo type="min"/>
        <cfvo type="max"/>
        <color rgb="FF00B0F0"/>
      </dataBar>
    </cfRule>
  </conditionalFormatting>
  <conditionalFormatting sqref="M2344:M2372">
    <cfRule type="dataBar" priority="369">
      <dataBar>
        <cfvo type="min"/>
        <cfvo type="max"/>
        <color rgb="FF3FCDFF"/>
      </dataBar>
    </cfRule>
  </conditionalFormatting>
  <conditionalFormatting sqref="M2373 M2343 M2403">
    <cfRule type="dataBar" priority="372">
      <dataBar>
        <cfvo type="min"/>
        <cfvo type="max"/>
        <color rgb="FF00B0F0"/>
      </dataBar>
    </cfRule>
    <cfRule type="dataBar" priority="374">
      <dataBar>
        <cfvo type="min"/>
        <cfvo type="max"/>
        <color rgb="FF3FCDFF"/>
      </dataBar>
    </cfRule>
    <cfRule type="dataBar" priority="373">
      <dataBar>
        <cfvo type="min"/>
        <cfvo type="max"/>
        <color rgb="FF008AEF"/>
      </dataBar>
    </cfRule>
  </conditionalFormatting>
  <conditionalFormatting sqref="M2374:M2402">
    <cfRule type="dataBar" priority="367">
      <dataBar>
        <cfvo type="min"/>
        <cfvo type="max"/>
        <color rgb="FF3FCDFF"/>
      </dataBar>
    </cfRule>
  </conditionalFormatting>
  <conditionalFormatting sqref="M2404 M2435 M2526">
    <cfRule type="dataBar" priority="499">
      <dataBar>
        <cfvo type="min"/>
        <cfvo type="max"/>
        <color rgb="FF00B0F0"/>
      </dataBar>
    </cfRule>
    <cfRule type="dataBar" priority="500">
      <dataBar>
        <cfvo type="min"/>
        <cfvo type="max"/>
        <color rgb="FF00B0F0"/>
      </dataBar>
    </cfRule>
    <cfRule type="dataBar" priority="501">
      <dataBar>
        <cfvo type="min"/>
        <cfvo type="max"/>
        <color rgb="FF638EC6"/>
      </dataBar>
    </cfRule>
    <cfRule type="dataBar" priority="502">
      <dataBar>
        <cfvo type="min"/>
        <cfvo type="max"/>
        <color rgb="FF3FCDFF"/>
      </dataBar>
    </cfRule>
  </conditionalFormatting>
  <conditionalFormatting sqref="M2405:M2433">
    <cfRule type="dataBar" priority="355">
      <dataBar>
        <cfvo type="min"/>
        <cfvo type="max"/>
        <color rgb="FF3FCDFF"/>
      </dataBar>
    </cfRule>
  </conditionalFormatting>
  <conditionalFormatting sqref="M2405:M2434">
    <cfRule type="dataBar" priority="362">
      <dataBar>
        <cfvo type="min"/>
        <cfvo type="max"/>
        <color rgb="FF638EC6"/>
      </dataBar>
    </cfRule>
    <cfRule type="dataBar" priority="361">
      <dataBar>
        <cfvo type="min"/>
        <cfvo type="max"/>
        <color rgb="FF00B0F0"/>
      </dataBar>
    </cfRule>
    <cfRule type="dataBar" priority="360">
      <dataBar>
        <cfvo type="min"/>
        <cfvo type="max"/>
        <color rgb="FF00B0F0"/>
      </dataBar>
    </cfRule>
  </conditionalFormatting>
  <conditionalFormatting sqref="M2434">
    <cfRule type="dataBar" priority="358">
      <dataBar>
        <cfvo type="min"/>
        <cfvo type="max"/>
        <color rgb="FF3FCDFF"/>
      </dataBar>
    </cfRule>
    <cfRule type="dataBar" priority="357">
      <dataBar>
        <cfvo type="min"/>
        <cfvo type="max"/>
        <color rgb="FF008AEF"/>
      </dataBar>
    </cfRule>
    <cfRule type="dataBar" priority="356">
      <dataBar>
        <cfvo type="min"/>
        <cfvo type="max"/>
        <color rgb="FF00B0F0"/>
      </dataBar>
    </cfRule>
  </conditionalFormatting>
  <conditionalFormatting sqref="M2436:M2464">
    <cfRule type="dataBar" priority="346">
      <dataBar>
        <cfvo type="min"/>
        <cfvo type="max"/>
        <color rgb="FF3FCDFF"/>
      </dataBar>
    </cfRule>
  </conditionalFormatting>
  <conditionalFormatting sqref="M2436:M2465">
    <cfRule type="dataBar" priority="353">
      <dataBar>
        <cfvo type="min"/>
        <cfvo type="max"/>
        <color rgb="FF638EC6"/>
      </dataBar>
    </cfRule>
    <cfRule type="dataBar" priority="352">
      <dataBar>
        <cfvo type="min"/>
        <cfvo type="max"/>
        <color rgb="FF00B0F0"/>
      </dataBar>
    </cfRule>
    <cfRule type="dataBar" priority="351">
      <dataBar>
        <cfvo type="min"/>
        <cfvo type="max"/>
        <color rgb="FF00B0F0"/>
      </dataBar>
    </cfRule>
  </conditionalFormatting>
  <conditionalFormatting sqref="M2465">
    <cfRule type="dataBar" priority="348">
      <dataBar>
        <cfvo type="min"/>
        <cfvo type="max"/>
        <color rgb="FF008AEF"/>
      </dataBar>
    </cfRule>
    <cfRule type="dataBar" priority="347">
      <dataBar>
        <cfvo type="min"/>
        <cfvo type="max"/>
        <color rgb="FF00B0F0"/>
      </dataBar>
    </cfRule>
    <cfRule type="dataBar" priority="349">
      <dataBar>
        <cfvo type="min"/>
        <cfvo type="max"/>
        <color rgb="FF3FCDFF"/>
      </dataBar>
    </cfRule>
  </conditionalFormatting>
  <conditionalFormatting sqref="M2466:M2494">
    <cfRule type="dataBar" priority="344">
      <dataBar>
        <cfvo type="min"/>
        <cfvo type="max"/>
        <color rgb="FF3FCDFF"/>
      </dataBar>
    </cfRule>
  </conditionalFormatting>
  <conditionalFormatting sqref="M2466:M2525">
    <cfRule type="dataBar" priority="494">
      <dataBar>
        <cfvo type="min"/>
        <cfvo type="max"/>
        <color rgb="FF638EC6"/>
      </dataBar>
    </cfRule>
    <cfRule type="dataBar" priority="492">
      <dataBar>
        <cfvo type="min"/>
        <cfvo type="max"/>
        <color rgb="FF00B0F0"/>
      </dataBar>
    </cfRule>
    <cfRule type="dataBar" priority="493">
      <dataBar>
        <cfvo type="min"/>
        <cfvo type="max"/>
        <color rgb="FF00B0F0"/>
      </dataBar>
    </cfRule>
  </conditionalFormatting>
  <conditionalFormatting sqref="M2496:M2524">
    <cfRule type="dataBar" priority="342">
      <dataBar>
        <cfvo type="min"/>
        <cfvo type="max"/>
        <color rgb="FF3FCDFF"/>
      </dataBar>
    </cfRule>
  </conditionalFormatting>
  <conditionalFormatting sqref="M2525 M2495">
    <cfRule type="dataBar" priority="487">
      <dataBar>
        <cfvo type="min"/>
        <cfvo type="max"/>
        <color rgb="FF008AEF"/>
      </dataBar>
    </cfRule>
    <cfRule type="dataBar" priority="488">
      <dataBar>
        <cfvo type="min"/>
        <cfvo type="max"/>
        <color rgb="FF3FCDFF"/>
      </dataBar>
    </cfRule>
    <cfRule type="dataBar" priority="486">
      <dataBar>
        <cfvo type="min"/>
        <cfvo type="max"/>
        <color rgb="FF00B0F0"/>
      </dataBar>
    </cfRule>
  </conditionalFormatting>
  <conditionalFormatting sqref="M2527">
    <cfRule type="dataBar" priority="166">
      <dataBar>
        <cfvo type="min"/>
        <cfvo type="max"/>
        <color rgb="FF008AEF"/>
      </dataBar>
    </cfRule>
    <cfRule type="dataBar" priority="165">
      <dataBar>
        <cfvo type="min"/>
        <cfvo type="max"/>
        <color rgb="FF00B0F0"/>
      </dataBar>
    </cfRule>
    <cfRule type="dataBar" priority="164">
      <dataBar>
        <cfvo type="min"/>
        <cfvo type="max"/>
        <color rgb="FF00B0F0"/>
      </dataBar>
    </cfRule>
    <cfRule type="dataBar" priority="160">
      <dataBar>
        <cfvo type="min"/>
        <cfvo type="max"/>
        <color rgb="FF3FCDFF"/>
      </dataBar>
    </cfRule>
    <cfRule type="dataBar" priority="159">
      <dataBar>
        <cfvo type="min"/>
        <cfvo type="max"/>
        <color rgb="FF008AEF"/>
      </dataBar>
    </cfRule>
    <cfRule type="dataBar" priority="158">
      <dataBar>
        <cfvo type="min"/>
        <cfvo type="max"/>
        <color rgb="FF00B0F0"/>
      </dataBar>
    </cfRule>
  </conditionalFormatting>
  <conditionalFormatting sqref="M2528:M2531 M2533:M2538 M2540:M2543 M2545:M2550 M2552:M2554 M2556 M2558:M2561 M2563:M2568 M2570:M2573 M2575:M2580 M2582:M2584 M2586">
    <cfRule type="dataBar" priority="338">
      <dataBar>
        <cfvo type="min"/>
        <cfvo type="max"/>
        <color rgb="FF00B0F0"/>
      </dataBar>
    </cfRule>
    <cfRule type="dataBar" priority="339">
      <dataBar>
        <cfvo type="min"/>
        <cfvo type="max"/>
        <color rgb="FF00B0F0"/>
      </dataBar>
    </cfRule>
    <cfRule type="dataBar" priority="340">
      <dataBar>
        <cfvo type="min"/>
        <cfvo type="max"/>
        <color rgb="FF638EC6"/>
      </dataBar>
    </cfRule>
  </conditionalFormatting>
  <conditionalFormatting sqref="M2528:M2531 M2533:M2538 M2540:M2543 M2545:M2550 M2552:M2554">
    <cfRule type="dataBar" priority="330">
      <dataBar>
        <cfvo type="min"/>
        <cfvo type="max"/>
        <color rgb="FF3FCDFF"/>
      </dataBar>
    </cfRule>
  </conditionalFormatting>
  <conditionalFormatting sqref="M2532">
    <cfRule type="dataBar" priority="155">
      <dataBar>
        <cfvo type="min"/>
        <cfvo type="max"/>
        <color rgb="FF00B0F0"/>
      </dataBar>
    </cfRule>
    <cfRule type="dataBar" priority="154">
      <dataBar>
        <cfvo type="min"/>
        <cfvo type="max"/>
        <color rgb="FF00B0F0"/>
      </dataBar>
    </cfRule>
    <cfRule type="dataBar" priority="156">
      <dataBar>
        <cfvo type="min"/>
        <cfvo type="max"/>
        <color rgb="FF008AEF"/>
      </dataBar>
    </cfRule>
    <cfRule type="dataBar" priority="150">
      <dataBar>
        <cfvo type="min"/>
        <cfvo type="max"/>
        <color rgb="FF3FCDFF"/>
      </dataBar>
    </cfRule>
    <cfRule type="dataBar" priority="149">
      <dataBar>
        <cfvo type="min"/>
        <cfvo type="max"/>
        <color rgb="FF008AEF"/>
      </dataBar>
    </cfRule>
    <cfRule type="dataBar" priority="148">
      <dataBar>
        <cfvo type="min"/>
        <cfvo type="max"/>
        <color rgb="FF00B0F0"/>
      </dataBar>
    </cfRule>
  </conditionalFormatting>
  <conditionalFormatting sqref="M2539">
    <cfRule type="dataBar" priority="146">
      <dataBar>
        <cfvo type="min"/>
        <cfvo type="max"/>
        <color rgb="FF008AEF"/>
      </dataBar>
    </cfRule>
    <cfRule type="dataBar" priority="145">
      <dataBar>
        <cfvo type="min"/>
        <cfvo type="max"/>
        <color rgb="FF00B0F0"/>
      </dataBar>
    </cfRule>
    <cfRule type="dataBar" priority="140">
      <dataBar>
        <cfvo type="min"/>
        <cfvo type="max"/>
        <color rgb="FF3FCDFF"/>
      </dataBar>
    </cfRule>
    <cfRule type="dataBar" priority="139">
      <dataBar>
        <cfvo type="min"/>
        <cfvo type="max"/>
        <color rgb="FF008AEF"/>
      </dataBar>
    </cfRule>
    <cfRule type="dataBar" priority="138">
      <dataBar>
        <cfvo type="min"/>
        <cfvo type="max"/>
        <color rgb="FF00B0F0"/>
      </dataBar>
    </cfRule>
    <cfRule type="dataBar" priority="144">
      <dataBar>
        <cfvo type="min"/>
        <cfvo type="max"/>
        <color rgb="FF00B0F0"/>
      </dataBar>
    </cfRule>
  </conditionalFormatting>
  <conditionalFormatting sqref="M2544">
    <cfRule type="dataBar" priority="136">
      <dataBar>
        <cfvo type="min"/>
        <cfvo type="max"/>
        <color rgb="FF008AEF"/>
      </dataBar>
    </cfRule>
    <cfRule type="dataBar" priority="134">
      <dataBar>
        <cfvo type="min"/>
        <cfvo type="max"/>
        <color rgb="FF00B0F0"/>
      </dataBar>
    </cfRule>
    <cfRule type="dataBar" priority="135">
      <dataBar>
        <cfvo type="min"/>
        <cfvo type="max"/>
        <color rgb="FF00B0F0"/>
      </dataBar>
    </cfRule>
    <cfRule type="dataBar" priority="130">
      <dataBar>
        <cfvo type="min"/>
        <cfvo type="max"/>
        <color rgb="FF3FCDFF"/>
      </dataBar>
    </cfRule>
    <cfRule type="dataBar" priority="129">
      <dataBar>
        <cfvo type="min"/>
        <cfvo type="max"/>
        <color rgb="FF008AEF"/>
      </dataBar>
    </cfRule>
    <cfRule type="dataBar" priority="128">
      <dataBar>
        <cfvo type="min"/>
        <cfvo type="max"/>
        <color rgb="FF00B0F0"/>
      </dataBar>
    </cfRule>
  </conditionalFormatting>
  <conditionalFormatting sqref="M2551">
    <cfRule type="dataBar" priority="119">
      <dataBar>
        <cfvo type="min"/>
        <cfvo type="max"/>
        <color rgb="FF008AEF"/>
      </dataBar>
    </cfRule>
    <cfRule type="dataBar" priority="118">
      <dataBar>
        <cfvo type="min"/>
        <cfvo type="max"/>
        <color rgb="FF00B0F0"/>
      </dataBar>
    </cfRule>
    <cfRule type="dataBar" priority="126">
      <dataBar>
        <cfvo type="min"/>
        <cfvo type="max"/>
        <color rgb="FF008AEF"/>
      </dataBar>
    </cfRule>
    <cfRule type="dataBar" priority="125">
      <dataBar>
        <cfvo type="min"/>
        <cfvo type="max"/>
        <color rgb="FF00B0F0"/>
      </dataBar>
    </cfRule>
    <cfRule type="dataBar" priority="124">
      <dataBar>
        <cfvo type="min"/>
        <cfvo type="max"/>
        <color rgb="FF00B0F0"/>
      </dataBar>
    </cfRule>
    <cfRule type="dataBar" priority="120">
      <dataBar>
        <cfvo type="min"/>
        <cfvo type="max"/>
        <color rgb="FF3FCDFF"/>
      </dataBar>
    </cfRule>
  </conditionalFormatting>
  <conditionalFormatting sqref="M2555">
    <cfRule type="dataBar" priority="109">
      <dataBar>
        <cfvo type="min"/>
        <cfvo type="max"/>
        <color rgb="FF008AEF"/>
      </dataBar>
    </cfRule>
    <cfRule type="dataBar" priority="116">
      <dataBar>
        <cfvo type="min"/>
        <cfvo type="max"/>
        <color rgb="FF008AEF"/>
      </dataBar>
    </cfRule>
    <cfRule type="dataBar" priority="115">
      <dataBar>
        <cfvo type="min"/>
        <cfvo type="max"/>
        <color rgb="FF00B0F0"/>
      </dataBar>
    </cfRule>
    <cfRule type="dataBar" priority="114">
      <dataBar>
        <cfvo type="min"/>
        <cfvo type="max"/>
        <color rgb="FF00B0F0"/>
      </dataBar>
    </cfRule>
    <cfRule type="dataBar" priority="110">
      <dataBar>
        <cfvo type="min"/>
        <cfvo type="max"/>
        <color rgb="FF3FCDFF"/>
      </dataBar>
    </cfRule>
    <cfRule type="dataBar" priority="108">
      <dataBar>
        <cfvo type="min"/>
        <cfvo type="max"/>
        <color rgb="FF00B0F0"/>
      </dataBar>
    </cfRule>
  </conditionalFormatting>
  <conditionalFormatting sqref="M2557">
    <cfRule type="dataBar" priority="98">
      <dataBar>
        <cfvo type="min"/>
        <cfvo type="max"/>
        <color rgb="FF00B0F0"/>
      </dataBar>
    </cfRule>
    <cfRule type="dataBar" priority="106">
      <dataBar>
        <cfvo type="min"/>
        <cfvo type="max"/>
        <color rgb="FF008AEF"/>
      </dataBar>
    </cfRule>
    <cfRule type="dataBar" priority="105">
      <dataBar>
        <cfvo type="min"/>
        <cfvo type="max"/>
        <color rgb="FF00B0F0"/>
      </dataBar>
    </cfRule>
    <cfRule type="dataBar" priority="104">
      <dataBar>
        <cfvo type="min"/>
        <cfvo type="max"/>
        <color rgb="FF00B0F0"/>
      </dataBar>
    </cfRule>
    <cfRule type="dataBar" priority="100">
      <dataBar>
        <cfvo type="min"/>
        <cfvo type="max"/>
        <color rgb="FF3FCDFF"/>
      </dataBar>
    </cfRule>
    <cfRule type="dataBar" priority="99">
      <dataBar>
        <cfvo type="min"/>
        <cfvo type="max"/>
        <color rgb="FF008AEF"/>
      </dataBar>
    </cfRule>
  </conditionalFormatting>
  <conditionalFormatting sqref="M2558:M2561 M2563:M2568 M2570:M2573 M2575:M2580 M2582:M2584">
    <cfRule type="dataBar" priority="329">
      <dataBar>
        <cfvo type="min"/>
        <cfvo type="max"/>
        <color rgb="FF3FCDFF"/>
      </dataBar>
    </cfRule>
  </conditionalFormatting>
  <conditionalFormatting sqref="M2562">
    <cfRule type="dataBar" priority="90">
      <dataBar>
        <cfvo type="min"/>
        <cfvo type="max"/>
        <color rgb="FF3FCDFF"/>
      </dataBar>
    </cfRule>
    <cfRule type="dataBar" priority="96">
      <dataBar>
        <cfvo type="min"/>
        <cfvo type="max"/>
        <color rgb="FF008AEF"/>
      </dataBar>
    </cfRule>
    <cfRule type="dataBar" priority="88">
      <dataBar>
        <cfvo type="min"/>
        <cfvo type="max"/>
        <color rgb="FF00B0F0"/>
      </dataBar>
    </cfRule>
    <cfRule type="dataBar" priority="89">
      <dataBar>
        <cfvo type="min"/>
        <cfvo type="max"/>
        <color rgb="FF008AEF"/>
      </dataBar>
    </cfRule>
    <cfRule type="dataBar" priority="95">
      <dataBar>
        <cfvo type="min"/>
        <cfvo type="max"/>
        <color rgb="FF00B0F0"/>
      </dataBar>
    </cfRule>
    <cfRule type="dataBar" priority="94">
      <dataBar>
        <cfvo type="min"/>
        <cfvo type="max"/>
        <color rgb="FF00B0F0"/>
      </dataBar>
    </cfRule>
  </conditionalFormatting>
  <conditionalFormatting sqref="M2569">
    <cfRule type="dataBar" priority="80">
      <dataBar>
        <cfvo type="min"/>
        <cfvo type="max"/>
        <color rgb="FF3FCDFF"/>
      </dataBar>
    </cfRule>
    <cfRule type="dataBar" priority="84">
      <dataBar>
        <cfvo type="min"/>
        <cfvo type="max"/>
        <color rgb="FF00B0F0"/>
      </dataBar>
    </cfRule>
    <cfRule type="dataBar" priority="85">
      <dataBar>
        <cfvo type="min"/>
        <cfvo type="max"/>
        <color rgb="FF00B0F0"/>
      </dataBar>
    </cfRule>
    <cfRule type="dataBar" priority="79">
      <dataBar>
        <cfvo type="min"/>
        <cfvo type="max"/>
        <color rgb="FF008AEF"/>
      </dataBar>
    </cfRule>
    <cfRule type="dataBar" priority="78">
      <dataBar>
        <cfvo type="min"/>
        <cfvo type="max"/>
        <color rgb="FF00B0F0"/>
      </dataBar>
    </cfRule>
    <cfRule type="dataBar" priority="86">
      <dataBar>
        <cfvo type="min"/>
        <cfvo type="max"/>
        <color rgb="FF008AEF"/>
      </dataBar>
    </cfRule>
  </conditionalFormatting>
  <conditionalFormatting sqref="M2574">
    <cfRule type="dataBar" priority="76">
      <dataBar>
        <cfvo type="min"/>
        <cfvo type="max"/>
        <color rgb="FF008AEF"/>
      </dataBar>
    </cfRule>
    <cfRule type="dataBar" priority="75">
      <dataBar>
        <cfvo type="min"/>
        <cfvo type="max"/>
        <color rgb="FF00B0F0"/>
      </dataBar>
    </cfRule>
    <cfRule type="dataBar" priority="74">
      <dataBar>
        <cfvo type="min"/>
        <cfvo type="max"/>
        <color rgb="FF00B0F0"/>
      </dataBar>
    </cfRule>
    <cfRule type="dataBar" priority="70">
      <dataBar>
        <cfvo type="min"/>
        <cfvo type="max"/>
        <color rgb="FF3FCDFF"/>
      </dataBar>
    </cfRule>
    <cfRule type="dataBar" priority="69">
      <dataBar>
        <cfvo type="min"/>
        <cfvo type="max"/>
        <color rgb="FF008AEF"/>
      </dataBar>
    </cfRule>
    <cfRule type="dataBar" priority="68">
      <dataBar>
        <cfvo type="min"/>
        <cfvo type="max"/>
        <color rgb="FF00B0F0"/>
      </dataBar>
    </cfRule>
  </conditionalFormatting>
  <conditionalFormatting sqref="M2581">
    <cfRule type="dataBar" priority="66">
      <dataBar>
        <cfvo type="min"/>
        <cfvo type="max"/>
        <color rgb="FF008AEF"/>
      </dataBar>
    </cfRule>
    <cfRule type="dataBar" priority="64">
      <dataBar>
        <cfvo type="min"/>
        <cfvo type="max"/>
        <color rgb="FF00B0F0"/>
      </dataBar>
    </cfRule>
    <cfRule type="dataBar" priority="60">
      <dataBar>
        <cfvo type="min"/>
        <cfvo type="max"/>
        <color rgb="FF3FCDFF"/>
      </dataBar>
    </cfRule>
    <cfRule type="dataBar" priority="59">
      <dataBar>
        <cfvo type="min"/>
        <cfvo type="max"/>
        <color rgb="FF008AEF"/>
      </dataBar>
    </cfRule>
    <cfRule type="dataBar" priority="58">
      <dataBar>
        <cfvo type="min"/>
        <cfvo type="max"/>
        <color rgb="FF00B0F0"/>
      </dataBar>
    </cfRule>
    <cfRule type="dataBar" priority="65">
      <dataBar>
        <cfvo type="min"/>
        <cfvo type="max"/>
        <color rgb="FF00B0F0"/>
      </dataBar>
    </cfRule>
  </conditionalFormatting>
  <conditionalFormatting sqref="M2585">
    <cfRule type="dataBar" priority="48">
      <dataBar>
        <cfvo type="min"/>
        <cfvo type="max"/>
        <color rgb="FF00B0F0"/>
      </dataBar>
    </cfRule>
    <cfRule type="dataBar" priority="49">
      <dataBar>
        <cfvo type="min"/>
        <cfvo type="max"/>
        <color rgb="FF008AEF"/>
      </dataBar>
    </cfRule>
    <cfRule type="dataBar" priority="50">
      <dataBar>
        <cfvo type="min"/>
        <cfvo type="max"/>
        <color rgb="FF3FCDFF"/>
      </dataBar>
    </cfRule>
    <cfRule type="dataBar" priority="56">
      <dataBar>
        <cfvo type="min"/>
        <cfvo type="max"/>
        <color rgb="FF008AEF"/>
      </dataBar>
    </cfRule>
    <cfRule type="dataBar" priority="55">
      <dataBar>
        <cfvo type="min"/>
        <cfvo type="max"/>
        <color rgb="FF00B0F0"/>
      </dataBar>
    </cfRule>
    <cfRule type="dataBar" priority="54">
      <dataBar>
        <cfvo type="min"/>
        <cfvo type="max"/>
        <color rgb="FF00B0F0"/>
      </dataBar>
    </cfRule>
  </conditionalFormatting>
  <conditionalFormatting sqref="M2586 M2556">
    <cfRule type="dataBar" priority="332">
      <dataBar>
        <cfvo type="min"/>
        <cfvo type="max"/>
        <color rgb="FF00B0F0"/>
      </dataBar>
    </cfRule>
    <cfRule type="dataBar" priority="333">
      <dataBar>
        <cfvo type="min"/>
        <cfvo type="max"/>
        <color rgb="FF008AEF"/>
      </dataBar>
    </cfRule>
    <cfRule type="dataBar" priority="334">
      <dataBar>
        <cfvo type="min"/>
        <cfvo type="max"/>
        <color rgb="FF3FCDFF"/>
      </dataBar>
    </cfRule>
  </conditionalFormatting>
  <conditionalFormatting sqref="M2587">
    <cfRule type="dataBar" priority="325">
      <dataBar>
        <cfvo type="min"/>
        <cfvo type="max"/>
        <color rgb="FF00B0F0"/>
      </dataBar>
    </cfRule>
    <cfRule type="dataBar" priority="326">
      <dataBar>
        <cfvo type="min"/>
        <cfvo type="max"/>
        <color rgb="FF00B0F0"/>
      </dataBar>
    </cfRule>
    <cfRule type="dataBar" priority="327">
      <dataBar>
        <cfvo type="min"/>
        <cfvo type="max"/>
        <color rgb="FF638EC6"/>
      </dataBar>
    </cfRule>
    <cfRule type="dataBar" priority="328">
      <dataBar>
        <cfvo type="min"/>
        <cfvo type="max"/>
        <color rgb="FF3FCDFF"/>
      </dataBar>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theme="6" tint="0.79998168889431442"/>
  </sheetPr>
  <dimension ref="A1:N1617"/>
  <sheetViews>
    <sheetView zoomScale="135" zoomScaleNormal="125" workbookViewId="0">
      <pane ySplit="1" topLeftCell="A1065" activePane="bottomLeft" state="frozen"/>
      <selection activeCell="C2" sqref="C2"/>
      <selection pane="bottomLeft" activeCell="F1222" sqref="F1222"/>
    </sheetView>
  </sheetViews>
  <sheetFormatPr baseColWidth="10" defaultRowHeight="16" x14ac:dyDescent="0.2"/>
  <cols>
    <col min="1" max="1" width="23.6640625" bestFit="1" customWidth="1"/>
    <col min="2" max="2" width="22" bestFit="1" customWidth="1"/>
    <col min="6" max="6" width="46.1640625" customWidth="1"/>
    <col min="7" max="7" width="4.1640625" customWidth="1"/>
    <col min="14" max="14" width="47.33203125" customWidth="1"/>
  </cols>
  <sheetData>
    <row r="1" spans="1:14" x14ac:dyDescent="0.2">
      <c r="A1" s="754" t="s">
        <v>185</v>
      </c>
      <c r="B1" s="755" t="s">
        <v>186</v>
      </c>
      <c r="C1" s="680" t="s">
        <v>1</v>
      </c>
      <c r="D1" s="756" t="s">
        <v>2</v>
      </c>
      <c r="E1" s="757" t="s">
        <v>3</v>
      </c>
      <c r="F1" s="758" t="s">
        <v>4</v>
      </c>
      <c r="G1" s="759" t="s">
        <v>16</v>
      </c>
      <c r="H1" s="760" t="s">
        <v>5</v>
      </c>
      <c r="I1" s="760" t="s">
        <v>6</v>
      </c>
      <c r="J1" s="760" t="s">
        <v>7</v>
      </c>
      <c r="K1" s="760" t="s">
        <v>8</v>
      </c>
      <c r="L1" s="761" t="s">
        <v>9</v>
      </c>
      <c r="M1" s="367" t="s">
        <v>10</v>
      </c>
      <c r="N1" s="762" t="s">
        <v>158</v>
      </c>
    </row>
    <row r="2" spans="1:14" x14ac:dyDescent="0.2">
      <c r="A2" s="444" t="s">
        <v>200</v>
      </c>
      <c r="B2" s="652" t="s">
        <v>552</v>
      </c>
      <c r="C2" s="422" t="s">
        <v>13</v>
      </c>
      <c r="D2" s="433" t="s">
        <v>135</v>
      </c>
      <c r="E2" s="266">
        <v>6.1948782011242973E-2</v>
      </c>
      <c r="F2" s="389" t="s">
        <v>553</v>
      </c>
      <c r="G2" s="390" t="s">
        <v>16</v>
      </c>
      <c r="H2" s="391">
        <v>2</v>
      </c>
      <c r="I2" s="391">
        <v>2</v>
      </c>
      <c r="J2" s="391">
        <v>3</v>
      </c>
      <c r="K2" s="391">
        <v>3</v>
      </c>
      <c r="L2" s="392">
        <v>2</v>
      </c>
      <c r="M2" s="271">
        <f>IF( OR( ISBLANK(H2),ISBLANK(I2), ISBLANK(J2), ISBLANK(K2), ISBLANK(L2) ), "", 1.5*SQRT(   EXP(2.21*(H2-1)) + EXP(2.21*(I2-1)) + EXP(2.21*(J2-1)) + EXP(2.21*(K2-1)) + EXP(2.21*L2)   )/100*2.45 )</f>
        <v>0.60108474454521421</v>
      </c>
      <c r="N2" s="272"/>
    </row>
    <row r="3" spans="1:14" x14ac:dyDescent="0.2">
      <c r="A3" s="246" t="s">
        <v>200</v>
      </c>
      <c r="B3" s="459" t="s">
        <v>554</v>
      </c>
      <c r="C3" s="422" t="s">
        <v>13</v>
      </c>
      <c r="D3" s="248" t="s">
        <v>135</v>
      </c>
      <c r="E3" s="249">
        <v>1.08682073703935E-4</v>
      </c>
      <c r="F3" s="374" t="s">
        <v>553</v>
      </c>
      <c r="G3" s="251" t="s">
        <v>16</v>
      </c>
      <c r="H3" s="376">
        <v>2</v>
      </c>
      <c r="I3" s="376">
        <v>2</v>
      </c>
      <c r="J3" s="376">
        <v>3</v>
      </c>
      <c r="K3" s="376">
        <v>3</v>
      </c>
      <c r="L3" s="377">
        <v>2</v>
      </c>
      <c r="M3" s="378">
        <f>IF( OR( ISBLANK(H3),ISBLANK(I3), ISBLANK(J3), ISBLANK(K3), ISBLANK(L3) ), "", 1.5*SQRT(   EXP(2.21*(H3-1)) + EXP(2.21*(I3-1)) + EXP(2.21*(J3-1)) + EXP(2.21*(K3-1)) + EXP(2.21*L3)   )/100*2.45 )</f>
        <v>0.60108474454521421</v>
      </c>
      <c r="N3" s="255"/>
    </row>
    <row r="4" spans="1:14" hidden="1" x14ac:dyDescent="0.2">
      <c r="A4" s="246" t="s">
        <v>200</v>
      </c>
      <c r="B4" s="653" t="s">
        <v>552</v>
      </c>
      <c r="C4" s="422" t="s">
        <v>18</v>
      </c>
      <c r="D4" s="248" t="s">
        <v>135</v>
      </c>
      <c r="E4" s="249">
        <v>5.4116177389131791E-2</v>
      </c>
      <c r="F4" s="374" t="s">
        <v>553</v>
      </c>
      <c r="G4" s="251" t="s">
        <v>16</v>
      </c>
      <c r="H4" s="376">
        <v>2</v>
      </c>
      <c r="I4" s="376">
        <v>2</v>
      </c>
      <c r="J4" s="376">
        <v>3</v>
      </c>
      <c r="K4" s="376">
        <v>3</v>
      </c>
      <c r="L4" s="377">
        <v>2</v>
      </c>
      <c r="M4" s="378">
        <f>IF( OR( ISBLANK(H4),ISBLANK(I4), ISBLANK(J4), ISBLANK(K4), ISBLANK(L4) ), "", 1.5*SQRT(   EXP(2.21*(H4-1)) + EXP(2.21*(I4-1)) + EXP(2.21*(J4-1)) + EXP(2.21*(K4-1)) + EXP(2.21*L4)   )/100*2.45 )</f>
        <v>0.60108474454521421</v>
      </c>
      <c r="N4" s="255"/>
    </row>
    <row r="5" spans="1:14" hidden="1" x14ac:dyDescent="0.2">
      <c r="A5" s="246" t="s">
        <v>200</v>
      </c>
      <c r="B5" s="459" t="s">
        <v>554</v>
      </c>
      <c r="C5" s="422" t="s">
        <v>18</v>
      </c>
      <c r="D5" s="248" t="s">
        <v>135</v>
      </c>
      <c r="E5" s="249">
        <v>9.4940662086196126E-5</v>
      </c>
      <c r="F5" s="374" t="s">
        <v>553</v>
      </c>
      <c r="G5" s="251" t="s">
        <v>16</v>
      </c>
      <c r="H5" s="376">
        <v>2</v>
      </c>
      <c r="I5" s="376">
        <v>2</v>
      </c>
      <c r="J5" s="376">
        <v>3</v>
      </c>
      <c r="K5" s="376">
        <v>3</v>
      </c>
      <c r="L5" s="377">
        <v>2</v>
      </c>
      <c r="M5" s="378">
        <f t="shared" ref="M5:M36" si="0">IF( OR( ISBLANK(H5),ISBLANK(I5), ISBLANK(J5), ISBLANK(K5), ISBLANK(L5) ), "", 1.5*SQRT( EXP(2.21*(H5-1)) + EXP(2.21*(I5-1)) + EXP(2.21*(J5-1)) + EXP(2.21*(K5-1)) + EXP(2.21*L5) )/100*2.45 )</f>
        <v>0.60108474454521421</v>
      </c>
      <c r="N5" s="255"/>
    </row>
    <row r="6" spans="1:14" hidden="1" x14ac:dyDescent="0.2">
      <c r="A6" s="246" t="s">
        <v>200</v>
      </c>
      <c r="B6" s="653" t="s">
        <v>552</v>
      </c>
      <c r="C6" s="422" t="s">
        <v>20</v>
      </c>
      <c r="D6" s="248" t="s">
        <v>135</v>
      </c>
      <c r="E6" s="249">
        <v>3.5602748282323551E-3</v>
      </c>
      <c r="F6" s="374" t="s">
        <v>553</v>
      </c>
      <c r="G6" s="251" t="s">
        <v>16</v>
      </c>
      <c r="H6" s="376">
        <v>2</v>
      </c>
      <c r="I6" s="376">
        <v>2</v>
      </c>
      <c r="J6" s="376">
        <v>3</v>
      </c>
      <c r="K6" s="376">
        <v>3</v>
      </c>
      <c r="L6" s="377">
        <v>2</v>
      </c>
      <c r="M6" s="378">
        <f t="shared" si="0"/>
        <v>0.60108474454521421</v>
      </c>
      <c r="N6" s="255"/>
    </row>
    <row r="7" spans="1:14" hidden="1" x14ac:dyDescent="0.2">
      <c r="A7" s="246" t="s">
        <v>200</v>
      </c>
      <c r="B7" s="459" t="s">
        <v>554</v>
      </c>
      <c r="C7" s="422" t="s">
        <v>20</v>
      </c>
      <c r="D7" s="248" t="s">
        <v>135</v>
      </c>
      <c r="E7" s="249">
        <v>6.2460961898813241E-6</v>
      </c>
      <c r="F7" s="374" t="s">
        <v>553</v>
      </c>
      <c r="G7" s="251" t="s">
        <v>16</v>
      </c>
      <c r="H7" s="376">
        <v>2</v>
      </c>
      <c r="I7" s="376">
        <v>2</v>
      </c>
      <c r="J7" s="376">
        <v>3</v>
      </c>
      <c r="K7" s="376">
        <v>3</v>
      </c>
      <c r="L7" s="377">
        <v>2</v>
      </c>
      <c r="M7" s="378">
        <f t="shared" si="0"/>
        <v>0.60108474454521421</v>
      </c>
      <c r="N7" s="255"/>
    </row>
    <row r="8" spans="1:14" hidden="1" x14ac:dyDescent="0.2">
      <c r="A8" s="246" t="s">
        <v>200</v>
      </c>
      <c r="B8" s="653" t="s">
        <v>552</v>
      </c>
      <c r="C8" s="422" t="s">
        <v>22</v>
      </c>
      <c r="D8" s="248" t="s">
        <v>135</v>
      </c>
      <c r="E8" s="249">
        <v>8.5446595877576529E-3</v>
      </c>
      <c r="F8" s="374" t="s">
        <v>553</v>
      </c>
      <c r="G8" s="251" t="s">
        <v>16</v>
      </c>
      <c r="H8" s="376">
        <v>2</v>
      </c>
      <c r="I8" s="376">
        <v>2</v>
      </c>
      <c r="J8" s="376">
        <v>3</v>
      </c>
      <c r="K8" s="376">
        <v>3</v>
      </c>
      <c r="L8" s="377">
        <v>2</v>
      </c>
      <c r="M8" s="378">
        <f t="shared" si="0"/>
        <v>0.60108474454521421</v>
      </c>
      <c r="N8" s="255"/>
    </row>
    <row r="9" spans="1:14" hidden="1" x14ac:dyDescent="0.2">
      <c r="A9" s="246" t="s">
        <v>200</v>
      </c>
      <c r="B9" s="459" t="s">
        <v>554</v>
      </c>
      <c r="C9" s="422" t="s">
        <v>22</v>
      </c>
      <c r="D9" s="248" t="s">
        <v>135</v>
      </c>
      <c r="E9" s="249">
        <v>1.4990630855715179E-5</v>
      </c>
      <c r="F9" s="374" t="s">
        <v>553</v>
      </c>
      <c r="G9" s="251" t="s">
        <v>16</v>
      </c>
      <c r="H9" s="376">
        <v>2</v>
      </c>
      <c r="I9" s="376">
        <v>2</v>
      </c>
      <c r="J9" s="376">
        <v>3</v>
      </c>
      <c r="K9" s="376">
        <v>3</v>
      </c>
      <c r="L9" s="377">
        <v>2</v>
      </c>
      <c r="M9" s="378">
        <f t="shared" si="0"/>
        <v>0.60108474454521421</v>
      </c>
      <c r="N9" s="255"/>
    </row>
    <row r="10" spans="1:14" hidden="1" x14ac:dyDescent="0.2">
      <c r="A10" s="246" t="s">
        <v>200</v>
      </c>
      <c r="B10" s="653" t="s">
        <v>552</v>
      </c>
      <c r="C10" s="422" t="s">
        <v>23</v>
      </c>
      <c r="D10" s="248" t="s">
        <v>135</v>
      </c>
      <c r="E10" s="249">
        <v>3.9163023110555901E-3</v>
      </c>
      <c r="F10" s="374" t="s">
        <v>553</v>
      </c>
      <c r="G10" s="251" t="s">
        <v>16</v>
      </c>
      <c r="H10" s="376">
        <v>2</v>
      </c>
      <c r="I10" s="376">
        <v>2</v>
      </c>
      <c r="J10" s="376">
        <v>3</v>
      </c>
      <c r="K10" s="376">
        <v>3</v>
      </c>
      <c r="L10" s="377">
        <v>2</v>
      </c>
      <c r="M10" s="378">
        <f t="shared" si="0"/>
        <v>0.60108474454521421</v>
      </c>
      <c r="N10" s="255"/>
    </row>
    <row r="11" spans="1:14" hidden="1" x14ac:dyDescent="0.2">
      <c r="A11" s="246" t="s">
        <v>200</v>
      </c>
      <c r="B11" s="459" t="s">
        <v>554</v>
      </c>
      <c r="C11" s="422" t="s">
        <v>23</v>
      </c>
      <c r="D11" s="248" t="s">
        <v>135</v>
      </c>
      <c r="E11" s="249">
        <v>6.8707058088694573E-6</v>
      </c>
      <c r="F11" s="374" t="s">
        <v>553</v>
      </c>
      <c r="G11" s="251" t="s">
        <v>16</v>
      </c>
      <c r="H11" s="376">
        <v>2</v>
      </c>
      <c r="I11" s="376">
        <v>2</v>
      </c>
      <c r="J11" s="376">
        <v>3</v>
      </c>
      <c r="K11" s="376">
        <v>3</v>
      </c>
      <c r="L11" s="377">
        <v>2</v>
      </c>
      <c r="M11" s="378">
        <f t="shared" si="0"/>
        <v>0.60108474454521421</v>
      </c>
      <c r="N11" s="255"/>
    </row>
    <row r="12" spans="1:14" hidden="1" x14ac:dyDescent="0.2">
      <c r="A12" s="246" t="s">
        <v>200</v>
      </c>
      <c r="B12" s="653" t="s">
        <v>552</v>
      </c>
      <c r="C12" s="422" t="s">
        <v>24</v>
      </c>
      <c r="D12" s="248" t="s">
        <v>135</v>
      </c>
      <c r="E12" s="249">
        <v>2.5990006246096192E-2</v>
      </c>
      <c r="F12" s="374" t="s">
        <v>553</v>
      </c>
      <c r="G12" s="251" t="s">
        <v>16</v>
      </c>
      <c r="H12" s="376">
        <v>2</v>
      </c>
      <c r="I12" s="376">
        <v>2</v>
      </c>
      <c r="J12" s="376">
        <v>3</v>
      </c>
      <c r="K12" s="376">
        <v>3</v>
      </c>
      <c r="L12" s="377">
        <v>2</v>
      </c>
      <c r="M12" s="378">
        <f t="shared" si="0"/>
        <v>0.60108474454521421</v>
      </c>
      <c r="N12" s="255"/>
    </row>
    <row r="13" spans="1:14" hidden="1" x14ac:dyDescent="0.2">
      <c r="A13" s="246" t="s">
        <v>200</v>
      </c>
      <c r="B13" s="459" t="s">
        <v>554</v>
      </c>
      <c r="C13" s="422" t="s">
        <v>24</v>
      </c>
      <c r="D13" s="248" t="s">
        <v>135</v>
      </c>
      <c r="E13" s="249">
        <v>4.5596502186133669E-5</v>
      </c>
      <c r="F13" s="374" t="s">
        <v>553</v>
      </c>
      <c r="G13" s="251" t="s">
        <v>16</v>
      </c>
      <c r="H13" s="376">
        <v>2</v>
      </c>
      <c r="I13" s="376">
        <v>2</v>
      </c>
      <c r="J13" s="376">
        <v>3</v>
      </c>
      <c r="K13" s="376">
        <v>3</v>
      </c>
      <c r="L13" s="377">
        <v>2</v>
      </c>
      <c r="M13" s="378">
        <f t="shared" si="0"/>
        <v>0.60108474454521421</v>
      </c>
      <c r="N13" s="255"/>
    </row>
    <row r="14" spans="1:14" hidden="1" x14ac:dyDescent="0.2">
      <c r="A14" s="246" t="s">
        <v>200</v>
      </c>
      <c r="B14" s="653" t="s">
        <v>552</v>
      </c>
      <c r="C14" s="422" t="s">
        <v>25</v>
      </c>
      <c r="D14" s="248" t="s">
        <v>135</v>
      </c>
      <c r="E14" s="249">
        <v>7.1917551530293569E-2</v>
      </c>
      <c r="F14" s="374" t="s">
        <v>553</v>
      </c>
      <c r="G14" s="251" t="s">
        <v>16</v>
      </c>
      <c r="H14" s="376">
        <v>2</v>
      </c>
      <c r="I14" s="376">
        <v>2</v>
      </c>
      <c r="J14" s="376">
        <v>3</v>
      </c>
      <c r="K14" s="376">
        <v>3</v>
      </c>
      <c r="L14" s="377">
        <v>2</v>
      </c>
      <c r="M14" s="378">
        <f t="shared" si="0"/>
        <v>0.60108474454521421</v>
      </c>
      <c r="N14" s="255"/>
    </row>
    <row r="15" spans="1:14" hidden="1" x14ac:dyDescent="0.2">
      <c r="A15" s="246" t="s">
        <v>200</v>
      </c>
      <c r="B15" s="459" t="s">
        <v>554</v>
      </c>
      <c r="C15" s="422" t="s">
        <v>25</v>
      </c>
      <c r="D15" s="248" t="s">
        <v>135</v>
      </c>
      <c r="E15" s="249">
        <v>1.2617114303560279E-4</v>
      </c>
      <c r="F15" s="374" t="s">
        <v>553</v>
      </c>
      <c r="G15" s="251" t="s">
        <v>16</v>
      </c>
      <c r="H15" s="376">
        <v>2</v>
      </c>
      <c r="I15" s="376">
        <v>2</v>
      </c>
      <c r="J15" s="376">
        <v>3</v>
      </c>
      <c r="K15" s="376">
        <v>3</v>
      </c>
      <c r="L15" s="377">
        <v>2</v>
      </c>
      <c r="M15" s="378">
        <f t="shared" si="0"/>
        <v>0.60108474454521421</v>
      </c>
      <c r="N15" s="255"/>
    </row>
    <row r="16" spans="1:14" hidden="1" x14ac:dyDescent="0.2">
      <c r="A16" s="246" t="s">
        <v>200</v>
      </c>
      <c r="B16" s="653" t="s">
        <v>552</v>
      </c>
      <c r="C16" s="422" t="s">
        <v>26</v>
      </c>
      <c r="D16" s="248" t="s">
        <v>135</v>
      </c>
      <c r="E16" s="249">
        <v>5.3404122423485328E-3</v>
      </c>
      <c r="F16" s="374" t="s">
        <v>553</v>
      </c>
      <c r="G16" s="251" t="s">
        <v>16</v>
      </c>
      <c r="H16" s="376">
        <v>2</v>
      </c>
      <c r="I16" s="376">
        <v>2</v>
      </c>
      <c r="J16" s="376">
        <v>3</v>
      </c>
      <c r="K16" s="376">
        <v>3</v>
      </c>
      <c r="L16" s="377">
        <v>2</v>
      </c>
      <c r="M16" s="378">
        <f t="shared" si="0"/>
        <v>0.60108474454521421</v>
      </c>
      <c r="N16" s="255"/>
    </row>
    <row r="17" spans="1:14" hidden="1" x14ac:dyDescent="0.2">
      <c r="A17" s="246" t="s">
        <v>200</v>
      </c>
      <c r="B17" s="459" t="s">
        <v>554</v>
      </c>
      <c r="C17" s="422" t="s">
        <v>26</v>
      </c>
      <c r="D17" s="248" t="s">
        <v>135</v>
      </c>
      <c r="E17" s="249">
        <v>9.3691442848219878E-6</v>
      </c>
      <c r="F17" s="374" t="s">
        <v>553</v>
      </c>
      <c r="G17" s="251" t="s">
        <v>16</v>
      </c>
      <c r="H17" s="376">
        <v>2</v>
      </c>
      <c r="I17" s="376">
        <v>2</v>
      </c>
      <c r="J17" s="376">
        <v>3</v>
      </c>
      <c r="K17" s="376">
        <v>3</v>
      </c>
      <c r="L17" s="377">
        <v>2</v>
      </c>
      <c r="M17" s="378">
        <f t="shared" si="0"/>
        <v>0.60108474454521421</v>
      </c>
      <c r="N17" s="255"/>
    </row>
    <row r="18" spans="1:14" hidden="1" x14ac:dyDescent="0.2">
      <c r="A18" s="246" t="s">
        <v>200</v>
      </c>
      <c r="B18" s="653" t="s">
        <v>552</v>
      </c>
      <c r="C18" s="422" t="s">
        <v>27</v>
      </c>
      <c r="D18" s="248" t="s">
        <v>135</v>
      </c>
      <c r="E18" s="249">
        <v>2.741411617738913E-2</v>
      </c>
      <c r="F18" s="374" t="s">
        <v>553</v>
      </c>
      <c r="G18" s="251" t="s">
        <v>16</v>
      </c>
      <c r="H18" s="376">
        <v>2</v>
      </c>
      <c r="I18" s="376">
        <v>2</v>
      </c>
      <c r="J18" s="376">
        <v>3</v>
      </c>
      <c r="K18" s="376">
        <v>3</v>
      </c>
      <c r="L18" s="377">
        <v>2</v>
      </c>
      <c r="M18" s="378">
        <f t="shared" si="0"/>
        <v>0.60108474454521421</v>
      </c>
      <c r="N18" s="255"/>
    </row>
    <row r="19" spans="1:14" hidden="1" x14ac:dyDescent="0.2">
      <c r="A19" s="246" t="s">
        <v>200</v>
      </c>
      <c r="B19" s="459" t="s">
        <v>554</v>
      </c>
      <c r="C19" s="422" t="s">
        <v>27</v>
      </c>
      <c r="D19" s="248" t="s">
        <v>135</v>
      </c>
      <c r="E19" s="249">
        <v>4.8094940662086199E-5</v>
      </c>
      <c r="F19" s="374" t="s">
        <v>553</v>
      </c>
      <c r="G19" s="251" t="s">
        <v>16</v>
      </c>
      <c r="H19" s="376">
        <v>2</v>
      </c>
      <c r="I19" s="376">
        <v>2</v>
      </c>
      <c r="J19" s="376">
        <v>3</v>
      </c>
      <c r="K19" s="376">
        <v>3</v>
      </c>
      <c r="L19" s="377">
        <v>2</v>
      </c>
      <c r="M19" s="378">
        <f t="shared" si="0"/>
        <v>0.60108474454521421</v>
      </c>
      <c r="N19" s="255"/>
    </row>
    <row r="20" spans="1:14" hidden="1" x14ac:dyDescent="0.2">
      <c r="A20" s="246" t="s">
        <v>200</v>
      </c>
      <c r="B20" s="653" t="s">
        <v>552</v>
      </c>
      <c r="C20" s="422" t="s">
        <v>28</v>
      </c>
      <c r="D20" s="248" t="s">
        <v>135</v>
      </c>
      <c r="E20" s="249">
        <v>3.7026858213616502E-2</v>
      </c>
      <c r="F20" s="374" t="s">
        <v>553</v>
      </c>
      <c r="G20" s="251" t="s">
        <v>16</v>
      </c>
      <c r="H20" s="376">
        <v>2</v>
      </c>
      <c r="I20" s="376">
        <v>2</v>
      </c>
      <c r="J20" s="376">
        <v>3</v>
      </c>
      <c r="K20" s="376">
        <v>3</v>
      </c>
      <c r="L20" s="377">
        <v>2</v>
      </c>
      <c r="M20" s="378">
        <f t="shared" si="0"/>
        <v>0.60108474454521421</v>
      </c>
      <c r="N20" s="255"/>
    </row>
    <row r="21" spans="1:14" hidden="1" x14ac:dyDescent="0.2">
      <c r="A21" s="246" t="s">
        <v>200</v>
      </c>
      <c r="B21" s="459" t="s">
        <v>554</v>
      </c>
      <c r="C21" s="422" t="s">
        <v>28</v>
      </c>
      <c r="D21" s="248" t="s">
        <v>135</v>
      </c>
      <c r="E21" s="249">
        <v>6.4959400374765784E-5</v>
      </c>
      <c r="F21" s="374" t="s">
        <v>553</v>
      </c>
      <c r="G21" s="251" t="s">
        <v>16</v>
      </c>
      <c r="H21" s="376">
        <v>2</v>
      </c>
      <c r="I21" s="376">
        <v>2</v>
      </c>
      <c r="J21" s="376">
        <v>3</v>
      </c>
      <c r="K21" s="376">
        <v>3</v>
      </c>
      <c r="L21" s="377">
        <v>2</v>
      </c>
      <c r="M21" s="378">
        <f t="shared" si="0"/>
        <v>0.60108474454521421</v>
      </c>
      <c r="N21" s="255"/>
    </row>
    <row r="22" spans="1:14" hidden="1" x14ac:dyDescent="0.2">
      <c r="A22" s="246" t="s">
        <v>200</v>
      </c>
      <c r="B22" s="653" t="s">
        <v>552</v>
      </c>
      <c r="C22" s="422" t="s">
        <v>30</v>
      </c>
      <c r="D22" s="248" t="s">
        <v>135</v>
      </c>
      <c r="E22" s="249">
        <v>5.3048094940662087E-2</v>
      </c>
      <c r="F22" s="374" t="s">
        <v>553</v>
      </c>
      <c r="G22" s="251" t="s">
        <v>16</v>
      </c>
      <c r="H22" s="376">
        <v>2</v>
      </c>
      <c r="I22" s="376">
        <v>2</v>
      </c>
      <c r="J22" s="376">
        <v>3</v>
      </c>
      <c r="K22" s="376">
        <v>3</v>
      </c>
      <c r="L22" s="377">
        <v>2</v>
      </c>
      <c r="M22" s="378">
        <f t="shared" si="0"/>
        <v>0.60108474454521421</v>
      </c>
      <c r="N22" s="255"/>
    </row>
    <row r="23" spans="1:14" hidden="1" x14ac:dyDescent="0.2">
      <c r="A23" s="246" t="s">
        <v>200</v>
      </c>
      <c r="B23" s="459" t="s">
        <v>554</v>
      </c>
      <c r="C23" s="422" t="s">
        <v>30</v>
      </c>
      <c r="D23" s="248" t="s">
        <v>135</v>
      </c>
      <c r="E23" s="249">
        <v>9.3066833229231739E-5</v>
      </c>
      <c r="F23" s="374" t="s">
        <v>553</v>
      </c>
      <c r="G23" s="251" t="s">
        <v>16</v>
      </c>
      <c r="H23" s="376">
        <v>2</v>
      </c>
      <c r="I23" s="376">
        <v>2</v>
      </c>
      <c r="J23" s="376">
        <v>3</v>
      </c>
      <c r="K23" s="376">
        <v>3</v>
      </c>
      <c r="L23" s="377">
        <v>2</v>
      </c>
      <c r="M23" s="378">
        <f t="shared" si="0"/>
        <v>0.60108474454521421</v>
      </c>
      <c r="N23" s="255"/>
    </row>
    <row r="24" spans="1:14" hidden="1" x14ac:dyDescent="0.2">
      <c r="A24" s="246" t="s">
        <v>200</v>
      </c>
      <c r="B24" s="653" t="s">
        <v>552</v>
      </c>
      <c r="C24" s="422" t="s">
        <v>32</v>
      </c>
      <c r="D24" s="248" t="s">
        <v>135</v>
      </c>
      <c r="E24" s="249">
        <v>2.8482198625858842E-3</v>
      </c>
      <c r="F24" s="374" t="s">
        <v>553</v>
      </c>
      <c r="G24" s="251" t="s">
        <v>16</v>
      </c>
      <c r="H24" s="376">
        <v>2</v>
      </c>
      <c r="I24" s="376">
        <v>2</v>
      </c>
      <c r="J24" s="376">
        <v>3</v>
      </c>
      <c r="K24" s="376">
        <v>3</v>
      </c>
      <c r="L24" s="377">
        <v>2</v>
      </c>
      <c r="M24" s="378">
        <f t="shared" si="0"/>
        <v>0.60108474454521421</v>
      </c>
      <c r="N24" s="255"/>
    </row>
    <row r="25" spans="1:14" hidden="1" x14ac:dyDescent="0.2">
      <c r="A25" s="246" t="s">
        <v>200</v>
      </c>
      <c r="B25" s="459" t="s">
        <v>554</v>
      </c>
      <c r="C25" s="422" t="s">
        <v>32</v>
      </c>
      <c r="D25" s="248" t="s">
        <v>135</v>
      </c>
      <c r="E25" s="249">
        <v>4.9968769519050601E-6</v>
      </c>
      <c r="F25" s="374" t="s">
        <v>553</v>
      </c>
      <c r="G25" s="251" t="s">
        <v>16</v>
      </c>
      <c r="H25" s="376">
        <v>2</v>
      </c>
      <c r="I25" s="376">
        <v>2</v>
      </c>
      <c r="J25" s="376">
        <v>3</v>
      </c>
      <c r="K25" s="376">
        <v>3</v>
      </c>
      <c r="L25" s="377">
        <v>2</v>
      </c>
      <c r="M25" s="378">
        <f t="shared" si="0"/>
        <v>0.60108474454521421</v>
      </c>
      <c r="N25" s="255"/>
    </row>
    <row r="26" spans="1:14" hidden="1" x14ac:dyDescent="0.2">
      <c r="A26" s="246" t="s">
        <v>200</v>
      </c>
      <c r="B26" s="653" t="s">
        <v>552</v>
      </c>
      <c r="C26" s="422" t="s">
        <v>34</v>
      </c>
      <c r="D26" s="248" t="s">
        <v>135</v>
      </c>
      <c r="E26" s="249">
        <v>1.3885071830106181E-2</v>
      </c>
      <c r="F26" s="374" t="s">
        <v>553</v>
      </c>
      <c r="G26" s="251" t="s">
        <v>16</v>
      </c>
      <c r="H26" s="376">
        <v>2</v>
      </c>
      <c r="I26" s="376">
        <v>2</v>
      </c>
      <c r="J26" s="376">
        <v>3</v>
      </c>
      <c r="K26" s="376">
        <v>3</v>
      </c>
      <c r="L26" s="377">
        <v>2</v>
      </c>
      <c r="M26" s="378">
        <f t="shared" si="0"/>
        <v>0.60108474454521421</v>
      </c>
      <c r="N26" s="255"/>
    </row>
    <row r="27" spans="1:14" hidden="1" x14ac:dyDescent="0.2">
      <c r="A27" s="246" t="s">
        <v>200</v>
      </c>
      <c r="B27" s="459" t="s">
        <v>554</v>
      </c>
      <c r="C27" s="422" t="s">
        <v>34</v>
      </c>
      <c r="D27" s="248" t="s">
        <v>135</v>
      </c>
      <c r="E27" s="249">
        <v>2.4359775140537171E-5</v>
      </c>
      <c r="F27" s="374" t="s">
        <v>553</v>
      </c>
      <c r="G27" s="251" t="s">
        <v>16</v>
      </c>
      <c r="H27" s="376">
        <v>2</v>
      </c>
      <c r="I27" s="376">
        <v>2</v>
      </c>
      <c r="J27" s="376">
        <v>3</v>
      </c>
      <c r="K27" s="376">
        <v>3</v>
      </c>
      <c r="L27" s="377">
        <v>2</v>
      </c>
      <c r="M27" s="378">
        <f t="shared" si="0"/>
        <v>0.60108474454521421</v>
      </c>
      <c r="N27" s="255"/>
    </row>
    <row r="28" spans="1:14" hidden="1" x14ac:dyDescent="0.2">
      <c r="A28" s="246" t="s">
        <v>200</v>
      </c>
      <c r="B28" s="653" t="s">
        <v>552</v>
      </c>
      <c r="C28" s="422" t="s">
        <v>36</v>
      </c>
      <c r="D28" s="248" t="s">
        <v>135</v>
      </c>
      <c r="E28" s="249">
        <v>2.3497813866333539E-2</v>
      </c>
      <c r="F28" s="374" t="s">
        <v>553</v>
      </c>
      <c r="G28" s="251" t="s">
        <v>16</v>
      </c>
      <c r="H28" s="376">
        <v>2</v>
      </c>
      <c r="I28" s="376">
        <v>2</v>
      </c>
      <c r="J28" s="376">
        <v>3</v>
      </c>
      <c r="K28" s="376">
        <v>3</v>
      </c>
      <c r="L28" s="377">
        <v>2</v>
      </c>
      <c r="M28" s="378">
        <f t="shared" si="0"/>
        <v>0.60108474454521421</v>
      </c>
      <c r="N28" s="255"/>
    </row>
    <row r="29" spans="1:14" hidden="1" x14ac:dyDescent="0.2">
      <c r="A29" s="246" t="s">
        <v>200</v>
      </c>
      <c r="B29" s="459" t="s">
        <v>554</v>
      </c>
      <c r="C29" s="422" t="s">
        <v>36</v>
      </c>
      <c r="D29" s="248" t="s">
        <v>135</v>
      </c>
      <c r="E29" s="249">
        <v>4.1224234853216739E-5</v>
      </c>
      <c r="F29" s="374" t="s">
        <v>553</v>
      </c>
      <c r="G29" s="251" t="s">
        <v>16</v>
      </c>
      <c r="H29" s="376">
        <v>2</v>
      </c>
      <c r="I29" s="376">
        <v>2</v>
      </c>
      <c r="J29" s="376">
        <v>3</v>
      </c>
      <c r="K29" s="376">
        <v>3</v>
      </c>
      <c r="L29" s="377">
        <v>2</v>
      </c>
      <c r="M29" s="378">
        <f t="shared" si="0"/>
        <v>0.60108474454521421</v>
      </c>
      <c r="N29" s="255"/>
    </row>
    <row r="30" spans="1:14" hidden="1" x14ac:dyDescent="0.2">
      <c r="A30" s="246" t="s">
        <v>200</v>
      </c>
      <c r="B30" s="653" t="s">
        <v>552</v>
      </c>
      <c r="C30" s="422" t="s">
        <v>37</v>
      </c>
      <c r="D30" s="248" t="s">
        <v>135</v>
      </c>
      <c r="E30" s="249">
        <v>4.3791380387257967E-2</v>
      </c>
      <c r="F30" s="374" t="s">
        <v>553</v>
      </c>
      <c r="G30" s="251" t="s">
        <v>16</v>
      </c>
      <c r="H30" s="376">
        <v>2</v>
      </c>
      <c r="I30" s="376">
        <v>2</v>
      </c>
      <c r="J30" s="376">
        <v>3</v>
      </c>
      <c r="K30" s="376">
        <v>3</v>
      </c>
      <c r="L30" s="377">
        <v>2</v>
      </c>
      <c r="M30" s="378">
        <f t="shared" si="0"/>
        <v>0.60108474454521421</v>
      </c>
      <c r="N30" s="255"/>
    </row>
    <row r="31" spans="1:14" hidden="1" x14ac:dyDescent="0.2">
      <c r="A31" s="246" t="s">
        <v>200</v>
      </c>
      <c r="B31" s="459" t="s">
        <v>554</v>
      </c>
      <c r="C31" s="422" t="s">
        <v>37</v>
      </c>
      <c r="D31" s="248" t="s">
        <v>135</v>
      </c>
      <c r="E31" s="249">
        <v>7.6826983135540303E-5</v>
      </c>
      <c r="F31" s="374" t="s">
        <v>553</v>
      </c>
      <c r="G31" s="251" t="s">
        <v>16</v>
      </c>
      <c r="H31" s="376">
        <v>2</v>
      </c>
      <c r="I31" s="376">
        <v>2</v>
      </c>
      <c r="J31" s="376">
        <v>3</v>
      </c>
      <c r="K31" s="376">
        <v>3</v>
      </c>
      <c r="L31" s="377">
        <v>2</v>
      </c>
      <c r="M31" s="378">
        <f t="shared" si="0"/>
        <v>0.60108474454521421</v>
      </c>
      <c r="N31" s="255"/>
    </row>
    <row r="32" spans="1:14" hidden="1" x14ac:dyDescent="0.2">
      <c r="A32" s="246" t="s">
        <v>200</v>
      </c>
      <c r="B32" s="653" t="s">
        <v>552</v>
      </c>
      <c r="C32" s="422" t="s">
        <v>39</v>
      </c>
      <c r="D32" s="248" t="s">
        <v>135</v>
      </c>
      <c r="E32" s="249">
        <v>1.317301686445971E-2</v>
      </c>
      <c r="F32" s="374" t="s">
        <v>553</v>
      </c>
      <c r="G32" s="251" t="s">
        <v>16</v>
      </c>
      <c r="H32" s="376">
        <v>2</v>
      </c>
      <c r="I32" s="376">
        <v>2</v>
      </c>
      <c r="J32" s="376">
        <v>3</v>
      </c>
      <c r="K32" s="376">
        <v>3</v>
      </c>
      <c r="L32" s="377">
        <v>2</v>
      </c>
      <c r="M32" s="378">
        <f t="shared" si="0"/>
        <v>0.60108474454521421</v>
      </c>
      <c r="N32" s="255"/>
    </row>
    <row r="33" spans="1:14" hidden="1" x14ac:dyDescent="0.2">
      <c r="A33" s="246" t="s">
        <v>200</v>
      </c>
      <c r="B33" s="459" t="s">
        <v>554</v>
      </c>
      <c r="C33" s="422" t="s">
        <v>39</v>
      </c>
      <c r="D33" s="248" t="s">
        <v>135</v>
      </c>
      <c r="E33" s="249">
        <v>2.3110555902560899E-5</v>
      </c>
      <c r="F33" s="374" t="s">
        <v>553</v>
      </c>
      <c r="G33" s="251" t="s">
        <v>16</v>
      </c>
      <c r="H33" s="376">
        <v>2</v>
      </c>
      <c r="I33" s="376">
        <v>2</v>
      </c>
      <c r="J33" s="376">
        <v>3</v>
      </c>
      <c r="K33" s="376">
        <v>3</v>
      </c>
      <c r="L33" s="377">
        <v>2</v>
      </c>
      <c r="M33" s="378">
        <f t="shared" si="0"/>
        <v>0.60108474454521421</v>
      </c>
      <c r="N33" s="255"/>
    </row>
    <row r="34" spans="1:14" hidden="1" x14ac:dyDescent="0.2">
      <c r="A34" s="246" t="s">
        <v>200</v>
      </c>
      <c r="B34" s="653" t="s">
        <v>552</v>
      </c>
      <c r="C34" s="422" t="s">
        <v>40</v>
      </c>
      <c r="D34" s="248" t="s">
        <v>135</v>
      </c>
      <c r="E34" s="249">
        <v>3.6314803247970033E-2</v>
      </c>
      <c r="F34" s="374" t="s">
        <v>553</v>
      </c>
      <c r="G34" s="251" t="s">
        <v>16</v>
      </c>
      <c r="H34" s="376">
        <v>2</v>
      </c>
      <c r="I34" s="376">
        <v>2</v>
      </c>
      <c r="J34" s="376">
        <v>3</v>
      </c>
      <c r="K34" s="376">
        <v>3</v>
      </c>
      <c r="L34" s="377">
        <v>2</v>
      </c>
      <c r="M34" s="378">
        <f t="shared" si="0"/>
        <v>0.60108474454521421</v>
      </c>
      <c r="N34" s="255"/>
    </row>
    <row r="35" spans="1:14" hidden="1" x14ac:dyDescent="0.2">
      <c r="A35" s="246" t="s">
        <v>200</v>
      </c>
      <c r="B35" s="459" t="s">
        <v>554</v>
      </c>
      <c r="C35" s="422" t="s">
        <v>40</v>
      </c>
      <c r="D35" s="248" t="s">
        <v>135</v>
      </c>
      <c r="E35" s="249">
        <v>6.3710181136789512E-5</v>
      </c>
      <c r="F35" s="374" t="s">
        <v>553</v>
      </c>
      <c r="G35" s="251" t="s">
        <v>16</v>
      </c>
      <c r="H35" s="376">
        <v>2</v>
      </c>
      <c r="I35" s="376">
        <v>2</v>
      </c>
      <c r="J35" s="376">
        <v>3</v>
      </c>
      <c r="K35" s="376">
        <v>3</v>
      </c>
      <c r="L35" s="377">
        <v>2</v>
      </c>
      <c r="M35" s="378">
        <f t="shared" si="0"/>
        <v>0.60108474454521421</v>
      </c>
      <c r="N35" s="255"/>
    </row>
    <row r="36" spans="1:14" hidden="1" x14ac:dyDescent="0.2">
      <c r="A36" s="246" t="s">
        <v>200</v>
      </c>
      <c r="B36" s="653" t="s">
        <v>552</v>
      </c>
      <c r="C36" s="422" t="s">
        <v>41</v>
      </c>
      <c r="D36" s="248" t="s">
        <v>135</v>
      </c>
      <c r="E36" s="249">
        <v>7.12054965646471E-2</v>
      </c>
      <c r="F36" s="374" t="s">
        <v>553</v>
      </c>
      <c r="G36" s="251" t="s">
        <v>16</v>
      </c>
      <c r="H36" s="376">
        <v>2</v>
      </c>
      <c r="I36" s="376">
        <v>2</v>
      </c>
      <c r="J36" s="376">
        <v>3</v>
      </c>
      <c r="K36" s="376">
        <v>3</v>
      </c>
      <c r="L36" s="377">
        <v>2</v>
      </c>
      <c r="M36" s="378">
        <f t="shared" si="0"/>
        <v>0.60108474454521421</v>
      </c>
      <c r="N36" s="255"/>
    </row>
    <row r="37" spans="1:14" hidden="1" x14ac:dyDescent="0.2">
      <c r="A37" s="246" t="s">
        <v>200</v>
      </c>
      <c r="B37" s="459" t="s">
        <v>554</v>
      </c>
      <c r="C37" s="422" t="s">
        <v>41</v>
      </c>
      <c r="D37" s="248" t="s">
        <v>135</v>
      </c>
      <c r="E37" s="249">
        <v>1.2492192379762651E-4</v>
      </c>
      <c r="F37" s="374" t="s">
        <v>553</v>
      </c>
      <c r="G37" s="251" t="s">
        <v>16</v>
      </c>
      <c r="H37" s="376">
        <v>2</v>
      </c>
      <c r="I37" s="376">
        <v>2</v>
      </c>
      <c r="J37" s="376">
        <v>3</v>
      </c>
      <c r="K37" s="376">
        <v>3</v>
      </c>
      <c r="L37" s="377">
        <v>2</v>
      </c>
      <c r="M37" s="378">
        <f t="shared" ref="M37:M67" si="1">IF( OR( ISBLANK(H37),ISBLANK(I37), ISBLANK(J37), ISBLANK(K37), ISBLANK(L37) ), "", 1.5*SQRT( EXP(2.21*(H37-1)) + EXP(2.21*(I37-1)) + EXP(2.21*(J37-1)) + EXP(2.21*(K37-1)) + EXP(2.21*L37) )/100*2.45 )</f>
        <v>0.60108474454521421</v>
      </c>
      <c r="N37" s="255"/>
    </row>
    <row r="38" spans="1:14" hidden="1" x14ac:dyDescent="0.2">
      <c r="A38" s="246" t="s">
        <v>200</v>
      </c>
      <c r="B38" s="653" t="s">
        <v>552</v>
      </c>
      <c r="C38" s="422" t="s">
        <v>42</v>
      </c>
      <c r="D38" s="248" t="s">
        <v>135</v>
      </c>
      <c r="E38" s="249">
        <v>1.8513429106808251E-2</v>
      </c>
      <c r="F38" s="374" t="s">
        <v>553</v>
      </c>
      <c r="G38" s="251" t="s">
        <v>16</v>
      </c>
      <c r="H38" s="376">
        <v>2</v>
      </c>
      <c r="I38" s="376">
        <v>2</v>
      </c>
      <c r="J38" s="376">
        <v>3</v>
      </c>
      <c r="K38" s="376">
        <v>3</v>
      </c>
      <c r="L38" s="377">
        <v>2</v>
      </c>
      <c r="M38" s="378">
        <f t="shared" si="1"/>
        <v>0.60108474454521421</v>
      </c>
      <c r="N38" s="255"/>
    </row>
    <row r="39" spans="1:14" hidden="1" x14ac:dyDescent="0.2">
      <c r="A39" s="246" t="s">
        <v>200</v>
      </c>
      <c r="B39" s="459" t="s">
        <v>554</v>
      </c>
      <c r="C39" s="422" t="s">
        <v>42</v>
      </c>
      <c r="D39" s="248" t="s">
        <v>135</v>
      </c>
      <c r="E39" s="249">
        <v>3.2479700187382892E-5</v>
      </c>
      <c r="F39" s="374" t="s">
        <v>553</v>
      </c>
      <c r="G39" s="251" t="s">
        <v>16</v>
      </c>
      <c r="H39" s="376">
        <v>2</v>
      </c>
      <c r="I39" s="376">
        <v>2</v>
      </c>
      <c r="J39" s="376">
        <v>3</v>
      </c>
      <c r="K39" s="376">
        <v>3</v>
      </c>
      <c r="L39" s="377">
        <v>2</v>
      </c>
      <c r="M39" s="378">
        <f t="shared" si="1"/>
        <v>0.60108474454521421</v>
      </c>
      <c r="N39" s="255"/>
    </row>
    <row r="40" spans="1:14" hidden="1" x14ac:dyDescent="0.2">
      <c r="A40" s="246" t="s">
        <v>200</v>
      </c>
      <c r="B40" s="653" t="s">
        <v>552</v>
      </c>
      <c r="C40" s="422" t="s">
        <v>43</v>
      </c>
      <c r="D40" s="248" t="s">
        <v>135</v>
      </c>
      <c r="E40" s="249">
        <v>3.0618363522798259E-2</v>
      </c>
      <c r="F40" s="374" t="s">
        <v>553</v>
      </c>
      <c r="G40" s="251" t="s">
        <v>16</v>
      </c>
      <c r="H40" s="376">
        <v>2</v>
      </c>
      <c r="I40" s="376">
        <v>2</v>
      </c>
      <c r="J40" s="376">
        <v>3</v>
      </c>
      <c r="K40" s="376">
        <v>3</v>
      </c>
      <c r="L40" s="377">
        <v>2</v>
      </c>
      <c r="M40" s="378">
        <f t="shared" si="1"/>
        <v>0.60108474454521421</v>
      </c>
      <c r="N40" s="255"/>
    </row>
    <row r="41" spans="1:14" hidden="1" x14ac:dyDescent="0.2">
      <c r="A41" s="246" t="s">
        <v>200</v>
      </c>
      <c r="B41" s="459" t="s">
        <v>554</v>
      </c>
      <c r="C41" s="422" t="s">
        <v>43</v>
      </c>
      <c r="D41" s="248" t="s">
        <v>135</v>
      </c>
      <c r="E41" s="249">
        <v>5.3716427232979387E-5</v>
      </c>
      <c r="F41" s="374" t="s">
        <v>553</v>
      </c>
      <c r="G41" s="251" t="s">
        <v>16</v>
      </c>
      <c r="H41" s="376">
        <v>2</v>
      </c>
      <c r="I41" s="376">
        <v>2</v>
      </c>
      <c r="J41" s="376">
        <v>3</v>
      </c>
      <c r="K41" s="376">
        <v>3</v>
      </c>
      <c r="L41" s="377">
        <v>2</v>
      </c>
      <c r="M41" s="378">
        <f t="shared" si="1"/>
        <v>0.60108474454521421</v>
      </c>
      <c r="N41" s="255"/>
    </row>
    <row r="42" spans="1:14" hidden="1" x14ac:dyDescent="0.2">
      <c r="A42" s="246" t="s">
        <v>200</v>
      </c>
      <c r="B42" s="653" t="s">
        <v>552</v>
      </c>
      <c r="C42" s="422" t="s">
        <v>45</v>
      </c>
      <c r="D42" s="248" t="s">
        <v>135</v>
      </c>
      <c r="E42" s="249">
        <v>5.3404122423485328E-3</v>
      </c>
      <c r="F42" s="374" t="s">
        <v>553</v>
      </c>
      <c r="G42" s="251" t="s">
        <v>16</v>
      </c>
      <c r="H42" s="376">
        <v>2</v>
      </c>
      <c r="I42" s="376">
        <v>2</v>
      </c>
      <c r="J42" s="376">
        <v>3</v>
      </c>
      <c r="K42" s="376">
        <v>3</v>
      </c>
      <c r="L42" s="377">
        <v>2</v>
      </c>
      <c r="M42" s="378">
        <f t="shared" si="1"/>
        <v>0.60108474454521421</v>
      </c>
      <c r="N42" s="255"/>
    </row>
    <row r="43" spans="1:14" hidden="1" x14ac:dyDescent="0.2">
      <c r="A43" s="246" t="s">
        <v>200</v>
      </c>
      <c r="B43" s="459" t="s">
        <v>554</v>
      </c>
      <c r="C43" s="422" t="s">
        <v>45</v>
      </c>
      <c r="D43" s="248" t="s">
        <v>135</v>
      </c>
      <c r="E43" s="249">
        <v>9.3691442848219878E-6</v>
      </c>
      <c r="F43" s="374" t="s">
        <v>553</v>
      </c>
      <c r="G43" s="251" t="s">
        <v>16</v>
      </c>
      <c r="H43" s="376">
        <v>2</v>
      </c>
      <c r="I43" s="376">
        <v>2</v>
      </c>
      <c r="J43" s="376">
        <v>3</v>
      </c>
      <c r="K43" s="376">
        <v>3</v>
      </c>
      <c r="L43" s="377">
        <v>2</v>
      </c>
      <c r="M43" s="378">
        <f t="shared" si="1"/>
        <v>0.60108474454521421</v>
      </c>
      <c r="N43" s="255"/>
    </row>
    <row r="44" spans="1:14" hidden="1" x14ac:dyDescent="0.2">
      <c r="A44" s="246" t="s">
        <v>200</v>
      </c>
      <c r="B44" s="653" t="s">
        <v>552</v>
      </c>
      <c r="C44" s="422" t="s">
        <v>46</v>
      </c>
      <c r="D44" s="248" t="s">
        <v>135</v>
      </c>
      <c r="E44" s="249">
        <v>2.812617114303561E-2</v>
      </c>
      <c r="F44" s="374" t="s">
        <v>553</v>
      </c>
      <c r="G44" s="251" t="s">
        <v>16</v>
      </c>
      <c r="H44" s="376">
        <v>2</v>
      </c>
      <c r="I44" s="376">
        <v>2</v>
      </c>
      <c r="J44" s="376">
        <v>3</v>
      </c>
      <c r="K44" s="376">
        <v>3</v>
      </c>
      <c r="L44" s="377">
        <v>2</v>
      </c>
      <c r="M44" s="378">
        <f t="shared" si="1"/>
        <v>0.60108474454521421</v>
      </c>
      <c r="N44" s="255"/>
    </row>
    <row r="45" spans="1:14" hidden="1" x14ac:dyDescent="0.2">
      <c r="A45" s="246" t="s">
        <v>200</v>
      </c>
      <c r="B45" s="459" t="s">
        <v>554</v>
      </c>
      <c r="C45" s="422" t="s">
        <v>46</v>
      </c>
      <c r="D45" s="248" t="s">
        <v>135</v>
      </c>
      <c r="E45" s="249">
        <v>4.9344159900062457E-5</v>
      </c>
      <c r="F45" s="374" t="s">
        <v>553</v>
      </c>
      <c r="G45" s="251" t="s">
        <v>16</v>
      </c>
      <c r="H45" s="376">
        <v>2</v>
      </c>
      <c r="I45" s="376">
        <v>2</v>
      </c>
      <c r="J45" s="376">
        <v>3</v>
      </c>
      <c r="K45" s="376">
        <v>3</v>
      </c>
      <c r="L45" s="377">
        <v>2</v>
      </c>
      <c r="M45" s="378">
        <f t="shared" si="1"/>
        <v>0.60108474454521421</v>
      </c>
      <c r="N45" s="255"/>
    </row>
    <row r="46" spans="1:14" hidden="1" x14ac:dyDescent="0.2">
      <c r="A46" s="246" t="s">
        <v>200</v>
      </c>
      <c r="B46" s="653" t="s">
        <v>552</v>
      </c>
      <c r="C46" s="422" t="s">
        <v>48</v>
      </c>
      <c r="D46" s="248" t="s">
        <v>135</v>
      </c>
      <c r="E46" s="249">
        <v>2.7770143660212371E-2</v>
      </c>
      <c r="F46" s="374" t="s">
        <v>553</v>
      </c>
      <c r="G46" s="251" t="s">
        <v>16</v>
      </c>
      <c r="H46" s="376">
        <v>2</v>
      </c>
      <c r="I46" s="376">
        <v>2</v>
      </c>
      <c r="J46" s="376">
        <v>3</v>
      </c>
      <c r="K46" s="376">
        <v>3</v>
      </c>
      <c r="L46" s="377">
        <v>2</v>
      </c>
      <c r="M46" s="378">
        <f t="shared" si="1"/>
        <v>0.60108474454521421</v>
      </c>
      <c r="N46" s="255"/>
    </row>
    <row r="47" spans="1:14" hidden="1" x14ac:dyDescent="0.2">
      <c r="A47" s="246" t="s">
        <v>200</v>
      </c>
      <c r="B47" s="459" t="s">
        <v>554</v>
      </c>
      <c r="C47" s="422" t="s">
        <v>48</v>
      </c>
      <c r="D47" s="248" t="s">
        <v>135</v>
      </c>
      <c r="E47" s="249">
        <v>4.8719550281074328E-5</v>
      </c>
      <c r="F47" s="374" t="s">
        <v>553</v>
      </c>
      <c r="G47" s="251" t="s">
        <v>16</v>
      </c>
      <c r="H47" s="376">
        <v>2</v>
      </c>
      <c r="I47" s="376">
        <v>2</v>
      </c>
      <c r="J47" s="376">
        <v>3</v>
      </c>
      <c r="K47" s="376">
        <v>3</v>
      </c>
      <c r="L47" s="377">
        <v>2</v>
      </c>
      <c r="M47" s="378">
        <f t="shared" si="1"/>
        <v>0.60108474454521421</v>
      </c>
      <c r="N47" s="255"/>
    </row>
    <row r="48" spans="1:14" hidden="1" x14ac:dyDescent="0.2">
      <c r="A48" s="246" t="s">
        <v>200</v>
      </c>
      <c r="B48" s="653" t="s">
        <v>552</v>
      </c>
      <c r="C48" s="422" t="s">
        <v>50</v>
      </c>
      <c r="D48" s="248" t="s">
        <v>135</v>
      </c>
      <c r="E48" s="249">
        <v>5.3404122423485328E-3</v>
      </c>
      <c r="F48" s="374" t="s">
        <v>553</v>
      </c>
      <c r="G48" s="251" t="s">
        <v>16</v>
      </c>
      <c r="H48" s="376">
        <v>2</v>
      </c>
      <c r="I48" s="376">
        <v>2</v>
      </c>
      <c r="J48" s="376">
        <v>3</v>
      </c>
      <c r="K48" s="376">
        <v>3</v>
      </c>
      <c r="L48" s="377">
        <v>2</v>
      </c>
      <c r="M48" s="378">
        <f t="shared" si="1"/>
        <v>0.60108474454521421</v>
      </c>
      <c r="N48" s="255"/>
    </row>
    <row r="49" spans="1:14" hidden="1" x14ac:dyDescent="0.2">
      <c r="A49" s="246" t="s">
        <v>200</v>
      </c>
      <c r="B49" s="459" t="s">
        <v>554</v>
      </c>
      <c r="C49" s="422" t="s">
        <v>50</v>
      </c>
      <c r="D49" s="248" t="s">
        <v>135</v>
      </c>
      <c r="E49" s="249">
        <v>9.3691442848219878E-6</v>
      </c>
      <c r="F49" s="374" t="s">
        <v>553</v>
      </c>
      <c r="G49" s="251" t="s">
        <v>16</v>
      </c>
      <c r="H49" s="376">
        <v>2</v>
      </c>
      <c r="I49" s="376">
        <v>2</v>
      </c>
      <c r="J49" s="376">
        <v>3</v>
      </c>
      <c r="K49" s="376">
        <v>3</v>
      </c>
      <c r="L49" s="377">
        <v>2</v>
      </c>
      <c r="M49" s="378">
        <f t="shared" si="1"/>
        <v>0.60108474454521421</v>
      </c>
      <c r="N49" s="255"/>
    </row>
    <row r="50" spans="1:14" hidden="1" x14ac:dyDescent="0.2">
      <c r="A50" s="246" t="s">
        <v>200</v>
      </c>
      <c r="B50" s="653" t="s">
        <v>552</v>
      </c>
      <c r="C50" s="422" t="s">
        <v>52</v>
      </c>
      <c r="D50" s="248" t="s">
        <v>135</v>
      </c>
      <c r="E50" s="249">
        <v>2.812617114303561E-2</v>
      </c>
      <c r="F50" s="374" t="s">
        <v>553</v>
      </c>
      <c r="G50" s="251" t="s">
        <v>16</v>
      </c>
      <c r="H50" s="376">
        <v>2</v>
      </c>
      <c r="I50" s="376">
        <v>2</v>
      </c>
      <c r="J50" s="376">
        <v>3</v>
      </c>
      <c r="K50" s="376">
        <v>3</v>
      </c>
      <c r="L50" s="377">
        <v>2</v>
      </c>
      <c r="M50" s="378">
        <f t="shared" si="1"/>
        <v>0.60108474454521421</v>
      </c>
      <c r="N50" s="255"/>
    </row>
    <row r="51" spans="1:14" hidden="1" x14ac:dyDescent="0.2">
      <c r="A51" s="246" t="s">
        <v>200</v>
      </c>
      <c r="B51" s="459" t="s">
        <v>554</v>
      </c>
      <c r="C51" s="422" t="s">
        <v>52</v>
      </c>
      <c r="D51" s="248" t="s">
        <v>135</v>
      </c>
      <c r="E51" s="249">
        <v>4.9344159900062457E-5</v>
      </c>
      <c r="F51" s="374" t="s">
        <v>553</v>
      </c>
      <c r="G51" s="251" t="s">
        <v>16</v>
      </c>
      <c r="H51" s="376">
        <v>2</v>
      </c>
      <c r="I51" s="376">
        <v>2</v>
      </c>
      <c r="J51" s="376">
        <v>3</v>
      </c>
      <c r="K51" s="376">
        <v>3</v>
      </c>
      <c r="L51" s="377">
        <v>2</v>
      </c>
      <c r="M51" s="378">
        <f t="shared" si="1"/>
        <v>0.60108474454521421</v>
      </c>
      <c r="N51" s="255"/>
    </row>
    <row r="52" spans="1:14" hidden="1" x14ac:dyDescent="0.2">
      <c r="A52" s="246" t="s">
        <v>200</v>
      </c>
      <c r="B52" s="653" t="s">
        <v>552</v>
      </c>
      <c r="C52" s="422" t="s">
        <v>54</v>
      </c>
      <c r="D52" s="248" t="s">
        <v>135</v>
      </c>
      <c r="E52" s="249">
        <v>2.812617114303561E-2</v>
      </c>
      <c r="F52" s="374" t="s">
        <v>553</v>
      </c>
      <c r="G52" s="251" t="s">
        <v>16</v>
      </c>
      <c r="H52" s="376">
        <v>2</v>
      </c>
      <c r="I52" s="376">
        <v>2</v>
      </c>
      <c r="J52" s="376">
        <v>3</v>
      </c>
      <c r="K52" s="376">
        <v>3</v>
      </c>
      <c r="L52" s="377">
        <v>2</v>
      </c>
      <c r="M52" s="378">
        <f t="shared" si="1"/>
        <v>0.60108474454521421</v>
      </c>
      <c r="N52" s="255"/>
    </row>
    <row r="53" spans="1:14" hidden="1" x14ac:dyDescent="0.2">
      <c r="A53" s="246" t="s">
        <v>200</v>
      </c>
      <c r="B53" s="459" t="s">
        <v>554</v>
      </c>
      <c r="C53" s="422" t="s">
        <v>54</v>
      </c>
      <c r="D53" s="248" t="s">
        <v>135</v>
      </c>
      <c r="E53" s="249">
        <v>4.9344159900062457E-5</v>
      </c>
      <c r="F53" s="374" t="s">
        <v>553</v>
      </c>
      <c r="G53" s="251" t="s">
        <v>16</v>
      </c>
      <c r="H53" s="376">
        <v>2</v>
      </c>
      <c r="I53" s="376">
        <v>2</v>
      </c>
      <c r="J53" s="376">
        <v>3</v>
      </c>
      <c r="K53" s="376">
        <v>3</v>
      </c>
      <c r="L53" s="377">
        <v>2</v>
      </c>
      <c r="M53" s="378">
        <f t="shared" si="1"/>
        <v>0.60108474454521421</v>
      </c>
      <c r="N53" s="255"/>
    </row>
    <row r="54" spans="1:14" hidden="1" x14ac:dyDescent="0.2">
      <c r="A54" s="246" t="s">
        <v>200</v>
      </c>
      <c r="B54" s="653" t="s">
        <v>552</v>
      </c>
      <c r="C54" s="422" t="s">
        <v>55</v>
      </c>
      <c r="D54" s="248" t="s">
        <v>135</v>
      </c>
      <c r="E54" s="249">
        <v>2.7770143660212371E-2</v>
      </c>
      <c r="F54" s="374" t="s">
        <v>553</v>
      </c>
      <c r="G54" s="251" t="s">
        <v>16</v>
      </c>
      <c r="H54" s="376">
        <v>2</v>
      </c>
      <c r="I54" s="376">
        <v>2</v>
      </c>
      <c r="J54" s="376">
        <v>3</v>
      </c>
      <c r="K54" s="376">
        <v>3</v>
      </c>
      <c r="L54" s="377">
        <v>2</v>
      </c>
      <c r="M54" s="378">
        <f t="shared" si="1"/>
        <v>0.60108474454521421</v>
      </c>
      <c r="N54" s="255"/>
    </row>
    <row r="55" spans="1:14" hidden="1" x14ac:dyDescent="0.2">
      <c r="A55" s="246" t="s">
        <v>200</v>
      </c>
      <c r="B55" s="459" t="s">
        <v>554</v>
      </c>
      <c r="C55" s="422" t="s">
        <v>55</v>
      </c>
      <c r="D55" s="248" t="s">
        <v>135</v>
      </c>
      <c r="E55" s="249">
        <v>4.8719550281074328E-5</v>
      </c>
      <c r="F55" s="374" t="s">
        <v>553</v>
      </c>
      <c r="G55" s="251" t="s">
        <v>16</v>
      </c>
      <c r="H55" s="376">
        <v>2</v>
      </c>
      <c r="I55" s="376">
        <v>2</v>
      </c>
      <c r="J55" s="376">
        <v>3</v>
      </c>
      <c r="K55" s="376">
        <v>3</v>
      </c>
      <c r="L55" s="377">
        <v>2</v>
      </c>
      <c r="M55" s="378">
        <f t="shared" si="1"/>
        <v>0.60108474454521421</v>
      </c>
      <c r="N55" s="255"/>
    </row>
    <row r="56" spans="1:14" hidden="1" x14ac:dyDescent="0.2">
      <c r="A56" s="246" t="s">
        <v>200</v>
      </c>
      <c r="B56" s="653" t="s">
        <v>552</v>
      </c>
      <c r="C56" s="422" t="s">
        <v>57</v>
      </c>
      <c r="D56" s="248" t="s">
        <v>135</v>
      </c>
      <c r="E56" s="249">
        <v>2.919425359150531E-2</v>
      </c>
      <c r="F56" s="374" t="s">
        <v>553</v>
      </c>
      <c r="G56" s="375" t="s">
        <v>16</v>
      </c>
      <c r="H56" s="376">
        <v>2</v>
      </c>
      <c r="I56" s="376">
        <v>2</v>
      </c>
      <c r="J56" s="376">
        <v>3</v>
      </c>
      <c r="K56" s="376">
        <v>3</v>
      </c>
      <c r="L56" s="377">
        <v>2</v>
      </c>
      <c r="M56" s="254">
        <f t="shared" si="1"/>
        <v>0.60108474454521421</v>
      </c>
      <c r="N56" s="255"/>
    </row>
    <row r="57" spans="1:14" hidden="1" x14ac:dyDescent="0.2">
      <c r="A57" s="246" t="s">
        <v>200</v>
      </c>
      <c r="B57" s="459" t="s">
        <v>554</v>
      </c>
      <c r="C57" s="422" t="s">
        <v>57</v>
      </c>
      <c r="D57" s="248" t="s">
        <v>135</v>
      </c>
      <c r="E57" s="249">
        <v>5.1217988757026857E-5</v>
      </c>
      <c r="F57" s="374" t="s">
        <v>553</v>
      </c>
      <c r="G57" s="251" t="s">
        <v>16</v>
      </c>
      <c r="H57" s="376">
        <v>2</v>
      </c>
      <c r="I57" s="376">
        <v>2</v>
      </c>
      <c r="J57" s="376">
        <v>3</v>
      </c>
      <c r="K57" s="376">
        <v>3</v>
      </c>
      <c r="L57" s="377">
        <v>2</v>
      </c>
      <c r="M57" s="378">
        <f t="shared" si="1"/>
        <v>0.60108474454521421</v>
      </c>
      <c r="N57" s="255"/>
    </row>
    <row r="58" spans="1:14" hidden="1" x14ac:dyDescent="0.2">
      <c r="A58" s="246" t="s">
        <v>200</v>
      </c>
      <c r="B58" s="653" t="s">
        <v>552</v>
      </c>
      <c r="C58" s="422" t="s">
        <v>59</v>
      </c>
      <c r="D58" s="248" t="s">
        <v>135</v>
      </c>
      <c r="E58" s="249">
        <v>5.7000000000000002E-2</v>
      </c>
      <c r="F58" s="374" t="s">
        <v>360</v>
      </c>
      <c r="G58" s="375"/>
      <c r="H58" s="376">
        <v>2</v>
      </c>
      <c r="I58" s="376">
        <v>2</v>
      </c>
      <c r="J58" s="376">
        <v>3</v>
      </c>
      <c r="K58" s="376">
        <v>3</v>
      </c>
      <c r="L58" s="377">
        <v>2</v>
      </c>
      <c r="M58" s="254">
        <f t="shared" si="1"/>
        <v>0.60108474454521421</v>
      </c>
      <c r="N58" s="255"/>
    </row>
    <row r="59" spans="1:14" hidden="1" x14ac:dyDescent="0.2">
      <c r="A59" s="246" t="s">
        <v>200</v>
      </c>
      <c r="B59" s="459" t="s">
        <v>554</v>
      </c>
      <c r="C59" s="422" t="s">
        <v>59</v>
      </c>
      <c r="D59" s="248" t="s">
        <v>135</v>
      </c>
      <c r="E59" s="249">
        <v>1E-4</v>
      </c>
      <c r="F59" s="374" t="s">
        <v>360</v>
      </c>
      <c r="G59" s="251"/>
      <c r="H59" s="376">
        <v>2</v>
      </c>
      <c r="I59" s="376">
        <v>2</v>
      </c>
      <c r="J59" s="376">
        <v>3</v>
      </c>
      <c r="K59" s="376">
        <v>3</v>
      </c>
      <c r="L59" s="377">
        <v>2</v>
      </c>
      <c r="M59" s="378">
        <f t="shared" si="1"/>
        <v>0.60108474454521421</v>
      </c>
      <c r="N59" s="255"/>
    </row>
    <row r="60" spans="1:14" hidden="1" x14ac:dyDescent="0.2">
      <c r="A60" s="246" t="s">
        <v>200</v>
      </c>
      <c r="B60" s="653" t="s">
        <v>552</v>
      </c>
      <c r="C60" s="422" t="s">
        <v>60</v>
      </c>
      <c r="D60" s="248" t="s">
        <v>135</v>
      </c>
      <c r="E60" s="249">
        <v>2.3141786383510311E-2</v>
      </c>
      <c r="F60" s="374" t="s">
        <v>553</v>
      </c>
      <c r="G60" s="375" t="s">
        <v>16</v>
      </c>
      <c r="H60" s="376">
        <v>2</v>
      </c>
      <c r="I60" s="376">
        <v>2</v>
      </c>
      <c r="J60" s="376">
        <v>3</v>
      </c>
      <c r="K60" s="376">
        <v>3</v>
      </c>
      <c r="L60" s="377">
        <v>2</v>
      </c>
      <c r="M60" s="254">
        <f t="shared" si="1"/>
        <v>0.60108474454521421</v>
      </c>
      <c r="N60" s="255"/>
    </row>
    <row r="61" spans="1:14" hidden="1" x14ac:dyDescent="0.2">
      <c r="A61" s="464" t="s">
        <v>200</v>
      </c>
      <c r="B61" s="513" t="s">
        <v>554</v>
      </c>
      <c r="C61" s="427" t="s">
        <v>60</v>
      </c>
      <c r="D61" s="441" t="s">
        <v>135</v>
      </c>
      <c r="E61" s="288">
        <v>4.059962523422861E-5</v>
      </c>
      <c r="F61" s="399" t="s">
        <v>553</v>
      </c>
      <c r="G61" s="290" t="s">
        <v>16</v>
      </c>
      <c r="H61" s="398">
        <v>2</v>
      </c>
      <c r="I61" s="398">
        <v>2</v>
      </c>
      <c r="J61" s="398">
        <v>3</v>
      </c>
      <c r="K61" s="398">
        <v>3</v>
      </c>
      <c r="L61" s="407">
        <v>2</v>
      </c>
      <c r="M61" s="408">
        <f t="shared" si="1"/>
        <v>0.60108474454521421</v>
      </c>
      <c r="N61" s="294"/>
    </row>
    <row r="62" spans="1:14" x14ac:dyDescent="0.2">
      <c r="A62" s="246" t="s">
        <v>207</v>
      </c>
      <c r="B62" s="652" t="s">
        <v>552</v>
      </c>
      <c r="C62" s="422" t="s">
        <v>13</v>
      </c>
      <c r="D62" s="433" t="s">
        <v>135</v>
      </c>
      <c r="E62" s="266">
        <v>6.1948782011242973E-2</v>
      </c>
      <c r="F62" s="389" t="s">
        <v>553</v>
      </c>
      <c r="G62" s="390" t="s">
        <v>16</v>
      </c>
      <c r="H62" s="391">
        <v>2</v>
      </c>
      <c r="I62" s="391">
        <v>2</v>
      </c>
      <c r="J62" s="391">
        <v>3</v>
      </c>
      <c r="K62" s="391">
        <v>3</v>
      </c>
      <c r="L62" s="392">
        <v>2</v>
      </c>
      <c r="M62" s="271">
        <f t="shared" si="1"/>
        <v>0.60108474454521421</v>
      </c>
      <c r="N62" s="272"/>
    </row>
    <row r="63" spans="1:14" x14ac:dyDescent="0.2">
      <c r="A63" s="246" t="s">
        <v>207</v>
      </c>
      <c r="B63" s="459" t="s">
        <v>554</v>
      </c>
      <c r="C63" s="422" t="s">
        <v>13</v>
      </c>
      <c r="D63" s="248" t="s">
        <v>135</v>
      </c>
      <c r="E63" s="249">
        <v>1.08682073703935E-4</v>
      </c>
      <c r="F63" s="374" t="s">
        <v>553</v>
      </c>
      <c r="G63" s="251" t="s">
        <v>16</v>
      </c>
      <c r="H63" s="376">
        <v>2</v>
      </c>
      <c r="I63" s="376">
        <v>2</v>
      </c>
      <c r="J63" s="376">
        <v>3</v>
      </c>
      <c r="K63" s="376">
        <v>3</v>
      </c>
      <c r="L63" s="377">
        <v>2</v>
      </c>
      <c r="M63" s="378">
        <f t="shared" si="1"/>
        <v>0.60108474454521421</v>
      </c>
      <c r="N63" s="255"/>
    </row>
    <row r="64" spans="1:14" hidden="1" x14ac:dyDescent="0.2">
      <c r="A64" s="246" t="s">
        <v>207</v>
      </c>
      <c r="B64" s="653" t="s">
        <v>552</v>
      </c>
      <c r="C64" s="422" t="s">
        <v>18</v>
      </c>
      <c r="D64" s="248" t="s">
        <v>135</v>
      </c>
      <c r="E64" s="249">
        <v>5.4116177389131791E-2</v>
      </c>
      <c r="F64" s="374" t="s">
        <v>553</v>
      </c>
      <c r="G64" s="251" t="s">
        <v>16</v>
      </c>
      <c r="H64" s="376">
        <v>2</v>
      </c>
      <c r="I64" s="376">
        <v>2</v>
      </c>
      <c r="J64" s="376">
        <v>3</v>
      </c>
      <c r="K64" s="376">
        <v>3</v>
      </c>
      <c r="L64" s="377">
        <v>2</v>
      </c>
      <c r="M64" s="378">
        <f t="shared" si="1"/>
        <v>0.60108474454521421</v>
      </c>
      <c r="N64" s="255"/>
    </row>
    <row r="65" spans="1:14" hidden="1" x14ac:dyDescent="0.2">
      <c r="A65" s="246" t="s">
        <v>207</v>
      </c>
      <c r="B65" s="459" t="s">
        <v>554</v>
      </c>
      <c r="C65" s="422" t="s">
        <v>18</v>
      </c>
      <c r="D65" s="248" t="s">
        <v>135</v>
      </c>
      <c r="E65" s="249">
        <v>9.4940662086196126E-5</v>
      </c>
      <c r="F65" s="374" t="s">
        <v>553</v>
      </c>
      <c r="G65" s="251" t="s">
        <v>16</v>
      </c>
      <c r="H65" s="376">
        <v>2</v>
      </c>
      <c r="I65" s="376">
        <v>2</v>
      </c>
      <c r="J65" s="376">
        <v>3</v>
      </c>
      <c r="K65" s="376">
        <v>3</v>
      </c>
      <c r="L65" s="377">
        <v>2</v>
      </c>
      <c r="M65" s="378">
        <f t="shared" si="1"/>
        <v>0.60108474454521421</v>
      </c>
      <c r="N65" s="255"/>
    </row>
    <row r="66" spans="1:14" hidden="1" x14ac:dyDescent="0.2">
      <c r="A66" s="246" t="s">
        <v>207</v>
      </c>
      <c r="B66" s="653" t="s">
        <v>552</v>
      </c>
      <c r="C66" s="422" t="s">
        <v>20</v>
      </c>
      <c r="D66" s="248" t="s">
        <v>135</v>
      </c>
      <c r="E66" s="249">
        <v>3.5602748282323551E-3</v>
      </c>
      <c r="F66" s="374" t="s">
        <v>553</v>
      </c>
      <c r="G66" s="251" t="s">
        <v>16</v>
      </c>
      <c r="H66" s="376">
        <v>2</v>
      </c>
      <c r="I66" s="376">
        <v>2</v>
      </c>
      <c r="J66" s="376">
        <v>3</v>
      </c>
      <c r="K66" s="376">
        <v>3</v>
      </c>
      <c r="L66" s="377">
        <v>2</v>
      </c>
      <c r="M66" s="378">
        <f t="shared" si="1"/>
        <v>0.60108474454521421</v>
      </c>
      <c r="N66" s="255"/>
    </row>
    <row r="67" spans="1:14" hidden="1" x14ac:dyDescent="0.2">
      <c r="A67" s="246" t="s">
        <v>207</v>
      </c>
      <c r="B67" s="459" t="s">
        <v>554</v>
      </c>
      <c r="C67" s="422" t="s">
        <v>20</v>
      </c>
      <c r="D67" s="248" t="s">
        <v>135</v>
      </c>
      <c r="E67" s="249">
        <v>6.2460961898813241E-6</v>
      </c>
      <c r="F67" s="374" t="s">
        <v>553</v>
      </c>
      <c r="G67" s="251" t="s">
        <v>16</v>
      </c>
      <c r="H67" s="376">
        <v>2</v>
      </c>
      <c r="I67" s="376">
        <v>2</v>
      </c>
      <c r="J67" s="376">
        <v>3</v>
      </c>
      <c r="K67" s="376">
        <v>3</v>
      </c>
      <c r="L67" s="377">
        <v>2</v>
      </c>
      <c r="M67" s="378">
        <f t="shared" si="1"/>
        <v>0.60108474454521421</v>
      </c>
      <c r="N67" s="255"/>
    </row>
    <row r="68" spans="1:14" hidden="1" x14ac:dyDescent="0.2">
      <c r="A68" s="246" t="s">
        <v>207</v>
      </c>
      <c r="B68" s="653" t="s">
        <v>552</v>
      </c>
      <c r="C68" s="422" t="s">
        <v>22</v>
      </c>
      <c r="D68" s="248" t="s">
        <v>135</v>
      </c>
      <c r="E68" s="249">
        <v>8.5446595877576529E-3</v>
      </c>
      <c r="F68" s="374" t="s">
        <v>553</v>
      </c>
      <c r="G68" s="251" t="s">
        <v>16</v>
      </c>
      <c r="H68" s="376">
        <v>2</v>
      </c>
      <c r="I68" s="376">
        <v>2</v>
      </c>
      <c r="J68" s="376">
        <v>3</v>
      </c>
      <c r="K68" s="376">
        <v>3</v>
      </c>
      <c r="L68" s="377">
        <v>2</v>
      </c>
      <c r="M68" s="378">
        <f>IF( OR( ISBLANK(H68),ISBLANK(I68), ISBLANK(J68), ISBLANK(K68), ISBLANK(L68) ), "", 1.5*SQRT(   EXP(2.21*(H68-1)) + EXP(2.21*(I68-1)) + EXP(2.21*(J68-1)) + EXP(2.21*(K68-1)) + EXP(2.21*L68)   )/100*2.45 )</f>
        <v>0.60108474454521421</v>
      </c>
      <c r="N68" s="255"/>
    </row>
    <row r="69" spans="1:14" hidden="1" x14ac:dyDescent="0.2">
      <c r="A69" s="246" t="s">
        <v>207</v>
      </c>
      <c r="B69" s="459" t="s">
        <v>554</v>
      </c>
      <c r="C69" s="422" t="s">
        <v>22</v>
      </c>
      <c r="D69" s="248" t="s">
        <v>135</v>
      </c>
      <c r="E69" s="249">
        <v>1.4990630855715179E-5</v>
      </c>
      <c r="F69" s="374" t="s">
        <v>553</v>
      </c>
      <c r="G69" s="251" t="s">
        <v>16</v>
      </c>
      <c r="H69" s="376">
        <v>2</v>
      </c>
      <c r="I69" s="376">
        <v>2</v>
      </c>
      <c r="J69" s="376">
        <v>3</v>
      </c>
      <c r="K69" s="376">
        <v>3</v>
      </c>
      <c r="L69" s="377">
        <v>2</v>
      </c>
      <c r="M69" s="378">
        <f t="shared" ref="M69:M100" si="2">IF( OR( ISBLANK(H69),ISBLANK(I69), ISBLANK(J69), ISBLANK(K69), ISBLANK(L69) ), "", 1.5*SQRT( EXP(2.21*(H69-1)) + EXP(2.21*(I69-1)) + EXP(2.21*(J69-1)) + EXP(2.21*(K69-1)) + EXP(2.21*L69) )/100*2.45 )</f>
        <v>0.60108474454521421</v>
      </c>
      <c r="N69" s="255"/>
    </row>
    <row r="70" spans="1:14" hidden="1" x14ac:dyDescent="0.2">
      <c r="A70" s="246" t="s">
        <v>207</v>
      </c>
      <c r="B70" s="653" t="s">
        <v>552</v>
      </c>
      <c r="C70" s="422" t="s">
        <v>23</v>
      </c>
      <c r="D70" s="248" t="s">
        <v>135</v>
      </c>
      <c r="E70" s="249">
        <v>3.9163023110555901E-3</v>
      </c>
      <c r="F70" s="374" t="s">
        <v>553</v>
      </c>
      <c r="G70" s="251" t="s">
        <v>16</v>
      </c>
      <c r="H70" s="376">
        <v>2</v>
      </c>
      <c r="I70" s="376">
        <v>2</v>
      </c>
      <c r="J70" s="376">
        <v>3</v>
      </c>
      <c r="K70" s="376">
        <v>3</v>
      </c>
      <c r="L70" s="377">
        <v>2</v>
      </c>
      <c r="M70" s="378">
        <f t="shared" si="2"/>
        <v>0.60108474454521421</v>
      </c>
      <c r="N70" s="255"/>
    </row>
    <row r="71" spans="1:14" hidden="1" x14ac:dyDescent="0.2">
      <c r="A71" s="246" t="s">
        <v>207</v>
      </c>
      <c r="B71" s="459" t="s">
        <v>554</v>
      </c>
      <c r="C71" s="422" t="s">
        <v>23</v>
      </c>
      <c r="D71" s="248" t="s">
        <v>135</v>
      </c>
      <c r="E71" s="249">
        <v>6.8707058088694573E-6</v>
      </c>
      <c r="F71" s="374" t="s">
        <v>553</v>
      </c>
      <c r="G71" s="251" t="s">
        <v>16</v>
      </c>
      <c r="H71" s="376">
        <v>2</v>
      </c>
      <c r="I71" s="376">
        <v>2</v>
      </c>
      <c r="J71" s="376">
        <v>3</v>
      </c>
      <c r="K71" s="376">
        <v>3</v>
      </c>
      <c r="L71" s="377">
        <v>2</v>
      </c>
      <c r="M71" s="378">
        <f t="shared" si="2"/>
        <v>0.60108474454521421</v>
      </c>
      <c r="N71" s="255"/>
    </row>
    <row r="72" spans="1:14" hidden="1" x14ac:dyDescent="0.2">
      <c r="A72" s="246" t="s">
        <v>207</v>
      </c>
      <c r="B72" s="653" t="s">
        <v>552</v>
      </c>
      <c r="C72" s="422" t="s">
        <v>24</v>
      </c>
      <c r="D72" s="248" t="s">
        <v>135</v>
      </c>
      <c r="E72" s="249">
        <v>2.5990006246096192E-2</v>
      </c>
      <c r="F72" s="374" t="s">
        <v>553</v>
      </c>
      <c r="G72" s="251" t="s">
        <v>16</v>
      </c>
      <c r="H72" s="376">
        <v>2</v>
      </c>
      <c r="I72" s="376">
        <v>2</v>
      </c>
      <c r="J72" s="376">
        <v>3</v>
      </c>
      <c r="K72" s="376">
        <v>3</v>
      </c>
      <c r="L72" s="377">
        <v>2</v>
      </c>
      <c r="M72" s="378">
        <f t="shared" si="2"/>
        <v>0.60108474454521421</v>
      </c>
      <c r="N72" s="255"/>
    </row>
    <row r="73" spans="1:14" hidden="1" x14ac:dyDescent="0.2">
      <c r="A73" s="246" t="s">
        <v>207</v>
      </c>
      <c r="B73" s="459" t="s">
        <v>554</v>
      </c>
      <c r="C73" s="422" t="s">
        <v>24</v>
      </c>
      <c r="D73" s="248" t="s">
        <v>135</v>
      </c>
      <c r="E73" s="249">
        <v>4.5596502186133669E-5</v>
      </c>
      <c r="F73" s="374" t="s">
        <v>553</v>
      </c>
      <c r="G73" s="251" t="s">
        <v>16</v>
      </c>
      <c r="H73" s="376">
        <v>2</v>
      </c>
      <c r="I73" s="376">
        <v>2</v>
      </c>
      <c r="J73" s="376">
        <v>3</v>
      </c>
      <c r="K73" s="376">
        <v>3</v>
      </c>
      <c r="L73" s="377">
        <v>2</v>
      </c>
      <c r="M73" s="378">
        <f t="shared" si="2"/>
        <v>0.60108474454521421</v>
      </c>
      <c r="N73" s="255"/>
    </row>
    <row r="74" spans="1:14" hidden="1" x14ac:dyDescent="0.2">
      <c r="A74" s="246" t="s">
        <v>207</v>
      </c>
      <c r="B74" s="653" t="s">
        <v>552</v>
      </c>
      <c r="C74" s="422" t="s">
        <v>25</v>
      </c>
      <c r="D74" s="248" t="s">
        <v>135</v>
      </c>
      <c r="E74" s="249">
        <v>7.1917551530293569E-2</v>
      </c>
      <c r="F74" s="374" t="s">
        <v>553</v>
      </c>
      <c r="G74" s="251" t="s">
        <v>16</v>
      </c>
      <c r="H74" s="376">
        <v>2</v>
      </c>
      <c r="I74" s="376">
        <v>2</v>
      </c>
      <c r="J74" s="376">
        <v>3</v>
      </c>
      <c r="K74" s="376">
        <v>3</v>
      </c>
      <c r="L74" s="377">
        <v>2</v>
      </c>
      <c r="M74" s="378">
        <f t="shared" si="2"/>
        <v>0.60108474454521421</v>
      </c>
      <c r="N74" s="255"/>
    </row>
    <row r="75" spans="1:14" hidden="1" x14ac:dyDescent="0.2">
      <c r="A75" s="246" t="s">
        <v>207</v>
      </c>
      <c r="B75" s="459" t="s">
        <v>554</v>
      </c>
      <c r="C75" s="422" t="s">
        <v>25</v>
      </c>
      <c r="D75" s="248" t="s">
        <v>135</v>
      </c>
      <c r="E75" s="249">
        <v>1.2617114303560279E-4</v>
      </c>
      <c r="F75" s="374" t="s">
        <v>553</v>
      </c>
      <c r="G75" s="251" t="s">
        <v>16</v>
      </c>
      <c r="H75" s="376">
        <v>2</v>
      </c>
      <c r="I75" s="376">
        <v>2</v>
      </c>
      <c r="J75" s="376">
        <v>3</v>
      </c>
      <c r="K75" s="376">
        <v>3</v>
      </c>
      <c r="L75" s="377">
        <v>2</v>
      </c>
      <c r="M75" s="378">
        <f t="shared" si="2"/>
        <v>0.60108474454521421</v>
      </c>
      <c r="N75" s="255"/>
    </row>
    <row r="76" spans="1:14" hidden="1" x14ac:dyDescent="0.2">
      <c r="A76" s="246" t="s">
        <v>207</v>
      </c>
      <c r="B76" s="653" t="s">
        <v>552</v>
      </c>
      <c r="C76" s="422" t="s">
        <v>26</v>
      </c>
      <c r="D76" s="248" t="s">
        <v>135</v>
      </c>
      <c r="E76" s="249">
        <v>5.3404122423485328E-3</v>
      </c>
      <c r="F76" s="374" t="s">
        <v>553</v>
      </c>
      <c r="G76" s="251" t="s">
        <v>16</v>
      </c>
      <c r="H76" s="376">
        <v>2</v>
      </c>
      <c r="I76" s="376">
        <v>2</v>
      </c>
      <c r="J76" s="376">
        <v>3</v>
      </c>
      <c r="K76" s="376">
        <v>3</v>
      </c>
      <c r="L76" s="377">
        <v>2</v>
      </c>
      <c r="M76" s="378">
        <f t="shared" si="2"/>
        <v>0.60108474454521421</v>
      </c>
      <c r="N76" s="255"/>
    </row>
    <row r="77" spans="1:14" hidden="1" x14ac:dyDescent="0.2">
      <c r="A77" s="246" t="s">
        <v>207</v>
      </c>
      <c r="B77" s="459" t="s">
        <v>554</v>
      </c>
      <c r="C77" s="422" t="s">
        <v>26</v>
      </c>
      <c r="D77" s="248" t="s">
        <v>135</v>
      </c>
      <c r="E77" s="249">
        <v>9.3691442848219878E-6</v>
      </c>
      <c r="F77" s="374" t="s">
        <v>553</v>
      </c>
      <c r="G77" s="251" t="s">
        <v>16</v>
      </c>
      <c r="H77" s="376">
        <v>2</v>
      </c>
      <c r="I77" s="376">
        <v>2</v>
      </c>
      <c r="J77" s="376">
        <v>3</v>
      </c>
      <c r="K77" s="376">
        <v>3</v>
      </c>
      <c r="L77" s="377">
        <v>2</v>
      </c>
      <c r="M77" s="378">
        <f t="shared" si="2"/>
        <v>0.60108474454521421</v>
      </c>
      <c r="N77" s="255"/>
    </row>
    <row r="78" spans="1:14" hidden="1" x14ac:dyDescent="0.2">
      <c r="A78" s="246" t="s">
        <v>207</v>
      </c>
      <c r="B78" s="653" t="s">
        <v>552</v>
      </c>
      <c r="C78" s="422" t="s">
        <v>27</v>
      </c>
      <c r="D78" s="248" t="s">
        <v>135</v>
      </c>
      <c r="E78" s="249">
        <v>2.741411617738913E-2</v>
      </c>
      <c r="F78" s="374" t="s">
        <v>553</v>
      </c>
      <c r="G78" s="251" t="s">
        <v>16</v>
      </c>
      <c r="H78" s="376">
        <v>2</v>
      </c>
      <c r="I78" s="376">
        <v>2</v>
      </c>
      <c r="J78" s="376">
        <v>3</v>
      </c>
      <c r="K78" s="376">
        <v>3</v>
      </c>
      <c r="L78" s="377">
        <v>2</v>
      </c>
      <c r="M78" s="378">
        <f t="shared" si="2"/>
        <v>0.60108474454521421</v>
      </c>
      <c r="N78" s="255"/>
    </row>
    <row r="79" spans="1:14" hidden="1" x14ac:dyDescent="0.2">
      <c r="A79" s="246" t="s">
        <v>207</v>
      </c>
      <c r="B79" s="459" t="s">
        <v>554</v>
      </c>
      <c r="C79" s="422" t="s">
        <v>27</v>
      </c>
      <c r="D79" s="248" t="s">
        <v>135</v>
      </c>
      <c r="E79" s="249">
        <v>4.8094940662086199E-5</v>
      </c>
      <c r="F79" s="374" t="s">
        <v>553</v>
      </c>
      <c r="G79" s="251" t="s">
        <v>16</v>
      </c>
      <c r="H79" s="376">
        <v>2</v>
      </c>
      <c r="I79" s="376">
        <v>2</v>
      </c>
      <c r="J79" s="376">
        <v>3</v>
      </c>
      <c r="K79" s="376">
        <v>3</v>
      </c>
      <c r="L79" s="377">
        <v>2</v>
      </c>
      <c r="M79" s="378">
        <f t="shared" si="2"/>
        <v>0.60108474454521421</v>
      </c>
      <c r="N79" s="255"/>
    </row>
    <row r="80" spans="1:14" hidden="1" x14ac:dyDescent="0.2">
      <c r="A80" s="246" t="s">
        <v>207</v>
      </c>
      <c r="B80" s="653" t="s">
        <v>552</v>
      </c>
      <c r="C80" s="422" t="s">
        <v>28</v>
      </c>
      <c r="D80" s="248" t="s">
        <v>135</v>
      </c>
      <c r="E80" s="249">
        <v>3.7026858213616502E-2</v>
      </c>
      <c r="F80" s="374" t="s">
        <v>553</v>
      </c>
      <c r="G80" s="251" t="s">
        <v>16</v>
      </c>
      <c r="H80" s="376">
        <v>2</v>
      </c>
      <c r="I80" s="376">
        <v>2</v>
      </c>
      <c r="J80" s="376">
        <v>3</v>
      </c>
      <c r="K80" s="376">
        <v>3</v>
      </c>
      <c r="L80" s="377">
        <v>2</v>
      </c>
      <c r="M80" s="378">
        <f t="shared" si="2"/>
        <v>0.60108474454521421</v>
      </c>
      <c r="N80" s="255"/>
    </row>
    <row r="81" spans="1:14" hidden="1" x14ac:dyDescent="0.2">
      <c r="A81" s="246" t="s">
        <v>207</v>
      </c>
      <c r="B81" s="459" t="s">
        <v>554</v>
      </c>
      <c r="C81" s="422" t="s">
        <v>28</v>
      </c>
      <c r="D81" s="248" t="s">
        <v>135</v>
      </c>
      <c r="E81" s="249">
        <v>6.4959400374765784E-5</v>
      </c>
      <c r="F81" s="374" t="s">
        <v>553</v>
      </c>
      <c r="G81" s="251" t="s">
        <v>16</v>
      </c>
      <c r="H81" s="376">
        <v>2</v>
      </c>
      <c r="I81" s="376">
        <v>2</v>
      </c>
      <c r="J81" s="376">
        <v>3</v>
      </c>
      <c r="K81" s="376">
        <v>3</v>
      </c>
      <c r="L81" s="377">
        <v>2</v>
      </c>
      <c r="M81" s="378">
        <f t="shared" si="2"/>
        <v>0.60108474454521421</v>
      </c>
      <c r="N81" s="255"/>
    </row>
    <row r="82" spans="1:14" hidden="1" x14ac:dyDescent="0.2">
      <c r="A82" s="246" t="s">
        <v>207</v>
      </c>
      <c r="B82" s="653" t="s">
        <v>552</v>
      </c>
      <c r="C82" s="422" t="s">
        <v>30</v>
      </c>
      <c r="D82" s="248" t="s">
        <v>135</v>
      </c>
      <c r="E82" s="249">
        <v>5.3048094940662087E-2</v>
      </c>
      <c r="F82" s="374" t="s">
        <v>553</v>
      </c>
      <c r="G82" s="251" t="s">
        <v>16</v>
      </c>
      <c r="H82" s="376">
        <v>2</v>
      </c>
      <c r="I82" s="376">
        <v>2</v>
      </c>
      <c r="J82" s="376">
        <v>3</v>
      </c>
      <c r="K82" s="376">
        <v>3</v>
      </c>
      <c r="L82" s="377">
        <v>2</v>
      </c>
      <c r="M82" s="378">
        <f t="shared" si="2"/>
        <v>0.60108474454521421</v>
      </c>
      <c r="N82" s="255"/>
    </row>
    <row r="83" spans="1:14" hidden="1" x14ac:dyDescent="0.2">
      <c r="A83" s="246" t="s">
        <v>207</v>
      </c>
      <c r="B83" s="459" t="s">
        <v>554</v>
      </c>
      <c r="C83" s="422" t="s">
        <v>30</v>
      </c>
      <c r="D83" s="248" t="s">
        <v>135</v>
      </c>
      <c r="E83" s="249">
        <v>9.3066833229231739E-5</v>
      </c>
      <c r="F83" s="374" t="s">
        <v>553</v>
      </c>
      <c r="G83" s="251" t="s">
        <v>16</v>
      </c>
      <c r="H83" s="376">
        <v>2</v>
      </c>
      <c r="I83" s="376">
        <v>2</v>
      </c>
      <c r="J83" s="376">
        <v>3</v>
      </c>
      <c r="K83" s="376">
        <v>3</v>
      </c>
      <c r="L83" s="377">
        <v>2</v>
      </c>
      <c r="M83" s="378">
        <f t="shared" si="2"/>
        <v>0.60108474454521421</v>
      </c>
      <c r="N83" s="255"/>
    </row>
    <row r="84" spans="1:14" hidden="1" x14ac:dyDescent="0.2">
      <c r="A84" s="246" t="s">
        <v>207</v>
      </c>
      <c r="B84" s="653" t="s">
        <v>552</v>
      </c>
      <c r="C84" s="422" t="s">
        <v>32</v>
      </c>
      <c r="D84" s="248" t="s">
        <v>135</v>
      </c>
      <c r="E84" s="249">
        <v>2.8482198625858842E-3</v>
      </c>
      <c r="F84" s="374" t="s">
        <v>553</v>
      </c>
      <c r="G84" s="251" t="s">
        <v>16</v>
      </c>
      <c r="H84" s="376">
        <v>2</v>
      </c>
      <c r="I84" s="376">
        <v>2</v>
      </c>
      <c r="J84" s="376">
        <v>3</v>
      </c>
      <c r="K84" s="376">
        <v>3</v>
      </c>
      <c r="L84" s="377">
        <v>2</v>
      </c>
      <c r="M84" s="378">
        <f t="shared" si="2"/>
        <v>0.60108474454521421</v>
      </c>
      <c r="N84" s="255"/>
    </row>
    <row r="85" spans="1:14" hidden="1" x14ac:dyDescent="0.2">
      <c r="A85" s="246" t="s">
        <v>207</v>
      </c>
      <c r="B85" s="459" t="s">
        <v>554</v>
      </c>
      <c r="C85" s="422" t="s">
        <v>32</v>
      </c>
      <c r="D85" s="248" t="s">
        <v>135</v>
      </c>
      <c r="E85" s="249">
        <v>4.9968769519050601E-6</v>
      </c>
      <c r="F85" s="374" t="s">
        <v>553</v>
      </c>
      <c r="G85" s="251" t="s">
        <v>16</v>
      </c>
      <c r="H85" s="376">
        <v>2</v>
      </c>
      <c r="I85" s="376">
        <v>2</v>
      </c>
      <c r="J85" s="376">
        <v>3</v>
      </c>
      <c r="K85" s="376">
        <v>3</v>
      </c>
      <c r="L85" s="377">
        <v>2</v>
      </c>
      <c r="M85" s="378">
        <f t="shared" si="2"/>
        <v>0.60108474454521421</v>
      </c>
      <c r="N85" s="255"/>
    </row>
    <row r="86" spans="1:14" hidden="1" x14ac:dyDescent="0.2">
      <c r="A86" s="246" t="s">
        <v>207</v>
      </c>
      <c r="B86" s="653" t="s">
        <v>552</v>
      </c>
      <c r="C86" s="422" t="s">
        <v>34</v>
      </c>
      <c r="D86" s="248" t="s">
        <v>135</v>
      </c>
      <c r="E86" s="249">
        <v>1.3885071830106181E-2</v>
      </c>
      <c r="F86" s="374" t="s">
        <v>553</v>
      </c>
      <c r="G86" s="251" t="s">
        <v>16</v>
      </c>
      <c r="H86" s="376">
        <v>2</v>
      </c>
      <c r="I86" s="376">
        <v>2</v>
      </c>
      <c r="J86" s="376">
        <v>3</v>
      </c>
      <c r="K86" s="376">
        <v>3</v>
      </c>
      <c r="L86" s="377">
        <v>2</v>
      </c>
      <c r="M86" s="378">
        <f t="shared" si="2"/>
        <v>0.60108474454521421</v>
      </c>
      <c r="N86" s="255"/>
    </row>
    <row r="87" spans="1:14" hidden="1" x14ac:dyDescent="0.2">
      <c r="A87" s="246" t="s">
        <v>207</v>
      </c>
      <c r="B87" s="459" t="s">
        <v>554</v>
      </c>
      <c r="C87" s="422" t="s">
        <v>34</v>
      </c>
      <c r="D87" s="248" t="s">
        <v>135</v>
      </c>
      <c r="E87" s="249">
        <v>2.4359775140537171E-5</v>
      </c>
      <c r="F87" s="374" t="s">
        <v>553</v>
      </c>
      <c r="G87" s="251" t="s">
        <v>16</v>
      </c>
      <c r="H87" s="376">
        <v>2</v>
      </c>
      <c r="I87" s="376">
        <v>2</v>
      </c>
      <c r="J87" s="376">
        <v>3</v>
      </c>
      <c r="K87" s="376">
        <v>3</v>
      </c>
      <c r="L87" s="377">
        <v>2</v>
      </c>
      <c r="M87" s="378">
        <f t="shared" si="2"/>
        <v>0.60108474454521421</v>
      </c>
      <c r="N87" s="255"/>
    </row>
    <row r="88" spans="1:14" hidden="1" x14ac:dyDescent="0.2">
      <c r="A88" s="246" t="s">
        <v>207</v>
      </c>
      <c r="B88" s="653" t="s">
        <v>552</v>
      </c>
      <c r="C88" s="422" t="s">
        <v>36</v>
      </c>
      <c r="D88" s="248" t="s">
        <v>135</v>
      </c>
      <c r="E88" s="249">
        <v>2.3497813866333539E-2</v>
      </c>
      <c r="F88" s="374" t="s">
        <v>553</v>
      </c>
      <c r="G88" s="251" t="s">
        <v>16</v>
      </c>
      <c r="H88" s="376">
        <v>2</v>
      </c>
      <c r="I88" s="376">
        <v>2</v>
      </c>
      <c r="J88" s="376">
        <v>3</v>
      </c>
      <c r="K88" s="376">
        <v>3</v>
      </c>
      <c r="L88" s="377">
        <v>2</v>
      </c>
      <c r="M88" s="378">
        <f t="shared" si="2"/>
        <v>0.60108474454521421</v>
      </c>
      <c r="N88" s="255"/>
    </row>
    <row r="89" spans="1:14" hidden="1" x14ac:dyDescent="0.2">
      <c r="A89" s="246" t="s">
        <v>207</v>
      </c>
      <c r="B89" s="459" t="s">
        <v>554</v>
      </c>
      <c r="C89" s="422" t="s">
        <v>36</v>
      </c>
      <c r="D89" s="248" t="s">
        <v>135</v>
      </c>
      <c r="E89" s="249">
        <v>4.1224234853216739E-5</v>
      </c>
      <c r="F89" s="374" t="s">
        <v>553</v>
      </c>
      <c r="G89" s="251" t="s">
        <v>16</v>
      </c>
      <c r="H89" s="376">
        <v>2</v>
      </c>
      <c r="I89" s="376">
        <v>2</v>
      </c>
      <c r="J89" s="376">
        <v>3</v>
      </c>
      <c r="K89" s="376">
        <v>3</v>
      </c>
      <c r="L89" s="377">
        <v>2</v>
      </c>
      <c r="M89" s="378">
        <f t="shared" si="2"/>
        <v>0.60108474454521421</v>
      </c>
      <c r="N89" s="255"/>
    </row>
    <row r="90" spans="1:14" hidden="1" x14ac:dyDescent="0.2">
      <c r="A90" s="246" t="s">
        <v>207</v>
      </c>
      <c r="B90" s="653" t="s">
        <v>552</v>
      </c>
      <c r="C90" s="422" t="s">
        <v>37</v>
      </c>
      <c r="D90" s="248" t="s">
        <v>135</v>
      </c>
      <c r="E90" s="249">
        <v>4.3791380387257967E-2</v>
      </c>
      <c r="F90" s="374" t="s">
        <v>553</v>
      </c>
      <c r="G90" s="251" t="s">
        <v>16</v>
      </c>
      <c r="H90" s="376">
        <v>2</v>
      </c>
      <c r="I90" s="376">
        <v>2</v>
      </c>
      <c r="J90" s="376">
        <v>3</v>
      </c>
      <c r="K90" s="376">
        <v>3</v>
      </c>
      <c r="L90" s="377">
        <v>2</v>
      </c>
      <c r="M90" s="378">
        <f t="shared" si="2"/>
        <v>0.60108474454521421</v>
      </c>
      <c r="N90" s="255"/>
    </row>
    <row r="91" spans="1:14" hidden="1" x14ac:dyDescent="0.2">
      <c r="A91" s="246" t="s">
        <v>207</v>
      </c>
      <c r="B91" s="459" t="s">
        <v>554</v>
      </c>
      <c r="C91" s="422" t="s">
        <v>37</v>
      </c>
      <c r="D91" s="248" t="s">
        <v>135</v>
      </c>
      <c r="E91" s="249">
        <v>7.6826983135540303E-5</v>
      </c>
      <c r="F91" s="374" t="s">
        <v>553</v>
      </c>
      <c r="G91" s="251" t="s">
        <v>16</v>
      </c>
      <c r="H91" s="376">
        <v>2</v>
      </c>
      <c r="I91" s="376">
        <v>2</v>
      </c>
      <c r="J91" s="376">
        <v>3</v>
      </c>
      <c r="K91" s="376">
        <v>3</v>
      </c>
      <c r="L91" s="377">
        <v>2</v>
      </c>
      <c r="M91" s="378">
        <f t="shared" si="2"/>
        <v>0.60108474454521421</v>
      </c>
      <c r="N91" s="255"/>
    </row>
    <row r="92" spans="1:14" hidden="1" x14ac:dyDescent="0.2">
      <c r="A92" s="246" t="s">
        <v>207</v>
      </c>
      <c r="B92" s="653" t="s">
        <v>552</v>
      </c>
      <c r="C92" s="422" t="s">
        <v>39</v>
      </c>
      <c r="D92" s="248" t="s">
        <v>135</v>
      </c>
      <c r="E92" s="249">
        <v>1.317301686445971E-2</v>
      </c>
      <c r="F92" s="374" t="s">
        <v>553</v>
      </c>
      <c r="G92" s="251" t="s">
        <v>16</v>
      </c>
      <c r="H92" s="376">
        <v>2</v>
      </c>
      <c r="I92" s="376">
        <v>2</v>
      </c>
      <c r="J92" s="376">
        <v>3</v>
      </c>
      <c r="K92" s="376">
        <v>3</v>
      </c>
      <c r="L92" s="377">
        <v>2</v>
      </c>
      <c r="M92" s="378">
        <f t="shared" si="2"/>
        <v>0.60108474454521421</v>
      </c>
      <c r="N92" s="255"/>
    </row>
    <row r="93" spans="1:14" hidden="1" x14ac:dyDescent="0.2">
      <c r="A93" s="246" t="s">
        <v>207</v>
      </c>
      <c r="B93" s="459" t="s">
        <v>554</v>
      </c>
      <c r="C93" s="422" t="s">
        <v>39</v>
      </c>
      <c r="D93" s="248" t="s">
        <v>135</v>
      </c>
      <c r="E93" s="249">
        <v>2.3110555902560899E-5</v>
      </c>
      <c r="F93" s="374" t="s">
        <v>553</v>
      </c>
      <c r="G93" s="251" t="s">
        <v>16</v>
      </c>
      <c r="H93" s="376">
        <v>2</v>
      </c>
      <c r="I93" s="376">
        <v>2</v>
      </c>
      <c r="J93" s="376">
        <v>3</v>
      </c>
      <c r="K93" s="376">
        <v>3</v>
      </c>
      <c r="L93" s="377">
        <v>2</v>
      </c>
      <c r="M93" s="378">
        <f t="shared" si="2"/>
        <v>0.60108474454521421</v>
      </c>
      <c r="N93" s="255"/>
    </row>
    <row r="94" spans="1:14" hidden="1" x14ac:dyDescent="0.2">
      <c r="A94" s="246" t="s">
        <v>207</v>
      </c>
      <c r="B94" s="653" t="s">
        <v>552</v>
      </c>
      <c r="C94" s="422" t="s">
        <v>40</v>
      </c>
      <c r="D94" s="248" t="s">
        <v>135</v>
      </c>
      <c r="E94" s="249">
        <v>3.6314803247970033E-2</v>
      </c>
      <c r="F94" s="374" t="s">
        <v>553</v>
      </c>
      <c r="G94" s="251" t="s">
        <v>16</v>
      </c>
      <c r="H94" s="376">
        <v>2</v>
      </c>
      <c r="I94" s="376">
        <v>2</v>
      </c>
      <c r="J94" s="376">
        <v>3</v>
      </c>
      <c r="K94" s="376">
        <v>3</v>
      </c>
      <c r="L94" s="377">
        <v>2</v>
      </c>
      <c r="M94" s="378">
        <f t="shared" si="2"/>
        <v>0.60108474454521421</v>
      </c>
      <c r="N94" s="255"/>
    </row>
    <row r="95" spans="1:14" hidden="1" x14ac:dyDescent="0.2">
      <c r="A95" s="246" t="s">
        <v>207</v>
      </c>
      <c r="B95" s="459" t="s">
        <v>554</v>
      </c>
      <c r="C95" s="422" t="s">
        <v>40</v>
      </c>
      <c r="D95" s="248" t="s">
        <v>135</v>
      </c>
      <c r="E95" s="249">
        <v>6.3710181136789512E-5</v>
      </c>
      <c r="F95" s="374" t="s">
        <v>553</v>
      </c>
      <c r="G95" s="251" t="s">
        <v>16</v>
      </c>
      <c r="H95" s="376">
        <v>2</v>
      </c>
      <c r="I95" s="376">
        <v>2</v>
      </c>
      <c r="J95" s="376">
        <v>3</v>
      </c>
      <c r="K95" s="376">
        <v>3</v>
      </c>
      <c r="L95" s="377">
        <v>2</v>
      </c>
      <c r="M95" s="378">
        <f t="shared" si="2"/>
        <v>0.60108474454521421</v>
      </c>
      <c r="N95" s="255"/>
    </row>
    <row r="96" spans="1:14" hidden="1" x14ac:dyDescent="0.2">
      <c r="A96" s="246" t="s">
        <v>207</v>
      </c>
      <c r="B96" s="653" t="s">
        <v>552</v>
      </c>
      <c r="C96" s="422" t="s">
        <v>41</v>
      </c>
      <c r="D96" s="248" t="s">
        <v>135</v>
      </c>
      <c r="E96" s="249">
        <v>7.12054965646471E-2</v>
      </c>
      <c r="F96" s="374" t="s">
        <v>553</v>
      </c>
      <c r="G96" s="251" t="s">
        <v>16</v>
      </c>
      <c r="H96" s="376">
        <v>2</v>
      </c>
      <c r="I96" s="376">
        <v>2</v>
      </c>
      <c r="J96" s="376">
        <v>3</v>
      </c>
      <c r="K96" s="376">
        <v>3</v>
      </c>
      <c r="L96" s="377">
        <v>2</v>
      </c>
      <c r="M96" s="378">
        <f t="shared" si="2"/>
        <v>0.60108474454521421</v>
      </c>
      <c r="N96" s="255"/>
    </row>
    <row r="97" spans="1:14" hidden="1" x14ac:dyDescent="0.2">
      <c r="A97" s="246" t="s">
        <v>207</v>
      </c>
      <c r="B97" s="459" t="s">
        <v>554</v>
      </c>
      <c r="C97" s="422" t="s">
        <v>41</v>
      </c>
      <c r="D97" s="248" t="s">
        <v>135</v>
      </c>
      <c r="E97" s="249">
        <v>1.2492192379762651E-4</v>
      </c>
      <c r="F97" s="374" t="s">
        <v>553</v>
      </c>
      <c r="G97" s="251" t="s">
        <v>16</v>
      </c>
      <c r="H97" s="376">
        <v>2</v>
      </c>
      <c r="I97" s="376">
        <v>2</v>
      </c>
      <c r="J97" s="376">
        <v>3</v>
      </c>
      <c r="K97" s="376">
        <v>3</v>
      </c>
      <c r="L97" s="377">
        <v>2</v>
      </c>
      <c r="M97" s="378">
        <f t="shared" si="2"/>
        <v>0.60108474454521421</v>
      </c>
      <c r="N97" s="255"/>
    </row>
    <row r="98" spans="1:14" hidden="1" x14ac:dyDescent="0.2">
      <c r="A98" s="246" t="s">
        <v>207</v>
      </c>
      <c r="B98" s="653" t="s">
        <v>552</v>
      </c>
      <c r="C98" s="422" t="s">
        <v>42</v>
      </c>
      <c r="D98" s="248" t="s">
        <v>135</v>
      </c>
      <c r="E98" s="249">
        <v>1.8513429106808251E-2</v>
      </c>
      <c r="F98" s="374" t="s">
        <v>553</v>
      </c>
      <c r="G98" s="251" t="s">
        <v>16</v>
      </c>
      <c r="H98" s="376">
        <v>2</v>
      </c>
      <c r="I98" s="376">
        <v>2</v>
      </c>
      <c r="J98" s="376">
        <v>3</v>
      </c>
      <c r="K98" s="376">
        <v>3</v>
      </c>
      <c r="L98" s="377">
        <v>2</v>
      </c>
      <c r="M98" s="378">
        <f t="shared" si="2"/>
        <v>0.60108474454521421</v>
      </c>
      <c r="N98" s="255"/>
    </row>
    <row r="99" spans="1:14" hidden="1" x14ac:dyDescent="0.2">
      <c r="A99" s="246" t="s">
        <v>207</v>
      </c>
      <c r="B99" s="459" t="s">
        <v>554</v>
      </c>
      <c r="C99" s="422" t="s">
        <v>42</v>
      </c>
      <c r="D99" s="248" t="s">
        <v>135</v>
      </c>
      <c r="E99" s="249">
        <v>3.2479700187382892E-5</v>
      </c>
      <c r="F99" s="374" t="s">
        <v>553</v>
      </c>
      <c r="G99" s="251" t="s">
        <v>16</v>
      </c>
      <c r="H99" s="376">
        <v>2</v>
      </c>
      <c r="I99" s="376">
        <v>2</v>
      </c>
      <c r="J99" s="376">
        <v>3</v>
      </c>
      <c r="K99" s="376">
        <v>3</v>
      </c>
      <c r="L99" s="377">
        <v>2</v>
      </c>
      <c r="M99" s="378">
        <f t="shared" si="2"/>
        <v>0.60108474454521421</v>
      </c>
      <c r="N99" s="255"/>
    </row>
    <row r="100" spans="1:14" hidden="1" x14ac:dyDescent="0.2">
      <c r="A100" s="246" t="s">
        <v>207</v>
      </c>
      <c r="B100" s="653" t="s">
        <v>552</v>
      </c>
      <c r="C100" s="422" t="s">
        <v>43</v>
      </c>
      <c r="D100" s="248" t="s">
        <v>135</v>
      </c>
      <c r="E100" s="249">
        <v>3.0618363522798259E-2</v>
      </c>
      <c r="F100" s="374" t="s">
        <v>553</v>
      </c>
      <c r="G100" s="251" t="s">
        <v>16</v>
      </c>
      <c r="H100" s="376">
        <v>2</v>
      </c>
      <c r="I100" s="376">
        <v>2</v>
      </c>
      <c r="J100" s="376">
        <v>3</v>
      </c>
      <c r="K100" s="376">
        <v>3</v>
      </c>
      <c r="L100" s="377">
        <v>2</v>
      </c>
      <c r="M100" s="378">
        <f t="shared" si="2"/>
        <v>0.60108474454521421</v>
      </c>
      <c r="N100" s="255"/>
    </row>
    <row r="101" spans="1:14" hidden="1" x14ac:dyDescent="0.2">
      <c r="A101" s="246" t="s">
        <v>207</v>
      </c>
      <c r="B101" s="459" t="s">
        <v>554</v>
      </c>
      <c r="C101" s="422" t="s">
        <v>43</v>
      </c>
      <c r="D101" s="248" t="s">
        <v>135</v>
      </c>
      <c r="E101" s="249">
        <v>5.3716427232979387E-5</v>
      </c>
      <c r="F101" s="374" t="s">
        <v>553</v>
      </c>
      <c r="G101" s="251" t="s">
        <v>16</v>
      </c>
      <c r="H101" s="376">
        <v>2</v>
      </c>
      <c r="I101" s="376">
        <v>2</v>
      </c>
      <c r="J101" s="376">
        <v>3</v>
      </c>
      <c r="K101" s="376">
        <v>3</v>
      </c>
      <c r="L101" s="377">
        <v>2</v>
      </c>
      <c r="M101" s="378">
        <f t="shared" ref="M101:M131" si="3">IF( OR( ISBLANK(H101),ISBLANK(I101), ISBLANK(J101), ISBLANK(K101), ISBLANK(L101) ), "", 1.5*SQRT( EXP(2.21*(H101-1)) + EXP(2.21*(I101-1)) + EXP(2.21*(J101-1)) + EXP(2.21*(K101-1)) + EXP(2.21*L101) )/100*2.45 )</f>
        <v>0.60108474454521421</v>
      </c>
      <c r="N101" s="255"/>
    </row>
    <row r="102" spans="1:14" hidden="1" x14ac:dyDescent="0.2">
      <c r="A102" s="246" t="s">
        <v>207</v>
      </c>
      <c r="B102" s="653" t="s">
        <v>552</v>
      </c>
      <c r="C102" s="422" t="s">
        <v>45</v>
      </c>
      <c r="D102" s="248" t="s">
        <v>135</v>
      </c>
      <c r="E102" s="249">
        <v>5.3404122423485328E-3</v>
      </c>
      <c r="F102" s="374" t="s">
        <v>553</v>
      </c>
      <c r="G102" s="251" t="s">
        <v>16</v>
      </c>
      <c r="H102" s="376">
        <v>2</v>
      </c>
      <c r="I102" s="376">
        <v>2</v>
      </c>
      <c r="J102" s="376">
        <v>3</v>
      </c>
      <c r="K102" s="376">
        <v>3</v>
      </c>
      <c r="L102" s="377">
        <v>2</v>
      </c>
      <c r="M102" s="378">
        <f t="shared" si="3"/>
        <v>0.60108474454521421</v>
      </c>
      <c r="N102" s="255"/>
    </row>
    <row r="103" spans="1:14" hidden="1" x14ac:dyDescent="0.2">
      <c r="A103" s="246" t="s">
        <v>207</v>
      </c>
      <c r="B103" s="459" t="s">
        <v>554</v>
      </c>
      <c r="C103" s="422" t="s">
        <v>45</v>
      </c>
      <c r="D103" s="248" t="s">
        <v>135</v>
      </c>
      <c r="E103" s="249">
        <v>9.3691442848219878E-6</v>
      </c>
      <c r="F103" s="374" t="s">
        <v>553</v>
      </c>
      <c r="G103" s="251" t="s">
        <v>16</v>
      </c>
      <c r="H103" s="376">
        <v>2</v>
      </c>
      <c r="I103" s="376">
        <v>2</v>
      </c>
      <c r="J103" s="376">
        <v>3</v>
      </c>
      <c r="K103" s="376">
        <v>3</v>
      </c>
      <c r="L103" s="377">
        <v>2</v>
      </c>
      <c r="M103" s="378">
        <f t="shared" si="3"/>
        <v>0.60108474454521421</v>
      </c>
      <c r="N103" s="255"/>
    </row>
    <row r="104" spans="1:14" hidden="1" x14ac:dyDescent="0.2">
      <c r="A104" s="246" t="s">
        <v>207</v>
      </c>
      <c r="B104" s="653" t="s">
        <v>552</v>
      </c>
      <c r="C104" s="422" t="s">
        <v>46</v>
      </c>
      <c r="D104" s="248" t="s">
        <v>135</v>
      </c>
      <c r="E104" s="249">
        <v>2.812617114303561E-2</v>
      </c>
      <c r="F104" s="374" t="s">
        <v>553</v>
      </c>
      <c r="G104" s="251" t="s">
        <v>16</v>
      </c>
      <c r="H104" s="376">
        <v>2</v>
      </c>
      <c r="I104" s="376">
        <v>2</v>
      </c>
      <c r="J104" s="376">
        <v>3</v>
      </c>
      <c r="K104" s="376">
        <v>3</v>
      </c>
      <c r="L104" s="377">
        <v>2</v>
      </c>
      <c r="M104" s="378">
        <f t="shared" si="3"/>
        <v>0.60108474454521421</v>
      </c>
      <c r="N104" s="255"/>
    </row>
    <row r="105" spans="1:14" hidden="1" x14ac:dyDescent="0.2">
      <c r="A105" s="246" t="s">
        <v>207</v>
      </c>
      <c r="B105" s="459" t="s">
        <v>554</v>
      </c>
      <c r="C105" s="422" t="s">
        <v>46</v>
      </c>
      <c r="D105" s="248" t="s">
        <v>135</v>
      </c>
      <c r="E105" s="249">
        <v>4.9344159900062457E-5</v>
      </c>
      <c r="F105" s="374" t="s">
        <v>553</v>
      </c>
      <c r="G105" s="251" t="s">
        <v>16</v>
      </c>
      <c r="H105" s="376">
        <v>2</v>
      </c>
      <c r="I105" s="376">
        <v>2</v>
      </c>
      <c r="J105" s="376">
        <v>3</v>
      </c>
      <c r="K105" s="376">
        <v>3</v>
      </c>
      <c r="L105" s="377">
        <v>2</v>
      </c>
      <c r="M105" s="378">
        <f t="shared" si="3"/>
        <v>0.60108474454521421</v>
      </c>
      <c r="N105" s="255"/>
    </row>
    <row r="106" spans="1:14" hidden="1" x14ac:dyDescent="0.2">
      <c r="A106" s="246" t="s">
        <v>207</v>
      </c>
      <c r="B106" s="653" t="s">
        <v>552</v>
      </c>
      <c r="C106" s="422" t="s">
        <v>48</v>
      </c>
      <c r="D106" s="248" t="s">
        <v>135</v>
      </c>
      <c r="E106" s="249">
        <v>2.7770143660212371E-2</v>
      </c>
      <c r="F106" s="374" t="s">
        <v>553</v>
      </c>
      <c r="G106" s="251" t="s">
        <v>16</v>
      </c>
      <c r="H106" s="376">
        <v>2</v>
      </c>
      <c r="I106" s="376">
        <v>2</v>
      </c>
      <c r="J106" s="376">
        <v>3</v>
      </c>
      <c r="K106" s="376">
        <v>3</v>
      </c>
      <c r="L106" s="377">
        <v>2</v>
      </c>
      <c r="M106" s="378">
        <f t="shared" si="3"/>
        <v>0.60108474454521421</v>
      </c>
      <c r="N106" s="255"/>
    </row>
    <row r="107" spans="1:14" hidden="1" x14ac:dyDescent="0.2">
      <c r="A107" s="246" t="s">
        <v>207</v>
      </c>
      <c r="B107" s="459" t="s">
        <v>554</v>
      </c>
      <c r="C107" s="422" t="s">
        <v>48</v>
      </c>
      <c r="D107" s="248" t="s">
        <v>135</v>
      </c>
      <c r="E107" s="249">
        <v>4.8719550281074328E-5</v>
      </c>
      <c r="F107" s="374" t="s">
        <v>553</v>
      </c>
      <c r="G107" s="251" t="s">
        <v>16</v>
      </c>
      <c r="H107" s="376">
        <v>2</v>
      </c>
      <c r="I107" s="376">
        <v>2</v>
      </c>
      <c r="J107" s="376">
        <v>3</v>
      </c>
      <c r="K107" s="376">
        <v>3</v>
      </c>
      <c r="L107" s="377">
        <v>2</v>
      </c>
      <c r="M107" s="378">
        <f t="shared" si="3"/>
        <v>0.60108474454521421</v>
      </c>
      <c r="N107" s="255"/>
    </row>
    <row r="108" spans="1:14" hidden="1" x14ac:dyDescent="0.2">
      <c r="A108" s="246" t="s">
        <v>207</v>
      </c>
      <c r="B108" s="653" t="s">
        <v>552</v>
      </c>
      <c r="C108" s="422" t="s">
        <v>50</v>
      </c>
      <c r="D108" s="248" t="s">
        <v>135</v>
      </c>
      <c r="E108" s="249">
        <v>5.3404122423485328E-3</v>
      </c>
      <c r="F108" s="374" t="s">
        <v>553</v>
      </c>
      <c r="G108" s="251" t="s">
        <v>16</v>
      </c>
      <c r="H108" s="376">
        <v>2</v>
      </c>
      <c r="I108" s="376">
        <v>2</v>
      </c>
      <c r="J108" s="376">
        <v>3</v>
      </c>
      <c r="K108" s="376">
        <v>3</v>
      </c>
      <c r="L108" s="377">
        <v>2</v>
      </c>
      <c r="M108" s="378">
        <f t="shared" si="3"/>
        <v>0.60108474454521421</v>
      </c>
      <c r="N108" s="255"/>
    </row>
    <row r="109" spans="1:14" hidden="1" x14ac:dyDescent="0.2">
      <c r="A109" s="246" t="s">
        <v>207</v>
      </c>
      <c r="B109" s="459" t="s">
        <v>554</v>
      </c>
      <c r="C109" s="422" t="s">
        <v>50</v>
      </c>
      <c r="D109" s="248" t="s">
        <v>135</v>
      </c>
      <c r="E109" s="249">
        <v>9.3691442848219878E-6</v>
      </c>
      <c r="F109" s="374" t="s">
        <v>553</v>
      </c>
      <c r="G109" s="251" t="s">
        <v>16</v>
      </c>
      <c r="H109" s="376">
        <v>2</v>
      </c>
      <c r="I109" s="376">
        <v>2</v>
      </c>
      <c r="J109" s="376">
        <v>3</v>
      </c>
      <c r="K109" s="376">
        <v>3</v>
      </c>
      <c r="L109" s="377">
        <v>2</v>
      </c>
      <c r="M109" s="378">
        <f t="shared" si="3"/>
        <v>0.60108474454521421</v>
      </c>
      <c r="N109" s="255"/>
    </row>
    <row r="110" spans="1:14" hidden="1" x14ac:dyDescent="0.2">
      <c r="A110" s="246" t="s">
        <v>207</v>
      </c>
      <c r="B110" s="653" t="s">
        <v>552</v>
      </c>
      <c r="C110" s="422" t="s">
        <v>52</v>
      </c>
      <c r="D110" s="248" t="s">
        <v>135</v>
      </c>
      <c r="E110" s="249">
        <v>2.812617114303561E-2</v>
      </c>
      <c r="F110" s="374" t="s">
        <v>553</v>
      </c>
      <c r="G110" s="251" t="s">
        <v>16</v>
      </c>
      <c r="H110" s="376">
        <v>2</v>
      </c>
      <c r="I110" s="376">
        <v>2</v>
      </c>
      <c r="J110" s="376">
        <v>3</v>
      </c>
      <c r="K110" s="376">
        <v>3</v>
      </c>
      <c r="L110" s="377">
        <v>2</v>
      </c>
      <c r="M110" s="378">
        <f t="shared" si="3"/>
        <v>0.60108474454521421</v>
      </c>
      <c r="N110" s="255"/>
    </row>
    <row r="111" spans="1:14" hidden="1" x14ac:dyDescent="0.2">
      <c r="A111" s="246" t="s">
        <v>207</v>
      </c>
      <c r="B111" s="459" t="s">
        <v>554</v>
      </c>
      <c r="C111" s="422" t="s">
        <v>52</v>
      </c>
      <c r="D111" s="248" t="s">
        <v>135</v>
      </c>
      <c r="E111" s="249">
        <v>4.9344159900062457E-5</v>
      </c>
      <c r="F111" s="374" t="s">
        <v>553</v>
      </c>
      <c r="G111" s="251" t="s">
        <v>16</v>
      </c>
      <c r="H111" s="376">
        <v>2</v>
      </c>
      <c r="I111" s="376">
        <v>2</v>
      </c>
      <c r="J111" s="376">
        <v>3</v>
      </c>
      <c r="K111" s="376">
        <v>3</v>
      </c>
      <c r="L111" s="377">
        <v>2</v>
      </c>
      <c r="M111" s="378">
        <f t="shared" si="3"/>
        <v>0.60108474454521421</v>
      </c>
      <c r="N111" s="255"/>
    </row>
    <row r="112" spans="1:14" hidden="1" x14ac:dyDescent="0.2">
      <c r="A112" s="246" t="s">
        <v>207</v>
      </c>
      <c r="B112" s="653" t="s">
        <v>552</v>
      </c>
      <c r="C112" s="422" t="s">
        <v>54</v>
      </c>
      <c r="D112" s="248" t="s">
        <v>135</v>
      </c>
      <c r="E112" s="249">
        <v>2.812617114303561E-2</v>
      </c>
      <c r="F112" s="374" t="s">
        <v>553</v>
      </c>
      <c r="G112" s="251" t="s">
        <v>16</v>
      </c>
      <c r="H112" s="376">
        <v>2</v>
      </c>
      <c r="I112" s="376">
        <v>2</v>
      </c>
      <c r="J112" s="376">
        <v>3</v>
      </c>
      <c r="K112" s="376">
        <v>3</v>
      </c>
      <c r="L112" s="377">
        <v>2</v>
      </c>
      <c r="M112" s="378">
        <f t="shared" si="3"/>
        <v>0.60108474454521421</v>
      </c>
      <c r="N112" s="255"/>
    </row>
    <row r="113" spans="1:14" hidden="1" x14ac:dyDescent="0.2">
      <c r="A113" s="246" t="s">
        <v>207</v>
      </c>
      <c r="B113" s="459" t="s">
        <v>554</v>
      </c>
      <c r="C113" s="422" t="s">
        <v>54</v>
      </c>
      <c r="D113" s="248" t="s">
        <v>135</v>
      </c>
      <c r="E113" s="249">
        <v>4.9344159900062457E-5</v>
      </c>
      <c r="F113" s="374" t="s">
        <v>553</v>
      </c>
      <c r="G113" s="251" t="s">
        <v>16</v>
      </c>
      <c r="H113" s="376">
        <v>2</v>
      </c>
      <c r="I113" s="376">
        <v>2</v>
      </c>
      <c r="J113" s="376">
        <v>3</v>
      </c>
      <c r="K113" s="376">
        <v>3</v>
      </c>
      <c r="L113" s="377">
        <v>2</v>
      </c>
      <c r="M113" s="378">
        <f t="shared" si="3"/>
        <v>0.60108474454521421</v>
      </c>
      <c r="N113" s="255"/>
    </row>
    <row r="114" spans="1:14" hidden="1" x14ac:dyDescent="0.2">
      <c r="A114" s="246" t="s">
        <v>207</v>
      </c>
      <c r="B114" s="653" t="s">
        <v>552</v>
      </c>
      <c r="C114" s="422" t="s">
        <v>55</v>
      </c>
      <c r="D114" s="248" t="s">
        <v>135</v>
      </c>
      <c r="E114" s="249">
        <v>2.7770143660212371E-2</v>
      </c>
      <c r="F114" s="374" t="s">
        <v>553</v>
      </c>
      <c r="G114" s="251" t="s">
        <v>16</v>
      </c>
      <c r="H114" s="376">
        <v>2</v>
      </c>
      <c r="I114" s="376">
        <v>2</v>
      </c>
      <c r="J114" s="376">
        <v>3</v>
      </c>
      <c r="K114" s="376">
        <v>3</v>
      </c>
      <c r="L114" s="377">
        <v>2</v>
      </c>
      <c r="M114" s="378">
        <f t="shared" si="3"/>
        <v>0.60108474454521421</v>
      </c>
      <c r="N114" s="255"/>
    </row>
    <row r="115" spans="1:14" hidden="1" x14ac:dyDescent="0.2">
      <c r="A115" s="246" t="s">
        <v>207</v>
      </c>
      <c r="B115" s="459" t="s">
        <v>554</v>
      </c>
      <c r="C115" s="422" t="s">
        <v>55</v>
      </c>
      <c r="D115" s="248" t="s">
        <v>135</v>
      </c>
      <c r="E115" s="249">
        <v>4.8719550281074328E-5</v>
      </c>
      <c r="F115" s="374" t="s">
        <v>553</v>
      </c>
      <c r="G115" s="251" t="s">
        <v>16</v>
      </c>
      <c r="H115" s="376">
        <v>2</v>
      </c>
      <c r="I115" s="376">
        <v>2</v>
      </c>
      <c r="J115" s="376">
        <v>3</v>
      </c>
      <c r="K115" s="376">
        <v>3</v>
      </c>
      <c r="L115" s="377">
        <v>2</v>
      </c>
      <c r="M115" s="378">
        <f t="shared" si="3"/>
        <v>0.60108474454521421</v>
      </c>
      <c r="N115" s="255"/>
    </row>
    <row r="116" spans="1:14" hidden="1" x14ac:dyDescent="0.2">
      <c r="A116" s="246" t="s">
        <v>207</v>
      </c>
      <c r="B116" s="653" t="s">
        <v>552</v>
      </c>
      <c r="C116" s="422" t="s">
        <v>57</v>
      </c>
      <c r="D116" s="248" t="s">
        <v>135</v>
      </c>
      <c r="E116" s="249">
        <v>2.919425359150531E-2</v>
      </c>
      <c r="F116" s="374" t="s">
        <v>553</v>
      </c>
      <c r="G116" s="375" t="s">
        <v>16</v>
      </c>
      <c r="H116" s="376">
        <v>2</v>
      </c>
      <c r="I116" s="376">
        <v>2</v>
      </c>
      <c r="J116" s="376">
        <v>3</v>
      </c>
      <c r="K116" s="376">
        <v>3</v>
      </c>
      <c r="L116" s="377">
        <v>2</v>
      </c>
      <c r="M116" s="254">
        <f t="shared" si="3"/>
        <v>0.60108474454521421</v>
      </c>
      <c r="N116" s="255"/>
    </row>
    <row r="117" spans="1:14" hidden="1" x14ac:dyDescent="0.2">
      <c r="A117" s="246" t="s">
        <v>207</v>
      </c>
      <c r="B117" s="459" t="s">
        <v>554</v>
      </c>
      <c r="C117" s="422" t="s">
        <v>57</v>
      </c>
      <c r="D117" s="248" t="s">
        <v>135</v>
      </c>
      <c r="E117" s="249">
        <v>5.1217988757026857E-5</v>
      </c>
      <c r="F117" s="374" t="s">
        <v>553</v>
      </c>
      <c r="G117" s="251" t="s">
        <v>16</v>
      </c>
      <c r="H117" s="376">
        <v>2</v>
      </c>
      <c r="I117" s="376">
        <v>2</v>
      </c>
      <c r="J117" s="376">
        <v>3</v>
      </c>
      <c r="K117" s="376">
        <v>3</v>
      </c>
      <c r="L117" s="377">
        <v>2</v>
      </c>
      <c r="M117" s="378">
        <f t="shared" si="3"/>
        <v>0.60108474454521421</v>
      </c>
      <c r="N117" s="255"/>
    </row>
    <row r="118" spans="1:14" hidden="1" x14ac:dyDescent="0.2">
      <c r="A118" s="246" t="s">
        <v>207</v>
      </c>
      <c r="B118" s="653" t="s">
        <v>552</v>
      </c>
      <c r="C118" s="422" t="s">
        <v>59</v>
      </c>
      <c r="D118" s="248" t="s">
        <v>135</v>
      </c>
      <c r="E118" s="249">
        <v>5.7000000000000002E-2</v>
      </c>
      <c r="F118" s="374" t="s">
        <v>360</v>
      </c>
      <c r="G118" s="375"/>
      <c r="H118" s="376">
        <v>2</v>
      </c>
      <c r="I118" s="376">
        <v>2</v>
      </c>
      <c r="J118" s="376">
        <v>3</v>
      </c>
      <c r="K118" s="376">
        <v>3</v>
      </c>
      <c r="L118" s="377">
        <v>2</v>
      </c>
      <c r="M118" s="254">
        <f t="shared" si="3"/>
        <v>0.60108474454521421</v>
      </c>
      <c r="N118" s="255"/>
    </row>
    <row r="119" spans="1:14" hidden="1" x14ac:dyDescent="0.2">
      <c r="A119" s="246" t="s">
        <v>207</v>
      </c>
      <c r="B119" s="459" t="s">
        <v>554</v>
      </c>
      <c r="C119" s="422" t="s">
        <v>59</v>
      </c>
      <c r="D119" s="248" t="s">
        <v>135</v>
      </c>
      <c r="E119" s="249">
        <v>1E-4</v>
      </c>
      <c r="F119" s="374" t="s">
        <v>360</v>
      </c>
      <c r="G119" s="251"/>
      <c r="H119" s="376">
        <v>2</v>
      </c>
      <c r="I119" s="376">
        <v>2</v>
      </c>
      <c r="J119" s="376">
        <v>3</v>
      </c>
      <c r="K119" s="376">
        <v>3</v>
      </c>
      <c r="L119" s="377">
        <v>2</v>
      </c>
      <c r="M119" s="378">
        <f t="shared" si="3"/>
        <v>0.60108474454521421</v>
      </c>
      <c r="N119" s="255"/>
    </row>
    <row r="120" spans="1:14" hidden="1" x14ac:dyDescent="0.2">
      <c r="A120" s="246" t="s">
        <v>207</v>
      </c>
      <c r="B120" s="653" t="s">
        <v>552</v>
      </c>
      <c r="C120" s="422" t="s">
        <v>60</v>
      </c>
      <c r="D120" s="248" t="s">
        <v>135</v>
      </c>
      <c r="E120" s="249">
        <v>2.3141786383510311E-2</v>
      </c>
      <c r="F120" s="374" t="s">
        <v>553</v>
      </c>
      <c r="G120" s="375" t="s">
        <v>16</v>
      </c>
      <c r="H120" s="376">
        <v>2</v>
      </c>
      <c r="I120" s="376">
        <v>2</v>
      </c>
      <c r="J120" s="376">
        <v>3</v>
      </c>
      <c r="K120" s="376">
        <v>3</v>
      </c>
      <c r="L120" s="377">
        <v>2</v>
      </c>
      <c r="M120" s="254">
        <f t="shared" si="3"/>
        <v>0.60108474454521421</v>
      </c>
      <c r="N120" s="255"/>
    </row>
    <row r="121" spans="1:14" hidden="1" x14ac:dyDescent="0.2">
      <c r="A121" s="464" t="s">
        <v>207</v>
      </c>
      <c r="B121" s="513" t="s">
        <v>554</v>
      </c>
      <c r="C121" s="427" t="s">
        <v>60</v>
      </c>
      <c r="D121" s="441" t="s">
        <v>135</v>
      </c>
      <c r="E121" s="288">
        <v>4.059962523422861E-5</v>
      </c>
      <c r="F121" s="399" t="s">
        <v>553</v>
      </c>
      <c r="G121" s="290" t="s">
        <v>16</v>
      </c>
      <c r="H121" s="398">
        <v>2</v>
      </c>
      <c r="I121" s="398">
        <v>2</v>
      </c>
      <c r="J121" s="398">
        <v>3</v>
      </c>
      <c r="K121" s="398">
        <v>3</v>
      </c>
      <c r="L121" s="407">
        <v>2</v>
      </c>
      <c r="M121" s="408">
        <f t="shared" si="3"/>
        <v>0.60108474454521421</v>
      </c>
      <c r="N121" s="294"/>
    </row>
    <row r="122" spans="1:14" x14ac:dyDescent="0.2">
      <c r="A122" s="246" t="s">
        <v>215</v>
      </c>
      <c r="B122" s="652" t="s">
        <v>552</v>
      </c>
      <c r="C122" s="422" t="s">
        <v>13</v>
      </c>
      <c r="D122" s="433" t="s">
        <v>135</v>
      </c>
      <c r="E122" s="266">
        <v>1.260712054965646E-2</v>
      </c>
      <c r="F122" s="389" t="s">
        <v>553</v>
      </c>
      <c r="G122" s="390" t="s">
        <v>16</v>
      </c>
      <c r="H122" s="391">
        <v>2</v>
      </c>
      <c r="I122" s="391">
        <v>2</v>
      </c>
      <c r="J122" s="391">
        <v>3</v>
      </c>
      <c r="K122" s="391">
        <v>3</v>
      </c>
      <c r="L122" s="392">
        <v>2</v>
      </c>
      <c r="M122" s="271">
        <f t="shared" si="3"/>
        <v>0.60108474454521421</v>
      </c>
      <c r="N122" s="272"/>
    </row>
    <row r="123" spans="1:14" x14ac:dyDescent="0.2">
      <c r="A123" s="246" t="s">
        <v>215</v>
      </c>
      <c r="B123" s="459" t="s">
        <v>554</v>
      </c>
      <c r="C123" s="422" t="s">
        <v>13</v>
      </c>
      <c r="D123" s="248" t="s">
        <v>135</v>
      </c>
      <c r="E123" s="249">
        <v>2.1736414740787008E-5</v>
      </c>
      <c r="F123" s="374" t="s">
        <v>553</v>
      </c>
      <c r="G123" s="251" t="s">
        <v>16</v>
      </c>
      <c r="H123" s="376">
        <v>2</v>
      </c>
      <c r="I123" s="376">
        <v>2</v>
      </c>
      <c r="J123" s="376">
        <v>3</v>
      </c>
      <c r="K123" s="376">
        <v>3</v>
      </c>
      <c r="L123" s="377">
        <v>2</v>
      </c>
      <c r="M123" s="378">
        <f t="shared" si="3"/>
        <v>0.60108474454521421</v>
      </c>
      <c r="N123" s="255"/>
    </row>
    <row r="124" spans="1:14" hidden="1" x14ac:dyDescent="0.2">
      <c r="A124" s="246" t="s">
        <v>215</v>
      </c>
      <c r="B124" s="653" t="s">
        <v>552</v>
      </c>
      <c r="C124" s="422" t="s">
        <v>18</v>
      </c>
      <c r="D124" s="248" t="s">
        <v>135</v>
      </c>
      <c r="E124" s="249">
        <v>1.101311680199875E-2</v>
      </c>
      <c r="F124" s="374" t="s">
        <v>553</v>
      </c>
      <c r="G124" s="251" t="s">
        <v>16</v>
      </c>
      <c r="H124" s="376">
        <v>2</v>
      </c>
      <c r="I124" s="376">
        <v>2</v>
      </c>
      <c r="J124" s="376">
        <v>3</v>
      </c>
      <c r="K124" s="376">
        <v>3</v>
      </c>
      <c r="L124" s="377">
        <v>2</v>
      </c>
      <c r="M124" s="378">
        <f t="shared" si="3"/>
        <v>0.60108474454521421</v>
      </c>
      <c r="N124" s="255"/>
    </row>
    <row r="125" spans="1:14" hidden="1" x14ac:dyDescent="0.2">
      <c r="A125" s="246" t="s">
        <v>215</v>
      </c>
      <c r="B125" s="459" t="s">
        <v>554</v>
      </c>
      <c r="C125" s="422" t="s">
        <v>18</v>
      </c>
      <c r="D125" s="248" t="s">
        <v>135</v>
      </c>
      <c r="E125" s="249">
        <v>1.8988132417239231E-5</v>
      </c>
      <c r="F125" s="374" t="s">
        <v>553</v>
      </c>
      <c r="G125" s="251" t="s">
        <v>16</v>
      </c>
      <c r="H125" s="376">
        <v>2</v>
      </c>
      <c r="I125" s="376">
        <v>2</v>
      </c>
      <c r="J125" s="376">
        <v>3</v>
      </c>
      <c r="K125" s="376">
        <v>3</v>
      </c>
      <c r="L125" s="377">
        <v>2</v>
      </c>
      <c r="M125" s="378">
        <f t="shared" si="3"/>
        <v>0.60108474454521421</v>
      </c>
      <c r="N125" s="255"/>
    </row>
    <row r="126" spans="1:14" hidden="1" x14ac:dyDescent="0.2">
      <c r="A126" s="246" t="s">
        <v>215</v>
      </c>
      <c r="B126" s="653" t="s">
        <v>552</v>
      </c>
      <c r="C126" s="422" t="s">
        <v>20</v>
      </c>
      <c r="D126" s="248" t="s">
        <v>135</v>
      </c>
      <c r="E126" s="249">
        <v>7.2454715802623356E-4</v>
      </c>
      <c r="F126" s="374" t="s">
        <v>553</v>
      </c>
      <c r="G126" s="251" t="s">
        <v>16</v>
      </c>
      <c r="H126" s="376">
        <v>2</v>
      </c>
      <c r="I126" s="376">
        <v>2</v>
      </c>
      <c r="J126" s="376">
        <v>3</v>
      </c>
      <c r="K126" s="376">
        <v>3</v>
      </c>
      <c r="L126" s="377">
        <v>2</v>
      </c>
      <c r="M126" s="378">
        <f t="shared" si="3"/>
        <v>0.60108474454521421</v>
      </c>
      <c r="N126" s="255"/>
    </row>
    <row r="127" spans="1:14" hidden="1" x14ac:dyDescent="0.2">
      <c r="A127" s="246" t="s">
        <v>215</v>
      </c>
      <c r="B127" s="459" t="s">
        <v>554</v>
      </c>
      <c r="C127" s="422" t="s">
        <v>20</v>
      </c>
      <c r="D127" s="248" t="s">
        <v>135</v>
      </c>
      <c r="E127" s="249">
        <v>1.249219237976265E-6</v>
      </c>
      <c r="F127" s="374" t="s">
        <v>553</v>
      </c>
      <c r="G127" s="251" t="s">
        <v>16</v>
      </c>
      <c r="H127" s="376">
        <v>2</v>
      </c>
      <c r="I127" s="376">
        <v>2</v>
      </c>
      <c r="J127" s="376">
        <v>3</v>
      </c>
      <c r="K127" s="376">
        <v>3</v>
      </c>
      <c r="L127" s="377">
        <v>2</v>
      </c>
      <c r="M127" s="378">
        <f t="shared" si="3"/>
        <v>0.60108474454521421</v>
      </c>
      <c r="N127" s="255"/>
    </row>
    <row r="128" spans="1:14" hidden="1" x14ac:dyDescent="0.2">
      <c r="A128" s="246" t="s">
        <v>215</v>
      </c>
      <c r="B128" s="653" t="s">
        <v>552</v>
      </c>
      <c r="C128" s="422" t="s">
        <v>22</v>
      </c>
      <c r="D128" s="248" t="s">
        <v>135</v>
      </c>
      <c r="E128" s="249">
        <v>1.7389131792629609E-3</v>
      </c>
      <c r="F128" s="374" t="s">
        <v>553</v>
      </c>
      <c r="G128" s="251" t="s">
        <v>16</v>
      </c>
      <c r="H128" s="376">
        <v>2</v>
      </c>
      <c r="I128" s="376">
        <v>2</v>
      </c>
      <c r="J128" s="376">
        <v>3</v>
      </c>
      <c r="K128" s="376">
        <v>3</v>
      </c>
      <c r="L128" s="377">
        <v>2</v>
      </c>
      <c r="M128" s="378">
        <f t="shared" si="3"/>
        <v>0.60108474454521421</v>
      </c>
      <c r="N128" s="255"/>
    </row>
    <row r="129" spans="1:14" hidden="1" x14ac:dyDescent="0.2">
      <c r="A129" s="246" t="s">
        <v>215</v>
      </c>
      <c r="B129" s="459" t="s">
        <v>554</v>
      </c>
      <c r="C129" s="422" t="s">
        <v>22</v>
      </c>
      <c r="D129" s="248" t="s">
        <v>135</v>
      </c>
      <c r="E129" s="249">
        <v>2.9981261711430358E-6</v>
      </c>
      <c r="F129" s="374" t="s">
        <v>553</v>
      </c>
      <c r="G129" s="251" t="s">
        <v>16</v>
      </c>
      <c r="H129" s="376">
        <v>2</v>
      </c>
      <c r="I129" s="376">
        <v>2</v>
      </c>
      <c r="J129" s="376">
        <v>3</v>
      </c>
      <c r="K129" s="376">
        <v>3</v>
      </c>
      <c r="L129" s="377">
        <v>2</v>
      </c>
      <c r="M129" s="378">
        <f t="shared" si="3"/>
        <v>0.60108474454521421</v>
      </c>
      <c r="N129" s="255"/>
    </row>
    <row r="130" spans="1:14" hidden="1" x14ac:dyDescent="0.2">
      <c r="A130" s="246" t="s">
        <v>215</v>
      </c>
      <c r="B130" s="653" t="s">
        <v>552</v>
      </c>
      <c r="C130" s="422" t="s">
        <v>23</v>
      </c>
      <c r="D130" s="248" t="s">
        <v>135</v>
      </c>
      <c r="E130" s="249">
        <v>7.9700187382885691E-4</v>
      </c>
      <c r="F130" s="374" t="s">
        <v>553</v>
      </c>
      <c r="G130" s="251" t="s">
        <v>16</v>
      </c>
      <c r="H130" s="376">
        <v>2</v>
      </c>
      <c r="I130" s="376">
        <v>2</v>
      </c>
      <c r="J130" s="376">
        <v>3</v>
      </c>
      <c r="K130" s="376">
        <v>3</v>
      </c>
      <c r="L130" s="377">
        <v>2</v>
      </c>
      <c r="M130" s="378">
        <f t="shared" si="3"/>
        <v>0.60108474454521421</v>
      </c>
      <c r="N130" s="255"/>
    </row>
    <row r="131" spans="1:14" hidden="1" x14ac:dyDescent="0.2">
      <c r="A131" s="246" t="s">
        <v>215</v>
      </c>
      <c r="B131" s="459" t="s">
        <v>554</v>
      </c>
      <c r="C131" s="422" t="s">
        <v>23</v>
      </c>
      <c r="D131" s="248" t="s">
        <v>135</v>
      </c>
      <c r="E131" s="249">
        <v>1.374141161773891E-6</v>
      </c>
      <c r="F131" s="374" t="s">
        <v>553</v>
      </c>
      <c r="G131" s="251" t="s">
        <v>16</v>
      </c>
      <c r="H131" s="376">
        <v>2</v>
      </c>
      <c r="I131" s="376">
        <v>2</v>
      </c>
      <c r="J131" s="376">
        <v>3</v>
      </c>
      <c r="K131" s="376">
        <v>3</v>
      </c>
      <c r="L131" s="377">
        <v>2</v>
      </c>
      <c r="M131" s="378">
        <f t="shared" si="3"/>
        <v>0.60108474454521421</v>
      </c>
      <c r="N131" s="255"/>
    </row>
    <row r="132" spans="1:14" hidden="1" x14ac:dyDescent="0.2">
      <c r="A132" s="246" t="s">
        <v>215</v>
      </c>
      <c r="B132" s="653" t="s">
        <v>552</v>
      </c>
      <c r="C132" s="422" t="s">
        <v>24</v>
      </c>
      <c r="D132" s="248" t="s">
        <v>135</v>
      </c>
      <c r="E132" s="249">
        <v>5.2891942535915051E-3</v>
      </c>
      <c r="F132" s="374" t="s">
        <v>553</v>
      </c>
      <c r="G132" s="251" t="s">
        <v>16</v>
      </c>
      <c r="H132" s="376">
        <v>2</v>
      </c>
      <c r="I132" s="376">
        <v>2</v>
      </c>
      <c r="J132" s="376">
        <v>3</v>
      </c>
      <c r="K132" s="376">
        <v>3</v>
      </c>
      <c r="L132" s="377">
        <v>2</v>
      </c>
      <c r="M132" s="378">
        <f>IF( OR( ISBLANK(H132),ISBLANK(I132), ISBLANK(J132), ISBLANK(K132), ISBLANK(L132) ), "", 1.5*SQRT(   EXP(2.21*(H132-1)) + EXP(2.21*(I132-1)) + EXP(2.21*(J132-1)) + EXP(2.21*(K132-1)) + EXP(2.21*L132)   )/100*2.45 )</f>
        <v>0.60108474454521421</v>
      </c>
      <c r="N132" s="255"/>
    </row>
    <row r="133" spans="1:14" hidden="1" x14ac:dyDescent="0.2">
      <c r="A133" s="246" t="s">
        <v>215</v>
      </c>
      <c r="B133" s="459" t="s">
        <v>554</v>
      </c>
      <c r="C133" s="422" t="s">
        <v>24</v>
      </c>
      <c r="D133" s="248" t="s">
        <v>135</v>
      </c>
      <c r="E133" s="249">
        <v>9.1193004372267345E-6</v>
      </c>
      <c r="F133" s="374" t="s">
        <v>553</v>
      </c>
      <c r="G133" s="251" t="s">
        <v>16</v>
      </c>
      <c r="H133" s="376">
        <v>2</v>
      </c>
      <c r="I133" s="376">
        <v>2</v>
      </c>
      <c r="J133" s="376">
        <v>3</v>
      </c>
      <c r="K133" s="376">
        <v>3</v>
      </c>
      <c r="L133" s="377">
        <v>2</v>
      </c>
      <c r="M133" s="378">
        <f t="shared" ref="M133:M164" si="4">IF( OR( ISBLANK(H133),ISBLANK(I133), ISBLANK(J133), ISBLANK(K133), ISBLANK(L133) ), "", 1.5*SQRT( EXP(2.21*(H133-1)) + EXP(2.21*(I133-1)) + EXP(2.21*(J133-1)) + EXP(2.21*(K133-1)) + EXP(2.21*L133) )/100*2.45 )</f>
        <v>0.60108474454521421</v>
      </c>
      <c r="N133" s="255"/>
    </row>
    <row r="134" spans="1:14" hidden="1" x14ac:dyDescent="0.2">
      <c r="A134" s="246" t="s">
        <v>215</v>
      </c>
      <c r="B134" s="653" t="s">
        <v>552</v>
      </c>
      <c r="C134" s="422" t="s">
        <v>25</v>
      </c>
      <c r="D134" s="248" t="s">
        <v>135</v>
      </c>
      <c r="E134" s="249">
        <v>1.4635852592129919E-2</v>
      </c>
      <c r="F134" s="374" t="s">
        <v>553</v>
      </c>
      <c r="G134" s="251" t="s">
        <v>16</v>
      </c>
      <c r="H134" s="376">
        <v>2</v>
      </c>
      <c r="I134" s="376">
        <v>2</v>
      </c>
      <c r="J134" s="376">
        <v>3</v>
      </c>
      <c r="K134" s="376">
        <v>3</v>
      </c>
      <c r="L134" s="377">
        <v>2</v>
      </c>
      <c r="M134" s="378">
        <f t="shared" si="4"/>
        <v>0.60108474454521421</v>
      </c>
      <c r="N134" s="255"/>
    </row>
    <row r="135" spans="1:14" hidden="1" x14ac:dyDescent="0.2">
      <c r="A135" s="246" t="s">
        <v>215</v>
      </c>
      <c r="B135" s="459" t="s">
        <v>554</v>
      </c>
      <c r="C135" s="422" t="s">
        <v>25</v>
      </c>
      <c r="D135" s="248" t="s">
        <v>135</v>
      </c>
      <c r="E135" s="249">
        <v>2.5234228607120551E-5</v>
      </c>
      <c r="F135" s="374" t="s">
        <v>553</v>
      </c>
      <c r="G135" s="251" t="s">
        <v>16</v>
      </c>
      <c r="H135" s="376">
        <v>2</v>
      </c>
      <c r="I135" s="376">
        <v>2</v>
      </c>
      <c r="J135" s="376">
        <v>3</v>
      </c>
      <c r="K135" s="376">
        <v>3</v>
      </c>
      <c r="L135" s="377">
        <v>2</v>
      </c>
      <c r="M135" s="378">
        <f t="shared" si="4"/>
        <v>0.60108474454521421</v>
      </c>
      <c r="N135" s="255"/>
    </row>
    <row r="136" spans="1:14" hidden="1" x14ac:dyDescent="0.2">
      <c r="A136" s="246" t="s">
        <v>215</v>
      </c>
      <c r="B136" s="653" t="s">
        <v>552</v>
      </c>
      <c r="C136" s="422" t="s">
        <v>26</v>
      </c>
      <c r="D136" s="248" t="s">
        <v>135</v>
      </c>
      <c r="E136" s="249">
        <v>1.08682073703935E-3</v>
      </c>
      <c r="F136" s="374" t="s">
        <v>553</v>
      </c>
      <c r="G136" s="251" t="s">
        <v>16</v>
      </c>
      <c r="H136" s="376">
        <v>2</v>
      </c>
      <c r="I136" s="376">
        <v>2</v>
      </c>
      <c r="J136" s="376">
        <v>3</v>
      </c>
      <c r="K136" s="376">
        <v>3</v>
      </c>
      <c r="L136" s="377">
        <v>2</v>
      </c>
      <c r="M136" s="378">
        <f t="shared" si="4"/>
        <v>0.60108474454521421</v>
      </c>
      <c r="N136" s="255"/>
    </row>
    <row r="137" spans="1:14" hidden="1" x14ac:dyDescent="0.2">
      <c r="A137" s="246" t="s">
        <v>215</v>
      </c>
      <c r="B137" s="459" t="s">
        <v>554</v>
      </c>
      <c r="C137" s="422" t="s">
        <v>26</v>
      </c>
      <c r="D137" s="248" t="s">
        <v>135</v>
      </c>
      <c r="E137" s="249">
        <v>1.873828856964397E-6</v>
      </c>
      <c r="F137" s="374" t="s">
        <v>553</v>
      </c>
      <c r="G137" s="251" t="s">
        <v>16</v>
      </c>
      <c r="H137" s="376">
        <v>2</v>
      </c>
      <c r="I137" s="376">
        <v>2</v>
      </c>
      <c r="J137" s="376">
        <v>3</v>
      </c>
      <c r="K137" s="376">
        <v>3</v>
      </c>
      <c r="L137" s="377">
        <v>2</v>
      </c>
      <c r="M137" s="378">
        <f t="shared" si="4"/>
        <v>0.60108474454521421</v>
      </c>
      <c r="N137" s="255"/>
    </row>
    <row r="138" spans="1:14" hidden="1" x14ac:dyDescent="0.2">
      <c r="A138" s="246" t="s">
        <v>215</v>
      </c>
      <c r="B138" s="653" t="s">
        <v>552</v>
      </c>
      <c r="C138" s="422" t="s">
        <v>27</v>
      </c>
      <c r="D138" s="248" t="s">
        <v>135</v>
      </c>
      <c r="E138" s="249">
        <v>5.5790131168019976E-3</v>
      </c>
      <c r="F138" s="374" t="s">
        <v>553</v>
      </c>
      <c r="G138" s="251" t="s">
        <v>16</v>
      </c>
      <c r="H138" s="376">
        <v>2</v>
      </c>
      <c r="I138" s="376">
        <v>2</v>
      </c>
      <c r="J138" s="376">
        <v>3</v>
      </c>
      <c r="K138" s="376">
        <v>3</v>
      </c>
      <c r="L138" s="377">
        <v>2</v>
      </c>
      <c r="M138" s="378">
        <f t="shared" si="4"/>
        <v>0.60108474454521421</v>
      </c>
      <c r="N138" s="255"/>
    </row>
    <row r="139" spans="1:14" hidden="1" x14ac:dyDescent="0.2">
      <c r="A139" s="246" t="s">
        <v>215</v>
      </c>
      <c r="B139" s="459" t="s">
        <v>554</v>
      </c>
      <c r="C139" s="422" t="s">
        <v>27</v>
      </c>
      <c r="D139" s="248" t="s">
        <v>135</v>
      </c>
      <c r="E139" s="249">
        <v>9.6189881324172411E-6</v>
      </c>
      <c r="F139" s="374" t="s">
        <v>553</v>
      </c>
      <c r="G139" s="251" t="s">
        <v>16</v>
      </c>
      <c r="H139" s="376">
        <v>2</v>
      </c>
      <c r="I139" s="376">
        <v>2</v>
      </c>
      <c r="J139" s="376">
        <v>3</v>
      </c>
      <c r="K139" s="376">
        <v>3</v>
      </c>
      <c r="L139" s="377">
        <v>2</v>
      </c>
      <c r="M139" s="378">
        <f t="shared" si="4"/>
        <v>0.60108474454521421</v>
      </c>
      <c r="N139" s="255"/>
    </row>
    <row r="140" spans="1:14" hidden="1" x14ac:dyDescent="0.2">
      <c r="A140" s="246" t="s">
        <v>215</v>
      </c>
      <c r="B140" s="653" t="s">
        <v>552</v>
      </c>
      <c r="C140" s="422" t="s">
        <v>28</v>
      </c>
      <c r="D140" s="248" t="s">
        <v>135</v>
      </c>
      <c r="E140" s="249">
        <v>7.5352904434728297E-3</v>
      </c>
      <c r="F140" s="374" t="s">
        <v>553</v>
      </c>
      <c r="G140" s="251" t="s">
        <v>16</v>
      </c>
      <c r="H140" s="376">
        <v>2</v>
      </c>
      <c r="I140" s="376">
        <v>2</v>
      </c>
      <c r="J140" s="376">
        <v>3</v>
      </c>
      <c r="K140" s="376">
        <v>3</v>
      </c>
      <c r="L140" s="377">
        <v>2</v>
      </c>
      <c r="M140" s="378">
        <f t="shared" si="4"/>
        <v>0.60108474454521421</v>
      </c>
      <c r="N140" s="255"/>
    </row>
    <row r="141" spans="1:14" hidden="1" x14ac:dyDescent="0.2">
      <c r="A141" s="246" t="s">
        <v>215</v>
      </c>
      <c r="B141" s="459" t="s">
        <v>554</v>
      </c>
      <c r="C141" s="422" t="s">
        <v>28</v>
      </c>
      <c r="D141" s="248" t="s">
        <v>135</v>
      </c>
      <c r="E141" s="249">
        <v>1.299188007495316E-5</v>
      </c>
      <c r="F141" s="374" t="s">
        <v>553</v>
      </c>
      <c r="G141" s="251" t="s">
        <v>16</v>
      </c>
      <c r="H141" s="376">
        <v>2</v>
      </c>
      <c r="I141" s="376">
        <v>2</v>
      </c>
      <c r="J141" s="376">
        <v>3</v>
      </c>
      <c r="K141" s="376">
        <v>3</v>
      </c>
      <c r="L141" s="377">
        <v>2</v>
      </c>
      <c r="M141" s="378">
        <f t="shared" si="4"/>
        <v>0.60108474454521421</v>
      </c>
      <c r="N141" s="255"/>
    </row>
    <row r="142" spans="1:14" hidden="1" x14ac:dyDescent="0.2">
      <c r="A142" s="246" t="s">
        <v>215</v>
      </c>
      <c r="B142" s="653" t="s">
        <v>552</v>
      </c>
      <c r="C142" s="422" t="s">
        <v>30</v>
      </c>
      <c r="D142" s="248" t="s">
        <v>135</v>
      </c>
      <c r="E142" s="249">
        <v>1.079575265459088E-2</v>
      </c>
      <c r="F142" s="374" t="s">
        <v>553</v>
      </c>
      <c r="G142" s="251" t="s">
        <v>16</v>
      </c>
      <c r="H142" s="376">
        <v>2</v>
      </c>
      <c r="I142" s="376">
        <v>2</v>
      </c>
      <c r="J142" s="376">
        <v>3</v>
      </c>
      <c r="K142" s="376">
        <v>3</v>
      </c>
      <c r="L142" s="377">
        <v>2</v>
      </c>
      <c r="M142" s="378">
        <f t="shared" si="4"/>
        <v>0.60108474454521421</v>
      </c>
      <c r="N142" s="255"/>
    </row>
    <row r="143" spans="1:14" hidden="1" x14ac:dyDescent="0.2">
      <c r="A143" s="246" t="s">
        <v>215</v>
      </c>
      <c r="B143" s="459" t="s">
        <v>554</v>
      </c>
      <c r="C143" s="422" t="s">
        <v>30</v>
      </c>
      <c r="D143" s="248" t="s">
        <v>135</v>
      </c>
      <c r="E143" s="249">
        <v>1.861336664584635E-5</v>
      </c>
      <c r="F143" s="374" t="s">
        <v>553</v>
      </c>
      <c r="G143" s="251" t="s">
        <v>16</v>
      </c>
      <c r="H143" s="376">
        <v>2</v>
      </c>
      <c r="I143" s="376">
        <v>2</v>
      </c>
      <c r="J143" s="376">
        <v>3</v>
      </c>
      <c r="K143" s="376">
        <v>3</v>
      </c>
      <c r="L143" s="377">
        <v>2</v>
      </c>
      <c r="M143" s="378">
        <f t="shared" si="4"/>
        <v>0.60108474454521421</v>
      </c>
      <c r="N143" s="255"/>
    </row>
    <row r="144" spans="1:14" hidden="1" x14ac:dyDescent="0.2">
      <c r="A144" s="246" t="s">
        <v>215</v>
      </c>
      <c r="B144" s="653" t="s">
        <v>552</v>
      </c>
      <c r="C144" s="422" t="s">
        <v>32</v>
      </c>
      <c r="D144" s="248" t="s">
        <v>135</v>
      </c>
      <c r="E144" s="249">
        <v>5.7963772642098687E-4</v>
      </c>
      <c r="F144" s="374" t="s">
        <v>553</v>
      </c>
      <c r="G144" s="251" t="s">
        <v>16</v>
      </c>
      <c r="H144" s="376">
        <v>2</v>
      </c>
      <c r="I144" s="376">
        <v>2</v>
      </c>
      <c r="J144" s="376">
        <v>3</v>
      </c>
      <c r="K144" s="376">
        <v>3</v>
      </c>
      <c r="L144" s="377">
        <v>2</v>
      </c>
      <c r="M144" s="378">
        <f t="shared" si="4"/>
        <v>0.60108474454521421</v>
      </c>
      <c r="N144" s="255"/>
    </row>
    <row r="145" spans="1:14" hidden="1" x14ac:dyDescent="0.2">
      <c r="A145" s="246" t="s">
        <v>215</v>
      </c>
      <c r="B145" s="459" t="s">
        <v>554</v>
      </c>
      <c r="C145" s="422" t="s">
        <v>32</v>
      </c>
      <c r="D145" s="248" t="s">
        <v>135</v>
      </c>
      <c r="E145" s="249">
        <v>9.9937539038101194E-7</v>
      </c>
      <c r="F145" s="374" t="s">
        <v>553</v>
      </c>
      <c r="G145" s="251" t="s">
        <v>16</v>
      </c>
      <c r="H145" s="376">
        <v>2</v>
      </c>
      <c r="I145" s="376">
        <v>2</v>
      </c>
      <c r="J145" s="376">
        <v>3</v>
      </c>
      <c r="K145" s="376">
        <v>3</v>
      </c>
      <c r="L145" s="377">
        <v>2</v>
      </c>
      <c r="M145" s="378">
        <f t="shared" si="4"/>
        <v>0.60108474454521421</v>
      </c>
      <c r="N145" s="255"/>
    </row>
    <row r="146" spans="1:14" hidden="1" x14ac:dyDescent="0.2">
      <c r="A146" s="246" t="s">
        <v>215</v>
      </c>
      <c r="B146" s="653" t="s">
        <v>552</v>
      </c>
      <c r="C146" s="422" t="s">
        <v>34</v>
      </c>
      <c r="D146" s="248" t="s">
        <v>135</v>
      </c>
      <c r="E146" s="249">
        <v>2.8257339163023109E-3</v>
      </c>
      <c r="F146" s="374" t="s">
        <v>553</v>
      </c>
      <c r="G146" s="251" t="s">
        <v>16</v>
      </c>
      <c r="H146" s="376">
        <v>2</v>
      </c>
      <c r="I146" s="376">
        <v>2</v>
      </c>
      <c r="J146" s="376">
        <v>3</v>
      </c>
      <c r="K146" s="376">
        <v>3</v>
      </c>
      <c r="L146" s="377">
        <v>2</v>
      </c>
      <c r="M146" s="378">
        <f t="shared" si="4"/>
        <v>0.60108474454521421</v>
      </c>
      <c r="N146" s="255"/>
    </row>
    <row r="147" spans="1:14" hidden="1" x14ac:dyDescent="0.2">
      <c r="A147" s="246" t="s">
        <v>215</v>
      </c>
      <c r="B147" s="459" t="s">
        <v>554</v>
      </c>
      <c r="C147" s="422" t="s">
        <v>34</v>
      </c>
      <c r="D147" s="248" t="s">
        <v>135</v>
      </c>
      <c r="E147" s="249">
        <v>4.8719550281074326E-6</v>
      </c>
      <c r="F147" s="374" t="s">
        <v>553</v>
      </c>
      <c r="G147" s="251" t="s">
        <v>16</v>
      </c>
      <c r="H147" s="376">
        <v>2</v>
      </c>
      <c r="I147" s="376">
        <v>2</v>
      </c>
      <c r="J147" s="376">
        <v>3</v>
      </c>
      <c r="K147" s="376">
        <v>3</v>
      </c>
      <c r="L147" s="377">
        <v>2</v>
      </c>
      <c r="M147" s="378">
        <f t="shared" si="4"/>
        <v>0.60108474454521421</v>
      </c>
      <c r="N147" s="255"/>
    </row>
    <row r="148" spans="1:14" hidden="1" x14ac:dyDescent="0.2">
      <c r="A148" s="246" t="s">
        <v>215</v>
      </c>
      <c r="B148" s="653" t="s">
        <v>552</v>
      </c>
      <c r="C148" s="422" t="s">
        <v>36</v>
      </c>
      <c r="D148" s="248" t="s">
        <v>135</v>
      </c>
      <c r="E148" s="249">
        <v>4.7820112429731417E-3</v>
      </c>
      <c r="F148" s="374" t="s">
        <v>553</v>
      </c>
      <c r="G148" s="251" t="s">
        <v>16</v>
      </c>
      <c r="H148" s="376">
        <v>2</v>
      </c>
      <c r="I148" s="376">
        <v>2</v>
      </c>
      <c r="J148" s="376">
        <v>3</v>
      </c>
      <c r="K148" s="376">
        <v>3</v>
      </c>
      <c r="L148" s="377">
        <v>2</v>
      </c>
      <c r="M148" s="378">
        <f t="shared" si="4"/>
        <v>0.60108474454521421</v>
      </c>
      <c r="N148" s="255"/>
    </row>
    <row r="149" spans="1:14" hidden="1" x14ac:dyDescent="0.2">
      <c r="A149" s="246" t="s">
        <v>215</v>
      </c>
      <c r="B149" s="459" t="s">
        <v>554</v>
      </c>
      <c r="C149" s="422" t="s">
        <v>36</v>
      </c>
      <c r="D149" s="248" t="s">
        <v>135</v>
      </c>
      <c r="E149" s="249">
        <v>8.2448469706433488E-6</v>
      </c>
      <c r="F149" s="374" t="s">
        <v>553</v>
      </c>
      <c r="G149" s="251" t="s">
        <v>16</v>
      </c>
      <c r="H149" s="376">
        <v>2</v>
      </c>
      <c r="I149" s="376">
        <v>2</v>
      </c>
      <c r="J149" s="376">
        <v>3</v>
      </c>
      <c r="K149" s="376">
        <v>3</v>
      </c>
      <c r="L149" s="377">
        <v>2</v>
      </c>
      <c r="M149" s="378">
        <f t="shared" si="4"/>
        <v>0.60108474454521421</v>
      </c>
      <c r="N149" s="255"/>
    </row>
    <row r="150" spans="1:14" hidden="1" x14ac:dyDescent="0.2">
      <c r="A150" s="246" t="s">
        <v>215</v>
      </c>
      <c r="B150" s="653" t="s">
        <v>552</v>
      </c>
      <c r="C150" s="422" t="s">
        <v>37</v>
      </c>
      <c r="D150" s="248" t="s">
        <v>135</v>
      </c>
      <c r="E150" s="249">
        <v>8.9119300437226733E-3</v>
      </c>
      <c r="F150" s="374" t="s">
        <v>553</v>
      </c>
      <c r="G150" s="251" t="s">
        <v>16</v>
      </c>
      <c r="H150" s="376">
        <v>2</v>
      </c>
      <c r="I150" s="376">
        <v>2</v>
      </c>
      <c r="J150" s="376">
        <v>3</v>
      </c>
      <c r="K150" s="376">
        <v>3</v>
      </c>
      <c r="L150" s="377">
        <v>2</v>
      </c>
      <c r="M150" s="378">
        <f t="shared" si="4"/>
        <v>0.60108474454521421</v>
      </c>
      <c r="N150" s="255"/>
    </row>
    <row r="151" spans="1:14" hidden="1" x14ac:dyDescent="0.2">
      <c r="A151" s="246" t="s">
        <v>215</v>
      </c>
      <c r="B151" s="459" t="s">
        <v>554</v>
      </c>
      <c r="C151" s="422" t="s">
        <v>37</v>
      </c>
      <c r="D151" s="248" t="s">
        <v>135</v>
      </c>
      <c r="E151" s="249">
        <v>1.5365396627108059E-5</v>
      </c>
      <c r="F151" s="374" t="s">
        <v>553</v>
      </c>
      <c r="G151" s="251" t="s">
        <v>16</v>
      </c>
      <c r="H151" s="376">
        <v>2</v>
      </c>
      <c r="I151" s="376">
        <v>2</v>
      </c>
      <c r="J151" s="376">
        <v>3</v>
      </c>
      <c r="K151" s="376">
        <v>3</v>
      </c>
      <c r="L151" s="377">
        <v>2</v>
      </c>
      <c r="M151" s="378">
        <f t="shared" si="4"/>
        <v>0.60108474454521421</v>
      </c>
      <c r="N151" s="255"/>
    </row>
    <row r="152" spans="1:14" hidden="1" x14ac:dyDescent="0.2">
      <c r="A152" s="246" t="s">
        <v>215</v>
      </c>
      <c r="B152" s="653" t="s">
        <v>552</v>
      </c>
      <c r="C152" s="422" t="s">
        <v>39</v>
      </c>
      <c r="D152" s="248" t="s">
        <v>135</v>
      </c>
      <c r="E152" s="249">
        <v>2.6808244846970638E-3</v>
      </c>
      <c r="F152" s="374" t="s">
        <v>553</v>
      </c>
      <c r="G152" s="251" t="s">
        <v>16</v>
      </c>
      <c r="H152" s="376">
        <v>2</v>
      </c>
      <c r="I152" s="376">
        <v>2</v>
      </c>
      <c r="J152" s="376">
        <v>3</v>
      </c>
      <c r="K152" s="376">
        <v>3</v>
      </c>
      <c r="L152" s="377">
        <v>2</v>
      </c>
      <c r="M152" s="378">
        <f t="shared" si="4"/>
        <v>0.60108474454521421</v>
      </c>
      <c r="N152" s="255"/>
    </row>
    <row r="153" spans="1:14" hidden="1" x14ac:dyDescent="0.2">
      <c r="A153" s="246" t="s">
        <v>215</v>
      </c>
      <c r="B153" s="459" t="s">
        <v>554</v>
      </c>
      <c r="C153" s="422" t="s">
        <v>39</v>
      </c>
      <c r="D153" s="248" t="s">
        <v>135</v>
      </c>
      <c r="E153" s="249">
        <v>4.6221111805121802E-6</v>
      </c>
      <c r="F153" s="374" t="s">
        <v>553</v>
      </c>
      <c r="G153" s="251" t="s">
        <v>16</v>
      </c>
      <c r="H153" s="376">
        <v>2</v>
      </c>
      <c r="I153" s="376">
        <v>2</v>
      </c>
      <c r="J153" s="376">
        <v>3</v>
      </c>
      <c r="K153" s="376">
        <v>3</v>
      </c>
      <c r="L153" s="377">
        <v>2</v>
      </c>
      <c r="M153" s="378">
        <f t="shared" si="4"/>
        <v>0.60108474454521421</v>
      </c>
      <c r="N153" s="255"/>
    </row>
    <row r="154" spans="1:14" hidden="1" x14ac:dyDescent="0.2">
      <c r="A154" s="246" t="s">
        <v>215</v>
      </c>
      <c r="B154" s="653" t="s">
        <v>552</v>
      </c>
      <c r="C154" s="422" t="s">
        <v>40</v>
      </c>
      <c r="D154" s="248" t="s">
        <v>135</v>
      </c>
      <c r="E154" s="249">
        <v>7.390381011867583E-3</v>
      </c>
      <c r="F154" s="374" t="s">
        <v>553</v>
      </c>
      <c r="G154" s="251" t="s">
        <v>16</v>
      </c>
      <c r="H154" s="376">
        <v>2</v>
      </c>
      <c r="I154" s="376">
        <v>2</v>
      </c>
      <c r="J154" s="376">
        <v>3</v>
      </c>
      <c r="K154" s="376">
        <v>3</v>
      </c>
      <c r="L154" s="377">
        <v>2</v>
      </c>
      <c r="M154" s="378">
        <f t="shared" si="4"/>
        <v>0.60108474454521421</v>
      </c>
      <c r="N154" s="255"/>
    </row>
    <row r="155" spans="1:14" hidden="1" x14ac:dyDescent="0.2">
      <c r="A155" s="246" t="s">
        <v>215</v>
      </c>
      <c r="B155" s="459" t="s">
        <v>554</v>
      </c>
      <c r="C155" s="422" t="s">
        <v>40</v>
      </c>
      <c r="D155" s="248" t="s">
        <v>135</v>
      </c>
      <c r="E155" s="249">
        <v>1.27420362273579E-5</v>
      </c>
      <c r="F155" s="374" t="s">
        <v>553</v>
      </c>
      <c r="G155" s="251" t="s">
        <v>16</v>
      </c>
      <c r="H155" s="376">
        <v>2</v>
      </c>
      <c r="I155" s="376">
        <v>2</v>
      </c>
      <c r="J155" s="376">
        <v>3</v>
      </c>
      <c r="K155" s="376">
        <v>3</v>
      </c>
      <c r="L155" s="377">
        <v>2</v>
      </c>
      <c r="M155" s="378">
        <f t="shared" si="4"/>
        <v>0.60108474454521421</v>
      </c>
      <c r="N155" s="255"/>
    </row>
    <row r="156" spans="1:14" hidden="1" x14ac:dyDescent="0.2">
      <c r="A156" s="246" t="s">
        <v>215</v>
      </c>
      <c r="B156" s="653" t="s">
        <v>552</v>
      </c>
      <c r="C156" s="422" t="s">
        <v>41</v>
      </c>
      <c r="D156" s="248" t="s">
        <v>135</v>
      </c>
      <c r="E156" s="249">
        <v>1.4490943160524671E-2</v>
      </c>
      <c r="F156" s="374" t="s">
        <v>553</v>
      </c>
      <c r="G156" s="251" t="s">
        <v>16</v>
      </c>
      <c r="H156" s="376">
        <v>2</v>
      </c>
      <c r="I156" s="376">
        <v>2</v>
      </c>
      <c r="J156" s="376">
        <v>3</v>
      </c>
      <c r="K156" s="376">
        <v>3</v>
      </c>
      <c r="L156" s="377">
        <v>2</v>
      </c>
      <c r="M156" s="378">
        <f t="shared" si="4"/>
        <v>0.60108474454521421</v>
      </c>
      <c r="N156" s="255"/>
    </row>
    <row r="157" spans="1:14" hidden="1" x14ac:dyDescent="0.2">
      <c r="A157" s="246" t="s">
        <v>215</v>
      </c>
      <c r="B157" s="459" t="s">
        <v>554</v>
      </c>
      <c r="C157" s="422" t="s">
        <v>41</v>
      </c>
      <c r="D157" s="248" t="s">
        <v>135</v>
      </c>
      <c r="E157" s="249">
        <v>2.49843847595253E-5</v>
      </c>
      <c r="F157" s="374" t="s">
        <v>553</v>
      </c>
      <c r="G157" s="251" t="s">
        <v>16</v>
      </c>
      <c r="H157" s="376">
        <v>2</v>
      </c>
      <c r="I157" s="376">
        <v>2</v>
      </c>
      <c r="J157" s="376">
        <v>3</v>
      </c>
      <c r="K157" s="376">
        <v>3</v>
      </c>
      <c r="L157" s="377">
        <v>2</v>
      </c>
      <c r="M157" s="378">
        <f t="shared" si="4"/>
        <v>0.60108474454521421</v>
      </c>
      <c r="N157" s="255"/>
    </row>
    <row r="158" spans="1:14" hidden="1" x14ac:dyDescent="0.2">
      <c r="A158" s="246" t="s">
        <v>215</v>
      </c>
      <c r="B158" s="653" t="s">
        <v>552</v>
      </c>
      <c r="C158" s="422" t="s">
        <v>42</v>
      </c>
      <c r="D158" s="248" t="s">
        <v>135</v>
      </c>
      <c r="E158" s="249">
        <v>3.7676452217364148E-3</v>
      </c>
      <c r="F158" s="374" t="s">
        <v>553</v>
      </c>
      <c r="G158" s="251" t="s">
        <v>16</v>
      </c>
      <c r="H158" s="376">
        <v>2</v>
      </c>
      <c r="I158" s="376">
        <v>2</v>
      </c>
      <c r="J158" s="376">
        <v>3</v>
      </c>
      <c r="K158" s="376">
        <v>3</v>
      </c>
      <c r="L158" s="377">
        <v>2</v>
      </c>
      <c r="M158" s="378">
        <f t="shared" si="4"/>
        <v>0.60108474454521421</v>
      </c>
      <c r="N158" s="255"/>
    </row>
    <row r="159" spans="1:14" hidden="1" x14ac:dyDescent="0.2">
      <c r="A159" s="246" t="s">
        <v>215</v>
      </c>
      <c r="B159" s="459" t="s">
        <v>554</v>
      </c>
      <c r="C159" s="422" t="s">
        <v>42</v>
      </c>
      <c r="D159" s="248" t="s">
        <v>135</v>
      </c>
      <c r="E159" s="249">
        <v>6.4959400374765782E-6</v>
      </c>
      <c r="F159" s="374" t="s">
        <v>553</v>
      </c>
      <c r="G159" s="251" t="s">
        <v>16</v>
      </c>
      <c r="H159" s="376">
        <v>2</v>
      </c>
      <c r="I159" s="376">
        <v>2</v>
      </c>
      <c r="J159" s="376">
        <v>3</v>
      </c>
      <c r="K159" s="376">
        <v>3</v>
      </c>
      <c r="L159" s="377">
        <v>2</v>
      </c>
      <c r="M159" s="378">
        <f t="shared" si="4"/>
        <v>0.60108474454521421</v>
      </c>
      <c r="N159" s="255"/>
    </row>
    <row r="160" spans="1:14" hidden="1" x14ac:dyDescent="0.2">
      <c r="A160" s="246" t="s">
        <v>215</v>
      </c>
      <c r="B160" s="653" t="s">
        <v>552</v>
      </c>
      <c r="C160" s="422" t="s">
        <v>43</v>
      </c>
      <c r="D160" s="248" t="s">
        <v>135</v>
      </c>
      <c r="E160" s="249">
        <v>6.2311055590256086E-3</v>
      </c>
      <c r="F160" s="374" t="s">
        <v>553</v>
      </c>
      <c r="G160" s="251" t="s">
        <v>16</v>
      </c>
      <c r="H160" s="376">
        <v>2</v>
      </c>
      <c r="I160" s="376">
        <v>2</v>
      </c>
      <c r="J160" s="376">
        <v>3</v>
      </c>
      <c r="K160" s="376">
        <v>3</v>
      </c>
      <c r="L160" s="377">
        <v>2</v>
      </c>
      <c r="M160" s="378">
        <f t="shared" si="4"/>
        <v>0.60108474454521421</v>
      </c>
      <c r="N160" s="255"/>
    </row>
    <row r="161" spans="1:14" hidden="1" x14ac:dyDescent="0.2">
      <c r="A161" s="246" t="s">
        <v>215</v>
      </c>
      <c r="B161" s="459" t="s">
        <v>554</v>
      </c>
      <c r="C161" s="422" t="s">
        <v>43</v>
      </c>
      <c r="D161" s="248" t="s">
        <v>135</v>
      </c>
      <c r="E161" s="249">
        <v>1.074328544659588E-5</v>
      </c>
      <c r="F161" s="374" t="s">
        <v>553</v>
      </c>
      <c r="G161" s="251" t="s">
        <v>16</v>
      </c>
      <c r="H161" s="376">
        <v>2</v>
      </c>
      <c r="I161" s="376">
        <v>2</v>
      </c>
      <c r="J161" s="376">
        <v>3</v>
      </c>
      <c r="K161" s="376">
        <v>3</v>
      </c>
      <c r="L161" s="377">
        <v>2</v>
      </c>
      <c r="M161" s="378">
        <f t="shared" si="4"/>
        <v>0.60108474454521421</v>
      </c>
      <c r="N161" s="255"/>
    </row>
    <row r="162" spans="1:14" hidden="1" x14ac:dyDescent="0.2">
      <c r="A162" s="246" t="s">
        <v>215</v>
      </c>
      <c r="B162" s="653" t="s">
        <v>552</v>
      </c>
      <c r="C162" s="422" t="s">
        <v>45</v>
      </c>
      <c r="D162" s="248" t="s">
        <v>135</v>
      </c>
      <c r="E162" s="249">
        <v>1.08682073703935E-3</v>
      </c>
      <c r="F162" s="374" t="s">
        <v>553</v>
      </c>
      <c r="G162" s="251" t="s">
        <v>16</v>
      </c>
      <c r="H162" s="376">
        <v>2</v>
      </c>
      <c r="I162" s="376">
        <v>2</v>
      </c>
      <c r="J162" s="376">
        <v>3</v>
      </c>
      <c r="K162" s="376">
        <v>3</v>
      </c>
      <c r="L162" s="377">
        <v>2</v>
      </c>
      <c r="M162" s="378">
        <f t="shared" si="4"/>
        <v>0.60108474454521421</v>
      </c>
      <c r="N162" s="255"/>
    </row>
    <row r="163" spans="1:14" hidden="1" x14ac:dyDescent="0.2">
      <c r="A163" s="246" t="s">
        <v>215</v>
      </c>
      <c r="B163" s="459" t="s">
        <v>554</v>
      </c>
      <c r="C163" s="422" t="s">
        <v>45</v>
      </c>
      <c r="D163" s="248" t="s">
        <v>135</v>
      </c>
      <c r="E163" s="249">
        <v>1.873828856964397E-6</v>
      </c>
      <c r="F163" s="374" t="s">
        <v>553</v>
      </c>
      <c r="G163" s="251" t="s">
        <v>16</v>
      </c>
      <c r="H163" s="376">
        <v>2</v>
      </c>
      <c r="I163" s="376">
        <v>2</v>
      </c>
      <c r="J163" s="376">
        <v>3</v>
      </c>
      <c r="K163" s="376">
        <v>3</v>
      </c>
      <c r="L163" s="377">
        <v>2</v>
      </c>
      <c r="M163" s="378">
        <f t="shared" si="4"/>
        <v>0.60108474454521421</v>
      </c>
      <c r="N163" s="255"/>
    </row>
    <row r="164" spans="1:14" hidden="1" x14ac:dyDescent="0.2">
      <c r="A164" s="246" t="s">
        <v>215</v>
      </c>
      <c r="B164" s="653" t="s">
        <v>552</v>
      </c>
      <c r="C164" s="422" t="s">
        <v>46</v>
      </c>
      <c r="D164" s="248" t="s">
        <v>135</v>
      </c>
      <c r="E164" s="249">
        <v>5.7239225484072452E-3</v>
      </c>
      <c r="F164" s="374" t="s">
        <v>553</v>
      </c>
      <c r="G164" s="251" t="s">
        <v>16</v>
      </c>
      <c r="H164" s="376">
        <v>2</v>
      </c>
      <c r="I164" s="376">
        <v>2</v>
      </c>
      <c r="J164" s="376">
        <v>3</v>
      </c>
      <c r="K164" s="376">
        <v>3</v>
      </c>
      <c r="L164" s="377">
        <v>2</v>
      </c>
      <c r="M164" s="378">
        <f t="shared" si="4"/>
        <v>0.60108474454521421</v>
      </c>
      <c r="N164" s="255"/>
    </row>
    <row r="165" spans="1:14" hidden="1" x14ac:dyDescent="0.2">
      <c r="A165" s="246" t="s">
        <v>215</v>
      </c>
      <c r="B165" s="459" t="s">
        <v>554</v>
      </c>
      <c r="C165" s="422" t="s">
        <v>46</v>
      </c>
      <c r="D165" s="248" t="s">
        <v>135</v>
      </c>
      <c r="E165" s="249">
        <v>9.8688319800124927E-6</v>
      </c>
      <c r="F165" s="374" t="s">
        <v>553</v>
      </c>
      <c r="G165" s="251" t="s">
        <v>16</v>
      </c>
      <c r="H165" s="376">
        <v>2</v>
      </c>
      <c r="I165" s="376">
        <v>2</v>
      </c>
      <c r="J165" s="376">
        <v>3</v>
      </c>
      <c r="K165" s="376">
        <v>3</v>
      </c>
      <c r="L165" s="377">
        <v>2</v>
      </c>
      <c r="M165" s="378">
        <f t="shared" ref="M165:M195" si="5">IF( OR( ISBLANK(H165),ISBLANK(I165), ISBLANK(J165), ISBLANK(K165), ISBLANK(L165) ), "", 1.5*SQRT( EXP(2.21*(H165-1)) + EXP(2.21*(I165-1)) + EXP(2.21*(J165-1)) + EXP(2.21*(K165-1)) + EXP(2.21*L165) )/100*2.45 )</f>
        <v>0.60108474454521421</v>
      </c>
      <c r="N165" s="255"/>
    </row>
    <row r="166" spans="1:14" hidden="1" x14ac:dyDescent="0.2">
      <c r="A166" s="246" t="s">
        <v>215</v>
      </c>
      <c r="B166" s="653" t="s">
        <v>552</v>
      </c>
      <c r="C166" s="422" t="s">
        <v>48</v>
      </c>
      <c r="D166" s="248" t="s">
        <v>135</v>
      </c>
      <c r="E166" s="249">
        <v>5.6514678326046218E-3</v>
      </c>
      <c r="F166" s="374" t="s">
        <v>553</v>
      </c>
      <c r="G166" s="251" t="s">
        <v>16</v>
      </c>
      <c r="H166" s="376">
        <v>2</v>
      </c>
      <c r="I166" s="376">
        <v>2</v>
      </c>
      <c r="J166" s="376">
        <v>3</v>
      </c>
      <c r="K166" s="376">
        <v>3</v>
      </c>
      <c r="L166" s="377">
        <v>2</v>
      </c>
      <c r="M166" s="378">
        <f t="shared" si="5"/>
        <v>0.60108474454521421</v>
      </c>
      <c r="N166" s="255"/>
    </row>
    <row r="167" spans="1:14" hidden="1" x14ac:dyDescent="0.2">
      <c r="A167" s="246" t="s">
        <v>215</v>
      </c>
      <c r="B167" s="459" t="s">
        <v>554</v>
      </c>
      <c r="C167" s="422" t="s">
        <v>48</v>
      </c>
      <c r="D167" s="248" t="s">
        <v>135</v>
      </c>
      <c r="E167" s="249">
        <v>9.7439100562148669E-6</v>
      </c>
      <c r="F167" s="374" t="s">
        <v>553</v>
      </c>
      <c r="G167" s="251" t="s">
        <v>16</v>
      </c>
      <c r="H167" s="376">
        <v>2</v>
      </c>
      <c r="I167" s="376">
        <v>2</v>
      </c>
      <c r="J167" s="376">
        <v>3</v>
      </c>
      <c r="K167" s="376">
        <v>3</v>
      </c>
      <c r="L167" s="377">
        <v>2</v>
      </c>
      <c r="M167" s="378">
        <f t="shared" si="5"/>
        <v>0.60108474454521421</v>
      </c>
      <c r="N167" s="255"/>
    </row>
    <row r="168" spans="1:14" hidden="1" x14ac:dyDescent="0.2">
      <c r="A168" s="246" t="s">
        <v>215</v>
      </c>
      <c r="B168" s="653" t="s">
        <v>552</v>
      </c>
      <c r="C168" s="422" t="s">
        <v>50</v>
      </c>
      <c r="D168" s="248" t="s">
        <v>135</v>
      </c>
      <c r="E168" s="249">
        <v>1.08682073703935E-3</v>
      </c>
      <c r="F168" s="374" t="s">
        <v>553</v>
      </c>
      <c r="G168" s="251" t="s">
        <v>16</v>
      </c>
      <c r="H168" s="376">
        <v>2</v>
      </c>
      <c r="I168" s="376">
        <v>2</v>
      </c>
      <c r="J168" s="376">
        <v>3</v>
      </c>
      <c r="K168" s="376">
        <v>3</v>
      </c>
      <c r="L168" s="377">
        <v>2</v>
      </c>
      <c r="M168" s="378">
        <f t="shared" si="5"/>
        <v>0.60108474454521421</v>
      </c>
      <c r="N168" s="255"/>
    </row>
    <row r="169" spans="1:14" hidden="1" x14ac:dyDescent="0.2">
      <c r="A169" s="246" t="s">
        <v>215</v>
      </c>
      <c r="B169" s="459" t="s">
        <v>554</v>
      </c>
      <c r="C169" s="422" t="s">
        <v>50</v>
      </c>
      <c r="D169" s="248" t="s">
        <v>135</v>
      </c>
      <c r="E169" s="249">
        <v>1.873828856964397E-6</v>
      </c>
      <c r="F169" s="374" t="s">
        <v>553</v>
      </c>
      <c r="G169" s="251" t="s">
        <v>16</v>
      </c>
      <c r="H169" s="376">
        <v>2</v>
      </c>
      <c r="I169" s="376">
        <v>2</v>
      </c>
      <c r="J169" s="376">
        <v>3</v>
      </c>
      <c r="K169" s="376">
        <v>3</v>
      </c>
      <c r="L169" s="377">
        <v>2</v>
      </c>
      <c r="M169" s="378">
        <f t="shared" si="5"/>
        <v>0.60108474454521421</v>
      </c>
      <c r="N169" s="255"/>
    </row>
    <row r="170" spans="1:14" hidden="1" x14ac:dyDescent="0.2">
      <c r="A170" s="246" t="s">
        <v>215</v>
      </c>
      <c r="B170" s="653" t="s">
        <v>552</v>
      </c>
      <c r="C170" s="422" t="s">
        <v>52</v>
      </c>
      <c r="D170" s="248" t="s">
        <v>135</v>
      </c>
      <c r="E170" s="249">
        <v>5.7239225484072452E-3</v>
      </c>
      <c r="F170" s="374" t="s">
        <v>553</v>
      </c>
      <c r="G170" s="251" t="s">
        <v>16</v>
      </c>
      <c r="H170" s="376">
        <v>2</v>
      </c>
      <c r="I170" s="376">
        <v>2</v>
      </c>
      <c r="J170" s="376">
        <v>3</v>
      </c>
      <c r="K170" s="376">
        <v>3</v>
      </c>
      <c r="L170" s="377">
        <v>2</v>
      </c>
      <c r="M170" s="378">
        <f t="shared" si="5"/>
        <v>0.60108474454521421</v>
      </c>
      <c r="N170" s="255"/>
    </row>
    <row r="171" spans="1:14" hidden="1" x14ac:dyDescent="0.2">
      <c r="A171" s="246" t="s">
        <v>215</v>
      </c>
      <c r="B171" s="459" t="s">
        <v>554</v>
      </c>
      <c r="C171" s="422" t="s">
        <v>52</v>
      </c>
      <c r="D171" s="248" t="s">
        <v>135</v>
      </c>
      <c r="E171" s="249">
        <v>9.8688319800124927E-6</v>
      </c>
      <c r="F171" s="374" t="s">
        <v>553</v>
      </c>
      <c r="G171" s="251" t="s">
        <v>16</v>
      </c>
      <c r="H171" s="376">
        <v>2</v>
      </c>
      <c r="I171" s="376">
        <v>2</v>
      </c>
      <c r="J171" s="376">
        <v>3</v>
      </c>
      <c r="K171" s="376">
        <v>3</v>
      </c>
      <c r="L171" s="377">
        <v>2</v>
      </c>
      <c r="M171" s="378">
        <f t="shared" si="5"/>
        <v>0.60108474454521421</v>
      </c>
      <c r="N171" s="255"/>
    </row>
    <row r="172" spans="1:14" hidden="1" x14ac:dyDescent="0.2">
      <c r="A172" s="246" t="s">
        <v>215</v>
      </c>
      <c r="B172" s="653" t="s">
        <v>552</v>
      </c>
      <c r="C172" s="422" t="s">
        <v>54</v>
      </c>
      <c r="D172" s="248" t="s">
        <v>135</v>
      </c>
      <c r="E172" s="249">
        <v>5.7239225484072452E-3</v>
      </c>
      <c r="F172" s="374" t="s">
        <v>553</v>
      </c>
      <c r="G172" s="251" t="s">
        <v>16</v>
      </c>
      <c r="H172" s="376">
        <v>2</v>
      </c>
      <c r="I172" s="376">
        <v>2</v>
      </c>
      <c r="J172" s="376">
        <v>3</v>
      </c>
      <c r="K172" s="376">
        <v>3</v>
      </c>
      <c r="L172" s="377">
        <v>2</v>
      </c>
      <c r="M172" s="378">
        <f t="shared" si="5"/>
        <v>0.60108474454521421</v>
      </c>
      <c r="N172" s="255"/>
    </row>
    <row r="173" spans="1:14" hidden="1" x14ac:dyDescent="0.2">
      <c r="A173" s="246" t="s">
        <v>215</v>
      </c>
      <c r="B173" s="459" t="s">
        <v>554</v>
      </c>
      <c r="C173" s="422" t="s">
        <v>54</v>
      </c>
      <c r="D173" s="248" t="s">
        <v>135</v>
      </c>
      <c r="E173" s="249">
        <v>9.8688319800124927E-6</v>
      </c>
      <c r="F173" s="374" t="s">
        <v>553</v>
      </c>
      <c r="G173" s="251" t="s">
        <v>16</v>
      </c>
      <c r="H173" s="376">
        <v>2</v>
      </c>
      <c r="I173" s="376">
        <v>2</v>
      </c>
      <c r="J173" s="376">
        <v>3</v>
      </c>
      <c r="K173" s="376">
        <v>3</v>
      </c>
      <c r="L173" s="377">
        <v>2</v>
      </c>
      <c r="M173" s="378">
        <f t="shared" si="5"/>
        <v>0.60108474454521421</v>
      </c>
      <c r="N173" s="255"/>
    </row>
    <row r="174" spans="1:14" hidden="1" x14ac:dyDescent="0.2">
      <c r="A174" s="246" t="s">
        <v>215</v>
      </c>
      <c r="B174" s="653" t="s">
        <v>552</v>
      </c>
      <c r="C174" s="422" t="s">
        <v>55</v>
      </c>
      <c r="D174" s="248" t="s">
        <v>135</v>
      </c>
      <c r="E174" s="249">
        <v>5.6514678326046218E-3</v>
      </c>
      <c r="F174" s="374" t="s">
        <v>553</v>
      </c>
      <c r="G174" s="251" t="s">
        <v>16</v>
      </c>
      <c r="H174" s="376">
        <v>2</v>
      </c>
      <c r="I174" s="376">
        <v>2</v>
      </c>
      <c r="J174" s="376">
        <v>3</v>
      </c>
      <c r="K174" s="376">
        <v>3</v>
      </c>
      <c r="L174" s="377">
        <v>2</v>
      </c>
      <c r="M174" s="378">
        <f t="shared" si="5"/>
        <v>0.60108474454521421</v>
      </c>
      <c r="N174" s="255"/>
    </row>
    <row r="175" spans="1:14" hidden="1" x14ac:dyDescent="0.2">
      <c r="A175" s="246" t="s">
        <v>215</v>
      </c>
      <c r="B175" s="459" t="s">
        <v>554</v>
      </c>
      <c r="C175" s="422" t="s">
        <v>55</v>
      </c>
      <c r="D175" s="248" t="s">
        <v>135</v>
      </c>
      <c r="E175" s="249">
        <v>9.7439100562148669E-6</v>
      </c>
      <c r="F175" s="374" t="s">
        <v>553</v>
      </c>
      <c r="G175" s="251" t="s">
        <v>16</v>
      </c>
      <c r="H175" s="376">
        <v>2</v>
      </c>
      <c r="I175" s="376">
        <v>2</v>
      </c>
      <c r="J175" s="376">
        <v>3</v>
      </c>
      <c r="K175" s="376">
        <v>3</v>
      </c>
      <c r="L175" s="377">
        <v>2</v>
      </c>
      <c r="M175" s="378">
        <f t="shared" si="5"/>
        <v>0.60108474454521421</v>
      </c>
      <c r="N175" s="255"/>
    </row>
    <row r="176" spans="1:14" hidden="1" x14ac:dyDescent="0.2">
      <c r="A176" s="246" t="s">
        <v>215</v>
      </c>
      <c r="B176" s="653" t="s">
        <v>552</v>
      </c>
      <c r="C176" s="422" t="s">
        <v>57</v>
      </c>
      <c r="D176" s="248" t="s">
        <v>135</v>
      </c>
      <c r="E176" s="249">
        <v>5.9412866958151152E-3</v>
      </c>
      <c r="F176" s="374" t="s">
        <v>553</v>
      </c>
      <c r="G176" s="375" t="s">
        <v>16</v>
      </c>
      <c r="H176" s="376">
        <v>2</v>
      </c>
      <c r="I176" s="376">
        <v>2</v>
      </c>
      <c r="J176" s="376">
        <v>3</v>
      </c>
      <c r="K176" s="376">
        <v>3</v>
      </c>
      <c r="L176" s="377">
        <v>2</v>
      </c>
      <c r="M176" s="254">
        <f t="shared" si="5"/>
        <v>0.60108474454521421</v>
      </c>
      <c r="N176" s="255"/>
    </row>
    <row r="177" spans="1:14" hidden="1" x14ac:dyDescent="0.2">
      <c r="A177" s="246" t="s">
        <v>215</v>
      </c>
      <c r="B177" s="459" t="s">
        <v>554</v>
      </c>
      <c r="C177" s="422" t="s">
        <v>57</v>
      </c>
      <c r="D177" s="248" t="s">
        <v>135</v>
      </c>
      <c r="E177" s="249">
        <v>1.024359775140537E-5</v>
      </c>
      <c r="F177" s="374" t="s">
        <v>553</v>
      </c>
      <c r="G177" s="251" t="s">
        <v>16</v>
      </c>
      <c r="H177" s="376">
        <v>2</v>
      </c>
      <c r="I177" s="376">
        <v>2</v>
      </c>
      <c r="J177" s="376">
        <v>3</v>
      </c>
      <c r="K177" s="376">
        <v>3</v>
      </c>
      <c r="L177" s="377">
        <v>2</v>
      </c>
      <c r="M177" s="378">
        <f t="shared" si="5"/>
        <v>0.60108474454521421</v>
      </c>
      <c r="N177" s="255"/>
    </row>
    <row r="178" spans="1:14" hidden="1" x14ac:dyDescent="0.2">
      <c r="A178" s="246" t="s">
        <v>215</v>
      </c>
      <c r="B178" s="653" t="s">
        <v>552</v>
      </c>
      <c r="C178" s="422" t="s">
        <v>59</v>
      </c>
      <c r="D178" s="248" t="s">
        <v>135</v>
      </c>
      <c r="E178" s="249">
        <v>1.1599999999999999E-2</v>
      </c>
      <c r="F178" s="374" t="s">
        <v>360</v>
      </c>
      <c r="G178" s="375"/>
      <c r="H178" s="376">
        <v>2</v>
      </c>
      <c r="I178" s="376">
        <v>2</v>
      </c>
      <c r="J178" s="376">
        <v>3</v>
      </c>
      <c r="K178" s="376">
        <v>3</v>
      </c>
      <c r="L178" s="377">
        <v>2</v>
      </c>
      <c r="M178" s="254">
        <f t="shared" si="5"/>
        <v>0.60108474454521421</v>
      </c>
      <c r="N178" s="255"/>
    </row>
    <row r="179" spans="1:14" hidden="1" x14ac:dyDescent="0.2">
      <c r="A179" s="246" t="s">
        <v>215</v>
      </c>
      <c r="B179" s="459" t="s">
        <v>554</v>
      </c>
      <c r="C179" s="422" t="s">
        <v>59</v>
      </c>
      <c r="D179" s="248" t="s">
        <v>135</v>
      </c>
      <c r="E179" s="249">
        <v>2.0000000000000002E-5</v>
      </c>
      <c r="F179" s="374" t="s">
        <v>360</v>
      </c>
      <c r="G179" s="251"/>
      <c r="H179" s="376">
        <v>2</v>
      </c>
      <c r="I179" s="376">
        <v>2</v>
      </c>
      <c r="J179" s="376">
        <v>3</v>
      </c>
      <c r="K179" s="376">
        <v>3</v>
      </c>
      <c r="L179" s="377">
        <v>2</v>
      </c>
      <c r="M179" s="378">
        <f t="shared" si="5"/>
        <v>0.60108474454521421</v>
      </c>
      <c r="N179" s="255"/>
    </row>
    <row r="180" spans="1:14" hidden="1" x14ac:dyDescent="0.2">
      <c r="A180" s="246" t="s">
        <v>215</v>
      </c>
      <c r="B180" s="653" t="s">
        <v>552</v>
      </c>
      <c r="C180" s="422" t="s">
        <v>60</v>
      </c>
      <c r="D180" s="248" t="s">
        <v>135</v>
      </c>
      <c r="E180" s="249">
        <v>4.7095565271705183E-3</v>
      </c>
      <c r="F180" s="374" t="s">
        <v>553</v>
      </c>
      <c r="G180" s="375" t="s">
        <v>16</v>
      </c>
      <c r="H180" s="376">
        <v>2</v>
      </c>
      <c r="I180" s="376">
        <v>2</v>
      </c>
      <c r="J180" s="376">
        <v>3</v>
      </c>
      <c r="K180" s="376">
        <v>3</v>
      </c>
      <c r="L180" s="377">
        <v>2</v>
      </c>
      <c r="M180" s="254">
        <f t="shared" si="5"/>
        <v>0.60108474454521421</v>
      </c>
      <c r="N180" s="255"/>
    </row>
    <row r="181" spans="1:14" hidden="1" x14ac:dyDescent="0.2">
      <c r="A181" s="464" t="s">
        <v>215</v>
      </c>
      <c r="B181" s="513" t="s">
        <v>554</v>
      </c>
      <c r="C181" s="427" t="s">
        <v>60</v>
      </c>
      <c r="D181" s="441" t="s">
        <v>135</v>
      </c>
      <c r="E181" s="288">
        <v>8.119925046845723E-6</v>
      </c>
      <c r="F181" s="399" t="s">
        <v>553</v>
      </c>
      <c r="G181" s="290" t="s">
        <v>16</v>
      </c>
      <c r="H181" s="398">
        <v>2</v>
      </c>
      <c r="I181" s="398">
        <v>2</v>
      </c>
      <c r="J181" s="398">
        <v>3</v>
      </c>
      <c r="K181" s="398">
        <v>3</v>
      </c>
      <c r="L181" s="407">
        <v>2</v>
      </c>
      <c r="M181" s="408">
        <f t="shared" si="5"/>
        <v>0.60108474454521421</v>
      </c>
      <c r="N181" s="294"/>
    </row>
    <row r="182" spans="1:14" x14ac:dyDescent="0.2">
      <c r="A182" s="246" t="s">
        <v>223</v>
      </c>
      <c r="B182" s="652" t="s">
        <v>552</v>
      </c>
      <c r="C182" s="422" t="s">
        <v>13</v>
      </c>
      <c r="D182" s="433" t="s">
        <v>135</v>
      </c>
      <c r="E182" s="266">
        <v>1.260712054965646E-2</v>
      </c>
      <c r="F182" s="389" t="s">
        <v>553</v>
      </c>
      <c r="G182" s="390" t="s">
        <v>16</v>
      </c>
      <c r="H182" s="391">
        <v>2</v>
      </c>
      <c r="I182" s="391">
        <v>2</v>
      </c>
      <c r="J182" s="391">
        <v>3</v>
      </c>
      <c r="K182" s="391">
        <v>3</v>
      </c>
      <c r="L182" s="392">
        <v>2</v>
      </c>
      <c r="M182" s="271">
        <f t="shared" si="5"/>
        <v>0.60108474454521421</v>
      </c>
      <c r="N182" s="272"/>
    </row>
    <row r="183" spans="1:14" x14ac:dyDescent="0.2">
      <c r="A183" s="246" t="s">
        <v>223</v>
      </c>
      <c r="B183" s="459" t="s">
        <v>554</v>
      </c>
      <c r="C183" s="422" t="s">
        <v>13</v>
      </c>
      <c r="D183" s="248" t="s">
        <v>135</v>
      </c>
      <c r="E183" s="249">
        <v>2.1736414740787008E-5</v>
      </c>
      <c r="F183" s="374" t="s">
        <v>553</v>
      </c>
      <c r="G183" s="251" t="s">
        <v>16</v>
      </c>
      <c r="H183" s="376">
        <v>2</v>
      </c>
      <c r="I183" s="376">
        <v>2</v>
      </c>
      <c r="J183" s="376">
        <v>3</v>
      </c>
      <c r="K183" s="376">
        <v>3</v>
      </c>
      <c r="L183" s="377">
        <v>2</v>
      </c>
      <c r="M183" s="378">
        <f t="shared" si="5"/>
        <v>0.60108474454521421</v>
      </c>
      <c r="N183" s="255"/>
    </row>
    <row r="184" spans="1:14" hidden="1" x14ac:dyDescent="0.2">
      <c r="A184" s="246" t="s">
        <v>223</v>
      </c>
      <c r="B184" s="653" t="s">
        <v>552</v>
      </c>
      <c r="C184" s="422" t="s">
        <v>18</v>
      </c>
      <c r="D184" s="248" t="s">
        <v>135</v>
      </c>
      <c r="E184" s="249">
        <v>1.101311680199875E-2</v>
      </c>
      <c r="F184" s="374" t="s">
        <v>553</v>
      </c>
      <c r="G184" s="251" t="s">
        <v>16</v>
      </c>
      <c r="H184" s="376">
        <v>2</v>
      </c>
      <c r="I184" s="376">
        <v>2</v>
      </c>
      <c r="J184" s="376">
        <v>3</v>
      </c>
      <c r="K184" s="376">
        <v>3</v>
      </c>
      <c r="L184" s="377">
        <v>2</v>
      </c>
      <c r="M184" s="378">
        <f t="shared" si="5"/>
        <v>0.60108474454521421</v>
      </c>
      <c r="N184" s="255"/>
    </row>
    <row r="185" spans="1:14" hidden="1" x14ac:dyDescent="0.2">
      <c r="A185" s="246" t="s">
        <v>223</v>
      </c>
      <c r="B185" s="459" t="s">
        <v>554</v>
      </c>
      <c r="C185" s="422" t="s">
        <v>18</v>
      </c>
      <c r="D185" s="248" t="s">
        <v>135</v>
      </c>
      <c r="E185" s="249">
        <v>1.8988132417239231E-5</v>
      </c>
      <c r="F185" s="374" t="s">
        <v>553</v>
      </c>
      <c r="G185" s="251" t="s">
        <v>16</v>
      </c>
      <c r="H185" s="376">
        <v>2</v>
      </c>
      <c r="I185" s="376">
        <v>2</v>
      </c>
      <c r="J185" s="376">
        <v>3</v>
      </c>
      <c r="K185" s="376">
        <v>3</v>
      </c>
      <c r="L185" s="377">
        <v>2</v>
      </c>
      <c r="M185" s="378">
        <f t="shared" si="5"/>
        <v>0.60108474454521421</v>
      </c>
      <c r="N185" s="255"/>
    </row>
    <row r="186" spans="1:14" hidden="1" x14ac:dyDescent="0.2">
      <c r="A186" s="246" t="s">
        <v>223</v>
      </c>
      <c r="B186" s="653" t="s">
        <v>552</v>
      </c>
      <c r="C186" s="422" t="s">
        <v>20</v>
      </c>
      <c r="D186" s="248" t="s">
        <v>135</v>
      </c>
      <c r="E186" s="249">
        <v>7.2454715802623356E-4</v>
      </c>
      <c r="F186" s="374" t="s">
        <v>553</v>
      </c>
      <c r="G186" s="251" t="s">
        <v>16</v>
      </c>
      <c r="H186" s="376">
        <v>2</v>
      </c>
      <c r="I186" s="376">
        <v>2</v>
      </c>
      <c r="J186" s="376">
        <v>3</v>
      </c>
      <c r="K186" s="376">
        <v>3</v>
      </c>
      <c r="L186" s="377">
        <v>2</v>
      </c>
      <c r="M186" s="378">
        <f t="shared" si="5"/>
        <v>0.60108474454521421</v>
      </c>
      <c r="N186" s="255"/>
    </row>
    <row r="187" spans="1:14" hidden="1" x14ac:dyDescent="0.2">
      <c r="A187" s="246" t="s">
        <v>223</v>
      </c>
      <c r="B187" s="459" t="s">
        <v>554</v>
      </c>
      <c r="C187" s="422" t="s">
        <v>20</v>
      </c>
      <c r="D187" s="248" t="s">
        <v>135</v>
      </c>
      <c r="E187" s="249">
        <v>1.249219237976265E-6</v>
      </c>
      <c r="F187" s="374" t="s">
        <v>553</v>
      </c>
      <c r="G187" s="251" t="s">
        <v>16</v>
      </c>
      <c r="H187" s="376">
        <v>2</v>
      </c>
      <c r="I187" s="376">
        <v>2</v>
      </c>
      <c r="J187" s="376">
        <v>3</v>
      </c>
      <c r="K187" s="376">
        <v>3</v>
      </c>
      <c r="L187" s="377">
        <v>2</v>
      </c>
      <c r="M187" s="378">
        <f t="shared" si="5"/>
        <v>0.60108474454521421</v>
      </c>
      <c r="N187" s="255"/>
    </row>
    <row r="188" spans="1:14" hidden="1" x14ac:dyDescent="0.2">
      <c r="A188" s="246" t="s">
        <v>223</v>
      </c>
      <c r="B188" s="653" t="s">
        <v>552</v>
      </c>
      <c r="C188" s="422" t="s">
        <v>22</v>
      </c>
      <c r="D188" s="248" t="s">
        <v>135</v>
      </c>
      <c r="E188" s="249">
        <v>1.7389131792629609E-3</v>
      </c>
      <c r="F188" s="374" t="s">
        <v>553</v>
      </c>
      <c r="G188" s="251" t="s">
        <v>16</v>
      </c>
      <c r="H188" s="376">
        <v>2</v>
      </c>
      <c r="I188" s="376">
        <v>2</v>
      </c>
      <c r="J188" s="376">
        <v>3</v>
      </c>
      <c r="K188" s="376">
        <v>3</v>
      </c>
      <c r="L188" s="377">
        <v>2</v>
      </c>
      <c r="M188" s="378">
        <f t="shared" si="5"/>
        <v>0.60108474454521421</v>
      </c>
      <c r="N188" s="255"/>
    </row>
    <row r="189" spans="1:14" hidden="1" x14ac:dyDescent="0.2">
      <c r="A189" s="246" t="s">
        <v>223</v>
      </c>
      <c r="B189" s="459" t="s">
        <v>554</v>
      </c>
      <c r="C189" s="422" t="s">
        <v>22</v>
      </c>
      <c r="D189" s="248" t="s">
        <v>135</v>
      </c>
      <c r="E189" s="249">
        <v>2.9981261711430358E-6</v>
      </c>
      <c r="F189" s="374" t="s">
        <v>553</v>
      </c>
      <c r="G189" s="251" t="s">
        <v>16</v>
      </c>
      <c r="H189" s="376">
        <v>2</v>
      </c>
      <c r="I189" s="376">
        <v>2</v>
      </c>
      <c r="J189" s="376">
        <v>3</v>
      </c>
      <c r="K189" s="376">
        <v>3</v>
      </c>
      <c r="L189" s="377">
        <v>2</v>
      </c>
      <c r="M189" s="378">
        <f t="shared" si="5"/>
        <v>0.60108474454521421</v>
      </c>
      <c r="N189" s="255"/>
    </row>
    <row r="190" spans="1:14" hidden="1" x14ac:dyDescent="0.2">
      <c r="A190" s="246" t="s">
        <v>223</v>
      </c>
      <c r="B190" s="653" t="s">
        <v>552</v>
      </c>
      <c r="C190" s="422" t="s">
        <v>23</v>
      </c>
      <c r="D190" s="248" t="s">
        <v>135</v>
      </c>
      <c r="E190" s="249">
        <v>7.9700187382885691E-4</v>
      </c>
      <c r="F190" s="374" t="s">
        <v>553</v>
      </c>
      <c r="G190" s="251" t="s">
        <v>16</v>
      </c>
      <c r="H190" s="376">
        <v>2</v>
      </c>
      <c r="I190" s="376">
        <v>2</v>
      </c>
      <c r="J190" s="376">
        <v>3</v>
      </c>
      <c r="K190" s="376">
        <v>3</v>
      </c>
      <c r="L190" s="377">
        <v>2</v>
      </c>
      <c r="M190" s="378">
        <f t="shared" si="5"/>
        <v>0.60108474454521421</v>
      </c>
      <c r="N190" s="255"/>
    </row>
    <row r="191" spans="1:14" hidden="1" x14ac:dyDescent="0.2">
      <c r="A191" s="246" t="s">
        <v>223</v>
      </c>
      <c r="B191" s="459" t="s">
        <v>554</v>
      </c>
      <c r="C191" s="422" t="s">
        <v>23</v>
      </c>
      <c r="D191" s="248" t="s">
        <v>135</v>
      </c>
      <c r="E191" s="249">
        <v>1.374141161773891E-6</v>
      </c>
      <c r="F191" s="374" t="s">
        <v>553</v>
      </c>
      <c r="G191" s="251" t="s">
        <v>16</v>
      </c>
      <c r="H191" s="376">
        <v>2</v>
      </c>
      <c r="I191" s="376">
        <v>2</v>
      </c>
      <c r="J191" s="376">
        <v>3</v>
      </c>
      <c r="K191" s="376">
        <v>3</v>
      </c>
      <c r="L191" s="377">
        <v>2</v>
      </c>
      <c r="M191" s="378">
        <f t="shared" si="5"/>
        <v>0.60108474454521421</v>
      </c>
      <c r="N191" s="255"/>
    </row>
    <row r="192" spans="1:14" hidden="1" x14ac:dyDescent="0.2">
      <c r="A192" s="246" t="s">
        <v>223</v>
      </c>
      <c r="B192" s="653" t="s">
        <v>552</v>
      </c>
      <c r="C192" s="422" t="s">
        <v>24</v>
      </c>
      <c r="D192" s="248" t="s">
        <v>135</v>
      </c>
      <c r="E192" s="249">
        <v>5.2891942535915051E-3</v>
      </c>
      <c r="F192" s="374" t="s">
        <v>553</v>
      </c>
      <c r="G192" s="251" t="s">
        <v>16</v>
      </c>
      <c r="H192" s="376">
        <v>2</v>
      </c>
      <c r="I192" s="376">
        <v>2</v>
      </c>
      <c r="J192" s="376">
        <v>3</v>
      </c>
      <c r="K192" s="376">
        <v>3</v>
      </c>
      <c r="L192" s="377">
        <v>2</v>
      </c>
      <c r="M192" s="378">
        <f t="shared" si="5"/>
        <v>0.60108474454521421</v>
      </c>
      <c r="N192" s="255"/>
    </row>
    <row r="193" spans="1:14" hidden="1" x14ac:dyDescent="0.2">
      <c r="A193" s="246" t="s">
        <v>223</v>
      </c>
      <c r="B193" s="459" t="s">
        <v>554</v>
      </c>
      <c r="C193" s="422" t="s">
        <v>24</v>
      </c>
      <c r="D193" s="248" t="s">
        <v>135</v>
      </c>
      <c r="E193" s="249">
        <v>9.1193004372267345E-6</v>
      </c>
      <c r="F193" s="374" t="s">
        <v>553</v>
      </c>
      <c r="G193" s="251" t="s">
        <v>16</v>
      </c>
      <c r="H193" s="376">
        <v>2</v>
      </c>
      <c r="I193" s="376">
        <v>2</v>
      </c>
      <c r="J193" s="376">
        <v>3</v>
      </c>
      <c r="K193" s="376">
        <v>3</v>
      </c>
      <c r="L193" s="377">
        <v>2</v>
      </c>
      <c r="M193" s="378">
        <f t="shared" si="5"/>
        <v>0.60108474454521421</v>
      </c>
      <c r="N193" s="255"/>
    </row>
    <row r="194" spans="1:14" hidden="1" x14ac:dyDescent="0.2">
      <c r="A194" s="246" t="s">
        <v>223</v>
      </c>
      <c r="B194" s="653" t="s">
        <v>552</v>
      </c>
      <c r="C194" s="422" t="s">
        <v>25</v>
      </c>
      <c r="D194" s="248" t="s">
        <v>135</v>
      </c>
      <c r="E194" s="249">
        <v>1.4635852592129919E-2</v>
      </c>
      <c r="F194" s="374" t="s">
        <v>553</v>
      </c>
      <c r="G194" s="251" t="s">
        <v>16</v>
      </c>
      <c r="H194" s="376">
        <v>2</v>
      </c>
      <c r="I194" s="376">
        <v>2</v>
      </c>
      <c r="J194" s="376">
        <v>3</v>
      </c>
      <c r="K194" s="376">
        <v>3</v>
      </c>
      <c r="L194" s="377">
        <v>2</v>
      </c>
      <c r="M194" s="378">
        <f t="shared" si="5"/>
        <v>0.60108474454521421</v>
      </c>
      <c r="N194" s="255"/>
    </row>
    <row r="195" spans="1:14" hidden="1" x14ac:dyDescent="0.2">
      <c r="A195" s="246" t="s">
        <v>223</v>
      </c>
      <c r="B195" s="459" t="s">
        <v>554</v>
      </c>
      <c r="C195" s="422" t="s">
        <v>25</v>
      </c>
      <c r="D195" s="248" t="s">
        <v>135</v>
      </c>
      <c r="E195" s="249">
        <v>2.5234228607120551E-5</v>
      </c>
      <c r="F195" s="374" t="s">
        <v>553</v>
      </c>
      <c r="G195" s="251" t="s">
        <v>16</v>
      </c>
      <c r="H195" s="376">
        <v>2</v>
      </c>
      <c r="I195" s="376">
        <v>2</v>
      </c>
      <c r="J195" s="376">
        <v>3</v>
      </c>
      <c r="K195" s="376">
        <v>3</v>
      </c>
      <c r="L195" s="377">
        <v>2</v>
      </c>
      <c r="M195" s="378">
        <f t="shared" si="5"/>
        <v>0.60108474454521421</v>
      </c>
      <c r="N195" s="255"/>
    </row>
    <row r="196" spans="1:14" hidden="1" x14ac:dyDescent="0.2">
      <c r="A196" s="246" t="s">
        <v>223</v>
      </c>
      <c r="B196" s="653" t="s">
        <v>552</v>
      </c>
      <c r="C196" s="422" t="s">
        <v>26</v>
      </c>
      <c r="D196" s="248" t="s">
        <v>135</v>
      </c>
      <c r="E196" s="249">
        <v>1.08682073703935E-3</v>
      </c>
      <c r="F196" s="374" t="s">
        <v>553</v>
      </c>
      <c r="G196" s="251" t="s">
        <v>16</v>
      </c>
      <c r="H196" s="376">
        <v>2</v>
      </c>
      <c r="I196" s="376">
        <v>2</v>
      </c>
      <c r="J196" s="376">
        <v>3</v>
      </c>
      <c r="K196" s="376">
        <v>3</v>
      </c>
      <c r="L196" s="377">
        <v>2</v>
      </c>
      <c r="M196" s="378">
        <f>IF( OR( ISBLANK(H196),ISBLANK(I196), ISBLANK(J196), ISBLANK(K196), ISBLANK(L196) ), "", 1.5*SQRT(   EXP(2.21*(H196-1)) + EXP(2.21*(I196-1)) + EXP(2.21*(J196-1)) + EXP(2.21*(K196-1)) + EXP(2.21*L196)   )/100*2.45 )</f>
        <v>0.60108474454521421</v>
      </c>
      <c r="N196" s="255"/>
    </row>
    <row r="197" spans="1:14" hidden="1" x14ac:dyDescent="0.2">
      <c r="A197" s="246" t="s">
        <v>223</v>
      </c>
      <c r="B197" s="459" t="s">
        <v>554</v>
      </c>
      <c r="C197" s="422" t="s">
        <v>26</v>
      </c>
      <c r="D197" s="248" t="s">
        <v>135</v>
      </c>
      <c r="E197" s="249">
        <v>1.873828856964397E-6</v>
      </c>
      <c r="F197" s="374" t="s">
        <v>553</v>
      </c>
      <c r="G197" s="251" t="s">
        <v>16</v>
      </c>
      <c r="H197" s="376">
        <v>2</v>
      </c>
      <c r="I197" s="376">
        <v>2</v>
      </c>
      <c r="J197" s="376">
        <v>3</v>
      </c>
      <c r="K197" s="376">
        <v>3</v>
      </c>
      <c r="L197" s="377">
        <v>2</v>
      </c>
      <c r="M197" s="378">
        <f t="shared" ref="M197:M228" si="6">IF( OR( ISBLANK(H197),ISBLANK(I197), ISBLANK(J197), ISBLANK(K197), ISBLANK(L197) ), "", 1.5*SQRT( EXP(2.21*(H197-1)) + EXP(2.21*(I197-1)) + EXP(2.21*(J197-1)) + EXP(2.21*(K197-1)) + EXP(2.21*L197) )/100*2.45 )</f>
        <v>0.60108474454521421</v>
      </c>
      <c r="N197" s="255"/>
    </row>
    <row r="198" spans="1:14" hidden="1" x14ac:dyDescent="0.2">
      <c r="A198" s="246" t="s">
        <v>223</v>
      </c>
      <c r="B198" s="653" t="s">
        <v>552</v>
      </c>
      <c r="C198" s="422" t="s">
        <v>27</v>
      </c>
      <c r="D198" s="248" t="s">
        <v>135</v>
      </c>
      <c r="E198" s="249">
        <v>5.5790131168019976E-3</v>
      </c>
      <c r="F198" s="374" t="s">
        <v>553</v>
      </c>
      <c r="G198" s="251" t="s">
        <v>16</v>
      </c>
      <c r="H198" s="376">
        <v>2</v>
      </c>
      <c r="I198" s="376">
        <v>2</v>
      </c>
      <c r="J198" s="376">
        <v>3</v>
      </c>
      <c r="K198" s="376">
        <v>3</v>
      </c>
      <c r="L198" s="377">
        <v>2</v>
      </c>
      <c r="M198" s="378">
        <f t="shared" si="6"/>
        <v>0.60108474454521421</v>
      </c>
      <c r="N198" s="255"/>
    </row>
    <row r="199" spans="1:14" hidden="1" x14ac:dyDescent="0.2">
      <c r="A199" s="246" t="s">
        <v>223</v>
      </c>
      <c r="B199" s="459" t="s">
        <v>554</v>
      </c>
      <c r="C199" s="422" t="s">
        <v>27</v>
      </c>
      <c r="D199" s="248" t="s">
        <v>135</v>
      </c>
      <c r="E199" s="249">
        <v>9.6189881324172411E-6</v>
      </c>
      <c r="F199" s="374" t="s">
        <v>553</v>
      </c>
      <c r="G199" s="251" t="s">
        <v>16</v>
      </c>
      <c r="H199" s="376">
        <v>2</v>
      </c>
      <c r="I199" s="376">
        <v>2</v>
      </c>
      <c r="J199" s="376">
        <v>3</v>
      </c>
      <c r="K199" s="376">
        <v>3</v>
      </c>
      <c r="L199" s="377">
        <v>2</v>
      </c>
      <c r="M199" s="378">
        <f t="shared" si="6"/>
        <v>0.60108474454521421</v>
      </c>
      <c r="N199" s="255"/>
    </row>
    <row r="200" spans="1:14" hidden="1" x14ac:dyDescent="0.2">
      <c r="A200" s="246" t="s">
        <v>223</v>
      </c>
      <c r="B200" s="653" t="s">
        <v>552</v>
      </c>
      <c r="C200" s="422" t="s">
        <v>28</v>
      </c>
      <c r="D200" s="248" t="s">
        <v>135</v>
      </c>
      <c r="E200" s="249">
        <v>7.5352904434728297E-3</v>
      </c>
      <c r="F200" s="374" t="s">
        <v>553</v>
      </c>
      <c r="G200" s="251" t="s">
        <v>16</v>
      </c>
      <c r="H200" s="376">
        <v>2</v>
      </c>
      <c r="I200" s="376">
        <v>2</v>
      </c>
      <c r="J200" s="376">
        <v>3</v>
      </c>
      <c r="K200" s="376">
        <v>3</v>
      </c>
      <c r="L200" s="377">
        <v>2</v>
      </c>
      <c r="M200" s="378">
        <f t="shared" si="6"/>
        <v>0.60108474454521421</v>
      </c>
      <c r="N200" s="255"/>
    </row>
    <row r="201" spans="1:14" hidden="1" x14ac:dyDescent="0.2">
      <c r="A201" s="246" t="s">
        <v>223</v>
      </c>
      <c r="B201" s="459" t="s">
        <v>554</v>
      </c>
      <c r="C201" s="422" t="s">
        <v>28</v>
      </c>
      <c r="D201" s="248" t="s">
        <v>135</v>
      </c>
      <c r="E201" s="249">
        <v>1.299188007495316E-5</v>
      </c>
      <c r="F201" s="374" t="s">
        <v>553</v>
      </c>
      <c r="G201" s="251" t="s">
        <v>16</v>
      </c>
      <c r="H201" s="376">
        <v>2</v>
      </c>
      <c r="I201" s="376">
        <v>2</v>
      </c>
      <c r="J201" s="376">
        <v>3</v>
      </c>
      <c r="K201" s="376">
        <v>3</v>
      </c>
      <c r="L201" s="377">
        <v>2</v>
      </c>
      <c r="M201" s="378">
        <f t="shared" si="6"/>
        <v>0.60108474454521421</v>
      </c>
      <c r="N201" s="255"/>
    </row>
    <row r="202" spans="1:14" hidden="1" x14ac:dyDescent="0.2">
      <c r="A202" s="246" t="s">
        <v>223</v>
      </c>
      <c r="B202" s="653" t="s">
        <v>552</v>
      </c>
      <c r="C202" s="422" t="s">
        <v>30</v>
      </c>
      <c r="D202" s="248" t="s">
        <v>135</v>
      </c>
      <c r="E202" s="249">
        <v>1.079575265459088E-2</v>
      </c>
      <c r="F202" s="374" t="s">
        <v>553</v>
      </c>
      <c r="G202" s="251" t="s">
        <v>16</v>
      </c>
      <c r="H202" s="376">
        <v>2</v>
      </c>
      <c r="I202" s="376">
        <v>2</v>
      </c>
      <c r="J202" s="376">
        <v>3</v>
      </c>
      <c r="K202" s="376">
        <v>3</v>
      </c>
      <c r="L202" s="377">
        <v>2</v>
      </c>
      <c r="M202" s="378">
        <f t="shared" si="6"/>
        <v>0.60108474454521421</v>
      </c>
      <c r="N202" s="255"/>
    </row>
    <row r="203" spans="1:14" hidden="1" x14ac:dyDescent="0.2">
      <c r="A203" s="246" t="s">
        <v>223</v>
      </c>
      <c r="B203" s="459" t="s">
        <v>554</v>
      </c>
      <c r="C203" s="422" t="s">
        <v>30</v>
      </c>
      <c r="D203" s="248" t="s">
        <v>135</v>
      </c>
      <c r="E203" s="249">
        <v>1.861336664584635E-5</v>
      </c>
      <c r="F203" s="374" t="s">
        <v>553</v>
      </c>
      <c r="G203" s="251" t="s">
        <v>16</v>
      </c>
      <c r="H203" s="376">
        <v>2</v>
      </c>
      <c r="I203" s="376">
        <v>2</v>
      </c>
      <c r="J203" s="376">
        <v>3</v>
      </c>
      <c r="K203" s="376">
        <v>3</v>
      </c>
      <c r="L203" s="377">
        <v>2</v>
      </c>
      <c r="M203" s="378">
        <f t="shared" si="6"/>
        <v>0.60108474454521421</v>
      </c>
      <c r="N203" s="255"/>
    </row>
    <row r="204" spans="1:14" hidden="1" x14ac:dyDescent="0.2">
      <c r="A204" s="246" t="s">
        <v>223</v>
      </c>
      <c r="B204" s="653" t="s">
        <v>552</v>
      </c>
      <c r="C204" s="422" t="s">
        <v>32</v>
      </c>
      <c r="D204" s="248" t="s">
        <v>135</v>
      </c>
      <c r="E204" s="249">
        <v>5.7963772642098687E-4</v>
      </c>
      <c r="F204" s="374" t="s">
        <v>553</v>
      </c>
      <c r="G204" s="251" t="s">
        <v>16</v>
      </c>
      <c r="H204" s="376">
        <v>2</v>
      </c>
      <c r="I204" s="376">
        <v>2</v>
      </c>
      <c r="J204" s="376">
        <v>3</v>
      </c>
      <c r="K204" s="376">
        <v>3</v>
      </c>
      <c r="L204" s="377">
        <v>2</v>
      </c>
      <c r="M204" s="378">
        <f t="shared" si="6"/>
        <v>0.60108474454521421</v>
      </c>
      <c r="N204" s="255"/>
    </row>
    <row r="205" spans="1:14" hidden="1" x14ac:dyDescent="0.2">
      <c r="A205" s="246" t="s">
        <v>223</v>
      </c>
      <c r="B205" s="459" t="s">
        <v>554</v>
      </c>
      <c r="C205" s="422" t="s">
        <v>32</v>
      </c>
      <c r="D205" s="248" t="s">
        <v>135</v>
      </c>
      <c r="E205" s="249">
        <v>9.9937539038101194E-7</v>
      </c>
      <c r="F205" s="374" t="s">
        <v>553</v>
      </c>
      <c r="G205" s="251" t="s">
        <v>16</v>
      </c>
      <c r="H205" s="376">
        <v>2</v>
      </c>
      <c r="I205" s="376">
        <v>2</v>
      </c>
      <c r="J205" s="376">
        <v>3</v>
      </c>
      <c r="K205" s="376">
        <v>3</v>
      </c>
      <c r="L205" s="377">
        <v>2</v>
      </c>
      <c r="M205" s="378">
        <f t="shared" si="6"/>
        <v>0.60108474454521421</v>
      </c>
      <c r="N205" s="255"/>
    </row>
    <row r="206" spans="1:14" hidden="1" x14ac:dyDescent="0.2">
      <c r="A206" s="246" t="s">
        <v>223</v>
      </c>
      <c r="B206" s="653" t="s">
        <v>552</v>
      </c>
      <c r="C206" s="422" t="s">
        <v>34</v>
      </c>
      <c r="D206" s="248" t="s">
        <v>135</v>
      </c>
      <c r="E206" s="249">
        <v>2.8257339163023109E-3</v>
      </c>
      <c r="F206" s="374" t="s">
        <v>553</v>
      </c>
      <c r="G206" s="251" t="s">
        <v>16</v>
      </c>
      <c r="H206" s="376">
        <v>2</v>
      </c>
      <c r="I206" s="376">
        <v>2</v>
      </c>
      <c r="J206" s="376">
        <v>3</v>
      </c>
      <c r="K206" s="376">
        <v>3</v>
      </c>
      <c r="L206" s="377">
        <v>2</v>
      </c>
      <c r="M206" s="378">
        <f t="shared" si="6"/>
        <v>0.60108474454521421</v>
      </c>
      <c r="N206" s="255"/>
    </row>
    <row r="207" spans="1:14" hidden="1" x14ac:dyDescent="0.2">
      <c r="A207" s="246" t="s">
        <v>223</v>
      </c>
      <c r="B207" s="459" t="s">
        <v>554</v>
      </c>
      <c r="C207" s="422" t="s">
        <v>34</v>
      </c>
      <c r="D207" s="248" t="s">
        <v>135</v>
      </c>
      <c r="E207" s="249">
        <v>4.8719550281074326E-6</v>
      </c>
      <c r="F207" s="374" t="s">
        <v>553</v>
      </c>
      <c r="G207" s="251" t="s">
        <v>16</v>
      </c>
      <c r="H207" s="376">
        <v>2</v>
      </c>
      <c r="I207" s="376">
        <v>2</v>
      </c>
      <c r="J207" s="376">
        <v>3</v>
      </c>
      <c r="K207" s="376">
        <v>3</v>
      </c>
      <c r="L207" s="377">
        <v>2</v>
      </c>
      <c r="M207" s="378">
        <f t="shared" si="6"/>
        <v>0.60108474454521421</v>
      </c>
      <c r="N207" s="255"/>
    </row>
    <row r="208" spans="1:14" hidden="1" x14ac:dyDescent="0.2">
      <c r="A208" s="246" t="s">
        <v>223</v>
      </c>
      <c r="B208" s="653" t="s">
        <v>552</v>
      </c>
      <c r="C208" s="422" t="s">
        <v>36</v>
      </c>
      <c r="D208" s="248" t="s">
        <v>135</v>
      </c>
      <c r="E208" s="249">
        <v>4.7820112429731417E-3</v>
      </c>
      <c r="F208" s="374" t="s">
        <v>553</v>
      </c>
      <c r="G208" s="251" t="s">
        <v>16</v>
      </c>
      <c r="H208" s="376">
        <v>2</v>
      </c>
      <c r="I208" s="376">
        <v>2</v>
      </c>
      <c r="J208" s="376">
        <v>3</v>
      </c>
      <c r="K208" s="376">
        <v>3</v>
      </c>
      <c r="L208" s="377">
        <v>2</v>
      </c>
      <c r="M208" s="378">
        <f t="shared" si="6"/>
        <v>0.60108474454521421</v>
      </c>
      <c r="N208" s="255"/>
    </row>
    <row r="209" spans="1:14" hidden="1" x14ac:dyDescent="0.2">
      <c r="A209" s="246" t="s">
        <v>223</v>
      </c>
      <c r="B209" s="459" t="s">
        <v>554</v>
      </c>
      <c r="C209" s="422" t="s">
        <v>36</v>
      </c>
      <c r="D209" s="248" t="s">
        <v>135</v>
      </c>
      <c r="E209" s="249">
        <v>8.2448469706433488E-6</v>
      </c>
      <c r="F209" s="374" t="s">
        <v>553</v>
      </c>
      <c r="G209" s="251" t="s">
        <v>16</v>
      </c>
      <c r="H209" s="376">
        <v>2</v>
      </c>
      <c r="I209" s="376">
        <v>2</v>
      </c>
      <c r="J209" s="376">
        <v>3</v>
      </c>
      <c r="K209" s="376">
        <v>3</v>
      </c>
      <c r="L209" s="377">
        <v>2</v>
      </c>
      <c r="M209" s="378">
        <f t="shared" si="6"/>
        <v>0.60108474454521421</v>
      </c>
      <c r="N209" s="255"/>
    </row>
    <row r="210" spans="1:14" hidden="1" x14ac:dyDescent="0.2">
      <c r="A210" s="246" t="s">
        <v>223</v>
      </c>
      <c r="B210" s="653" t="s">
        <v>552</v>
      </c>
      <c r="C210" s="422" t="s">
        <v>37</v>
      </c>
      <c r="D210" s="248" t="s">
        <v>135</v>
      </c>
      <c r="E210" s="249">
        <v>8.9119300437226733E-3</v>
      </c>
      <c r="F210" s="374" t="s">
        <v>553</v>
      </c>
      <c r="G210" s="251" t="s">
        <v>16</v>
      </c>
      <c r="H210" s="376">
        <v>2</v>
      </c>
      <c r="I210" s="376">
        <v>2</v>
      </c>
      <c r="J210" s="376">
        <v>3</v>
      </c>
      <c r="K210" s="376">
        <v>3</v>
      </c>
      <c r="L210" s="377">
        <v>2</v>
      </c>
      <c r="M210" s="378">
        <f t="shared" si="6"/>
        <v>0.60108474454521421</v>
      </c>
      <c r="N210" s="255"/>
    </row>
    <row r="211" spans="1:14" hidden="1" x14ac:dyDescent="0.2">
      <c r="A211" s="246" t="s">
        <v>223</v>
      </c>
      <c r="B211" s="459" t="s">
        <v>554</v>
      </c>
      <c r="C211" s="422" t="s">
        <v>37</v>
      </c>
      <c r="D211" s="248" t="s">
        <v>135</v>
      </c>
      <c r="E211" s="249">
        <v>1.5365396627108059E-5</v>
      </c>
      <c r="F211" s="374" t="s">
        <v>553</v>
      </c>
      <c r="G211" s="251" t="s">
        <v>16</v>
      </c>
      <c r="H211" s="376">
        <v>2</v>
      </c>
      <c r="I211" s="376">
        <v>2</v>
      </c>
      <c r="J211" s="376">
        <v>3</v>
      </c>
      <c r="K211" s="376">
        <v>3</v>
      </c>
      <c r="L211" s="377">
        <v>2</v>
      </c>
      <c r="M211" s="378">
        <f t="shared" si="6"/>
        <v>0.60108474454521421</v>
      </c>
      <c r="N211" s="255"/>
    </row>
    <row r="212" spans="1:14" hidden="1" x14ac:dyDescent="0.2">
      <c r="A212" s="246" t="s">
        <v>223</v>
      </c>
      <c r="B212" s="653" t="s">
        <v>552</v>
      </c>
      <c r="C212" s="422" t="s">
        <v>39</v>
      </c>
      <c r="D212" s="248" t="s">
        <v>135</v>
      </c>
      <c r="E212" s="249">
        <v>2.6808244846970638E-3</v>
      </c>
      <c r="F212" s="374" t="s">
        <v>553</v>
      </c>
      <c r="G212" s="251" t="s">
        <v>16</v>
      </c>
      <c r="H212" s="376">
        <v>2</v>
      </c>
      <c r="I212" s="376">
        <v>2</v>
      </c>
      <c r="J212" s="376">
        <v>3</v>
      </c>
      <c r="K212" s="376">
        <v>3</v>
      </c>
      <c r="L212" s="377">
        <v>2</v>
      </c>
      <c r="M212" s="378">
        <f t="shared" si="6"/>
        <v>0.60108474454521421</v>
      </c>
      <c r="N212" s="255"/>
    </row>
    <row r="213" spans="1:14" hidden="1" x14ac:dyDescent="0.2">
      <c r="A213" s="246" t="s">
        <v>223</v>
      </c>
      <c r="B213" s="459" t="s">
        <v>554</v>
      </c>
      <c r="C213" s="422" t="s">
        <v>39</v>
      </c>
      <c r="D213" s="248" t="s">
        <v>135</v>
      </c>
      <c r="E213" s="249">
        <v>4.6221111805121802E-6</v>
      </c>
      <c r="F213" s="374" t="s">
        <v>553</v>
      </c>
      <c r="G213" s="251" t="s">
        <v>16</v>
      </c>
      <c r="H213" s="376">
        <v>2</v>
      </c>
      <c r="I213" s="376">
        <v>2</v>
      </c>
      <c r="J213" s="376">
        <v>3</v>
      </c>
      <c r="K213" s="376">
        <v>3</v>
      </c>
      <c r="L213" s="377">
        <v>2</v>
      </c>
      <c r="M213" s="378">
        <f t="shared" si="6"/>
        <v>0.60108474454521421</v>
      </c>
      <c r="N213" s="255"/>
    </row>
    <row r="214" spans="1:14" hidden="1" x14ac:dyDescent="0.2">
      <c r="A214" s="246" t="s">
        <v>223</v>
      </c>
      <c r="B214" s="653" t="s">
        <v>552</v>
      </c>
      <c r="C214" s="422" t="s">
        <v>40</v>
      </c>
      <c r="D214" s="248" t="s">
        <v>135</v>
      </c>
      <c r="E214" s="249">
        <v>7.390381011867583E-3</v>
      </c>
      <c r="F214" s="374" t="s">
        <v>553</v>
      </c>
      <c r="G214" s="251" t="s">
        <v>16</v>
      </c>
      <c r="H214" s="376">
        <v>2</v>
      </c>
      <c r="I214" s="376">
        <v>2</v>
      </c>
      <c r="J214" s="376">
        <v>3</v>
      </c>
      <c r="K214" s="376">
        <v>3</v>
      </c>
      <c r="L214" s="377">
        <v>2</v>
      </c>
      <c r="M214" s="378">
        <f t="shared" si="6"/>
        <v>0.60108474454521421</v>
      </c>
      <c r="N214" s="255"/>
    </row>
    <row r="215" spans="1:14" hidden="1" x14ac:dyDescent="0.2">
      <c r="A215" s="246" t="s">
        <v>223</v>
      </c>
      <c r="B215" s="459" t="s">
        <v>554</v>
      </c>
      <c r="C215" s="422" t="s">
        <v>40</v>
      </c>
      <c r="D215" s="248" t="s">
        <v>135</v>
      </c>
      <c r="E215" s="249">
        <v>1.27420362273579E-5</v>
      </c>
      <c r="F215" s="374" t="s">
        <v>553</v>
      </c>
      <c r="G215" s="251" t="s">
        <v>16</v>
      </c>
      <c r="H215" s="376">
        <v>2</v>
      </c>
      <c r="I215" s="376">
        <v>2</v>
      </c>
      <c r="J215" s="376">
        <v>3</v>
      </c>
      <c r="K215" s="376">
        <v>3</v>
      </c>
      <c r="L215" s="377">
        <v>2</v>
      </c>
      <c r="M215" s="378">
        <f t="shared" si="6"/>
        <v>0.60108474454521421</v>
      </c>
      <c r="N215" s="255"/>
    </row>
    <row r="216" spans="1:14" hidden="1" x14ac:dyDescent="0.2">
      <c r="A216" s="246" t="s">
        <v>223</v>
      </c>
      <c r="B216" s="653" t="s">
        <v>552</v>
      </c>
      <c r="C216" s="422" t="s">
        <v>41</v>
      </c>
      <c r="D216" s="248" t="s">
        <v>135</v>
      </c>
      <c r="E216" s="249">
        <v>1.4490943160524671E-2</v>
      </c>
      <c r="F216" s="374" t="s">
        <v>553</v>
      </c>
      <c r="G216" s="251" t="s">
        <v>16</v>
      </c>
      <c r="H216" s="376">
        <v>2</v>
      </c>
      <c r="I216" s="376">
        <v>2</v>
      </c>
      <c r="J216" s="376">
        <v>3</v>
      </c>
      <c r="K216" s="376">
        <v>3</v>
      </c>
      <c r="L216" s="377">
        <v>2</v>
      </c>
      <c r="M216" s="378">
        <f t="shared" si="6"/>
        <v>0.60108474454521421</v>
      </c>
      <c r="N216" s="255"/>
    </row>
    <row r="217" spans="1:14" hidden="1" x14ac:dyDescent="0.2">
      <c r="A217" s="246" t="s">
        <v>223</v>
      </c>
      <c r="B217" s="459" t="s">
        <v>554</v>
      </c>
      <c r="C217" s="422" t="s">
        <v>41</v>
      </c>
      <c r="D217" s="248" t="s">
        <v>135</v>
      </c>
      <c r="E217" s="249">
        <v>2.49843847595253E-5</v>
      </c>
      <c r="F217" s="374" t="s">
        <v>553</v>
      </c>
      <c r="G217" s="251" t="s">
        <v>16</v>
      </c>
      <c r="H217" s="376">
        <v>2</v>
      </c>
      <c r="I217" s="376">
        <v>2</v>
      </c>
      <c r="J217" s="376">
        <v>3</v>
      </c>
      <c r="K217" s="376">
        <v>3</v>
      </c>
      <c r="L217" s="377">
        <v>2</v>
      </c>
      <c r="M217" s="378">
        <f t="shared" si="6"/>
        <v>0.60108474454521421</v>
      </c>
      <c r="N217" s="255"/>
    </row>
    <row r="218" spans="1:14" hidden="1" x14ac:dyDescent="0.2">
      <c r="A218" s="246" t="s">
        <v>223</v>
      </c>
      <c r="B218" s="653" t="s">
        <v>552</v>
      </c>
      <c r="C218" s="422" t="s">
        <v>42</v>
      </c>
      <c r="D218" s="248" t="s">
        <v>135</v>
      </c>
      <c r="E218" s="249">
        <v>3.7676452217364148E-3</v>
      </c>
      <c r="F218" s="374" t="s">
        <v>553</v>
      </c>
      <c r="G218" s="251" t="s">
        <v>16</v>
      </c>
      <c r="H218" s="376">
        <v>2</v>
      </c>
      <c r="I218" s="376">
        <v>2</v>
      </c>
      <c r="J218" s="376">
        <v>3</v>
      </c>
      <c r="K218" s="376">
        <v>3</v>
      </c>
      <c r="L218" s="377">
        <v>2</v>
      </c>
      <c r="M218" s="378">
        <f t="shared" si="6"/>
        <v>0.60108474454521421</v>
      </c>
      <c r="N218" s="255"/>
    </row>
    <row r="219" spans="1:14" hidden="1" x14ac:dyDescent="0.2">
      <c r="A219" s="246" t="s">
        <v>223</v>
      </c>
      <c r="B219" s="459" t="s">
        <v>554</v>
      </c>
      <c r="C219" s="422" t="s">
        <v>42</v>
      </c>
      <c r="D219" s="248" t="s">
        <v>135</v>
      </c>
      <c r="E219" s="249">
        <v>6.4959400374765782E-6</v>
      </c>
      <c r="F219" s="374" t="s">
        <v>553</v>
      </c>
      <c r="G219" s="251" t="s">
        <v>16</v>
      </c>
      <c r="H219" s="376">
        <v>2</v>
      </c>
      <c r="I219" s="376">
        <v>2</v>
      </c>
      <c r="J219" s="376">
        <v>3</v>
      </c>
      <c r="K219" s="376">
        <v>3</v>
      </c>
      <c r="L219" s="377">
        <v>2</v>
      </c>
      <c r="M219" s="378">
        <f t="shared" si="6"/>
        <v>0.60108474454521421</v>
      </c>
      <c r="N219" s="255"/>
    </row>
    <row r="220" spans="1:14" hidden="1" x14ac:dyDescent="0.2">
      <c r="A220" s="246" t="s">
        <v>223</v>
      </c>
      <c r="B220" s="653" t="s">
        <v>552</v>
      </c>
      <c r="C220" s="422" t="s">
        <v>43</v>
      </c>
      <c r="D220" s="248" t="s">
        <v>135</v>
      </c>
      <c r="E220" s="249">
        <v>6.2311055590256086E-3</v>
      </c>
      <c r="F220" s="374" t="s">
        <v>553</v>
      </c>
      <c r="G220" s="251" t="s">
        <v>16</v>
      </c>
      <c r="H220" s="376">
        <v>2</v>
      </c>
      <c r="I220" s="376">
        <v>2</v>
      </c>
      <c r="J220" s="376">
        <v>3</v>
      </c>
      <c r="K220" s="376">
        <v>3</v>
      </c>
      <c r="L220" s="377">
        <v>2</v>
      </c>
      <c r="M220" s="378">
        <f t="shared" si="6"/>
        <v>0.60108474454521421</v>
      </c>
      <c r="N220" s="255"/>
    </row>
    <row r="221" spans="1:14" hidden="1" x14ac:dyDescent="0.2">
      <c r="A221" s="246" t="s">
        <v>223</v>
      </c>
      <c r="B221" s="459" t="s">
        <v>554</v>
      </c>
      <c r="C221" s="422" t="s">
        <v>43</v>
      </c>
      <c r="D221" s="248" t="s">
        <v>135</v>
      </c>
      <c r="E221" s="249">
        <v>1.074328544659588E-5</v>
      </c>
      <c r="F221" s="374" t="s">
        <v>553</v>
      </c>
      <c r="G221" s="251" t="s">
        <v>16</v>
      </c>
      <c r="H221" s="376">
        <v>2</v>
      </c>
      <c r="I221" s="376">
        <v>2</v>
      </c>
      <c r="J221" s="376">
        <v>3</v>
      </c>
      <c r="K221" s="376">
        <v>3</v>
      </c>
      <c r="L221" s="377">
        <v>2</v>
      </c>
      <c r="M221" s="378">
        <f t="shared" si="6"/>
        <v>0.60108474454521421</v>
      </c>
      <c r="N221" s="255"/>
    </row>
    <row r="222" spans="1:14" hidden="1" x14ac:dyDescent="0.2">
      <c r="A222" s="246" t="s">
        <v>223</v>
      </c>
      <c r="B222" s="653" t="s">
        <v>552</v>
      </c>
      <c r="C222" s="422" t="s">
        <v>45</v>
      </c>
      <c r="D222" s="248" t="s">
        <v>135</v>
      </c>
      <c r="E222" s="249">
        <v>1.08682073703935E-3</v>
      </c>
      <c r="F222" s="374" t="s">
        <v>553</v>
      </c>
      <c r="G222" s="251" t="s">
        <v>16</v>
      </c>
      <c r="H222" s="376">
        <v>2</v>
      </c>
      <c r="I222" s="376">
        <v>2</v>
      </c>
      <c r="J222" s="376">
        <v>3</v>
      </c>
      <c r="K222" s="376">
        <v>3</v>
      </c>
      <c r="L222" s="377">
        <v>2</v>
      </c>
      <c r="M222" s="378">
        <f t="shared" si="6"/>
        <v>0.60108474454521421</v>
      </c>
      <c r="N222" s="255"/>
    </row>
    <row r="223" spans="1:14" hidden="1" x14ac:dyDescent="0.2">
      <c r="A223" s="246" t="s">
        <v>223</v>
      </c>
      <c r="B223" s="459" t="s">
        <v>554</v>
      </c>
      <c r="C223" s="422" t="s">
        <v>45</v>
      </c>
      <c r="D223" s="248" t="s">
        <v>135</v>
      </c>
      <c r="E223" s="249">
        <v>1.873828856964397E-6</v>
      </c>
      <c r="F223" s="374" t="s">
        <v>553</v>
      </c>
      <c r="G223" s="251" t="s">
        <v>16</v>
      </c>
      <c r="H223" s="376">
        <v>2</v>
      </c>
      <c r="I223" s="376">
        <v>2</v>
      </c>
      <c r="J223" s="376">
        <v>3</v>
      </c>
      <c r="K223" s="376">
        <v>3</v>
      </c>
      <c r="L223" s="377">
        <v>2</v>
      </c>
      <c r="M223" s="378">
        <f t="shared" si="6"/>
        <v>0.60108474454521421</v>
      </c>
      <c r="N223" s="255"/>
    </row>
    <row r="224" spans="1:14" hidden="1" x14ac:dyDescent="0.2">
      <c r="A224" s="246" t="s">
        <v>223</v>
      </c>
      <c r="B224" s="653" t="s">
        <v>552</v>
      </c>
      <c r="C224" s="422" t="s">
        <v>46</v>
      </c>
      <c r="D224" s="248" t="s">
        <v>135</v>
      </c>
      <c r="E224" s="249">
        <v>5.7239225484072452E-3</v>
      </c>
      <c r="F224" s="374" t="s">
        <v>553</v>
      </c>
      <c r="G224" s="251" t="s">
        <v>16</v>
      </c>
      <c r="H224" s="376">
        <v>2</v>
      </c>
      <c r="I224" s="376">
        <v>2</v>
      </c>
      <c r="J224" s="376">
        <v>3</v>
      </c>
      <c r="K224" s="376">
        <v>3</v>
      </c>
      <c r="L224" s="377">
        <v>2</v>
      </c>
      <c r="M224" s="378">
        <f t="shared" si="6"/>
        <v>0.60108474454521421</v>
      </c>
      <c r="N224" s="255"/>
    </row>
    <row r="225" spans="1:14" hidden="1" x14ac:dyDescent="0.2">
      <c r="A225" s="246" t="s">
        <v>223</v>
      </c>
      <c r="B225" s="459" t="s">
        <v>554</v>
      </c>
      <c r="C225" s="422" t="s">
        <v>46</v>
      </c>
      <c r="D225" s="248" t="s">
        <v>135</v>
      </c>
      <c r="E225" s="249">
        <v>9.8688319800124927E-6</v>
      </c>
      <c r="F225" s="374" t="s">
        <v>553</v>
      </c>
      <c r="G225" s="251" t="s">
        <v>16</v>
      </c>
      <c r="H225" s="376">
        <v>2</v>
      </c>
      <c r="I225" s="376">
        <v>2</v>
      </c>
      <c r="J225" s="376">
        <v>3</v>
      </c>
      <c r="K225" s="376">
        <v>3</v>
      </c>
      <c r="L225" s="377">
        <v>2</v>
      </c>
      <c r="M225" s="378">
        <f t="shared" si="6"/>
        <v>0.60108474454521421</v>
      </c>
      <c r="N225" s="255"/>
    </row>
    <row r="226" spans="1:14" hidden="1" x14ac:dyDescent="0.2">
      <c r="A226" s="246" t="s">
        <v>223</v>
      </c>
      <c r="B226" s="653" t="s">
        <v>552</v>
      </c>
      <c r="C226" s="422" t="s">
        <v>48</v>
      </c>
      <c r="D226" s="248" t="s">
        <v>135</v>
      </c>
      <c r="E226" s="249">
        <v>5.6514678326046218E-3</v>
      </c>
      <c r="F226" s="374" t="s">
        <v>553</v>
      </c>
      <c r="G226" s="251" t="s">
        <v>16</v>
      </c>
      <c r="H226" s="376">
        <v>2</v>
      </c>
      <c r="I226" s="376">
        <v>2</v>
      </c>
      <c r="J226" s="376">
        <v>3</v>
      </c>
      <c r="K226" s="376">
        <v>3</v>
      </c>
      <c r="L226" s="377">
        <v>2</v>
      </c>
      <c r="M226" s="378">
        <f t="shared" si="6"/>
        <v>0.60108474454521421</v>
      </c>
      <c r="N226" s="255"/>
    </row>
    <row r="227" spans="1:14" hidden="1" x14ac:dyDescent="0.2">
      <c r="A227" s="246" t="s">
        <v>223</v>
      </c>
      <c r="B227" s="459" t="s">
        <v>554</v>
      </c>
      <c r="C227" s="422" t="s">
        <v>48</v>
      </c>
      <c r="D227" s="248" t="s">
        <v>135</v>
      </c>
      <c r="E227" s="249">
        <v>9.7439100562148669E-6</v>
      </c>
      <c r="F227" s="374" t="s">
        <v>553</v>
      </c>
      <c r="G227" s="251" t="s">
        <v>16</v>
      </c>
      <c r="H227" s="376">
        <v>2</v>
      </c>
      <c r="I227" s="376">
        <v>2</v>
      </c>
      <c r="J227" s="376">
        <v>3</v>
      </c>
      <c r="K227" s="376">
        <v>3</v>
      </c>
      <c r="L227" s="377">
        <v>2</v>
      </c>
      <c r="M227" s="378">
        <f t="shared" si="6"/>
        <v>0.60108474454521421</v>
      </c>
      <c r="N227" s="255"/>
    </row>
    <row r="228" spans="1:14" hidden="1" x14ac:dyDescent="0.2">
      <c r="A228" s="246" t="s">
        <v>223</v>
      </c>
      <c r="B228" s="653" t="s">
        <v>552</v>
      </c>
      <c r="C228" s="422" t="s">
        <v>50</v>
      </c>
      <c r="D228" s="248" t="s">
        <v>135</v>
      </c>
      <c r="E228" s="249">
        <v>1.08682073703935E-3</v>
      </c>
      <c r="F228" s="374" t="s">
        <v>553</v>
      </c>
      <c r="G228" s="251" t="s">
        <v>16</v>
      </c>
      <c r="H228" s="376">
        <v>2</v>
      </c>
      <c r="I228" s="376">
        <v>2</v>
      </c>
      <c r="J228" s="376">
        <v>3</v>
      </c>
      <c r="K228" s="376">
        <v>3</v>
      </c>
      <c r="L228" s="377">
        <v>2</v>
      </c>
      <c r="M228" s="378">
        <f t="shared" si="6"/>
        <v>0.60108474454521421</v>
      </c>
      <c r="N228" s="255"/>
    </row>
    <row r="229" spans="1:14" hidden="1" x14ac:dyDescent="0.2">
      <c r="A229" s="246" t="s">
        <v>223</v>
      </c>
      <c r="B229" s="459" t="s">
        <v>554</v>
      </c>
      <c r="C229" s="422" t="s">
        <v>50</v>
      </c>
      <c r="D229" s="248" t="s">
        <v>135</v>
      </c>
      <c r="E229" s="249">
        <v>1.873828856964397E-6</v>
      </c>
      <c r="F229" s="374" t="s">
        <v>553</v>
      </c>
      <c r="G229" s="251" t="s">
        <v>16</v>
      </c>
      <c r="H229" s="376">
        <v>2</v>
      </c>
      <c r="I229" s="376">
        <v>2</v>
      </c>
      <c r="J229" s="376">
        <v>3</v>
      </c>
      <c r="K229" s="376">
        <v>3</v>
      </c>
      <c r="L229" s="377">
        <v>2</v>
      </c>
      <c r="M229" s="378">
        <f t="shared" ref="M229:M259" si="7">IF( OR( ISBLANK(H229),ISBLANK(I229), ISBLANK(J229), ISBLANK(K229), ISBLANK(L229) ), "", 1.5*SQRT( EXP(2.21*(H229-1)) + EXP(2.21*(I229-1)) + EXP(2.21*(J229-1)) + EXP(2.21*(K229-1)) + EXP(2.21*L229) )/100*2.45 )</f>
        <v>0.60108474454521421</v>
      </c>
      <c r="N229" s="255"/>
    </row>
    <row r="230" spans="1:14" hidden="1" x14ac:dyDescent="0.2">
      <c r="A230" s="246" t="s">
        <v>223</v>
      </c>
      <c r="B230" s="653" t="s">
        <v>552</v>
      </c>
      <c r="C230" s="422" t="s">
        <v>52</v>
      </c>
      <c r="D230" s="248" t="s">
        <v>135</v>
      </c>
      <c r="E230" s="249">
        <v>5.7239225484072452E-3</v>
      </c>
      <c r="F230" s="374" t="s">
        <v>553</v>
      </c>
      <c r="G230" s="251" t="s">
        <v>16</v>
      </c>
      <c r="H230" s="376">
        <v>2</v>
      </c>
      <c r="I230" s="376">
        <v>2</v>
      </c>
      <c r="J230" s="376">
        <v>3</v>
      </c>
      <c r="K230" s="376">
        <v>3</v>
      </c>
      <c r="L230" s="377">
        <v>2</v>
      </c>
      <c r="M230" s="378">
        <f t="shared" si="7"/>
        <v>0.60108474454521421</v>
      </c>
      <c r="N230" s="255"/>
    </row>
    <row r="231" spans="1:14" hidden="1" x14ac:dyDescent="0.2">
      <c r="A231" s="246" t="s">
        <v>223</v>
      </c>
      <c r="B231" s="459" t="s">
        <v>554</v>
      </c>
      <c r="C231" s="422" t="s">
        <v>52</v>
      </c>
      <c r="D231" s="248" t="s">
        <v>135</v>
      </c>
      <c r="E231" s="249">
        <v>9.8688319800124927E-6</v>
      </c>
      <c r="F231" s="374" t="s">
        <v>553</v>
      </c>
      <c r="G231" s="251" t="s">
        <v>16</v>
      </c>
      <c r="H231" s="376">
        <v>2</v>
      </c>
      <c r="I231" s="376">
        <v>2</v>
      </c>
      <c r="J231" s="376">
        <v>3</v>
      </c>
      <c r="K231" s="376">
        <v>3</v>
      </c>
      <c r="L231" s="377">
        <v>2</v>
      </c>
      <c r="M231" s="378">
        <f t="shared" si="7"/>
        <v>0.60108474454521421</v>
      </c>
      <c r="N231" s="255"/>
    </row>
    <row r="232" spans="1:14" hidden="1" x14ac:dyDescent="0.2">
      <c r="A232" s="246" t="s">
        <v>223</v>
      </c>
      <c r="B232" s="653" t="s">
        <v>552</v>
      </c>
      <c r="C232" s="422" t="s">
        <v>54</v>
      </c>
      <c r="D232" s="248" t="s">
        <v>135</v>
      </c>
      <c r="E232" s="249">
        <v>5.7239225484072452E-3</v>
      </c>
      <c r="F232" s="374" t="s">
        <v>553</v>
      </c>
      <c r="G232" s="251" t="s">
        <v>16</v>
      </c>
      <c r="H232" s="376">
        <v>2</v>
      </c>
      <c r="I232" s="376">
        <v>2</v>
      </c>
      <c r="J232" s="376">
        <v>3</v>
      </c>
      <c r="K232" s="376">
        <v>3</v>
      </c>
      <c r="L232" s="377">
        <v>2</v>
      </c>
      <c r="M232" s="378">
        <f t="shared" si="7"/>
        <v>0.60108474454521421</v>
      </c>
      <c r="N232" s="255"/>
    </row>
    <row r="233" spans="1:14" hidden="1" x14ac:dyDescent="0.2">
      <c r="A233" s="246" t="s">
        <v>223</v>
      </c>
      <c r="B233" s="459" t="s">
        <v>554</v>
      </c>
      <c r="C233" s="422" t="s">
        <v>54</v>
      </c>
      <c r="D233" s="248" t="s">
        <v>135</v>
      </c>
      <c r="E233" s="249">
        <v>9.8688319800124927E-6</v>
      </c>
      <c r="F233" s="374" t="s">
        <v>553</v>
      </c>
      <c r="G233" s="251" t="s">
        <v>16</v>
      </c>
      <c r="H233" s="376">
        <v>2</v>
      </c>
      <c r="I233" s="376">
        <v>2</v>
      </c>
      <c r="J233" s="376">
        <v>3</v>
      </c>
      <c r="K233" s="376">
        <v>3</v>
      </c>
      <c r="L233" s="377">
        <v>2</v>
      </c>
      <c r="M233" s="378">
        <f t="shared" si="7"/>
        <v>0.60108474454521421</v>
      </c>
      <c r="N233" s="255"/>
    </row>
    <row r="234" spans="1:14" hidden="1" x14ac:dyDescent="0.2">
      <c r="A234" s="246" t="s">
        <v>223</v>
      </c>
      <c r="B234" s="653" t="s">
        <v>552</v>
      </c>
      <c r="C234" s="422" t="s">
        <v>55</v>
      </c>
      <c r="D234" s="248" t="s">
        <v>135</v>
      </c>
      <c r="E234" s="249">
        <v>5.6514678326046218E-3</v>
      </c>
      <c r="F234" s="374" t="s">
        <v>553</v>
      </c>
      <c r="G234" s="251" t="s">
        <v>16</v>
      </c>
      <c r="H234" s="376">
        <v>2</v>
      </c>
      <c r="I234" s="376">
        <v>2</v>
      </c>
      <c r="J234" s="376">
        <v>3</v>
      </c>
      <c r="K234" s="376">
        <v>3</v>
      </c>
      <c r="L234" s="377">
        <v>2</v>
      </c>
      <c r="M234" s="378">
        <f t="shared" si="7"/>
        <v>0.60108474454521421</v>
      </c>
      <c r="N234" s="255"/>
    </row>
    <row r="235" spans="1:14" hidden="1" x14ac:dyDescent="0.2">
      <c r="A235" s="246" t="s">
        <v>223</v>
      </c>
      <c r="B235" s="459" t="s">
        <v>554</v>
      </c>
      <c r="C235" s="422" t="s">
        <v>55</v>
      </c>
      <c r="D235" s="248" t="s">
        <v>135</v>
      </c>
      <c r="E235" s="249">
        <v>9.7439100562148669E-6</v>
      </c>
      <c r="F235" s="374" t="s">
        <v>553</v>
      </c>
      <c r="G235" s="251" t="s">
        <v>16</v>
      </c>
      <c r="H235" s="376">
        <v>2</v>
      </c>
      <c r="I235" s="376">
        <v>2</v>
      </c>
      <c r="J235" s="376">
        <v>3</v>
      </c>
      <c r="K235" s="376">
        <v>3</v>
      </c>
      <c r="L235" s="377">
        <v>2</v>
      </c>
      <c r="M235" s="378">
        <f t="shared" si="7"/>
        <v>0.60108474454521421</v>
      </c>
      <c r="N235" s="255"/>
    </row>
    <row r="236" spans="1:14" hidden="1" x14ac:dyDescent="0.2">
      <c r="A236" s="246" t="s">
        <v>223</v>
      </c>
      <c r="B236" s="653" t="s">
        <v>552</v>
      </c>
      <c r="C236" s="422" t="s">
        <v>57</v>
      </c>
      <c r="D236" s="248" t="s">
        <v>135</v>
      </c>
      <c r="E236" s="249">
        <v>5.9412866958151152E-3</v>
      </c>
      <c r="F236" s="374" t="s">
        <v>553</v>
      </c>
      <c r="G236" s="375" t="s">
        <v>16</v>
      </c>
      <c r="H236" s="376">
        <v>2</v>
      </c>
      <c r="I236" s="376">
        <v>2</v>
      </c>
      <c r="J236" s="376">
        <v>3</v>
      </c>
      <c r="K236" s="376">
        <v>3</v>
      </c>
      <c r="L236" s="377">
        <v>2</v>
      </c>
      <c r="M236" s="254">
        <f t="shared" si="7"/>
        <v>0.60108474454521421</v>
      </c>
      <c r="N236" s="255"/>
    </row>
    <row r="237" spans="1:14" hidden="1" x14ac:dyDescent="0.2">
      <c r="A237" s="246" t="s">
        <v>223</v>
      </c>
      <c r="B237" s="459" t="s">
        <v>554</v>
      </c>
      <c r="C237" s="422" t="s">
        <v>57</v>
      </c>
      <c r="D237" s="248" t="s">
        <v>135</v>
      </c>
      <c r="E237" s="249">
        <v>1.024359775140537E-5</v>
      </c>
      <c r="F237" s="374" t="s">
        <v>553</v>
      </c>
      <c r="G237" s="251" t="s">
        <v>16</v>
      </c>
      <c r="H237" s="376">
        <v>2</v>
      </c>
      <c r="I237" s="376">
        <v>2</v>
      </c>
      <c r="J237" s="376">
        <v>3</v>
      </c>
      <c r="K237" s="376">
        <v>3</v>
      </c>
      <c r="L237" s="377">
        <v>2</v>
      </c>
      <c r="M237" s="378">
        <f t="shared" si="7"/>
        <v>0.60108474454521421</v>
      </c>
      <c r="N237" s="255"/>
    </row>
    <row r="238" spans="1:14" hidden="1" x14ac:dyDescent="0.2">
      <c r="A238" s="246" t="s">
        <v>223</v>
      </c>
      <c r="B238" s="653" t="s">
        <v>552</v>
      </c>
      <c r="C238" s="422" t="s">
        <v>59</v>
      </c>
      <c r="D238" s="248" t="s">
        <v>135</v>
      </c>
      <c r="E238" s="249">
        <v>1.1599999999999999E-2</v>
      </c>
      <c r="F238" s="374" t="s">
        <v>360</v>
      </c>
      <c r="G238" s="375"/>
      <c r="H238" s="376">
        <v>2</v>
      </c>
      <c r="I238" s="376">
        <v>2</v>
      </c>
      <c r="J238" s="376">
        <v>3</v>
      </c>
      <c r="K238" s="376">
        <v>3</v>
      </c>
      <c r="L238" s="377">
        <v>2</v>
      </c>
      <c r="M238" s="254">
        <f t="shared" si="7"/>
        <v>0.60108474454521421</v>
      </c>
      <c r="N238" s="255"/>
    </row>
    <row r="239" spans="1:14" hidden="1" x14ac:dyDescent="0.2">
      <c r="A239" s="246" t="s">
        <v>223</v>
      </c>
      <c r="B239" s="459" t="s">
        <v>554</v>
      </c>
      <c r="C239" s="422" t="s">
        <v>59</v>
      </c>
      <c r="D239" s="248" t="s">
        <v>135</v>
      </c>
      <c r="E239" s="249">
        <v>2.0000000000000002E-5</v>
      </c>
      <c r="F239" s="374" t="s">
        <v>360</v>
      </c>
      <c r="G239" s="251"/>
      <c r="H239" s="376">
        <v>2</v>
      </c>
      <c r="I239" s="376">
        <v>2</v>
      </c>
      <c r="J239" s="376">
        <v>3</v>
      </c>
      <c r="K239" s="376">
        <v>3</v>
      </c>
      <c r="L239" s="377">
        <v>2</v>
      </c>
      <c r="M239" s="378">
        <f t="shared" si="7"/>
        <v>0.60108474454521421</v>
      </c>
      <c r="N239" s="255"/>
    </row>
    <row r="240" spans="1:14" hidden="1" x14ac:dyDescent="0.2">
      <c r="A240" s="246" t="s">
        <v>223</v>
      </c>
      <c r="B240" s="653" t="s">
        <v>552</v>
      </c>
      <c r="C240" s="422" t="s">
        <v>60</v>
      </c>
      <c r="D240" s="248" t="s">
        <v>135</v>
      </c>
      <c r="E240" s="249">
        <v>4.7095565271705183E-3</v>
      </c>
      <c r="F240" s="374" t="s">
        <v>553</v>
      </c>
      <c r="G240" s="375" t="s">
        <v>16</v>
      </c>
      <c r="H240" s="376">
        <v>2</v>
      </c>
      <c r="I240" s="376">
        <v>2</v>
      </c>
      <c r="J240" s="376">
        <v>3</v>
      </c>
      <c r="K240" s="376">
        <v>3</v>
      </c>
      <c r="L240" s="377">
        <v>2</v>
      </c>
      <c r="M240" s="254">
        <f t="shared" si="7"/>
        <v>0.60108474454521421</v>
      </c>
      <c r="N240" s="255"/>
    </row>
    <row r="241" spans="1:14" hidden="1" x14ac:dyDescent="0.2">
      <c r="A241" s="246" t="s">
        <v>223</v>
      </c>
      <c r="B241" s="513" t="s">
        <v>554</v>
      </c>
      <c r="C241" s="427" t="s">
        <v>60</v>
      </c>
      <c r="D241" s="441" t="s">
        <v>135</v>
      </c>
      <c r="E241" s="288">
        <v>8.119925046845723E-6</v>
      </c>
      <c r="F241" s="399" t="s">
        <v>553</v>
      </c>
      <c r="G241" s="290" t="s">
        <v>16</v>
      </c>
      <c r="H241" s="398">
        <v>2</v>
      </c>
      <c r="I241" s="398">
        <v>2</v>
      </c>
      <c r="J241" s="398">
        <v>3</v>
      </c>
      <c r="K241" s="398">
        <v>3</v>
      </c>
      <c r="L241" s="407">
        <v>2</v>
      </c>
      <c r="M241" s="408">
        <f t="shared" si="7"/>
        <v>0.60108474454521421</v>
      </c>
      <c r="N241" s="294"/>
    </row>
    <row r="242" spans="1:14" x14ac:dyDescent="0.2">
      <c r="A242" s="444" t="s">
        <v>231</v>
      </c>
      <c r="B242" s="652" t="s">
        <v>552</v>
      </c>
      <c r="C242" s="422" t="s">
        <v>13</v>
      </c>
      <c r="D242" s="433" t="s">
        <v>135</v>
      </c>
      <c r="E242" s="266">
        <v>6.1948782011242973E-2</v>
      </c>
      <c r="F242" s="389" t="s">
        <v>553</v>
      </c>
      <c r="G242" s="390" t="s">
        <v>16</v>
      </c>
      <c r="H242" s="391">
        <v>2</v>
      </c>
      <c r="I242" s="391">
        <v>2</v>
      </c>
      <c r="J242" s="391">
        <v>3</v>
      </c>
      <c r="K242" s="391">
        <v>3</v>
      </c>
      <c r="L242" s="392">
        <v>2</v>
      </c>
      <c r="M242" s="271">
        <f t="shared" si="7"/>
        <v>0.60108474454521421</v>
      </c>
      <c r="N242" s="272"/>
    </row>
    <row r="243" spans="1:14" x14ac:dyDescent="0.2">
      <c r="A243" s="246" t="s">
        <v>231</v>
      </c>
      <c r="B243" s="459" t="s">
        <v>554</v>
      </c>
      <c r="C243" s="422" t="s">
        <v>13</v>
      </c>
      <c r="D243" s="248" t="s">
        <v>135</v>
      </c>
      <c r="E243" s="249">
        <v>1.08682073703935E-4</v>
      </c>
      <c r="F243" s="374" t="s">
        <v>553</v>
      </c>
      <c r="G243" s="251" t="s">
        <v>16</v>
      </c>
      <c r="H243" s="376">
        <v>2</v>
      </c>
      <c r="I243" s="376">
        <v>2</v>
      </c>
      <c r="J243" s="376">
        <v>3</v>
      </c>
      <c r="K243" s="376">
        <v>3</v>
      </c>
      <c r="L243" s="377">
        <v>2</v>
      </c>
      <c r="M243" s="378">
        <f t="shared" si="7"/>
        <v>0.60108474454521421</v>
      </c>
      <c r="N243" s="255"/>
    </row>
    <row r="244" spans="1:14" hidden="1" x14ac:dyDescent="0.2">
      <c r="A244" s="246" t="s">
        <v>231</v>
      </c>
      <c r="B244" s="653" t="s">
        <v>552</v>
      </c>
      <c r="C244" s="422" t="s">
        <v>18</v>
      </c>
      <c r="D244" s="248" t="s">
        <v>135</v>
      </c>
      <c r="E244" s="249">
        <v>5.4116177389131791E-2</v>
      </c>
      <c r="F244" s="374" t="s">
        <v>553</v>
      </c>
      <c r="G244" s="251" t="s">
        <v>16</v>
      </c>
      <c r="H244" s="376">
        <v>2</v>
      </c>
      <c r="I244" s="376">
        <v>2</v>
      </c>
      <c r="J244" s="376">
        <v>3</v>
      </c>
      <c r="K244" s="376">
        <v>3</v>
      </c>
      <c r="L244" s="377">
        <v>2</v>
      </c>
      <c r="M244" s="378">
        <f t="shared" si="7"/>
        <v>0.60108474454521421</v>
      </c>
      <c r="N244" s="255"/>
    </row>
    <row r="245" spans="1:14" hidden="1" x14ac:dyDescent="0.2">
      <c r="A245" s="246" t="s">
        <v>231</v>
      </c>
      <c r="B245" s="459" t="s">
        <v>554</v>
      </c>
      <c r="C245" s="422" t="s">
        <v>18</v>
      </c>
      <c r="D245" s="248" t="s">
        <v>135</v>
      </c>
      <c r="E245" s="249">
        <v>9.4940662086196126E-5</v>
      </c>
      <c r="F245" s="374" t="s">
        <v>553</v>
      </c>
      <c r="G245" s="251" t="s">
        <v>16</v>
      </c>
      <c r="H245" s="376">
        <v>2</v>
      </c>
      <c r="I245" s="376">
        <v>2</v>
      </c>
      <c r="J245" s="376">
        <v>3</v>
      </c>
      <c r="K245" s="376">
        <v>3</v>
      </c>
      <c r="L245" s="377">
        <v>2</v>
      </c>
      <c r="M245" s="378">
        <f t="shared" si="7"/>
        <v>0.60108474454521421</v>
      </c>
      <c r="N245" s="255"/>
    </row>
    <row r="246" spans="1:14" hidden="1" x14ac:dyDescent="0.2">
      <c r="A246" s="246" t="s">
        <v>231</v>
      </c>
      <c r="B246" s="653" t="s">
        <v>552</v>
      </c>
      <c r="C246" s="422" t="s">
        <v>20</v>
      </c>
      <c r="D246" s="248" t="s">
        <v>135</v>
      </c>
      <c r="E246" s="249">
        <v>3.5602748282323551E-3</v>
      </c>
      <c r="F246" s="374" t="s">
        <v>553</v>
      </c>
      <c r="G246" s="251" t="s">
        <v>16</v>
      </c>
      <c r="H246" s="376">
        <v>2</v>
      </c>
      <c r="I246" s="376">
        <v>2</v>
      </c>
      <c r="J246" s="376">
        <v>3</v>
      </c>
      <c r="K246" s="376">
        <v>3</v>
      </c>
      <c r="L246" s="377">
        <v>2</v>
      </c>
      <c r="M246" s="378">
        <f t="shared" si="7"/>
        <v>0.60108474454521421</v>
      </c>
      <c r="N246" s="255"/>
    </row>
    <row r="247" spans="1:14" hidden="1" x14ac:dyDescent="0.2">
      <c r="A247" s="246" t="s">
        <v>231</v>
      </c>
      <c r="B247" s="459" t="s">
        <v>554</v>
      </c>
      <c r="C247" s="422" t="s">
        <v>20</v>
      </c>
      <c r="D247" s="248" t="s">
        <v>135</v>
      </c>
      <c r="E247" s="249">
        <v>6.2460961898813241E-6</v>
      </c>
      <c r="F247" s="374" t="s">
        <v>553</v>
      </c>
      <c r="G247" s="251" t="s">
        <v>16</v>
      </c>
      <c r="H247" s="376">
        <v>2</v>
      </c>
      <c r="I247" s="376">
        <v>2</v>
      </c>
      <c r="J247" s="376">
        <v>3</v>
      </c>
      <c r="K247" s="376">
        <v>3</v>
      </c>
      <c r="L247" s="377">
        <v>2</v>
      </c>
      <c r="M247" s="378">
        <f t="shared" si="7"/>
        <v>0.60108474454521421</v>
      </c>
      <c r="N247" s="255"/>
    </row>
    <row r="248" spans="1:14" hidden="1" x14ac:dyDescent="0.2">
      <c r="A248" s="246" t="s">
        <v>231</v>
      </c>
      <c r="B248" s="653" t="s">
        <v>552</v>
      </c>
      <c r="C248" s="422" t="s">
        <v>22</v>
      </c>
      <c r="D248" s="248" t="s">
        <v>135</v>
      </c>
      <c r="E248" s="249">
        <v>8.5446595877576529E-3</v>
      </c>
      <c r="F248" s="374" t="s">
        <v>553</v>
      </c>
      <c r="G248" s="251" t="s">
        <v>16</v>
      </c>
      <c r="H248" s="376">
        <v>2</v>
      </c>
      <c r="I248" s="376">
        <v>2</v>
      </c>
      <c r="J248" s="376">
        <v>3</v>
      </c>
      <c r="K248" s="376">
        <v>3</v>
      </c>
      <c r="L248" s="377">
        <v>2</v>
      </c>
      <c r="M248" s="378">
        <f t="shared" si="7"/>
        <v>0.60108474454521421</v>
      </c>
      <c r="N248" s="255"/>
    </row>
    <row r="249" spans="1:14" hidden="1" x14ac:dyDescent="0.2">
      <c r="A249" s="246" t="s">
        <v>231</v>
      </c>
      <c r="B249" s="459" t="s">
        <v>554</v>
      </c>
      <c r="C249" s="422" t="s">
        <v>22</v>
      </c>
      <c r="D249" s="248" t="s">
        <v>135</v>
      </c>
      <c r="E249" s="249">
        <v>1.4990630855715179E-5</v>
      </c>
      <c r="F249" s="374" t="s">
        <v>553</v>
      </c>
      <c r="G249" s="251" t="s">
        <v>16</v>
      </c>
      <c r="H249" s="376">
        <v>2</v>
      </c>
      <c r="I249" s="376">
        <v>2</v>
      </c>
      <c r="J249" s="376">
        <v>3</v>
      </c>
      <c r="K249" s="376">
        <v>3</v>
      </c>
      <c r="L249" s="377">
        <v>2</v>
      </c>
      <c r="M249" s="378">
        <f t="shared" si="7"/>
        <v>0.60108474454521421</v>
      </c>
      <c r="N249" s="255"/>
    </row>
    <row r="250" spans="1:14" hidden="1" x14ac:dyDescent="0.2">
      <c r="A250" s="246" t="s">
        <v>231</v>
      </c>
      <c r="B250" s="653" t="s">
        <v>552</v>
      </c>
      <c r="C250" s="422" t="s">
        <v>23</v>
      </c>
      <c r="D250" s="248" t="s">
        <v>135</v>
      </c>
      <c r="E250" s="249">
        <v>3.9163023110555901E-3</v>
      </c>
      <c r="F250" s="374" t="s">
        <v>553</v>
      </c>
      <c r="G250" s="251" t="s">
        <v>16</v>
      </c>
      <c r="H250" s="376">
        <v>2</v>
      </c>
      <c r="I250" s="376">
        <v>2</v>
      </c>
      <c r="J250" s="376">
        <v>3</v>
      </c>
      <c r="K250" s="376">
        <v>3</v>
      </c>
      <c r="L250" s="377">
        <v>2</v>
      </c>
      <c r="M250" s="378">
        <f t="shared" si="7"/>
        <v>0.60108474454521421</v>
      </c>
      <c r="N250" s="255"/>
    </row>
    <row r="251" spans="1:14" hidden="1" x14ac:dyDescent="0.2">
      <c r="A251" s="246" t="s">
        <v>231</v>
      </c>
      <c r="B251" s="459" t="s">
        <v>554</v>
      </c>
      <c r="C251" s="422" t="s">
        <v>23</v>
      </c>
      <c r="D251" s="248" t="s">
        <v>135</v>
      </c>
      <c r="E251" s="249">
        <v>6.8707058088694573E-6</v>
      </c>
      <c r="F251" s="374" t="s">
        <v>553</v>
      </c>
      <c r="G251" s="251" t="s">
        <v>16</v>
      </c>
      <c r="H251" s="376">
        <v>2</v>
      </c>
      <c r="I251" s="376">
        <v>2</v>
      </c>
      <c r="J251" s="376">
        <v>3</v>
      </c>
      <c r="K251" s="376">
        <v>3</v>
      </c>
      <c r="L251" s="377">
        <v>2</v>
      </c>
      <c r="M251" s="378">
        <f t="shared" si="7"/>
        <v>0.60108474454521421</v>
      </c>
      <c r="N251" s="255"/>
    </row>
    <row r="252" spans="1:14" hidden="1" x14ac:dyDescent="0.2">
      <c r="A252" s="246" t="s">
        <v>231</v>
      </c>
      <c r="B252" s="653" t="s">
        <v>552</v>
      </c>
      <c r="C252" s="422" t="s">
        <v>24</v>
      </c>
      <c r="D252" s="248" t="s">
        <v>135</v>
      </c>
      <c r="E252" s="249">
        <v>2.5990006246096192E-2</v>
      </c>
      <c r="F252" s="374" t="s">
        <v>553</v>
      </c>
      <c r="G252" s="251" t="s">
        <v>16</v>
      </c>
      <c r="H252" s="376">
        <v>2</v>
      </c>
      <c r="I252" s="376">
        <v>2</v>
      </c>
      <c r="J252" s="376">
        <v>3</v>
      </c>
      <c r="K252" s="376">
        <v>3</v>
      </c>
      <c r="L252" s="377">
        <v>2</v>
      </c>
      <c r="M252" s="378">
        <f t="shared" si="7"/>
        <v>0.60108474454521421</v>
      </c>
      <c r="N252" s="255"/>
    </row>
    <row r="253" spans="1:14" hidden="1" x14ac:dyDescent="0.2">
      <c r="A253" s="246" t="s">
        <v>231</v>
      </c>
      <c r="B253" s="459" t="s">
        <v>554</v>
      </c>
      <c r="C253" s="422" t="s">
        <v>24</v>
      </c>
      <c r="D253" s="248" t="s">
        <v>135</v>
      </c>
      <c r="E253" s="249">
        <v>4.5596502186133669E-5</v>
      </c>
      <c r="F253" s="374" t="s">
        <v>553</v>
      </c>
      <c r="G253" s="251" t="s">
        <v>16</v>
      </c>
      <c r="H253" s="376">
        <v>2</v>
      </c>
      <c r="I253" s="376">
        <v>2</v>
      </c>
      <c r="J253" s="376">
        <v>3</v>
      </c>
      <c r="K253" s="376">
        <v>3</v>
      </c>
      <c r="L253" s="377">
        <v>2</v>
      </c>
      <c r="M253" s="378">
        <f t="shared" si="7"/>
        <v>0.60108474454521421</v>
      </c>
      <c r="N253" s="255"/>
    </row>
    <row r="254" spans="1:14" hidden="1" x14ac:dyDescent="0.2">
      <c r="A254" s="246" t="s">
        <v>231</v>
      </c>
      <c r="B254" s="653" t="s">
        <v>552</v>
      </c>
      <c r="C254" s="422" t="s">
        <v>25</v>
      </c>
      <c r="D254" s="248" t="s">
        <v>135</v>
      </c>
      <c r="E254" s="249">
        <v>7.1917551530293569E-2</v>
      </c>
      <c r="F254" s="374" t="s">
        <v>553</v>
      </c>
      <c r="G254" s="251" t="s">
        <v>16</v>
      </c>
      <c r="H254" s="376">
        <v>2</v>
      </c>
      <c r="I254" s="376">
        <v>2</v>
      </c>
      <c r="J254" s="376">
        <v>3</v>
      </c>
      <c r="K254" s="376">
        <v>3</v>
      </c>
      <c r="L254" s="377">
        <v>2</v>
      </c>
      <c r="M254" s="378">
        <f t="shared" si="7"/>
        <v>0.60108474454521421</v>
      </c>
      <c r="N254" s="255"/>
    </row>
    <row r="255" spans="1:14" hidden="1" x14ac:dyDescent="0.2">
      <c r="A255" s="246" t="s">
        <v>231</v>
      </c>
      <c r="B255" s="459" t="s">
        <v>554</v>
      </c>
      <c r="C255" s="422" t="s">
        <v>25</v>
      </c>
      <c r="D255" s="248" t="s">
        <v>135</v>
      </c>
      <c r="E255" s="249">
        <v>1.2617114303560279E-4</v>
      </c>
      <c r="F255" s="374" t="s">
        <v>553</v>
      </c>
      <c r="G255" s="251" t="s">
        <v>16</v>
      </c>
      <c r="H255" s="376">
        <v>2</v>
      </c>
      <c r="I255" s="376">
        <v>2</v>
      </c>
      <c r="J255" s="376">
        <v>3</v>
      </c>
      <c r="K255" s="376">
        <v>3</v>
      </c>
      <c r="L255" s="377">
        <v>2</v>
      </c>
      <c r="M255" s="378">
        <f t="shared" si="7"/>
        <v>0.60108474454521421</v>
      </c>
      <c r="N255" s="255"/>
    </row>
    <row r="256" spans="1:14" hidden="1" x14ac:dyDescent="0.2">
      <c r="A256" s="246" t="s">
        <v>231</v>
      </c>
      <c r="B256" s="653" t="s">
        <v>552</v>
      </c>
      <c r="C256" s="422" t="s">
        <v>26</v>
      </c>
      <c r="D256" s="248" t="s">
        <v>135</v>
      </c>
      <c r="E256" s="249">
        <v>5.3404122423485328E-3</v>
      </c>
      <c r="F256" s="374" t="s">
        <v>553</v>
      </c>
      <c r="G256" s="251" t="s">
        <v>16</v>
      </c>
      <c r="H256" s="376">
        <v>2</v>
      </c>
      <c r="I256" s="376">
        <v>2</v>
      </c>
      <c r="J256" s="376">
        <v>3</v>
      </c>
      <c r="K256" s="376">
        <v>3</v>
      </c>
      <c r="L256" s="377">
        <v>2</v>
      </c>
      <c r="M256" s="378">
        <f t="shared" si="7"/>
        <v>0.60108474454521421</v>
      </c>
      <c r="N256" s="255"/>
    </row>
    <row r="257" spans="1:14" hidden="1" x14ac:dyDescent="0.2">
      <c r="A257" s="246" t="s">
        <v>231</v>
      </c>
      <c r="B257" s="459" t="s">
        <v>554</v>
      </c>
      <c r="C257" s="422" t="s">
        <v>26</v>
      </c>
      <c r="D257" s="248" t="s">
        <v>135</v>
      </c>
      <c r="E257" s="249">
        <v>9.3691442848219878E-6</v>
      </c>
      <c r="F257" s="374" t="s">
        <v>553</v>
      </c>
      <c r="G257" s="251" t="s">
        <v>16</v>
      </c>
      <c r="H257" s="376">
        <v>2</v>
      </c>
      <c r="I257" s="376">
        <v>2</v>
      </c>
      <c r="J257" s="376">
        <v>3</v>
      </c>
      <c r="K257" s="376">
        <v>3</v>
      </c>
      <c r="L257" s="377">
        <v>2</v>
      </c>
      <c r="M257" s="378">
        <f t="shared" si="7"/>
        <v>0.60108474454521421</v>
      </c>
      <c r="N257" s="255"/>
    </row>
    <row r="258" spans="1:14" hidden="1" x14ac:dyDescent="0.2">
      <c r="A258" s="246" t="s">
        <v>231</v>
      </c>
      <c r="B258" s="653" t="s">
        <v>552</v>
      </c>
      <c r="C258" s="422" t="s">
        <v>27</v>
      </c>
      <c r="D258" s="248" t="s">
        <v>135</v>
      </c>
      <c r="E258" s="249">
        <v>2.741411617738913E-2</v>
      </c>
      <c r="F258" s="374" t="s">
        <v>553</v>
      </c>
      <c r="G258" s="251" t="s">
        <v>16</v>
      </c>
      <c r="H258" s="376">
        <v>2</v>
      </c>
      <c r="I258" s="376">
        <v>2</v>
      </c>
      <c r="J258" s="376">
        <v>3</v>
      </c>
      <c r="K258" s="376">
        <v>3</v>
      </c>
      <c r="L258" s="377">
        <v>2</v>
      </c>
      <c r="M258" s="378">
        <f t="shared" si="7"/>
        <v>0.60108474454521421</v>
      </c>
      <c r="N258" s="255"/>
    </row>
    <row r="259" spans="1:14" hidden="1" x14ac:dyDescent="0.2">
      <c r="A259" s="246" t="s">
        <v>231</v>
      </c>
      <c r="B259" s="459" t="s">
        <v>554</v>
      </c>
      <c r="C259" s="422" t="s">
        <v>27</v>
      </c>
      <c r="D259" s="248" t="s">
        <v>135</v>
      </c>
      <c r="E259" s="249">
        <v>4.8094940662086199E-5</v>
      </c>
      <c r="F259" s="374" t="s">
        <v>553</v>
      </c>
      <c r="G259" s="251" t="s">
        <v>16</v>
      </c>
      <c r="H259" s="376">
        <v>2</v>
      </c>
      <c r="I259" s="376">
        <v>2</v>
      </c>
      <c r="J259" s="376">
        <v>3</v>
      </c>
      <c r="K259" s="376">
        <v>3</v>
      </c>
      <c r="L259" s="377">
        <v>2</v>
      </c>
      <c r="M259" s="378">
        <f t="shared" si="7"/>
        <v>0.60108474454521421</v>
      </c>
      <c r="N259" s="255"/>
    </row>
    <row r="260" spans="1:14" hidden="1" x14ac:dyDescent="0.2">
      <c r="A260" s="246" t="s">
        <v>231</v>
      </c>
      <c r="B260" s="653" t="s">
        <v>552</v>
      </c>
      <c r="C260" s="422" t="s">
        <v>28</v>
      </c>
      <c r="D260" s="248" t="s">
        <v>135</v>
      </c>
      <c r="E260" s="249">
        <v>3.7026858213616502E-2</v>
      </c>
      <c r="F260" s="374" t="s">
        <v>553</v>
      </c>
      <c r="G260" s="251" t="s">
        <v>16</v>
      </c>
      <c r="H260" s="376">
        <v>2</v>
      </c>
      <c r="I260" s="376">
        <v>2</v>
      </c>
      <c r="J260" s="376">
        <v>3</v>
      </c>
      <c r="K260" s="376">
        <v>3</v>
      </c>
      <c r="L260" s="377">
        <v>2</v>
      </c>
      <c r="M260" s="378">
        <f>IF( OR( ISBLANK(H260),ISBLANK(I260), ISBLANK(J260), ISBLANK(K260), ISBLANK(L260) ), "", 1.5*SQRT(   EXP(2.21*(H260-1)) + EXP(2.21*(I260-1)) + EXP(2.21*(J260-1)) + EXP(2.21*(K260-1)) + EXP(2.21*L260)   )/100*2.45 )</f>
        <v>0.60108474454521421</v>
      </c>
      <c r="N260" s="255"/>
    </row>
    <row r="261" spans="1:14" hidden="1" x14ac:dyDescent="0.2">
      <c r="A261" s="246" t="s">
        <v>231</v>
      </c>
      <c r="B261" s="459" t="s">
        <v>554</v>
      </c>
      <c r="C261" s="422" t="s">
        <v>28</v>
      </c>
      <c r="D261" s="248" t="s">
        <v>135</v>
      </c>
      <c r="E261" s="249">
        <v>6.4959400374765784E-5</v>
      </c>
      <c r="F261" s="374" t="s">
        <v>553</v>
      </c>
      <c r="G261" s="251" t="s">
        <v>16</v>
      </c>
      <c r="H261" s="376">
        <v>2</v>
      </c>
      <c r="I261" s="376">
        <v>2</v>
      </c>
      <c r="J261" s="376">
        <v>3</v>
      </c>
      <c r="K261" s="376">
        <v>3</v>
      </c>
      <c r="L261" s="377">
        <v>2</v>
      </c>
      <c r="M261" s="378">
        <f t="shared" ref="M261:M292" si="8">IF( OR( ISBLANK(H261),ISBLANK(I261), ISBLANK(J261), ISBLANK(K261), ISBLANK(L261) ), "", 1.5*SQRT( EXP(2.21*(H261-1)) + EXP(2.21*(I261-1)) + EXP(2.21*(J261-1)) + EXP(2.21*(K261-1)) + EXP(2.21*L261) )/100*2.45 )</f>
        <v>0.60108474454521421</v>
      </c>
      <c r="N261" s="255"/>
    </row>
    <row r="262" spans="1:14" hidden="1" x14ac:dyDescent="0.2">
      <c r="A262" s="246" t="s">
        <v>231</v>
      </c>
      <c r="B262" s="653" t="s">
        <v>552</v>
      </c>
      <c r="C262" s="422" t="s">
        <v>30</v>
      </c>
      <c r="D262" s="248" t="s">
        <v>135</v>
      </c>
      <c r="E262" s="249">
        <v>5.3048094940662087E-2</v>
      </c>
      <c r="F262" s="374" t="s">
        <v>553</v>
      </c>
      <c r="G262" s="251" t="s">
        <v>16</v>
      </c>
      <c r="H262" s="376">
        <v>2</v>
      </c>
      <c r="I262" s="376">
        <v>2</v>
      </c>
      <c r="J262" s="376">
        <v>3</v>
      </c>
      <c r="K262" s="376">
        <v>3</v>
      </c>
      <c r="L262" s="377">
        <v>2</v>
      </c>
      <c r="M262" s="378">
        <f t="shared" si="8"/>
        <v>0.60108474454521421</v>
      </c>
      <c r="N262" s="255"/>
    </row>
    <row r="263" spans="1:14" hidden="1" x14ac:dyDescent="0.2">
      <c r="A263" s="246" t="s">
        <v>231</v>
      </c>
      <c r="B263" s="459" t="s">
        <v>554</v>
      </c>
      <c r="C263" s="422" t="s">
        <v>30</v>
      </c>
      <c r="D263" s="248" t="s">
        <v>135</v>
      </c>
      <c r="E263" s="249">
        <v>9.3066833229231739E-5</v>
      </c>
      <c r="F263" s="374" t="s">
        <v>553</v>
      </c>
      <c r="G263" s="251" t="s">
        <v>16</v>
      </c>
      <c r="H263" s="376">
        <v>2</v>
      </c>
      <c r="I263" s="376">
        <v>2</v>
      </c>
      <c r="J263" s="376">
        <v>3</v>
      </c>
      <c r="K263" s="376">
        <v>3</v>
      </c>
      <c r="L263" s="377">
        <v>2</v>
      </c>
      <c r="M263" s="378">
        <f t="shared" si="8"/>
        <v>0.60108474454521421</v>
      </c>
      <c r="N263" s="255"/>
    </row>
    <row r="264" spans="1:14" hidden="1" x14ac:dyDescent="0.2">
      <c r="A264" s="246" t="s">
        <v>231</v>
      </c>
      <c r="B264" s="653" t="s">
        <v>552</v>
      </c>
      <c r="C264" s="422" t="s">
        <v>32</v>
      </c>
      <c r="D264" s="248" t="s">
        <v>135</v>
      </c>
      <c r="E264" s="249">
        <v>2.8482198625858842E-3</v>
      </c>
      <c r="F264" s="374" t="s">
        <v>553</v>
      </c>
      <c r="G264" s="251" t="s">
        <v>16</v>
      </c>
      <c r="H264" s="376">
        <v>2</v>
      </c>
      <c r="I264" s="376">
        <v>2</v>
      </c>
      <c r="J264" s="376">
        <v>3</v>
      </c>
      <c r="K264" s="376">
        <v>3</v>
      </c>
      <c r="L264" s="377">
        <v>2</v>
      </c>
      <c r="M264" s="378">
        <f t="shared" si="8"/>
        <v>0.60108474454521421</v>
      </c>
      <c r="N264" s="255"/>
    </row>
    <row r="265" spans="1:14" hidden="1" x14ac:dyDescent="0.2">
      <c r="A265" s="246" t="s">
        <v>231</v>
      </c>
      <c r="B265" s="459" t="s">
        <v>554</v>
      </c>
      <c r="C265" s="422" t="s">
        <v>32</v>
      </c>
      <c r="D265" s="248" t="s">
        <v>135</v>
      </c>
      <c r="E265" s="249">
        <v>4.9968769519050601E-6</v>
      </c>
      <c r="F265" s="374" t="s">
        <v>553</v>
      </c>
      <c r="G265" s="251" t="s">
        <v>16</v>
      </c>
      <c r="H265" s="376">
        <v>2</v>
      </c>
      <c r="I265" s="376">
        <v>2</v>
      </c>
      <c r="J265" s="376">
        <v>3</v>
      </c>
      <c r="K265" s="376">
        <v>3</v>
      </c>
      <c r="L265" s="377">
        <v>2</v>
      </c>
      <c r="M265" s="378">
        <f t="shared" si="8"/>
        <v>0.60108474454521421</v>
      </c>
      <c r="N265" s="255"/>
    </row>
    <row r="266" spans="1:14" hidden="1" x14ac:dyDescent="0.2">
      <c r="A266" s="246" t="s">
        <v>231</v>
      </c>
      <c r="B266" s="653" t="s">
        <v>552</v>
      </c>
      <c r="C266" s="422" t="s">
        <v>34</v>
      </c>
      <c r="D266" s="248" t="s">
        <v>135</v>
      </c>
      <c r="E266" s="249">
        <v>1.3885071830106181E-2</v>
      </c>
      <c r="F266" s="374" t="s">
        <v>553</v>
      </c>
      <c r="G266" s="251" t="s">
        <v>16</v>
      </c>
      <c r="H266" s="376">
        <v>2</v>
      </c>
      <c r="I266" s="376">
        <v>2</v>
      </c>
      <c r="J266" s="376">
        <v>3</v>
      </c>
      <c r="K266" s="376">
        <v>3</v>
      </c>
      <c r="L266" s="377">
        <v>2</v>
      </c>
      <c r="M266" s="378">
        <f t="shared" si="8"/>
        <v>0.60108474454521421</v>
      </c>
      <c r="N266" s="255"/>
    </row>
    <row r="267" spans="1:14" hidden="1" x14ac:dyDescent="0.2">
      <c r="A267" s="246" t="s">
        <v>231</v>
      </c>
      <c r="B267" s="459" t="s">
        <v>554</v>
      </c>
      <c r="C267" s="422" t="s">
        <v>34</v>
      </c>
      <c r="D267" s="248" t="s">
        <v>135</v>
      </c>
      <c r="E267" s="249">
        <v>2.4359775140537171E-5</v>
      </c>
      <c r="F267" s="374" t="s">
        <v>553</v>
      </c>
      <c r="G267" s="251" t="s">
        <v>16</v>
      </c>
      <c r="H267" s="376">
        <v>2</v>
      </c>
      <c r="I267" s="376">
        <v>2</v>
      </c>
      <c r="J267" s="376">
        <v>3</v>
      </c>
      <c r="K267" s="376">
        <v>3</v>
      </c>
      <c r="L267" s="377">
        <v>2</v>
      </c>
      <c r="M267" s="378">
        <f t="shared" si="8"/>
        <v>0.60108474454521421</v>
      </c>
      <c r="N267" s="255"/>
    </row>
    <row r="268" spans="1:14" hidden="1" x14ac:dyDescent="0.2">
      <c r="A268" s="246" t="s">
        <v>231</v>
      </c>
      <c r="B268" s="653" t="s">
        <v>552</v>
      </c>
      <c r="C268" s="422" t="s">
        <v>36</v>
      </c>
      <c r="D268" s="248" t="s">
        <v>135</v>
      </c>
      <c r="E268" s="249">
        <v>2.3497813866333539E-2</v>
      </c>
      <c r="F268" s="374" t="s">
        <v>553</v>
      </c>
      <c r="G268" s="251" t="s">
        <v>16</v>
      </c>
      <c r="H268" s="376">
        <v>2</v>
      </c>
      <c r="I268" s="376">
        <v>2</v>
      </c>
      <c r="J268" s="376">
        <v>3</v>
      </c>
      <c r="K268" s="376">
        <v>3</v>
      </c>
      <c r="L268" s="377">
        <v>2</v>
      </c>
      <c r="M268" s="378">
        <f t="shared" si="8"/>
        <v>0.60108474454521421</v>
      </c>
      <c r="N268" s="255"/>
    </row>
    <row r="269" spans="1:14" hidden="1" x14ac:dyDescent="0.2">
      <c r="A269" s="246" t="s">
        <v>231</v>
      </c>
      <c r="B269" s="459" t="s">
        <v>554</v>
      </c>
      <c r="C269" s="422" t="s">
        <v>36</v>
      </c>
      <c r="D269" s="248" t="s">
        <v>135</v>
      </c>
      <c r="E269" s="249">
        <v>4.1224234853216739E-5</v>
      </c>
      <c r="F269" s="374" t="s">
        <v>553</v>
      </c>
      <c r="G269" s="251" t="s">
        <v>16</v>
      </c>
      <c r="H269" s="376">
        <v>2</v>
      </c>
      <c r="I269" s="376">
        <v>2</v>
      </c>
      <c r="J269" s="376">
        <v>3</v>
      </c>
      <c r="K269" s="376">
        <v>3</v>
      </c>
      <c r="L269" s="377">
        <v>2</v>
      </c>
      <c r="M269" s="378">
        <f t="shared" si="8"/>
        <v>0.60108474454521421</v>
      </c>
      <c r="N269" s="255"/>
    </row>
    <row r="270" spans="1:14" hidden="1" x14ac:dyDescent="0.2">
      <c r="A270" s="246" t="s">
        <v>231</v>
      </c>
      <c r="B270" s="653" t="s">
        <v>552</v>
      </c>
      <c r="C270" s="422" t="s">
        <v>37</v>
      </c>
      <c r="D270" s="248" t="s">
        <v>135</v>
      </c>
      <c r="E270" s="249">
        <v>4.3791380387257967E-2</v>
      </c>
      <c r="F270" s="374" t="s">
        <v>553</v>
      </c>
      <c r="G270" s="251" t="s">
        <v>16</v>
      </c>
      <c r="H270" s="376">
        <v>2</v>
      </c>
      <c r="I270" s="376">
        <v>2</v>
      </c>
      <c r="J270" s="376">
        <v>3</v>
      </c>
      <c r="K270" s="376">
        <v>3</v>
      </c>
      <c r="L270" s="377">
        <v>2</v>
      </c>
      <c r="M270" s="378">
        <f t="shared" si="8"/>
        <v>0.60108474454521421</v>
      </c>
      <c r="N270" s="255"/>
    </row>
    <row r="271" spans="1:14" hidden="1" x14ac:dyDescent="0.2">
      <c r="A271" s="246" t="s">
        <v>231</v>
      </c>
      <c r="B271" s="459" t="s">
        <v>554</v>
      </c>
      <c r="C271" s="422" t="s">
        <v>37</v>
      </c>
      <c r="D271" s="248" t="s">
        <v>135</v>
      </c>
      <c r="E271" s="249">
        <v>7.6826983135540303E-5</v>
      </c>
      <c r="F271" s="374" t="s">
        <v>553</v>
      </c>
      <c r="G271" s="251" t="s">
        <v>16</v>
      </c>
      <c r="H271" s="376">
        <v>2</v>
      </c>
      <c r="I271" s="376">
        <v>2</v>
      </c>
      <c r="J271" s="376">
        <v>3</v>
      </c>
      <c r="K271" s="376">
        <v>3</v>
      </c>
      <c r="L271" s="377">
        <v>2</v>
      </c>
      <c r="M271" s="378">
        <f t="shared" si="8"/>
        <v>0.60108474454521421</v>
      </c>
      <c r="N271" s="255"/>
    </row>
    <row r="272" spans="1:14" hidden="1" x14ac:dyDescent="0.2">
      <c r="A272" s="246" t="s">
        <v>231</v>
      </c>
      <c r="B272" s="653" t="s">
        <v>552</v>
      </c>
      <c r="C272" s="422" t="s">
        <v>39</v>
      </c>
      <c r="D272" s="248" t="s">
        <v>135</v>
      </c>
      <c r="E272" s="249">
        <v>1.317301686445971E-2</v>
      </c>
      <c r="F272" s="374" t="s">
        <v>553</v>
      </c>
      <c r="G272" s="251" t="s">
        <v>16</v>
      </c>
      <c r="H272" s="376">
        <v>2</v>
      </c>
      <c r="I272" s="376">
        <v>2</v>
      </c>
      <c r="J272" s="376">
        <v>3</v>
      </c>
      <c r="K272" s="376">
        <v>3</v>
      </c>
      <c r="L272" s="377">
        <v>2</v>
      </c>
      <c r="M272" s="378">
        <f t="shared" si="8"/>
        <v>0.60108474454521421</v>
      </c>
      <c r="N272" s="255"/>
    </row>
    <row r="273" spans="1:14" hidden="1" x14ac:dyDescent="0.2">
      <c r="A273" s="246" t="s">
        <v>231</v>
      </c>
      <c r="B273" s="459" t="s">
        <v>554</v>
      </c>
      <c r="C273" s="422" t="s">
        <v>39</v>
      </c>
      <c r="D273" s="248" t="s">
        <v>135</v>
      </c>
      <c r="E273" s="249">
        <v>2.3110555902560899E-5</v>
      </c>
      <c r="F273" s="374" t="s">
        <v>553</v>
      </c>
      <c r="G273" s="251" t="s">
        <v>16</v>
      </c>
      <c r="H273" s="376">
        <v>2</v>
      </c>
      <c r="I273" s="376">
        <v>2</v>
      </c>
      <c r="J273" s="376">
        <v>3</v>
      </c>
      <c r="K273" s="376">
        <v>3</v>
      </c>
      <c r="L273" s="377">
        <v>2</v>
      </c>
      <c r="M273" s="378">
        <f t="shared" si="8"/>
        <v>0.60108474454521421</v>
      </c>
      <c r="N273" s="255"/>
    </row>
    <row r="274" spans="1:14" hidden="1" x14ac:dyDescent="0.2">
      <c r="A274" s="246" t="s">
        <v>231</v>
      </c>
      <c r="B274" s="653" t="s">
        <v>552</v>
      </c>
      <c r="C274" s="422" t="s">
        <v>40</v>
      </c>
      <c r="D274" s="248" t="s">
        <v>135</v>
      </c>
      <c r="E274" s="249">
        <v>3.6314803247970033E-2</v>
      </c>
      <c r="F274" s="374" t="s">
        <v>553</v>
      </c>
      <c r="G274" s="251" t="s">
        <v>16</v>
      </c>
      <c r="H274" s="376">
        <v>2</v>
      </c>
      <c r="I274" s="376">
        <v>2</v>
      </c>
      <c r="J274" s="376">
        <v>3</v>
      </c>
      <c r="K274" s="376">
        <v>3</v>
      </c>
      <c r="L274" s="377">
        <v>2</v>
      </c>
      <c r="M274" s="378">
        <f t="shared" si="8"/>
        <v>0.60108474454521421</v>
      </c>
      <c r="N274" s="255"/>
    </row>
    <row r="275" spans="1:14" hidden="1" x14ac:dyDescent="0.2">
      <c r="A275" s="246" t="s">
        <v>231</v>
      </c>
      <c r="B275" s="459" t="s">
        <v>554</v>
      </c>
      <c r="C275" s="422" t="s">
        <v>40</v>
      </c>
      <c r="D275" s="248" t="s">
        <v>135</v>
      </c>
      <c r="E275" s="249">
        <v>6.3710181136789512E-5</v>
      </c>
      <c r="F275" s="374" t="s">
        <v>553</v>
      </c>
      <c r="G275" s="251" t="s">
        <v>16</v>
      </c>
      <c r="H275" s="376">
        <v>2</v>
      </c>
      <c r="I275" s="376">
        <v>2</v>
      </c>
      <c r="J275" s="376">
        <v>3</v>
      </c>
      <c r="K275" s="376">
        <v>3</v>
      </c>
      <c r="L275" s="377">
        <v>2</v>
      </c>
      <c r="M275" s="378">
        <f t="shared" si="8"/>
        <v>0.60108474454521421</v>
      </c>
      <c r="N275" s="255"/>
    </row>
    <row r="276" spans="1:14" hidden="1" x14ac:dyDescent="0.2">
      <c r="A276" s="246" t="s">
        <v>231</v>
      </c>
      <c r="B276" s="653" t="s">
        <v>552</v>
      </c>
      <c r="C276" s="422" t="s">
        <v>41</v>
      </c>
      <c r="D276" s="248" t="s">
        <v>135</v>
      </c>
      <c r="E276" s="249">
        <v>7.12054965646471E-2</v>
      </c>
      <c r="F276" s="374" t="s">
        <v>553</v>
      </c>
      <c r="G276" s="251" t="s">
        <v>16</v>
      </c>
      <c r="H276" s="376">
        <v>2</v>
      </c>
      <c r="I276" s="376">
        <v>2</v>
      </c>
      <c r="J276" s="376">
        <v>3</v>
      </c>
      <c r="K276" s="376">
        <v>3</v>
      </c>
      <c r="L276" s="377">
        <v>2</v>
      </c>
      <c r="M276" s="378">
        <f t="shared" si="8"/>
        <v>0.60108474454521421</v>
      </c>
      <c r="N276" s="255"/>
    </row>
    <row r="277" spans="1:14" hidden="1" x14ac:dyDescent="0.2">
      <c r="A277" s="246" t="s">
        <v>231</v>
      </c>
      <c r="B277" s="459" t="s">
        <v>554</v>
      </c>
      <c r="C277" s="422" t="s">
        <v>41</v>
      </c>
      <c r="D277" s="248" t="s">
        <v>135</v>
      </c>
      <c r="E277" s="249">
        <v>1.2492192379762651E-4</v>
      </c>
      <c r="F277" s="374" t="s">
        <v>553</v>
      </c>
      <c r="G277" s="251" t="s">
        <v>16</v>
      </c>
      <c r="H277" s="376">
        <v>2</v>
      </c>
      <c r="I277" s="376">
        <v>2</v>
      </c>
      <c r="J277" s="376">
        <v>3</v>
      </c>
      <c r="K277" s="376">
        <v>3</v>
      </c>
      <c r="L277" s="377">
        <v>2</v>
      </c>
      <c r="M277" s="378">
        <f t="shared" si="8"/>
        <v>0.60108474454521421</v>
      </c>
      <c r="N277" s="255"/>
    </row>
    <row r="278" spans="1:14" hidden="1" x14ac:dyDescent="0.2">
      <c r="A278" s="246" t="s">
        <v>231</v>
      </c>
      <c r="B278" s="653" t="s">
        <v>552</v>
      </c>
      <c r="C278" s="422" t="s">
        <v>42</v>
      </c>
      <c r="D278" s="248" t="s">
        <v>135</v>
      </c>
      <c r="E278" s="249">
        <v>1.8513429106808251E-2</v>
      </c>
      <c r="F278" s="374" t="s">
        <v>553</v>
      </c>
      <c r="G278" s="251" t="s">
        <v>16</v>
      </c>
      <c r="H278" s="376">
        <v>2</v>
      </c>
      <c r="I278" s="376">
        <v>2</v>
      </c>
      <c r="J278" s="376">
        <v>3</v>
      </c>
      <c r="K278" s="376">
        <v>3</v>
      </c>
      <c r="L278" s="377">
        <v>2</v>
      </c>
      <c r="M278" s="378">
        <f t="shared" si="8"/>
        <v>0.60108474454521421</v>
      </c>
      <c r="N278" s="255"/>
    </row>
    <row r="279" spans="1:14" hidden="1" x14ac:dyDescent="0.2">
      <c r="A279" s="246" t="s">
        <v>231</v>
      </c>
      <c r="B279" s="459" t="s">
        <v>554</v>
      </c>
      <c r="C279" s="422" t="s">
        <v>42</v>
      </c>
      <c r="D279" s="248" t="s">
        <v>135</v>
      </c>
      <c r="E279" s="249">
        <v>3.2479700187382892E-5</v>
      </c>
      <c r="F279" s="374" t="s">
        <v>553</v>
      </c>
      <c r="G279" s="251" t="s">
        <v>16</v>
      </c>
      <c r="H279" s="376">
        <v>2</v>
      </c>
      <c r="I279" s="376">
        <v>2</v>
      </c>
      <c r="J279" s="376">
        <v>3</v>
      </c>
      <c r="K279" s="376">
        <v>3</v>
      </c>
      <c r="L279" s="377">
        <v>2</v>
      </c>
      <c r="M279" s="378">
        <f t="shared" si="8"/>
        <v>0.60108474454521421</v>
      </c>
      <c r="N279" s="255"/>
    </row>
    <row r="280" spans="1:14" hidden="1" x14ac:dyDescent="0.2">
      <c r="A280" s="246" t="s">
        <v>231</v>
      </c>
      <c r="B280" s="653" t="s">
        <v>552</v>
      </c>
      <c r="C280" s="422" t="s">
        <v>43</v>
      </c>
      <c r="D280" s="248" t="s">
        <v>135</v>
      </c>
      <c r="E280" s="249">
        <v>3.0618363522798259E-2</v>
      </c>
      <c r="F280" s="374" t="s">
        <v>553</v>
      </c>
      <c r="G280" s="251" t="s">
        <v>16</v>
      </c>
      <c r="H280" s="376">
        <v>2</v>
      </c>
      <c r="I280" s="376">
        <v>2</v>
      </c>
      <c r="J280" s="376">
        <v>3</v>
      </c>
      <c r="K280" s="376">
        <v>3</v>
      </c>
      <c r="L280" s="377">
        <v>2</v>
      </c>
      <c r="M280" s="378">
        <f t="shared" si="8"/>
        <v>0.60108474454521421</v>
      </c>
      <c r="N280" s="255"/>
    </row>
    <row r="281" spans="1:14" hidden="1" x14ac:dyDescent="0.2">
      <c r="A281" s="246" t="s">
        <v>231</v>
      </c>
      <c r="B281" s="459" t="s">
        <v>554</v>
      </c>
      <c r="C281" s="422" t="s">
        <v>43</v>
      </c>
      <c r="D281" s="248" t="s">
        <v>135</v>
      </c>
      <c r="E281" s="249">
        <v>5.3716427232979387E-5</v>
      </c>
      <c r="F281" s="374" t="s">
        <v>553</v>
      </c>
      <c r="G281" s="251" t="s">
        <v>16</v>
      </c>
      <c r="H281" s="376">
        <v>2</v>
      </c>
      <c r="I281" s="376">
        <v>2</v>
      </c>
      <c r="J281" s="376">
        <v>3</v>
      </c>
      <c r="K281" s="376">
        <v>3</v>
      </c>
      <c r="L281" s="377">
        <v>2</v>
      </c>
      <c r="M281" s="378">
        <f t="shared" si="8"/>
        <v>0.60108474454521421</v>
      </c>
      <c r="N281" s="255"/>
    </row>
    <row r="282" spans="1:14" hidden="1" x14ac:dyDescent="0.2">
      <c r="A282" s="246" t="s">
        <v>231</v>
      </c>
      <c r="B282" s="653" t="s">
        <v>552</v>
      </c>
      <c r="C282" s="422" t="s">
        <v>45</v>
      </c>
      <c r="D282" s="248" t="s">
        <v>135</v>
      </c>
      <c r="E282" s="249">
        <v>5.3404122423485328E-3</v>
      </c>
      <c r="F282" s="374" t="s">
        <v>553</v>
      </c>
      <c r="G282" s="251" t="s">
        <v>16</v>
      </c>
      <c r="H282" s="376">
        <v>2</v>
      </c>
      <c r="I282" s="376">
        <v>2</v>
      </c>
      <c r="J282" s="376">
        <v>3</v>
      </c>
      <c r="K282" s="376">
        <v>3</v>
      </c>
      <c r="L282" s="377">
        <v>2</v>
      </c>
      <c r="M282" s="378">
        <f t="shared" si="8"/>
        <v>0.60108474454521421</v>
      </c>
      <c r="N282" s="255"/>
    </row>
    <row r="283" spans="1:14" hidden="1" x14ac:dyDescent="0.2">
      <c r="A283" s="246" t="s">
        <v>231</v>
      </c>
      <c r="B283" s="459" t="s">
        <v>554</v>
      </c>
      <c r="C283" s="422" t="s">
        <v>45</v>
      </c>
      <c r="D283" s="248" t="s">
        <v>135</v>
      </c>
      <c r="E283" s="249">
        <v>9.3691442848219878E-6</v>
      </c>
      <c r="F283" s="374" t="s">
        <v>553</v>
      </c>
      <c r="G283" s="251" t="s">
        <v>16</v>
      </c>
      <c r="H283" s="376">
        <v>2</v>
      </c>
      <c r="I283" s="376">
        <v>2</v>
      </c>
      <c r="J283" s="376">
        <v>3</v>
      </c>
      <c r="K283" s="376">
        <v>3</v>
      </c>
      <c r="L283" s="377">
        <v>2</v>
      </c>
      <c r="M283" s="378">
        <f t="shared" si="8"/>
        <v>0.60108474454521421</v>
      </c>
      <c r="N283" s="255"/>
    </row>
    <row r="284" spans="1:14" hidden="1" x14ac:dyDescent="0.2">
      <c r="A284" s="246" t="s">
        <v>231</v>
      </c>
      <c r="B284" s="653" t="s">
        <v>552</v>
      </c>
      <c r="C284" s="422" t="s">
        <v>46</v>
      </c>
      <c r="D284" s="248" t="s">
        <v>135</v>
      </c>
      <c r="E284" s="249">
        <v>2.812617114303561E-2</v>
      </c>
      <c r="F284" s="374" t="s">
        <v>553</v>
      </c>
      <c r="G284" s="251" t="s">
        <v>16</v>
      </c>
      <c r="H284" s="376">
        <v>2</v>
      </c>
      <c r="I284" s="376">
        <v>2</v>
      </c>
      <c r="J284" s="376">
        <v>3</v>
      </c>
      <c r="K284" s="376">
        <v>3</v>
      </c>
      <c r="L284" s="377">
        <v>2</v>
      </c>
      <c r="M284" s="378">
        <f t="shared" si="8"/>
        <v>0.60108474454521421</v>
      </c>
      <c r="N284" s="255"/>
    </row>
    <row r="285" spans="1:14" hidden="1" x14ac:dyDescent="0.2">
      <c r="A285" s="246" t="s">
        <v>231</v>
      </c>
      <c r="B285" s="459" t="s">
        <v>554</v>
      </c>
      <c r="C285" s="422" t="s">
        <v>46</v>
      </c>
      <c r="D285" s="248" t="s">
        <v>135</v>
      </c>
      <c r="E285" s="249">
        <v>4.9344159900062457E-5</v>
      </c>
      <c r="F285" s="374" t="s">
        <v>553</v>
      </c>
      <c r="G285" s="251" t="s">
        <v>16</v>
      </c>
      <c r="H285" s="376">
        <v>2</v>
      </c>
      <c r="I285" s="376">
        <v>2</v>
      </c>
      <c r="J285" s="376">
        <v>3</v>
      </c>
      <c r="K285" s="376">
        <v>3</v>
      </c>
      <c r="L285" s="377">
        <v>2</v>
      </c>
      <c r="M285" s="378">
        <f t="shared" si="8"/>
        <v>0.60108474454521421</v>
      </c>
      <c r="N285" s="255"/>
    </row>
    <row r="286" spans="1:14" hidden="1" x14ac:dyDescent="0.2">
      <c r="A286" s="246" t="s">
        <v>231</v>
      </c>
      <c r="B286" s="653" t="s">
        <v>552</v>
      </c>
      <c r="C286" s="422" t="s">
        <v>48</v>
      </c>
      <c r="D286" s="248" t="s">
        <v>135</v>
      </c>
      <c r="E286" s="249">
        <v>2.7770143660212371E-2</v>
      </c>
      <c r="F286" s="374" t="s">
        <v>553</v>
      </c>
      <c r="G286" s="251" t="s">
        <v>16</v>
      </c>
      <c r="H286" s="376">
        <v>2</v>
      </c>
      <c r="I286" s="376">
        <v>2</v>
      </c>
      <c r="J286" s="376">
        <v>3</v>
      </c>
      <c r="K286" s="376">
        <v>3</v>
      </c>
      <c r="L286" s="377">
        <v>2</v>
      </c>
      <c r="M286" s="378">
        <f t="shared" si="8"/>
        <v>0.60108474454521421</v>
      </c>
      <c r="N286" s="255"/>
    </row>
    <row r="287" spans="1:14" hidden="1" x14ac:dyDescent="0.2">
      <c r="A287" s="246" t="s">
        <v>231</v>
      </c>
      <c r="B287" s="459" t="s">
        <v>554</v>
      </c>
      <c r="C287" s="422" t="s">
        <v>48</v>
      </c>
      <c r="D287" s="248" t="s">
        <v>135</v>
      </c>
      <c r="E287" s="249">
        <v>4.8719550281074328E-5</v>
      </c>
      <c r="F287" s="374" t="s">
        <v>553</v>
      </c>
      <c r="G287" s="251" t="s">
        <v>16</v>
      </c>
      <c r="H287" s="376">
        <v>2</v>
      </c>
      <c r="I287" s="376">
        <v>2</v>
      </c>
      <c r="J287" s="376">
        <v>3</v>
      </c>
      <c r="K287" s="376">
        <v>3</v>
      </c>
      <c r="L287" s="377">
        <v>2</v>
      </c>
      <c r="M287" s="378">
        <f t="shared" si="8"/>
        <v>0.60108474454521421</v>
      </c>
      <c r="N287" s="255"/>
    </row>
    <row r="288" spans="1:14" hidden="1" x14ac:dyDescent="0.2">
      <c r="A288" s="246" t="s">
        <v>231</v>
      </c>
      <c r="B288" s="653" t="s">
        <v>552</v>
      </c>
      <c r="C288" s="422" t="s">
        <v>50</v>
      </c>
      <c r="D288" s="248" t="s">
        <v>135</v>
      </c>
      <c r="E288" s="249">
        <v>5.3404122423485328E-3</v>
      </c>
      <c r="F288" s="374" t="s">
        <v>553</v>
      </c>
      <c r="G288" s="251" t="s">
        <v>16</v>
      </c>
      <c r="H288" s="376">
        <v>2</v>
      </c>
      <c r="I288" s="376">
        <v>2</v>
      </c>
      <c r="J288" s="376">
        <v>3</v>
      </c>
      <c r="K288" s="376">
        <v>3</v>
      </c>
      <c r="L288" s="377">
        <v>2</v>
      </c>
      <c r="M288" s="378">
        <f t="shared" si="8"/>
        <v>0.60108474454521421</v>
      </c>
      <c r="N288" s="255"/>
    </row>
    <row r="289" spans="1:14" hidden="1" x14ac:dyDescent="0.2">
      <c r="A289" s="246" t="s">
        <v>231</v>
      </c>
      <c r="B289" s="459" t="s">
        <v>554</v>
      </c>
      <c r="C289" s="422" t="s">
        <v>50</v>
      </c>
      <c r="D289" s="248" t="s">
        <v>135</v>
      </c>
      <c r="E289" s="249">
        <v>9.3691442848219878E-6</v>
      </c>
      <c r="F289" s="374" t="s">
        <v>553</v>
      </c>
      <c r="G289" s="251" t="s">
        <v>16</v>
      </c>
      <c r="H289" s="376">
        <v>2</v>
      </c>
      <c r="I289" s="376">
        <v>2</v>
      </c>
      <c r="J289" s="376">
        <v>3</v>
      </c>
      <c r="K289" s="376">
        <v>3</v>
      </c>
      <c r="L289" s="377">
        <v>2</v>
      </c>
      <c r="M289" s="378">
        <f t="shared" si="8"/>
        <v>0.60108474454521421</v>
      </c>
      <c r="N289" s="255"/>
    </row>
    <row r="290" spans="1:14" hidden="1" x14ac:dyDescent="0.2">
      <c r="A290" s="246" t="s">
        <v>231</v>
      </c>
      <c r="B290" s="653" t="s">
        <v>552</v>
      </c>
      <c r="C290" s="422" t="s">
        <v>52</v>
      </c>
      <c r="D290" s="248" t="s">
        <v>135</v>
      </c>
      <c r="E290" s="249">
        <v>2.812617114303561E-2</v>
      </c>
      <c r="F290" s="374" t="s">
        <v>553</v>
      </c>
      <c r="G290" s="251" t="s">
        <v>16</v>
      </c>
      <c r="H290" s="376">
        <v>2</v>
      </c>
      <c r="I290" s="376">
        <v>2</v>
      </c>
      <c r="J290" s="376">
        <v>3</v>
      </c>
      <c r="K290" s="376">
        <v>3</v>
      </c>
      <c r="L290" s="377">
        <v>2</v>
      </c>
      <c r="M290" s="378">
        <f t="shared" si="8"/>
        <v>0.60108474454521421</v>
      </c>
      <c r="N290" s="255"/>
    </row>
    <row r="291" spans="1:14" hidden="1" x14ac:dyDescent="0.2">
      <c r="A291" s="246" t="s">
        <v>231</v>
      </c>
      <c r="B291" s="459" t="s">
        <v>554</v>
      </c>
      <c r="C291" s="422" t="s">
        <v>52</v>
      </c>
      <c r="D291" s="248" t="s">
        <v>135</v>
      </c>
      <c r="E291" s="249">
        <v>4.9344159900062457E-5</v>
      </c>
      <c r="F291" s="374" t="s">
        <v>553</v>
      </c>
      <c r="G291" s="251" t="s">
        <v>16</v>
      </c>
      <c r="H291" s="376">
        <v>2</v>
      </c>
      <c r="I291" s="376">
        <v>2</v>
      </c>
      <c r="J291" s="376">
        <v>3</v>
      </c>
      <c r="K291" s="376">
        <v>3</v>
      </c>
      <c r="L291" s="377">
        <v>2</v>
      </c>
      <c r="M291" s="378">
        <f t="shared" si="8"/>
        <v>0.60108474454521421</v>
      </c>
      <c r="N291" s="255"/>
    </row>
    <row r="292" spans="1:14" hidden="1" x14ac:dyDescent="0.2">
      <c r="A292" s="246" t="s">
        <v>231</v>
      </c>
      <c r="B292" s="653" t="s">
        <v>552</v>
      </c>
      <c r="C292" s="422" t="s">
        <v>54</v>
      </c>
      <c r="D292" s="248" t="s">
        <v>135</v>
      </c>
      <c r="E292" s="249">
        <v>2.812617114303561E-2</v>
      </c>
      <c r="F292" s="374" t="s">
        <v>553</v>
      </c>
      <c r="G292" s="251" t="s">
        <v>16</v>
      </c>
      <c r="H292" s="376">
        <v>2</v>
      </c>
      <c r="I292" s="376">
        <v>2</v>
      </c>
      <c r="J292" s="376">
        <v>3</v>
      </c>
      <c r="K292" s="376">
        <v>3</v>
      </c>
      <c r="L292" s="377">
        <v>2</v>
      </c>
      <c r="M292" s="378">
        <f t="shared" si="8"/>
        <v>0.60108474454521421</v>
      </c>
      <c r="N292" s="255"/>
    </row>
    <row r="293" spans="1:14" hidden="1" x14ac:dyDescent="0.2">
      <c r="A293" s="246" t="s">
        <v>231</v>
      </c>
      <c r="B293" s="459" t="s">
        <v>554</v>
      </c>
      <c r="C293" s="422" t="s">
        <v>54</v>
      </c>
      <c r="D293" s="248" t="s">
        <v>135</v>
      </c>
      <c r="E293" s="249">
        <v>4.9344159900062457E-5</v>
      </c>
      <c r="F293" s="374" t="s">
        <v>553</v>
      </c>
      <c r="G293" s="251" t="s">
        <v>16</v>
      </c>
      <c r="H293" s="376">
        <v>2</v>
      </c>
      <c r="I293" s="376">
        <v>2</v>
      </c>
      <c r="J293" s="376">
        <v>3</v>
      </c>
      <c r="K293" s="376">
        <v>3</v>
      </c>
      <c r="L293" s="377">
        <v>2</v>
      </c>
      <c r="M293" s="378">
        <f t="shared" ref="M293:M323" si="9">IF( OR( ISBLANK(H293),ISBLANK(I293), ISBLANK(J293), ISBLANK(K293), ISBLANK(L293) ), "", 1.5*SQRT( EXP(2.21*(H293-1)) + EXP(2.21*(I293-1)) + EXP(2.21*(J293-1)) + EXP(2.21*(K293-1)) + EXP(2.21*L293) )/100*2.45 )</f>
        <v>0.60108474454521421</v>
      </c>
      <c r="N293" s="255"/>
    </row>
    <row r="294" spans="1:14" hidden="1" x14ac:dyDescent="0.2">
      <c r="A294" s="246" t="s">
        <v>231</v>
      </c>
      <c r="B294" s="653" t="s">
        <v>552</v>
      </c>
      <c r="C294" s="422" t="s">
        <v>55</v>
      </c>
      <c r="D294" s="248" t="s">
        <v>135</v>
      </c>
      <c r="E294" s="249">
        <v>2.7770143660212371E-2</v>
      </c>
      <c r="F294" s="374" t="s">
        <v>553</v>
      </c>
      <c r="G294" s="251" t="s">
        <v>16</v>
      </c>
      <c r="H294" s="376">
        <v>2</v>
      </c>
      <c r="I294" s="376">
        <v>2</v>
      </c>
      <c r="J294" s="376">
        <v>3</v>
      </c>
      <c r="K294" s="376">
        <v>3</v>
      </c>
      <c r="L294" s="377">
        <v>2</v>
      </c>
      <c r="M294" s="378">
        <f t="shared" si="9"/>
        <v>0.60108474454521421</v>
      </c>
      <c r="N294" s="255"/>
    </row>
    <row r="295" spans="1:14" hidden="1" x14ac:dyDescent="0.2">
      <c r="A295" s="246" t="s">
        <v>231</v>
      </c>
      <c r="B295" s="459" t="s">
        <v>554</v>
      </c>
      <c r="C295" s="422" t="s">
        <v>55</v>
      </c>
      <c r="D295" s="248" t="s">
        <v>135</v>
      </c>
      <c r="E295" s="249">
        <v>4.8719550281074328E-5</v>
      </c>
      <c r="F295" s="374" t="s">
        <v>553</v>
      </c>
      <c r="G295" s="251" t="s">
        <v>16</v>
      </c>
      <c r="H295" s="376">
        <v>2</v>
      </c>
      <c r="I295" s="376">
        <v>2</v>
      </c>
      <c r="J295" s="376">
        <v>3</v>
      </c>
      <c r="K295" s="376">
        <v>3</v>
      </c>
      <c r="L295" s="377">
        <v>2</v>
      </c>
      <c r="M295" s="378">
        <f t="shared" si="9"/>
        <v>0.60108474454521421</v>
      </c>
      <c r="N295" s="255"/>
    </row>
    <row r="296" spans="1:14" hidden="1" x14ac:dyDescent="0.2">
      <c r="A296" s="246" t="s">
        <v>231</v>
      </c>
      <c r="B296" s="653" t="s">
        <v>552</v>
      </c>
      <c r="C296" s="422" t="s">
        <v>57</v>
      </c>
      <c r="D296" s="248" t="s">
        <v>135</v>
      </c>
      <c r="E296" s="249">
        <v>2.919425359150531E-2</v>
      </c>
      <c r="F296" s="374" t="s">
        <v>553</v>
      </c>
      <c r="G296" s="375" t="s">
        <v>16</v>
      </c>
      <c r="H296" s="376">
        <v>2</v>
      </c>
      <c r="I296" s="376">
        <v>2</v>
      </c>
      <c r="J296" s="376">
        <v>3</v>
      </c>
      <c r="K296" s="376">
        <v>3</v>
      </c>
      <c r="L296" s="377">
        <v>2</v>
      </c>
      <c r="M296" s="254">
        <f t="shared" si="9"/>
        <v>0.60108474454521421</v>
      </c>
      <c r="N296" s="255"/>
    </row>
    <row r="297" spans="1:14" hidden="1" x14ac:dyDescent="0.2">
      <c r="A297" s="246" t="s">
        <v>231</v>
      </c>
      <c r="B297" s="459" t="s">
        <v>554</v>
      </c>
      <c r="C297" s="422" t="s">
        <v>57</v>
      </c>
      <c r="D297" s="248" t="s">
        <v>135</v>
      </c>
      <c r="E297" s="249">
        <v>5.1217988757026857E-5</v>
      </c>
      <c r="F297" s="374" t="s">
        <v>553</v>
      </c>
      <c r="G297" s="251" t="s">
        <v>16</v>
      </c>
      <c r="H297" s="376">
        <v>2</v>
      </c>
      <c r="I297" s="376">
        <v>2</v>
      </c>
      <c r="J297" s="376">
        <v>3</v>
      </c>
      <c r="K297" s="376">
        <v>3</v>
      </c>
      <c r="L297" s="377">
        <v>2</v>
      </c>
      <c r="M297" s="378">
        <f t="shared" si="9"/>
        <v>0.60108474454521421</v>
      </c>
      <c r="N297" s="255"/>
    </row>
    <row r="298" spans="1:14" hidden="1" x14ac:dyDescent="0.2">
      <c r="A298" s="246" t="s">
        <v>231</v>
      </c>
      <c r="B298" s="653" t="s">
        <v>552</v>
      </c>
      <c r="C298" s="422" t="s">
        <v>59</v>
      </c>
      <c r="D298" s="248" t="s">
        <v>135</v>
      </c>
      <c r="E298" s="249">
        <v>5.7000000000000002E-2</v>
      </c>
      <c r="F298" s="374" t="s">
        <v>360</v>
      </c>
      <c r="G298" s="375"/>
      <c r="H298" s="376">
        <v>2</v>
      </c>
      <c r="I298" s="376">
        <v>2</v>
      </c>
      <c r="J298" s="376">
        <v>3</v>
      </c>
      <c r="K298" s="376">
        <v>3</v>
      </c>
      <c r="L298" s="377">
        <v>2</v>
      </c>
      <c r="M298" s="254">
        <f t="shared" si="9"/>
        <v>0.60108474454521421</v>
      </c>
      <c r="N298" s="255"/>
    </row>
    <row r="299" spans="1:14" hidden="1" x14ac:dyDescent="0.2">
      <c r="A299" s="246" t="s">
        <v>231</v>
      </c>
      <c r="B299" s="459" t="s">
        <v>554</v>
      </c>
      <c r="C299" s="422" t="s">
        <v>59</v>
      </c>
      <c r="D299" s="248" t="s">
        <v>135</v>
      </c>
      <c r="E299" s="249">
        <v>1E-4</v>
      </c>
      <c r="F299" s="374" t="s">
        <v>360</v>
      </c>
      <c r="G299" s="251"/>
      <c r="H299" s="376">
        <v>2</v>
      </c>
      <c r="I299" s="376">
        <v>2</v>
      </c>
      <c r="J299" s="376">
        <v>3</v>
      </c>
      <c r="K299" s="376">
        <v>3</v>
      </c>
      <c r="L299" s="377">
        <v>2</v>
      </c>
      <c r="M299" s="378">
        <f t="shared" si="9"/>
        <v>0.60108474454521421</v>
      </c>
      <c r="N299" s="255"/>
    </row>
    <row r="300" spans="1:14" hidden="1" x14ac:dyDescent="0.2">
      <c r="A300" s="246" t="s">
        <v>231</v>
      </c>
      <c r="B300" s="653" t="s">
        <v>552</v>
      </c>
      <c r="C300" s="422" t="s">
        <v>60</v>
      </c>
      <c r="D300" s="248" t="s">
        <v>135</v>
      </c>
      <c r="E300" s="249">
        <v>2.3141786383510311E-2</v>
      </c>
      <c r="F300" s="374" t="s">
        <v>553</v>
      </c>
      <c r="G300" s="375" t="s">
        <v>16</v>
      </c>
      <c r="H300" s="376">
        <v>2</v>
      </c>
      <c r="I300" s="376">
        <v>2</v>
      </c>
      <c r="J300" s="376">
        <v>3</v>
      </c>
      <c r="K300" s="376">
        <v>3</v>
      </c>
      <c r="L300" s="377">
        <v>2</v>
      </c>
      <c r="M300" s="254">
        <f t="shared" si="9"/>
        <v>0.60108474454521421</v>
      </c>
      <c r="N300" s="255"/>
    </row>
    <row r="301" spans="1:14" hidden="1" x14ac:dyDescent="0.2">
      <c r="A301" s="464" t="s">
        <v>231</v>
      </c>
      <c r="B301" s="513" t="s">
        <v>554</v>
      </c>
      <c r="C301" s="427" t="s">
        <v>60</v>
      </c>
      <c r="D301" s="441" t="s">
        <v>135</v>
      </c>
      <c r="E301" s="288">
        <v>4.059962523422861E-5</v>
      </c>
      <c r="F301" s="399" t="s">
        <v>553</v>
      </c>
      <c r="G301" s="290" t="s">
        <v>16</v>
      </c>
      <c r="H301" s="398">
        <v>2</v>
      </c>
      <c r="I301" s="398">
        <v>2</v>
      </c>
      <c r="J301" s="398">
        <v>3</v>
      </c>
      <c r="K301" s="398">
        <v>3</v>
      </c>
      <c r="L301" s="407">
        <v>2</v>
      </c>
      <c r="M301" s="408">
        <f t="shared" si="9"/>
        <v>0.60108474454521421</v>
      </c>
      <c r="N301" s="294"/>
    </row>
    <row r="302" spans="1:14" x14ac:dyDescent="0.2">
      <c r="A302" s="246" t="s">
        <v>240</v>
      </c>
      <c r="B302" s="652" t="s">
        <v>552</v>
      </c>
      <c r="C302" s="422" t="s">
        <v>13</v>
      </c>
      <c r="D302" s="433" t="s">
        <v>135</v>
      </c>
      <c r="E302" s="266">
        <v>1.260712054965646E-2</v>
      </c>
      <c r="F302" s="389" t="s">
        <v>553</v>
      </c>
      <c r="G302" s="390" t="s">
        <v>16</v>
      </c>
      <c r="H302" s="391">
        <v>2</v>
      </c>
      <c r="I302" s="391">
        <v>2</v>
      </c>
      <c r="J302" s="391">
        <v>3</v>
      </c>
      <c r="K302" s="391">
        <v>3</v>
      </c>
      <c r="L302" s="392">
        <v>2</v>
      </c>
      <c r="M302" s="271">
        <f t="shared" si="9"/>
        <v>0.60108474454521421</v>
      </c>
      <c r="N302" s="272"/>
    </row>
    <row r="303" spans="1:14" x14ac:dyDescent="0.2">
      <c r="A303" s="246" t="s">
        <v>240</v>
      </c>
      <c r="B303" s="459" t="s">
        <v>554</v>
      </c>
      <c r="C303" s="422" t="s">
        <v>13</v>
      </c>
      <c r="D303" s="248" t="s">
        <v>135</v>
      </c>
      <c r="E303" s="249">
        <v>2.1736414740787008E-5</v>
      </c>
      <c r="F303" s="374" t="s">
        <v>553</v>
      </c>
      <c r="G303" s="251" t="s">
        <v>16</v>
      </c>
      <c r="H303" s="376">
        <v>2</v>
      </c>
      <c r="I303" s="376">
        <v>2</v>
      </c>
      <c r="J303" s="376">
        <v>3</v>
      </c>
      <c r="K303" s="376">
        <v>3</v>
      </c>
      <c r="L303" s="377">
        <v>2</v>
      </c>
      <c r="M303" s="378">
        <f t="shared" si="9"/>
        <v>0.60108474454521421</v>
      </c>
      <c r="N303" s="255"/>
    </row>
    <row r="304" spans="1:14" hidden="1" x14ac:dyDescent="0.2">
      <c r="A304" s="246" t="s">
        <v>240</v>
      </c>
      <c r="B304" s="653" t="s">
        <v>552</v>
      </c>
      <c r="C304" s="422" t="s">
        <v>18</v>
      </c>
      <c r="D304" s="248" t="s">
        <v>135</v>
      </c>
      <c r="E304" s="249">
        <v>1.101311680199875E-2</v>
      </c>
      <c r="F304" s="374" t="s">
        <v>553</v>
      </c>
      <c r="G304" s="251" t="s">
        <v>16</v>
      </c>
      <c r="H304" s="376">
        <v>2</v>
      </c>
      <c r="I304" s="376">
        <v>2</v>
      </c>
      <c r="J304" s="376">
        <v>3</v>
      </c>
      <c r="K304" s="376">
        <v>3</v>
      </c>
      <c r="L304" s="377">
        <v>2</v>
      </c>
      <c r="M304" s="378">
        <f t="shared" si="9"/>
        <v>0.60108474454521421</v>
      </c>
      <c r="N304" s="255"/>
    </row>
    <row r="305" spans="1:14" hidden="1" x14ac:dyDescent="0.2">
      <c r="A305" s="246" t="s">
        <v>240</v>
      </c>
      <c r="B305" s="459" t="s">
        <v>554</v>
      </c>
      <c r="C305" s="422" t="s">
        <v>18</v>
      </c>
      <c r="D305" s="248" t="s">
        <v>135</v>
      </c>
      <c r="E305" s="249">
        <v>1.8988132417239231E-5</v>
      </c>
      <c r="F305" s="374" t="s">
        <v>553</v>
      </c>
      <c r="G305" s="251" t="s">
        <v>16</v>
      </c>
      <c r="H305" s="376">
        <v>2</v>
      </c>
      <c r="I305" s="376">
        <v>2</v>
      </c>
      <c r="J305" s="376">
        <v>3</v>
      </c>
      <c r="K305" s="376">
        <v>3</v>
      </c>
      <c r="L305" s="377">
        <v>2</v>
      </c>
      <c r="M305" s="378">
        <f t="shared" si="9"/>
        <v>0.60108474454521421</v>
      </c>
      <c r="N305" s="255"/>
    </row>
    <row r="306" spans="1:14" hidden="1" x14ac:dyDescent="0.2">
      <c r="A306" s="246" t="s">
        <v>240</v>
      </c>
      <c r="B306" s="653" t="s">
        <v>552</v>
      </c>
      <c r="C306" s="422" t="s">
        <v>20</v>
      </c>
      <c r="D306" s="248" t="s">
        <v>135</v>
      </c>
      <c r="E306" s="249">
        <v>7.2454715802623356E-4</v>
      </c>
      <c r="F306" s="374" t="s">
        <v>553</v>
      </c>
      <c r="G306" s="251" t="s">
        <v>16</v>
      </c>
      <c r="H306" s="376">
        <v>2</v>
      </c>
      <c r="I306" s="376">
        <v>2</v>
      </c>
      <c r="J306" s="376">
        <v>3</v>
      </c>
      <c r="K306" s="376">
        <v>3</v>
      </c>
      <c r="L306" s="377">
        <v>2</v>
      </c>
      <c r="M306" s="378">
        <f t="shared" si="9"/>
        <v>0.60108474454521421</v>
      </c>
      <c r="N306" s="255"/>
    </row>
    <row r="307" spans="1:14" hidden="1" x14ac:dyDescent="0.2">
      <c r="A307" s="246" t="s">
        <v>240</v>
      </c>
      <c r="B307" s="459" t="s">
        <v>554</v>
      </c>
      <c r="C307" s="422" t="s">
        <v>20</v>
      </c>
      <c r="D307" s="248" t="s">
        <v>135</v>
      </c>
      <c r="E307" s="249">
        <v>1.249219237976265E-6</v>
      </c>
      <c r="F307" s="374" t="s">
        <v>553</v>
      </c>
      <c r="G307" s="251" t="s">
        <v>16</v>
      </c>
      <c r="H307" s="376">
        <v>2</v>
      </c>
      <c r="I307" s="376">
        <v>2</v>
      </c>
      <c r="J307" s="376">
        <v>3</v>
      </c>
      <c r="K307" s="376">
        <v>3</v>
      </c>
      <c r="L307" s="377">
        <v>2</v>
      </c>
      <c r="M307" s="378">
        <f t="shared" si="9"/>
        <v>0.60108474454521421</v>
      </c>
      <c r="N307" s="255"/>
    </row>
    <row r="308" spans="1:14" hidden="1" x14ac:dyDescent="0.2">
      <c r="A308" s="246" t="s">
        <v>240</v>
      </c>
      <c r="B308" s="653" t="s">
        <v>552</v>
      </c>
      <c r="C308" s="422" t="s">
        <v>22</v>
      </c>
      <c r="D308" s="248" t="s">
        <v>135</v>
      </c>
      <c r="E308" s="249">
        <v>1.7389131792629609E-3</v>
      </c>
      <c r="F308" s="374" t="s">
        <v>553</v>
      </c>
      <c r="G308" s="251" t="s">
        <v>16</v>
      </c>
      <c r="H308" s="376">
        <v>2</v>
      </c>
      <c r="I308" s="376">
        <v>2</v>
      </c>
      <c r="J308" s="376">
        <v>3</v>
      </c>
      <c r="K308" s="376">
        <v>3</v>
      </c>
      <c r="L308" s="377">
        <v>2</v>
      </c>
      <c r="M308" s="378">
        <f t="shared" si="9"/>
        <v>0.60108474454521421</v>
      </c>
      <c r="N308" s="255"/>
    </row>
    <row r="309" spans="1:14" hidden="1" x14ac:dyDescent="0.2">
      <c r="A309" s="246" t="s">
        <v>240</v>
      </c>
      <c r="B309" s="459" t="s">
        <v>554</v>
      </c>
      <c r="C309" s="422" t="s">
        <v>22</v>
      </c>
      <c r="D309" s="248" t="s">
        <v>135</v>
      </c>
      <c r="E309" s="249">
        <v>2.9981261711430358E-6</v>
      </c>
      <c r="F309" s="374" t="s">
        <v>553</v>
      </c>
      <c r="G309" s="251" t="s">
        <v>16</v>
      </c>
      <c r="H309" s="376">
        <v>2</v>
      </c>
      <c r="I309" s="376">
        <v>2</v>
      </c>
      <c r="J309" s="376">
        <v>3</v>
      </c>
      <c r="K309" s="376">
        <v>3</v>
      </c>
      <c r="L309" s="377">
        <v>2</v>
      </c>
      <c r="M309" s="378">
        <f t="shared" si="9"/>
        <v>0.60108474454521421</v>
      </c>
      <c r="N309" s="255"/>
    </row>
    <row r="310" spans="1:14" hidden="1" x14ac:dyDescent="0.2">
      <c r="A310" s="246" t="s">
        <v>240</v>
      </c>
      <c r="B310" s="653" t="s">
        <v>552</v>
      </c>
      <c r="C310" s="422" t="s">
        <v>23</v>
      </c>
      <c r="D310" s="248" t="s">
        <v>135</v>
      </c>
      <c r="E310" s="249">
        <v>7.9700187382885691E-4</v>
      </c>
      <c r="F310" s="374" t="s">
        <v>553</v>
      </c>
      <c r="G310" s="251" t="s">
        <v>16</v>
      </c>
      <c r="H310" s="376">
        <v>2</v>
      </c>
      <c r="I310" s="376">
        <v>2</v>
      </c>
      <c r="J310" s="376">
        <v>3</v>
      </c>
      <c r="K310" s="376">
        <v>3</v>
      </c>
      <c r="L310" s="377">
        <v>2</v>
      </c>
      <c r="M310" s="378">
        <f t="shared" si="9"/>
        <v>0.60108474454521421</v>
      </c>
      <c r="N310" s="255"/>
    </row>
    <row r="311" spans="1:14" hidden="1" x14ac:dyDescent="0.2">
      <c r="A311" s="246" t="s">
        <v>240</v>
      </c>
      <c r="B311" s="459" t="s">
        <v>554</v>
      </c>
      <c r="C311" s="422" t="s">
        <v>23</v>
      </c>
      <c r="D311" s="248" t="s">
        <v>135</v>
      </c>
      <c r="E311" s="249">
        <v>1.374141161773891E-6</v>
      </c>
      <c r="F311" s="374" t="s">
        <v>553</v>
      </c>
      <c r="G311" s="251" t="s">
        <v>16</v>
      </c>
      <c r="H311" s="376">
        <v>2</v>
      </c>
      <c r="I311" s="376">
        <v>2</v>
      </c>
      <c r="J311" s="376">
        <v>3</v>
      </c>
      <c r="K311" s="376">
        <v>3</v>
      </c>
      <c r="L311" s="377">
        <v>2</v>
      </c>
      <c r="M311" s="378">
        <f t="shared" si="9"/>
        <v>0.60108474454521421</v>
      </c>
      <c r="N311" s="255"/>
    </row>
    <row r="312" spans="1:14" hidden="1" x14ac:dyDescent="0.2">
      <c r="A312" s="246" t="s">
        <v>240</v>
      </c>
      <c r="B312" s="653" t="s">
        <v>552</v>
      </c>
      <c r="C312" s="422" t="s">
        <v>24</v>
      </c>
      <c r="D312" s="248" t="s">
        <v>135</v>
      </c>
      <c r="E312" s="249">
        <v>5.2891942535915051E-3</v>
      </c>
      <c r="F312" s="374" t="s">
        <v>553</v>
      </c>
      <c r="G312" s="251" t="s">
        <v>16</v>
      </c>
      <c r="H312" s="376">
        <v>2</v>
      </c>
      <c r="I312" s="376">
        <v>2</v>
      </c>
      <c r="J312" s="376">
        <v>3</v>
      </c>
      <c r="K312" s="376">
        <v>3</v>
      </c>
      <c r="L312" s="377">
        <v>2</v>
      </c>
      <c r="M312" s="378">
        <f t="shared" si="9"/>
        <v>0.60108474454521421</v>
      </c>
      <c r="N312" s="255"/>
    </row>
    <row r="313" spans="1:14" hidden="1" x14ac:dyDescent="0.2">
      <c r="A313" s="246" t="s">
        <v>240</v>
      </c>
      <c r="B313" s="459" t="s">
        <v>554</v>
      </c>
      <c r="C313" s="422" t="s">
        <v>24</v>
      </c>
      <c r="D313" s="248" t="s">
        <v>135</v>
      </c>
      <c r="E313" s="249">
        <v>9.1193004372267345E-6</v>
      </c>
      <c r="F313" s="374" t="s">
        <v>553</v>
      </c>
      <c r="G313" s="251" t="s">
        <v>16</v>
      </c>
      <c r="H313" s="376">
        <v>2</v>
      </c>
      <c r="I313" s="376">
        <v>2</v>
      </c>
      <c r="J313" s="376">
        <v>3</v>
      </c>
      <c r="K313" s="376">
        <v>3</v>
      </c>
      <c r="L313" s="377">
        <v>2</v>
      </c>
      <c r="M313" s="378">
        <f t="shared" si="9"/>
        <v>0.60108474454521421</v>
      </c>
      <c r="N313" s="255"/>
    </row>
    <row r="314" spans="1:14" hidden="1" x14ac:dyDescent="0.2">
      <c r="A314" s="246" t="s">
        <v>240</v>
      </c>
      <c r="B314" s="653" t="s">
        <v>552</v>
      </c>
      <c r="C314" s="422" t="s">
        <v>25</v>
      </c>
      <c r="D314" s="248" t="s">
        <v>135</v>
      </c>
      <c r="E314" s="249">
        <v>1.4635852592129919E-2</v>
      </c>
      <c r="F314" s="374" t="s">
        <v>553</v>
      </c>
      <c r="G314" s="251" t="s">
        <v>16</v>
      </c>
      <c r="H314" s="376">
        <v>2</v>
      </c>
      <c r="I314" s="376">
        <v>2</v>
      </c>
      <c r="J314" s="376">
        <v>3</v>
      </c>
      <c r="K314" s="376">
        <v>3</v>
      </c>
      <c r="L314" s="377">
        <v>2</v>
      </c>
      <c r="M314" s="378">
        <f t="shared" si="9"/>
        <v>0.60108474454521421</v>
      </c>
      <c r="N314" s="255"/>
    </row>
    <row r="315" spans="1:14" hidden="1" x14ac:dyDescent="0.2">
      <c r="A315" s="246" t="s">
        <v>240</v>
      </c>
      <c r="B315" s="459" t="s">
        <v>554</v>
      </c>
      <c r="C315" s="422" t="s">
        <v>25</v>
      </c>
      <c r="D315" s="248" t="s">
        <v>135</v>
      </c>
      <c r="E315" s="249">
        <v>2.5234228607120551E-5</v>
      </c>
      <c r="F315" s="374" t="s">
        <v>553</v>
      </c>
      <c r="G315" s="251" t="s">
        <v>16</v>
      </c>
      <c r="H315" s="376">
        <v>2</v>
      </c>
      <c r="I315" s="376">
        <v>2</v>
      </c>
      <c r="J315" s="376">
        <v>3</v>
      </c>
      <c r="K315" s="376">
        <v>3</v>
      </c>
      <c r="L315" s="377">
        <v>2</v>
      </c>
      <c r="M315" s="378">
        <f t="shared" si="9"/>
        <v>0.60108474454521421</v>
      </c>
      <c r="N315" s="255"/>
    </row>
    <row r="316" spans="1:14" hidden="1" x14ac:dyDescent="0.2">
      <c r="A316" s="246" t="s">
        <v>240</v>
      </c>
      <c r="B316" s="653" t="s">
        <v>552</v>
      </c>
      <c r="C316" s="422" t="s">
        <v>26</v>
      </c>
      <c r="D316" s="248" t="s">
        <v>135</v>
      </c>
      <c r="E316" s="249">
        <v>1.08682073703935E-3</v>
      </c>
      <c r="F316" s="374" t="s">
        <v>553</v>
      </c>
      <c r="G316" s="251" t="s">
        <v>16</v>
      </c>
      <c r="H316" s="376">
        <v>2</v>
      </c>
      <c r="I316" s="376">
        <v>2</v>
      </c>
      <c r="J316" s="376">
        <v>3</v>
      </c>
      <c r="K316" s="376">
        <v>3</v>
      </c>
      <c r="L316" s="377">
        <v>2</v>
      </c>
      <c r="M316" s="378">
        <f t="shared" si="9"/>
        <v>0.60108474454521421</v>
      </c>
      <c r="N316" s="255"/>
    </row>
    <row r="317" spans="1:14" hidden="1" x14ac:dyDescent="0.2">
      <c r="A317" s="246" t="s">
        <v>240</v>
      </c>
      <c r="B317" s="459" t="s">
        <v>554</v>
      </c>
      <c r="C317" s="422" t="s">
        <v>26</v>
      </c>
      <c r="D317" s="248" t="s">
        <v>135</v>
      </c>
      <c r="E317" s="249">
        <v>1.873828856964397E-6</v>
      </c>
      <c r="F317" s="374" t="s">
        <v>553</v>
      </c>
      <c r="G317" s="251" t="s">
        <v>16</v>
      </c>
      <c r="H317" s="376">
        <v>2</v>
      </c>
      <c r="I317" s="376">
        <v>2</v>
      </c>
      <c r="J317" s="376">
        <v>3</v>
      </c>
      <c r="K317" s="376">
        <v>3</v>
      </c>
      <c r="L317" s="377">
        <v>2</v>
      </c>
      <c r="M317" s="378">
        <f t="shared" si="9"/>
        <v>0.60108474454521421</v>
      </c>
      <c r="N317" s="255"/>
    </row>
    <row r="318" spans="1:14" hidden="1" x14ac:dyDescent="0.2">
      <c r="A318" s="246" t="s">
        <v>240</v>
      </c>
      <c r="B318" s="653" t="s">
        <v>552</v>
      </c>
      <c r="C318" s="422" t="s">
        <v>27</v>
      </c>
      <c r="D318" s="248" t="s">
        <v>135</v>
      </c>
      <c r="E318" s="249">
        <v>5.5790131168019976E-3</v>
      </c>
      <c r="F318" s="374" t="s">
        <v>553</v>
      </c>
      <c r="G318" s="251" t="s">
        <v>16</v>
      </c>
      <c r="H318" s="376">
        <v>2</v>
      </c>
      <c r="I318" s="376">
        <v>2</v>
      </c>
      <c r="J318" s="376">
        <v>3</v>
      </c>
      <c r="K318" s="376">
        <v>3</v>
      </c>
      <c r="L318" s="377">
        <v>2</v>
      </c>
      <c r="M318" s="378">
        <f t="shared" si="9"/>
        <v>0.60108474454521421</v>
      </c>
      <c r="N318" s="255"/>
    </row>
    <row r="319" spans="1:14" hidden="1" x14ac:dyDescent="0.2">
      <c r="A319" s="246" t="s">
        <v>240</v>
      </c>
      <c r="B319" s="459" t="s">
        <v>554</v>
      </c>
      <c r="C319" s="422" t="s">
        <v>27</v>
      </c>
      <c r="D319" s="248" t="s">
        <v>135</v>
      </c>
      <c r="E319" s="249">
        <v>9.6189881324172411E-6</v>
      </c>
      <c r="F319" s="374" t="s">
        <v>553</v>
      </c>
      <c r="G319" s="251" t="s">
        <v>16</v>
      </c>
      <c r="H319" s="376">
        <v>2</v>
      </c>
      <c r="I319" s="376">
        <v>2</v>
      </c>
      <c r="J319" s="376">
        <v>3</v>
      </c>
      <c r="K319" s="376">
        <v>3</v>
      </c>
      <c r="L319" s="377">
        <v>2</v>
      </c>
      <c r="M319" s="378">
        <f t="shared" si="9"/>
        <v>0.60108474454521421</v>
      </c>
      <c r="N319" s="255"/>
    </row>
    <row r="320" spans="1:14" hidden="1" x14ac:dyDescent="0.2">
      <c r="A320" s="246" t="s">
        <v>240</v>
      </c>
      <c r="B320" s="653" t="s">
        <v>552</v>
      </c>
      <c r="C320" s="422" t="s">
        <v>28</v>
      </c>
      <c r="D320" s="248" t="s">
        <v>135</v>
      </c>
      <c r="E320" s="249">
        <v>7.5352904434728297E-3</v>
      </c>
      <c r="F320" s="374" t="s">
        <v>553</v>
      </c>
      <c r="G320" s="251" t="s">
        <v>16</v>
      </c>
      <c r="H320" s="376">
        <v>2</v>
      </c>
      <c r="I320" s="376">
        <v>2</v>
      </c>
      <c r="J320" s="376">
        <v>3</v>
      </c>
      <c r="K320" s="376">
        <v>3</v>
      </c>
      <c r="L320" s="377">
        <v>2</v>
      </c>
      <c r="M320" s="378">
        <f t="shared" si="9"/>
        <v>0.60108474454521421</v>
      </c>
      <c r="N320" s="255"/>
    </row>
    <row r="321" spans="1:14" hidden="1" x14ac:dyDescent="0.2">
      <c r="A321" s="246" t="s">
        <v>240</v>
      </c>
      <c r="B321" s="459" t="s">
        <v>554</v>
      </c>
      <c r="C321" s="422" t="s">
        <v>28</v>
      </c>
      <c r="D321" s="248" t="s">
        <v>135</v>
      </c>
      <c r="E321" s="249">
        <v>1.299188007495316E-5</v>
      </c>
      <c r="F321" s="374" t="s">
        <v>553</v>
      </c>
      <c r="G321" s="251" t="s">
        <v>16</v>
      </c>
      <c r="H321" s="376">
        <v>2</v>
      </c>
      <c r="I321" s="376">
        <v>2</v>
      </c>
      <c r="J321" s="376">
        <v>3</v>
      </c>
      <c r="K321" s="376">
        <v>3</v>
      </c>
      <c r="L321" s="377">
        <v>2</v>
      </c>
      <c r="M321" s="378">
        <f t="shared" si="9"/>
        <v>0.60108474454521421</v>
      </c>
      <c r="N321" s="255"/>
    </row>
    <row r="322" spans="1:14" hidden="1" x14ac:dyDescent="0.2">
      <c r="A322" s="246" t="s">
        <v>240</v>
      </c>
      <c r="B322" s="653" t="s">
        <v>552</v>
      </c>
      <c r="C322" s="422" t="s">
        <v>30</v>
      </c>
      <c r="D322" s="248" t="s">
        <v>135</v>
      </c>
      <c r="E322" s="249">
        <v>1.079575265459088E-2</v>
      </c>
      <c r="F322" s="374" t="s">
        <v>553</v>
      </c>
      <c r="G322" s="251" t="s">
        <v>16</v>
      </c>
      <c r="H322" s="376">
        <v>2</v>
      </c>
      <c r="I322" s="376">
        <v>2</v>
      </c>
      <c r="J322" s="376">
        <v>3</v>
      </c>
      <c r="K322" s="376">
        <v>3</v>
      </c>
      <c r="L322" s="377">
        <v>2</v>
      </c>
      <c r="M322" s="378">
        <f t="shared" si="9"/>
        <v>0.60108474454521421</v>
      </c>
      <c r="N322" s="255"/>
    </row>
    <row r="323" spans="1:14" hidden="1" x14ac:dyDescent="0.2">
      <c r="A323" s="246" t="s">
        <v>240</v>
      </c>
      <c r="B323" s="459" t="s">
        <v>554</v>
      </c>
      <c r="C323" s="422" t="s">
        <v>30</v>
      </c>
      <c r="D323" s="248" t="s">
        <v>135</v>
      </c>
      <c r="E323" s="249">
        <v>1.861336664584635E-5</v>
      </c>
      <c r="F323" s="374" t="s">
        <v>553</v>
      </c>
      <c r="G323" s="251" t="s">
        <v>16</v>
      </c>
      <c r="H323" s="376">
        <v>2</v>
      </c>
      <c r="I323" s="376">
        <v>2</v>
      </c>
      <c r="J323" s="376">
        <v>3</v>
      </c>
      <c r="K323" s="376">
        <v>3</v>
      </c>
      <c r="L323" s="377">
        <v>2</v>
      </c>
      <c r="M323" s="378">
        <f t="shared" si="9"/>
        <v>0.60108474454521421</v>
      </c>
      <c r="N323" s="255"/>
    </row>
    <row r="324" spans="1:14" hidden="1" x14ac:dyDescent="0.2">
      <c r="A324" s="246" t="s">
        <v>240</v>
      </c>
      <c r="B324" s="653" t="s">
        <v>552</v>
      </c>
      <c r="C324" s="422" t="s">
        <v>32</v>
      </c>
      <c r="D324" s="248" t="s">
        <v>135</v>
      </c>
      <c r="E324" s="249">
        <v>5.7963772642098687E-4</v>
      </c>
      <c r="F324" s="374" t="s">
        <v>553</v>
      </c>
      <c r="G324" s="251" t="s">
        <v>16</v>
      </c>
      <c r="H324" s="376">
        <v>2</v>
      </c>
      <c r="I324" s="376">
        <v>2</v>
      </c>
      <c r="J324" s="376">
        <v>3</v>
      </c>
      <c r="K324" s="376">
        <v>3</v>
      </c>
      <c r="L324" s="377">
        <v>2</v>
      </c>
      <c r="M324" s="378">
        <f>IF( OR( ISBLANK(H324),ISBLANK(I324), ISBLANK(J324), ISBLANK(K324), ISBLANK(L324) ), "", 1.5*SQRT(   EXP(2.21*(H324-1)) + EXP(2.21*(I324-1)) + EXP(2.21*(J324-1)) + EXP(2.21*(K324-1)) + EXP(2.21*L324)   )/100*2.45 )</f>
        <v>0.60108474454521421</v>
      </c>
      <c r="N324" s="255"/>
    </row>
    <row r="325" spans="1:14" hidden="1" x14ac:dyDescent="0.2">
      <c r="A325" s="246" t="s">
        <v>240</v>
      </c>
      <c r="B325" s="459" t="s">
        <v>554</v>
      </c>
      <c r="C325" s="422" t="s">
        <v>32</v>
      </c>
      <c r="D325" s="248" t="s">
        <v>135</v>
      </c>
      <c r="E325" s="249">
        <v>9.9937539038101194E-7</v>
      </c>
      <c r="F325" s="374" t="s">
        <v>553</v>
      </c>
      <c r="G325" s="251" t="s">
        <v>16</v>
      </c>
      <c r="H325" s="376">
        <v>2</v>
      </c>
      <c r="I325" s="376">
        <v>2</v>
      </c>
      <c r="J325" s="376">
        <v>3</v>
      </c>
      <c r="K325" s="376">
        <v>3</v>
      </c>
      <c r="L325" s="377">
        <v>2</v>
      </c>
      <c r="M325" s="378">
        <f t="shared" ref="M325:M356" si="10">IF( OR( ISBLANK(H325),ISBLANK(I325), ISBLANK(J325), ISBLANK(K325), ISBLANK(L325) ), "", 1.5*SQRT( EXP(2.21*(H325-1)) + EXP(2.21*(I325-1)) + EXP(2.21*(J325-1)) + EXP(2.21*(K325-1)) + EXP(2.21*L325) )/100*2.45 )</f>
        <v>0.60108474454521421</v>
      </c>
      <c r="N325" s="255"/>
    </row>
    <row r="326" spans="1:14" hidden="1" x14ac:dyDescent="0.2">
      <c r="A326" s="246" t="s">
        <v>240</v>
      </c>
      <c r="B326" s="653" t="s">
        <v>552</v>
      </c>
      <c r="C326" s="422" t="s">
        <v>34</v>
      </c>
      <c r="D326" s="248" t="s">
        <v>135</v>
      </c>
      <c r="E326" s="249">
        <v>2.8257339163023109E-3</v>
      </c>
      <c r="F326" s="374" t="s">
        <v>553</v>
      </c>
      <c r="G326" s="251" t="s">
        <v>16</v>
      </c>
      <c r="H326" s="376">
        <v>2</v>
      </c>
      <c r="I326" s="376">
        <v>2</v>
      </c>
      <c r="J326" s="376">
        <v>3</v>
      </c>
      <c r="K326" s="376">
        <v>3</v>
      </c>
      <c r="L326" s="377">
        <v>2</v>
      </c>
      <c r="M326" s="378">
        <f t="shared" si="10"/>
        <v>0.60108474454521421</v>
      </c>
      <c r="N326" s="255"/>
    </row>
    <row r="327" spans="1:14" hidden="1" x14ac:dyDescent="0.2">
      <c r="A327" s="246" t="s">
        <v>240</v>
      </c>
      <c r="B327" s="459" t="s">
        <v>554</v>
      </c>
      <c r="C327" s="422" t="s">
        <v>34</v>
      </c>
      <c r="D327" s="248" t="s">
        <v>135</v>
      </c>
      <c r="E327" s="249">
        <v>4.8719550281074326E-6</v>
      </c>
      <c r="F327" s="374" t="s">
        <v>553</v>
      </c>
      <c r="G327" s="251" t="s">
        <v>16</v>
      </c>
      <c r="H327" s="376">
        <v>2</v>
      </c>
      <c r="I327" s="376">
        <v>2</v>
      </c>
      <c r="J327" s="376">
        <v>3</v>
      </c>
      <c r="K327" s="376">
        <v>3</v>
      </c>
      <c r="L327" s="377">
        <v>2</v>
      </c>
      <c r="M327" s="378">
        <f t="shared" si="10"/>
        <v>0.60108474454521421</v>
      </c>
      <c r="N327" s="255"/>
    </row>
    <row r="328" spans="1:14" hidden="1" x14ac:dyDescent="0.2">
      <c r="A328" s="246" t="s">
        <v>240</v>
      </c>
      <c r="B328" s="653" t="s">
        <v>552</v>
      </c>
      <c r="C328" s="422" t="s">
        <v>36</v>
      </c>
      <c r="D328" s="248" t="s">
        <v>135</v>
      </c>
      <c r="E328" s="249">
        <v>4.7820112429731417E-3</v>
      </c>
      <c r="F328" s="374" t="s">
        <v>553</v>
      </c>
      <c r="G328" s="251" t="s">
        <v>16</v>
      </c>
      <c r="H328" s="376">
        <v>2</v>
      </c>
      <c r="I328" s="376">
        <v>2</v>
      </c>
      <c r="J328" s="376">
        <v>3</v>
      </c>
      <c r="K328" s="376">
        <v>3</v>
      </c>
      <c r="L328" s="377">
        <v>2</v>
      </c>
      <c r="M328" s="378">
        <f t="shared" si="10"/>
        <v>0.60108474454521421</v>
      </c>
      <c r="N328" s="255"/>
    </row>
    <row r="329" spans="1:14" hidden="1" x14ac:dyDescent="0.2">
      <c r="A329" s="246" t="s">
        <v>240</v>
      </c>
      <c r="B329" s="459" t="s">
        <v>554</v>
      </c>
      <c r="C329" s="422" t="s">
        <v>36</v>
      </c>
      <c r="D329" s="248" t="s">
        <v>135</v>
      </c>
      <c r="E329" s="249">
        <v>8.2448469706433488E-6</v>
      </c>
      <c r="F329" s="374" t="s">
        <v>553</v>
      </c>
      <c r="G329" s="251" t="s">
        <v>16</v>
      </c>
      <c r="H329" s="376">
        <v>2</v>
      </c>
      <c r="I329" s="376">
        <v>2</v>
      </c>
      <c r="J329" s="376">
        <v>3</v>
      </c>
      <c r="K329" s="376">
        <v>3</v>
      </c>
      <c r="L329" s="377">
        <v>2</v>
      </c>
      <c r="M329" s="378">
        <f t="shared" si="10"/>
        <v>0.60108474454521421</v>
      </c>
      <c r="N329" s="255"/>
    </row>
    <row r="330" spans="1:14" hidden="1" x14ac:dyDescent="0.2">
      <c r="A330" s="246" t="s">
        <v>240</v>
      </c>
      <c r="B330" s="653" t="s">
        <v>552</v>
      </c>
      <c r="C330" s="422" t="s">
        <v>37</v>
      </c>
      <c r="D330" s="248" t="s">
        <v>135</v>
      </c>
      <c r="E330" s="249">
        <v>8.9119300437226733E-3</v>
      </c>
      <c r="F330" s="374" t="s">
        <v>553</v>
      </c>
      <c r="G330" s="251" t="s">
        <v>16</v>
      </c>
      <c r="H330" s="376">
        <v>2</v>
      </c>
      <c r="I330" s="376">
        <v>2</v>
      </c>
      <c r="J330" s="376">
        <v>3</v>
      </c>
      <c r="K330" s="376">
        <v>3</v>
      </c>
      <c r="L330" s="377">
        <v>2</v>
      </c>
      <c r="M330" s="378">
        <f t="shared" si="10"/>
        <v>0.60108474454521421</v>
      </c>
      <c r="N330" s="255"/>
    </row>
    <row r="331" spans="1:14" hidden="1" x14ac:dyDescent="0.2">
      <c r="A331" s="246" t="s">
        <v>240</v>
      </c>
      <c r="B331" s="459" t="s">
        <v>554</v>
      </c>
      <c r="C331" s="422" t="s">
        <v>37</v>
      </c>
      <c r="D331" s="248" t="s">
        <v>135</v>
      </c>
      <c r="E331" s="249">
        <v>1.5365396627108059E-5</v>
      </c>
      <c r="F331" s="374" t="s">
        <v>553</v>
      </c>
      <c r="G331" s="251" t="s">
        <v>16</v>
      </c>
      <c r="H331" s="376">
        <v>2</v>
      </c>
      <c r="I331" s="376">
        <v>2</v>
      </c>
      <c r="J331" s="376">
        <v>3</v>
      </c>
      <c r="K331" s="376">
        <v>3</v>
      </c>
      <c r="L331" s="377">
        <v>2</v>
      </c>
      <c r="M331" s="378">
        <f t="shared" si="10"/>
        <v>0.60108474454521421</v>
      </c>
      <c r="N331" s="255"/>
    </row>
    <row r="332" spans="1:14" hidden="1" x14ac:dyDescent="0.2">
      <c r="A332" s="246" t="s">
        <v>240</v>
      </c>
      <c r="B332" s="653" t="s">
        <v>552</v>
      </c>
      <c r="C332" s="422" t="s">
        <v>39</v>
      </c>
      <c r="D332" s="248" t="s">
        <v>135</v>
      </c>
      <c r="E332" s="249">
        <v>2.6808244846970638E-3</v>
      </c>
      <c r="F332" s="374" t="s">
        <v>553</v>
      </c>
      <c r="G332" s="251" t="s">
        <v>16</v>
      </c>
      <c r="H332" s="376">
        <v>2</v>
      </c>
      <c r="I332" s="376">
        <v>2</v>
      </c>
      <c r="J332" s="376">
        <v>3</v>
      </c>
      <c r="K332" s="376">
        <v>3</v>
      </c>
      <c r="L332" s="377">
        <v>2</v>
      </c>
      <c r="M332" s="378">
        <f t="shared" si="10"/>
        <v>0.60108474454521421</v>
      </c>
      <c r="N332" s="255"/>
    </row>
    <row r="333" spans="1:14" hidden="1" x14ac:dyDescent="0.2">
      <c r="A333" s="246" t="s">
        <v>240</v>
      </c>
      <c r="B333" s="459" t="s">
        <v>554</v>
      </c>
      <c r="C333" s="422" t="s">
        <v>39</v>
      </c>
      <c r="D333" s="248" t="s">
        <v>135</v>
      </c>
      <c r="E333" s="249">
        <v>4.6221111805121802E-6</v>
      </c>
      <c r="F333" s="374" t="s">
        <v>553</v>
      </c>
      <c r="G333" s="251" t="s">
        <v>16</v>
      </c>
      <c r="H333" s="376">
        <v>2</v>
      </c>
      <c r="I333" s="376">
        <v>2</v>
      </c>
      <c r="J333" s="376">
        <v>3</v>
      </c>
      <c r="K333" s="376">
        <v>3</v>
      </c>
      <c r="L333" s="377">
        <v>2</v>
      </c>
      <c r="M333" s="378">
        <f t="shared" si="10"/>
        <v>0.60108474454521421</v>
      </c>
      <c r="N333" s="255"/>
    </row>
    <row r="334" spans="1:14" hidden="1" x14ac:dyDescent="0.2">
      <c r="A334" s="246" t="s">
        <v>240</v>
      </c>
      <c r="B334" s="653" t="s">
        <v>552</v>
      </c>
      <c r="C334" s="422" t="s">
        <v>40</v>
      </c>
      <c r="D334" s="248" t="s">
        <v>135</v>
      </c>
      <c r="E334" s="249">
        <v>7.390381011867583E-3</v>
      </c>
      <c r="F334" s="374" t="s">
        <v>553</v>
      </c>
      <c r="G334" s="251" t="s">
        <v>16</v>
      </c>
      <c r="H334" s="376">
        <v>2</v>
      </c>
      <c r="I334" s="376">
        <v>2</v>
      </c>
      <c r="J334" s="376">
        <v>3</v>
      </c>
      <c r="K334" s="376">
        <v>3</v>
      </c>
      <c r="L334" s="377">
        <v>2</v>
      </c>
      <c r="M334" s="378">
        <f t="shared" si="10"/>
        <v>0.60108474454521421</v>
      </c>
      <c r="N334" s="255"/>
    </row>
    <row r="335" spans="1:14" hidden="1" x14ac:dyDescent="0.2">
      <c r="A335" s="246" t="s">
        <v>240</v>
      </c>
      <c r="B335" s="459" t="s">
        <v>554</v>
      </c>
      <c r="C335" s="422" t="s">
        <v>40</v>
      </c>
      <c r="D335" s="248" t="s">
        <v>135</v>
      </c>
      <c r="E335" s="249">
        <v>1.27420362273579E-5</v>
      </c>
      <c r="F335" s="374" t="s">
        <v>553</v>
      </c>
      <c r="G335" s="251" t="s">
        <v>16</v>
      </c>
      <c r="H335" s="376">
        <v>2</v>
      </c>
      <c r="I335" s="376">
        <v>2</v>
      </c>
      <c r="J335" s="376">
        <v>3</v>
      </c>
      <c r="K335" s="376">
        <v>3</v>
      </c>
      <c r="L335" s="377">
        <v>2</v>
      </c>
      <c r="M335" s="378">
        <f t="shared" si="10"/>
        <v>0.60108474454521421</v>
      </c>
      <c r="N335" s="255"/>
    </row>
    <row r="336" spans="1:14" hidden="1" x14ac:dyDescent="0.2">
      <c r="A336" s="246" t="s">
        <v>240</v>
      </c>
      <c r="B336" s="653" t="s">
        <v>552</v>
      </c>
      <c r="C336" s="422" t="s">
        <v>41</v>
      </c>
      <c r="D336" s="248" t="s">
        <v>135</v>
      </c>
      <c r="E336" s="249">
        <v>1.4490943160524671E-2</v>
      </c>
      <c r="F336" s="374" t="s">
        <v>553</v>
      </c>
      <c r="G336" s="251" t="s">
        <v>16</v>
      </c>
      <c r="H336" s="376">
        <v>2</v>
      </c>
      <c r="I336" s="376">
        <v>2</v>
      </c>
      <c r="J336" s="376">
        <v>3</v>
      </c>
      <c r="K336" s="376">
        <v>3</v>
      </c>
      <c r="L336" s="377">
        <v>2</v>
      </c>
      <c r="M336" s="378">
        <f t="shared" si="10"/>
        <v>0.60108474454521421</v>
      </c>
      <c r="N336" s="255"/>
    </row>
    <row r="337" spans="1:14" hidden="1" x14ac:dyDescent="0.2">
      <c r="A337" s="246" t="s">
        <v>240</v>
      </c>
      <c r="B337" s="459" t="s">
        <v>554</v>
      </c>
      <c r="C337" s="422" t="s">
        <v>41</v>
      </c>
      <c r="D337" s="248" t="s">
        <v>135</v>
      </c>
      <c r="E337" s="249">
        <v>2.49843847595253E-5</v>
      </c>
      <c r="F337" s="374" t="s">
        <v>553</v>
      </c>
      <c r="G337" s="251" t="s">
        <v>16</v>
      </c>
      <c r="H337" s="376">
        <v>2</v>
      </c>
      <c r="I337" s="376">
        <v>2</v>
      </c>
      <c r="J337" s="376">
        <v>3</v>
      </c>
      <c r="K337" s="376">
        <v>3</v>
      </c>
      <c r="L337" s="377">
        <v>2</v>
      </c>
      <c r="M337" s="378">
        <f t="shared" si="10"/>
        <v>0.60108474454521421</v>
      </c>
      <c r="N337" s="255"/>
    </row>
    <row r="338" spans="1:14" hidden="1" x14ac:dyDescent="0.2">
      <c r="A338" s="246" t="s">
        <v>240</v>
      </c>
      <c r="B338" s="653" t="s">
        <v>552</v>
      </c>
      <c r="C338" s="422" t="s">
        <v>42</v>
      </c>
      <c r="D338" s="248" t="s">
        <v>135</v>
      </c>
      <c r="E338" s="249">
        <v>3.7676452217364148E-3</v>
      </c>
      <c r="F338" s="374" t="s">
        <v>553</v>
      </c>
      <c r="G338" s="251" t="s">
        <v>16</v>
      </c>
      <c r="H338" s="376">
        <v>2</v>
      </c>
      <c r="I338" s="376">
        <v>2</v>
      </c>
      <c r="J338" s="376">
        <v>3</v>
      </c>
      <c r="K338" s="376">
        <v>3</v>
      </c>
      <c r="L338" s="377">
        <v>2</v>
      </c>
      <c r="M338" s="378">
        <f t="shared" si="10"/>
        <v>0.60108474454521421</v>
      </c>
      <c r="N338" s="255"/>
    </row>
    <row r="339" spans="1:14" hidden="1" x14ac:dyDescent="0.2">
      <c r="A339" s="246" t="s">
        <v>240</v>
      </c>
      <c r="B339" s="459" t="s">
        <v>554</v>
      </c>
      <c r="C339" s="422" t="s">
        <v>42</v>
      </c>
      <c r="D339" s="248" t="s">
        <v>135</v>
      </c>
      <c r="E339" s="249">
        <v>6.4959400374765782E-6</v>
      </c>
      <c r="F339" s="374" t="s">
        <v>553</v>
      </c>
      <c r="G339" s="251" t="s">
        <v>16</v>
      </c>
      <c r="H339" s="376">
        <v>2</v>
      </c>
      <c r="I339" s="376">
        <v>2</v>
      </c>
      <c r="J339" s="376">
        <v>3</v>
      </c>
      <c r="K339" s="376">
        <v>3</v>
      </c>
      <c r="L339" s="377">
        <v>2</v>
      </c>
      <c r="M339" s="378">
        <f t="shared" si="10"/>
        <v>0.60108474454521421</v>
      </c>
      <c r="N339" s="255"/>
    </row>
    <row r="340" spans="1:14" hidden="1" x14ac:dyDescent="0.2">
      <c r="A340" s="246" t="s">
        <v>240</v>
      </c>
      <c r="B340" s="653" t="s">
        <v>552</v>
      </c>
      <c r="C340" s="422" t="s">
        <v>43</v>
      </c>
      <c r="D340" s="248" t="s">
        <v>135</v>
      </c>
      <c r="E340" s="249">
        <v>6.2311055590256086E-3</v>
      </c>
      <c r="F340" s="374" t="s">
        <v>553</v>
      </c>
      <c r="G340" s="251" t="s">
        <v>16</v>
      </c>
      <c r="H340" s="376">
        <v>2</v>
      </c>
      <c r="I340" s="376">
        <v>2</v>
      </c>
      <c r="J340" s="376">
        <v>3</v>
      </c>
      <c r="K340" s="376">
        <v>3</v>
      </c>
      <c r="L340" s="377">
        <v>2</v>
      </c>
      <c r="M340" s="378">
        <f t="shared" si="10"/>
        <v>0.60108474454521421</v>
      </c>
      <c r="N340" s="255"/>
    </row>
    <row r="341" spans="1:14" hidden="1" x14ac:dyDescent="0.2">
      <c r="A341" s="246" t="s">
        <v>240</v>
      </c>
      <c r="B341" s="459" t="s">
        <v>554</v>
      </c>
      <c r="C341" s="422" t="s">
        <v>43</v>
      </c>
      <c r="D341" s="248" t="s">
        <v>135</v>
      </c>
      <c r="E341" s="249">
        <v>1.074328544659588E-5</v>
      </c>
      <c r="F341" s="374" t="s">
        <v>553</v>
      </c>
      <c r="G341" s="251" t="s">
        <v>16</v>
      </c>
      <c r="H341" s="376">
        <v>2</v>
      </c>
      <c r="I341" s="376">
        <v>2</v>
      </c>
      <c r="J341" s="376">
        <v>3</v>
      </c>
      <c r="K341" s="376">
        <v>3</v>
      </c>
      <c r="L341" s="377">
        <v>2</v>
      </c>
      <c r="M341" s="378">
        <f t="shared" si="10"/>
        <v>0.60108474454521421</v>
      </c>
      <c r="N341" s="255"/>
    </row>
    <row r="342" spans="1:14" hidden="1" x14ac:dyDescent="0.2">
      <c r="A342" s="246" t="s">
        <v>240</v>
      </c>
      <c r="B342" s="653" t="s">
        <v>552</v>
      </c>
      <c r="C342" s="422" t="s">
        <v>45</v>
      </c>
      <c r="D342" s="248" t="s">
        <v>135</v>
      </c>
      <c r="E342" s="249">
        <v>1.08682073703935E-3</v>
      </c>
      <c r="F342" s="374" t="s">
        <v>553</v>
      </c>
      <c r="G342" s="251" t="s">
        <v>16</v>
      </c>
      <c r="H342" s="376">
        <v>2</v>
      </c>
      <c r="I342" s="376">
        <v>2</v>
      </c>
      <c r="J342" s="376">
        <v>3</v>
      </c>
      <c r="K342" s="376">
        <v>3</v>
      </c>
      <c r="L342" s="377">
        <v>2</v>
      </c>
      <c r="M342" s="378">
        <f t="shared" si="10"/>
        <v>0.60108474454521421</v>
      </c>
      <c r="N342" s="255"/>
    </row>
    <row r="343" spans="1:14" hidden="1" x14ac:dyDescent="0.2">
      <c r="A343" s="246" t="s">
        <v>240</v>
      </c>
      <c r="B343" s="459" t="s">
        <v>554</v>
      </c>
      <c r="C343" s="422" t="s">
        <v>45</v>
      </c>
      <c r="D343" s="248" t="s">
        <v>135</v>
      </c>
      <c r="E343" s="249">
        <v>1.873828856964397E-6</v>
      </c>
      <c r="F343" s="374" t="s">
        <v>553</v>
      </c>
      <c r="G343" s="251" t="s">
        <v>16</v>
      </c>
      <c r="H343" s="376">
        <v>2</v>
      </c>
      <c r="I343" s="376">
        <v>2</v>
      </c>
      <c r="J343" s="376">
        <v>3</v>
      </c>
      <c r="K343" s="376">
        <v>3</v>
      </c>
      <c r="L343" s="377">
        <v>2</v>
      </c>
      <c r="M343" s="378">
        <f t="shared" si="10"/>
        <v>0.60108474454521421</v>
      </c>
      <c r="N343" s="255"/>
    </row>
    <row r="344" spans="1:14" hidden="1" x14ac:dyDescent="0.2">
      <c r="A344" s="246" t="s">
        <v>240</v>
      </c>
      <c r="B344" s="653" t="s">
        <v>552</v>
      </c>
      <c r="C344" s="422" t="s">
        <v>46</v>
      </c>
      <c r="D344" s="248" t="s">
        <v>135</v>
      </c>
      <c r="E344" s="249">
        <v>5.7239225484072452E-3</v>
      </c>
      <c r="F344" s="374" t="s">
        <v>553</v>
      </c>
      <c r="G344" s="251" t="s">
        <v>16</v>
      </c>
      <c r="H344" s="376">
        <v>2</v>
      </c>
      <c r="I344" s="376">
        <v>2</v>
      </c>
      <c r="J344" s="376">
        <v>3</v>
      </c>
      <c r="K344" s="376">
        <v>3</v>
      </c>
      <c r="L344" s="377">
        <v>2</v>
      </c>
      <c r="M344" s="378">
        <f t="shared" si="10"/>
        <v>0.60108474454521421</v>
      </c>
      <c r="N344" s="255"/>
    </row>
    <row r="345" spans="1:14" hidden="1" x14ac:dyDescent="0.2">
      <c r="A345" s="246" t="s">
        <v>240</v>
      </c>
      <c r="B345" s="459" t="s">
        <v>554</v>
      </c>
      <c r="C345" s="422" t="s">
        <v>46</v>
      </c>
      <c r="D345" s="248" t="s">
        <v>135</v>
      </c>
      <c r="E345" s="249">
        <v>9.8688319800124927E-6</v>
      </c>
      <c r="F345" s="374" t="s">
        <v>553</v>
      </c>
      <c r="G345" s="251" t="s">
        <v>16</v>
      </c>
      <c r="H345" s="376">
        <v>2</v>
      </c>
      <c r="I345" s="376">
        <v>2</v>
      </c>
      <c r="J345" s="376">
        <v>3</v>
      </c>
      <c r="K345" s="376">
        <v>3</v>
      </c>
      <c r="L345" s="377">
        <v>2</v>
      </c>
      <c r="M345" s="378">
        <f t="shared" si="10"/>
        <v>0.60108474454521421</v>
      </c>
      <c r="N345" s="255"/>
    </row>
    <row r="346" spans="1:14" hidden="1" x14ac:dyDescent="0.2">
      <c r="A346" s="246" t="s">
        <v>240</v>
      </c>
      <c r="B346" s="653" t="s">
        <v>552</v>
      </c>
      <c r="C346" s="422" t="s">
        <v>48</v>
      </c>
      <c r="D346" s="248" t="s">
        <v>135</v>
      </c>
      <c r="E346" s="249">
        <v>5.6514678326046218E-3</v>
      </c>
      <c r="F346" s="374" t="s">
        <v>553</v>
      </c>
      <c r="G346" s="251" t="s">
        <v>16</v>
      </c>
      <c r="H346" s="376">
        <v>2</v>
      </c>
      <c r="I346" s="376">
        <v>2</v>
      </c>
      <c r="J346" s="376">
        <v>3</v>
      </c>
      <c r="K346" s="376">
        <v>3</v>
      </c>
      <c r="L346" s="377">
        <v>2</v>
      </c>
      <c r="M346" s="378">
        <f t="shared" si="10"/>
        <v>0.60108474454521421</v>
      </c>
      <c r="N346" s="255"/>
    </row>
    <row r="347" spans="1:14" hidden="1" x14ac:dyDescent="0.2">
      <c r="A347" s="246" t="s">
        <v>240</v>
      </c>
      <c r="B347" s="459" t="s">
        <v>554</v>
      </c>
      <c r="C347" s="422" t="s">
        <v>48</v>
      </c>
      <c r="D347" s="248" t="s">
        <v>135</v>
      </c>
      <c r="E347" s="249">
        <v>9.7439100562148669E-6</v>
      </c>
      <c r="F347" s="374" t="s">
        <v>553</v>
      </c>
      <c r="G347" s="251" t="s">
        <v>16</v>
      </c>
      <c r="H347" s="376">
        <v>2</v>
      </c>
      <c r="I347" s="376">
        <v>2</v>
      </c>
      <c r="J347" s="376">
        <v>3</v>
      </c>
      <c r="K347" s="376">
        <v>3</v>
      </c>
      <c r="L347" s="377">
        <v>2</v>
      </c>
      <c r="M347" s="378">
        <f t="shared" si="10"/>
        <v>0.60108474454521421</v>
      </c>
      <c r="N347" s="255"/>
    </row>
    <row r="348" spans="1:14" hidden="1" x14ac:dyDescent="0.2">
      <c r="A348" s="246" t="s">
        <v>240</v>
      </c>
      <c r="B348" s="653" t="s">
        <v>552</v>
      </c>
      <c r="C348" s="422" t="s">
        <v>50</v>
      </c>
      <c r="D348" s="248" t="s">
        <v>135</v>
      </c>
      <c r="E348" s="249">
        <v>1.08682073703935E-3</v>
      </c>
      <c r="F348" s="374" t="s">
        <v>553</v>
      </c>
      <c r="G348" s="251" t="s">
        <v>16</v>
      </c>
      <c r="H348" s="376">
        <v>2</v>
      </c>
      <c r="I348" s="376">
        <v>2</v>
      </c>
      <c r="J348" s="376">
        <v>3</v>
      </c>
      <c r="K348" s="376">
        <v>3</v>
      </c>
      <c r="L348" s="377">
        <v>2</v>
      </c>
      <c r="M348" s="378">
        <f t="shared" si="10"/>
        <v>0.60108474454521421</v>
      </c>
      <c r="N348" s="255"/>
    </row>
    <row r="349" spans="1:14" hidden="1" x14ac:dyDescent="0.2">
      <c r="A349" s="246" t="s">
        <v>240</v>
      </c>
      <c r="B349" s="459" t="s">
        <v>554</v>
      </c>
      <c r="C349" s="422" t="s">
        <v>50</v>
      </c>
      <c r="D349" s="248" t="s">
        <v>135</v>
      </c>
      <c r="E349" s="249">
        <v>1.873828856964397E-6</v>
      </c>
      <c r="F349" s="374" t="s">
        <v>553</v>
      </c>
      <c r="G349" s="251" t="s">
        <v>16</v>
      </c>
      <c r="H349" s="376">
        <v>2</v>
      </c>
      <c r="I349" s="376">
        <v>2</v>
      </c>
      <c r="J349" s="376">
        <v>3</v>
      </c>
      <c r="K349" s="376">
        <v>3</v>
      </c>
      <c r="L349" s="377">
        <v>2</v>
      </c>
      <c r="M349" s="378">
        <f t="shared" si="10"/>
        <v>0.60108474454521421</v>
      </c>
      <c r="N349" s="255"/>
    </row>
    <row r="350" spans="1:14" hidden="1" x14ac:dyDescent="0.2">
      <c r="A350" s="246" t="s">
        <v>240</v>
      </c>
      <c r="B350" s="653" t="s">
        <v>552</v>
      </c>
      <c r="C350" s="422" t="s">
        <v>52</v>
      </c>
      <c r="D350" s="248" t="s">
        <v>135</v>
      </c>
      <c r="E350" s="249">
        <v>5.7239225484072452E-3</v>
      </c>
      <c r="F350" s="374" t="s">
        <v>553</v>
      </c>
      <c r="G350" s="251" t="s">
        <v>16</v>
      </c>
      <c r="H350" s="376">
        <v>2</v>
      </c>
      <c r="I350" s="376">
        <v>2</v>
      </c>
      <c r="J350" s="376">
        <v>3</v>
      </c>
      <c r="K350" s="376">
        <v>3</v>
      </c>
      <c r="L350" s="377">
        <v>2</v>
      </c>
      <c r="M350" s="378">
        <f t="shared" si="10"/>
        <v>0.60108474454521421</v>
      </c>
      <c r="N350" s="255"/>
    </row>
    <row r="351" spans="1:14" hidden="1" x14ac:dyDescent="0.2">
      <c r="A351" s="246" t="s">
        <v>240</v>
      </c>
      <c r="B351" s="459" t="s">
        <v>554</v>
      </c>
      <c r="C351" s="422" t="s">
        <v>52</v>
      </c>
      <c r="D351" s="248" t="s">
        <v>135</v>
      </c>
      <c r="E351" s="249">
        <v>9.8688319800124927E-6</v>
      </c>
      <c r="F351" s="374" t="s">
        <v>553</v>
      </c>
      <c r="G351" s="251" t="s">
        <v>16</v>
      </c>
      <c r="H351" s="376">
        <v>2</v>
      </c>
      <c r="I351" s="376">
        <v>2</v>
      </c>
      <c r="J351" s="376">
        <v>3</v>
      </c>
      <c r="K351" s="376">
        <v>3</v>
      </c>
      <c r="L351" s="377">
        <v>2</v>
      </c>
      <c r="M351" s="378">
        <f t="shared" si="10"/>
        <v>0.60108474454521421</v>
      </c>
      <c r="N351" s="255"/>
    </row>
    <row r="352" spans="1:14" hidden="1" x14ac:dyDescent="0.2">
      <c r="A352" s="246" t="s">
        <v>240</v>
      </c>
      <c r="B352" s="653" t="s">
        <v>552</v>
      </c>
      <c r="C352" s="422" t="s">
        <v>54</v>
      </c>
      <c r="D352" s="248" t="s">
        <v>135</v>
      </c>
      <c r="E352" s="249">
        <v>5.7239225484072452E-3</v>
      </c>
      <c r="F352" s="374" t="s">
        <v>553</v>
      </c>
      <c r="G352" s="251" t="s">
        <v>16</v>
      </c>
      <c r="H352" s="376">
        <v>2</v>
      </c>
      <c r="I352" s="376">
        <v>2</v>
      </c>
      <c r="J352" s="376">
        <v>3</v>
      </c>
      <c r="K352" s="376">
        <v>3</v>
      </c>
      <c r="L352" s="377">
        <v>2</v>
      </c>
      <c r="M352" s="378">
        <f t="shared" si="10"/>
        <v>0.60108474454521421</v>
      </c>
      <c r="N352" s="255"/>
    </row>
    <row r="353" spans="1:14" hidden="1" x14ac:dyDescent="0.2">
      <c r="A353" s="246" t="s">
        <v>240</v>
      </c>
      <c r="B353" s="459" t="s">
        <v>554</v>
      </c>
      <c r="C353" s="422" t="s">
        <v>54</v>
      </c>
      <c r="D353" s="248" t="s">
        <v>135</v>
      </c>
      <c r="E353" s="249">
        <v>9.8688319800124927E-6</v>
      </c>
      <c r="F353" s="374" t="s">
        <v>553</v>
      </c>
      <c r="G353" s="251" t="s">
        <v>16</v>
      </c>
      <c r="H353" s="376">
        <v>2</v>
      </c>
      <c r="I353" s="376">
        <v>2</v>
      </c>
      <c r="J353" s="376">
        <v>3</v>
      </c>
      <c r="K353" s="376">
        <v>3</v>
      </c>
      <c r="L353" s="377">
        <v>2</v>
      </c>
      <c r="M353" s="378">
        <f t="shared" si="10"/>
        <v>0.60108474454521421</v>
      </c>
      <c r="N353" s="255"/>
    </row>
    <row r="354" spans="1:14" hidden="1" x14ac:dyDescent="0.2">
      <c r="A354" s="246" t="s">
        <v>240</v>
      </c>
      <c r="B354" s="653" t="s">
        <v>552</v>
      </c>
      <c r="C354" s="422" t="s">
        <v>55</v>
      </c>
      <c r="D354" s="248" t="s">
        <v>135</v>
      </c>
      <c r="E354" s="249">
        <v>5.6514678326046218E-3</v>
      </c>
      <c r="F354" s="374" t="s">
        <v>553</v>
      </c>
      <c r="G354" s="251" t="s">
        <v>16</v>
      </c>
      <c r="H354" s="376">
        <v>2</v>
      </c>
      <c r="I354" s="376">
        <v>2</v>
      </c>
      <c r="J354" s="376">
        <v>3</v>
      </c>
      <c r="K354" s="376">
        <v>3</v>
      </c>
      <c r="L354" s="377">
        <v>2</v>
      </c>
      <c r="M354" s="378">
        <f t="shared" si="10"/>
        <v>0.60108474454521421</v>
      </c>
      <c r="N354" s="255"/>
    </row>
    <row r="355" spans="1:14" hidden="1" x14ac:dyDescent="0.2">
      <c r="A355" s="246" t="s">
        <v>240</v>
      </c>
      <c r="B355" s="459" t="s">
        <v>554</v>
      </c>
      <c r="C355" s="422" t="s">
        <v>55</v>
      </c>
      <c r="D355" s="248" t="s">
        <v>135</v>
      </c>
      <c r="E355" s="249">
        <v>9.7439100562148669E-6</v>
      </c>
      <c r="F355" s="374" t="s">
        <v>553</v>
      </c>
      <c r="G355" s="251" t="s">
        <v>16</v>
      </c>
      <c r="H355" s="376">
        <v>2</v>
      </c>
      <c r="I355" s="376">
        <v>2</v>
      </c>
      <c r="J355" s="376">
        <v>3</v>
      </c>
      <c r="K355" s="376">
        <v>3</v>
      </c>
      <c r="L355" s="377">
        <v>2</v>
      </c>
      <c r="M355" s="378">
        <f t="shared" si="10"/>
        <v>0.60108474454521421</v>
      </c>
      <c r="N355" s="255"/>
    </row>
    <row r="356" spans="1:14" hidden="1" x14ac:dyDescent="0.2">
      <c r="A356" s="246" t="s">
        <v>240</v>
      </c>
      <c r="B356" s="653" t="s">
        <v>552</v>
      </c>
      <c r="C356" s="422" t="s">
        <v>57</v>
      </c>
      <c r="D356" s="248" t="s">
        <v>135</v>
      </c>
      <c r="E356" s="249">
        <v>5.9412866958151152E-3</v>
      </c>
      <c r="F356" s="374" t="s">
        <v>553</v>
      </c>
      <c r="G356" s="375" t="s">
        <v>16</v>
      </c>
      <c r="H356" s="376">
        <v>2</v>
      </c>
      <c r="I356" s="376">
        <v>2</v>
      </c>
      <c r="J356" s="376">
        <v>3</v>
      </c>
      <c r="K356" s="376">
        <v>3</v>
      </c>
      <c r="L356" s="377">
        <v>2</v>
      </c>
      <c r="M356" s="254">
        <f t="shared" si="10"/>
        <v>0.60108474454521421</v>
      </c>
      <c r="N356" s="255"/>
    </row>
    <row r="357" spans="1:14" hidden="1" x14ac:dyDescent="0.2">
      <c r="A357" s="246" t="s">
        <v>240</v>
      </c>
      <c r="B357" s="459" t="s">
        <v>554</v>
      </c>
      <c r="C357" s="422" t="s">
        <v>57</v>
      </c>
      <c r="D357" s="248" t="s">
        <v>135</v>
      </c>
      <c r="E357" s="249">
        <v>1.024359775140537E-5</v>
      </c>
      <c r="F357" s="374" t="s">
        <v>553</v>
      </c>
      <c r="G357" s="251" t="s">
        <v>16</v>
      </c>
      <c r="H357" s="376">
        <v>2</v>
      </c>
      <c r="I357" s="376">
        <v>2</v>
      </c>
      <c r="J357" s="376">
        <v>3</v>
      </c>
      <c r="K357" s="376">
        <v>3</v>
      </c>
      <c r="L357" s="377">
        <v>2</v>
      </c>
      <c r="M357" s="378">
        <f t="shared" ref="M357:M387" si="11">IF( OR( ISBLANK(H357),ISBLANK(I357), ISBLANK(J357), ISBLANK(K357), ISBLANK(L357) ), "", 1.5*SQRT( EXP(2.21*(H357-1)) + EXP(2.21*(I357-1)) + EXP(2.21*(J357-1)) + EXP(2.21*(K357-1)) + EXP(2.21*L357) )/100*2.45 )</f>
        <v>0.60108474454521421</v>
      </c>
      <c r="N357" s="255"/>
    </row>
    <row r="358" spans="1:14" hidden="1" x14ac:dyDescent="0.2">
      <c r="A358" s="246" t="s">
        <v>240</v>
      </c>
      <c r="B358" s="653" t="s">
        <v>552</v>
      </c>
      <c r="C358" s="422" t="s">
        <v>59</v>
      </c>
      <c r="D358" s="248" t="s">
        <v>135</v>
      </c>
      <c r="E358" s="249">
        <v>1.1599999999999999E-2</v>
      </c>
      <c r="F358" s="374" t="s">
        <v>360</v>
      </c>
      <c r="G358" s="375"/>
      <c r="H358" s="376">
        <v>2</v>
      </c>
      <c r="I358" s="376">
        <v>2</v>
      </c>
      <c r="J358" s="376">
        <v>3</v>
      </c>
      <c r="K358" s="376">
        <v>3</v>
      </c>
      <c r="L358" s="377">
        <v>2</v>
      </c>
      <c r="M358" s="254">
        <f t="shared" si="11"/>
        <v>0.60108474454521421</v>
      </c>
      <c r="N358" s="255"/>
    </row>
    <row r="359" spans="1:14" hidden="1" x14ac:dyDescent="0.2">
      <c r="A359" s="246" t="s">
        <v>240</v>
      </c>
      <c r="B359" s="459" t="s">
        <v>554</v>
      </c>
      <c r="C359" s="422" t="s">
        <v>59</v>
      </c>
      <c r="D359" s="248" t="s">
        <v>135</v>
      </c>
      <c r="E359" s="249">
        <v>2.0000000000000002E-5</v>
      </c>
      <c r="F359" s="374" t="s">
        <v>360</v>
      </c>
      <c r="G359" s="251"/>
      <c r="H359" s="376">
        <v>2</v>
      </c>
      <c r="I359" s="376">
        <v>2</v>
      </c>
      <c r="J359" s="376">
        <v>3</v>
      </c>
      <c r="K359" s="376">
        <v>3</v>
      </c>
      <c r="L359" s="377">
        <v>2</v>
      </c>
      <c r="M359" s="378">
        <f t="shared" si="11"/>
        <v>0.60108474454521421</v>
      </c>
      <c r="N359" s="255"/>
    </row>
    <row r="360" spans="1:14" hidden="1" x14ac:dyDescent="0.2">
      <c r="A360" s="246" t="s">
        <v>240</v>
      </c>
      <c r="B360" s="653" t="s">
        <v>552</v>
      </c>
      <c r="C360" s="422" t="s">
        <v>60</v>
      </c>
      <c r="D360" s="248" t="s">
        <v>135</v>
      </c>
      <c r="E360" s="249">
        <v>4.7095565271705183E-3</v>
      </c>
      <c r="F360" s="374" t="s">
        <v>553</v>
      </c>
      <c r="G360" s="375" t="s">
        <v>16</v>
      </c>
      <c r="H360" s="376">
        <v>2</v>
      </c>
      <c r="I360" s="376">
        <v>2</v>
      </c>
      <c r="J360" s="376">
        <v>3</v>
      </c>
      <c r="K360" s="376">
        <v>3</v>
      </c>
      <c r="L360" s="377">
        <v>2</v>
      </c>
      <c r="M360" s="254">
        <f t="shared" si="11"/>
        <v>0.60108474454521421</v>
      </c>
      <c r="N360" s="255"/>
    </row>
    <row r="361" spans="1:14" hidden="1" x14ac:dyDescent="0.2">
      <c r="A361" s="464" t="s">
        <v>240</v>
      </c>
      <c r="B361" s="513" t="s">
        <v>554</v>
      </c>
      <c r="C361" s="427" t="s">
        <v>60</v>
      </c>
      <c r="D361" s="441" t="s">
        <v>135</v>
      </c>
      <c r="E361" s="288">
        <v>8.119925046845723E-6</v>
      </c>
      <c r="F361" s="399" t="s">
        <v>553</v>
      </c>
      <c r="G361" s="290" t="s">
        <v>16</v>
      </c>
      <c r="H361" s="398">
        <v>2</v>
      </c>
      <c r="I361" s="398">
        <v>2</v>
      </c>
      <c r="J361" s="398">
        <v>3</v>
      </c>
      <c r="K361" s="398">
        <v>3</v>
      </c>
      <c r="L361" s="407">
        <v>2</v>
      </c>
      <c r="M361" s="408">
        <f t="shared" si="11"/>
        <v>0.60108474454521421</v>
      </c>
      <c r="N361" s="294"/>
    </row>
    <row r="362" spans="1:14" x14ac:dyDescent="0.2">
      <c r="A362" s="505" t="s">
        <v>321</v>
      </c>
      <c r="B362" s="652" t="s">
        <v>552</v>
      </c>
      <c r="C362" s="422" t="s">
        <v>13</v>
      </c>
      <c r="D362" s="433" t="s">
        <v>135</v>
      </c>
      <c r="E362" s="266">
        <v>6.1948782011242973E-2</v>
      </c>
      <c r="F362" s="389" t="s">
        <v>553</v>
      </c>
      <c r="G362" s="390" t="s">
        <v>16</v>
      </c>
      <c r="H362" s="391">
        <v>2</v>
      </c>
      <c r="I362" s="391">
        <v>2</v>
      </c>
      <c r="J362" s="391">
        <v>3</v>
      </c>
      <c r="K362" s="391">
        <v>3</v>
      </c>
      <c r="L362" s="392">
        <v>2</v>
      </c>
      <c r="M362" s="271">
        <f t="shared" si="11"/>
        <v>0.60108474454521421</v>
      </c>
      <c r="N362" s="272"/>
    </row>
    <row r="363" spans="1:14" x14ac:dyDescent="0.2">
      <c r="A363" s="505" t="s">
        <v>321</v>
      </c>
      <c r="B363" s="459" t="s">
        <v>554</v>
      </c>
      <c r="C363" s="422" t="s">
        <v>13</v>
      </c>
      <c r="D363" s="248" t="s">
        <v>135</v>
      </c>
      <c r="E363" s="249">
        <v>1.08682073703935E-4</v>
      </c>
      <c r="F363" s="374" t="s">
        <v>553</v>
      </c>
      <c r="G363" s="251" t="s">
        <v>16</v>
      </c>
      <c r="H363" s="376">
        <v>2</v>
      </c>
      <c r="I363" s="376">
        <v>2</v>
      </c>
      <c r="J363" s="376">
        <v>3</v>
      </c>
      <c r="K363" s="376">
        <v>3</v>
      </c>
      <c r="L363" s="377">
        <v>2</v>
      </c>
      <c r="M363" s="378">
        <f t="shared" si="11"/>
        <v>0.60108474454521421</v>
      </c>
      <c r="N363" s="255"/>
    </row>
    <row r="364" spans="1:14" hidden="1" x14ac:dyDescent="0.2">
      <c r="A364" s="505" t="s">
        <v>321</v>
      </c>
      <c r="B364" s="653" t="s">
        <v>552</v>
      </c>
      <c r="C364" s="422" t="s">
        <v>18</v>
      </c>
      <c r="D364" s="248" t="s">
        <v>135</v>
      </c>
      <c r="E364" s="249">
        <v>5.4116177389131791E-2</v>
      </c>
      <c r="F364" s="374" t="s">
        <v>553</v>
      </c>
      <c r="G364" s="251" t="s">
        <v>16</v>
      </c>
      <c r="H364" s="376">
        <v>2</v>
      </c>
      <c r="I364" s="376">
        <v>2</v>
      </c>
      <c r="J364" s="376">
        <v>3</v>
      </c>
      <c r="K364" s="376">
        <v>3</v>
      </c>
      <c r="L364" s="377">
        <v>2</v>
      </c>
      <c r="M364" s="378">
        <f t="shared" si="11"/>
        <v>0.60108474454521421</v>
      </c>
      <c r="N364" s="255"/>
    </row>
    <row r="365" spans="1:14" hidden="1" x14ac:dyDescent="0.2">
      <c r="A365" s="505" t="s">
        <v>321</v>
      </c>
      <c r="B365" s="459" t="s">
        <v>554</v>
      </c>
      <c r="C365" s="422" t="s">
        <v>18</v>
      </c>
      <c r="D365" s="248" t="s">
        <v>135</v>
      </c>
      <c r="E365" s="249">
        <v>9.4940662086196126E-5</v>
      </c>
      <c r="F365" s="374" t="s">
        <v>553</v>
      </c>
      <c r="G365" s="251" t="s">
        <v>16</v>
      </c>
      <c r="H365" s="376">
        <v>2</v>
      </c>
      <c r="I365" s="376">
        <v>2</v>
      </c>
      <c r="J365" s="376">
        <v>3</v>
      </c>
      <c r="K365" s="376">
        <v>3</v>
      </c>
      <c r="L365" s="377">
        <v>2</v>
      </c>
      <c r="M365" s="378">
        <f t="shared" si="11"/>
        <v>0.60108474454521421</v>
      </c>
      <c r="N365" s="255"/>
    </row>
    <row r="366" spans="1:14" hidden="1" x14ac:dyDescent="0.2">
      <c r="A366" s="505" t="s">
        <v>321</v>
      </c>
      <c r="B366" s="653" t="s">
        <v>552</v>
      </c>
      <c r="C366" s="422" t="s">
        <v>20</v>
      </c>
      <c r="D366" s="248" t="s">
        <v>135</v>
      </c>
      <c r="E366" s="249">
        <v>3.5602748282323551E-3</v>
      </c>
      <c r="F366" s="374" t="s">
        <v>553</v>
      </c>
      <c r="G366" s="251" t="s">
        <v>16</v>
      </c>
      <c r="H366" s="376">
        <v>2</v>
      </c>
      <c r="I366" s="376">
        <v>2</v>
      </c>
      <c r="J366" s="376">
        <v>3</v>
      </c>
      <c r="K366" s="376">
        <v>3</v>
      </c>
      <c r="L366" s="377">
        <v>2</v>
      </c>
      <c r="M366" s="378">
        <f t="shared" si="11"/>
        <v>0.60108474454521421</v>
      </c>
      <c r="N366" s="255"/>
    </row>
    <row r="367" spans="1:14" hidden="1" x14ac:dyDescent="0.2">
      <c r="A367" s="505" t="s">
        <v>321</v>
      </c>
      <c r="B367" s="459" t="s">
        <v>554</v>
      </c>
      <c r="C367" s="422" t="s">
        <v>20</v>
      </c>
      <c r="D367" s="248" t="s">
        <v>135</v>
      </c>
      <c r="E367" s="249">
        <v>6.2460961898813241E-6</v>
      </c>
      <c r="F367" s="374" t="s">
        <v>553</v>
      </c>
      <c r="G367" s="251" t="s">
        <v>16</v>
      </c>
      <c r="H367" s="376">
        <v>2</v>
      </c>
      <c r="I367" s="376">
        <v>2</v>
      </c>
      <c r="J367" s="376">
        <v>3</v>
      </c>
      <c r="K367" s="376">
        <v>3</v>
      </c>
      <c r="L367" s="377">
        <v>2</v>
      </c>
      <c r="M367" s="378">
        <f t="shared" si="11"/>
        <v>0.60108474454521421</v>
      </c>
      <c r="N367" s="255"/>
    </row>
    <row r="368" spans="1:14" hidden="1" x14ac:dyDescent="0.2">
      <c r="A368" s="505" t="s">
        <v>321</v>
      </c>
      <c r="B368" s="653" t="s">
        <v>552</v>
      </c>
      <c r="C368" s="422" t="s">
        <v>22</v>
      </c>
      <c r="D368" s="248" t="s">
        <v>135</v>
      </c>
      <c r="E368" s="249">
        <v>8.5446595877576529E-3</v>
      </c>
      <c r="F368" s="374" t="s">
        <v>553</v>
      </c>
      <c r="G368" s="251" t="s">
        <v>16</v>
      </c>
      <c r="H368" s="376">
        <v>2</v>
      </c>
      <c r="I368" s="376">
        <v>2</v>
      </c>
      <c r="J368" s="376">
        <v>3</v>
      </c>
      <c r="K368" s="376">
        <v>3</v>
      </c>
      <c r="L368" s="377">
        <v>2</v>
      </c>
      <c r="M368" s="378">
        <f t="shared" si="11"/>
        <v>0.60108474454521421</v>
      </c>
      <c r="N368" s="255"/>
    </row>
    <row r="369" spans="1:14" hidden="1" x14ac:dyDescent="0.2">
      <c r="A369" s="505" t="s">
        <v>321</v>
      </c>
      <c r="B369" s="459" t="s">
        <v>554</v>
      </c>
      <c r="C369" s="422" t="s">
        <v>22</v>
      </c>
      <c r="D369" s="248" t="s">
        <v>135</v>
      </c>
      <c r="E369" s="249">
        <v>1.4990630855715179E-5</v>
      </c>
      <c r="F369" s="374" t="s">
        <v>553</v>
      </c>
      <c r="G369" s="251" t="s">
        <v>16</v>
      </c>
      <c r="H369" s="376">
        <v>2</v>
      </c>
      <c r="I369" s="376">
        <v>2</v>
      </c>
      <c r="J369" s="376">
        <v>3</v>
      </c>
      <c r="K369" s="376">
        <v>3</v>
      </c>
      <c r="L369" s="377">
        <v>2</v>
      </c>
      <c r="M369" s="378">
        <f t="shared" si="11"/>
        <v>0.60108474454521421</v>
      </c>
      <c r="N369" s="255"/>
    </row>
    <row r="370" spans="1:14" hidden="1" x14ac:dyDescent="0.2">
      <c r="A370" s="505" t="s">
        <v>321</v>
      </c>
      <c r="B370" s="653" t="s">
        <v>552</v>
      </c>
      <c r="C370" s="422" t="s">
        <v>23</v>
      </c>
      <c r="D370" s="248" t="s">
        <v>135</v>
      </c>
      <c r="E370" s="249">
        <v>3.9163023110555901E-3</v>
      </c>
      <c r="F370" s="374" t="s">
        <v>553</v>
      </c>
      <c r="G370" s="251" t="s">
        <v>16</v>
      </c>
      <c r="H370" s="376">
        <v>2</v>
      </c>
      <c r="I370" s="376">
        <v>2</v>
      </c>
      <c r="J370" s="376">
        <v>3</v>
      </c>
      <c r="K370" s="376">
        <v>3</v>
      </c>
      <c r="L370" s="377">
        <v>2</v>
      </c>
      <c r="M370" s="378">
        <f t="shared" si="11"/>
        <v>0.60108474454521421</v>
      </c>
      <c r="N370" s="255"/>
    </row>
    <row r="371" spans="1:14" hidden="1" x14ac:dyDescent="0.2">
      <c r="A371" s="505" t="s">
        <v>321</v>
      </c>
      <c r="B371" s="459" t="s">
        <v>554</v>
      </c>
      <c r="C371" s="422" t="s">
        <v>23</v>
      </c>
      <c r="D371" s="248" t="s">
        <v>135</v>
      </c>
      <c r="E371" s="249">
        <v>6.8707058088694573E-6</v>
      </c>
      <c r="F371" s="374" t="s">
        <v>553</v>
      </c>
      <c r="G371" s="251" t="s">
        <v>16</v>
      </c>
      <c r="H371" s="376">
        <v>2</v>
      </c>
      <c r="I371" s="376">
        <v>2</v>
      </c>
      <c r="J371" s="376">
        <v>3</v>
      </c>
      <c r="K371" s="376">
        <v>3</v>
      </c>
      <c r="L371" s="377">
        <v>2</v>
      </c>
      <c r="M371" s="378">
        <f t="shared" si="11"/>
        <v>0.60108474454521421</v>
      </c>
      <c r="N371" s="255"/>
    </row>
    <row r="372" spans="1:14" hidden="1" x14ac:dyDescent="0.2">
      <c r="A372" s="505" t="s">
        <v>321</v>
      </c>
      <c r="B372" s="653" t="s">
        <v>552</v>
      </c>
      <c r="C372" s="422" t="s">
        <v>24</v>
      </c>
      <c r="D372" s="248" t="s">
        <v>135</v>
      </c>
      <c r="E372" s="249">
        <v>2.5990006246096192E-2</v>
      </c>
      <c r="F372" s="374" t="s">
        <v>553</v>
      </c>
      <c r="G372" s="251" t="s">
        <v>16</v>
      </c>
      <c r="H372" s="376">
        <v>2</v>
      </c>
      <c r="I372" s="376">
        <v>2</v>
      </c>
      <c r="J372" s="376">
        <v>3</v>
      </c>
      <c r="K372" s="376">
        <v>3</v>
      </c>
      <c r="L372" s="377">
        <v>2</v>
      </c>
      <c r="M372" s="378">
        <f t="shared" si="11"/>
        <v>0.60108474454521421</v>
      </c>
      <c r="N372" s="255"/>
    </row>
    <row r="373" spans="1:14" hidden="1" x14ac:dyDescent="0.2">
      <c r="A373" s="505" t="s">
        <v>321</v>
      </c>
      <c r="B373" s="459" t="s">
        <v>554</v>
      </c>
      <c r="C373" s="422" t="s">
        <v>24</v>
      </c>
      <c r="D373" s="248" t="s">
        <v>135</v>
      </c>
      <c r="E373" s="249">
        <v>4.5596502186133669E-5</v>
      </c>
      <c r="F373" s="374" t="s">
        <v>553</v>
      </c>
      <c r="G373" s="251" t="s">
        <v>16</v>
      </c>
      <c r="H373" s="376">
        <v>2</v>
      </c>
      <c r="I373" s="376">
        <v>2</v>
      </c>
      <c r="J373" s="376">
        <v>3</v>
      </c>
      <c r="K373" s="376">
        <v>3</v>
      </c>
      <c r="L373" s="377">
        <v>2</v>
      </c>
      <c r="M373" s="378">
        <f t="shared" si="11"/>
        <v>0.60108474454521421</v>
      </c>
      <c r="N373" s="255"/>
    </row>
    <row r="374" spans="1:14" hidden="1" x14ac:dyDescent="0.2">
      <c r="A374" s="505" t="s">
        <v>321</v>
      </c>
      <c r="B374" s="653" t="s">
        <v>552</v>
      </c>
      <c r="C374" s="422" t="s">
        <v>25</v>
      </c>
      <c r="D374" s="248" t="s">
        <v>135</v>
      </c>
      <c r="E374" s="249">
        <v>7.1917551530293569E-2</v>
      </c>
      <c r="F374" s="374" t="s">
        <v>553</v>
      </c>
      <c r="G374" s="251" t="s">
        <v>16</v>
      </c>
      <c r="H374" s="376">
        <v>2</v>
      </c>
      <c r="I374" s="376">
        <v>2</v>
      </c>
      <c r="J374" s="376">
        <v>3</v>
      </c>
      <c r="K374" s="376">
        <v>3</v>
      </c>
      <c r="L374" s="377">
        <v>2</v>
      </c>
      <c r="M374" s="378">
        <f t="shared" si="11"/>
        <v>0.60108474454521421</v>
      </c>
      <c r="N374" s="255"/>
    </row>
    <row r="375" spans="1:14" hidden="1" x14ac:dyDescent="0.2">
      <c r="A375" s="505" t="s">
        <v>321</v>
      </c>
      <c r="B375" s="459" t="s">
        <v>554</v>
      </c>
      <c r="C375" s="422" t="s">
        <v>25</v>
      </c>
      <c r="D375" s="248" t="s">
        <v>135</v>
      </c>
      <c r="E375" s="249">
        <v>1.2617114303560279E-4</v>
      </c>
      <c r="F375" s="374" t="s">
        <v>553</v>
      </c>
      <c r="G375" s="251" t="s">
        <v>16</v>
      </c>
      <c r="H375" s="376">
        <v>2</v>
      </c>
      <c r="I375" s="376">
        <v>2</v>
      </c>
      <c r="J375" s="376">
        <v>3</v>
      </c>
      <c r="K375" s="376">
        <v>3</v>
      </c>
      <c r="L375" s="377">
        <v>2</v>
      </c>
      <c r="M375" s="378">
        <f t="shared" si="11"/>
        <v>0.60108474454521421</v>
      </c>
      <c r="N375" s="255"/>
    </row>
    <row r="376" spans="1:14" hidden="1" x14ac:dyDescent="0.2">
      <c r="A376" s="505" t="s">
        <v>321</v>
      </c>
      <c r="B376" s="653" t="s">
        <v>552</v>
      </c>
      <c r="C376" s="422" t="s">
        <v>26</v>
      </c>
      <c r="D376" s="248" t="s">
        <v>135</v>
      </c>
      <c r="E376" s="249">
        <v>5.3404122423485328E-3</v>
      </c>
      <c r="F376" s="374" t="s">
        <v>553</v>
      </c>
      <c r="G376" s="251" t="s">
        <v>16</v>
      </c>
      <c r="H376" s="376">
        <v>2</v>
      </c>
      <c r="I376" s="376">
        <v>2</v>
      </c>
      <c r="J376" s="376">
        <v>3</v>
      </c>
      <c r="K376" s="376">
        <v>3</v>
      </c>
      <c r="L376" s="377">
        <v>2</v>
      </c>
      <c r="M376" s="378">
        <f t="shared" si="11"/>
        <v>0.60108474454521421</v>
      </c>
      <c r="N376" s="255"/>
    </row>
    <row r="377" spans="1:14" hidden="1" x14ac:dyDescent="0.2">
      <c r="A377" s="505" t="s">
        <v>321</v>
      </c>
      <c r="B377" s="459" t="s">
        <v>554</v>
      </c>
      <c r="C377" s="422" t="s">
        <v>26</v>
      </c>
      <c r="D377" s="248" t="s">
        <v>135</v>
      </c>
      <c r="E377" s="249">
        <v>9.3691442848219878E-6</v>
      </c>
      <c r="F377" s="374" t="s">
        <v>553</v>
      </c>
      <c r="G377" s="251" t="s">
        <v>16</v>
      </c>
      <c r="H377" s="376">
        <v>2</v>
      </c>
      <c r="I377" s="376">
        <v>2</v>
      </c>
      <c r="J377" s="376">
        <v>3</v>
      </c>
      <c r="K377" s="376">
        <v>3</v>
      </c>
      <c r="L377" s="377">
        <v>2</v>
      </c>
      <c r="M377" s="378">
        <f t="shared" si="11"/>
        <v>0.60108474454521421</v>
      </c>
      <c r="N377" s="255"/>
    </row>
    <row r="378" spans="1:14" hidden="1" x14ac:dyDescent="0.2">
      <c r="A378" s="505" t="s">
        <v>321</v>
      </c>
      <c r="B378" s="653" t="s">
        <v>552</v>
      </c>
      <c r="C378" s="422" t="s">
        <v>27</v>
      </c>
      <c r="D378" s="248" t="s">
        <v>135</v>
      </c>
      <c r="E378" s="249">
        <v>2.741411617738913E-2</v>
      </c>
      <c r="F378" s="374" t="s">
        <v>553</v>
      </c>
      <c r="G378" s="251" t="s">
        <v>16</v>
      </c>
      <c r="H378" s="376">
        <v>2</v>
      </c>
      <c r="I378" s="376">
        <v>2</v>
      </c>
      <c r="J378" s="376">
        <v>3</v>
      </c>
      <c r="K378" s="376">
        <v>3</v>
      </c>
      <c r="L378" s="377">
        <v>2</v>
      </c>
      <c r="M378" s="378">
        <f t="shared" si="11"/>
        <v>0.60108474454521421</v>
      </c>
      <c r="N378" s="255"/>
    </row>
    <row r="379" spans="1:14" hidden="1" x14ac:dyDescent="0.2">
      <c r="A379" s="505" t="s">
        <v>321</v>
      </c>
      <c r="B379" s="459" t="s">
        <v>554</v>
      </c>
      <c r="C379" s="422" t="s">
        <v>27</v>
      </c>
      <c r="D379" s="248" t="s">
        <v>135</v>
      </c>
      <c r="E379" s="249">
        <v>4.8094940662086199E-5</v>
      </c>
      <c r="F379" s="374" t="s">
        <v>553</v>
      </c>
      <c r="G379" s="251" t="s">
        <v>16</v>
      </c>
      <c r="H379" s="376">
        <v>2</v>
      </c>
      <c r="I379" s="376">
        <v>2</v>
      </c>
      <c r="J379" s="376">
        <v>3</v>
      </c>
      <c r="K379" s="376">
        <v>3</v>
      </c>
      <c r="L379" s="377">
        <v>2</v>
      </c>
      <c r="M379" s="378">
        <f t="shared" si="11"/>
        <v>0.60108474454521421</v>
      </c>
      <c r="N379" s="255"/>
    </row>
    <row r="380" spans="1:14" hidden="1" x14ac:dyDescent="0.2">
      <c r="A380" s="505" t="s">
        <v>321</v>
      </c>
      <c r="B380" s="653" t="s">
        <v>552</v>
      </c>
      <c r="C380" s="422" t="s">
        <v>28</v>
      </c>
      <c r="D380" s="248" t="s">
        <v>135</v>
      </c>
      <c r="E380" s="249">
        <v>3.7026858213616502E-2</v>
      </c>
      <c r="F380" s="374" t="s">
        <v>553</v>
      </c>
      <c r="G380" s="251" t="s">
        <v>16</v>
      </c>
      <c r="H380" s="376">
        <v>2</v>
      </c>
      <c r="I380" s="376">
        <v>2</v>
      </c>
      <c r="J380" s="376">
        <v>3</v>
      </c>
      <c r="K380" s="376">
        <v>3</v>
      </c>
      <c r="L380" s="377">
        <v>2</v>
      </c>
      <c r="M380" s="378">
        <f t="shared" si="11"/>
        <v>0.60108474454521421</v>
      </c>
      <c r="N380" s="255"/>
    </row>
    <row r="381" spans="1:14" hidden="1" x14ac:dyDescent="0.2">
      <c r="A381" s="505" t="s">
        <v>321</v>
      </c>
      <c r="B381" s="459" t="s">
        <v>554</v>
      </c>
      <c r="C381" s="422" t="s">
        <v>28</v>
      </c>
      <c r="D381" s="248" t="s">
        <v>135</v>
      </c>
      <c r="E381" s="249">
        <v>6.4959400374765784E-5</v>
      </c>
      <c r="F381" s="374" t="s">
        <v>553</v>
      </c>
      <c r="G381" s="251" t="s">
        <v>16</v>
      </c>
      <c r="H381" s="376">
        <v>2</v>
      </c>
      <c r="I381" s="376">
        <v>2</v>
      </c>
      <c r="J381" s="376">
        <v>3</v>
      </c>
      <c r="K381" s="376">
        <v>3</v>
      </c>
      <c r="L381" s="377">
        <v>2</v>
      </c>
      <c r="M381" s="378">
        <f t="shared" si="11"/>
        <v>0.60108474454521421</v>
      </c>
      <c r="N381" s="255"/>
    </row>
    <row r="382" spans="1:14" hidden="1" x14ac:dyDescent="0.2">
      <c r="A382" s="505" t="s">
        <v>321</v>
      </c>
      <c r="B382" s="653" t="s">
        <v>552</v>
      </c>
      <c r="C382" s="422" t="s">
        <v>30</v>
      </c>
      <c r="D382" s="248" t="s">
        <v>135</v>
      </c>
      <c r="E382" s="249">
        <v>5.3048094940662087E-2</v>
      </c>
      <c r="F382" s="374" t="s">
        <v>553</v>
      </c>
      <c r="G382" s="251" t="s">
        <v>16</v>
      </c>
      <c r="H382" s="376">
        <v>2</v>
      </c>
      <c r="I382" s="376">
        <v>2</v>
      </c>
      <c r="J382" s="376">
        <v>3</v>
      </c>
      <c r="K382" s="376">
        <v>3</v>
      </c>
      <c r="L382" s="377">
        <v>2</v>
      </c>
      <c r="M382" s="378">
        <f t="shared" si="11"/>
        <v>0.60108474454521421</v>
      </c>
      <c r="N382" s="255"/>
    </row>
    <row r="383" spans="1:14" hidden="1" x14ac:dyDescent="0.2">
      <c r="A383" s="505" t="s">
        <v>321</v>
      </c>
      <c r="B383" s="459" t="s">
        <v>554</v>
      </c>
      <c r="C383" s="422" t="s">
        <v>30</v>
      </c>
      <c r="D383" s="248" t="s">
        <v>135</v>
      </c>
      <c r="E383" s="249">
        <v>9.3066833229231739E-5</v>
      </c>
      <c r="F383" s="374" t="s">
        <v>553</v>
      </c>
      <c r="G383" s="251" t="s">
        <v>16</v>
      </c>
      <c r="H383" s="376">
        <v>2</v>
      </c>
      <c r="I383" s="376">
        <v>2</v>
      </c>
      <c r="J383" s="376">
        <v>3</v>
      </c>
      <c r="K383" s="376">
        <v>3</v>
      </c>
      <c r="L383" s="377">
        <v>2</v>
      </c>
      <c r="M383" s="378">
        <f t="shared" si="11"/>
        <v>0.60108474454521421</v>
      </c>
      <c r="N383" s="255"/>
    </row>
    <row r="384" spans="1:14" hidden="1" x14ac:dyDescent="0.2">
      <c r="A384" s="505" t="s">
        <v>321</v>
      </c>
      <c r="B384" s="653" t="s">
        <v>552</v>
      </c>
      <c r="C384" s="422" t="s">
        <v>32</v>
      </c>
      <c r="D384" s="248" t="s">
        <v>135</v>
      </c>
      <c r="E384" s="249">
        <v>2.8482198625858842E-3</v>
      </c>
      <c r="F384" s="374" t="s">
        <v>553</v>
      </c>
      <c r="G384" s="251" t="s">
        <v>16</v>
      </c>
      <c r="H384" s="376">
        <v>2</v>
      </c>
      <c r="I384" s="376">
        <v>2</v>
      </c>
      <c r="J384" s="376">
        <v>3</v>
      </c>
      <c r="K384" s="376">
        <v>3</v>
      </c>
      <c r="L384" s="377">
        <v>2</v>
      </c>
      <c r="M384" s="378">
        <f t="shared" si="11"/>
        <v>0.60108474454521421</v>
      </c>
      <c r="N384" s="255"/>
    </row>
    <row r="385" spans="1:14" hidden="1" x14ac:dyDescent="0.2">
      <c r="A385" s="505" t="s">
        <v>321</v>
      </c>
      <c r="B385" s="459" t="s">
        <v>554</v>
      </c>
      <c r="C385" s="422" t="s">
        <v>32</v>
      </c>
      <c r="D385" s="248" t="s">
        <v>135</v>
      </c>
      <c r="E385" s="249">
        <v>4.9968769519050601E-6</v>
      </c>
      <c r="F385" s="374" t="s">
        <v>553</v>
      </c>
      <c r="G385" s="251" t="s">
        <v>16</v>
      </c>
      <c r="H385" s="376">
        <v>2</v>
      </c>
      <c r="I385" s="376">
        <v>2</v>
      </c>
      <c r="J385" s="376">
        <v>3</v>
      </c>
      <c r="K385" s="376">
        <v>3</v>
      </c>
      <c r="L385" s="377">
        <v>2</v>
      </c>
      <c r="M385" s="378">
        <f t="shared" si="11"/>
        <v>0.60108474454521421</v>
      </c>
      <c r="N385" s="255"/>
    </row>
    <row r="386" spans="1:14" hidden="1" x14ac:dyDescent="0.2">
      <c r="A386" s="505" t="s">
        <v>321</v>
      </c>
      <c r="B386" s="653" t="s">
        <v>552</v>
      </c>
      <c r="C386" s="422" t="s">
        <v>34</v>
      </c>
      <c r="D386" s="248" t="s">
        <v>135</v>
      </c>
      <c r="E386" s="249">
        <v>1.3885071830106181E-2</v>
      </c>
      <c r="F386" s="374" t="s">
        <v>553</v>
      </c>
      <c r="G386" s="251" t="s">
        <v>16</v>
      </c>
      <c r="H386" s="376">
        <v>2</v>
      </c>
      <c r="I386" s="376">
        <v>2</v>
      </c>
      <c r="J386" s="376">
        <v>3</v>
      </c>
      <c r="K386" s="376">
        <v>3</v>
      </c>
      <c r="L386" s="377">
        <v>2</v>
      </c>
      <c r="M386" s="378">
        <f t="shared" si="11"/>
        <v>0.60108474454521421</v>
      </c>
      <c r="N386" s="255"/>
    </row>
    <row r="387" spans="1:14" hidden="1" x14ac:dyDescent="0.2">
      <c r="A387" s="505" t="s">
        <v>321</v>
      </c>
      <c r="B387" s="459" t="s">
        <v>554</v>
      </c>
      <c r="C387" s="422" t="s">
        <v>34</v>
      </c>
      <c r="D387" s="248" t="s">
        <v>135</v>
      </c>
      <c r="E387" s="249">
        <v>2.4359775140537171E-5</v>
      </c>
      <c r="F387" s="374" t="s">
        <v>553</v>
      </c>
      <c r="G387" s="251" t="s">
        <v>16</v>
      </c>
      <c r="H387" s="376">
        <v>2</v>
      </c>
      <c r="I387" s="376">
        <v>2</v>
      </c>
      <c r="J387" s="376">
        <v>3</v>
      </c>
      <c r="K387" s="376">
        <v>3</v>
      </c>
      <c r="L387" s="377">
        <v>2</v>
      </c>
      <c r="M387" s="378">
        <f t="shared" si="11"/>
        <v>0.60108474454521421</v>
      </c>
      <c r="N387" s="255"/>
    </row>
    <row r="388" spans="1:14" hidden="1" x14ac:dyDescent="0.2">
      <c r="A388" s="505" t="s">
        <v>321</v>
      </c>
      <c r="B388" s="653" t="s">
        <v>552</v>
      </c>
      <c r="C388" s="422" t="s">
        <v>36</v>
      </c>
      <c r="D388" s="248" t="s">
        <v>135</v>
      </c>
      <c r="E388" s="249">
        <v>2.3497813866333539E-2</v>
      </c>
      <c r="F388" s="374" t="s">
        <v>553</v>
      </c>
      <c r="G388" s="251" t="s">
        <v>16</v>
      </c>
      <c r="H388" s="376">
        <v>2</v>
      </c>
      <c r="I388" s="376">
        <v>2</v>
      </c>
      <c r="J388" s="376">
        <v>3</v>
      </c>
      <c r="K388" s="376">
        <v>3</v>
      </c>
      <c r="L388" s="377">
        <v>2</v>
      </c>
      <c r="M388" s="378">
        <f>IF( OR( ISBLANK(H388),ISBLANK(I388), ISBLANK(J388), ISBLANK(K388), ISBLANK(L388) ), "", 1.5*SQRT(   EXP(2.21*(H388-1)) + EXP(2.21*(I388-1)) + EXP(2.21*(J388-1)) + EXP(2.21*(K388-1)) + EXP(2.21*L388)   )/100*2.45 )</f>
        <v>0.60108474454521421</v>
      </c>
      <c r="N388" s="255"/>
    </row>
    <row r="389" spans="1:14" hidden="1" x14ac:dyDescent="0.2">
      <c r="A389" s="505" t="s">
        <v>321</v>
      </c>
      <c r="B389" s="459" t="s">
        <v>554</v>
      </c>
      <c r="C389" s="422" t="s">
        <v>36</v>
      </c>
      <c r="D389" s="248" t="s">
        <v>135</v>
      </c>
      <c r="E389" s="249">
        <v>4.1224234853216739E-5</v>
      </c>
      <c r="F389" s="374" t="s">
        <v>553</v>
      </c>
      <c r="G389" s="251" t="s">
        <v>16</v>
      </c>
      <c r="H389" s="376">
        <v>2</v>
      </c>
      <c r="I389" s="376">
        <v>2</v>
      </c>
      <c r="J389" s="376">
        <v>3</v>
      </c>
      <c r="K389" s="376">
        <v>3</v>
      </c>
      <c r="L389" s="377">
        <v>2</v>
      </c>
      <c r="M389" s="378">
        <f t="shared" ref="M389:M420" si="12">IF( OR( ISBLANK(H389),ISBLANK(I389), ISBLANK(J389), ISBLANK(K389), ISBLANK(L389) ), "", 1.5*SQRT( EXP(2.21*(H389-1)) + EXP(2.21*(I389-1)) + EXP(2.21*(J389-1)) + EXP(2.21*(K389-1)) + EXP(2.21*L389) )/100*2.45 )</f>
        <v>0.60108474454521421</v>
      </c>
      <c r="N389" s="255"/>
    </row>
    <row r="390" spans="1:14" hidden="1" x14ac:dyDescent="0.2">
      <c r="A390" s="505" t="s">
        <v>321</v>
      </c>
      <c r="B390" s="653" t="s">
        <v>552</v>
      </c>
      <c r="C390" s="422" t="s">
        <v>37</v>
      </c>
      <c r="D390" s="248" t="s">
        <v>135</v>
      </c>
      <c r="E390" s="249">
        <v>4.3791380387257967E-2</v>
      </c>
      <c r="F390" s="374" t="s">
        <v>553</v>
      </c>
      <c r="G390" s="251" t="s">
        <v>16</v>
      </c>
      <c r="H390" s="376">
        <v>2</v>
      </c>
      <c r="I390" s="376">
        <v>2</v>
      </c>
      <c r="J390" s="376">
        <v>3</v>
      </c>
      <c r="K390" s="376">
        <v>3</v>
      </c>
      <c r="L390" s="377">
        <v>2</v>
      </c>
      <c r="M390" s="378">
        <f t="shared" si="12"/>
        <v>0.60108474454521421</v>
      </c>
      <c r="N390" s="255"/>
    </row>
    <row r="391" spans="1:14" hidden="1" x14ac:dyDescent="0.2">
      <c r="A391" s="505" t="s">
        <v>321</v>
      </c>
      <c r="B391" s="459" t="s">
        <v>554</v>
      </c>
      <c r="C391" s="422" t="s">
        <v>37</v>
      </c>
      <c r="D391" s="248" t="s">
        <v>135</v>
      </c>
      <c r="E391" s="249">
        <v>7.6826983135540303E-5</v>
      </c>
      <c r="F391" s="374" t="s">
        <v>553</v>
      </c>
      <c r="G391" s="251" t="s">
        <v>16</v>
      </c>
      <c r="H391" s="376">
        <v>2</v>
      </c>
      <c r="I391" s="376">
        <v>2</v>
      </c>
      <c r="J391" s="376">
        <v>3</v>
      </c>
      <c r="K391" s="376">
        <v>3</v>
      </c>
      <c r="L391" s="377">
        <v>2</v>
      </c>
      <c r="M391" s="378">
        <f t="shared" si="12"/>
        <v>0.60108474454521421</v>
      </c>
      <c r="N391" s="255"/>
    </row>
    <row r="392" spans="1:14" hidden="1" x14ac:dyDescent="0.2">
      <c r="A392" s="505" t="s">
        <v>321</v>
      </c>
      <c r="B392" s="653" t="s">
        <v>552</v>
      </c>
      <c r="C392" s="422" t="s">
        <v>39</v>
      </c>
      <c r="D392" s="248" t="s">
        <v>135</v>
      </c>
      <c r="E392" s="249">
        <v>1.317301686445971E-2</v>
      </c>
      <c r="F392" s="374" t="s">
        <v>553</v>
      </c>
      <c r="G392" s="251" t="s">
        <v>16</v>
      </c>
      <c r="H392" s="376">
        <v>2</v>
      </c>
      <c r="I392" s="376">
        <v>2</v>
      </c>
      <c r="J392" s="376">
        <v>3</v>
      </c>
      <c r="K392" s="376">
        <v>3</v>
      </c>
      <c r="L392" s="377">
        <v>2</v>
      </c>
      <c r="M392" s="378">
        <f t="shared" si="12"/>
        <v>0.60108474454521421</v>
      </c>
      <c r="N392" s="255"/>
    </row>
    <row r="393" spans="1:14" hidden="1" x14ac:dyDescent="0.2">
      <c r="A393" s="505" t="s">
        <v>321</v>
      </c>
      <c r="B393" s="459" t="s">
        <v>554</v>
      </c>
      <c r="C393" s="422" t="s">
        <v>39</v>
      </c>
      <c r="D393" s="248" t="s">
        <v>135</v>
      </c>
      <c r="E393" s="249">
        <v>2.3110555902560899E-5</v>
      </c>
      <c r="F393" s="374" t="s">
        <v>553</v>
      </c>
      <c r="G393" s="251" t="s">
        <v>16</v>
      </c>
      <c r="H393" s="376">
        <v>2</v>
      </c>
      <c r="I393" s="376">
        <v>2</v>
      </c>
      <c r="J393" s="376">
        <v>3</v>
      </c>
      <c r="K393" s="376">
        <v>3</v>
      </c>
      <c r="L393" s="377">
        <v>2</v>
      </c>
      <c r="M393" s="378">
        <f t="shared" si="12"/>
        <v>0.60108474454521421</v>
      </c>
      <c r="N393" s="255"/>
    </row>
    <row r="394" spans="1:14" hidden="1" x14ac:dyDescent="0.2">
      <c r="A394" s="505" t="s">
        <v>321</v>
      </c>
      <c r="B394" s="653" t="s">
        <v>552</v>
      </c>
      <c r="C394" s="422" t="s">
        <v>40</v>
      </c>
      <c r="D394" s="248" t="s">
        <v>135</v>
      </c>
      <c r="E394" s="249">
        <v>3.6314803247970033E-2</v>
      </c>
      <c r="F394" s="374" t="s">
        <v>553</v>
      </c>
      <c r="G394" s="251" t="s">
        <v>16</v>
      </c>
      <c r="H394" s="376">
        <v>2</v>
      </c>
      <c r="I394" s="376">
        <v>2</v>
      </c>
      <c r="J394" s="376">
        <v>3</v>
      </c>
      <c r="K394" s="376">
        <v>3</v>
      </c>
      <c r="L394" s="377">
        <v>2</v>
      </c>
      <c r="M394" s="378">
        <f t="shared" si="12"/>
        <v>0.60108474454521421</v>
      </c>
      <c r="N394" s="255"/>
    </row>
    <row r="395" spans="1:14" hidden="1" x14ac:dyDescent="0.2">
      <c r="A395" s="505" t="s">
        <v>321</v>
      </c>
      <c r="B395" s="459" t="s">
        <v>554</v>
      </c>
      <c r="C395" s="422" t="s">
        <v>40</v>
      </c>
      <c r="D395" s="248" t="s">
        <v>135</v>
      </c>
      <c r="E395" s="249">
        <v>6.3710181136789512E-5</v>
      </c>
      <c r="F395" s="374" t="s">
        <v>553</v>
      </c>
      <c r="G395" s="251" t="s">
        <v>16</v>
      </c>
      <c r="H395" s="376">
        <v>2</v>
      </c>
      <c r="I395" s="376">
        <v>2</v>
      </c>
      <c r="J395" s="376">
        <v>3</v>
      </c>
      <c r="K395" s="376">
        <v>3</v>
      </c>
      <c r="L395" s="377">
        <v>2</v>
      </c>
      <c r="M395" s="378">
        <f t="shared" si="12"/>
        <v>0.60108474454521421</v>
      </c>
      <c r="N395" s="255"/>
    </row>
    <row r="396" spans="1:14" hidden="1" x14ac:dyDescent="0.2">
      <c r="A396" s="505" t="s">
        <v>321</v>
      </c>
      <c r="B396" s="653" t="s">
        <v>552</v>
      </c>
      <c r="C396" s="422" t="s">
        <v>41</v>
      </c>
      <c r="D396" s="248" t="s">
        <v>135</v>
      </c>
      <c r="E396" s="249">
        <v>7.12054965646471E-2</v>
      </c>
      <c r="F396" s="374" t="s">
        <v>553</v>
      </c>
      <c r="G396" s="251" t="s">
        <v>16</v>
      </c>
      <c r="H396" s="376">
        <v>2</v>
      </c>
      <c r="I396" s="376">
        <v>2</v>
      </c>
      <c r="J396" s="376">
        <v>3</v>
      </c>
      <c r="K396" s="376">
        <v>3</v>
      </c>
      <c r="L396" s="377">
        <v>2</v>
      </c>
      <c r="M396" s="378">
        <f t="shared" si="12"/>
        <v>0.60108474454521421</v>
      </c>
      <c r="N396" s="255"/>
    </row>
    <row r="397" spans="1:14" hidden="1" x14ac:dyDescent="0.2">
      <c r="A397" s="505" t="s">
        <v>321</v>
      </c>
      <c r="B397" s="459" t="s">
        <v>554</v>
      </c>
      <c r="C397" s="422" t="s">
        <v>41</v>
      </c>
      <c r="D397" s="248" t="s">
        <v>135</v>
      </c>
      <c r="E397" s="249">
        <v>1.2492192379762651E-4</v>
      </c>
      <c r="F397" s="374" t="s">
        <v>553</v>
      </c>
      <c r="G397" s="251" t="s">
        <v>16</v>
      </c>
      <c r="H397" s="376">
        <v>2</v>
      </c>
      <c r="I397" s="376">
        <v>2</v>
      </c>
      <c r="J397" s="376">
        <v>3</v>
      </c>
      <c r="K397" s="376">
        <v>3</v>
      </c>
      <c r="L397" s="377">
        <v>2</v>
      </c>
      <c r="M397" s="378">
        <f t="shared" si="12"/>
        <v>0.60108474454521421</v>
      </c>
      <c r="N397" s="255"/>
    </row>
    <row r="398" spans="1:14" hidden="1" x14ac:dyDescent="0.2">
      <c r="A398" s="505" t="s">
        <v>321</v>
      </c>
      <c r="B398" s="653" t="s">
        <v>552</v>
      </c>
      <c r="C398" s="422" t="s">
        <v>42</v>
      </c>
      <c r="D398" s="248" t="s">
        <v>135</v>
      </c>
      <c r="E398" s="249">
        <v>1.8513429106808251E-2</v>
      </c>
      <c r="F398" s="374" t="s">
        <v>553</v>
      </c>
      <c r="G398" s="251" t="s">
        <v>16</v>
      </c>
      <c r="H398" s="376">
        <v>2</v>
      </c>
      <c r="I398" s="376">
        <v>2</v>
      </c>
      <c r="J398" s="376">
        <v>3</v>
      </c>
      <c r="K398" s="376">
        <v>3</v>
      </c>
      <c r="L398" s="377">
        <v>2</v>
      </c>
      <c r="M398" s="378">
        <f t="shared" si="12"/>
        <v>0.60108474454521421</v>
      </c>
      <c r="N398" s="255"/>
    </row>
    <row r="399" spans="1:14" hidden="1" x14ac:dyDescent="0.2">
      <c r="A399" s="505" t="s">
        <v>321</v>
      </c>
      <c r="B399" s="459" t="s">
        <v>554</v>
      </c>
      <c r="C399" s="422" t="s">
        <v>42</v>
      </c>
      <c r="D399" s="248" t="s">
        <v>135</v>
      </c>
      <c r="E399" s="249">
        <v>3.2479700187382892E-5</v>
      </c>
      <c r="F399" s="374" t="s">
        <v>553</v>
      </c>
      <c r="G399" s="251" t="s">
        <v>16</v>
      </c>
      <c r="H399" s="376">
        <v>2</v>
      </c>
      <c r="I399" s="376">
        <v>2</v>
      </c>
      <c r="J399" s="376">
        <v>3</v>
      </c>
      <c r="K399" s="376">
        <v>3</v>
      </c>
      <c r="L399" s="377">
        <v>2</v>
      </c>
      <c r="M399" s="378">
        <f t="shared" si="12"/>
        <v>0.60108474454521421</v>
      </c>
      <c r="N399" s="255"/>
    </row>
    <row r="400" spans="1:14" hidden="1" x14ac:dyDescent="0.2">
      <c r="A400" s="505" t="s">
        <v>321</v>
      </c>
      <c r="B400" s="653" t="s">
        <v>552</v>
      </c>
      <c r="C400" s="422" t="s">
        <v>43</v>
      </c>
      <c r="D400" s="248" t="s">
        <v>135</v>
      </c>
      <c r="E400" s="249">
        <v>3.0618363522798259E-2</v>
      </c>
      <c r="F400" s="374" t="s">
        <v>553</v>
      </c>
      <c r="G400" s="251" t="s">
        <v>16</v>
      </c>
      <c r="H400" s="376">
        <v>2</v>
      </c>
      <c r="I400" s="376">
        <v>2</v>
      </c>
      <c r="J400" s="376">
        <v>3</v>
      </c>
      <c r="K400" s="376">
        <v>3</v>
      </c>
      <c r="L400" s="377">
        <v>2</v>
      </c>
      <c r="M400" s="378">
        <f t="shared" si="12"/>
        <v>0.60108474454521421</v>
      </c>
      <c r="N400" s="255"/>
    </row>
    <row r="401" spans="1:14" hidden="1" x14ac:dyDescent="0.2">
      <c r="A401" s="505" t="s">
        <v>321</v>
      </c>
      <c r="B401" s="459" t="s">
        <v>554</v>
      </c>
      <c r="C401" s="422" t="s">
        <v>43</v>
      </c>
      <c r="D401" s="248" t="s">
        <v>135</v>
      </c>
      <c r="E401" s="249">
        <v>5.3716427232979387E-5</v>
      </c>
      <c r="F401" s="374" t="s">
        <v>553</v>
      </c>
      <c r="G401" s="251" t="s">
        <v>16</v>
      </c>
      <c r="H401" s="376">
        <v>2</v>
      </c>
      <c r="I401" s="376">
        <v>2</v>
      </c>
      <c r="J401" s="376">
        <v>3</v>
      </c>
      <c r="K401" s="376">
        <v>3</v>
      </c>
      <c r="L401" s="377">
        <v>2</v>
      </c>
      <c r="M401" s="378">
        <f t="shared" si="12"/>
        <v>0.60108474454521421</v>
      </c>
      <c r="N401" s="255"/>
    </row>
    <row r="402" spans="1:14" hidden="1" x14ac:dyDescent="0.2">
      <c r="A402" s="505" t="s">
        <v>321</v>
      </c>
      <c r="B402" s="653" t="s">
        <v>552</v>
      </c>
      <c r="C402" s="422" t="s">
        <v>45</v>
      </c>
      <c r="D402" s="248" t="s">
        <v>135</v>
      </c>
      <c r="E402" s="249">
        <v>5.3404122423485328E-3</v>
      </c>
      <c r="F402" s="374" t="s">
        <v>553</v>
      </c>
      <c r="G402" s="251" t="s">
        <v>16</v>
      </c>
      <c r="H402" s="376">
        <v>2</v>
      </c>
      <c r="I402" s="376">
        <v>2</v>
      </c>
      <c r="J402" s="376">
        <v>3</v>
      </c>
      <c r="K402" s="376">
        <v>3</v>
      </c>
      <c r="L402" s="377">
        <v>2</v>
      </c>
      <c r="M402" s="378">
        <f t="shared" si="12"/>
        <v>0.60108474454521421</v>
      </c>
      <c r="N402" s="255"/>
    </row>
    <row r="403" spans="1:14" hidden="1" x14ac:dyDescent="0.2">
      <c r="A403" s="505" t="s">
        <v>321</v>
      </c>
      <c r="B403" s="459" t="s">
        <v>554</v>
      </c>
      <c r="C403" s="422" t="s">
        <v>45</v>
      </c>
      <c r="D403" s="248" t="s">
        <v>135</v>
      </c>
      <c r="E403" s="249">
        <v>9.3691442848219878E-6</v>
      </c>
      <c r="F403" s="374" t="s">
        <v>553</v>
      </c>
      <c r="G403" s="251" t="s">
        <v>16</v>
      </c>
      <c r="H403" s="376">
        <v>2</v>
      </c>
      <c r="I403" s="376">
        <v>2</v>
      </c>
      <c r="J403" s="376">
        <v>3</v>
      </c>
      <c r="K403" s="376">
        <v>3</v>
      </c>
      <c r="L403" s="377">
        <v>2</v>
      </c>
      <c r="M403" s="378">
        <f t="shared" si="12"/>
        <v>0.60108474454521421</v>
      </c>
      <c r="N403" s="255"/>
    </row>
    <row r="404" spans="1:14" hidden="1" x14ac:dyDescent="0.2">
      <c r="A404" s="505" t="s">
        <v>321</v>
      </c>
      <c r="B404" s="653" t="s">
        <v>552</v>
      </c>
      <c r="C404" s="422" t="s">
        <v>46</v>
      </c>
      <c r="D404" s="248" t="s">
        <v>135</v>
      </c>
      <c r="E404" s="249">
        <v>2.812617114303561E-2</v>
      </c>
      <c r="F404" s="374" t="s">
        <v>553</v>
      </c>
      <c r="G404" s="251" t="s">
        <v>16</v>
      </c>
      <c r="H404" s="376">
        <v>2</v>
      </c>
      <c r="I404" s="376">
        <v>2</v>
      </c>
      <c r="J404" s="376">
        <v>3</v>
      </c>
      <c r="K404" s="376">
        <v>3</v>
      </c>
      <c r="L404" s="377">
        <v>2</v>
      </c>
      <c r="M404" s="378">
        <f t="shared" si="12"/>
        <v>0.60108474454521421</v>
      </c>
      <c r="N404" s="255"/>
    </row>
    <row r="405" spans="1:14" hidden="1" x14ac:dyDescent="0.2">
      <c r="A405" s="505" t="s">
        <v>321</v>
      </c>
      <c r="B405" s="459" t="s">
        <v>554</v>
      </c>
      <c r="C405" s="422" t="s">
        <v>46</v>
      </c>
      <c r="D405" s="248" t="s">
        <v>135</v>
      </c>
      <c r="E405" s="249">
        <v>4.9344159900062457E-5</v>
      </c>
      <c r="F405" s="374" t="s">
        <v>553</v>
      </c>
      <c r="G405" s="251" t="s">
        <v>16</v>
      </c>
      <c r="H405" s="376">
        <v>2</v>
      </c>
      <c r="I405" s="376">
        <v>2</v>
      </c>
      <c r="J405" s="376">
        <v>3</v>
      </c>
      <c r="K405" s="376">
        <v>3</v>
      </c>
      <c r="L405" s="377">
        <v>2</v>
      </c>
      <c r="M405" s="378">
        <f t="shared" si="12"/>
        <v>0.60108474454521421</v>
      </c>
      <c r="N405" s="255"/>
    </row>
    <row r="406" spans="1:14" hidden="1" x14ac:dyDescent="0.2">
      <c r="A406" s="505" t="s">
        <v>321</v>
      </c>
      <c r="B406" s="653" t="s">
        <v>552</v>
      </c>
      <c r="C406" s="422" t="s">
        <v>48</v>
      </c>
      <c r="D406" s="248" t="s">
        <v>135</v>
      </c>
      <c r="E406" s="249">
        <v>2.7770143660212371E-2</v>
      </c>
      <c r="F406" s="374" t="s">
        <v>553</v>
      </c>
      <c r="G406" s="251" t="s">
        <v>16</v>
      </c>
      <c r="H406" s="376">
        <v>2</v>
      </c>
      <c r="I406" s="376">
        <v>2</v>
      </c>
      <c r="J406" s="376">
        <v>3</v>
      </c>
      <c r="K406" s="376">
        <v>3</v>
      </c>
      <c r="L406" s="377">
        <v>2</v>
      </c>
      <c r="M406" s="378">
        <f t="shared" si="12"/>
        <v>0.60108474454521421</v>
      </c>
      <c r="N406" s="255"/>
    </row>
    <row r="407" spans="1:14" hidden="1" x14ac:dyDescent="0.2">
      <c r="A407" s="505" t="s">
        <v>321</v>
      </c>
      <c r="B407" s="459" t="s">
        <v>554</v>
      </c>
      <c r="C407" s="422" t="s">
        <v>48</v>
      </c>
      <c r="D407" s="248" t="s">
        <v>135</v>
      </c>
      <c r="E407" s="249">
        <v>4.8719550281074328E-5</v>
      </c>
      <c r="F407" s="374" t="s">
        <v>553</v>
      </c>
      <c r="G407" s="251" t="s">
        <v>16</v>
      </c>
      <c r="H407" s="376">
        <v>2</v>
      </c>
      <c r="I407" s="376">
        <v>2</v>
      </c>
      <c r="J407" s="376">
        <v>3</v>
      </c>
      <c r="K407" s="376">
        <v>3</v>
      </c>
      <c r="L407" s="377">
        <v>2</v>
      </c>
      <c r="M407" s="378">
        <f t="shared" si="12"/>
        <v>0.60108474454521421</v>
      </c>
      <c r="N407" s="255"/>
    </row>
    <row r="408" spans="1:14" hidden="1" x14ac:dyDescent="0.2">
      <c r="A408" s="505" t="s">
        <v>321</v>
      </c>
      <c r="B408" s="653" t="s">
        <v>552</v>
      </c>
      <c r="C408" s="422" t="s">
        <v>50</v>
      </c>
      <c r="D408" s="248" t="s">
        <v>135</v>
      </c>
      <c r="E408" s="249">
        <v>5.3404122423485328E-3</v>
      </c>
      <c r="F408" s="374" t="s">
        <v>553</v>
      </c>
      <c r="G408" s="251" t="s">
        <v>16</v>
      </c>
      <c r="H408" s="376">
        <v>2</v>
      </c>
      <c r="I408" s="376">
        <v>2</v>
      </c>
      <c r="J408" s="376">
        <v>3</v>
      </c>
      <c r="K408" s="376">
        <v>3</v>
      </c>
      <c r="L408" s="377">
        <v>2</v>
      </c>
      <c r="M408" s="378">
        <f t="shared" si="12"/>
        <v>0.60108474454521421</v>
      </c>
      <c r="N408" s="255"/>
    </row>
    <row r="409" spans="1:14" hidden="1" x14ac:dyDescent="0.2">
      <c r="A409" s="505" t="s">
        <v>321</v>
      </c>
      <c r="B409" s="459" t="s">
        <v>554</v>
      </c>
      <c r="C409" s="422" t="s">
        <v>50</v>
      </c>
      <c r="D409" s="248" t="s">
        <v>135</v>
      </c>
      <c r="E409" s="249">
        <v>9.3691442848219878E-6</v>
      </c>
      <c r="F409" s="374" t="s">
        <v>553</v>
      </c>
      <c r="G409" s="251" t="s">
        <v>16</v>
      </c>
      <c r="H409" s="376">
        <v>2</v>
      </c>
      <c r="I409" s="376">
        <v>2</v>
      </c>
      <c r="J409" s="376">
        <v>3</v>
      </c>
      <c r="K409" s="376">
        <v>3</v>
      </c>
      <c r="L409" s="377">
        <v>2</v>
      </c>
      <c r="M409" s="378">
        <f t="shared" si="12"/>
        <v>0.60108474454521421</v>
      </c>
      <c r="N409" s="255"/>
    </row>
    <row r="410" spans="1:14" hidden="1" x14ac:dyDescent="0.2">
      <c r="A410" s="505" t="s">
        <v>321</v>
      </c>
      <c r="B410" s="653" t="s">
        <v>552</v>
      </c>
      <c r="C410" s="422" t="s">
        <v>52</v>
      </c>
      <c r="D410" s="248" t="s">
        <v>135</v>
      </c>
      <c r="E410" s="249">
        <v>2.812617114303561E-2</v>
      </c>
      <c r="F410" s="374" t="s">
        <v>553</v>
      </c>
      <c r="G410" s="251" t="s">
        <v>16</v>
      </c>
      <c r="H410" s="376">
        <v>2</v>
      </c>
      <c r="I410" s="376">
        <v>2</v>
      </c>
      <c r="J410" s="376">
        <v>3</v>
      </c>
      <c r="K410" s="376">
        <v>3</v>
      </c>
      <c r="L410" s="377">
        <v>2</v>
      </c>
      <c r="M410" s="378">
        <f t="shared" si="12"/>
        <v>0.60108474454521421</v>
      </c>
      <c r="N410" s="255"/>
    </row>
    <row r="411" spans="1:14" hidden="1" x14ac:dyDescent="0.2">
      <c r="A411" s="505" t="s">
        <v>321</v>
      </c>
      <c r="B411" s="459" t="s">
        <v>554</v>
      </c>
      <c r="C411" s="422" t="s">
        <v>52</v>
      </c>
      <c r="D411" s="248" t="s">
        <v>135</v>
      </c>
      <c r="E411" s="249">
        <v>4.9344159900062457E-5</v>
      </c>
      <c r="F411" s="374" t="s">
        <v>553</v>
      </c>
      <c r="G411" s="251" t="s">
        <v>16</v>
      </c>
      <c r="H411" s="376">
        <v>2</v>
      </c>
      <c r="I411" s="376">
        <v>2</v>
      </c>
      <c r="J411" s="376">
        <v>3</v>
      </c>
      <c r="K411" s="376">
        <v>3</v>
      </c>
      <c r="L411" s="377">
        <v>2</v>
      </c>
      <c r="M411" s="378">
        <f t="shared" si="12"/>
        <v>0.60108474454521421</v>
      </c>
      <c r="N411" s="255"/>
    </row>
    <row r="412" spans="1:14" hidden="1" x14ac:dyDescent="0.2">
      <c r="A412" s="505" t="s">
        <v>321</v>
      </c>
      <c r="B412" s="653" t="s">
        <v>552</v>
      </c>
      <c r="C412" s="422" t="s">
        <v>54</v>
      </c>
      <c r="D412" s="248" t="s">
        <v>135</v>
      </c>
      <c r="E412" s="249">
        <v>2.812617114303561E-2</v>
      </c>
      <c r="F412" s="374" t="s">
        <v>553</v>
      </c>
      <c r="G412" s="251" t="s">
        <v>16</v>
      </c>
      <c r="H412" s="376">
        <v>2</v>
      </c>
      <c r="I412" s="376">
        <v>2</v>
      </c>
      <c r="J412" s="376">
        <v>3</v>
      </c>
      <c r="K412" s="376">
        <v>3</v>
      </c>
      <c r="L412" s="377">
        <v>2</v>
      </c>
      <c r="M412" s="378">
        <f t="shared" si="12"/>
        <v>0.60108474454521421</v>
      </c>
      <c r="N412" s="255"/>
    </row>
    <row r="413" spans="1:14" hidden="1" x14ac:dyDescent="0.2">
      <c r="A413" s="505" t="s">
        <v>321</v>
      </c>
      <c r="B413" s="459" t="s">
        <v>554</v>
      </c>
      <c r="C413" s="422" t="s">
        <v>54</v>
      </c>
      <c r="D413" s="248" t="s">
        <v>135</v>
      </c>
      <c r="E413" s="249">
        <v>4.9344159900062457E-5</v>
      </c>
      <c r="F413" s="374" t="s">
        <v>553</v>
      </c>
      <c r="G413" s="251" t="s">
        <v>16</v>
      </c>
      <c r="H413" s="376">
        <v>2</v>
      </c>
      <c r="I413" s="376">
        <v>2</v>
      </c>
      <c r="J413" s="376">
        <v>3</v>
      </c>
      <c r="K413" s="376">
        <v>3</v>
      </c>
      <c r="L413" s="377">
        <v>2</v>
      </c>
      <c r="M413" s="378">
        <f t="shared" si="12"/>
        <v>0.60108474454521421</v>
      </c>
      <c r="N413" s="255"/>
    </row>
    <row r="414" spans="1:14" hidden="1" x14ac:dyDescent="0.2">
      <c r="A414" s="505" t="s">
        <v>321</v>
      </c>
      <c r="B414" s="653" t="s">
        <v>552</v>
      </c>
      <c r="C414" s="422" t="s">
        <v>55</v>
      </c>
      <c r="D414" s="248" t="s">
        <v>135</v>
      </c>
      <c r="E414" s="249">
        <v>2.7770143660212371E-2</v>
      </c>
      <c r="F414" s="374" t="s">
        <v>553</v>
      </c>
      <c r="G414" s="251" t="s">
        <v>16</v>
      </c>
      <c r="H414" s="376">
        <v>2</v>
      </c>
      <c r="I414" s="376">
        <v>2</v>
      </c>
      <c r="J414" s="376">
        <v>3</v>
      </c>
      <c r="K414" s="376">
        <v>3</v>
      </c>
      <c r="L414" s="377">
        <v>2</v>
      </c>
      <c r="M414" s="378">
        <f t="shared" si="12"/>
        <v>0.60108474454521421</v>
      </c>
      <c r="N414" s="255"/>
    </row>
    <row r="415" spans="1:14" hidden="1" x14ac:dyDescent="0.2">
      <c r="A415" s="505" t="s">
        <v>321</v>
      </c>
      <c r="B415" s="459" t="s">
        <v>554</v>
      </c>
      <c r="C415" s="422" t="s">
        <v>55</v>
      </c>
      <c r="D415" s="248" t="s">
        <v>135</v>
      </c>
      <c r="E415" s="249">
        <v>4.8719550281074328E-5</v>
      </c>
      <c r="F415" s="374" t="s">
        <v>553</v>
      </c>
      <c r="G415" s="251" t="s">
        <v>16</v>
      </c>
      <c r="H415" s="376">
        <v>2</v>
      </c>
      <c r="I415" s="376">
        <v>2</v>
      </c>
      <c r="J415" s="376">
        <v>3</v>
      </c>
      <c r="K415" s="376">
        <v>3</v>
      </c>
      <c r="L415" s="377">
        <v>2</v>
      </c>
      <c r="M415" s="378">
        <f t="shared" si="12"/>
        <v>0.60108474454521421</v>
      </c>
      <c r="N415" s="255"/>
    </row>
    <row r="416" spans="1:14" hidden="1" x14ac:dyDescent="0.2">
      <c r="A416" s="505" t="s">
        <v>321</v>
      </c>
      <c r="B416" s="653" t="s">
        <v>552</v>
      </c>
      <c r="C416" s="422" t="s">
        <v>57</v>
      </c>
      <c r="D416" s="248" t="s">
        <v>135</v>
      </c>
      <c r="E416" s="249">
        <v>2.919425359150531E-2</v>
      </c>
      <c r="F416" s="374" t="s">
        <v>553</v>
      </c>
      <c r="G416" s="375" t="s">
        <v>16</v>
      </c>
      <c r="H416" s="376">
        <v>2</v>
      </c>
      <c r="I416" s="376">
        <v>2</v>
      </c>
      <c r="J416" s="376">
        <v>3</v>
      </c>
      <c r="K416" s="376">
        <v>3</v>
      </c>
      <c r="L416" s="377">
        <v>2</v>
      </c>
      <c r="M416" s="254">
        <f t="shared" si="12"/>
        <v>0.60108474454521421</v>
      </c>
      <c r="N416" s="255"/>
    </row>
    <row r="417" spans="1:14" hidden="1" x14ac:dyDescent="0.2">
      <c r="A417" s="505" t="s">
        <v>321</v>
      </c>
      <c r="B417" s="459" t="s">
        <v>554</v>
      </c>
      <c r="C417" s="422" t="s">
        <v>57</v>
      </c>
      <c r="D417" s="248" t="s">
        <v>135</v>
      </c>
      <c r="E417" s="249">
        <v>5.1217988757026857E-5</v>
      </c>
      <c r="F417" s="374" t="s">
        <v>553</v>
      </c>
      <c r="G417" s="251" t="s">
        <v>16</v>
      </c>
      <c r="H417" s="376">
        <v>2</v>
      </c>
      <c r="I417" s="376">
        <v>2</v>
      </c>
      <c r="J417" s="376">
        <v>3</v>
      </c>
      <c r="K417" s="376">
        <v>3</v>
      </c>
      <c r="L417" s="377">
        <v>2</v>
      </c>
      <c r="M417" s="378">
        <f t="shared" si="12"/>
        <v>0.60108474454521421</v>
      </c>
      <c r="N417" s="255"/>
    </row>
    <row r="418" spans="1:14" hidden="1" x14ac:dyDescent="0.2">
      <c r="A418" s="505" t="s">
        <v>321</v>
      </c>
      <c r="B418" s="653" t="s">
        <v>552</v>
      </c>
      <c r="C418" s="422" t="s">
        <v>59</v>
      </c>
      <c r="D418" s="248" t="s">
        <v>135</v>
      </c>
      <c r="E418" s="249">
        <v>5.7000000000000002E-2</v>
      </c>
      <c r="F418" s="374" t="s">
        <v>360</v>
      </c>
      <c r="G418" s="375"/>
      <c r="H418" s="376">
        <v>2</v>
      </c>
      <c r="I418" s="376">
        <v>2</v>
      </c>
      <c r="J418" s="376">
        <v>3</v>
      </c>
      <c r="K418" s="376">
        <v>3</v>
      </c>
      <c r="L418" s="377">
        <v>2</v>
      </c>
      <c r="M418" s="254">
        <f t="shared" si="12"/>
        <v>0.60108474454521421</v>
      </c>
      <c r="N418" s="255"/>
    </row>
    <row r="419" spans="1:14" hidden="1" x14ac:dyDescent="0.2">
      <c r="A419" s="505" t="s">
        <v>321</v>
      </c>
      <c r="B419" s="459" t="s">
        <v>554</v>
      </c>
      <c r="C419" s="422" t="s">
        <v>59</v>
      </c>
      <c r="D419" s="248" t="s">
        <v>135</v>
      </c>
      <c r="E419" s="249">
        <v>1E-4</v>
      </c>
      <c r="F419" s="374" t="s">
        <v>360</v>
      </c>
      <c r="G419" s="251"/>
      <c r="H419" s="376">
        <v>2</v>
      </c>
      <c r="I419" s="376">
        <v>2</v>
      </c>
      <c r="J419" s="376">
        <v>3</v>
      </c>
      <c r="K419" s="376">
        <v>3</v>
      </c>
      <c r="L419" s="377">
        <v>2</v>
      </c>
      <c r="M419" s="378">
        <f t="shared" si="12"/>
        <v>0.60108474454521421</v>
      </c>
      <c r="N419" s="255"/>
    </row>
    <row r="420" spans="1:14" hidden="1" x14ac:dyDescent="0.2">
      <c r="A420" s="505" t="s">
        <v>321</v>
      </c>
      <c r="B420" s="653" t="s">
        <v>552</v>
      </c>
      <c r="C420" s="422" t="s">
        <v>60</v>
      </c>
      <c r="D420" s="248" t="s">
        <v>135</v>
      </c>
      <c r="E420" s="249">
        <v>2.3141786383510311E-2</v>
      </c>
      <c r="F420" s="374" t="s">
        <v>553</v>
      </c>
      <c r="G420" s="375" t="s">
        <v>16</v>
      </c>
      <c r="H420" s="376">
        <v>2</v>
      </c>
      <c r="I420" s="376">
        <v>2</v>
      </c>
      <c r="J420" s="376">
        <v>3</v>
      </c>
      <c r="K420" s="376">
        <v>3</v>
      </c>
      <c r="L420" s="377">
        <v>2</v>
      </c>
      <c r="M420" s="254">
        <f t="shared" si="12"/>
        <v>0.60108474454521421</v>
      </c>
      <c r="N420" s="255"/>
    </row>
    <row r="421" spans="1:14" hidden="1" x14ac:dyDescent="0.2">
      <c r="A421" s="508" t="s">
        <v>321</v>
      </c>
      <c r="B421" s="513" t="s">
        <v>554</v>
      </c>
      <c r="C421" s="427" t="s">
        <v>60</v>
      </c>
      <c r="D421" s="441" t="s">
        <v>135</v>
      </c>
      <c r="E421" s="288">
        <v>4.059962523422861E-5</v>
      </c>
      <c r="F421" s="399" t="s">
        <v>553</v>
      </c>
      <c r="G421" s="290" t="s">
        <v>16</v>
      </c>
      <c r="H421" s="398">
        <v>2</v>
      </c>
      <c r="I421" s="398">
        <v>2</v>
      </c>
      <c r="J421" s="398">
        <v>3</v>
      </c>
      <c r="K421" s="398">
        <v>3</v>
      </c>
      <c r="L421" s="407">
        <v>2</v>
      </c>
      <c r="M421" s="408">
        <f t="shared" ref="M421:M451" si="13">IF( OR( ISBLANK(H421),ISBLANK(I421), ISBLANK(J421), ISBLANK(K421), ISBLANK(L421) ), "", 1.5*SQRT( EXP(2.21*(H421-1)) + EXP(2.21*(I421-1)) + EXP(2.21*(J421-1)) + EXP(2.21*(K421-1)) + EXP(2.21*L421) )/100*2.45 )</f>
        <v>0.60108474454521421</v>
      </c>
      <c r="N421" s="294"/>
    </row>
    <row r="422" spans="1:14" x14ac:dyDescent="0.2">
      <c r="A422" s="505" t="s">
        <v>329</v>
      </c>
      <c r="B422" s="652" t="s">
        <v>552</v>
      </c>
      <c r="C422" s="422" t="s">
        <v>13</v>
      </c>
      <c r="D422" s="433" t="s">
        <v>135</v>
      </c>
      <c r="E422" s="266">
        <v>1.260712054965646E-2</v>
      </c>
      <c r="F422" s="389" t="s">
        <v>553</v>
      </c>
      <c r="G422" s="390" t="s">
        <v>16</v>
      </c>
      <c r="H422" s="391">
        <v>2</v>
      </c>
      <c r="I422" s="391">
        <v>2</v>
      </c>
      <c r="J422" s="391">
        <v>3</v>
      </c>
      <c r="K422" s="391">
        <v>3</v>
      </c>
      <c r="L422" s="392">
        <v>2</v>
      </c>
      <c r="M422" s="271">
        <f t="shared" si="13"/>
        <v>0.60108474454521421</v>
      </c>
      <c r="N422" s="272"/>
    </row>
    <row r="423" spans="1:14" x14ac:dyDescent="0.2">
      <c r="A423" s="505" t="s">
        <v>329</v>
      </c>
      <c r="B423" s="459" t="s">
        <v>554</v>
      </c>
      <c r="C423" s="422" t="s">
        <v>13</v>
      </c>
      <c r="D423" s="248" t="s">
        <v>135</v>
      </c>
      <c r="E423" s="249">
        <v>2.1736414740787008E-5</v>
      </c>
      <c r="F423" s="374" t="s">
        <v>553</v>
      </c>
      <c r="G423" s="251" t="s">
        <v>16</v>
      </c>
      <c r="H423" s="376">
        <v>2</v>
      </c>
      <c r="I423" s="376">
        <v>2</v>
      </c>
      <c r="J423" s="376">
        <v>3</v>
      </c>
      <c r="K423" s="376">
        <v>3</v>
      </c>
      <c r="L423" s="377">
        <v>2</v>
      </c>
      <c r="M423" s="378">
        <f t="shared" si="13"/>
        <v>0.60108474454521421</v>
      </c>
      <c r="N423" s="255"/>
    </row>
    <row r="424" spans="1:14" hidden="1" x14ac:dyDescent="0.2">
      <c r="A424" s="505" t="s">
        <v>329</v>
      </c>
      <c r="B424" s="653" t="s">
        <v>552</v>
      </c>
      <c r="C424" s="422" t="s">
        <v>18</v>
      </c>
      <c r="D424" s="248" t="s">
        <v>135</v>
      </c>
      <c r="E424" s="249">
        <v>1.101311680199875E-2</v>
      </c>
      <c r="F424" s="374" t="s">
        <v>553</v>
      </c>
      <c r="G424" s="251" t="s">
        <v>16</v>
      </c>
      <c r="H424" s="376">
        <v>2</v>
      </c>
      <c r="I424" s="376">
        <v>2</v>
      </c>
      <c r="J424" s="376">
        <v>3</v>
      </c>
      <c r="K424" s="376">
        <v>3</v>
      </c>
      <c r="L424" s="377">
        <v>2</v>
      </c>
      <c r="M424" s="378">
        <f t="shared" si="13"/>
        <v>0.60108474454521421</v>
      </c>
      <c r="N424" s="255"/>
    </row>
    <row r="425" spans="1:14" hidden="1" x14ac:dyDescent="0.2">
      <c r="A425" s="505" t="s">
        <v>329</v>
      </c>
      <c r="B425" s="459" t="s">
        <v>554</v>
      </c>
      <c r="C425" s="422" t="s">
        <v>18</v>
      </c>
      <c r="D425" s="248" t="s">
        <v>135</v>
      </c>
      <c r="E425" s="249">
        <v>1.8988132417239231E-5</v>
      </c>
      <c r="F425" s="374" t="s">
        <v>553</v>
      </c>
      <c r="G425" s="251" t="s">
        <v>16</v>
      </c>
      <c r="H425" s="376">
        <v>2</v>
      </c>
      <c r="I425" s="376">
        <v>2</v>
      </c>
      <c r="J425" s="376">
        <v>3</v>
      </c>
      <c r="K425" s="376">
        <v>3</v>
      </c>
      <c r="L425" s="377">
        <v>2</v>
      </c>
      <c r="M425" s="378">
        <f t="shared" si="13"/>
        <v>0.60108474454521421</v>
      </c>
      <c r="N425" s="255"/>
    </row>
    <row r="426" spans="1:14" hidden="1" x14ac:dyDescent="0.2">
      <c r="A426" s="505" t="s">
        <v>329</v>
      </c>
      <c r="B426" s="653" t="s">
        <v>552</v>
      </c>
      <c r="C426" s="422" t="s">
        <v>20</v>
      </c>
      <c r="D426" s="248" t="s">
        <v>135</v>
      </c>
      <c r="E426" s="249">
        <v>7.2454715802623356E-4</v>
      </c>
      <c r="F426" s="374" t="s">
        <v>553</v>
      </c>
      <c r="G426" s="251" t="s">
        <v>16</v>
      </c>
      <c r="H426" s="376">
        <v>2</v>
      </c>
      <c r="I426" s="376">
        <v>2</v>
      </c>
      <c r="J426" s="376">
        <v>3</v>
      </c>
      <c r="K426" s="376">
        <v>3</v>
      </c>
      <c r="L426" s="377">
        <v>2</v>
      </c>
      <c r="M426" s="378">
        <f t="shared" si="13"/>
        <v>0.60108474454521421</v>
      </c>
      <c r="N426" s="255"/>
    </row>
    <row r="427" spans="1:14" hidden="1" x14ac:dyDescent="0.2">
      <c r="A427" s="505" t="s">
        <v>329</v>
      </c>
      <c r="B427" s="459" t="s">
        <v>554</v>
      </c>
      <c r="C427" s="422" t="s">
        <v>20</v>
      </c>
      <c r="D427" s="248" t="s">
        <v>135</v>
      </c>
      <c r="E427" s="249">
        <v>1.249219237976265E-6</v>
      </c>
      <c r="F427" s="374" t="s">
        <v>553</v>
      </c>
      <c r="G427" s="251" t="s">
        <v>16</v>
      </c>
      <c r="H427" s="376">
        <v>2</v>
      </c>
      <c r="I427" s="376">
        <v>2</v>
      </c>
      <c r="J427" s="376">
        <v>3</v>
      </c>
      <c r="K427" s="376">
        <v>3</v>
      </c>
      <c r="L427" s="377">
        <v>2</v>
      </c>
      <c r="M427" s="378">
        <f t="shared" si="13"/>
        <v>0.60108474454521421</v>
      </c>
      <c r="N427" s="255"/>
    </row>
    <row r="428" spans="1:14" hidden="1" x14ac:dyDescent="0.2">
      <c r="A428" s="505" t="s">
        <v>329</v>
      </c>
      <c r="B428" s="653" t="s">
        <v>552</v>
      </c>
      <c r="C428" s="422" t="s">
        <v>22</v>
      </c>
      <c r="D428" s="248" t="s">
        <v>135</v>
      </c>
      <c r="E428" s="249">
        <v>1.7389131792629609E-3</v>
      </c>
      <c r="F428" s="374" t="s">
        <v>553</v>
      </c>
      <c r="G428" s="251" t="s">
        <v>16</v>
      </c>
      <c r="H428" s="376">
        <v>2</v>
      </c>
      <c r="I428" s="376">
        <v>2</v>
      </c>
      <c r="J428" s="376">
        <v>3</v>
      </c>
      <c r="K428" s="376">
        <v>3</v>
      </c>
      <c r="L428" s="377">
        <v>2</v>
      </c>
      <c r="M428" s="378">
        <f t="shared" si="13"/>
        <v>0.60108474454521421</v>
      </c>
      <c r="N428" s="255"/>
    </row>
    <row r="429" spans="1:14" hidden="1" x14ac:dyDescent="0.2">
      <c r="A429" s="505" t="s">
        <v>329</v>
      </c>
      <c r="B429" s="459" t="s">
        <v>554</v>
      </c>
      <c r="C429" s="422" t="s">
        <v>22</v>
      </c>
      <c r="D429" s="248" t="s">
        <v>135</v>
      </c>
      <c r="E429" s="249">
        <v>2.9981261711430358E-6</v>
      </c>
      <c r="F429" s="374" t="s">
        <v>553</v>
      </c>
      <c r="G429" s="251" t="s">
        <v>16</v>
      </c>
      <c r="H429" s="376">
        <v>2</v>
      </c>
      <c r="I429" s="376">
        <v>2</v>
      </c>
      <c r="J429" s="376">
        <v>3</v>
      </c>
      <c r="K429" s="376">
        <v>3</v>
      </c>
      <c r="L429" s="377">
        <v>2</v>
      </c>
      <c r="M429" s="378">
        <f t="shared" si="13"/>
        <v>0.60108474454521421</v>
      </c>
      <c r="N429" s="255"/>
    </row>
    <row r="430" spans="1:14" hidden="1" x14ac:dyDescent="0.2">
      <c r="A430" s="505" t="s">
        <v>329</v>
      </c>
      <c r="B430" s="653" t="s">
        <v>552</v>
      </c>
      <c r="C430" s="422" t="s">
        <v>23</v>
      </c>
      <c r="D430" s="248" t="s">
        <v>135</v>
      </c>
      <c r="E430" s="249">
        <v>7.9700187382885691E-4</v>
      </c>
      <c r="F430" s="374" t="s">
        <v>553</v>
      </c>
      <c r="G430" s="251" t="s">
        <v>16</v>
      </c>
      <c r="H430" s="376">
        <v>2</v>
      </c>
      <c r="I430" s="376">
        <v>2</v>
      </c>
      <c r="J430" s="376">
        <v>3</v>
      </c>
      <c r="K430" s="376">
        <v>3</v>
      </c>
      <c r="L430" s="377">
        <v>2</v>
      </c>
      <c r="M430" s="378">
        <f t="shared" si="13"/>
        <v>0.60108474454521421</v>
      </c>
      <c r="N430" s="255"/>
    </row>
    <row r="431" spans="1:14" hidden="1" x14ac:dyDescent="0.2">
      <c r="A431" s="505" t="s">
        <v>329</v>
      </c>
      <c r="B431" s="459" t="s">
        <v>554</v>
      </c>
      <c r="C431" s="422" t="s">
        <v>23</v>
      </c>
      <c r="D431" s="248" t="s">
        <v>135</v>
      </c>
      <c r="E431" s="249">
        <v>1.374141161773891E-6</v>
      </c>
      <c r="F431" s="374" t="s">
        <v>553</v>
      </c>
      <c r="G431" s="251" t="s">
        <v>16</v>
      </c>
      <c r="H431" s="376">
        <v>2</v>
      </c>
      <c r="I431" s="376">
        <v>2</v>
      </c>
      <c r="J431" s="376">
        <v>3</v>
      </c>
      <c r="K431" s="376">
        <v>3</v>
      </c>
      <c r="L431" s="377">
        <v>2</v>
      </c>
      <c r="M431" s="378">
        <f t="shared" si="13"/>
        <v>0.60108474454521421</v>
      </c>
      <c r="N431" s="255"/>
    </row>
    <row r="432" spans="1:14" hidden="1" x14ac:dyDescent="0.2">
      <c r="A432" s="505" t="s">
        <v>329</v>
      </c>
      <c r="B432" s="653" t="s">
        <v>552</v>
      </c>
      <c r="C432" s="422" t="s">
        <v>24</v>
      </c>
      <c r="D432" s="248" t="s">
        <v>135</v>
      </c>
      <c r="E432" s="249">
        <v>5.2891942535915051E-3</v>
      </c>
      <c r="F432" s="374" t="s">
        <v>553</v>
      </c>
      <c r="G432" s="251" t="s">
        <v>16</v>
      </c>
      <c r="H432" s="376">
        <v>2</v>
      </c>
      <c r="I432" s="376">
        <v>2</v>
      </c>
      <c r="J432" s="376">
        <v>3</v>
      </c>
      <c r="K432" s="376">
        <v>3</v>
      </c>
      <c r="L432" s="377">
        <v>2</v>
      </c>
      <c r="M432" s="378">
        <f t="shared" si="13"/>
        <v>0.60108474454521421</v>
      </c>
      <c r="N432" s="255"/>
    </row>
    <row r="433" spans="1:14" hidden="1" x14ac:dyDescent="0.2">
      <c r="A433" s="505" t="s">
        <v>329</v>
      </c>
      <c r="B433" s="459" t="s">
        <v>554</v>
      </c>
      <c r="C433" s="422" t="s">
        <v>24</v>
      </c>
      <c r="D433" s="248" t="s">
        <v>135</v>
      </c>
      <c r="E433" s="249">
        <v>9.1193004372267345E-6</v>
      </c>
      <c r="F433" s="374" t="s">
        <v>553</v>
      </c>
      <c r="G433" s="251" t="s">
        <v>16</v>
      </c>
      <c r="H433" s="376">
        <v>2</v>
      </c>
      <c r="I433" s="376">
        <v>2</v>
      </c>
      <c r="J433" s="376">
        <v>3</v>
      </c>
      <c r="K433" s="376">
        <v>3</v>
      </c>
      <c r="L433" s="377">
        <v>2</v>
      </c>
      <c r="M433" s="378">
        <f t="shared" si="13"/>
        <v>0.60108474454521421</v>
      </c>
      <c r="N433" s="255"/>
    </row>
    <row r="434" spans="1:14" hidden="1" x14ac:dyDescent="0.2">
      <c r="A434" s="505" t="s">
        <v>329</v>
      </c>
      <c r="B434" s="653" t="s">
        <v>552</v>
      </c>
      <c r="C434" s="422" t="s">
        <v>25</v>
      </c>
      <c r="D434" s="248" t="s">
        <v>135</v>
      </c>
      <c r="E434" s="249">
        <v>1.4635852592129919E-2</v>
      </c>
      <c r="F434" s="374" t="s">
        <v>553</v>
      </c>
      <c r="G434" s="251" t="s">
        <v>16</v>
      </c>
      <c r="H434" s="376">
        <v>2</v>
      </c>
      <c r="I434" s="376">
        <v>2</v>
      </c>
      <c r="J434" s="376">
        <v>3</v>
      </c>
      <c r="K434" s="376">
        <v>3</v>
      </c>
      <c r="L434" s="377">
        <v>2</v>
      </c>
      <c r="M434" s="378">
        <f t="shared" si="13"/>
        <v>0.60108474454521421</v>
      </c>
      <c r="N434" s="255"/>
    </row>
    <row r="435" spans="1:14" hidden="1" x14ac:dyDescent="0.2">
      <c r="A435" s="505" t="s">
        <v>329</v>
      </c>
      <c r="B435" s="459" t="s">
        <v>554</v>
      </c>
      <c r="C435" s="422" t="s">
        <v>25</v>
      </c>
      <c r="D435" s="248" t="s">
        <v>135</v>
      </c>
      <c r="E435" s="249">
        <v>2.5234228607120551E-5</v>
      </c>
      <c r="F435" s="374" t="s">
        <v>553</v>
      </c>
      <c r="G435" s="251" t="s">
        <v>16</v>
      </c>
      <c r="H435" s="376">
        <v>2</v>
      </c>
      <c r="I435" s="376">
        <v>2</v>
      </c>
      <c r="J435" s="376">
        <v>3</v>
      </c>
      <c r="K435" s="376">
        <v>3</v>
      </c>
      <c r="L435" s="377">
        <v>2</v>
      </c>
      <c r="M435" s="378">
        <f t="shared" si="13"/>
        <v>0.60108474454521421</v>
      </c>
      <c r="N435" s="255"/>
    </row>
    <row r="436" spans="1:14" hidden="1" x14ac:dyDescent="0.2">
      <c r="A436" s="505" t="s">
        <v>329</v>
      </c>
      <c r="B436" s="653" t="s">
        <v>552</v>
      </c>
      <c r="C436" s="422" t="s">
        <v>26</v>
      </c>
      <c r="D436" s="248" t="s">
        <v>135</v>
      </c>
      <c r="E436" s="249">
        <v>1.08682073703935E-3</v>
      </c>
      <c r="F436" s="374" t="s">
        <v>553</v>
      </c>
      <c r="G436" s="251" t="s">
        <v>16</v>
      </c>
      <c r="H436" s="376">
        <v>2</v>
      </c>
      <c r="I436" s="376">
        <v>2</v>
      </c>
      <c r="J436" s="376">
        <v>3</v>
      </c>
      <c r="K436" s="376">
        <v>3</v>
      </c>
      <c r="L436" s="377">
        <v>2</v>
      </c>
      <c r="M436" s="378">
        <f t="shared" si="13"/>
        <v>0.60108474454521421</v>
      </c>
      <c r="N436" s="255"/>
    </row>
    <row r="437" spans="1:14" hidden="1" x14ac:dyDescent="0.2">
      <c r="A437" s="505" t="s">
        <v>329</v>
      </c>
      <c r="B437" s="459" t="s">
        <v>554</v>
      </c>
      <c r="C437" s="422" t="s">
        <v>26</v>
      </c>
      <c r="D437" s="248" t="s">
        <v>135</v>
      </c>
      <c r="E437" s="249">
        <v>1.873828856964397E-6</v>
      </c>
      <c r="F437" s="374" t="s">
        <v>553</v>
      </c>
      <c r="G437" s="251" t="s">
        <v>16</v>
      </c>
      <c r="H437" s="376">
        <v>2</v>
      </c>
      <c r="I437" s="376">
        <v>2</v>
      </c>
      <c r="J437" s="376">
        <v>3</v>
      </c>
      <c r="K437" s="376">
        <v>3</v>
      </c>
      <c r="L437" s="377">
        <v>2</v>
      </c>
      <c r="M437" s="378">
        <f t="shared" si="13"/>
        <v>0.60108474454521421</v>
      </c>
      <c r="N437" s="255"/>
    </row>
    <row r="438" spans="1:14" hidden="1" x14ac:dyDescent="0.2">
      <c r="A438" s="505" t="s">
        <v>329</v>
      </c>
      <c r="B438" s="653" t="s">
        <v>552</v>
      </c>
      <c r="C438" s="422" t="s">
        <v>27</v>
      </c>
      <c r="D438" s="248" t="s">
        <v>135</v>
      </c>
      <c r="E438" s="249">
        <v>5.5790131168019976E-3</v>
      </c>
      <c r="F438" s="374" t="s">
        <v>553</v>
      </c>
      <c r="G438" s="251" t="s">
        <v>16</v>
      </c>
      <c r="H438" s="376">
        <v>2</v>
      </c>
      <c r="I438" s="376">
        <v>2</v>
      </c>
      <c r="J438" s="376">
        <v>3</v>
      </c>
      <c r="K438" s="376">
        <v>3</v>
      </c>
      <c r="L438" s="377">
        <v>2</v>
      </c>
      <c r="M438" s="378">
        <f t="shared" si="13"/>
        <v>0.60108474454521421</v>
      </c>
      <c r="N438" s="255"/>
    </row>
    <row r="439" spans="1:14" hidden="1" x14ac:dyDescent="0.2">
      <c r="A439" s="505" t="s">
        <v>329</v>
      </c>
      <c r="B439" s="459" t="s">
        <v>554</v>
      </c>
      <c r="C439" s="422" t="s">
        <v>27</v>
      </c>
      <c r="D439" s="248" t="s">
        <v>135</v>
      </c>
      <c r="E439" s="249">
        <v>9.6189881324172411E-6</v>
      </c>
      <c r="F439" s="374" t="s">
        <v>553</v>
      </c>
      <c r="G439" s="251" t="s">
        <v>16</v>
      </c>
      <c r="H439" s="376">
        <v>2</v>
      </c>
      <c r="I439" s="376">
        <v>2</v>
      </c>
      <c r="J439" s="376">
        <v>3</v>
      </c>
      <c r="K439" s="376">
        <v>3</v>
      </c>
      <c r="L439" s="377">
        <v>2</v>
      </c>
      <c r="M439" s="378">
        <f t="shared" si="13"/>
        <v>0.60108474454521421</v>
      </c>
      <c r="N439" s="255"/>
    </row>
    <row r="440" spans="1:14" hidden="1" x14ac:dyDescent="0.2">
      <c r="A440" s="505" t="s">
        <v>329</v>
      </c>
      <c r="B440" s="653" t="s">
        <v>552</v>
      </c>
      <c r="C440" s="422" t="s">
        <v>28</v>
      </c>
      <c r="D440" s="248" t="s">
        <v>135</v>
      </c>
      <c r="E440" s="249">
        <v>7.5352904434728297E-3</v>
      </c>
      <c r="F440" s="374" t="s">
        <v>553</v>
      </c>
      <c r="G440" s="251" t="s">
        <v>16</v>
      </c>
      <c r="H440" s="376">
        <v>2</v>
      </c>
      <c r="I440" s="376">
        <v>2</v>
      </c>
      <c r="J440" s="376">
        <v>3</v>
      </c>
      <c r="K440" s="376">
        <v>3</v>
      </c>
      <c r="L440" s="377">
        <v>2</v>
      </c>
      <c r="M440" s="378">
        <f t="shared" si="13"/>
        <v>0.60108474454521421</v>
      </c>
      <c r="N440" s="255"/>
    </row>
    <row r="441" spans="1:14" hidden="1" x14ac:dyDescent="0.2">
      <c r="A441" s="505" t="s">
        <v>329</v>
      </c>
      <c r="B441" s="459" t="s">
        <v>554</v>
      </c>
      <c r="C441" s="422" t="s">
        <v>28</v>
      </c>
      <c r="D441" s="248" t="s">
        <v>135</v>
      </c>
      <c r="E441" s="249">
        <v>1.299188007495316E-5</v>
      </c>
      <c r="F441" s="374" t="s">
        <v>553</v>
      </c>
      <c r="G441" s="251" t="s">
        <v>16</v>
      </c>
      <c r="H441" s="376">
        <v>2</v>
      </c>
      <c r="I441" s="376">
        <v>2</v>
      </c>
      <c r="J441" s="376">
        <v>3</v>
      </c>
      <c r="K441" s="376">
        <v>3</v>
      </c>
      <c r="L441" s="377">
        <v>2</v>
      </c>
      <c r="M441" s="378">
        <f t="shared" si="13"/>
        <v>0.60108474454521421</v>
      </c>
      <c r="N441" s="255"/>
    </row>
    <row r="442" spans="1:14" hidden="1" x14ac:dyDescent="0.2">
      <c r="A442" s="505" t="s">
        <v>329</v>
      </c>
      <c r="B442" s="653" t="s">
        <v>552</v>
      </c>
      <c r="C442" s="422" t="s">
        <v>30</v>
      </c>
      <c r="D442" s="248" t="s">
        <v>135</v>
      </c>
      <c r="E442" s="249">
        <v>1.079575265459088E-2</v>
      </c>
      <c r="F442" s="374" t="s">
        <v>553</v>
      </c>
      <c r="G442" s="251" t="s">
        <v>16</v>
      </c>
      <c r="H442" s="376">
        <v>2</v>
      </c>
      <c r="I442" s="376">
        <v>2</v>
      </c>
      <c r="J442" s="376">
        <v>3</v>
      </c>
      <c r="K442" s="376">
        <v>3</v>
      </c>
      <c r="L442" s="377">
        <v>2</v>
      </c>
      <c r="M442" s="378">
        <f t="shared" si="13"/>
        <v>0.60108474454521421</v>
      </c>
      <c r="N442" s="255"/>
    </row>
    <row r="443" spans="1:14" hidden="1" x14ac:dyDescent="0.2">
      <c r="A443" s="505" t="s">
        <v>329</v>
      </c>
      <c r="B443" s="459" t="s">
        <v>554</v>
      </c>
      <c r="C443" s="422" t="s">
        <v>30</v>
      </c>
      <c r="D443" s="248" t="s">
        <v>135</v>
      </c>
      <c r="E443" s="249">
        <v>1.861336664584635E-5</v>
      </c>
      <c r="F443" s="374" t="s">
        <v>553</v>
      </c>
      <c r="G443" s="251" t="s">
        <v>16</v>
      </c>
      <c r="H443" s="376">
        <v>2</v>
      </c>
      <c r="I443" s="376">
        <v>2</v>
      </c>
      <c r="J443" s="376">
        <v>3</v>
      </c>
      <c r="K443" s="376">
        <v>3</v>
      </c>
      <c r="L443" s="377">
        <v>2</v>
      </c>
      <c r="M443" s="378">
        <f t="shared" si="13"/>
        <v>0.60108474454521421</v>
      </c>
      <c r="N443" s="255"/>
    </row>
    <row r="444" spans="1:14" hidden="1" x14ac:dyDescent="0.2">
      <c r="A444" s="505" t="s">
        <v>329</v>
      </c>
      <c r="B444" s="653" t="s">
        <v>552</v>
      </c>
      <c r="C444" s="422" t="s">
        <v>32</v>
      </c>
      <c r="D444" s="248" t="s">
        <v>135</v>
      </c>
      <c r="E444" s="249">
        <v>5.7963772642098687E-4</v>
      </c>
      <c r="F444" s="374" t="s">
        <v>553</v>
      </c>
      <c r="G444" s="251" t="s">
        <v>16</v>
      </c>
      <c r="H444" s="376">
        <v>2</v>
      </c>
      <c r="I444" s="376">
        <v>2</v>
      </c>
      <c r="J444" s="376">
        <v>3</v>
      </c>
      <c r="K444" s="376">
        <v>3</v>
      </c>
      <c r="L444" s="377">
        <v>2</v>
      </c>
      <c r="M444" s="378">
        <f t="shared" si="13"/>
        <v>0.60108474454521421</v>
      </c>
      <c r="N444" s="255"/>
    </row>
    <row r="445" spans="1:14" hidden="1" x14ac:dyDescent="0.2">
      <c r="A445" s="505" t="s">
        <v>329</v>
      </c>
      <c r="B445" s="459" t="s">
        <v>554</v>
      </c>
      <c r="C445" s="422" t="s">
        <v>32</v>
      </c>
      <c r="D445" s="248" t="s">
        <v>135</v>
      </c>
      <c r="E445" s="249">
        <v>9.9937539038101194E-7</v>
      </c>
      <c r="F445" s="374" t="s">
        <v>553</v>
      </c>
      <c r="G445" s="251" t="s">
        <v>16</v>
      </c>
      <c r="H445" s="376">
        <v>2</v>
      </c>
      <c r="I445" s="376">
        <v>2</v>
      </c>
      <c r="J445" s="376">
        <v>3</v>
      </c>
      <c r="K445" s="376">
        <v>3</v>
      </c>
      <c r="L445" s="377">
        <v>2</v>
      </c>
      <c r="M445" s="378">
        <f t="shared" si="13"/>
        <v>0.60108474454521421</v>
      </c>
      <c r="N445" s="255"/>
    </row>
    <row r="446" spans="1:14" hidden="1" x14ac:dyDescent="0.2">
      <c r="A446" s="505" t="s">
        <v>329</v>
      </c>
      <c r="B446" s="653" t="s">
        <v>552</v>
      </c>
      <c r="C446" s="422" t="s">
        <v>34</v>
      </c>
      <c r="D446" s="248" t="s">
        <v>135</v>
      </c>
      <c r="E446" s="249">
        <v>2.8257339163023109E-3</v>
      </c>
      <c r="F446" s="374" t="s">
        <v>553</v>
      </c>
      <c r="G446" s="251" t="s">
        <v>16</v>
      </c>
      <c r="H446" s="376">
        <v>2</v>
      </c>
      <c r="I446" s="376">
        <v>2</v>
      </c>
      <c r="J446" s="376">
        <v>3</v>
      </c>
      <c r="K446" s="376">
        <v>3</v>
      </c>
      <c r="L446" s="377">
        <v>2</v>
      </c>
      <c r="M446" s="378">
        <f t="shared" si="13"/>
        <v>0.60108474454521421</v>
      </c>
      <c r="N446" s="255"/>
    </row>
    <row r="447" spans="1:14" hidden="1" x14ac:dyDescent="0.2">
      <c r="A447" s="505" t="s">
        <v>329</v>
      </c>
      <c r="B447" s="459" t="s">
        <v>554</v>
      </c>
      <c r="C447" s="422" t="s">
        <v>34</v>
      </c>
      <c r="D447" s="248" t="s">
        <v>135</v>
      </c>
      <c r="E447" s="249">
        <v>4.8719550281074326E-6</v>
      </c>
      <c r="F447" s="374" t="s">
        <v>553</v>
      </c>
      <c r="G447" s="251" t="s">
        <v>16</v>
      </c>
      <c r="H447" s="376">
        <v>2</v>
      </c>
      <c r="I447" s="376">
        <v>2</v>
      </c>
      <c r="J447" s="376">
        <v>3</v>
      </c>
      <c r="K447" s="376">
        <v>3</v>
      </c>
      <c r="L447" s="377">
        <v>2</v>
      </c>
      <c r="M447" s="378">
        <f t="shared" si="13"/>
        <v>0.60108474454521421</v>
      </c>
      <c r="N447" s="255"/>
    </row>
    <row r="448" spans="1:14" hidden="1" x14ac:dyDescent="0.2">
      <c r="A448" s="505" t="s">
        <v>329</v>
      </c>
      <c r="B448" s="653" t="s">
        <v>552</v>
      </c>
      <c r="C448" s="422" t="s">
        <v>36</v>
      </c>
      <c r="D448" s="248" t="s">
        <v>135</v>
      </c>
      <c r="E448" s="249">
        <v>4.7820112429731417E-3</v>
      </c>
      <c r="F448" s="374" t="s">
        <v>553</v>
      </c>
      <c r="G448" s="251" t="s">
        <v>16</v>
      </c>
      <c r="H448" s="376">
        <v>2</v>
      </c>
      <c r="I448" s="376">
        <v>2</v>
      </c>
      <c r="J448" s="376">
        <v>3</v>
      </c>
      <c r="K448" s="376">
        <v>3</v>
      </c>
      <c r="L448" s="377">
        <v>2</v>
      </c>
      <c r="M448" s="378">
        <f t="shared" si="13"/>
        <v>0.60108474454521421</v>
      </c>
      <c r="N448" s="255"/>
    </row>
    <row r="449" spans="1:14" hidden="1" x14ac:dyDescent="0.2">
      <c r="A449" s="505" t="s">
        <v>329</v>
      </c>
      <c r="B449" s="459" t="s">
        <v>554</v>
      </c>
      <c r="C449" s="422" t="s">
        <v>36</v>
      </c>
      <c r="D449" s="248" t="s">
        <v>135</v>
      </c>
      <c r="E449" s="249">
        <v>8.2448469706433488E-6</v>
      </c>
      <c r="F449" s="374" t="s">
        <v>553</v>
      </c>
      <c r="G449" s="251" t="s">
        <v>16</v>
      </c>
      <c r="H449" s="376">
        <v>2</v>
      </c>
      <c r="I449" s="376">
        <v>2</v>
      </c>
      <c r="J449" s="376">
        <v>3</v>
      </c>
      <c r="K449" s="376">
        <v>3</v>
      </c>
      <c r="L449" s="377">
        <v>2</v>
      </c>
      <c r="M449" s="378">
        <f t="shared" si="13"/>
        <v>0.60108474454521421</v>
      </c>
      <c r="N449" s="255"/>
    </row>
    <row r="450" spans="1:14" hidden="1" x14ac:dyDescent="0.2">
      <c r="A450" s="505" t="s">
        <v>329</v>
      </c>
      <c r="B450" s="653" t="s">
        <v>552</v>
      </c>
      <c r="C450" s="422" t="s">
        <v>37</v>
      </c>
      <c r="D450" s="248" t="s">
        <v>135</v>
      </c>
      <c r="E450" s="249">
        <v>8.9119300437226733E-3</v>
      </c>
      <c r="F450" s="374" t="s">
        <v>553</v>
      </c>
      <c r="G450" s="251" t="s">
        <v>16</v>
      </c>
      <c r="H450" s="376">
        <v>2</v>
      </c>
      <c r="I450" s="376">
        <v>2</v>
      </c>
      <c r="J450" s="376">
        <v>3</v>
      </c>
      <c r="K450" s="376">
        <v>3</v>
      </c>
      <c r="L450" s="377">
        <v>2</v>
      </c>
      <c r="M450" s="378">
        <f t="shared" si="13"/>
        <v>0.60108474454521421</v>
      </c>
      <c r="N450" s="255"/>
    </row>
    <row r="451" spans="1:14" hidden="1" x14ac:dyDescent="0.2">
      <c r="A451" s="505" t="s">
        <v>329</v>
      </c>
      <c r="B451" s="459" t="s">
        <v>554</v>
      </c>
      <c r="C451" s="422" t="s">
        <v>37</v>
      </c>
      <c r="D451" s="248" t="s">
        <v>135</v>
      </c>
      <c r="E451" s="249">
        <v>1.5365396627108059E-5</v>
      </c>
      <c r="F451" s="374" t="s">
        <v>553</v>
      </c>
      <c r="G451" s="251" t="s">
        <v>16</v>
      </c>
      <c r="H451" s="376">
        <v>2</v>
      </c>
      <c r="I451" s="376">
        <v>2</v>
      </c>
      <c r="J451" s="376">
        <v>3</v>
      </c>
      <c r="K451" s="376">
        <v>3</v>
      </c>
      <c r="L451" s="377">
        <v>2</v>
      </c>
      <c r="M451" s="378">
        <f t="shared" si="13"/>
        <v>0.60108474454521421</v>
      </c>
      <c r="N451" s="255"/>
    </row>
    <row r="452" spans="1:14" hidden="1" x14ac:dyDescent="0.2">
      <c r="A452" s="505" t="s">
        <v>329</v>
      </c>
      <c r="B452" s="653" t="s">
        <v>552</v>
      </c>
      <c r="C452" s="422" t="s">
        <v>39</v>
      </c>
      <c r="D452" s="248" t="s">
        <v>135</v>
      </c>
      <c r="E452" s="249">
        <v>2.6808244846970638E-3</v>
      </c>
      <c r="F452" s="374" t="s">
        <v>553</v>
      </c>
      <c r="G452" s="251" t="s">
        <v>16</v>
      </c>
      <c r="H452" s="376">
        <v>2</v>
      </c>
      <c r="I452" s="376">
        <v>2</v>
      </c>
      <c r="J452" s="376">
        <v>3</v>
      </c>
      <c r="K452" s="376">
        <v>3</v>
      </c>
      <c r="L452" s="377">
        <v>2</v>
      </c>
      <c r="M452" s="378">
        <f>IF( OR( ISBLANK(H452),ISBLANK(I452), ISBLANK(J452), ISBLANK(K452), ISBLANK(L452) ), "", 1.5*SQRT(   EXP(2.21*(H452-1)) + EXP(2.21*(I452-1)) + EXP(2.21*(J452-1)) + EXP(2.21*(K452-1)) + EXP(2.21*L452)   )/100*2.45 )</f>
        <v>0.60108474454521421</v>
      </c>
      <c r="N452" s="255"/>
    </row>
    <row r="453" spans="1:14" hidden="1" x14ac:dyDescent="0.2">
      <c r="A453" s="505" t="s">
        <v>329</v>
      </c>
      <c r="B453" s="459" t="s">
        <v>554</v>
      </c>
      <c r="C453" s="422" t="s">
        <v>39</v>
      </c>
      <c r="D453" s="248" t="s">
        <v>135</v>
      </c>
      <c r="E453" s="249">
        <v>4.6221111805121802E-6</v>
      </c>
      <c r="F453" s="374" t="s">
        <v>553</v>
      </c>
      <c r="G453" s="251" t="s">
        <v>16</v>
      </c>
      <c r="H453" s="376">
        <v>2</v>
      </c>
      <c r="I453" s="376">
        <v>2</v>
      </c>
      <c r="J453" s="376">
        <v>3</v>
      </c>
      <c r="K453" s="376">
        <v>3</v>
      </c>
      <c r="L453" s="377">
        <v>2</v>
      </c>
      <c r="M453" s="378">
        <f t="shared" ref="M453:M484" si="14">IF( OR( ISBLANK(H453),ISBLANK(I453), ISBLANK(J453), ISBLANK(K453), ISBLANK(L453) ), "", 1.5*SQRT( EXP(2.21*(H453-1)) + EXP(2.21*(I453-1)) + EXP(2.21*(J453-1)) + EXP(2.21*(K453-1)) + EXP(2.21*L453) )/100*2.45 )</f>
        <v>0.60108474454521421</v>
      </c>
      <c r="N453" s="255"/>
    </row>
    <row r="454" spans="1:14" hidden="1" x14ac:dyDescent="0.2">
      <c r="A454" s="505" t="s">
        <v>329</v>
      </c>
      <c r="B454" s="653" t="s">
        <v>552</v>
      </c>
      <c r="C454" s="422" t="s">
        <v>40</v>
      </c>
      <c r="D454" s="248" t="s">
        <v>135</v>
      </c>
      <c r="E454" s="249">
        <v>7.390381011867583E-3</v>
      </c>
      <c r="F454" s="374" t="s">
        <v>553</v>
      </c>
      <c r="G454" s="251" t="s">
        <v>16</v>
      </c>
      <c r="H454" s="376">
        <v>2</v>
      </c>
      <c r="I454" s="376">
        <v>2</v>
      </c>
      <c r="J454" s="376">
        <v>3</v>
      </c>
      <c r="K454" s="376">
        <v>3</v>
      </c>
      <c r="L454" s="377">
        <v>2</v>
      </c>
      <c r="M454" s="378">
        <f t="shared" si="14"/>
        <v>0.60108474454521421</v>
      </c>
      <c r="N454" s="255"/>
    </row>
    <row r="455" spans="1:14" hidden="1" x14ac:dyDescent="0.2">
      <c r="A455" s="505" t="s">
        <v>329</v>
      </c>
      <c r="B455" s="459" t="s">
        <v>554</v>
      </c>
      <c r="C455" s="422" t="s">
        <v>40</v>
      </c>
      <c r="D455" s="248" t="s">
        <v>135</v>
      </c>
      <c r="E455" s="249">
        <v>1.27420362273579E-5</v>
      </c>
      <c r="F455" s="374" t="s">
        <v>553</v>
      </c>
      <c r="G455" s="251" t="s">
        <v>16</v>
      </c>
      <c r="H455" s="376">
        <v>2</v>
      </c>
      <c r="I455" s="376">
        <v>2</v>
      </c>
      <c r="J455" s="376">
        <v>3</v>
      </c>
      <c r="K455" s="376">
        <v>3</v>
      </c>
      <c r="L455" s="377">
        <v>2</v>
      </c>
      <c r="M455" s="378">
        <f t="shared" si="14"/>
        <v>0.60108474454521421</v>
      </c>
      <c r="N455" s="255"/>
    </row>
    <row r="456" spans="1:14" hidden="1" x14ac:dyDescent="0.2">
      <c r="A456" s="505" t="s">
        <v>329</v>
      </c>
      <c r="B456" s="653" t="s">
        <v>552</v>
      </c>
      <c r="C456" s="422" t="s">
        <v>41</v>
      </c>
      <c r="D456" s="248" t="s">
        <v>135</v>
      </c>
      <c r="E456" s="249">
        <v>1.4490943160524671E-2</v>
      </c>
      <c r="F456" s="374" t="s">
        <v>553</v>
      </c>
      <c r="G456" s="251" t="s">
        <v>16</v>
      </c>
      <c r="H456" s="376">
        <v>2</v>
      </c>
      <c r="I456" s="376">
        <v>2</v>
      </c>
      <c r="J456" s="376">
        <v>3</v>
      </c>
      <c r="K456" s="376">
        <v>3</v>
      </c>
      <c r="L456" s="377">
        <v>2</v>
      </c>
      <c r="M456" s="378">
        <f t="shared" si="14"/>
        <v>0.60108474454521421</v>
      </c>
      <c r="N456" s="255"/>
    </row>
    <row r="457" spans="1:14" hidden="1" x14ac:dyDescent="0.2">
      <c r="A457" s="505" t="s">
        <v>329</v>
      </c>
      <c r="B457" s="459" t="s">
        <v>554</v>
      </c>
      <c r="C457" s="422" t="s">
        <v>41</v>
      </c>
      <c r="D457" s="248" t="s">
        <v>135</v>
      </c>
      <c r="E457" s="249">
        <v>2.49843847595253E-5</v>
      </c>
      <c r="F457" s="374" t="s">
        <v>553</v>
      </c>
      <c r="G457" s="251" t="s">
        <v>16</v>
      </c>
      <c r="H457" s="376">
        <v>2</v>
      </c>
      <c r="I457" s="376">
        <v>2</v>
      </c>
      <c r="J457" s="376">
        <v>3</v>
      </c>
      <c r="K457" s="376">
        <v>3</v>
      </c>
      <c r="L457" s="377">
        <v>2</v>
      </c>
      <c r="M457" s="378">
        <f t="shared" si="14"/>
        <v>0.60108474454521421</v>
      </c>
      <c r="N457" s="255"/>
    </row>
    <row r="458" spans="1:14" hidden="1" x14ac:dyDescent="0.2">
      <c r="A458" s="505" t="s">
        <v>329</v>
      </c>
      <c r="B458" s="653" t="s">
        <v>552</v>
      </c>
      <c r="C458" s="422" t="s">
        <v>42</v>
      </c>
      <c r="D458" s="248" t="s">
        <v>135</v>
      </c>
      <c r="E458" s="249">
        <v>3.7676452217364148E-3</v>
      </c>
      <c r="F458" s="374" t="s">
        <v>553</v>
      </c>
      <c r="G458" s="251" t="s">
        <v>16</v>
      </c>
      <c r="H458" s="376">
        <v>2</v>
      </c>
      <c r="I458" s="376">
        <v>2</v>
      </c>
      <c r="J458" s="376">
        <v>3</v>
      </c>
      <c r="K458" s="376">
        <v>3</v>
      </c>
      <c r="L458" s="377">
        <v>2</v>
      </c>
      <c r="M458" s="378">
        <f t="shared" si="14"/>
        <v>0.60108474454521421</v>
      </c>
      <c r="N458" s="255"/>
    </row>
    <row r="459" spans="1:14" hidden="1" x14ac:dyDescent="0.2">
      <c r="A459" s="505" t="s">
        <v>329</v>
      </c>
      <c r="B459" s="459" t="s">
        <v>554</v>
      </c>
      <c r="C459" s="422" t="s">
        <v>42</v>
      </c>
      <c r="D459" s="248" t="s">
        <v>135</v>
      </c>
      <c r="E459" s="249">
        <v>6.4959400374765782E-6</v>
      </c>
      <c r="F459" s="374" t="s">
        <v>553</v>
      </c>
      <c r="G459" s="251" t="s">
        <v>16</v>
      </c>
      <c r="H459" s="376">
        <v>2</v>
      </c>
      <c r="I459" s="376">
        <v>2</v>
      </c>
      <c r="J459" s="376">
        <v>3</v>
      </c>
      <c r="K459" s="376">
        <v>3</v>
      </c>
      <c r="L459" s="377">
        <v>2</v>
      </c>
      <c r="M459" s="378">
        <f t="shared" si="14"/>
        <v>0.60108474454521421</v>
      </c>
      <c r="N459" s="255"/>
    </row>
    <row r="460" spans="1:14" hidden="1" x14ac:dyDescent="0.2">
      <c r="A460" s="505" t="s">
        <v>329</v>
      </c>
      <c r="B460" s="653" t="s">
        <v>552</v>
      </c>
      <c r="C460" s="422" t="s">
        <v>43</v>
      </c>
      <c r="D460" s="248" t="s">
        <v>135</v>
      </c>
      <c r="E460" s="249">
        <v>6.2311055590256086E-3</v>
      </c>
      <c r="F460" s="374" t="s">
        <v>553</v>
      </c>
      <c r="G460" s="251" t="s">
        <v>16</v>
      </c>
      <c r="H460" s="376">
        <v>2</v>
      </c>
      <c r="I460" s="376">
        <v>2</v>
      </c>
      <c r="J460" s="376">
        <v>3</v>
      </c>
      <c r="K460" s="376">
        <v>3</v>
      </c>
      <c r="L460" s="377">
        <v>2</v>
      </c>
      <c r="M460" s="378">
        <f t="shared" si="14"/>
        <v>0.60108474454521421</v>
      </c>
      <c r="N460" s="255"/>
    </row>
    <row r="461" spans="1:14" hidden="1" x14ac:dyDescent="0.2">
      <c r="A461" s="505" t="s">
        <v>329</v>
      </c>
      <c r="B461" s="459" t="s">
        <v>554</v>
      </c>
      <c r="C461" s="422" t="s">
        <v>43</v>
      </c>
      <c r="D461" s="248" t="s">
        <v>135</v>
      </c>
      <c r="E461" s="249">
        <v>1.074328544659588E-5</v>
      </c>
      <c r="F461" s="374" t="s">
        <v>553</v>
      </c>
      <c r="G461" s="251" t="s">
        <v>16</v>
      </c>
      <c r="H461" s="376">
        <v>2</v>
      </c>
      <c r="I461" s="376">
        <v>2</v>
      </c>
      <c r="J461" s="376">
        <v>3</v>
      </c>
      <c r="K461" s="376">
        <v>3</v>
      </c>
      <c r="L461" s="377">
        <v>2</v>
      </c>
      <c r="M461" s="378">
        <f t="shared" si="14"/>
        <v>0.60108474454521421</v>
      </c>
      <c r="N461" s="255"/>
    </row>
    <row r="462" spans="1:14" hidden="1" x14ac:dyDescent="0.2">
      <c r="A462" s="505" t="s">
        <v>329</v>
      </c>
      <c r="B462" s="653" t="s">
        <v>552</v>
      </c>
      <c r="C462" s="422" t="s">
        <v>45</v>
      </c>
      <c r="D462" s="248" t="s">
        <v>135</v>
      </c>
      <c r="E462" s="249">
        <v>1.08682073703935E-3</v>
      </c>
      <c r="F462" s="374" t="s">
        <v>553</v>
      </c>
      <c r="G462" s="251" t="s">
        <v>16</v>
      </c>
      <c r="H462" s="376">
        <v>2</v>
      </c>
      <c r="I462" s="376">
        <v>2</v>
      </c>
      <c r="J462" s="376">
        <v>3</v>
      </c>
      <c r="K462" s="376">
        <v>3</v>
      </c>
      <c r="L462" s="377">
        <v>2</v>
      </c>
      <c r="M462" s="378">
        <f t="shared" si="14"/>
        <v>0.60108474454521421</v>
      </c>
      <c r="N462" s="255"/>
    </row>
    <row r="463" spans="1:14" hidden="1" x14ac:dyDescent="0.2">
      <c r="A463" s="505" t="s">
        <v>329</v>
      </c>
      <c r="B463" s="459" t="s">
        <v>554</v>
      </c>
      <c r="C463" s="422" t="s">
        <v>45</v>
      </c>
      <c r="D463" s="248" t="s">
        <v>135</v>
      </c>
      <c r="E463" s="249">
        <v>1.873828856964397E-6</v>
      </c>
      <c r="F463" s="374" t="s">
        <v>553</v>
      </c>
      <c r="G463" s="251" t="s">
        <v>16</v>
      </c>
      <c r="H463" s="376">
        <v>2</v>
      </c>
      <c r="I463" s="376">
        <v>2</v>
      </c>
      <c r="J463" s="376">
        <v>3</v>
      </c>
      <c r="K463" s="376">
        <v>3</v>
      </c>
      <c r="L463" s="377">
        <v>2</v>
      </c>
      <c r="M463" s="378">
        <f t="shared" si="14"/>
        <v>0.60108474454521421</v>
      </c>
      <c r="N463" s="255"/>
    </row>
    <row r="464" spans="1:14" hidden="1" x14ac:dyDescent="0.2">
      <c r="A464" s="505" t="s">
        <v>329</v>
      </c>
      <c r="B464" s="653" t="s">
        <v>552</v>
      </c>
      <c r="C464" s="422" t="s">
        <v>46</v>
      </c>
      <c r="D464" s="248" t="s">
        <v>135</v>
      </c>
      <c r="E464" s="249">
        <v>5.7239225484072452E-3</v>
      </c>
      <c r="F464" s="374" t="s">
        <v>553</v>
      </c>
      <c r="G464" s="251" t="s">
        <v>16</v>
      </c>
      <c r="H464" s="376">
        <v>2</v>
      </c>
      <c r="I464" s="376">
        <v>2</v>
      </c>
      <c r="J464" s="376">
        <v>3</v>
      </c>
      <c r="K464" s="376">
        <v>3</v>
      </c>
      <c r="L464" s="377">
        <v>2</v>
      </c>
      <c r="M464" s="378">
        <f t="shared" si="14"/>
        <v>0.60108474454521421</v>
      </c>
      <c r="N464" s="255"/>
    </row>
    <row r="465" spans="1:14" hidden="1" x14ac:dyDescent="0.2">
      <c r="A465" s="505" t="s">
        <v>329</v>
      </c>
      <c r="B465" s="459" t="s">
        <v>554</v>
      </c>
      <c r="C465" s="422" t="s">
        <v>46</v>
      </c>
      <c r="D465" s="248" t="s">
        <v>135</v>
      </c>
      <c r="E465" s="249">
        <v>9.8688319800124927E-6</v>
      </c>
      <c r="F465" s="374" t="s">
        <v>553</v>
      </c>
      <c r="G465" s="251" t="s">
        <v>16</v>
      </c>
      <c r="H465" s="376">
        <v>2</v>
      </c>
      <c r="I465" s="376">
        <v>2</v>
      </c>
      <c r="J465" s="376">
        <v>3</v>
      </c>
      <c r="K465" s="376">
        <v>3</v>
      </c>
      <c r="L465" s="377">
        <v>2</v>
      </c>
      <c r="M465" s="378">
        <f t="shared" si="14"/>
        <v>0.60108474454521421</v>
      </c>
      <c r="N465" s="255"/>
    </row>
    <row r="466" spans="1:14" hidden="1" x14ac:dyDescent="0.2">
      <c r="A466" s="505" t="s">
        <v>329</v>
      </c>
      <c r="B466" s="653" t="s">
        <v>552</v>
      </c>
      <c r="C466" s="422" t="s">
        <v>48</v>
      </c>
      <c r="D466" s="248" t="s">
        <v>135</v>
      </c>
      <c r="E466" s="249">
        <v>5.6514678326046218E-3</v>
      </c>
      <c r="F466" s="374" t="s">
        <v>553</v>
      </c>
      <c r="G466" s="251" t="s">
        <v>16</v>
      </c>
      <c r="H466" s="376">
        <v>2</v>
      </c>
      <c r="I466" s="376">
        <v>2</v>
      </c>
      <c r="J466" s="376">
        <v>3</v>
      </c>
      <c r="K466" s="376">
        <v>3</v>
      </c>
      <c r="L466" s="377">
        <v>2</v>
      </c>
      <c r="M466" s="378">
        <f t="shared" si="14"/>
        <v>0.60108474454521421</v>
      </c>
      <c r="N466" s="255"/>
    </row>
    <row r="467" spans="1:14" hidden="1" x14ac:dyDescent="0.2">
      <c r="A467" s="505" t="s">
        <v>329</v>
      </c>
      <c r="B467" s="459" t="s">
        <v>554</v>
      </c>
      <c r="C467" s="422" t="s">
        <v>48</v>
      </c>
      <c r="D467" s="248" t="s">
        <v>135</v>
      </c>
      <c r="E467" s="249">
        <v>9.7439100562148669E-6</v>
      </c>
      <c r="F467" s="374" t="s">
        <v>553</v>
      </c>
      <c r="G467" s="251" t="s">
        <v>16</v>
      </c>
      <c r="H467" s="376">
        <v>2</v>
      </c>
      <c r="I467" s="376">
        <v>2</v>
      </c>
      <c r="J467" s="376">
        <v>3</v>
      </c>
      <c r="K467" s="376">
        <v>3</v>
      </c>
      <c r="L467" s="377">
        <v>2</v>
      </c>
      <c r="M467" s="378">
        <f t="shared" si="14"/>
        <v>0.60108474454521421</v>
      </c>
      <c r="N467" s="255"/>
    </row>
    <row r="468" spans="1:14" hidden="1" x14ac:dyDescent="0.2">
      <c r="A468" s="505" t="s">
        <v>329</v>
      </c>
      <c r="B468" s="653" t="s">
        <v>552</v>
      </c>
      <c r="C468" s="422" t="s">
        <v>50</v>
      </c>
      <c r="D468" s="248" t="s">
        <v>135</v>
      </c>
      <c r="E468" s="249">
        <v>1.08682073703935E-3</v>
      </c>
      <c r="F468" s="374" t="s">
        <v>553</v>
      </c>
      <c r="G468" s="251" t="s">
        <v>16</v>
      </c>
      <c r="H468" s="376">
        <v>2</v>
      </c>
      <c r="I468" s="376">
        <v>2</v>
      </c>
      <c r="J468" s="376">
        <v>3</v>
      </c>
      <c r="K468" s="376">
        <v>3</v>
      </c>
      <c r="L468" s="377">
        <v>2</v>
      </c>
      <c r="M468" s="378">
        <f t="shared" si="14"/>
        <v>0.60108474454521421</v>
      </c>
      <c r="N468" s="255"/>
    </row>
    <row r="469" spans="1:14" hidden="1" x14ac:dyDescent="0.2">
      <c r="A469" s="505" t="s">
        <v>329</v>
      </c>
      <c r="B469" s="459" t="s">
        <v>554</v>
      </c>
      <c r="C469" s="422" t="s">
        <v>50</v>
      </c>
      <c r="D469" s="248" t="s">
        <v>135</v>
      </c>
      <c r="E469" s="249">
        <v>1.873828856964397E-6</v>
      </c>
      <c r="F469" s="374" t="s">
        <v>553</v>
      </c>
      <c r="G469" s="251" t="s">
        <v>16</v>
      </c>
      <c r="H469" s="376">
        <v>2</v>
      </c>
      <c r="I469" s="376">
        <v>2</v>
      </c>
      <c r="J469" s="376">
        <v>3</v>
      </c>
      <c r="K469" s="376">
        <v>3</v>
      </c>
      <c r="L469" s="377">
        <v>2</v>
      </c>
      <c r="M469" s="378">
        <f t="shared" si="14"/>
        <v>0.60108474454521421</v>
      </c>
      <c r="N469" s="255"/>
    </row>
    <row r="470" spans="1:14" hidden="1" x14ac:dyDescent="0.2">
      <c r="A470" s="505" t="s">
        <v>329</v>
      </c>
      <c r="B470" s="653" t="s">
        <v>552</v>
      </c>
      <c r="C470" s="422" t="s">
        <v>52</v>
      </c>
      <c r="D470" s="248" t="s">
        <v>135</v>
      </c>
      <c r="E470" s="249">
        <v>5.7239225484072452E-3</v>
      </c>
      <c r="F470" s="374" t="s">
        <v>553</v>
      </c>
      <c r="G470" s="251" t="s">
        <v>16</v>
      </c>
      <c r="H470" s="376">
        <v>2</v>
      </c>
      <c r="I470" s="376">
        <v>2</v>
      </c>
      <c r="J470" s="376">
        <v>3</v>
      </c>
      <c r="K470" s="376">
        <v>3</v>
      </c>
      <c r="L470" s="377">
        <v>2</v>
      </c>
      <c r="M470" s="378">
        <f t="shared" si="14"/>
        <v>0.60108474454521421</v>
      </c>
      <c r="N470" s="255"/>
    </row>
    <row r="471" spans="1:14" hidden="1" x14ac:dyDescent="0.2">
      <c r="A471" s="505" t="s">
        <v>329</v>
      </c>
      <c r="B471" s="459" t="s">
        <v>554</v>
      </c>
      <c r="C471" s="422" t="s">
        <v>52</v>
      </c>
      <c r="D471" s="248" t="s">
        <v>135</v>
      </c>
      <c r="E471" s="249">
        <v>9.8688319800124927E-6</v>
      </c>
      <c r="F471" s="374" t="s">
        <v>553</v>
      </c>
      <c r="G471" s="251" t="s">
        <v>16</v>
      </c>
      <c r="H471" s="376">
        <v>2</v>
      </c>
      <c r="I471" s="376">
        <v>2</v>
      </c>
      <c r="J471" s="376">
        <v>3</v>
      </c>
      <c r="K471" s="376">
        <v>3</v>
      </c>
      <c r="L471" s="377">
        <v>2</v>
      </c>
      <c r="M471" s="378">
        <f t="shared" si="14"/>
        <v>0.60108474454521421</v>
      </c>
      <c r="N471" s="255"/>
    </row>
    <row r="472" spans="1:14" hidden="1" x14ac:dyDescent="0.2">
      <c r="A472" s="505" t="s">
        <v>329</v>
      </c>
      <c r="B472" s="653" t="s">
        <v>552</v>
      </c>
      <c r="C472" s="422" t="s">
        <v>54</v>
      </c>
      <c r="D472" s="248" t="s">
        <v>135</v>
      </c>
      <c r="E472" s="249">
        <v>5.7239225484072452E-3</v>
      </c>
      <c r="F472" s="374" t="s">
        <v>553</v>
      </c>
      <c r="G472" s="251" t="s">
        <v>16</v>
      </c>
      <c r="H472" s="376">
        <v>2</v>
      </c>
      <c r="I472" s="376">
        <v>2</v>
      </c>
      <c r="J472" s="376">
        <v>3</v>
      </c>
      <c r="K472" s="376">
        <v>3</v>
      </c>
      <c r="L472" s="377">
        <v>2</v>
      </c>
      <c r="M472" s="378">
        <f t="shared" si="14"/>
        <v>0.60108474454521421</v>
      </c>
      <c r="N472" s="255"/>
    </row>
    <row r="473" spans="1:14" hidden="1" x14ac:dyDescent="0.2">
      <c r="A473" s="505" t="s">
        <v>329</v>
      </c>
      <c r="B473" s="459" t="s">
        <v>554</v>
      </c>
      <c r="C473" s="422" t="s">
        <v>54</v>
      </c>
      <c r="D473" s="248" t="s">
        <v>135</v>
      </c>
      <c r="E473" s="249">
        <v>9.8688319800124927E-6</v>
      </c>
      <c r="F473" s="374" t="s">
        <v>553</v>
      </c>
      <c r="G473" s="251" t="s">
        <v>16</v>
      </c>
      <c r="H473" s="376">
        <v>2</v>
      </c>
      <c r="I473" s="376">
        <v>2</v>
      </c>
      <c r="J473" s="376">
        <v>3</v>
      </c>
      <c r="K473" s="376">
        <v>3</v>
      </c>
      <c r="L473" s="377">
        <v>2</v>
      </c>
      <c r="M473" s="378">
        <f t="shared" si="14"/>
        <v>0.60108474454521421</v>
      </c>
      <c r="N473" s="255"/>
    </row>
    <row r="474" spans="1:14" hidden="1" x14ac:dyDescent="0.2">
      <c r="A474" s="505" t="s">
        <v>329</v>
      </c>
      <c r="B474" s="653" t="s">
        <v>552</v>
      </c>
      <c r="C474" s="422" t="s">
        <v>55</v>
      </c>
      <c r="D474" s="248" t="s">
        <v>135</v>
      </c>
      <c r="E474" s="249">
        <v>5.6514678326046218E-3</v>
      </c>
      <c r="F474" s="374" t="s">
        <v>553</v>
      </c>
      <c r="G474" s="251" t="s">
        <v>16</v>
      </c>
      <c r="H474" s="376">
        <v>2</v>
      </c>
      <c r="I474" s="376">
        <v>2</v>
      </c>
      <c r="J474" s="376">
        <v>3</v>
      </c>
      <c r="K474" s="376">
        <v>3</v>
      </c>
      <c r="L474" s="377">
        <v>2</v>
      </c>
      <c r="M474" s="378">
        <f t="shared" si="14"/>
        <v>0.60108474454521421</v>
      </c>
      <c r="N474" s="255"/>
    </row>
    <row r="475" spans="1:14" hidden="1" x14ac:dyDescent="0.2">
      <c r="A475" s="505" t="s">
        <v>329</v>
      </c>
      <c r="B475" s="459" t="s">
        <v>554</v>
      </c>
      <c r="C475" s="422" t="s">
        <v>55</v>
      </c>
      <c r="D475" s="248" t="s">
        <v>135</v>
      </c>
      <c r="E475" s="249">
        <v>9.7439100562148669E-6</v>
      </c>
      <c r="F475" s="374" t="s">
        <v>553</v>
      </c>
      <c r="G475" s="251" t="s">
        <v>16</v>
      </c>
      <c r="H475" s="376">
        <v>2</v>
      </c>
      <c r="I475" s="376">
        <v>2</v>
      </c>
      <c r="J475" s="376">
        <v>3</v>
      </c>
      <c r="K475" s="376">
        <v>3</v>
      </c>
      <c r="L475" s="377">
        <v>2</v>
      </c>
      <c r="M475" s="378">
        <f t="shared" si="14"/>
        <v>0.60108474454521421</v>
      </c>
      <c r="N475" s="255"/>
    </row>
    <row r="476" spans="1:14" hidden="1" x14ac:dyDescent="0.2">
      <c r="A476" s="505" t="s">
        <v>329</v>
      </c>
      <c r="B476" s="653" t="s">
        <v>552</v>
      </c>
      <c r="C476" s="422" t="s">
        <v>57</v>
      </c>
      <c r="D476" s="248" t="s">
        <v>135</v>
      </c>
      <c r="E476" s="249">
        <v>5.9412866958151152E-3</v>
      </c>
      <c r="F476" s="374" t="s">
        <v>553</v>
      </c>
      <c r="G476" s="375" t="s">
        <v>16</v>
      </c>
      <c r="H476" s="376">
        <v>2</v>
      </c>
      <c r="I476" s="376">
        <v>2</v>
      </c>
      <c r="J476" s="376">
        <v>3</v>
      </c>
      <c r="K476" s="376">
        <v>3</v>
      </c>
      <c r="L476" s="377">
        <v>2</v>
      </c>
      <c r="M476" s="254">
        <f t="shared" si="14"/>
        <v>0.60108474454521421</v>
      </c>
      <c r="N476" s="255"/>
    </row>
    <row r="477" spans="1:14" hidden="1" x14ac:dyDescent="0.2">
      <c r="A477" s="505" t="s">
        <v>329</v>
      </c>
      <c r="B477" s="459" t="s">
        <v>554</v>
      </c>
      <c r="C477" s="422" t="s">
        <v>57</v>
      </c>
      <c r="D477" s="248" t="s">
        <v>135</v>
      </c>
      <c r="E477" s="249">
        <v>1.024359775140537E-5</v>
      </c>
      <c r="F477" s="374" t="s">
        <v>553</v>
      </c>
      <c r="G477" s="251" t="s">
        <v>16</v>
      </c>
      <c r="H477" s="376">
        <v>2</v>
      </c>
      <c r="I477" s="376">
        <v>2</v>
      </c>
      <c r="J477" s="376">
        <v>3</v>
      </c>
      <c r="K477" s="376">
        <v>3</v>
      </c>
      <c r="L477" s="377">
        <v>2</v>
      </c>
      <c r="M477" s="378">
        <f t="shared" si="14"/>
        <v>0.60108474454521421</v>
      </c>
      <c r="N477" s="255"/>
    </row>
    <row r="478" spans="1:14" hidden="1" x14ac:dyDescent="0.2">
      <c r="A478" s="505" t="s">
        <v>329</v>
      </c>
      <c r="B478" s="653" t="s">
        <v>552</v>
      </c>
      <c r="C478" s="422" t="s">
        <v>59</v>
      </c>
      <c r="D478" s="248" t="s">
        <v>135</v>
      </c>
      <c r="E478" s="249">
        <v>1.1599999999999999E-2</v>
      </c>
      <c r="F478" s="374" t="s">
        <v>360</v>
      </c>
      <c r="G478" s="375"/>
      <c r="H478" s="376">
        <v>2</v>
      </c>
      <c r="I478" s="376">
        <v>2</v>
      </c>
      <c r="J478" s="376">
        <v>3</v>
      </c>
      <c r="K478" s="376">
        <v>3</v>
      </c>
      <c r="L478" s="377">
        <v>2</v>
      </c>
      <c r="M478" s="254">
        <f t="shared" si="14"/>
        <v>0.60108474454521421</v>
      </c>
      <c r="N478" s="255"/>
    </row>
    <row r="479" spans="1:14" hidden="1" x14ac:dyDescent="0.2">
      <c r="A479" s="505" t="s">
        <v>329</v>
      </c>
      <c r="B479" s="459" t="s">
        <v>554</v>
      </c>
      <c r="C479" s="422" t="s">
        <v>59</v>
      </c>
      <c r="D479" s="248" t="s">
        <v>135</v>
      </c>
      <c r="E479" s="249">
        <v>2.0000000000000002E-5</v>
      </c>
      <c r="F479" s="374" t="s">
        <v>360</v>
      </c>
      <c r="G479" s="251"/>
      <c r="H479" s="376">
        <v>2</v>
      </c>
      <c r="I479" s="376">
        <v>2</v>
      </c>
      <c r="J479" s="376">
        <v>3</v>
      </c>
      <c r="K479" s="376">
        <v>3</v>
      </c>
      <c r="L479" s="377">
        <v>2</v>
      </c>
      <c r="M479" s="378">
        <f t="shared" si="14"/>
        <v>0.60108474454521421</v>
      </c>
      <c r="N479" s="255"/>
    </row>
    <row r="480" spans="1:14" hidden="1" x14ac:dyDescent="0.2">
      <c r="A480" s="505" t="s">
        <v>329</v>
      </c>
      <c r="B480" s="653" t="s">
        <v>552</v>
      </c>
      <c r="C480" s="422" t="s">
        <v>60</v>
      </c>
      <c r="D480" s="248" t="s">
        <v>135</v>
      </c>
      <c r="E480" s="249">
        <v>4.7095565271705183E-3</v>
      </c>
      <c r="F480" s="374" t="s">
        <v>553</v>
      </c>
      <c r="G480" s="375" t="s">
        <v>16</v>
      </c>
      <c r="H480" s="376">
        <v>2</v>
      </c>
      <c r="I480" s="376">
        <v>2</v>
      </c>
      <c r="J480" s="376">
        <v>3</v>
      </c>
      <c r="K480" s="376">
        <v>3</v>
      </c>
      <c r="L480" s="377">
        <v>2</v>
      </c>
      <c r="M480" s="254">
        <f t="shared" si="14"/>
        <v>0.60108474454521421</v>
      </c>
      <c r="N480" s="255"/>
    </row>
    <row r="481" spans="1:14" hidden="1" x14ac:dyDescent="0.2">
      <c r="A481" s="508" t="s">
        <v>329</v>
      </c>
      <c r="B481" s="513" t="s">
        <v>554</v>
      </c>
      <c r="C481" s="427" t="s">
        <v>60</v>
      </c>
      <c r="D481" s="441" t="s">
        <v>135</v>
      </c>
      <c r="E481" s="288">
        <v>8.119925046845723E-6</v>
      </c>
      <c r="F481" s="399" t="s">
        <v>553</v>
      </c>
      <c r="G481" s="290" t="s">
        <v>16</v>
      </c>
      <c r="H481" s="398">
        <v>2</v>
      </c>
      <c r="I481" s="398">
        <v>2</v>
      </c>
      <c r="J481" s="398">
        <v>3</v>
      </c>
      <c r="K481" s="398">
        <v>3</v>
      </c>
      <c r="L481" s="407">
        <v>2</v>
      </c>
      <c r="M481" s="408">
        <f t="shared" si="14"/>
        <v>0.60108474454521421</v>
      </c>
      <c r="N481" s="294"/>
    </row>
    <row r="482" spans="1:14" x14ac:dyDescent="0.2">
      <c r="A482" s="505" t="s">
        <v>337</v>
      </c>
      <c r="B482" s="652" t="s">
        <v>552</v>
      </c>
      <c r="C482" s="422" t="s">
        <v>13</v>
      </c>
      <c r="D482" s="433" t="s">
        <v>135</v>
      </c>
      <c r="E482" s="266">
        <v>1.260712054965646E-2</v>
      </c>
      <c r="F482" s="389" t="s">
        <v>553</v>
      </c>
      <c r="G482" s="390" t="s">
        <v>16</v>
      </c>
      <c r="H482" s="391">
        <v>2</v>
      </c>
      <c r="I482" s="391">
        <v>2</v>
      </c>
      <c r="J482" s="391">
        <v>3</v>
      </c>
      <c r="K482" s="391">
        <v>3</v>
      </c>
      <c r="L482" s="392">
        <v>2</v>
      </c>
      <c r="M482" s="271">
        <f t="shared" si="14"/>
        <v>0.60108474454521421</v>
      </c>
      <c r="N482" s="272"/>
    </row>
    <row r="483" spans="1:14" x14ac:dyDescent="0.2">
      <c r="A483" s="505" t="s">
        <v>337</v>
      </c>
      <c r="B483" s="459" t="s">
        <v>554</v>
      </c>
      <c r="C483" s="422" t="s">
        <v>13</v>
      </c>
      <c r="D483" s="248" t="s">
        <v>135</v>
      </c>
      <c r="E483" s="249">
        <v>2.1736414740787008E-5</v>
      </c>
      <c r="F483" s="374" t="s">
        <v>553</v>
      </c>
      <c r="G483" s="251" t="s">
        <v>16</v>
      </c>
      <c r="H483" s="376">
        <v>2</v>
      </c>
      <c r="I483" s="376">
        <v>2</v>
      </c>
      <c r="J483" s="376">
        <v>3</v>
      </c>
      <c r="K483" s="376">
        <v>3</v>
      </c>
      <c r="L483" s="377">
        <v>2</v>
      </c>
      <c r="M483" s="378">
        <f t="shared" si="14"/>
        <v>0.60108474454521421</v>
      </c>
      <c r="N483" s="255"/>
    </row>
    <row r="484" spans="1:14" hidden="1" x14ac:dyDescent="0.2">
      <c r="A484" s="505" t="s">
        <v>337</v>
      </c>
      <c r="B484" s="653" t="s">
        <v>552</v>
      </c>
      <c r="C484" s="422" t="s">
        <v>18</v>
      </c>
      <c r="D484" s="248" t="s">
        <v>135</v>
      </c>
      <c r="E484" s="249">
        <v>1.101311680199875E-2</v>
      </c>
      <c r="F484" s="374" t="s">
        <v>553</v>
      </c>
      <c r="G484" s="251" t="s">
        <v>16</v>
      </c>
      <c r="H484" s="376">
        <v>2</v>
      </c>
      <c r="I484" s="376">
        <v>2</v>
      </c>
      <c r="J484" s="376">
        <v>3</v>
      </c>
      <c r="K484" s="376">
        <v>3</v>
      </c>
      <c r="L484" s="377">
        <v>2</v>
      </c>
      <c r="M484" s="378">
        <f t="shared" si="14"/>
        <v>0.60108474454521421</v>
      </c>
      <c r="N484" s="255"/>
    </row>
    <row r="485" spans="1:14" hidden="1" x14ac:dyDescent="0.2">
      <c r="A485" s="505" t="s">
        <v>337</v>
      </c>
      <c r="B485" s="459" t="s">
        <v>554</v>
      </c>
      <c r="C485" s="422" t="s">
        <v>18</v>
      </c>
      <c r="D485" s="248" t="s">
        <v>135</v>
      </c>
      <c r="E485" s="249">
        <v>1.8988132417239231E-5</v>
      </c>
      <c r="F485" s="374" t="s">
        <v>553</v>
      </c>
      <c r="G485" s="251" t="s">
        <v>16</v>
      </c>
      <c r="H485" s="376">
        <v>2</v>
      </c>
      <c r="I485" s="376">
        <v>2</v>
      </c>
      <c r="J485" s="376">
        <v>3</v>
      </c>
      <c r="K485" s="376">
        <v>3</v>
      </c>
      <c r="L485" s="377">
        <v>2</v>
      </c>
      <c r="M485" s="378">
        <f t="shared" ref="M485:M515" si="15">IF( OR( ISBLANK(H485),ISBLANK(I485), ISBLANK(J485), ISBLANK(K485), ISBLANK(L485) ), "", 1.5*SQRT( EXP(2.21*(H485-1)) + EXP(2.21*(I485-1)) + EXP(2.21*(J485-1)) + EXP(2.21*(K485-1)) + EXP(2.21*L485) )/100*2.45 )</f>
        <v>0.60108474454521421</v>
      </c>
      <c r="N485" s="255"/>
    </row>
    <row r="486" spans="1:14" hidden="1" x14ac:dyDescent="0.2">
      <c r="A486" s="505" t="s">
        <v>337</v>
      </c>
      <c r="B486" s="653" t="s">
        <v>552</v>
      </c>
      <c r="C486" s="422" t="s">
        <v>20</v>
      </c>
      <c r="D486" s="248" t="s">
        <v>135</v>
      </c>
      <c r="E486" s="249">
        <v>7.2454715802623356E-4</v>
      </c>
      <c r="F486" s="374" t="s">
        <v>553</v>
      </c>
      <c r="G486" s="251" t="s">
        <v>16</v>
      </c>
      <c r="H486" s="376">
        <v>2</v>
      </c>
      <c r="I486" s="376">
        <v>2</v>
      </c>
      <c r="J486" s="376">
        <v>3</v>
      </c>
      <c r="K486" s="376">
        <v>3</v>
      </c>
      <c r="L486" s="377">
        <v>2</v>
      </c>
      <c r="M486" s="378">
        <f t="shared" si="15"/>
        <v>0.60108474454521421</v>
      </c>
      <c r="N486" s="255"/>
    </row>
    <row r="487" spans="1:14" hidden="1" x14ac:dyDescent="0.2">
      <c r="A487" s="505" t="s">
        <v>337</v>
      </c>
      <c r="B487" s="459" t="s">
        <v>554</v>
      </c>
      <c r="C487" s="422" t="s">
        <v>20</v>
      </c>
      <c r="D487" s="248" t="s">
        <v>135</v>
      </c>
      <c r="E487" s="249">
        <v>1.249219237976265E-6</v>
      </c>
      <c r="F487" s="374" t="s">
        <v>553</v>
      </c>
      <c r="G487" s="251" t="s">
        <v>16</v>
      </c>
      <c r="H487" s="376">
        <v>2</v>
      </c>
      <c r="I487" s="376">
        <v>2</v>
      </c>
      <c r="J487" s="376">
        <v>3</v>
      </c>
      <c r="K487" s="376">
        <v>3</v>
      </c>
      <c r="L487" s="377">
        <v>2</v>
      </c>
      <c r="M487" s="378">
        <f t="shared" si="15"/>
        <v>0.60108474454521421</v>
      </c>
      <c r="N487" s="255"/>
    </row>
    <row r="488" spans="1:14" hidden="1" x14ac:dyDescent="0.2">
      <c r="A488" s="505" t="s">
        <v>337</v>
      </c>
      <c r="B488" s="653" t="s">
        <v>552</v>
      </c>
      <c r="C488" s="422" t="s">
        <v>22</v>
      </c>
      <c r="D488" s="248" t="s">
        <v>135</v>
      </c>
      <c r="E488" s="249">
        <v>1.7389131792629609E-3</v>
      </c>
      <c r="F488" s="374" t="s">
        <v>553</v>
      </c>
      <c r="G488" s="251" t="s">
        <v>16</v>
      </c>
      <c r="H488" s="376">
        <v>2</v>
      </c>
      <c r="I488" s="376">
        <v>2</v>
      </c>
      <c r="J488" s="376">
        <v>3</v>
      </c>
      <c r="K488" s="376">
        <v>3</v>
      </c>
      <c r="L488" s="377">
        <v>2</v>
      </c>
      <c r="M488" s="378">
        <f t="shared" si="15"/>
        <v>0.60108474454521421</v>
      </c>
      <c r="N488" s="255"/>
    </row>
    <row r="489" spans="1:14" hidden="1" x14ac:dyDescent="0.2">
      <c r="A489" s="505" t="s">
        <v>337</v>
      </c>
      <c r="B489" s="459" t="s">
        <v>554</v>
      </c>
      <c r="C489" s="422" t="s">
        <v>22</v>
      </c>
      <c r="D489" s="248" t="s">
        <v>135</v>
      </c>
      <c r="E489" s="249">
        <v>2.9981261711430358E-6</v>
      </c>
      <c r="F489" s="374" t="s">
        <v>553</v>
      </c>
      <c r="G489" s="251" t="s">
        <v>16</v>
      </c>
      <c r="H489" s="376">
        <v>2</v>
      </c>
      <c r="I489" s="376">
        <v>2</v>
      </c>
      <c r="J489" s="376">
        <v>3</v>
      </c>
      <c r="K489" s="376">
        <v>3</v>
      </c>
      <c r="L489" s="377">
        <v>2</v>
      </c>
      <c r="M489" s="378">
        <f t="shared" si="15"/>
        <v>0.60108474454521421</v>
      </c>
      <c r="N489" s="255"/>
    </row>
    <row r="490" spans="1:14" hidden="1" x14ac:dyDescent="0.2">
      <c r="A490" s="505" t="s">
        <v>337</v>
      </c>
      <c r="B490" s="653" t="s">
        <v>552</v>
      </c>
      <c r="C490" s="422" t="s">
        <v>23</v>
      </c>
      <c r="D490" s="248" t="s">
        <v>135</v>
      </c>
      <c r="E490" s="249">
        <v>7.9700187382885691E-4</v>
      </c>
      <c r="F490" s="374" t="s">
        <v>553</v>
      </c>
      <c r="G490" s="251" t="s">
        <v>16</v>
      </c>
      <c r="H490" s="376">
        <v>2</v>
      </c>
      <c r="I490" s="376">
        <v>2</v>
      </c>
      <c r="J490" s="376">
        <v>3</v>
      </c>
      <c r="K490" s="376">
        <v>3</v>
      </c>
      <c r="L490" s="377">
        <v>2</v>
      </c>
      <c r="M490" s="378">
        <f t="shared" si="15"/>
        <v>0.60108474454521421</v>
      </c>
      <c r="N490" s="255"/>
    </row>
    <row r="491" spans="1:14" hidden="1" x14ac:dyDescent="0.2">
      <c r="A491" s="505" t="s">
        <v>337</v>
      </c>
      <c r="B491" s="459" t="s">
        <v>554</v>
      </c>
      <c r="C491" s="422" t="s">
        <v>23</v>
      </c>
      <c r="D491" s="248" t="s">
        <v>135</v>
      </c>
      <c r="E491" s="249">
        <v>1.374141161773891E-6</v>
      </c>
      <c r="F491" s="374" t="s">
        <v>553</v>
      </c>
      <c r="G491" s="251" t="s">
        <v>16</v>
      </c>
      <c r="H491" s="376">
        <v>2</v>
      </c>
      <c r="I491" s="376">
        <v>2</v>
      </c>
      <c r="J491" s="376">
        <v>3</v>
      </c>
      <c r="K491" s="376">
        <v>3</v>
      </c>
      <c r="L491" s="377">
        <v>2</v>
      </c>
      <c r="M491" s="378">
        <f t="shared" si="15"/>
        <v>0.60108474454521421</v>
      </c>
      <c r="N491" s="255"/>
    </row>
    <row r="492" spans="1:14" hidden="1" x14ac:dyDescent="0.2">
      <c r="A492" s="505" t="s">
        <v>337</v>
      </c>
      <c r="B492" s="653" t="s">
        <v>552</v>
      </c>
      <c r="C492" s="422" t="s">
        <v>24</v>
      </c>
      <c r="D492" s="248" t="s">
        <v>135</v>
      </c>
      <c r="E492" s="249">
        <v>5.2891942535915051E-3</v>
      </c>
      <c r="F492" s="374" t="s">
        <v>553</v>
      </c>
      <c r="G492" s="251" t="s">
        <v>16</v>
      </c>
      <c r="H492" s="376">
        <v>2</v>
      </c>
      <c r="I492" s="376">
        <v>2</v>
      </c>
      <c r="J492" s="376">
        <v>3</v>
      </c>
      <c r="K492" s="376">
        <v>3</v>
      </c>
      <c r="L492" s="377">
        <v>2</v>
      </c>
      <c r="M492" s="378">
        <f t="shared" si="15"/>
        <v>0.60108474454521421</v>
      </c>
      <c r="N492" s="255"/>
    </row>
    <row r="493" spans="1:14" hidden="1" x14ac:dyDescent="0.2">
      <c r="A493" s="505" t="s">
        <v>337</v>
      </c>
      <c r="B493" s="459" t="s">
        <v>554</v>
      </c>
      <c r="C493" s="422" t="s">
        <v>24</v>
      </c>
      <c r="D493" s="248" t="s">
        <v>135</v>
      </c>
      <c r="E493" s="249">
        <v>9.1193004372267345E-6</v>
      </c>
      <c r="F493" s="374" t="s">
        <v>553</v>
      </c>
      <c r="G493" s="251" t="s">
        <v>16</v>
      </c>
      <c r="H493" s="376">
        <v>2</v>
      </c>
      <c r="I493" s="376">
        <v>2</v>
      </c>
      <c r="J493" s="376">
        <v>3</v>
      </c>
      <c r="K493" s="376">
        <v>3</v>
      </c>
      <c r="L493" s="377">
        <v>2</v>
      </c>
      <c r="M493" s="378">
        <f t="shared" si="15"/>
        <v>0.60108474454521421</v>
      </c>
      <c r="N493" s="255"/>
    </row>
    <row r="494" spans="1:14" hidden="1" x14ac:dyDescent="0.2">
      <c r="A494" s="505" t="s">
        <v>337</v>
      </c>
      <c r="B494" s="653" t="s">
        <v>552</v>
      </c>
      <c r="C494" s="422" t="s">
        <v>25</v>
      </c>
      <c r="D494" s="248" t="s">
        <v>135</v>
      </c>
      <c r="E494" s="249">
        <v>1.4635852592129919E-2</v>
      </c>
      <c r="F494" s="374" t="s">
        <v>553</v>
      </c>
      <c r="G494" s="251" t="s">
        <v>16</v>
      </c>
      <c r="H494" s="376">
        <v>2</v>
      </c>
      <c r="I494" s="376">
        <v>2</v>
      </c>
      <c r="J494" s="376">
        <v>3</v>
      </c>
      <c r="K494" s="376">
        <v>3</v>
      </c>
      <c r="L494" s="377">
        <v>2</v>
      </c>
      <c r="M494" s="378">
        <f t="shared" si="15"/>
        <v>0.60108474454521421</v>
      </c>
      <c r="N494" s="255"/>
    </row>
    <row r="495" spans="1:14" hidden="1" x14ac:dyDescent="0.2">
      <c r="A495" s="505" t="s">
        <v>337</v>
      </c>
      <c r="B495" s="459" t="s">
        <v>554</v>
      </c>
      <c r="C495" s="422" t="s">
        <v>25</v>
      </c>
      <c r="D495" s="248" t="s">
        <v>135</v>
      </c>
      <c r="E495" s="249">
        <v>2.5234228607120551E-5</v>
      </c>
      <c r="F495" s="374" t="s">
        <v>553</v>
      </c>
      <c r="G495" s="251" t="s">
        <v>16</v>
      </c>
      <c r="H495" s="376">
        <v>2</v>
      </c>
      <c r="I495" s="376">
        <v>2</v>
      </c>
      <c r="J495" s="376">
        <v>3</v>
      </c>
      <c r="K495" s="376">
        <v>3</v>
      </c>
      <c r="L495" s="377">
        <v>2</v>
      </c>
      <c r="M495" s="378">
        <f t="shared" si="15"/>
        <v>0.60108474454521421</v>
      </c>
      <c r="N495" s="255"/>
    </row>
    <row r="496" spans="1:14" hidden="1" x14ac:dyDescent="0.2">
      <c r="A496" s="505" t="s">
        <v>337</v>
      </c>
      <c r="B496" s="653" t="s">
        <v>552</v>
      </c>
      <c r="C496" s="422" t="s">
        <v>26</v>
      </c>
      <c r="D496" s="248" t="s">
        <v>135</v>
      </c>
      <c r="E496" s="249">
        <v>1.08682073703935E-3</v>
      </c>
      <c r="F496" s="374" t="s">
        <v>553</v>
      </c>
      <c r="G496" s="251" t="s">
        <v>16</v>
      </c>
      <c r="H496" s="376">
        <v>2</v>
      </c>
      <c r="I496" s="376">
        <v>2</v>
      </c>
      <c r="J496" s="376">
        <v>3</v>
      </c>
      <c r="K496" s="376">
        <v>3</v>
      </c>
      <c r="L496" s="377">
        <v>2</v>
      </c>
      <c r="M496" s="378">
        <f t="shared" si="15"/>
        <v>0.60108474454521421</v>
      </c>
      <c r="N496" s="255"/>
    </row>
    <row r="497" spans="1:14" hidden="1" x14ac:dyDescent="0.2">
      <c r="A497" s="505" t="s">
        <v>337</v>
      </c>
      <c r="B497" s="459" t="s">
        <v>554</v>
      </c>
      <c r="C497" s="422" t="s">
        <v>26</v>
      </c>
      <c r="D497" s="248" t="s">
        <v>135</v>
      </c>
      <c r="E497" s="249">
        <v>1.873828856964397E-6</v>
      </c>
      <c r="F497" s="374" t="s">
        <v>553</v>
      </c>
      <c r="G497" s="251" t="s">
        <v>16</v>
      </c>
      <c r="H497" s="376">
        <v>2</v>
      </c>
      <c r="I497" s="376">
        <v>2</v>
      </c>
      <c r="J497" s="376">
        <v>3</v>
      </c>
      <c r="K497" s="376">
        <v>3</v>
      </c>
      <c r="L497" s="377">
        <v>2</v>
      </c>
      <c r="M497" s="378">
        <f t="shared" si="15"/>
        <v>0.60108474454521421</v>
      </c>
      <c r="N497" s="255"/>
    </row>
    <row r="498" spans="1:14" hidden="1" x14ac:dyDescent="0.2">
      <c r="A498" s="505" t="s">
        <v>337</v>
      </c>
      <c r="B498" s="653" t="s">
        <v>552</v>
      </c>
      <c r="C498" s="422" t="s">
        <v>27</v>
      </c>
      <c r="D498" s="248" t="s">
        <v>135</v>
      </c>
      <c r="E498" s="249">
        <v>5.5790131168019976E-3</v>
      </c>
      <c r="F498" s="374" t="s">
        <v>553</v>
      </c>
      <c r="G498" s="251" t="s">
        <v>16</v>
      </c>
      <c r="H498" s="376">
        <v>2</v>
      </c>
      <c r="I498" s="376">
        <v>2</v>
      </c>
      <c r="J498" s="376">
        <v>3</v>
      </c>
      <c r="K498" s="376">
        <v>3</v>
      </c>
      <c r="L498" s="377">
        <v>2</v>
      </c>
      <c r="M498" s="378">
        <f t="shared" si="15"/>
        <v>0.60108474454521421</v>
      </c>
      <c r="N498" s="255"/>
    </row>
    <row r="499" spans="1:14" hidden="1" x14ac:dyDescent="0.2">
      <c r="A499" s="505" t="s">
        <v>337</v>
      </c>
      <c r="B499" s="459" t="s">
        <v>554</v>
      </c>
      <c r="C499" s="422" t="s">
        <v>27</v>
      </c>
      <c r="D499" s="248" t="s">
        <v>135</v>
      </c>
      <c r="E499" s="249">
        <v>9.6189881324172411E-6</v>
      </c>
      <c r="F499" s="374" t="s">
        <v>553</v>
      </c>
      <c r="G499" s="251" t="s">
        <v>16</v>
      </c>
      <c r="H499" s="376">
        <v>2</v>
      </c>
      <c r="I499" s="376">
        <v>2</v>
      </c>
      <c r="J499" s="376">
        <v>3</v>
      </c>
      <c r="K499" s="376">
        <v>3</v>
      </c>
      <c r="L499" s="377">
        <v>2</v>
      </c>
      <c r="M499" s="378">
        <f t="shared" si="15"/>
        <v>0.60108474454521421</v>
      </c>
      <c r="N499" s="255"/>
    </row>
    <row r="500" spans="1:14" hidden="1" x14ac:dyDescent="0.2">
      <c r="A500" s="505" t="s">
        <v>337</v>
      </c>
      <c r="B500" s="653" t="s">
        <v>552</v>
      </c>
      <c r="C500" s="422" t="s">
        <v>28</v>
      </c>
      <c r="D500" s="248" t="s">
        <v>135</v>
      </c>
      <c r="E500" s="249">
        <v>7.5352904434728297E-3</v>
      </c>
      <c r="F500" s="374" t="s">
        <v>553</v>
      </c>
      <c r="G500" s="251" t="s">
        <v>16</v>
      </c>
      <c r="H500" s="376">
        <v>2</v>
      </c>
      <c r="I500" s="376">
        <v>2</v>
      </c>
      <c r="J500" s="376">
        <v>3</v>
      </c>
      <c r="K500" s="376">
        <v>3</v>
      </c>
      <c r="L500" s="377">
        <v>2</v>
      </c>
      <c r="M500" s="378">
        <f t="shared" si="15"/>
        <v>0.60108474454521421</v>
      </c>
      <c r="N500" s="255"/>
    </row>
    <row r="501" spans="1:14" hidden="1" x14ac:dyDescent="0.2">
      <c r="A501" s="505" t="s">
        <v>337</v>
      </c>
      <c r="B501" s="459" t="s">
        <v>554</v>
      </c>
      <c r="C501" s="422" t="s">
        <v>28</v>
      </c>
      <c r="D501" s="248" t="s">
        <v>135</v>
      </c>
      <c r="E501" s="249">
        <v>1.299188007495316E-5</v>
      </c>
      <c r="F501" s="374" t="s">
        <v>553</v>
      </c>
      <c r="G501" s="251" t="s">
        <v>16</v>
      </c>
      <c r="H501" s="376">
        <v>2</v>
      </c>
      <c r="I501" s="376">
        <v>2</v>
      </c>
      <c r="J501" s="376">
        <v>3</v>
      </c>
      <c r="K501" s="376">
        <v>3</v>
      </c>
      <c r="L501" s="377">
        <v>2</v>
      </c>
      <c r="M501" s="378">
        <f t="shared" si="15"/>
        <v>0.60108474454521421</v>
      </c>
      <c r="N501" s="255"/>
    </row>
    <row r="502" spans="1:14" hidden="1" x14ac:dyDescent="0.2">
      <c r="A502" s="505" t="s">
        <v>337</v>
      </c>
      <c r="B502" s="653" t="s">
        <v>552</v>
      </c>
      <c r="C502" s="422" t="s">
        <v>30</v>
      </c>
      <c r="D502" s="248" t="s">
        <v>135</v>
      </c>
      <c r="E502" s="249">
        <v>1.079575265459088E-2</v>
      </c>
      <c r="F502" s="374" t="s">
        <v>553</v>
      </c>
      <c r="G502" s="251" t="s">
        <v>16</v>
      </c>
      <c r="H502" s="376">
        <v>2</v>
      </c>
      <c r="I502" s="376">
        <v>2</v>
      </c>
      <c r="J502" s="376">
        <v>3</v>
      </c>
      <c r="K502" s="376">
        <v>3</v>
      </c>
      <c r="L502" s="377">
        <v>2</v>
      </c>
      <c r="M502" s="378">
        <f t="shared" si="15"/>
        <v>0.60108474454521421</v>
      </c>
      <c r="N502" s="255"/>
    </row>
    <row r="503" spans="1:14" hidden="1" x14ac:dyDescent="0.2">
      <c r="A503" s="505" t="s">
        <v>337</v>
      </c>
      <c r="B503" s="459" t="s">
        <v>554</v>
      </c>
      <c r="C503" s="422" t="s">
        <v>30</v>
      </c>
      <c r="D503" s="248" t="s">
        <v>135</v>
      </c>
      <c r="E503" s="249">
        <v>1.861336664584635E-5</v>
      </c>
      <c r="F503" s="374" t="s">
        <v>553</v>
      </c>
      <c r="G503" s="251" t="s">
        <v>16</v>
      </c>
      <c r="H503" s="376">
        <v>2</v>
      </c>
      <c r="I503" s="376">
        <v>2</v>
      </c>
      <c r="J503" s="376">
        <v>3</v>
      </c>
      <c r="K503" s="376">
        <v>3</v>
      </c>
      <c r="L503" s="377">
        <v>2</v>
      </c>
      <c r="M503" s="378">
        <f t="shared" si="15"/>
        <v>0.60108474454521421</v>
      </c>
      <c r="N503" s="255"/>
    </row>
    <row r="504" spans="1:14" hidden="1" x14ac:dyDescent="0.2">
      <c r="A504" s="505" t="s">
        <v>337</v>
      </c>
      <c r="B504" s="653" t="s">
        <v>552</v>
      </c>
      <c r="C504" s="422" t="s">
        <v>32</v>
      </c>
      <c r="D504" s="248" t="s">
        <v>135</v>
      </c>
      <c r="E504" s="249">
        <v>5.7963772642098687E-4</v>
      </c>
      <c r="F504" s="374" t="s">
        <v>553</v>
      </c>
      <c r="G504" s="251" t="s">
        <v>16</v>
      </c>
      <c r="H504" s="376">
        <v>2</v>
      </c>
      <c r="I504" s="376">
        <v>2</v>
      </c>
      <c r="J504" s="376">
        <v>3</v>
      </c>
      <c r="K504" s="376">
        <v>3</v>
      </c>
      <c r="L504" s="377">
        <v>2</v>
      </c>
      <c r="M504" s="378">
        <f t="shared" si="15"/>
        <v>0.60108474454521421</v>
      </c>
      <c r="N504" s="255"/>
    </row>
    <row r="505" spans="1:14" hidden="1" x14ac:dyDescent="0.2">
      <c r="A505" s="505" t="s">
        <v>337</v>
      </c>
      <c r="B505" s="459" t="s">
        <v>554</v>
      </c>
      <c r="C505" s="422" t="s">
        <v>32</v>
      </c>
      <c r="D505" s="248" t="s">
        <v>135</v>
      </c>
      <c r="E505" s="249">
        <v>9.9937539038101194E-7</v>
      </c>
      <c r="F505" s="374" t="s">
        <v>553</v>
      </c>
      <c r="G505" s="251" t="s">
        <v>16</v>
      </c>
      <c r="H505" s="376">
        <v>2</v>
      </c>
      <c r="I505" s="376">
        <v>2</v>
      </c>
      <c r="J505" s="376">
        <v>3</v>
      </c>
      <c r="K505" s="376">
        <v>3</v>
      </c>
      <c r="L505" s="377">
        <v>2</v>
      </c>
      <c r="M505" s="378">
        <f t="shared" si="15"/>
        <v>0.60108474454521421</v>
      </c>
      <c r="N505" s="255"/>
    </row>
    <row r="506" spans="1:14" hidden="1" x14ac:dyDescent="0.2">
      <c r="A506" s="505" t="s">
        <v>337</v>
      </c>
      <c r="B506" s="653" t="s">
        <v>552</v>
      </c>
      <c r="C506" s="422" t="s">
        <v>34</v>
      </c>
      <c r="D506" s="248" t="s">
        <v>135</v>
      </c>
      <c r="E506" s="249">
        <v>2.8257339163023109E-3</v>
      </c>
      <c r="F506" s="374" t="s">
        <v>553</v>
      </c>
      <c r="G506" s="251" t="s">
        <v>16</v>
      </c>
      <c r="H506" s="376">
        <v>2</v>
      </c>
      <c r="I506" s="376">
        <v>2</v>
      </c>
      <c r="J506" s="376">
        <v>3</v>
      </c>
      <c r="K506" s="376">
        <v>3</v>
      </c>
      <c r="L506" s="377">
        <v>2</v>
      </c>
      <c r="M506" s="378">
        <f t="shared" si="15"/>
        <v>0.60108474454521421</v>
      </c>
      <c r="N506" s="255"/>
    </row>
    <row r="507" spans="1:14" hidden="1" x14ac:dyDescent="0.2">
      <c r="A507" s="505" t="s">
        <v>337</v>
      </c>
      <c r="B507" s="459" t="s">
        <v>554</v>
      </c>
      <c r="C507" s="422" t="s">
        <v>34</v>
      </c>
      <c r="D507" s="248" t="s">
        <v>135</v>
      </c>
      <c r="E507" s="249">
        <v>4.8719550281074326E-6</v>
      </c>
      <c r="F507" s="374" t="s">
        <v>553</v>
      </c>
      <c r="G507" s="251" t="s">
        <v>16</v>
      </c>
      <c r="H507" s="376">
        <v>2</v>
      </c>
      <c r="I507" s="376">
        <v>2</v>
      </c>
      <c r="J507" s="376">
        <v>3</v>
      </c>
      <c r="K507" s="376">
        <v>3</v>
      </c>
      <c r="L507" s="377">
        <v>2</v>
      </c>
      <c r="M507" s="378">
        <f t="shared" si="15"/>
        <v>0.60108474454521421</v>
      </c>
      <c r="N507" s="255"/>
    </row>
    <row r="508" spans="1:14" hidden="1" x14ac:dyDescent="0.2">
      <c r="A508" s="505" t="s">
        <v>337</v>
      </c>
      <c r="B508" s="653" t="s">
        <v>552</v>
      </c>
      <c r="C508" s="422" t="s">
        <v>36</v>
      </c>
      <c r="D508" s="248" t="s">
        <v>135</v>
      </c>
      <c r="E508" s="249">
        <v>4.7820112429731417E-3</v>
      </c>
      <c r="F508" s="374" t="s">
        <v>553</v>
      </c>
      <c r="G508" s="251" t="s">
        <v>16</v>
      </c>
      <c r="H508" s="376">
        <v>2</v>
      </c>
      <c r="I508" s="376">
        <v>2</v>
      </c>
      <c r="J508" s="376">
        <v>3</v>
      </c>
      <c r="K508" s="376">
        <v>3</v>
      </c>
      <c r="L508" s="377">
        <v>2</v>
      </c>
      <c r="M508" s="378">
        <f t="shared" si="15"/>
        <v>0.60108474454521421</v>
      </c>
      <c r="N508" s="255"/>
    </row>
    <row r="509" spans="1:14" hidden="1" x14ac:dyDescent="0.2">
      <c r="A509" s="505" t="s">
        <v>337</v>
      </c>
      <c r="B509" s="459" t="s">
        <v>554</v>
      </c>
      <c r="C509" s="422" t="s">
        <v>36</v>
      </c>
      <c r="D509" s="248" t="s">
        <v>135</v>
      </c>
      <c r="E509" s="249">
        <v>8.2448469706433488E-6</v>
      </c>
      <c r="F509" s="374" t="s">
        <v>553</v>
      </c>
      <c r="G509" s="251" t="s">
        <v>16</v>
      </c>
      <c r="H509" s="376">
        <v>2</v>
      </c>
      <c r="I509" s="376">
        <v>2</v>
      </c>
      <c r="J509" s="376">
        <v>3</v>
      </c>
      <c r="K509" s="376">
        <v>3</v>
      </c>
      <c r="L509" s="377">
        <v>2</v>
      </c>
      <c r="M509" s="378">
        <f t="shared" si="15"/>
        <v>0.60108474454521421</v>
      </c>
      <c r="N509" s="255"/>
    </row>
    <row r="510" spans="1:14" hidden="1" x14ac:dyDescent="0.2">
      <c r="A510" s="505" t="s">
        <v>337</v>
      </c>
      <c r="B510" s="653" t="s">
        <v>552</v>
      </c>
      <c r="C510" s="422" t="s">
        <v>37</v>
      </c>
      <c r="D510" s="248" t="s">
        <v>135</v>
      </c>
      <c r="E510" s="249">
        <v>8.9119300437226733E-3</v>
      </c>
      <c r="F510" s="374" t="s">
        <v>553</v>
      </c>
      <c r="G510" s="251" t="s">
        <v>16</v>
      </c>
      <c r="H510" s="376">
        <v>2</v>
      </c>
      <c r="I510" s="376">
        <v>2</v>
      </c>
      <c r="J510" s="376">
        <v>3</v>
      </c>
      <c r="K510" s="376">
        <v>3</v>
      </c>
      <c r="L510" s="377">
        <v>2</v>
      </c>
      <c r="M510" s="378">
        <f t="shared" si="15"/>
        <v>0.60108474454521421</v>
      </c>
      <c r="N510" s="255"/>
    </row>
    <row r="511" spans="1:14" hidden="1" x14ac:dyDescent="0.2">
      <c r="A511" s="505" t="s">
        <v>337</v>
      </c>
      <c r="B511" s="459" t="s">
        <v>554</v>
      </c>
      <c r="C511" s="422" t="s">
        <v>37</v>
      </c>
      <c r="D511" s="248" t="s">
        <v>135</v>
      </c>
      <c r="E511" s="249">
        <v>1.5365396627108059E-5</v>
      </c>
      <c r="F511" s="374" t="s">
        <v>553</v>
      </c>
      <c r="G511" s="251" t="s">
        <v>16</v>
      </c>
      <c r="H511" s="376">
        <v>2</v>
      </c>
      <c r="I511" s="376">
        <v>2</v>
      </c>
      <c r="J511" s="376">
        <v>3</v>
      </c>
      <c r="K511" s="376">
        <v>3</v>
      </c>
      <c r="L511" s="377">
        <v>2</v>
      </c>
      <c r="M511" s="378">
        <f t="shared" si="15"/>
        <v>0.60108474454521421</v>
      </c>
      <c r="N511" s="255"/>
    </row>
    <row r="512" spans="1:14" hidden="1" x14ac:dyDescent="0.2">
      <c r="A512" s="505" t="s">
        <v>337</v>
      </c>
      <c r="B512" s="653" t="s">
        <v>552</v>
      </c>
      <c r="C512" s="422" t="s">
        <v>39</v>
      </c>
      <c r="D512" s="248" t="s">
        <v>135</v>
      </c>
      <c r="E512" s="249">
        <v>2.6808244846970638E-3</v>
      </c>
      <c r="F512" s="374" t="s">
        <v>553</v>
      </c>
      <c r="G512" s="251" t="s">
        <v>16</v>
      </c>
      <c r="H512" s="376">
        <v>2</v>
      </c>
      <c r="I512" s="376">
        <v>2</v>
      </c>
      <c r="J512" s="376">
        <v>3</v>
      </c>
      <c r="K512" s="376">
        <v>3</v>
      </c>
      <c r="L512" s="377">
        <v>2</v>
      </c>
      <c r="M512" s="378">
        <f t="shared" si="15"/>
        <v>0.60108474454521421</v>
      </c>
      <c r="N512" s="255"/>
    </row>
    <row r="513" spans="1:14" hidden="1" x14ac:dyDescent="0.2">
      <c r="A513" s="505" t="s">
        <v>337</v>
      </c>
      <c r="B513" s="459" t="s">
        <v>554</v>
      </c>
      <c r="C513" s="422" t="s">
        <v>39</v>
      </c>
      <c r="D513" s="248" t="s">
        <v>135</v>
      </c>
      <c r="E513" s="249">
        <v>4.6221111805121802E-6</v>
      </c>
      <c r="F513" s="374" t="s">
        <v>553</v>
      </c>
      <c r="G513" s="251" t="s">
        <v>16</v>
      </c>
      <c r="H513" s="376">
        <v>2</v>
      </c>
      <c r="I513" s="376">
        <v>2</v>
      </c>
      <c r="J513" s="376">
        <v>3</v>
      </c>
      <c r="K513" s="376">
        <v>3</v>
      </c>
      <c r="L513" s="377">
        <v>2</v>
      </c>
      <c r="M513" s="378">
        <f t="shared" si="15"/>
        <v>0.60108474454521421</v>
      </c>
      <c r="N513" s="255"/>
    </row>
    <row r="514" spans="1:14" hidden="1" x14ac:dyDescent="0.2">
      <c r="A514" s="505" t="s">
        <v>337</v>
      </c>
      <c r="B514" s="653" t="s">
        <v>552</v>
      </c>
      <c r="C514" s="422" t="s">
        <v>40</v>
      </c>
      <c r="D514" s="248" t="s">
        <v>135</v>
      </c>
      <c r="E514" s="249">
        <v>7.390381011867583E-3</v>
      </c>
      <c r="F514" s="374" t="s">
        <v>553</v>
      </c>
      <c r="G514" s="251" t="s">
        <v>16</v>
      </c>
      <c r="H514" s="376">
        <v>2</v>
      </c>
      <c r="I514" s="376">
        <v>2</v>
      </c>
      <c r="J514" s="376">
        <v>3</v>
      </c>
      <c r="K514" s="376">
        <v>3</v>
      </c>
      <c r="L514" s="377">
        <v>2</v>
      </c>
      <c r="M514" s="378">
        <f t="shared" si="15"/>
        <v>0.60108474454521421</v>
      </c>
      <c r="N514" s="255"/>
    </row>
    <row r="515" spans="1:14" hidden="1" x14ac:dyDescent="0.2">
      <c r="A515" s="505" t="s">
        <v>337</v>
      </c>
      <c r="B515" s="459" t="s">
        <v>554</v>
      </c>
      <c r="C515" s="422" t="s">
        <v>40</v>
      </c>
      <c r="D515" s="248" t="s">
        <v>135</v>
      </c>
      <c r="E515" s="249">
        <v>1.27420362273579E-5</v>
      </c>
      <c r="F515" s="374" t="s">
        <v>553</v>
      </c>
      <c r="G515" s="251" t="s">
        <v>16</v>
      </c>
      <c r="H515" s="376">
        <v>2</v>
      </c>
      <c r="I515" s="376">
        <v>2</v>
      </c>
      <c r="J515" s="376">
        <v>3</v>
      </c>
      <c r="K515" s="376">
        <v>3</v>
      </c>
      <c r="L515" s="377">
        <v>2</v>
      </c>
      <c r="M515" s="378">
        <f t="shared" si="15"/>
        <v>0.60108474454521421</v>
      </c>
      <c r="N515" s="255"/>
    </row>
    <row r="516" spans="1:14" hidden="1" x14ac:dyDescent="0.2">
      <c r="A516" s="505" t="s">
        <v>337</v>
      </c>
      <c r="B516" s="653" t="s">
        <v>552</v>
      </c>
      <c r="C516" s="422" t="s">
        <v>41</v>
      </c>
      <c r="D516" s="248" t="s">
        <v>135</v>
      </c>
      <c r="E516" s="249">
        <v>1.4490943160524671E-2</v>
      </c>
      <c r="F516" s="374" t="s">
        <v>553</v>
      </c>
      <c r="G516" s="251" t="s">
        <v>16</v>
      </c>
      <c r="H516" s="376">
        <v>2</v>
      </c>
      <c r="I516" s="376">
        <v>2</v>
      </c>
      <c r="J516" s="376">
        <v>3</v>
      </c>
      <c r="K516" s="376">
        <v>3</v>
      </c>
      <c r="L516" s="377">
        <v>2</v>
      </c>
      <c r="M516" s="378">
        <f>IF( OR( ISBLANK(H516),ISBLANK(I516), ISBLANK(J516), ISBLANK(K516), ISBLANK(L516) ), "", 1.5*SQRT(   EXP(2.21*(H516-1)) + EXP(2.21*(I516-1)) + EXP(2.21*(J516-1)) + EXP(2.21*(K516-1)) + EXP(2.21*L516)   )/100*2.45 )</f>
        <v>0.60108474454521421</v>
      </c>
      <c r="N516" s="255"/>
    </row>
    <row r="517" spans="1:14" hidden="1" x14ac:dyDescent="0.2">
      <c r="A517" s="505" t="s">
        <v>337</v>
      </c>
      <c r="B517" s="459" t="s">
        <v>554</v>
      </c>
      <c r="C517" s="422" t="s">
        <v>41</v>
      </c>
      <c r="D517" s="248" t="s">
        <v>135</v>
      </c>
      <c r="E517" s="249">
        <v>2.49843847595253E-5</v>
      </c>
      <c r="F517" s="374" t="s">
        <v>553</v>
      </c>
      <c r="G517" s="251" t="s">
        <v>16</v>
      </c>
      <c r="H517" s="376">
        <v>2</v>
      </c>
      <c r="I517" s="376">
        <v>2</v>
      </c>
      <c r="J517" s="376">
        <v>3</v>
      </c>
      <c r="K517" s="376">
        <v>3</v>
      </c>
      <c r="L517" s="377">
        <v>2</v>
      </c>
      <c r="M517" s="378">
        <f t="shared" ref="M517:M548" si="16">IF( OR( ISBLANK(H517),ISBLANK(I517), ISBLANK(J517), ISBLANK(K517), ISBLANK(L517) ), "", 1.5*SQRT( EXP(2.21*(H517-1)) + EXP(2.21*(I517-1)) + EXP(2.21*(J517-1)) + EXP(2.21*(K517-1)) + EXP(2.21*L517) )/100*2.45 )</f>
        <v>0.60108474454521421</v>
      </c>
      <c r="N517" s="255"/>
    </row>
    <row r="518" spans="1:14" hidden="1" x14ac:dyDescent="0.2">
      <c r="A518" s="505" t="s">
        <v>337</v>
      </c>
      <c r="B518" s="653" t="s">
        <v>552</v>
      </c>
      <c r="C518" s="422" t="s">
        <v>42</v>
      </c>
      <c r="D518" s="248" t="s">
        <v>135</v>
      </c>
      <c r="E518" s="249">
        <v>3.7676452217364148E-3</v>
      </c>
      <c r="F518" s="374" t="s">
        <v>553</v>
      </c>
      <c r="G518" s="251" t="s">
        <v>16</v>
      </c>
      <c r="H518" s="376">
        <v>2</v>
      </c>
      <c r="I518" s="376">
        <v>2</v>
      </c>
      <c r="J518" s="376">
        <v>3</v>
      </c>
      <c r="K518" s="376">
        <v>3</v>
      </c>
      <c r="L518" s="377">
        <v>2</v>
      </c>
      <c r="M518" s="378">
        <f t="shared" si="16"/>
        <v>0.60108474454521421</v>
      </c>
      <c r="N518" s="255"/>
    </row>
    <row r="519" spans="1:14" hidden="1" x14ac:dyDescent="0.2">
      <c r="A519" s="505" t="s">
        <v>337</v>
      </c>
      <c r="B519" s="459" t="s">
        <v>554</v>
      </c>
      <c r="C519" s="422" t="s">
        <v>42</v>
      </c>
      <c r="D519" s="248" t="s">
        <v>135</v>
      </c>
      <c r="E519" s="249">
        <v>6.4959400374765782E-6</v>
      </c>
      <c r="F519" s="374" t="s">
        <v>553</v>
      </c>
      <c r="G519" s="251" t="s">
        <v>16</v>
      </c>
      <c r="H519" s="376">
        <v>2</v>
      </c>
      <c r="I519" s="376">
        <v>2</v>
      </c>
      <c r="J519" s="376">
        <v>3</v>
      </c>
      <c r="K519" s="376">
        <v>3</v>
      </c>
      <c r="L519" s="377">
        <v>2</v>
      </c>
      <c r="M519" s="378">
        <f t="shared" si="16"/>
        <v>0.60108474454521421</v>
      </c>
      <c r="N519" s="255"/>
    </row>
    <row r="520" spans="1:14" hidden="1" x14ac:dyDescent="0.2">
      <c r="A520" s="505" t="s">
        <v>337</v>
      </c>
      <c r="B520" s="653" t="s">
        <v>552</v>
      </c>
      <c r="C520" s="422" t="s">
        <v>43</v>
      </c>
      <c r="D520" s="248" t="s">
        <v>135</v>
      </c>
      <c r="E520" s="249">
        <v>6.2311055590256086E-3</v>
      </c>
      <c r="F520" s="374" t="s">
        <v>553</v>
      </c>
      <c r="G520" s="251" t="s">
        <v>16</v>
      </c>
      <c r="H520" s="376">
        <v>2</v>
      </c>
      <c r="I520" s="376">
        <v>2</v>
      </c>
      <c r="J520" s="376">
        <v>3</v>
      </c>
      <c r="K520" s="376">
        <v>3</v>
      </c>
      <c r="L520" s="377">
        <v>2</v>
      </c>
      <c r="M520" s="378">
        <f t="shared" si="16"/>
        <v>0.60108474454521421</v>
      </c>
      <c r="N520" s="255"/>
    </row>
    <row r="521" spans="1:14" hidden="1" x14ac:dyDescent="0.2">
      <c r="A521" s="505" t="s">
        <v>337</v>
      </c>
      <c r="B521" s="459" t="s">
        <v>554</v>
      </c>
      <c r="C521" s="422" t="s">
        <v>43</v>
      </c>
      <c r="D521" s="248" t="s">
        <v>135</v>
      </c>
      <c r="E521" s="249">
        <v>1.074328544659588E-5</v>
      </c>
      <c r="F521" s="374" t="s">
        <v>553</v>
      </c>
      <c r="G521" s="251" t="s">
        <v>16</v>
      </c>
      <c r="H521" s="376">
        <v>2</v>
      </c>
      <c r="I521" s="376">
        <v>2</v>
      </c>
      <c r="J521" s="376">
        <v>3</v>
      </c>
      <c r="K521" s="376">
        <v>3</v>
      </c>
      <c r="L521" s="377">
        <v>2</v>
      </c>
      <c r="M521" s="378">
        <f t="shared" si="16"/>
        <v>0.60108474454521421</v>
      </c>
      <c r="N521" s="255"/>
    </row>
    <row r="522" spans="1:14" hidden="1" x14ac:dyDescent="0.2">
      <c r="A522" s="505" t="s">
        <v>337</v>
      </c>
      <c r="B522" s="653" t="s">
        <v>552</v>
      </c>
      <c r="C522" s="422" t="s">
        <v>45</v>
      </c>
      <c r="D522" s="248" t="s">
        <v>135</v>
      </c>
      <c r="E522" s="249">
        <v>1.08682073703935E-3</v>
      </c>
      <c r="F522" s="374" t="s">
        <v>553</v>
      </c>
      <c r="G522" s="251" t="s">
        <v>16</v>
      </c>
      <c r="H522" s="376">
        <v>2</v>
      </c>
      <c r="I522" s="376">
        <v>2</v>
      </c>
      <c r="J522" s="376">
        <v>3</v>
      </c>
      <c r="K522" s="376">
        <v>3</v>
      </c>
      <c r="L522" s="377">
        <v>2</v>
      </c>
      <c r="M522" s="378">
        <f t="shared" si="16"/>
        <v>0.60108474454521421</v>
      </c>
      <c r="N522" s="255"/>
    </row>
    <row r="523" spans="1:14" hidden="1" x14ac:dyDescent="0.2">
      <c r="A523" s="505" t="s">
        <v>337</v>
      </c>
      <c r="B523" s="459" t="s">
        <v>554</v>
      </c>
      <c r="C523" s="422" t="s">
        <v>45</v>
      </c>
      <c r="D523" s="248" t="s">
        <v>135</v>
      </c>
      <c r="E523" s="249">
        <v>1.873828856964397E-6</v>
      </c>
      <c r="F523" s="374" t="s">
        <v>553</v>
      </c>
      <c r="G523" s="251" t="s">
        <v>16</v>
      </c>
      <c r="H523" s="376">
        <v>2</v>
      </c>
      <c r="I523" s="376">
        <v>2</v>
      </c>
      <c r="J523" s="376">
        <v>3</v>
      </c>
      <c r="K523" s="376">
        <v>3</v>
      </c>
      <c r="L523" s="377">
        <v>2</v>
      </c>
      <c r="M523" s="378">
        <f t="shared" si="16"/>
        <v>0.60108474454521421</v>
      </c>
      <c r="N523" s="255"/>
    </row>
    <row r="524" spans="1:14" hidden="1" x14ac:dyDescent="0.2">
      <c r="A524" s="505" t="s">
        <v>337</v>
      </c>
      <c r="B524" s="653" t="s">
        <v>552</v>
      </c>
      <c r="C524" s="422" t="s">
        <v>46</v>
      </c>
      <c r="D524" s="248" t="s">
        <v>135</v>
      </c>
      <c r="E524" s="249">
        <v>5.7239225484072452E-3</v>
      </c>
      <c r="F524" s="374" t="s">
        <v>553</v>
      </c>
      <c r="G524" s="251" t="s">
        <v>16</v>
      </c>
      <c r="H524" s="376">
        <v>2</v>
      </c>
      <c r="I524" s="376">
        <v>2</v>
      </c>
      <c r="J524" s="376">
        <v>3</v>
      </c>
      <c r="K524" s="376">
        <v>3</v>
      </c>
      <c r="L524" s="377">
        <v>2</v>
      </c>
      <c r="M524" s="378">
        <f t="shared" si="16"/>
        <v>0.60108474454521421</v>
      </c>
      <c r="N524" s="255"/>
    </row>
    <row r="525" spans="1:14" hidden="1" x14ac:dyDescent="0.2">
      <c r="A525" s="505" t="s">
        <v>337</v>
      </c>
      <c r="B525" s="459" t="s">
        <v>554</v>
      </c>
      <c r="C525" s="422" t="s">
        <v>46</v>
      </c>
      <c r="D525" s="248" t="s">
        <v>135</v>
      </c>
      <c r="E525" s="249">
        <v>9.8688319800124927E-6</v>
      </c>
      <c r="F525" s="374" t="s">
        <v>553</v>
      </c>
      <c r="G525" s="251" t="s">
        <v>16</v>
      </c>
      <c r="H525" s="376">
        <v>2</v>
      </c>
      <c r="I525" s="376">
        <v>2</v>
      </c>
      <c r="J525" s="376">
        <v>3</v>
      </c>
      <c r="K525" s="376">
        <v>3</v>
      </c>
      <c r="L525" s="377">
        <v>2</v>
      </c>
      <c r="M525" s="378">
        <f t="shared" si="16"/>
        <v>0.60108474454521421</v>
      </c>
      <c r="N525" s="255"/>
    </row>
    <row r="526" spans="1:14" hidden="1" x14ac:dyDescent="0.2">
      <c r="A526" s="505" t="s">
        <v>337</v>
      </c>
      <c r="B526" s="653" t="s">
        <v>552</v>
      </c>
      <c r="C526" s="422" t="s">
        <v>48</v>
      </c>
      <c r="D526" s="248" t="s">
        <v>135</v>
      </c>
      <c r="E526" s="249">
        <v>5.6514678326046218E-3</v>
      </c>
      <c r="F526" s="374" t="s">
        <v>553</v>
      </c>
      <c r="G526" s="251" t="s">
        <v>16</v>
      </c>
      <c r="H526" s="376">
        <v>2</v>
      </c>
      <c r="I526" s="376">
        <v>2</v>
      </c>
      <c r="J526" s="376">
        <v>3</v>
      </c>
      <c r="K526" s="376">
        <v>3</v>
      </c>
      <c r="L526" s="377">
        <v>2</v>
      </c>
      <c r="M526" s="378">
        <f t="shared" si="16"/>
        <v>0.60108474454521421</v>
      </c>
      <c r="N526" s="255"/>
    </row>
    <row r="527" spans="1:14" hidden="1" x14ac:dyDescent="0.2">
      <c r="A527" s="505" t="s">
        <v>337</v>
      </c>
      <c r="B527" s="459" t="s">
        <v>554</v>
      </c>
      <c r="C527" s="422" t="s">
        <v>48</v>
      </c>
      <c r="D527" s="248" t="s">
        <v>135</v>
      </c>
      <c r="E527" s="249">
        <v>9.7439100562148669E-6</v>
      </c>
      <c r="F527" s="374" t="s">
        <v>553</v>
      </c>
      <c r="G527" s="251" t="s">
        <v>16</v>
      </c>
      <c r="H527" s="376">
        <v>2</v>
      </c>
      <c r="I527" s="376">
        <v>2</v>
      </c>
      <c r="J527" s="376">
        <v>3</v>
      </c>
      <c r="K527" s="376">
        <v>3</v>
      </c>
      <c r="L527" s="377">
        <v>2</v>
      </c>
      <c r="M527" s="378">
        <f t="shared" si="16"/>
        <v>0.60108474454521421</v>
      </c>
      <c r="N527" s="255"/>
    </row>
    <row r="528" spans="1:14" hidden="1" x14ac:dyDescent="0.2">
      <c r="A528" s="505" t="s">
        <v>337</v>
      </c>
      <c r="B528" s="653" t="s">
        <v>552</v>
      </c>
      <c r="C528" s="422" t="s">
        <v>50</v>
      </c>
      <c r="D528" s="248" t="s">
        <v>135</v>
      </c>
      <c r="E528" s="249">
        <v>1.08682073703935E-3</v>
      </c>
      <c r="F528" s="374" t="s">
        <v>553</v>
      </c>
      <c r="G528" s="251" t="s">
        <v>16</v>
      </c>
      <c r="H528" s="376">
        <v>2</v>
      </c>
      <c r="I528" s="376">
        <v>2</v>
      </c>
      <c r="J528" s="376">
        <v>3</v>
      </c>
      <c r="K528" s="376">
        <v>3</v>
      </c>
      <c r="L528" s="377">
        <v>2</v>
      </c>
      <c r="M528" s="378">
        <f t="shared" si="16"/>
        <v>0.60108474454521421</v>
      </c>
      <c r="N528" s="255"/>
    </row>
    <row r="529" spans="1:14" hidden="1" x14ac:dyDescent="0.2">
      <c r="A529" s="505" t="s">
        <v>337</v>
      </c>
      <c r="B529" s="459" t="s">
        <v>554</v>
      </c>
      <c r="C529" s="422" t="s">
        <v>50</v>
      </c>
      <c r="D529" s="248" t="s">
        <v>135</v>
      </c>
      <c r="E529" s="249">
        <v>1.873828856964397E-6</v>
      </c>
      <c r="F529" s="374" t="s">
        <v>553</v>
      </c>
      <c r="G529" s="251" t="s">
        <v>16</v>
      </c>
      <c r="H529" s="376">
        <v>2</v>
      </c>
      <c r="I529" s="376">
        <v>2</v>
      </c>
      <c r="J529" s="376">
        <v>3</v>
      </c>
      <c r="K529" s="376">
        <v>3</v>
      </c>
      <c r="L529" s="377">
        <v>2</v>
      </c>
      <c r="M529" s="378">
        <f t="shared" si="16"/>
        <v>0.60108474454521421</v>
      </c>
      <c r="N529" s="255"/>
    </row>
    <row r="530" spans="1:14" hidden="1" x14ac:dyDescent="0.2">
      <c r="A530" s="505" t="s">
        <v>337</v>
      </c>
      <c r="B530" s="653" t="s">
        <v>552</v>
      </c>
      <c r="C530" s="422" t="s">
        <v>52</v>
      </c>
      <c r="D530" s="248" t="s">
        <v>135</v>
      </c>
      <c r="E530" s="249">
        <v>5.7239225484072452E-3</v>
      </c>
      <c r="F530" s="374" t="s">
        <v>553</v>
      </c>
      <c r="G530" s="251" t="s">
        <v>16</v>
      </c>
      <c r="H530" s="376">
        <v>2</v>
      </c>
      <c r="I530" s="376">
        <v>2</v>
      </c>
      <c r="J530" s="376">
        <v>3</v>
      </c>
      <c r="K530" s="376">
        <v>3</v>
      </c>
      <c r="L530" s="377">
        <v>2</v>
      </c>
      <c r="M530" s="378">
        <f t="shared" si="16"/>
        <v>0.60108474454521421</v>
      </c>
      <c r="N530" s="255"/>
    </row>
    <row r="531" spans="1:14" hidden="1" x14ac:dyDescent="0.2">
      <c r="A531" s="505" t="s">
        <v>337</v>
      </c>
      <c r="B531" s="459" t="s">
        <v>554</v>
      </c>
      <c r="C531" s="422" t="s">
        <v>52</v>
      </c>
      <c r="D531" s="248" t="s">
        <v>135</v>
      </c>
      <c r="E531" s="249">
        <v>9.8688319800124927E-6</v>
      </c>
      <c r="F531" s="374" t="s">
        <v>553</v>
      </c>
      <c r="G531" s="251" t="s">
        <v>16</v>
      </c>
      <c r="H531" s="376">
        <v>2</v>
      </c>
      <c r="I531" s="376">
        <v>2</v>
      </c>
      <c r="J531" s="376">
        <v>3</v>
      </c>
      <c r="K531" s="376">
        <v>3</v>
      </c>
      <c r="L531" s="377">
        <v>2</v>
      </c>
      <c r="M531" s="378">
        <f t="shared" si="16"/>
        <v>0.60108474454521421</v>
      </c>
      <c r="N531" s="255"/>
    </row>
    <row r="532" spans="1:14" hidden="1" x14ac:dyDescent="0.2">
      <c r="A532" s="505" t="s">
        <v>337</v>
      </c>
      <c r="B532" s="653" t="s">
        <v>552</v>
      </c>
      <c r="C532" s="422" t="s">
        <v>54</v>
      </c>
      <c r="D532" s="248" t="s">
        <v>135</v>
      </c>
      <c r="E532" s="249">
        <v>5.7239225484072452E-3</v>
      </c>
      <c r="F532" s="374" t="s">
        <v>553</v>
      </c>
      <c r="G532" s="251" t="s">
        <v>16</v>
      </c>
      <c r="H532" s="376">
        <v>2</v>
      </c>
      <c r="I532" s="376">
        <v>2</v>
      </c>
      <c r="J532" s="376">
        <v>3</v>
      </c>
      <c r="K532" s="376">
        <v>3</v>
      </c>
      <c r="L532" s="377">
        <v>2</v>
      </c>
      <c r="M532" s="378">
        <f t="shared" si="16"/>
        <v>0.60108474454521421</v>
      </c>
      <c r="N532" s="255"/>
    </row>
    <row r="533" spans="1:14" hidden="1" x14ac:dyDescent="0.2">
      <c r="A533" s="505" t="s">
        <v>337</v>
      </c>
      <c r="B533" s="459" t="s">
        <v>554</v>
      </c>
      <c r="C533" s="422" t="s">
        <v>54</v>
      </c>
      <c r="D533" s="248" t="s">
        <v>135</v>
      </c>
      <c r="E533" s="249">
        <v>9.8688319800124927E-6</v>
      </c>
      <c r="F533" s="374" t="s">
        <v>553</v>
      </c>
      <c r="G533" s="251" t="s">
        <v>16</v>
      </c>
      <c r="H533" s="376">
        <v>2</v>
      </c>
      <c r="I533" s="376">
        <v>2</v>
      </c>
      <c r="J533" s="376">
        <v>3</v>
      </c>
      <c r="K533" s="376">
        <v>3</v>
      </c>
      <c r="L533" s="377">
        <v>2</v>
      </c>
      <c r="M533" s="378">
        <f t="shared" si="16"/>
        <v>0.60108474454521421</v>
      </c>
      <c r="N533" s="255"/>
    </row>
    <row r="534" spans="1:14" hidden="1" x14ac:dyDescent="0.2">
      <c r="A534" s="505" t="s">
        <v>337</v>
      </c>
      <c r="B534" s="653" t="s">
        <v>552</v>
      </c>
      <c r="C534" s="422" t="s">
        <v>55</v>
      </c>
      <c r="D534" s="248" t="s">
        <v>135</v>
      </c>
      <c r="E534" s="249">
        <v>5.6514678326046218E-3</v>
      </c>
      <c r="F534" s="374" t="s">
        <v>553</v>
      </c>
      <c r="G534" s="251" t="s">
        <v>16</v>
      </c>
      <c r="H534" s="376">
        <v>2</v>
      </c>
      <c r="I534" s="376">
        <v>2</v>
      </c>
      <c r="J534" s="376">
        <v>3</v>
      </c>
      <c r="K534" s="376">
        <v>3</v>
      </c>
      <c r="L534" s="377">
        <v>2</v>
      </c>
      <c r="M534" s="378">
        <f t="shared" si="16"/>
        <v>0.60108474454521421</v>
      </c>
      <c r="N534" s="255"/>
    </row>
    <row r="535" spans="1:14" hidden="1" x14ac:dyDescent="0.2">
      <c r="A535" s="505" t="s">
        <v>337</v>
      </c>
      <c r="B535" s="459" t="s">
        <v>554</v>
      </c>
      <c r="C535" s="422" t="s">
        <v>55</v>
      </c>
      <c r="D535" s="248" t="s">
        <v>135</v>
      </c>
      <c r="E535" s="249">
        <v>9.7439100562148669E-6</v>
      </c>
      <c r="F535" s="374" t="s">
        <v>553</v>
      </c>
      <c r="G535" s="251" t="s">
        <v>16</v>
      </c>
      <c r="H535" s="376">
        <v>2</v>
      </c>
      <c r="I535" s="376">
        <v>2</v>
      </c>
      <c r="J535" s="376">
        <v>3</v>
      </c>
      <c r="K535" s="376">
        <v>3</v>
      </c>
      <c r="L535" s="377">
        <v>2</v>
      </c>
      <c r="M535" s="378">
        <f t="shared" si="16"/>
        <v>0.60108474454521421</v>
      </c>
      <c r="N535" s="255"/>
    </row>
    <row r="536" spans="1:14" hidden="1" x14ac:dyDescent="0.2">
      <c r="A536" s="505" t="s">
        <v>337</v>
      </c>
      <c r="B536" s="653" t="s">
        <v>552</v>
      </c>
      <c r="C536" s="422" t="s">
        <v>57</v>
      </c>
      <c r="D536" s="248" t="s">
        <v>135</v>
      </c>
      <c r="E536" s="249">
        <v>5.9412866958151152E-3</v>
      </c>
      <c r="F536" s="374" t="s">
        <v>553</v>
      </c>
      <c r="G536" s="375" t="s">
        <v>16</v>
      </c>
      <c r="H536" s="376">
        <v>2</v>
      </c>
      <c r="I536" s="376">
        <v>2</v>
      </c>
      <c r="J536" s="376">
        <v>3</v>
      </c>
      <c r="K536" s="376">
        <v>3</v>
      </c>
      <c r="L536" s="377">
        <v>2</v>
      </c>
      <c r="M536" s="254">
        <f t="shared" si="16"/>
        <v>0.60108474454521421</v>
      </c>
      <c r="N536" s="255"/>
    </row>
    <row r="537" spans="1:14" hidden="1" x14ac:dyDescent="0.2">
      <c r="A537" s="505" t="s">
        <v>337</v>
      </c>
      <c r="B537" s="459" t="s">
        <v>554</v>
      </c>
      <c r="C537" s="422" t="s">
        <v>57</v>
      </c>
      <c r="D537" s="248" t="s">
        <v>135</v>
      </c>
      <c r="E537" s="249">
        <v>1.024359775140537E-5</v>
      </c>
      <c r="F537" s="374" t="s">
        <v>553</v>
      </c>
      <c r="G537" s="251" t="s">
        <v>16</v>
      </c>
      <c r="H537" s="376">
        <v>2</v>
      </c>
      <c r="I537" s="376">
        <v>2</v>
      </c>
      <c r="J537" s="376">
        <v>3</v>
      </c>
      <c r="K537" s="376">
        <v>3</v>
      </c>
      <c r="L537" s="377">
        <v>2</v>
      </c>
      <c r="M537" s="378">
        <f t="shared" si="16"/>
        <v>0.60108474454521421</v>
      </c>
      <c r="N537" s="255"/>
    </row>
    <row r="538" spans="1:14" hidden="1" x14ac:dyDescent="0.2">
      <c r="A538" s="505" t="s">
        <v>337</v>
      </c>
      <c r="B538" s="653" t="s">
        <v>552</v>
      </c>
      <c r="C538" s="422" t="s">
        <v>59</v>
      </c>
      <c r="D538" s="248" t="s">
        <v>135</v>
      </c>
      <c r="E538" s="249">
        <v>1.1599999999999999E-2</v>
      </c>
      <c r="F538" s="374" t="s">
        <v>360</v>
      </c>
      <c r="G538" s="375"/>
      <c r="H538" s="376">
        <v>2</v>
      </c>
      <c r="I538" s="376">
        <v>2</v>
      </c>
      <c r="J538" s="376">
        <v>3</v>
      </c>
      <c r="K538" s="376">
        <v>3</v>
      </c>
      <c r="L538" s="377">
        <v>2</v>
      </c>
      <c r="M538" s="254">
        <f t="shared" si="16"/>
        <v>0.60108474454521421</v>
      </c>
      <c r="N538" s="255"/>
    </row>
    <row r="539" spans="1:14" hidden="1" x14ac:dyDescent="0.2">
      <c r="A539" s="505" t="s">
        <v>337</v>
      </c>
      <c r="B539" s="459" t="s">
        <v>554</v>
      </c>
      <c r="C539" s="422" t="s">
        <v>59</v>
      </c>
      <c r="D539" s="248" t="s">
        <v>135</v>
      </c>
      <c r="E539" s="249">
        <v>2.0000000000000002E-5</v>
      </c>
      <c r="F539" s="374" t="s">
        <v>360</v>
      </c>
      <c r="G539" s="251"/>
      <c r="H539" s="376">
        <v>2</v>
      </c>
      <c r="I539" s="376">
        <v>2</v>
      </c>
      <c r="J539" s="376">
        <v>3</v>
      </c>
      <c r="K539" s="376">
        <v>3</v>
      </c>
      <c r="L539" s="377">
        <v>2</v>
      </c>
      <c r="M539" s="378">
        <f t="shared" si="16"/>
        <v>0.60108474454521421</v>
      </c>
      <c r="N539" s="255"/>
    </row>
    <row r="540" spans="1:14" hidden="1" x14ac:dyDescent="0.2">
      <c r="A540" s="505" t="s">
        <v>337</v>
      </c>
      <c r="B540" s="653" t="s">
        <v>552</v>
      </c>
      <c r="C540" s="422" t="s">
        <v>60</v>
      </c>
      <c r="D540" s="248" t="s">
        <v>135</v>
      </c>
      <c r="E540" s="249">
        <v>4.7095565271705183E-3</v>
      </c>
      <c r="F540" s="374" t="s">
        <v>553</v>
      </c>
      <c r="G540" s="375" t="s">
        <v>16</v>
      </c>
      <c r="H540" s="376">
        <v>2</v>
      </c>
      <c r="I540" s="376">
        <v>2</v>
      </c>
      <c r="J540" s="376">
        <v>3</v>
      </c>
      <c r="K540" s="376">
        <v>3</v>
      </c>
      <c r="L540" s="377">
        <v>2</v>
      </c>
      <c r="M540" s="254">
        <f t="shared" si="16"/>
        <v>0.60108474454521421</v>
      </c>
      <c r="N540" s="255"/>
    </row>
    <row r="541" spans="1:14" hidden="1" x14ac:dyDescent="0.2">
      <c r="A541" s="508" t="s">
        <v>337</v>
      </c>
      <c r="B541" s="513" t="s">
        <v>554</v>
      </c>
      <c r="C541" s="427" t="s">
        <v>60</v>
      </c>
      <c r="D541" s="441" t="s">
        <v>135</v>
      </c>
      <c r="E541" s="288">
        <v>8.119925046845723E-6</v>
      </c>
      <c r="F541" s="399" t="s">
        <v>553</v>
      </c>
      <c r="G541" s="290" t="s">
        <v>16</v>
      </c>
      <c r="H541" s="398">
        <v>2</v>
      </c>
      <c r="I541" s="398">
        <v>2</v>
      </c>
      <c r="J541" s="398">
        <v>3</v>
      </c>
      <c r="K541" s="398">
        <v>3</v>
      </c>
      <c r="L541" s="407">
        <v>2</v>
      </c>
      <c r="M541" s="408">
        <f t="shared" si="16"/>
        <v>0.60108474454521421</v>
      </c>
      <c r="N541" s="294"/>
    </row>
    <row r="542" spans="1:14" x14ac:dyDescent="0.2">
      <c r="A542" s="505" t="s">
        <v>374</v>
      </c>
      <c r="B542" s="652" t="s">
        <v>552</v>
      </c>
      <c r="C542" s="422" t="s">
        <v>13</v>
      </c>
      <c r="D542" s="433" t="s">
        <v>135</v>
      </c>
      <c r="E542" s="266">
        <v>6.1948782011242973E-2</v>
      </c>
      <c r="F542" s="389" t="s">
        <v>553</v>
      </c>
      <c r="G542" s="390" t="s">
        <v>16</v>
      </c>
      <c r="H542" s="391">
        <v>2</v>
      </c>
      <c r="I542" s="391">
        <v>2</v>
      </c>
      <c r="J542" s="391">
        <v>3</v>
      </c>
      <c r="K542" s="391">
        <v>3</v>
      </c>
      <c r="L542" s="392">
        <v>2</v>
      </c>
      <c r="M542" s="271">
        <f t="shared" si="16"/>
        <v>0.60108474454521421</v>
      </c>
      <c r="N542" s="272"/>
    </row>
    <row r="543" spans="1:14" x14ac:dyDescent="0.2">
      <c r="A543" s="505" t="s">
        <v>374</v>
      </c>
      <c r="B543" s="459" t="s">
        <v>554</v>
      </c>
      <c r="C543" s="422" t="s">
        <v>13</v>
      </c>
      <c r="D543" s="248" t="s">
        <v>135</v>
      </c>
      <c r="E543" s="249">
        <v>1.08682073703935E-4</v>
      </c>
      <c r="F543" s="374" t="s">
        <v>553</v>
      </c>
      <c r="G543" s="251" t="s">
        <v>16</v>
      </c>
      <c r="H543" s="376">
        <v>2</v>
      </c>
      <c r="I543" s="376">
        <v>2</v>
      </c>
      <c r="J543" s="376">
        <v>3</v>
      </c>
      <c r="K543" s="376">
        <v>3</v>
      </c>
      <c r="L543" s="377">
        <v>2</v>
      </c>
      <c r="M543" s="378">
        <f t="shared" si="16"/>
        <v>0.60108474454521421</v>
      </c>
      <c r="N543" s="255"/>
    </row>
    <row r="544" spans="1:14" hidden="1" x14ac:dyDescent="0.2">
      <c r="A544" s="505" t="s">
        <v>374</v>
      </c>
      <c r="B544" s="653" t="s">
        <v>552</v>
      </c>
      <c r="C544" s="422" t="s">
        <v>18</v>
      </c>
      <c r="D544" s="248" t="s">
        <v>135</v>
      </c>
      <c r="E544" s="249">
        <v>5.4116177389131791E-2</v>
      </c>
      <c r="F544" s="374" t="s">
        <v>553</v>
      </c>
      <c r="G544" s="251" t="s">
        <v>16</v>
      </c>
      <c r="H544" s="376">
        <v>2</v>
      </c>
      <c r="I544" s="376">
        <v>2</v>
      </c>
      <c r="J544" s="376">
        <v>3</v>
      </c>
      <c r="K544" s="376">
        <v>3</v>
      </c>
      <c r="L544" s="377">
        <v>2</v>
      </c>
      <c r="M544" s="378">
        <f t="shared" si="16"/>
        <v>0.60108474454521421</v>
      </c>
      <c r="N544" s="255"/>
    </row>
    <row r="545" spans="1:14" hidden="1" x14ac:dyDescent="0.2">
      <c r="A545" s="505" t="s">
        <v>374</v>
      </c>
      <c r="B545" s="459" t="s">
        <v>554</v>
      </c>
      <c r="C545" s="422" t="s">
        <v>18</v>
      </c>
      <c r="D545" s="248" t="s">
        <v>135</v>
      </c>
      <c r="E545" s="249">
        <v>9.4940662086196126E-5</v>
      </c>
      <c r="F545" s="374" t="s">
        <v>553</v>
      </c>
      <c r="G545" s="251" t="s">
        <v>16</v>
      </c>
      <c r="H545" s="376">
        <v>2</v>
      </c>
      <c r="I545" s="376">
        <v>2</v>
      </c>
      <c r="J545" s="376">
        <v>3</v>
      </c>
      <c r="K545" s="376">
        <v>3</v>
      </c>
      <c r="L545" s="377">
        <v>2</v>
      </c>
      <c r="M545" s="378">
        <f t="shared" si="16"/>
        <v>0.60108474454521421</v>
      </c>
      <c r="N545" s="255"/>
    </row>
    <row r="546" spans="1:14" hidden="1" x14ac:dyDescent="0.2">
      <c r="A546" s="505" t="s">
        <v>374</v>
      </c>
      <c r="B546" s="653" t="s">
        <v>552</v>
      </c>
      <c r="C546" s="422" t="s">
        <v>20</v>
      </c>
      <c r="D546" s="248" t="s">
        <v>135</v>
      </c>
      <c r="E546" s="249">
        <v>3.5602748282323551E-3</v>
      </c>
      <c r="F546" s="374" t="s">
        <v>553</v>
      </c>
      <c r="G546" s="251" t="s">
        <v>16</v>
      </c>
      <c r="H546" s="376">
        <v>2</v>
      </c>
      <c r="I546" s="376">
        <v>2</v>
      </c>
      <c r="J546" s="376">
        <v>3</v>
      </c>
      <c r="K546" s="376">
        <v>3</v>
      </c>
      <c r="L546" s="377">
        <v>2</v>
      </c>
      <c r="M546" s="378">
        <f t="shared" si="16"/>
        <v>0.60108474454521421</v>
      </c>
      <c r="N546" s="255"/>
    </row>
    <row r="547" spans="1:14" hidden="1" x14ac:dyDescent="0.2">
      <c r="A547" s="505" t="s">
        <v>374</v>
      </c>
      <c r="B547" s="459" t="s">
        <v>554</v>
      </c>
      <c r="C547" s="422" t="s">
        <v>20</v>
      </c>
      <c r="D547" s="248" t="s">
        <v>135</v>
      </c>
      <c r="E547" s="249">
        <v>6.2460961898813241E-6</v>
      </c>
      <c r="F547" s="374" t="s">
        <v>553</v>
      </c>
      <c r="G547" s="251" t="s">
        <v>16</v>
      </c>
      <c r="H547" s="376">
        <v>2</v>
      </c>
      <c r="I547" s="376">
        <v>2</v>
      </c>
      <c r="J547" s="376">
        <v>3</v>
      </c>
      <c r="K547" s="376">
        <v>3</v>
      </c>
      <c r="L547" s="377">
        <v>2</v>
      </c>
      <c r="M547" s="378">
        <f t="shared" si="16"/>
        <v>0.60108474454521421</v>
      </c>
      <c r="N547" s="255"/>
    </row>
    <row r="548" spans="1:14" hidden="1" x14ac:dyDescent="0.2">
      <c r="A548" s="505" t="s">
        <v>374</v>
      </c>
      <c r="B548" s="653" t="s">
        <v>552</v>
      </c>
      <c r="C548" s="422" t="s">
        <v>22</v>
      </c>
      <c r="D548" s="248" t="s">
        <v>135</v>
      </c>
      <c r="E548" s="249">
        <v>8.5446595877576529E-3</v>
      </c>
      <c r="F548" s="374" t="s">
        <v>553</v>
      </c>
      <c r="G548" s="251" t="s">
        <v>16</v>
      </c>
      <c r="H548" s="376">
        <v>2</v>
      </c>
      <c r="I548" s="376">
        <v>2</v>
      </c>
      <c r="J548" s="376">
        <v>3</v>
      </c>
      <c r="K548" s="376">
        <v>3</v>
      </c>
      <c r="L548" s="377">
        <v>2</v>
      </c>
      <c r="M548" s="378">
        <f t="shared" si="16"/>
        <v>0.60108474454521421</v>
      </c>
      <c r="N548" s="255"/>
    </row>
    <row r="549" spans="1:14" hidden="1" x14ac:dyDescent="0.2">
      <c r="A549" s="505" t="s">
        <v>374</v>
      </c>
      <c r="B549" s="459" t="s">
        <v>554</v>
      </c>
      <c r="C549" s="422" t="s">
        <v>22</v>
      </c>
      <c r="D549" s="248" t="s">
        <v>135</v>
      </c>
      <c r="E549" s="249">
        <v>1.4990630855715179E-5</v>
      </c>
      <c r="F549" s="374" t="s">
        <v>553</v>
      </c>
      <c r="G549" s="251" t="s">
        <v>16</v>
      </c>
      <c r="H549" s="376">
        <v>2</v>
      </c>
      <c r="I549" s="376">
        <v>2</v>
      </c>
      <c r="J549" s="376">
        <v>3</v>
      </c>
      <c r="K549" s="376">
        <v>3</v>
      </c>
      <c r="L549" s="377">
        <v>2</v>
      </c>
      <c r="M549" s="378">
        <f t="shared" ref="M549:M579" si="17">IF( OR( ISBLANK(H549),ISBLANK(I549), ISBLANK(J549), ISBLANK(K549), ISBLANK(L549) ), "", 1.5*SQRT( EXP(2.21*(H549-1)) + EXP(2.21*(I549-1)) + EXP(2.21*(J549-1)) + EXP(2.21*(K549-1)) + EXP(2.21*L549) )/100*2.45 )</f>
        <v>0.60108474454521421</v>
      </c>
      <c r="N549" s="255"/>
    </row>
    <row r="550" spans="1:14" hidden="1" x14ac:dyDescent="0.2">
      <c r="A550" s="505" t="s">
        <v>374</v>
      </c>
      <c r="B550" s="653" t="s">
        <v>552</v>
      </c>
      <c r="C550" s="422" t="s">
        <v>23</v>
      </c>
      <c r="D550" s="248" t="s">
        <v>135</v>
      </c>
      <c r="E550" s="249">
        <v>3.9163023110555901E-3</v>
      </c>
      <c r="F550" s="374" t="s">
        <v>553</v>
      </c>
      <c r="G550" s="251" t="s">
        <v>16</v>
      </c>
      <c r="H550" s="376">
        <v>2</v>
      </c>
      <c r="I550" s="376">
        <v>2</v>
      </c>
      <c r="J550" s="376">
        <v>3</v>
      </c>
      <c r="K550" s="376">
        <v>3</v>
      </c>
      <c r="L550" s="377">
        <v>2</v>
      </c>
      <c r="M550" s="378">
        <f t="shared" si="17"/>
        <v>0.60108474454521421</v>
      </c>
      <c r="N550" s="255"/>
    </row>
    <row r="551" spans="1:14" hidden="1" x14ac:dyDescent="0.2">
      <c r="A551" s="505" t="s">
        <v>374</v>
      </c>
      <c r="B551" s="459" t="s">
        <v>554</v>
      </c>
      <c r="C551" s="422" t="s">
        <v>23</v>
      </c>
      <c r="D551" s="248" t="s">
        <v>135</v>
      </c>
      <c r="E551" s="249">
        <v>6.8707058088694573E-6</v>
      </c>
      <c r="F551" s="374" t="s">
        <v>553</v>
      </c>
      <c r="G551" s="251" t="s">
        <v>16</v>
      </c>
      <c r="H551" s="376">
        <v>2</v>
      </c>
      <c r="I551" s="376">
        <v>2</v>
      </c>
      <c r="J551" s="376">
        <v>3</v>
      </c>
      <c r="K551" s="376">
        <v>3</v>
      </c>
      <c r="L551" s="377">
        <v>2</v>
      </c>
      <c r="M551" s="378">
        <f t="shared" si="17"/>
        <v>0.60108474454521421</v>
      </c>
      <c r="N551" s="255"/>
    </row>
    <row r="552" spans="1:14" hidden="1" x14ac:dyDescent="0.2">
      <c r="A552" s="505" t="s">
        <v>374</v>
      </c>
      <c r="B552" s="653" t="s">
        <v>552</v>
      </c>
      <c r="C552" s="422" t="s">
        <v>24</v>
      </c>
      <c r="D552" s="248" t="s">
        <v>135</v>
      </c>
      <c r="E552" s="249">
        <v>2.5990006246096192E-2</v>
      </c>
      <c r="F552" s="374" t="s">
        <v>553</v>
      </c>
      <c r="G552" s="251" t="s">
        <v>16</v>
      </c>
      <c r="H552" s="376">
        <v>2</v>
      </c>
      <c r="I552" s="376">
        <v>2</v>
      </c>
      <c r="J552" s="376">
        <v>3</v>
      </c>
      <c r="K552" s="376">
        <v>3</v>
      </c>
      <c r="L552" s="377">
        <v>2</v>
      </c>
      <c r="M552" s="378">
        <f t="shared" si="17"/>
        <v>0.60108474454521421</v>
      </c>
      <c r="N552" s="255"/>
    </row>
    <row r="553" spans="1:14" hidden="1" x14ac:dyDescent="0.2">
      <c r="A553" s="505" t="s">
        <v>374</v>
      </c>
      <c r="B553" s="459" t="s">
        <v>554</v>
      </c>
      <c r="C553" s="422" t="s">
        <v>24</v>
      </c>
      <c r="D553" s="248" t="s">
        <v>135</v>
      </c>
      <c r="E553" s="249">
        <v>4.5596502186133669E-5</v>
      </c>
      <c r="F553" s="374" t="s">
        <v>553</v>
      </c>
      <c r="G553" s="251" t="s">
        <v>16</v>
      </c>
      <c r="H553" s="376">
        <v>2</v>
      </c>
      <c r="I553" s="376">
        <v>2</v>
      </c>
      <c r="J553" s="376">
        <v>3</v>
      </c>
      <c r="K553" s="376">
        <v>3</v>
      </c>
      <c r="L553" s="377">
        <v>2</v>
      </c>
      <c r="M553" s="378">
        <f t="shared" si="17"/>
        <v>0.60108474454521421</v>
      </c>
      <c r="N553" s="255"/>
    </row>
    <row r="554" spans="1:14" hidden="1" x14ac:dyDescent="0.2">
      <c r="A554" s="505" t="s">
        <v>374</v>
      </c>
      <c r="B554" s="653" t="s">
        <v>552</v>
      </c>
      <c r="C554" s="422" t="s">
        <v>25</v>
      </c>
      <c r="D554" s="248" t="s">
        <v>135</v>
      </c>
      <c r="E554" s="249">
        <v>7.1917551530293569E-2</v>
      </c>
      <c r="F554" s="374" t="s">
        <v>553</v>
      </c>
      <c r="G554" s="251" t="s">
        <v>16</v>
      </c>
      <c r="H554" s="376">
        <v>2</v>
      </c>
      <c r="I554" s="376">
        <v>2</v>
      </c>
      <c r="J554" s="376">
        <v>3</v>
      </c>
      <c r="K554" s="376">
        <v>3</v>
      </c>
      <c r="L554" s="377">
        <v>2</v>
      </c>
      <c r="M554" s="378">
        <f t="shared" si="17"/>
        <v>0.60108474454521421</v>
      </c>
      <c r="N554" s="255"/>
    </row>
    <row r="555" spans="1:14" hidden="1" x14ac:dyDescent="0.2">
      <c r="A555" s="505" t="s">
        <v>374</v>
      </c>
      <c r="B555" s="459" t="s">
        <v>554</v>
      </c>
      <c r="C555" s="422" t="s">
        <v>25</v>
      </c>
      <c r="D555" s="248" t="s">
        <v>135</v>
      </c>
      <c r="E555" s="249">
        <v>1.2617114303560279E-4</v>
      </c>
      <c r="F555" s="374" t="s">
        <v>553</v>
      </c>
      <c r="G555" s="251" t="s">
        <v>16</v>
      </c>
      <c r="H555" s="376">
        <v>2</v>
      </c>
      <c r="I555" s="376">
        <v>2</v>
      </c>
      <c r="J555" s="376">
        <v>3</v>
      </c>
      <c r="K555" s="376">
        <v>3</v>
      </c>
      <c r="L555" s="377">
        <v>2</v>
      </c>
      <c r="M555" s="378">
        <f t="shared" si="17"/>
        <v>0.60108474454521421</v>
      </c>
      <c r="N555" s="255"/>
    </row>
    <row r="556" spans="1:14" hidden="1" x14ac:dyDescent="0.2">
      <c r="A556" s="505" t="s">
        <v>374</v>
      </c>
      <c r="B556" s="653" t="s">
        <v>552</v>
      </c>
      <c r="C556" s="422" t="s">
        <v>26</v>
      </c>
      <c r="D556" s="248" t="s">
        <v>135</v>
      </c>
      <c r="E556" s="249">
        <v>5.3404122423485328E-3</v>
      </c>
      <c r="F556" s="374" t="s">
        <v>553</v>
      </c>
      <c r="G556" s="251" t="s">
        <v>16</v>
      </c>
      <c r="H556" s="376">
        <v>2</v>
      </c>
      <c r="I556" s="376">
        <v>2</v>
      </c>
      <c r="J556" s="376">
        <v>3</v>
      </c>
      <c r="K556" s="376">
        <v>3</v>
      </c>
      <c r="L556" s="377">
        <v>2</v>
      </c>
      <c r="M556" s="378">
        <f t="shared" si="17"/>
        <v>0.60108474454521421</v>
      </c>
      <c r="N556" s="255"/>
    </row>
    <row r="557" spans="1:14" hidden="1" x14ac:dyDescent="0.2">
      <c r="A557" s="505" t="s">
        <v>374</v>
      </c>
      <c r="B557" s="459" t="s">
        <v>554</v>
      </c>
      <c r="C557" s="422" t="s">
        <v>26</v>
      </c>
      <c r="D557" s="248" t="s">
        <v>135</v>
      </c>
      <c r="E557" s="249">
        <v>9.3691442848219878E-6</v>
      </c>
      <c r="F557" s="374" t="s">
        <v>553</v>
      </c>
      <c r="G557" s="251" t="s">
        <v>16</v>
      </c>
      <c r="H557" s="376">
        <v>2</v>
      </c>
      <c r="I557" s="376">
        <v>2</v>
      </c>
      <c r="J557" s="376">
        <v>3</v>
      </c>
      <c r="K557" s="376">
        <v>3</v>
      </c>
      <c r="L557" s="377">
        <v>2</v>
      </c>
      <c r="M557" s="378">
        <f t="shared" si="17"/>
        <v>0.60108474454521421</v>
      </c>
      <c r="N557" s="255"/>
    </row>
    <row r="558" spans="1:14" hidden="1" x14ac:dyDescent="0.2">
      <c r="A558" s="505" t="s">
        <v>374</v>
      </c>
      <c r="B558" s="653" t="s">
        <v>552</v>
      </c>
      <c r="C558" s="422" t="s">
        <v>27</v>
      </c>
      <c r="D558" s="248" t="s">
        <v>135</v>
      </c>
      <c r="E558" s="249">
        <v>2.741411617738913E-2</v>
      </c>
      <c r="F558" s="374" t="s">
        <v>553</v>
      </c>
      <c r="G558" s="251" t="s">
        <v>16</v>
      </c>
      <c r="H558" s="376">
        <v>2</v>
      </c>
      <c r="I558" s="376">
        <v>2</v>
      </c>
      <c r="J558" s="376">
        <v>3</v>
      </c>
      <c r="K558" s="376">
        <v>3</v>
      </c>
      <c r="L558" s="377">
        <v>2</v>
      </c>
      <c r="M558" s="378">
        <f t="shared" si="17"/>
        <v>0.60108474454521421</v>
      </c>
      <c r="N558" s="255"/>
    </row>
    <row r="559" spans="1:14" hidden="1" x14ac:dyDescent="0.2">
      <c r="A559" s="505" t="s">
        <v>374</v>
      </c>
      <c r="B559" s="459" t="s">
        <v>554</v>
      </c>
      <c r="C559" s="422" t="s">
        <v>27</v>
      </c>
      <c r="D559" s="248" t="s">
        <v>135</v>
      </c>
      <c r="E559" s="249">
        <v>4.8094940662086199E-5</v>
      </c>
      <c r="F559" s="374" t="s">
        <v>553</v>
      </c>
      <c r="G559" s="251" t="s">
        <v>16</v>
      </c>
      <c r="H559" s="376">
        <v>2</v>
      </c>
      <c r="I559" s="376">
        <v>2</v>
      </c>
      <c r="J559" s="376">
        <v>3</v>
      </c>
      <c r="K559" s="376">
        <v>3</v>
      </c>
      <c r="L559" s="377">
        <v>2</v>
      </c>
      <c r="M559" s="378">
        <f t="shared" si="17"/>
        <v>0.60108474454521421</v>
      </c>
      <c r="N559" s="255"/>
    </row>
    <row r="560" spans="1:14" hidden="1" x14ac:dyDescent="0.2">
      <c r="A560" s="505" t="s">
        <v>374</v>
      </c>
      <c r="B560" s="653" t="s">
        <v>552</v>
      </c>
      <c r="C560" s="422" t="s">
        <v>28</v>
      </c>
      <c r="D560" s="248" t="s">
        <v>135</v>
      </c>
      <c r="E560" s="249">
        <v>3.7026858213616502E-2</v>
      </c>
      <c r="F560" s="374" t="s">
        <v>553</v>
      </c>
      <c r="G560" s="251" t="s">
        <v>16</v>
      </c>
      <c r="H560" s="376">
        <v>2</v>
      </c>
      <c r="I560" s="376">
        <v>2</v>
      </c>
      <c r="J560" s="376">
        <v>3</v>
      </c>
      <c r="K560" s="376">
        <v>3</v>
      </c>
      <c r="L560" s="377">
        <v>2</v>
      </c>
      <c r="M560" s="378">
        <f t="shared" si="17"/>
        <v>0.60108474454521421</v>
      </c>
      <c r="N560" s="255"/>
    </row>
    <row r="561" spans="1:14" hidden="1" x14ac:dyDescent="0.2">
      <c r="A561" s="505" t="s">
        <v>374</v>
      </c>
      <c r="B561" s="459" t="s">
        <v>554</v>
      </c>
      <c r="C561" s="422" t="s">
        <v>28</v>
      </c>
      <c r="D561" s="248" t="s">
        <v>135</v>
      </c>
      <c r="E561" s="249">
        <v>6.4959400374765784E-5</v>
      </c>
      <c r="F561" s="374" t="s">
        <v>553</v>
      </c>
      <c r="G561" s="251" t="s">
        <v>16</v>
      </c>
      <c r="H561" s="376">
        <v>2</v>
      </c>
      <c r="I561" s="376">
        <v>2</v>
      </c>
      <c r="J561" s="376">
        <v>3</v>
      </c>
      <c r="K561" s="376">
        <v>3</v>
      </c>
      <c r="L561" s="377">
        <v>2</v>
      </c>
      <c r="M561" s="378">
        <f t="shared" si="17"/>
        <v>0.60108474454521421</v>
      </c>
      <c r="N561" s="255"/>
    </row>
    <row r="562" spans="1:14" hidden="1" x14ac:dyDescent="0.2">
      <c r="A562" s="505" t="s">
        <v>374</v>
      </c>
      <c r="B562" s="653" t="s">
        <v>552</v>
      </c>
      <c r="C562" s="422" t="s">
        <v>30</v>
      </c>
      <c r="D562" s="248" t="s">
        <v>135</v>
      </c>
      <c r="E562" s="249">
        <v>5.3048094940662087E-2</v>
      </c>
      <c r="F562" s="374" t="s">
        <v>553</v>
      </c>
      <c r="G562" s="251" t="s">
        <v>16</v>
      </c>
      <c r="H562" s="376">
        <v>2</v>
      </c>
      <c r="I562" s="376">
        <v>2</v>
      </c>
      <c r="J562" s="376">
        <v>3</v>
      </c>
      <c r="K562" s="376">
        <v>3</v>
      </c>
      <c r="L562" s="377">
        <v>2</v>
      </c>
      <c r="M562" s="378">
        <f t="shared" si="17"/>
        <v>0.60108474454521421</v>
      </c>
      <c r="N562" s="255"/>
    </row>
    <row r="563" spans="1:14" hidden="1" x14ac:dyDescent="0.2">
      <c r="A563" s="505" t="s">
        <v>374</v>
      </c>
      <c r="B563" s="459" t="s">
        <v>554</v>
      </c>
      <c r="C563" s="422" t="s">
        <v>30</v>
      </c>
      <c r="D563" s="248" t="s">
        <v>135</v>
      </c>
      <c r="E563" s="249">
        <v>9.3066833229231739E-5</v>
      </c>
      <c r="F563" s="374" t="s">
        <v>553</v>
      </c>
      <c r="G563" s="251" t="s">
        <v>16</v>
      </c>
      <c r="H563" s="376">
        <v>2</v>
      </c>
      <c r="I563" s="376">
        <v>2</v>
      </c>
      <c r="J563" s="376">
        <v>3</v>
      </c>
      <c r="K563" s="376">
        <v>3</v>
      </c>
      <c r="L563" s="377">
        <v>2</v>
      </c>
      <c r="M563" s="378">
        <f t="shared" si="17"/>
        <v>0.60108474454521421</v>
      </c>
      <c r="N563" s="255"/>
    </row>
    <row r="564" spans="1:14" hidden="1" x14ac:dyDescent="0.2">
      <c r="A564" s="505" t="s">
        <v>374</v>
      </c>
      <c r="B564" s="653" t="s">
        <v>552</v>
      </c>
      <c r="C564" s="422" t="s">
        <v>32</v>
      </c>
      <c r="D564" s="248" t="s">
        <v>135</v>
      </c>
      <c r="E564" s="249">
        <v>2.8482198625858842E-3</v>
      </c>
      <c r="F564" s="374" t="s">
        <v>553</v>
      </c>
      <c r="G564" s="251" t="s">
        <v>16</v>
      </c>
      <c r="H564" s="376">
        <v>2</v>
      </c>
      <c r="I564" s="376">
        <v>2</v>
      </c>
      <c r="J564" s="376">
        <v>3</v>
      </c>
      <c r="K564" s="376">
        <v>3</v>
      </c>
      <c r="L564" s="377">
        <v>2</v>
      </c>
      <c r="M564" s="378">
        <f t="shared" si="17"/>
        <v>0.60108474454521421</v>
      </c>
      <c r="N564" s="255"/>
    </row>
    <row r="565" spans="1:14" hidden="1" x14ac:dyDescent="0.2">
      <c r="A565" s="505" t="s">
        <v>374</v>
      </c>
      <c r="B565" s="459" t="s">
        <v>554</v>
      </c>
      <c r="C565" s="422" t="s">
        <v>32</v>
      </c>
      <c r="D565" s="248" t="s">
        <v>135</v>
      </c>
      <c r="E565" s="249">
        <v>4.9968769519050601E-6</v>
      </c>
      <c r="F565" s="374" t="s">
        <v>553</v>
      </c>
      <c r="G565" s="251" t="s">
        <v>16</v>
      </c>
      <c r="H565" s="376">
        <v>2</v>
      </c>
      <c r="I565" s="376">
        <v>2</v>
      </c>
      <c r="J565" s="376">
        <v>3</v>
      </c>
      <c r="K565" s="376">
        <v>3</v>
      </c>
      <c r="L565" s="377">
        <v>2</v>
      </c>
      <c r="M565" s="378">
        <f t="shared" si="17"/>
        <v>0.60108474454521421</v>
      </c>
      <c r="N565" s="255"/>
    </row>
    <row r="566" spans="1:14" hidden="1" x14ac:dyDescent="0.2">
      <c r="A566" s="505" t="s">
        <v>374</v>
      </c>
      <c r="B566" s="653" t="s">
        <v>552</v>
      </c>
      <c r="C566" s="422" t="s">
        <v>34</v>
      </c>
      <c r="D566" s="248" t="s">
        <v>135</v>
      </c>
      <c r="E566" s="249">
        <v>1.3885071830106181E-2</v>
      </c>
      <c r="F566" s="374" t="s">
        <v>553</v>
      </c>
      <c r="G566" s="251" t="s">
        <v>16</v>
      </c>
      <c r="H566" s="376">
        <v>2</v>
      </c>
      <c r="I566" s="376">
        <v>2</v>
      </c>
      <c r="J566" s="376">
        <v>3</v>
      </c>
      <c r="K566" s="376">
        <v>3</v>
      </c>
      <c r="L566" s="377">
        <v>2</v>
      </c>
      <c r="M566" s="378">
        <f t="shared" si="17"/>
        <v>0.60108474454521421</v>
      </c>
      <c r="N566" s="255"/>
    </row>
    <row r="567" spans="1:14" hidden="1" x14ac:dyDescent="0.2">
      <c r="A567" s="505" t="s">
        <v>374</v>
      </c>
      <c r="B567" s="459" t="s">
        <v>554</v>
      </c>
      <c r="C567" s="422" t="s">
        <v>34</v>
      </c>
      <c r="D567" s="248" t="s">
        <v>135</v>
      </c>
      <c r="E567" s="249">
        <v>2.4359775140537171E-5</v>
      </c>
      <c r="F567" s="374" t="s">
        <v>553</v>
      </c>
      <c r="G567" s="251" t="s">
        <v>16</v>
      </c>
      <c r="H567" s="376">
        <v>2</v>
      </c>
      <c r="I567" s="376">
        <v>2</v>
      </c>
      <c r="J567" s="376">
        <v>3</v>
      </c>
      <c r="K567" s="376">
        <v>3</v>
      </c>
      <c r="L567" s="377">
        <v>2</v>
      </c>
      <c r="M567" s="378">
        <f t="shared" si="17"/>
        <v>0.60108474454521421</v>
      </c>
      <c r="N567" s="255"/>
    </row>
    <row r="568" spans="1:14" hidden="1" x14ac:dyDescent="0.2">
      <c r="A568" s="505" t="s">
        <v>374</v>
      </c>
      <c r="B568" s="653" t="s">
        <v>552</v>
      </c>
      <c r="C568" s="422" t="s">
        <v>36</v>
      </c>
      <c r="D568" s="248" t="s">
        <v>135</v>
      </c>
      <c r="E568" s="249">
        <v>2.3497813866333539E-2</v>
      </c>
      <c r="F568" s="374" t="s">
        <v>553</v>
      </c>
      <c r="G568" s="251" t="s">
        <v>16</v>
      </c>
      <c r="H568" s="376">
        <v>2</v>
      </c>
      <c r="I568" s="376">
        <v>2</v>
      </c>
      <c r="J568" s="376">
        <v>3</v>
      </c>
      <c r="K568" s="376">
        <v>3</v>
      </c>
      <c r="L568" s="377">
        <v>2</v>
      </c>
      <c r="M568" s="378">
        <f t="shared" si="17"/>
        <v>0.60108474454521421</v>
      </c>
      <c r="N568" s="255"/>
    </row>
    <row r="569" spans="1:14" hidden="1" x14ac:dyDescent="0.2">
      <c r="A569" s="505" t="s">
        <v>374</v>
      </c>
      <c r="B569" s="459" t="s">
        <v>554</v>
      </c>
      <c r="C569" s="422" t="s">
        <v>36</v>
      </c>
      <c r="D569" s="248" t="s">
        <v>135</v>
      </c>
      <c r="E569" s="249">
        <v>4.1224234853216739E-5</v>
      </c>
      <c r="F569" s="374" t="s">
        <v>553</v>
      </c>
      <c r="G569" s="251" t="s">
        <v>16</v>
      </c>
      <c r="H569" s="376">
        <v>2</v>
      </c>
      <c r="I569" s="376">
        <v>2</v>
      </c>
      <c r="J569" s="376">
        <v>3</v>
      </c>
      <c r="K569" s="376">
        <v>3</v>
      </c>
      <c r="L569" s="377">
        <v>2</v>
      </c>
      <c r="M569" s="378">
        <f t="shared" si="17"/>
        <v>0.60108474454521421</v>
      </c>
      <c r="N569" s="255"/>
    </row>
    <row r="570" spans="1:14" hidden="1" x14ac:dyDescent="0.2">
      <c r="A570" s="505" t="s">
        <v>374</v>
      </c>
      <c r="B570" s="653" t="s">
        <v>552</v>
      </c>
      <c r="C570" s="422" t="s">
        <v>37</v>
      </c>
      <c r="D570" s="248" t="s">
        <v>135</v>
      </c>
      <c r="E570" s="249">
        <v>4.3791380387257967E-2</v>
      </c>
      <c r="F570" s="374" t="s">
        <v>553</v>
      </c>
      <c r="G570" s="251" t="s">
        <v>16</v>
      </c>
      <c r="H570" s="376">
        <v>2</v>
      </c>
      <c r="I570" s="376">
        <v>2</v>
      </c>
      <c r="J570" s="376">
        <v>3</v>
      </c>
      <c r="K570" s="376">
        <v>3</v>
      </c>
      <c r="L570" s="377">
        <v>2</v>
      </c>
      <c r="M570" s="378">
        <f t="shared" si="17"/>
        <v>0.60108474454521421</v>
      </c>
      <c r="N570" s="255"/>
    </row>
    <row r="571" spans="1:14" hidden="1" x14ac:dyDescent="0.2">
      <c r="A571" s="505" t="s">
        <v>374</v>
      </c>
      <c r="B571" s="459" t="s">
        <v>554</v>
      </c>
      <c r="C571" s="422" t="s">
        <v>37</v>
      </c>
      <c r="D571" s="248" t="s">
        <v>135</v>
      </c>
      <c r="E571" s="249">
        <v>7.6826983135540303E-5</v>
      </c>
      <c r="F571" s="374" t="s">
        <v>553</v>
      </c>
      <c r="G571" s="251" t="s">
        <v>16</v>
      </c>
      <c r="H571" s="376">
        <v>2</v>
      </c>
      <c r="I571" s="376">
        <v>2</v>
      </c>
      <c r="J571" s="376">
        <v>3</v>
      </c>
      <c r="K571" s="376">
        <v>3</v>
      </c>
      <c r="L571" s="377">
        <v>2</v>
      </c>
      <c r="M571" s="378">
        <f t="shared" si="17"/>
        <v>0.60108474454521421</v>
      </c>
      <c r="N571" s="255"/>
    </row>
    <row r="572" spans="1:14" hidden="1" x14ac:dyDescent="0.2">
      <c r="A572" s="505" t="s">
        <v>374</v>
      </c>
      <c r="B572" s="653" t="s">
        <v>552</v>
      </c>
      <c r="C572" s="422" t="s">
        <v>39</v>
      </c>
      <c r="D572" s="248" t="s">
        <v>135</v>
      </c>
      <c r="E572" s="249">
        <v>1.317301686445971E-2</v>
      </c>
      <c r="F572" s="374" t="s">
        <v>553</v>
      </c>
      <c r="G572" s="251" t="s">
        <v>16</v>
      </c>
      <c r="H572" s="376">
        <v>2</v>
      </c>
      <c r="I572" s="376">
        <v>2</v>
      </c>
      <c r="J572" s="376">
        <v>3</v>
      </c>
      <c r="K572" s="376">
        <v>3</v>
      </c>
      <c r="L572" s="377">
        <v>2</v>
      </c>
      <c r="M572" s="378">
        <f t="shared" si="17"/>
        <v>0.60108474454521421</v>
      </c>
      <c r="N572" s="255"/>
    </row>
    <row r="573" spans="1:14" hidden="1" x14ac:dyDescent="0.2">
      <c r="A573" s="505" t="s">
        <v>374</v>
      </c>
      <c r="B573" s="459" t="s">
        <v>554</v>
      </c>
      <c r="C573" s="422" t="s">
        <v>39</v>
      </c>
      <c r="D573" s="248" t="s">
        <v>135</v>
      </c>
      <c r="E573" s="249">
        <v>2.3110555902560899E-5</v>
      </c>
      <c r="F573" s="374" t="s">
        <v>553</v>
      </c>
      <c r="G573" s="251" t="s">
        <v>16</v>
      </c>
      <c r="H573" s="376">
        <v>2</v>
      </c>
      <c r="I573" s="376">
        <v>2</v>
      </c>
      <c r="J573" s="376">
        <v>3</v>
      </c>
      <c r="K573" s="376">
        <v>3</v>
      </c>
      <c r="L573" s="377">
        <v>2</v>
      </c>
      <c r="M573" s="378">
        <f t="shared" si="17"/>
        <v>0.60108474454521421</v>
      </c>
      <c r="N573" s="255"/>
    </row>
    <row r="574" spans="1:14" hidden="1" x14ac:dyDescent="0.2">
      <c r="A574" s="505" t="s">
        <v>374</v>
      </c>
      <c r="B574" s="653" t="s">
        <v>552</v>
      </c>
      <c r="C574" s="422" t="s">
        <v>40</v>
      </c>
      <c r="D574" s="248" t="s">
        <v>135</v>
      </c>
      <c r="E574" s="249">
        <v>3.6314803247970033E-2</v>
      </c>
      <c r="F574" s="374" t="s">
        <v>553</v>
      </c>
      <c r="G574" s="251" t="s">
        <v>16</v>
      </c>
      <c r="H574" s="376">
        <v>2</v>
      </c>
      <c r="I574" s="376">
        <v>2</v>
      </c>
      <c r="J574" s="376">
        <v>3</v>
      </c>
      <c r="K574" s="376">
        <v>3</v>
      </c>
      <c r="L574" s="377">
        <v>2</v>
      </c>
      <c r="M574" s="378">
        <f t="shared" si="17"/>
        <v>0.60108474454521421</v>
      </c>
      <c r="N574" s="255"/>
    </row>
    <row r="575" spans="1:14" hidden="1" x14ac:dyDescent="0.2">
      <c r="A575" s="505" t="s">
        <v>374</v>
      </c>
      <c r="B575" s="459" t="s">
        <v>554</v>
      </c>
      <c r="C575" s="422" t="s">
        <v>40</v>
      </c>
      <c r="D575" s="248" t="s">
        <v>135</v>
      </c>
      <c r="E575" s="249">
        <v>6.3710181136789512E-5</v>
      </c>
      <c r="F575" s="374" t="s">
        <v>553</v>
      </c>
      <c r="G575" s="251" t="s">
        <v>16</v>
      </c>
      <c r="H575" s="376">
        <v>2</v>
      </c>
      <c r="I575" s="376">
        <v>2</v>
      </c>
      <c r="J575" s="376">
        <v>3</v>
      </c>
      <c r="K575" s="376">
        <v>3</v>
      </c>
      <c r="L575" s="377">
        <v>2</v>
      </c>
      <c r="M575" s="378">
        <f t="shared" si="17"/>
        <v>0.60108474454521421</v>
      </c>
      <c r="N575" s="255"/>
    </row>
    <row r="576" spans="1:14" hidden="1" x14ac:dyDescent="0.2">
      <c r="A576" s="505" t="s">
        <v>374</v>
      </c>
      <c r="B576" s="653" t="s">
        <v>552</v>
      </c>
      <c r="C576" s="422" t="s">
        <v>41</v>
      </c>
      <c r="D576" s="248" t="s">
        <v>135</v>
      </c>
      <c r="E576" s="249">
        <v>7.12054965646471E-2</v>
      </c>
      <c r="F576" s="374" t="s">
        <v>553</v>
      </c>
      <c r="G576" s="251" t="s">
        <v>16</v>
      </c>
      <c r="H576" s="376">
        <v>2</v>
      </c>
      <c r="I576" s="376">
        <v>2</v>
      </c>
      <c r="J576" s="376">
        <v>3</v>
      </c>
      <c r="K576" s="376">
        <v>3</v>
      </c>
      <c r="L576" s="377">
        <v>2</v>
      </c>
      <c r="M576" s="378">
        <f t="shared" si="17"/>
        <v>0.60108474454521421</v>
      </c>
      <c r="N576" s="255"/>
    </row>
    <row r="577" spans="1:14" hidden="1" x14ac:dyDescent="0.2">
      <c r="A577" s="505" t="s">
        <v>374</v>
      </c>
      <c r="B577" s="459" t="s">
        <v>554</v>
      </c>
      <c r="C577" s="422" t="s">
        <v>41</v>
      </c>
      <c r="D577" s="248" t="s">
        <v>135</v>
      </c>
      <c r="E577" s="249">
        <v>1.2492192379762651E-4</v>
      </c>
      <c r="F577" s="374" t="s">
        <v>553</v>
      </c>
      <c r="G577" s="251" t="s">
        <v>16</v>
      </c>
      <c r="H577" s="376">
        <v>2</v>
      </c>
      <c r="I577" s="376">
        <v>2</v>
      </c>
      <c r="J577" s="376">
        <v>3</v>
      </c>
      <c r="K577" s="376">
        <v>3</v>
      </c>
      <c r="L577" s="377">
        <v>2</v>
      </c>
      <c r="M577" s="378">
        <f t="shared" si="17"/>
        <v>0.60108474454521421</v>
      </c>
      <c r="N577" s="255"/>
    </row>
    <row r="578" spans="1:14" hidden="1" x14ac:dyDescent="0.2">
      <c r="A578" s="505" t="s">
        <v>374</v>
      </c>
      <c r="B578" s="653" t="s">
        <v>552</v>
      </c>
      <c r="C578" s="422" t="s">
        <v>42</v>
      </c>
      <c r="D578" s="248" t="s">
        <v>135</v>
      </c>
      <c r="E578" s="249">
        <v>1.8513429106808251E-2</v>
      </c>
      <c r="F578" s="374" t="s">
        <v>553</v>
      </c>
      <c r="G578" s="251" t="s">
        <v>16</v>
      </c>
      <c r="H578" s="376">
        <v>2</v>
      </c>
      <c r="I578" s="376">
        <v>2</v>
      </c>
      <c r="J578" s="376">
        <v>3</v>
      </c>
      <c r="K578" s="376">
        <v>3</v>
      </c>
      <c r="L578" s="377">
        <v>2</v>
      </c>
      <c r="M578" s="378">
        <f t="shared" si="17"/>
        <v>0.60108474454521421</v>
      </c>
      <c r="N578" s="255"/>
    </row>
    <row r="579" spans="1:14" hidden="1" x14ac:dyDescent="0.2">
      <c r="A579" s="505" t="s">
        <v>374</v>
      </c>
      <c r="B579" s="459" t="s">
        <v>554</v>
      </c>
      <c r="C579" s="422" t="s">
        <v>42</v>
      </c>
      <c r="D579" s="248" t="s">
        <v>135</v>
      </c>
      <c r="E579" s="249">
        <v>3.2479700187382892E-5</v>
      </c>
      <c r="F579" s="374" t="s">
        <v>553</v>
      </c>
      <c r="G579" s="251" t="s">
        <v>16</v>
      </c>
      <c r="H579" s="376">
        <v>2</v>
      </c>
      <c r="I579" s="376">
        <v>2</v>
      </c>
      <c r="J579" s="376">
        <v>3</v>
      </c>
      <c r="K579" s="376">
        <v>3</v>
      </c>
      <c r="L579" s="377">
        <v>2</v>
      </c>
      <c r="M579" s="378">
        <f t="shared" si="17"/>
        <v>0.60108474454521421</v>
      </c>
      <c r="N579" s="255"/>
    </row>
    <row r="580" spans="1:14" hidden="1" x14ac:dyDescent="0.2">
      <c r="A580" s="505" t="s">
        <v>374</v>
      </c>
      <c r="B580" s="653" t="s">
        <v>552</v>
      </c>
      <c r="C580" s="422" t="s">
        <v>43</v>
      </c>
      <c r="D580" s="248" t="s">
        <v>135</v>
      </c>
      <c r="E580" s="249">
        <v>3.0618363522798259E-2</v>
      </c>
      <c r="F580" s="374" t="s">
        <v>553</v>
      </c>
      <c r="G580" s="251" t="s">
        <v>16</v>
      </c>
      <c r="H580" s="376">
        <v>2</v>
      </c>
      <c r="I580" s="376">
        <v>2</v>
      </c>
      <c r="J580" s="376">
        <v>3</v>
      </c>
      <c r="K580" s="376">
        <v>3</v>
      </c>
      <c r="L580" s="377">
        <v>2</v>
      </c>
      <c r="M580" s="378">
        <f>IF( OR( ISBLANK(H580),ISBLANK(I580), ISBLANK(J580), ISBLANK(K580), ISBLANK(L580) ), "", 1.5*SQRT(   EXP(2.21*(H580-1)) + EXP(2.21*(I580-1)) + EXP(2.21*(J580-1)) + EXP(2.21*(K580-1)) + EXP(2.21*L580)   )/100*2.45 )</f>
        <v>0.60108474454521421</v>
      </c>
      <c r="N580" s="255"/>
    </row>
    <row r="581" spans="1:14" hidden="1" x14ac:dyDescent="0.2">
      <c r="A581" s="505" t="s">
        <v>374</v>
      </c>
      <c r="B581" s="459" t="s">
        <v>554</v>
      </c>
      <c r="C581" s="422" t="s">
        <v>43</v>
      </c>
      <c r="D581" s="248" t="s">
        <v>135</v>
      </c>
      <c r="E581" s="249">
        <v>5.3716427232979387E-5</v>
      </c>
      <c r="F581" s="374" t="s">
        <v>553</v>
      </c>
      <c r="G581" s="251" t="s">
        <v>16</v>
      </c>
      <c r="H581" s="376">
        <v>2</v>
      </c>
      <c r="I581" s="376">
        <v>2</v>
      </c>
      <c r="J581" s="376">
        <v>3</v>
      </c>
      <c r="K581" s="376">
        <v>3</v>
      </c>
      <c r="L581" s="377">
        <v>2</v>
      </c>
      <c r="M581" s="378">
        <f t="shared" ref="M581:M612" si="18">IF( OR( ISBLANK(H581),ISBLANK(I581), ISBLANK(J581), ISBLANK(K581), ISBLANK(L581) ), "", 1.5*SQRT( EXP(2.21*(H581-1)) + EXP(2.21*(I581-1)) + EXP(2.21*(J581-1)) + EXP(2.21*(K581-1)) + EXP(2.21*L581) )/100*2.45 )</f>
        <v>0.60108474454521421</v>
      </c>
      <c r="N581" s="255"/>
    </row>
    <row r="582" spans="1:14" hidden="1" x14ac:dyDescent="0.2">
      <c r="A582" s="505" t="s">
        <v>374</v>
      </c>
      <c r="B582" s="653" t="s">
        <v>552</v>
      </c>
      <c r="C582" s="422" t="s">
        <v>45</v>
      </c>
      <c r="D582" s="248" t="s">
        <v>135</v>
      </c>
      <c r="E582" s="249">
        <v>5.3404122423485328E-3</v>
      </c>
      <c r="F582" s="374" t="s">
        <v>553</v>
      </c>
      <c r="G582" s="251" t="s">
        <v>16</v>
      </c>
      <c r="H582" s="376">
        <v>2</v>
      </c>
      <c r="I582" s="376">
        <v>2</v>
      </c>
      <c r="J582" s="376">
        <v>3</v>
      </c>
      <c r="K582" s="376">
        <v>3</v>
      </c>
      <c r="L582" s="377">
        <v>2</v>
      </c>
      <c r="M582" s="378">
        <f t="shared" si="18"/>
        <v>0.60108474454521421</v>
      </c>
      <c r="N582" s="255"/>
    </row>
    <row r="583" spans="1:14" hidden="1" x14ac:dyDescent="0.2">
      <c r="A583" s="505" t="s">
        <v>374</v>
      </c>
      <c r="B583" s="459" t="s">
        <v>554</v>
      </c>
      <c r="C583" s="422" t="s">
        <v>45</v>
      </c>
      <c r="D583" s="248" t="s">
        <v>135</v>
      </c>
      <c r="E583" s="249">
        <v>9.3691442848219878E-6</v>
      </c>
      <c r="F583" s="374" t="s">
        <v>553</v>
      </c>
      <c r="G583" s="251" t="s">
        <v>16</v>
      </c>
      <c r="H583" s="376">
        <v>2</v>
      </c>
      <c r="I583" s="376">
        <v>2</v>
      </c>
      <c r="J583" s="376">
        <v>3</v>
      </c>
      <c r="K583" s="376">
        <v>3</v>
      </c>
      <c r="L583" s="377">
        <v>2</v>
      </c>
      <c r="M583" s="378">
        <f t="shared" si="18"/>
        <v>0.60108474454521421</v>
      </c>
      <c r="N583" s="255"/>
    </row>
    <row r="584" spans="1:14" hidden="1" x14ac:dyDescent="0.2">
      <c r="A584" s="505" t="s">
        <v>374</v>
      </c>
      <c r="B584" s="653" t="s">
        <v>552</v>
      </c>
      <c r="C584" s="422" t="s">
        <v>46</v>
      </c>
      <c r="D584" s="248" t="s">
        <v>135</v>
      </c>
      <c r="E584" s="249">
        <v>2.812617114303561E-2</v>
      </c>
      <c r="F584" s="374" t="s">
        <v>553</v>
      </c>
      <c r="G584" s="251" t="s">
        <v>16</v>
      </c>
      <c r="H584" s="376">
        <v>2</v>
      </c>
      <c r="I584" s="376">
        <v>2</v>
      </c>
      <c r="J584" s="376">
        <v>3</v>
      </c>
      <c r="K584" s="376">
        <v>3</v>
      </c>
      <c r="L584" s="377">
        <v>2</v>
      </c>
      <c r="M584" s="378">
        <f t="shared" si="18"/>
        <v>0.60108474454521421</v>
      </c>
      <c r="N584" s="255"/>
    </row>
    <row r="585" spans="1:14" hidden="1" x14ac:dyDescent="0.2">
      <c r="A585" s="505" t="s">
        <v>374</v>
      </c>
      <c r="B585" s="459" t="s">
        <v>554</v>
      </c>
      <c r="C585" s="422" t="s">
        <v>46</v>
      </c>
      <c r="D585" s="248" t="s">
        <v>135</v>
      </c>
      <c r="E585" s="249">
        <v>4.9344159900062457E-5</v>
      </c>
      <c r="F585" s="374" t="s">
        <v>553</v>
      </c>
      <c r="G585" s="251" t="s">
        <v>16</v>
      </c>
      <c r="H585" s="376">
        <v>2</v>
      </c>
      <c r="I585" s="376">
        <v>2</v>
      </c>
      <c r="J585" s="376">
        <v>3</v>
      </c>
      <c r="K585" s="376">
        <v>3</v>
      </c>
      <c r="L585" s="377">
        <v>2</v>
      </c>
      <c r="M585" s="378">
        <f t="shared" si="18"/>
        <v>0.60108474454521421</v>
      </c>
      <c r="N585" s="255"/>
    </row>
    <row r="586" spans="1:14" hidden="1" x14ac:dyDescent="0.2">
      <c r="A586" s="505" t="s">
        <v>374</v>
      </c>
      <c r="B586" s="653" t="s">
        <v>552</v>
      </c>
      <c r="C586" s="422" t="s">
        <v>48</v>
      </c>
      <c r="D586" s="248" t="s">
        <v>135</v>
      </c>
      <c r="E586" s="249">
        <v>2.7770143660212371E-2</v>
      </c>
      <c r="F586" s="374" t="s">
        <v>553</v>
      </c>
      <c r="G586" s="251" t="s">
        <v>16</v>
      </c>
      <c r="H586" s="376">
        <v>2</v>
      </c>
      <c r="I586" s="376">
        <v>2</v>
      </c>
      <c r="J586" s="376">
        <v>3</v>
      </c>
      <c r="K586" s="376">
        <v>3</v>
      </c>
      <c r="L586" s="377">
        <v>2</v>
      </c>
      <c r="M586" s="378">
        <f t="shared" si="18"/>
        <v>0.60108474454521421</v>
      </c>
      <c r="N586" s="255"/>
    </row>
    <row r="587" spans="1:14" hidden="1" x14ac:dyDescent="0.2">
      <c r="A587" s="505" t="s">
        <v>374</v>
      </c>
      <c r="B587" s="459" t="s">
        <v>554</v>
      </c>
      <c r="C587" s="422" t="s">
        <v>48</v>
      </c>
      <c r="D587" s="248" t="s">
        <v>135</v>
      </c>
      <c r="E587" s="249">
        <v>4.8719550281074328E-5</v>
      </c>
      <c r="F587" s="374" t="s">
        <v>553</v>
      </c>
      <c r="G587" s="251" t="s">
        <v>16</v>
      </c>
      <c r="H587" s="376">
        <v>2</v>
      </c>
      <c r="I587" s="376">
        <v>2</v>
      </c>
      <c r="J587" s="376">
        <v>3</v>
      </c>
      <c r="K587" s="376">
        <v>3</v>
      </c>
      <c r="L587" s="377">
        <v>2</v>
      </c>
      <c r="M587" s="378">
        <f t="shared" si="18"/>
        <v>0.60108474454521421</v>
      </c>
      <c r="N587" s="255"/>
    </row>
    <row r="588" spans="1:14" hidden="1" x14ac:dyDescent="0.2">
      <c r="A588" s="505" t="s">
        <v>374</v>
      </c>
      <c r="B588" s="653" t="s">
        <v>552</v>
      </c>
      <c r="C588" s="422" t="s">
        <v>50</v>
      </c>
      <c r="D588" s="248" t="s">
        <v>135</v>
      </c>
      <c r="E588" s="249">
        <v>5.3404122423485328E-3</v>
      </c>
      <c r="F588" s="374" t="s">
        <v>553</v>
      </c>
      <c r="G588" s="251" t="s">
        <v>16</v>
      </c>
      <c r="H588" s="376">
        <v>2</v>
      </c>
      <c r="I588" s="376">
        <v>2</v>
      </c>
      <c r="J588" s="376">
        <v>3</v>
      </c>
      <c r="K588" s="376">
        <v>3</v>
      </c>
      <c r="L588" s="377">
        <v>2</v>
      </c>
      <c r="M588" s="378">
        <f t="shared" si="18"/>
        <v>0.60108474454521421</v>
      </c>
      <c r="N588" s="255"/>
    </row>
    <row r="589" spans="1:14" hidden="1" x14ac:dyDescent="0.2">
      <c r="A589" s="505" t="s">
        <v>374</v>
      </c>
      <c r="B589" s="459" t="s">
        <v>554</v>
      </c>
      <c r="C589" s="422" t="s">
        <v>50</v>
      </c>
      <c r="D589" s="248" t="s">
        <v>135</v>
      </c>
      <c r="E589" s="249">
        <v>9.3691442848219878E-6</v>
      </c>
      <c r="F589" s="374" t="s">
        <v>553</v>
      </c>
      <c r="G589" s="251" t="s">
        <v>16</v>
      </c>
      <c r="H589" s="376">
        <v>2</v>
      </c>
      <c r="I589" s="376">
        <v>2</v>
      </c>
      <c r="J589" s="376">
        <v>3</v>
      </c>
      <c r="K589" s="376">
        <v>3</v>
      </c>
      <c r="L589" s="377">
        <v>2</v>
      </c>
      <c r="M589" s="378">
        <f t="shared" si="18"/>
        <v>0.60108474454521421</v>
      </c>
      <c r="N589" s="255"/>
    </row>
    <row r="590" spans="1:14" hidden="1" x14ac:dyDescent="0.2">
      <c r="A590" s="505" t="s">
        <v>374</v>
      </c>
      <c r="B590" s="653" t="s">
        <v>552</v>
      </c>
      <c r="C590" s="422" t="s">
        <v>52</v>
      </c>
      <c r="D590" s="248" t="s">
        <v>135</v>
      </c>
      <c r="E590" s="249">
        <v>2.812617114303561E-2</v>
      </c>
      <c r="F590" s="374" t="s">
        <v>553</v>
      </c>
      <c r="G590" s="251" t="s">
        <v>16</v>
      </c>
      <c r="H590" s="376">
        <v>2</v>
      </c>
      <c r="I590" s="376">
        <v>2</v>
      </c>
      <c r="J590" s="376">
        <v>3</v>
      </c>
      <c r="K590" s="376">
        <v>3</v>
      </c>
      <c r="L590" s="377">
        <v>2</v>
      </c>
      <c r="M590" s="378">
        <f t="shared" si="18"/>
        <v>0.60108474454521421</v>
      </c>
      <c r="N590" s="255"/>
    </row>
    <row r="591" spans="1:14" hidden="1" x14ac:dyDescent="0.2">
      <c r="A591" s="505" t="s">
        <v>374</v>
      </c>
      <c r="B591" s="459" t="s">
        <v>554</v>
      </c>
      <c r="C591" s="422" t="s">
        <v>52</v>
      </c>
      <c r="D591" s="248" t="s">
        <v>135</v>
      </c>
      <c r="E591" s="249">
        <v>4.9344159900062457E-5</v>
      </c>
      <c r="F591" s="374" t="s">
        <v>553</v>
      </c>
      <c r="G591" s="251" t="s">
        <v>16</v>
      </c>
      <c r="H591" s="376">
        <v>2</v>
      </c>
      <c r="I591" s="376">
        <v>2</v>
      </c>
      <c r="J591" s="376">
        <v>3</v>
      </c>
      <c r="K591" s="376">
        <v>3</v>
      </c>
      <c r="L591" s="377">
        <v>2</v>
      </c>
      <c r="M591" s="378">
        <f t="shared" si="18"/>
        <v>0.60108474454521421</v>
      </c>
      <c r="N591" s="255"/>
    </row>
    <row r="592" spans="1:14" hidden="1" x14ac:dyDescent="0.2">
      <c r="A592" s="505" t="s">
        <v>374</v>
      </c>
      <c r="B592" s="653" t="s">
        <v>552</v>
      </c>
      <c r="C592" s="422" t="s">
        <v>54</v>
      </c>
      <c r="D592" s="248" t="s">
        <v>135</v>
      </c>
      <c r="E592" s="249">
        <v>2.812617114303561E-2</v>
      </c>
      <c r="F592" s="374" t="s">
        <v>553</v>
      </c>
      <c r="G592" s="251" t="s">
        <v>16</v>
      </c>
      <c r="H592" s="376">
        <v>2</v>
      </c>
      <c r="I592" s="376">
        <v>2</v>
      </c>
      <c r="J592" s="376">
        <v>3</v>
      </c>
      <c r="K592" s="376">
        <v>3</v>
      </c>
      <c r="L592" s="377">
        <v>2</v>
      </c>
      <c r="M592" s="378">
        <f t="shared" si="18"/>
        <v>0.60108474454521421</v>
      </c>
      <c r="N592" s="255"/>
    </row>
    <row r="593" spans="1:14" hidden="1" x14ac:dyDescent="0.2">
      <c r="A593" s="505" t="s">
        <v>374</v>
      </c>
      <c r="B593" s="459" t="s">
        <v>554</v>
      </c>
      <c r="C593" s="422" t="s">
        <v>54</v>
      </c>
      <c r="D593" s="248" t="s">
        <v>135</v>
      </c>
      <c r="E593" s="249">
        <v>4.9344159900062457E-5</v>
      </c>
      <c r="F593" s="374" t="s">
        <v>553</v>
      </c>
      <c r="G593" s="251" t="s">
        <v>16</v>
      </c>
      <c r="H593" s="376">
        <v>2</v>
      </c>
      <c r="I593" s="376">
        <v>2</v>
      </c>
      <c r="J593" s="376">
        <v>3</v>
      </c>
      <c r="K593" s="376">
        <v>3</v>
      </c>
      <c r="L593" s="377">
        <v>2</v>
      </c>
      <c r="M593" s="378">
        <f t="shared" si="18"/>
        <v>0.60108474454521421</v>
      </c>
      <c r="N593" s="255"/>
    </row>
    <row r="594" spans="1:14" hidden="1" x14ac:dyDescent="0.2">
      <c r="A594" s="505" t="s">
        <v>374</v>
      </c>
      <c r="B594" s="653" t="s">
        <v>552</v>
      </c>
      <c r="C594" s="422" t="s">
        <v>55</v>
      </c>
      <c r="D594" s="248" t="s">
        <v>135</v>
      </c>
      <c r="E594" s="249">
        <v>2.7770143660212371E-2</v>
      </c>
      <c r="F594" s="374" t="s">
        <v>553</v>
      </c>
      <c r="G594" s="251" t="s">
        <v>16</v>
      </c>
      <c r="H594" s="376">
        <v>2</v>
      </c>
      <c r="I594" s="376">
        <v>2</v>
      </c>
      <c r="J594" s="376">
        <v>3</v>
      </c>
      <c r="K594" s="376">
        <v>3</v>
      </c>
      <c r="L594" s="377">
        <v>2</v>
      </c>
      <c r="M594" s="378">
        <f t="shared" si="18"/>
        <v>0.60108474454521421</v>
      </c>
      <c r="N594" s="255"/>
    </row>
    <row r="595" spans="1:14" hidden="1" x14ac:dyDescent="0.2">
      <c r="A595" s="505" t="s">
        <v>374</v>
      </c>
      <c r="B595" s="459" t="s">
        <v>554</v>
      </c>
      <c r="C595" s="422" t="s">
        <v>55</v>
      </c>
      <c r="D595" s="248" t="s">
        <v>135</v>
      </c>
      <c r="E595" s="249">
        <v>4.8719550281074328E-5</v>
      </c>
      <c r="F595" s="374" t="s">
        <v>553</v>
      </c>
      <c r="G595" s="251" t="s">
        <v>16</v>
      </c>
      <c r="H595" s="376">
        <v>2</v>
      </c>
      <c r="I595" s="376">
        <v>2</v>
      </c>
      <c r="J595" s="376">
        <v>3</v>
      </c>
      <c r="K595" s="376">
        <v>3</v>
      </c>
      <c r="L595" s="377">
        <v>2</v>
      </c>
      <c r="M595" s="378">
        <f t="shared" si="18"/>
        <v>0.60108474454521421</v>
      </c>
      <c r="N595" s="255"/>
    </row>
    <row r="596" spans="1:14" hidden="1" x14ac:dyDescent="0.2">
      <c r="A596" s="505" t="s">
        <v>374</v>
      </c>
      <c r="B596" s="653" t="s">
        <v>552</v>
      </c>
      <c r="C596" s="422" t="s">
        <v>57</v>
      </c>
      <c r="D596" s="248" t="s">
        <v>135</v>
      </c>
      <c r="E596" s="249">
        <v>2.919425359150531E-2</v>
      </c>
      <c r="F596" s="374" t="s">
        <v>553</v>
      </c>
      <c r="G596" s="375" t="s">
        <v>16</v>
      </c>
      <c r="H596" s="376">
        <v>2</v>
      </c>
      <c r="I596" s="376">
        <v>2</v>
      </c>
      <c r="J596" s="376">
        <v>3</v>
      </c>
      <c r="K596" s="376">
        <v>3</v>
      </c>
      <c r="L596" s="377">
        <v>2</v>
      </c>
      <c r="M596" s="254">
        <f t="shared" si="18"/>
        <v>0.60108474454521421</v>
      </c>
      <c r="N596" s="255"/>
    </row>
    <row r="597" spans="1:14" hidden="1" x14ac:dyDescent="0.2">
      <c r="A597" s="505" t="s">
        <v>374</v>
      </c>
      <c r="B597" s="459" t="s">
        <v>554</v>
      </c>
      <c r="C597" s="422" t="s">
        <v>57</v>
      </c>
      <c r="D597" s="248" t="s">
        <v>135</v>
      </c>
      <c r="E597" s="249">
        <v>5.1217988757026857E-5</v>
      </c>
      <c r="F597" s="374" t="s">
        <v>553</v>
      </c>
      <c r="G597" s="251" t="s">
        <v>16</v>
      </c>
      <c r="H597" s="376">
        <v>2</v>
      </c>
      <c r="I597" s="376">
        <v>2</v>
      </c>
      <c r="J597" s="376">
        <v>3</v>
      </c>
      <c r="K597" s="376">
        <v>3</v>
      </c>
      <c r="L597" s="377">
        <v>2</v>
      </c>
      <c r="M597" s="378">
        <f t="shared" si="18"/>
        <v>0.60108474454521421</v>
      </c>
      <c r="N597" s="255"/>
    </row>
    <row r="598" spans="1:14" hidden="1" x14ac:dyDescent="0.2">
      <c r="A598" s="505" t="s">
        <v>374</v>
      </c>
      <c r="B598" s="653" t="s">
        <v>552</v>
      </c>
      <c r="C598" s="422" t="s">
        <v>59</v>
      </c>
      <c r="D598" s="248" t="s">
        <v>135</v>
      </c>
      <c r="E598" s="249">
        <v>5.7000000000000002E-2</v>
      </c>
      <c r="F598" s="374" t="s">
        <v>360</v>
      </c>
      <c r="G598" s="375"/>
      <c r="H598" s="376">
        <v>2</v>
      </c>
      <c r="I598" s="376">
        <v>2</v>
      </c>
      <c r="J598" s="376">
        <v>3</v>
      </c>
      <c r="K598" s="376">
        <v>3</v>
      </c>
      <c r="L598" s="377">
        <v>2</v>
      </c>
      <c r="M598" s="254">
        <f t="shared" si="18"/>
        <v>0.60108474454521421</v>
      </c>
      <c r="N598" s="255"/>
    </row>
    <row r="599" spans="1:14" hidden="1" x14ac:dyDescent="0.2">
      <c r="A599" s="505" t="s">
        <v>374</v>
      </c>
      <c r="B599" s="459" t="s">
        <v>554</v>
      </c>
      <c r="C599" s="422" t="s">
        <v>59</v>
      </c>
      <c r="D599" s="248" t="s">
        <v>135</v>
      </c>
      <c r="E599" s="249">
        <v>1E-4</v>
      </c>
      <c r="F599" s="374" t="s">
        <v>360</v>
      </c>
      <c r="G599" s="251"/>
      <c r="H599" s="376">
        <v>2</v>
      </c>
      <c r="I599" s="376">
        <v>2</v>
      </c>
      <c r="J599" s="376">
        <v>3</v>
      </c>
      <c r="K599" s="376">
        <v>3</v>
      </c>
      <c r="L599" s="377">
        <v>2</v>
      </c>
      <c r="M599" s="378">
        <f t="shared" si="18"/>
        <v>0.60108474454521421</v>
      </c>
      <c r="N599" s="255"/>
    </row>
    <row r="600" spans="1:14" hidden="1" x14ac:dyDescent="0.2">
      <c r="A600" s="505" t="s">
        <v>374</v>
      </c>
      <c r="B600" s="653" t="s">
        <v>552</v>
      </c>
      <c r="C600" s="422" t="s">
        <v>60</v>
      </c>
      <c r="D600" s="248" t="s">
        <v>135</v>
      </c>
      <c r="E600" s="249">
        <v>2.3141786383510311E-2</v>
      </c>
      <c r="F600" s="374" t="s">
        <v>553</v>
      </c>
      <c r="G600" s="375" t="s">
        <v>16</v>
      </c>
      <c r="H600" s="376">
        <v>2</v>
      </c>
      <c r="I600" s="376">
        <v>2</v>
      </c>
      <c r="J600" s="376">
        <v>3</v>
      </c>
      <c r="K600" s="376">
        <v>3</v>
      </c>
      <c r="L600" s="377">
        <v>2</v>
      </c>
      <c r="M600" s="254">
        <f t="shared" si="18"/>
        <v>0.60108474454521421</v>
      </c>
      <c r="N600" s="255"/>
    </row>
    <row r="601" spans="1:14" hidden="1" x14ac:dyDescent="0.2">
      <c r="A601" s="508" t="s">
        <v>374</v>
      </c>
      <c r="B601" s="513" t="s">
        <v>554</v>
      </c>
      <c r="C601" s="427" t="s">
        <v>60</v>
      </c>
      <c r="D601" s="441" t="s">
        <v>135</v>
      </c>
      <c r="E601" s="288">
        <v>4.059962523422861E-5</v>
      </c>
      <c r="F601" s="399" t="s">
        <v>553</v>
      </c>
      <c r="G601" s="290" t="s">
        <v>16</v>
      </c>
      <c r="H601" s="398">
        <v>2</v>
      </c>
      <c r="I601" s="398">
        <v>2</v>
      </c>
      <c r="J601" s="398">
        <v>3</v>
      </c>
      <c r="K601" s="398">
        <v>3</v>
      </c>
      <c r="L601" s="407">
        <v>2</v>
      </c>
      <c r="M601" s="408">
        <f t="shared" si="18"/>
        <v>0.60108474454521421</v>
      </c>
      <c r="N601" s="294"/>
    </row>
    <row r="602" spans="1:14" x14ac:dyDescent="0.2">
      <c r="A602" s="505" t="s">
        <v>349</v>
      </c>
      <c r="B602" s="652" t="s">
        <v>552</v>
      </c>
      <c r="C602" s="422" t="s">
        <v>13</v>
      </c>
      <c r="D602" s="433" t="s">
        <v>135</v>
      </c>
      <c r="E602" s="266">
        <v>1.260712054965646E-2</v>
      </c>
      <c r="F602" s="389" t="s">
        <v>553</v>
      </c>
      <c r="G602" s="390" t="s">
        <v>16</v>
      </c>
      <c r="H602" s="391">
        <v>2</v>
      </c>
      <c r="I602" s="391">
        <v>2</v>
      </c>
      <c r="J602" s="391">
        <v>3</v>
      </c>
      <c r="K602" s="391">
        <v>3</v>
      </c>
      <c r="L602" s="392">
        <v>2</v>
      </c>
      <c r="M602" s="271">
        <f t="shared" si="18"/>
        <v>0.60108474454521421</v>
      </c>
      <c r="N602" s="272"/>
    </row>
    <row r="603" spans="1:14" x14ac:dyDescent="0.2">
      <c r="A603" s="505" t="s">
        <v>349</v>
      </c>
      <c r="B603" s="459" t="s">
        <v>554</v>
      </c>
      <c r="C603" s="422" t="s">
        <v>13</v>
      </c>
      <c r="D603" s="248" t="s">
        <v>135</v>
      </c>
      <c r="E603" s="249">
        <v>2.1736414740787008E-5</v>
      </c>
      <c r="F603" s="374" t="s">
        <v>553</v>
      </c>
      <c r="G603" s="251" t="s">
        <v>16</v>
      </c>
      <c r="H603" s="376">
        <v>2</v>
      </c>
      <c r="I603" s="376">
        <v>2</v>
      </c>
      <c r="J603" s="376">
        <v>3</v>
      </c>
      <c r="K603" s="376">
        <v>3</v>
      </c>
      <c r="L603" s="377">
        <v>2</v>
      </c>
      <c r="M603" s="378">
        <f t="shared" si="18"/>
        <v>0.60108474454521421</v>
      </c>
      <c r="N603" s="255"/>
    </row>
    <row r="604" spans="1:14" hidden="1" x14ac:dyDescent="0.2">
      <c r="A604" s="505" t="s">
        <v>349</v>
      </c>
      <c r="B604" s="653" t="s">
        <v>552</v>
      </c>
      <c r="C604" s="422" t="s">
        <v>18</v>
      </c>
      <c r="D604" s="248" t="s">
        <v>135</v>
      </c>
      <c r="E604" s="249">
        <v>1.101311680199875E-2</v>
      </c>
      <c r="F604" s="374" t="s">
        <v>553</v>
      </c>
      <c r="G604" s="251" t="s">
        <v>16</v>
      </c>
      <c r="H604" s="376">
        <v>2</v>
      </c>
      <c r="I604" s="376">
        <v>2</v>
      </c>
      <c r="J604" s="376">
        <v>3</v>
      </c>
      <c r="K604" s="376">
        <v>3</v>
      </c>
      <c r="L604" s="377">
        <v>2</v>
      </c>
      <c r="M604" s="378">
        <f t="shared" si="18"/>
        <v>0.60108474454521421</v>
      </c>
      <c r="N604" s="255"/>
    </row>
    <row r="605" spans="1:14" hidden="1" x14ac:dyDescent="0.2">
      <c r="A605" s="505" t="s">
        <v>349</v>
      </c>
      <c r="B605" s="459" t="s">
        <v>554</v>
      </c>
      <c r="C605" s="422" t="s">
        <v>18</v>
      </c>
      <c r="D605" s="248" t="s">
        <v>135</v>
      </c>
      <c r="E605" s="249">
        <v>1.8988132417239231E-5</v>
      </c>
      <c r="F605" s="374" t="s">
        <v>553</v>
      </c>
      <c r="G605" s="251" t="s">
        <v>16</v>
      </c>
      <c r="H605" s="376">
        <v>2</v>
      </c>
      <c r="I605" s="376">
        <v>2</v>
      </c>
      <c r="J605" s="376">
        <v>3</v>
      </c>
      <c r="K605" s="376">
        <v>3</v>
      </c>
      <c r="L605" s="377">
        <v>2</v>
      </c>
      <c r="M605" s="378">
        <f t="shared" si="18"/>
        <v>0.60108474454521421</v>
      </c>
      <c r="N605" s="255"/>
    </row>
    <row r="606" spans="1:14" hidden="1" x14ac:dyDescent="0.2">
      <c r="A606" s="505" t="s">
        <v>349</v>
      </c>
      <c r="B606" s="653" t="s">
        <v>552</v>
      </c>
      <c r="C606" s="422" t="s">
        <v>20</v>
      </c>
      <c r="D606" s="248" t="s">
        <v>135</v>
      </c>
      <c r="E606" s="249">
        <v>7.2454715802623356E-4</v>
      </c>
      <c r="F606" s="374" t="s">
        <v>553</v>
      </c>
      <c r="G606" s="251" t="s">
        <v>16</v>
      </c>
      <c r="H606" s="376">
        <v>2</v>
      </c>
      <c r="I606" s="376">
        <v>2</v>
      </c>
      <c r="J606" s="376">
        <v>3</v>
      </c>
      <c r="K606" s="376">
        <v>3</v>
      </c>
      <c r="L606" s="377">
        <v>2</v>
      </c>
      <c r="M606" s="378">
        <f t="shared" si="18"/>
        <v>0.60108474454521421</v>
      </c>
      <c r="N606" s="255"/>
    </row>
    <row r="607" spans="1:14" hidden="1" x14ac:dyDescent="0.2">
      <c r="A607" s="505" t="s">
        <v>349</v>
      </c>
      <c r="B607" s="459" t="s">
        <v>554</v>
      </c>
      <c r="C607" s="422" t="s">
        <v>20</v>
      </c>
      <c r="D607" s="248" t="s">
        <v>135</v>
      </c>
      <c r="E607" s="249">
        <v>1.249219237976265E-6</v>
      </c>
      <c r="F607" s="374" t="s">
        <v>553</v>
      </c>
      <c r="G607" s="251" t="s">
        <v>16</v>
      </c>
      <c r="H607" s="376">
        <v>2</v>
      </c>
      <c r="I607" s="376">
        <v>2</v>
      </c>
      <c r="J607" s="376">
        <v>3</v>
      </c>
      <c r="K607" s="376">
        <v>3</v>
      </c>
      <c r="L607" s="377">
        <v>2</v>
      </c>
      <c r="M607" s="378">
        <f t="shared" si="18"/>
        <v>0.60108474454521421</v>
      </c>
      <c r="N607" s="255"/>
    </row>
    <row r="608" spans="1:14" hidden="1" x14ac:dyDescent="0.2">
      <c r="A608" s="505" t="s">
        <v>349</v>
      </c>
      <c r="B608" s="653" t="s">
        <v>552</v>
      </c>
      <c r="C608" s="422" t="s">
        <v>22</v>
      </c>
      <c r="D608" s="248" t="s">
        <v>135</v>
      </c>
      <c r="E608" s="249">
        <v>1.7389131792629609E-3</v>
      </c>
      <c r="F608" s="374" t="s">
        <v>553</v>
      </c>
      <c r="G608" s="251" t="s">
        <v>16</v>
      </c>
      <c r="H608" s="376">
        <v>2</v>
      </c>
      <c r="I608" s="376">
        <v>2</v>
      </c>
      <c r="J608" s="376">
        <v>3</v>
      </c>
      <c r="K608" s="376">
        <v>3</v>
      </c>
      <c r="L608" s="377">
        <v>2</v>
      </c>
      <c r="M608" s="378">
        <f t="shared" si="18"/>
        <v>0.60108474454521421</v>
      </c>
      <c r="N608" s="255"/>
    </row>
    <row r="609" spans="1:14" hidden="1" x14ac:dyDescent="0.2">
      <c r="A609" s="505" t="s">
        <v>349</v>
      </c>
      <c r="B609" s="459" t="s">
        <v>554</v>
      </c>
      <c r="C609" s="422" t="s">
        <v>22</v>
      </c>
      <c r="D609" s="248" t="s">
        <v>135</v>
      </c>
      <c r="E609" s="249">
        <v>2.9981261711430358E-6</v>
      </c>
      <c r="F609" s="374" t="s">
        <v>553</v>
      </c>
      <c r="G609" s="251" t="s">
        <v>16</v>
      </c>
      <c r="H609" s="376">
        <v>2</v>
      </c>
      <c r="I609" s="376">
        <v>2</v>
      </c>
      <c r="J609" s="376">
        <v>3</v>
      </c>
      <c r="K609" s="376">
        <v>3</v>
      </c>
      <c r="L609" s="377">
        <v>2</v>
      </c>
      <c r="M609" s="378">
        <f t="shared" si="18"/>
        <v>0.60108474454521421</v>
      </c>
      <c r="N609" s="255"/>
    </row>
    <row r="610" spans="1:14" hidden="1" x14ac:dyDescent="0.2">
      <c r="A610" s="505" t="s">
        <v>349</v>
      </c>
      <c r="B610" s="653" t="s">
        <v>552</v>
      </c>
      <c r="C610" s="422" t="s">
        <v>23</v>
      </c>
      <c r="D610" s="248" t="s">
        <v>135</v>
      </c>
      <c r="E610" s="249">
        <v>7.9700187382885691E-4</v>
      </c>
      <c r="F610" s="374" t="s">
        <v>553</v>
      </c>
      <c r="G610" s="251" t="s">
        <v>16</v>
      </c>
      <c r="H610" s="376">
        <v>2</v>
      </c>
      <c r="I610" s="376">
        <v>2</v>
      </c>
      <c r="J610" s="376">
        <v>3</v>
      </c>
      <c r="K610" s="376">
        <v>3</v>
      </c>
      <c r="L610" s="377">
        <v>2</v>
      </c>
      <c r="M610" s="378">
        <f t="shared" si="18"/>
        <v>0.60108474454521421</v>
      </c>
      <c r="N610" s="255"/>
    </row>
    <row r="611" spans="1:14" hidden="1" x14ac:dyDescent="0.2">
      <c r="A611" s="505" t="s">
        <v>349</v>
      </c>
      <c r="B611" s="459" t="s">
        <v>554</v>
      </c>
      <c r="C611" s="422" t="s">
        <v>23</v>
      </c>
      <c r="D611" s="248" t="s">
        <v>135</v>
      </c>
      <c r="E611" s="249">
        <v>1.374141161773891E-6</v>
      </c>
      <c r="F611" s="374" t="s">
        <v>553</v>
      </c>
      <c r="G611" s="251" t="s">
        <v>16</v>
      </c>
      <c r="H611" s="376">
        <v>2</v>
      </c>
      <c r="I611" s="376">
        <v>2</v>
      </c>
      <c r="J611" s="376">
        <v>3</v>
      </c>
      <c r="K611" s="376">
        <v>3</v>
      </c>
      <c r="L611" s="377">
        <v>2</v>
      </c>
      <c r="M611" s="378">
        <f t="shared" si="18"/>
        <v>0.60108474454521421</v>
      </c>
      <c r="N611" s="255"/>
    </row>
    <row r="612" spans="1:14" hidden="1" x14ac:dyDescent="0.2">
      <c r="A612" s="505" t="s">
        <v>349</v>
      </c>
      <c r="B612" s="653" t="s">
        <v>552</v>
      </c>
      <c r="C612" s="422" t="s">
        <v>24</v>
      </c>
      <c r="D612" s="248" t="s">
        <v>135</v>
      </c>
      <c r="E612" s="249">
        <v>5.2891942535915051E-3</v>
      </c>
      <c r="F612" s="374" t="s">
        <v>553</v>
      </c>
      <c r="G612" s="251" t="s">
        <v>16</v>
      </c>
      <c r="H612" s="376">
        <v>2</v>
      </c>
      <c r="I612" s="376">
        <v>2</v>
      </c>
      <c r="J612" s="376">
        <v>3</v>
      </c>
      <c r="K612" s="376">
        <v>3</v>
      </c>
      <c r="L612" s="377">
        <v>2</v>
      </c>
      <c r="M612" s="378">
        <f t="shared" si="18"/>
        <v>0.60108474454521421</v>
      </c>
      <c r="N612" s="255"/>
    </row>
    <row r="613" spans="1:14" hidden="1" x14ac:dyDescent="0.2">
      <c r="A613" s="505" t="s">
        <v>349</v>
      </c>
      <c r="B613" s="459" t="s">
        <v>554</v>
      </c>
      <c r="C613" s="422" t="s">
        <v>24</v>
      </c>
      <c r="D613" s="248" t="s">
        <v>135</v>
      </c>
      <c r="E613" s="249">
        <v>9.1193004372267345E-6</v>
      </c>
      <c r="F613" s="374" t="s">
        <v>553</v>
      </c>
      <c r="G613" s="251" t="s">
        <v>16</v>
      </c>
      <c r="H613" s="376">
        <v>2</v>
      </c>
      <c r="I613" s="376">
        <v>2</v>
      </c>
      <c r="J613" s="376">
        <v>3</v>
      </c>
      <c r="K613" s="376">
        <v>3</v>
      </c>
      <c r="L613" s="377">
        <v>2</v>
      </c>
      <c r="M613" s="378">
        <f t="shared" ref="M613:M643" si="19">IF( OR( ISBLANK(H613),ISBLANK(I613), ISBLANK(J613), ISBLANK(K613), ISBLANK(L613) ), "", 1.5*SQRT( EXP(2.21*(H613-1)) + EXP(2.21*(I613-1)) + EXP(2.21*(J613-1)) + EXP(2.21*(K613-1)) + EXP(2.21*L613) )/100*2.45 )</f>
        <v>0.60108474454521421</v>
      </c>
      <c r="N613" s="255"/>
    </row>
    <row r="614" spans="1:14" hidden="1" x14ac:dyDescent="0.2">
      <c r="A614" s="505" t="s">
        <v>349</v>
      </c>
      <c r="B614" s="653" t="s">
        <v>552</v>
      </c>
      <c r="C614" s="422" t="s">
        <v>25</v>
      </c>
      <c r="D614" s="248" t="s">
        <v>135</v>
      </c>
      <c r="E614" s="249">
        <v>1.4635852592129919E-2</v>
      </c>
      <c r="F614" s="374" t="s">
        <v>553</v>
      </c>
      <c r="G614" s="251" t="s">
        <v>16</v>
      </c>
      <c r="H614" s="376">
        <v>2</v>
      </c>
      <c r="I614" s="376">
        <v>2</v>
      </c>
      <c r="J614" s="376">
        <v>3</v>
      </c>
      <c r="K614" s="376">
        <v>3</v>
      </c>
      <c r="L614" s="377">
        <v>2</v>
      </c>
      <c r="M614" s="378">
        <f t="shared" si="19"/>
        <v>0.60108474454521421</v>
      </c>
      <c r="N614" s="255"/>
    </row>
    <row r="615" spans="1:14" hidden="1" x14ac:dyDescent="0.2">
      <c r="A615" s="505" t="s">
        <v>349</v>
      </c>
      <c r="B615" s="459" t="s">
        <v>554</v>
      </c>
      <c r="C615" s="422" t="s">
        <v>25</v>
      </c>
      <c r="D615" s="248" t="s">
        <v>135</v>
      </c>
      <c r="E615" s="249">
        <v>2.5234228607120551E-5</v>
      </c>
      <c r="F615" s="374" t="s">
        <v>553</v>
      </c>
      <c r="G615" s="251" t="s">
        <v>16</v>
      </c>
      <c r="H615" s="376">
        <v>2</v>
      </c>
      <c r="I615" s="376">
        <v>2</v>
      </c>
      <c r="J615" s="376">
        <v>3</v>
      </c>
      <c r="K615" s="376">
        <v>3</v>
      </c>
      <c r="L615" s="377">
        <v>2</v>
      </c>
      <c r="M615" s="378">
        <f t="shared" si="19"/>
        <v>0.60108474454521421</v>
      </c>
      <c r="N615" s="255"/>
    </row>
    <row r="616" spans="1:14" hidden="1" x14ac:dyDescent="0.2">
      <c r="A616" s="505" t="s">
        <v>349</v>
      </c>
      <c r="B616" s="653" t="s">
        <v>552</v>
      </c>
      <c r="C616" s="422" t="s">
        <v>26</v>
      </c>
      <c r="D616" s="248" t="s">
        <v>135</v>
      </c>
      <c r="E616" s="249">
        <v>1.08682073703935E-3</v>
      </c>
      <c r="F616" s="374" t="s">
        <v>553</v>
      </c>
      <c r="G616" s="251" t="s">
        <v>16</v>
      </c>
      <c r="H616" s="376">
        <v>2</v>
      </c>
      <c r="I616" s="376">
        <v>2</v>
      </c>
      <c r="J616" s="376">
        <v>3</v>
      </c>
      <c r="K616" s="376">
        <v>3</v>
      </c>
      <c r="L616" s="377">
        <v>2</v>
      </c>
      <c r="M616" s="378">
        <f t="shared" si="19"/>
        <v>0.60108474454521421</v>
      </c>
      <c r="N616" s="255"/>
    </row>
    <row r="617" spans="1:14" hidden="1" x14ac:dyDescent="0.2">
      <c r="A617" s="505" t="s">
        <v>349</v>
      </c>
      <c r="B617" s="459" t="s">
        <v>554</v>
      </c>
      <c r="C617" s="422" t="s">
        <v>26</v>
      </c>
      <c r="D617" s="248" t="s">
        <v>135</v>
      </c>
      <c r="E617" s="249">
        <v>1.873828856964397E-6</v>
      </c>
      <c r="F617" s="374" t="s">
        <v>553</v>
      </c>
      <c r="G617" s="251" t="s">
        <v>16</v>
      </c>
      <c r="H617" s="376">
        <v>2</v>
      </c>
      <c r="I617" s="376">
        <v>2</v>
      </c>
      <c r="J617" s="376">
        <v>3</v>
      </c>
      <c r="K617" s="376">
        <v>3</v>
      </c>
      <c r="L617" s="377">
        <v>2</v>
      </c>
      <c r="M617" s="378">
        <f t="shared" si="19"/>
        <v>0.60108474454521421</v>
      </c>
      <c r="N617" s="255"/>
    </row>
    <row r="618" spans="1:14" hidden="1" x14ac:dyDescent="0.2">
      <c r="A618" s="505" t="s">
        <v>349</v>
      </c>
      <c r="B618" s="653" t="s">
        <v>552</v>
      </c>
      <c r="C618" s="422" t="s">
        <v>27</v>
      </c>
      <c r="D618" s="248" t="s">
        <v>135</v>
      </c>
      <c r="E618" s="249">
        <v>5.5790131168019976E-3</v>
      </c>
      <c r="F618" s="374" t="s">
        <v>553</v>
      </c>
      <c r="G618" s="251" t="s">
        <v>16</v>
      </c>
      <c r="H618" s="376">
        <v>2</v>
      </c>
      <c r="I618" s="376">
        <v>2</v>
      </c>
      <c r="J618" s="376">
        <v>3</v>
      </c>
      <c r="K618" s="376">
        <v>3</v>
      </c>
      <c r="L618" s="377">
        <v>2</v>
      </c>
      <c r="M618" s="378">
        <f t="shared" si="19"/>
        <v>0.60108474454521421</v>
      </c>
      <c r="N618" s="255"/>
    </row>
    <row r="619" spans="1:14" hidden="1" x14ac:dyDescent="0.2">
      <c r="A619" s="505" t="s">
        <v>349</v>
      </c>
      <c r="B619" s="459" t="s">
        <v>554</v>
      </c>
      <c r="C619" s="422" t="s">
        <v>27</v>
      </c>
      <c r="D619" s="248" t="s">
        <v>135</v>
      </c>
      <c r="E619" s="249">
        <v>9.6189881324172411E-6</v>
      </c>
      <c r="F619" s="374" t="s">
        <v>553</v>
      </c>
      <c r="G619" s="251" t="s">
        <v>16</v>
      </c>
      <c r="H619" s="376">
        <v>2</v>
      </c>
      <c r="I619" s="376">
        <v>2</v>
      </c>
      <c r="J619" s="376">
        <v>3</v>
      </c>
      <c r="K619" s="376">
        <v>3</v>
      </c>
      <c r="L619" s="377">
        <v>2</v>
      </c>
      <c r="M619" s="378">
        <f t="shared" si="19"/>
        <v>0.60108474454521421</v>
      </c>
      <c r="N619" s="255"/>
    </row>
    <row r="620" spans="1:14" hidden="1" x14ac:dyDescent="0.2">
      <c r="A620" s="505" t="s">
        <v>349</v>
      </c>
      <c r="B620" s="653" t="s">
        <v>552</v>
      </c>
      <c r="C620" s="422" t="s">
        <v>28</v>
      </c>
      <c r="D620" s="248" t="s">
        <v>135</v>
      </c>
      <c r="E620" s="249">
        <v>7.5352904434728297E-3</v>
      </c>
      <c r="F620" s="374" t="s">
        <v>553</v>
      </c>
      <c r="G620" s="251" t="s">
        <v>16</v>
      </c>
      <c r="H620" s="376">
        <v>2</v>
      </c>
      <c r="I620" s="376">
        <v>2</v>
      </c>
      <c r="J620" s="376">
        <v>3</v>
      </c>
      <c r="K620" s="376">
        <v>3</v>
      </c>
      <c r="L620" s="377">
        <v>2</v>
      </c>
      <c r="M620" s="378">
        <f t="shared" si="19"/>
        <v>0.60108474454521421</v>
      </c>
      <c r="N620" s="255"/>
    </row>
    <row r="621" spans="1:14" hidden="1" x14ac:dyDescent="0.2">
      <c r="A621" s="505" t="s">
        <v>349</v>
      </c>
      <c r="B621" s="459" t="s">
        <v>554</v>
      </c>
      <c r="C621" s="422" t="s">
        <v>28</v>
      </c>
      <c r="D621" s="248" t="s">
        <v>135</v>
      </c>
      <c r="E621" s="249">
        <v>1.299188007495316E-5</v>
      </c>
      <c r="F621" s="374" t="s">
        <v>553</v>
      </c>
      <c r="G621" s="251" t="s">
        <v>16</v>
      </c>
      <c r="H621" s="376">
        <v>2</v>
      </c>
      <c r="I621" s="376">
        <v>2</v>
      </c>
      <c r="J621" s="376">
        <v>3</v>
      </c>
      <c r="K621" s="376">
        <v>3</v>
      </c>
      <c r="L621" s="377">
        <v>2</v>
      </c>
      <c r="M621" s="378">
        <f t="shared" si="19"/>
        <v>0.60108474454521421</v>
      </c>
      <c r="N621" s="255"/>
    </row>
    <row r="622" spans="1:14" hidden="1" x14ac:dyDescent="0.2">
      <c r="A622" s="505" t="s">
        <v>349</v>
      </c>
      <c r="B622" s="653" t="s">
        <v>552</v>
      </c>
      <c r="C622" s="422" t="s">
        <v>30</v>
      </c>
      <c r="D622" s="248" t="s">
        <v>135</v>
      </c>
      <c r="E622" s="249">
        <v>1.079575265459088E-2</v>
      </c>
      <c r="F622" s="374" t="s">
        <v>553</v>
      </c>
      <c r="G622" s="251" t="s">
        <v>16</v>
      </c>
      <c r="H622" s="376">
        <v>2</v>
      </c>
      <c r="I622" s="376">
        <v>2</v>
      </c>
      <c r="J622" s="376">
        <v>3</v>
      </c>
      <c r="K622" s="376">
        <v>3</v>
      </c>
      <c r="L622" s="377">
        <v>2</v>
      </c>
      <c r="M622" s="378">
        <f t="shared" si="19"/>
        <v>0.60108474454521421</v>
      </c>
      <c r="N622" s="255"/>
    </row>
    <row r="623" spans="1:14" hidden="1" x14ac:dyDescent="0.2">
      <c r="A623" s="505" t="s">
        <v>349</v>
      </c>
      <c r="B623" s="459" t="s">
        <v>554</v>
      </c>
      <c r="C623" s="422" t="s">
        <v>30</v>
      </c>
      <c r="D623" s="248" t="s">
        <v>135</v>
      </c>
      <c r="E623" s="249">
        <v>1.861336664584635E-5</v>
      </c>
      <c r="F623" s="374" t="s">
        <v>553</v>
      </c>
      <c r="G623" s="251" t="s">
        <v>16</v>
      </c>
      <c r="H623" s="376">
        <v>2</v>
      </c>
      <c r="I623" s="376">
        <v>2</v>
      </c>
      <c r="J623" s="376">
        <v>3</v>
      </c>
      <c r="K623" s="376">
        <v>3</v>
      </c>
      <c r="L623" s="377">
        <v>2</v>
      </c>
      <c r="M623" s="378">
        <f t="shared" si="19"/>
        <v>0.60108474454521421</v>
      </c>
      <c r="N623" s="255"/>
    </row>
    <row r="624" spans="1:14" hidden="1" x14ac:dyDescent="0.2">
      <c r="A624" s="505" t="s">
        <v>349</v>
      </c>
      <c r="B624" s="653" t="s">
        <v>552</v>
      </c>
      <c r="C624" s="422" t="s">
        <v>32</v>
      </c>
      <c r="D624" s="248" t="s">
        <v>135</v>
      </c>
      <c r="E624" s="249">
        <v>5.7963772642098687E-4</v>
      </c>
      <c r="F624" s="374" t="s">
        <v>553</v>
      </c>
      <c r="G624" s="251" t="s">
        <v>16</v>
      </c>
      <c r="H624" s="376">
        <v>2</v>
      </c>
      <c r="I624" s="376">
        <v>2</v>
      </c>
      <c r="J624" s="376">
        <v>3</v>
      </c>
      <c r="K624" s="376">
        <v>3</v>
      </c>
      <c r="L624" s="377">
        <v>2</v>
      </c>
      <c r="M624" s="378">
        <f t="shared" si="19"/>
        <v>0.60108474454521421</v>
      </c>
      <c r="N624" s="255"/>
    </row>
    <row r="625" spans="1:14" hidden="1" x14ac:dyDescent="0.2">
      <c r="A625" s="505" t="s">
        <v>349</v>
      </c>
      <c r="B625" s="459" t="s">
        <v>554</v>
      </c>
      <c r="C625" s="422" t="s">
        <v>32</v>
      </c>
      <c r="D625" s="248" t="s">
        <v>135</v>
      </c>
      <c r="E625" s="249">
        <v>9.9937539038101194E-7</v>
      </c>
      <c r="F625" s="374" t="s">
        <v>553</v>
      </c>
      <c r="G625" s="251" t="s">
        <v>16</v>
      </c>
      <c r="H625" s="376">
        <v>2</v>
      </c>
      <c r="I625" s="376">
        <v>2</v>
      </c>
      <c r="J625" s="376">
        <v>3</v>
      </c>
      <c r="K625" s="376">
        <v>3</v>
      </c>
      <c r="L625" s="377">
        <v>2</v>
      </c>
      <c r="M625" s="378">
        <f t="shared" si="19"/>
        <v>0.60108474454521421</v>
      </c>
      <c r="N625" s="255"/>
    </row>
    <row r="626" spans="1:14" hidden="1" x14ac:dyDescent="0.2">
      <c r="A626" s="505" t="s">
        <v>349</v>
      </c>
      <c r="B626" s="653" t="s">
        <v>552</v>
      </c>
      <c r="C626" s="422" t="s">
        <v>34</v>
      </c>
      <c r="D626" s="248" t="s">
        <v>135</v>
      </c>
      <c r="E626" s="249">
        <v>2.8257339163023109E-3</v>
      </c>
      <c r="F626" s="374" t="s">
        <v>553</v>
      </c>
      <c r="G626" s="251" t="s">
        <v>16</v>
      </c>
      <c r="H626" s="376">
        <v>2</v>
      </c>
      <c r="I626" s="376">
        <v>2</v>
      </c>
      <c r="J626" s="376">
        <v>3</v>
      </c>
      <c r="K626" s="376">
        <v>3</v>
      </c>
      <c r="L626" s="377">
        <v>2</v>
      </c>
      <c r="M626" s="378">
        <f t="shared" si="19"/>
        <v>0.60108474454521421</v>
      </c>
      <c r="N626" s="255"/>
    </row>
    <row r="627" spans="1:14" hidden="1" x14ac:dyDescent="0.2">
      <c r="A627" s="505" t="s">
        <v>349</v>
      </c>
      <c r="B627" s="459" t="s">
        <v>554</v>
      </c>
      <c r="C627" s="422" t="s">
        <v>34</v>
      </c>
      <c r="D627" s="248" t="s">
        <v>135</v>
      </c>
      <c r="E627" s="249">
        <v>4.8719550281074326E-6</v>
      </c>
      <c r="F627" s="374" t="s">
        <v>553</v>
      </c>
      <c r="G627" s="251" t="s">
        <v>16</v>
      </c>
      <c r="H627" s="376">
        <v>2</v>
      </c>
      <c r="I627" s="376">
        <v>2</v>
      </c>
      <c r="J627" s="376">
        <v>3</v>
      </c>
      <c r="K627" s="376">
        <v>3</v>
      </c>
      <c r="L627" s="377">
        <v>2</v>
      </c>
      <c r="M627" s="378">
        <f t="shared" si="19"/>
        <v>0.60108474454521421</v>
      </c>
      <c r="N627" s="255"/>
    </row>
    <row r="628" spans="1:14" hidden="1" x14ac:dyDescent="0.2">
      <c r="A628" s="505" t="s">
        <v>349</v>
      </c>
      <c r="B628" s="653" t="s">
        <v>552</v>
      </c>
      <c r="C628" s="422" t="s">
        <v>36</v>
      </c>
      <c r="D628" s="248" t="s">
        <v>135</v>
      </c>
      <c r="E628" s="249">
        <v>4.7820112429731417E-3</v>
      </c>
      <c r="F628" s="374" t="s">
        <v>553</v>
      </c>
      <c r="G628" s="251" t="s">
        <v>16</v>
      </c>
      <c r="H628" s="376">
        <v>2</v>
      </c>
      <c r="I628" s="376">
        <v>2</v>
      </c>
      <c r="J628" s="376">
        <v>3</v>
      </c>
      <c r="K628" s="376">
        <v>3</v>
      </c>
      <c r="L628" s="377">
        <v>2</v>
      </c>
      <c r="M628" s="378">
        <f t="shared" si="19"/>
        <v>0.60108474454521421</v>
      </c>
      <c r="N628" s="255"/>
    </row>
    <row r="629" spans="1:14" hidden="1" x14ac:dyDescent="0.2">
      <c r="A629" s="505" t="s">
        <v>349</v>
      </c>
      <c r="B629" s="459" t="s">
        <v>554</v>
      </c>
      <c r="C629" s="422" t="s">
        <v>36</v>
      </c>
      <c r="D629" s="248" t="s">
        <v>135</v>
      </c>
      <c r="E629" s="249">
        <v>8.2448469706433488E-6</v>
      </c>
      <c r="F629" s="374" t="s">
        <v>553</v>
      </c>
      <c r="G629" s="251" t="s">
        <v>16</v>
      </c>
      <c r="H629" s="376">
        <v>2</v>
      </c>
      <c r="I629" s="376">
        <v>2</v>
      </c>
      <c r="J629" s="376">
        <v>3</v>
      </c>
      <c r="K629" s="376">
        <v>3</v>
      </c>
      <c r="L629" s="377">
        <v>2</v>
      </c>
      <c r="M629" s="378">
        <f t="shared" si="19"/>
        <v>0.60108474454521421</v>
      </c>
      <c r="N629" s="255"/>
    </row>
    <row r="630" spans="1:14" hidden="1" x14ac:dyDescent="0.2">
      <c r="A630" s="505" t="s">
        <v>349</v>
      </c>
      <c r="B630" s="653" t="s">
        <v>552</v>
      </c>
      <c r="C630" s="422" t="s">
        <v>37</v>
      </c>
      <c r="D630" s="248" t="s">
        <v>135</v>
      </c>
      <c r="E630" s="249">
        <v>8.9119300437226733E-3</v>
      </c>
      <c r="F630" s="374" t="s">
        <v>553</v>
      </c>
      <c r="G630" s="251" t="s">
        <v>16</v>
      </c>
      <c r="H630" s="376">
        <v>2</v>
      </c>
      <c r="I630" s="376">
        <v>2</v>
      </c>
      <c r="J630" s="376">
        <v>3</v>
      </c>
      <c r="K630" s="376">
        <v>3</v>
      </c>
      <c r="L630" s="377">
        <v>2</v>
      </c>
      <c r="M630" s="378">
        <f t="shared" si="19"/>
        <v>0.60108474454521421</v>
      </c>
      <c r="N630" s="255"/>
    </row>
    <row r="631" spans="1:14" hidden="1" x14ac:dyDescent="0.2">
      <c r="A631" s="505" t="s">
        <v>349</v>
      </c>
      <c r="B631" s="459" t="s">
        <v>554</v>
      </c>
      <c r="C631" s="422" t="s">
        <v>37</v>
      </c>
      <c r="D631" s="248" t="s">
        <v>135</v>
      </c>
      <c r="E631" s="249">
        <v>1.5365396627108059E-5</v>
      </c>
      <c r="F631" s="374" t="s">
        <v>553</v>
      </c>
      <c r="G631" s="251" t="s">
        <v>16</v>
      </c>
      <c r="H631" s="376">
        <v>2</v>
      </c>
      <c r="I631" s="376">
        <v>2</v>
      </c>
      <c r="J631" s="376">
        <v>3</v>
      </c>
      <c r="K631" s="376">
        <v>3</v>
      </c>
      <c r="L631" s="377">
        <v>2</v>
      </c>
      <c r="M631" s="378">
        <f t="shared" si="19"/>
        <v>0.60108474454521421</v>
      </c>
      <c r="N631" s="255"/>
    </row>
    <row r="632" spans="1:14" hidden="1" x14ac:dyDescent="0.2">
      <c r="A632" s="505" t="s">
        <v>349</v>
      </c>
      <c r="B632" s="653" t="s">
        <v>552</v>
      </c>
      <c r="C632" s="422" t="s">
        <v>39</v>
      </c>
      <c r="D632" s="248" t="s">
        <v>135</v>
      </c>
      <c r="E632" s="249">
        <v>2.6808244846970638E-3</v>
      </c>
      <c r="F632" s="374" t="s">
        <v>553</v>
      </c>
      <c r="G632" s="251" t="s">
        <v>16</v>
      </c>
      <c r="H632" s="376">
        <v>2</v>
      </c>
      <c r="I632" s="376">
        <v>2</v>
      </c>
      <c r="J632" s="376">
        <v>3</v>
      </c>
      <c r="K632" s="376">
        <v>3</v>
      </c>
      <c r="L632" s="377">
        <v>2</v>
      </c>
      <c r="M632" s="378">
        <f t="shared" si="19"/>
        <v>0.60108474454521421</v>
      </c>
      <c r="N632" s="255"/>
    </row>
    <row r="633" spans="1:14" hidden="1" x14ac:dyDescent="0.2">
      <c r="A633" s="505" t="s">
        <v>349</v>
      </c>
      <c r="B633" s="459" t="s">
        <v>554</v>
      </c>
      <c r="C633" s="422" t="s">
        <v>39</v>
      </c>
      <c r="D633" s="248" t="s">
        <v>135</v>
      </c>
      <c r="E633" s="249">
        <v>4.6221111805121802E-6</v>
      </c>
      <c r="F633" s="374" t="s">
        <v>553</v>
      </c>
      <c r="G633" s="251" t="s">
        <v>16</v>
      </c>
      <c r="H633" s="376">
        <v>2</v>
      </c>
      <c r="I633" s="376">
        <v>2</v>
      </c>
      <c r="J633" s="376">
        <v>3</v>
      </c>
      <c r="K633" s="376">
        <v>3</v>
      </c>
      <c r="L633" s="377">
        <v>2</v>
      </c>
      <c r="M633" s="378">
        <f t="shared" si="19"/>
        <v>0.60108474454521421</v>
      </c>
      <c r="N633" s="255"/>
    </row>
    <row r="634" spans="1:14" hidden="1" x14ac:dyDescent="0.2">
      <c r="A634" s="505" t="s">
        <v>349</v>
      </c>
      <c r="B634" s="653" t="s">
        <v>552</v>
      </c>
      <c r="C634" s="422" t="s">
        <v>40</v>
      </c>
      <c r="D634" s="248" t="s">
        <v>135</v>
      </c>
      <c r="E634" s="249">
        <v>7.390381011867583E-3</v>
      </c>
      <c r="F634" s="374" t="s">
        <v>553</v>
      </c>
      <c r="G634" s="251" t="s">
        <v>16</v>
      </c>
      <c r="H634" s="376">
        <v>2</v>
      </c>
      <c r="I634" s="376">
        <v>2</v>
      </c>
      <c r="J634" s="376">
        <v>3</v>
      </c>
      <c r="K634" s="376">
        <v>3</v>
      </c>
      <c r="L634" s="377">
        <v>2</v>
      </c>
      <c r="M634" s="378">
        <f t="shared" si="19"/>
        <v>0.60108474454521421</v>
      </c>
      <c r="N634" s="255"/>
    </row>
    <row r="635" spans="1:14" hidden="1" x14ac:dyDescent="0.2">
      <c r="A635" s="505" t="s">
        <v>349</v>
      </c>
      <c r="B635" s="459" t="s">
        <v>554</v>
      </c>
      <c r="C635" s="422" t="s">
        <v>40</v>
      </c>
      <c r="D635" s="248" t="s">
        <v>135</v>
      </c>
      <c r="E635" s="249">
        <v>1.27420362273579E-5</v>
      </c>
      <c r="F635" s="374" t="s">
        <v>553</v>
      </c>
      <c r="G635" s="251" t="s">
        <v>16</v>
      </c>
      <c r="H635" s="376">
        <v>2</v>
      </c>
      <c r="I635" s="376">
        <v>2</v>
      </c>
      <c r="J635" s="376">
        <v>3</v>
      </c>
      <c r="K635" s="376">
        <v>3</v>
      </c>
      <c r="L635" s="377">
        <v>2</v>
      </c>
      <c r="M635" s="378">
        <f t="shared" si="19"/>
        <v>0.60108474454521421</v>
      </c>
      <c r="N635" s="255"/>
    </row>
    <row r="636" spans="1:14" hidden="1" x14ac:dyDescent="0.2">
      <c r="A636" s="505" t="s">
        <v>349</v>
      </c>
      <c r="B636" s="653" t="s">
        <v>552</v>
      </c>
      <c r="C636" s="422" t="s">
        <v>41</v>
      </c>
      <c r="D636" s="248" t="s">
        <v>135</v>
      </c>
      <c r="E636" s="249">
        <v>1.4490943160524671E-2</v>
      </c>
      <c r="F636" s="374" t="s">
        <v>553</v>
      </c>
      <c r="G636" s="251" t="s">
        <v>16</v>
      </c>
      <c r="H636" s="376">
        <v>2</v>
      </c>
      <c r="I636" s="376">
        <v>2</v>
      </c>
      <c r="J636" s="376">
        <v>3</v>
      </c>
      <c r="K636" s="376">
        <v>3</v>
      </c>
      <c r="L636" s="377">
        <v>2</v>
      </c>
      <c r="M636" s="378">
        <f t="shared" si="19"/>
        <v>0.60108474454521421</v>
      </c>
      <c r="N636" s="255"/>
    </row>
    <row r="637" spans="1:14" hidden="1" x14ac:dyDescent="0.2">
      <c r="A637" s="505" t="s">
        <v>349</v>
      </c>
      <c r="B637" s="459" t="s">
        <v>554</v>
      </c>
      <c r="C637" s="422" t="s">
        <v>41</v>
      </c>
      <c r="D637" s="248" t="s">
        <v>135</v>
      </c>
      <c r="E637" s="249">
        <v>2.49843847595253E-5</v>
      </c>
      <c r="F637" s="374" t="s">
        <v>553</v>
      </c>
      <c r="G637" s="251" t="s">
        <v>16</v>
      </c>
      <c r="H637" s="376">
        <v>2</v>
      </c>
      <c r="I637" s="376">
        <v>2</v>
      </c>
      <c r="J637" s="376">
        <v>3</v>
      </c>
      <c r="K637" s="376">
        <v>3</v>
      </c>
      <c r="L637" s="377">
        <v>2</v>
      </c>
      <c r="M637" s="378">
        <f t="shared" si="19"/>
        <v>0.60108474454521421</v>
      </c>
      <c r="N637" s="255"/>
    </row>
    <row r="638" spans="1:14" hidden="1" x14ac:dyDescent="0.2">
      <c r="A638" s="505" t="s">
        <v>349</v>
      </c>
      <c r="B638" s="653" t="s">
        <v>552</v>
      </c>
      <c r="C638" s="422" t="s">
        <v>42</v>
      </c>
      <c r="D638" s="248" t="s">
        <v>135</v>
      </c>
      <c r="E638" s="249">
        <v>3.7676452217364148E-3</v>
      </c>
      <c r="F638" s="374" t="s">
        <v>553</v>
      </c>
      <c r="G638" s="251" t="s">
        <v>16</v>
      </c>
      <c r="H638" s="376">
        <v>2</v>
      </c>
      <c r="I638" s="376">
        <v>2</v>
      </c>
      <c r="J638" s="376">
        <v>3</v>
      </c>
      <c r="K638" s="376">
        <v>3</v>
      </c>
      <c r="L638" s="377">
        <v>2</v>
      </c>
      <c r="M638" s="378">
        <f t="shared" si="19"/>
        <v>0.60108474454521421</v>
      </c>
      <c r="N638" s="255"/>
    </row>
    <row r="639" spans="1:14" hidden="1" x14ac:dyDescent="0.2">
      <c r="A639" s="505" t="s">
        <v>349</v>
      </c>
      <c r="B639" s="459" t="s">
        <v>554</v>
      </c>
      <c r="C639" s="422" t="s">
        <v>42</v>
      </c>
      <c r="D639" s="248" t="s">
        <v>135</v>
      </c>
      <c r="E639" s="249">
        <v>6.4959400374765782E-6</v>
      </c>
      <c r="F639" s="374" t="s">
        <v>553</v>
      </c>
      <c r="G639" s="251" t="s">
        <v>16</v>
      </c>
      <c r="H639" s="376">
        <v>2</v>
      </c>
      <c r="I639" s="376">
        <v>2</v>
      </c>
      <c r="J639" s="376">
        <v>3</v>
      </c>
      <c r="K639" s="376">
        <v>3</v>
      </c>
      <c r="L639" s="377">
        <v>2</v>
      </c>
      <c r="M639" s="378">
        <f t="shared" si="19"/>
        <v>0.60108474454521421</v>
      </c>
      <c r="N639" s="255"/>
    </row>
    <row r="640" spans="1:14" hidden="1" x14ac:dyDescent="0.2">
      <c r="A640" s="505" t="s">
        <v>349</v>
      </c>
      <c r="B640" s="653" t="s">
        <v>552</v>
      </c>
      <c r="C640" s="422" t="s">
        <v>43</v>
      </c>
      <c r="D640" s="248" t="s">
        <v>135</v>
      </c>
      <c r="E640" s="249">
        <v>6.2311055590256086E-3</v>
      </c>
      <c r="F640" s="374" t="s">
        <v>553</v>
      </c>
      <c r="G640" s="251" t="s">
        <v>16</v>
      </c>
      <c r="H640" s="376">
        <v>2</v>
      </c>
      <c r="I640" s="376">
        <v>2</v>
      </c>
      <c r="J640" s="376">
        <v>3</v>
      </c>
      <c r="K640" s="376">
        <v>3</v>
      </c>
      <c r="L640" s="377">
        <v>2</v>
      </c>
      <c r="M640" s="378">
        <f t="shared" si="19"/>
        <v>0.60108474454521421</v>
      </c>
      <c r="N640" s="255"/>
    </row>
    <row r="641" spans="1:14" hidden="1" x14ac:dyDescent="0.2">
      <c r="A641" s="505" t="s">
        <v>349</v>
      </c>
      <c r="B641" s="459" t="s">
        <v>554</v>
      </c>
      <c r="C641" s="422" t="s">
        <v>43</v>
      </c>
      <c r="D641" s="248" t="s">
        <v>135</v>
      </c>
      <c r="E641" s="249">
        <v>1.074328544659588E-5</v>
      </c>
      <c r="F641" s="374" t="s">
        <v>553</v>
      </c>
      <c r="G641" s="251" t="s">
        <v>16</v>
      </c>
      <c r="H641" s="376">
        <v>2</v>
      </c>
      <c r="I641" s="376">
        <v>2</v>
      </c>
      <c r="J641" s="376">
        <v>3</v>
      </c>
      <c r="K641" s="376">
        <v>3</v>
      </c>
      <c r="L641" s="377">
        <v>2</v>
      </c>
      <c r="M641" s="378">
        <f t="shared" si="19"/>
        <v>0.60108474454521421</v>
      </c>
      <c r="N641" s="255"/>
    </row>
    <row r="642" spans="1:14" hidden="1" x14ac:dyDescent="0.2">
      <c r="A642" s="505" t="s">
        <v>349</v>
      </c>
      <c r="B642" s="653" t="s">
        <v>552</v>
      </c>
      <c r="C642" s="422" t="s">
        <v>45</v>
      </c>
      <c r="D642" s="248" t="s">
        <v>135</v>
      </c>
      <c r="E642" s="249">
        <v>1.08682073703935E-3</v>
      </c>
      <c r="F642" s="374" t="s">
        <v>553</v>
      </c>
      <c r="G642" s="251" t="s">
        <v>16</v>
      </c>
      <c r="H642" s="376">
        <v>2</v>
      </c>
      <c r="I642" s="376">
        <v>2</v>
      </c>
      <c r="J642" s="376">
        <v>3</v>
      </c>
      <c r="K642" s="376">
        <v>3</v>
      </c>
      <c r="L642" s="377">
        <v>2</v>
      </c>
      <c r="M642" s="378">
        <f t="shared" si="19"/>
        <v>0.60108474454521421</v>
      </c>
      <c r="N642" s="255"/>
    </row>
    <row r="643" spans="1:14" hidden="1" x14ac:dyDescent="0.2">
      <c r="A643" s="505" t="s">
        <v>349</v>
      </c>
      <c r="B643" s="459" t="s">
        <v>554</v>
      </c>
      <c r="C643" s="422" t="s">
        <v>45</v>
      </c>
      <c r="D643" s="248" t="s">
        <v>135</v>
      </c>
      <c r="E643" s="249">
        <v>1.873828856964397E-6</v>
      </c>
      <c r="F643" s="374" t="s">
        <v>553</v>
      </c>
      <c r="G643" s="251" t="s">
        <v>16</v>
      </c>
      <c r="H643" s="376">
        <v>2</v>
      </c>
      <c r="I643" s="376">
        <v>2</v>
      </c>
      <c r="J643" s="376">
        <v>3</v>
      </c>
      <c r="K643" s="376">
        <v>3</v>
      </c>
      <c r="L643" s="377">
        <v>2</v>
      </c>
      <c r="M643" s="378">
        <f t="shared" si="19"/>
        <v>0.60108474454521421</v>
      </c>
      <c r="N643" s="255"/>
    </row>
    <row r="644" spans="1:14" hidden="1" x14ac:dyDescent="0.2">
      <c r="A644" s="505" t="s">
        <v>349</v>
      </c>
      <c r="B644" s="653" t="s">
        <v>552</v>
      </c>
      <c r="C644" s="422" t="s">
        <v>46</v>
      </c>
      <c r="D644" s="248" t="s">
        <v>135</v>
      </c>
      <c r="E644" s="249">
        <v>5.7239225484072452E-3</v>
      </c>
      <c r="F644" s="374" t="s">
        <v>553</v>
      </c>
      <c r="G644" s="251" t="s">
        <v>16</v>
      </c>
      <c r="H644" s="376">
        <v>2</v>
      </c>
      <c r="I644" s="376">
        <v>2</v>
      </c>
      <c r="J644" s="376">
        <v>3</v>
      </c>
      <c r="K644" s="376">
        <v>3</v>
      </c>
      <c r="L644" s="377">
        <v>2</v>
      </c>
      <c r="M644" s="378">
        <f>IF( OR( ISBLANK(H644),ISBLANK(I644), ISBLANK(J644), ISBLANK(K644), ISBLANK(L644) ), "", 1.5*SQRT(   EXP(2.21*(H644-1)) + EXP(2.21*(I644-1)) + EXP(2.21*(J644-1)) + EXP(2.21*(K644-1)) + EXP(2.21*L644)   )/100*2.45 )</f>
        <v>0.60108474454521421</v>
      </c>
      <c r="N644" s="255"/>
    </row>
    <row r="645" spans="1:14" hidden="1" x14ac:dyDescent="0.2">
      <c r="A645" s="505" t="s">
        <v>349</v>
      </c>
      <c r="B645" s="459" t="s">
        <v>554</v>
      </c>
      <c r="C645" s="422" t="s">
        <v>46</v>
      </c>
      <c r="D645" s="248" t="s">
        <v>135</v>
      </c>
      <c r="E645" s="249">
        <v>9.8688319800124927E-6</v>
      </c>
      <c r="F645" s="374" t="s">
        <v>553</v>
      </c>
      <c r="G645" s="251" t="s">
        <v>16</v>
      </c>
      <c r="H645" s="376">
        <v>2</v>
      </c>
      <c r="I645" s="376">
        <v>2</v>
      </c>
      <c r="J645" s="376">
        <v>3</v>
      </c>
      <c r="K645" s="376">
        <v>3</v>
      </c>
      <c r="L645" s="377">
        <v>2</v>
      </c>
      <c r="M645" s="378">
        <f t="shared" ref="M645:M676" si="20">IF( OR( ISBLANK(H645),ISBLANK(I645), ISBLANK(J645), ISBLANK(K645), ISBLANK(L645) ), "", 1.5*SQRT( EXP(2.21*(H645-1)) + EXP(2.21*(I645-1)) + EXP(2.21*(J645-1)) + EXP(2.21*(K645-1)) + EXP(2.21*L645) )/100*2.45 )</f>
        <v>0.60108474454521421</v>
      </c>
      <c r="N645" s="255"/>
    </row>
    <row r="646" spans="1:14" hidden="1" x14ac:dyDescent="0.2">
      <c r="A646" s="505" t="s">
        <v>349</v>
      </c>
      <c r="B646" s="653" t="s">
        <v>552</v>
      </c>
      <c r="C646" s="422" t="s">
        <v>48</v>
      </c>
      <c r="D646" s="248" t="s">
        <v>135</v>
      </c>
      <c r="E646" s="249">
        <v>5.6514678326046218E-3</v>
      </c>
      <c r="F646" s="374" t="s">
        <v>553</v>
      </c>
      <c r="G646" s="251" t="s">
        <v>16</v>
      </c>
      <c r="H646" s="376">
        <v>2</v>
      </c>
      <c r="I646" s="376">
        <v>2</v>
      </c>
      <c r="J646" s="376">
        <v>3</v>
      </c>
      <c r="K646" s="376">
        <v>3</v>
      </c>
      <c r="L646" s="377">
        <v>2</v>
      </c>
      <c r="M646" s="378">
        <f t="shared" si="20"/>
        <v>0.60108474454521421</v>
      </c>
      <c r="N646" s="255"/>
    </row>
    <row r="647" spans="1:14" hidden="1" x14ac:dyDescent="0.2">
      <c r="A647" s="505" t="s">
        <v>349</v>
      </c>
      <c r="B647" s="459" t="s">
        <v>554</v>
      </c>
      <c r="C647" s="422" t="s">
        <v>48</v>
      </c>
      <c r="D647" s="248" t="s">
        <v>135</v>
      </c>
      <c r="E647" s="249">
        <v>9.7439100562148669E-6</v>
      </c>
      <c r="F647" s="374" t="s">
        <v>553</v>
      </c>
      <c r="G647" s="251" t="s">
        <v>16</v>
      </c>
      <c r="H647" s="376">
        <v>2</v>
      </c>
      <c r="I647" s="376">
        <v>2</v>
      </c>
      <c r="J647" s="376">
        <v>3</v>
      </c>
      <c r="K647" s="376">
        <v>3</v>
      </c>
      <c r="L647" s="377">
        <v>2</v>
      </c>
      <c r="M647" s="378">
        <f t="shared" si="20"/>
        <v>0.60108474454521421</v>
      </c>
      <c r="N647" s="255"/>
    </row>
    <row r="648" spans="1:14" hidden="1" x14ac:dyDescent="0.2">
      <c r="A648" s="505" t="s">
        <v>349</v>
      </c>
      <c r="B648" s="653" t="s">
        <v>552</v>
      </c>
      <c r="C648" s="422" t="s">
        <v>50</v>
      </c>
      <c r="D648" s="248" t="s">
        <v>135</v>
      </c>
      <c r="E648" s="249">
        <v>1.08682073703935E-3</v>
      </c>
      <c r="F648" s="374" t="s">
        <v>553</v>
      </c>
      <c r="G648" s="251" t="s">
        <v>16</v>
      </c>
      <c r="H648" s="376">
        <v>2</v>
      </c>
      <c r="I648" s="376">
        <v>2</v>
      </c>
      <c r="J648" s="376">
        <v>3</v>
      </c>
      <c r="K648" s="376">
        <v>3</v>
      </c>
      <c r="L648" s="377">
        <v>2</v>
      </c>
      <c r="M648" s="378">
        <f t="shared" si="20"/>
        <v>0.60108474454521421</v>
      </c>
      <c r="N648" s="255"/>
    </row>
    <row r="649" spans="1:14" hidden="1" x14ac:dyDescent="0.2">
      <c r="A649" s="505" t="s">
        <v>349</v>
      </c>
      <c r="B649" s="459" t="s">
        <v>554</v>
      </c>
      <c r="C649" s="422" t="s">
        <v>50</v>
      </c>
      <c r="D649" s="248" t="s">
        <v>135</v>
      </c>
      <c r="E649" s="249">
        <v>1.873828856964397E-6</v>
      </c>
      <c r="F649" s="374" t="s">
        <v>553</v>
      </c>
      <c r="G649" s="251" t="s">
        <v>16</v>
      </c>
      <c r="H649" s="376">
        <v>2</v>
      </c>
      <c r="I649" s="376">
        <v>2</v>
      </c>
      <c r="J649" s="376">
        <v>3</v>
      </c>
      <c r="K649" s="376">
        <v>3</v>
      </c>
      <c r="L649" s="377">
        <v>2</v>
      </c>
      <c r="M649" s="378">
        <f t="shared" si="20"/>
        <v>0.60108474454521421</v>
      </c>
      <c r="N649" s="255"/>
    </row>
    <row r="650" spans="1:14" hidden="1" x14ac:dyDescent="0.2">
      <c r="A650" s="505" t="s">
        <v>349</v>
      </c>
      <c r="B650" s="653" t="s">
        <v>552</v>
      </c>
      <c r="C650" s="422" t="s">
        <v>52</v>
      </c>
      <c r="D650" s="248" t="s">
        <v>135</v>
      </c>
      <c r="E650" s="249">
        <v>5.7239225484072452E-3</v>
      </c>
      <c r="F650" s="374" t="s">
        <v>553</v>
      </c>
      <c r="G650" s="251" t="s">
        <v>16</v>
      </c>
      <c r="H650" s="376">
        <v>2</v>
      </c>
      <c r="I650" s="376">
        <v>2</v>
      </c>
      <c r="J650" s="376">
        <v>3</v>
      </c>
      <c r="K650" s="376">
        <v>3</v>
      </c>
      <c r="L650" s="377">
        <v>2</v>
      </c>
      <c r="M650" s="378">
        <f t="shared" si="20"/>
        <v>0.60108474454521421</v>
      </c>
      <c r="N650" s="255"/>
    </row>
    <row r="651" spans="1:14" hidden="1" x14ac:dyDescent="0.2">
      <c r="A651" s="505" t="s">
        <v>349</v>
      </c>
      <c r="B651" s="459" t="s">
        <v>554</v>
      </c>
      <c r="C651" s="422" t="s">
        <v>52</v>
      </c>
      <c r="D651" s="248" t="s">
        <v>135</v>
      </c>
      <c r="E651" s="249">
        <v>9.8688319800124927E-6</v>
      </c>
      <c r="F651" s="374" t="s">
        <v>553</v>
      </c>
      <c r="G651" s="251" t="s">
        <v>16</v>
      </c>
      <c r="H651" s="376">
        <v>2</v>
      </c>
      <c r="I651" s="376">
        <v>2</v>
      </c>
      <c r="J651" s="376">
        <v>3</v>
      </c>
      <c r="K651" s="376">
        <v>3</v>
      </c>
      <c r="L651" s="377">
        <v>2</v>
      </c>
      <c r="M651" s="378">
        <f t="shared" si="20"/>
        <v>0.60108474454521421</v>
      </c>
      <c r="N651" s="255"/>
    </row>
    <row r="652" spans="1:14" hidden="1" x14ac:dyDescent="0.2">
      <c r="A652" s="505" t="s">
        <v>349</v>
      </c>
      <c r="B652" s="653" t="s">
        <v>552</v>
      </c>
      <c r="C652" s="422" t="s">
        <v>54</v>
      </c>
      <c r="D652" s="248" t="s">
        <v>135</v>
      </c>
      <c r="E652" s="249">
        <v>5.7239225484072452E-3</v>
      </c>
      <c r="F652" s="374" t="s">
        <v>553</v>
      </c>
      <c r="G652" s="251" t="s">
        <v>16</v>
      </c>
      <c r="H652" s="376">
        <v>2</v>
      </c>
      <c r="I652" s="376">
        <v>2</v>
      </c>
      <c r="J652" s="376">
        <v>3</v>
      </c>
      <c r="K652" s="376">
        <v>3</v>
      </c>
      <c r="L652" s="377">
        <v>2</v>
      </c>
      <c r="M652" s="378">
        <f t="shared" si="20"/>
        <v>0.60108474454521421</v>
      </c>
      <c r="N652" s="255"/>
    </row>
    <row r="653" spans="1:14" hidden="1" x14ac:dyDescent="0.2">
      <c r="A653" s="505" t="s">
        <v>349</v>
      </c>
      <c r="B653" s="459" t="s">
        <v>554</v>
      </c>
      <c r="C653" s="422" t="s">
        <v>54</v>
      </c>
      <c r="D653" s="248" t="s">
        <v>135</v>
      </c>
      <c r="E653" s="249">
        <v>9.8688319800124927E-6</v>
      </c>
      <c r="F653" s="374" t="s">
        <v>553</v>
      </c>
      <c r="G653" s="251" t="s">
        <v>16</v>
      </c>
      <c r="H653" s="376">
        <v>2</v>
      </c>
      <c r="I653" s="376">
        <v>2</v>
      </c>
      <c r="J653" s="376">
        <v>3</v>
      </c>
      <c r="K653" s="376">
        <v>3</v>
      </c>
      <c r="L653" s="377">
        <v>2</v>
      </c>
      <c r="M653" s="378">
        <f t="shared" si="20"/>
        <v>0.60108474454521421</v>
      </c>
      <c r="N653" s="255"/>
    </row>
    <row r="654" spans="1:14" hidden="1" x14ac:dyDescent="0.2">
      <c r="A654" s="505" t="s">
        <v>349</v>
      </c>
      <c r="B654" s="653" t="s">
        <v>552</v>
      </c>
      <c r="C654" s="422" t="s">
        <v>55</v>
      </c>
      <c r="D654" s="248" t="s">
        <v>135</v>
      </c>
      <c r="E654" s="249">
        <v>5.6514678326046218E-3</v>
      </c>
      <c r="F654" s="374" t="s">
        <v>553</v>
      </c>
      <c r="G654" s="251" t="s">
        <v>16</v>
      </c>
      <c r="H654" s="376">
        <v>2</v>
      </c>
      <c r="I654" s="376">
        <v>2</v>
      </c>
      <c r="J654" s="376">
        <v>3</v>
      </c>
      <c r="K654" s="376">
        <v>3</v>
      </c>
      <c r="L654" s="377">
        <v>2</v>
      </c>
      <c r="M654" s="378">
        <f t="shared" si="20"/>
        <v>0.60108474454521421</v>
      </c>
      <c r="N654" s="255"/>
    </row>
    <row r="655" spans="1:14" hidden="1" x14ac:dyDescent="0.2">
      <c r="A655" s="505" t="s">
        <v>349</v>
      </c>
      <c r="B655" s="459" t="s">
        <v>554</v>
      </c>
      <c r="C655" s="422" t="s">
        <v>55</v>
      </c>
      <c r="D655" s="248" t="s">
        <v>135</v>
      </c>
      <c r="E655" s="249">
        <v>9.7439100562148669E-6</v>
      </c>
      <c r="F655" s="374" t="s">
        <v>553</v>
      </c>
      <c r="G655" s="251" t="s">
        <v>16</v>
      </c>
      <c r="H655" s="376">
        <v>2</v>
      </c>
      <c r="I655" s="376">
        <v>2</v>
      </c>
      <c r="J655" s="376">
        <v>3</v>
      </c>
      <c r="K655" s="376">
        <v>3</v>
      </c>
      <c r="L655" s="377">
        <v>2</v>
      </c>
      <c r="M655" s="378">
        <f t="shared" si="20"/>
        <v>0.60108474454521421</v>
      </c>
      <c r="N655" s="255"/>
    </row>
    <row r="656" spans="1:14" hidden="1" x14ac:dyDescent="0.2">
      <c r="A656" s="505" t="s">
        <v>349</v>
      </c>
      <c r="B656" s="653" t="s">
        <v>552</v>
      </c>
      <c r="C656" s="422" t="s">
        <v>57</v>
      </c>
      <c r="D656" s="248" t="s">
        <v>135</v>
      </c>
      <c r="E656" s="249">
        <v>5.9412866958151152E-3</v>
      </c>
      <c r="F656" s="374" t="s">
        <v>553</v>
      </c>
      <c r="G656" s="375" t="s">
        <v>16</v>
      </c>
      <c r="H656" s="376">
        <v>2</v>
      </c>
      <c r="I656" s="376">
        <v>2</v>
      </c>
      <c r="J656" s="376">
        <v>3</v>
      </c>
      <c r="K656" s="376">
        <v>3</v>
      </c>
      <c r="L656" s="377">
        <v>2</v>
      </c>
      <c r="M656" s="254">
        <f t="shared" si="20"/>
        <v>0.60108474454521421</v>
      </c>
      <c r="N656" s="255"/>
    </row>
    <row r="657" spans="1:14" hidden="1" x14ac:dyDescent="0.2">
      <c r="A657" s="505" t="s">
        <v>349</v>
      </c>
      <c r="B657" s="459" t="s">
        <v>554</v>
      </c>
      <c r="C657" s="422" t="s">
        <v>57</v>
      </c>
      <c r="D657" s="248" t="s">
        <v>135</v>
      </c>
      <c r="E657" s="249">
        <v>1.024359775140537E-5</v>
      </c>
      <c r="F657" s="374" t="s">
        <v>553</v>
      </c>
      <c r="G657" s="251" t="s">
        <v>16</v>
      </c>
      <c r="H657" s="376">
        <v>2</v>
      </c>
      <c r="I657" s="376">
        <v>2</v>
      </c>
      <c r="J657" s="376">
        <v>3</v>
      </c>
      <c r="K657" s="376">
        <v>3</v>
      </c>
      <c r="L657" s="377">
        <v>2</v>
      </c>
      <c r="M657" s="378">
        <f t="shared" si="20"/>
        <v>0.60108474454521421</v>
      </c>
      <c r="N657" s="255"/>
    </row>
    <row r="658" spans="1:14" hidden="1" x14ac:dyDescent="0.2">
      <c r="A658" s="505" t="s">
        <v>349</v>
      </c>
      <c r="B658" s="653" t="s">
        <v>552</v>
      </c>
      <c r="C658" s="422" t="s">
        <v>59</v>
      </c>
      <c r="D658" s="248" t="s">
        <v>135</v>
      </c>
      <c r="E658" s="249">
        <v>1.1599999999999999E-2</v>
      </c>
      <c r="F658" s="374" t="s">
        <v>360</v>
      </c>
      <c r="G658" s="375"/>
      <c r="H658" s="376">
        <v>2</v>
      </c>
      <c r="I658" s="376">
        <v>2</v>
      </c>
      <c r="J658" s="376">
        <v>3</v>
      </c>
      <c r="K658" s="376">
        <v>3</v>
      </c>
      <c r="L658" s="377">
        <v>2</v>
      </c>
      <c r="M658" s="254">
        <f t="shared" si="20"/>
        <v>0.60108474454521421</v>
      </c>
      <c r="N658" s="255"/>
    </row>
    <row r="659" spans="1:14" hidden="1" x14ac:dyDescent="0.2">
      <c r="A659" s="505" t="s">
        <v>349</v>
      </c>
      <c r="B659" s="459" t="s">
        <v>554</v>
      </c>
      <c r="C659" s="422" t="s">
        <v>59</v>
      </c>
      <c r="D659" s="248" t="s">
        <v>135</v>
      </c>
      <c r="E659" s="249">
        <v>2.0000000000000002E-5</v>
      </c>
      <c r="F659" s="374" t="s">
        <v>360</v>
      </c>
      <c r="G659" s="251"/>
      <c r="H659" s="376">
        <v>2</v>
      </c>
      <c r="I659" s="376">
        <v>2</v>
      </c>
      <c r="J659" s="376">
        <v>3</v>
      </c>
      <c r="K659" s="376">
        <v>3</v>
      </c>
      <c r="L659" s="377">
        <v>2</v>
      </c>
      <c r="M659" s="378">
        <f t="shared" si="20"/>
        <v>0.60108474454521421</v>
      </c>
      <c r="N659" s="255"/>
    </row>
    <row r="660" spans="1:14" hidden="1" x14ac:dyDescent="0.2">
      <c r="A660" s="505" t="s">
        <v>349</v>
      </c>
      <c r="B660" s="653" t="s">
        <v>552</v>
      </c>
      <c r="C660" s="422" t="s">
        <v>60</v>
      </c>
      <c r="D660" s="248" t="s">
        <v>135</v>
      </c>
      <c r="E660" s="249">
        <v>4.7095565271705183E-3</v>
      </c>
      <c r="F660" s="374" t="s">
        <v>553</v>
      </c>
      <c r="G660" s="375" t="s">
        <v>16</v>
      </c>
      <c r="H660" s="376">
        <v>2</v>
      </c>
      <c r="I660" s="376">
        <v>2</v>
      </c>
      <c r="J660" s="376">
        <v>3</v>
      </c>
      <c r="K660" s="376">
        <v>3</v>
      </c>
      <c r="L660" s="377">
        <v>2</v>
      </c>
      <c r="M660" s="254">
        <f t="shared" si="20"/>
        <v>0.60108474454521421</v>
      </c>
      <c r="N660" s="255"/>
    </row>
    <row r="661" spans="1:14" hidden="1" x14ac:dyDescent="0.2">
      <c r="A661" s="508" t="s">
        <v>349</v>
      </c>
      <c r="B661" s="513" t="s">
        <v>554</v>
      </c>
      <c r="C661" s="427" t="s">
        <v>60</v>
      </c>
      <c r="D661" s="441" t="s">
        <v>135</v>
      </c>
      <c r="E661" s="288">
        <v>8.119925046845723E-6</v>
      </c>
      <c r="F661" s="399" t="s">
        <v>553</v>
      </c>
      <c r="G661" s="290" t="s">
        <v>16</v>
      </c>
      <c r="H661" s="398">
        <v>2</v>
      </c>
      <c r="I661" s="398">
        <v>2</v>
      </c>
      <c r="J661" s="398">
        <v>3</v>
      </c>
      <c r="K661" s="398">
        <v>3</v>
      </c>
      <c r="L661" s="407">
        <v>2</v>
      </c>
      <c r="M661" s="408">
        <f t="shared" si="20"/>
        <v>0.60108474454521421</v>
      </c>
      <c r="N661" s="294"/>
    </row>
    <row r="662" spans="1:14" x14ac:dyDescent="0.2">
      <c r="A662" s="763" t="s">
        <v>552</v>
      </c>
      <c r="B662" s="764" t="s">
        <v>399</v>
      </c>
      <c r="C662" s="765" t="s">
        <v>135</v>
      </c>
      <c r="D662" s="391" t="s">
        <v>135</v>
      </c>
      <c r="E662" s="844" t="s">
        <v>188</v>
      </c>
      <c r="F662" s="389"/>
      <c r="G662" s="390" t="s">
        <v>16</v>
      </c>
      <c r="H662" s="460"/>
      <c r="I662" s="460"/>
      <c r="J662" s="460"/>
      <c r="K662" s="460"/>
      <c r="L662" s="461"/>
      <c r="M662" s="504" t="str">
        <f t="shared" si="20"/>
        <v/>
      </c>
      <c r="N662" s="483" t="s">
        <v>555</v>
      </c>
    </row>
    <row r="663" spans="1:14" x14ac:dyDescent="0.2">
      <c r="A663" s="766" t="s">
        <v>552</v>
      </c>
      <c r="B663" s="651" t="s">
        <v>556</v>
      </c>
      <c r="C663" s="767" t="s">
        <v>135</v>
      </c>
      <c r="D663" s="398" t="s">
        <v>135</v>
      </c>
      <c r="E663" s="845">
        <v>0.01</v>
      </c>
      <c r="F663" s="399" t="s">
        <v>557</v>
      </c>
      <c r="G663" s="406" t="s">
        <v>16</v>
      </c>
      <c r="H663" s="398">
        <v>2</v>
      </c>
      <c r="I663" s="398">
        <v>2</v>
      </c>
      <c r="J663" s="398">
        <v>3</v>
      </c>
      <c r="K663" s="398">
        <v>3</v>
      </c>
      <c r="L663" s="407">
        <v>2</v>
      </c>
      <c r="M663" s="408">
        <f t="shared" si="20"/>
        <v>0.60108474454521421</v>
      </c>
      <c r="N663" s="631"/>
    </row>
    <row r="664" spans="1:14" x14ac:dyDescent="0.2">
      <c r="A664" s="768" t="s">
        <v>554</v>
      </c>
      <c r="B664" s="769" t="s">
        <v>558</v>
      </c>
      <c r="C664" s="770" t="s">
        <v>135</v>
      </c>
      <c r="D664" s="376" t="s">
        <v>135</v>
      </c>
      <c r="E664" s="454">
        <v>1</v>
      </c>
      <c r="F664" s="374"/>
      <c r="G664" s="375" t="s">
        <v>16</v>
      </c>
      <c r="H664" s="454"/>
      <c r="I664" s="454"/>
      <c r="J664" s="454"/>
      <c r="K664" s="454"/>
      <c r="L664" s="455"/>
      <c r="M664" s="507" t="str">
        <f t="shared" si="20"/>
        <v/>
      </c>
      <c r="N664" s="479" t="s">
        <v>559</v>
      </c>
    </row>
    <row r="665" spans="1:14" x14ac:dyDescent="0.2">
      <c r="A665" s="763" t="s">
        <v>556</v>
      </c>
      <c r="B665" s="501" t="s">
        <v>560</v>
      </c>
      <c r="C665" s="765" t="s">
        <v>135</v>
      </c>
      <c r="D665" s="391" t="s">
        <v>135</v>
      </c>
      <c r="E665" s="846">
        <v>0.23684210526315791</v>
      </c>
      <c r="F665" s="389" t="s">
        <v>561</v>
      </c>
      <c r="G665" s="390" t="s">
        <v>16</v>
      </c>
      <c r="H665" s="391">
        <v>2</v>
      </c>
      <c r="I665" s="391">
        <v>3</v>
      </c>
      <c r="J665" s="391">
        <v>3</v>
      </c>
      <c r="K665" s="391">
        <v>3</v>
      </c>
      <c r="L665" s="392">
        <v>2</v>
      </c>
      <c r="M665" s="393">
        <f t="shared" si="20"/>
        <v>0.67913051197703389</v>
      </c>
      <c r="N665" s="483" t="s">
        <v>562</v>
      </c>
    </row>
    <row r="666" spans="1:14" x14ac:dyDescent="0.2">
      <c r="A666" s="768" t="s">
        <v>556</v>
      </c>
      <c r="B666" s="769" t="s">
        <v>560</v>
      </c>
      <c r="C666" s="770" t="s">
        <v>135</v>
      </c>
      <c r="D666" s="376" t="s">
        <v>135</v>
      </c>
      <c r="E666" s="719">
        <v>0.74776119402985064</v>
      </c>
      <c r="F666" s="374" t="s">
        <v>561</v>
      </c>
      <c r="G666" s="375" t="s">
        <v>16</v>
      </c>
      <c r="H666" s="376">
        <v>2</v>
      </c>
      <c r="I666" s="376">
        <v>3</v>
      </c>
      <c r="J666" s="376">
        <v>3</v>
      </c>
      <c r="K666" s="376">
        <v>3</v>
      </c>
      <c r="L666" s="377">
        <v>2</v>
      </c>
      <c r="M666" s="378">
        <f t="shared" si="20"/>
        <v>0.67913051197703389</v>
      </c>
      <c r="N666" s="479" t="s">
        <v>562</v>
      </c>
    </row>
    <row r="667" spans="1:14" x14ac:dyDescent="0.2">
      <c r="A667" s="768" t="s">
        <v>556</v>
      </c>
      <c r="B667" s="769" t="s">
        <v>560</v>
      </c>
      <c r="C667" s="770" t="s">
        <v>135</v>
      </c>
      <c r="D667" s="376" t="s">
        <v>135</v>
      </c>
      <c r="E667" s="478">
        <v>0</v>
      </c>
      <c r="F667" s="374" t="s">
        <v>561</v>
      </c>
      <c r="G667" s="375" t="s">
        <v>16</v>
      </c>
      <c r="H667" s="454"/>
      <c r="I667" s="454"/>
      <c r="J667" s="454"/>
      <c r="K667" s="454"/>
      <c r="L667" s="455"/>
      <c r="M667" s="507" t="str">
        <f t="shared" si="20"/>
        <v/>
      </c>
      <c r="N667" s="479" t="s">
        <v>562</v>
      </c>
    </row>
    <row r="668" spans="1:14" x14ac:dyDescent="0.2">
      <c r="A668" s="768" t="s">
        <v>556</v>
      </c>
      <c r="B668" s="769" t="s">
        <v>560</v>
      </c>
      <c r="C668" s="770" t="s">
        <v>135</v>
      </c>
      <c r="D668" s="376" t="s">
        <v>135</v>
      </c>
      <c r="E668" s="478">
        <v>0</v>
      </c>
      <c r="F668" s="374" t="s">
        <v>561</v>
      </c>
      <c r="G668" s="375" t="s">
        <v>16</v>
      </c>
      <c r="H668" s="454"/>
      <c r="I668" s="454"/>
      <c r="J668" s="454"/>
      <c r="K668" s="454"/>
      <c r="L668" s="455"/>
      <c r="M668" s="507" t="str">
        <f t="shared" si="20"/>
        <v/>
      </c>
      <c r="N668" s="479" t="s">
        <v>562</v>
      </c>
    </row>
    <row r="669" spans="1:14" x14ac:dyDescent="0.2">
      <c r="A669" s="768" t="s">
        <v>556</v>
      </c>
      <c r="B669" s="769" t="s">
        <v>560</v>
      </c>
      <c r="C669" s="770" t="s">
        <v>135</v>
      </c>
      <c r="D669" s="376" t="s">
        <v>135</v>
      </c>
      <c r="E669" s="719">
        <v>0.64035087719298245</v>
      </c>
      <c r="F669" s="374" t="s">
        <v>561</v>
      </c>
      <c r="G669" s="375" t="s">
        <v>16</v>
      </c>
      <c r="H669" s="376">
        <v>2</v>
      </c>
      <c r="I669" s="376">
        <v>3</v>
      </c>
      <c r="J669" s="376">
        <v>3</v>
      </c>
      <c r="K669" s="376">
        <v>3</v>
      </c>
      <c r="L669" s="377">
        <v>2</v>
      </c>
      <c r="M669" s="378">
        <f t="shared" si="20"/>
        <v>0.67913051197703389</v>
      </c>
      <c r="N669" s="479" t="s">
        <v>562</v>
      </c>
    </row>
    <row r="670" spans="1:14" x14ac:dyDescent="0.2">
      <c r="A670" s="768" t="s">
        <v>556</v>
      </c>
      <c r="B670" s="769" t="s">
        <v>560</v>
      </c>
      <c r="C670" s="770" t="s">
        <v>135</v>
      </c>
      <c r="D670" s="376" t="s">
        <v>135</v>
      </c>
      <c r="E670" s="478">
        <v>0</v>
      </c>
      <c r="F670" s="374" t="s">
        <v>561</v>
      </c>
      <c r="G670" s="375" t="s">
        <v>16</v>
      </c>
      <c r="H670" s="454"/>
      <c r="I670" s="454"/>
      <c r="J670" s="454"/>
      <c r="K670" s="454"/>
      <c r="L670" s="455"/>
      <c r="M670" s="507" t="str">
        <f t="shared" si="20"/>
        <v/>
      </c>
      <c r="N670" s="479" t="s">
        <v>562</v>
      </c>
    </row>
    <row r="671" spans="1:14" x14ac:dyDescent="0.2">
      <c r="A671" s="768" t="s">
        <v>556</v>
      </c>
      <c r="B671" s="769" t="s">
        <v>560</v>
      </c>
      <c r="C671" s="770" t="s">
        <v>135</v>
      </c>
      <c r="D671" s="376" t="s">
        <v>135</v>
      </c>
      <c r="E671" s="719">
        <v>0.79999999999999993</v>
      </c>
      <c r="F671" s="374" t="s">
        <v>561</v>
      </c>
      <c r="G671" s="375" t="s">
        <v>16</v>
      </c>
      <c r="H671" s="376">
        <v>2</v>
      </c>
      <c r="I671" s="376">
        <v>3</v>
      </c>
      <c r="J671" s="376">
        <v>3</v>
      </c>
      <c r="K671" s="376">
        <v>3</v>
      </c>
      <c r="L671" s="377">
        <v>2</v>
      </c>
      <c r="M671" s="378">
        <f t="shared" si="20"/>
        <v>0.67913051197703389</v>
      </c>
      <c r="N671" s="479" t="s">
        <v>562</v>
      </c>
    </row>
    <row r="672" spans="1:14" x14ac:dyDescent="0.2">
      <c r="A672" s="766" t="s">
        <v>556</v>
      </c>
      <c r="B672" s="651" t="s">
        <v>558</v>
      </c>
      <c r="C672" s="767" t="s">
        <v>135</v>
      </c>
      <c r="D672" s="398" t="s">
        <v>135</v>
      </c>
      <c r="E672" s="847" t="s">
        <v>188</v>
      </c>
      <c r="F672" s="399"/>
      <c r="G672" s="406"/>
      <c r="H672" s="556"/>
      <c r="I672" s="556"/>
      <c r="J672" s="556"/>
      <c r="K672" s="556"/>
      <c r="L672" s="557"/>
      <c r="M672" s="558" t="str">
        <f t="shared" si="20"/>
        <v/>
      </c>
      <c r="N672" s="631"/>
    </row>
    <row r="673" spans="1:14" x14ac:dyDescent="0.2">
      <c r="A673" s="763" t="s">
        <v>558</v>
      </c>
      <c r="B673" s="771" t="s">
        <v>488</v>
      </c>
      <c r="C673" s="765" t="s">
        <v>135</v>
      </c>
      <c r="D673" s="391" t="s">
        <v>135</v>
      </c>
      <c r="E673" s="460" t="s">
        <v>188</v>
      </c>
      <c r="F673" s="389"/>
      <c r="G673" s="390" t="s">
        <v>16</v>
      </c>
      <c r="H673" s="460"/>
      <c r="I673" s="460"/>
      <c r="J673" s="460"/>
      <c r="K673" s="460"/>
      <c r="L673" s="461"/>
      <c r="M673" s="504" t="str">
        <f t="shared" si="20"/>
        <v/>
      </c>
      <c r="N673" s="483" t="s">
        <v>563</v>
      </c>
    </row>
    <row r="674" spans="1:14" x14ac:dyDescent="0.2">
      <c r="A674" s="768" t="s">
        <v>558</v>
      </c>
      <c r="B674" s="772" t="s">
        <v>451</v>
      </c>
      <c r="C674" s="770" t="s">
        <v>135</v>
      </c>
      <c r="D674" s="376" t="s">
        <v>135</v>
      </c>
      <c r="E674" s="376">
        <v>0.03</v>
      </c>
      <c r="F674" s="374" t="s">
        <v>557</v>
      </c>
      <c r="G674" s="375" t="s">
        <v>16</v>
      </c>
      <c r="H674" s="376">
        <v>2</v>
      </c>
      <c r="I674" s="376">
        <v>2</v>
      </c>
      <c r="J674" s="376">
        <v>3</v>
      </c>
      <c r="K674" s="376">
        <v>2</v>
      </c>
      <c r="L674" s="377">
        <v>2</v>
      </c>
      <c r="M674" s="378">
        <f t="shared" si="20"/>
        <v>0.51126068492676302</v>
      </c>
      <c r="N674" s="479" t="s">
        <v>564</v>
      </c>
    </row>
    <row r="675" spans="1:14" x14ac:dyDescent="0.2">
      <c r="A675" s="763" t="s">
        <v>560</v>
      </c>
      <c r="B675" s="771" t="s">
        <v>480</v>
      </c>
      <c r="C675" s="765" t="s">
        <v>135</v>
      </c>
      <c r="D675" s="391" t="s">
        <v>135</v>
      </c>
      <c r="E675" s="460" t="s">
        <v>188</v>
      </c>
      <c r="F675" s="389"/>
      <c r="G675" s="390" t="s">
        <v>16</v>
      </c>
      <c r="H675" s="460"/>
      <c r="I675" s="460"/>
      <c r="J675" s="460"/>
      <c r="K675" s="460"/>
      <c r="L675" s="461"/>
      <c r="M675" s="504" t="str">
        <f t="shared" si="20"/>
        <v/>
      </c>
      <c r="N675" s="483" t="s">
        <v>563</v>
      </c>
    </row>
    <row r="676" spans="1:14" x14ac:dyDescent="0.2">
      <c r="A676" s="766" t="s">
        <v>560</v>
      </c>
      <c r="B676" s="509" t="s">
        <v>456</v>
      </c>
      <c r="C676" s="767" t="s">
        <v>135</v>
      </c>
      <c r="D676" s="398" t="s">
        <v>135</v>
      </c>
      <c r="E676" s="398">
        <v>0.03</v>
      </c>
      <c r="F676" s="399" t="s">
        <v>557</v>
      </c>
      <c r="G676" s="406" t="s">
        <v>16</v>
      </c>
      <c r="H676" s="398">
        <v>2</v>
      </c>
      <c r="I676" s="398">
        <v>2</v>
      </c>
      <c r="J676" s="398">
        <v>3</v>
      </c>
      <c r="K676" s="398">
        <v>2</v>
      </c>
      <c r="L676" s="407">
        <v>2</v>
      </c>
      <c r="M676" s="408">
        <f t="shared" si="20"/>
        <v>0.51126068492676302</v>
      </c>
      <c r="N676" s="559" t="s">
        <v>564</v>
      </c>
    </row>
    <row r="677" spans="1:14" x14ac:dyDescent="0.2">
      <c r="A677" s="773" t="s">
        <v>447</v>
      </c>
      <c r="B677" s="774" t="s">
        <v>565</v>
      </c>
      <c r="C677" s="765" t="s">
        <v>135</v>
      </c>
      <c r="D677" s="391" t="s">
        <v>135</v>
      </c>
      <c r="E677" s="391">
        <v>0.1</v>
      </c>
      <c r="F677" s="389" t="s">
        <v>455</v>
      </c>
      <c r="G677" s="390" t="s">
        <v>16</v>
      </c>
      <c r="H677" s="391">
        <v>1</v>
      </c>
      <c r="I677" s="391">
        <v>1</v>
      </c>
      <c r="J677" s="391">
        <v>1</v>
      </c>
      <c r="K677" s="391">
        <v>1</v>
      </c>
      <c r="L677" s="392">
        <v>3</v>
      </c>
      <c r="M677" s="393">
        <f>IF( OR( ISBLANK(H677),ISBLANK(I677), ISBLANK(J677), ISBLANK(K677), ISBLANK(L677) ), "", 1.5*SQRT(   EXP(2.21*(H677-1)) + EXP(2.21*(I677-1)) + EXP(2.21*(J677-1)) + EXP(2.21*(K677-1)) + EXP(2.21*L677)   )/100*2.45 )</f>
        <v>1.0141150152164344</v>
      </c>
      <c r="N677" s="483"/>
    </row>
    <row r="678" spans="1:14" x14ac:dyDescent="0.2">
      <c r="A678" s="775" t="s">
        <v>447</v>
      </c>
      <c r="B678" s="382" t="s">
        <v>451</v>
      </c>
      <c r="C678" s="770" t="s">
        <v>135</v>
      </c>
      <c r="D678" s="376" t="s">
        <v>135</v>
      </c>
      <c r="E678" s="376">
        <v>0.3</v>
      </c>
      <c r="F678" s="374" t="s">
        <v>455</v>
      </c>
      <c r="G678" s="375"/>
      <c r="H678" s="376">
        <v>1</v>
      </c>
      <c r="I678" s="376">
        <v>1</v>
      </c>
      <c r="J678" s="376">
        <v>1</v>
      </c>
      <c r="K678" s="376">
        <v>1</v>
      </c>
      <c r="L678" s="377">
        <v>3</v>
      </c>
      <c r="M678" s="378">
        <f t="shared" ref="M678:M709" si="21">IF( OR( ISBLANK(H678),ISBLANK(I678), ISBLANK(J678), ISBLANK(K678), ISBLANK(L678) ), "", 1.5*SQRT( EXP(2.21*(H678-1)) + EXP(2.21*(I678-1)) + EXP(2.21*(J678-1)) + EXP(2.21*(K678-1)) + EXP(2.21*L678) )/100*2.45 )</f>
        <v>1.0141150152164344</v>
      </c>
      <c r="N678" s="479"/>
    </row>
    <row r="679" spans="1:14" x14ac:dyDescent="0.2">
      <c r="A679" s="776" t="s">
        <v>447</v>
      </c>
      <c r="B679" s="777" t="s">
        <v>566</v>
      </c>
      <c r="C679" s="767" t="s">
        <v>135</v>
      </c>
      <c r="D679" s="398" t="s">
        <v>135</v>
      </c>
      <c r="E679" s="398">
        <v>0.6</v>
      </c>
      <c r="F679" s="399" t="s">
        <v>455</v>
      </c>
      <c r="G679" s="406" t="s">
        <v>16</v>
      </c>
      <c r="H679" s="398">
        <v>1</v>
      </c>
      <c r="I679" s="398">
        <v>1</v>
      </c>
      <c r="J679" s="398">
        <v>1</v>
      </c>
      <c r="K679" s="398">
        <v>1</v>
      </c>
      <c r="L679" s="407">
        <v>3</v>
      </c>
      <c r="M679" s="408">
        <f t="shared" si="21"/>
        <v>1.0141150152164344</v>
      </c>
      <c r="N679" s="631"/>
    </row>
    <row r="680" spans="1:14" x14ac:dyDescent="0.2">
      <c r="A680" s="773" t="s">
        <v>549</v>
      </c>
      <c r="B680" s="778" t="s">
        <v>567</v>
      </c>
      <c r="C680" s="247" t="s">
        <v>13</v>
      </c>
      <c r="D680" s="391" t="s">
        <v>135</v>
      </c>
      <c r="E680" s="779">
        <v>0.71499999999999997</v>
      </c>
      <c r="F680" s="389" t="s">
        <v>568</v>
      </c>
      <c r="G680" s="390" t="s">
        <v>16</v>
      </c>
      <c r="H680" s="391">
        <v>1</v>
      </c>
      <c r="I680" s="391">
        <v>2</v>
      </c>
      <c r="J680" s="391">
        <v>3</v>
      </c>
      <c r="K680" s="391">
        <v>3</v>
      </c>
      <c r="L680" s="392">
        <v>1</v>
      </c>
      <c r="M680" s="395">
        <f t="shared" si="21"/>
        <v>0.50042652380814845</v>
      </c>
      <c r="N680" s="483"/>
    </row>
    <row r="681" spans="1:14" hidden="1" x14ac:dyDescent="0.2">
      <c r="A681" s="775" t="s">
        <v>549</v>
      </c>
      <c r="B681" s="778" t="s">
        <v>567</v>
      </c>
      <c r="C681" s="247" t="s">
        <v>18</v>
      </c>
      <c r="D681" s="376" t="s">
        <v>135</v>
      </c>
      <c r="E681" s="780">
        <v>0.1067643790921472</v>
      </c>
      <c r="F681" s="374" t="s">
        <v>568</v>
      </c>
      <c r="G681" s="375" t="s">
        <v>16</v>
      </c>
      <c r="H681" s="376">
        <v>1</v>
      </c>
      <c r="I681" s="376">
        <v>2</v>
      </c>
      <c r="J681" s="376">
        <v>3</v>
      </c>
      <c r="K681" s="376">
        <v>3</v>
      </c>
      <c r="L681" s="377">
        <v>1</v>
      </c>
      <c r="M681" s="396">
        <f t="shared" si="21"/>
        <v>0.50042652380814845</v>
      </c>
      <c r="N681" s="479"/>
    </row>
    <row r="682" spans="1:14" hidden="1" x14ac:dyDescent="0.2">
      <c r="A682" s="775" t="s">
        <v>549</v>
      </c>
      <c r="B682" s="778" t="s">
        <v>567</v>
      </c>
      <c r="C682" s="247" t="s">
        <v>20</v>
      </c>
      <c r="D682" s="376" t="s">
        <v>135</v>
      </c>
      <c r="E682" s="780">
        <v>0.4</v>
      </c>
      <c r="F682" s="374" t="s">
        <v>568</v>
      </c>
      <c r="G682" s="375" t="s">
        <v>16</v>
      </c>
      <c r="H682" s="376">
        <v>1</v>
      </c>
      <c r="I682" s="376">
        <v>2</v>
      </c>
      <c r="J682" s="376">
        <v>3</v>
      </c>
      <c r="K682" s="376">
        <v>3</v>
      </c>
      <c r="L682" s="377">
        <v>1</v>
      </c>
      <c r="M682" s="396">
        <f t="shared" si="21"/>
        <v>0.50042652380814845</v>
      </c>
      <c r="N682" s="479"/>
    </row>
    <row r="683" spans="1:14" hidden="1" x14ac:dyDescent="0.2">
      <c r="A683" s="775" t="s">
        <v>549</v>
      </c>
      <c r="B683" s="778" t="s">
        <v>567</v>
      </c>
      <c r="C683" s="247" t="s">
        <v>22</v>
      </c>
      <c r="D683" s="376" t="s">
        <v>135</v>
      </c>
      <c r="E683" s="780">
        <v>0.45500000000000002</v>
      </c>
      <c r="F683" s="374" t="s">
        <v>568</v>
      </c>
      <c r="G683" s="375" t="s">
        <v>16</v>
      </c>
      <c r="H683" s="376">
        <v>1</v>
      </c>
      <c r="I683" s="376">
        <v>2</v>
      </c>
      <c r="J683" s="376">
        <v>3</v>
      </c>
      <c r="K683" s="376">
        <v>3</v>
      </c>
      <c r="L683" s="377">
        <v>1</v>
      </c>
      <c r="M683" s="396">
        <f t="shared" si="21"/>
        <v>0.50042652380814845</v>
      </c>
      <c r="N683" s="479"/>
    </row>
    <row r="684" spans="1:14" hidden="1" x14ac:dyDescent="0.2">
      <c r="A684" s="775" t="s">
        <v>549</v>
      </c>
      <c r="B684" s="778" t="s">
        <v>567</v>
      </c>
      <c r="C684" s="247" t="s">
        <v>23</v>
      </c>
      <c r="D684" s="376" t="s">
        <v>135</v>
      </c>
      <c r="E684" s="781">
        <v>1</v>
      </c>
      <c r="F684" s="374" t="s">
        <v>568</v>
      </c>
      <c r="G684" s="782" t="s">
        <v>16</v>
      </c>
      <c r="H684" s="781"/>
      <c r="I684" s="781"/>
      <c r="J684" s="781"/>
      <c r="K684" s="781"/>
      <c r="L684" s="783"/>
      <c r="M684" s="784" t="str">
        <f t="shared" si="21"/>
        <v/>
      </c>
      <c r="N684" s="479"/>
    </row>
    <row r="685" spans="1:14" hidden="1" x14ac:dyDescent="0.2">
      <c r="A685" s="775" t="s">
        <v>549</v>
      </c>
      <c r="B685" s="778" t="s">
        <v>567</v>
      </c>
      <c r="C685" s="247" t="s">
        <v>24</v>
      </c>
      <c r="D685" s="376" t="s">
        <v>135</v>
      </c>
      <c r="E685" s="780">
        <v>0.29499999999999987</v>
      </c>
      <c r="F685" s="374" t="s">
        <v>568</v>
      </c>
      <c r="G685" s="375" t="s">
        <v>16</v>
      </c>
      <c r="H685" s="376">
        <v>1</v>
      </c>
      <c r="I685" s="376">
        <v>2</v>
      </c>
      <c r="J685" s="376">
        <v>3</v>
      </c>
      <c r="K685" s="376">
        <v>3</v>
      </c>
      <c r="L685" s="377">
        <v>1</v>
      </c>
      <c r="M685" s="396">
        <f t="shared" si="21"/>
        <v>0.50042652380814845</v>
      </c>
      <c r="N685" s="479"/>
    </row>
    <row r="686" spans="1:14" hidden="1" x14ac:dyDescent="0.2">
      <c r="A686" s="775" t="s">
        <v>549</v>
      </c>
      <c r="B686" s="778" t="s">
        <v>567</v>
      </c>
      <c r="C686" s="247" t="s">
        <v>25</v>
      </c>
      <c r="D686" s="376" t="s">
        <v>135</v>
      </c>
      <c r="E686" s="780">
        <v>0.5</v>
      </c>
      <c r="F686" s="374" t="s">
        <v>568</v>
      </c>
      <c r="G686" s="375" t="s">
        <v>16</v>
      </c>
      <c r="H686" s="376">
        <v>1</v>
      </c>
      <c r="I686" s="376">
        <v>2</v>
      </c>
      <c r="J686" s="376">
        <v>3</v>
      </c>
      <c r="K686" s="376">
        <v>3</v>
      </c>
      <c r="L686" s="377">
        <v>1</v>
      </c>
      <c r="M686" s="396">
        <f t="shared" si="21"/>
        <v>0.50042652380814845</v>
      </c>
      <c r="N686" s="479"/>
    </row>
    <row r="687" spans="1:14" hidden="1" x14ac:dyDescent="0.2">
      <c r="A687" s="775" t="s">
        <v>549</v>
      </c>
      <c r="B687" s="778" t="s">
        <v>567</v>
      </c>
      <c r="C687" s="247" t="s">
        <v>26</v>
      </c>
      <c r="D687" s="376" t="s">
        <v>135</v>
      </c>
      <c r="E687" s="780">
        <v>0.05</v>
      </c>
      <c r="F687" s="374" t="s">
        <v>568</v>
      </c>
      <c r="G687" s="375" t="s">
        <v>16</v>
      </c>
      <c r="H687" s="376">
        <v>1</v>
      </c>
      <c r="I687" s="376">
        <v>2</v>
      </c>
      <c r="J687" s="376">
        <v>3</v>
      </c>
      <c r="K687" s="376">
        <v>3</v>
      </c>
      <c r="L687" s="377">
        <v>3</v>
      </c>
      <c r="M687" s="396">
        <f t="shared" si="21"/>
        <v>1.123005955058592</v>
      </c>
      <c r="N687" s="479"/>
    </row>
    <row r="688" spans="1:14" hidden="1" x14ac:dyDescent="0.2">
      <c r="A688" s="775" t="s">
        <v>549</v>
      </c>
      <c r="B688" s="778" t="s">
        <v>567</v>
      </c>
      <c r="C688" s="247" t="s">
        <v>27</v>
      </c>
      <c r="D688" s="376" t="s">
        <v>135</v>
      </c>
      <c r="E688" s="780">
        <v>0.95</v>
      </c>
      <c r="F688" s="374" t="s">
        <v>568</v>
      </c>
      <c r="G688" s="375" t="s">
        <v>16</v>
      </c>
      <c r="H688" s="376">
        <v>1</v>
      </c>
      <c r="I688" s="376">
        <v>2</v>
      </c>
      <c r="J688" s="376">
        <v>3</v>
      </c>
      <c r="K688" s="376">
        <v>3</v>
      </c>
      <c r="L688" s="377">
        <v>1</v>
      </c>
      <c r="M688" s="396">
        <f t="shared" si="21"/>
        <v>0.50042652380814845</v>
      </c>
      <c r="N688" s="479"/>
    </row>
    <row r="689" spans="1:14" hidden="1" x14ac:dyDescent="0.2">
      <c r="A689" s="775" t="s">
        <v>549</v>
      </c>
      <c r="B689" s="778" t="s">
        <v>567</v>
      </c>
      <c r="C689" s="247" t="s">
        <v>28</v>
      </c>
      <c r="D689" s="376" t="s">
        <v>135</v>
      </c>
      <c r="E689" s="780">
        <v>0.68</v>
      </c>
      <c r="F689" s="374" t="s">
        <v>568</v>
      </c>
      <c r="G689" s="375" t="s">
        <v>16</v>
      </c>
      <c r="H689" s="376">
        <v>1</v>
      </c>
      <c r="I689" s="376">
        <v>2</v>
      </c>
      <c r="J689" s="376">
        <v>3</v>
      </c>
      <c r="K689" s="376">
        <v>3</v>
      </c>
      <c r="L689" s="377">
        <v>1</v>
      </c>
      <c r="M689" s="396">
        <f t="shared" si="21"/>
        <v>0.50042652380814845</v>
      </c>
      <c r="N689" s="479"/>
    </row>
    <row r="690" spans="1:14" hidden="1" x14ac:dyDescent="0.2">
      <c r="A690" s="775" t="s">
        <v>549</v>
      </c>
      <c r="B690" s="778" t="s">
        <v>567</v>
      </c>
      <c r="C690" s="247" t="s">
        <v>30</v>
      </c>
      <c r="D690" s="376" t="s">
        <v>135</v>
      </c>
      <c r="E690" s="780">
        <v>0.56999999999999995</v>
      </c>
      <c r="F690" s="374" t="s">
        <v>568</v>
      </c>
      <c r="G690" s="375" t="s">
        <v>16</v>
      </c>
      <c r="H690" s="376">
        <v>1</v>
      </c>
      <c r="I690" s="376">
        <v>2</v>
      </c>
      <c r="J690" s="376">
        <v>3</v>
      </c>
      <c r="K690" s="376">
        <v>3</v>
      </c>
      <c r="L690" s="377">
        <v>1</v>
      </c>
      <c r="M690" s="396">
        <f t="shared" si="21"/>
        <v>0.50042652380814845</v>
      </c>
      <c r="N690" s="479"/>
    </row>
    <row r="691" spans="1:14" hidden="1" x14ac:dyDescent="0.2">
      <c r="A691" s="775" t="s">
        <v>549</v>
      </c>
      <c r="B691" s="778" t="s">
        <v>567</v>
      </c>
      <c r="C691" s="247" t="s">
        <v>32</v>
      </c>
      <c r="D691" s="376" t="s">
        <v>135</v>
      </c>
      <c r="E691" s="780">
        <v>0.81</v>
      </c>
      <c r="F691" s="374" t="s">
        <v>568</v>
      </c>
      <c r="G691" s="375" t="s">
        <v>16</v>
      </c>
      <c r="H691" s="376">
        <v>1</v>
      </c>
      <c r="I691" s="376">
        <v>2</v>
      </c>
      <c r="J691" s="376">
        <v>3</v>
      </c>
      <c r="K691" s="376">
        <v>3</v>
      </c>
      <c r="L691" s="377">
        <v>1</v>
      </c>
      <c r="M691" s="396">
        <f t="shared" si="21"/>
        <v>0.50042652380814845</v>
      </c>
      <c r="N691" s="479"/>
    </row>
    <row r="692" spans="1:14" hidden="1" x14ac:dyDescent="0.2">
      <c r="A692" s="775" t="s">
        <v>549</v>
      </c>
      <c r="B692" s="778" t="s">
        <v>567</v>
      </c>
      <c r="C692" s="247" t="s">
        <v>34</v>
      </c>
      <c r="D692" s="376" t="s">
        <v>135</v>
      </c>
      <c r="E692" s="780">
        <v>0.57469999999999999</v>
      </c>
      <c r="F692" s="374" t="s">
        <v>568</v>
      </c>
      <c r="G692" s="375" t="s">
        <v>16</v>
      </c>
      <c r="H692" s="376">
        <v>1</v>
      </c>
      <c r="I692" s="376">
        <v>2</v>
      </c>
      <c r="J692" s="376">
        <v>3</v>
      </c>
      <c r="K692" s="376">
        <v>3</v>
      </c>
      <c r="L692" s="377">
        <v>1</v>
      </c>
      <c r="M692" s="396">
        <f t="shared" si="21"/>
        <v>0.50042652380814845</v>
      </c>
      <c r="N692" s="479"/>
    </row>
    <row r="693" spans="1:14" hidden="1" x14ac:dyDescent="0.2">
      <c r="A693" s="775" t="s">
        <v>549</v>
      </c>
      <c r="B693" s="778" t="s">
        <v>567</v>
      </c>
      <c r="C693" s="247" t="s">
        <v>36</v>
      </c>
      <c r="D693" s="376" t="s">
        <v>135</v>
      </c>
      <c r="E693" s="780">
        <v>0.76300000000000001</v>
      </c>
      <c r="F693" s="374" t="s">
        <v>568</v>
      </c>
      <c r="G693" s="375" t="s">
        <v>16</v>
      </c>
      <c r="H693" s="376">
        <v>1</v>
      </c>
      <c r="I693" s="376">
        <v>2</v>
      </c>
      <c r="J693" s="376">
        <v>3</v>
      </c>
      <c r="K693" s="376">
        <v>3</v>
      </c>
      <c r="L693" s="377">
        <v>1</v>
      </c>
      <c r="M693" s="396">
        <f t="shared" si="21"/>
        <v>0.50042652380814845</v>
      </c>
      <c r="N693" s="479"/>
    </row>
    <row r="694" spans="1:14" hidden="1" x14ac:dyDescent="0.2">
      <c r="A694" s="775" t="s">
        <v>549</v>
      </c>
      <c r="B694" s="778" t="s">
        <v>567</v>
      </c>
      <c r="C694" s="247" t="s">
        <v>37</v>
      </c>
      <c r="D694" s="376" t="s">
        <v>135</v>
      </c>
      <c r="E694" s="780">
        <v>0.4</v>
      </c>
      <c r="F694" s="374" t="s">
        <v>568</v>
      </c>
      <c r="G694" s="375" t="s">
        <v>16</v>
      </c>
      <c r="H694" s="376">
        <v>1</v>
      </c>
      <c r="I694" s="376">
        <v>2</v>
      </c>
      <c r="J694" s="376">
        <v>3</v>
      </c>
      <c r="K694" s="376">
        <v>3</v>
      </c>
      <c r="L694" s="377">
        <v>1</v>
      </c>
      <c r="M694" s="396">
        <f t="shared" si="21"/>
        <v>0.50042652380814845</v>
      </c>
      <c r="N694" s="479"/>
    </row>
    <row r="695" spans="1:14" hidden="1" x14ac:dyDescent="0.2">
      <c r="A695" s="775" t="s">
        <v>549</v>
      </c>
      <c r="B695" s="778" t="s">
        <v>567</v>
      </c>
      <c r="C695" s="247" t="s">
        <v>39</v>
      </c>
      <c r="D695" s="376" t="s">
        <v>135</v>
      </c>
      <c r="E695" s="780">
        <v>0.8</v>
      </c>
      <c r="F695" s="374" t="s">
        <v>568</v>
      </c>
      <c r="G695" s="375" t="s">
        <v>16</v>
      </c>
      <c r="H695" s="376">
        <v>1</v>
      </c>
      <c r="I695" s="376">
        <v>2</v>
      </c>
      <c r="J695" s="376">
        <v>3</v>
      </c>
      <c r="K695" s="376">
        <v>3</v>
      </c>
      <c r="L695" s="377">
        <v>1</v>
      </c>
      <c r="M695" s="396">
        <f t="shared" si="21"/>
        <v>0.50042652380814845</v>
      </c>
      <c r="N695" s="479"/>
    </row>
    <row r="696" spans="1:14" hidden="1" x14ac:dyDescent="0.2">
      <c r="A696" s="775" t="s">
        <v>549</v>
      </c>
      <c r="B696" s="778" t="s">
        <v>567</v>
      </c>
      <c r="C696" s="247" t="s">
        <v>40</v>
      </c>
      <c r="D696" s="376" t="s">
        <v>135</v>
      </c>
      <c r="E696" s="780">
        <v>0.5</v>
      </c>
      <c r="F696" s="374" t="s">
        <v>568</v>
      </c>
      <c r="G696" s="375" t="s">
        <v>16</v>
      </c>
      <c r="H696" s="376">
        <v>1</v>
      </c>
      <c r="I696" s="376">
        <v>2</v>
      </c>
      <c r="J696" s="376">
        <v>3</v>
      </c>
      <c r="K696" s="376">
        <v>3</v>
      </c>
      <c r="L696" s="377">
        <v>1</v>
      </c>
      <c r="M696" s="396">
        <f t="shared" si="21"/>
        <v>0.50042652380814845</v>
      </c>
      <c r="N696" s="479"/>
    </row>
    <row r="697" spans="1:14" hidden="1" x14ac:dyDescent="0.2">
      <c r="A697" s="775" t="s">
        <v>549</v>
      </c>
      <c r="B697" s="778" t="s">
        <v>567</v>
      </c>
      <c r="C697" s="247" t="s">
        <v>41</v>
      </c>
      <c r="D697" s="376" t="s">
        <v>135</v>
      </c>
      <c r="E697" s="780">
        <v>0.1</v>
      </c>
      <c r="F697" s="374" t="s">
        <v>568</v>
      </c>
      <c r="G697" s="375" t="s">
        <v>16</v>
      </c>
      <c r="H697" s="376">
        <v>1</v>
      </c>
      <c r="I697" s="376">
        <v>2</v>
      </c>
      <c r="J697" s="376">
        <v>3</v>
      </c>
      <c r="K697" s="376">
        <v>3</v>
      </c>
      <c r="L697" s="377">
        <v>1</v>
      </c>
      <c r="M697" s="396">
        <f t="shared" si="21"/>
        <v>0.50042652380814845</v>
      </c>
      <c r="N697" s="479"/>
    </row>
    <row r="698" spans="1:14" hidden="1" x14ac:dyDescent="0.2">
      <c r="A698" s="775" t="s">
        <v>549</v>
      </c>
      <c r="B698" s="778" t="s">
        <v>567</v>
      </c>
      <c r="C698" s="247" t="s">
        <v>42</v>
      </c>
      <c r="D698" s="376" t="s">
        <v>135</v>
      </c>
      <c r="E698" s="781">
        <v>1</v>
      </c>
      <c r="F698" s="374" t="s">
        <v>568</v>
      </c>
      <c r="G698" s="782" t="s">
        <v>16</v>
      </c>
      <c r="H698" s="781"/>
      <c r="I698" s="781"/>
      <c r="J698" s="781"/>
      <c r="K698" s="781"/>
      <c r="L698" s="783"/>
      <c r="M698" s="784" t="str">
        <f t="shared" si="21"/>
        <v/>
      </c>
      <c r="N698" s="479"/>
    </row>
    <row r="699" spans="1:14" hidden="1" x14ac:dyDescent="0.2">
      <c r="A699" s="775" t="s">
        <v>549</v>
      </c>
      <c r="B699" s="778" t="s">
        <v>567</v>
      </c>
      <c r="C699" s="247" t="s">
        <v>43</v>
      </c>
      <c r="D699" s="376" t="s">
        <v>135</v>
      </c>
      <c r="E699" s="780">
        <v>0.27</v>
      </c>
      <c r="F699" s="374" t="s">
        <v>568</v>
      </c>
      <c r="G699" s="375" t="s">
        <v>16</v>
      </c>
      <c r="H699" s="376">
        <v>1</v>
      </c>
      <c r="I699" s="376">
        <v>2</v>
      </c>
      <c r="J699" s="376">
        <v>3</v>
      </c>
      <c r="K699" s="376">
        <v>3</v>
      </c>
      <c r="L699" s="377">
        <v>1</v>
      </c>
      <c r="M699" s="396">
        <f t="shared" si="21"/>
        <v>0.50042652380814845</v>
      </c>
      <c r="N699" s="479"/>
    </row>
    <row r="700" spans="1:14" hidden="1" x14ac:dyDescent="0.2">
      <c r="A700" s="775" t="s">
        <v>549</v>
      </c>
      <c r="B700" s="778" t="s">
        <v>567</v>
      </c>
      <c r="C700" s="247" t="s">
        <v>45</v>
      </c>
      <c r="D700" s="376" t="s">
        <v>135</v>
      </c>
      <c r="E700" s="780">
        <v>0.82</v>
      </c>
      <c r="F700" s="374" t="s">
        <v>569</v>
      </c>
      <c r="G700" s="375" t="s">
        <v>16</v>
      </c>
      <c r="H700" s="376">
        <v>1</v>
      </c>
      <c r="I700" s="376">
        <v>1</v>
      </c>
      <c r="J700" s="376">
        <v>3</v>
      </c>
      <c r="K700" s="376">
        <v>3</v>
      </c>
      <c r="L700" s="377">
        <v>1</v>
      </c>
      <c r="M700" s="396">
        <f t="shared" si="21"/>
        <v>0.48935255543384243</v>
      </c>
      <c r="N700" s="479"/>
    </row>
    <row r="701" spans="1:14" hidden="1" x14ac:dyDescent="0.2">
      <c r="A701" s="775" t="s">
        <v>549</v>
      </c>
      <c r="B701" s="778" t="s">
        <v>567</v>
      </c>
      <c r="C701" s="247" t="s">
        <v>46</v>
      </c>
      <c r="D701" s="376" t="s">
        <v>135</v>
      </c>
      <c r="E701" s="780">
        <v>8.9385000000000006E-2</v>
      </c>
      <c r="F701" s="374" t="s">
        <v>568</v>
      </c>
      <c r="G701" s="375" t="s">
        <v>16</v>
      </c>
      <c r="H701" s="376">
        <v>1</v>
      </c>
      <c r="I701" s="376">
        <v>2</v>
      </c>
      <c r="J701" s="376">
        <v>3</v>
      </c>
      <c r="K701" s="376">
        <v>3</v>
      </c>
      <c r="L701" s="377">
        <v>1</v>
      </c>
      <c r="M701" s="396">
        <f t="shared" si="21"/>
        <v>0.50042652380814845</v>
      </c>
      <c r="N701" s="479"/>
    </row>
    <row r="702" spans="1:14" hidden="1" x14ac:dyDescent="0.2">
      <c r="A702" s="775" t="s">
        <v>549</v>
      </c>
      <c r="B702" s="778" t="s">
        <v>567</v>
      </c>
      <c r="C702" s="247" t="s">
        <v>48</v>
      </c>
      <c r="D702" s="376" t="s">
        <v>135</v>
      </c>
      <c r="E702" s="780">
        <v>0.66</v>
      </c>
      <c r="F702" s="374" t="s">
        <v>568</v>
      </c>
      <c r="G702" s="375" t="s">
        <v>16</v>
      </c>
      <c r="H702" s="376">
        <v>1</v>
      </c>
      <c r="I702" s="376">
        <v>2</v>
      </c>
      <c r="J702" s="376">
        <v>3</v>
      </c>
      <c r="K702" s="376">
        <v>3</v>
      </c>
      <c r="L702" s="377">
        <v>1</v>
      </c>
      <c r="M702" s="396">
        <f t="shared" si="21"/>
        <v>0.50042652380814845</v>
      </c>
      <c r="N702" s="479"/>
    </row>
    <row r="703" spans="1:14" hidden="1" x14ac:dyDescent="0.2">
      <c r="A703" s="775" t="s">
        <v>549</v>
      </c>
      <c r="B703" s="778" t="s">
        <v>567</v>
      </c>
      <c r="C703" s="247" t="s">
        <v>50</v>
      </c>
      <c r="D703" s="376" t="s">
        <v>135</v>
      </c>
      <c r="E703" s="781">
        <v>0</v>
      </c>
      <c r="F703" s="374" t="s">
        <v>568</v>
      </c>
      <c r="G703" s="782" t="s">
        <v>16</v>
      </c>
      <c r="H703" s="781"/>
      <c r="I703" s="781"/>
      <c r="J703" s="781"/>
      <c r="K703" s="781"/>
      <c r="L703" s="783"/>
      <c r="M703" s="784" t="str">
        <f t="shared" si="21"/>
        <v/>
      </c>
      <c r="N703" s="479"/>
    </row>
    <row r="704" spans="1:14" hidden="1" x14ac:dyDescent="0.2">
      <c r="A704" s="775" t="s">
        <v>549</v>
      </c>
      <c r="B704" s="778" t="s">
        <v>567</v>
      </c>
      <c r="C704" s="247" t="s">
        <v>52</v>
      </c>
      <c r="D704" s="376" t="s">
        <v>135</v>
      </c>
      <c r="E704" s="780">
        <v>0.92500000000000004</v>
      </c>
      <c r="F704" s="374" t="s">
        <v>568</v>
      </c>
      <c r="G704" s="375" t="s">
        <v>16</v>
      </c>
      <c r="H704" s="376">
        <v>1</v>
      </c>
      <c r="I704" s="376">
        <v>2</v>
      </c>
      <c r="J704" s="376">
        <v>3</v>
      </c>
      <c r="K704" s="376">
        <v>3</v>
      </c>
      <c r="L704" s="377">
        <v>1</v>
      </c>
      <c r="M704" s="396">
        <f t="shared" si="21"/>
        <v>0.50042652380814845</v>
      </c>
      <c r="N704" s="479"/>
    </row>
    <row r="705" spans="1:14" hidden="1" x14ac:dyDescent="0.2">
      <c r="A705" s="775" t="s">
        <v>549</v>
      </c>
      <c r="B705" s="778" t="s">
        <v>567</v>
      </c>
      <c r="C705" s="247" t="s">
        <v>54</v>
      </c>
      <c r="D705" s="376" t="s">
        <v>135</v>
      </c>
      <c r="E705" s="780">
        <v>0.41</v>
      </c>
      <c r="F705" s="374" t="s">
        <v>568</v>
      </c>
      <c r="G705" s="375" t="s">
        <v>16</v>
      </c>
      <c r="H705" s="376">
        <v>1</v>
      </c>
      <c r="I705" s="376">
        <v>2</v>
      </c>
      <c r="J705" s="376">
        <v>3</v>
      </c>
      <c r="K705" s="376">
        <v>3</v>
      </c>
      <c r="L705" s="377">
        <v>1</v>
      </c>
      <c r="M705" s="396">
        <f t="shared" si="21"/>
        <v>0.50042652380814845</v>
      </c>
      <c r="N705" s="479"/>
    </row>
    <row r="706" spans="1:14" hidden="1" x14ac:dyDescent="0.2">
      <c r="A706" s="775" t="s">
        <v>549</v>
      </c>
      <c r="B706" s="778" t="s">
        <v>567</v>
      </c>
      <c r="C706" s="247" t="s">
        <v>55</v>
      </c>
      <c r="D706" s="376" t="s">
        <v>135</v>
      </c>
      <c r="E706" s="780">
        <v>0.87</v>
      </c>
      <c r="F706" s="374" t="s">
        <v>568</v>
      </c>
      <c r="G706" s="375" t="s">
        <v>16</v>
      </c>
      <c r="H706" s="376">
        <v>1</v>
      </c>
      <c r="I706" s="376">
        <v>2</v>
      </c>
      <c r="J706" s="376">
        <v>3</v>
      </c>
      <c r="K706" s="376">
        <v>3</v>
      </c>
      <c r="L706" s="377">
        <v>1</v>
      </c>
      <c r="M706" s="396">
        <f t="shared" si="21"/>
        <v>0.50042652380814845</v>
      </c>
      <c r="N706" s="479"/>
    </row>
    <row r="707" spans="1:14" hidden="1" x14ac:dyDescent="0.2">
      <c r="A707" s="775" t="s">
        <v>549</v>
      </c>
      <c r="B707" s="778" t="s">
        <v>567</v>
      </c>
      <c r="C707" s="247" t="s">
        <v>57</v>
      </c>
      <c r="D707" s="376" t="s">
        <v>135</v>
      </c>
      <c r="E707" s="780">
        <v>0.88</v>
      </c>
      <c r="F707" s="374" t="s">
        <v>568</v>
      </c>
      <c r="G707" s="375" t="s">
        <v>16</v>
      </c>
      <c r="H707" s="376">
        <v>1</v>
      </c>
      <c r="I707" s="376">
        <v>2</v>
      </c>
      <c r="J707" s="376">
        <v>3</v>
      </c>
      <c r="K707" s="376">
        <v>3</v>
      </c>
      <c r="L707" s="377">
        <v>1</v>
      </c>
      <c r="M707" s="396">
        <f t="shared" si="21"/>
        <v>0.50042652380814845</v>
      </c>
      <c r="N707" s="479"/>
    </row>
    <row r="708" spans="1:14" hidden="1" x14ac:dyDescent="0.2">
      <c r="A708" s="775" t="s">
        <v>549</v>
      </c>
      <c r="B708" s="778" t="s">
        <v>567</v>
      </c>
      <c r="C708" s="247" t="s">
        <v>59</v>
      </c>
      <c r="D708" s="376" t="s">
        <v>135</v>
      </c>
      <c r="E708" s="780">
        <v>0.3</v>
      </c>
      <c r="F708" s="374" t="s">
        <v>570</v>
      </c>
      <c r="G708" s="375" t="s">
        <v>16</v>
      </c>
      <c r="H708" s="252">
        <v>1</v>
      </c>
      <c r="I708" s="252">
        <v>3</v>
      </c>
      <c r="J708" s="252">
        <v>3</v>
      </c>
      <c r="K708" s="252">
        <v>3</v>
      </c>
      <c r="L708" s="253">
        <v>1</v>
      </c>
      <c r="M708" s="396">
        <f t="shared" si="21"/>
        <v>0.59189702474662764</v>
      </c>
      <c r="N708" s="479"/>
    </row>
    <row r="709" spans="1:14" hidden="1" x14ac:dyDescent="0.2">
      <c r="A709" s="775" t="s">
        <v>549</v>
      </c>
      <c r="B709" s="778" t="s">
        <v>567</v>
      </c>
      <c r="C709" s="247" t="s">
        <v>60</v>
      </c>
      <c r="D709" s="376" t="s">
        <v>135</v>
      </c>
      <c r="E709" s="785">
        <v>0.3</v>
      </c>
      <c r="F709" s="374" t="s">
        <v>568</v>
      </c>
      <c r="G709" s="251" t="s">
        <v>16</v>
      </c>
      <c r="H709" s="252">
        <v>1</v>
      </c>
      <c r="I709" s="252">
        <v>2</v>
      </c>
      <c r="J709" s="252">
        <v>3</v>
      </c>
      <c r="K709" s="252">
        <v>3</v>
      </c>
      <c r="L709" s="253">
        <v>1</v>
      </c>
      <c r="M709" s="254">
        <f t="shared" si="21"/>
        <v>0.50042652380814845</v>
      </c>
      <c r="N709" s="255"/>
    </row>
    <row r="710" spans="1:14" x14ac:dyDescent="0.2">
      <c r="A710" s="775" t="s">
        <v>549</v>
      </c>
      <c r="B710" s="370" t="s">
        <v>571</v>
      </c>
      <c r="C710" s="247" t="s">
        <v>13</v>
      </c>
      <c r="D710" s="376" t="s">
        <v>135</v>
      </c>
      <c r="E710" s="780">
        <f t="shared" ref="E710:E739" si="22">1-E680</f>
        <v>0.28500000000000003</v>
      </c>
      <c r="F710" s="374" t="s">
        <v>568</v>
      </c>
      <c r="G710" s="375" t="s">
        <v>16</v>
      </c>
      <c r="H710" s="376">
        <v>1</v>
      </c>
      <c r="I710" s="376">
        <v>2</v>
      </c>
      <c r="J710" s="376">
        <v>3</v>
      </c>
      <c r="K710" s="376">
        <v>3</v>
      </c>
      <c r="L710" s="377">
        <v>1</v>
      </c>
      <c r="M710" s="396">
        <f>IF( OR( ISBLANK(H710),ISBLANK(I710), ISBLANK(J710), ISBLANK(K710), ISBLANK(L710) ), "", 1.5*SQRT(   EXP(2.21*(H710-1)) + EXP(2.21*(I710-1)) + EXP(2.21*(J710-1)) + EXP(2.21*(K710-1)) + EXP(2.21*L710)   )/100*2.45 )</f>
        <v>0.50042652380814845</v>
      </c>
      <c r="N710" s="479"/>
    </row>
    <row r="711" spans="1:14" hidden="1" x14ac:dyDescent="0.2">
      <c r="A711" s="775" t="s">
        <v>549</v>
      </c>
      <c r="B711" s="370" t="s">
        <v>571</v>
      </c>
      <c r="C711" s="247" t="s">
        <v>18</v>
      </c>
      <c r="D711" s="376" t="s">
        <v>135</v>
      </c>
      <c r="E711" s="780">
        <f t="shared" si="22"/>
        <v>0.8932356209078528</v>
      </c>
      <c r="F711" s="374" t="s">
        <v>568</v>
      </c>
      <c r="G711" s="375" t="s">
        <v>16</v>
      </c>
      <c r="H711" s="376">
        <v>1</v>
      </c>
      <c r="I711" s="376">
        <v>2</v>
      </c>
      <c r="J711" s="376">
        <v>3</v>
      </c>
      <c r="K711" s="376">
        <v>3</v>
      </c>
      <c r="L711" s="377">
        <v>1</v>
      </c>
      <c r="M711" s="396">
        <f t="shared" ref="M711:M743" si="23">IF( OR( ISBLANK(H711),ISBLANK(I711), ISBLANK(J711), ISBLANK(K711), ISBLANK(L711) ), "", 1.5*SQRT( EXP(2.21*(H711-1)) + EXP(2.21*(I711-1)) + EXP(2.21*(J711-1)) + EXP(2.21*(K711-1)) + EXP(2.21*L711) )/100*2.45 )</f>
        <v>0.50042652380814845</v>
      </c>
      <c r="N711" s="479"/>
    </row>
    <row r="712" spans="1:14" hidden="1" x14ac:dyDescent="0.2">
      <c r="A712" s="775" t="s">
        <v>549</v>
      </c>
      <c r="B712" s="370" t="s">
        <v>571</v>
      </c>
      <c r="C712" s="247" t="s">
        <v>20</v>
      </c>
      <c r="D712" s="376" t="s">
        <v>135</v>
      </c>
      <c r="E712" s="780">
        <f t="shared" si="22"/>
        <v>0.6</v>
      </c>
      <c r="F712" s="374" t="s">
        <v>568</v>
      </c>
      <c r="G712" s="375" t="s">
        <v>16</v>
      </c>
      <c r="H712" s="376">
        <v>1</v>
      </c>
      <c r="I712" s="376">
        <v>2</v>
      </c>
      <c r="J712" s="376">
        <v>3</v>
      </c>
      <c r="K712" s="376">
        <v>3</v>
      </c>
      <c r="L712" s="377">
        <v>1</v>
      </c>
      <c r="M712" s="396">
        <f t="shared" si="23"/>
        <v>0.50042652380814845</v>
      </c>
      <c r="N712" s="479"/>
    </row>
    <row r="713" spans="1:14" hidden="1" x14ac:dyDescent="0.2">
      <c r="A713" s="775" t="s">
        <v>549</v>
      </c>
      <c r="B713" s="370" t="s">
        <v>571</v>
      </c>
      <c r="C713" s="247" t="s">
        <v>22</v>
      </c>
      <c r="D713" s="376" t="s">
        <v>135</v>
      </c>
      <c r="E713" s="780">
        <f t="shared" si="22"/>
        <v>0.54499999999999993</v>
      </c>
      <c r="F713" s="374" t="s">
        <v>568</v>
      </c>
      <c r="G713" s="375" t="s">
        <v>16</v>
      </c>
      <c r="H713" s="376">
        <v>1</v>
      </c>
      <c r="I713" s="376">
        <v>2</v>
      </c>
      <c r="J713" s="376">
        <v>3</v>
      </c>
      <c r="K713" s="376">
        <v>3</v>
      </c>
      <c r="L713" s="377">
        <v>1</v>
      </c>
      <c r="M713" s="396">
        <f t="shared" si="23"/>
        <v>0.50042652380814845</v>
      </c>
      <c r="N713" s="479"/>
    </row>
    <row r="714" spans="1:14" hidden="1" x14ac:dyDescent="0.2">
      <c r="A714" s="775" t="s">
        <v>549</v>
      </c>
      <c r="B714" s="370" t="s">
        <v>571</v>
      </c>
      <c r="C714" s="247" t="s">
        <v>23</v>
      </c>
      <c r="D714" s="376" t="s">
        <v>135</v>
      </c>
      <c r="E714" s="454">
        <f t="shared" si="22"/>
        <v>0</v>
      </c>
      <c r="F714" s="374" t="s">
        <v>568</v>
      </c>
      <c r="G714" s="782" t="s">
        <v>16</v>
      </c>
      <c r="H714" s="781"/>
      <c r="I714" s="781"/>
      <c r="J714" s="781"/>
      <c r="K714" s="781"/>
      <c r="L714" s="783"/>
      <c r="M714" s="784" t="str">
        <f t="shared" si="23"/>
        <v/>
      </c>
      <c r="N714" s="479"/>
    </row>
    <row r="715" spans="1:14" hidden="1" x14ac:dyDescent="0.2">
      <c r="A715" s="775" t="s">
        <v>549</v>
      </c>
      <c r="B715" s="370" t="s">
        <v>571</v>
      </c>
      <c r="C715" s="247" t="s">
        <v>24</v>
      </c>
      <c r="D715" s="376" t="s">
        <v>135</v>
      </c>
      <c r="E715" s="780">
        <f t="shared" si="22"/>
        <v>0.70500000000000007</v>
      </c>
      <c r="F715" s="374" t="s">
        <v>568</v>
      </c>
      <c r="G715" s="375" t="s">
        <v>16</v>
      </c>
      <c r="H715" s="376">
        <v>1</v>
      </c>
      <c r="I715" s="376">
        <v>2</v>
      </c>
      <c r="J715" s="376">
        <v>3</v>
      </c>
      <c r="K715" s="376">
        <v>3</v>
      </c>
      <c r="L715" s="377">
        <v>1</v>
      </c>
      <c r="M715" s="396">
        <f t="shared" si="23"/>
        <v>0.50042652380814845</v>
      </c>
      <c r="N715" s="479"/>
    </row>
    <row r="716" spans="1:14" hidden="1" x14ac:dyDescent="0.2">
      <c r="A716" s="775" t="s">
        <v>549</v>
      </c>
      <c r="B716" s="370" t="s">
        <v>571</v>
      </c>
      <c r="C716" s="247" t="s">
        <v>25</v>
      </c>
      <c r="D716" s="376" t="s">
        <v>135</v>
      </c>
      <c r="E716" s="780">
        <f t="shared" si="22"/>
        <v>0.5</v>
      </c>
      <c r="F716" s="374" t="s">
        <v>568</v>
      </c>
      <c r="G716" s="375" t="s">
        <v>16</v>
      </c>
      <c r="H716" s="376">
        <v>1</v>
      </c>
      <c r="I716" s="376">
        <v>2</v>
      </c>
      <c r="J716" s="376">
        <v>3</v>
      </c>
      <c r="K716" s="376">
        <v>3</v>
      </c>
      <c r="L716" s="377">
        <v>1</v>
      </c>
      <c r="M716" s="396">
        <f t="shared" si="23"/>
        <v>0.50042652380814845</v>
      </c>
      <c r="N716" s="479"/>
    </row>
    <row r="717" spans="1:14" hidden="1" x14ac:dyDescent="0.2">
      <c r="A717" s="775" t="s">
        <v>549</v>
      </c>
      <c r="B717" s="370" t="s">
        <v>571</v>
      </c>
      <c r="C717" s="247" t="s">
        <v>26</v>
      </c>
      <c r="D717" s="376" t="s">
        <v>135</v>
      </c>
      <c r="E717" s="780">
        <f t="shared" si="22"/>
        <v>0.95</v>
      </c>
      <c r="F717" s="374" t="s">
        <v>568</v>
      </c>
      <c r="G717" s="375" t="s">
        <v>16</v>
      </c>
      <c r="H717" s="376">
        <v>1</v>
      </c>
      <c r="I717" s="376">
        <v>2</v>
      </c>
      <c r="J717" s="376">
        <v>3</v>
      </c>
      <c r="K717" s="376">
        <v>3</v>
      </c>
      <c r="L717" s="377">
        <v>3</v>
      </c>
      <c r="M717" s="396">
        <f t="shared" si="23"/>
        <v>1.123005955058592</v>
      </c>
      <c r="N717" s="479"/>
    </row>
    <row r="718" spans="1:14" hidden="1" x14ac:dyDescent="0.2">
      <c r="A718" s="775" t="s">
        <v>549</v>
      </c>
      <c r="B718" s="370" t="s">
        <v>571</v>
      </c>
      <c r="C718" s="247" t="s">
        <v>27</v>
      </c>
      <c r="D718" s="376" t="s">
        <v>135</v>
      </c>
      <c r="E718" s="780">
        <f t="shared" si="22"/>
        <v>5.0000000000000044E-2</v>
      </c>
      <c r="F718" s="374" t="s">
        <v>568</v>
      </c>
      <c r="G718" s="375" t="s">
        <v>16</v>
      </c>
      <c r="H718" s="376">
        <v>1</v>
      </c>
      <c r="I718" s="376">
        <v>2</v>
      </c>
      <c r="J718" s="376">
        <v>3</v>
      </c>
      <c r="K718" s="376">
        <v>3</v>
      </c>
      <c r="L718" s="377">
        <v>1</v>
      </c>
      <c r="M718" s="396">
        <f t="shared" si="23"/>
        <v>0.50042652380814845</v>
      </c>
      <c r="N718" s="479"/>
    </row>
    <row r="719" spans="1:14" hidden="1" x14ac:dyDescent="0.2">
      <c r="A719" s="775" t="s">
        <v>549</v>
      </c>
      <c r="B719" s="370" t="s">
        <v>571</v>
      </c>
      <c r="C719" s="247" t="s">
        <v>28</v>
      </c>
      <c r="D719" s="376" t="s">
        <v>135</v>
      </c>
      <c r="E719" s="780">
        <f t="shared" si="22"/>
        <v>0.31999999999999995</v>
      </c>
      <c r="F719" s="374" t="s">
        <v>568</v>
      </c>
      <c r="G719" s="375" t="s">
        <v>16</v>
      </c>
      <c r="H719" s="376">
        <v>1</v>
      </c>
      <c r="I719" s="376">
        <v>2</v>
      </c>
      <c r="J719" s="376">
        <v>3</v>
      </c>
      <c r="K719" s="376">
        <v>3</v>
      </c>
      <c r="L719" s="377">
        <v>1</v>
      </c>
      <c r="M719" s="396">
        <f t="shared" si="23"/>
        <v>0.50042652380814845</v>
      </c>
      <c r="N719" s="479"/>
    </row>
    <row r="720" spans="1:14" hidden="1" x14ac:dyDescent="0.2">
      <c r="A720" s="775" t="s">
        <v>549</v>
      </c>
      <c r="B720" s="370" t="s">
        <v>571</v>
      </c>
      <c r="C720" s="247" t="s">
        <v>30</v>
      </c>
      <c r="D720" s="376" t="s">
        <v>135</v>
      </c>
      <c r="E720" s="780">
        <f t="shared" si="22"/>
        <v>0.43000000000000005</v>
      </c>
      <c r="F720" s="374" t="s">
        <v>568</v>
      </c>
      <c r="G720" s="375" t="s">
        <v>16</v>
      </c>
      <c r="H720" s="376">
        <v>1</v>
      </c>
      <c r="I720" s="376">
        <v>2</v>
      </c>
      <c r="J720" s="376">
        <v>3</v>
      </c>
      <c r="K720" s="376">
        <v>3</v>
      </c>
      <c r="L720" s="377">
        <v>1</v>
      </c>
      <c r="M720" s="396">
        <f t="shared" si="23"/>
        <v>0.50042652380814845</v>
      </c>
      <c r="N720" s="479"/>
    </row>
    <row r="721" spans="1:14" hidden="1" x14ac:dyDescent="0.2">
      <c r="A721" s="775" t="s">
        <v>549</v>
      </c>
      <c r="B721" s="370" t="s">
        <v>571</v>
      </c>
      <c r="C721" s="247" t="s">
        <v>32</v>
      </c>
      <c r="D721" s="376" t="s">
        <v>135</v>
      </c>
      <c r="E721" s="780">
        <f t="shared" si="22"/>
        <v>0.18999999999999995</v>
      </c>
      <c r="F721" s="374" t="s">
        <v>568</v>
      </c>
      <c r="G721" s="375" t="s">
        <v>16</v>
      </c>
      <c r="H721" s="376">
        <v>1</v>
      </c>
      <c r="I721" s="376">
        <v>2</v>
      </c>
      <c r="J721" s="376">
        <v>3</v>
      </c>
      <c r="K721" s="376">
        <v>3</v>
      </c>
      <c r="L721" s="377">
        <v>1</v>
      </c>
      <c r="M721" s="396">
        <f t="shared" si="23"/>
        <v>0.50042652380814845</v>
      </c>
      <c r="N721" s="479"/>
    </row>
    <row r="722" spans="1:14" hidden="1" x14ac:dyDescent="0.2">
      <c r="A722" s="775" t="s">
        <v>549</v>
      </c>
      <c r="B722" s="370" t="s">
        <v>571</v>
      </c>
      <c r="C722" s="247" t="s">
        <v>34</v>
      </c>
      <c r="D722" s="376" t="s">
        <v>135</v>
      </c>
      <c r="E722" s="780">
        <f t="shared" si="22"/>
        <v>0.42530000000000001</v>
      </c>
      <c r="F722" s="374" t="s">
        <v>568</v>
      </c>
      <c r="G722" s="375" t="s">
        <v>16</v>
      </c>
      <c r="H722" s="376">
        <v>1</v>
      </c>
      <c r="I722" s="376">
        <v>2</v>
      </c>
      <c r="J722" s="376">
        <v>3</v>
      </c>
      <c r="K722" s="376">
        <v>3</v>
      </c>
      <c r="L722" s="377">
        <v>1</v>
      </c>
      <c r="M722" s="396">
        <f t="shared" si="23"/>
        <v>0.50042652380814845</v>
      </c>
      <c r="N722" s="479"/>
    </row>
    <row r="723" spans="1:14" hidden="1" x14ac:dyDescent="0.2">
      <c r="A723" s="775" t="s">
        <v>549</v>
      </c>
      <c r="B723" s="370" t="s">
        <v>571</v>
      </c>
      <c r="C723" s="247" t="s">
        <v>36</v>
      </c>
      <c r="D723" s="376" t="s">
        <v>135</v>
      </c>
      <c r="E723" s="780">
        <f t="shared" si="22"/>
        <v>0.23699999999999999</v>
      </c>
      <c r="F723" s="374" t="s">
        <v>568</v>
      </c>
      <c r="G723" s="375" t="s">
        <v>16</v>
      </c>
      <c r="H723" s="376">
        <v>1</v>
      </c>
      <c r="I723" s="376">
        <v>2</v>
      </c>
      <c r="J723" s="376">
        <v>3</v>
      </c>
      <c r="K723" s="376">
        <v>3</v>
      </c>
      <c r="L723" s="377">
        <v>1</v>
      </c>
      <c r="M723" s="396">
        <f t="shared" si="23"/>
        <v>0.50042652380814845</v>
      </c>
      <c r="N723" s="479"/>
    </row>
    <row r="724" spans="1:14" hidden="1" x14ac:dyDescent="0.2">
      <c r="A724" s="775" t="s">
        <v>549</v>
      </c>
      <c r="B724" s="370" t="s">
        <v>571</v>
      </c>
      <c r="C724" s="247" t="s">
        <v>37</v>
      </c>
      <c r="D724" s="376" t="s">
        <v>135</v>
      </c>
      <c r="E724" s="780">
        <f t="shared" si="22"/>
        <v>0.6</v>
      </c>
      <c r="F724" s="374" t="s">
        <v>568</v>
      </c>
      <c r="G724" s="375" t="s">
        <v>16</v>
      </c>
      <c r="H724" s="376">
        <v>1</v>
      </c>
      <c r="I724" s="376">
        <v>2</v>
      </c>
      <c r="J724" s="376">
        <v>3</v>
      </c>
      <c r="K724" s="376">
        <v>3</v>
      </c>
      <c r="L724" s="377">
        <v>1</v>
      </c>
      <c r="M724" s="396">
        <f t="shared" si="23"/>
        <v>0.50042652380814845</v>
      </c>
      <c r="N724" s="479"/>
    </row>
    <row r="725" spans="1:14" hidden="1" x14ac:dyDescent="0.2">
      <c r="A725" s="775" t="s">
        <v>549</v>
      </c>
      <c r="B725" s="370" t="s">
        <v>571</v>
      </c>
      <c r="C725" s="247" t="s">
        <v>39</v>
      </c>
      <c r="D725" s="376" t="s">
        <v>135</v>
      </c>
      <c r="E725" s="780">
        <f t="shared" si="22"/>
        <v>0.19999999999999996</v>
      </c>
      <c r="F725" s="374" t="s">
        <v>568</v>
      </c>
      <c r="G725" s="375" t="s">
        <v>16</v>
      </c>
      <c r="H725" s="376">
        <v>1</v>
      </c>
      <c r="I725" s="376">
        <v>2</v>
      </c>
      <c r="J725" s="376">
        <v>3</v>
      </c>
      <c r="K725" s="376">
        <v>3</v>
      </c>
      <c r="L725" s="377">
        <v>1</v>
      </c>
      <c r="M725" s="396">
        <f t="shared" si="23"/>
        <v>0.50042652380814845</v>
      </c>
      <c r="N725" s="479"/>
    </row>
    <row r="726" spans="1:14" hidden="1" x14ac:dyDescent="0.2">
      <c r="A726" s="775" t="s">
        <v>549</v>
      </c>
      <c r="B726" s="370" t="s">
        <v>571</v>
      </c>
      <c r="C726" s="247" t="s">
        <v>40</v>
      </c>
      <c r="D726" s="376" t="s">
        <v>135</v>
      </c>
      <c r="E726" s="780">
        <f t="shared" si="22"/>
        <v>0.5</v>
      </c>
      <c r="F726" s="374" t="s">
        <v>568</v>
      </c>
      <c r="G726" s="375" t="s">
        <v>16</v>
      </c>
      <c r="H726" s="376">
        <v>1</v>
      </c>
      <c r="I726" s="376">
        <v>2</v>
      </c>
      <c r="J726" s="376">
        <v>3</v>
      </c>
      <c r="K726" s="376">
        <v>3</v>
      </c>
      <c r="L726" s="377">
        <v>1</v>
      </c>
      <c r="M726" s="396">
        <f t="shared" si="23"/>
        <v>0.50042652380814845</v>
      </c>
      <c r="N726" s="479"/>
    </row>
    <row r="727" spans="1:14" hidden="1" x14ac:dyDescent="0.2">
      <c r="A727" s="775" t="s">
        <v>549</v>
      </c>
      <c r="B727" s="370" t="s">
        <v>571</v>
      </c>
      <c r="C727" s="247" t="s">
        <v>41</v>
      </c>
      <c r="D727" s="376" t="s">
        <v>135</v>
      </c>
      <c r="E727" s="780">
        <f t="shared" si="22"/>
        <v>0.9</v>
      </c>
      <c r="F727" s="374" t="s">
        <v>568</v>
      </c>
      <c r="G727" s="375" t="s">
        <v>16</v>
      </c>
      <c r="H727" s="376">
        <v>1</v>
      </c>
      <c r="I727" s="376">
        <v>2</v>
      </c>
      <c r="J727" s="376">
        <v>3</v>
      </c>
      <c r="K727" s="376">
        <v>3</v>
      </c>
      <c r="L727" s="377">
        <v>1</v>
      </c>
      <c r="M727" s="396">
        <f t="shared" si="23"/>
        <v>0.50042652380814845</v>
      </c>
      <c r="N727" s="479"/>
    </row>
    <row r="728" spans="1:14" hidden="1" x14ac:dyDescent="0.2">
      <c r="A728" s="775" t="s">
        <v>549</v>
      </c>
      <c r="B728" s="370" t="s">
        <v>571</v>
      </c>
      <c r="C728" s="247" t="s">
        <v>42</v>
      </c>
      <c r="D728" s="376" t="s">
        <v>135</v>
      </c>
      <c r="E728" s="454">
        <f t="shared" si="22"/>
        <v>0</v>
      </c>
      <c r="F728" s="374" t="s">
        <v>568</v>
      </c>
      <c r="G728" s="782" t="s">
        <v>16</v>
      </c>
      <c r="H728" s="781"/>
      <c r="I728" s="781"/>
      <c r="J728" s="781"/>
      <c r="K728" s="781"/>
      <c r="L728" s="783"/>
      <c r="M728" s="784" t="str">
        <f t="shared" si="23"/>
        <v/>
      </c>
      <c r="N728" s="479"/>
    </row>
    <row r="729" spans="1:14" hidden="1" x14ac:dyDescent="0.2">
      <c r="A729" s="775" t="s">
        <v>549</v>
      </c>
      <c r="B729" s="370" t="s">
        <v>571</v>
      </c>
      <c r="C729" s="247" t="s">
        <v>43</v>
      </c>
      <c r="D729" s="376" t="s">
        <v>135</v>
      </c>
      <c r="E729" s="780">
        <f t="shared" si="22"/>
        <v>0.73</v>
      </c>
      <c r="F729" s="374" t="s">
        <v>568</v>
      </c>
      <c r="G729" s="375" t="s">
        <v>16</v>
      </c>
      <c r="H729" s="376">
        <v>1</v>
      </c>
      <c r="I729" s="376">
        <v>2</v>
      </c>
      <c r="J729" s="376">
        <v>3</v>
      </c>
      <c r="K729" s="376">
        <v>3</v>
      </c>
      <c r="L729" s="377">
        <v>1</v>
      </c>
      <c r="M729" s="396">
        <f t="shared" si="23"/>
        <v>0.50042652380814845</v>
      </c>
      <c r="N729" s="479"/>
    </row>
    <row r="730" spans="1:14" hidden="1" x14ac:dyDescent="0.2">
      <c r="A730" s="775" t="s">
        <v>549</v>
      </c>
      <c r="B730" s="370" t="s">
        <v>571</v>
      </c>
      <c r="C730" s="247" t="s">
        <v>45</v>
      </c>
      <c r="D730" s="376" t="s">
        <v>135</v>
      </c>
      <c r="E730" s="780">
        <f t="shared" si="22"/>
        <v>0.18000000000000005</v>
      </c>
      <c r="F730" s="374" t="s">
        <v>569</v>
      </c>
      <c r="G730" s="375" t="s">
        <v>16</v>
      </c>
      <c r="H730" s="376">
        <v>1</v>
      </c>
      <c r="I730" s="376">
        <v>1</v>
      </c>
      <c r="J730" s="376">
        <v>3</v>
      </c>
      <c r="K730" s="376">
        <v>3</v>
      </c>
      <c r="L730" s="377">
        <v>1</v>
      </c>
      <c r="M730" s="396">
        <f t="shared" si="23"/>
        <v>0.48935255543384243</v>
      </c>
      <c r="N730" s="479"/>
    </row>
    <row r="731" spans="1:14" hidden="1" x14ac:dyDescent="0.2">
      <c r="A731" s="775" t="s">
        <v>549</v>
      </c>
      <c r="B731" s="370" t="s">
        <v>571</v>
      </c>
      <c r="C731" s="247" t="s">
        <v>46</v>
      </c>
      <c r="D731" s="376" t="s">
        <v>135</v>
      </c>
      <c r="E731" s="780">
        <f t="shared" si="22"/>
        <v>0.91061499999999995</v>
      </c>
      <c r="F731" s="374" t="s">
        <v>568</v>
      </c>
      <c r="G731" s="375" t="s">
        <v>16</v>
      </c>
      <c r="H731" s="376">
        <v>1</v>
      </c>
      <c r="I731" s="376">
        <v>2</v>
      </c>
      <c r="J731" s="376">
        <v>3</v>
      </c>
      <c r="K731" s="376">
        <v>3</v>
      </c>
      <c r="L731" s="377">
        <v>1</v>
      </c>
      <c r="M731" s="396">
        <f t="shared" si="23"/>
        <v>0.50042652380814845</v>
      </c>
      <c r="N731" s="479"/>
    </row>
    <row r="732" spans="1:14" hidden="1" x14ac:dyDescent="0.2">
      <c r="A732" s="775" t="s">
        <v>549</v>
      </c>
      <c r="B732" s="370" t="s">
        <v>571</v>
      </c>
      <c r="C732" s="247" t="s">
        <v>48</v>
      </c>
      <c r="D732" s="376" t="s">
        <v>135</v>
      </c>
      <c r="E732" s="780">
        <f t="shared" si="22"/>
        <v>0.33999999999999997</v>
      </c>
      <c r="F732" s="374" t="s">
        <v>568</v>
      </c>
      <c r="G732" s="375" t="s">
        <v>16</v>
      </c>
      <c r="H732" s="376">
        <v>1</v>
      </c>
      <c r="I732" s="376">
        <v>2</v>
      </c>
      <c r="J732" s="376">
        <v>3</v>
      </c>
      <c r="K732" s="376">
        <v>3</v>
      </c>
      <c r="L732" s="377">
        <v>1</v>
      </c>
      <c r="M732" s="396">
        <f t="shared" si="23"/>
        <v>0.50042652380814845</v>
      </c>
      <c r="N732" s="479"/>
    </row>
    <row r="733" spans="1:14" hidden="1" x14ac:dyDescent="0.2">
      <c r="A733" s="775" t="s">
        <v>549</v>
      </c>
      <c r="B733" s="370" t="s">
        <v>571</v>
      </c>
      <c r="C733" s="247" t="s">
        <v>50</v>
      </c>
      <c r="D733" s="376" t="s">
        <v>135</v>
      </c>
      <c r="E733" s="454">
        <f t="shared" si="22"/>
        <v>1</v>
      </c>
      <c r="F733" s="374" t="s">
        <v>568</v>
      </c>
      <c r="G733" s="782" t="s">
        <v>16</v>
      </c>
      <c r="H733" s="781"/>
      <c r="I733" s="781"/>
      <c r="J733" s="781"/>
      <c r="K733" s="781"/>
      <c r="L733" s="783"/>
      <c r="M733" s="784" t="str">
        <f t="shared" si="23"/>
        <v/>
      </c>
      <c r="N733" s="479"/>
    </row>
    <row r="734" spans="1:14" hidden="1" x14ac:dyDescent="0.2">
      <c r="A734" s="775" t="s">
        <v>549</v>
      </c>
      <c r="B734" s="370" t="s">
        <v>571</v>
      </c>
      <c r="C734" s="247" t="s">
        <v>52</v>
      </c>
      <c r="D734" s="376" t="s">
        <v>135</v>
      </c>
      <c r="E734" s="780">
        <f t="shared" si="22"/>
        <v>7.4999999999999956E-2</v>
      </c>
      <c r="F734" s="374" t="s">
        <v>568</v>
      </c>
      <c r="G734" s="375" t="s">
        <v>16</v>
      </c>
      <c r="H734" s="376">
        <v>1</v>
      </c>
      <c r="I734" s="376">
        <v>2</v>
      </c>
      <c r="J734" s="376">
        <v>3</v>
      </c>
      <c r="K734" s="376">
        <v>3</v>
      </c>
      <c r="L734" s="377">
        <v>1</v>
      </c>
      <c r="M734" s="396">
        <f t="shared" si="23"/>
        <v>0.50042652380814845</v>
      </c>
      <c r="N734" s="479"/>
    </row>
    <row r="735" spans="1:14" hidden="1" x14ac:dyDescent="0.2">
      <c r="A735" s="775" t="s">
        <v>549</v>
      </c>
      <c r="B735" s="370" t="s">
        <v>571</v>
      </c>
      <c r="C735" s="247" t="s">
        <v>54</v>
      </c>
      <c r="D735" s="376" t="s">
        <v>135</v>
      </c>
      <c r="E735" s="780">
        <f t="shared" si="22"/>
        <v>0.59000000000000008</v>
      </c>
      <c r="F735" s="374" t="s">
        <v>568</v>
      </c>
      <c r="G735" s="375" t="s">
        <v>16</v>
      </c>
      <c r="H735" s="376">
        <v>1</v>
      </c>
      <c r="I735" s="376">
        <v>2</v>
      </c>
      <c r="J735" s="376">
        <v>3</v>
      </c>
      <c r="K735" s="376">
        <v>3</v>
      </c>
      <c r="L735" s="377">
        <v>1</v>
      </c>
      <c r="M735" s="396">
        <f t="shared" si="23"/>
        <v>0.50042652380814845</v>
      </c>
      <c r="N735" s="479"/>
    </row>
    <row r="736" spans="1:14" hidden="1" x14ac:dyDescent="0.2">
      <c r="A736" s="775" t="s">
        <v>549</v>
      </c>
      <c r="B736" s="370" t="s">
        <v>571</v>
      </c>
      <c r="C736" s="247" t="s">
        <v>55</v>
      </c>
      <c r="D736" s="376" t="s">
        <v>135</v>
      </c>
      <c r="E736" s="780">
        <f t="shared" si="22"/>
        <v>0.13</v>
      </c>
      <c r="F736" s="374" t="s">
        <v>568</v>
      </c>
      <c r="G736" s="375" t="s">
        <v>16</v>
      </c>
      <c r="H736" s="376">
        <v>1</v>
      </c>
      <c r="I736" s="376">
        <v>2</v>
      </c>
      <c r="J736" s="376">
        <v>3</v>
      </c>
      <c r="K736" s="376">
        <v>3</v>
      </c>
      <c r="L736" s="377">
        <v>1</v>
      </c>
      <c r="M736" s="396">
        <f t="shared" si="23"/>
        <v>0.50042652380814845</v>
      </c>
      <c r="N736" s="479"/>
    </row>
    <row r="737" spans="1:14" hidden="1" x14ac:dyDescent="0.2">
      <c r="A737" s="775" t="s">
        <v>549</v>
      </c>
      <c r="B737" s="370" t="s">
        <v>571</v>
      </c>
      <c r="C737" s="247" t="s">
        <v>57</v>
      </c>
      <c r="D737" s="376" t="s">
        <v>135</v>
      </c>
      <c r="E737" s="780">
        <f t="shared" si="22"/>
        <v>0.12</v>
      </c>
      <c r="F737" s="374" t="s">
        <v>568</v>
      </c>
      <c r="G737" s="375" t="s">
        <v>16</v>
      </c>
      <c r="H737" s="376">
        <v>1</v>
      </c>
      <c r="I737" s="376">
        <v>2</v>
      </c>
      <c r="J737" s="376">
        <v>3</v>
      </c>
      <c r="K737" s="376">
        <v>3</v>
      </c>
      <c r="L737" s="377">
        <v>1</v>
      </c>
      <c r="M737" s="396">
        <f t="shared" si="23"/>
        <v>0.50042652380814845</v>
      </c>
      <c r="N737" s="479"/>
    </row>
    <row r="738" spans="1:14" hidden="1" x14ac:dyDescent="0.2">
      <c r="A738" s="775" t="s">
        <v>549</v>
      </c>
      <c r="B738" s="370" t="s">
        <v>571</v>
      </c>
      <c r="C738" s="247" t="s">
        <v>59</v>
      </c>
      <c r="D738" s="376" t="s">
        <v>135</v>
      </c>
      <c r="E738" s="780">
        <f t="shared" si="22"/>
        <v>0.7</v>
      </c>
      <c r="F738" s="374" t="s">
        <v>570</v>
      </c>
      <c r="G738" s="375" t="s">
        <v>16</v>
      </c>
      <c r="H738" s="252">
        <v>1</v>
      </c>
      <c r="I738" s="252">
        <v>3</v>
      </c>
      <c r="J738" s="252">
        <v>3</v>
      </c>
      <c r="K738" s="252">
        <v>3</v>
      </c>
      <c r="L738" s="253">
        <v>1</v>
      </c>
      <c r="M738" s="396">
        <f t="shared" si="23"/>
        <v>0.59189702474662764</v>
      </c>
      <c r="N738" s="479"/>
    </row>
    <row r="739" spans="1:14" hidden="1" x14ac:dyDescent="0.2">
      <c r="A739" s="776" t="s">
        <v>549</v>
      </c>
      <c r="B739" s="786" t="s">
        <v>571</v>
      </c>
      <c r="C739" s="287" t="s">
        <v>60</v>
      </c>
      <c r="D739" s="398" t="s">
        <v>135</v>
      </c>
      <c r="E739" s="787">
        <f t="shared" si="22"/>
        <v>0.7</v>
      </c>
      <c r="F739" s="399" t="s">
        <v>568</v>
      </c>
      <c r="G739" s="290" t="s">
        <v>16</v>
      </c>
      <c r="H739" s="291">
        <v>1</v>
      </c>
      <c r="I739" s="291">
        <v>2</v>
      </c>
      <c r="J739" s="291">
        <v>3</v>
      </c>
      <c r="K739" s="291">
        <v>3</v>
      </c>
      <c r="L739" s="292">
        <v>1</v>
      </c>
      <c r="M739" s="254">
        <f t="shared" si="23"/>
        <v>0.50042652380814845</v>
      </c>
      <c r="N739" s="255"/>
    </row>
    <row r="740" spans="1:14" x14ac:dyDescent="0.2">
      <c r="A740" s="775" t="s">
        <v>507</v>
      </c>
      <c r="B740" s="778" t="s">
        <v>565</v>
      </c>
      <c r="C740" s="247" t="s">
        <v>13</v>
      </c>
      <c r="D740" s="376" t="s">
        <v>135</v>
      </c>
      <c r="E740" s="780">
        <v>0.71499999999999997</v>
      </c>
      <c r="F740" s="374" t="s">
        <v>568</v>
      </c>
      <c r="G740" s="375" t="s">
        <v>16</v>
      </c>
      <c r="H740" s="376">
        <v>1</v>
      </c>
      <c r="I740" s="376">
        <v>2</v>
      </c>
      <c r="J740" s="376">
        <v>3</v>
      </c>
      <c r="K740" s="376">
        <v>3</v>
      </c>
      <c r="L740" s="377">
        <v>1</v>
      </c>
      <c r="M740" s="395">
        <f t="shared" si="23"/>
        <v>0.50042652380814845</v>
      </c>
      <c r="N740" s="483"/>
    </row>
    <row r="741" spans="1:14" hidden="1" x14ac:dyDescent="0.2">
      <c r="A741" s="775" t="s">
        <v>507</v>
      </c>
      <c r="B741" s="778" t="s">
        <v>565</v>
      </c>
      <c r="C741" s="247" t="s">
        <v>18</v>
      </c>
      <c r="D741" s="376" t="s">
        <v>135</v>
      </c>
      <c r="E741" s="780">
        <v>0.1067643790921472</v>
      </c>
      <c r="F741" s="374" t="s">
        <v>568</v>
      </c>
      <c r="G741" s="375" t="s">
        <v>16</v>
      </c>
      <c r="H741" s="376">
        <v>1</v>
      </c>
      <c r="I741" s="376">
        <v>2</v>
      </c>
      <c r="J741" s="376">
        <v>3</v>
      </c>
      <c r="K741" s="376">
        <v>3</v>
      </c>
      <c r="L741" s="377">
        <v>1</v>
      </c>
      <c r="M741" s="396">
        <f t="shared" si="23"/>
        <v>0.50042652380814845</v>
      </c>
      <c r="N741" s="479"/>
    </row>
    <row r="742" spans="1:14" hidden="1" x14ac:dyDescent="0.2">
      <c r="A742" s="775" t="s">
        <v>507</v>
      </c>
      <c r="B742" s="778" t="s">
        <v>565</v>
      </c>
      <c r="C742" s="247" t="s">
        <v>20</v>
      </c>
      <c r="D742" s="376" t="s">
        <v>135</v>
      </c>
      <c r="E742" s="780">
        <v>0.4</v>
      </c>
      <c r="F742" s="374" t="s">
        <v>568</v>
      </c>
      <c r="G742" s="375" t="s">
        <v>16</v>
      </c>
      <c r="H742" s="376">
        <v>1</v>
      </c>
      <c r="I742" s="376">
        <v>2</v>
      </c>
      <c r="J742" s="376">
        <v>3</v>
      </c>
      <c r="K742" s="376">
        <v>3</v>
      </c>
      <c r="L742" s="377">
        <v>1</v>
      </c>
      <c r="M742" s="396">
        <f t="shared" si="23"/>
        <v>0.50042652380814845</v>
      </c>
      <c r="N742" s="479"/>
    </row>
    <row r="743" spans="1:14" hidden="1" x14ac:dyDescent="0.2">
      <c r="A743" s="775" t="s">
        <v>507</v>
      </c>
      <c r="B743" s="778" t="s">
        <v>565</v>
      </c>
      <c r="C743" s="247" t="s">
        <v>22</v>
      </c>
      <c r="D743" s="376" t="s">
        <v>135</v>
      </c>
      <c r="E743" s="780">
        <v>0.45500000000000002</v>
      </c>
      <c r="F743" s="374" t="s">
        <v>568</v>
      </c>
      <c r="G743" s="375" t="s">
        <v>16</v>
      </c>
      <c r="H743" s="376">
        <v>1</v>
      </c>
      <c r="I743" s="376">
        <v>2</v>
      </c>
      <c r="J743" s="376">
        <v>3</v>
      </c>
      <c r="K743" s="376">
        <v>3</v>
      </c>
      <c r="L743" s="377">
        <v>1</v>
      </c>
      <c r="M743" s="396">
        <f t="shared" si="23"/>
        <v>0.50042652380814845</v>
      </c>
      <c r="N743" s="479"/>
    </row>
    <row r="744" spans="1:14" hidden="1" x14ac:dyDescent="0.2">
      <c r="A744" s="775" t="s">
        <v>507</v>
      </c>
      <c r="B744" s="778" t="s">
        <v>565</v>
      </c>
      <c r="C744" s="247" t="s">
        <v>23</v>
      </c>
      <c r="D744" s="376" t="s">
        <v>135</v>
      </c>
      <c r="E744" s="788">
        <v>1</v>
      </c>
      <c r="F744" s="414" t="s">
        <v>568</v>
      </c>
      <c r="G744" s="789" t="s">
        <v>16</v>
      </c>
      <c r="H744" s="788"/>
      <c r="I744" s="788"/>
      <c r="J744" s="788"/>
      <c r="K744" s="788"/>
      <c r="L744" s="790"/>
      <c r="M744" s="791"/>
      <c r="N744" s="479"/>
    </row>
    <row r="745" spans="1:14" hidden="1" x14ac:dyDescent="0.2">
      <c r="A745" s="775" t="s">
        <v>507</v>
      </c>
      <c r="B745" s="778" t="s">
        <v>565</v>
      </c>
      <c r="C745" s="247" t="s">
        <v>24</v>
      </c>
      <c r="D745" s="376" t="s">
        <v>135</v>
      </c>
      <c r="E745" s="780">
        <v>0.29499999999999987</v>
      </c>
      <c r="F745" s="374" t="s">
        <v>568</v>
      </c>
      <c r="G745" s="375" t="s">
        <v>16</v>
      </c>
      <c r="H745" s="376">
        <v>1</v>
      </c>
      <c r="I745" s="376">
        <v>2</v>
      </c>
      <c r="J745" s="376">
        <v>3</v>
      </c>
      <c r="K745" s="376">
        <v>3</v>
      </c>
      <c r="L745" s="377">
        <v>1</v>
      </c>
      <c r="M745" s="396">
        <f t="shared" ref="M745:M757" si="24">IF( OR( ISBLANK(H745),ISBLANK(I745), ISBLANK(J745), ISBLANK(K745), ISBLANK(L745) ), "", 1.5*SQRT( EXP(2.21*(H745-1)) + EXP(2.21*(I745-1)) + EXP(2.21*(J745-1)) + EXP(2.21*(K745-1)) + EXP(2.21*L745) )/100*2.45 )</f>
        <v>0.50042652380814845</v>
      </c>
      <c r="N745" s="479"/>
    </row>
    <row r="746" spans="1:14" hidden="1" x14ac:dyDescent="0.2">
      <c r="A746" s="775" t="s">
        <v>507</v>
      </c>
      <c r="B746" s="778" t="s">
        <v>565</v>
      </c>
      <c r="C746" s="247" t="s">
        <v>25</v>
      </c>
      <c r="D746" s="376" t="s">
        <v>135</v>
      </c>
      <c r="E746" s="780">
        <v>0.5</v>
      </c>
      <c r="F746" s="374" t="s">
        <v>568</v>
      </c>
      <c r="G746" s="375" t="s">
        <v>16</v>
      </c>
      <c r="H746" s="376">
        <v>1</v>
      </c>
      <c r="I746" s="376">
        <v>2</v>
      </c>
      <c r="J746" s="376">
        <v>3</v>
      </c>
      <c r="K746" s="376">
        <v>3</v>
      </c>
      <c r="L746" s="377">
        <v>1</v>
      </c>
      <c r="M746" s="396">
        <f t="shared" si="24"/>
        <v>0.50042652380814845</v>
      </c>
      <c r="N746" s="479"/>
    </row>
    <row r="747" spans="1:14" hidden="1" x14ac:dyDescent="0.2">
      <c r="A747" s="775" t="s">
        <v>507</v>
      </c>
      <c r="B747" s="778" t="s">
        <v>565</v>
      </c>
      <c r="C747" s="247" t="s">
        <v>26</v>
      </c>
      <c r="D747" s="376" t="s">
        <v>135</v>
      </c>
      <c r="E747" s="780">
        <v>0.05</v>
      </c>
      <c r="F747" s="374" t="s">
        <v>568</v>
      </c>
      <c r="G747" s="375" t="s">
        <v>16</v>
      </c>
      <c r="H747" s="376">
        <v>1</v>
      </c>
      <c r="I747" s="376">
        <v>2</v>
      </c>
      <c r="J747" s="376">
        <v>3</v>
      </c>
      <c r="K747" s="376">
        <v>3</v>
      </c>
      <c r="L747" s="377">
        <v>3</v>
      </c>
      <c r="M747" s="396">
        <f t="shared" si="24"/>
        <v>1.123005955058592</v>
      </c>
      <c r="N747" s="479"/>
    </row>
    <row r="748" spans="1:14" hidden="1" x14ac:dyDescent="0.2">
      <c r="A748" s="775" t="s">
        <v>507</v>
      </c>
      <c r="B748" s="778" t="s">
        <v>565</v>
      </c>
      <c r="C748" s="247" t="s">
        <v>27</v>
      </c>
      <c r="D748" s="376" t="s">
        <v>135</v>
      </c>
      <c r="E748" s="780">
        <v>0.95</v>
      </c>
      <c r="F748" s="374" t="s">
        <v>568</v>
      </c>
      <c r="G748" s="375" t="s">
        <v>16</v>
      </c>
      <c r="H748" s="376">
        <v>1</v>
      </c>
      <c r="I748" s="376">
        <v>2</v>
      </c>
      <c r="J748" s="376">
        <v>3</v>
      </c>
      <c r="K748" s="376">
        <v>3</v>
      </c>
      <c r="L748" s="377">
        <v>1</v>
      </c>
      <c r="M748" s="396">
        <f t="shared" si="24"/>
        <v>0.50042652380814845</v>
      </c>
      <c r="N748" s="479"/>
    </row>
    <row r="749" spans="1:14" hidden="1" x14ac:dyDescent="0.2">
      <c r="A749" s="775" t="s">
        <v>507</v>
      </c>
      <c r="B749" s="778" t="s">
        <v>565</v>
      </c>
      <c r="C749" s="247" t="s">
        <v>28</v>
      </c>
      <c r="D749" s="376" t="s">
        <v>135</v>
      </c>
      <c r="E749" s="780">
        <v>0.68</v>
      </c>
      <c r="F749" s="374" t="s">
        <v>568</v>
      </c>
      <c r="G749" s="375" t="s">
        <v>16</v>
      </c>
      <c r="H749" s="376">
        <v>1</v>
      </c>
      <c r="I749" s="376">
        <v>2</v>
      </c>
      <c r="J749" s="376">
        <v>3</v>
      </c>
      <c r="K749" s="376">
        <v>3</v>
      </c>
      <c r="L749" s="377">
        <v>1</v>
      </c>
      <c r="M749" s="396">
        <f t="shared" si="24"/>
        <v>0.50042652380814845</v>
      </c>
      <c r="N749" s="479"/>
    </row>
    <row r="750" spans="1:14" hidden="1" x14ac:dyDescent="0.2">
      <c r="A750" s="775" t="s">
        <v>507</v>
      </c>
      <c r="B750" s="778" t="s">
        <v>565</v>
      </c>
      <c r="C750" s="247" t="s">
        <v>30</v>
      </c>
      <c r="D750" s="376" t="s">
        <v>135</v>
      </c>
      <c r="E750" s="780">
        <v>0.56999999999999995</v>
      </c>
      <c r="F750" s="374" t="s">
        <v>568</v>
      </c>
      <c r="G750" s="375" t="s">
        <v>16</v>
      </c>
      <c r="H750" s="376">
        <v>1</v>
      </c>
      <c r="I750" s="376">
        <v>2</v>
      </c>
      <c r="J750" s="376">
        <v>3</v>
      </c>
      <c r="K750" s="376">
        <v>3</v>
      </c>
      <c r="L750" s="377">
        <v>1</v>
      </c>
      <c r="M750" s="396">
        <f t="shared" si="24"/>
        <v>0.50042652380814845</v>
      </c>
      <c r="N750" s="479"/>
    </row>
    <row r="751" spans="1:14" hidden="1" x14ac:dyDescent="0.2">
      <c r="A751" s="775" t="s">
        <v>507</v>
      </c>
      <c r="B751" s="778" t="s">
        <v>565</v>
      </c>
      <c r="C751" s="247" t="s">
        <v>32</v>
      </c>
      <c r="D751" s="376" t="s">
        <v>135</v>
      </c>
      <c r="E751" s="780">
        <v>0.81</v>
      </c>
      <c r="F751" s="374" t="s">
        <v>568</v>
      </c>
      <c r="G751" s="375" t="s">
        <v>16</v>
      </c>
      <c r="H751" s="376">
        <v>1</v>
      </c>
      <c r="I751" s="376">
        <v>2</v>
      </c>
      <c r="J751" s="376">
        <v>3</v>
      </c>
      <c r="K751" s="376">
        <v>3</v>
      </c>
      <c r="L751" s="377">
        <v>1</v>
      </c>
      <c r="M751" s="396">
        <f t="shared" si="24"/>
        <v>0.50042652380814845</v>
      </c>
      <c r="N751" s="479"/>
    </row>
    <row r="752" spans="1:14" hidden="1" x14ac:dyDescent="0.2">
      <c r="A752" s="775" t="s">
        <v>507</v>
      </c>
      <c r="B752" s="778" t="s">
        <v>565</v>
      </c>
      <c r="C752" s="247" t="s">
        <v>34</v>
      </c>
      <c r="D752" s="376" t="s">
        <v>135</v>
      </c>
      <c r="E752" s="780">
        <v>0.57469999999999999</v>
      </c>
      <c r="F752" s="374" t="s">
        <v>568</v>
      </c>
      <c r="G752" s="375" t="s">
        <v>16</v>
      </c>
      <c r="H752" s="376">
        <v>1</v>
      </c>
      <c r="I752" s="376">
        <v>2</v>
      </c>
      <c r="J752" s="376">
        <v>3</v>
      </c>
      <c r="K752" s="376">
        <v>3</v>
      </c>
      <c r="L752" s="377">
        <v>1</v>
      </c>
      <c r="M752" s="396">
        <f t="shared" si="24"/>
        <v>0.50042652380814845</v>
      </c>
      <c r="N752" s="479"/>
    </row>
    <row r="753" spans="1:14" hidden="1" x14ac:dyDescent="0.2">
      <c r="A753" s="775" t="s">
        <v>507</v>
      </c>
      <c r="B753" s="778" t="s">
        <v>565</v>
      </c>
      <c r="C753" s="247" t="s">
        <v>36</v>
      </c>
      <c r="D753" s="376" t="s">
        <v>135</v>
      </c>
      <c r="E753" s="780">
        <v>0.76300000000000001</v>
      </c>
      <c r="F753" s="374" t="s">
        <v>568</v>
      </c>
      <c r="G753" s="375" t="s">
        <v>16</v>
      </c>
      <c r="H753" s="376">
        <v>1</v>
      </c>
      <c r="I753" s="376">
        <v>2</v>
      </c>
      <c r="J753" s="376">
        <v>3</v>
      </c>
      <c r="K753" s="376">
        <v>3</v>
      </c>
      <c r="L753" s="377">
        <v>1</v>
      </c>
      <c r="M753" s="396">
        <f t="shared" si="24"/>
        <v>0.50042652380814845</v>
      </c>
      <c r="N753" s="479"/>
    </row>
    <row r="754" spans="1:14" hidden="1" x14ac:dyDescent="0.2">
      <c r="A754" s="775" t="s">
        <v>507</v>
      </c>
      <c r="B754" s="778" t="s">
        <v>565</v>
      </c>
      <c r="C754" s="247" t="s">
        <v>37</v>
      </c>
      <c r="D754" s="376" t="s">
        <v>135</v>
      </c>
      <c r="E754" s="780">
        <v>0.4</v>
      </c>
      <c r="F754" s="374" t="s">
        <v>568</v>
      </c>
      <c r="G754" s="375" t="s">
        <v>16</v>
      </c>
      <c r="H754" s="376">
        <v>1</v>
      </c>
      <c r="I754" s="376">
        <v>2</v>
      </c>
      <c r="J754" s="376">
        <v>3</v>
      </c>
      <c r="K754" s="376">
        <v>3</v>
      </c>
      <c r="L754" s="377">
        <v>1</v>
      </c>
      <c r="M754" s="396">
        <f t="shared" si="24"/>
        <v>0.50042652380814845</v>
      </c>
      <c r="N754" s="479"/>
    </row>
    <row r="755" spans="1:14" hidden="1" x14ac:dyDescent="0.2">
      <c r="A755" s="775" t="s">
        <v>507</v>
      </c>
      <c r="B755" s="778" t="s">
        <v>565</v>
      </c>
      <c r="C755" s="247" t="s">
        <v>39</v>
      </c>
      <c r="D755" s="376" t="s">
        <v>135</v>
      </c>
      <c r="E755" s="780">
        <v>0.8</v>
      </c>
      <c r="F755" s="374" t="s">
        <v>568</v>
      </c>
      <c r="G755" s="375" t="s">
        <v>16</v>
      </c>
      <c r="H755" s="376">
        <v>1</v>
      </c>
      <c r="I755" s="376">
        <v>2</v>
      </c>
      <c r="J755" s="376">
        <v>3</v>
      </c>
      <c r="K755" s="376">
        <v>3</v>
      </c>
      <c r="L755" s="377">
        <v>1</v>
      </c>
      <c r="M755" s="396">
        <f t="shared" si="24"/>
        <v>0.50042652380814845</v>
      </c>
      <c r="N755" s="479"/>
    </row>
    <row r="756" spans="1:14" hidden="1" x14ac:dyDescent="0.2">
      <c r="A756" s="775" t="s">
        <v>507</v>
      </c>
      <c r="B756" s="778" t="s">
        <v>565</v>
      </c>
      <c r="C756" s="247" t="s">
        <v>40</v>
      </c>
      <c r="D756" s="376" t="s">
        <v>135</v>
      </c>
      <c r="E756" s="780">
        <v>0.5</v>
      </c>
      <c r="F756" s="374" t="s">
        <v>568</v>
      </c>
      <c r="G756" s="375" t="s">
        <v>16</v>
      </c>
      <c r="H756" s="376">
        <v>1</v>
      </c>
      <c r="I756" s="376">
        <v>2</v>
      </c>
      <c r="J756" s="376">
        <v>3</v>
      </c>
      <c r="K756" s="376">
        <v>3</v>
      </c>
      <c r="L756" s="377">
        <v>1</v>
      </c>
      <c r="M756" s="396">
        <f t="shared" si="24"/>
        <v>0.50042652380814845</v>
      </c>
      <c r="N756" s="479"/>
    </row>
    <row r="757" spans="1:14" hidden="1" x14ac:dyDescent="0.2">
      <c r="A757" s="775" t="s">
        <v>507</v>
      </c>
      <c r="B757" s="778" t="s">
        <v>565</v>
      </c>
      <c r="C757" s="247" t="s">
        <v>41</v>
      </c>
      <c r="D757" s="376" t="s">
        <v>135</v>
      </c>
      <c r="E757" s="780">
        <v>0.1</v>
      </c>
      <c r="F757" s="374" t="s">
        <v>568</v>
      </c>
      <c r="G757" s="375" t="s">
        <v>16</v>
      </c>
      <c r="H757" s="376">
        <v>1</v>
      </c>
      <c r="I757" s="376">
        <v>2</v>
      </c>
      <c r="J757" s="376">
        <v>3</v>
      </c>
      <c r="K757" s="376">
        <v>3</v>
      </c>
      <c r="L757" s="377">
        <v>1</v>
      </c>
      <c r="M757" s="396">
        <f t="shared" si="24"/>
        <v>0.50042652380814845</v>
      </c>
      <c r="N757" s="479"/>
    </row>
    <row r="758" spans="1:14" hidden="1" x14ac:dyDescent="0.2">
      <c r="A758" s="775" t="s">
        <v>507</v>
      </c>
      <c r="B758" s="778" t="s">
        <v>565</v>
      </c>
      <c r="C758" s="247" t="s">
        <v>42</v>
      </c>
      <c r="D758" s="376" t="s">
        <v>135</v>
      </c>
      <c r="E758" s="788">
        <v>1</v>
      </c>
      <c r="F758" s="414" t="s">
        <v>568</v>
      </c>
      <c r="G758" s="789" t="s">
        <v>16</v>
      </c>
      <c r="H758" s="788"/>
      <c r="I758" s="788"/>
      <c r="J758" s="788"/>
      <c r="K758" s="788"/>
      <c r="L758" s="790"/>
      <c r="M758" s="791"/>
      <c r="N758" s="479"/>
    </row>
    <row r="759" spans="1:14" hidden="1" x14ac:dyDescent="0.2">
      <c r="A759" s="775" t="s">
        <v>507</v>
      </c>
      <c r="B759" s="778" t="s">
        <v>565</v>
      </c>
      <c r="C759" s="247" t="s">
        <v>43</v>
      </c>
      <c r="D759" s="376" t="s">
        <v>135</v>
      </c>
      <c r="E759" s="780">
        <v>0.27</v>
      </c>
      <c r="F759" s="374" t="s">
        <v>568</v>
      </c>
      <c r="G759" s="375" t="s">
        <v>16</v>
      </c>
      <c r="H759" s="376">
        <v>1</v>
      </c>
      <c r="I759" s="376">
        <v>2</v>
      </c>
      <c r="J759" s="376">
        <v>3</v>
      </c>
      <c r="K759" s="376">
        <v>3</v>
      </c>
      <c r="L759" s="377">
        <v>1</v>
      </c>
      <c r="M759" s="396">
        <f>IF( OR( ISBLANK(H759),ISBLANK(I759), ISBLANK(J759), ISBLANK(K759), ISBLANK(L759) ), "", 1.5*SQRT( EXP(2.21*(H759-1)) + EXP(2.21*(I759-1)) + EXP(2.21*(J759-1)) + EXP(2.21*(K759-1)) + EXP(2.21*L759) )/100*2.45 )</f>
        <v>0.50042652380814845</v>
      </c>
      <c r="N759" s="479"/>
    </row>
    <row r="760" spans="1:14" hidden="1" x14ac:dyDescent="0.2">
      <c r="A760" s="775" t="s">
        <v>507</v>
      </c>
      <c r="B760" s="778" t="s">
        <v>565</v>
      </c>
      <c r="C760" s="247" t="s">
        <v>45</v>
      </c>
      <c r="D760" s="376" t="s">
        <v>135</v>
      </c>
      <c r="E760" s="780">
        <v>0.82</v>
      </c>
      <c r="F760" s="374" t="s">
        <v>569</v>
      </c>
      <c r="G760" s="375" t="s">
        <v>16</v>
      </c>
      <c r="H760" s="376">
        <v>1</v>
      </c>
      <c r="I760" s="376">
        <v>1</v>
      </c>
      <c r="J760" s="376">
        <v>3</v>
      </c>
      <c r="K760" s="376">
        <v>3</v>
      </c>
      <c r="L760" s="377">
        <v>1</v>
      </c>
      <c r="M760" s="396">
        <f>IF( OR( ISBLANK(H760),ISBLANK(I760), ISBLANK(J760), ISBLANK(K760), ISBLANK(L760) ), "", 1.5*SQRT( EXP(2.21*(H760-1)) + EXP(2.21*(I760-1)) + EXP(2.21*(J760-1)) + EXP(2.21*(K760-1)) + EXP(2.21*L760) )/100*2.45 )</f>
        <v>0.48935255543384243</v>
      </c>
      <c r="N760" s="479"/>
    </row>
    <row r="761" spans="1:14" hidden="1" x14ac:dyDescent="0.2">
      <c r="A761" s="775" t="s">
        <v>507</v>
      </c>
      <c r="B761" s="778" t="s">
        <v>565</v>
      </c>
      <c r="C761" s="247" t="s">
        <v>46</v>
      </c>
      <c r="D761" s="376" t="s">
        <v>135</v>
      </c>
      <c r="E761" s="780">
        <v>8.9385000000000006E-2</v>
      </c>
      <c r="F761" s="374" t="s">
        <v>568</v>
      </c>
      <c r="G761" s="375" t="s">
        <v>16</v>
      </c>
      <c r="H761" s="376">
        <v>1</v>
      </c>
      <c r="I761" s="376">
        <v>2</v>
      </c>
      <c r="J761" s="376">
        <v>3</v>
      </c>
      <c r="K761" s="376">
        <v>3</v>
      </c>
      <c r="L761" s="377">
        <v>1</v>
      </c>
      <c r="M761" s="396">
        <f>IF( OR( ISBLANK(H761),ISBLANK(I761), ISBLANK(J761), ISBLANK(K761), ISBLANK(L761) ), "", 1.5*SQRT( EXP(2.21*(H761-1)) + EXP(2.21*(I761-1)) + EXP(2.21*(J761-1)) + EXP(2.21*(K761-1)) + EXP(2.21*L761) )/100*2.45 )</f>
        <v>0.50042652380814845</v>
      </c>
      <c r="N761" s="479"/>
    </row>
    <row r="762" spans="1:14" hidden="1" x14ac:dyDescent="0.2">
      <c r="A762" s="775" t="s">
        <v>507</v>
      </c>
      <c r="B762" s="778" t="s">
        <v>565</v>
      </c>
      <c r="C762" s="247" t="s">
        <v>48</v>
      </c>
      <c r="D762" s="376" t="s">
        <v>135</v>
      </c>
      <c r="E762" s="780">
        <v>0.66</v>
      </c>
      <c r="F762" s="374" t="s">
        <v>568</v>
      </c>
      <c r="G762" s="375" t="s">
        <v>16</v>
      </c>
      <c r="H762" s="376">
        <v>1</v>
      </c>
      <c r="I762" s="376">
        <v>2</v>
      </c>
      <c r="J762" s="376">
        <v>3</v>
      </c>
      <c r="K762" s="376">
        <v>3</v>
      </c>
      <c r="L762" s="377">
        <v>1</v>
      </c>
      <c r="M762" s="396">
        <f>IF( OR( ISBLANK(H762),ISBLANK(I762), ISBLANK(J762), ISBLANK(K762), ISBLANK(L762) ), "", 1.5*SQRT( EXP(2.21*(H762-1)) + EXP(2.21*(I762-1)) + EXP(2.21*(J762-1)) + EXP(2.21*(K762-1)) + EXP(2.21*L762) )/100*2.45 )</f>
        <v>0.50042652380814845</v>
      </c>
      <c r="N762" s="479"/>
    </row>
    <row r="763" spans="1:14" hidden="1" x14ac:dyDescent="0.2">
      <c r="A763" s="775" t="s">
        <v>507</v>
      </c>
      <c r="B763" s="778" t="s">
        <v>565</v>
      </c>
      <c r="C763" s="247" t="s">
        <v>50</v>
      </c>
      <c r="D763" s="376" t="s">
        <v>135</v>
      </c>
      <c r="E763" s="788">
        <v>0</v>
      </c>
      <c r="F763" s="414" t="s">
        <v>568</v>
      </c>
      <c r="G763" s="789" t="s">
        <v>16</v>
      </c>
      <c r="H763" s="788"/>
      <c r="I763" s="788"/>
      <c r="J763" s="788"/>
      <c r="K763" s="788"/>
      <c r="L763" s="790"/>
      <c r="M763" s="791"/>
      <c r="N763" s="479"/>
    </row>
    <row r="764" spans="1:14" hidden="1" x14ac:dyDescent="0.2">
      <c r="A764" s="775" t="s">
        <v>507</v>
      </c>
      <c r="B764" s="778" t="s">
        <v>565</v>
      </c>
      <c r="C764" s="247" t="s">
        <v>52</v>
      </c>
      <c r="D764" s="376" t="s">
        <v>135</v>
      </c>
      <c r="E764" s="780">
        <v>0.92500000000000004</v>
      </c>
      <c r="F764" s="374" t="s">
        <v>568</v>
      </c>
      <c r="G764" s="375" t="s">
        <v>16</v>
      </c>
      <c r="H764" s="376">
        <v>1</v>
      </c>
      <c r="I764" s="376">
        <v>2</v>
      </c>
      <c r="J764" s="376">
        <v>3</v>
      </c>
      <c r="K764" s="376">
        <v>3</v>
      </c>
      <c r="L764" s="377">
        <v>1</v>
      </c>
      <c r="M764" s="396">
        <f t="shared" ref="M764:M769" si="25">IF( OR( ISBLANK(H764),ISBLANK(I764), ISBLANK(J764), ISBLANK(K764), ISBLANK(L764) ), "", 1.5*SQRT( EXP(2.21*(H764-1)) + EXP(2.21*(I764-1)) + EXP(2.21*(J764-1)) + EXP(2.21*(K764-1)) + EXP(2.21*L764) )/100*2.45 )</f>
        <v>0.50042652380814845</v>
      </c>
      <c r="N764" s="479"/>
    </row>
    <row r="765" spans="1:14" hidden="1" x14ac:dyDescent="0.2">
      <c r="A765" s="775" t="s">
        <v>507</v>
      </c>
      <c r="B765" s="778" t="s">
        <v>565</v>
      </c>
      <c r="C765" s="247" t="s">
        <v>54</v>
      </c>
      <c r="D765" s="376" t="s">
        <v>135</v>
      </c>
      <c r="E765" s="780">
        <v>0.41</v>
      </c>
      <c r="F765" s="374" t="s">
        <v>568</v>
      </c>
      <c r="G765" s="375" t="s">
        <v>16</v>
      </c>
      <c r="H765" s="376">
        <v>1</v>
      </c>
      <c r="I765" s="376">
        <v>2</v>
      </c>
      <c r="J765" s="376">
        <v>3</v>
      </c>
      <c r="K765" s="376">
        <v>3</v>
      </c>
      <c r="L765" s="377">
        <v>1</v>
      </c>
      <c r="M765" s="396">
        <f t="shared" si="25"/>
        <v>0.50042652380814845</v>
      </c>
      <c r="N765" s="479"/>
    </row>
    <row r="766" spans="1:14" hidden="1" x14ac:dyDescent="0.2">
      <c r="A766" s="775" t="s">
        <v>507</v>
      </c>
      <c r="B766" s="778" t="s">
        <v>565</v>
      </c>
      <c r="C766" s="247" t="s">
        <v>55</v>
      </c>
      <c r="D766" s="376" t="s">
        <v>135</v>
      </c>
      <c r="E766" s="780">
        <v>0.87</v>
      </c>
      <c r="F766" s="374" t="s">
        <v>568</v>
      </c>
      <c r="G766" s="375" t="s">
        <v>16</v>
      </c>
      <c r="H766" s="376">
        <v>1</v>
      </c>
      <c r="I766" s="376">
        <v>2</v>
      </c>
      <c r="J766" s="376">
        <v>3</v>
      </c>
      <c r="K766" s="376">
        <v>3</v>
      </c>
      <c r="L766" s="377">
        <v>1</v>
      </c>
      <c r="M766" s="396">
        <f t="shared" si="25"/>
        <v>0.50042652380814845</v>
      </c>
      <c r="N766" s="479"/>
    </row>
    <row r="767" spans="1:14" hidden="1" x14ac:dyDescent="0.2">
      <c r="A767" s="775" t="s">
        <v>507</v>
      </c>
      <c r="B767" s="778" t="s">
        <v>565</v>
      </c>
      <c r="C767" s="247" t="s">
        <v>57</v>
      </c>
      <c r="D767" s="376" t="s">
        <v>135</v>
      </c>
      <c r="E767" s="780">
        <v>0.88</v>
      </c>
      <c r="F767" s="374" t="s">
        <v>568</v>
      </c>
      <c r="G767" s="375" t="s">
        <v>16</v>
      </c>
      <c r="H767" s="376">
        <v>1</v>
      </c>
      <c r="I767" s="376">
        <v>2</v>
      </c>
      <c r="J767" s="376">
        <v>3</v>
      </c>
      <c r="K767" s="376">
        <v>3</v>
      </c>
      <c r="L767" s="377">
        <v>1</v>
      </c>
      <c r="M767" s="396">
        <f t="shared" si="25"/>
        <v>0.50042652380814845</v>
      </c>
      <c r="N767" s="479"/>
    </row>
    <row r="768" spans="1:14" hidden="1" x14ac:dyDescent="0.2">
      <c r="A768" s="775" t="s">
        <v>507</v>
      </c>
      <c r="B768" s="778" t="s">
        <v>565</v>
      </c>
      <c r="C768" s="247" t="s">
        <v>59</v>
      </c>
      <c r="D768" s="376" t="s">
        <v>135</v>
      </c>
      <c r="E768" s="780">
        <v>0.3</v>
      </c>
      <c r="F768" s="374" t="s">
        <v>570</v>
      </c>
      <c r="G768" s="375" t="s">
        <v>16</v>
      </c>
      <c r="H768" s="252">
        <v>1</v>
      </c>
      <c r="I768" s="252">
        <v>3</v>
      </c>
      <c r="J768" s="252">
        <v>3</v>
      </c>
      <c r="K768" s="252">
        <v>3</v>
      </c>
      <c r="L768" s="253">
        <v>1</v>
      </c>
      <c r="M768" s="396">
        <f t="shared" si="25"/>
        <v>0.59189702474662764</v>
      </c>
      <c r="N768" s="479"/>
    </row>
    <row r="769" spans="1:14" hidden="1" x14ac:dyDescent="0.2">
      <c r="A769" s="775" t="s">
        <v>507</v>
      </c>
      <c r="B769" s="778" t="s">
        <v>565</v>
      </c>
      <c r="C769" s="247" t="s">
        <v>60</v>
      </c>
      <c r="D769" s="376" t="s">
        <v>135</v>
      </c>
      <c r="E769" s="785">
        <v>0.3</v>
      </c>
      <c r="F769" s="374" t="s">
        <v>568</v>
      </c>
      <c r="G769" s="251" t="s">
        <v>16</v>
      </c>
      <c r="H769" s="252">
        <v>1</v>
      </c>
      <c r="I769" s="252">
        <v>2</v>
      </c>
      <c r="J769" s="252">
        <v>3</v>
      </c>
      <c r="K769" s="252">
        <v>3</v>
      </c>
      <c r="L769" s="253">
        <v>1</v>
      </c>
      <c r="M769" s="254">
        <f t="shared" si="25"/>
        <v>0.50042652380814845</v>
      </c>
      <c r="N769" s="255"/>
    </row>
    <row r="770" spans="1:14" x14ac:dyDescent="0.2">
      <c r="A770" s="775" t="s">
        <v>507</v>
      </c>
      <c r="B770" s="370" t="s">
        <v>566</v>
      </c>
      <c r="C770" s="247" t="s">
        <v>13</v>
      </c>
      <c r="D770" s="376" t="s">
        <v>135</v>
      </c>
      <c r="E770" s="780">
        <f t="shared" ref="E770:E799" si="26">1-E740</f>
        <v>0.28500000000000003</v>
      </c>
      <c r="F770" s="374" t="s">
        <v>568</v>
      </c>
      <c r="G770" s="375" t="s">
        <v>16</v>
      </c>
      <c r="H770" s="376">
        <v>1</v>
      </c>
      <c r="I770" s="376">
        <v>2</v>
      </c>
      <c r="J770" s="376">
        <v>3</v>
      </c>
      <c r="K770" s="376">
        <v>3</v>
      </c>
      <c r="L770" s="377">
        <v>1</v>
      </c>
      <c r="M770" s="395">
        <f>IF( OR( ISBLANK(H770),ISBLANK(I770), ISBLANK(J770), ISBLANK(K770), ISBLANK(L770) ), "", 1.5*SQRT(   EXP(2.21*(H770-1)) + EXP(2.21*(I770-1)) + EXP(2.21*(J770-1)) + EXP(2.21*(K770-1)) + EXP(2.21*L770)   )/100*2.45 )</f>
        <v>0.50042652380814845</v>
      </c>
      <c r="N770" s="483"/>
    </row>
    <row r="771" spans="1:14" hidden="1" x14ac:dyDescent="0.2">
      <c r="A771" s="775" t="s">
        <v>507</v>
      </c>
      <c r="B771" s="370" t="s">
        <v>566</v>
      </c>
      <c r="C771" s="247" t="s">
        <v>18</v>
      </c>
      <c r="D771" s="376" t="s">
        <v>135</v>
      </c>
      <c r="E771" s="780">
        <f t="shared" si="26"/>
        <v>0.8932356209078528</v>
      </c>
      <c r="F771" s="374" t="s">
        <v>568</v>
      </c>
      <c r="G771" s="375" t="s">
        <v>16</v>
      </c>
      <c r="H771" s="376">
        <v>1</v>
      </c>
      <c r="I771" s="376">
        <v>2</v>
      </c>
      <c r="J771" s="376">
        <v>3</v>
      </c>
      <c r="K771" s="376">
        <v>3</v>
      </c>
      <c r="L771" s="377">
        <v>1</v>
      </c>
      <c r="M771" s="396">
        <f>IF( OR( ISBLANK(H771),ISBLANK(I771), ISBLANK(J771), ISBLANK(K771), ISBLANK(L771) ), "", 1.5*SQRT( EXP(2.21*(H771-1)) + EXP(2.21*(I771-1)) + EXP(2.21*(J771-1)) + EXP(2.21*(K771-1)) + EXP(2.21*L771) )/100*2.45 )</f>
        <v>0.50042652380814845</v>
      </c>
      <c r="N771" s="479"/>
    </row>
    <row r="772" spans="1:14" hidden="1" x14ac:dyDescent="0.2">
      <c r="A772" s="775" t="s">
        <v>507</v>
      </c>
      <c r="B772" s="370" t="s">
        <v>566</v>
      </c>
      <c r="C772" s="247" t="s">
        <v>20</v>
      </c>
      <c r="D772" s="376" t="s">
        <v>135</v>
      </c>
      <c r="E772" s="780">
        <f t="shared" si="26"/>
        <v>0.6</v>
      </c>
      <c r="F772" s="374" t="s">
        <v>568</v>
      </c>
      <c r="G772" s="375" t="s">
        <v>16</v>
      </c>
      <c r="H772" s="376">
        <v>1</v>
      </c>
      <c r="I772" s="376">
        <v>2</v>
      </c>
      <c r="J772" s="376">
        <v>3</v>
      </c>
      <c r="K772" s="376">
        <v>3</v>
      </c>
      <c r="L772" s="377">
        <v>1</v>
      </c>
      <c r="M772" s="396">
        <f>IF( OR( ISBLANK(H772),ISBLANK(I772), ISBLANK(J772), ISBLANK(K772), ISBLANK(L772) ), "", 1.5*SQRT( EXP(2.21*(H772-1)) + EXP(2.21*(I772-1)) + EXP(2.21*(J772-1)) + EXP(2.21*(K772-1)) + EXP(2.21*L772) )/100*2.45 )</f>
        <v>0.50042652380814845</v>
      </c>
      <c r="N772" s="479"/>
    </row>
    <row r="773" spans="1:14" hidden="1" x14ac:dyDescent="0.2">
      <c r="A773" s="775" t="s">
        <v>507</v>
      </c>
      <c r="B773" s="370" t="s">
        <v>566</v>
      </c>
      <c r="C773" s="247" t="s">
        <v>22</v>
      </c>
      <c r="D773" s="376" t="s">
        <v>135</v>
      </c>
      <c r="E773" s="780">
        <f t="shared" si="26"/>
        <v>0.54499999999999993</v>
      </c>
      <c r="F773" s="374" t="s">
        <v>568</v>
      </c>
      <c r="G773" s="375" t="s">
        <v>16</v>
      </c>
      <c r="H773" s="376">
        <v>1</v>
      </c>
      <c r="I773" s="376">
        <v>2</v>
      </c>
      <c r="J773" s="376">
        <v>3</v>
      </c>
      <c r="K773" s="376">
        <v>3</v>
      </c>
      <c r="L773" s="377">
        <v>1</v>
      </c>
      <c r="M773" s="396">
        <f>IF( OR( ISBLANK(H773),ISBLANK(I773), ISBLANK(J773), ISBLANK(K773), ISBLANK(L773) ), "", 1.5*SQRT( EXP(2.21*(H773-1)) + EXP(2.21*(I773-1)) + EXP(2.21*(J773-1)) + EXP(2.21*(K773-1)) + EXP(2.21*L773) )/100*2.45 )</f>
        <v>0.50042652380814845</v>
      </c>
      <c r="N773" s="479"/>
    </row>
    <row r="774" spans="1:14" hidden="1" x14ac:dyDescent="0.2">
      <c r="A774" s="775" t="s">
        <v>507</v>
      </c>
      <c r="B774" s="370" t="s">
        <v>566</v>
      </c>
      <c r="C774" s="247" t="s">
        <v>23</v>
      </c>
      <c r="D774" s="376" t="s">
        <v>135</v>
      </c>
      <c r="E774" s="788">
        <f t="shared" si="26"/>
        <v>0</v>
      </c>
      <c r="F774" s="414" t="s">
        <v>568</v>
      </c>
      <c r="G774" s="789" t="s">
        <v>16</v>
      </c>
      <c r="H774" s="788"/>
      <c r="I774" s="788"/>
      <c r="J774" s="788"/>
      <c r="K774" s="788"/>
      <c r="L774" s="790"/>
      <c r="M774" s="791"/>
      <c r="N774" s="479"/>
    </row>
    <row r="775" spans="1:14" hidden="1" x14ac:dyDescent="0.2">
      <c r="A775" s="775" t="s">
        <v>507</v>
      </c>
      <c r="B775" s="370" t="s">
        <v>566</v>
      </c>
      <c r="C775" s="247" t="s">
        <v>24</v>
      </c>
      <c r="D775" s="376" t="s">
        <v>135</v>
      </c>
      <c r="E775" s="780">
        <f t="shared" si="26"/>
        <v>0.70500000000000007</v>
      </c>
      <c r="F775" s="374" t="s">
        <v>568</v>
      </c>
      <c r="G775" s="375" t="s">
        <v>16</v>
      </c>
      <c r="H775" s="376">
        <v>1</v>
      </c>
      <c r="I775" s="376">
        <v>2</v>
      </c>
      <c r="J775" s="376">
        <v>3</v>
      </c>
      <c r="K775" s="376">
        <v>3</v>
      </c>
      <c r="L775" s="377">
        <v>1</v>
      </c>
      <c r="M775" s="396">
        <f>IF( OR( ISBLANK(H775),ISBLANK(I775), ISBLANK(J775), ISBLANK(K775), ISBLANK(L775) ), "", 1.5*SQRT(   EXP(2.21*(H775-1)) + EXP(2.21*(I775-1)) + EXP(2.21*(J775-1)) + EXP(2.21*(K775-1)) + EXP(2.21*L775)   )/100*2.45 )</f>
        <v>0.50042652380814845</v>
      </c>
      <c r="N775" s="479"/>
    </row>
    <row r="776" spans="1:14" hidden="1" x14ac:dyDescent="0.2">
      <c r="A776" s="775" t="s">
        <v>507</v>
      </c>
      <c r="B776" s="370" t="s">
        <v>566</v>
      </c>
      <c r="C776" s="247" t="s">
        <v>25</v>
      </c>
      <c r="D776" s="376" t="s">
        <v>135</v>
      </c>
      <c r="E776" s="780">
        <f t="shared" si="26"/>
        <v>0.5</v>
      </c>
      <c r="F776" s="374" t="s">
        <v>568</v>
      </c>
      <c r="G776" s="375" t="s">
        <v>16</v>
      </c>
      <c r="H776" s="376">
        <v>1</v>
      </c>
      <c r="I776" s="376">
        <v>2</v>
      </c>
      <c r="J776" s="376">
        <v>3</v>
      </c>
      <c r="K776" s="376">
        <v>3</v>
      </c>
      <c r="L776" s="377">
        <v>1</v>
      </c>
      <c r="M776" s="396">
        <f t="shared" ref="M776:M787" si="27">IF( OR( ISBLANK(H776),ISBLANK(I776), ISBLANK(J776), ISBLANK(K776), ISBLANK(L776) ), "", 1.5*SQRT( EXP(2.21*(H776-1)) + EXP(2.21*(I776-1)) + EXP(2.21*(J776-1)) + EXP(2.21*(K776-1)) + EXP(2.21*L776) )/100*2.45 )</f>
        <v>0.50042652380814845</v>
      </c>
      <c r="N776" s="479"/>
    </row>
    <row r="777" spans="1:14" hidden="1" x14ac:dyDescent="0.2">
      <c r="A777" s="775" t="s">
        <v>507</v>
      </c>
      <c r="B777" s="370" t="s">
        <v>566</v>
      </c>
      <c r="C777" s="247" t="s">
        <v>26</v>
      </c>
      <c r="D777" s="376" t="s">
        <v>135</v>
      </c>
      <c r="E777" s="780">
        <f t="shared" si="26"/>
        <v>0.95</v>
      </c>
      <c r="F777" s="374" t="s">
        <v>568</v>
      </c>
      <c r="G777" s="375" t="s">
        <v>16</v>
      </c>
      <c r="H777" s="376">
        <v>1</v>
      </c>
      <c r="I777" s="376">
        <v>2</v>
      </c>
      <c r="J777" s="376">
        <v>3</v>
      </c>
      <c r="K777" s="376">
        <v>3</v>
      </c>
      <c r="L777" s="377">
        <v>3</v>
      </c>
      <c r="M777" s="396">
        <f t="shared" si="27"/>
        <v>1.123005955058592</v>
      </c>
      <c r="N777" s="479"/>
    </row>
    <row r="778" spans="1:14" hidden="1" x14ac:dyDescent="0.2">
      <c r="A778" s="775" t="s">
        <v>507</v>
      </c>
      <c r="B778" s="370" t="s">
        <v>566</v>
      </c>
      <c r="C778" s="247" t="s">
        <v>27</v>
      </c>
      <c r="D778" s="376" t="s">
        <v>135</v>
      </c>
      <c r="E778" s="780">
        <f t="shared" si="26"/>
        <v>5.0000000000000044E-2</v>
      </c>
      <c r="F778" s="374" t="s">
        <v>568</v>
      </c>
      <c r="G778" s="375" t="s">
        <v>16</v>
      </c>
      <c r="H778" s="376">
        <v>1</v>
      </c>
      <c r="I778" s="376">
        <v>2</v>
      </c>
      <c r="J778" s="376">
        <v>3</v>
      </c>
      <c r="K778" s="376">
        <v>3</v>
      </c>
      <c r="L778" s="377">
        <v>1</v>
      </c>
      <c r="M778" s="396">
        <f t="shared" si="27"/>
        <v>0.50042652380814845</v>
      </c>
      <c r="N778" s="479"/>
    </row>
    <row r="779" spans="1:14" hidden="1" x14ac:dyDescent="0.2">
      <c r="A779" s="775" t="s">
        <v>507</v>
      </c>
      <c r="B779" s="370" t="s">
        <v>566</v>
      </c>
      <c r="C779" s="247" t="s">
        <v>28</v>
      </c>
      <c r="D779" s="376" t="s">
        <v>135</v>
      </c>
      <c r="E779" s="780">
        <f t="shared" si="26"/>
        <v>0.31999999999999995</v>
      </c>
      <c r="F779" s="374" t="s">
        <v>568</v>
      </c>
      <c r="G779" s="375" t="s">
        <v>16</v>
      </c>
      <c r="H779" s="376">
        <v>1</v>
      </c>
      <c r="I779" s="376">
        <v>2</v>
      </c>
      <c r="J779" s="376">
        <v>3</v>
      </c>
      <c r="K779" s="376">
        <v>3</v>
      </c>
      <c r="L779" s="377">
        <v>1</v>
      </c>
      <c r="M779" s="396">
        <f t="shared" si="27"/>
        <v>0.50042652380814845</v>
      </c>
      <c r="N779" s="479"/>
    </row>
    <row r="780" spans="1:14" hidden="1" x14ac:dyDescent="0.2">
      <c r="A780" s="775" t="s">
        <v>507</v>
      </c>
      <c r="B780" s="370" t="s">
        <v>566</v>
      </c>
      <c r="C780" s="247" t="s">
        <v>30</v>
      </c>
      <c r="D780" s="376" t="s">
        <v>135</v>
      </c>
      <c r="E780" s="780">
        <f t="shared" si="26"/>
        <v>0.43000000000000005</v>
      </c>
      <c r="F780" s="374" t="s">
        <v>568</v>
      </c>
      <c r="G780" s="375" t="s">
        <v>16</v>
      </c>
      <c r="H780" s="376">
        <v>1</v>
      </c>
      <c r="I780" s="376">
        <v>2</v>
      </c>
      <c r="J780" s="376">
        <v>3</v>
      </c>
      <c r="K780" s="376">
        <v>3</v>
      </c>
      <c r="L780" s="377">
        <v>1</v>
      </c>
      <c r="M780" s="396">
        <f t="shared" si="27"/>
        <v>0.50042652380814845</v>
      </c>
      <c r="N780" s="479"/>
    </row>
    <row r="781" spans="1:14" hidden="1" x14ac:dyDescent="0.2">
      <c r="A781" s="775" t="s">
        <v>507</v>
      </c>
      <c r="B781" s="370" t="s">
        <v>566</v>
      </c>
      <c r="C781" s="247" t="s">
        <v>32</v>
      </c>
      <c r="D781" s="376" t="s">
        <v>135</v>
      </c>
      <c r="E781" s="780">
        <f t="shared" si="26"/>
        <v>0.18999999999999995</v>
      </c>
      <c r="F781" s="374" t="s">
        <v>568</v>
      </c>
      <c r="G781" s="375" t="s">
        <v>16</v>
      </c>
      <c r="H781" s="376">
        <v>1</v>
      </c>
      <c r="I781" s="376">
        <v>2</v>
      </c>
      <c r="J781" s="376">
        <v>3</v>
      </c>
      <c r="K781" s="376">
        <v>3</v>
      </c>
      <c r="L781" s="377">
        <v>1</v>
      </c>
      <c r="M781" s="396">
        <f t="shared" si="27"/>
        <v>0.50042652380814845</v>
      </c>
      <c r="N781" s="479"/>
    </row>
    <row r="782" spans="1:14" hidden="1" x14ac:dyDescent="0.2">
      <c r="A782" s="775" t="s">
        <v>507</v>
      </c>
      <c r="B782" s="370" t="s">
        <v>566</v>
      </c>
      <c r="C782" s="247" t="s">
        <v>34</v>
      </c>
      <c r="D782" s="376" t="s">
        <v>135</v>
      </c>
      <c r="E782" s="780">
        <f t="shared" si="26"/>
        <v>0.42530000000000001</v>
      </c>
      <c r="F782" s="374" t="s">
        <v>568</v>
      </c>
      <c r="G782" s="375" t="s">
        <v>16</v>
      </c>
      <c r="H782" s="376">
        <v>1</v>
      </c>
      <c r="I782" s="376">
        <v>2</v>
      </c>
      <c r="J782" s="376">
        <v>3</v>
      </c>
      <c r="K782" s="376">
        <v>3</v>
      </c>
      <c r="L782" s="377">
        <v>1</v>
      </c>
      <c r="M782" s="396">
        <f t="shared" si="27"/>
        <v>0.50042652380814845</v>
      </c>
      <c r="N782" s="479"/>
    </row>
    <row r="783" spans="1:14" hidden="1" x14ac:dyDescent="0.2">
      <c r="A783" s="775" t="s">
        <v>507</v>
      </c>
      <c r="B783" s="370" t="s">
        <v>566</v>
      </c>
      <c r="C783" s="247" t="s">
        <v>36</v>
      </c>
      <c r="D783" s="376" t="s">
        <v>135</v>
      </c>
      <c r="E783" s="780">
        <f t="shared" si="26"/>
        <v>0.23699999999999999</v>
      </c>
      <c r="F783" s="374" t="s">
        <v>568</v>
      </c>
      <c r="G783" s="375" t="s">
        <v>16</v>
      </c>
      <c r="H783" s="376">
        <v>1</v>
      </c>
      <c r="I783" s="376">
        <v>2</v>
      </c>
      <c r="J783" s="376">
        <v>3</v>
      </c>
      <c r="K783" s="376">
        <v>3</v>
      </c>
      <c r="L783" s="377">
        <v>1</v>
      </c>
      <c r="M783" s="396">
        <f t="shared" si="27"/>
        <v>0.50042652380814845</v>
      </c>
      <c r="N783" s="479"/>
    </row>
    <row r="784" spans="1:14" hidden="1" x14ac:dyDescent="0.2">
      <c r="A784" s="775" t="s">
        <v>507</v>
      </c>
      <c r="B784" s="370" t="s">
        <v>566</v>
      </c>
      <c r="C784" s="247" t="s">
        <v>37</v>
      </c>
      <c r="D784" s="376" t="s">
        <v>135</v>
      </c>
      <c r="E784" s="780">
        <f t="shared" si="26"/>
        <v>0.6</v>
      </c>
      <c r="F784" s="374" t="s">
        <v>568</v>
      </c>
      <c r="G784" s="375" t="s">
        <v>16</v>
      </c>
      <c r="H784" s="376">
        <v>1</v>
      </c>
      <c r="I784" s="376">
        <v>2</v>
      </c>
      <c r="J784" s="376">
        <v>3</v>
      </c>
      <c r="K784" s="376">
        <v>3</v>
      </c>
      <c r="L784" s="377">
        <v>1</v>
      </c>
      <c r="M784" s="396">
        <f t="shared" si="27"/>
        <v>0.50042652380814845</v>
      </c>
      <c r="N784" s="479"/>
    </row>
    <row r="785" spans="1:14" hidden="1" x14ac:dyDescent="0.2">
      <c r="A785" s="775" t="s">
        <v>507</v>
      </c>
      <c r="B785" s="370" t="s">
        <v>566</v>
      </c>
      <c r="C785" s="247" t="s">
        <v>39</v>
      </c>
      <c r="D785" s="376" t="s">
        <v>135</v>
      </c>
      <c r="E785" s="780">
        <f t="shared" si="26"/>
        <v>0.19999999999999996</v>
      </c>
      <c r="F785" s="374" t="s">
        <v>568</v>
      </c>
      <c r="G785" s="375" t="s">
        <v>16</v>
      </c>
      <c r="H785" s="376">
        <v>1</v>
      </c>
      <c r="I785" s="376">
        <v>2</v>
      </c>
      <c r="J785" s="376">
        <v>3</v>
      </c>
      <c r="K785" s="376">
        <v>3</v>
      </c>
      <c r="L785" s="377">
        <v>1</v>
      </c>
      <c r="M785" s="396">
        <f t="shared" si="27"/>
        <v>0.50042652380814845</v>
      </c>
      <c r="N785" s="479"/>
    </row>
    <row r="786" spans="1:14" hidden="1" x14ac:dyDescent="0.2">
      <c r="A786" s="775" t="s">
        <v>507</v>
      </c>
      <c r="B786" s="370" t="s">
        <v>566</v>
      </c>
      <c r="C786" s="247" t="s">
        <v>40</v>
      </c>
      <c r="D786" s="376" t="s">
        <v>135</v>
      </c>
      <c r="E786" s="780">
        <f t="shared" si="26"/>
        <v>0.5</v>
      </c>
      <c r="F786" s="374" t="s">
        <v>568</v>
      </c>
      <c r="G786" s="375" t="s">
        <v>16</v>
      </c>
      <c r="H786" s="376">
        <v>1</v>
      </c>
      <c r="I786" s="376">
        <v>2</v>
      </c>
      <c r="J786" s="376">
        <v>3</v>
      </c>
      <c r="K786" s="376">
        <v>3</v>
      </c>
      <c r="L786" s="377">
        <v>1</v>
      </c>
      <c r="M786" s="396">
        <f t="shared" si="27"/>
        <v>0.50042652380814845</v>
      </c>
      <c r="N786" s="479"/>
    </row>
    <row r="787" spans="1:14" hidden="1" x14ac:dyDescent="0.2">
      <c r="A787" s="775" t="s">
        <v>507</v>
      </c>
      <c r="B787" s="370" t="s">
        <v>566</v>
      </c>
      <c r="C787" s="247" t="s">
        <v>41</v>
      </c>
      <c r="D787" s="376" t="s">
        <v>135</v>
      </c>
      <c r="E787" s="780">
        <f t="shared" si="26"/>
        <v>0.9</v>
      </c>
      <c r="F787" s="374" t="s">
        <v>568</v>
      </c>
      <c r="G787" s="375" t="s">
        <v>16</v>
      </c>
      <c r="H787" s="376">
        <v>1</v>
      </c>
      <c r="I787" s="376">
        <v>2</v>
      </c>
      <c r="J787" s="376">
        <v>3</v>
      </c>
      <c r="K787" s="376">
        <v>3</v>
      </c>
      <c r="L787" s="377">
        <v>1</v>
      </c>
      <c r="M787" s="396">
        <f t="shared" si="27"/>
        <v>0.50042652380814845</v>
      </c>
      <c r="N787" s="479"/>
    </row>
    <row r="788" spans="1:14" hidden="1" x14ac:dyDescent="0.2">
      <c r="A788" s="775" t="s">
        <v>507</v>
      </c>
      <c r="B788" s="370" t="s">
        <v>566</v>
      </c>
      <c r="C788" s="247" t="s">
        <v>42</v>
      </c>
      <c r="D788" s="376" t="s">
        <v>135</v>
      </c>
      <c r="E788" s="788">
        <f t="shared" si="26"/>
        <v>0</v>
      </c>
      <c r="F788" s="414" t="s">
        <v>568</v>
      </c>
      <c r="G788" s="789" t="s">
        <v>16</v>
      </c>
      <c r="H788" s="788"/>
      <c r="I788" s="788"/>
      <c r="J788" s="788"/>
      <c r="K788" s="788"/>
      <c r="L788" s="790"/>
      <c r="M788" s="791"/>
      <c r="N788" s="479"/>
    </row>
    <row r="789" spans="1:14" hidden="1" x14ac:dyDescent="0.2">
      <c r="A789" s="775" t="s">
        <v>507</v>
      </c>
      <c r="B789" s="370" t="s">
        <v>566</v>
      </c>
      <c r="C789" s="247" t="s">
        <v>43</v>
      </c>
      <c r="D789" s="376" t="s">
        <v>135</v>
      </c>
      <c r="E789" s="780">
        <f t="shared" si="26"/>
        <v>0.73</v>
      </c>
      <c r="F789" s="374" t="s">
        <v>568</v>
      </c>
      <c r="G789" s="375" t="s">
        <v>16</v>
      </c>
      <c r="H789" s="376">
        <v>1</v>
      </c>
      <c r="I789" s="376">
        <v>2</v>
      </c>
      <c r="J789" s="376">
        <v>3</v>
      </c>
      <c r="K789" s="376">
        <v>3</v>
      </c>
      <c r="L789" s="377">
        <v>1</v>
      </c>
      <c r="M789" s="396">
        <f>IF( OR( ISBLANK(H789),ISBLANK(I789), ISBLANK(J789), ISBLANK(K789), ISBLANK(L789) ), "", 1.5*SQRT(   EXP(2.21*(H789-1)) + EXP(2.21*(I789-1)) + EXP(2.21*(J789-1)) + EXP(2.21*(K789-1)) + EXP(2.21*L789)   )/100*2.45 )</f>
        <v>0.50042652380814845</v>
      </c>
      <c r="N789" s="479"/>
    </row>
    <row r="790" spans="1:14" hidden="1" x14ac:dyDescent="0.2">
      <c r="A790" s="775" t="s">
        <v>507</v>
      </c>
      <c r="B790" s="370" t="s">
        <v>566</v>
      </c>
      <c r="C790" s="247" t="s">
        <v>45</v>
      </c>
      <c r="D790" s="376" t="s">
        <v>135</v>
      </c>
      <c r="E790" s="780">
        <f t="shared" si="26"/>
        <v>0.18000000000000005</v>
      </c>
      <c r="F790" s="374" t="s">
        <v>569</v>
      </c>
      <c r="G790" s="375" t="s">
        <v>16</v>
      </c>
      <c r="H790" s="376">
        <v>1</v>
      </c>
      <c r="I790" s="376">
        <v>1</v>
      </c>
      <c r="J790" s="376">
        <v>3</v>
      </c>
      <c r="K790" s="376">
        <v>3</v>
      </c>
      <c r="L790" s="377">
        <v>1</v>
      </c>
      <c r="M790" s="396">
        <f>IF( OR( ISBLANK(H790),ISBLANK(I790), ISBLANK(J790), ISBLANK(K790), ISBLANK(L790) ), "", 1.5*SQRT( EXP(2.21*(H790-1)) + EXP(2.21*(I790-1)) + EXP(2.21*(J790-1)) + EXP(2.21*(K790-1)) + EXP(2.21*L790) )/100*2.45 )</f>
        <v>0.48935255543384243</v>
      </c>
      <c r="N790" s="479"/>
    </row>
    <row r="791" spans="1:14" hidden="1" x14ac:dyDescent="0.2">
      <c r="A791" s="775" t="s">
        <v>507</v>
      </c>
      <c r="B791" s="370" t="s">
        <v>566</v>
      </c>
      <c r="C791" s="247" t="s">
        <v>46</v>
      </c>
      <c r="D791" s="376" t="s">
        <v>135</v>
      </c>
      <c r="E791" s="780">
        <f t="shared" si="26"/>
        <v>0.91061499999999995</v>
      </c>
      <c r="F791" s="374" t="s">
        <v>568</v>
      </c>
      <c r="G791" s="375" t="s">
        <v>16</v>
      </c>
      <c r="H791" s="376">
        <v>1</v>
      </c>
      <c r="I791" s="376">
        <v>2</v>
      </c>
      <c r="J791" s="376">
        <v>3</v>
      </c>
      <c r="K791" s="376">
        <v>3</v>
      </c>
      <c r="L791" s="377">
        <v>1</v>
      </c>
      <c r="M791" s="396">
        <f>IF( OR( ISBLANK(H791),ISBLANK(I791), ISBLANK(J791), ISBLANK(K791), ISBLANK(L791) ), "", 1.5*SQRT( EXP(2.21*(H791-1)) + EXP(2.21*(I791-1)) + EXP(2.21*(J791-1)) + EXP(2.21*(K791-1)) + EXP(2.21*L791) )/100*2.45 )</f>
        <v>0.50042652380814845</v>
      </c>
      <c r="N791" s="479"/>
    </row>
    <row r="792" spans="1:14" hidden="1" x14ac:dyDescent="0.2">
      <c r="A792" s="775" t="s">
        <v>507</v>
      </c>
      <c r="B792" s="370" t="s">
        <v>566</v>
      </c>
      <c r="C792" s="247" t="s">
        <v>48</v>
      </c>
      <c r="D792" s="376" t="s">
        <v>135</v>
      </c>
      <c r="E792" s="780">
        <f t="shared" si="26"/>
        <v>0.33999999999999997</v>
      </c>
      <c r="F792" s="374" t="s">
        <v>568</v>
      </c>
      <c r="G792" s="375" t="s">
        <v>16</v>
      </c>
      <c r="H792" s="376">
        <v>1</v>
      </c>
      <c r="I792" s="376">
        <v>2</v>
      </c>
      <c r="J792" s="376">
        <v>3</v>
      </c>
      <c r="K792" s="376">
        <v>3</v>
      </c>
      <c r="L792" s="377">
        <v>1</v>
      </c>
      <c r="M792" s="396">
        <f>IF( OR( ISBLANK(H792),ISBLANK(I792), ISBLANK(J792), ISBLANK(K792), ISBLANK(L792) ), "", 1.5*SQRT( EXP(2.21*(H792-1)) + EXP(2.21*(I792-1)) + EXP(2.21*(J792-1)) + EXP(2.21*(K792-1)) + EXP(2.21*L792) )/100*2.45 )</f>
        <v>0.50042652380814845</v>
      </c>
      <c r="N792" s="479"/>
    </row>
    <row r="793" spans="1:14" hidden="1" x14ac:dyDescent="0.2">
      <c r="A793" s="775" t="s">
        <v>507</v>
      </c>
      <c r="B793" s="370" t="s">
        <v>566</v>
      </c>
      <c r="C793" s="247" t="s">
        <v>50</v>
      </c>
      <c r="D793" s="376" t="s">
        <v>135</v>
      </c>
      <c r="E793" s="788">
        <f t="shared" si="26"/>
        <v>1</v>
      </c>
      <c r="F793" s="414" t="s">
        <v>568</v>
      </c>
      <c r="G793" s="789" t="s">
        <v>16</v>
      </c>
      <c r="H793" s="788"/>
      <c r="I793" s="788"/>
      <c r="J793" s="788"/>
      <c r="K793" s="788"/>
      <c r="L793" s="790"/>
      <c r="M793" s="791"/>
      <c r="N793" s="479"/>
    </row>
    <row r="794" spans="1:14" hidden="1" x14ac:dyDescent="0.2">
      <c r="A794" s="775" t="s">
        <v>507</v>
      </c>
      <c r="B794" s="370" t="s">
        <v>566</v>
      </c>
      <c r="C794" s="247" t="s">
        <v>52</v>
      </c>
      <c r="D794" s="376" t="s">
        <v>135</v>
      </c>
      <c r="E794" s="780">
        <f t="shared" si="26"/>
        <v>7.4999999999999956E-2</v>
      </c>
      <c r="F794" s="374" t="s">
        <v>568</v>
      </c>
      <c r="G794" s="375" t="s">
        <v>16</v>
      </c>
      <c r="H794" s="376">
        <v>1</v>
      </c>
      <c r="I794" s="376">
        <v>2</v>
      </c>
      <c r="J794" s="376">
        <v>3</v>
      </c>
      <c r="K794" s="376">
        <v>3</v>
      </c>
      <c r="L794" s="377">
        <v>1</v>
      </c>
      <c r="M794" s="396">
        <f>IF( OR( ISBLANK(H794),ISBLANK(I794), ISBLANK(J794), ISBLANK(K794), ISBLANK(L794) ), "", 1.5*SQRT(   EXP(2.21*(H794-1)) + EXP(2.21*(I794-1)) + EXP(2.21*(J794-1)) + EXP(2.21*(K794-1)) + EXP(2.21*L794)   )/100*2.45 )</f>
        <v>0.50042652380814845</v>
      </c>
      <c r="N794" s="479"/>
    </row>
    <row r="795" spans="1:14" hidden="1" x14ac:dyDescent="0.2">
      <c r="A795" s="775" t="s">
        <v>507</v>
      </c>
      <c r="B795" s="370" t="s">
        <v>566</v>
      </c>
      <c r="C795" s="247" t="s">
        <v>54</v>
      </c>
      <c r="D795" s="376" t="s">
        <v>135</v>
      </c>
      <c r="E795" s="780">
        <f t="shared" si="26"/>
        <v>0.59000000000000008</v>
      </c>
      <c r="F795" s="374" t="s">
        <v>568</v>
      </c>
      <c r="G795" s="375" t="s">
        <v>16</v>
      </c>
      <c r="H795" s="376">
        <v>1</v>
      </c>
      <c r="I795" s="376">
        <v>2</v>
      </c>
      <c r="J795" s="376">
        <v>3</v>
      </c>
      <c r="K795" s="376">
        <v>3</v>
      </c>
      <c r="L795" s="377">
        <v>1</v>
      </c>
      <c r="M795" s="396">
        <f>IF( OR( ISBLANK(H795),ISBLANK(I795), ISBLANK(J795), ISBLANK(K795), ISBLANK(L795) ), "", 1.5*SQRT( EXP(2.21*(H795-1)) + EXP(2.21*(I795-1)) + EXP(2.21*(J795-1)) + EXP(2.21*(K795-1)) + EXP(2.21*L795) )/100*2.45 )</f>
        <v>0.50042652380814845</v>
      </c>
      <c r="N795" s="479"/>
    </row>
    <row r="796" spans="1:14" hidden="1" x14ac:dyDescent="0.2">
      <c r="A796" s="775" t="s">
        <v>507</v>
      </c>
      <c r="B796" s="370" t="s">
        <v>566</v>
      </c>
      <c r="C796" s="247" t="s">
        <v>55</v>
      </c>
      <c r="D796" s="376" t="s">
        <v>135</v>
      </c>
      <c r="E796" s="780">
        <f t="shared" si="26"/>
        <v>0.13</v>
      </c>
      <c r="F796" s="374" t="s">
        <v>568</v>
      </c>
      <c r="G796" s="375" t="s">
        <v>16</v>
      </c>
      <c r="H796" s="376">
        <v>1</v>
      </c>
      <c r="I796" s="376">
        <v>2</v>
      </c>
      <c r="J796" s="376">
        <v>3</v>
      </c>
      <c r="K796" s="376">
        <v>3</v>
      </c>
      <c r="L796" s="377">
        <v>1</v>
      </c>
      <c r="M796" s="396">
        <f>IF( OR( ISBLANK(H796),ISBLANK(I796), ISBLANK(J796), ISBLANK(K796), ISBLANK(L796) ), "", 1.5*SQRT( EXP(2.21*(H796-1)) + EXP(2.21*(I796-1)) + EXP(2.21*(J796-1)) + EXP(2.21*(K796-1)) + EXP(2.21*L796) )/100*2.45 )</f>
        <v>0.50042652380814845</v>
      </c>
      <c r="N796" s="479"/>
    </row>
    <row r="797" spans="1:14" hidden="1" x14ac:dyDescent="0.2">
      <c r="A797" s="775" t="s">
        <v>507</v>
      </c>
      <c r="B797" s="370" t="s">
        <v>566</v>
      </c>
      <c r="C797" s="247" t="s">
        <v>57</v>
      </c>
      <c r="D797" s="376" t="s">
        <v>135</v>
      </c>
      <c r="E797" s="780">
        <f t="shared" si="26"/>
        <v>0.12</v>
      </c>
      <c r="F797" s="374" t="s">
        <v>568</v>
      </c>
      <c r="G797" s="375" t="s">
        <v>16</v>
      </c>
      <c r="H797" s="376">
        <v>1</v>
      </c>
      <c r="I797" s="376">
        <v>2</v>
      </c>
      <c r="J797" s="376">
        <v>3</v>
      </c>
      <c r="K797" s="376">
        <v>3</v>
      </c>
      <c r="L797" s="377">
        <v>1</v>
      </c>
      <c r="M797" s="396">
        <f>IF( OR( ISBLANK(H797),ISBLANK(I797), ISBLANK(J797), ISBLANK(K797), ISBLANK(L797) ), "", 1.5*SQRT( EXP(2.21*(H797-1)) + EXP(2.21*(I797-1)) + EXP(2.21*(J797-1)) + EXP(2.21*(K797-1)) + EXP(2.21*L797) )/100*2.45 )</f>
        <v>0.50042652380814845</v>
      </c>
      <c r="N797" s="479"/>
    </row>
    <row r="798" spans="1:14" hidden="1" x14ac:dyDescent="0.2">
      <c r="A798" s="775" t="s">
        <v>507</v>
      </c>
      <c r="B798" s="370" t="s">
        <v>566</v>
      </c>
      <c r="C798" s="247" t="s">
        <v>59</v>
      </c>
      <c r="D798" s="376" t="s">
        <v>135</v>
      </c>
      <c r="E798" s="780">
        <f t="shared" si="26"/>
        <v>0.7</v>
      </c>
      <c r="F798" s="374" t="s">
        <v>570</v>
      </c>
      <c r="G798" s="375" t="s">
        <v>16</v>
      </c>
      <c r="H798" s="252">
        <v>1</v>
      </c>
      <c r="I798" s="252">
        <v>3</v>
      </c>
      <c r="J798" s="252">
        <v>3</v>
      </c>
      <c r="K798" s="252">
        <v>3</v>
      </c>
      <c r="L798" s="253">
        <v>1</v>
      </c>
      <c r="M798" s="396">
        <f>IF( OR( ISBLANK(H798),ISBLANK(I798), ISBLANK(J798), ISBLANK(K798), ISBLANK(L798) ), "", 1.5*SQRT( EXP(2.21*(H798-1)) + EXP(2.21*(I798-1)) + EXP(2.21*(J798-1)) + EXP(2.21*(K798-1)) + EXP(2.21*L798) )/100*2.45 )</f>
        <v>0.59189702474662764</v>
      </c>
      <c r="N798" s="479"/>
    </row>
    <row r="799" spans="1:14" hidden="1" x14ac:dyDescent="0.2">
      <c r="A799" s="776" t="s">
        <v>507</v>
      </c>
      <c r="B799" s="786" t="s">
        <v>566</v>
      </c>
      <c r="C799" s="287" t="s">
        <v>60</v>
      </c>
      <c r="D799" s="398" t="s">
        <v>135</v>
      </c>
      <c r="E799" s="787">
        <f t="shared" si="26"/>
        <v>0.7</v>
      </c>
      <c r="F799" s="399" t="s">
        <v>568</v>
      </c>
      <c r="G799" s="290" t="s">
        <v>16</v>
      </c>
      <c r="H799" s="291">
        <v>1</v>
      </c>
      <c r="I799" s="291">
        <v>2</v>
      </c>
      <c r="J799" s="291">
        <v>3</v>
      </c>
      <c r="K799" s="291">
        <v>3</v>
      </c>
      <c r="L799" s="292">
        <v>1</v>
      </c>
      <c r="M799" s="293">
        <f>IF( OR( ISBLANK(H799),ISBLANK(I799), ISBLANK(J799), ISBLANK(K799), ISBLANK(L799) ), "", 1.5*SQRT( EXP(2.21*(H799-1)) + EXP(2.21*(I799-1)) + EXP(2.21*(J799-1)) + EXP(2.21*(K799-1)) + EXP(2.21*L799) )/100*2.45 )</f>
        <v>0.50042652380814845</v>
      </c>
      <c r="N799" s="294"/>
    </row>
    <row r="800" spans="1:14" x14ac:dyDescent="0.2">
      <c r="A800" s="778" t="s">
        <v>493</v>
      </c>
      <c r="B800" s="370" t="s">
        <v>572</v>
      </c>
      <c r="C800" s="247" t="s">
        <v>13</v>
      </c>
      <c r="D800" s="376" t="s">
        <v>135</v>
      </c>
      <c r="E800" s="788">
        <v>0</v>
      </c>
      <c r="F800" s="374" t="s">
        <v>573</v>
      </c>
      <c r="G800" s="789" t="s">
        <v>16</v>
      </c>
      <c r="H800" s="788"/>
      <c r="I800" s="788"/>
      <c r="J800" s="788"/>
      <c r="K800" s="788"/>
      <c r="L800" s="790"/>
      <c r="M800" s="791"/>
      <c r="N800" s="479"/>
    </row>
    <row r="801" spans="1:14" hidden="1" x14ac:dyDescent="0.2">
      <c r="A801" s="778" t="s">
        <v>493</v>
      </c>
      <c r="B801" s="370" t="s">
        <v>572</v>
      </c>
      <c r="C801" s="247" t="s">
        <v>18</v>
      </c>
      <c r="D801" s="376" t="s">
        <v>135</v>
      </c>
      <c r="E801" s="780">
        <v>2.1900000000000031E-2</v>
      </c>
      <c r="F801" s="374" t="s">
        <v>573</v>
      </c>
      <c r="G801" s="375" t="s">
        <v>16</v>
      </c>
      <c r="H801" s="376">
        <v>1</v>
      </c>
      <c r="I801" s="376">
        <v>1</v>
      </c>
      <c r="J801" s="376">
        <v>3</v>
      </c>
      <c r="K801" s="376">
        <v>3</v>
      </c>
      <c r="L801" s="377">
        <v>1</v>
      </c>
      <c r="M801" s="396">
        <f>IF( OR( ISBLANK(H801),ISBLANK(I801), ISBLANK(J801), ISBLANK(K801), ISBLANK(L801) ), "", 1.5*SQRT( EXP(2.21*(H801-1)) + EXP(2.21*(I801-1)) + EXP(2.21*(J801-1)) + EXP(2.21*(K801-1)) + EXP(2.21*L801) )/100*2.45 )</f>
        <v>0.48935255543384243</v>
      </c>
      <c r="N801" s="479"/>
    </row>
    <row r="802" spans="1:14" hidden="1" x14ac:dyDescent="0.2">
      <c r="A802" s="778" t="s">
        <v>493</v>
      </c>
      <c r="B802" s="370" t="s">
        <v>572</v>
      </c>
      <c r="C802" s="247" t="s">
        <v>20</v>
      </c>
      <c r="D802" s="376" t="s">
        <v>135</v>
      </c>
      <c r="E802" s="780">
        <v>9.5999999999999974E-2</v>
      </c>
      <c r="F802" s="374" t="s">
        <v>573</v>
      </c>
      <c r="G802" s="375" t="s">
        <v>16</v>
      </c>
      <c r="H802" s="376">
        <v>1</v>
      </c>
      <c r="I802" s="376">
        <v>1</v>
      </c>
      <c r="J802" s="376">
        <v>3</v>
      </c>
      <c r="K802" s="376">
        <v>3</v>
      </c>
      <c r="L802" s="377">
        <v>1</v>
      </c>
      <c r="M802" s="396">
        <f>IF( OR( ISBLANK(H802),ISBLANK(I802), ISBLANK(J802), ISBLANK(K802), ISBLANK(L802) ), "", 1.5*SQRT( EXP(2.21*(H802-1)) + EXP(2.21*(I802-1)) + EXP(2.21*(J802-1)) + EXP(2.21*(K802-1)) + EXP(2.21*L802) )/100*2.45 )</f>
        <v>0.48935255543384243</v>
      </c>
      <c r="N802" s="479"/>
    </row>
    <row r="803" spans="1:14" hidden="1" x14ac:dyDescent="0.2">
      <c r="A803" s="778" t="s">
        <v>493</v>
      </c>
      <c r="B803" s="370" t="s">
        <v>572</v>
      </c>
      <c r="C803" s="247" t="s">
        <v>22</v>
      </c>
      <c r="D803" s="376" t="s">
        <v>135</v>
      </c>
      <c r="E803" s="780">
        <v>1.7000000000000019E-2</v>
      </c>
      <c r="F803" s="374" t="s">
        <v>573</v>
      </c>
      <c r="G803" s="375" t="s">
        <v>16</v>
      </c>
      <c r="H803" s="376">
        <v>1</v>
      </c>
      <c r="I803" s="376">
        <v>1</v>
      </c>
      <c r="J803" s="376">
        <v>3</v>
      </c>
      <c r="K803" s="376">
        <v>3</v>
      </c>
      <c r="L803" s="377">
        <v>1</v>
      </c>
      <c r="M803" s="396">
        <f>IF( OR( ISBLANK(H803),ISBLANK(I803), ISBLANK(J803), ISBLANK(K803), ISBLANK(L803) ), "", 1.5*SQRT( EXP(2.21*(H803-1)) + EXP(2.21*(I803-1)) + EXP(2.21*(J803-1)) + EXP(2.21*(K803-1)) + EXP(2.21*L803) )/100*2.45 )</f>
        <v>0.48935255543384243</v>
      </c>
      <c r="N803" s="479"/>
    </row>
    <row r="804" spans="1:14" hidden="1" x14ac:dyDescent="0.2">
      <c r="A804" s="778" t="s">
        <v>493</v>
      </c>
      <c r="B804" s="370" t="s">
        <v>572</v>
      </c>
      <c r="C804" s="247" t="s">
        <v>23</v>
      </c>
      <c r="D804" s="376" t="s">
        <v>135</v>
      </c>
      <c r="E804" s="780">
        <v>0.17349999999999999</v>
      </c>
      <c r="F804" s="374" t="s">
        <v>573</v>
      </c>
      <c r="G804" s="375" t="s">
        <v>16</v>
      </c>
      <c r="H804" s="376">
        <v>1</v>
      </c>
      <c r="I804" s="376">
        <v>2</v>
      </c>
      <c r="J804" s="376">
        <v>3</v>
      </c>
      <c r="K804" s="376">
        <v>3</v>
      </c>
      <c r="L804" s="377">
        <v>1</v>
      </c>
      <c r="M804" s="396">
        <f>IF( OR( ISBLANK(H804),ISBLANK(I804), ISBLANK(J804), ISBLANK(K804), ISBLANK(L804) ), "", 1.5*SQRT( EXP(2.21*(H804-1)) + EXP(2.21*(I804-1)) + EXP(2.21*(J804-1)) + EXP(2.21*(K804-1)) + EXP(2.21*L804) )/100*2.45 )</f>
        <v>0.50042652380814845</v>
      </c>
      <c r="N804" s="479"/>
    </row>
    <row r="805" spans="1:14" hidden="1" x14ac:dyDescent="0.2">
      <c r="A805" s="778" t="s">
        <v>493</v>
      </c>
      <c r="B805" s="370" t="s">
        <v>572</v>
      </c>
      <c r="C805" s="247" t="s">
        <v>24</v>
      </c>
      <c r="D805" s="376" t="s">
        <v>135</v>
      </c>
      <c r="E805" s="780">
        <v>0.16600000000000001</v>
      </c>
      <c r="F805" s="374" t="s">
        <v>573</v>
      </c>
      <c r="G805" s="375" t="s">
        <v>16</v>
      </c>
      <c r="H805" s="376">
        <v>1</v>
      </c>
      <c r="I805" s="376">
        <v>1</v>
      </c>
      <c r="J805" s="376">
        <v>3</v>
      </c>
      <c r="K805" s="376">
        <v>3</v>
      </c>
      <c r="L805" s="377">
        <v>1</v>
      </c>
      <c r="M805" s="396">
        <f>IF( OR( ISBLANK(H805),ISBLANK(I805), ISBLANK(J805), ISBLANK(K805), ISBLANK(L805) ), "", 1.5*SQRT( EXP(2.21*(H805-1)) + EXP(2.21*(I805-1)) + EXP(2.21*(J805-1)) + EXP(2.21*(K805-1)) + EXP(2.21*L805) )/100*2.45 )</f>
        <v>0.48935255543384243</v>
      </c>
      <c r="N805" s="479"/>
    </row>
    <row r="806" spans="1:14" hidden="1" x14ac:dyDescent="0.2">
      <c r="A806" s="778" t="s">
        <v>493</v>
      </c>
      <c r="B806" s="370" t="s">
        <v>572</v>
      </c>
      <c r="C806" s="247" t="s">
        <v>25</v>
      </c>
      <c r="D806" s="376" t="s">
        <v>135</v>
      </c>
      <c r="E806" s="788">
        <v>0</v>
      </c>
      <c r="F806" s="374" t="s">
        <v>573</v>
      </c>
      <c r="G806" s="789" t="s">
        <v>16</v>
      </c>
      <c r="H806" s="788"/>
      <c r="I806" s="788"/>
      <c r="J806" s="788"/>
      <c r="K806" s="788"/>
      <c r="L806" s="790"/>
      <c r="M806" s="791"/>
      <c r="N806" s="479"/>
    </row>
    <row r="807" spans="1:14" hidden="1" x14ac:dyDescent="0.2">
      <c r="A807" s="778" t="s">
        <v>493</v>
      </c>
      <c r="B807" s="370" t="s">
        <v>572</v>
      </c>
      <c r="C807" s="247" t="s">
        <v>26</v>
      </c>
      <c r="D807" s="376" t="s">
        <v>135</v>
      </c>
      <c r="E807" s="780">
        <v>0.12</v>
      </c>
      <c r="F807" s="374" t="s">
        <v>573</v>
      </c>
      <c r="G807" s="375" t="s">
        <v>16</v>
      </c>
      <c r="H807" s="376">
        <v>1</v>
      </c>
      <c r="I807" s="376">
        <v>2</v>
      </c>
      <c r="J807" s="376">
        <v>3</v>
      </c>
      <c r="K807" s="376">
        <v>3</v>
      </c>
      <c r="L807" s="377">
        <v>1</v>
      </c>
      <c r="M807" s="396">
        <f>IF( OR( ISBLANK(H807),ISBLANK(I807), ISBLANK(J807), ISBLANK(K807), ISBLANK(L807) ), "", 1.5*SQRT( EXP(2.21*(H807-1)) + EXP(2.21*(I807-1)) + EXP(2.21*(J807-1)) + EXP(2.21*(K807-1)) + EXP(2.21*L807) )/100*2.45 )</f>
        <v>0.50042652380814845</v>
      </c>
      <c r="N807" s="479"/>
    </row>
    <row r="808" spans="1:14" hidden="1" x14ac:dyDescent="0.2">
      <c r="A808" s="778" t="s">
        <v>493</v>
      </c>
      <c r="B808" s="370" t="s">
        <v>572</v>
      </c>
      <c r="C808" s="247" t="s">
        <v>27</v>
      </c>
      <c r="D808" s="376" t="s">
        <v>135</v>
      </c>
      <c r="E808" s="788">
        <v>0</v>
      </c>
      <c r="F808" s="374" t="s">
        <v>573</v>
      </c>
      <c r="G808" s="789" t="s">
        <v>16</v>
      </c>
      <c r="H808" s="788"/>
      <c r="I808" s="788"/>
      <c r="J808" s="788"/>
      <c r="K808" s="788"/>
      <c r="L808" s="790"/>
      <c r="M808" s="791"/>
      <c r="N808" s="479"/>
    </row>
    <row r="809" spans="1:14" hidden="1" x14ac:dyDescent="0.2">
      <c r="A809" s="778" t="s">
        <v>493</v>
      </c>
      <c r="B809" s="370" t="s">
        <v>572</v>
      </c>
      <c r="C809" s="247" t="s">
        <v>28</v>
      </c>
      <c r="D809" s="376" t="s">
        <v>135</v>
      </c>
      <c r="E809" s="788">
        <v>0</v>
      </c>
      <c r="F809" s="374" t="s">
        <v>573</v>
      </c>
      <c r="G809" s="789" t="s">
        <v>16</v>
      </c>
      <c r="H809" s="788"/>
      <c r="I809" s="788"/>
      <c r="J809" s="788"/>
      <c r="K809" s="788"/>
      <c r="L809" s="790"/>
      <c r="M809" s="791"/>
      <c r="N809" s="479"/>
    </row>
    <row r="810" spans="1:14" hidden="1" x14ac:dyDescent="0.2">
      <c r="A810" s="778" t="s">
        <v>493</v>
      </c>
      <c r="B810" s="370" t="s">
        <v>572</v>
      </c>
      <c r="C810" s="247" t="s">
        <v>30</v>
      </c>
      <c r="D810" s="376" t="s">
        <v>135</v>
      </c>
      <c r="E810" s="788">
        <v>0</v>
      </c>
      <c r="F810" s="374" t="s">
        <v>573</v>
      </c>
      <c r="G810" s="789" t="s">
        <v>16</v>
      </c>
      <c r="H810" s="788"/>
      <c r="I810" s="788"/>
      <c r="J810" s="788"/>
      <c r="K810" s="788"/>
      <c r="L810" s="790"/>
      <c r="M810" s="791"/>
      <c r="N810" s="479"/>
    </row>
    <row r="811" spans="1:14" hidden="1" x14ac:dyDescent="0.2">
      <c r="A811" s="778" t="s">
        <v>493</v>
      </c>
      <c r="B811" s="370" t="s">
        <v>572</v>
      </c>
      <c r="C811" s="247" t="s">
        <v>32</v>
      </c>
      <c r="D811" s="376" t="s">
        <v>135</v>
      </c>
      <c r="E811" s="780">
        <v>5.8000000000000052E-2</v>
      </c>
      <c r="F811" s="374" t="s">
        <v>573</v>
      </c>
      <c r="G811" s="375" t="s">
        <v>16</v>
      </c>
      <c r="H811" s="376">
        <v>1</v>
      </c>
      <c r="I811" s="376">
        <v>2</v>
      </c>
      <c r="J811" s="376">
        <v>3</v>
      </c>
      <c r="K811" s="376">
        <v>3</v>
      </c>
      <c r="L811" s="377">
        <v>1</v>
      </c>
      <c r="M811" s="396">
        <f>IF( OR( ISBLANK(H811),ISBLANK(I811), ISBLANK(J811), ISBLANK(K811), ISBLANK(L811) ), "", 1.5*SQRT( EXP(2.21*(H811-1)) + EXP(2.21*(I811-1)) + EXP(2.21*(J811-1)) + EXP(2.21*(K811-1)) + EXP(2.21*L811) )/100*2.45 )</f>
        <v>0.50042652380814845</v>
      </c>
      <c r="N811" s="479"/>
    </row>
    <row r="812" spans="1:14" hidden="1" x14ac:dyDescent="0.2">
      <c r="A812" s="778" t="s">
        <v>493</v>
      </c>
      <c r="B812" s="370" t="s">
        <v>572</v>
      </c>
      <c r="C812" s="247" t="s">
        <v>34</v>
      </c>
      <c r="D812" s="376" t="s">
        <v>135</v>
      </c>
      <c r="E812" s="780">
        <v>0.1898</v>
      </c>
      <c r="F812" s="374" t="s">
        <v>573</v>
      </c>
      <c r="G812" s="375" t="s">
        <v>16</v>
      </c>
      <c r="H812" s="376">
        <v>1</v>
      </c>
      <c r="I812" s="376">
        <v>1</v>
      </c>
      <c r="J812" s="376">
        <v>3</v>
      </c>
      <c r="K812" s="376">
        <v>3</v>
      </c>
      <c r="L812" s="377">
        <v>1</v>
      </c>
      <c r="M812" s="396">
        <f>IF( OR( ISBLANK(H812),ISBLANK(I812), ISBLANK(J812), ISBLANK(K812), ISBLANK(L812) ), "", 1.5*SQRT( EXP(2.21*(H812-1)) + EXP(2.21*(I812-1)) + EXP(2.21*(J812-1)) + EXP(2.21*(K812-1)) + EXP(2.21*L812) )/100*2.45 )</f>
        <v>0.48935255543384243</v>
      </c>
      <c r="N812" s="479"/>
    </row>
    <row r="813" spans="1:14" hidden="1" x14ac:dyDescent="0.2">
      <c r="A813" s="778" t="s">
        <v>493</v>
      </c>
      <c r="B813" s="370" t="s">
        <v>572</v>
      </c>
      <c r="C813" s="247" t="s">
        <v>36</v>
      </c>
      <c r="D813" s="376" t="s">
        <v>135</v>
      </c>
      <c r="E813" s="780">
        <v>5.6300000000000017E-2</v>
      </c>
      <c r="F813" s="374" t="s">
        <v>573</v>
      </c>
      <c r="G813" s="375" t="s">
        <v>16</v>
      </c>
      <c r="H813" s="376">
        <v>1</v>
      </c>
      <c r="I813" s="376">
        <v>2</v>
      </c>
      <c r="J813" s="376">
        <v>3</v>
      </c>
      <c r="K813" s="376">
        <v>3</v>
      </c>
      <c r="L813" s="377">
        <v>1</v>
      </c>
      <c r="M813" s="396">
        <f>IF( OR( ISBLANK(H813),ISBLANK(I813), ISBLANK(J813), ISBLANK(K813), ISBLANK(L813) ), "", 1.5*SQRT( EXP(2.21*(H813-1)) + EXP(2.21*(I813-1)) + EXP(2.21*(J813-1)) + EXP(2.21*(K813-1)) + EXP(2.21*L813) )/100*2.45 )</f>
        <v>0.50042652380814845</v>
      </c>
      <c r="N813" s="479"/>
    </row>
    <row r="814" spans="1:14" hidden="1" x14ac:dyDescent="0.2">
      <c r="A814" s="778" t="s">
        <v>493</v>
      </c>
      <c r="B814" s="370" t="s">
        <v>572</v>
      </c>
      <c r="C814" s="247" t="s">
        <v>37</v>
      </c>
      <c r="D814" s="376" t="s">
        <v>135</v>
      </c>
      <c r="E814" s="780">
        <v>0.113</v>
      </c>
      <c r="F814" s="374" t="s">
        <v>574</v>
      </c>
      <c r="G814" s="375" t="s">
        <v>16</v>
      </c>
      <c r="H814" s="376">
        <v>1</v>
      </c>
      <c r="I814" s="376">
        <v>1</v>
      </c>
      <c r="J814" s="376">
        <v>3</v>
      </c>
      <c r="K814" s="376">
        <v>3</v>
      </c>
      <c r="L814" s="377">
        <v>1</v>
      </c>
      <c r="M814" s="396">
        <f>IF( OR( ISBLANK(H814),ISBLANK(I814), ISBLANK(J814), ISBLANK(K814), ISBLANK(L814) ), "", 1.5*SQRT( EXP(2.21*(H814-1)) + EXP(2.21*(I814-1)) + EXP(2.21*(J814-1)) + EXP(2.21*(K814-1)) + EXP(2.21*L814) )/100*2.45 )</f>
        <v>0.48935255543384243</v>
      </c>
      <c r="N814" s="479"/>
    </row>
    <row r="815" spans="1:14" hidden="1" x14ac:dyDescent="0.2">
      <c r="A815" s="778" t="s">
        <v>493</v>
      </c>
      <c r="B815" s="370" t="s">
        <v>572</v>
      </c>
      <c r="C815" s="247" t="s">
        <v>39</v>
      </c>
      <c r="D815" s="376" t="s">
        <v>135</v>
      </c>
      <c r="E815" s="788">
        <v>0</v>
      </c>
      <c r="F815" s="374" t="s">
        <v>573</v>
      </c>
      <c r="G815" s="789" t="s">
        <v>16</v>
      </c>
      <c r="H815" s="788"/>
      <c r="I815" s="788"/>
      <c r="J815" s="788"/>
      <c r="K815" s="788"/>
      <c r="L815" s="790"/>
      <c r="M815" s="791"/>
      <c r="N815" s="479"/>
    </row>
    <row r="816" spans="1:14" hidden="1" x14ac:dyDescent="0.2">
      <c r="A816" s="778" t="s">
        <v>493</v>
      </c>
      <c r="B816" s="370" t="s">
        <v>572</v>
      </c>
      <c r="C816" s="247" t="s">
        <v>40</v>
      </c>
      <c r="D816" s="376" t="s">
        <v>135</v>
      </c>
      <c r="E816" s="780">
        <v>0.2056</v>
      </c>
      <c r="F816" s="374" t="s">
        <v>573</v>
      </c>
      <c r="G816" s="375" t="s">
        <v>16</v>
      </c>
      <c r="H816" s="376">
        <v>1</v>
      </c>
      <c r="I816" s="376">
        <v>1</v>
      </c>
      <c r="J816" s="376">
        <v>3</v>
      </c>
      <c r="K816" s="376">
        <v>3</v>
      </c>
      <c r="L816" s="377">
        <v>1</v>
      </c>
      <c r="M816" s="396">
        <f>IF( OR( ISBLANK(H816),ISBLANK(I816), ISBLANK(J816), ISBLANK(K816), ISBLANK(L816) ), "", 1.5*SQRT( EXP(2.21*(H816-1)) + EXP(2.21*(I816-1)) + EXP(2.21*(J816-1)) + EXP(2.21*(K816-1)) + EXP(2.21*L816) )/100*2.45 )</f>
        <v>0.48935255543384243</v>
      </c>
      <c r="N816" s="479"/>
    </row>
    <row r="817" spans="1:14" hidden="1" x14ac:dyDescent="0.2">
      <c r="A817" s="778" t="s">
        <v>493</v>
      </c>
      <c r="B817" s="370" t="s">
        <v>572</v>
      </c>
      <c r="C817" s="247" t="s">
        <v>41</v>
      </c>
      <c r="D817" s="376" t="s">
        <v>135</v>
      </c>
      <c r="E817" s="780">
        <v>1.500000000000001E-2</v>
      </c>
      <c r="F817" s="374" t="s">
        <v>573</v>
      </c>
      <c r="G817" s="375" t="s">
        <v>16</v>
      </c>
      <c r="H817" s="376">
        <v>1</v>
      </c>
      <c r="I817" s="376">
        <v>2</v>
      </c>
      <c r="J817" s="376">
        <v>3</v>
      </c>
      <c r="K817" s="376">
        <v>3</v>
      </c>
      <c r="L817" s="377">
        <v>1</v>
      </c>
      <c r="M817" s="396">
        <f>IF( OR( ISBLANK(H817),ISBLANK(I817), ISBLANK(J817), ISBLANK(K817), ISBLANK(L817) ), "", 1.5*SQRT( EXP(2.21*(H817-1)) + EXP(2.21*(I817-1)) + EXP(2.21*(J817-1)) + EXP(2.21*(K817-1)) + EXP(2.21*L817) )/100*2.45 )</f>
        <v>0.50042652380814845</v>
      </c>
      <c r="N817" s="479"/>
    </row>
    <row r="818" spans="1:14" hidden="1" x14ac:dyDescent="0.2">
      <c r="A818" s="778" t="s">
        <v>493</v>
      </c>
      <c r="B818" s="370" t="s">
        <v>572</v>
      </c>
      <c r="C818" s="247" t="s">
        <v>42</v>
      </c>
      <c r="D818" s="376" t="s">
        <v>135</v>
      </c>
      <c r="E818" s="788">
        <v>0</v>
      </c>
      <c r="F818" s="374" t="s">
        <v>573</v>
      </c>
      <c r="G818" s="789" t="s">
        <v>16</v>
      </c>
      <c r="H818" s="788"/>
      <c r="I818" s="788"/>
      <c r="J818" s="788"/>
      <c r="K818" s="788"/>
      <c r="L818" s="790"/>
      <c r="M818" s="791"/>
      <c r="N818" s="479"/>
    </row>
    <row r="819" spans="1:14" hidden="1" x14ac:dyDescent="0.2">
      <c r="A819" s="778" t="s">
        <v>493</v>
      </c>
      <c r="B819" s="370" t="s">
        <v>572</v>
      </c>
      <c r="C819" s="247" t="s">
        <v>43</v>
      </c>
      <c r="D819" s="376" t="s">
        <v>135</v>
      </c>
      <c r="E819" s="788">
        <v>0</v>
      </c>
      <c r="F819" s="374" t="s">
        <v>573</v>
      </c>
      <c r="G819" s="789" t="s">
        <v>16</v>
      </c>
      <c r="H819" s="788"/>
      <c r="I819" s="788"/>
      <c r="J819" s="788"/>
      <c r="K819" s="788"/>
      <c r="L819" s="790"/>
      <c r="M819" s="791"/>
      <c r="N819" s="479"/>
    </row>
    <row r="820" spans="1:14" hidden="1" x14ac:dyDescent="0.2">
      <c r="A820" s="778" t="s">
        <v>493</v>
      </c>
      <c r="B820" s="370" t="s">
        <v>572</v>
      </c>
      <c r="C820" s="247" t="s">
        <v>45</v>
      </c>
      <c r="D820" s="376" t="s">
        <v>135</v>
      </c>
      <c r="E820" s="788">
        <v>0</v>
      </c>
      <c r="F820" s="374" t="s">
        <v>573</v>
      </c>
      <c r="G820" s="789" t="s">
        <v>16</v>
      </c>
      <c r="H820" s="788"/>
      <c r="I820" s="788"/>
      <c r="J820" s="788"/>
      <c r="K820" s="788"/>
      <c r="L820" s="790"/>
      <c r="M820" s="791"/>
      <c r="N820" s="479"/>
    </row>
    <row r="821" spans="1:14" hidden="1" x14ac:dyDescent="0.2">
      <c r="A821" s="778" t="s">
        <v>493</v>
      </c>
      <c r="B821" s="370" t="s">
        <v>572</v>
      </c>
      <c r="C821" s="247" t="s">
        <v>46</v>
      </c>
      <c r="D821" s="376" t="s">
        <v>135</v>
      </c>
      <c r="E821" s="780">
        <v>3.5699999999999947E-2</v>
      </c>
      <c r="F821" s="374" t="s">
        <v>573</v>
      </c>
      <c r="G821" s="375" t="s">
        <v>16</v>
      </c>
      <c r="H821" s="376">
        <v>1</v>
      </c>
      <c r="I821" s="376">
        <v>1</v>
      </c>
      <c r="J821" s="376">
        <v>3</v>
      </c>
      <c r="K821" s="376">
        <v>3</v>
      </c>
      <c r="L821" s="377">
        <v>1</v>
      </c>
      <c r="M821" s="396">
        <f t="shared" ref="M821:M826" si="28">IF( OR( ISBLANK(H821),ISBLANK(I821), ISBLANK(J821), ISBLANK(K821), ISBLANK(L821) ), "", 1.5*SQRT( EXP(2.21*(H821-1)) + EXP(2.21*(I821-1)) + EXP(2.21*(J821-1)) + EXP(2.21*(K821-1)) + EXP(2.21*L821) )/100*2.45 )</f>
        <v>0.48935255543384243</v>
      </c>
      <c r="N821" s="479"/>
    </row>
    <row r="822" spans="1:14" hidden="1" x14ac:dyDescent="0.2">
      <c r="A822" s="778" t="s">
        <v>493</v>
      </c>
      <c r="B822" s="370" t="s">
        <v>572</v>
      </c>
      <c r="C822" s="247" t="s">
        <v>48</v>
      </c>
      <c r="D822" s="376" t="s">
        <v>135</v>
      </c>
      <c r="E822" s="780">
        <v>0.15</v>
      </c>
      <c r="F822" s="374" t="s">
        <v>573</v>
      </c>
      <c r="G822" s="375" t="s">
        <v>16</v>
      </c>
      <c r="H822" s="376">
        <v>1</v>
      </c>
      <c r="I822" s="376">
        <v>2</v>
      </c>
      <c r="J822" s="376">
        <v>3</v>
      </c>
      <c r="K822" s="376">
        <v>3</v>
      </c>
      <c r="L822" s="377">
        <v>1</v>
      </c>
      <c r="M822" s="396">
        <f t="shared" si="28"/>
        <v>0.50042652380814845</v>
      </c>
      <c r="N822" s="479"/>
    </row>
    <row r="823" spans="1:14" hidden="1" x14ac:dyDescent="0.2">
      <c r="A823" s="778" t="s">
        <v>493</v>
      </c>
      <c r="B823" s="370" t="s">
        <v>572</v>
      </c>
      <c r="C823" s="247" t="s">
        <v>50</v>
      </c>
      <c r="D823" s="376" t="s">
        <v>135</v>
      </c>
      <c r="E823" s="780">
        <v>0.43400000000000011</v>
      </c>
      <c r="F823" s="374" t="s">
        <v>573</v>
      </c>
      <c r="G823" s="375" t="s">
        <v>16</v>
      </c>
      <c r="H823" s="376">
        <v>1</v>
      </c>
      <c r="I823" s="376">
        <v>1</v>
      </c>
      <c r="J823" s="376">
        <v>3</v>
      </c>
      <c r="K823" s="376">
        <v>3</v>
      </c>
      <c r="L823" s="377">
        <v>1</v>
      </c>
      <c r="M823" s="396">
        <f t="shared" si="28"/>
        <v>0.48935255543384243</v>
      </c>
      <c r="N823" s="479"/>
    </row>
    <row r="824" spans="1:14" hidden="1" x14ac:dyDescent="0.2">
      <c r="A824" s="778" t="s">
        <v>493</v>
      </c>
      <c r="B824" s="370" t="s">
        <v>572</v>
      </c>
      <c r="C824" s="247" t="s">
        <v>52</v>
      </c>
      <c r="D824" s="376" t="s">
        <v>135</v>
      </c>
      <c r="E824" s="780">
        <v>0.30299999999999999</v>
      </c>
      <c r="F824" s="374" t="s">
        <v>574</v>
      </c>
      <c r="G824" s="375" t="s">
        <v>16</v>
      </c>
      <c r="H824" s="376">
        <v>1</v>
      </c>
      <c r="I824" s="376">
        <v>1</v>
      </c>
      <c r="J824" s="376">
        <v>3</v>
      </c>
      <c r="K824" s="376">
        <v>3</v>
      </c>
      <c r="L824" s="377">
        <v>1</v>
      </c>
      <c r="M824" s="396">
        <f t="shared" si="28"/>
        <v>0.48935255543384243</v>
      </c>
      <c r="N824" s="479"/>
    </row>
    <row r="825" spans="1:14" hidden="1" x14ac:dyDescent="0.2">
      <c r="A825" s="778" t="s">
        <v>493</v>
      </c>
      <c r="B825" s="370" t="s">
        <v>572</v>
      </c>
      <c r="C825" s="247" t="s">
        <v>54</v>
      </c>
      <c r="D825" s="376" t="s">
        <v>135</v>
      </c>
      <c r="E825" s="780">
        <v>1.5100000000000001E-2</v>
      </c>
      <c r="F825" s="374" t="s">
        <v>573</v>
      </c>
      <c r="G825" s="375" t="s">
        <v>16</v>
      </c>
      <c r="H825" s="376">
        <v>1</v>
      </c>
      <c r="I825" s="376">
        <v>1</v>
      </c>
      <c r="J825" s="376">
        <v>3</v>
      </c>
      <c r="K825" s="376">
        <v>3</v>
      </c>
      <c r="L825" s="377">
        <v>1</v>
      </c>
      <c r="M825" s="396">
        <f t="shared" si="28"/>
        <v>0.48935255543384243</v>
      </c>
      <c r="N825" s="479"/>
    </row>
    <row r="826" spans="1:14" hidden="1" x14ac:dyDescent="0.2">
      <c r="A826" s="778" t="s">
        <v>493</v>
      </c>
      <c r="B826" s="370" t="s">
        <v>572</v>
      </c>
      <c r="C826" s="247" t="s">
        <v>55</v>
      </c>
      <c r="D826" s="376" t="s">
        <v>135</v>
      </c>
      <c r="E826" s="780">
        <v>0.10630000000000001</v>
      </c>
      <c r="F826" s="374" t="s">
        <v>573</v>
      </c>
      <c r="G826" s="375" t="s">
        <v>16</v>
      </c>
      <c r="H826" s="376">
        <v>1</v>
      </c>
      <c r="I826" s="376">
        <v>2</v>
      </c>
      <c r="J826" s="376">
        <v>3</v>
      </c>
      <c r="K826" s="376">
        <v>3</v>
      </c>
      <c r="L826" s="377">
        <v>1</v>
      </c>
      <c r="M826" s="396">
        <f t="shared" si="28"/>
        <v>0.50042652380814845</v>
      </c>
      <c r="N826" s="479"/>
    </row>
    <row r="827" spans="1:14" hidden="1" x14ac:dyDescent="0.2">
      <c r="A827" s="778" t="s">
        <v>493</v>
      </c>
      <c r="B827" s="370" t="s">
        <v>572</v>
      </c>
      <c r="C827" s="247" t="s">
        <v>57</v>
      </c>
      <c r="D827" s="376" t="s">
        <v>135</v>
      </c>
      <c r="E827" s="788">
        <v>0</v>
      </c>
      <c r="F827" s="374" t="s">
        <v>573</v>
      </c>
      <c r="G827" s="789" t="s">
        <v>16</v>
      </c>
      <c r="H827" s="788"/>
      <c r="I827" s="788"/>
      <c r="J827" s="788"/>
      <c r="K827" s="788"/>
      <c r="L827" s="790"/>
      <c r="M827" s="791"/>
      <c r="N827" s="479"/>
    </row>
    <row r="828" spans="1:14" hidden="1" x14ac:dyDescent="0.2">
      <c r="A828" s="778" t="s">
        <v>493</v>
      </c>
      <c r="B828" s="370" t="s">
        <v>572</v>
      </c>
      <c r="C828" s="247" t="s">
        <v>59</v>
      </c>
      <c r="D828" s="376" t="s">
        <v>135</v>
      </c>
      <c r="E828" s="788">
        <v>0</v>
      </c>
      <c r="F828" s="374" t="s">
        <v>574</v>
      </c>
      <c r="G828" s="789" t="s">
        <v>16</v>
      </c>
      <c r="H828" s="788"/>
      <c r="I828" s="788"/>
      <c r="J828" s="788"/>
      <c r="K828" s="788"/>
      <c r="L828" s="790"/>
      <c r="M828" s="791"/>
      <c r="N828" s="479"/>
    </row>
    <row r="829" spans="1:14" hidden="1" x14ac:dyDescent="0.2">
      <c r="A829" s="778" t="s">
        <v>493</v>
      </c>
      <c r="B829" s="370" t="s">
        <v>572</v>
      </c>
      <c r="C829" s="247" t="s">
        <v>60</v>
      </c>
      <c r="D829" s="376" t="s">
        <v>135</v>
      </c>
      <c r="E829" s="788">
        <v>0</v>
      </c>
      <c r="F829" s="374" t="s">
        <v>574</v>
      </c>
      <c r="G829" s="789" t="s">
        <v>16</v>
      </c>
      <c r="H829" s="788"/>
      <c r="I829" s="788"/>
      <c r="J829" s="788"/>
      <c r="K829" s="788"/>
      <c r="L829" s="790"/>
      <c r="M829" s="791"/>
      <c r="N829" s="792"/>
    </row>
    <row r="830" spans="1:14" x14ac:dyDescent="0.2">
      <c r="A830" s="778" t="s">
        <v>493</v>
      </c>
      <c r="B830" s="370" t="s">
        <v>571</v>
      </c>
      <c r="C830" s="247" t="s">
        <v>13</v>
      </c>
      <c r="D830" s="376" t="s">
        <v>135</v>
      </c>
      <c r="E830" s="788">
        <f t="shared" ref="E830:E859" si="29">1-E800</f>
        <v>1</v>
      </c>
      <c r="F830" s="374" t="s">
        <v>573</v>
      </c>
      <c r="G830" s="789" t="s">
        <v>16</v>
      </c>
      <c r="H830" s="788"/>
      <c r="I830" s="788"/>
      <c r="J830" s="788"/>
      <c r="K830" s="788"/>
      <c r="L830" s="790"/>
      <c r="M830" s="791"/>
      <c r="N830" s="479"/>
    </row>
    <row r="831" spans="1:14" hidden="1" x14ac:dyDescent="0.2">
      <c r="A831" s="778" t="s">
        <v>493</v>
      </c>
      <c r="B831" s="370" t="s">
        <v>571</v>
      </c>
      <c r="C831" s="247" t="s">
        <v>18</v>
      </c>
      <c r="D831" s="376" t="s">
        <v>135</v>
      </c>
      <c r="E831" s="780">
        <f t="shared" si="29"/>
        <v>0.97809999999999997</v>
      </c>
      <c r="F831" s="374" t="s">
        <v>573</v>
      </c>
      <c r="G831" s="375" t="s">
        <v>16</v>
      </c>
      <c r="H831" s="376">
        <v>1</v>
      </c>
      <c r="I831" s="376">
        <v>1</v>
      </c>
      <c r="J831" s="376">
        <v>3</v>
      </c>
      <c r="K831" s="376">
        <v>3</v>
      </c>
      <c r="L831" s="377">
        <v>1</v>
      </c>
      <c r="M831" s="396">
        <f>IF( OR( ISBLANK(H831),ISBLANK(I831), ISBLANK(J831), ISBLANK(K831), ISBLANK(L831) ), "", 1.5*SQRT(   EXP(2.21*(H831-1)) + EXP(2.21*(I831-1)) + EXP(2.21*(J831-1)) + EXP(2.21*(K831-1)) + EXP(2.21*L831)   )/100*2.45 )</f>
        <v>0.48935255543384243</v>
      </c>
      <c r="N831" s="479"/>
    </row>
    <row r="832" spans="1:14" hidden="1" x14ac:dyDescent="0.2">
      <c r="A832" s="778" t="s">
        <v>493</v>
      </c>
      <c r="B832" s="370" t="s">
        <v>571</v>
      </c>
      <c r="C832" s="247" t="s">
        <v>20</v>
      </c>
      <c r="D832" s="376" t="s">
        <v>135</v>
      </c>
      <c r="E832" s="780">
        <f t="shared" si="29"/>
        <v>0.90400000000000003</v>
      </c>
      <c r="F832" s="374" t="s">
        <v>573</v>
      </c>
      <c r="G832" s="375" t="s">
        <v>16</v>
      </c>
      <c r="H832" s="376">
        <v>1</v>
      </c>
      <c r="I832" s="376">
        <v>1</v>
      </c>
      <c r="J832" s="376">
        <v>3</v>
      </c>
      <c r="K832" s="376">
        <v>3</v>
      </c>
      <c r="L832" s="377">
        <v>1</v>
      </c>
      <c r="M832" s="396">
        <f>IF( OR( ISBLANK(H832),ISBLANK(I832), ISBLANK(J832), ISBLANK(K832), ISBLANK(L832) ), "", 1.5*SQRT( EXP(2.21*(H832-1)) + EXP(2.21*(I832-1)) + EXP(2.21*(J832-1)) + EXP(2.21*(K832-1)) + EXP(2.21*L832) )/100*2.45 )</f>
        <v>0.48935255543384243</v>
      </c>
      <c r="N832" s="479"/>
    </row>
    <row r="833" spans="1:14" hidden="1" x14ac:dyDescent="0.2">
      <c r="A833" s="778" t="s">
        <v>493</v>
      </c>
      <c r="B833" s="370" t="s">
        <v>571</v>
      </c>
      <c r="C833" s="247" t="s">
        <v>22</v>
      </c>
      <c r="D833" s="376" t="s">
        <v>135</v>
      </c>
      <c r="E833" s="780">
        <f t="shared" si="29"/>
        <v>0.98299999999999998</v>
      </c>
      <c r="F833" s="374" t="s">
        <v>573</v>
      </c>
      <c r="G833" s="375" t="s">
        <v>16</v>
      </c>
      <c r="H833" s="376">
        <v>1</v>
      </c>
      <c r="I833" s="376">
        <v>1</v>
      </c>
      <c r="J833" s="376">
        <v>3</v>
      </c>
      <c r="K833" s="376">
        <v>3</v>
      </c>
      <c r="L833" s="377">
        <v>1</v>
      </c>
      <c r="M833" s="396">
        <f>IF( OR( ISBLANK(H833),ISBLANK(I833), ISBLANK(J833), ISBLANK(K833), ISBLANK(L833) ), "", 1.5*SQRT( EXP(2.21*(H833-1)) + EXP(2.21*(I833-1)) + EXP(2.21*(J833-1)) + EXP(2.21*(K833-1)) + EXP(2.21*L833) )/100*2.45 )</f>
        <v>0.48935255543384243</v>
      </c>
      <c r="N833" s="479"/>
    </row>
    <row r="834" spans="1:14" hidden="1" x14ac:dyDescent="0.2">
      <c r="A834" s="778" t="s">
        <v>493</v>
      </c>
      <c r="B834" s="370" t="s">
        <v>571</v>
      </c>
      <c r="C834" s="247" t="s">
        <v>23</v>
      </c>
      <c r="D834" s="376" t="s">
        <v>135</v>
      </c>
      <c r="E834" s="780">
        <f t="shared" si="29"/>
        <v>0.82650000000000001</v>
      </c>
      <c r="F834" s="374" t="s">
        <v>573</v>
      </c>
      <c r="G834" s="375" t="s">
        <v>16</v>
      </c>
      <c r="H834" s="376">
        <v>1</v>
      </c>
      <c r="I834" s="376">
        <v>2</v>
      </c>
      <c r="J834" s="376">
        <v>3</v>
      </c>
      <c r="K834" s="376">
        <v>3</v>
      </c>
      <c r="L834" s="377">
        <v>1</v>
      </c>
      <c r="M834" s="396">
        <f>IF( OR( ISBLANK(H834),ISBLANK(I834), ISBLANK(J834), ISBLANK(K834), ISBLANK(L834) ), "", 1.5*SQRT( EXP(2.21*(H834-1)) + EXP(2.21*(I834-1)) + EXP(2.21*(J834-1)) + EXP(2.21*(K834-1)) + EXP(2.21*L834) )/100*2.45 )</f>
        <v>0.50042652380814845</v>
      </c>
      <c r="N834" s="479"/>
    </row>
    <row r="835" spans="1:14" hidden="1" x14ac:dyDescent="0.2">
      <c r="A835" s="778" t="s">
        <v>493</v>
      </c>
      <c r="B835" s="370" t="s">
        <v>571</v>
      </c>
      <c r="C835" s="247" t="s">
        <v>24</v>
      </c>
      <c r="D835" s="376" t="s">
        <v>135</v>
      </c>
      <c r="E835" s="780">
        <f t="shared" si="29"/>
        <v>0.83399999999999996</v>
      </c>
      <c r="F835" s="374" t="s">
        <v>573</v>
      </c>
      <c r="G835" s="375" t="s">
        <v>16</v>
      </c>
      <c r="H835" s="376">
        <v>1</v>
      </c>
      <c r="I835" s="376">
        <v>1</v>
      </c>
      <c r="J835" s="376">
        <v>3</v>
      </c>
      <c r="K835" s="376">
        <v>3</v>
      </c>
      <c r="L835" s="377">
        <v>1</v>
      </c>
      <c r="M835" s="396">
        <f>IF( OR( ISBLANK(H835),ISBLANK(I835), ISBLANK(J835), ISBLANK(K835), ISBLANK(L835) ), "", 1.5*SQRT( EXP(2.21*(H835-1)) + EXP(2.21*(I835-1)) + EXP(2.21*(J835-1)) + EXP(2.21*(K835-1)) + EXP(2.21*L835) )/100*2.45 )</f>
        <v>0.48935255543384243</v>
      </c>
      <c r="N835" s="479"/>
    </row>
    <row r="836" spans="1:14" hidden="1" x14ac:dyDescent="0.2">
      <c r="A836" s="778" t="s">
        <v>493</v>
      </c>
      <c r="B836" s="370" t="s">
        <v>571</v>
      </c>
      <c r="C836" s="247" t="s">
        <v>25</v>
      </c>
      <c r="D836" s="376" t="s">
        <v>135</v>
      </c>
      <c r="E836" s="788">
        <f t="shared" si="29"/>
        <v>1</v>
      </c>
      <c r="F836" s="374" t="s">
        <v>573</v>
      </c>
      <c r="G836" s="789" t="s">
        <v>16</v>
      </c>
      <c r="H836" s="788"/>
      <c r="I836" s="788"/>
      <c r="J836" s="788"/>
      <c r="K836" s="788"/>
      <c r="L836" s="790"/>
      <c r="M836" s="791"/>
      <c r="N836" s="479"/>
    </row>
    <row r="837" spans="1:14" hidden="1" x14ac:dyDescent="0.2">
      <c r="A837" s="778" t="s">
        <v>493</v>
      </c>
      <c r="B837" s="370" t="s">
        <v>571</v>
      </c>
      <c r="C837" s="247" t="s">
        <v>26</v>
      </c>
      <c r="D837" s="376" t="s">
        <v>135</v>
      </c>
      <c r="E837" s="780">
        <f t="shared" si="29"/>
        <v>0.88</v>
      </c>
      <c r="F837" s="374" t="s">
        <v>573</v>
      </c>
      <c r="G837" s="375" t="s">
        <v>16</v>
      </c>
      <c r="H837" s="376">
        <v>1</v>
      </c>
      <c r="I837" s="376">
        <v>2</v>
      </c>
      <c r="J837" s="376">
        <v>3</v>
      </c>
      <c r="K837" s="376">
        <v>3</v>
      </c>
      <c r="L837" s="377">
        <v>1</v>
      </c>
      <c r="M837" s="396">
        <f>IF( OR( ISBLANK(H837),ISBLANK(I837), ISBLANK(J837), ISBLANK(K837), ISBLANK(L837) ), "", 1.5*SQRT(   EXP(2.21*(H837-1)) + EXP(2.21*(I837-1)) + EXP(2.21*(J837-1)) + EXP(2.21*(K837-1)) + EXP(2.21*L837)   )/100*2.45 )</f>
        <v>0.50042652380814845</v>
      </c>
      <c r="N837" s="479"/>
    </row>
    <row r="838" spans="1:14" hidden="1" x14ac:dyDescent="0.2">
      <c r="A838" s="778" t="s">
        <v>493</v>
      </c>
      <c r="B838" s="370" t="s">
        <v>571</v>
      </c>
      <c r="C838" s="247" t="s">
        <v>27</v>
      </c>
      <c r="D838" s="376" t="s">
        <v>135</v>
      </c>
      <c r="E838" s="788">
        <f t="shared" si="29"/>
        <v>1</v>
      </c>
      <c r="F838" s="374" t="s">
        <v>573</v>
      </c>
      <c r="G838" s="789" t="s">
        <v>16</v>
      </c>
      <c r="H838" s="788"/>
      <c r="I838" s="788"/>
      <c r="J838" s="788"/>
      <c r="K838" s="788"/>
      <c r="L838" s="790"/>
      <c r="M838" s="791"/>
      <c r="N838" s="479"/>
    </row>
    <row r="839" spans="1:14" hidden="1" x14ac:dyDescent="0.2">
      <c r="A839" s="778" t="s">
        <v>493</v>
      </c>
      <c r="B839" s="370" t="s">
        <v>571</v>
      </c>
      <c r="C839" s="247" t="s">
        <v>28</v>
      </c>
      <c r="D839" s="376" t="s">
        <v>135</v>
      </c>
      <c r="E839" s="788">
        <f t="shared" si="29"/>
        <v>1</v>
      </c>
      <c r="F839" s="374" t="s">
        <v>573</v>
      </c>
      <c r="G839" s="789" t="s">
        <v>16</v>
      </c>
      <c r="H839" s="788"/>
      <c r="I839" s="788"/>
      <c r="J839" s="788"/>
      <c r="K839" s="788"/>
      <c r="L839" s="790"/>
      <c r="M839" s="791"/>
      <c r="N839" s="479"/>
    </row>
    <row r="840" spans="1:14" hidden="1" x14ac:dyDescent="0.2">
      <c r="A840" s="778" t="s">
        <v>493</v>
      </c>
      <c r="B840" s="370" t="s">
        <v>571</v>
      </c>
      <c r="C840" s="247" t="s">
        <v>30</v>
      </c>
      <c r="D840" s="376" t="s">
        <v>135</v>
      </c>
      <c r="E840" s="788">
        <f t="shared" si="29"/>
        <v>1</v>
      </c>
      <c r="F840" s="374" t="s">
        <v>573</v>
      </c>
      <c r="G840" s="789" t="s">
        <v>16</v>
      </c>
      <c r="H840" s="788"/>
      <c r="I840" s="788"/>
      <c r="J840" s="788"/>
      <c r="K840" s="788"/>
      <c r="L840" s="790"/>
      <c r="M840" s="791"/>
      <c r="N840" s="479"/>
    </row>
    <row r="841" spans="1:14" hidden="1" x14ac:dyDescent="0.2">
      <c r="A841" s="778" t="s">
        <v>493</v>
      </c>
      <c r="B841" s="370" t="s">
        <v>571</v>
      </c>
      <c r="C841" s="247" t="s">
        <v>32</v>
      </c>
      <c r="D841" s="376" t="s">
        <v>135</v>
      </c>
      <c r="E841" s="780">
        <f t="shared" si="29"/>
        <v>0.94199999999999995</v>
      </c>
      <c r="F841" s="374" t="s">
        <v>573</v>
      </c>
      <c r="G841" s="375" t="s">
        <v>16</v>
      </c>
      <c r="H841" s="376">
        <v>1</v>
      </c>
      <c r="I841" s="376">
        <v>2</v>
      </c>
      <c r="J841" s="376">
        <v>3</v>
      </c>
      <c r="K841" s="376">
        <v>3</v>
      </c>
      <c r="L841" s="377">
        <v>1</v>
      </c>
      <c r="M841" s="396">
        <f>IF( OR( ISBLANK(H841),ISBLANK(I841), ISBLANK(J841), ISBLANK(K841), ISBLANK(L841) ), "", 1.5*SQRT(   EXP(2.21*(H841-1)) + EXP(2.21*(I841-1)) + EXP(2.21*(J841-1)) + EXP(2.21*(K841-1)) + EXP(2.21*L841)   )/100*2.45 )</f>
        <v>0.50042652380814845</v>
      </c>
      <c r="N841" s="479"/>
    </row>
    <row r="842" spans="1:14" hidden="1" x14ac:dyDescent="0.2">
      <c r="A842" s="778" t="s">
        <v>493</v>
      </c>
      <c r="B842" s="370" t="s">
        <v>571</v>
      </c>
      <c r="C842" s="247" t="s">
        <v>34</v>
      </c>
      <c r="D842" s="376" t="s">
        <v>135</v>
      </c>
      <c r="E842" s="780">
        <f t="shared" si="29"/>
        <v>0.81020000000000003</v>
      </c>
      <c r="F842" s="374" t="s">
        <v>573</v>
      </c>
      <c r="G842" s="375" t="s">
        <v>16</v>
      </c>
      <c r="H842" s="376">
        <v>1</v>
      </c>
      <c r="I842" s="376">
        <v>1</v>
      </c>
      <c r="J842" s="376">
        <v>3</v>
      </c>
      <c r="K842" s="376">
        <v>3</v>
      </c>
      <c r="L842" s="377">
        <v>1</v>
      </c>
      <c r="M842" s="396">
        <f>IF( OR( ISBLANK(H842),ISBLANK(I842), ISBLANK(J842), ISBLANK(K842), ISBLANK(L842) ), "", 1.5*SQRT( EXP(2.21*(H842-1)) + EXP(2.21*(I842-1)) + EXP(2.21*(J842-1)) + EXP(2.21*(K842-1)) + EXP(2.21*L842) )/100*2.45 )</f>
        <v>0.48935255543384243</v>
      </c>
      <c r="N842" s="479"/>
    </row>
    <row r="843" spans="1:14" hidden="1" x14ac:dyDescent="0.2">
      <c r="A843" s="778" t="s">
        <v>493</v>
      </c>
      <c r="B843" s="370" t="s">
        <v>571</v>
      </c>
      <c r="C843" s="247" t="s">
        <v>36</v>
      </c>
      <c r="D843" s="376" t="s">
        <v>135</v>
      </c>
      <c r="E843" s="780">
        <f t="shared" si="29"/>
        <v>0.94369999999999998</v>
      </c>
      <c r="F843" s="374" t="s">
        <v>573</v>
      </c>
      <c r="G843" s="375" t="s">
        <v>16</v>
      </c>
      <c r="H843" s="376">
        <v>1</v>
      </c>
      <c r="I843" s="376">
        <v>2</v>
      </c>
      <c r="J843" s="376">
        <v>3</v>
      </c>
      <c r="K843" s="376">
        <v>3</v>
      </c>
      <c r="L843" s="377">
        <v>1</v>
      </c>
      <c r="M843" s="396">
        <f>IF( OR( ISBLANK(H843),ISBLANK(I843), ISBLANK(J843), ISBLANK(K843), ISBLANK(L843) ), "", 1.5*SQRT( EXP(2.21*(H843-1)) + EXP(2.21*(I843-1)) + EXP(2.21*(J843-1)) + EXP(2.21*(K843-1)) + EXP(2.21*L843) )/100*2.45 )</f>
        <v>0.50042652380814845</v>
      </c>
      <c r="N843" s="479"/>
    </row>
    <row r="844" spans="1:14" hidden="1" x14ac:dyDescent="0.2">
      <c r="A844" s="778" t="s">
        <v>493</v>
      </c>
      <c r="B844" s="370" t="s">
        <v>571</v>
      </c>
      <c r="C844" s="247" t="s">
        <v>37</v>
      </c>
      <c r="D844" s="376" t="s">
        <v>135</v>
      </c>
      <c r="E844" s="780">
        <f t="shared" si="29"/>
        <v>0.88700000000000001</v>
      </c>
      <c r="F844" s="374" t="s">
        <v>574</v>
      </c>
      <c r="G844" s="375" t="s">
        <v>16</v>
      </c>
      <c r="H844" s="376">
        <v>1</v>
      </c>
      <c r="I844" s="376">
        <v>1</v>
      </c>
      <c r="J844" s="376">
        <v>3</v>
      </c>
      <c r="K844" s="376">
        <v>3</v>
      </c>
      <c r="L844" s="377">
        <v>1</v>
      </c>
      <c r="M844" s="396">
        <f>IF( OR( ISBLANK(H844),ISBLANK(I844), ISBLANK(J844), ISBLANK(K844), ISBLANK(L844) ), "", 1.5*SQRT( EXP(2.21*(H844-1)) + EXP(2.21*(I844-1)) + EXP(2.21*(J844-1)) + EXP(2.21*(K844-1)) + EXP(2.21*L844) )/100*2.45 )</f>
        <v>0.48935255543384243</v>
      </c>
      <c r="N844" s="479"/>
    </row>
    <row r="845" spans="1:14" hidden="1" x14ac:dyDescent="0.2">
      <c r="A845" s="778" t="s">
        <v>493</v>
      </c>
      <c r="B845" s="370" t="s">
        <v>571</v>
      </c>
      <c r="C845" s="247" t="s">
        <v>39</v>
      </c>
      <c r="D845" s="376" t="s">
        <v>135</v>
      </c>
      <c r="E845" s="788">
        <f t="shared" si="29"/>
        <v>1</v>
      </c>
      <c r="F845" s="374" t="s">
        <v>573</v>
      </c>
      <c r="G845" s="789" t="s">
        <v>16</v>
      </c>
      <c r="H845" s="788"/>
      <c r="I845" s="788"/>
      <c r="J845" s="788"/>
      <c r="K845" s="788"/>
      <c r="L845" s="790"/>
      <c r="M845" s="791"/>
      <c r="N845" s="479"/>
    </row>
    <row r="846" spans="1:14" hidden="1" x14ac:dyDescent="0.2">
      <c r="A846" s="778" t="s">
        <v>493</v>
      </c>
      <c r="B846" s="370" t="s">
        <v>571</v>
      </c>
      <c r="C846" s="247" t="s">
        <v>40</v>
      </c>
      <c r="D846" s="376" t="s">
        <v>135</v>
      </c>
      <c r="E846" s="780">
        <f t="shared" si="29"/>
        <v>0.7944</v>
      </c>
      <c r="F846" s="374" t="s">
        <v>573</v>
      </c>
      <c r="G846" s="375" t="s">
        <v>16</v>
      </c>
      <c r="H846" s="376">
        <v>1</v>
      </c>
      <c r="I846" s="376">
        <v>1</v>
      </c>
      <c r="J846" s="376">
        <v>3</v>
      </c>
      <c r="K846" s="376">
        <v>3</v>
      </c>
      <c r="L846" s="377">
        <v>1</v>
      </c>
      <c r="M846" s="396">
        <f>IF( OR( ISBLANK(H846),ISBLANK(I846), ISBLANK(J846), ISBLANK(K846), ISBLANK(L846) ), "", 1.5*SQRT(   EXP(2.21*(H846-1)) + EXP(2.21*(I846-1)) + EXP(2.21*(J846-1)) + EXP(2.21*(K846-1)) + EXP(2.21*L846)   )/100*2.45 )</f>
        <v>0.48935255543384243</v>
      </c>
      <c r="N846" s="479"/>
    </row>
    <row r="847" spans="1:14" hidden="1" x14ac:dyDescent="0.2">
      <c r="A847" s="778" t="s">
        <v>493</v>
      </c>
      <c r="B847" s="370" t="s">
        <v>571</v>
      </c>
      <c r="C847" s="247" t="s">
        <v>41</v>
      </c>
      <c r="D847" s="376" t="s">
        <v>135</v>
      </c>
      <c r="E847" s="780">
        <f t="shared" si="29"/>
        <v>0.98499999999999999</v>
      </c>
      <c r="F847" s="374" t="s">
        <v>573</v>
      </c>
      <c r="G847" s="375" t="s">
        <v>16</v>
      </c>
      <c r="H847" s="376">
        <v>1</v>
      </c>
      <c r="I847" s="376">
        <v>2</v>
      </c>
      <c r="J847" s="376">
        <v>3</v>
      </c>
      <c r="K847" s="376">
        <v>3</v>
      </c>
      <c r="L847" s="377">
        <v>1</v>
      </c>
      <c r="M847" s="396">
        <f>IF( OR( ISBLANK(H847),ISBLANK(I847), ISBLANK(J847), ISBLANK(K847), ISBLANK(L847) ), "", 1.5*SQRT( EXP(2.21*(H847-1)) + EXP(2.21*(I847-1)) + EXP(2.21*(J847-1)) + EXP(2.21*(K847-1)) + EXP(2.21*L847) )/100*2.45 )</f>
        <v>0.50042652380814845</v>
      </c>
      <c r="N847" s="479"/>
    </row>
    <row r="848" spans="1:14" hidden="1" x14ac:dyDescent="0.2">
      <c r="A848" s="778" t="s">
        <v>493</v>
      </c>
      <c r="B848" s="370" t="s">
        <v>571</v>
      </c>
      <c r="C848" s="247" t="s">
        <v>42</v>
      </c>
      <c r="D848" s="376" t="s">
        <v>135</v>
      </c>
      <c r="E848" s="788">
        <f t="shared" si="29"/>
        <v>1</v>
      </c>
      <c r="F848" s="374" t="s">
        <v>573</v>
      </c>
      <c r="G848" s="789" t="s">
        <v>16</v>
      </c>
      <c r="H848" s="788"/>
      <c r="I848" s="788"/>
      <c r="J848" s="788"/>
      <c r="K848" s="788"/>
      <c r="L848" s="790"/>
      <c r="M848" s="791"/>
      <c r="N848" s="479"/>
    </row>
    <row r="849" spans="1:14" hidden="1" x14ac:dyDescent="0.2">
      <c r="A849" s="778" t="s">
        <v>493</v>
      </c>
      <c r="B849" s="370" t="s">
        <v>571</v>
      </c>
      <c r="C849" s="247" t="s">
        <v>43</v>
      </c>
      <c r="D849" s="376" t="s">
        <v>135</v>
      </c>
      <c r="E849" s="788">
        <f t="shared" si="29"/>
        <v>1</v>
      </c>
      <c r="F849" s="374" t="s">
        <v>573</v>
      </c>
      <c r="G849" s="789" t="s">
        <v>16</v>
      </c>
      <c r="H849" s="788"/>
      <c r="I849" s="788"/>
      <c r="J849" s="788"/>
      <c r="K849" s="788"/>
      <c r="L849" s="790"/>
      <c r="M849" s="791"/>
      <c r="N849" s="479"/>
    </row>
    <row r="850" spans="1:14" hidden="1" x14ac:dyDescent="0.2">
      <c r="A850" s="778" t="s">
        <v>493</v>
      </c>
      <c r="B850" s="370" t="s">
        <v>571</v>
      </c>
      <c r="C850" s="247" t="s">
        <v>45</v>
      </c>
      <c r="D850" s="376" t="s">
        <v>135</v>
      </c>
      <c r="E850" s="788">
        <f t="shared" si="29"/>
        <v>1</v>
      </c>
      <c r="F850" s="374" t="s">
        <v>573</v>
      </c>
      <c r="G850" s="789" t="s">
        <v>16</v>
      </c>
      <c r="H850" s="788"/>
      <c r="I850" s="788"/>
      <c r="J850" s="788"/>
      <c r="K850" s="788"/>
      <c r="L850" s="790"/>
      <c r="M850" s="791"/>
      <c r="N850" s="479"/>
    </row>
    <row r="851" spans="1:14" hidden="1" x14ac:dyDescent="0.2">
      <c r="A851" s="778" t="s">
        <v>493</v>
      </c>
      <c r="B851" s="370" t="s">
        <v>571</v>
      </c>
      <c r="C851" s="247" t="s">
        <v>46</v>
      </c>
      <c r="D851" s="376" t="s">
        <v>135</v>
      </c>
      <c r="E851" s="780">
        <f t="shared" si="29"/>
        <v>0.96430000000000005</v>
      </c>
      <c r="F851" s="374" t="s">
        <v>573</v>
      </c>
      <c r="G851" s="375" t="s">
        <v>16</v>
      </c>
      <c r="H851" s="376">
        <v>1</v>
      </c>
      <c r="I851" s="376">
        <v>1</v>
      </c>
      <c r="J851" s="376">
        <v>3</v>
      </c>
      <c r="K851" s="376">
        <v>3</v>
      </c>
      <c r="L851" s="377">
        <v>1</v>
      </c>
      <c r="M851" s="396">
        <f>IF( OR( ISBLANK(H851),ISBLANK(I851), ISBLANK(J851), ISBLANK(K851), ISBLANK(L851) ), "", 1.5*SQRT(   EXP(2.21*(H851-1)) + EXP(2.21*(I851-1)) + EXP(2.21*(J851-1)) + EXP(2.21*(K851-1)) + EXP(2.21*L851)   )/100*2.45 )</f>
        <v>0.48935255543384243</v>
      </c>
      <c r="N851" s="479"/>
    </row>
    <row r="852" spans="1:14" hidden="1" x14ac:dyDescent="0.2">
      <c r="A852" s="778" t="s">
        <v>493</v>
      </c>
      <c r="B852" s="370" t="s">
        <v>571</v>
      </c>
      <c r="C852" s="247" t="s">
        <v>48</v>
      </c>
      <c r="D852" s="376" t="s">
        <v>135</v>
      </c>
      <c r="E852" s="780">
        <f t="shared" si="29"/>
        <v>0.85</v>
      </c>
      <c r="F852" s="374" t="s">
        <v>573</v>
      </c>
      <c r="G852" s="375" t="s">
        <v>16</v>
      </c>
      <c r="H852" s="376">
        <v>1</v>
      </c>
      <c r="I852" s="376">
        <v>2</v>
      </c>
      <c r="J852" s="376">
        <v>3</v>
      </c>
      <c r="K852" s="376">
        <v>3</v>
      </c>
      <c r="L852" s="377">
        <v>1</v>
      </c>
      <c r="M852" s="396">
        <f>IF( OR( ISBLANK(H852),ISBLANK(I852), ISBLANK(J852), ISBLANK(K852), ISBLANK(L852) ), "", 1.5*SQRT( EXP(2.21*(H852-1)) + EXP(2.21*(I852-1)) + EXP(2.21*(J852-1)) + EXP(2.21*(K852-1)) + EXP(2.21*L852) )/100*2.45 )</f>
        <v>0.50042652380814845</v>
      </c>
      <c r="N852" s="479"/>
    </row>
    <row r="853" spans="1:14" hidden="1" x14ac:dyDescent="0.2">
      <c r="A853" s="778" t="s">
        <v>493</v>
      </c>
      <c r="B853" s="370" t="s">
        <v>571</v>
      </c>
      <c r="C853" s="247" t="s">
        <v>50</v>
      </c>
      <c r="D853" s="376" t="s">
        <v>135</v>
      </c>
      <c r="E853" s="780">
        <f t="shared" si="29"/>
        <v>0.56599999999999984</v>
      </c>
      <c r="F853" s="374" t="s">
        <v>573</v>
      </c>
      <c r="G853" s="375" t="s">
        <v>16</v>
      </c>
      <c r="H853" s="376">
        <v>1</v>
      </c>
      <c r="I853" s="376">
        <v>1</v>
      </c>
      <c r="J853" s="376">
        <v>3</v>
      </c>
      <c r="K853" s="376">
        <v>3</v>
      </c>
      <c r="L853" s="377">
        <v>1</v>
      </c>
      <c r="M853" s="396">
        <f>IF( OR( ISBLANK(H853),ISBLANK(I853), ISBLANK(J853), ISBLANK(K853), ISBLANK(L853) ), "", 1.5*SQRT( EXP(2.21*(H853-1)) + EXP(2.21*(I853-1)) + EXP(2.21*(J853-1)) + EXP(2.21*(K853-1)) + EXP(2.21*L853) )/100*2.45 )</f>
        <v>0.48935255543384243</v>
      </c>
      <c r="N853" s="479"/>
    </row>
    <row r="854" spans="1:14" hidden="1" x14ac:dyDescent="0.2">
      <c r="A854" s="778" t="s">
        <v>493</v>
      </c>
      <c r="B854" s="370" t="s">
        <v>571</v>
      </c>
      <c r="C854" s="247" t="s">
        <v>52</v>
      </c>
      <c r="D854" s="376" t="s">
        <v>135</v>
      </c>
      <c r="E854" s="780">
        <f t="shared" si="29"/>
        <v>0.69700000000000006</v>
      </c>
      <c r="F854" s="374" t="s">
        <v>574</v>
      </c>
      <c r="G854" s="375" t="s">
        <v>16</v>
      </c>
      <c r="H854" s="376">
        <v>1</v>
      </c>
      <c r="I854" s="376">
        <v>1</v>
      </c>
      <c r="J854" s="376">
        <v>3</v>
      </c>
      <c r="K854" s="376">
        <v>3</v>
      </c>
      <c r="L854" s="377">
        <v>1</v>
      </c>
      <c r="M854" s="396">
        <f>IF( OR( ISBLANK(H854),ISBLANK(I854), ISBLANK(J854), ISBLANK(K854), ISBLANK(L854) ), "", 1.5*SQRT( EXP(2.21*(H854-1)) + EXP(2.21*(I854-1)) + EXP(2.21*(J854-1)) + EXP(2.21*(K854-1)) + EXP(2.21*L854) )/100*2.45 )</f>
        <v>0.48935255543384243</v>
      </c>
      <c r="N854" s="479"/>
    </row>
    <row r="855" spans="1:14" hidden="1" x14ac:dyDescent="0.2">
      <c r="A855" s="778" t="s">
        <v>493</v>
      </c>
      <c r="B855" s="370" t="s">
        <v>571</v>
      </c>
      <c r="C855" s="247" t="s">
        <v>54</v>
      </c>
      <c r="D855" s="376" t="s">
        <v>135</v>
      </c>
      <c r="E855" s="780">
        <f t="shared" si="29"/>
        <v>0.9849</v>
      </c>
      <c r="F855" s="374" t="s">
        <v>573</v>
      </c>
      <c r="G855" s="375" t="s">
        <v>16</v>
      </c>
      <c r="H855" s="376">
        <v>1</v>
      </c>
      <c r="I855" s="376">
        <v>1</v>
      </c>
      <c r="J855" s="376">
        <v>3</v>
      </c>
      <c r="K855" s="376">
        <v>3</v>
      </c>
      <c r="L855" s="377">
        <v>1</v>
      </c>
      <c r="M855" s="396">
        <f>IF( OR( ISBLANK(H855),ISBLANK(I855), ISBLANK(J855), ISBLANK(K855), ISBLANK(L855) ), "", 1.5*SQRT( EXP(2.21*(H855-1)) + EXP(2.21*(I855-1)) + EXP(2.21*(J855-1)) + EXP(2.21*(K855-1)) + EXP(2.21*L855) )/100*2.45 )</f>
        <v>0.48935255543384243</v>
      </c>
      <c r="N855" s="479"/>
    </row>
    <row r="856" spans="1:14" hidden="1" x14ac:dyDescent="0.2">
      <c r="A856" s="778" t="s">
        <v>493</v>
      </c>
      <c r="B856" s="370" t="s">
        <v>571</v>
      </c>
      <c r="C856" s="247" t="s">
        <v>55</v>
      </c>
      <c r="D856" s="376" t="s">
        <v>135</v>
      </c>
      <c r="E856" s="780">
        <f t="shared" si="29"/>
        <v>0.89369999999999994</v>
      </c>
      <c r="F856" s="374" t="s">
        <v>573</v>
      </c>
      <c r="G856" s="375" t="s">
        <v>16</v>
      </c>
      <c r="H856" s="376">
        <v>1</v>
      </c>
      <c r="I856" s="376">
        <v>2</v>
      </c>
      <c r="J856" s="376">
        <v>3</v>
      </c>
      <c r="K856" s="376">
        <v>3</v>
      </c>
      <c r="L856" s="377">
        <v>1</v>
      </c>
      <c r="M856" s="396">
        <f>IF( OR( ISBLANK(H856),ISBLANK(I856), ISBLANK(J856), ISBLANK(K856), ISBLANK(L856) ), "", 1.5*SQRT( EXP(2.21*(H856-1)) + EXP(2.21*(I856-1)) + EXP(2.21*(J856-1)) + EXP(2.21*(K856-1)) + EXP(2.21*L856) )/100*2.45 )</f>
        <v>0.50042652380814845</v>
      </c>
      <c r="N856" s="479"/>
    </row>
    <row r="857" spans="1:14" hidden="1" x14ac:dyDescent="0.2">
      <c r="A857" s="778" t="s">
        <v>493</v>
      </c>
      <c r="B857" s="370" t="s">
        <v>571</v>
      </c>
      <c r="C857" s="247" t="s">
        <v>57</v>
      </c>
      <c r="D857" s="376" t="s">
        <v>135</v>
      </c>
      <c r="E857" s="788">
        <f t="shared" si="29"/>
        <v>1</v>
      </c>
      <c r="F857" s="374" t="s">
        <v>573</v>
      </c>
      <c r="G857" s="789" t="s">
        <v>16</v>
      </c>
      <c r="H857" s="788"/>
      <c r="I857" s="788"/>
      <c r="J857" s="788"/>
      <c r="K857" s="788"/>
      <c r="L857" s="790"/>
      <c r="M857" s="791"/>
      <c r="N857" s="479"/>
    </row>
    <row r="858" spans="1:14" hidden="1" x14ac:dyDescent="0.2">
      <c r="A858" s="778" t="s">
        <v>493</v>
      </c>
      <c r="B858" s="370" t="s">
        <v>571</v>
      </c>
      <c r="C858" s="247" t="s">
        <v>59</v>
      </c>
      <c r="D858" s="376" t="s">
        <v>135</v>
      </c>
      <c r="E858" s="788">
        <f t="shared" si="29"/>
        <v>1</v>
      </c>
      <c r="F858" s="374" t="s">
        <v>574</v>
      </c>
      <c r="G858" s="789" t="s">
        <v>16</v>
      </c>
      <c r="H858" s="788"/>
      <c r="I858" s="788"/>
      <c r="J858" s="788"/>
      <c r="K858" s="788"/>
      <c r="L858" s="790"/>
      <c r="M858" s="791"/>
      <c r="N858" s="479"/>
    </row>
    <row r="859" spans="1:14" hidden="1" x14ac:dyDescent="0.2">
      <c r="A859" s="777" t="s">
        <v>493</v>
      </c>
      <c r="B859" s="786" t="s">
        <v>571</v>
      </c>
      <c r="C859" s="287" t="s">
        <v>60</v>
      </c>
      <c r="D859" s="398" t="s">
        <v>135</v>
      </c>
      <c r="E859" s="793">
        <f t="shared" si="29"/>
        <v>1</v>
      </c>
      <c r="F859" s="399" t="s">
        <v>574</v>
      </c>
      <c r="G859" s="794" t="s">
        <v>16</v>
      </c>
      <c r="H859" s="793"/>
      <c r="I859" s="793"/>
      <c r="J859" s="793"/>
      <c r="K859" s="793"/>
      <c r="L859" s="795"/>
      <c r="M859" s="796"/>
      <c r="N859" s="512"/>
    </row>
    <row r="860" spans="1:14" x14ac:dyDescent="0.2">
      <c r="A860" s="778" t="s">
        <v>452</v>
      </c>
      <c r="B860" s="370" t="s">
        <v>575</v>
      </c>
      <c r="C860" s="247" t="s">
        <v>13</v>
      </c>
      <c r="D860" s="376" t="s">
        <v>135</v>
      </c>
      <c r="E860" s="788">
        <v>0</v>
      </c>
      <c r="F860" s="374" t="s">
        <v>573</v>
      </c>
      <c r="G860" s="789" t="s">
        <v>16</v>
      </c>
      <c r="H860" s="788"/>
      <c r="I860" s="788"/>
      <c r="J860" s="788"/>
      <c r="K860" s="788"/>
      <c r="L860" s="790"/>
      <c r="M860" s="791"/>
      <c r="N860" s="479"/>
    </row>
    <row r="861" spans="1:14" hidden="1" x14ac:dyDescent="0.2">
      <c r="A861" s="778" t="s">
        <v>452</v>
      </c>
      <c r="B861" s="370" t="s">
        <v>575</v>
      </c>
      <c r="C861" s="247" t="s">
        <v>18</v>
      </c>
      <c r="D861" s="376" t="s">
        <v>135</v>
      </c>
      <c r="E861" s="780">
        <v>2.1900000000000031E-2</v>
      </c>
      <c r="F861" s="374" t="s">
        <v>573</v>
      </c>
      <c r="G861" s="375" t="s">
        <v>16</v>
      </c>
      <c r="H861" s="376">
        <v>1</v>
      </c>
      <c r="I861" s="376">
        <v>1</v>
      </c>
      <c r="J861" s="376">
        <v>3</v>
      </c>
      <c r="K861" s="376">
        <v>3</v>
      </c>
      <c r="L861" s="377">
        <v>1</v>
      </c>
      <c r="M861" s="396">
        <f>IF( OR( ISBLANK(H861),ISBLANK(I861), ISBLANK(J861), ISBLANK(K861), ISBLANK(L861) ), "", 1.5*SQRT( EXP(2.21*(H861-1)) + EXP(2.21*(I861-1)) + EXP(2.21*(J861-1)) + EXP(2.21*(K861-1)) + EXP(2.21*L861) )/100*2.45 )</f>
        <v>0.48935255543384243</v>
      </c>
      <c r="N861" s="479"/>
    </row>
    <row r="862" spans="1:14" hidden="1" x14ac:dyDescent="0.2">
      <c r="A862" s="778" t="s">
        <v>452</v>
      </c>
      <c r="B862" s="370" t="s">
        <v>575</v>
      </c>
      <c r="C862" s="247" t="s">
        <v>20</v>
      </c>
      <c r="D862" s="376" t="s">
        <v>135</v>
      </c>
      <c r="E862" s="780">
        <v>9.5999999999999974E-2</v>
      </c>
      <c r="F862" s="374" t="s">
        <v>573</v>
      </c>
      <c r="G862" s="375" t="s">
        <v>16</v>
      </c>
      <c r="H862" s="376">
        <v>1</v>
      </c>
      <c r="I862" s="376">
        <v>1</v>
      </c>
      <c r="J862" s="376">
        <v>3</v>
      </c>
      <c r="K862" s="376">
        <v>3</v>
      </c>
      <c r="L862" s="377">
        <v>1</v>
      </c>
      <c r="M862" s="396">
        <f>IF( OR( ISBLANK(H862),ISBLANK(I862), ISBLANK(J862), ISBLANK(K862), ISBLANK(L862) ), "", 1.5*SQRT( EXP(2.21*(H862-1)) + EXP(2.21*(I862-1)) + EXP(2.21*(J862-1)) + EXP(2.21*(K862-1)) + EXP(2.21*L862) )/100*2.45 )</f>
        <v>0.48935255543384243</v>
      </c>
      <c r="N862" s="479"/>
    </row>
    <row r="863" spans="1:14" hidden="1" x14ac:dyDescent="0.2">
      <c r="A863" s="778" t="s">
        <v>452</v>
      </c>
      <c r="B863" s="370" t="s">
        <v>575</v>
      </c>
      <c r="C863" s="247" t="s">
        <v>22</v>
      </c>
      <c r="D863" s="376" t="s">
        <v>135</v>
      </c>
      <c r="E863" s="780">
        <v>1.7000000000000019E-2</v>
      </c>
      <c r="F863" s="374" t="s">
        <v>573</v>
      </c>
      <c r="G863" s="375" t="s">
        <v>16</v>
      </c>
      <c r="H863" s="376">
        <v>1</v>
      </c>
      <c r="I863" s="376">
        <v>1</v>
      </c>
      <c r="J863" s="376">
        <v>3</v>
      </c>
      <c r="K863" s="376">
        <v>3</v>
      </c>
      <c r="L863" s="377">
        <v>1</v>
      </c>
      <c r="M863" s="396">
        <f>IF( OR( ISBLANK(H863),ISBLANK(I863), ISBLANK(J863), ISBLANK(K863), ISBLANK(L863) ), "", 1.5*SQRT( EXP(2.21*(H863-1)) + EXP(2.21*(I863-1)) + EXP(2.21*(J863-1)) + EXP(2.21*(K863-1)) + EXP(2.21*L863) )/100*2.45 )</f>
        <v>0.48935255543384243</v>
      </c>
      <c r="N863" s="479"/>
    </row>
    <row r="864" spans="1:14" hidden="1" x14ac:dyDescent="0.2">
      <c r="A864" s="778" t="s">
        <v>452</v>
      </c>
      <c r="B864" s="370" t="s">
        <v>575</v>
      </c>
      <c r="C864" s="247" t="s">
        <v>23</v>
      </c>
      <c r="D864" s="376" t="s">
        <v>135</v>
      </c>
      <c r="E864" s="780">
        <v>0.17349999999999999</v>
      </c>
      <c r="F864" s="374" t="s">
        <v>573</v>
      </c>
      <c r="G864" s="375" t="s">
        <v>16</v>
      </c>
      <c r="H864" s="376">
        <v>1</v>
      </c>
      <c r="I864" s="376">
        <v>2</v>
      </c>
      <c r="J864" s="376">
        <v>3</v>
      </c>
      <c r="K864" s="376">
        <v>3</v>
      </c>
      <c r="L864" s="377">
        <v>1</v>
      </c>
      <c r="M864" s="396">
        <f>IF( OR( ISBLANK(H864),ISBLANK(I864), ISBLANK(J864), ISBLANK(K864), ISBLANK(L864) ), "", 1.5*SQRT( EXP(2.21*(H864-1)) + EXP(2.21*(I864-1)) + EXP(2.21*(J864-1)) + EXP(2.21*(K864-1)) + EXP(2.21*L864) )/100*2.45 )</f>
        <v>0.50042652380814845</v>
      </c>
      <c r="N864" s="479"/>
    </row>
    <row r="865" spans="1:14" hidden="1" x14ac:dyDescent="0.2">
      <c r="A865" s="778" t="s">
        <v>452</v>
      </c>
      <c r="B865" s="370" t="s">
        <v>575</v>
      </c>
      <c r="C865" s="247" t="s">
        <v>24</v>
      </c>
      <c r="D865" s="376" t="s">
        <v>135</v>
      </c>
      <c r="E865" s="780">
        <v>0.16600000000000001</v>
      </c>
      <c r="F865" s="374" t="s">
        <v>573</v>
      </c>
      <c r="G865" s="375" t="s">
        <v>16</v>
      </c>
      <c r="H865" s="376">
        <v>1</v>
      </c>
      <c r="I865" s="376">
        <v>1</v>
      </c>
      <c r="J865" s="376">
        <v>3</v>
      </c>
      <c r="K865" s="376">
        <v>3</v>
      </c>
      <c r="L865" s="377">
        <v>1</v>
      </c>
      <c r="M865" s="396">
        <f>IF( OR( ISBLANK(H865),ISBLANK(I865), ISBLANK(J865), ISBLANK(K865), ISBLANK(L865) ), "", 1.5*SQRT( EXP(2.21*(H865-1)) + EXP(2.21*(I865-1)) + EXP(2.21*(J865-1)) + EXP(2.21*(K865-1)) + EXP(2.21*L865) )/100*2.45 )</f>
        <v>0.48935255543384243</v>
      </c>
      <c r="N865" s="479"/>
    </row>
    <row r="866" spans="1:14" hidden="1" x14ac:dyDescent="0.2">
      <c r="A866" s="778" t="s">
        <v>452</v>
      </c>
      <c r="B866" s="370" t="s">
        <v>575</v>
      </c>
      <c r="C866" s="247" t="s">
        <v>25</v>
      </c>
      <c r="D866" s="376" t="s">
        <v>135</v>
      </c>
      <c r="E866" s="788">
        <v>0</v>
      </c>
      <c r="F866" s="374" t="s">
        <v>573</v>
      </c>
      <c r="G866" s="789" t="s">
        <v>16</v>
      </c>
      <c r="H866" s="788"/>
      <c r="I866" s="788"/>
      <c r="J866" s="788"/>
      <c r="K866" s="788"/>
      <c r="L866" s="790"/>
      <c r="M866" s="791"/>
      <c r="N866" s="479"/>
    </row>
    <row r="867" spans="1:14" hidden="1" x14ac:dyDescent="0.2">
      <c r="A867" s="778" t="s">
        <v>452</v>
      </c>
      <c r="B867" s="370" t="s">
        <v>575</v>
      </c>
      <c r="C867" s="247" t="s">
        <v>26</v>
      </c>
      <c r="D867" s="376" t="s">
        <v>135</v>
      </c>
      <c r="E867" s="780">
        <v>0.12</v>
      </c>
      <c r="F867" s="374" t="s">
        <v>573</v>
      </c>
      <c r="G867" s="375" t="s">
        <v>16</v>
      </c>
      <c r="H867" s="376">
        <v>1</v>
      </c>
      <c r="I867" s="376">
        <v>2</v>
      </c>
      <c r="J867" s="376">
        <v>3</v>
      </c>
      <c r="K867" s="376">
        <v>3</v>
      </c>
      <c r="L867" s="377">
        <v>1</v>
      </c>
      <c r="M867" s="396">
        <f>IF( OR( ISBLANK(H867),ISBLANK(I867), ISBLANK(J867), ISBLANK(K867), ISBLANK(L867) ), "", 1.5*SQRT( EXP(2.21*(H867-1)) + EXP(2.21*(I867-1)) + EXP(2.21*(J867-1)) + EXP(2.21*(K867-1)) + EXP(2.21*L867) )/100*2.45 )</f>
        <v>0.50042652380814845</v>
      </c>
      <c r="N867" s="479"/>
    </row>
    <row r="868" spans="1:14" hidden="1" x14ac:dyDescent="0.2">
      <c r="A868" s="778" t="s">
        <v>452</v>
      </c>
      <c r="B868" s="370" t="s">
        <v>575</v>
      </c>
      <c r="C868" s="247" t="s">
        <v>27</v>
      </c>
      <c r="D868" s="376" t="s">
        <v>135</v>
      </c>
      <c r="E868" s="788">
        <v>0</v>
      </c>
      <c r="F868" s="374" t="s">
        <v>573</v>
      </c>
      <c r="G868" s="789" t="s">
        <v>16</v>
      </c>
      <c r="H868" s="788"/>
      <c r="I868" s="788"/>
      <c r="J868" s="788"/>
      <c r="K868" s="788"/>
      <c r="L868" s="790"/>
      <c r="M868" s="791"/>
      <c r="N868" s="479"/>
    </row>
    <row r="869" spans="1:14" hidden="1" x14ac:dyDescent="0.2">
      <c r="A869" s="778" t="s">
        <v>452</v>
      </c>
      <c r="B869" s="370" t="s">
        <v>575</v>
      </c>
      <c r="C869" s="247" t="s">
        <v>28</v>
      </c>
      <c r="D869" s="376" t="s">
        <v>135</v>
      </c>
      <c r="E869" s="788">
        <v>0</v>
      </c>
      <c r="F869" s="374" t="s">
        <v>573</v>
      </c>
      <c r="G869" s="789" t="s">
        <v>16</v>
      </c>
      <c r="H869" s="788"/>
      <c r="I869" s="788"/>
      <c r="J869" s="788"/>
      <c r="K869" s="788"/>
      <c r="L869" s="790"/>
      <c r="M869" s="791"/>
      <c r="N869" s="479"/>
    </row>
    <row r="870" spans="1:14" hidden="1" x14ac:dyDescent="0.2">
      <c r="A870" s="778" t="s">
        <v>452</v>
      </c>
      <c r="B870" s="370" t="s">
        <v>575</v>
      </c>
      <c r="C870" s="247" t="s">
        <v>30</v>
      </c>
      <c r="D870" s="376" t="s">
        <v>135</v>
      </c>
      <c r="E870" s="788">
        <v>0</v>
      </c>
      <c r="F870" s="374" t="s">
        <v>573</v>
      </c>
      <c r="G870" s="789" t="s">
        <v>16</v>
      </c>
      <c r="H870" s="788"/>
      <c r="I870" s="788"/>
      <c r="J870" s="788"/>
      <c r="K870" s="788"/>
      <c r="L870" s="790"/>
      <c r="M870" s="791"/>
      <c r="N870" s="479"/>
    </row>
    <row r="871" spans="1:14" hidden="1" x14ac:dyDescent="0.2">
      <c r="A871" s="778" t="s">
        <v>452</v>
      </c>
      <c r="B871" s="370" t="s">
        <v>575</v>
      </c>
      <c r="C871" s="247" t="s">
        <v>32</v>
      </c>
      <c r="D871" s="376" t="s">
        <v>135</v>
      </c>
      <c r="E871" s="780">
        <v>5.8000000000000052E-2</v>
      </c>
      <c r="F871" s="374" t="s">
        <v>573</v>
      </c>
      <c r="G871" s="375" t="s">
        <v>16</v>
      </c>
      <c r="H871" s="376">
        <v>1</v>
      </c>
      <c r="I871" s="376">
        <v>2</v>
      </c>
      <c r="J871" s="376">
        <v>3</v>
      </c>
      <c r="K871" s="376">
        <v>3</v>
      </c>
      <c r="L871" s="377">
        <v>1</v>
      </c>
      <c r="M871" s="396">
        <f>IF( OR( ISBLANK(H871),ISBLANK(I871), ISBLANK(J871), ISBLANK(K871), ISBLANK(L871) ), "", 1.5*SQRT( EXP(2.21*(H871-1)) + EXP(2.21*(I871-1)) + EXP(2.21*(J871-1)) + EXP(2.21*(K871-1)) + EXP(2.21*L871) )/100*2.45 )</f>
        <v>0.50042652380814845</v>
      </c>
      <c r="N871" s="479"/>
    </row>
    <row r="872" spans="1:14" hidden="1" x14ac:dyDescent="0.2">
      <c r="A872" s="778" t="s">
        <v>452</v>
      </c>
      <c r="B872" s="370" t="s">
        <v>575</v>
      </c>
      <c r="C872" s="247" t="s">
        <v>34</v>
      </c>
      <c r="D872" s="376" t="s">
        <v>135</v>
      </c>
      <c r="E872" s="780">
        <v>0.1898</v>
      </c>
      <c r="F872" s="374" t="s">
        <v>573</v>
      </c>
      <c r="G872" s="375" t="s">
        <v>16</v>
      </c>
      <c r="H872" s="376">
        <v>1</v>
      </c>
      <c r="I872" s="376">
        <v>1</v>
      </c>
      <c r="J872" s="376">
        <v>3</v>
      </c>
      <c r="K872" s="376">
        <v>3</v>
      </c>
      <c r="L872" s="377">
        <v>1</v>
      </c>
      <c r="M872" s="396">
        <f>IF( OR( ISBLANK(H872),ISBLANK(I872), ISBLANK(J872), ISBLANK(K872), ISBLANK(L872) ), "", 1.5*SQRT( EXP(2.21*(H872-1)) + EXP(2.21*(I872-1)) + EXP(2.21*(J872-1)) + EXP(2.21*(K872-1)) + EXP(2.21*L872) )/100*2.45 )</f>
        <v>0.48935255543384243</v>
      </c>
      <c r="N872" s="479"/>
    </row>
    <row r="873" spans="1:14" hidden="1" x14ac:dyDescent="0.2">
      <c r="A873" s="778" t="s">
        <v>452</v>
      </c>
      <c r="B873" s="370" t="s">
        <v>575</v>
      </c>
      <c r="C873" s="247" t="s">
        <v>36</v>
      </c>
      <c r="D873" s="376" t="s">
        <v>135</v>
      </c>
      <c r="E873" s="780">
        <v>5.6300000000000017E-2</v>
      </c>
      <c r="F873" s="374" t="s">
        <v>573</v>
      </c>
      <c r="G873" s="375" t="s">
        <v>16</v>
      </c>
      <c r="H873" s="376">
        <v>1</v>
      </c>
      <c r="I873" s="376">
        <v>2</v>
      </c>
      <c r="J873" s="376">
        <v>3</v>
      </c>
      <c r="K873" s="376">
        <v>3</v>
      </c>
      <c r="L873" s="377">
        <v>1</v>
      </c>
      <c r="M873" s="396">
        <f>IF( OR( ISBLANK(H873),ISBLANK(I873), ISBLANK(J873), ISBLANK(K873), ISBLANK(L873) ), "", 1.5*SQRT( EXP(2.21*(H873-1)) + EXP(2.21*(I873-1)) + EXP(2.21*(J873-1)) + EXP(2.21*(K873-1)) + EXP(2.21*L873) )/100*2.45 )</f>
        <v>0.50042652380814845</v>
      </c>
      <c r="N873" s="479"/>
    </row>
    <row r="874" spans="1:14" hidden="1" x14ac:dyDescent="0.2">
      <c r="A874" s="778" t="s">
        <v>452</v>
      </c>
      <c r="B874" s="370" t="s">
        <v>575</v>
      </c>
      <c r="C874" s="247" t="s">
        <v>37</v>
      </c>
      <c r="D874" s="376" t="s">
        <v>135</v>
      </c>
      <c r="E874" s="780">
        <v>0.113</v>
      </c>
      <c r="F874" s="374" t="s">
        <v>574</v>
      </c>
      <c r="G874" s="375" t="s">
        <v>16</v>
      </c>
      <c r="H874" s="376">
        <v>1</v>
      </c>
      <c r="I874" s="376">
        <v>1</v>
      </c>
      <c r="J874" s="376">
        <v>3</v>
      </c>
      <c r="K874" s="376">
        <v>3</v>
      </c>
      <c r="L874" s="377">
        <v>1</v>
      </c>
      <c r="M874" s="396">
        <f>IF( OR( ISBLANK(H874),ISBLANK(I874), ISBLANK(J874), ISBLANK(K874), ISBLANK(L874) ), "", 1.5*SQRT( EXP(2.21*(H874-1)) + EXP(2.21*(I874-1)) + EXP(2.21*(J874-1)) + EXP(2.21*(K874-1)) + EXP(2.21*L874) )/100*2.45 )</f>
        <v>0.48935255543384243</v>
      </c>
      <c r="N874" s="479"/>
    </row>
    <row r="875" spans="1:14" hidden="1" x14ac:dyDescent="0.2">
      <c r="A875" s="778" t="s">
        <v>452</v>
      </c>
      <c r="B875" s="370" t="s">
        <v>575</v>
      </c>
      <c r="C875" s="247" t="s">
        <v>39</v>
      </c>
      <c r="D875" s="376" t="s">
        <v>135</v>
      </c>
      <c r="E875" s="788">
        <v>0</v>
      </c>
      <c r="F875" s="374" t="s">
        <v>573</v>
      </c>
      <c r="G875" s="789" t="s">
        <v>16</v>
      </c>
      <c r="H875" s="788"/>
      <c r="I875" s="788"/>
      <c r="J875" s="788"/>
      <c r="K875" s="788"/>
      <c r="L875" s="790"/>
      <c r="M875" s="791"/>
      <c r="N875" s="479"/>
    </row>
    <row r="876" spans="1:14" hidden="1" x14ac:dyDescent="0.2">
      <c r="A876" s="778" t="s">
        <v>452</v>
      </c>
      <c r="B876" s="370" t="s">
        <v>575</v>
      </c>
      <c r="C876" s="247" t="s">
        <v>40</v>
      </c>
      <c r="D876" s="376" t="s">
        <v>135</v>
      </c>
      <c r="E876" s="780">
        <v>0.2056</v>
      </c>
      <c r="F876" s="374" t="s">
        <v>573</v>
      </c>
      <c r="G876" s="375" t="s">
        <v>16</v>
      </c>
      <c r="H876" s="376">
        <v>1</v>
      </c>
      <c r="I876" s="376">
        <v>1</v>
      </c>
      <c r="J876" s="376">
        <v>3</v>
      </c>
      <c r="K876" s="376">
        <v>3</v>
      </c>
      <c r="L876" s="377">
        <v>1</v>
      </c>
      <c r="M876" s="396">
        <f>IF( OR( ISBLANK(H876),ISBLANK(I876), ISBLANK(J876), ISBLANK(K876), ISBLANK(L876) ), "", 1.5*SQRT( EXP(2.21*(H876-1)) + EXP(2.21*(I876-1)) + EXP(2.21*(J876-1)) + EXP(2.21*(K876-1)) + EXP(2.21*L876) )/100*2.45 )</f>
        <v>0.48935255543384243</v>
      </c>
      <c r="N876" s="479"/>
    </row>
    <row r="877" spans="1:14" hidden="1" x14ac:dyDescent="0.2">
      <c r="A877" s="778" t="s">
        <v>452</v>
      </c>
      <c r="B877" s="370" t="s">
        <v>575</v>
      </c>
      <c r="C877" s="247" t="s">
        <v>41</v>
      </c>
      <c r="D877" s="376" t="s">
        <v>135</v>
      </c>
      <c r="E877" s="780">
        <v>1.500000000000001E-2</v>
      </c>
      <c r="F877" s="374" t="s">
        <v>573</v>
      </c>
      <c r="G877" s="375" t="s">
        <v>16</v>
      </c>
      <c r="H877" s="376">
        <v>1</v>
      </c>
      <c r="I877" s="376">
        <v>2</v>
      </c>
      <c r="J877" s="376">
        <v>3</v>
      </c>
      <c r="K877" s="376">
        <v>3</v>
      </c>
      <c r="L877" s="377">
        <v>1</v>
      </c>
      <c r="M877" s="396">
        <f>IF( OR( ISBLANK(H877),ISBLANK(I877), ISBLANK(J877), ISBLANK(K877), ISBLANK(L877) ), "", 1.5*SQRT( EXP(2.21*(H877-1)) + EXP(2.21*(I877-1)) + EXP(2.21*(J877-1)) + EXP(2.21*(K877-1)) + EXP(2.21*L877) )/100*2.45 )</f>
        <v>0.50042652380814845</v>
      </c>
      <c r="N877" s="479"/>
    </row>
    <row r="878" spans="1:14" hidden="1" x14ac:dyDescent="0.2">
      <c r="A878" s="778" t="s">
        <v>452</v>
      </c>
      <c r="B878" s="370" t="s">
        <v>575</v>
      </c>
      <c r="C878" s="247" t="s">
        <v>42</v>
      </c>
      <c r="D878" s="376" t="s">
        <v>135</v>
      </c>
      <c r="E878" s="788">
        <v>0</v>
      </c>
      <c r="F878" s="374" t="s">
        <v>573</v>
      </c>
      <c r="G878" s="789" t="s">
        <v>16</v>
      </c>
      <c r="H878" s="788"/>
      <c r="I878" s="788"/>
      <c r="J878" s="788"/>
      <c r="K878" s="788"/>
      <c r="L878" s="790"/>
      <c r="M878" s="791"/>
      <c r="N878" s="479"/>
    </row>
    <row r="879" spans="1:14" hidden="1" x14ac:dyDescent="0.2">
      <c r="A879" s="778" t="s">
        <v>452</v>
      </c>
      <c r="B879" s="370" t="s">
        <v>575</v>
      </c>
      <c r="C879" s="247" t="s">
        <v>43</v>
      </c>
      <c r="D879" s="376" t="s">
        <v>135</v>
      </c>
      <c r="E879" s="788">
        <v>0</v>
      </c>
      <c r="F879" s="374" t="s">
        <v>573</v>
      </c>
      <c r="G879" s="789" t="s">
        <v>16</v>
      </c>
      <c r="H879" s="788"/>
      <c r="I879" s="788"/>
      <c r="J879" s="788"/>
      <c r="K879" s="788"/>
      <c r="L879" s="790"/>
      <c r="M879" s="791"/>
      <c r="N879" s="479"/>
    </row>
    <row r="880" spans="1:14" hidden="1" x14ac:dyDescent="0.2">
      <c r="A880" s="778" t="s">
        <v>452</v>
      </c>
      <c r="B880" s="370" t="s">
        <v>575</v>
      </c>
      <c r="C880" s="247" t="s">
        <v>45</v>
      </c>
      <c r="D880" s="376" t="s">
        <v>135</v>
      </c>
      <c r="E880" s="788">
        <v>0</v>
      </c>
      <c r="F880" s="374" t="s">
        <v>573</v>
      </c>
      <c r="G880" s="789" t="s">
        <v>16</v>
      </c>
      <c r="H880" s="788"/>
      <c r="I880" s="788"/>
      <c r="J880" s="788"/>
      <c r="K880" s="788"/>
      <c r="L880" s="790"/>
      <c r="M880" s="791"/>
      <c r="N880" s="479"/>
    </row>
    <row r="881" spans="1:14" hidden="1" x14ac:dyDescent="0.2">
      <c r="A881" s="778" t="s">
        <v>452</v>
      </c>
      <c r="B881" s="370" t="s">
        <v>575</v>
      </c>
      <c r="C881" s="247" t="s">
        <v>46</v>
      </c>
      <c r="D881" s="376" t="s">
        <v>135</v>
      </c>
      <c r="E881" s="780">
        <v>3.5699999999999947E-2</v>
      </c>
      <c r="F881" s="374" t="s">
        <v>573</v>
      </c>
      <c r="G881" s="375" t="s">
        <v>16</v>
      </c>
      <c r="H881" s="376">
        <v>1</v>
      </c>
      <c r="I881" s="376">
        <v>1</v>
      </c>
      <c r="J881" s="376">
        <v>3</v>
      </c>
      <c r="K881" s="376">
        <v>3</v>
      </c>
      <c r="L881" s="377">
        <v>1</v>
      </c>
      <c r="M881" s="396">
        <f t="shared" ref="M881:M886" si="30">IF( OR( ISBLANK(H881),ISBLANK(I881), ISBLANK(J881), ISBLANK(K881), ISBLANK(L881) ), "", 1.5*SQRT( EXP(2.21*(H881-1)) + EXP(2.21*(I881-1)) + EXP(2.21*(J881-1)) + EXP(2.21*(K881-1)) + EXP(2.21*L881) )/100*2.45 )</f>
        <v>0.48935255543384243</v>
      </c>
      <c r="N881" s="479"/>
    </row>
    <row r="882" spans="1:14" hidden="1" x14ac:dyDescent="0.2">
      <c r="A882" s="778" t="s">
        <v>452</v>
      </c>
      <c r="B882" s="370" t="s">
        <v>575</v>
      </c>
      <c r="C882" s="247" t="s">
        <v>48</v>
      </c>
      <c r="D882" s="376" t="s">
        <v>135</v>
      </c>
      <c r="E882" s="780">
        <v>0.15</v>
      </c>
      <c r="F882" s="374" t="s">
        <v>573</v>
      </c>
      <c r="G882" s="375" t="s">
        <v>16</v>
      </c>
      <c r="H882" s="376">
        <v>1</v>
      </c>
      <c r="I882" s="376">
        <v>2</v>
      </c>
      <c r="J882" s="376">
        <v>3</v>
      </c>
      <c r="K882" s="376">
        <v>3</v>
      </c>
      <c r="L882" s="377">
        <v>1</v>
      </c>
      <c r="M882" s="396">
        <f t="shared" si="30"/>
        <v>0.50042652380814845</v>
      </c>
      <c r="N882" s="479"/>
    </row>
    <row r="883" spans="1:14" hidden="1" x14ac:dyDescent="0.2">
      <c r="A883" s="778" t="s">
        <v>452</v>
      </c>
      <c r="B883" s="370" t="s">
        <v>575</v>
      </c>
      <c r="C883" s="247" t="s">
        <v>50</v>
      </c>
      <c r="D883" s="376" t="s">
        <v>135</v>
      </c>
      <c r="E883" s="780">
        <v>0.43400000000000011</v>
      </c>
      <c r="F883" s="374" t="s">
        <v>573</v>
      </c>
      <c r="G883" s="375" t="s">
        <v>16</v>
      </c>
      <c r="H883" s="376">
        <v>1</v>
      </c>
      <c r="I883" s="376">
        <v>1</v>
      </c>
      <c r="J883" s="376">
        <v>3</v>
      </c>
      <c r="K883" s="376">
        <v>3</v>
      </c>
      <c r="L883" s="377">
        <v>1</v>
      </c>
      <c r="M883" s="396">
        <f t="shared" si="30"/>
        <v>0.48935255543384243</v>
      </c>
      <c r="N883" s="479"/>
    </row>
    <row r="884" spans="1:14" hidden="1" x14ac:dyDescent="0.2">
      <c r="A884" s="778" t="s">
        <v>452</v>
      </c>
      <c r="B884" s="370" t="s">
        <v>575</v>
      </c>
      <c r="C884" s="247" t="s">
        <v>52</v>
      </c>
      <c r="D884" s="376" t="s">
        <v>135</v>
      </c>
      <c r="E884" s="780">
        <v>0.30299999999999999</v>
      </c>
      <c r="F884" s="374" t="s">
        <v>574</v>
      </c>
      <c r="G884" s="375" t="s">
        <v>16</v>
      </c>
      <c r="H884" s="376">
        <v>1</v>
      </c>
      <c r="I884" s="376">
        <v>1</v>
      </c>
      <c r="J884" s="376">
        <v>3</v>
      </c>
      <c r="K884" s="376">
        <v>3</v>
      </c>
      <c r="L884" s="377">
        <v>1</v>
      </c>
      <c r="M884" s="396">
        <f t="shared" si="30"/>
        <v>0.48935255543384243</v>
      </c>
      <c r="N884" s="479"/>
    </row>
    <row r="885" spans="1:14" hidden="1" x14ac:dyDescent="0.2">
      <c r="A885" s="778" t="s">
        <v>452</v>
      </c>
      <c r="B885" s="370" t="s">
        <v>575</v>
      </c>
      <c r="C885" s="247" t="s">
        <v>54</v>
      </c>
      <c r="D885" s="376" t="s">
        <v>135</v>
      </c>
      <c r="E885" s="780">
        <v>1.5100000000000001E-2</v>
      </c>
      <c r="F885" s="374" t="s">
        <v>573</v>
      </c>
      <c r="G885" s="375" t="s">
        <v>16</v>
      </c>
      <c r="H885" s="376">
        <v>1</v>
      </c>
      <c r="I885" s="376">
        <v>1</v>
      </c>
      <c r="J885" s="376">
        <v>3</v>
      </c>
      <c r="K885" s="376">
        <v>3</v>
      </c>
      <c r="L885" s="377">
        <v>1</v>
      </c>
      <c r="M885" s="396">
        <f t="shared" si="30"/>
        <v>0.48935255543384243</v>
      </c>
      <c r="N885" s="479"/>
    </row>
    <row r="886" spans="1:14" hidden="1" x14ac:dyDescent="0.2">
      <c r="A886" s="778" t="s">
        <v>452</v>
      </c>
      <c r="B886" s="370" t="s">
        <v>575</v>
      </c>
      <c r="C886" s="247" t="s">
        <v>55</v>
      </c>
      <c r="D886" s="376" t="s">
        <v>135</v>
      </c>
      <c r="E886" s="780">
        <v>0.10630000000000001</v>
      </c>
      <c r="F886" s="374" t="s">
        <v>573</v>
      </c>
      <c r="G886" s="375" t="s">
        <v>16</v>
      </c>
      <c r="H886" s="376">
        <v>1</v>
      </c>
      <c r="I886" s="376">
        <v>2</v>
      </c>
      <c r="J886" s="376">
        <v>3</v>
      </c>
      <c r="K886" s="376">
        <v>3</v>
      </c>
      <c r="L886" s="377">
        <v>1</v>
      </c>
      <c r="M886" s="396">
        <f t="shared" si="30"/>
        <v>0.50042652380814845</v>
      </c>
      <c r="N886" s="479"/>
    </row>
    <row r="887" spans="1:14" hidden="1" x14ac:dyDescent="0.2">
      <c r="A887" s="778" t="s">
        <v>452</v>
      </c>
      <c r="B887" s="370" t="s">
        <v>575</v>
      </c>
      <c r="C887" s="247" t="s">
        <v>57</v>
      </c>
      <c r="D887" s="376" t="s">
        <v>135</v>
      </c>
      <c r="E887" s="788">
        <v>0</v>
      </c>
      <c r="F887" s="374" t="s">
        <v>573</v>
      </c>
      <c r="G887" s="789" t="s">
        <v>16</v>
      </c>
      <c r="H887" s="788"/>
      <c r="I887" s="788"/>
      <c r="J887" s="788"/>
      <c r="K887" s="788"/>
      <c r="L887" s="790"/>
      <c r="M887" s="791"/>
      <c r="N887" s="479"/>
    </row>
    <row r="888" spans="1:14" hidden="1" x14ac:dyDescent="0.2">
      <c r="A888" s="778" t="s">
        <v>452</v>
      </c>
      <c r="B888" s="370" t="s">
        <v>575</v>
      </c>
      <c r="C888" s="247" t="s">
        <v>59</v>
      </c>
      <c r="D888" s="376" t="s">
        <v>135</v>
      </c>
      <c r="E888" s="788">
        <v>0</v>
      </c>
      <c r="F888" s="374" t="s">
        <v>574</v>
      </c>
      <c r="G888" s="789" t="s">
        <v>16</v>
      </c>
      <c r="H888" s="788"/>
      <c r="I888" s="788"/>
      <c r="J888" s="788"/>
      <c r="K888" s="788"/>
      <c r="L888" s="790"/>
      <c r="M888" s="791"/>
      <c r="N888" s="479"/>
    </row>
    <row r="889" spans="1:14" hidden="1" x14ac:dyDescent="0.2">
      <c r="A889" s="778" t="s">
        <v>452</v>
      </c>
      <c r="B889" s="370" t="s">
        <v>575</v>
      </c>
      <c r="C889" s="247" t="s">
        <v>60</v>
      </c>
      <c r="D889" s="376" t="s">
        <v>135</v>
      </c>
      <c r="E889" s="788">
        <v>0</v>
      </c>
      <c r="F889" s="374" t="s">
        <v>574</v>
      </c>
      <c r="G889" s="789" t="s">
        <v>16</v>
      </c>
      <c r="H889" s="788"/>
      <c r="I889" s="788"/>
      <c r="J889" s="788"/>
      <c r="K889" s="788"/>
      <c r="L889" s="790"/>
      <c r="M889" s="791"/>
      <c r="N889" s="255"/>
    </row>
    <row r="890" spans="1:14" x14ac:dyDescent="0.2">
      <c r="A890" s="775" t="s">
        <v>452</v>
      </c>
      <c r="B890" s="772" t="s">
        <v>468</v>
      </c>
      <c r="C890" s="770" t="s">
        <v>135</v>
      </c>
      <c r="D890" s="376" t="s">
        <v>135</v>
      </c>
      <c r="E890" s="376">
        <v>0.01</v>
      </c>
      <c r="F890" s="374" t="s">
        <v>576</v>
      </c>
      <c r="G890" s="375" t="s">
        <v>16</v>
      </c>
      <c r="H890" s="376">
        <v>3</v>
      </c>
      <c r="I890" s="376">
        <v>4</v>
      </c>
      <c r="J890" s="376">
        <v>3</v>
      </c>
      <c r="K890" s="376">
        <v>3</v>
      </c>
      <c r="L890" s="377">
        <v>2</v>
      </c>
      <c r="M890" s="378">
        <f>IF( OR( ISBLANK(H890),ISBLANK(I890), ISBLANK(J890), ISBLANK(K890), ISBLANK(L890) ), "", 1.5*SQRT( EXP(2.21*(H890-1)) + EXP(2.21*(I890-1)) + EXP(2.21*(J890-1)) + EXP(2.21*(K890-1)) + EXP(2.21*L890) )/100*2.45 )</f>
        <v>1.2132328390150593</v>
      </c>
      <c r="N890" s="479" t="s">
        <v>577</v>
      </c>
    </row>
    <row r="891" spans="1:14" x14ac:dyDescent="0.2">
      <c r="A891" s="775" t="s">
        <v>452</v>
      </c>
      <c r="B891" s="772" t="s">
        <v>468</v>
      </c>
      <c r="C891" s="770" t="s">
        <v>135</v>
      </c>
      <c r="D891" s="376" t="s">
        <v>135</v>
      </c>
      <c r="E891" s="376">
        <v>0.05</v>
      </c>
      <c r="F891" s="374" t="s">
        <v>576</v>
      </c>
      <c r="G891" s="375" t="s">
        <v>16</v>
      </c>
      <c r="H891" s="376">
        <v>3</v>
      </c>
      <c r="I891" s="376">
        <v>4</v>
      </c>
      <c r="J891" s="376">
        <v>3</v>
      </c>
      <c r="K891" s="376">
        <v>3</v>
      </c>
      <c r="L891" s="377">
        <v>2</v>
      </c>
      <c r="M891" s="378">
        <f>IF( OR( ISBLANK(H891),ISBLANK(I891), ISBLANK(J891), ISBLANK(K891), ISBLANK(L891) ), "", 1.5*SQRT( EXP(2.21*(H891-1)) + EXP(2.21*(I891-1)) + EXP(2.21*(J891-1)) + EXP(2.21*(K891-1)) + EXP(2.21*L891) )/100*2.45 )</f>
        <v>1.2132328390150593</v>
      </c>
      <c r="N891" s="479" t="s">
        <v>577</v>
      </c>
    </row>
    <row r="892" spans="1:14" x14ac:dyDescent="0.2">
      <c r="A892" s="775" t="s">
        <v>452</v>
      </c>
      <c r="B892" s="772" t="s">
        <v>468</v>
      </c>
      <c r="C892" s="770" t="s">
        <v>135</v>
      </c>
      <c r="D892" s="376" t="s">
        <v>135</v>
      </c>
      <c r="E892" s="376">
        <v>0.13</v>
      </c>
      <c r="F892" s="374" t="s">
        <v>576</v>
      </c>
      <c r="G892" s="375" t="s">
        <v>16</v>
      </c>
      <c r="H892" s="376">
        <v>3</v>
      </c>
      <c r="I892" s="376">
        <v>4</v>
      </c>
      <c r="J892" s="376">
        <v>3</v>
      </c>
      <c r="K892" s="376">
        <v>3</v>
      </c>
      <c r="L892" s="377">
        <v>2</v>
      </c>
      <c r="M892" s="378">
        <f>IF( OR( ISBLANK(H892),ISBLANK(I892), ISBLANK(J892), ISBLANK(K892), ISBLANK(L892) ), "", 1.5*SQRT( EXP(2.21*(H892-1)) + EXP(2.21*(I892-1)) + EXP(2.21*(J892-1)) + EXP(2.21*(K892-1)) + EXP(2.21*L892) )/100*2.45 )</f>
        <v>1.2132328390150593</v>
      </c>
      <c r="N892" s="479" t="s">
        <v>577</v>
      </c>
    </row>
    <row r="893" spans="1:14" x14ac:dyDescent="0.2">
      <c r="A893" s="775" t="s">
        <v>452</v>
      </c>
      <c r="B893" s="772" t="s">
        <v>468</v>
      </c>
      <c r="C893" s="770" t="s">
        <v>135</v>
      </c>
      <c r="D893" s="376" t="s">
        <v>135</v>
      </c>
      <c r="E893" s="376">
        <v>0.05</v>
      </c>
      <c r="F893" s="374" t="s">
        <v>576</v>
      </c>
      <c r="G893" s="375" t="s">
        <v>16</v>
      </c>
      <c r="H893" s="376">
        <v>3</v>
      </c>
      <c r="I893" s="376">
        <v>4</v>
      </c>
      <c r="J893" s="376">
        <v>3</v>
      </c>
      <c r="K893" s="376">
        <v>3</v>
      </c>
      <c r="L893" s="377">
        <v>2</v>
      </c>
      <c r="M893" s="378">
        <f>IF( OR( ISBLANK(H893),ISBLANK(I893), ISBLANK(J893), ISBLANK(K893), ISBLANK(L893) ), "", 1.5*SQRT( EXP(2.21*(H893-1)) + EXP(2.21*(I893-1)) + EXP(2.21*(J893-1)) + EXP(2.21*(K893-1)) + EXP(2.21*L893) )/100*2.45 )</f>
        <v>1.2132328390150593</v>
      </c>
      <c r="N893" s="479" t="s">
        <v>577</v>
      </c>
    </row>
    <row r="894" spans="1:14" x14ac:dyDescent="0.2">
      <c r="A894" s="775" t="s">
        <v>452</v>
      </c>
      <c r="B894" s="772" t="s">
        <v>468</v>
      </c>
      <c r="C894" s="770" t="s">
        <v>135</v>
      </c>
      <c r="D894" s="376" t="s">
        <v>135</v>
      </c>
      <c r="E894" s="376">
        <v>0.1</v>
      </c>
      <c r="F894" s="374" t="s">
        <v>576</v>
      </c>
      <c r="G894" s="375" t="s">
        <v>16</v>
      </c>
      <c r="H894" s="376">
        <v>3</v>
      </c>
      <c r="I894" s="376">
        <v>4</v>
      </c>
      <c r="J894" s="376">
        <v>3</v>
      </c>
      <c r="K894" s="376">
        <v>3</v>
      </c>
      <c r="L894" s="377">
        <v>2</v>
      </c>
      <c r="M894" s="378">
        <f>IF( OR( ISBLANK(H894),ISBLANK(I894), ISBLANK(J894), ISBLANK(K894), ISBLANK(L894) ), "", 1.5*SQRT( EXP(2.21*(H894-1)) + EXP(2.21*(I894-1)) + EXP(2.21*(J894-1)) + EXP(2.21*(K894-1)) + EXP(2.21*L894) )/100*2.45 )</f>
        <v>1.2132328390150593</v>
      </c>
      <c r="N894" s="479" t="s">
        <v>577</v>
      </c>
    </row>
    <row r="895" spans="1:14" x14ac:dyDescent="0.2">
      <c r="A895" s="775" t="s">
        <v>452</v>
      </c>
      <c r="B895" s="778" t="s">
        <v>566</v>
      </c>
      <c r="C895" s="770" t="s">
        <v>135</v>
      </c>
      <c r="D895" s="376" t="s">
        <v>135</v>
      </c>
      <c r="E895" s="454" t="s">
        <v>188</v>
      </c>
      <c r="F895" s="374"/>
      <c r="G895" s="375" t="s">
        <v>16</v>
      </c>
      <c r="H895" s="454"/>
      <c r="I895" s="454"/>
      <c r="J895" s="454"/>
      <c r="K895" s="454"/>
      <c r="L895" s="455"/>
      <c r="M895" s="507" t="str">
        <f>IF( OR( ISBLANK(H895),ISBLANK(I895), ISBLANK(J895), ISBLANK(K895), ISBLANK(L895) ), "", 1.5*SQRT(   EXP(2.21*(H895-1)) + EXP(2.21*(I895-1)) + EXP(2.21*(J895-1)) + EXP(2.21*(K895-1)) + EXP(2.21*L895)   )/100*2.45 )</f>
        <v/>
      </c>
      <c r="N895" s="479"/>
    </row>
    <row r="896" spans="1:14" x14ac:dyDescent="0.2">
      <c r="A896" s="773" t="s">
        <v>572</v>
      </c>
      <c r="B896" s="797" t="s">
        <v>578</v>
      </c>
      <c r="C896" s="765" t="s">
        <v>135</v>
      </c>
      <c r="D896" s="391" t="s">
        <v>135</v>
      </c>
      <c r="E896" s="798">
        <v>1</v>
      </c>
      <c r="F896" s="389" t="s">
        <v>455</v>
      </c>
      <c r="G896" s="390" t="s">
        <v>16</v>
      </c>
      <c r="H896" s="460"/>
      <c r="I896" s="460"/>
      <c r="J896" s="460"/>
      <c r="K896" s="460"/>
      <c r="L896" s="461"/>
      <c r="M896" s="504" t="str">
        <f t="shared" ref="M896:M914" si="31">IF( OR( ISBLANK(H896),ISBLANK(I896), ISBLANK(J896), ISBLANK(K896), ISBLANK(L896) ), "", 1.5*SQRT( EXP(2.21*(H896-1)) + EXP(2.21*(I896-1)) + EXP(2.21*(J896-1)) + EXP(2.21*(K896-1)) + EXP(2.21*L896) )/100*2.45 )</f>
        <v/>
      </c>
      <c r="N896" s="483"/>
    </row>
    <row r="897" spans="1:14" x14ac:dyDescent="0.2">
      <c r="A897" s="773" t="s">
        <v>575</v>
      </c>
      <c r="B897" s="797" t="s">
        <v>579</v>
      </c>
      <c r="C897" s="765" t="s">
        <v>135</v>
      </c>
      <c r="D897" s="391" t="s">
        <v>135</v>
      </c>
      <c r="E897" s="718">
        <v>0.63549999999999995</v>
      </c>
      <c r="F897" s="267" t="str">
        <f>F920</f>
        <v>Hidayaturrahman, Haerul, and Tae-Gwan Lee. ‘A Study on Characteristics of Microplastic in Wastewater of South Korea: Identification, Quantification, and Fate of Microplastics during Treatment Process’. Marine Pollution Bulletin 146 (September 2019): 696–702. https://doi.org/10.1016/j.marpolbul.2019.06.071.</v>
      </c>
      <c r="G897" s="268" t="s">
        <v>16</v>
      </c>
      <c r="H897" s="269">
        <f>H920</f>
        <v>3</v>
      </c>
      <c r="I897" s="269">
        <f>I920</f>
        <v>2</v>
      </c>
      <c r="J897" s="269">
        <f>J920</f>
        <v>3</v>
      </c>
      <c r="K897" s="269">
        <f>K920</f>
        <v>3</v>
      </c>
      <c r="L897" s="270">
        <f>L920</f>
        <v>1</v>
      </c>
      <c r="M897" s="393">
        <f t="shared" si="31"/>
        <v>0.60108474454521421</v>
      </c>
      <c r="N897" s="483"/>
    </row>
    <row r="898" spans="1:14" x14ac:dyDescent="0.2">
      <c r="A898" s="775" t="s">
        <v>575</v>
      </c>
      <c r="B898" s="799" t="s">
        <v>579</v>
      </c>
      <c r="C898" s="770" t="s">
        <v>135</v>
      </c>
      <c r="D898" s="376" t="s">
        <v>135</v>
      </c>
      <c r="E898" s="376">
        <v>0.82</v>
      </c>
      <c r="F898" s="250" t="str">
        <f>F924</f>
        <v>Blair, Reina M., Susan Waldron, and Caroline Gauchotte-Lindsay. ‘Average Daily Flow of Microplastics through a Tertiary Wastewater Treatment Plant over a Ten-Month Period’. Water Research 163 (October 2019): 114909. https://doi.org/10.1016/j.watres.2019.114909.</v>
      </c>
      <c r="G898" s="251" t="s">
        <v>16</v>
      </c>
      <c r="H898" s="252">
        <f t="shared" ref="H898:L901" si="32">H924</f>
        <v>2</v>
      </c>
      <c r="I898" s="252">
        <f t="shared" si="32"/>
        <v>2</v>
      </c>
      <c r="J898" s="252">
        <f t="shared" si="32"/>
        <v>3</v>
      </c>
      <c r="K898" s="252">
        <f t="shared" si="32"/>
        <v>3</v>
      </c>
      <c r="L898" s="253">
        <f t="shared" si="32"/>
        <v>1</v>
      </c>
      <c r="M898" s="378">
        <f t="shared" si="31"/>
        <v>0.51126068492676302</v>
      </c>
      <c r="N898" s="479"/>
    </row>
    <row r="899" spans="1:14" x14ac:dyDescent="0.2">
      <c r="A899" s="775" t="s">
        <v>575</v>
      </c>
      <c r="B899" s="799" t="s">
        <v>579</v>
      </c>
      <c r="C899" s="770" t="s">
        <v>135</v>
      </c>
      <c r="D899" s="376" t="s">
        <v>135</v>
      </c>
      <c r="E899" s="376">
        <v>0.72299999999999998</v>
      </c>
      <c r="F899" s="250" t="str">
        <f>F925</f>
        <v>Alavian Petroody, Somayye Sadat, Seyed Hossein Hashemi, and Cornelis A.M. van Gestel. ‘Factors Affecting Microplastic Retention and Emission by a Wastewater Treatment Plant on the Southern Coast of Caspian Sea’. Chemosphere 261 (December 2020): 128179. https://doi.org/10.1016/j.chemosphere.2020.128179.</v>
      </c>
      <c r="G899" s="251" t="s">
        <v>16</v>
      </c>
      <c r="H899" s="252">
        <f t="shared" si="32"/>
        <v>4</v>
      </c>
      <c r="I899" s="252">
        <f t="shared" si="32"/>
        <v>2</v>
      </c>
      <c r="J899" s="252">
        <f t="shared" si="32"/>
        <v>3</v>
      </c>
      <c r="K899" s="252">
        <f t="shared" si="32"/>
        <v>3</v>
      </c>
      <c r="L899" s="253">
        <f t="shared" si="32"/>
        <v>1</v>
      </c>
      <c r="M899" s="378">
        <f t="shared" si="31"/>
        <v>1.1278755061256256</v>
      </c>
      <c r="N899" s="479"/>
    </row>
    <row r="900" spans="1:14" x14ac:dyDescent="0.2">
      <c r="A900" s="775" t="s">
        <v>575</v>
      </c>
      <c r="B900" s="799" t="s">
        <v>579</v>
      </c>
      <c r="C900" s="770" t="s">
        <v>135</v>
      </c>
      <c r="D900" s="376" t="s">
        <v>135</v>
      </c>
      <c r="E900" s="376">
        <v>0.86250000000000004</v>
      </c>
      <c r="F900" s="250" t="str">
        <f>F926</f>
        <v>Michielssen, Marlies R., Elien R. Michielssen, Jonathan Ni, and Melissa B. Duhaime. ‘Fate of Microplastics and Other Small Anthropogenic Litter (SAL) in Wastewater Treatment Plants Depends on Unit Processes Employed’. Environmental Science: Water Research &amp; Technology 2, no. 6 (2016): 1064–73. https://doi.org/10.1039/C6EW00207B.</v>
      </c>
      <c r="G900" s="251" t="s">
        <v>16</v>
      </c>
      <c r="H900" s="252">
        <f t="shared" si="32"/>
        <v>3</v>
      </c>
      <c r="I900" s="252">
        <f t="shared" si="32"/>
        <v>3</v>
      </c>
      <c r="J900" s="252">
        <f t="shared" si="32"/>
        <v>3</v>
      </c>
      <c r="K900" s="252">
        <f t="shared" si="32"/>
        <v>3</v>
      </c>
      <c r="L900" s="253">
        <f t="shared" si="32"/>
        <v>1</v>
      </c>
      <c r="M900" s="378">
        <f t="shared" si="31"/>
        <v>0.67913051197703389</v>
      </c>
      <c r="N900" s="479"/>
    </row>
    <row r="901" spans="1:14" x14ac:dyDescent="0.2">
      <c r="A901" s="775" t="s">
        <v>575</v>
      </c>
      <c r="B901" s="799" t="s">
        <v>579</v>
      </c>
      <c r="C901" s="770" t="s">
        <v>135</v>
      </c>
      <c r="D901" s="376" t="s">
        <v>135</v>
      </c>
      <c r="E901" s="376">
        <v>0.58840000000000003</v>
      </c>
      <c r="F901" s="250" t="str">
        <f>F927</f>
        <v>Yang, Libiao, Kuixiao Li, Song Cui, Yu Kang, Lihui An, and Kun Lei. ‘Removal of Microplastics in Municipal Sewage from China’s Largest Water Reclamation Plant’. Water Research 155 (15 May 2019): 175–81. https://doi.org/10.1016/j.watres.2019.02.046.</v>
      </c>
      <c r="G901" s="251" t="s">
        <v>16</v>
      </c>
      <c r="H901" s="252">
        <f t="shared" si="32"/>
        <v>3</v>
      </c>
      <c r="I901" s="252">
        <f t="shared" si="32"/>
        <v>2</v>
      </c>
      <c r="J901" s="252">
        <f t="shared" si="32"/>
        <v>3</v>
      </c>
      <c r="K901" s="252">
        <f t="shared" si="32"/>
        <v>3</v>
      </c>
      <c r="L901" s="253">
        <f t="shared" si="32"/>
        <v>1</v>
      </c>
      <c r="M901" s="378">
        <f t="shared" si="31"/>
        <v>0.60108474454521421</v>
      </c>
      <c r="N901" s="479"/>
    </row>
    <row r="902" spans="1:14" x14ac:dyDescent="0.2">
      <c r="A902" s="775" t="s">
        <v>575</v>
      </c>
      <c r="B902" s="799" t="s">
        <v>579</v>
      </c>
      <c r="C902" s="770" t="s">
        <v>135</v>
      </c>
      <c r="D902" s="376" t="s">
        <v>135</v>
      </c>
      <c r="E902" s="376">
        <v>0.78339999999999999</v>
      </c>
      <c r="F902" s="250" t="str">
        <f>F929</f>
        <v>Murphy, Fionn, Ciaran Ewins, Frederic Carbonnier, and Brian Quinn. ‘Wastewater Treatment Works (WwTW) as a Source of Microplastics in the Aquatic Environment’. Environmental Science &amp; Technology 50, no. 11 (7 June 2016): 5800–5808. https://doi.org/10.1021/acs.est.5b05416.</v>
      </c>
      <c r="G902" s="251" t="s">
        <v>16</v>
      </c>
      <c r="H902" s="252">
        <f>H929</f>
        <v>2</v>
      </c>
      <c r="I902" s="252">
        <f>I929</f>
        <v>3</v>
      </c>
      <c r="J902" s="252">
        <f>J929</f>
        <v>3</v>
      </c>
      <c r="K902" s="252">
        <f>K929</f>
        <v>3</v>
      </c>
      <c r="L902" s="253">
        <f>L929</f>
        <v>1</v>
      </c>
      <c r="M902" s="378">
        <f t="shared" si="31"/>
        <v>0.60108474454521421</v>
      </c>
      <c r="N902" s="479"/>
    </row>
    <row r="903" spans="1:14" x14ac:dyDescent="0.2">
      <c r="A903" s="776" t="s">
        <v>575</v>
      </c>
      <c r="B903" s="509" t="s">
        <v>468</v>
      </c>
      <c r="C903" s="767" t="s">
        <v>135</v>
      </c>
      <c r="D903" s="398" t="s">
        <v>135</v>
      </c>
      <c r="E903" s="800" t="s">
        <v>188</v>
      </c>
      <c r="F903" s="399"/>
      <c r="G903" s="406" t="s">
        <v>16</v>
      </c>
      <c r="H903" s="556"/>
      <c r="I903" s="556"/>
      <c r="J903" s="556"/>
      <c r="K903" s="556"/>
      <c r="L903" s="557"/>
      <c r="M903" s="558" t="str">
        <f t="shared" si="31"/>
        <v/>
      </c>
      <c r="N903" s="631"/>
    </row>
    <row r="904" spans="1:14" x14ac:dyDescent="0.2">
      <c r="A904" s="773" t="s">
        <v>571</v>
      </c>
      <c r="B904" s="801" t="s">
        <v>387</v>
      </c>
      <c r="C904" s="765" t="s">
        <v>135</v>
      </c>
      <c r="D904" s="391" t="s">
        <v>135</v>
      </c>
      <c r="E904" s="391">
        <v>0.8</v>
      </c>
      <c r="F904" s="389" t="s">
        <v>455</v>
      </c>
      <c r="G904" s="390" t="s">
        <v>16</v>
      </c>
      <c r="H904" s="391">
        <v>3</v>
      </c>
      <c r="I904" s="391">
        <v>1</v>
      </c>
      <c r="J904" s="391">
        <v>3</v>
      </c>
      <c r="K904" s="391">
        <v>3</v>
      </c>
      <c r="L904" s="392">
        <v>3</v>
      </c>
      <c r="M904" s="393">
        <f t="shared" si="31"/>
        <v>1.1666438005107913</v>
      </c>
      <c r="N904" s="483" t="s">
        <v>580</v>
      </c>
    </row>
    <row r="905" spans="1:14" x14ac:dyDescent="0.2">
      <c r="A905" s="775" t="s">
        <v>571</v>
      </c>
      <c r="B905" s="778" t="s">
        <v>581</v>
      </c>
      <c r="C905" s="770" t="s">
        <v>135</v>
      </c>
      <c r="D905" s="376" t="s">
        <v>135</v>
      </c>
      <c r="E905" s="376">
        <v>3.2000000000000001E-2</v>
      </c>
      <c r="F905" s="374" t="s">
        <v>582</v>
      </c>
      <c r="G905" s="375" t="s">
        <v>16</v>
      </c>
      <c r="H905" s="376">
        <v>1</v>
      </c>
      <c r="I905" s="376">
        <v>3</v>
      </c>
      <c r="J905" s="376">
        <v>3</v>
      </c>
      <c r="K905" s="376">
        <v>3</v>
      </c>
      <c r="L905" s="377">
        <v>3</v>
      </c>
      <c r="M905" s="378">
        <f t="shared" si="31"/>
        <v>1.1666438005107913</v>
      </c>
      <c r="N905" s="479" t="s">
        <v>583</v>
      </c>
    </row>
    <row r="906" spans="1:14" x14ac:dyDescent="0.2">
      <c r="A906" s="775" t="s">
        <v>571</v>
      </c>
      <c r="B906" s="778" t="s">
        <v>581</v>
      </c>
      <c r="C906" s="770" t="s">
        <v>135</v>
      </c>
      <c r="D906" s="376" t="s">
        <v>135</v>
      </c>
      <c r="E906" s="720">
        <v>2.9826370000000001E-2</v>
      </c>
      <c r="F906" s="374" t="s">
        <v>584</v>
      </c>
      <c r="G906" s="375" t="s">
        <v>16</v>
      </c>
      <c r="H906" s="376">
        <v>1</v>
      </c>
      <c r="I906" s="376">
        <v>4</v>
      </c>
      <c r="J906" s="376">
        <v>3</v>
      </c>
      <c r="K906" s="376">
        <v>3</v>
      </c>
      <c r="L906" s="377">
        <v>1</v>
      </c>
      <c r="M906" s="378">
        <f t="shared" si="31"/>
        <v>1.123005955058592</v>
      </c>
      <c r="N906" s="479"/>
    </row>
    <row r="907" spans="1:14" x14ac:dyDescent="0.2">
      <c r="A907" s="776" t="s">
        <v>571</v>
      </c>
      <c r="B907" s="777" t="s">
        <v>585</v>
      </c>
      <c r="C907" s="767" t="s">
        <v>135</v>
      </c>
      <c r="D907" s="398" t="s">
        <v>135</v>
      </c>
      <c r="E907" s="556" t="s">
        <v>188</v>
      </c>
      <c r="F907" s="399"/>
      <c r="G907" s="406" t="s">
        <v>16</v>
      </c>
      <c r="H907" s="556"/>
      <c r="I907" s="556"/>
      <c r="J907" s="556"/>
      <c r="K907" s="556"/>
      <c r="L907" s="557"/>
      <c r="M907" s="558" t="str">
        <f t="shared" si="31"/>
        <v/>
      </c>
      <c r="N907" s="631"/>
    </row>
    <row r="908" spans="1:14" x14ac:dyDescent="0.2">
      <c r="A908" s="773" t="s">
        <v>566</v>
      </c>
      <c r="B908" s="801" t="s">
        <v>387</v>
      </c>
      <c r="C908" s="765" t="s">
        <v>135</v>
      </c>
      <c r="D908" s="391" t="s">
        <v>135</v>
      </c>
      <c r="E908" s="460">
        <v>0</v>
      </c>
      <c r="F908" s="389"/>
      <c r="G908" s="390" t="s">
        <v>16</v>
      </c>
      <c r="H908" s="460"/>
      <c r="I908" s="460"/>
      <c r="J908" s="460"/>
      <c r="K908" s="460"/>
      <c r="L908" s="461"/>
      <c r="M908" s="504" t="str">
        <f t="shared" si="31"/>
        <v/>
      </c>
      <c r="N908" s="483" t="s">
        <v>586</v>
      </c>
    </row>
    <row r="909" spans="1:14" x14ac:dyDescent="0.2">
      <c r="A909" s="775" t="s">
        <v>566</v>
      </c>
      <c r="B909" s="778" t="s">
        <v>587</v>
      </c>
      <c r="C909" s="770" t="s">
        <v>135</v>
      </c>
      <c r="D909" s="376" t="s">
        <v>135</v>
      </c>
      <c r="E909" s="376">
        <v>3.2000000000000001E-2</v>
      </c>
      <c r="F909" s="374" t="s">
        <v>582</v>
      </c>
      <c r="G909" s="375" t="s">
        <v>16</v>
      </c>
      <c r="H909" s="376">
        <v>1</v>
      </c>
      <c r="I909" s="376">
        <v>3</v>
      </c>
      <c r="J909" s="376">
        <v>3</v>
      </c>
      <c r="K909" s="376">
        <v>3</v>
      </c>
      <c r="L909" s="377">
        <v>3</v>
      </c>
      <c r="M909" s="378">
        <f t="shared" si="31"/>
        <v>1.1666438005107913</v>
      </c>
      <c r="N909" s="479" t="s">
        <v>583</v>
      </c>
    </row>
    <row r="910" spans="1:14" x14ac:dyDescent="0.2">
      <c r="A910" s="775" t="s">
        <v>566</v>
      </c>
      <c r="B910" s="778" t="s">
        <v>587</v>
      </c>
      <c r="C910" s="770" t="s">
        <v>135</v>
      </c>
      <c r="D910" s="376" t="s">
        <v>135</v>
      </c>
      <c r="E910" s="720">
        <v>2.9826370000000001E-2</v>
      </c>
      <c r="F910" s="374" t="s">
        <v>584</v>
      </c>
      <c r="G910" s="375" t="s">
        <v>16</v>
      </c>
      <c r="H910" s="376">
        <v>1</v>
      </c>
      <c r="I910" s="376">
        <v>4</v>
      </c>
      <c r="J910" s="376">
        <v>3</v>
      </c>
      <c r="K910" s="376">
        <v>3</v>
      </c>
      <c r="L910" s="377">
        <v>1</v>
      </c>
      <c r="M910" s="378">
        <f t="shared" si="31"/>
        <v>1.123005955058592</v>
      </c>
      <c r="N910" s="479" t="s">
        <v>588</v>
      </c>
    </row>
    <row r="911" spans="1:14" x14ac:dyDescent="0.2">
      <c r="A911" s="775" t="s">
        <v>566</v>
      </c>
      <c r="B911" s="778" t="s">
        <v>589</v>
      </c>
      <c r="C911" s="770" t="s">
        <v>135</v>
      </c>
      <c r="D911" s="376" t="s">
        <v>135</v>
      </c>
      <c r="E911" s="454" t="s">
        <v>188</v>
      </c>
      <c r="F911" s="374"/>
      <c r="G911" s="375" t="s">
        <v>16</v>
      </c>
      <c r="H911" s="454"/>
      <c r="I911" s="454"/>
      <c r="J911" s="454"/>
      <c r="K911" s="454"/>
      <c r="L911" s="455"/>
      <c r="M911" s="507" t="str">
        <f t="shared" si="31"/>
        <v/>
      </c>
      <c r="N911" s="479" t="s">
        <v>590</v>
      </c>
    </row>
    <row r="912" spans="1:14" x14ac:dyDescent="0.2">
      <c r="A912" s="773" t="s">
        <v>581</v>
      </c>
      <c r="B912" s="774" t="s">
        <v>591</v>
      </c>
      <c r="C912" s="765" t="s">
        <v>135</v>
      </c>
      <c r="D912" s="391" t="s">
        <v>135</v>
      </c>
      <c r="E912" s="269">
        <v>0.25800000000000001</v>
      </c>
      <c r="F912" s="267" t="s">
        <v>592</v>
      </c>
      <c r="G912" s="268" t="s">
        <v>16</v>
      </c>
      <c r="H912" s="269">
        <v>2</v>
      </c>
      <c r="I912" s="269">
        <v>4</v>
      </c>
      <c r="J912" s="269">
        <v>3</v>
      </c>
      <c r="K912" s="269">
        <v>1</v>
      </c>
      <c r="L912" s="270">
        <v>1</v>
      </c>
      <c r="M912" s="393">
        <f t="shared" si="31"/>
        <v>1.0776024280428556</v>
      </c>
      <c r="N912" s="483"/>
    </row>
    <row r="913" spans="1:14" x14ac:dyDescent="0.2">
      <c r="A913" s="775" t="s">
        <v>581</v>
      </c>
      <c r="B913" s="778" t="s">
        <v>591</v>
      </c>
      <c r="C913" s="770" t="s">
        <v>135</v>
      </c>
      <c r="D913" s="376" t="s">
        <v>135</v>
      </c>
      <c r="E913" s="252">
        <v>0.28999999999999998</v>
      </c>
      <c r="F913" s="250" t="s">
        <v>593</v>
      </c>
      <c r="G913" s="251" t="s">
        <v>16</v>
      </c>
      <c r="H913" s="252">
        <v>3</v>
      </c>
      <c r="I913" s="252">
        <v>2</v>
      </c>
      <c r="J913" s="252">
        <v>3</v>
      </c>
      <c r="K913" s="252">
        <v>1</v>
      </c>
      <c r="L913" s="253">
        <v>2</v>
      </c>
      <c r="M913" s="378">
        <f t="shared" si="31"/>
        <v>0.59189702474662764</v>
      </c>
      <c r="N913" s="479"/>
    </row>
    <row r="914" spans="1:14" x14ac:dyDescent="0.2">
      <c r="A914" s="775" t="s">
        <v>581</v>
      </c>
      <c r="B914" s="778" t="s">
        <v>591</v>
      </c>
      <c r="C914" s="770" t="s">
        <v>135</v>
      </c>
      <c r="D914" s="376" t="s">
        <v>135</v>
      </c>
      <c r="E914" s="252">
        <v>0.2</v>
      </c>
      <c r="F914" s="250" t="s">
        <v>594</v>
      </c>
      <c r="G914" s="251" t="s">
        <v>16</v>
      </c>
      <c r="H914" s="252">
        <v>3</v>
      </c>
      <c r="I914" s="252">
        <v>4</v>
      </c>
      <c r="J914" s="252">
        <v>3</v>
      </c>
      <c r="K914" s="252">
        <v>1</v>
      </c>
      <c r="L914" s="253">
        <v>2</v>
      </c>
      <c r="M914" s="507">
        <f t="shared" si="31"/>
        <v>1.1666438005107913</v>
      </c>
      <c r="N914" s="479"/>
    </row>
    <row r="915" spans="1:14" x14ac:dyDescent="0.2">
      <c r="A915" s="775" t="s">
        <v>581</v>
      </c>
      <c r="B915" s="802" t="s">
        <v>387</v>
      </c>
      <c r="C915" s="770" t="s">
        <v>135</v>
      </c>
      <c r="D915" s="376" t="s">
        <v>135</v>
      </c>
      <c r="E915" s="454" t="s">
        <v>188</v>
      </c>
      <c r="F915" s="374"/>
      <c r="G915" s="375" t="s">
        <v>16</v>
      </c>
      <c r="H915" s="454"/>
      <c r="I915" s="454"/>
      <c r="J915" s="454"/>
      <c r="K915" s="454"/>
      <c r="L915" s="455"/>
      <c r="M915" s="507" t="str">
        <f>IF( OR( ISBLANK(H915),ISBLANK(I915), ISBLANK(J915), ISBLANK(K915), ISBLANK(L915) ), "", 1.5*SQRT(   EXP(2.21*(H915-1)) + EXP(2.21*(I915-1)) + EXP(2.21*(J915-1)) + EXP(2.21*(K915-1)) + EXP(2.21*L915)   )/100*2.45 )</f>
        <v/>
      </c>
      <c r="N915" s="479"/>
    </row>
    <row r="916" spans="1:14" x14ac:dyDescent="0.2">
      <c r="A916" s="803" t="s">
        <v>587</v>
      </c>
      <c r="B916" s="804" t="s">
        <v>595</v>
      </c>
      <c r="C916" s="805" t="s">
        <v>135</v>
      </c>
      <c r="D916" s="806" t="s">
        <v>135</v>
      </c>
      <c r="E916" s="807">
        <v>1</v>
      </c>
      <c r="F916" s="808" t="s">
        <v>455</v>
      </c>
      <c r="G916" s="848" t="s">
        <v>16</v>
      </c>
      <c r="H916" s="809"/>
      <c r="I916" s="810"/>
      <c r="J916" s="810"/>
      <c r="K916" s="810"/>
      <c r="L916" s="811"/>
      <c r="M916" s="812" t="str">
        <f>IF( OR( ISBLANK(H916),ISBLANK(I916), ISBLANK(J916), ISBLANK(K916), ISBLANK(L916) ), "", 1.5*SQRT( EXP(2.21*(H916-1)) + EXP(2.21*(I916-1)) + EXP(2.21*(J916-1)) + EXP(2.21*(K916-1)) + EXP(2.21*L916) )/100*2.45 )</f>
        <v/>
      </c>
      <c r="N916" s="813"/>
    </row>
    <row r="917" spans="1:14" x14ac:dyDescent="0.2">
      <c r="A917" s="775" t="s">
        <v>585</v>
      </c>
      <c r="B917" s="778" t="s">
        <v>578</v>
      </c>
      <c r="C917" s="770" t="s">
        <v>135</v>
      </c>
      <c r="D917" s="376" t="s">
        <v>135</v>
      </c>
      <c r="E917" s="720">
        <v>0.59523809523809523</v>
      </c>
      <c r="F917" s="374" t="s">
        <v>596</v>
      </c>
      <c r="G917" s="375" t="s">
        <v>16</v>
      </c>
      <c r="H917" s="376">
        <v>1</v>
      </c>
      <c r="I917" s="376">
        <v>1</v>
      </c>
      <c r="J917" s="376">
        <v>3</v>
      </c>
      <c r="K917" s="376">
        <v>3</v>
      </c>
      <c r="L917" s="377">
        <v>3</v>
      </c>
      <c r="M917" s="378">
        <f>IF( OR( ISBLANK(H917),ISBLANK(I917), ISBLANK(J917), ISBLANK(K917), ISBLANK(L917) ), "", 1.5*SQRT( EXP(2.21*(H917-1)) + EXP(2.21*(I917-1)) + EXP(2.21*(J917-1)) + EXP(2.21*(K917-1)) + EXP(2.21*L917) )/100*2.45 )</f>
        <v>1.1181151966036349</v>
      </c>
      <c r="N917" s="479" t="s">
        <v>597</v>
      </c>
    </row>
    <row r="918" spans="1:14" x14ac:dyDescent="0.2">
      <c r="A918" s="776" t="s">
        <v>585</v>
      </c>
      <c r="B918" s="777" t="s">
        <v>598</v>
      </c>
      <c r="C918" s="767" t="s">
        <v>135</v>
      </c>
      <c r="D918" s="398" t="s">
        <v>135</v>
      </c>
      <c r="E918" s="800" t="s">
        <v>188</v>
      </c>
      <c r="F918" s="399"/>
      <c r="G918" s="406" t="s">
        <v>16</v>
      </c>
      <c r="H918" s="556"/>
      <c r="I918" s="556"/>
      <c r="J918" s="556"/>
      <c r="K918" s="556"/>
      <c r="L918" s="557"/>
      <c r="M918" s="558" t="str">
        <f>IF( OR( ISBLANK(H918),ISBLANK(I918), ISBLANK(J918), ISBLANK(K918), ISBLANK(L918) ), "", 1.5*SQRT( EXP(2.21*(H918-1)) + EXP(2.21*(I918-1)) + EXP(2.21*(J918-1)) + EXP(2.21*(K918-1)) + EXP(2.21*L918) )/100*2.45 )</f>
        <v/>
      </c>
      <c r="N918" s="631" t="s">
        <v>599</v>
      </c>
    </row>
    <row r="919" spans="1:14" x14ac:dyDescent="0.2">
      <c r="A919" s="814" t="s">
        <v>589</v>
      </c>
      <c r="B919" s="815" t="s">
        <v>579</v>
      </c>
      <c r="C919" s="612" t="s">
        <v>135</v>
      </c>
      <c r="D919" s="252" t="s">
        <v>135</v>
      </c>
      <c r="E919" s="816">
        <f>1-(14.2+290.7)/(180+430)</f>
        <v>0.50016393442622953</v>
      </c>
      <c r="F919" s="250" t="s">
        <v>600</v>
      </c>
      <c r="G919" s="251" t="s">
        <v>16</v>
      </c>
      <c r="H919" s="252">
        <v>2</v>
      </c>
      <c r="I919" s="252">
        <v>2</v>
      </c>
      <c r="J919" s="252">
        <v>3</v>
      </c>
      <c r="K919" s="252">
        <v>3</v>
      </c>
      <c r="L919" s="253">
        <v>1</v>
      </c>
      <c r="M919" s="254">
        <f>IF( OR( ISBLANK(H919),ISBLANK(I919), ISBLANK(J919), ISBLANK(K919), ISBLANK(L919) ), "", 1.5*SQRT(   EXP(2.21*(H919-1)) + EXP(2.21*(I919-1)) + EXP(2.21*(J919-1)) + EXP(2.21*(K919-1)) + EXP(2.21*L919)   )/100*2.45 )</f>
        <v>0.51126068492676302</v>
      </c>
      <c r="N919" s="255" t="s">
        <v>601</v>
      </c>
    </row>
    <row r="920" spans="1:14" x14ac:dyDescent="0.2">
      <c r="A920" s="814" t="s">
        <v>589</v>
      </c>
      <c r="B920" s="815" t="s">
        <v>579</v>
      </c>
      <c r="C920" s="612" t="s">
        <v>135</v>
      </c>
      <c r="D920" s="252" t="s">
        <v>135</v>
      </c>
      <c r="E920" s="816">
        <v>0.63549999999999995</v>
      </c>
      <c r="F920" s="250" t="s">
        <v>602</v>
      </c>
      <c r="G920" s="251" t="s">
        <v>16</v>
      </c>
      <c r="H920" s="252">
        <v>3</v>
      </c>
      <c r="I920" s="252">
        <v>2</v>
      </c>
      <c r="J920" s="252">
        <v>3</v>
      </c>
      <c r="K920" s="252">
        <v>3</v>
      </c>
      <c r="L920" s="253">
        <v>1</v>
      </c>
      <c r="M920" s="254">
        <f t="shared" ref="M920:M960" si="33">IF( OR( ISBLANK(H920),ISBLANK(I920), ISBLANK(J920), ISBLANK(K920), ISBLANK(L920) ), "", 1.5*SQRT( EXP(2.21*(H920-1)) + EXP(2.21*(I920-1)) + EXP(2.21*(J920-1)) + EXP(2.21*(K920-1)) + EXP(2.21*L920) )/100*2.45 )</f>
        <v>0.60108474454521421</v>
      </c>
      <c r="N920" s="255"/>
    </row>
    <row r="921" spans="1:14" x14ac:dyDescent="0.2">
      <c r="A921" s="814" t="s">
        <v>589</v>
      </c>
      <c r="B921" s="815" t="s">
        <v>579</v>
      </c>
      <c r="C921" s="612" t="s">
        <v>135</v>
      </c>
      <c r="D921" s="252" t="s">
        <v>135</v>
      </c>
      <c r="E921" s="816">
        <v>0.97399999999999998</v>
      </c>
      <c r="F921" s="250" t="s">
        <v>603</v>
      </c>
      <c r="G921" s="251" t="s">
        <v>16</v>
      </c>
      <c r="H921" s="252">
        <v>2</v>
      </c>
      <c r="I921" s="252">
        <v>2</v>
      </c>
      <c r="J921" s="252">
        <v>3</v>
      </c>
      <c r="K921" s="252">
        <v>3</v>
      </c>
      <c r="L921" s="253">
        <v>1</v>
      </c>
      <c r="M921" s="254">
        <f t="shared" si="33"/>
        <v>0.51126068492676302</v>
      </c>
      <c r="N921" s="255"/>
    </row>
    <row r="922" spans="1:14" x14ac:dyDescent="0.2">
      <c r="A922" s="814" t="s">
        <v>589</v>
      </c>
      <c r="B922" s="815" t="s">
        <v>579</v>
      </c>
      <c r="C922" s="612" t="s">
        <v>135</v>
      </c>
      <c r="D922" s="252" t="s">
        <v>135</v>
      </c>
      <c r="E922" s="816">
        <v>0.98399999999999999</v>
      </c>
      <c r="F922" s="250" t="s">
        <v>603</v>
      </c>
      <c r="G922" s="251" t="s">
        <v>16</v>
      </c>
      <c r="H922" s="252">
        <v>2</v>
      </c>
      <c r="I922" s="252">
        <v>2</v>
      </c>
      <c r="J922" s="252">
        <v>3</v>
      </c>
      <c r="K922" s="252">
        <v>3</v>
      </c>
      <c r="L922" s="253">
        <v>1</v>
      </c>
      <c r="M922" s="254">
        <f t="shared" si="33"/>
        <v>0.51126068492676302</v>
      </c>
      <c r="N922" s="255"/>
    </row>
    <row r="923" spans="1:14" x14ac:dyDescent="0.2">
      <c r="A923" s="814" t="s">
        <v>589</v>
      </c>
      <c r="B923" s="815" t="s">
        <v>579</v>
      </c>
      <c r="C923" s="612" t="s">
        <v>135</v>
      </c>
      <c r="D923" s="252" t="s">
        <v>135</v>
      </c>
      <c r="E923" s="816">
        <f>1-(33+21)/(476+160)</f>
        <v>0.91509433962264153</v>
      </c>
      <c r="F923" s="250" t="s">
        <v>604</v>
      </c>
      <c r="G923" s="251" t="s">
        <v>16</v>
      </c>
      <c r="H923" s="252">
        <v>2</v>
      </c>
      <c r="I923" s="252">
        <v>3</v>
      </c>
      <c r="J923" s="252">
        <v>3</v>
      </c>
      <c r="K923" s="252">
        <v>3</v>
      </c>
      <c r="L923" s="253">
        <v>1</v>
      </c>
      <c r="M923" s="254">
        <f t="shared" si="33"/>
        <v>0.60108474454521421</v>
      </c>
      <c r="N923" s="255" t="s">
        <v>605</v>
      </c>
    </row>
    <row r="924" spans="1:14" x14ac:dyDescent="0.2">
      <c r="A924" s="814" t="s">
        <v>589</v>
      </c>
      <c r="B924" s="815" t="s">
        <v>579</v>
      </c>
      <c r="C924" s="612" t="s">
        <v>135</v>
      </c>
      <c r="D924" s="252" t="s">
        <v>135</v>
      </c>
      <c r="E924" s="816">
        <v>0.82</v>
      </c>
      <c r="F924" s="250" t="s">
        <v>606</v>
      </c>
      <c r="G924" s="251" t="s">
        <v>16</v>
      </c>
      <c r="H924" s="252">
        <v>2</v>
      </c>
      <c r="I924" s="252">
        <v>2</v>
      </c>
      <c r="J924" s="252">
        <v>3</v>
      </c>
      <c r="K924" s="252">
        <v>3</v>
      </c>
      <c r="L924" s="253">
        <v>1</v>
      </c>
      <c r="M924" s="254">
        <f t="shared" si="33"/>
        <v>0.51126068492676302</v>
      </c>
      <c r="N924" s="255"/>
    </row>
    <row r="925" spans="1:14" x14ac:dyDescent="0.2">
      <c r="A925" s="814" t="s">
        <v>589</v>
      </c>
      <c r="B925" s="815" t="s">
        <v>579</v>
      </c>
      <c r="C925" s="612" t="s">
        <v>135</v>
      </c>
      <c r="D925" s="252" t="s">
        <v>135</v>
      </c>
      <c r="E925" s="816">
        <v>0.72299999999999998</v>
      </c>
      <c r="F925" s="250" t="s">
        <v>607</v>
      </c>
      <c r="G925" s="251" t="s">
        <v>16</v>
      </c>
      <c r="H925" s="252">
        <v>4</v>
      </c>
      <c r="I925" s="252">
        <v>2</v>
      </c>
      <c r="J925" s="252">
        <v>3</v>
      </c>
      <c r="K925" s="252">
        <v>3</v>
      </c>
      <c r="L925" s="253">
        <v>1</v>
      </c>
      <c r="M925" s="254">
        <f t="shared" si="33"/>
        <v>1.1278755061256256</v>
      </c>
      <c r="N925" s="255"/>
    </row>
    <row r="926" spans="1:14" x14ac:dyDescent="0.2">
      <c r="A926" s="814" t="s">
        <v>589</v>
      </c>
      <c r="B926" s="815" t="s">
        <v>579</v>
      </c>
      <c r="C926" s="612" t="s">
        <v>135</v>
      </c>
      <c r="D926" s="252" t="s">
        <v>135</v>
      </c>
      <c r="E926" s="816">
        <v>0.86250000000000004</v>
      </c>
      <c r="F926" s="250" t="s">
        <v>608</v>
      </c>
      <c r="G926" s="251" t="s">
        <v>16</v>
      </c>
      <c r="H926" s="252">
        <v>3</v>
      </c>
      <c r="I926" s="252">
        <v>3</v>
      </c>
      <c r="J926" s="252">
        <v>3</v>
      </c>
      <c r="K926" s="252">
        <v>3</v>
      </c>
      <c r="L926" s="253">
        <v>1</v>
      </c>
      <c r="M926" s="254">
        <f t="shared" si="33"/>
        <v>0.67913051197703389</v>
      </c>
      <c r="N926" s="255"/>
    </row>
    <row r="927" spans="1:14" x14ac:dyDescent="0.2">
      <c r="A927" s="814" t="s">
        <v>589</v>
      </c>
      <c r="B927" s="815" t="s">
        <v>579</v>
      </c>
      <c r="C927" s="612" t="s">
        <v>135</v>
      </c>
      <c r="D927" s="252" t="s">
        <v>135</v>
      </c>
      <c r="E927" s="816">
        <v>0.58840000000000003</v>
      </c>
      <c r="F927" s="250" t="s">
        <v>609</v>
      </c>
      <c r="G927" s="251" t="s">
        <v>16</v>
      </c>
      <c r="H927" s="252">
        <v>3</v>
      </c>
      <c r="I927" s="252">
        <v>2</v>
      </c>
      <c r="J927" s="252">
        <v>3</v>
      </c>
      <c r="K927" s="252">
        <v>3</v>
      </c>
      <c r="L927" s="253">
        <v>1</v>
      </c>
      <c r="M927" s="254">
        <f t="shared" si="33"/>
        <v>0.60108474454521421</v>
      </c>
      <c r="N927" s="255"/>
    </row>
    <row r="928" spans="1:14" x14ac:dyDescent="0.2">
      <c r="A928" s="814" t="s">
        <v>589</v>
      </c>
      <c r="B928" s="815" t="s">
        <v>579</v>
      </c>
      <c r="C928" s="612" t="s">
        <v>135</v>
      </c>
      <c r="D928" s="252" t="s">
        <v>135</v>
      </c>
      <c r="E928" s="816">
        <f>1-0.479/1.542</f>
        <v>0.68936446173800259</v>
      </c>
      <c r="F928" s="250" t="s">
        <v>610</v>
      </c>
      <c r="G928" s="251" t="s">
        <v>16</v>
      </c>
      <c r="H928" s="252">
        <v>2</v>
      </c>
      <c r="I928" s="252">
        <v>2</v>
      </c>
      <c r="J928" s="252">
        <v>3</v>
      </c>
      <c r="K928" s="252">
        <v>3</v>
      </c>
      <c r="L928" s="253">
        <v>1</v>
      </c>
      <c r="M928" s="254">
        <f t="shared" si="33"/>
        <v>0.51126068492676302</v>
      </c>
      <c r="N928" s="255" t="s">
        <v>611</v>
      </c>
    </row>
    <row r="929" spans="1:14" x14ac:dyDescent="0.2">
      <c r="A929" s="814" t="s">
        <v>589</v>
      </c>
      <c r="B929" s="815" t="s">
        <v>579</v>
      </c>
      <c r="C929" s="612" t="s">
        <v>135</v>
      </c>
      <c r="D929" s="252" t="s">
        <v>135</v>
      </c>
      <c r="E929" s="816">
        <v>0.78339999999999999</v>
      </c>
      <c r="F929" s="250" t="s">
        <v>612</v>
      </c>
      <c r="G929" s="251" t="s">
        <v>16</v>
      </c>
      <c r="H929" s="252">
        <v>2</v>
      </c>
      <c r="I929" s="252">
        <v>3</v>
      </c>
      <c r="J929" s="252">
        <v>3</v>
      </c>
      <c r="K929" s="252">
        <v>3</v>
      </c>
      <c r="L929" s="253">
        <v>1</v>
      </c>
      <c r="M929" s="254">
        <f t="shared" si="33"/>
        <v>0.60108474454521421</v>
      </c>
      <c r="N929" s="255"/>
    </row>
    <row r="930" spans="1:14" x14ac:dyDescent="0.2">
      <c r="A930" s="776" t="s">
        <v>589</v>
      </c>
      <c r="B930" s="777" t="s">
        <v>613</v>
      </c>
      <c r="C930" s="767" t="s">
        <v>135</v>
      </c>
      <c r="D930" s="398" t="s">
        <v>135</v>
      </c>
      <c r="E930" s="800" t="s">
        <v>188</v>
      </c>
      <c r="F930" s="399"/>
      <c r="G930" s="406" t="s">
        <v>16</v>
      </c>
      <c r="H930" s="556"/>
      <c r="I930" s="556"/>
      <c r="J930" s="556"/>
      <c r="K930" s="556"/>
      <c r="L930" s="557"/>
      <c r="M930" s="558" t="str">
        <f t="shared" si="33"/>
        <v/>
      </c>
      <c r="N930" s="631" t="s">
        <v>599</v>
      </c>
    </row>
    <row r="931" spans="1:14" x14ac:dyDescent="0.2">
      <c r="A931" s="775" t="s">
        <v>613</v>
      </c>
      <c r="B931" s="370" t="s">
        <v>614</v>
      </c>
      <c r="C931" s="247" t="s">
        <v>13</v>
      </c>
      <c r="D931" s="376" t="s">
        <v>135</v>
      </c>
      <c r="E931" s="454">
        <v>1</v>
      </c>
      <c r="F931" s="374" t="s">
        <v>615</v>
      </c>
      <c r="G931" s="375" t="s">
        <v>16</v>
      </c>
      <c r="H931" s="454"/>
      <c r="I931" s="454"/>
      <c r="J931" s="454"/>
      <c r="K931" s="454"/>
      <c r="L931" s="455"/>
      <c r="M931" s="507" t="str">
        <f t="shared" si="33"/>
        <v/>
      </c>
      <c r="N931" s="479"/>
    </row>
    <row r="932" spans="1:14" hidden="1" x14ac:dyDescent="0.2">
      <c r="A932" s="775" t="s">
        <v>613</v>
      </c>
      <c r="B932" s="370" t="s">
        <v>614</v>
      </c>
      <c r="C932" s="247" t="s">
        <v>18</v>
      </c>
      <c r="D932" s="376" t="s">
        <v>135</v>
      </c>
      <c r="E932" s="454">
        <v>1</v>
      </c>
      <c r="F932" s="374" t="s">
        <v>615</v>
      </c>
      <c r="G932" s="375" t="s">
        <v>16</v>
      </c>
      <c r="H932" s="454"/>
      <c r="I932" s="454"/>
      <c r="J932" s="454"/>
      <c r="K932" s="454"/>
      <c r="L932" s="455"/>
      <c r="M932" s="507" t="str">
        <f t="shared" si="33"/>
        <v/>
      </c>
      <c r="N932" s="479"/>
    </row>
    <row r="933" spans="1:14" hidden="1" x14ac:dyDescent="0.2">
      <c r="A933" s="775" t="s">
        <v>613</v>
      </c>
      <c r="B933" s="370" t="s">
        <v>614</v>
      </c>
      <c r="C933" s="247" t="s">
        <v>20</v>
      </c>
      <c r="D933" s="376" t="s">
        <v>135</v>
      </c>
      <c r="E933" s="780">
        <v>0.9859584859584859</v>
      </c>
      <c r="F933" s="374" t="s">
        <v>616</v>
      </c>
      <c r="G933" s="375" t="s">
        <v>16</v>
      </c>
      <c r="H933" s="376">
        <v>1</v>
      </c>
      <c r="I933" s="376">
        <v>2</v>
      </c>
      <c r="J933" s="376">
        <v>3</v>
      </c>
      <c r="K933" s="376">
        <v>3</v>
      </c>
      <c r="L933" s="377">
        <v>1</v>
      </c>
      <c r="M933" s="378">
        <f t="shared" si="33"/>
        <v>0.50042652380814845</v>
      </c>
      <c r="N933" s="479"/>
    </row>
    <row r="934" spans="1:14" hidden="1" x14ac:dyDescent="0.2">
      <c r="A934" s="775" t="s">
        <v>613</v>
      </c>
      <c r="B934" s="370" t="s">
        <v>614</v>
      </c>
      <c r="C934" s="247" t="s">
        <v>22</v>
      </c>
      <c r="D934" s="376" t="s">
        <v>135</v>
      </c>
      <c r="E934" s="780">
        <v>0.69171483622350682</v>
      </c>
      <c r="F934" s="374" t="s">
        <v>617</v>
      </c>
      <c r="G934" s="375" t="s">
        <v>16</v>
      </c>
      <c r="H934" s="376">
        <v>1</v>
      </c>
      <c r="I934" s="376">
        <v>2</v>
      </c>
      <c r="J934" s="376">
        <v>3</v>
      </c>
      <c r="K934" s="376">
        <v>3</v>
      </c>
      <c r="L934" s="377">
        <v>1</v>
      </c>
      <c r="M934" s="378">
        <f t="shared" si="33"/>
        <v>0.50042652380814845</v>
      </c>
      <c r="N934" s="479"/>
    </row>
    <row r="935" spans="1:14" hidden="1" x14ac:dyDescent="0.2">
      <c r="A935" s="775" t="s">
        <v>613</v>
      </c>
      <c r="B935" s="370" t="s">
        <v>614</v>
      </c>
      <c r="C935" s="247" t="s">
        <v>23</v>
      </c>
      <c r="D935" s="376" t="s">
        <v>135</v>
      </c>
      <c r="E935" s="454">
        <v>1</v>
      </c>
      <c r="F935" s="374" t="s">
        <v>615</v>
      </c>
      <c r="G935" s="375" t="s">
        <v>16</v>
      </c>
      <c r="H935" s="454"/>
      <c r="I935" s="454"/>
      <c r="J935" s="454"/>
      <c r="K935" s="454"/>
      <c r="L935" s="455"/>
      <c r="M935" s="507" t="str">
        <f t="shared" si="33"/>
        <v/>
      </c>
      <c r="N935" s="479"/>
    </row>
    <row r="936" spans="1:14" hidden="1" x14ac:dyDescent="0.2">
      <c r="A936" s="775" t="s">
        <v>613</v>
      </c>
      <c r="B936" s="370" t="s">
        <v>614</v>
      </c>
      <c r="C936" s="247" t="s">
        <v>24</v>
      </c>
      <c r="D936" s="376" t="s">
        <v>135</v>
      </c>
      <c r="E936" s="780">
        <v>0.9882352941176471</v>
      </c>
      <c r="F936" s="374" t="s">
        <v>618</v>
      </c>
      <c r="G936" s="375" t="s">
        <v>16</v>
      </c>
      <c r="H936" s="376">
        <v>1</v>
      </c>
      <c r="I936" s="376">
        <v>2</v>
      </c>
      <c r="J936" s="376">
        <v>3</v>
      </c>
      <c r="K936" s="376">
        <v>3</v>
      </c>
      <c r="L936" s="377">
        <v>1</v>
      </c>
      <c r="M936" s="378">
        <f t="shared" si="33"/>
        <v>0.50042652380814845</v>
      </c>
      <c r="N936" s="479"/>
    </row>
    <row r="937" spans="1:14" hidden="1" x14ac:dyDescent="0.2">
      <c r="A937" s="775" t="s">
        <v>613</v>
      </c>
      <c r="B937" s="370" t="s">
        <v>614</v>
      </c>
      <c r="C937" s="247" t="s">
        <v>25</v>
      </c>
      <c r="D937" s="376" t="s">
        <v>135</v>
      </c>
      <c r="E937" s="780">
        <v>0.87499999999999989</v>
      </c>
      <c r="F937" s="374" t="s">
        <v>619</v>
      </c>
      <c r="G937" s="375" t="s">
        <v>16</v>
      </c>
      <c r="H937" s="376">
        <v>1</v>
      </c>
      <c r="I937" s="376">
        <v>2</v>
      </c>
      <c r="J937" s="376">
        <v>3</v>
      </c>
      <c r="K937" s="376">
        <v>3</v>
      </c>
      <c r="L937" s="377">
        <v>1</v>
      </c>
      <c r="M937" s="378">
        <f t="shared" si="33"/>
        <v>0.50042652380814845</v>
      </c>
      <c r="N937" s="479"/>
    </row>
    <row r="938" spans="1:14" hidden="1" x14ac:dyDescent="0.2">
      <c r="A938" s="775" t="s">
        <v>613</v>
      </c>
      <c r="B938" s="370" t="s">
        <v>614</v>
      </c>
      <c r="C938" s="247" t="s">
        <v>26</v>
      </c>
      <c r="D938" s="376" t="s">
        <v>135</v>
      </c>
      <c r="E938" s="780">
        <v>0.99099099099099108</v>
      </c>
      <c r="F938" s="374" t="s">
        <v>620</v>
      </c>
      <c r="G938" s="375" t="s">
        <v>16</v>
      </c>
      <c r="H938" s="376">
        <v>1</v>
      </c>
      <c r="I938" s="376">
        <v>2</v>
      </c>
      <c r="J938" s="376">
        <v>3</v>
      </c>
      <c r="K938" s="376">
        <v>3</v>
      </c>
      <c r="L938" s="377">
        <v>1</v>
      </c>
      <c r="M938" s="378">
        <f t="shared" si="33"/>
        <v>0.50042652380814845</v>
      </c>
      <c r="N938" s="479"/>
    </row>
    <row r="939" spans="1:14" hidden="1" x14ac:dyDescent="0.2">
      <c r="A939" s="775" t="s">
        <v>613</v>
      </c>
      <c r="B939" s="370" t="s">
        <v>614</v>
      </c>
      <c r="C939" s="247" t="s">
        <v>27</v>
      </c>
      <c r="D939" s="376" t="s">
        <v>135</v>
      </c>
      <c r="E939" s="454">
        <v>1</v>
      </c>
      <c r="F939" s="374" t="s">
        <v>615</v>
      </c>
      <c r="G939" s="375" t="s">
        <v>16</v>
      </c>
      <c r="H939" s="454"/>
      <c r="I939" s="454"/>
      <c r="J939" s="454"/>
      <c r="K939" s="454"/>
      <c r="L939" s="455"/>
      <c r="M939" s="507" t="str">
        <f t="shared" si="33"/>
        <v/>
      </c>
      <c r="N939" s="479"/>
    </row>
    <row r="940" spans="1:14" hidden="1" x14ac:dyDescent="0.2">
      <c r="A940" s="775" t="s">
        <v>613</v>
      </c>
      <c r="B940" s="370" t="s">
        <v>614</v>
      </c>
      <c r="C940" s="247" t="s">
        <v>28</v>
      </c>
      <c r="D940" s="376" t="s">
        <v>135</v>
      </c>
      <c r="E940" s="454">
        <v>1</v>
      </c>
      <c r="F940" s="374" t="s">
        <v>615</v>
      </c>
      <c r="G940" s="375" t="s">
        <v>16</v>
      </c>
      <c r="H940" s="454"/>
      <c r="I940" s="454"/>
      <c r="J940" s="454"/>
      <c r="K940" s="454"/>
      <c r="L940" s="455"/>
      <c r="M940" s="507" t="str">
        <f t="shared" si="33"/>
        <v/>
      </c>
      <c r="N940" s="479"/>
    </row>
    <row r="941" spans="1:14" hidden="1" x14ac:dyDescent="0.2">
      <c r="A941" s="775" t="s">
        <v>613</v>
      </c>
      <c r="B941" s="370" t="s">
        <v>614</v>
      </c>
      <c r="C941" s="247" t="s">
        <v>30</v>
      </c>
      <c r="D941" s="376" t="s">
        <v>135</v>
      </c>
      <c r="E941" s="780">
        <v>0.99304267161410009</v>
      </c>
      <c r="F941" s="374" t="s">
        <v>621</v>
      </c>
      <c r="G941" s="375" t="s">
        <v>16</v>
      </c>
      <c r="H941" s="376">
        <v>1</v>
      </c>
      <c r="I941" s="376">
        <v>2</v>
      </c>
      <c r="J941" s="376">
        <v>3</v>
      </c>
      <c r="K941" s="376">
        <v>3</v>
      </c>
      <c r="L941" s="377">
        <v>1</v>
      </c>
      <c r="M941" s="378">
        <f t="shared" si="33"/>
        <v>0.50042652380814845</v>
      </c>
      <c r="N941" s="479"/>
    </row>
    <row r="942" spans="1:14" hidden="1" x14ac:dyDescent="0.2">
      <c r="A942" s="775" t="s">
        <v>613</v>
      </c>
      <c r="B942" s="370" t="s">
        <v>614</v>
      </c>
      <c r="C942" s="247" t="s">
        <v>32</v>
      </c>
      <c r="D942" s="376" t="s">
        <v>135</v>
      </c>
      <c r="E942" s="454">
        <v>1</v>
      </c>
      <c r="F942" s="374" t="s">
        <v>615</v>
      </c>
      <c r="G942" s="375" t="s">
        <v>16</v>
      </c>
      <c r="H942" s="454"/>
      <c r="I942" s="454"/>
      <c r="J942" s="454"/>
      <c r="K942" s="454"/>
      <c r="L942" s="455"/>
      <c r="M942" s="507" t="str">
        <f t="shared" si="33"/>
        <v/>
      </c>
      <c r="N942" s="479"/>
    </row>
    <row r="943" spans="1:14" hidden="1" x14ac:dyDescent="0.2">
      <c r="A943" s="775" t="s">
        <v>613</v>
      </c>
      <c r="B943" s="370" t="s">
        <v>614</v>
      </c>
      <c r="C943" s="247" t="s">
        <v>34</v>
      </c>
      <c r="D943" s="376" t="s">
        <v>135</v>
      </c>
      <c r="E943" s="780">
        <v>0.99026425591098755</v>
      </c>
      <c r="F943" s="374" t="s">
        <v>622</v>
      </c>
      <c r="G943" s="375" t="s">
        <v>16</v>
      </c>
      <c r="H943" s="376">
        <v>1</v>
      </c>
      <c r="I943" s="376">
        <v>2</v>
      </c>
      <c r="J943" s="376">
        <v>3</v>
      </c>
      <c r="K943" s="376">
        <v>3</v>
      </c>
      <c r="L943" s="377">
        <v>1</v>
      </c>
      <c r="M943" s="378">
        <f t="shared" si="33"/>
        <v>0.50042652380814845</v>
      </c>
      <c r="N943" s="479"/>
    </row>
    <row r="944" spans="1:14" hidden="1" x14ac:dyDescent="0.2">
      <c r="A944" s="775" t="s">
        <v>613</v>
      </c>
      <c r="B944" s="370" t="s">
        <v>614</v>
      </c>
      <c r="C944" s="247" t="s">
        <v>36</v>
      </c>
      <c r="D944" s="376" t="s">
        <v>135</v>
      </c>
      <c r="E944" s="780">
        <v>0.98074579575920062</v>
      </c>
      <c r="F944" s="374" t="s">
        <v>623</v>
      </c>
      <c r="G944" s="375" t="s">
        <v>16</v>
      </c>
      <c r="H944" s="376">
        <v>1</v>
      </c>
      <c r="I944" s="376">
        <v>2</v>
      </c>
      <c r="J944" s="376">
        <v>3</v>
      </c>
      <c r="K944" s="376">
        <v>3</v>
      </c>
      <c r="L944" s="377">
        <v>1</v>
      </c>
      <c r="M944" s="378">
        <f t="shared" si="33"/>
        <v>0.50042652380814845</v>
      </c>
      <c r="N944" s="479"/>
    </row>
    <row r="945" spans="1:14" hidden="1" x14ac:dyDescent="0.2">
      <c r="A945" s="775" t="s">
        <v>613</v>
      </c>
      <c r="B945" s="370" t="s">
        <v>614</v>
      </c>
      <c r="C945" s="247" t="s">
        <v>37</v>
      </c>
      <c r="D945" s="376" t="s">
        <v>135</v>
      </c>
      <c r="E945" s="780">
        <v>0.8657407407407407</v>
      </c>
      <c r="F945" s="374" t="s">
        <v>624</v>
      </c>
      <c r="G945" s="375" t="s">
        <v>16</v>
      </c>
      <c r="H945" s="376">
        <v>1</v>
      </c>
      <c r="I945" s="376">
        <v>2</v>
      </c>
      <c r="J945" s="376">
        <v>3</v>
      </c>
      <c r="K945" s="376">
        <v>3</v>
      </c>
      <c r="L945" s="377">
        <v>1</v>
      </c>
      <c r="M945" s="378">
        <f t="shared" si="33"/>
        <v>0.50042652380814845</v>
      </c>
      <c r="N945" s="479"/>
    </row>
    <row r="946" spans="1:14" hidden="1" x14ac:dyDescent="0.2">
      <c r="A946" s="775" t="s">
        <v>613</v>
      </c>
      <c r="B946" s="370" t="s">
        <v>614</v>
      </c>
      <c r="C946" s="247" t="s">
        <v>39</v>
      </c>
      <c r="D946" s="376" t="s">
        <v>135</v>
      </c>
      <c r="E946" s="780">
        <v>0.94036697247706424</v>
      </c>
      <c r="F946" s="374" t="s">
        <v>625</v>
      </c>
      <c r="G946" s="375" t="s">
        <v>16</v>
      </c>
      <c r="H946" s="376">
        <v>1</v>
      </c>
      <c r="I946" s="376">
        <v>2</v>
      </c>
      <c r="J946" s="376">
        <v>3</v>
      </c>
      <c r="K946" s="376">
        <v>3</v>
      </c>
      <c r="L946" s="377">
        <v>1</v>
      </c>
      <c r="M946" s="378">
        <f t="shared" si="33"/>
        <v>0.50042652380814845</v>
      </c>
      <c r="N946" s="479"/>
    </row>
    <row r="947" spans="1:14" hidden="1" x14ac:dyDescent="0.2">
      <c r="A947" s="775" t="s">
        <v>613</v>
      </c>
      <c r="B947" s="370" t="s">
        <v>614</v>
      </c>
      <c r="C947" s="247" t="s">
        <v>40</v>
      </c>
      <c r="D947" s="376" t="s">
        <v>135</v>
      </c>
      <c r="E947" s="780">
        <v>0.98522458628841614</v>
      </c>
      <c r="F947" s="374" t="s">
        <v>626</v>
      </c>
      <c r="G947" s="375" t="s">
        <v>16</v>
      </c>
      <c r="H947" s="376">
        <v>1</v>
      </c>
      <c r="I947" s="376">
        <v>2</v>
      </c>
      <c r="J947" s="376">
        <v>3</v>
      </c>
      <c r="K947" s="376">
        <v>3</v>
      </c>
      <c r="L947" s="377">
        <v>1</v>
      </c>
      <c r="M947" s="378">
        <f t="shared" si="33"/>
        <v>0.50042652380814845</v>
      </c>
      <c r="N947" s="479"/>
    </row>
    <row r="948" spans="1:14" hidden="1" x14ac:dyDescent="0.2">
      <c r="A948" s="775" t="s">
        <v>613</v>
      </c>
      <c r="B948" s="370" t="s">
        <v>614</v>
      </c>
      <c r="C948" s="247" t="s">
        <v>41</v>
      </c>
      <c r="D948" s="376" t="s">
        <v>135</v>
      </c>
      <c r="E948" s="780">
        <v>0.93162393162393164</v>
      </c>
      <c r="F948" s="374" t="s">
        <v>627</v>
      </c>
      <c r="G948" s="375" t="s">
        <v>16</v>
      </c>
      <c r="H948" s="376">
        <v>1</v>
      </c>
      <c r="I948" s="376">
        <v>2</v>
      </c>
      <c r="J948" s="376">
        <v>3</v>
      </c>
      <c r="K948" s="376">
        <v>3</v>
      </c>
      <c r="L948" s="377">
        <v>1</v>
      </c>
      <c r="M948" s="378">
        <f t="shared" si="33"/>
        <v>0.50042652380814845</v>
      </c>
      <c r="N948" s="479"/>
    </row>
    <row r="949" spans="1:14" hidden="1" x14ac:dyDescent="0.2">
      <c r="A949" s="775" t="s">
        <v>613</v>
      </c>
      <c r="B949" s="370" t="s">
        <v>614</v>
      </c>
      <c r="C949" s="247" t="s">
        <v>42</v>
      </c>
      <c r="D949" s="376" t="s">
        <v>135</v>
      </c>
      <c r="E949" s="780">
        <v>0.15038963667644981</v>
      </c>
      <c r="F949" s="374" t="s">
        <v>628</v>
      </c>
      <c r="G949" s="375" t="s">
        <v>16</v>
      </c>
      <c r="H949" s="376">
        <v>1</v>
      </c>
      <c r="I949" s="376">
        <v>2</v>
      </c>
      <c r="J949" s="376">
        <v>3</v>
      </c>
      <c r="K949" s="376">
        <v>3</v>
      </c>
      <c r="L949" s="377">
        <v>1</v>
      </c>
      <c r="M949" s="378">
        <f t="shared" si="33"/>
        <v>0.50042652380814845</v>
      </c>
      <c r="N949" s="479"/>
    </row>
    <row r="950" spans="1:14" hidden="1" x14ac:dyDescent="0.2">
      <c r="A950" s="775" t="s">
        <v>613</v>
      </c>
      <c r="B950" s="370" t="s">
        <v>614</v>
      </c>
      <c r="C950" s="247" t="s">
        <v>43</v>
      </c>
      <c r="D950" s="376" t="s">
        <v>135</v>
      </c>
      <c r="E950" s="454">
        <v>1</v>
      </c>
      <c r="F950" s="374" t="s">
        <v>615</v>
      </c>
      <c r="G950" s="375" t="s">
        <v>16</v>
      </c>
      <c r="H950" s="454"/>
      <c r="I950" s="454"/>
      <c r="J950" s="454"/>
      <c r="K950" s="454"/>
      <c r="L950" s="455"/>
      <c r="M950" s="507" t="str">
        <f t="shared" si="33"/>
        <v/>
      </c>
      <c r="N950" s="479"/>
    </row>
    <row r="951" spans="1:14" hidden="1" x14ac:dyDescent="0.2">
      <c r="A951" s="775" t="s">
        <v>613</v>
      </c>
      <c r="B951" s="370" t="s">
        <v>614</v>
      </c>
      <c r="C951" s="247" t="s">
        <v>45</v>
      </c>
      <c r="D951" s="376" t="s">
        <v>135</v>
      </c>
      <c r="E951" s="780">
        <v>0.15476190476190471</v>
      </c>
      <c r="F951" s="374" t="s">
        <v>629</v>
      </c>
      <c r="G951" s="375" t="s">
        <v>16</v>
      </c>
      <c r="H951" s="376">
        <v>1</v>
      </c>
      <c r="I951" s="376">
        <v>2</v>
      </c>
      <c r="J951" s="376">
        <v>3</v>
      </c>
      <c r="K951" s="376">
        <v>3</v>
      </c>
      <c r="L951" s="377">
        <v>1</v>
      </c>
      <c r="M951" s="378">
        <f t="shared" si="33"/>
        <v>0.50042652380814845</v>
      </c>
      <c r="N951" s="479"/>
    </row>
    <row r="952" spans="1:14" hidden="1" x14ac:dyDescent="0.2">
      <c r="A952" s="775" t="s">
        <v>613</v>
      </c>
      <c r="B952" s="370" t="s">
        <v>614</v>
      </c>
      <c r="C952" s="247" t="s">
        <v>46</v>
      </c>
      <c r="D952" s="376" t="s">
        <v>135</v>
      </c>
      <c r="E952" s="454">
        <v>1</v>
      </c>
      <c r="F952" s="374" t="s">
        <v>615</v>
      </c>
      <c r="G952" s="375" t="s">
        <v>16</v>
      </c>
      <c r="H952" s="454"/>
      <c r="I952" s="454"/>
      <c r="J952" s="454"/>
      <c r="K952" s="454"/>
      <c r="L952" s="455"/>
      <c r="M952" s="507" t="str">
        <f t="shared" si="33"/>
        <v/>
      </c>
      <c r="N952" s="479"/>
    </row>
    <row r="953" spans="1:14" hidden="1" x14ac:dyDescent="0.2">
      <c r="A953" s="775" t="s">
        <v>613</v>
      </c>
      <c r="B953" s="370" t="s">
        <v>614</v>
      </c>
      <c r="C953" s="247" t="s">
        <v>48</v>
      </c>
      <c r="D953" s="376" t="s">
        <v>135</v>
      </c>
      <c r="E953" s="780">
        <v>0.87003542793212751</v>
      </c>
      <c r="F953" s="374" t="s">
        <v>630</v>
      </c>
      <c r="G953" s="375" t="s">
        <v>16</v>
      </c>
      <c r="H953" s="376">
        <v>1</v>
      </c>
      <c r="I953" s="376">
        <v>2</v>
      </c>
      <c r="J953" s="376">
        <v>3</v>
      </c>
      <c r="K953" s="376">
        <v>3</v>
      </c>
      <c r="L953" s="377">
        <v>1</v>
      </c>
      <c r="M953" s="378">
        <f t="shared" si="33"/>
        <v>0.50042652380814845</v>
      </c>
      <c r="N953" s="479"/>
    </row>
    <row r="954" spans="1:14" hidden="1" x14ac:dyDescent="0.2">
      <c r="A954" s="775" t="s">
        <v>613</v>
      </c>
      <c r="B954" s="370" t="s">
        <v>614</v>
      </c>
      <c r="C954" s="247" t="s">
        <v>50</v>
      </c>
      <c r="D954" s="376" t="s">
        <v>135</v>
      </c>
      <c r="E954" s="780">
        <v>0.65957446808510634</v>
      </c>
      <c r="F954" s="374" t="s">
        <v>631</v>
      </c>
      <c r="G954" s="375" t="s">
        <v>16</v>
      </c>
      <c r="H954" s="376">
        <v>1</v>
      </c>
      <c r="I954" s="376">
        <v>2</v>
      </c>
      <c r="J954" s="376">
        <v>3</v>
      </c>
      <c r="K954" s="376">
        <v>3</v>
      </c>
      <c r="L954" s="377">
        <v>1</v>
      </c>
      <c r="M954" s="378">
        <f t="shared" si="33"/>
        <v>0.50042652380814845</v>
      </c>
      <c r="N954" s="479"/>
    </row>
    <row r="955" spans="1:14" hidden="1" x14ac:dyDescent="0.2">
      <c r="A955" s="775" t="s">
        <v>613</v>
      </c>
      <c r="B955" s="370" t="s">
        <v>614</v>
      </c>
      <c r="C955" s="247" t="s">
        <v>52</v>
      </c>
      <c r="D955" s="376" t="s">
        <v>135</v>
      </c>
      <c r="E955" s="780">
        <v>0.96636085626911306</v>
      </c>
      <c r="F955" s="374" t="s">
        <v>632</v>
      </c>
      <c r="G955" s="375" t="s">
        <v>16</v>
      </c>
      <c r="H955" s="376">
        <v>1</v>
      </c>
      <c r="I955" s="376">
        <v>2</v>
      </c>
      <c r="J955" s="376">
        <v>3</v>
      </c>
      <c r="K955" s="376">
        <v>3</v>
      </c>
      <c r="L955" s="377">
        <v>1</v>
      </c>
      <c r="M955" s="378">
        <f t="shared" si="33"/>
        <v>0.50042652380814845</v>
      </c>
      <c r="N955" s="479"/>
    </row>
    <row r="956" spans="1:14" hidden="1" x14ac:dyDescent="0.2">
      <c r="A956" s="775" t="s">
        <v>613</v>
      </c>
      <c r="B956" s="370" t="s">
        <v>614</v>
      </c>
      <c r="C956" s="247" t="s">
        <v>54</v>
      </c>
      <c r="D956" s="376" t="s">
        <v>135</v>
      </c>
      <c r="E956" s="454">
        <v>1</v>
      </c>
      <c r="F956" s="374" t="s">
        <v>615</v>
      </c>
      <c r="G956" s="375" t="s">
        <v>16</v>
      </c>
      <c r="H956" s="454"/>
      <c r="I956" s="454"/>
      <c r="J956" s="454"/>
      <c r="K956" s="454"/>
      <c r="L956" s="455"/>
      <c r="M956" s="507" t="str">
        <f t="shared" si="33"/>
        <v/>
      </c>
      <c r="N956" s="479"/>
    </row>
    <row r="957" spans="1:14" hidden="1" x14ac:dyDescent="0.2">
      <c r="A957" s="775" t="s">
        <v>613</v>
      </c>
      <c r="B957" s="370" t="s">
        <v>614</v>
      </c>
      <c r="C957" s="247" t="s">
        <v>55</v>
      </c>
      <c r="D957" s="376" t="s">
        <v>135</v>
      </c>
      <c r="E957" s="780">
        <v>0.93359375</v>
      </c>
      <c r="F957" s="374" t="s">
        <v>633</v>
      </c>
      <c r="G957" s="375" t="s">
        <v>16</v>
      </c>
      <c r="H957" s="376">
        <v>1</v>
      </c>
      <c r="I957" s="376">
        <v>2</v>
      </c>
      <c r="J957" s="376">
        <v>3</v>
      </c>
      <c r="K957" s="376">
        <v>3</v>
      </c>
      <c r="L957" s="377">
        <v>1</v>
      </c>
      <c r="M957" s="378">
        <f t="shared" si="33"/>
        <v>0.50042652380814845</v>
      </c>
      <c r="N957" s="479"/>
    </row>
    <row r="958" spans="1:14" hidden="1" x14ac:dyDescent="0.2">
      <c r="A958" s="775" t="s">
        <v>613</v>
      </c>
      <c r="B958" s="370" t="s">
        <v>614</v>
      </c>
      <c r="C958" s="247" t="s">
        <v>57</v>
      </c>
      <c r="D958" s="376" t="s">
        <v>135</v>
      </c>
      <c r="E958" s="454">
        <v>1</v>
      </c>
      <c r="F958" s="374" t="s">
        <v>615</v>
      </c>
      <c r="G958" s="375" t="s">
        <v>16</v>
      </c>
      <c r="H958" s="454"/>
      <c r="I958" s="454"/>
      <c r="J958" s="454"/>
      <c r="K958" s="454"/>
      <c r="L958" s="455"/>
      <c r="M958" s="507" t="str">
        <f t="shared" si="33"/>
        <v/>
      </c>
      <c r="N958" s="479"/>
    </row>
    <row r="959" spans="1:14" hidden="1" x14ac:dyDescent="0.2">
      <c r="A959" s="775" t="s">
        <v>613</v>
      </c>
      <c r="B959" s="370" t="s">
        <v>614</v>
      </c>
      <c r="C959" s="247" t="s">
        <v>59</v>
      </c>
      <c r="D959" s="376" t="s">
        <v>135</v>
      </c>
      <c r="E959" s="454">
        <v>1</v>
      </c>
      <c r="F959" s="374" t="s">
        <v>615</v>
      </c>
      <c r="G959" s="375" t="s">
        <v>16</v>
      </c>
      <c r="H959" s="454"/>
      <c r="I959" s="454"/>
      <c r="J959" s="454"/>
      <c r="K959" s="454"/>
      <c r="L959" s="455"/>
      <c r="M959" s="507" t="str">
        <f t="shared" si="33"/>
        <v/>
      </c>
      <c r="N959" s="479"/>
    </row>
    <row r="960" spans="1:14" hidden="1" x14ac:dyDescent="0.2">
      <c r="A960" s="775" t="s">
        <v>613</v>
      </c>
      <c r="B960" s="370" t="s">
        <v>614</v>
      </c>
      <c r="C960" s="247" t="s">
        <v>60</v>
      </c>
      <c r="D960" s="376" t="s">
        <v>135</v>
      </c>
      <c r="E960" s="454">
        <v>1</v>
      </c>
      <c r="F960" s="374" t="s">
        <v>615</v>
      </c>
      <c r="G960" s="375" t="s">
        <v>16</v>
      </c>
      <c r="H960" s="454"/>
      <c r="I960" s="454"/>
      <c r="J960" s="454"/>
      <c r="K960" s="454"/>
      <c r="L960" s="455"/>
      <c r="M960" s="507" t="str">
        <f t="shared" si="33"/>
        <v/>
      </c>
      <c r="N960" s="817"/>
    </row>
    <row r="961" spans="1:14" x14ac:dyDescent="0.2">
      <c r="A961" s="775" t="s">
        <v>613</v>
      </c>
      <c r="B961" s="778" t="s">
        <v>634</v>
      </c>
      <c r="C961" s="770" t="s">
        <v>135</v>
      </c>
      <c r="D961" s="376" t="s">
        <v>135</v>
      </c>
      <c r="E961" s="454" t="s">
        <v>188</v>
      </c>
      <c r="F961" s="374"/>
      <c r="G961" s="375" t="s">
        <v>16</v>
      </c>
      <c r="H961" s="454"/>
      <c r="I961" s="454"/>
      <c r="J961" s="454"/>
      <c r="K961" s="454"/>
      <c r="L961" s="455"/>
      <c r="M961" s="507"/>
      <c r="N961" s="479"/>
    </row>
    <row r="962" spans="1:14" x14ac:dyDescent="0.2">
      <c r="A962" s="818" t="s">
        <v>598</v>
      </c>
      <c r="B962" s="819" t="s">
        <v>578</v>
      </c>
      <c r="C962" s="820" t="s">
        <v>135</v>
      </c>
      <c r="D962" s="269" t="s">
        <v>135</v>
      </c>
      <c r="E962" s="821">
        <v>1</v>
      </c>
      <c r="F962" s="267" t="s">
        <v>455</v>
      </c>
      <c r="G962" s="268" t="s">
        <v>16</v>
      </c>
      <c r="H962" s="821"/>
      <c r="I962" s="821"/>
      <c r="J962" s="821"/>
      <c r="K962" s="821"/>
      <c r="L962" s="822"/>
      <c r="M962" s="462" t="str">
        <f t="shared" ref="M962:M977" si="34">IF( OR( ISBLANK(H962),ISBLANK(I962), ISBLANK(J962), ISBLANK(K962), ISBLANK(L962) ), "", 1.5*SQRT( EXP(2.21*(H962-1)) + EXP(2.21*(I962-1)) + EXP(2.21*(J962-1)) + EXP(2.21*(K962-1)) + EXP(2.21*L962) )/100*2.45 )</f>
        <v/>
      </c>
      <c r="N962" s="272" t="s">
        <v>635</v>
      </c>
    </row>
    <row r="963" spans="1:14" x14ac:dyDescent="0.2">
      <c r="A963" s="823" t="s">
        <v>598</v>
      </c>
      <c r="B963" s="824" t="s">
        <v>636</v>
      </c>
      <c r="C963" s="610" t="s">
        <v>135</v>
      </c>
      <c r="D963" s="291" t="s">
        <v>135</v>
      </c>
      <c r="E963" s="473">
        <v>0</v>
      </c>
      <c r="F963" s="289" t="s">
        <v>455</v>
      </c>
      <c r="G963" s="290" t="s">
        <v>16</v>
      </c>
      <c r="H963" s="473"/>
      <c r="I963" s="473"/>
      <c r="J963" s="473"/>
      <c r="K963" s="473"/>
      <c r="L963" s="474"/>
      <c r="M963" s="475" t="str">
        <f t="shared" si="34"/>
        <v/>
      </c>
      <c r="N963" s="294"/>
    </row>
    <row r="964" spans="1:14" x14ac:dyDescent="0.2">
      <c r="A964" s="814" t="s">
        <v>614</v>
      </c>
      <c r="B964" s="815" t="s">
        <v>579</v>
      </c>
      <c r="C964" s="612" t="s">
        <v>135</v>
      </c>
      <c r="D964" s="252" t="s">
        <v>135</v>
      </c>
      <c r="E964" s="816">
        <v>0.875</v>
      </c>
      <c r="F964" s="250" t="s">
        <v>602</v>
      </c>
      <c r="G964" s="251" t="s">
        <v>16</v>
      </c>
      <c r="H964" s="252">
        <v>2</v>
      </c>
      <c r="I964" s="252">
        <v>2</v>
      </c>
      <c r="J964" s="252">
        <v>3</v>
      </c>
      <c r="K964" s="252">
        <v>3</v>
      </c>
      <c r="L964" s="253">
        <v>1</v>
      </c>
      <c r="M964" s="254">
        <f t="shared" si="34"/>
        <v>0.51126068492676302</v>
      </c>
      <c r="N964" s="255"/>
    </row>
    <row r="965" spans="1:14" x14ac:dyDescent="0.2">
      <c r="A965" s="814" t="s">
        <v>614</v>
      </c>
      <c r="B965" s="815" t="s">
        <v>579</v>
      </c>
      <c r="C965" s="612" t="s">
        <v>135</v>
      </c>
      <c r="D965" s="252" t="s">
        <v>135</v>
      </c>
      <c r="E965" s="816">
        <v>0.92</v>
      </c>
      <c r="F965" s="250" t="s">
        <v>606</v>
      </c>
      <c r="G965" s="251" t="s">
        <v>16</v>
      </c>
      <c r="H965" s="252">
        <v>2</v>
      </c>
      <c r="I965" s="252">
        <v>2</v>
      </c>
      <c r="J965" s="252">
        <v>3</v>
      </c>
      <c r="K965" s="252">
        <v>3</v>
      </c>
      <c r="L965" s="253">
        <v>1</v>
      </c>
      <c r="M965" s="254">
        <f t="shared" si="34"/>
        <v>0.51126068492676302</v>
      </c>
      <c r="N965" s="255"/>
    </row>
    <row r="966" spans="1:14" x14ac:dyDescent="0.2">
      <c r="A966" s="814" t="s">
        <v>614</v>
      </c>
      <c r="B966" s="815" t="s">
        <v>579</v>
      </c>
      <c r="C966" s="612" t="s">
        <v>135</v>
      </c>
      <c r="D966" s="252" t="s">
        <v>135</v>
      </c>
      <c r="E966" s="816">
        <v>0.24399999999999999</v>
      </c>
      <c r="F966" s="250" t="s">
        <v>607</v>
      </c>
      <c r="G966" s="251" t="s">
        <v>16</v>
      </c>
      <c r="H966" s="252">
        <v>4</v>
      </c>
      <c r="I966" s="252">
        <v>2</v>
      </c>
      <c r="J966" s="252">
        <v>3</v>
      </c>
      <c r="K966" s="252">
        <v>3</v>
      </c>
      <c r="L966" s="253">
        <v>1</v>
      </c>
      <c r="M966" s="254">
        <f t="shared" si="34"/>
        <v>1.1278755061256256</v>
      </c>
      <c r="N966" s="255"/>
    </row>
    <row r="967" spans="1:14" x14ac:dyDescent="0.2">
      <c r="A967" s="814" t="s">
        <v>614</v>
      </c>
      <c r="B967" s="815" t="s">
        <v>579</v>
      </c>
      <c r="C967" s="612" t="s">
        <v>135</v>
      </c>
      <c r="D967" s="252" t="s">
        <v>135</v>
      </c>
      <c r="E967" s="816">
        <v>0.93799999999999994</v>
      </c>
      <c r="F967" s="250" t="s">
        <v>608</v>
      </c>
      <c r="G967" s="251" t="s">
        <v>16</v>
      </c>
      <c r="H967" s="252">
        <v>3</v>
      </c>
      <c r="I967" s="252">
        <v>3</v>
      </c>
      <c r="J967" s="252">
        <v>3</v>
      </c>
      <c r="K967" s="252">
        <v>3</v>
      </c>
      <c r="L967" s="253">
        <v>1</v>
      </c>
      <c r="M967" s="254">
        <f t="shared" si="34"/>
        <v>0.67913051197703389</v>
      </c>
      <c r="N967" s="255"/>
    </row>
    <row r="968" spans="1:14" x14ac:dyDescent="0.2">
      <c r="A968" s="814" t="s">
        <v>614</v>
      </c>
      <c r="B968" s="815" t="s">
        <v>579</v>
      </c>
      <c r="C968" s="612" t="s">
        <v>135</v>
      </c>
      <c r="D968" s="252" t="s">
        <v>135</v>
      </c>
      <c r="E968" s="816">
        <v>0.89800000000000002</v>
      </c>
      <c r="F968" s="250" t="s">
        <v>608</v>
      </c>
      <c r="G968" s="251" t="s">
        <v>16</v>
      </c>
      <c r="H968" s="252">
        <v>3</v>
      </c>
      <c r="I968" s="252">
        <v>3</v>
      </c>
      <c r="J968" s="252">
        <v>3</v>
      </c>
      <c r="K968" s="252">
        <v>3</v>
      </c>
      <c r="L968" s="253">
        <v>1</v>
      </c>
      <c r="M968" s="254">
        <f t="shared" si="34"/>
        <v>0.67913051197703389</v>
      </c>
      <c r="N968" s="255"/>
    </row>
    <row r="969" spans="1:14" x14ac:dyDescent="0.2">
      <c r="A969" s="814" t="s">
        <v>614</v>
      </c>
      <c r="B969" s="815" t="s">
        <v>579</v>
      </c>
      <c r="C969" s="612" t="s">
        <v>135</v>
      </c>
      <c r="D969" s="252" t="s">
        <v>135</v>
      </c>
      <c r="E969" s="816">
        <v>0.79010000000000002</v>
      </c>
      <c r="F969" s="250" t="s">
        <v>637</v>
      </c>
      <c r="G969" s="251" t="s">
        <v>16</v>
      </c>
      <c r="H969" s="252">
        <v>2</v>
      </c>
      <c r="I969" s="252">
        <v>2</v>
      </c>
      <c r="J969" s="252">
        <v>3</v>
      </c>
      <c r="K969" s="252">
        <v>3</v>
      </c>
      <c r="L969" s="253">
        <v>1</v>
      </c>
      <c r="M969" s="254">
        <f t="shared" si="34"/>
        <v>0.51126068492676302</v>
      </c>
      <c r="N969" s="255"/>
    </row>
    <row r="970" spans="1:14" x14ac:dyDescent="0.2">
      <c r="A970" s="814" t="s">
        <v>614</v>
      </c>
      <c r="B970" s="815" t="s">
        <v>579</v>
      </c>
      <c r="C970" s="612" t="s">
        <v>135</v>
      </c>
      <c r="D970" s="252" t="s">
        <v>135</v>
      </c>
      <c r="E970" s="816">
        <v>0.7167</v>
      </c>
      <c r="F970" s="250" t="s">
        <v>609</v>
      </c>
      <c r="G970" s="251" t="s">
        <v>16</v>
      </c>
      <c r="H970" s="252">
        <v>3</v>
      </c>
      <c r="I970" s="252">
        <v>2</v>
      </c>
      <c r="J970" s="252">
        <v>3</v>
      </c>
      <c r="K970" s="252">
        <v>3</v>
      </c>
      <c r="L970" s="253">
        <v>1</v>
      </c>
      <c r="M970" s="254">
        <f t="shared" si="34"/>
        <v>0.60108474454521421</v>
      </c>
      <c r="N970" s="255"/>
    </row>
    <row r="971" spans="1:14" x14ac:dyDescent="0.2">
      <c r="A971" s="814" t="s">
        <v>614</v>
      </c>
      <c r="B971" s="815" t="s">
        <v>579</v>
      </c>
      <c r="C971" s="612" t="s">
        <v>135</v>
      </c>
      <c r="D971" s="252" t="s">
        <v>135</v>
      </c>
      <c r="E971" s="816">
        <v>0.64</v>
      </c>
      <c r="F971" s="250" t="s">
        <v>638</v>
      </c>
      <c r="G971" s="251" t="s">
        <v>16</v>
      </c>
      <c r="H971" s="252">
        <v>2</v>
      </c>
      <c r="I971" s="252">
        <v>2</v>
      </c>
      <c r="J971" s="252">
        <v>3</v>
      </c>
      <c r="K971" s="252">
        <v>3</v>
      </c>
      <c r="L971" s="253">
        <v>1</v>
      </c>
      <c r="M971" s="254">
        <f t="shared" si="34"/>
        <v>0.51126068492676302</v>
      </c>
      <c r="N971" s="255"/>
    </row>
    <row r="972" spans="1:14" x14ac:dyDescent="0.2">
      <c r="A972" s="814" t="s">
        <v>614</v>
      </c>
      <c r="B972" s="815" t="s">
        <v>579</v>
      </c>
      <c r="C972" s="612" t="s">
        <v>135</v>
      </c>
      <c r="D972" s="252" t="s">
        <v>135</v>
      </c>
      <c r="E972" s="816">
        <v>0.98399999999999999</v>
      </c>
      <c r="F972" s="250" t="s">
        <v>612</v>
      </c>
      <c r="G972" s="251" t="s">
        <v>16</v>
      </c>
      <c r="H972" s="252">
        <v>2</v>
      </c>
      <c r="I972" s="252">
        <v>3</v>
      </c>
      <c r="J972" s="252">
        <v>3</v>
      </c>
      <c r="K972" s="252">
        <v>3</v>
      </c>
      <c r="L972" s="253">
        <v>1</v>
      </c>
      <c r="M972" s="254">
        <f t="shared" si="34"/>
        <v>0.60108474454521421</v>
      </c>
      <c r="N972" s="255"/>
    </row>
    <row r="973" spans="1:14" x14ac:dyDescent="0.2">
      <c r="A973" s="814" t="s">
        <v>614</v>
      </c>
      <c r="B973" s="815" t="s">
        <v>579</v>
      </c>
      <c r="C973" s="612" t="s">
        <v>135</v>
      </c>
      <c r="D973" s="252" t="s">
        <v>135</v>
      </c>
      <c r="E973" s="816">
        <v>0.99</v>
      </c>
      <c r="F973" s="250" t="s">
        <v>639</v>
      </c>
      <c r="G973" s="251" t="s">
        <v>16</v>
      </c>
      <c r="H973" s="252">
        <v>3</v>
      </c>
      <c r="I973" s="252">
        <v>2</v>
      </c>
      <c r="J973" s="252">
        <v>3</v>
      </c>
      <c r="K973" s="252">
        <v>3</v>
      </c>
      <c r="L973" s="253">
        <v>1</v>
      </c>
      <c r="M973" s="254">
        <f t="shared" si="34"/>
        <v>0.60108474454521421</v>
      </c>
      <c r="N973" s="255"/>
    </row>
    <row r="974" spans="1:14" x14ac:dyDescent="0.2">
      <c r="A974" s="814" t="s">
        <v>614</v>
      </c>
      <c r="B974" s="815" t="s">
        <v>579</v>
      </c>
      <c r="C974" s="612" t="s">
        <v>135</v>
      </c>
      <c r="D974" s="252" t="s">
        <v>135</v>
      </c>
      <c r="E974" s="816">
        <f>1-(13.8+68.6)/(14.2+290.7)</f>
        <v>0.72974745818301079</v>
      </c>
      <c r="F974" s="250" t="s">
        <v>600</v>
      </c>
      <c r="G974" s="251" t="s">
        <v>16</v>
      </c>
      <c r="H974" s="252">
        <v>2</v>
      </c>
      <c r="I974" s="252">
        <v>2</v>
      </c>
      <c r="J974" s="252">
        <v>3</v>
      </c>
      <c r="K974" s="252">
        <v>3</v>
      </c>
      <c r="L974" s="253">
        <v>1</v>
      </c>
      <c r="M974" s="254">
        <f t="shared" si="34"/>
        <v>0.51126068492676302</v>
      </c>
      <c r="N974" s="255" t="s">
        <v>640</v>
      </c>
    </row>
    <row r="975" spans="1:14" x14ac:dyDescent="0.2">
      <c r="A975" s="814" t="s">
        <v>614</v>
      </c>
      <c r="B975" s="815" t="s">
        <v>579</v>
      </c>
      <c r="C975" s="612" t="s">
        <v>135</v>
      </c>
      <c r="D975" s="252" t="s">
        <v>135</v>
      </c>
      <c r="E975" s="816">
        <v>7.0000000000000007E-2</v>
      </c>
      <c r="F975" s="250" t="s">
        <v>603</v>
      </c>
      <c r="G975" s="251" t="s">
        <v>16</v>
      </c>
      <c r="H975" s="252">
        <v>2</v>
      </c>
      <c r="I975" s="252">
        <v>2</v>
      </c>
      <c r="J975" s="252">
        <v>3</v>
      </c>
      <c r="K975" s="252">
        <v>3</v>
      </c>
      <c r="L975" s="253">
        <v>1</v>
      </c>
      <c r="M975" s="254">
        <f t="shared" si="34"/>
        <v>0.51126068492676302</v>
      </c>
      <c r="N975" s="255"/>
    </row>
    <row r="976" spans="1:14" x14ac:dyDescent="0.2">
      <c r="A976" s="814" t="s">
        <v>614</v>
      </c>
      <c r="B976" s="815" t="s">
        <v>579</v>
      </c>
      <c r="C976" s="612" t="s">
        <v>135</v>
      </c>
      <c r="D976" s="252" t="s">
        <v>135</v>
      </c>
      <c r="E976" s="816">
        <v>0.2</v>
      </c>
      <c r="F976" s="250" t="s">
        <v>603</v>
      </c>
      <c r="G976" s="251" t="s">
        <v>16</v>
      </c>
      <c r="H976" s="252">
        <v>2</v>
      </c>
      <c r="I976" s="252">
        <v>2</v>
      </c>
      <c r="J976" s="252">
        <v>3</v>
      </c>
      <c r="K976" s="252">
        <v>3</v>
      </c>
      <c r="L976" s="253">
        <v>1</v>
      </c>
      <c r="M976" s="254">
        <f t="shared" si="34"/>
        <v>0.51126068492676302</v>
      </c>
      <c r="N976" s="255"/>
    </row>
    <row r="977" spans="1:14" x14ac:dyDescent="0.2">
      <c r="A977" s="814" t="s">
        <v>614</v>
      </c>
      <c r="B977" s="815" t="s">
        <v>579</v>
      </c>
      <c r="C977" s="612" t="s">
        <v>135</v>
      </c>
      <c r="D977" s="252" t="s">
        <v>135</v>
      </c>
      <c r="E977" s="816">
        <f>1-0.342/0.479</f>
        <v>0.28601252609603334</v>
      </c>
      <c r="F977" s="250" t="s">
        <v>610</v>
      </c>
      <c r="G977" s="251" t="s">
        <v>16</v>
      </c>
      <c r="H977" s="252">
        <v>2</v>
      </c>
      <c r="I977" s="252">
        <v>2</v>
      </c>
      <c r="J977" s="252">
        <v>3</v>
      </c>
      <c r="K977" s="252">
        <v>3</v>
      </c>
      <c r="L977" s="253">
        <v>1</v>
      </c>
      <c r="M977" s="254">
        <f t="shared" si="34"/>
        <v>0.51126068492676302</v>
      </c>
      <c r="N977" s="255" t="s">
        <v>641</v>
      </c>
    </row>
    <row r="978" spans="1:14" x14ac:dyDescent="0.2">
      <c r="A978" s="814" t="s">
        <v>614</v>
      </c>
      <c r="B978" s="815" t="s">
        <v>579</v>
      </c>
      <c r="C978" s="612" t="s">
        <v>135</v>
      </c>
      <c r="D978" s="252" t="s">
        <v>135</v>
      </c>
      <c r="E978" s="816">
        <v>0.81</v>
      </c>
      <c r="F978" s="250" t="s">
        <v>642</v>
      </c>
      <c r="G978" s="251" t="s">
        <v>16</v>
      </c>
      <c r="H978" s="252">
        <v>1</v>
      </c>
      <c r="I978" s="252">
        <v>2</v>
      </c>
      <c r="J978" s="252">
        <v>3</v>
      </c>
      <c r="K978" s="252">
        <v>3</v>
      </c>
      <c r="L978" s="253">
        <v>1</v>
      </c>
      <c r="M978" s="254">
        <f>IF( OR( ISBLANK(H978),ISBLANK(I978), ISBLANK(J978), ISBLANK(K978), ISBLANK(L978) ), "", 1.5*SQRT(   EXP(2.21*(H978-1)) + EXP(2.21*(I978-1)) + EXP(2.21*(J978-1)) + EXP(2.21*(K978-1)) + EXP(2.21*L978)   )/100*2.45 )</f>
        <v>0.50042652380814845</v>
      </c>
      <c r="N978" s="255"/>
    </row>
    <row r="979" spans="1:14" x14ac:dyDescent="0.2">
      <c r="A979" s="814" t="s">
        <v>614</v>
      </c>
      <c r="B979" s="443" t="s">
        <v>579</v>
      </c>
      <c r="C979" s="612" t="s">
        <v>135</v>
      </c>
      <c r="D979" s="252" t="s">
        <v>135</v>
      </c>
      <c r="E979" s="816">
        <v>0.97</v>
      </c>
      <c r="F979" s="250" t="s">
        <v>639</v>
      </c>
      <c r="G979" s="251" t="s">
        <v>16</v>
      </c>
      <c r="H979" s="252">
        <v>3</v>
      </c>
      <c r="I979" s="252">
        <v>2</v>
      </c>
      <c r="J979" s="252">
        <v>3</v>
      </c>
      <c r="K979" s="252">
        <v>3</v>
      </c>
      <c r="L979" s="253">
        <v>1</v>
      </c>
      <c r="M979" s="254">
        <f>IF( OR( ISBLANK(H979),ISBLANK(I979), ISBLANK(J979), ISBLANK(K979), ISBLANK(L979) ), "", 1.5*SQRT( EXP(2.21*(H979-1)) + EXP(2.21*(I979-1)) + EXP(2.21*(J979-1)) + EXP(2.21*(K979-1)) + EXP(2.21*L979) )/100*2.45 )</f>
        <v>0.60108474454521421</v>
      </c>
      <c r="N979" s="255"/>
    </row>
    <row r="980" spans="1:14" x14ac:dyDescent="0.2">
      <c r="A980" s="823" t="s">
        <v>614</v>
      </c>
      <c r="B980" s="824" t="s">
        <v>643</v>
      </c>
      <c r="C980" s="610" t="s">
        <v>135</v>
      </c>
      <c r="D980" s="291" t="s">
        <v>135</v>
      </c>
      <c r="E980" s="825" t="s">
        <v>188</v>
      </c>
      <c r="F980" s="289"/>
      <c r="G980" s="290"/>
      <c r="H980" s="473"/>
      <c r="I980" s="473"/>
      <c r="J980" s="473"/>
      <c r="K980" s="473"/>
      <c r="L980" s="474"/>
      <c r="M980" s="475"/>
      <c r="N980" s="294"/>
    </row>
    <row r="981" spans="1:14" x14ac:dyDescent="0.2">
      <c r="A981" s="814" t="s">
        <v>643</v>
      </c>
      <c r="B981" s="443" t="s">
        <v>644</v>
      </c>
      <c r="C981" s="247" t="s">
        <v>13</v>
      </c>
      <c r="D981" s="376" t="s">
        <v>135</v>
      </c>
      <c r="E981" s="780">
        <v>0.98739495798319332</v>
      </c>
      <c r="F981" s="374" t="s">
        <v>615</v>
      </c>
      <c r="G981" s="375" t="s">
        <v>16</v>
      </c>
      <c r="H981" s="376">
        <v>1</v>
      </c>
      <c r="I981" s="376">
        <v>2</v>
      </c>
      <c r="J981" s="376">
        <v>3</v>
      </c>
      <c r="K981" s="376">
        <v>3</v>
      </c>
      <c r="L981" s="377">
        <v>1</v>
      </c>
      <c r="M981" s="378">
        <f t="shared" ref="M981:M1008" si="35">IF( OR( ISBLANK(H981),ISBLANK(I981), ISBLANK(J981), ISBLANK(K981), ISBLANK(L981) ), "", 1.5*SQRT( EXP(2.21*(H981-1)) + EXP(2.21*(I981-1)) + EXP(2.21*(J981-1)) + EXP(2.21*(K981-1)) + EXP(2.21*L981) )/100*2.45 )</f>
        <v>0.50042652380814845</v>
      </c>
      <c r="N981" s="479"/>
    </row>
    <row r="982" spans="1:14" hidden="1" x14ac:dyDescent="0.2">
      <c r="A982" s="814" t="s">
        <v>643</v>
      </c>
      <c r="B982" s="443" t="s">
        <v>644</v>
      </c>
      <c r="C982" s="247" t="s">
        <v>18</v>
      </c>
      <c r="D982" s="376" t="s">
        <v>135</v>
      </c>
      <c r="E982" s="780">
        <v>0.89910800385728062</v>
      </c>
      <c r="F982" s="374" t="s">
        <v>645</v>
      </c>
      <c r="G982" s="375" t="s">
        <v>16</v>
      </c>
      <c r="H982" s="376">
        <v>1</v>
      </c>
      <c r="I982" s="376">
        <v>2</v>
      </c>
      <c r="J982" s="376">
        <v>3</v>
      </c>
      <c r="K982" s="376">
        <v>3</v>
      </c>
      <c r="L982" s="377">
        <v>1</v>
      </c>
      <c r="M982" s="378">
        <f t="shared" si="35"/>
        <v>0.50042652380814845</v>
      </c>
      <c r="N982" s="479"/>
    </row>
    <row r="983" spans="1:14" hidden="1" x14ac:dyDescent="0.2">
      <c r="A983" s="814" t="s">
        <v>643</v>
      </c>
      <c r="B983" s="443" t="s">
        <v>644</v>
      </c>
      <c r="C983" s="247" t="s">
        <v>20</v>
      </c>
      <c r="D983" s="376" t="s">
        <v>135</v>
      </c>
      <c r="E983" s="780">
        <v>0.7444215856939389</v>
      </c>
      <c r="F983" s="374" t="s">
        <v>616</v>
      </c>
      <c r="G983" s="375" t="s">
        <v>16</v>
      </c>
      <c r="H983" s="376">
        <v>1</v>
      </c>
      <c r="I983" s="376">
        <v>2</v>
      </c>
      <c r="J983" s="376">
        <v>3</v>
      </c>
      <c r="K983" s="376">
        <v>3</v>
      </c>
      <c r="L983" s="377">
        <v>1</v>
      </c>
      <c r="M983" s="378">
        <f t="shared" si="35"/>
        <v>0.50042652380814845</v>
      </c>
      <c r="N983" s="479"/>
    </row>
    <row r="984" spans="1:14" hidden="1" x14ac:dyDescent="0.2">
      <c r="A984" s="814" t="s">
        <v>643</v>
      </c>
      <c r="B984" s="443" t="s">
        <v>644</v>
      </c>
      <c r="C984" s="247" t="s">
        <v>22</v>
      </c>
      <c r="D984" s="376" t="s">
        <v>135</v>
      </c>
      <c r="E984" s="780">
        <v>2.7100271002710029E-2</v>
      </c>
      <c r="F984" s="374" t="s">
        <v>617</v>
      </c>
      <c r="G984" s="375" t="s">
        <v>16</v>
      </c>
      <c r="H984" s="376">
        <v>1</v>
      </c>
      <c r="I984" s="376">
        <v>2</v>
      </c>
      <c r="J984" s="376">
        <v>3</v>
      </c>
      <c r="K984" s="376">
        <v>3</v>
      </c>
      <c r="L984" s="377">
        <v>1</v>
      </c>
      <c r="M984" s="378">
        <f t="shared" si="35"/>
        <v>0.50042652380814845</v>
      </c>
      <c r="N984" s="479"/>
    </row>
    <row r="985" spans="1:14" hidden="1" x14ac:dyDescent="0.2">
      <c r="A985" s="814" t="s">
        <v>643</v>
      </c>
      <c r="B985" s="443" t="s">
        <v>644</v>
      </c>
      <c r="C985" s="247" t="s">
        <v>23</v>
      </c>
      <c r="D985" s="376" t="s">
        <v>135</v>
      </c>
      <c r="E985" s="780">
        <v>0.61409395973154368</v>
      </c>
      <c r="F985" s="374" t="s">
        <v>646</v>
      </c>
      <c r="G985" s="375" t="s">
        <v>16</v>
      </c>
      <c r="H985" s="376">
        <v>1</v>
      </c>
      <c r="I985" s="376">
        <v>3</v>
      </c>
      <c r="J985" s="376">
        <v>3</v>
      </c>
      <c r="K985" s="376">
        <v>3</v>
      </c>
      <c r="L985" s="377">
        <v>1</v>
      </c>
      <c r="M985" s="378">
        <f t="shared" si="35"/>
        <v>0.59189702474662764</v>
      </c>
      <c r="N985" s="479"/>
    </row>
    <row r="986" spans="1:14" hidden="1" x14ac:dyDescent="0.2">
      <c r="A986" s="814" t="s">
        <v>643</v>
      </c>
      <c r="B986" s="443" t="s">
        <v>644</v>
      </c>
      <c r="C986" s="247" t="s">
        <v>24</v>
      </c>
      <c r="D986" s="376" t="s">
        <v>135</v>
      </c>
      <c r="E986" s="780">
        <v>0.89793438639125156</v>
      </c>
      <c r="F986" s="374" t="s">
        <v>618</v>
      </c>
      <c r="G986" s="375" t="s">
        <v>16</v>
      </c>
      <c r="H986" s="376">
        <v>1</v>
      </c>
      <c r="I986" s="376">
        <v>2</v>
      </c>
      <c r="J986" s="376">
        <v>3</v>
      </c>
      <c r="K986" s="376">
        <v>3</v>
      </c>
      <c r="L986" s="377">
        <v>1</v>
      </c>
      <c r="M986" s="378">
        <f t="shared" si="35"/>
        <v>0.50042652380814845</v>
      </c>
      <c r="N986" s="479"/>
    </row>
    <row r="987" spans="1:14" hidden="1" x14ac:dyDescent="0.2">
      <c r="A987" s="814" t="s">
        <v>643</v>
      </c>
      <c r="B987" s="443" t="s">
        <v>644</v>
      </c>
      <c r="C987" s="247" t="s">
        <v>25</v>
      </c>
      <c r="D987" s="376" t="s">
        <v>135</v>
      </c>
      <c r="E987" s="780">
        <v>0.98474945533769065</v>
      </c>
      <c r="F987" s="374" t="s">
        <v>619</v>
      </c>
      <c r="G987" s="375" t="s">
        <v>16</v>
      </c>
      <c r="H987" s="376">
        <v>1</v>
      </c>
      <c r="I987" s="376">
        <v>2</v>
      </c>
      <c r="J987" s="376">
        <v>3</v>
      </c>
      <c r="K987" s="376">
        <v>3</v>
      </c>
      <c r="L987" s="377">
        <v>1</v>
      </c>
      <c r="M987" s="378">
        <f t="shared" si="35"/>
        <v>0.50042652380814845</v>
      </c>
      <c r="N987" s="479"/>
    </row>
    <row r="988" spans="1:14" hidden="1" x14ac:dyDescent="0.2">
      <c r="A988" s="814" t="s">
        <v>643</v>
      </c>
      <c r="B988" s="443" t="s">
        <v>644</v>
      </c>
      <c r="C988" s="247" t="s">
        <v>26</v>
      </c>
      <c r="D988" s="376" t="s">
        <v>135</v>
      </c>
      <c r="E988" s="780">
        <v>0.96017859297695185</v>
      </c>
      <c r="F988" s="374" t="s">
        <v>620</v>
      </c>
      <c r="G988" s="375" t="s">
        <v>16</v>
      </c>
      <c r="H988" s="376">
        <v>1</v>
      </c>
      <c r="I988" s="376">
        <v>2</v>
      </c>
      <c r="J988" s="376">
        <v>3</v>
      </c>
      <c r="K988" s="376">
        <v>3</v>
      </c>
      <c r="L988" s="377">
        <v>1</v>
      </c>
      <c r="M988" s="378">
        <f t="shared" si="35"/>
        <v>0.50042652380814845</v>
      </c>
      <c r="N988" s="479"/>
    </row>
    <row r="989" spans="1:14" hidden="1" x14ac:dyDescent="0.2">
      <c r="A989" s="814" t="s">
        <v>643</v>
      </c>
      <c r="B989" s="443" t="s">
        <v>644</v>
      </c>
      <c r="C989" s="247" t="s">
        <v>27</v>
      </c>
      <c r="D989" s="376" t="s">
        <v>135</v>
      </c>
      <c r="E989" s="454">
        <v>1</v>
      </c>
      <c r="F989" s="374" t="s">
        <v>615</v>
      </c>
      <c r="G989" s="375" t="s">
        <v>16</v>
      </c>
      <c r="H989" s="454"/>
      <c r="I989" s="454"/>
      <c r="J989" s="454"/>
      <c r="K989" s="454"/>
      <c r="L989" s="455"/>
      <c r="M989" s="507" t="str">
        <f t="shared" si="35"/>
        <v/>
      </c>
      <c r="N989" s="479"/>
    </row>
    <row r="990" spans="1:14" hidden="1" x14ac:dyDescent="0.2">
      <c r="A990" s="814" t="s">
        <v>643</v>
      </c>
      <c r="B990" s="443" t="s">
        <v>644</v>
      </c>
      <c r="C990" s="247" t="s">
        <v>28</v>
      </c>
      <c r="D990" s="376" t="s">
        <v>135</v>
      </c>
      <c r="E990" s="780">
        <v>0.86250000000000004</v>
      </c>
      <c r="F990" s="374" t="s">
        <v>647</v>
      </c>
      <c r="G990" s="375" t="s">
        <v>16</v>
      </c>
      <c r="H990" s="376">
        <v>1</v>
      </c>
      <c r="I990" s="376">
        <v>2</v>
      </c>
      <c r="J990" s="376">
        <v>3</v>
      </c>
      <c r="K990" s="376">
        <v>3</v>
      </c>
      <c r="L990" s="377">
        <v>1</v>
      </c>
      <c r="M990" s="378">
        <f t="shared" si="35"/>
        <v>0.50042652380814845</v>
      </c>
      <c r="N990" s="479"/>
    </row>
    <row r="991" spans="1:14" hidden="1" x14ac:dyDescent="0.2">
      <c r="A991" s="814" t="s">
        <v>643</v>
      </c>
      <c r="B991" s="443" t="s">
        <v>644</v>
      </c>
      <c r="C991" s="247" t="s">
        <v>30</v>
      </c>
      <c r="D991" s="376" t="s">
        <v>135</v>
      </c>
      <c r="E991" s="780">
        <v>0.97769187488278075</v>
      </c>
      <c r="F991" s="374" t="s">
        <v>621</v>
      </c>
      <c r="G991" s="375" t="s">
        <v>16</v>
      </c>
      <c r="H991" s="376">
        <v>1</v>
      </c>
      <c r="I991" s="376">
        <v>2</v>
      </c>
      <c r="J991" s="376">
        <v>3</v>
      </c>
      <c r="K991" s="376">
        <v>3</v>
      </c>
      <c r="L991" s="377">
        <v>1</v>
      </c>
      <c r="M991" s="378">
        <f t="shared" si="35"/>
        <v>0.50042652380814845</v>
      </c>
      <c r="N991" s="479"/>
    </row>
    <row r="992" spans="1:14" hidden="1" x14ac:dyDescent="0.2">
      <c r="A992" s="814" t="s">
        <v>643</v>
      </c>
      <c r="B992" s="443" t="s">
        <v>644</v>
      </c>
      <c r="C992" s="247" t="s">
        <v>32</v>
      </c>
      <c r="D992" s="376" t="s">
        <v>135</v>
      </c>
      <c r="E992" s="780">
        <v>0.93104925053533194</v>
      </c>
      <c r="F992" s="374" t="s">
        <v>648</v>
      </c>
      <c r="G992" s="375" t="s">
        <v>16</v>
      </c>
      <c r="H992" s="376">
        <v>1</v>
      </c>
      <c r="I992" s="376">
        <v>2</v>
      </c>
      <c r="J992" s="376">
        <v>3</v>
      </c>
      <c r="K992" s="376">
        <v>3</v>
      </c>
      <c r="L992" s="377">
        <v>1</v>
      </c>
      <c r="M992" s="378">
        <f t="shared" si="35"/>
        <v>0.50042652380814845</v>
      </c>
      <c r="N992" s="479"/>
    </row>
    <row r="993" spans="1:14" hidden="1" x14ac:dyDescent="0.2">
      <c r="A993" s="814" t="s">
        <v>643</v>
      </c>
      <c r="B993" s="443" t="s">
        <v>644</v>
      </c>
      <c r="C993" s="247" t="s">
        <v>34</v>
      </c>
      <c r="D993" s="376" t="s">
        <v>135</v>
      </c>
      <c r="E993" s="780">
        <v>0.91010101010101019</v>
      </c>
      <c r="F993" s="374" t="s">
        <v>622</v>
      </c>
      <c r="G993" s="375" t="s">
        <v>16</v>
      </c>
      <c r="H993" s="376">
        <v>1</v>
      </c>
      <c r="I993" s="376">
        <v>2</v>
      </c>
      <c r="J993" s="376">
        <v>3</v>
      </c>
      <c r="K993" s="376">
        <v>3</v>
      </c>
      <c r="L993" s="377">
        <v>1</v>
      </c>
      <c r="M993" s="378">
        <f t="shared" si="35"/>
        <v>0.50042652380814845</v>
      </c>
      <c r="N993" s="479"/>
    </row>
    <row r="994" spans="1:14" hidden="1" x14ac:dyDescent="0.2">
      <c r="A994" s="814" t="s">
        <v>643</v>
      </c>
      <c r="B994" s="443" t="s">
        <v>644</v>
      </c>
      <c r="C994" s="247" t="s">
        <v>36</v>
      </c>
      <c r="D994" s="376" t="s">
        <v>135</v>
      </c>
      <c r="E994" s="780">
        <v>0.34194603434178239</v>
      </c>
      <c r="F994" s="374" t="s">
        <v>623</v>
      </c>
      <c r="G994" s="375" t="s">
        <v>16</v>
      </c>
      <c r="H994" s="376">
        <v>1</v>
      </c>
      <c r="I994" s="376">
        <v>2</v>
      </c>
      <c r="J994" s="376">
        <v>3</v>
      </c>
      <c r="K994" s="376">
        <v>3</v>
      </c>
      <c r="L994" s="377">
        <v>1</v>
      </c>
      <c r="M994" s="378">
        <f t="shared" si="35"/>
        <v>0.50042652380814845</v>
      </c>
      <c r="N994" s="479"/>
    </row>
    <row r="995" spans="1:14" hidden="1" x14ac:dyDescent="0.2">
      <c r="A995" s="814" t="s">
        <v>643</v>
      </c>
      <c r="B995" s="443" t="s">
        <v>644</v>
      </c>
      <c r="C995" s="247" t="s">
        <v>37</v>
      </c>
      <c r="D995" s="376" t="s">
        <v>135</v>
      </c>
      <c r="E995" s="780">
        <v>0.68624161073825496</v>
      </c>
      <c r="F995" s="374" t="s">
        <v>624</v>
      </c>
      <c r="G995" s="375" t="s">
        <v>16</v>
      </c>
      <c r="H995" s="376">
        <v>1</v>
      </c>
      <c r="I995" s="376">
        <v>2</v>
      </c>
      <c r="J995" s="376">
        <v>3</v>
      </c>
      <c r="K995" s="376">
        <v>3</v>
      </c>
      <c r="L995" s="377">
        <v>1</v>
      </c>
      <c r="M995" s="378">
        <f t="shared" si="35"/>
        <v>0.50042652380814845</v>
      </c>
      <c r="N995" s="479"/>
    </row>
    <row r="996" spans="1:14" hidden="1" x14ac:dyDescent="0.2">
      <c r="A996" s="814" t="s">
        <v>643</v>
      </c>
      <c r="B996" s="443" t="s">
        <v>644</v>
      </c>
      <c r="C996" s="247" t="s">
        <v>39</v>
      </c>
      <c r="D996" s="376" t="s">
        <v>135</v>
      </c>
      <c r="E996" s="780">
        <v>0.77097815292949357</v>
      </c>
      <c r="F996" s="374" t="s">
        <v>625</v>
      </c>
      <c r="G996" s="375" t="s">
        <v>16</v>
      </c>
      <c r="H996" s="376">
        <v>1</v>
      </c>
      <c r="I996" s="376">
        <v>2</v>
      </c>
      <c r="J996" s="376">
        <v>3</v>
      </c>
      <c r="K996" s="376">
        <v>3</v>
      </c>
      <c r="L996" s="377">
        <v>1</v>
      </c>
      <c r="M996" s="378">
        <f t="shared" si="35"/>
        <v>0.50042652380814845</v>
      </c>
      <c r="N996" s="479"/>
    </row>
    <row r="997" spans="1:14" hidden="1" x14ac:dyDescent="0.2">
      <c r="A997" s="814" t="s">
        <v>643</v>
      </c>
      <c r="B997" s="443" t="s">
        <v>644</v>
      </c>
      <c r="C997" s="247" t="s">
        <v>40</v>
      </c>
      <c r="D997" s="376" t="s">
        <v>135</v>
      </c>
      <c r="E997" s="780">
        <v>0.90962320412035791</v>
      </c>
      <c r="F997" s="374" t="s">
        <v>626</v>
      </c>
      <c r="G997" s="375" t="s">
        <v>16</v>
      </c>
      <c r="H997" s="376">
        <v>1</v>
      </c>
      <c r="I997" s="376">
        <v>2</v>
      </c>
      <c r="J997" s="376">
        <v>3</v>
      </c>
      <c r="K997" s="376">
        <v>3</v>
      </c>
      <c r="L997" s="377">
        <v>1</v>
      </c>
      <c r="M997" s="378">
        <f t="shared" si="35"/>
        <v>0.50042652380814845</v>
      </c>
      <c r="N997" s="479"/>
    </row>
    <row r="998" spans="1:14" hidden="1" x14ac:dyDescent="0.2">
      <c r="A998" s="814" t="s">
        <v>643</v>
      </c>
      <c r="B998" s="443" t="s">
        <v>644</v>
      </c>
      <c r="C998" s="247" t="s">
        <v>41</v>
      </c>
      <c r="D998" s="376" t="s">
        <v>135</v>
      </c>
      <c r="E998" s="780">
        <v>0.77525773195876291</v>
      </c>
      <c r="F998" s="374" t="s">
        <v>627</v>
      </c>
      <c r="G998" s="375" t="s">
        <v>16</v>
      </c>
      <c r="H998" s="376">
        <v>1</v>
      </c>
      <c r="I998" s="376">
        <v>2</v>
      </c>
      <c r="J998" s="376">
        <v>3</v>
      </c>
      <c r="K998" s="376">
        <v>3</v>
      </c>
      <c r="L998" s="377">
        <v>1</v>
      </c>
      <c r="M998" s="378">
        <f t="shared" si="35"/>
        <v>0.50042652380814845</v>
      </c>
      <c r="N998" s="479"/>
    </row>
    <row r="999" spans="1:14" hidden="1" x14ac:dyDescent="0.2">
      <c r="A999" s="814" t="s">
        <v>643</v>
      </c>
      <c r="B999" s="443" t="s">
        <v>644</v>
      </c>
      <c r="C999" s="247" t="s">
        <v>42</v>
      </c>
      <c r="D999" s="376" t="s">
        <v>135</v>
      </c>
      <c r="E999" s="454">
        <v>0</v>
      </c>
      <c r="F999" s="374" t="s">
        <v>615</v>
      </c>
      <c r="G999" s="375" t="s">
        <v>16</v>
      </c>
      <c r="H999" s="454"/>
      <c r="I999" s="454"/>
      <c r="J999" s="454"/>
      <c r="K999" s="454"/>
      <c r="L999" s="455"/>
      <c r="M999" s="507" t="str">
        <f t="shared" si="35"/>
        <v/>
      </c>
      <c r="N999" s="479"/>
    </row>
    <row r="1000" spans="1:14" hidden="1" x14ac:dyDescent="0.2">
      <c r="A1000" s="814" t="s">
        <v>643</v>
      </c>
      <c r="B1000" s="443" t="s">
        <v>644</v>
      </c>
      <c r="C1000" s="247" t="s">
        <v>43</v>
      </c>
      <c r="D1000" s="376" t="s">
        <v>135</v>
      </c>
      <c r="E1000" s="780">
        <v>0.99195979899497488</v>
      </c>
      <c r="F1000" s="374" t="s">
        <v>649</v>
      </c>
      <c r="G1000" s="375" t="s">
        <v>16</v>
      </c>
      <c r="H1000" s="376">
        <v>1</v>
      </c>
      <c r="I1000" s="376">
        <v>2</v>
      </c>
      <c r="J1000" s="376">
        <v>3</v>
      </c>
      <c r="K1000" s="376">
        <v>3</v>
      </c>
      <c r="L1000" s="377">
        <v>1</v>
      </c>
      <c r="M1000" s="378">
        <f t="shared" si="35"/>
        <v>0.50042652380814845</v>
      </c>
      <c r="N1000" s="479"/>
    </row>
    <row r="1001" spans="1:14" hidden="1" x14ac:dyDescent="0.2">
      <c r="A1001" s="814" t="s">
        <v>643</v>
      </c>
      <c r="B1001" s="443" t="s">
        <v>644</v>
      </c>
      <c r="C1001" s="247" t="s">
        <v>45</v>
      </c>
      <c r="D1001" s="376" t="s">
        <v>135</v>
      </c>
      <c r="E1001" s="780">
        <v>0.93789808917197459</v>
      </c>
      <c r="F1001" s="374" t="s">
        <v>629</v>
      </c>
      <c r="G1001" s="375" t="s">
        <v>16</v>
      </c>
      <c r="H1001" s="376">
        <v>1</v>
      </c>
      <c r="I1001" s="376">
        <v>2</v>
      </c>
      <c r="J1001" s="376">
        <v>3</v>
      </c>
      <c r="K1001" s="376">
        <v>3</v>
      </c>
      <c r="L1001" s="377">
        <v>1</v>
      </c>
      <c r="M1001" s="378">
        <f t="shared" si="35"/>
        <v>0.50042652380814845</v>
      </c>
      <c r="N1001" s="479"/>
    </row>
    <row r="1002" spans="1:14" hidden="1" x14ac:dyDescent="0.2">
      <c r="A1002" s="814" t="s">
        <v>643</v>
      </c>
      <c r="B1002" s="443" t="s">
        <v>644</v>
      </c>
      <c r="C1002" s="247" t="s">
        <v>46</v>
      </c>
      <c r="D1002" s="376" t="s">
        <v>135</v>
      </c>
      <c r="E1002" s="780">
        <v>0.80952380952380953</v>
      </c>
      <c r="F1002" s="374" t="s">
        <v>650</v>
      </c>
      <c r="G1002" s="375" t="s">
        <v>16</v>
      </c>
      <c r="H1002" s="376">
        <v>1</v>
      </c>
      <c r="I1002" s="376">
        <v>2</v>
      </c>
      <c r="J1002" s="376">
        <v>3</v>
      </c>
      <c r="K1002" s="376">
        <v>3</v>
      </c>
      <c r="L1002" s="377">
        <v>1</v>
      </c>
      <c r="M1002" s="378">
        <f t="shared" si="35"/>
        <v>0.50042652380814845</v>
      </c>
      <c r="N1002" s="479"/>
    </row>
    <row r="1003" spans="1:14" hidden="1" x14ac:dyDescent="0.2">
      <c r="A1003" s="814" t="s">
        <v>643</v>
      </c>
      <c r="B1003" s="443" t="s">
        <v>644</v>
      </c>
      <c r="C1003" s="247" t="s">
        <v>48</v>
      </c>
      <c r="D1003" s="376" t="s">
        <v>135</v>
      </c>
      <c r="E1003" s="780">
        <v>0.44872400756143671</v>
      </c>
      <c r="F1003" s="374" t="s">
        <v>630</v>
      </c>
      <c r="G1003" s="375" t="s">
        <v>16</v>
      </c>
      <c r="H1003" s="376">
        <v>1</v>
      </c>
      <c r="I1003" s="376">
        <v>2</v>
      </c>
      <c r="J1003" s="376">
        <v>3</v>
      </c>
      <c r="K1003" s="376">
        <v>3</v>
      </c>
      <c r="L1003" s="377">
        <v>1</v>
      </c>
      <c r="M1003" s="378">
        <f t="shared" si="35"/>
        <v>0.50042652380814845</v>
      </c>
      <c r="N1003" s="479"/>
    </row>
    <row r="1004" spans="1:14" hidden="1" x14ac:dyDescent="0.2">
      <c r="A1004" s="814" t="s">
        <v>643</v>
      </c>
      <c r="B1004" s="443" t="s">
        <v>644</v>
      </c>
      <c r="C1004" s="247" t="s">
        <v>50</v>
      </c>
      <c r="D1004" s="376" t="s">
        <v>135</v>
      </c>
      <c r="E1004" s="780">
        <v>0.86637931034482762</v>
      </c>
      <c r="F1004" s="374" t="s">
        <v>631</v>
      </c>
      <c r="G1004" s="375" t="s">
        <v>16</v>
      </c>
      <c r="H1004" s="376">
        <v>1</v>
      </c>
      <c r="I1004" s="376">
        <v>2</v>
      </c>
      <c r="J1004" s="376">
        <v>3</v>
      </c>
      <c r="K1004" s="376">
        <v>3</v>
      </c>
      <c r="L1004" s="377">
        <v>1</v>
      </c>
      <c r="M1004" s="378">
        <f t="shared" si="35"/>
        <v>0.50042652380814845</v>
      </c>
      <c r="N1004" s="479"/>
    </row>
    <row r="1005" spans="1:14" hidden="1" x14ac:dyDescent="0.2">
      <c r="A1005" s="814" t="s">
        <v>643</v>
      </c>
      <c r="B1005" s="443" t="s">
        <v>644</v>
      </c>
      <c r="C1005" s="247" t="s">
        <v>52</v>
      </c>
      <c r="D1005" s="376" t="s">
        <v>135</v>
      </c>
      <c r="E1005" s="780">
        <v>2.769230769230769E-2</v>
      </c>
      <c r="F1005" s="374" t="s">
        <v>632</v>
      </c>
      <c r="G1005" s="375" t="s">
        <v>16</v>
      </c>
      <c r="H1005" s="376">
        <v>1</v>
      </c>
      <c r="I1005" s="376">
        <v>2</v>
      </c>
      <c r="J1005" s="376">
        <v>3</v>
      </c>
      <c r="K1005" s="376">
        <v>3</v>
      </c>
      <c r="L1005" s="377">
        <v>1</v>
      </c>
      <c r="M1005" s="378">
        <f t="shared" si="35"/>
        <v>0.50042652380814845</v>
      </c>
      <c r="N1005" s="479"/>
    </row>
    <row r="1006" spans="1:14" hidden="1" x14ac:dyDescent="0.2">
      <c r="A1006" s="814" t="s">
        <v>643</v>
      </c>
      <c r="B1006" s="443" t="s">
        <v>644</v>
      </c>
      <c r="C1006" s="247" t="s">
        <v>54</v>
      </c>
      <c r="D1006" s="376" t="s">
        <v>135</v>
      </c>
      <c r="E1006" s="780">
        <v>0.63181818181818183</v>
      </c>
      <c r="F1006" s="374" t="s">
        <v>651</v>
      </c>
      <c r="G1006" s="375" t="s">
        <v>16</v>
      </c>
      <c r="H1006" s="376">
        <v>1</v>
      </c>
      <c r="I1006" s="376">
        <v>2</v>
      </c>
      <c r="J1006" s="376">
        <v>3</v>
      </c>
      <c r="K1006" s="376">
        <v>3</v>
      </c>
      <c r="L1006" s="377">
        <v>1</v>
      </c>
      <c r="M1006" s="378">
        <f t="shared" si="35"/>
        <v>0.50042652380814845</v>
      </c>
      <c r="N1006" s="479"/>
    </row>
    <row r="1007" spans="1:14" hidden="1" x14ac:dyDescent="0.2">
      <c r="A1007" s="814" t="s">
        <v>643</v>
      </c>
      <c r="B1007" s="443" t="s">
        <v>644</v>
      </c>
      <c r="C1007" s="247" t="s">
        <v>55</v>
      </c>
      <c r="D1007" s="376" t="s">
        <v>135</v>
      </c>
      <c r="E1007" s="780">
        <v>0.7427341227125942</v>
      </c>
      <c r="F1007" s="374" t="s">
        <v>633</v>
      </c>
      <c r="G1007" s="375" t="s">
        <v>16</v>
      </c>
      <c r="H1007" s="376">
        <v>1</v>
      </c>
      <c r="I1007" s="376">
        <v>2</v>
      </c>
      <c r="J1007" s="376">
        <v>3</v>
      </c>
      <c r="K1007" s="376">
        <v>3</v>
      </c>
      <c r="L1007" s="377">
        <v>1</v>
      </c>
      <c r="M1007" s="378">
        <f t="shared" si="35"/>
        <v>0.50042652380814845</v>
      </c>
      <c r="N1007" s="479"/>
    </row>
    <row r="1008" spans="1:14" hidden="1" x14ac:dyDescent="0.2">
      <c r="A1008" s="814" t="s">
        <v>643</v>
      </c>
      <c r="B1008" s="443" t="s">
        <v>644</v>
      </c>
      <c r="C1008" s="247" t="s">
        <v>57</v>
      </c>
      <c r="D1008" s="376" t="s">
        <v>135</v>
      </c>
      <c r="E1008" s="780">
        <v>0.95402298850574707</v>
      </c>
      <c r="F1008" s="374" t="s">
        <v>652</v>
      </c>
      <c r="G1008" s="375" t="s">
        <v>16</v>
      </c>
      <c r="H1008" s="376">
        <v>1</v>
      </c>
      <c r="I1008" s="376">
        <v>2</v>
      </c>
      <c r="J1008" s="376">
        <v>3</v>
      </c>
      <c r="K1008" s="376">
        <v>3</v>
      </c>
      <c r="L1008" s="377">
        <v>1</v>
      </c>
      <c r="M1008" s="378">
        <f t="shared" si="35"/>
        <v>0.50042652380814845</v>
      </c>
      <c r="N1008" s="479"/>
    </row>
    <row r="1009" spans="1:14" hidden="1" x14ac:dyDescent="0.2">
      <c r="A1009" s="814" t="s">
        <v>643</v>
      </c>
      <c r="B1009" s="443" t="s">
        <v>644</v>
      </c>
      <c r="C1009" s="247" t="s">
        <v>59</v>
      </c>
      <c r="D1009" s="376" t="s">
        <v>135</v>
      </c>
      <c r="E1009" s="788">
        <v>1</v>
      </c>
      <c r="F1009" s="414" t="s">
        <v>615</v>
      </c>
      <c r="G1009" s="789" t="s">
        <v>16</v>
      </c>
      <c r="H1009" s="788"/>
      <c r="I1009" s="788"/>
      <c r="J1009" s="788"/>
      <c r="K1009" s="788"/>
      <c r="L1009" s="790"/>
      <c r="M1009" s="791"/>
      <c r="N1009" s="479"/>
    </row>
    <row r="1010" spans="1:14" hidden="1" x14ac:dyDescent="0.2">
      <c r="A1010" s="814" t="s">
        <v>643</v>
      </c>
      <c r="B1010" s="443" t="s">
        <v>644</v>
      </c>
      <c r="C1010" s="247" t="s">
        <v>60</v>
      </c>
      <c r="D1010" s="376" t="s">
        <v>135</v>
      </c>
      <c r="E1010" s="780">
        <v>0.56999999999999995</v>
      </c>
      <c r="F1010" s="374" t="s">
        <v>615</v>
      </c>
      <c r="G1010" s="375" t="s">
        <v>16</v>
      </c>
      <c r="H1010" s="376">
        <v>1</v>
      </c>
      <c r="I1010" s="376">
        <v>2</v>
      </c>
      <c r="J1010" s="376">
        <v>3</v>
      </c>
      <c r="K1010" s="376">
        <v>3</v>
      </c>
      <c r="L1010" s="377">
        <v>1</v>
      </c>
      <c r="M1010" s="378">
        <f>IF( OR( ISBLANK(H1010),ISBLANK(I1010), ISBLANK(J1010), ISBLANK(K1010), ISBLANK(L1010) ), "", 1.5*SQRT( EXP(2.21*(H1010-1)) + EXP(2.21*(I1010-1)) + EXP(2.21*(J1010-1)) + EXP(2.21*(K1010-1)) + EXP(2.21*L1010) )/100*2.45 )</f>
        <v>0.50042652380814845</v>
      </c>
      <c r="N1010" s="817"/>
    </row>
    <row r="1011" spans="1:14" x14ac:dyDescent="0.2">
      <c r="A1011" s="814" t="s">
        <v>643</v>
      </c>
      <c r="B1011" s="815" t="s">
        <v>634</v>
      </c>
      <c r="C1011" s="612" t="s">
        <v>135</v>
      </c>
      <c r="D1011" s="252" t="s">
        <v>135</v>
      </c>
      <c r="E1011" s="826" t="s">
        <v>188</v>
      </c>
      <c r="F1011" s="250"/>
      <c r="G1011" s="251" t="s">
        <v>16</v>
      </c>
      <c r="H1011" s="470"/>
      <c r="I1011" s="470"/>
      <c r="J1011" s="470"/>
      <c r="K1011" s="470"/>
      <c r="L1011" s="471"/>
      <c r="M1011" s="456"/>
      <c r="N1011" s="255"/>
    </row>
    <row r="1012" spans="1:14" x14ac:dyDescent="0.2">
      <c r="A1012" s="827" t="s">
        <v>636</v>
      </c>
      <c r="B1012" s="828" t="s">
        <v>578</v>
      </c>
      <c r="C1012" s="829" t="s">
        <v>135</v>
      </c>
      <c r="D1012" s="830" t="s">
        <v>135</v>
      </c>
      <c r="E1012" s="810">
        <v>1</v>
      </c>
      <c r="F1012" s="831" t="s">
        <v>455</v>
      </c>
      <c r="G1012" s="832" t="s">
        <v>16</v>
      </c>
      <c r="H1012" s="810"/>
      <c r="I1012" s="810"/>
      <c r="J1012" s="810"/>
      <c r="K1012" s="810"/>
      <c r="L1012" s="811"/>
      <c r="M1012" s="812" t="str">
        <f t="shared" ref="M1012:M1043" si="36">IF( OR( ISBLANK(H1012),ISBLANK(I1012), ISBLANK(J1012), ISBLANK(K1012), ISBLANK(L1012) ), "", 1.5*SQRT( EXP(2.21*(H1012-1)) + EXP(2.21*(I1012-1)) + EXP(2.21*(J1012-1)) + EXP(2.21*(K1012-1)) + EXP(2.21*L1012) )/100*2.45 )</f>
        <v/>
      </c>
      <c r="N1012" s="833" t="s">
        <v>653</v>
      </c>
    </row>
    <row r="1013" spans="1:14" x14ac:dyDescent="0.2">
      <c r="A1013" s="814" t="s">
        <v>644</v>
      </c>
      <c r="B1013" s="815" t="s">
        <v>579</v>
      </c>
      <c r="C1013" s="612" t="s">
        <v>135</v>
      </c>
      <c r="D1013" s="252" t="s">
        <v>135</v>
      </c>
      <c r="E1013" s="816">
        <v>0.9395</v>
      </c>
      <c r="F1013" s="250" t="s">
        <v>602</v>
      </c>
      <c r="G1013" s="251" t="s">
        <v>16</v>
      </c>
      <c r="H1013" s="252">
        <v>3</v>
      </c>
      <c r="I1013" s="252">
        <v>2</v>
      </c>
      <c r="J1013" s="252">
        <v>3</v>
      </c>
      <c r="K1013" s="252">
        <v>3</v>
      </c>
      <c r="L1013" s="253">
        <v>1</v>
      </c>
      <c r="M1013" s="254">
        <f t="shared" si="36"/>
        <v>0.60108474454521421</v>
      </c>
      <c r="N1013" s="255"/>
    </row>
    <row r="1014" spans="1:14" x14ac:dyDescent="0.2">
      <c r="A1014" s="814" t="s">
        <v>644</v>
      </c>
      <c r="B1014" s="815" t="s">
        <v>579</v>
      </c>
      <c r="C1014" s="612" t="s">
        <v>135</v>
      </c>
      <c r="D1014" s="252" t="s">
        <v>135</v>
      </c>
      <c r="E1014" s="816">
        <v>0.99199999999999999</v>
      </c>
      <c r="F1014" s="250" t="s">
        <v>602</v>
      </c>
      <c r="G1014" s="251" t="s">
        <v>16</v>
      </c>
      <c r="H1014" s="252">
        <v>3</v>
      </c>
      <c r="I1014" s="252">
        <v>2</v>
      </c>
      <c r="J1014" s="252">
        <v>3</v>
      </c>
      <c r="K1014" s="252">
        <v>3</v>
      </c>
      <c r="L1014" s="253">
        <v>1</v>
      </c>
      <c r="M1014" s="254">
        <f t="shared" si="36"/>
        <v>0.60108474454521421</v>
      </c>
      <c r="N1014" s="255"/>
    </row>
    <row r="1015" spans="1:14" x14ac:dyDescent="0.2">
      <c r="A1015" s="814" t="s">
        <v>644</v>
      </c>
      <c r="B1015" s="815" t="s">
        <v>579</v>
      </c>
      <c r="C1015" s="612" t="s">
        <v>135</v>
      </c>
      <c r="D1015" s="252" t="s">
        <v>135</v>
      </c>
      <c r="E1015" s="816">
        <v>0.99099999999999999</v>
      </c>
      <c r="F1015" s="250" t="s">
        <v>602</v>
      </c>
      <c r="G1015" s="251" t="s">
        <v>16</v>
      </c>
      <c r="H1015" s="252">
        <v>3</v>
      </c>
      <c r="I1015" s="252">
        <v>2</v>
      </c>
      <c r="J1015" s="252">
        <v>3</v>
      </c>
      <c r="K1015" s="252">
        <v>3</v>
      </c>
      <c r="L1015" s="253">
        <v>1</v>
      </c>
      <c r="M1015" s="254">
        <f t="shared" si="36"/>
        <v>0.60108474454521421</v>
      </c>
      <c r="N1015" s="255"/>
    </row>
    <row r="1016" spans="1:14" x14ac:dyDescent="0.2">
      <c r="A1016" s="814" t="s">
        <v>644</v>
      </c>
      <c r="B1016" s="815" t="s">
        <v>579</v>
      </c>
      <c r="C1016" s="612" t="s">
        <v>135</v>
      </c>
      <c r="D1016" s="252" t="s">
        <v>135</v>
      </c>
      <c r="E1016" s="816">
        <v>0.98899999999999999</v>
      </c>
      <c r="F1016" s="834" t="s">
        <v>602</v>
      </c>
      <c r="G1016" s="251" t="s">
        <v>16</v>
      </c>
      <c r="H1016" s="252">
        <v>3</v>
      </c>
      <c r="I1016" s="252">
        <v>2</v>
      </c>
      <c r="J1016" s="252">
        <v>3</v>
      </c>
      <c r="K1016" s="252">
        <v>3</v>
      </c>
      <c r="L1016" s="253">
        <v>1</v>
      </c>
      <c r="M1016" s="254">
        <f t="shared" si="36"/>
        <v>0.60108474454521421</v>
      </c>
      <c r="N1016" s="255"/>
    </row>
    <row r="1017" spans="1:14" x14ac:dyDescent="0.2">
      <c r="A1017" s="814" t="s">
        <v>644</v>
      </c>
      <c r="B1017" s="815" t="s">
        <v>579</v>
      </c>
      <c r="C1017" s="612" t="s">
        <v>135</v>
      </c>
      <c r="D1017" s="252" t="s">
        <v>135</v>
      </c>
      <c r="E1017" s="816">
        <f>1-(4.9+8.6)/(13.8+68.6)</f>
        <v>0.83616504854368934</v>
      </c>
      <c r="F1017" s="250" t="s">
        <v>600</v>
      </c>
      <c r="G1017" s="251" t="s">
        <v>16</v>
      </c>
      <c r="H1017" s="252">
        <v>2</v>
      </c>
      <c r="I1017" s="252">
        <v>2</v>
      </c>
      <c r="J1017" s="252">
        <v>3</v>
      </c>
      <c r="K1017" s="252">
        <v>3</v>
      </c>
      <c r="L1017" s="253">
        <v>1</v>
      </c>
      <c r="M1017" s="254">
        <f t="shared" si="36"/>
        <v>0.51126068492676302</v>
      </c>
      <c r="N1017" s="255" t="s">
        <v>654</v>
      </c>
    </row>
    <row r="1018" spans="1:14" x14ac:dyDescent="0.2">
      <c r="A1018" s="814" t="s">
        <v>644</v>
      </c>
      <c r="B1018" s="815" t="s">
        <v>579</v>
      </c>
      <c r="C1018" s="612" t="s">
        <v>135</v>
      </c>
      <c r="D1018" s="252" t="s">
        <v>135</v>
      </c>
      <c r="E1018" s="816">
        <v>0.97</v>
      </c>
      <c r="F1018" s="250" t="s">
        <v>655</v>
      </c>
      <c r="G1018" s="251" t="s">
        <v>16</v>
      </c>
      <c r="H1018" s="252">
        <v>2</v>
      </c>
      <c r="I1018" s="252">
        <v>2</v>
      </c>
      <c r="J1018" s="252">
        <v>3</v>
      </c>
      <c r="K1018" s="252">
        <v>3</v>
      </c>
      <c r="L1018" s="253">
        <v>1</v>
      </c>
      <c r="M1018" s="254">
        <f t="shared" si="36"/>
        <v>0.51126068492676302</v>
      </c>
      <c r="N1018" s="255" t="s">
        <v>656</v>
      </c>
    </row>
    <row r="1019" spans="1:14" x14ac:dyDescent="0.2">
      <c r="A1019" s="814" t="s">
        <v>644</v>
      </c>
      <c r="B1019" s="815" t="s">
        <v>579</v>
      </c>
      <c r="C1019" s="612" t="s">
        <v>135</v>
      </c>
      <c r="D1019" s="252" t="s">
        <v>135</v>
      </c>
      <c r="E1019" s="470">
        <v>0</v>
      </c>
      <c r="F1019" s="250" t="s">
        <v>603</v>
      </c>
      <c r="G1019" s="251" t="s">
        <v>16</v>
      </c>
      <c r="H1019" s="470"/>
      <c r="I1019" s="470"/>
      <c r="J1019" s="470"/>
      <c r="K1019" s="470"/>
      <c r="L1019" s="471"/>
      <c r="M1019" s="456" t="str">
        <f t="shared" si="36"/>
        <v/>
      </c>
      <c r="N1019" s="255"/>
    </row>
    <row r="1020" spans="1:14" x14ac:dyDescent="0.2">
      <c r="A1020" s="814" t="s">
        <v>644</v>
      </c>
      <c r="B1020" s="815" t="s">
        <v>579</v>
      </c>
      <c r="C1020" s="612" t="s">
        <v>135</v>
      </c>
      <c r="D1020" s="252" t="s">
        <v>135</v>
      </c>
      <c r="E1020" s="816">
        <v>0.61</v>
      </c>
      <c r="F1020" s="250" t="s">
        <v>642</v>
      </c>
      <c r="G1020" s="251" t="s">
        <v>16</v>
      </c>
      <c r="H1020" s="252">
        <v>1</v>
      </c>
      <c r="I1020" s="252">
        <v>3</v>
      </c>
      <c r="J1020" s="252">
        <v>3</v>
      </c>
      <c r="K1020" s="252">
        <v>3</v>
      </c>
      <c r="L1020" s="253">
        <v>1</v>
      </c>
      <c r="M1020" s="254">
        <f t="shared" si="36"/>
        <v>0.59189702474662764</v>
      </c>
      <c r="N1020" s="255"/>
    </row>
    <row r="1021" spans="1:14" x14ac:dyDescent="0.2">
      <c r="A1021" s="814" t="s">
        <v>644</v>
      </c>
      <c r="B1021" s="815" t="s">
        <v>579</v>
      </c>
      <c r="C1021" s="612" t="s">
        <v>135</v>
      </c>
      <c r="D1021" s="252" t="s">
        <v>135</v>
      </c>
      <c r="E1021" s="816">
        <f>1-0.207/0.342</f>
        <v>0.39473684210526327</v>
      </c>
      <c r="F1021" s="250" t="s">
        <v>610</v>
      </c>
      <c r="G1021" s="251" t="s">
        <v>16</v>
      </c>
      <c r="H1021" s="252">
        <v>2</v>
      </c>
      <c r="I1021" s="252">
        <v>2</v>
      </c>
      <c r="J1021" s="252">
        <v>3</v>
      </c>
      <c r="K1021" s="252">
        <v>3</v>
      </c>
      <c r="L1021" s="253">
        <v>1</v>
      </c>
      <c r="M1021" s="254">
        <f t="shared" si="36"/>
        <v>0.51126068492676302</v>
      </c>
      <c r="N1021" s="255" t="s">
        <v>657</v>
      </c>
    </row>
    <row r="1022" spans="1:14" x14ac:dyDescent="0.2">
      <c r="A1022" s="814" t="s">
        <v>644</v>
      </c>
      <c r="B1022" s="815" t="s">
        <v>579</v>
      </c>
      <c r="C1022" s="612" t="s">
        <v>135</v>
      </c>
      <c r="D1022" s="252" t="s">
        <v>135</v>
      </c>
      <c r="E1022" s="470">
        <v>1</v>
      </c>
      <c r="F1022" s="250" t="s">
        <v>658</v>
      </c>
      <c r="G1022" s="251" t="s">
        <v>16</v>
      </c>
      <c r="H1022" s="470"/>
      <c r="I1022" s="470"/>
      <c r="J1022" s="470"/>
      <c r="K1022" s="470"/>
      <c r="L1022" s="471"/>
      <c r="M1022" s="456" t="str">
        <f t="shared" si="36"/>
        <v/>
      </c>
      <c r="N1022" s="255"/>
    </row>
    <row r="1023" spans="1:14" x14ac:dyDescent="0.2">
      <c r="A1023" s="814" t="s">
        <v>644</v>
      </c>
      <c r="B1023" s="815" t="s">
        <v>579</v>
      </c>
      <c r="C1023" s="612" t="s">
        <v>135</v>
      </c>
      <c r="D1023" s="252" t="s">
        <v>135</v>
      </c>
      <c r="E1023" s="816">
        <v>0.96</v>
      </c>
      <c r="F1023" s="250" t="s">
        <v>606</v>
      </c>
      <c r="G1023" s="251" t="s">
        <v>16</v>
      </c>
      <c r="H1023" s="252">
        <v>2</v>
      </c>
      <c r="I1023" s="252">
        <v>2</v>
      </c>
      <c r="J1023" s="252">
        <v>3</v>
      </c>
      <c r="K1023" s="252">
        <v>3</v>
      </c>
      <c r="L1023" s="253">
        <v>1</v>
      </c>
      <c r="M1023" s="254">
        <f t="shared" si="36"/>
        <v>0.51126068492676302</v>
      </c>
      <c r="N1023" s="255"/>
    </row>
    <row r="1024" spans="1:14" x14ac:dyDescent="0.2">
      <c r="A1024" s="814" t="s">
        <v>644</v>
      </c>
      <c r="B1024" s="815" t="s">
        <v>579</v>
      </c>
      <c r="C1024" s="612" t="s">
        <v>135</v>
      </c>
      <c r="D1024" s="252" t="s">
        <v>135</v>
      </c>
      <c r="E1024" s="816">
        <v>0.97199999999999998</v>
      </c>
      <c r="F1024" s="250" t="s">
        <v>608</v>
      </c>
      <c r="G1024" s="251" t="s">
        <v>16</v>
      </c>
      <c r="H1024" s="252">
        <v>3</v>
      </c>
      <c r="I1024" s="252">
        <v>3</v>
      </c>
      <c r="J1024" s="252">
        <v>3</v>
      </c>
      <c r="K1024" s="252">
        <v>3</v>
      </c>
      <c r="L1024" s="253">
        <v>1</v>
      </c>
      <c r="M1024" s="254">
        <f t="shared" si="36"/>
        <v>0.67913051197703389</v>
      </c>
      <c r="N1024" s="255"/>
    </row>
    <row r="1025" spans="1:14" x14ac:dyDescent="0.2">
      <c r="A1025" s="814" t="s">
        <v>644</v>
      </c>
      <c r="B1025" s="815" t="s">
        <v>579</v>
      </c>
      <c r="C1025" s="612" t="s">
        <v>135</v>
      </c>
      <c r="D1025" s="252" t="s">
        <v>135</v>
      </c>
      <c r="E1025" s="816">
        <v>0.99399999999999999</v>
      </c>
      <c r="F1025" s="250" t="s">
        <v>608</v>
      </c>
      <c r="G1025" s="251" t="s">
        <v>16</v>
      </c>
      <c r="H1025" s="252">
        <v>3</v>
      </c>
      <c r="I1025" s="252">
        <v>3</v>
      </c>
      <c r="J1025" s="252">
        <v>3</v>
      </c>
      <c r="K1025" s="252">
        <v>3</v>
      </c>
      <c r="L1025" s="253">
        <v>1</v>
      </c>
      <c r="M1025" s="254">
        <f t="shared" si="36"/>
        <v>0.67913051197703389</v>
      </c>
      <c r="N1025" s="255"/>
    </row>
    <row r="1026" spans="1:14" x14ac:dyDescent="0.2">
      <c r="A1026" s="814" t="s">
        <v>644</v>
      </c>
      <c r="B1026" s="815" t="s">
        <v>579</v>
      </c>
      <c r="C1026" s="612" t="s">
        <v>135</v>
      </c>
      <c r="D1026" s="252" t="s">
        <v>135</v>
      </c>
      <c r="E1026" s="816">
        <v>0.75490000000000002</v>
      </c>
      <c r="F1026" s="250" t="s">
        <v>637</v>
      </c>
      <c r="G1026" s="251" t="s">
        <v>16</v>
      </c>
      <c r="H1026" s="252">
        <v>2</v>
      </c>
      <c r="I1026" s="252">
        <v>2</v>
      </c>
      <c r="J1026" s="252">
        <v>3</v>
      </c>
      <c r="K1026" s="252">
        <v>3</v>
      </c>
      <c r="L1026" s="253">
        <v>1</v>
      </c>
      <c r="M1026" s="254">
        <f t="shared" si="36"/>
        <v>0.51126068492676302</v>
      </c>
      <c r="N1026" s="255"/>
    </row>
    <row r="1027" spans="1:14" x14ac:dyDescent="0.2">
      <c r="A1027" s="814" t="s">
        <v>644</v>
      </c>
      <c r="B1027" s="815" t="s">
        <v>579</v>
      </c>
      <c r="C1027" s="612" t="s">
        <v>135</v>
      </c>
      <c r="D1027" s="252" t="s">
        <v>135</v>
      </c>
      <c r="E1027" s="816">
        <v>0.9516</v>
      </c>
      <c r="F1027" s="250" t="s">
        <v>609</v>
      </c>
      <c r="G1027" s="251" t="s">
        <v>16</v>
      </c>
      <c r="H1027" s="252">
        <v>3</v>
      </c>
      <c r="I1027" s="252">
        <v>2</v>
      </c>
      <c r="J1027" s="252">
        <v>3</v>
      </c>
      <c r="K1027" s="252">
        <v>3</v>
      </c>
      <c r="L1027" s="253">
        <v>1</v>
      </c>
      <c r="M1027" s="254">
        <f t="shared" si="36"/>
        <v>0.60108474454521421</v>
      </c>
      <c r="N1027" s="255"/>
    </row>
    <row r="1028" spans="1:14" x14ac:dyDescent="0.2">
      <c r="A1028" s="814" t="s">
        <v>644</v>
      </c>
      <c r="B1028" s="815" t="s">
        <v>579</v>
      </c>
      <c r="C1028" s="612" t="s">
        <v>135</v>
      </c>
      <c r="D1028" s="252" t="s">
        <v>135</v>
      </c>
      <c r="E1028" s="816">
        <v>0.84</v>
      </c>
      <c r="F1028" s="250" t="s">
        <v>638</v>
      </c>
      <c r="G1028" s="251" t="s">
        <v>16</v>
      </c>
      <c r="H1028" s="252">
        <v>2</v>
      </c>
      <c r="I1028" s="252">
        <v>2</v>
      </c>
      <c r="J1028" s="252">
        <v>3</v>
      </c>
      <c r="K1028" s="252">
        <v>3</v>
      </c>
      <c r="L1028" s="253">
        <v>1</v>
      </c>
      <c r="M1028" s="254">
        <f t="shared" si="36"/>
        <v>0.51126068492676302</v>
      </c>
      <c r="N1028" s="255"/>
    </row>
    <row r="1029" spans="1:14" x14ac:dyDescent="0.2">
      <c r="A1029" s="814" t="s">
        <v>644</v>
      </c>
      <c r="B1029" s="815" t="s">
        <v>579</v>
      </c>
      <c r="C1029" s="612" t="s">
        <v>135</v>
      </c>
      <c r="D1029" s="252" t="s">
        <v>135</v>
      </c>
      <c r="E1029" s="816">
        <v>0.4</v>
      </c>
      <c r="F1029" s="250" t="s">
        <v>659</v>
      </c>
      <c r="G1029" s="251" t="s">
        <v>16</v>
      </c>
      <c r="H1029" s="252">
        <v>2</v>
      </c>
      <c r="I1029" s="252">
        <v>2</v>
      </c>
      <c r="J1029" s="252">
        <v>3</v>
      </c>
      <c r="K1029" s="252">
        <v>3</v>
      </c>
      <c r="L1029" s="253">
        <v>1</v>
      </c>
      <c r="M1029" s="254">
        <f t="shared" si="36"/>
        <v>0.51126068492676302</v>
      </c>
      <c r="N1029" s="255"/>
    </row>
    <row r="1030" spans="1:14" x14ac:dyDescent="0.2">
      <c r="A1030" s="814" t="s">
        <v>644</v>
      </c>
      <c r="B1030" s="815" t="s">
        <v>579</v>
      </c>
      <c r="C1030" s="612" t="s">
        <v>135</v>
      </c>
      <c r="D1030" s="252" t="s">
        <v>135</v>
      </c>
      <c r="E1030" s="816">
        <v>0.98499999999999999</v>
      </c>
      <c r="F1030" s="250" t="s">
        <v>659</v>
      </c>
      <c r="G1030" s="251" t="s">
        <v>16</v>
      </c>
      <c r="H1030" s="252">
        <v>2</v>
      </c>
      <c r="I1030" s="252">
        <v>2</v>
      </c>
      <c r="J1030" s="252">
        <v>3</v>
      </c>
      <c r="K1030" s="252">
        <v>3</v>
      </c>
      <c r="L1030" s="253">
        <v>1</v>
      </c>
      <c r="M1030" s="254">
        <f t="shared" si="36"/>
        <v>0.51126068492676302</v>
      </c>
      <c r="N1030" s="255"/>
    </row>
    <row r="1031" spans="1:14" x14ac:dyDescent="0.2">
      <c r="A1031" s="814" t="s">
        <v>644</v>
      </c>
      <c r="B1031" s="815" t="s">
        <v>579</v>
      </c>
      <c r="C1031" s="612" t="s">
        <v>135</v>
      </c>
      <c r="D1031" s="252" t="s">
        <v>135</v>
      </c>
      <c r="E1031" s="816">
        <v>0.97099999999999997</v>
      </c>
      <c r="F1031" s="250" t="s">
        <v>659</v>
      </c>
      <c r="G1031" s="251" t="s">
        <v>16</v>
      </c>
      <c r="H1031" s="252">
        <v>2</v>
      </c>
      <c r="I1031" s="252">
        <v>2</v>
      </c>
      <c r="J1031" s="252">
        <v>3</v>
      </c>
      <c r="K1031" s="252">
        <v>3</v>
      </c>
      <c r="L1031" s="253">
        <v>1</v>
      </c>
      <c r="M1031" s="254">
        <f t="shared" si="36"/>
        <v>0.51126068492676302</v>
      </c>
      <c r="N1031" s="255"/>
    </row>
    <row r="1032" spans="1:14" x14ac:dyDescent="0.2">
      <c r="A1032" s="814" t="s">
        <v>644</v>
      </c>
      <c r="B1032" s="815" t="s">
        <v>579</v>
      </c>
      <c r="C1032" s="612" t="s">
        <v>135</v>
      </c>
      <c r="D1032" s="252" t="s">
        <v>135</v>
      </c>
      <c r="E1032" s="816">
        <v>0.94</v>
      </c>
      <c r="F1032" s="250" t="s">
        <v>659</v>
      </c>
      <c r="G1032" s="251" t="s">
        <v>16</v>
      </c>
      <c r="H1032" s="252">
        <v>2</v>
      </c>
      <c r="I1032" s="252">
        <v>2</v>
      </c>
      <c r="J1032" s="252">
        <v>3</v>
      </c>
      <c r="K1032" s="252">
        <v>3</v>
      </c>
      <c r="L1032" s="253">
        <v>1</v>
      </c>
      <c r="M1032" s="254">
        <f t="shared" si="36"/>
        <v>0.51126068492676302</v>
      </c>
      <c r="N1032" s="255"/>
    </row>
    <row r="1033" spans="1:14" x14ac:dyDescent="0.2">
      <c r="A1033" s="814" t="s">
        <v>644</v>
      </c>
      <c r="B1033" s="815" t="s">
        <v>579</v>
      </c>
      <c r="C1033" s="612" t="s">
        <v>135</v>
      </c>
      <c r="D1033" s="252" t="s">
        <v>135</v>
      </c>
      <c r="E1033" s="816">
        <v>0.95</v>
      </c>
      <c r="F1033" s="250" t="s">
        <v>659</v>
      </c>
      <c r="G1033" s="251" t="s">
        <v>16</v>
      </c>
      <c r="H1033" s="252">
        <v>2</v>
      </c>
      <c r="I1033" s="252">
        <v>2</v>
      </c>
      <c r="J1033" s="252">
        <v>3</v>
      </c>
      <c r="K1033" s="252">
        <v>3</v>
      </c>
      <c r="L1033" s="253">
        <v>1</v>
      </c>
      <c r="M1033" s="254">
        <f t="shared" si="36"/>
        <v>0.51126068492676302</v>
      </c>
      <c r="N1033" s="255"/>
    </row>
    <row r="1034" spans="1:14" x14ac:dyDescent="0.2">
      <c r="A1034" s="823" t="s">
        <v>644</v>
      </c>
      <c r="B1034" s="835" t="s">
        <v>634</v>
      </c>
      <c r="C1034" s="610" t="s">
        <v>135</v>
      </c>
      <c r="D1034" s="291" t="s">
        <v>135</v>
      </c>
      <c r="E1034" s="473" t="s">
        <v>188</v>
      </c>
      <c r="F1034" s="289"/>
      <c r="G1034" s="290" t="s">
        <v>16</v>
      </c>
      <c r="H1034" s="473"/>
      <c r="I1034" s="473"/>
      <c r="J1034" s="473"/>
      <c r="K1034" s="473"/>
      <c r="L1034" s="474"/>
      <c r="M1034" s="475" t="str">
        <f t="shared" si="36"/>
        <v/>
      </c>
      <c r="N1034" s="294"/>
    </row>
    <row r="1035" spans="1:14" x14ac:dyDescent="0.2">
      <c r="A1035" s="819" t="s">
        <v>567</v>
      </c>
      <c r="B1035" s="490" t="s">
        <v>481</v>
      </c>
      <c r="C1035" s="247" t="s">
        <v>13</v>
      </c>
      <c r="D1035" s="252" t="s">
        <v>135</v>
      </c>
      <c r="E1035" s="478">
        <v>1</v>
      </c>
      <c r="F1035" s="250" t="s">
        <v>660</v>
      </c>
      <c r="G1035" s="251" t="s">
        <v>16</v>
      </c>
      <c r="H1035" s="470"/>
      <c r="I1035" s="470"/>
      <c r="J1035" s="470"/>
      <c r="K1035" s="470"/>
      <c r="L1035" s="471"/>
      <c r="M1035" s="456" t="str">
        <f t="shared" si="36"/>
        <v/>
      </c>
      <c r="N1035" s="381"/>
    </row>
    <row r="1036" spans="1:14" hidden="1" x14ac:dyDescent="0.2">
      <c r="A1036" s="815" t="s">
        <v>567</v>
      </c>
      <c r="B1036" s="466" t="s">
        <v>481</v>
      </c>
      <c r="C1036" s="247" t="s">
        <v>18</v>
      </c>
      <c r="D1036" s="252" t="s">
        <v>135</v>
      </c>
      <c r="E1036" s="478">
        <v>1</v>
      </c>
      <c r="F1036" s="250" t="s">
        <v>660</v>
      </c>
      <c r="G1036" s="251" t="s">
        <v>16</v>
      </c>
      <c r="H1036" s="470"/>
      <c r="I1036" s="470"/>
      <c r="J1036" s="470"/>
      <c r="K1036" s="470"/>
      <c r="L1036" s="471"/>
      <c r="M1036" s="456" t="str">
        <f t="shared" si="36"/>
        <v/>
      </c>
      <c r="N1036" s="381"/>
    </row>
    <row r="1037" spans="1:14" hidden="1" x14ac:dyDescent="0.2">
      <c r="A1037" s="815" t="s">
        <v>567</v>
      </c>
      <c r="B1037" s="466" t="s">
        <v>481</v>
      </c>
      <c r="C1037" s="247" t="s">
        <v>20</v>
      </c>
      <c r="D1037" s="252" t="s">
        <v>135</v>
      </c>
      <c r="E1037" s="478">
        <v>1</v>
      </c>
      <c r="F1037" s="250" t="s">
        <v>660</v>
      </c>
      <c r="G1037" s="251" t="s">
        <v>16</v>
      </c>
      <c r="H1037" s="470"/>
      <c r="I1037" s="470"/>
      <c r="J1037" s="470"/>
      <c r="K1037" s="470"/>
      <c r="L1037" s="471"/>
      <c r="M1037" s="456" t="str">
        <f t="shared" si="36"/>
        <v/>
      </c>
      <c r="N1037" s="381"/>
    </row>
    <row r="1038" spans="1:14" hidden="1" x14ac:dyDescent="0.2">
      <c r="A1038" s="815" t="s">
        <v>567</v>
      </c>
      <c r="B1038" s="466" t="s">
        <v>481</v>
      </c>
      <c r="C1038" s="247" t="s">
        <v>22</v>
      </c>
      <c r="D1038" s="252" t="s">
        <v>135</v>
      </c>
      <c r="E1038" s="849">
        <v>0.63080497339874331</v>
      </c>
      <c r="F1038" s="250" t="s">
        <v>660</v>
      </c>
      <c r="G1038" s="251" t="s">
        <v>16</v>
      </c>
      <c r="H1038" s="252">
        <v>1</v>
      </c>
      <c r="I1038" s="252">
        <v>2</v>
      </c>
      <c r="J1038" s="252">
        <v>3</v>
      </c>
      <c r="K1038" s="252">
        <v>3</v>
      </c>
      <c r="L1038" s="253">
        <v>3</v>
      </c>
      <c r="M1038" s="254">
        <f t="shared" si="36"/>
        <v>1.123005955058592</v>
      </c>
      <c r="N1038" s="381"/>
    </row>
    <row r="1039" spans="1:14" hidden="1" x14ac:dyDescent="0.2">
      <c r="A1039" s="815" t="s">
        <v>567</v>
      </c>
      <c r="B1039" s="466" t="s">
        <v>481</v>
      </c>
      <c r="C1039" s="247" t="s">
        <v>23</v>
      </c>
      <c r="D1039" s="252" t="s">
        <v>135</v>
      </c>
      <c r="E1039" s="478">
        <v>1</v>
      </c>
      <c r="F1039" s="250" t="s">
        <v>660</v>
      </c>
      <c r="G1039" s="251" t="s">
        <v>16</v>
      </c>
      <c r="H1039" s="470"/>
      <c r="I1039" s="470"/>
      <c r="J1039" s="470"/>
      <c r="K1039" s="470"/>
      <c r="L1039" s="471"/>
      <c r="M1039" s="456" t="str">
        <f t="shared" si="36"/>
        <v/>
      </c>
      <c r="N1039" s="381"/>
    </row>
    <row r="1040" spans="1:14" hidden="1" x14ac:dyDescent="0.2">
      <c r="A1040" s="815" t="s">
        <v>567</v>
      </c>
      <c r="B1040" s="466" t="s">
        <v>481</v>
      </c>
      <c r="C1040" s="247" t="s">
        <v>24</v>
      </c>
      <c r="D1040" s="252" t="s">
        <v>135</v>
      </c>
      <c r="E1040" s="478">
        <v>1</v>
      </c>
      <c r="F1040" s="250" t="s">
        <v>660</v>
      </c>
      <c r="G1040" s="251" t="s">
        <v>16</v>
      </c>
      <c r="H1040" s="470"/>
      <c r="I1040" s="470"/>
      <c r="J1040" s="470"/>
      <c r="K1040" s="470"/>
      <c r="L1040" s="471"/>
      <c r="M1040" s="456" t="str">
        <f t="shared" si="36"/>
        <v/>
      </c>
      <c r="N1040" s="381"/>
    </row>
    <row r="1041" spans="1:14" hidden="1" x14ac:dyDescent="0.2">
      <c r="A1041" s="815" t="s">
        <v>567</v>
      </c>
      <c r="B1041" s="466" t="s">
        <v>481</v>
      </c>
      <c r="C1041" s="247" t="s">
        <v>25</v>
      </c>
      <c r="D1041" s="252" t="s">
        <v>135</v>
      </c>
      <c r="E1041" s="478">
        <v>1</v>
      </c>
      <c r="F1041" s="250" t="s">
        <v>660</v>
      </c>
      <c r="G1041" s="251" t="s">
        <v>16</v>
      </c>
      <c r="H1041" s="470"/>
      <c r="I1041" s="470"/>
      <c r="J1041" s="470"/>
      <c r="K1041" s="470"/>
      <c r="L1041" s="471"/>
      <c r="M1041" s="456" t="str">
        <f t="shared" si="36"/>
        <v/>
      </c>
      <c r="N1041" s="381"/>
    </row>
    <row r="1042" spans="1:14" hidden="1" x14ac:dyDescent="0.2">
      <c r="A1042" s="815" t="s">
        <v>567</v>
      </c>
      <c r="B1042" s="466" t="s">
        <v>481</v>
      </c>
      <c r="C1042" s="247" t="s">
        <v>26</v>
      </c>
      <c r="D1042" s="252" t="s">
        <v>135</v>
      </c>
      <c r="E1042" s="849">
        <v>6.9535848764910729E-3</v>
      </c>
      <c r="F1042" s="250" t="s">
        <v>660</v>
      </c>
      <c r="G1042" s="251" t="s">
        <v>16</v>
      </c>
      <c r="H1042" s="252">
        <v>1</v>
      </c>
      <c r="I1042" s="252">
        <v>2</v>
      </c>
      <c r="J1042" s="252">
        <v>3</v>
      </c>
      <c r="K1042" s="252">
        <v>3</v>
      </c>
      <c r="L1042" s="253">
        <v>3</v>
      </c>
      <c r="M1042" s="254">
        <f t="shared" si="36"/>
        <v>1.123005955058592</v>
      </c>
      <c r="N1042" s="381"/>
    </row>
    <row r="1043" spans="1:14" hidden="1" x14ac:dyDescent="0.2">
      <c r="A1043" s="815" t="s">
        <v>567</v>
      </c>
      <c r="B1043" s="466" t="s">
        <v>481</v>
      </c>
      <c r="C1043" s="247" t="s">
        <v>27</v>
      </c>
      <c r="D1043" s="252" t="s">
        <v>135</v>
      </c>
      <c r="E1043" s="478">
        <v>1</v>
      </c>
      <c r="F1043" s="250" t="s">
        <v>660</v>
      </c>
      <c r="G1043" s="251" t="s">
        <v>16</v>
      </c>
      <c r="H1043" s="470"/>
      <c r="I1043" s="470"/>
      <c r="J1043" s="470"/>
      <c r="K1043" s="470"/>
      <c r="L1043" s="471"/>
      <c r="M1043" s="456" t="str">
        <f t="shared" si="36"/>
        <v/>
      </c>
      <c r="N1043" s="381"/>
    </row>
    <row r="1044" spans="1:14" hidden="1" x14ac:dyDescent="0.2">
      <c r="A1044" s="815" t="s">
        <v>567</v>
      </c>
      <c r="B1044" s="466" t="s">
        <v>481</v>
      </c>
      <c r="C1044" s="247" t="s">
        <v>28</v>
      </c>
      <c r="D1044" s="252" t="s">
        <v>135</v>
      </c>
      <c r="E1044" s="849">
        <v>0.19999393378207481</v>
      </c>
      <c r="F1044" s="250" t="s">
        <v>660</v>
      </c>
      <c r="G1044" s="251" t="s">
        <v>16</v>
      </c>
      <c r="H1044" s="252">
        <v>1</v>
      </c>
      <c r="I1044" s="252">
        <v>2</v>
      </c>
      <c r="J1044" s="252">
        <v>3</v>
      </c>
      <c r="K1044" s="252">
        <v>3</v>
      </c>
      <c r="L1044" s="253">
        <v>3</v>
      </c>
      <c r="M1044" s="254">
        <f t="shared" ref="M1044:M1075" si="37">IF( OR( ISBLANK(H1044),ISBLANK(I1044), ISBLANK(J1044), ISBLANK(K1044), ISBLANK(L1044) ), "", 1.5*SQRT( EXP(2.21*(H1044-1)) + EXP(2.21*(I1044-1)) + EXP(2.21*(J1044-1)) + EXP(2.21*(K1044-1)) + EXP(2.21*L1044) )/100*2.45 )</f>
        <v>1.123005955058592</v>
      </c>
      <c r="N1044" s="381"/>
    </row>
    <row r="1045" spans="1:14" hidden="1" x14ac:dyDescent="0.2">
      <c r="A1045" s="815" t="s">
        <v>567</v>
      </c>
      <c r="B1045" s="466" t="s">
        <v>481</v>
      </c>
      <c r="C1045" s="247" t="s">
        <v>30</v>
      </c>
      <c r="D1045" s="252" t="s">
        <v>135</v>
      </c>
      <c r="E1045" s="478">
        <v>1</v>
      </c>
      <c r="F1045" s="250" t="s">
        <v>660</v>
      </c>
      <c r="G1045" s="251" t="s">
        <v>16</v>
      </c>
      <c r="H1045" s="470"/>
      <c r="I1045" s="470"/>
      <c r="J1045" s="470"/>
      <c r="K1045" s="470"/>
      <c r="L1045" s="471"/>
      <c r="M1045" s="456" t="str">
        <f t="shared" si="37"/>
        <v/>
      </c>
      <c r="N1045" s="381"/>
    </row>
    <row r="1046" spans="1:14" hidden="1" x14ac:dyDescent="0.2">
      <c r="A1046" s="815" t="s">
        <v>567</v>
      </c>
      <c r="B1046" s="466" t="s">
        <v>481</v>
      </c>
      <c r="C1046" s="247" t="s">
        <v>32</v>
      </c>
      <c r="D1046" s="252" t="s">
        <v>135</v>
      </c>
      <c r="E1046" s="849">
        <v>0.1017616895985109</v>
      </c>
      <c r="F1046" s="250" t="s">
        <v>660</v>
      </c>
      <c r="G1046" s="251" t="s">
        <v>16</v>
      </c>
      <c r="H1046" s="252">
        <v>1</v>
      </c>
      <c r="I1046" s="252">
        <v>2</v>
      </c>
      <c r="J1046" s="252">
        <v>3</v>
      </c>
      <c r="K1046" s="252">
        <v>3</v>
      </c>
      <c r="L1046" s="253">
        <v>3</v>
      </c>
      <c r="M1046" s="254">
        <f t="shared" si="37"/>
        <v>1.123005955058592</v>
      </c>
      <c r="N1046" s="381"/>
    </row>
    <row r="1047" spans="1:14" hidden="1" x14ac:dyDescent="0.2">
      <c r="A1047" s="815" t="s">
        <v>567</v>
      </c>
      <c r="B1047" s="466" t="s">
        <v>481</v>
      </c>
      <c r="C1047" s="247" t="s">
        <v>34</v>
      </c>
      <c r="D1047" s="252" t="s">
        <v>135</v>
      </c>
      <c r="E1047" s="478">
        <v>1</v>
      </c>
      <c r="F1047" s="250" t="s">
        <v>660</v>
      </c>
      <c r="G1047" s="251" t="s">
        <v>16</v>
      </c>
      <c r="H1047" s="470"/>
      <c r="I1047" s="470"/>
      <c r="J1047" s="470"/>
      <c r="K1047" s="470"/>
      <c r="L1047" s="471"/>
      <c r="M1047" s="456" t="str">
        <f t="shared" si="37"/>
        <v/>
      </c>
      <c r="N1047" s="381"/>
    </row>
    <row r="1048" spans="1:14" hidden="1" x14ac:dyDescent="0.2">
      <c r="A1048" s="815" t="s">
        <v>567</v>
      </c>
      <c r="B1048" s="466" t="s">
        <v>481</v>
      </c>
      <c r="C1048" s="247" t="s">
        <v>36</v>
      </c>
      <c r="D1048" s="252" t="s">
        <v>135</v>
      </c>
      <c r="E1048" s="478">
        <v>1</v>
      </c>
      <c r="F1048" s="250" t="s">
        <v>660</v>
      </c>
      <c r="G1048" s="251" t="s">
        <v>16</v>
      </c>
      <c r="H1048" s="470"/>
      <c r="I1048" s="470"/>
      <c r="J1048" s="470"/>
      <c r="K1048" s="470"/>
      <c r="L1048" s="471"/>
      <c r="M1048" s="456" t="str">
        <f t="shared" si="37"/>
        <v/>
      </c>
      <c r="N1048" s="381"/>
    </row>
    <row r="1049" spans="1:14" hidden="1" x14ac:dyDescent="0.2">
      <c r="A1049" s="815" t="s">
        <v>567</v>
      </c>
      <c r="B1049" s="466" t="s">
        <v>481</v>
      </c>
      <c r="C1049" s="247" t="s">
        <v>37</v>
      </c>
      <c r="D1049" s="252" t="s">
        <v>135</v>
      </c>
      <c r="E1049" s="849">
        <v>0.40554780120476092</v>
      </c>
      <c r="F1049" s="250" t="s">
        <v>660</v>
      </c>
      <c r="G1049" s="251" t="s">
        <v>16</v>
      </c>
      <c r="H1049" s="252">
        <v>1</v>
      </c>
      <c r="I1049" s="252">
        <v>2</v>
      </c>
      <c r="J1049" s="252">
        <v>3</v>
      </c>
      <c r="K1049" s="252">
        <v>3</v>
      </c>
      <c r="L1049" s="253">
        <v>3</v>
      </c>
      <c r="M1049" s="254">
        <f t="shared" si="37"/>
        <v>1.123005955058592</v>
      </c>
      <c r="N1049" s="381"/>
    </row>
    <row r="1050" spans="1:14" hidden="1" x14ac:dyDescent="0.2">
      <c r="A1050" s="815" t="s">
        <v>567</v>
      </c>
      <c r="B1050" s="466" t="s">
        <v>481</v>
      </c>
      <c r="C1050" s="247" t="s">
        <v>39</v>
      </c>
      <c r="D1050" s="252" t="s">
        <v>135</v>
      </c>
      <c r="E1050" s="478">
        <v>1</v>
      </c>
      <c r="F1050" s="250" t="s">
        <v>660</v>
      </c>
      <c r="G1050" s="251" t="s">
        <v>16</v>
      </c>
      <c r="H1050" s="470"/>
      <c r="I1050" s="470"/>
      <c r="J1050" s="470"/>
      <c r="K1050" s="470"/>
      <c r="L1050" s="471"/>
      <c r="M1050" s="456" t="str">
        <f t="shared" si="37"/>
        <v/>
      </c>
      <c r="N1050" s="381"/>
    </row>
    <row r="1051" spans="1:14" hidden="1" x14ac:dyDescent="0.2">
      <c r="A1051" s="815" t="s">
        <v>567</v>
      </c>
      <c r="B1051" s="466" t="s">
        <v>481</v>
      </c>
      <c r="C1051" s="247" t="s">
        <v>40</v>
      </c>
      <c r="D1051" s="252" t="s">
        <v>135</v>
      </c>
      <c r="E1051" s="478">
        <v>1</v>
      </c>
      <c r="F1051" s="250" t="s">
        <v>660</v>
      </c>
      <c r="G1051" s="251" t="s">
        <v>16</v>
      </c>
      <c r="H1051" s="470"/>
      <c r="I1051" s="470"/>
      <c r="J1051" s="470"/>
      <c r="K1051" s="470"/>
      <c r="L1051" s="471"/>
      <c r="M1051" s="456" t="str">
        <f t="shared" si="37"/>
        <v/>
      </c>
      <c r="N1051" s="381"/>
    </row>
    <row r="1052" spans="1:14" hidden="1" x14ac:dyDescent="0.2">
      <c r="A1052" s="815" t="s">
        <v>567</v>
      </c>
      <c r="B1052" s="466" t="s">
        <v>481</v>
      </c>
      <c r="C1052" s="247" t="s">
        <v>41</v>
      </c>
      <c r="D1052" s="252" t="s">
        <v>135</v>
      </c>
      <c r="E1052" s="478">
        <v>1</v>
      </c>
      <c r="F1052" s="250" t="s">
        <v>660</v>
      </c>
      <c r="G1052" s="251" t="s">
        <v>16</v>
      </c>
      <c r="H1052" s="470"/>
      <c r="I1052" s="470"/>
      <c r="J1052" s="470"/>
      <c r="K1052" s="470"/>
      <c r="L1052" s="471"/>
      <c r="M1052" s="456" t="str">
        <f t="shared" si="37"/>
        <v/>
      </c>
      <c r="N1052" s="381"/>
    </row>
    <row r="1053" spans="1:14" hidden="1" x14ac:dyDescent="0.2">
      <c r="A1053" s="815" t="s">
        <v>567</v>
      </c>
      <c r="B1053" s="466" t="s">
        <v>481</v>
      </c>
      <c r="C1053" s="247" t="s">
        <v>42</v>
      </c>
      <c r="D1053" s="252" t="s">
        <v>135</v>
      </c>
      <c r="E1053" s="478">
        <v>1</v>
      </c>
      <c r="F1053" s="250" t="s">
        <v>660</v>
      </c>
      <c r="G1053" s="251" t="s">
        <v>16</v>
      </c>
      <c r="H1053" s="470"/>
      <c r="I1053" s="470"/>
      <c r="J1053" s="470"/>
      <c r="K1053" s="470"/>
      <c r="L1053" s="471"/>
      <c r="M1053" s="456" t="str">
        <f t="shared" si="37"/>
        <v/>
      </c>
      <c r="N1053" s="381"/>
    </row>
    <row r="1054" spans="1:14" hidden="1" x14ac:dyDescent="0.2">
      <c r="A1054" s="815" t="s">
        <v>567</v>
      </c>
      <c r="B1054" s="466" t="s">
        <v>481</v>
      </c>
      <c r="C1054" s="247" t="s">
        <v>43</v>
      </c>
      <c r="D1054" s="252" t="s">
        <v>135</v>
      </c>
      <c r="E1054" s="478">
        <v>1</v>
      </c>
      <c r="F1054" s="250" t="s">
        <v>660</v>
      </c>
      <c r="G1054" s="251" t="s">
        <v>16</v>
      </c>
      <c r="H1054" s="470"/>
      <c r="I1054" s="470"/>
      <c r="J1054" s="470"/>
      <c r="K1054" s="470"/>
      <c r="L1054" s="471"/>
      <c r="M1054" s="456" t="str">
        <f t="shared" si="37"/>
        <v/>
      </c>
      <c r="N1054" s="381"/>
    </row>
    <row r="1055" spans="1:14" hidden="1" x14ac:dyDescent="0.2">
      <c r="A1055" s="815" t="s">
        <v>567</v>
      </c>
      <c r="B1055" s="466" t="s">
        <v>481</v>
      </c>
      <c r="C1055" s="247" t="s">
        <v>45</v>
      </c>
      <c r="D1055" s="252" t="s">
        <v>135</v>
      </c>
      <c r="E1055" s="849">
        <v>0.1093826207027159</v>
      </c>
      <c r="F1055" s="250" t="s">
        <v>660</v>
      </c>
      <c r="G1055" s="251" t="s">
        <v>16</v>
      </c>
      <c r="H1055" s="252">
        <v>2</v>
      </c>
      <c r="I1055" s="252">
        <v>2</v>
      </c>
      <c r="J1055" s="252">
        <v>3</v>
      </c>
      <c r="K1055" s="252">
        <v>3</v>
      </c>
      <c r="L1055" s="253">
        <v>3</v>
      </c>
      <c r="M1055" s="254">
        <f t="shared" si="37"/>
        <v>1.1278755061256258</v>
      </c>
      <c r="N1055" s="381"/>
    </row>
    <row r="1056" spans="1:14" hidden="1" x14ac:dyDescent="0.2">
      <c r="A1056" s="815" t="s">
        <v>567</v>
      </c>
      <c r="B1056" s="466" t="s">
        <v>481</v>
      </c>
      <c r="C1056" s="247" t="s">
        <v>46</v>
      </c>
      <c r="D1056" s="252" t="s">
        <v>135</v>
      </c>
      <c r="E1056" s="478">
        <v>1</v>
      </c>
      <c r="F1056" s="250" t="s">
        <v>660</v>
      </c>
      <c r="G1056" s="251" t="s">
        <v>16</v>
      </c>
      <c r="H1056" s="470"/>
      <c r="I1056" s="470"/>
      <c r="J1056" s="470"/>
      <c r="K1056" s="470"/>
      <c r="L1056" s="471"/>
      <c r="M1056" s="456" t="str">
        <f t="shared" si="37"/>
        <v/>
      </c>
      <c r="N1056" s="381"/>
    </row>
    <row r="1057" spans="1:14" hidden="1" x14ac:dyDescent="0.2">
      <c r="A1057" s="815" t="s">
        <v>567</v>
      </c>
      <c r="B1057" s="466" t="s">
        <v>481</v>
      </c>
      <c r="C1057" s="247" t="s">
        <v>48</v>
      </c>
      <c r="D1057" s="252" t="s">
        <v>135</v>
      </c>
      <c r="E1057" s="478">
        <v>1</v>
      </c>
      <c r="F1057" s="250" t="s">
        <v>660</v>
      </c>
      <c r="G1057" s="251" t="s">
        <v>16</v>
      </c>
      <c r="H1057" s="470"/>
      <c r="I1057" s="470"/>
      <c r="J1057" s="470"/>
      <c r="K1057" s="470"/>
      <c r="L1057" s="471"/>
      <c r="M1057" s="456" t="str">
        <f t="shared" si="37"/>
        <v/>
      </c>
      <c r="N1057" s="381"/>
    </row>
    <row r="1058" spans="1:14" hidden="1" x14ac:dyDescent="0.2">
      <c r="A1058" s="815" t="s">
        <v>567</v>
      </c>
      <c r="B1058" s="466" t="s">
        <v>481</v>
      </c>
      <c r="C1058" s="247" t="s">
        <v>50</v>
      </c>
      <c r="D1058" s="252" t="s">
        <v>135</v>
      </c>
      <c r="E1058" s="849">
        <v>0.86586494499142685</v>
      </c>
      <c r="F1058" s="250" t="s">
        <v>660</v>
      </c>
      <c r="G1058" s="251" t="s">
        <v>16</v>
      </c>
      <c r="H1058" s="252">
        <v>1</v>
      </c>
      <c r="I1058" s="252">
        <v>2</v>
      </c>
      <c r="J1058" s="252">
        <v>3</v>
      </c>
      <c r="K1058" s="252">
        <v>3</v>
      </c>
      <c r="L1058" s="253">
        <v>3</v>
      </c>
      <c r="M1058" s="254">
        <f t="shared" si="37"/>
        <v>1.123005955058592</v>
      </c>
      <c r="N1058" s="381"/>
    </row>
    <row r="1059" spans="1:14" hidden="1" x14ac:dyDescent="0.2">
      <c r="A1059" s="815" t="s">
        <v>567</v>
      </c>
      <c r="B1059" s="466" t="s">
        <v>481</v>
      </c>
      <c r="C1059" s="247" t="s">
        <v>52</v>
      </c>
      <c r="D1059" s="252" t="s">
        <v>135</v>
      </c>
      <c r="E1059" s="478">
        <v>1</v>
      </c>
      <c r="F1059" s="250" t="s">
        <v>660</v>
      </c>
      <c r="G1059" s="251" t="s">
        <v>16</v>
      </c>
      <c r="H1059" s="470"/>
      <c r="I1059" s="470"/>
      <c r="J1059" s="470"/>
      <c r="K1059" s="470"/>
      <c r="L1059" s="471"/>
      <c r="M1059" s="456" t="str">
        <f t="shared" si="37"/>
        <v/>
      </c>
      <c r="N1059" s="381"/>
    </row>
    <row r="1060" spans="1:14" hidden="1" x14ac:dyDescent="0.2">
      <c r="A1060" s="815" t="s">
        <v>567</v>
      </c>
      <c r="B1060" s="466" t="s">
        <v>481</v>
      </c>
      <c r="C1060" s="247" t="s">
        <v>54</v>
      </c>
      <c r="D1060" s="252" t="s">
        <v>135</v>
      </c>
      <c r="E1060" s="478">
        <v>1</v>
      </c>
      <c r="F1060" s="250" t="s">
        <v>660</v>
      </c>
      <c r="G1060" s="251" t="s">
        <v>16</v>
      </c>
      <c r="H1060" s="470"/>
      <c r="I1060" s="470"/>
      <c r="J1060" s="470"/>
      <c r="K1060" s="470"/>
      <c r="L1060" s="471"/>
      <c r="M1060" s="456" t="str">
        <f t="shared" si="37"/>
        <v/>
      </c>
      <c r="N1060" s="381"/>
    </row>
    <row r="1061" spans="1:14" hidden="1" x14ac:dyDescent="0.2">
      <c r="A1061" s="815" t="s">
        <v>567</v>
      </c>
      <c r="B1061" s="466" t="s">
        <v>481</v>
      </c>
      <c r="C1061" s="247" t="s">
        <v>55</v>
      </c>
      <c r="D1061" s="252" t="s">
        <v>135</v>
      </c>
      <c r="E1061" s="478">
        <v>1</v>
      </c>
      <c r="F1061" s="250" t="s">
        <v>660</v>
      </c>
      <c r="G1061" s="251" t="s">
        <v>16</v>
      </c>
      <c r="H1061" s="470"/>
      <c r="I1061" s="470"/>
      <c r="J1061" s="470"/>
      <c r="K1061" s="470"/>
      <c r="L1061" s="471"/>
      <c r="M1061" s="456" t="str">
        <f t="shared" si="37"/>
        <v/>
      </c>
      <c r="N1061" s="381"/>
    </row>
    <row r="1062" spans="1:14" hidden="1" x14ac:dyDescent="0.2">
      <c r="A1062" s="815" t="s">
        <v>567</v>
      </c>
      <c r="B1062" s="466" t="s">
        <v>481</v>
      </c>
      <c r="C1062" s="247" t="s">
        <v>57</v>
      </c>
      <c r="D1062" s="252" t="s">
        <v>135</v>
      </c>
      <c r="E1062" s="849">
        <v>0.1093826207027159</v>
      </c>
      <c r="F1062" s="250" t="s">
        <v>660</v>
      </c>
      <c r="G1062" s="251" t="s">
        <v>16</v>
      </c>
      <c r="H1062" s="252">
        <v>1</v>
      </c>
      <c r="I1062" s="252">
        <v>2</v>
      </c>
      <c r="J1062" s="252">
        <v>3</v>
      </c>
      <c r="K1062" s="252">
        <v>3</v>
      </c>
      <c r="L1062" s="253">
        <v>3</v>
      </c>
      <c r="M1062" s="254">
        <f t="shared" si="37"/>
        <v>1.123005955058592</v>
      </c>
      <c r="N1062" s="381"/>
    </row>
    <row r="1063" spans="1:14" hidden="1" x14ac:dyDescent="0.2">
      <c r="A1063" s="815" t="s">
        <v>567</v>
      </c>
      <c r="B1063" s="466" t="s">
        <v>481</v>
      </c>
      <c r="C1063" s="247" t="s">
        <v>59</v>
      </c>
      <c r="D1063" s="252" t="s">
        <v>135</v>
      </c>
      <c r="E1063" s="478">
        <v>1</v>
      </c>
      <c r="F1063" s="250" t="s">
        <v>660</v>
      </c>
      <c r="G1063" s="251" t="s">
        <v>16</v>
      </c>
      <c r="H1063" s="470"/>
      <c r="I1063" s="470"/>
      <c r="J1063" s="470"/>
      <c r="K1063" s="470"/>
      <c r="L1063" s="471"/>
      <c r="M1063" s="456" t="str">
        <f t="shared" si="37"/>
        <v/>
      </c>
      <c r="N1063" s="381"/>
    </row>
    <row r="1064" spans="1:14" hidden="1" x14ac:dyDescent="0.2">
      <c r="A1064" s="815" t="s">
        <v>567</v>
      </c>
      <c r="B1064" s="466" t="s">
        <v>481</v>
      </c>
      <c r="C1064" s="247" t="s">
        <v>60</v>
      </c>
      <c r="D1064" s="252" t="s">
        <v>135</v>
      </c>
      <c r="E1064" s="478">
        <v>1</v>
      </c>
      <c r="F1064" s="250" t="s">
        <v>660</v>
      </c>
      <c r="G1064" s="251" t="s">
        <v>16</v>
      </c>
      <c r="H1064" s="470"/>
      <c r="I1064" s="470"/>
      <c r="J1064" s="470"/>
      <c r="K1064" s="470"/>
      <c r="L1064" s="471"/>
      <c r="M1064" s="456" t="str">
        <f t="shared" si="37"/>
        <v/>
      </c>
      <c r="N1064" s="381"/>
    </row>
    <row r="1065" spans="1:14" x14ac:dyDescent="0.2">
      <c r="A1065" s="824" t="s">
        <v>567</v>
      </c>
      <c r="B1065" s="440" t="s">
        <v>482</v>
      </c>
      <c r="C1065" s="610" t="s">
        <v>135</v>
      </c>
      <c r="D1065" s="291" t="s">
        <v>135</v>
      </c>
      <c r="E1065" s="473" t="s">
        <v>188</v>
      </c>
      <c r="F1065" s="289"/>
      <c r="G1065" s="290" t="s">
        <v>16</v>
      </c>
      <c r="H1065" s="473"/>
      <c r="I1065" s="473"/>
      <c r="J1065" s="473"/>
      <c r="K1065" s="473"/>
      <c r="L1065" s="474"/>
      <c r="M1065" s="475" t="str">
        <f t="shared" si="37"/>
        <v/>
      </c>
      <c r="N1065" s="404"/>
    </row>
    <row r="1066" spans="1:14" x14ac:dyDescent="0.2">
      <c r="A1066" s="819" t="s">
        <v>565</v>
      </c>
      <c r="B1066" s="490" t="s">
        <v>450</v>
      </c>
      <c r="C1066" s="247" t="s">
        <v>13</v>
      </c>
      <c r="D1066" s="252" t="s">
        <v>135</v>
      </c>
      <c r="E1066" s="478">
        <v>1</v>
      </c>
      <c r="F1066" s="250" t="s">
        <v>660</v>
      </c>
      <c r="G1066" s="251" t="s">
        <v>16</v>
      </c>
      <c r="H1066" s="470"/>
      <c r="I1066" s="470"/>
      <c r="J1066" s="470"/>
      <c r="K1066" s="470"/>
      <c r="L1066" s="471"/>
      <c r="M1066" s="456" t="str">
        <f t="shared" si="37"/>
        <v/>
      </c>
      <c r="N1066" s="381"/>
    </row>
    <row r="1067" spans="1:14" hidden="1" x14ac:dyDescent="0.2">
      <c r="A1067" s="815" t="s">
        <v>565</v>
      </c>
      <c r="B1067" s="466" t="s">
        <v>450</v>
      </c>
      <c r="C1067" s="247" t="s">
        <v>18</v>
      </c>
      <c r="D1067" s="252" t="s">
        <v>135</v>
      </c>
      <c r="E1067" s="478">
        <v>1</v>
      </c>
      <c r="F1067" s="250" t="s">
        <v>660</v>
      </c>
      <c r="G1067" s="251" t="s">
        <v>16</v>
      </c>
      <c r="H1067" s="470"/>
      <c r="I1067" s="470"/>
      <c r="J1067" s="470"/>
      <c r="K1067" s="470"/>
      <c r="L1067" s="471"/>
      <c r="M1067" s="456" t="str">
        <f t="shared" si="37"/>
        <v/>
      </c>
      <c r="N1067" s="381"/>
    </row>
    <row r="1068" spans="1:14" hidden="1" x14ac:dyDescent="0.2">
      <c r="A1068" s="815" t="s">
        <v>565</v>
      </c>
      <c r="B1068" s="466" t="s">
        <v>450</v>
      </c>
      <c r="C1068" s="247" t="s">
        <v>20</v>
      </c>
      <c r="D1068" s="252" t="s">
        <v>135</v>
      </c>
      <c r="E1068" s="478">
        <v>1</v>
      </c>
      <c r="F1068" s="250" t="s">
        <v>660</v>
      </c>
      <c r="G1068" s="251" t="s">
        <v>16</v>
      </c>
      <c r="H1068" s="470"/>
      <c r="I1068" s="470"/>
      <c r="J1068" s="470"/>
      <c r="K1068" s="470"/>
      <c r="L1068" s="471"/>
      <c r="M1068" s="456" t="str">
        <f t="shared" si="37"/>
        <v/>
      </c>
      <c r="N1068" s="381"/>
    </row>
    <row r="1069" spans="1:14" hidden="1" x14ac:dyDescent="0.2">
      <c r="A1069" s="815" t="s">
        <v>565</v>
      </c>
      <c r="B1069" s="466" t="s">
        <v>450</v>
      </c>
      <c r="C1069" s="247" t="s">
        <v>22</v>
      </c>
      <c r="D1069" s="252" t="s">
        <v>135</v>
      </c>
      <c r="E1069" s="849">
        <v>0.63080497339874331</v>
      </c>
      <c r="F1069" s="250" t="s">
        <v>660</v>
      </c>
      <c r="G1069" s="251" t="s">
        <v>16</v>
      </c>
      <c r="H1069" s="252">
        <v>1</v>
      </c>
      <c r="I1069" s="252">
        <v>2</v>
      </c>
      <c r="J1069" s="252">
        <v>3</v>
      </c>
      <c r="K1069" s="252">
        <v>3</v>
      </c>
      <c r="L1069" s="253">
        <v>3</v>
      </c>
      <c r="M1069" s="254">
        <f t="shared" si="37"/>
        <v>1.123005955058592</v>
      </c>
      <c r="N1069" s="381"/>
    </row>
    <row r="1070" spans="1:14" hidden="1" x14ac:dyDescent="0.2">
      <c r="A1070" s="815" t="s">
        <v>565</v>
      </c>
      <c r="B1070" s="466" t="s">
        <v>450</v>
      </c>
      <c r="C1070" s="247" t="s">
        <v>23</v>
      </c>
      <c r="D1070" s="252" t="s">
        <v>135</v>
      </c>
      <c r="E1070" s="478">
        <v>1</v>
      </c>
      <c r="F1070" s="250" t="s">
        <v>660</v>
      </c>
      <c r="G1070" s="251" t="s">
        <v>16</v>
      </c>
      <c r="H1070" s="470"/>
      <c r="I1070" s="470"/>
      <c r="J1070" s="470"/>
      <c r="K1070" s="470"/>
      <c r="L1070" s="471"/>
      <c r="M1070" s="456" t="str">
        <f t="shared" si="37"/>
        <v/>
      </c>
      <c r="N1070" s="381"/>
    </row>
    <row r="1071" spans="1:14" hidden="1" x14ac:dyDescent="0.2">
      <c r="A1071" s="815" t="s">
        <v>565</v>
      </c>
      <c r="B1071" s="466" t="s">
        <v>450</v>
      </c>
      <c r="C1071" s="247" t="s">
        <v>24</v>
      </c>
      <c r="D1071" s="252" t="s">
        <v>135</v>
      </c>
      <c r="E1071" s="478">
        <v>1</v>
      </c>
      <c r="F1071" s="250" t="s">
        <v>660</v>
      </c>
      <c r="G1071" s="251" t="s">
        <v>16</v>
      </c>
      <c r="H1071" s="470"/>
      <c r="I1071" s="470"/>
      <c r="J1071" s="470"/>
      <c r="K1071" s="470"/>
      <c r="L1071" s="471"/>
      <c r="M1071" s="456" t="str">
        <f t="shared" si="37"/>
        <v/>
      </c>
      <c r="N1071" s="381"/>
    </row>
    <row r="1072" spans="1:14" hidden="1" x14ac:dyDescent="0.2">
      <c r="A1072" s="815" t="s">
        <v>565</v>
      </c>
      <c r="B1072" s="466" t="s">
        <v>450</v>
      </c>
      <c r="C1072" s="247" t="s">
        <v>25</v>
      </c>
      <c r="D1072" s="252" t="s">
        <v>135</v>
      </c>
      <c r="E1072" s="478">
        <v>1</v>
      </c>
      <c r="F1072" s="250" t="s">
        <v>660</v>
      </c>
      <c r="G1072" s="251" t="s">
        <v>16</v>
      </c>
      <c r="H1072" s="470"/>
      <c r="I1072" s="470"/>
      <c r="J1072" s="470"/>
      <c r="K1072" s="470"/>
      <c r="L1072" s="471"/>
      <c r="M1072" s="456" t="str">
        <f t="shared" si="37"/>
        <v/>
      </c>
      <c r="N1072" s="381"/>
    </row>
    <row r="1073" spans="1:14" hidden="1" x14ac:dyDescent="0.2">
      <c r="A1073" s="815" t="s">
        <v>565</v>
      </c>
      <c r="B1073" s="466" t="s">
        <v>450</v>
      </c>
      <c r="C1073" s="247" t="s">
        <v>26</v>
      </c>
      <c r="D1073" s="252" t="s">
        <v>135</v>
      </c>
      <c r="E1073" s="849">
        <v>6.9535848764910729E-3</v>
      </c>
      <c r="F1073" s="250" t="s">
        <v>660</v>
      </c>
      <c r="G1073" s="251" t="s">
        <v>16</v>
      </c>
      <c r="H1073" s="252">
        <v>1</v>
      </c>
      <c r="I1073" s="252">
        <v>2</v>
      </c>
      <c r="J1073" s="252">
        <v>3</v>
      </c>
      <c r="K1073" s="252">
        <v>3</v>
      </c>
      <c r="L1073" s="253">
        <v>3</v>
      </c>
      <c r="M1073" s="254">
        <f t="shared" si="37"/>
        <v>1.123005955058592</v>
      </c>
      <c r="N1073" s="381"/>
    </row>
    <row r="1074" spans="1:14" hidden="1" x14ac:dyDescent="0.2">
      <c r="A1074" s="815" t="s">
        <v>565</v>
      </c>
      <c r="B1074" s="466" t="s">
        <v>450</v>
      </c>
      <c r="C1074" s="247" t="s">
        <v>27</v>
      </c>
      <c r="D1074" s="252" t="s">
        <v>135</v>
      </c>
      <c r="E1074" s="478">
        <v>1</v>
      </c>
      <c r="F1074" s="250" t="s">
        <v>660</v>
      </c>
      <c r="G1074" s="251" t="s">
        <v>16</v>
      </c>
      <c r="H1074" s="470"/>
      <c r="I1074" s="470"/>
      <c r="J1074" s="470"/>
      <c r="K1074" s="470"/>
      <c r="L1074" s="471"/>
      <c r="M1074" s="456" t="str">
        <f t="shared" si="37"/>
        <v/>
      </c>
      <c r="N1074" s="381"/>
    </row>
    <row r="1075" spans="1:14" hidden="1" x14ac:dyDescent="0.2">
      <c r="A1075" s="815" t="s">
        <v>565</v>
      </c>
      <c r="B1075" s="466" t="s">
        <v>450</v>
      </c>
      <c r="C1075" s="247" t="s">
        <v>28</v>
      </c>
      <c r="D1075" s="252" t="s">
        <v>135</v>
      </c>
      <c r="E1075" s="849">
        <v>0.19999393378207481</v>
      </c>
      <c r="F1075" s="250" t="s">
        <v>660</v>
      </c>
      <c r="G1075" s="251" t="s">
        <v>16</v>
      </c>
      <c r="H1075" s="252">
        <v>1</v>
      </c>
      <c r="I1075" s="252">
        <v>2</v>
      </c>
      <c r="J1075" s="252">
        <v>3</v>
      </c>
      <c r="K1075" s="252">
        <v>3</v>
      </c>
      <c r="L1075" s="253">
        <v>3</v>
      </c>
      <c r="M1075" s="254">
        <f t="shared" si="37"/>
        <v>1.123005955058592</v>
      </c>
      <c r="N1075" s="381"/>
    </row>
    <row r="1076" spans="1:14" hidden="1" x14ac:dyDescent="0.2">
      <c r="A1076" s="815" t="s">
        <v>565</v>
      </c>
      <c r="B1076" s="466" t="s">
        <v>450</v>
      </c>
      <c r="C1076" s="247" t="s">
        <v>30</v>
      </c>
      <c r="D1076" s="252" t="s">
        <v>135</v>
      </c>
      <c r="E1076" s="478">
        <v>1</v>
      </c>
      <c r="F1076" s="250" t="s">
        <v>660</v>
      </c>
      <c r="G1076" s="251" t="s">
        <v>16</v>
      </c>
      <c r="H1076" s="470"/>
      <c r="I1076" s="470"/>
      <c r="J1076" s="470"/>
      <c r="K1076" s="470"/>
      <c r="L1076" s="471"/>
      <c r="M1076" s="456" t="str">
        <f t="shared" ref="M1076:M1085" si="38">IF( OR( ISBLANK(H1076),ISBLANK(I1076), ISBLANK(J1076), ISBLANK(K1076), ISBLANK(L1076) ), "", 1.5*SQRT( EXP(2.21*(H1076-1)) + EXP(2.21*(I1076-1)) + EXP(2.21*(J1076-1)) + EXP(2.21*(K1076-1)) + EXP(2.21*L1076) )/100*2.45 )</f>
        <v/>
      </c>
      <c r="N1076" s="381"/>
    </row>
    <row r="1077" spans="1:14" hidden="1" x14ac:dyDescent="0.2">
      <c r="A1077" s="815" t="s">
        <v>565</v>
      </c>
      <c r="B1077" s="466" t="s">
        <v>450</v>
      </c>
      <c r="C1077" s="247" t="s">
        <v>32</v>
      </c>
      <c r="D1077" s="252" t="s">
        <v>135</v>
      </c>
      <c r="E1077" s="849">
        <v>0.1017616895985109</v>
      </c>
      <c r="F1077" s="250" t="s">
        <v>660</v>
      </c>
      <c r="G1077" s="251" t="s">
        <v>16</v>
      </c>
      <c r="H1077" s="252">
        <v>1</v>
      </c>
      <c r="I1077" s="252">
        <v>2</v>
      </c>
      <c r="J1077" s="252">
        <v>3</v>
      </c>
      <c r="K1077" s="252">
        <v>3</v>
      </c>
      <c r="L1077" s="253">
        <v>3</v>
      </c>
      <c r="M1077" s="254">
        <f t="shared" si="38"/>
        <v>1.123005955058592</v>
      </c>
      <c r="N1077" s="381"/>
    </row>
    <row r="1078" spans="1:14" hidden="1" x14ac:dyDescent="0.2">
      <c r="A1078" s="815" t="s">
        <v>565</v>
      </c>
      <c r="B1078" s="466" t="s">
        <v>450</v>
      </c>
      <c r="C1078" s="247" t="s">
        <v>34</v>
      </c>
      <c r="D1078" s="252" t="s">
        <v>135</v>
      </c>
      <c r="E1078" s="478">
        <v>1</v>
      </c>
      <c r="F1078" s="250" t="s">
        <v>660</v>
      </c>
      <c r="G1078" s="251" t="s">
        <v>16</v>
      </c>
      <c r="H1078" s="470"/>
      <c r="I1078" s="470"/>
      <c r="J1078" s="470"/>
      <c r="K1078" s="470"/>
      <c r="L1078" s="471"/>
      <c r="M1078" s="456" t="str">
        <f t="shared" si="38"/>
        <v/>
      </c>
      <c r="N1078" s="381"/>
    </row>
    <row r="1079" spans="1:14" hidden="1" x14ac:dyDescent="0.2">
      <c r="A1079" s="815" t="s">
        <v>565</v>
      </c>
      <c r="B1079" s="466" t="s">
        <v>450</v>
      </c>
      <c r="C1079" s="247" t="s">
        <v>36</v>
      </c>
      <c r="D1079" s="252" t="s">
        <v>135</v>
      </c>
      <c r="E1079" s="478">
        <v>1</v>
      </c>
      <c r="F1079" s="250" t="s">
        <v>660</v>
      </c>
      <c r="G1079" s="251" t="s">
        <v>16</v>
      </c>
      <c r="H1079" s="470"/>
      <c r="I1079" s="470"/>
      <c r="J1079" s="470"/>
      <c r="K1079" s="470"/>
      <c r="L1079" s="471"/>
      <c r="M1079" s="456" t="str">
        <f t="shared" si="38"/>
        <v/>
      </c>
      <c r="N1079" s="381"/>
    </row>
    <row r="1080" spans="1:14" hidden="1" x14ac:dyDescent="0.2">
      <c r="A1080" s="815" t="s">
        <v>565</v>
      </c>
      <c r="B1080" s="466" t="s">
        <v>450</v>
      </c>
      <c r="C1080" s="247" t="s">
        <v>37</v>
      </c>
      <c r="D1080" s="252" t="s">
        <v>135</v>
      </c>
      <c r="E1080" s="849">
        <v>0.40554780120476092</v>
      </c>
      <c r="F1080" s="250" t="s">
        <v>660</v>
      </c>
      <c r="G1080" s="251" t="s">
        <v>16</v>
      </c>
      <c r="H1080" s="252">
        <v>1</v>
      </c>
      <c r="I1080" s="252">
        <v>2</v>
      </c>
      <c r="J1080" s="252">
        <v>3</v>
      </c>
      <c r="K1080" s="252">
        <v>3</v>
      </c>
      <c r="L1080" s="253">
        <v>3</v>
      </c>
      <c r="M1080" s="254">
        <f t="shared" si="38"/>
        <v>1.123005955058592</v>
      </c>
      <c r="N1080" s="381"/>
    </row>
    <row r="1081" spans="1:14" hidden="1" x14ac:dyDescent="0.2">
      <c r="A1081" s="815" t="s">
        <v>565</v>
      </c>
      <c r="B1081" s="466" t="s">
        <v>450</v>
      </c>
      <c r="C1081" s="247" t="s">
        <v>39</v>
      </c>
      <c r="D1081" s="252" t="s">
        <v>135</v>
      </c>
      <c r="E1081" s="478">
        <v>1</v>
      </c>
      <c r="F1081" s="250" t="s">
        <v>660</v>
      </c>
      <c r="G1081" s="251" t="s">
        <v>16</v>
      </c>
      <c r="H1081" s="470"/>
      <c r="I1081" s="470"/>
      <c r="J1081" s="470"/>
      <c r="K1081" s="470"/>
      <c r="L1081" s="471"/>
      <c r="M1081" s="456" t="str">
        <f t="shared" si="38"/>
        <v/>
      </c>
      <c r="N1081" s="381"/>
    </row>
    <row r="1082" spans="1:14" hidden="1" x14ac:dyDescent="0.2">
      <c r="A1082" s="815" t="s">
        <v>565</v>
      </c>
      <c r="B1082" s="466" t="s">
        <v>450</v>
      </c>
      <c r="C1082" s="247" t="s">
        <v>40</v>
      </c>
      <c r="D1082" s="252" t="s">
        <v>135</v>
      </c>
      <c r="E1082" s="478">
        <v>1</v>
      </c>
      <c r="F1082" s="250" t="s">
        <v>660</v>
      </c>
      <c r="G1082" s="251" t="s">
        <v>16</v>
      </c>
      <c r="H1082" s="470"/>
      <c r="I1082" s="470"/>
      <c r="J1082" s="470"/>
      <c r="K1082" s="470"/>
      <c r="L1082" s="471"/>
      <c r="M1082" s="456" t="str">
        <f t="shared" si="38"/>
        <v/>
      </c>
      <c r="N1082" s="381"/>
    </row>
    <row r="1083" spans="1:14" hidden="1" x14ac:dyDescent="0.2">
      <c r="A1083" s="815" t="s">
        <v>565</v>
      </c>
      <c r="B1083" s="466" t="s">
        <v>450</v>
      </c>
      <c r="C1083" s="247" t="s">
        <v>41</v>
      </c>
      <c r="D1083" s="252" t="s">
        <v>135</v>
      </c>
      <c r="E1083" s="478">
        <v>1</v>
      </c>
      <c r="F1083" s="250" t="s">
        <v>660</v>
      </c>
      <c r="G1083" s="251" t="s">
        <v>16</v>
      </c>
      <c r="H1083" s="470"/>
      <c r="I1083" s="470"/>
      <c r="J1083" s="470"/>
      <c r="K1083" s="470"/>
      <c r="L1083" s="471"/>
      <c r="M1083" s="456" t="str">
        <f t="shared" si="38"/>
        <v/>
      </c>
      <c r="N1083" s="381"/>
    </row>
    <row r="1084" spans="1:14" hidden="1" x14ac:dyDescent="0.2">
      <c r="A1084" s="815" t="s">
        <v>565</v>
      </c>
      <c r="B1084" s="466" t="s">
        <v>450</v>
      </c>
      <c r="C1084" s="247" t="s">
        <v>42</v>
      </c>
      <c r="D1084" s="252" t="s">
        <v>135</v>
      </c>
      <c r="E1084" s="478">
        <v>1</v>
      </c>
      <c r="F1084" s="250" t="s">
        <v>660</v>
      </c>
      <c r="G1084" s="251" t="s">
        <v>16</v>
      </c>
      <c r="H1084" s="470"/>
      <c r="I1084" s="470"/>
      <c r="J1084" s="470"/>
      <c r="K1084" s="470"/>
      <c r="L1084" s="471"/>
      <c r="M1084" s="456" t="str">
        <f t="shared" si="38"/>
        <v/>
      </c>
      <c r="N1084" s="381"/>
    </row>
    <row r="1085" spans="1:14" hidden="1" x14ac:dyDescent="0.2">
      <c r="A1085" s="815" t="s">
        <v>565</v>
      </c>
      <c r="B1085" s="466" t="s">
        <v>450</v>
      </c>
      <c r="C1085" s="247" t="s">
        <v>43</v>
      </c>
      <c r="D1085" s="252" t="s">
        <v>135</v>
      </c>
      <c r="E1085" s="478">
        <v>1</v>
      </c>
      <c r="F1085" s="250" t="s">
        <v>660</v>
      </c>
      <c r="G1085" s="251" t="s">
        <v>16</v>
      </c>
      <c r="H1085" s="470"/>
      <c r="I1085" s="470"/>
      <c r="J1085" s="470"/>
      <c r="K1085" s="470"/>
      <c r="L1085" s="471"/>
      <c r="M1085" s="456" t="str">
        <f t="shared" si="38"/>
        <v/>
      </c>
      <c r="N1085" s="381"/>
    </row>
    <row r="1086" spans="1:14" hidden="1" x14ac:dyDescent="0.2">
      <c r="A1086" s="815" t="s">
        <v>565</v>
      </c>
      <c r="B1086" s="466" t="s">
        <v>450</v>
      </c>
      <c r="C1086" s="247" t="s">
        <v>45</v>
      </c>
      <c r="D1086" s="252" t="s">
        <v>135</v>
      </c>
      <c r="E1086" s="849">
        <v>0.1093826207027159</v>
      </c>
      <c r="F1086" s="250" t="s">
        <v>660</v>
      </c>
      <c r="G1086" s="251" t="s">
        <v>16</v>
      </c>
      <c r="H1086" s="252">
        <v>2</v>
      </c>
      <c r="I1086" s="252">
        <v>2</v>
      </c>
      <c r="J1086" s="252">
        <v>3</v>
      </c>
      <c r="K1086" s="252">
        <v>3</v>
      </c>
      <c r="L1086" s="253">
        <v>3</v>
      </c>
      <c r="M1086" s="254">
        <f>IF( OR( ISBLANK(H1086),ISBLANK(I1086), ISBLANK(J1086), ISBLANK(K1086), ISBLANK(L1086) ), "", 1.5*SQRT(   EXP(2.21*(H1086-1)) + EXP(2.21*(I1086-1)) + EXP(2.21*(J1086-1)) + EXP(2.21*(K1086-1)) + EXP(2.21*L1086)   )/100*2.45 )</f>
        <v>1.1278755061256258</v>
      </c>
      <c r="N1086" s="381"/>
    </row>
    <row r="1087" spans="1:14" hidden="1" x14ac:dyDescent="0.2">
      <c r="A1087" s="815" t="s">
        <v>565</v>
      </c>
      <c r="B1087" s="466" t="s">
        <v>450</v>
      </c>
      <c r="C1087" s="247" t="s">
        <v>46</v>
      </c>
      <c r="D1087" s="252" t="s">
        <v>135</v>
      </c>
      <c r="E1087" s="478">
        <v>1</v>
      </c>
      <c r="F1087" s="250" t="s">
        <v>660</v>
      </c>
      <c r="G1087" s="251" t="s">
        <v>16</v>
      </c>
      <c r="H1087" s="470"/>
      <c r="I1087" s="470"/>
      <c r="J1087" s="470"/>
      <c r="K1087" s="470"/>
      <c r="L1087" s="471"/>
      <c r="M1087" s="456" t="str">
        <f t="shared" ref="M1087:M1095" si="39">IF( OR( ISBLANK(H1087),ISBLANK(I1087), ISBLANK(J1087), ISBLANK(K1087), ISBLANK(L1087) ), "", 1.5*SQRT( EXP(2.21*(H1087-1)) + EXP(2.21*(I1087-1)) + EXP(2.21*(J1087-1)) + EXP(2.21*(K1087-1)) + EXP(2.21*L1087) )/100*2.45 )</f>
        <v/>
      </c>
      <c r="N1087" s="381"/>
    </row>
    <row r="1088" spans="1:14" hidden="1" x14ac:dyDescent="0.2">
      <c r="A1088" s="815" t="s">
        <v>565</v>
      </c>
      <c r="B1088" s="466" t="s">
        <v>450</v>
      </c>
      <c r="C1088" s="247" t="s">
        <v>48</v>
      </c>
      <c r="D1088" s="252" t="s">
        <v>135</v>
      </c>
      <c r="E1088" s="478">
        <v>1</v>
      </c>
      <c r="F1088" s="250" t="s">
        <v>660</v>
      </c>
      <c r="G1088" s="251" t="s">
        <v>16</v>
      </c>
      <c r="H1088" s="470"/>
      <c r="I1088" s="470"/>
      <c r="J1088" s="470"/>
      <c r="K1088" s="470"/>
      <c r="L1088" s="471"/>
      <c r="M1088" s="456" t="str">
        <f t="shared" si="39"/>
        <v/>
      </c>
      <c r="N1088" s="381"/>
    </row>
    <row r="1089" spans="1:14" hidden="1" x14ac:dyDescent="0.2">
      <c r="A1089" s="815" t="s">
        <v>565</v>
      </c>
      <c r="B1089" s="466" t="s">
        <v>450</v>
      </c>
      <c r="C1089" s="247" t="s">
        <v>50</v>
      </c>
      <c r="D1089" s="252" t="s">
        <v>135</v>
      </c>
      <c r="E1089" s="849">
        <v>0.86586494499142685</v>
      </c>
      <c r="F1089" s="250" t="s">
        <v>660</v>
      </c>
      <c r="G1089" s="251" t="s">
        <v>16</v>
      </c>
      <c r="H1089" s="252">
        <v>1</v>
      </c>
      <c r="I1089" s="252">
        <v>2</v>
      </c>
      <c r="J1089" s="252">
        <v>3</v>
      </c>
      <c r="K1089" s="252">
        <v>3</v>
      </c>
      <c r="L1089" s="253">
        <v>3</v>
      </c>
      <c r="M1089" s="254">
        <f t="shared" si="39"/>
        <v>1.123005955058592</v>
      </c>
      <c r="N1089" s="381"/>
    </row>
    <row r="1090" spans="1:14" hidden="1" x14ac:dyDescent="0.2">
      <c r="A1090" s="815" t="s">
        <v>565</v>
      </c>
      <c r="B1090" s="466" t="s">
        <v>450</v>
      </c>
      <c r="C1090" s="247" t="s">
        <v>52</v>
      </c>
      <c r="D1090" s="252" t="s">
        <v>135</v>
      </c>
      <c r="E1090" s="478">
        <v>1</v>
      </c>
      <c r="F1090" s="250" t="s">
        <v>660</v>
      </c>
      <c r="G1090" s="251" t="s">
        <v>16</v>
      </c>
      <c r="H1090" s="470"/>
      <c r="I1090" s="470"/>
      <c r="J1090" s="470"/>
      <c r="K1090" s="470"/>
      <c r="L1090" s="471"/>
      <c r="M1090" s="456" t="str">
        <f t="shared" si="39"/>
        <v/>
      </c>
      <c r="N1090" s="381"/>
    </row>
    <row r="1091" spans="1:14" hidden="1" x14ac:dyDescent="0.2">
      <c r="A1091" s="815" t="s">
        <v>565</v>
      </c>
      <c r="B1091" s="466" t="s">
        <v>450</v>
      </c>
      <c r="C1091" s="247" t="s">
        <v>54</v>
      </c>
      <c r="D1091" s="252" t="s">
        <v>135</v>
      </c>
      <c r="E1091" s="478">
        <v>1</v>
      </c>
      <c r="F1091" s="250" t="s">
        <v>660</v>
      </c>
      <c r="G1091" s="251" t="s">
        <v>16</v>
      </c>
      <c r="H1091" s="470"/>
      <c r="I1091" s="470"/>
      <c r="J1091" s="470"/>
      <c r="K1091" s="470"/>
      <c r="L1091" s="471"/>
      <c r="M1091" s="456" t="str">
        <f t="shared" si="39"/>
        <v/>
      </c>
      <c r="N1091" s="381"/>
    </row>
    <row r="1092" spans="1:14" hidden="1" x14ac:dyDescent="0.2">
      <c r="A1092" s="815" t="s">
        <v>565</v>
      </c>
      <c r="B1092" s="466" t="s">
        <v>450</v>
      </c>
      <c r="C1092" s="247" t="s">
        <v>55</v>
      </c>
      <c r="D1092" s="252" t="s">
        <v>135</v>
      </c>
      <c r="E1092" s="478">
        <v>1</v>
      </c>
      <c r="F1092" s="250" t="s">
        <v>660</v>
      </c>
      <c r="G1092" s="251" t="s">
        <v>16</v>
      </c>
      <c r="H1092" s="470"/>
      <c r="I1092" s="470"/>
      <c r="J1092" s="470"/>
      <c r="K1092" s="470"/>
      <c r="L1092" s="471"/>
      <c r="M1092" s="456" t="str">
        <f t="shared" si="39"/>
        <v/>
      </c>
      <c r="N1092" s="381"/>
    </row>
    <row r="1093" spans="1:14" hidden="1" x14ac:dyDescent="0.2">
      <c r="A1093" s="815" t="s">
        <v>565</v>
      </c>
      <c r="B1093" s="466" t="s">
        <v>450</v>
      </c>
      <c r="C1093" s="247" t="s">
        <v>57</v>
      </c>
      <c r="D1093" s="252" t="s">
        <v>135</v>
      </c>
      <c r="E1093" s="849">
        <v>0.1093826207027159</v>
      </c>
      <c r="F1093" s="250" t="s">
        <v>660</v>
      </c>
      <c r="G1093" s="251" t="s">
        <v>16</v>
      </c>
      <c r="H1093" s="252">
        <v>1</v>
      </c>
      <c r="I1093" s="252">
        <v>2</v>
      </c>
      <c r="J1093" s="252">
        <v>3</v>
      </c>
      <c r="K1093" s="252">
        <v>3</v>
      </c>
      <c r="L1093" s="253">
        <v>3</v>
      </c>
      <c r="M1093" s="254">
        <f t="shared" si="39"/>
        <v>1.123005955058592</v>
      </c>
      <c r="N1093" s="381"/>
    </row>
    <row r="1094" spans="1:14" hidden="1" x14ac:dyDescent="0.2">
      <c r="A1094" s="815" t="s">
        <v>565</v>
      </c>
      <c r="B1094" s="466" t="s">
        <v>450</v>
      </c>
      <c r="C1094" s="247" t="s">
        <v>59</v>
      </c>
      <c r="D1094" s="252" t="s">
        <v>135</v>
      </c>
      <c r="E1094" s="478">
        <v>1</v>
      </c>
      <c r="F1094" s="250" t="s">
        <v>660</v>
      </c>
      <c r="G1094" s="251" t="s">
        <v>16</v>
      </c>
      <c r="H1094" s="470"/>
      <c r="I1094" s="470"/>
      <c r="J1094" s="470"/>
      <c r="K1094" s="470"/>
      <c r="L1094" s="471"/>
      <c r="M1094" s="456" t="str">
        <f t="shared" si="39"/>
        <v/>
      </c>
      <c r="N1094" s="381"/>
    </row>
    <row r="1095" spans="1:14" hidden="1" x14ac:dyDescent="0.2">
      <c r="A1095" s="815" t="s">
        <v>565</v>
      </c>
      <c r="B1095" s="466" t="s">
        <v>450</v>
      </c>
      <c r="C1095" s="247" t="s">
        <v>60</v>
      </c>
      <c r="D1095" s="252" t="s">
        <v>135</v>
      </c>
      <c r="E1095" s="478">
        <v>1</v>
      </c>
      <c r="F1095" s="250" t="s">
        <v>660</v>
      </c>
      <c r="G1095" s="251" t="s">
        <v>16</v>
      </c>
      <c r="H1095" s="470"/>
      <c r="I1095" s="470"/>
      <c r="J1095" s="470"/>
      <c r="K1095" s="470"/>
      <c r="L1095" s="471"/>
      <c r="M1095" s="456" t="str">
        <f t="shared" si="39"/>
        <v/>
      </c>
      <c r="N1095" s="381"/>
    </row>
    <row r="1096" spans="1:14" x14ac:dyDescent="0.2">
      <c r="A1096" s="824" t="s">
        <v>565</v>
      </c>
      <c r="B1096" s="440" t="s">
        <v>661</v>
      </c>
      <c r="C1096" s="610" t="s">
        <v>135</v>
      </c>
      <c r="D1096" s="291" t="s">
        <v>135</v>
      </c>
      <c r="E1096" s="473" t="s">
        <v>188</v>
      </c>
      <c r="F1096" s="289"/>
      <c r="G1096" s="290" t="s">
        <v>16</v>
      </c>
      <c r="H1096" s="473"/>
      <c r="I1096" s="473"/>
      <c r="J1096" s="473"/>
      <c r="K1096" s="473"/>
      <c r="L1096" s="474"/>
      <c r="M1096" s="475" t="str">
        <f>IF( OR( ISBLANK(H1096),ISBLANK(I1096), ISBLANK(J1096), ISBLANK(K1096), ISBLANK(L1096) ), "", 1.5*SQRT(   EXP(2.21*(H1096-1)) + EXP(2.21*(I1096-1)) + EXP(2.21*(J1096-1)) + EXP(2.21*(K1096-1)) + EXP(2.21*L1096)   )/100*2.45 )</f>
        <v/>
      </c>
      <c r="N1096" s="404"/>
    </row>
    <row r="1097" spans="1:14" x14ac:dyDescent="0.2">
      <c r="A1097" s="819" t="s">
        <v>591</v>
      </c>
      <c r="B1097" s="490" t="s">
        <v>481</v>
      </c>
      <c r="C1097" s="247" t="s">
        <v>13</v>
      </c>
      <c r="D1097" s="252" t="s">
        <v>135</v>
      </c>
      <c r="E1097" s="478">
        <v>1</v>
      </c>
      <c r="F1097" s="250" t="s">
        <v>660</v>
      </c>
      <c r="G1097" s="251" t="s">
        <v>16</v>
      </c>
      <c r="H1097" s="470"/>
      <c r="I1097" s="470"/>
      <c r="J1097" s="470"/>
      <c r="K1097" s="470"/>
      <c r="L1097" s="471"/>
      <c r="M1097" s="456" t="str">
        <f>IF( OR( ISBLANK(H1097),ISBLANK(I1097), ISBLANK(J1097), ISBLANK(K1097), ISBLANK(L1097) ), "", 1.5*SQRT(   EXP(2.21*(H1097-1)) + EXP(2.21*(I1097-1)) + EXP(2.21*(J1097-1)) + EXP(2.21*(K1097-1)) + EXP(2.21*L1097)   )/100*2.45 )</f>
        <v/>
      </c>
      <c r="N1097" s="381"/>
    </row>
    <row r="1098" spans="1:14" hidden="1" x14ac:dyDescent="0.2">
      <c r="A1098" s="815" t="s">
        <v>591</v>
      </c>
      <c r="B1098" s="466" t="s">
        <v>481</v>
      </c>
      <c r="C1098" s="247" t="s">
        <v>18</v>
      </c>
      <c r="D1098" s="252" t="s">
        <v>135</v>
      </c>
      <c r="E1098" s="478">
        <v>1</v>
      </c>
      <c r="F1098" s="250" t="s">
        <v>660</v>
      </c>
      <c r="G1098" s="251" t="s">
        <v>16</v>
      </c>
      <c r="H1098" s="470"/>
      <c r="I1098" s="470"/>
      <c r="J1098" s="470"/>
      <c r="K1098" s="470"/>
      <c r="L1098" s="471"/>
      <c r="M1098" s="456" t="str">
        <f t="shared" ref="M1098:M1129" si="40">IF( OR( ISBLANK(H1098),ISBLANK(I1098), ISBLANK(J1098), ISBLANK(K1098), ISBLANK(L1098) ), "", 1.5*SQRT( EXP(2.21*(H1098-1)) + EXP(2.21*(I1098-1)) + EXP(2.21*(J1098-1)) + EXP(2.21*(K1098-1)) + EXP(2.21*L1098) )/100*2.45 )</f>
        <v/>
      </c>
      <c r="N1098" s="381"/>
    </row>
    <row r="1099" spans="1:14" hidden="1" x14ac:dyDescent="0.2">
      <c r="A1099" s="815" t="s">
        <v>591</v>
      </c>
      <c r="B1099" s="466" t="s">
        <v>481</v>
      </c>
      <c r="C1099" s="247" t="s">
        <v>20</v>
      </c>
      <c r="D1099" s="252" t="s">
        <v>135</v>
      </c>
      <c r="E1099" s="478">
        <v>1</v>
      </c>
      <c r="F1099" s="250" t="s">
        <v>660</v>
      </c>
      <c r="G1099" s="251" t="s">
        <v>16</v>
      </c>
      <c r="H1099" s="470"/>
      <c r="I1099" s="470"/>
      <c r="J1099" s="470"/>
      <c r="K1099" s="470"/>
      <c r="L1099" s="471"/>
      <c r="M1099" s="456" t="str">
        <f t="shared" si="40"/>
        <v/>
      </c>
      <c r="N1099" s="381"/>
    </row>
    <row r="1100" spans="1:14" hidden="1" x14ac:dyDescent="0.2">
      <c r="A1100" s="815" t="s">
        <v>591</v>
      </c>
      <c r="B1100" s="466" t="s">
        <v>481</v>
      </c>
      <c r="C1100" s="247" t="s">
        <v>22</v>
      </c>
      <c r="D1100" s="252" t="s">
        <v>135</v>
      </c>
      <c r="E1100" s="478">
        <v>1</v>
      </c>
      <c r="F1100" s="250" t="s">
        <v>660</v>
      </c>
      <c r="G1100" s="251" t="s">
        <v>16</v>
      </c>
      <c r="H1100" s="470"/>
      <c r="I1100" s="470"/>
      <c r="J1100" s="470"/>
      <c r="K1100" s="470"/>
      <c r="L1100" s="471"/>
      <c r="M1100" s="456" t="str">
        <f t="shared" si="40"/>
        <v/>
      </c>
      <c r="N1100" s="381"/>
    </row>
    <row r="1101" spans="1:14" hidden="1" x14ac:dyDescent="0.2">
      <c r="A1101" s="815" t="s">
        <v>591</v>
      </c>
      <c r="B1101" s="466" t="s">
        <v>481</v>
      </c>
      <c r="C1101" s="247" t="s">
        <v>23</v>
      </c>
      <c r="D1101" s="252" t="s">
        <v>135</v>
      </c>
      <c r="E1101" s="478">
        <v>1</v>
      </c>
      <c r="F1101" s="250" t="s">
        <v>660</v>
      </c>
      <c r="G1101" s="251" t="s">
        <v>16</v>
      </c>
      <c r="H1101" s="470"/>
      <c r="I1101" s="470"/>
      <c r="J1101" s="470"/>
      <c r="K1101" s="470"/>
      <c r="L1101" s="471"/>
      <c r="M1101" s="456" t="str">
        <f t="shared" si="40"/>
        <v/>
      </c>
      <c r="N1101" s="381"/>
    </row>
    <row r="1102" spans="1:14" hidden="1" x14ac:dyDescent="0.2">
      <c r="A1102" s="815" t="s">
        <v>591</v>
      </c>
      <c r="B1102" s="466" t="s">
        <v>481</v>
      </c>
      <c r="C1102" s="247" t="s">
        <v>24</v>
      </c>
      <c r="D1102" s="252" t="s">
        <v>135</v>
      </c>
      <c r="E1102" s="478">
        <v>1</v>
      </c>
      <c r="F1102" s="250" t="s">
        <v>660</v>
      </c>
      <c r="G1102" s="251" t="s">
        <v>16</v>
      </c>
      <c r="H1102" s="470"/>
      <c r="I1102" s="470"/>
      <c r="J1102" s="470"/>
      <c r="K1102" s="470"/>
      <c r="L1102" s="471"/>
      <c r="M1102" s="456" t="str">
        <f t="shared" si="40"/>
        <v/>
      </c>
      <c r="N1102" s="381"/>
    </row>
    <row r="1103" spans="1:14" hidden="1" x14ac:dyDescent="0.2">
      <c r="A1103" s="815" t="s">
        <v>591</v>
      </c>
      <c r="B1103" s="466" t="s">
        <v>481</v>
      </c>
      <c r="C1103" s="247" t="s">
        <v>25</v>
      </c>
      <c r="D1103" s="252" t="s">
        <v>135</v>
      </c>
      <c r="E1103" s="478">
        <v>1</v>
      </c>
      <c r="F1103" s="250" t="s">
        <v>660</v>
      </c>
      <c r="G1103" s="251" t="s">
        <v>16</v>
      </c>
      <c r="H1103" s="470"/>
      <c r="I1103" s="470"/>
      <c r="J1103" s="470"/>
      <c r="K1103" s="470"/>
      <c r="L1103" s="471"/>
      <c r="M1103" s="456" t="str">
        <f t="shared" si="40"/>
        <v/>
      </c>
      <c r="N1103" s="381"/>
    </row>
    <row r="1104" spans="1:14" hidden="1" x14ac:dyDescent="0.2">
      <c r="A1104" s="815" t="s">
        <v>591</v>
      </c>
      <c r="B1104" s="466" t="s">
        <v>481</v>
      </c>
      <c r="C1104" s="247" t="s">
        <v>26</v>
      </c>
      <c r="D1104" s="252" t="s">
        <v>135</v>
      </c>
      <c r="E1104" s="478">
        <v>1</v>
      </c>
      <c r="F1104" s="250" t="s">
        <v>660</v>
      </c>
      <c r="G1104" s="251" t="s">
        <v>16</v>
      </c>
      <c r="H1104" s="470"/>
      <c r="I1104" s="470"/>
      <c r="J1104" s="470"/>
      <c r="K1104" s="470"/>
      <c r="L1104" s="471"/>
      <c r="M1104" s="456" t="str">
        <f t="shared" si="40"/>
        <v/>
      </c>
      <c r="N1104" s="381"/>
    </row>
    <row r="1105" spans="1:14" hidden="1" x14ac:dyDescent="0.2">
      <c r="A1105" s="815" t="s">
        <v>591</v>
      </c>
      <c r="B1105" s="466" t="s">
        <v>481</v>
      </c>
      <c r="C1105" s="247" t="s">
        <v>27</v>
      </c>
      <c r="D1105" s="252" t="s">
        <v>135</v>
      </c>
      <c r="E1105" s="478">
        <v>1</v>
      </c>
      <c r="F1105" s="250" t="s">
        <v>660</v>
      </c>
      <c r="G1105" s="251" t="s">
        <v>16</v>
      </c>
      <c r="H1105" s="470"/>
      <c r="I1105" s="470"/>
      <c r="J1105" s="470"/>
      <c r="K1105" s="470"/>
      <c r="L1105" s="471"/>
      <c r="M1105" s="456" t="str">
        <f t="shared" si="40"/>
        <v/>
      </c>
      <c r="N1105" s="381"/>
    </row>
    <row r="1106" spans="1:14" hidden="1" x14ac:dyDescent="0.2">
      <c r="A1106" s="815" t="s">
        <v>591</v>
      </c>
      <c r="B1106" s="466" t="s">
        <v>481</v>
      </c>
      <c r="C1106" s="247" t="s">
        <v>28</v>
      </c>
      <c r="D1106" s="252" t="s">
        <v>135</v>
      </c>
      <c r="E1106" s="849">
        <v>0.36726180888450038</v>
      </c>
      <c r="F1106" s="250" t="s">
        <v>660</v>
      </c>
      <c r="G1106" s="251" t="s">
        <v>16</v>
      </c>
      <c r="H1106" s="252">
        <v>1</v>
      </c>
      <c r="I1106" s="252">
        <v>2</v>
      </c>
      <c r="J1106" s="252">
        <v>3</v>
      </c>
      <c r="K1106" s="252">
        <v>3</v>
      </c>
      <c r="L1106" s="253">
        <v>3</v>
      </c>
      <c r="M1106" s="254">
        <f t="shared" si="40"/>
        <v>1.123005955058592</v>
      </c>
      <c r="N1106" s="381"/>
    </row>
    <row r="1107" spans="1:14" hidden="1" x14ac:dyDescent="0.2">
      <c r="A1107" s="815" t="s">
        <v>591</v>
      </c>
      <c r="B1107" s="466" t="s">
        <v>481</v>
      </c>
      <c r="C1107" s="247" t="s">
        <v>30</v>
      </c>
      <c r="D1107" s="252" t="s">
        <v>135</v>
      </c>
      <c r="E1107" s="849">
        <v>0.91392023298603631</v>
      </c>
      <c r="F1107" s="250" t="s">
        <v>660</v>
      </c>
      <c r="G1107" s="251" t="s">
        <v>16</v>
      </c>
      <c r="H1107" s="252">
        <v>1</v>
      </c>
      <c r="I1107" s="252">
        <v>2</v>
      </c>
      <c r="J1107" s="252">
        <v>3</v>
      </c>
      <c r="K1107" s="252">
        <v>3</v>
      </c>
      <c r="L1107" s="253">
        <v>3</v>
      </c>
      <c r="M1107" s="254">
        <f t="shared" si="40"/>
        <v>1.123005955058592</v>
      </c>
      <c r="N1107" s="381"/>
    </row>
    <row r="1108" spans="1:14" hidden="1" x14ac:dyDescent="0.2">
      <c r="A1108" s="815" t="s">
        <v>591</v>
      </c>
      <c r="B1108" s="466" t="s">
        <v>481</v>
      </c>
      <c r="C1108" s="247" t="s">
        <v>32</v>
      </c>
      <c r="D1108" s="252" t="s">
        <v>135</v>
      </c>
      <c r="E1108" s="478">
        <v>1</v>
      </c>
      <c r="F1108" s="250" t="s">
        <v>660</v>
      </c>
      <c r="G1108" s="251" t="s">
        <v>16</v>
      </c>
      <c r="H1108" s="470"/>
      <c r="I1108" s="470"/>
      <c r="J1108" s="470"/>
      <c r="K1108" s="470"/>
      <c r="L1108" s="471"/>
      <c r="M1108" s="456" t="str">
        <f t="shared" si="40"/>
        <v/>
      </c>
      <c r="N1108" s="381"/>
    </row>
    <row r="1109" spans="1:14" hidden="1" x14ac:dyDescent="0.2">
      <c r="A1109" s="815" t="s">
        <v>591</v>
      </c>
      <c r="B1109" s="466" t="s">
        <v>481</v>
      </c>
      <c r="C1109" s="247" t="s">
        <v>34</v>
      </c>
      <c r="D1109" s="252" t="s">
        <v>135</v>
      </c>
      <c r="E1109" s="478">
        <v>1</v>
      </c>
      <c r="F1109" s="250" t="s">
        <v>660</v>
      </c>
      <c r="G1109" s="251" t="s">
        <v>16</v>
      </c>
      <c r="H1109" s="470"/>
      <c r="I1109" s="470"/>
      <c r="J1109" s="470"/>
      <c r="K1109" s="470"/>
      <c r="L1109" s="471"/>
      <c r="M1109" s="456" t="str">
        <f t="shared" si="40"/>
        <v/>
      </c>
      <c r="N1109" s="381"/>
    </row>
    <row r="1110" spans="1:14" hidden="1" x14ac:dyDescent="0.2">
      <c r="A1110" s="815" t="s">
        <v>591</v>
      </c>
      <c r="B1110" s="466" t="s">
        <v>481</v>
      </c>
      <c r="C1110" s="247" t="s">
        <v>36</v>
      </c>
      <c r="D1110" s="252" t="s">
        <v>135</v>
      </c>
      <c r="E1110" s="478">
        <v>1</v>
      </c>
      <c r="F1110" s="250" t="s">
        <v>660</v>
      </c>
      <c r="G1110" s="251" t="s">
        <v>16</v>
      </c>
      <c r="H1110" s="470"/>
      <c r="I1110" s="470"/>
      <c r="J1110" s="470"/>
      <c r="K1110" s="470"/>
      <c r="L1110" s="471"/>
      <c r="M1110" s="456" t="str">
        <f t="shared" si="40"/>
        <v/>
      </c>
      <c r="N1110" s="381"/>
    </row>
    <row r="1111" spans="1:14" hidden="1" x14ac:dyDescent="0.2">
      <c r="A1111" s="815" t="s">
        <v>591</v>
      </c>
      <c r="B1111" s="466" t="s">
        <v>481</v>
      </c>
      <c r="C1111" s="247" t="s">
        <v>37</v>
      </c>
      <c r="D1111" s="252" t="s">
        <v>135</v>
      </c>
      <c r="E1111" s="849">
        <v>0.2265383019715044</v>
      </c>
      <c r="F1111" s="250" t="s">
        <v>660</v>
      </c>
      <c r="G1111" s="251" t="s">
        <v>16</v>
      </c>
      <c r="H1111" s="252">
        <v>1</v>
      </c>
      <c r="I1111" s="252">
        <v>2</v>
      </c>
      <c r="J1111" s="252">
        <v>3</v>
      </c>
      <c r="K1111" s="252">
        <v>3</v>
      </c>
      <c r="L1111" s="253">
        <v>3</v>
      </c>
      <c r="M1111" s="254">
        <f t="shared" si="40"/>
        <v>1.123005955058592</v>
      </c>
      <c r="N1111" s="381"/>
    </row>
    <row r="1112" spans="1:14" hidden="1" x14ac:dyDescent="0.2">
      <c r="A1112" s="815" t="s">
        <v>591</v>
      </c>
      <c r="B1112" s="466" t="s">
        <v>481</v>
      </c>
      <c r="C1112" s="247" t="s">
        <v>39</v>
      </c>
      <c r="D1112" s="252" t="s">
        <v>135</v>
      </c>
      <c r="E1112" s="478">
        <v>1</v>
      </c>
      <c r="F1112" s="250" t="s">
        <v>660</v>
      </c>
      <c r="G1112" s="251" t="s">
        <v>16</v>
      </c>
      <c r="H1112" s="470"/>
      <c r="I1112" s="470"/>
      <c r="J1112" s="470"/>
      <c r="K1112" s="470"/>
      <c r="L1112" s="471"/>
      <c r="M1112" s="456" t="str">
        <f t="shared" si="40"/>
        <v/>
      </c>
      <c r="N1112" s="381"/>
    </row>
    <row r="1113" spans="1:14" hidden="1" x14ac:dyDescent="0.2">
      <c r="A1113" s="815" t="s">
        <v>591</v>
      </c>
      <c r="B1113" s="466" t="s">
        <v>481</v>
      </c>
      <c r="C1113" s="247" t="s">
        <v>40</v>
      </c>
      <c r="D1113" s="252" t="s">
        <v>135</v>
      </c>
      <c r="E1113" s="478">
        <v>1</v>
      </c>
      <c r="F1113" s="250" t="s">
        <v>660</v>
      </c>
      <c r="G1113" s="251" t="s">
        <v>16</v>
      </c>
      <c r="H1113" s="470"/>
      <c r="I1113" s="470"/>
      <c r="J1113" s="470"/>
      <c r="K1113" s="470"/>
      <c r="L1113" s="471"/>
      <c r="M1113" s="456" t="str">
        <f t="shared" si="40"/>
        <v/>
      </c>
      <c r="N1113" s="381"/>
    </row>
    <row r="1114" spans="1:14" hidden="1" x14ac:dyDescent="0.2">
      <c r="A1114" s="815" t="s">
        <v>591</v>
      </c>
      <c r="B1114" s="466" t="s">
        <v>481</v>
      </c>
      <c r="C1114" s="247" t="s">
        <v>41</v>
      </c>
      <c r="D1114" s="252" t="s">
        <v>135</v>
      </c>
      <c r="E1114" s="478">
        <v>1</v>
      </c>
      <c r="F1114" s="250" t="s">
        <v>660</v>
      </c>
      <c r="G1114" s="251" t="s">
        <v>16</v>
      </c>
      <c r="H1114" s="470"/>
      <c r="I1114" s="470"/>
      <c r="J1114" s="470"/>
      <c r="K1114" s="470"/>
      <c r="L1114" s="471"/>
      <c r="M1114" s="456" t="str">
        <f t="shared" si="40"/>
        <v/>
      </c>
      <c r="N1114" s="381"/>
    </row>
    <row r="1115" spans="1:14" hidden="1" x14ac:dyDescent="0.2">
      <c r="A1115" s="815" t="s">
        <v>591</v>
      </c>
      <c r="B1115" s="466" t="s">
        <v>481</v>
      </c>
      <c r="C1115" s="247" t="s">
        <v>42</v>
      </c>
      <c r="D1115" s="252" t="s">
        <v>135</v>
      </c>
      <c r="E1115" s="478">
        <v>1</v>
      </c>
      <c r="F1115" s="250" t="s">
        <v>660</v>
      </c>
      <c r="G1115" s="251" t="s">
        <v>16</v>
      </c>
      <c r="H1115" s="470"/>
      <c r="I1115" s="470"/>
      <c r="J1115" s="470"/>
      <c r="K1115" s="470"/>
      <c r="L1115" s="471"/>
      <c r="M1115" s="456" t="str">
        <f t="shared" si="40"/>
        <v/>
      </c>
      <c r="N1115" s="381"/>
    </row>
    <row r="1116" spans="1:14" hidden="1" x14ac:dyDescent="0.2">
      <c r="A1116" s="815" t="s">
        <v>591</v>
      </c>
      <c r="B1116" s="466" t="s">
        <v>481</v>
      </c>
      <c r="C1116" s="247" t="s">
        <v>43</v>
      </c>
      <c r="D1116" s="252" t="s">
        <v>135</v>
      </c>
      <c r="E1116" s="478">
        <v>1</v>
      </c>
      <c r="F1116" s="250" t="s">
        <v>660</v>
      </c>
      <c r="G1116" s="251" t="s">
        <v>16</v>
      </c>
      <c r="H1116" s="470"/>
      <c r="I1116" s="470"/>
      <c r="J1116" s="470"/>
      <c r="K1116" s="470"/>
      <c r="L1116" s="471"/>
      <c r="M1116" s="456" t="str">
        <f t="shared" si="40"/>
        <v/>
      </c>
      <c r="N1116" s="381"/>
    </row>
    <row r="1117" spans="1:14" hidden="1" x14ac:dyDescent="0.2">
      <c r="A1117" s="815" t="s">
        <v>591</v>
      </c>
      <c r="B1117" s="466" t="s">
        <v>481</v>
      </c>
      <c r="C1117" s="247" t="s">
        <v>45</v>
      </c>
      <c r="D1117" s="252" t="s">
        <v>135</v>
      </c>
      <c r="E1117" s="849">
        <v>0.12500879926582301</v>
      </c>
      <c r="F1117" s="250" t="s">
        <v>660</v>
      </c>
      <c r="G1117" s="251" t="s">
        <v>16</v>
      </c>
      <c r="H1117" s="252">
        <v>2</v>
      </c>
      <c r="I1117" s="252">
        <v>2</v>
      </c>
      <c r="J1117" s="252">
        <v>3</v>
      </c>
      <c r="K1117" s="252">
        <v>3</v>
      </c>
      <c r="L1117" s="253">
        <v>3</v>
      </c>
      <c r="M1117" s="254">
        <f t="shared" si="40"/>
        <v>1.1278755061256258</v>
      </c>
      <c r="N1117" s="381"/>
    </row>
    <row r="1118" spans="1:14" hidden="1" x14ac:dyDescent="0.2">
      <c r="A1118" s="815" t="s">
        <v>591</v>
      </c>
      <c r="B1118" s="466" t="s">
        <v>481</v>
      </c>
      <c r="C1118" s="247" t="s">
        <v>46</v>
      </c>
      <c r="D1118" s="252" t="s">
        <v>135</v>
      </c>
      <c r="E1118" s="478">
        <v>1</v>
      </c>
      <c r="F1118" s="250" t="s">
        <v>660</v>
      </c>
      <c r="G1118" s="251" t="s">
        <v>16</v>
      </c>
      <c r="H1118" s="470"/>
      <c r="I1118" s="470"/>
      <c r="J1118" s="470"/>
      <c r="K1118" s="470"/>
      <c r="L1118" s="471"/>
      <c r="M1118" s="456" t="str">
        <f t="shared" si="40"/>
        <v/>
      </c>
      <c r="N1118" s="381"/>
    </row>
    <row r="1119" spans="1:14" hidden="1" x14ac:dyDescent="0.2">
      <c r="A1119" s="815" t="s">
        <v>591</v>
      </c>
      <c r="B1119" s="466" t="s">
        <v>481</v>
      </c>
      <c r="C1119" s="247" t="s">
        <v>48</v>
      </c>
      <c r="D1119" s="252" t="s">
        <v>135</v>
      </c>
      <c r="E1119" s="478">
        <v>1</v>
      </c>
      <c r="F1119" s="250" t="s">
        <v>660</v>
      </c>
      <c r="G1119" s="251" t="s">
        <v>16</v>
      </c>
      <c r="H1119" s="470"/>
      <c r="I1119" s="470"/>
      <c r="J1119" s="470"/>
      <c r="K1119" s="470"/>
      <c r="L1119" s="471"/>
      <c r="M1119" s="456" t="str">
        <f t="shared" si="40"/>
        <v/>
      </c>
      <c r="N1119" s="381"/>
    </row>
    <row r="1120" spans="1:14" hidden="1" x14ac:dyDescent="0.2">
      <c r="A1120" s="815" t="s">
        <v>591</v>
      </c>
      <c r="B1120" s="466" t="s">
        <v>481</v>
      </c>
      <c r="C1120" s="247" t="s">
        <v>50</v>
      </c>
      <c r="D1120" s="252" t="s">
        <v>135</v>
      </c>
      <c r="E1120" s="478">
        <v>1</v>
      </c>
      <c r="F1120" s="250" t="s">
        <v>660</v>
      </c>
      <c r="G1120" s="251" t="s">
        <v>16</v>
      </c>
      <c r="H1120" s="470"/>
      <c r="I1120" s="470"/>
      <c r="J1120" s="470"/>
      <c r="K1120" s="470"/>
      <c r="L1120" s="471"/>
      <c r="M1120" s="456" t="str">
        <f t="shared" si="40"/>
        <v/>
      </c>
      <c r="N1120" s="381"/>
    </row>
    <row r="1121" spans="1:14" hidden="1" x14ac:dyDescent="0.2">
      <c r="A1121" s="815" t="s">
        <v>591</v>
      </c>
      <c r="B1121" s="466" t="s">
        <v>481</v>
      </c>
      <c r="C1121" s="247" t="s">
        <v>52</v>
      </c>
      <c r="D1121" s="252" t="s">
        <v>135</v>
      </c>
      <c r="E1121" s="478">
        <v>1</v>
      </c>
      <c r="F1121" s="250" t="s">
        <v>660</v>
      </c>
      <c r="G1121" s="251" t="s">
        <v>16</v>
      </c>
      <c r="H1121" s="470"/>
      <c r="I1121" s="470"/>
      <c r="J1121" s="470"/>
      <c r="K1121" s="470"/>
      <c r="L1121" s="471"/>
      <c r="M1121" s="456" t="str">
        <f t="shared" si="40"/>
        <v/>
      </c>
      <c r="N1121" s="381"/>
    </row>
    <row r="1122" spans="1:14" hidden="1" x14ac:dyDescent="0.2">
      <c r="A1122" s="815" t="s">
        <v>591</v>
      </c>
      <c r="B1122" s="466" t="s">
        <v>481</v>
      </c>
      <c r="C1122" s="247" t="s">
        <v>54</v>
      </c>
      <c r="D1122" s="252" t="s">
        <v>135</v>
      </c>
      <c r="E1122" s="478">
        <v>1</v>
      </c>
      <c r="F1122" s="250" t="s">
        <v>660</v>
      </c>
      <c r="G1122" s="251" t="s">
        <v>16</v>
      </c>
      <c r="H1122" s="470"/>
      <c r="I1122" s="470"/>
      <c r="J1122" s="470"/>
      <c r="K1122" s="470"/>
      <c r="L1122" s="471"/>
      <c r="M1122" s="456" t="str">
        <f t="shared" si="40"/>
        <v/>
      </c>
      <c r="N1122" s="381"/>
    </row>
    <row r="1123" spans="1:14" hidden="1" x14ac:dyDescent="0.2">
      <c r="A1123" s="815" t="s">
        <v>591</v>
      </c>
      <c r="B1123" s="466" t="s">
        <v>481</v>
      </c>
      <c r="C1123" s="247" t="s">
        <v>55</v>
      </c>
      <c r="D1123" s="252" t="s">
        <v>135</v>
      </c>
      <c r="E1123" s="849">
        <v>3.7905977700857713E-2</v>
      </c>
      <c r="F1123" s="250" t="s">
        <v>660</v>
      </c>
      <c r="G1123" s="251" t="s">
        <v>16</v>
      </c>
      <c r="H1123" s="252">
        <v>1</v>
      </c>
      <c r="I1123" s="252">
        <v>2</v>
      </c>
      <c r="J1123" s="252">
        <v>3</v>
      </c>
      <c r="K1123" s="252">
        <v>3</v>
      </c>
      <c r="L1123" s="253">
        <v>3</v>
      </c>
      <c r="M1123" s="254">
        <f t="shared" si="40"/>
        <v>1.123005955058592</v>
      </c>
      <c r="N1123" s="381"/>
    </row>
    <row r="1124" spans="1:14" hidden="1" x14ac:dyDescent="0.2">
      <c r="A1124" s="815" t="s">
        <v>591</v>
      </c>
      <c r="B1124" s="466" t="s">
        <v>481</v>
      </c>
      <c r="C1124" s="247" t="s">
        <v>57</v>
      </c>
      <c r="D1124" s="252" t="s">
        <v>135</v>
      </c>
      <c r="E1124" s="849">
        <v>0.12500879926582301</v>
      </c>
      <c r="F1124" s="250" t="s">
        <v>660</v>
      </c>
      <c r="G1124" s="251" t="s">
        <v>16</v>
      </c>
      <c r="H1124" s="252">
        <v>1</v>
      </c>
      <c r="I1124" s="252">
        <v>2</v>
      </c>
      <c r="J1124" s="252">
        <v>3</v>
      </c>
      <c r="K1124" s="252">
        <v>3</v>
      </c>
      <c r="L1124" s="253">
        <v>3</v>
      </c>
      <c r="M1124" s="254">
        <f t="shared" si="40"/>
        <v>1.123005955058592</v>
      </c>
      <c r="N1124" s="381"/>
    </row>
    <row r="1125" spans="1:14" hidden="1" x14ac:dyDescent="0.2">
      <c r="A1125" s="815" t="s">
        <v>591</v>
      </c>
      <c r="B1125" s="466" t="s">
        <v>481</v>
      </c>
      <c r="C1125" s="247" t="s">
        <v>59</v>
      </c>
      <c r="D1125" s="252" t="s">
        <v>135</v>
      </c>
      <c r="E1125" s="478">
        <v>1</v>
      </c>
      <c r="F1125" s="250" t="s">
        <v>660</v>
      </c>
      <c r="G1125" s="251" t="s">
        <v>16</v>
      </c>
      <c r="H1125" s="470"/>
      <c r="I1125" s="470"/>
      <c r="J1125" s="470"/>
      <c r="K1125" s="470"/>
      <c r="L1125" s="471"/>
      <c r="M1125" s="456" t="str">
        <f t="shared" si="40"/>
        <v/>
      </c>
      <c r="N1125" s="381"/>
    </row>
    <row r="1126" spans="1:14" hidden="1" x14ac:dyDescent="0.2">
      <c r="A1126" s="815" t="s">
        <v>591</v>
      </c>
      <c r="B1126" s="466" t="s">
        <v>481</v>
      </c>
      <c r="C1126" s="247" t="s">
        <v>60</v>
      </c>
      <c r="D1126" s="252" t="s">
        <v>135</v>
      </c>
      <c r="E1126" s="478">
        <v>1</v>
      </c>
      <c r="F1126" s="250" t="s">
        <v>660</v>
      </c>
      <c r="G1126" s="251" t="s">
        <v>16</v>
      </c>
      <c r="H1126" s="470"/>
      <c r="I1126" s="470"/>
      <c r="J1126" s="470"/>
      <c r="K1126" s="470"/>
      <c r="L1126" s="471"/>
      <c r="M1126" s="456" t="str">
        <f t="shared" si="40"/>
        <v/>
      </c>
      <c r="N1126" s="381"/>
    </row>
    <row r="1127" spans="1:14" x14ac:dyDescent="0.2">
      <c r="A1127" s="824" t="s">
        <v>591</v>
      </c>
      <c r="B1127" s="440" t="s">
        <v>482</v>
      </c>
      <c r="C1127" s="610" t="s">
        <v>135</v>
      </c>
      <c r="D1127" s="291" t="s">
        <v>135</v>
      </c>
      <c r="E1127" s="473" t="s">
        <v>188</v>
      </c>
      <c r="F1127" s="289"/>
      <c r="G1127" s="290" t="s">
        <v>16</v>
      </c>
      <c r="H1127" s="473"/>
      <c r="I1127" s="473"/>
      <c r="J1127" s="473"/>
      <c r="K1127" s="473"/>
      <c r="L1127" s="474"/>
      <c r="M1127" s="475" t="str">
        <f t="shared" si="40"/>
        <v/>
      </c>
      <c r="N1127" s="404"/>
    </row>
    <row r="1128" spans="1:14" x14ac:dyDescent="0.2">
      <c r="A1128" s="819" t="s">
        <v>595</v>
      </c>
      <c r="B1128" s="490" t="s">
        <v>450</v>
      </c>
      <c r="C1128" s="247" t="s">
        <v>13</v>
      </c>
      <c r="D1128" s="252" t="s">
        <v>135</v>
      </c>
      <c r="E1128" s="478">
        <v>1</v>
      </c>
      <c r="F1128" s="250" t="s">
        <v>660</v>
      </c>
      <c r="G1128" s="251" t="s">
        <v>16</v>
      </c>
      <c r="H1128" s="470"/>
      <c r="I1128" s="470"/>
      <c r="J1128" s="470"/>
      <c r="K1128" s="470"/>
      <c r="L1128" s="471"/>
      <c r="M1128" s="456" t="str">
        <f t="shared" si="40"/>
        <v/>
      </c>
      <c r="N1128" s="381"/>
    </row>
    <row r="1129" spans="1:14" hidden="1" x14ac:dyDescent="0.2">
      <c r="A1129" s="815" t="s">
        <v>595</v>
      </c>
      <c r="B1129" s="466" t="s">
        <v>450</v>
      </c>
      <c r="C1129" s="247" t="s">
        <v>18</v>
      </c>
      <c r="D1129" s="252" t="s">
        <v>135</v>
      </c>
      <c r="E1129" s="478">
        <v>1</v>
      </c>
      <c r="F1129" s="250" t="s">
        <v>660</v>
      </c>
      <c r="G1129" s="251" t="s">
        <v>16</v>
      </c>
      <c r="H1129" s="470"/>
      <c r="I1129" s="470"/>
      <c r="J1129" s="470"/>
      <c r="K1129" s="470"/>
      <c r="L1129" s="471"/>
      <c r="M1129" s="456" t="str">
        <f t="shared" si="40"/>
        <v/>
      </c>
      <c r="N1129" s="381"/>
    </row>
    <row r="1130" spans="1:14" hidden="1" x14ac:dyDescent="0.2">
      <c r="A1130" s="815" t="s">
        <v>595</v>
      </c>
      <c r="B1130" s="466" t="s">
        <v>450</v>
      </c>
      <c r="C1130" s="247" t="s">
        <v>20</v>
      </c>
      <c r="D1130" s="252" t="s">
        <v>135</v>
      </c>
      <c r="E1130" s="478">
        <v>1</v>
      </c>
      <c r="F1130" s="250" t="s">
        <v>660</v>
      </c>
      <c r="G1130" s="251" t="s">
        <v>16</v>
      </c>
      <c r="H1130" s="470"/>
      <c r="I1130" s="470"/>
      <c r="J1130" s="470"/>
      <c r="K1130" s="470"/>
      <c r="L1130" s="471"/>
      <c r="M1130" s="456" t="str">
        <f t="shared" ref="M1130:M1160" si="41">IF( OR( ISBLANK(H1130),ISBLANK(I1130), ISBLANK(J1130), ISBLANK(K1130), ISBLANK(L1130) ), "", 1.5*SQRT( EXP(2.21*(H1130-1)) + EXP(2.21*(I1130-1)) + EXP(2.21*(J1130-1)) + EXP(2.21*(K1130-1)) + EXP(2.21*L1130) )/100*2.45 )</f>
        <v/>
      </c>
      <c r="N1130" s="381"/>
    </row>
    <row r="1131" spans="1:14" hidden="1" x14ac:dyDescent="0.2">
      <c r="A1131" s="815" t="s">
        <v>595</v>
      </c>
      <c r="B1131" s="466" t="s">
        <v>450</v>
      </c>
      <c r="C1131" s="247" t="s">
        <v>22</v>
      </c>
      <c r="D1131" s="252" t="s">
        <v>135</v>
      </c>
      <c r="E1131" s="478">
        <v>1</v>
      </c>
      <c r="F1131" s="250" t="s">
        <v>660</v>
      </c>
      <c r="G1131" s="251" t="s">
        <v>16</v>
      </c>
      <c r="H1131" s="470"/>
      <c r="I1131" s="470"/>
      <c r="J1131" s="470"/>
      <c r="K1131" s="470"/>
      <c r="L1131" s="471"/>
      <c r="M1131" s="456" t="str">
        <f t="shared" si="41"/>
        <v/>
      </c>
      <c r="N1131" s="381"/>
    </row>
    <row r="1132" spans="1:14" hidden="1" x14ac:dyDescent="0.2">
      <c r="A1132" s="815" t="s">
        <v>595</v>
      </c>
      <c r="B1132" s="466" t="s">
        <v>450</v>
      </c>
      <c r="C1132" s="247" t="s">
        <v>23</v>
      </c>
      <c r="D1132" s="252" t="s">
        <v>135</v>
      </c>
      <c r="E1132" s="478">
        <v>1</v>
      </c>
      <c r="F1132" s="250" t="s">
        <v>660</v>
      </c>
      <c r="G1132" s="251" t="s">
        <v>16</v>
      </c>
      <c r="H1132" s="470"/>
      <c r="I1132" s="470"/>
      <c r="J1132" s="470"/>
      <c r="K1132" s="470"/>
      <c r="L1132" s="471"/>
      <c r="M1132" s="456" t="str">
        <f t="shared" si="41"/>
        <v/>
      </c>
      <c r="N1132" s="381"/>
    </row>
    <row r="1133" spans="1:14" hidden="1" x14ac:dyDescent="0.2">
      <c r="A1133" s="815" t="s">
        <v>595</v>
      </c>
      <c r="B1133" s="466" t="s">
        <v>450</v>
      </c>
      <c r="C1133" s="247" t="s">
        <v>24</v>
      </c>
      <c r="D1133" s="252" t="s">
        <v>135</v>
      </c>
      <c r="E1133" s="478">
        <v>1</v>
      </c>
      <c r="F1133" s="250" t="s">
        <v>660</v>
      </c>
      <c r="G1133" s="251" t="s">
        <v>16</v>
      </c>
      <c r="H1133" s="470"/>
      <c r="I1133" s="470"/>
      <c r="J1133" s="470"/>
      <c r="K1133" s="470"/>
      <c r="L1133" s="471"/>
      <c r="M1133" s="456" t="str">
        <f t="shared" si="41"/>
        <v/>
      </c>
      <c r="N1133" s="381"/>
    </row>
    <row r="1134" spans="1:14" hidden="1" x14ac:dyDescent="0.2">
      <c r="A1134" s="815" t="s">
        <v>595</v>
      </c>
      <c r="B1134" s="466" t="s">
        <v>450</v>
      </c>
      <c r="C1134" s="247" t="s">
        <v>25</v>
      </c>
      <c r="D1134" s="252" t="s">
        <v>135</v>
      </c>
      <c r="E1134" s="478">
        <v>1</v>
      </c>
      <c r="F1134" s="250" t="s">
        <v>660</v>
      </c>
      <c r="G1134" s="251" t="s">
        <v>16</v>
      </c>
      <c r="H1134" s="470"/>
      <c r="I1134" s="470"/>
      <c r="J1134" s="470"/>
      <c r="K1134" s="470"/>
      <c r="L1134" s="471"/>
      <c r="M1134" s="456" t="str">
        <f t="shared" si="41"/>
        <v/>
      </c>
      <c r="N1134" s="381"/>
    </row>
    <row r="1135" spans="1:14" hidden="1" x14ac:dyDescent="0.2">
      <c r="A1135" s="815" t="s">
        <v>595</v>
      </c>
      <c r="B1135" s="466" t="s">
        <v>450</v>
      </c>
      <c r="C1135" s="247" t="s">
        <v>26</v>
      </c>
      <c r="D1135" s="252" t="s">
        <v>135</v>
      </c>
      <c r="E1135" s="478">
        <v>1</v>
      </c>
      <c r="F1135" s="250" t="s">
        <v>660</v>
      </c>
      <c r="G1135" s="251" t="s">
        <v>16</v>
      </c>
      <c r="H1135" s="470"/>
      <c r="I1135" s="470"/>
      <c r="J1135" s="470"/>
      <c r="K1135" s="470"/>
      <c r="L1135" s="471"/>
      <c r="M1135" s="456" t="str">
        <f t="shared" si="41"/>
        <v/>
      </c>
      <c r="N1135" s="381"/>
    </row>
    <row r="1136" spans="1:14" hidden="1" x14ac:dyDescent="0.2">
      <c r="A1136" s="815" t="s">
        <v>595</v>
      </c>
      <c r="B1136" s="466" t="s">
        <v>450</v>
      </c>
      <c r="C1136" s="247" t="s">
        <v>27</v>
      </c>
      <c r="D1136" s="252" t="s">
        <v>135</v>
      </c>
      <c r="E1136" s="478">
        <v>1</v>
      </c>
      <c r="F1136" s="250" t="s">
        <v>660</v>
      </c>
      <c r="G1136" s="251" t="s">
        <v>16</v>
      </c>
      <c r="H1136" s="470"/>
      <c r="I1136" s="470"/>
      <c r="J1136" s="470"/>
      <c r="K1136" s="470"/>
      <c r="L1136" s="471"/>
      <c r="M1136" s="456" t="str">
        <f t="shared" si="41"/>
        <v/>
      </c>
      <c r="N1136" s="381"/>
    </row>
    <row r="1137" spans="1:14" hidden="1" x14ac:dyDescent="0.2">
      <c r="A1137" s="815" t="s">
        <v>595</v>
      </c>
      <c r="B1137" s="466" t="s">
        <v>450</v>
      </c>
      <c r="C1137" s="247" t="s">
        <v>28</v>
      </c>
      <c r="D1137" s="252" t="s">
        <v>135</v>
      </c>
      <c r="E1137" s="849">
        <v>0.36726180888450038</v>
      </c>
      <c r="F1137" s="250" t="s">
        <v>660</v>
      </c>
      <c r="G1137" s="251" t="s">
        <v>16</v>
      </c>
      <c r="H1137" s="252">
        <v>1</v>
      </c>
      <c r="I1137" s="252">
        <v>2</v>
      </c>
      <c r="J1137" s="252">
        <v>3</v>
      </c>
      <c r="K1137" s="252">
        <v>3</v>
      </c>
      <c r="L1137" s="253">
        <v>3</v>
      </c>
      <c r="M1137" s="254">
        <f t="shared" si="41"/>
        <v>1.123005955058592</v>
      </c>
      <c r="N1137" s="381"/>
    </row>
    <row r="1138" spans="1:14" hidden="1" x14ac:dyDescent="0.2">
      <c r="A1138" s="815" t="s">
        <v>595</v>
      </c>
      <c r="B1138" s="466" t="s">
        <v>450</v>
      </c>
      <c r="C1138" s="247" t="s">
        <v>30</v>
      </c>
      <c r="D1138" s="252" t="s">
        <v>135</v>
      </c>
      <c r="E1138" s="849">
        <v>0.91392023298603631</v>
      </c>
      <c r="F1138" s="250" t="s">
        <v>660</v>
      </c>
      <c r="G1138" s="251" t="s">
        <v>16</v>
      </c>
      <c r="H1138" s="252">
        <v>1</v>
      </c>
      <c r="I1138" s="252">
        <v>2</v>
      </c>
      <c r="J1138" s="252">
        <v>3</v>
      </c>
      <c r="K1138" s="252">
        <v>3</v>
      </c>
      <c r="L1138" s="253">
        <v>3</v>
      </c>
      <c r="M1138" s="254">
        <f t="shared" si="41"/>
        <v>1.123005955058592</v>
      </c>
      <c r="N1138" s="381"/>
    </row>
    <row r="1139" spans="1:14" hidden="1" x14ac:dyDescent="0.2">
      <c r="A1139" s="815" t="s">
        <v>595</v>
      </c>
      <c r="B1139" s="466" t="s">
        <v>450</v>
      </c>
      <c r="C1139" s="247" t="s">
        <v>32</v>
      </c>
      <c r="D1139" s="252" t="s">
        <v>135</v>
      </c>
      <c r="E1139" s="478">
        <v>1</v>
      </c>
      <c r="F1139" s="250" t="s">
        <v>660</v>
      </c>
      <c r="G1139" s="251" t="s">
        <v>16</v>
      </c>
      <c r="H1139" s="470"/>
      <c r="I1139" s="470"/>
      <c r="J1139" s="470"/>
      <c r="K1139" s="470"/>
      <c r="L1139" s="471"/>
      <c r="M1139" s="456" t="str">
        <f t="shared" si="41"/>
        <v/>
      </c>
      <c r="N1139" s="381"/>
    </row>
    <row r="1140" spans="1:14" hidden="1" x14ac:dyDescent="0.2">
      <c r="A1140" s="815" t="s">
        <v>595</v>
      </c>
      <c r="B1140" s="466" t="s">
        <v>450</v>
      </c>
      <c r="C1140" s="247" t="s">
        <v>34</v>
      </c>
      <c r="D1140" s="252" t="s">
        <v>135</v>
      </c>
      <c r="E1140" s="478">
        <v>1</v>
      </c>
      <c r="F1140" s="250" t="s">
        <v>660</v>
      </c>
      <c r="G1140" s="251" t="s">
        <v>16</v>
      </c>
      <c r="H1140" s="470"/>
      <c r="I1140" s="470"/>
      <c r="J1140" s="470"/>
      <c r="K1140" s="470"/>
      <c r="L1140" s="471"/>
      <c r="M1140" s="456" t="str">
        <f t="shared" si="41"/>
        <v/>
      </c>
      <c r="N1140" s="381"/>
    </row>
    <row r="1141" spans="1:14" hidden="1" x14ac:dyDescent="0.2">
      <c r="A1141" s="815" t="s">
        <v>595</v>
      </c>
      <c r="B1141" s="466" t="s">
        <v>450</v>
      </c>
      <c r="C1141" s="247" t="s">
        <v>36</v>
      </c>
      <c r="D1141" s="252" t="s">
        <v>135</v>
      </c>
      <c r="E1141" s="478">
        <v>1</v>
      </c>
      <c r="F1141" s="250" t="s">
        <v>660</v>
      </c>
      <c r="G1141" s="251" t="s">
        <v>16</v>
      </c>
      <c r="H1141" s="470"/>
      <c r="I1141" s="470"/>
      <c r="J1141" s="470"/>
      <c r="K1141" s="470"/>
      <c r="L1141" s="471"/>
      <c r="M1141" s="456" t="str">
        <f t="shared" si="41"/>
        <v/>
      </c>
      <c r="N1141" s="381"/>
    </row>
    <row r="1142" spans="1:14" hidden="1" x14ac:dyDescent="0.2">
      <c r="A1142" s="815" t="s">
        <v>595</v>
      </c>
      <c r="B1142" s="466" t="s">
        <v>450</v>
      </c>
      <c r="C1142" s="247" t="s">
        <v>37</v>
      </c>
      <c r="D1142" s="252" t="s">
        <v>135</v>
      </c>
      <c r="E1142" s="849">
        <v>0.2265383019715044</v>
      </c>
      <c r="F1142" s="250" t="s">
        <v>660</v>
      </c>
      <c r="G1142" s="251" t="s">
        <v>16</v>
      </c>
      <c r="H1142" s="252">
        <v>1</v>
      </c>
      <c r="I1142" s="252">
        <v>2</v>
      </c>
      <c r="J1142" s="252">
        <v>3</v>
      </c>
      <c r="K1142" s="252">
        <v>3</v>
      </c>
      <c r="L1142" s="253">
        <v>3</v>
      </c>
      <c r="M1142" s="254">
        <f t="shared" si="41"/>
        <v>1.123005955058592</v>
      </c>
      <c r="N1142" s="381"/>
    </row>
    <row r="1143" spans="1:14" hidden="1" x14ac:dyDescent="0.2">
      <c r="A1143" s="815" t="s">
        <v>595</v>
      </c>
      <c r="B1143" s="466" t="s">
        <v>450</v>
      </c>
      <c r="C1143" s="247" t="s">
        <v>39</v>
      </c>
      <c r="D1143" s="252" t="s">
        <v>135</v>
      </c>
      <c r="E1143" s="478">
        <v>1</v>
      </c>
      <c r="F1143" s="250" t="s">
        <v>660</v>
      </c>
      <c r="G1143" s="251" t="s">
        <v>16</v>
      </c>
      <c r="H1143" s="470"/>
      <c r="I1143" s="470"/>
      <c r="J1143" s="470"/>
      <c r="K1143" s="470"/>
      <c r="L1143" s="471"/>
      <c r="M1143" s="456" t="str">
        <f t="shared" si="41"/>
        <v/>
      </c>
      <c r="N1143" s="381"/>
    </row>
    <row r="1144" spans="1:14" hidden="1" x14ac:dyDescent="0.2">
      <c r="A1144" s="815" t="s">
        <v>595</v>
      </c>
      <c r="B1144" s="466" t="s">
        <v>450</v>
      </c>
      <c r="C1144" s="247" t="s">
        <v>40</v>
      </c>
      <c r="D1144" s="252" t="s">
        <v>135</v>
      </c>
      <c r="E1144" s="478">
        <v>1</v>
      </c>
      <c r="F1144" s="250" t="s">
        <v>660</v>
      </c>
      <c r="G1144" s="251" t="s">
        <v>16</v>
      </c>
      <c r="H1144" s="470"/>
      <c r="I1144" s="470"/>
      <c r="J1144" s="470"/>
      <c r="K1144" s="470"/>
      <c r="L1144" s="471"/>
      <c r="M1144" s="456" t="str">
        <f t="shared" si="41"/>
        <v/>
      </c>
      <c r="N1144" s="381"/>
    </row>
    <row r="1145" spans="1:14" hidden="1" x14ac:dyDescent="0.2">
      <c r="A1145" s="815" t="s">
        <v>595</v>
      </c>
      <c r="B1145" s="466" t="s">
        <v>450</v>
      </c>
      <c r="C1145" s="247" t="s">
        <v>41</v>
      </c>
      <c r="D1145" s="252" t="s">
        <v>135</v>
      </c>
      <c r="E1145" s="478">
        <v>1</v>
      </c>
      <c r="F1145" s="250" t="s">
        <v>660</v>
      </c>
      <c r="G1145" s="251" t="s">
        <v>16</v>
      </c>
      <c r="H1145" s="470"/>
      <c r="I1145" s="470"/>
      <c r="J1145" s="470"/>
      <c r="K1145" s="470"/>
      <c r="L1145" s="471"/>
      <c r="M1145" s="456" t="str">
        <f t="shared" si="41"/>
        <v/>
      </c>
      <c r="N1145" s="381"/>
    </row>
    <row r="1146" spans="1:14" hidden="1" x14ac:dyDescent="0.2">
      <c r="A1146" s="815" t="s">
        <v>595</v>
      </c>
      <c r="B1146" s="466" t="s">
        <v>450</v>
      </c>
      <c r="C1146" s="247" t="s">
        <v>42</v>
      </c>
      <c r="D1146" s="252" t="s">
        <v>135</v>
      </c>
      <c r="E1146" s="478">
        <v>1</v>
      </c>
      <c r="F1146" s="250" t="s">
        <v>660</v>
      </c>
      <c r="G1146" s="251" t="s">
        <v>16</v>
      </c>
      <c r="H1146" s="470"/>
      <c r="I1146" s="470"/>
      <c r="J1146" s="470"/>
      <c r="K1146" s="470"/>
      <c r="L1146" s="471"/>
      <c r="M1146" s="456" t="str">
        <f t="shared" si="41"/>
        <v/>
      </c>
      <c r="N1146" s="381"/>
    </row>
    <row r="1147" spans="1:14" hidden="1" x14ac:dyDescent="0.2">
      <c r="A1147" s="815" t="s">
        <v>595</v>
      </c>
      <c r="B1147" s="466" t="s">
        <v>450</v>
      </c>
      <c r="C1147" s="247" t="s">
        <v>43</v>
      </c>
      <c r="D1147" s="252" t="s">
        <v>135</v>
      </c>
      <c r="E1147" s="478">
        <v>1</v>
      </c>
      <c r="F1147" s="250" t="s">
        <v>660</v>
      </c>
      <c r="G1147" s="251" t="s">
        <v>16</v>
      </c>
      <c r="H1147" s="470"/>
      <c r="I1147" s="470"/>
      <c r="J1147" s="470"/>
      <c r="K1147" s="470"/>
      <c r="L1147" s="471"/>
      <c r="M1147" s="456" t="str">
        <f t="shared" si="41"/>
        <v/>
      </c>
      <c r="N1147" s="381"/>
    </row>
    <row r="1148" spans="1:14" hidden="1" x14ac:dyDescent="0.2">
      <c r="A1148" s="815" t="s">
        <v>595</v>
      </c>
      <c r="B1148" s="466" t="s">
        <v>450</v>
      </c>
      <c r="C1148" s="247" t="s">
        <v>45</v>
      </c>
      <c r="D1148" s="252" t="s">
        <v>135</v>
      </c>
      <c r="E1148" s="849">
        <v>0.12500879926582301</v>
      </c>
      <c r="F1148" s="250" t="s">
        <v>660</v>
      </c>
      <c r="G1148" s="251" t="s">
        <v>16</v>
      </c>
      <c r="H1148" s="252">
        <v>2</v>
      </c>
      <c r="I1148" s="252">
        <v>2</v>
      </c>
      <c r="J1148" s="252">
        <v>3</v>
      </c>
      <c r="K1148" s="252">
        <v>3</v>
      </c>
      <c r="L1148" s="253">
        <v>3</v>
      </c>
      <c r="M1148" s="254">
        <f t="shared" si="41"/>
        <v>1.1278755061256258</v>
      </c>
      <c r="N1148" s="381"/>
    </row>
    <row r="1149" spans="1:14" hidden="1" x14ac:dyDescent="0.2">
      <c r="A1149" s="815" t="s">
        <v>595</v>
      </c>
      <c r="B1149" s="466" t="s">
        <v>450</v>
      </c>
      <c r="C1149" s="247" t="s">
        <v>46</v>
      </c>
      <c r="D1149" s="252" t="s">
        <v>135</v>
      </c>
      <c r="E1149" s="478">
        <v>1</v>
      </c>
      <c r="F1149" s="250" t="s">
        <v>660</v>
      </c>
      <c r="G1149" s="251" t="s">
        <v>16</v>
      </c>
      <c r="H1149" s="470"/>
      <c r="I1149" s="470"/>
      <c r="J1149" s="470"/>
      <c r="K1149" s="470"/>
      <c r="L1149" s="471"/>
      <c r="M1149" s="456" t="str">
        <f t="shared" si="41"/>
        <v/>
      </c>
      <c r="N1149" s="381"/>
    </row>
    <row r="1150" spans="1:14" hidden="1" x14ac:dyDescent="0.2">
      <c r="A1150" s="815" t="s">
        <v>595</v>
      </c>
      <c r="B1150" s="466" t="s">
        <v>450</v>
      </c>
      <c r="C1150" s="247" t="s">
        <v>48</v>
      </c>
      <c r="D1150" s="252" t="s">
        <v>135</v>
      </c>
      <c r="E1150" s="478">
        <v>1</v>
      </c>
      <c r="F1150" s="250" t="s">
        <v>660</v>
      </c>
      <c r="G1150" s="251" t="s">
        <v>16</v>
      </c>
      <c r="H1150" s="470"/>
      <c r="I1150" s="470"/>
      <c r="J1150" s="470"/>
      <c r="K1150" s="470"/>
      <c r="L1150" s="471"/>
      <c r="M1150" s="456" t="str">
        <f t="shared" si="41"/>
        <v/>
      </c>
      <c r="N1150" s="381"/>
    </row>
    <row r="1151" spans="1:14" hidden="1" x14ac:dyDescent="0.2">
      <c r="A1151" s="815" t="s">
        <v>595</v>
      </c>
      <c r="B1151" s="466" t="s">
        <v>450</v>
      </c>
      <c r="C1151" s="247" t="s">
        <v>50</v>
      </c>
      <c r="D1151" s="252" t="s">
        <v>135</v>
      </c>
      <c r="E1151" s="478">
        <v>1</v>
      </c>
      <c r="F1151" s="250" t="s">
        <v>660</v>
      </c>
      <c r="G1151" s="251" t="s">
        <v>16</v>
      </c>
      <c r="H1151" s="470"/>
      <c r="I1151" s="470"/>
      <c r="J1151" s="470"/>
      <c r="K1151" s="470"/>
      <c r="L1151" s="471"/>
      <c r="M1151" s="456" t="str">
        <f t="shared" si="41"/>
        <v/>
      </c>
      <c r="N1151" s="381"/>
    </row>
    <row r="1152" spans="1:14" hidden="1" x14ac:dyDescent="0.2">
      <c r="A1152" s="815" t="s">
        <v>595</v>
      </c>
      <c r="B1152" s="466" t="s">
        <v>450</v>
      </c>
      <c r="C1152" s="247" t="s">
        <v>52</v>
      </c>
      <c r="D1152" s="252" t="s">
        <v>135</v>
      </c>
      <c r="E1152" s="478">
        <v>1</v>
      </c>
      <c r="F1152" s="250" t="s">
        <v>660</v>
      </c>
      <c r="G1152" s="251" t="s">
        <v>16</v>
      </c>
      <c r="H1152" s="470"/>
      <c r="I1152" s="470"/>
      <c r="J1152" s="470"/>
      <c r="K1152" s="470"/>
      <c r="L1152" s="471"/>
      <c r="M1152" s="456" t="str">
        <f t="shared" si="41"/>
        <v/>
      </c>
      <c r="N1152" s="381"/>
    </row>
    <row r="1153" spans="1:14" hidden="1" x14ac:dyDescent="0.2">
      <c r="A1153" s="815" t="s">
        <v>595</v>
      </c>
      <c r="B1153" s="466" t="s">
        <v>450</v>
      </c>
      <c r="C1153" s="247" t="s">
        <v>54</v>
      </c>
      <c r="D1153" s="252" t="s">
        <v>135</v>
      </c>
      <c r="E1153" s="478">
        <v>1</v>
      </c>
      <c r="F1153" s="250" t="s">
        <v>660</v>
      </c>
      <c r="G1153" s="251" t="s">
        <v>16</v>
      </c>
      <c r="H1153" s="470"/>
      <c r="I1153" s="470"/>
      <c r="J1153" s="470"/>
      <c r="K1153" s="470"/>
      <c r="L1153" s="471"/>
      <c r="M1153" s="456" t="str">
        <f t="shared" si="41"/>
        <v/>
      </c>
      <c r="N1153" s="381"/>
    </row>
    <row r="1154" spans="1:14" hidden="1" x14ac:dyDescent="0.2">
      <c r="A1154" s="815" t="s">
        <v>595</v>
      </c>
      <c r="B1154" s="466" t="s">
        <v>450</v>
      </c>
      <c r="C1154" s="247" t="s">
        <v>55</v>
      </c>
      <c r="D1154" s="252" t="s">
        <v>135</v>
      </c>
      <c r="E1154" s="849">
        <v>3.7905977700857713E-2</v>
      </c>
      <c r="F1154" s="250" t="s">
        <v>660</v>
      </c>
      <c r="G1154" s="251" t="s">
        <v>16</v>
      </c>
      <c r="H1154" s="252">
        <v>1</v>
      </c>
      <c r="I1154" s="252">
        <v>2</v>
      </c>
      <c r="J1154" s="252">
        <v>3</v>
      </c>
      <c r="K1154" s="252">
        <v>3</v>
      </c>
      <c r="L1154" s="253">
        <v>3</v>
      </c>
      <c r="M1154" s="254">
        <f t="shared" si="41"/>
        <v>1.123005955058592</v>
      </c>
      <c r="N1154" s="381"/>
    </row>
    <row r="1155" spans="1:14" hidden="1" x14ac:dyDescent="0.2">
      <c r="A1155" s="815" t="s">
        <v>595</v>
      </c>
      <c r="B1155" s="466" t="s">
        <v>450</v>
      </c>
      <c r="C1155" s="247" t="s">
        <v>57</v>
      </c>
      <c r="D1155" s="252" t="s">
        <v>135</v>
      </c>
      <c r="E1155" s="849">
        <v>0.12500879926582301</v>
      </c>
      <c r="F1155" s="250" t="s">
        <v>660</v>
      </c>
      <c r="G1155" s="251" t="s">
        <v>16</v>
      </c>
      <c r="H1155" s="252">
        <v>1</v>
      </c>
      <c r="I1155" s="252">
        <v>2</v>
      </c>
      <c r="J1155" s="252">
        <v>3</v>
      </c>
      <c r="K1155" s="252">
        <v>3</v>
      </c>
      <c r="L1155" s="253">
        <v>3</v>
      </c>
      <c r="M1155" s="254">
        <f t="shared" si="41"/>
        <v>1.123005955058592</v>
      </c>
      <c r="N1155" s="381"/>
    </row>
    <row r="1156" spans="1:14" hidden="1" x14ac:dyDescent="0.2">
      <c r="A1156" s="815" t="s">
        <v>595</v>
      </c>
      <c r="B1156" s="466" t="s">
        <v>450</v>
      </c>
      <c r="C1156" s="247" t="s">
        <v>59</v>
      </c>
      <c r="D1156" s="252" t="s">
        <v>135</v>
      </c>
      <c r="E1156" s="478">
        <v>1</v>
      </c>
      <c r="F1156" s="250" t="s">
        <v>660</v>
      </c>
      <c r="G1156" s="251" t="s">
        <v>16</v>
      </c>
      <c r="H1156" s="470"/>
      <c r="I1156" s="470"/>
      <c r="J1156" s="470"/>
      <c r="K1156" s="470"/>
      <c r="L1156" s="471"/>
      <c r="M1156" s="456" t="str">
        <f t="shared" si="41"/>
        <v/>
      </c>
      <c r="N1156" s="381"/>
    </row>
    <row r="1157" spans="1:14" hidden="1" x14ac:dyDescent="0.2">
      <c r="A1157" s="815" t="s">
        <v>595</v>
      </c>
      <c r="B1157" s="466" t="s">
        <v>450</v>
      </c>
      <c r="C1157" s="247" t="s">
        <v>60</v>
      </c>
      <c r="D1157" s="252" t="s">
        <v>135</v>
      </c>
      <c r="E1157" s="478">
        <v>1</v>
      </c>
      <c r="F1157" s="250" t="s">
        <v>660</v>
      </c>
      <c r="G1157" s="251" t="s">
        <v>16</v>
      </c>
      <c r="H1157" s="470"/>
      <c r="I1157" s="470"/>
      <c r="J1157" s="470"/>
      <c r="K1157" s="470"/>
      <c r="L1157" s="471"/>
      <c r="M1157" s="456" t="str">
        <f t="shared" si="41"/>
        <v/>
      </c>
      <c r="N1157" s="381"/>
    </row>
    <row r="1158" spans="1:14" x14ac:dyDescent="0.2">
      <c r="A1158" s="824" t="s">
        <v>595</v>
      </c>
      <c r="B1158" s="440" t="s">
        <v>661</v>
      </c>
      <c r="C1158" s="610" t="s">
        <v>135</v>
      </c>
      <c r="D1158" s="291" t="s">
        <v>135</v>
      </c>
      <c r="E1158" s="473" t="s">
        <v>188</v>
      </c>
      <c r="F1158" s="289"/>
      <c r="G1158" s="290" t="s">
        <v>16</v>
      </c>
      <c r="H1158" s="473"/>
      <c r="I1158" s="473"/>
      <c r="J1158" s="473"/>
      <c r="K1158" s="473"/>
      <c r="L1158" s="474"/>
      <c r="M1158" s="475" t="str">
        <f t="shared" si="41"/>
        <v/>
      </c>
      <c r="N1158" s="404"/>
    </row>
    <row r="1159" spans="1:14" x14ac:dyDescent="0.2">
      <c r="A1159" s="819" t="s">
        <v>662</v>
      </c>
      <c r="B1159" s="490" t="s">
        <v>481</v>
      </c>
      <c r="C1159" s="247" t="s">
        <v>13</v>
      </c>
      <c r="D1159" s="252" t="s">
        <v>135</v>
      </c>
      <c r="E1159" s="478">
        <v>1</v>
      </c>
      <c r="F1159" s="250" t="s">
        <v>660</v>
      </c>
      <c r="G1159" s="251" t="s">
        <v>16</v>
      </c>
      <c r="H1159" s="470"/>
      <c r="I1159" s="470"/>
      <c r="J1159" s="470"/>
      <c r="K1159" s="470"/>
      <c r="L1159" s="471"/>
      <c r="M1159" s="456" t="str">
        <f t="shared" si="41"/>
        <v/>
      </c>
      <c r="N1159" s="381"/>
    </row>
    <row r="1160" spans="1:14" hidden="1" x14ac:dyDescent="0.2">
      <c r="A1160" s="815" t="s">
        <v>662</v>
      </c>
      <c r="B1160" s="466" t="s">
        <v>481</v>
      </c>
      <c r="C1160" s="247" t="s">
        <v>18</v>
      </c>
      <c r="D1160" s="252" t="s">
        <v>135</v>
      </c>
      <c r="E1160" s="478">
        <v>1</v>
      </c>
      <c r="F1160" s="250" t="s">
        <v>660</v>
      </c>
      <c r="G1160" s="251" t="s">
        <v>16</v>
      </c>
      <c r="H1160" s="470"/>
      <c r="I1160" s="470"/>
      <c r="J1160" s="470"/>
      <c r="K1160" s="470"/>
      <c r="L1160" s="471"/>
      <c r="M1160" s="456" t="str">
        <f t="shared" si="41"/>
        <v/>
      </c>
      <c r="N1160" s="381"/>
    </row>
    <row r="1161" spans="1:14" hidden="1" x14ac:dyDescent="0.2">
      <c r="A1161" s="815" t="s">
        <v>662</v>
      </c>
      <c r="B1161" s="466" t="s">
        <v>481</v>
      </c>
      <c r="C1161" s="247" t="s">
        <v>20</v>
      </c>
      <c r="D1161" s="252" t="s">
        <v>135</v>
      </c>
      <c r="E1161" s="849">
        <v>0.45643056946221511</v>
      </c>
      <c r="F1161" s="250" t="s">
        <v>660</v>
      </c>
      <c r="G1161" s="251" t="s">
        <v>16</v>
      </c>
      <c r="H1161" s="252">
        <v>1</v>
      </c>
      <c r="I1161" s="252">
        <v>2</v>
      </c>
      <c r="J1161" s="252">
        <v>3</v>
      </c>
      <c r="K1161" s="252">
        <v>3</v>
      </c>
      <c r="L1161" s="253">
        <v>3</v>
      </c>
      <c r="M1161" s="254">
        <f>IF( OR( ISBLANK(H1161),ISBLANK(I1161), ISBLANK(J1161), ISBLANK(K1161), ISBLANK(L1161) ), "", 1.5*SQRT(   EXP(2.21*(H1161-1)) + EXP(2.21*(I1161-1)) + EXP(2.21*(J1161-1)) + EXP(2.21*(K1161-1)) + EXP(2.21*L1161)   )/100*2.45 )</f>
        <v>1.123005955058592</v>
      </c>
      <c r="N1161" s="381"/>
    </row>
    <row r="1162" spans="1:14" hidden="1" x14ac:dyDescent="0.2">
      <c r="A1162" s="815" t="s">
        <v>662</v>
      </c>
      <c r="B1162" s="466" t="s">
        <v>481</v>
      </c>
      <c r="C1162" s="247" t="s">
        <v>22</v>
      </c>
      <c r="D1162" s="252" t="s">
        <v>135</v>
      </c>
      <c r="E1162" s="478">
        <v>1</v>
      </c>
      <c r="F1162" s="250" t="s">
        <v>660</v>
      </c>
      <c r="G1162" s="251" t="s">
        <v>16</v>
      </c>
      <c r="H1162" s="470"/>
      <c r="I1162" s="470"/>
      <c r="J1162" s="470"/>
      <c r="K1162" s="470"/>
      <c r="L1162" s="471"/>
      <c r="M1162" s="456" t="str">
        <f t="shared" ref="M1162:M1177" si="42">IF( OR( ISBLANK(H1162),ISBLANK(I1162), ISBLANK(J1162), ISBLANK(K1162), ISBLANK(L1162) ), "", 1.5*SQRT( EXP(2.21*(H1162-1)) + EXP(2.21*(I1162-1)) + EXP(2.21*(J1162-1)) + EXP(2.21*(K1162-1)) + EXP(2.21*L1162) )/100*2.45 )</f>
        <v/>
      </c>
      <c r="N1162" s="381"/>
    </row>
    <row r="1163" spans="1:14" hidden="1" x14ac:dyDescent="0.2">
      <c r="A1163" s="815" t="s">
        <v>662</v>
      </c>
      <c r="B1163" s="466" t="s">
        <v>481</v>
      </c>
      <c r="C1163" s="247" t="s">
        <v>23</v>
      </c>
      <c r="D1163" s="252" t="s">
        <v>135</v>
      </c>
      <c r="E1163" s="478">
        <v>1</v>
      </c>
      <c r="F1163" s="250" t="s">
        <v>660</v>
      </c>
      <c r="G1163" s="251" t="s">
        <v>16</v>
      </c>
      <c r="H1163" s="470"/>
      <c r="I1163" s="470"/>
      <c r="J1163" s="470"/>
      <c r="K1163" s="470"/>
      <c r="L1163" s="471"/>
      <c r="M1163" s="456" t="str">
        <f t="shared" si="42"/>
        <v/>
      </c>
      <c r="N1163" s="381"/>
    </row>
    <row r="1164" spans="1:14" hidden="1" x14ac:dyDescent="0.2">
      <c r="A1164" s="815" t="s">
        <v>662</v>
      </c>
      <c r="B1164" s="466" t="s">
        <v>481</v>
      </c>
      <c r="C1164" s="247" t="s">
        <v>24</v>
      </c>
      <c r="D1164" s="252" t="s">
        <v>135</v>
      </c>
      <c r="E1164" s="478">
        <v>1</v>
      </c>
      <c r="F1164" s="250" t="s">
        <v>660</v>
      </c>
      <c r="G1164" s="251" t="s">
        <v>16</v>
      </c>
      <c r="H1164" s="470"/>
      <c r="I1164" s="470"/>
      <c r="J1164" s="470"/>
      <c r="K1164" s="470"/>
      <c r="L1164" s="471"/>
      <c r="M1164" s="456" t="str">
        <f t="shared" si="42"/>
        <v/>
      </c>
      <c r="N1164" s="381"/>
    </row>
    <row r="1165" spans="1:14" hidden="1" x14ac:dyDescent="0.2">
      <c r="A1165" s="815" t="s">
        <v>662</v>
      </c>
      <c r="B1165" s="466" t="s">
        <v>481</v>
      </c>
      <c r="C1165" s="247" t="s">
        <v>25</v>
      </c>
      <c r="D1165" s="252" t="s">
        <v>135</v>
      </c>
      <c r="E1165" s="478">
        <v>1</v>
      </c>
      <c r="F1165" s="250" t="s">
        <v>660</v>
      </c>
      <c r="G1165" s="251" t="s">
        <v>16</v>
      </c>
      <c r="H1165" s="470"/>
      <c r="I1165" s="470"/>
      <c r="J1165" s="470"/>
      <c r="K1165" s="470"/>
      <c r="L1165" s="471"/>
      <c r="M1165" s="456" t="str">
        <f t="shared" si="42"/>
        <v/>
      </c>
      <c r="N1165" s="381"/>
    </row>
    <row r="1166" spans="1:14" hidden="1" x14ac:dyDescent="0.2">
      <c r="A1166" s="815" t="s">
        <v>662</v>
      </c>
      <c r="B1166" s="466" t="s">
        <v>481</v>
      </c>
      <c r="C1166" s="247" t="s">
        <v>26</v>
      </c>
      <c r="D1166" s="252" t="s">
        <v>135</v>
      </c>
      <c r="E1166" s="849">
        <v>1.6852322328382172E-2</v>
      </c>
      <c r="F1166" s="250" t="s">
        <v>660</v>
      </c>
      <c r="G1166" s="251" t="s">
        <v>16</v>
      </c>
      <c r="H1166" s="252">
        <v>1</v>
      </c>
      <c r="I1166" s="252">
        <v>2</v>
      </c>
      <c r="J1166" s="252">
        <v>3</v>
      </c>
      <c r="K1166" s="252">
        <v>3</v>
      </c>
      <c r="L1166" s="253">
        <v>3</v>
      </c>
      <c r="M1166" s="254">
        <f t="shared" si="42"/>
        <v>1.123005955058592</v>
      </c>
      <c r="N1166" s="381"/>
    </row>
    <row r="1167" spans="1:14" hidden="1" x14ac:dyDescent="0.2">
      <c r="A1167" s="815" t="s">
        <v>662</v>
      </c>
      <c r="B1167" s="466" t="s">
        <v>481</v>
      </c>
      <c r="C1167" s="247" t="s">
        <v>27</v>
      </c>
      <c r="D1167" s="252" t="s">
        <v>135</v>
      </c>
      <c r="E1167" s="478">
        <v>1</v>
      </c>
      <c r="F1167" s="250" t="s">
        <v>660</v>
      </c>
      <c r="G1167" s="251" t="s">
        <v>16</v>
      </c>
      <c r="H1167" s="470"/>
      <c r="I1167" s="470"/>
      <c r="J1167" s="470"/>
      <c r="K1167" s="470"/>
      <c r="L1167" s="471"/>
      <c r="M1167" s="456" t="str">
        <f t="shared" si="42"/>
        <v/>
      </c>
      <c r="N1167" s="381"/>
    </row>
    <row r="1168" spans="1:14" hidden="1" x14ac:dyDescent="0.2">
      <c r="A1168" s="815" t="s">
        <v>662</v>
      </c>
      <c r="B1168" s="466" t="s">
        <v>481</v>
      </c>
      <c r="C1168" s="247" t="s">
        <v>28</v>
      </c>
      <c r="D1168" s="252" t="s">
        <v>135</v>
      </c>
      <c r="E1168" s="849">
        <v>0.43735215844642011</v>
      </c>
      <c r="F1168" s="250" t="s">
        <v>660</v>
      </c>
      <c r="G1168" s="251" t="s">
        <v>16</v>
      </c>
      <c r="H1168" s="252">
        <v>1</v>
      </c>
      <c r="I1168" s="252">
        <v>2</v>
      </c>
      <c r="J1168" s="252">
        <v>3</v>
      </c>
      <c r="K1168" s="252">
        <v>3</v>
      </c>
      <c r="L1168" s="253">
        <v>3</v>
      </c>
      <c r="M1168" s="254">
        <f t="shared" si="42"/>
        <v>1.123005955058592</v>
      </c>
      <c r="N1168" s="381"/>
    </row>
    <row r="1169" spans="1:14" hidden="1" x14ac:dyDescent="0.2">
      <c r="A1169" s="815" t="s">
        <v>662</v>
      </c>
      <c r="B1169" s="466" t="s">
        <v>481</v>
      </c>
      <c r="C1169" s="247" t="s">
        <v>30</v>
      </c>
      <c r="D1169" s="252" t="s">
        <v>135</v>
      </c>
      <c r="E1169" s="849">
        <v>0.69133004708394263</v>
      </c>
      <c r="F1169" s="250" t="s">
        <v>660</v>
      </c>
      <c r="G1169" s="251" t="s">
        <v>16</v>
      </c>
      <c r="H1169" s="252">
        <v>1</v>
      </c>
      <c r="I1169" s="252">
        <v>2</v>
      </c>
      <c r="J1169" s="252">
        <v>3</v>
      </c>
      <c r="K1169" s="252">
        <v>3</v>
      </c>
      <c r="L1169" s="253">
        <v>3</v>
      </c>
      <c r="M1169" s="254">
        <f t="shared" si="42"/>
        <v>1.123005955058592</v>
      </c>
      <c r="N1169" s="381"/>
    </row>
    <row r="1170" spans="1:14" hidden="1" x14ac:dyDescent="0.2">
      <c r="A1170" s="815" t="s">
        <v>662</v>
      </c>
      <c r="B1170" s="466" t="s">
        <v>481</v>
      </c>
      <c r="C1170" s="247" t="s">
        <v>32</v>
      </c>
      <c r="D1170" s="252" t="s">
        <v>135</v>
      </c>
      <c r="E1170" s="849">
        <v>8.3950857153638522E-2</v>
      </c>
      <c r="F1170" s="250" t="s">
        <v>660</v>
      </c>
      <c r="G1170" s="251" t="s">
        <v>16</v>
      </c>
      <c r="H1170" s="252">
        <v>1</v>
      </c>
      <c r="I1170" s="252">
        <v>2</v>
      </c>
      <c r="J1170" s="252">
        <v>3</v>
      </c>
      <c r="K1170" s="252">
        <v>3</v>
      </c>
      <c r="L1170" s="253">
        <v>3</v>
      </c>
      <c r="M1170" s="254">
        <f t="shared" si="42"/>
        <v>1.123005955058592</v>
      </c>
      <c r="N1170" s="381"/>
    </row>
    <row r="1171" spans="1:14" hidden="1" x14ac:dyDescent="0.2">
      <c r="A1171" s="815" t="s">
        <v>662</v>
      </c>
      <c r="B1171" s="466" t="s">
        <v>481</v>
      </c>
      <c r="C1171" s="247" t="s">
        <v>34</v>
      </c>
      <c r="D1171" s="252" t="s">
        <v>135</v>
      </c>
      <c r="E1171" s="478">
        <v>1</v>
      </c>
      <c r="F1171" s="250" t="s">
        <v>660</v>
      </c>
      <c r="G1171" s="251" t="s">
        <v>16</v>
      </c>
      <c r="H1171" s="470"/>
      <c r="I1171" s="470"/>
      <c r="J1171" s="470"/>
      <c r="K1171" s="470"/>
      <c r="L1171" s="471"/>
      <c r="M1171" s="456" t="str">
        <f t="shared" si="42"/>
        <v/>
      </c>
      <c r="N1171" s="381"/>
    </row>
    <row r="1172" spans="1:14" hidden="1" x14ac:dyDescent="0.2">
      <c r="A1172" s="815" t="s">
        <v>662</v>
      </c>
      <c r="B1172" s="466" t="s">
        <v>481</v>
      </c>
      <c r="C1172" s="247" t="s">
        <v>36</v>
      </c>
      <c r="D1172" s="252" t="s">
        <v>135</v>
      </c>
      <c r="E1172" s="849">
        <v>0.55571010862309411</v>
      </c>
      <c r="F1172" s="250" t="s">
        <v>660</v>
      </c>
      <c r="G1172" s="251" t="s">
        <v>16</v>
      </c>
      <c r="H1172" s="252">
        <v>1</v>
      </c>
      <c r="I1172" s="252">
        <v>2</v>
      </c>
      <c r="J1172" s="252">
        <v>3</v>
      </c>
      <c r="K1172" s="252">
        <v>3</v>
      </c>
      <c r="L1172" s="253">
        <v>3</v>
      </c>
      <c r="M1172" s="254">
        <f t="shared" si="42"/>
        <v>1.123005955058592</v>
      </c>
      <c r="N1172" s="381"/>
    </row>
    <row r="1173" spans="1:14" hidden="1" x14ac:dyDescent="0.2">
      <c r="A1173" s="815" t="s">
        <v>662</v>
      </c>
      <c r="B1173" s="466" t="s">
        <v>481</v>
      </c>
      <c r="C1173" s="247" t="s">
        <v>37</v>
      </c>
      <c r="D1173" s="252" t="s">
        <v>135</v>
      </c>
      <c r="E1173" s="849">
        <v>0.34421430735169939</v>
      </c>
      <c r="F1173" s="250" t="s">
        <v>660</v>
      </c>
      <c r="G1173" s="251" t="s">
        <v>16</v>
      </c>
      <c r="H1173" s="252">
        <v>1</v>
      </c>
      <c r="I1173" s="252">
        <v>2</v>
      </c>
      <c r="J1173" s="252">
        <v>3</v>
      </c>
      <c r="K1173" s="252">
        <v>3</v>
      </c>
      <c r="L1173" s="253">
        <v>3</v>
      </c>
      <c r="M1173" s="254">
        <f t="shared" si="42"/>
        <v>1.123005955058592</v>
      </c>
      <c r="N1173" s="381"/>
    </row>
    <row r="1174" spans="1:14" hidden="1" x14ac:dyDescent="0.2">
      <c r="A1174" s="815" t="s">
        <v>662</v>
      </c>
      <c r="B1174" s="466" t="s">
        <v>481</v>
      </c>
      <c r="C1174" s="247" t="s">
        <v>39</v>
      </c>
      <c r="D1174" s="252" t="s">
        <v>135</v>
      </c>
      <c r="E1174" s="478">
        <v>1</v>
      </c>
      <c r="F1174" s="250" t="s">
        <v>660</v>
      </c>
      <c r="G1174" s="251" t="s">
        <v>16</v>
      </c>
      <c r="H1174" s="470"/>
      <c r="I1174" s="470"/>
      <c r="J1174" s="470"/>
      <c r="K1174" s="470"/>
      <c r="L1174" s="471"/>
      <c r="M1174" s="456" t="str">
        <f t="shared" si="42"/>
        <v/>
      </c>
      <c r="N1174" s="381"/>
    </row>
    <row r="1175" spans="1:14" hidden="1" x14ac:dyDescent="0.2">
      <c r="A1175" s="815" t="s">
        <v>662</v>
      </c>
      <c r="B1175" s="466" t="s">
        <v>481</v>
      </c>
      <c r="C1175" s="247" t="s">
        <v>40</v>
      </c>
      <c r="D1175" s="252" t="s">
        <v>135</v>
      </c>
      <c r="E1175" s="478">
        <v>1</v>
      </c>
      <c r="F1175" s="250" t="s">
        <v>660</v>
      </c>
      <c r="G1175" s="251" t="s">
        <v>16</v>
      </c>
      <c r="H1175" s="470"/>
      <c r="I1175" s="470"/>
      <c r="J1175" s="470"/>
      <c r="K1175" s="470"/>
      <c r="L1175" s="471"/>
      <c r="M1175" s="456" t="str">
        <f t="shared" si="42"/>
        <v/>
      </c>
      <c r="N1175" s="381"/>
    </row>
    <row r="1176" spans="1:14" hidden="1" x14ac:dyDescent="0.2">
      <c r="A1176" s="815" t="s">
        <v>662</v>
      </c>
      <c r="B1176" s="466" t="s">
        <v>481</v>
      </c>
      <c r="C1176" s="247" t="s">
        <v>41</v>
      </c>
      <c r="D1176" s="252" t="s">
        <v>135</v>
      </c>
      <c r="E1176" s="478">
        <v>1</v>
      </c>
      <c r="F1176" s="250" t="s">
        <v>660</v>
      </c>
      <c r="G1176" s="251" t="s">
        <v>16</v>
      </c>
      <c r="H1176" s="470"/>
      <c r="I1176" s="470"/>
      <c r="J1176" s="470"/>
      <c r="K1176" s="470"/>
      <c r="L1176" s="471"/>
      <c r="M1176" s="456" t="str">
        <f t="shared" si="42"/>
        <v/>
      </c>
      <c r="N1176" s="381"/>
    </row>
    <row r="1177" spans="1:14" hidden="1" x14ac:dyDescent="0.2">
      <c r="A1177" s="815" t="s">
        <v>662</v>
      </c>
      <c r="B1177" s="466" t="s">
        <v>481</v>
      </c>
      <c r="C1177" s="247" t="s">
        <v>42</v>
      </c>
      <c r="D1177" s="252" t="s">
        <v>135</v>
      </c>
      <c r="E1177" s="478">
        <v>0</v>
      </c>
      <c r="F1177" s="250" t="s">
        <v>660</v>
      </c>
      <c r="G1177" s="251" t="s">
        <v>16</v>
      </c>
      <c r="H1177" s="470"/>
      <c r="I1177" s="470"/>
      <c r="J1177" s="470"/>
      <c r="K1177" s="470"/>
      <c r="L1177" s="471"/>
      <c r="M1177" s="456" t="str">
        <f t="shared" si="42"/>
        <v/>
      </c>
      <c r="N1177" s="381"/>
    </row>
    <row r="1178" spans="1:14" hidden="1" x14ac:dyDescent="0.2">
      <c r="A1178" s="815" t="s">
        <v>662</v>
      </c>
      <c r="B1178" s="466" t="s">
        <v>481</v>
      </c>
      <c r="C1178" s="247" t="s">
        <v>43</v>
      </c>
      <c r="D1178" s="252" t="s">
        <v>135</v>
      </c>
      <c r="E1178" s="850">
        <v>1</v>
      </c>
      <c r="F1178" s="414" t="s">
        <v>660</v>
      </c>
      <c r="G1178" s="789" t="s">
        <v>16</v>
      </c>
      <c r="H1178" s="788"/>
      <c r="I1178" s="788"/>
      <c r="J1178" s="788"/>
      <c r="K1178" s="788"/>
      <c r="L1178" s="790"/>
      <c r="M1178" s="791"/>
      <c r="N1178" s="381"/>
    </row>
    <row r="1179" spans="1:14" hidden="1" x14ac:dyDescent="0.2">
      <c r="A1179" s="815" t="s">
        <v>662</v>
      </c>
      <c r="B1179" s="466" t="s">
        <v>481</v>
      </c>
      <c r="C1179" s="247" t="s">
        <v>45</v>
      </c>
      <c r="D1179" s="252" t="s">
        <v>135</v>
      </c>
      <c r="E1179" s="849">
        <v>6.7958198231003172E-2</v>
      </c>
      <c r="F1179" s="250" t="s">
        <v>660</v>
      </c>
      <c r="G1179" s="251" t="s">
        <v>16</v>
      </c>
      <c r="H1179" s="252">
        <v>2</v>
      </c>
      <c r="I1179" s="252">
        <v>2</v>
      </c>
      <c r="J1179" s="252">
        <v>3</v>
      </c>
      <c r="K1179" s="252">
        <v>3</v>
      </c>
      <c r="L1179" s="253">
        <v>3</v>
      </c>
      <c r="M1179" s="254">
        <f>IF( OR( ISBLANK(H1179),ISBLANK(I1179), ISBLANK(J1179), ISBLANK(K1179), ISBLANK(L1179) ), "", 1.5*SQRT( EXP(2.21*(H1179-1)) + EXP(2.21*(I1179-1)) + EXP(2.21*(J1179-1)) + EXP(2.21*(K1179-1)) + EXP(2.21*L1179) )/100*2.45 )</f>
        <v>1.1278755061256258</v>
      </c>
      <c r="N1179" s="381"/>
    </row>
    <row r="1180" spans="1:14" hidden="1" x14ac:dyDescent="0.2">
      <c r="A1180" s="815" t="s">
        <v>662</v>
      </c>
      <c r="B1180" s="466" t="s">
        <v>481</v>
      </c>
      <c r="C1180" s="247" t="s">
        <v>46</v>
      </c>
      <c r="D1180" s="252" t="s">
        <v>135</v>
      </c>
      <c r="E1180" s="850">
        <v>1</v>
      </c>
      <c r="F1180" s="414" t="s">
        <v>660</v>
      </c>
      <c r="G1180" s="789" t="s">
        <v>16</v>
      </c>
      <c r="H1180" s="788"/>
      <c r="I1180" s="788"/>
      <c r="J1180" s="788"/>
      <c r="K1180" s="788"/>
      <c r="L1180" s="790"/>
      <c r="M1180" s="791"/>
      <c r="N1180" s="381"/>
    </row>
    <row r="1181" spans="1:14" hidden="1" x14ac:dyDescent="0.2">
      <c r="A1181" s="815" t="s">
        <v>662</v>
      </c>
      <c r="B1181" s="466" t="s">
        <v>481</v>
      </c>
      <c r="C1181" s="247" t="s">
        <v>48</v>
      </c>
      <c r="D1181" s="252" t="s">
        <v>135</v>
      </c>
      <c r="E1181" s="849">
        <v>0.26151890115743848</v>
      </c>
      <c r="F1181" s="250" t="s">
        <v>660</v>
      </c>
      <c r="G1181" s="251" t="s">
        <v>16</v>
      </c>
      <c r="H1181" s="252">
        <v>1</v>
      </c>
      <c r="I1181" s="252">
        <v>2</v>
      </c>
      <c r="J1181" s="252">
        <v>3</v>
      </c>
      <c r="K1181" s="252">
        <v>3</v>
      </c>
      <c r="L1181" s="253">
        <v>3</v>
      </c>
      <c r="M1181" s="254">
        <f>IF( OR( ISBLANK(H1181),ISBLANK(I1181), ISBLANK(J1181), ISBLANK(K1181), ISBLANK(L1181) ), "", 1.5*SQRT( EXP(2.21*(H1181-1)) + EXP(2.21*(I1181-1)) + EXP(2.21*(J1181-1)) + EXP(2.21*(K1181-1)) + EXP(2.21*L1181) )/100*2.45 )</f>
        <v>1.123005955058592</v>
      </c>
      <c r="N1181" s="381"/>
    </row>
    <row r="1182" spans="1:14" hidden="1" x14ac:dyDescent="0.2">
      <c r="A1182" s="815" t="s">
        <v>662</v>
      </c>
      <c r="B1182" s="466" t="s">
        <v>481</v>
      </c>
      <c r="C1182" s="247" t="s">
        <v>50</v>
      </c>
      <c r="D1182" s="252" t="s">
        <v>135</v>
      </c>
      <c r="E1182" s="849">
        <v>0.64286416139970048</v>
      </c>
      <c r="F1182" s="250" t="s">
        <v>660</v>
      </c>
      <c r="G1182" s="251" t="s">
        <v>16</v>
      </c>
      <c r="H1182" s="252">
        <v>1</v>
      </c>
      <c r="I1182" s="252">
        <v>2</v>
      </c>
      <c r="J1182" s="252">
        <v>3</v>
      </c>
      <c r="K1182" s="252">
        <v>3</v>
      </c>
      <c r="L1182" s="253">
        <v>3</v>
      </c>
      <c r="M1182" s="254">
        <f>IF( OR( ISBLANK(H1182),ISBLANK(I1182), ISBLANK(J1182), ISBLANK(K1182), ISBLANK(L1182) ), "", 1.5*SQRT( EXP(2.21*(H1182-1)) + EXP(2.21*(I1182-1)) + EXP(2.21*(J1182-1)) + EXP(2.21*(K1182-1)) + EXP(2.21*L1182) )/100*2.45 )</f>
        <v>1.123005955058592</v>
      </c>
      <c r="N1182" s="381"/>
    </row>
    <row r="1183" spans="1:14" hidden="1" x14ac:dyDescent="0.2">
      <c r="A1183" s="815" t="s">
        <v>662</v>
      </c>
      <c r="B1183" s="466" t="s">
        <v>481</v>
      </c>
      <c r="C1183" s="247" t="s">
        <v>52</v>
      </c>
      <c r="D1183" s="252" t="s">
        <v>135</v>
      </c>
      <c r="E1183" s="850">
        <v>1</v>
      </c>
      <c r="F1183" s="414" t="s">
        <v>660</v>
      </c>
      <c r="G1183" s="789" t="s">
        <v>16</v>
      </c>
      <c r="H1183" s="788"/>
      <c r="I1183" s="788"/>
      <c r="J1183" s="788"/>
      <c r="K1183" s="788"/>
      <c r="L1183" s="790"/>
      <c r="M1183" s="791"/>
      <c r="N1183" s="381"/>
    </row>
    <row r="1184" spans="1:14" hidden="1" x14ac:dyDescent="0.2">
      <c r="A1184" s="815" t="s">
        <v>662</v>
      </c>
      <c r="B1184" s="466" t="s">
        <v>481</v>
      </c>
      <c r="C1184" s="247" t="s">
        <v>54</v>
      </c>
      <c r="D1184" s="252" t="s">
        <v>135</v>
      </c>
      <c r="E1184" s="849">
        <v>0.90020042103681197</v>
      </c>
      <c r="F1184" s="250" t="s">
        <v>660</v>
      </c>
      <c r="G1184" s="251" t="s">
        <v>16</v>
      </c>
      <c r="H1184" s="252">
        <v>1</v>
      </c>
      <c r="I1184" s="252">
        <v>2</v>
      </c>
      <c r="J1184" s="252">
        <v>3</v>
      </c>
      <c r="K1184" s="252">
        <v>3</v>
      </c>
      <c r="L1184" s="253">
        <v>3</v>
      </c>
      <c r="M1184" s="254">
        <f>IF( OR( ISBLANK(H1184),ISBLANK(I1184), ISBLANK(J1184), ISBLANK(K1184), ISBLANK(L1184) ), "", 1.5*SQRT( EXP(2.21*(H1184-1)) + EXP(2.21*(I1184-1)) + EXP(2.21*(J1184-1)) + EXP(2.21*(K1184-1)) + EXP(2.21*L1184) )/100*2.45 )</f>
        <v>1.123005955058592</v>
      </c>
      <c r="N1184" s="381"/>
    </row>
    <row r="1185" spans="1:14" hidden="1" x14ac:dyDescent="0.2">
      <c r="A1185" s="815" t="s">
        <v>662</v>
      </c>
      <c r="B1185" s="466" t="s">
        <v>481</v>
      </c>
      <c r="C1185" s="247" t="s">
        <v>55</v>
      </c>
      <c r="D1185" s="252" t="s">
        <v>135</v>
      </c>
      <c r="E1185" s="849">
        <v>0.37876947891287222</v>
      </c>
      <c r="F1185" s="250" t="s">
        <v>660</v>
      </c>
      <c r="G1185" s="251" t="s">
        <v>16</v>
      </c>
      <c r="H1185" s="252">
        <v>1</v>
      </c>
      <c r="I1185" s="252">
        <v>2</v>
      </c>
      <c r="J1185" s="252">
        <v>3</v>
      </c>
      <c r="K1185" s="252">
        <v>3</v>
      </c>
      <c r="L1185" s="253">
        <v>3</v>
      </c>
      <c r="M1185" s="254">
        <f>IF( OR( ISBLANK(H1185),ISBLANK(I1185), ISBLANK(J1185), ISBLANK(K1185), ISBLANK(L1185) ), "", 1.5*SQRT( EXP(2.21*(H1185-1)) + EXP(2.21*(I1185-1)) + EXP(2.21*(J1185-1)) + EXP(2.21*(K1185-1)) + EXP(2.21*L1185) )/100*2.45 )</f>
        <v>1.123005955058592</v>
      </c>
      <c r="N1185" s="381"/>
    </row>
    <row r="1186" spans="1:14" hidden="1" x14ac:dyDescent="0.2">
      <c r="A1186" s="815" t="s">
        <v>662</v>
      </c>
      <c r="B1186" s="466" t="s">
        <v>481</v>
      </c>
      <c r="C1186" s="247" t="s">
        <v>57</v>
      </c>
      <c r="D1186" s="252" t="s">
        <v>135</v>
      </c>
      <c r="E1186" s="849">
        <v>6.7958198231003172E-2</v>
      </c>
      <c r="F1186" s="250" t="s">
        <v>660</v>
      </c>
      <c r="G1186" s="251" t="s">
        <v>16</v>
      </c>
      <c r="H1186" s="252">
        <v>1</v>
      </c>
      <c r="I1186" s="252">
        <v>2</v>
      </c>
      <c r="J1186" s="252">
        <v>3</v>
      </c>
      <c r="K1186" s="252">
        <v>3</v>
      </c>
      <c r="L1186" s="253">
        <v>3</v>
      </c>
      <c r="M1186" s="254">
        <f>IF( OR( ISBLANK(H1186),ISBLANK(I1186), ISBLANK(J1186), ISBLANK(K1186), ISBLANK(L1186) ), "", 1.5*SQRT( EXP(2.21*(H1186-1)) + EXP(2.21*(I1186-1)) + EXP(2.21*(J1186-1)) + EXP(2.21*(K1186-1)) + EXP(2.21*L1186) )/100*2.45 )</f>
        <v>1.123005955058592</v>
      </c>
      <c r="N1186" s="381"/>
    </row>
    <row r="1187" spans="1:14" hidden="1" x14ac:dyDescent="0.2">
      <c r="A1187" s="815" t="s">
        <v>662</v>
      </c>
      <c r="B1187" s="466" t="s">
        <v>481</v>
      </c>
      <c r="C1187" s="247" t="s">
        <v>59</v>
      </c>
      <c r="D1187" s="252" t="s">
        <v>135</v>
      </c>
      <c r="E1187" s="850">
        <v>1</v>
      </c>
      <c r="F1187" s="414" t="s">
        <v>660</v>
      </c>
      <c r="G1187" s="789" t="s">
        <v>16</v>
      </c>
      <c r="H1187" s="788"/>
      <c r="I1187" s="788"/>
      <c r="J1187" s="788"/>
      <c r="K1187" s="788"/>
      <c r="L1187" s="790"/>
      <c r="M1187" s="791"/>
      <c r="N1187" s="381"/>
    </row>
    <row r="1188" spans="1:14" hidden="1" x14ac:dyDescent="0.2">
      <c r="A1188" s="815" t="s">
        <v>662</v>
      </c>
      <c r="B1188" s="466" t="s">
        <v>481</v>
      </c>
      <c r="C1188" s="247" t="s">
        <v>60</v>
      </c>
      <c r="D1188" s="252" t="s">
        <v>135</v>
      </c>
      <c r="E1188" s="849">
        <v>0.55571010862309411</v>
      </c>
      <c r="F1188" s="250" t="s">
        <v>660</v>
      </c>
      <c r="G1188" s="251" t="s">
        <v>16</v>
      </c>
      <c r="H1188" s="252">
        <v>2</v>
      </c>
      <c r="I1188" s="252">
        <v>2</v>
      </c>
      <c r="J1188" s="252">
        <v>3</v>
      </c>
      <c r="K1188" s="252">
        <v>3</v>
      </c>
      <c r="L1188" s="253">
        <v>3</v>
      </c>
      <c r="M1188" s="254">
        <f>IF( OR( ISBLANK(H1188),ISBLANK(I1188), ISBLANK(J1188), ISBLANK(K1188), ISBLANK(L1188) ), "", 1.5*SQRT( EXP(2.21*(H1188-1)) + EXP(2.21*(I1188-1)) + EXP(2.21*(J1188-1)) + EXP(2.21*(K1188-1)) + EXP(2.21*L1188) )/100*2.45 )</f>
        <v>1.1278755061256258</v>
      </c>
      <c r="N1188" s="381"/>
    </row>
    <row r="1189" spans="1:14" x14ac:dyDescent="0.2">
      <c r="A1189" s="824" t="s">
        <v>662</v>
      </c>
      <c r="B1189" s="440" t="s">
        <v>482</v>
      </c>
      <c r="C1189" s="610" t="s">
        <v>135</v>
      </c>
      <c r="D1189" s="291" t="s">
        <v>135</v>
      </c>
      <c r="E1189" s="473" t="s">
        <v>188</v>
      </c>
      <c r="F1189" s="289"/>
      <c r="G1189" s="290" t="s">
        <v>16</v>
      </c>
      <c r="H1189" s="473"/>
      <c r="I1189" s="473"/>
      <c r="J1189" s="473"/>
      <c r="K1189" s="473"/>
      <c r="L1189" s="474"/>
      <c r="M1189" s="475" t="str">
        <f>IF( OR( ISBLANK(H1189),ISBLANK(I1189), ISBLANK(J1189), ISBLANK(K1189), ISBLANK(L1189) ), "", 1.5*SQRT( EXP(2.21*(H1189-1)) + EXP(2.21*(I1189-1)) + EXP(2.21*(J1189-1)) + EXP(2.21*(K1189-1)) + EXP(2.21*L1189) )/100*2.45 )</f>
        <v/>
      </c>
      <c r="N1189" s="404"/>
    </row>
    <row r="1190" spans="1:14" x14ac:dyDescent="0.2">
      <c r="A1190" s="819" t="s">
        <v>634</v>
      </c>
      <c r="B1190" s="490" t="s">
        <v>450</v>
      </c>
      <c r="C1190" s="247" t="s">
        <v>13</v>
      </c>
      <c r="D1190" s="252" t="s">
        <v>135</v>
      </c>
      <c r="E1190" s="850">
        <v>1</v>
      </c>
      <c r="F1190" s="414" t="s">
        <v>660</v>
      </c>
      <c r="G1190" s="789" t="s">
        <v>16</v>
      </c>
      <c r="H1190" s="788"/>
      <c r="I1190" s="788"/>
      <c r="J1190" s="788"/>
      <c r="K1190" s="788"/>
      <c r="L1190" s="790"/>
      <c r="M1190" s="791"/>
      <c r="N1190" s="381"/>
    </row>
    <row r="1191" spans="1:14" hidden="1" x14ac:dyDescent="0.2">
      <c r="A1191" s="815" t="s">
        <v>634</v>
      </c>
      <c r="B1191" s="466" t="s">
        <v>450</v>
      </c>
      <c r="C1191" s="247" t="s">
        <v>18</v>
      </c>
      <c r="D1191" s="252" t="s">
        <v>135</v>
      </c>
      <c r="E1191" s="850">
        <v>1</v>
      </c>
      <c r="F1191" s="414" t="s">
        <v>660</v>
      </c>
      <c r="G1191" s="789" t="s">
        <v>16</v>
      </c>
      <c r="H1191" s="788"/>
      <c r="I1191" s="788"/>
      <c r="J1191" s="788"/>
      <c r="K1191" s="788"/>
      <c r="L1191" s="790"/>
      <c r="M1191" s="791"/>
      <c r="N1191" s="381"/>
    </row>
    <row r="1192" spans="1:14" hidden="1" x14ac:dyDescent="0.2">
      <c r="A1192" s="815" t="s">
        <v>634</v>
      </c>
      <c r="B1192" s="466" t="s">
        <v>450</v>
      </c>
      <c r="C1192" s="247" t="s">
        <v>20</v>
      </c>
      <c r="D1192" s="252" t="s">
        <v>135</v>
      </c>
      <c r="E1192" s="849">
        <v>0.45643056946221511</v>
      </c>
      <c r="F1192" s="250" t="s">
        <v>660</v>
      </c>
      <c r="G1192" s="251" t="s">
        <v>16</v>
      </c>
      <c r="H1192" s="252">
        <v>1</v>
      </c>
      <c r="I1192" s="252">
        <v>2</v>
      </c>
      <c r="J1192" s="252">
        <v>3</v>
      </c>
      <c r="K1192" s="252">
        <v>3</v>
      </c>
      <c r="L1192" s="253">
        <v>3</v>
      </c>
      <c r="M1192" s="254">
        <f>IF( OR( ISBLANK(H1192),ISBLANK(I1192), ISBLANK(J1192), ISBLANK(K1192), ISBLANK(L1192) ), "", 1.5*SQRT(   EXP(2.21*(H1192-1)) + EXP(2.21*(I1192-1)) + EXP(2.21*(J1192-1)) + EXP(2.21*(K1192-1)) + EXP(2.21*L1192)   )/100*2.45 )</f>
        <v>1.123005955058592</v>
      </c>
      <c r="N1192" s="381"/>
    </row>
    <row r="1193" spans="1:14" hidden="1" x14ac:dyDescent="0.2">
      <c r="A1193" s="815" t="s">
        <v>634</v>
      </c>
      <c r="B1193" s="466" t="s">
        <v>450</v>
      </c>
      <c r="C1193" s="247" t="s">
        <v>22</v>
      </c>
      <c r="D1193" s="252" t="s">
        <v>135</v>
      </c>
      <c r="E1193" s="850">
        <v>1</v>
      </c>
      <c r="F1193" s="414" t="s">
        <v>660</v>
      </c>
      <c r="G1193" s="789" t="s">
        <v>16</v>
      </c>
      <c r="H1193" s="788"/>
      <c r="I1193" s="788"/>
      <c r="J1193" s="788"/>
      <c r="K1193" s="788"/>
      <c r="L1193" s="790"/>
      <c r="M1193" s="791"/>
      <c r="N1193" s="381"/>
    </row>
    <row r="1194" spans="1:14" hidden="1" x14ac:dyDescent="0.2">
      <c r="A1194" s="815" t="s">
        <v>634</v>
      </c>
      <c r="B1194" s="466" t="s">
        <v>450</v>
      </c>
      <c r="C1194" s="247" t="s">
        <v>23</v>
      </c>
      <c r="D1194" s="252" t="s">
        <v>135</v>
      </c>
      <c r="E1194" s="850">
        <v>1</v>
      </c>
      <c r="F1194" s="414" t="s">
        <v>660</v>
      </c>
      <c r="G1194" s="789" t="s">
        <v>16</v>
      </c>
      <c r="H1194" s="788"/>
      <c r="I1194" s="788"/>
      <c r="J1194" s="788"/>
      <c r="K1194" s="788"/>
      <c r="L1194" s="790"/>
      <c r="M1194" s="791"/>
      <c r="N1194" s="381"/>
    </row>
    <row r="1195" spans="1:14" hidden="1" x14ac:dyDescent="0.2">
      <c r="A1195" s="815" t="s">
        <v>634</v>
      </c>
      <c r="B1195" s="466" t="s">
        <v>450</v>
      </c>
      <c r="C1195" s="247" t="s">
        <v>24</v>
      </c>
      <c r="D1195" s="252" t="s">
        <v>135</v>
      </c>
      <c r="E1195" s="850">
        <v>1</v>
      </c>
      <c r="F1195" s="414" t="s">
        <v>660</v>
      </c>
      <c r="G1195" s="789" t="s">
        <v>16</v>
      </c>
      <c r="H1195" s="788"/>
      <c r="I1195" s="788"/>
      <c r="J1195" s="788"/>
      <c r="K1195" s="788"/>
      <c r="L1195" s="790"/>
      <c r="M1195" s="791"/>
      <c r="N1195" s="381"/>
    </row>
    <row r="1196" spans="1:14" hidden="1" x14ac:dyDescent="0.2">
      <c r="A1196" s="815" t="s">
        <v>634</v>
      </c>
      <c r="B1196" s="466" t="s">
        <v>450</v>
      </c>
      <c r="C1196" s="247" t="s">
        <v>25</v>
      </c>
      <c r="D1196" s="252" t="s">
        <v>135</v>
      </c>
      <c r="E1196" s="850">
        <v>1</v>
      </c>
      <c r="F1196" s="414" t="s">
        <v>660</v>
      </c>
      <c r="G1196" s="789" t="s">
        <v>16</v>
      </c>
      <c r="H1196" s="788"/>
      <c r="I1196" s="788"/>
      <c r="J1196" s="788"/>
      <c r="K1196" s="788"/>
      <c r="L1196" s="790"/>
      <c r="M1196" s="791"/>
      <c r="N1196" s="381"/>
    </row>
    <row r="1197" spans="1:14" hidden="1" x14ac:dyDescent="0.2">
      <c r="A1197" s="815" t="s">
        <v>634</v>
      </c>
      <c r="B1197" s="466" t="s">
        <v>450</v>
      </c>
      <c r="C1197" s="247" t="s">
        <v>26</v>
      </c>
      <c r="D1197" s="252" t="s">
        <v>135</v>
      </c>
      <c r="E1197" s="849">
        <v>1.6852322328382172E-2</v>
      </c>
      <c r="F1197" s="250" t="s">
        <v>660</v>
      </c>
      <c r="G1197" s="251" t="s">
        <v>16</v>
      </c>
      <c r="H1197" s="252">
        <v>1</v>
      </c>
      <c r="I1197" s="252">
        <v>2</v>
      </c>
      <c r="J1197" s="252">
        <v>3</v>
      </c>
      <c r="K1197" s="252">
        <v>3</v>
      </c>
      <c r="L1197" s="253">
        <v>3</v>
      </c>
      <c r="M1197" s="254">
        <f>IF( OR( ISBLANK(H1197),ISBLANK(I1197), ISBLANK(J1197), ISBLANK(K1197), ISBLANK(L1197) ), "", 1.5*SQRT( EXP(2.21*(H1197-1)) + EXP(2.21*(I1197-1)) + EXP(2.21*(J1197-1)) + EXP(2.21*(K1197-1)) + EXP(2.21*L1197) )/100*2.45 )</f>
        <v>1.123005955058592</v>
      </c>
      <c r="N1197" s="381"/>
    </row>
    <row r="1198" spans="1:14" hidden="1" x14ac:dyDescent="0.2">
      <c r="A1198" s="815" t="s">
        <v>634</v>
      </c>
      <c r="B1198" s="466" t="s">
        <v>450</v>
      </c>
      <c r="C1198" s="247" t="s">
        <v>27</v>
      </c>
      <c r="D1198" s="252" t="s">
        <v>135</v>
      </c>
      <c r="E1198" s="850">
        <v>1</v>
      </c>
      <c r="F1198" s="414" t="s">
        <v>660</v>
      </c>
      <c r="G1198" s="789" t="s">
        <v>16</v>
      </c>
      <c r="H1198" s="788"/>
      <c r="I1198" s="788"/>
      <c r="J1198" s="788"/>
      <c r="K1198" s="788"/>
      <c r="L1198" s="790"/>
      <c r="M1198" s="791"/>
      <c r="N1198" s="381"/>
    </row>
    <row r="1199" spans="1:14" hidden="1" x14ac:dyDescent="0.2">
      <c r="A1199" s="815" t="s">
        <v>634</v>
      </c>
      <c r="B1199" s="466" t="s">
        <v>450</v>
      </c>
      <c r="C1199" s="247" t="s">
        <v>28</v>
      </c>
      <c r="D1199" s="252" t="s">
        <v>135</v>
      </c>
      <c r="E1199" s="849">
        <v>0.43735215844642011</v>
      </c>
      <c r="F1199" s="250" t="s">
        <v>660</v>
      </c>
      <c r="G1199" s="251" t="s">
        <v>16</v>
      </c>
      <c r="H1199" s="252">
        <v>1</v>
      </c>
      <c r="I1199" s="252">
        <v>2</v>
      </c>
      <c r="J1199" s="252">
        <v>3</v>
      </c>
      <c r="K1199" s="252">
        <v>3</v>
      </c>
      <c r="L1199" s="253">
        <v>3</v>
      </c>
      <c r="M1199" s="254">
        <f>IF( OR( ISBLANK(H1199),ISBLANK(I1199), ISBLANK(J1199), ISBLANK(K1199), ISBLANK(L1199) ), "", 1.5*SQRT( EXP(2.21*(H1199-1)) + EXP(2.21*(I1199-1)) + EXP(2.21*(J1199-1)) + EXP(2.21*(K1199-1)) + EXP(2.21*L1199) )/100*2.45 )</f>
        <v>1.123005955058592</v>
      </c>
      <c r="N1199" s="381"/>
    </row>
    <row r="1200" spans="1:14" hidden="1" x14ac:dyDescent="0.2">
      <c r="A1200" s="815" t="s">
        <v>634</v>
      </c>
      <c r="B1200" s="466" t="s">
        <v>450</v>
      </c>
      <c r="C1200" s="247" t="s">
        <v>30</v>
      </c>
      <c r="D1200" s="252" t="s">
        <v>135</v>
      </c>
      <c r="E1200" s="849">
        <v>0.69133004708394263</v>
      </c>
      <c r="F1200" s="250" t="s">
        <v>660</v>
      </c>
      <c r="G1200" s="251" t="s">
        <v>16</v>
      </c>
      <c r="H1200" s="252">
        <v>1</v>
      </c>
      <c r="I1200" s="252">
        <v>2</v>
      </c>
      <c r="J1200" s="252">
        <v>3</v>
      </c>
      <c r="K1200" s="252">
        <v>3</v>
      </c>
      <c r="L1200" s="253">
        <v>3</v>
      </c>
      <c r="M1200" s="254">
        <f>IF( OR( ISBLANK(H1200),ISBLANK(I1200), ISBLANK(J1200), ISBLANK(K1200), ISBLANK(L1200) ), "", 1.5*SQRT( EXP(2.21*(H1200-1)) + EXP(2.21*(I1200-1)) + EXP(2.21*(J1200-1)) + EXP(2.21*(K1200-1)) + EXP(2.21*L1200) )/100*2.45 )</f>
        <v>1.123005955058592</v>
      </c>
      <c r="N1200" s="381"/>
    </row>
    <row r="1201" spans="1:14" hidden="1" x14ac:dyDescent="0.2">
      <c r="A1201" s="815" t="s">
        <v>634</v>
      </c>
      <c r="B1201" s="466" t="s">
        <v>450</v>
      </c>
      <c r="C1201" s="247" t="s">
        <v>32</v>
      </c>
      <c r="D1201" s="252" t="s">
        <v>135</v>
      </c>
      <c r="E1201" s="849">
        <v>8.3950857153638522E-2</v>
      </c>
      <c r="F1201" s="250" t="s">
        <v>660</v>
      </c>
      <c r="G1201" s="251" t="s">
        <v>16</v>
      </c>
      <c r="H1201" s="252">
        <v>1</v>
      </c>
      <c r="I1201" s="252">
        <v>2</v>
      </c>
      <c r="J1201" s="252">
        <v>3</v>
      </c>
      <c r="K1201" s="252">
        <v>3</v>
      </c>
      <c r="L1201" s="253">
        <v>3</v>
      </c>
      <c r="M1201" s="254">
        <f>IF( OR( ISBLANK(H1201),ISBLANK(I1201), ISBLANK(J1201), ISBLANK(K1201), ISBLANK(L1201) ), "", 1.5*SQRT( EXP(2.21*(H1201-1)) + EXP(2.21*(I1201-1)) + EXP(2.21*(J1201-1)) + EXP(2.21*(K1201-1)) + EXP(2.21*L1201) )/100*2.45 )</f>
        <v>1.123005955058592</v>
      </c>
      <c r="N1201" s="381"/>
    </row>
    <row r="1202" spans="1:14" hidden="1" x14ac:dyDescent="0.2">
      <c r="A1202" s="815" t="s">
        <v>634</v>
      </c>
      <c r="B1202" s="466" t="s">
        <v>450</v>
      </c>
      <c r="C1202" s="247" t="s">
        <v>34</v>
      </c>
      <c r="D1202" s="252" t="s">
        <v>135</v>
      </c>
      <c r="E1202" s="850">
        <v>1</v>
      </c>
      <c r="F1202" s="414" t="s">
        <v>660</v>
      </c>
      <c r="G1202" s="789" t="s">
        <v>16</v>
      </c>
      <c r="H1202" s="788"/>
      <c r="I1202" s="788"/>
      <c r="J1202" s="788"/>
      <c r="K1202" s="788"/>
      <c r="L1202" s="790"/>
      <c r="M1202" s="791"/>
      <c r="N1202" s="381"/>
    </row>
    <row r="1203" spans="1:14" hidden="1" x14ac:dyDescent="0.2">
      <c r="A1203" s="815" t="s">
        <v>634</v>
      </c>
      <c r="B1203" s="466" t="s">
        <v>450</v>
      </c>
      <c r="C1203" s="247" t="s">
        <v>36</v>
      </c>
      <c r="D1203" s="252" t="s">
        <v>135</v>
      </c>
      <c r="E1203" s="849">
        <v>0.55571010862309411</v>
      </c>
      <c r="F1203" s="250" t="s">
        <v>660</v>
      </c>
      <c r="G1203" s="251" t="s">
        <v>16</v>
      </c>
      <c r="H1203" s="252">
        <v>1</v>
      </c>
      <c r="I1203" s="252">
        <v>2</v>
      </c>
      <c r="J1203" s="252">
        <v>3</v>
      </c>
      <c r="K1203" s="252">
        <v>3</v>
      </c>
      <c r="L1203" s="253">
        <v>3</v>
      </c>
      <c r="M1203" s="254">
        <f>IF( OR( ISBLANK(H1203),ISBLANK(I1203), ISBLANK(J1203), ISBLANK(K1203), ISBLANK(L1203) ), "", 1.5*SQRT( EXP(2.21*(H1203-1)) + EXP(2.21*(I1203-1)) + EXP(2.21*(J1203-1)) + EXP(2.21*(K1203-1)) + EXP(2.21*L1203) )/100*2.45 )</f>
        <v>1.123005955058592</v>
      </c>
      <c r="N1203" s="381"/>
    </row>
    <row r="1204" spans="1:14" hidden="1" x14ac:dyDescent="0.2">
      <c r="A1204" s="815" t="s">
        <v>634</v>
      </c>
      <c r="B1204" s="466" t="s">
        <v>450</v>
      </c>
      <c r="C1204" s="247" t="s">
        <v>37</v>
      </c>
      <c r="D1204" s="252" t="s">
        <v>135</v>
      </c>
      <c r="E1204" s="849">
        <v>0.34421430735169939</v>
      </c>
      <c r="F1204" s="250" t="s">
        <v>660</v>
      </c>
      <c r="G1204" s="251" t="s">
        <v>16</v>
      </c>
      <c r="H1204" s="252">
        <v>1</v>
      </c>
      <c r="I1204" s="252">
        <v>2</v>
      </c>
      <c r="J1204" s="252">
        <v>3</v>
      </c>
      <c r="K1204" s="252">
        <v>3</v>
      </c>
      <c r="L1204" s="253">
        <v>3</v>
      </c>
      <c r="M1204" s="254">
        <f>IF( OR( ISBLANK(H1204),ISBLANK(I1204), ISBLANK(J1204), ISBLANK(K1204), ISBLANK(L1204) ), "", 1.5*SQRT( EXP(2.21*(H1204-1)) + EXP(2.21*(I1204-1)) + EXP(2.21*(J1204-1)) + EXP(2.21*(K1204-1)) + EXP(2.21*L1204) )/100*2.45 )</f>
        <v>1.123005955058592</v>
      </c>
      <c r="N1204" s="381"/>
    </row>
    <row r="1205" spans="1:14" hidden="1" x14ac:dyDescent="0.2">
      <c r="A1205" s="815" t="s">
        <v>634</v>
      </c>
      <c r="B1205" s="466" t="s">
        <v>450</v>
      </c>
      <c r="C1205" s="247" t="s">
        <v>39</v>
      </c>
      <c r="D1205" s="252" t="s">
        <v>135</v>
      </c>
      <c r="E1205" s="850">
        <v>1</v>
      </c>
      <c r="F1205" s="414" t="s">
        <v>660</v>
      </c>
      <c r="G1205" s="789" t="s">
        <v>16</v>
      </c>
      <c r="H1205" s="788"/>
      <c r="I1205" s="788"/>
      <c r="J1205" s="788"/>
      <c r="K1205" s="788"/>
      <c r="L1205" s="790"/>
      <c r="M1205" s="791"/>
      <c r="N1205" s="381"/>
    </row>
    <row r="1206" spans="1:14" hidden="1" x14ac:dyDescent="0.2">
      <c r="A1206" s="815" t="s">
        <v>634</v>
      </c>
      <c r="B1206" s="466" t="s">
        <v>450</v>
      </c>
      <c r="C1206" s="247" t="s">
        <v>40</v>
      </c>
      <c r="D1206" s="252" t="s">
        <v>135</v>
      </c>
      <c r="E1206" s="850">
        <v>1</v>
      </c>
      <c r="F1206" s="414" t="s">
        <v>660</v>
      </c>
      <c r="G1206" s="789" t="s">
        <v>16</v>
      </c>
      <c r="H1206" s="788"/>
      <c r="I1206" s="788"/>
      <c r="J1206" s="788"/>
      <c r="K1206" s="788"/>
      <c r="L1206" s="790"/>
      <c r="M1206" s="791"/>
      <c r="N1206" s="381"/>
    </row>
    <row r="1207" spans="1:14" hidden="1" x14ac:dyDescent="0.2">
      <c r="A1207" s="815" t="s">
        <v>634</v>
      </c>
      <c r="B1207" s="466" t="s">
        <v>450</v>
      </c>
      <c r="C1207" s="247" t="s">
        <v>41</v>
      </c>
      <c r="D1207" s="252" t="s">
        <v>135</v>
      </c>
      <c r="E1207" s="850">
        <v>1</v>
      </c>
      <c r="F1207" s="414" t="s">
        <v>660</v>
      </c>
      <c r="G1207" s="789" t="s">
        <v>16</v>
      </c>
      <c r="H1207" s="788"/>
      <c r="I1207" s="788"/>
      <c r="J1207" s="788"/>
      <c r="K1207" s="788"/>
      <c r="L1207" s="790"/>
      <c r="M1207" s="791"/>
      <c r="N1207" s="381"/>
    </row>
    <row r="1208" spans="1:14" hidden="1" x14ac:dyDescent="0.2">
      <c r="A1208" s="815" t="s">
        <v>634</v>
      </c>
      <c r="B1208" s="466" t="s">
        <v>450</v>
      </c>
      <c r="C1208" s="247" t="s">
        <v>42</v>
      </c>
      <c r="D1208" s="252" t="s">
        <v>135</v>
      </c>
      <c r="E1208" s="850">
        <v>0</v>
      </c>
      <c r="F1208" s="414" t="s">
        <v>660</v>
      </c>
      <c r="G1208" s="789" t="s">
        <v>16</v>
      </c>
      <c r="H1208" s="788"/>
      <c r="I1208" s="788"/>
      <c r="J1208" s="788"/>
      <c r="K1208" s="788"/>
      <c r="L1208" s="790"/>
      <c r="M1208" s="791"/>
      <c r="N1208" s="381"/>
    </row>
    <row r="1209" spans="1:14" hidden="1" x14ac:dyDescent="0.2">
      <c r="A1209" s="815" t="s">
        <v>634</v>
      </c>
      <c r="B1209" s="466" t="s">
        <v>450</v>
      </c>
      <c r="C1209" s="247" t="s">
        <v>43</v>
      </c>
      <c r="D1209" s="252" t="s">
        <v>135</v>
      </c>
      <c r="E1209" s="850">
        <v>1</v>
      </c>
      <c r="F1209" s="414" t="s">
        <v>660</v>
      </c>
      <c r="G1209" s="789" t="s">
        <v>16</v>
      </c>
      <c r="H1209" s="788"/>
      <c r="I1209" s="788"/>
      <c r="J1209" s="788"/>
      <c r="K1209" s="788"/>
      <c r="L1209" s="790"/>
      <c r="M1209" s="791"/>
      <c r="N1209" s="381"/>
    </row>
    <row r="1210" spans="1:14" hidden="1" x14ac:dyDescent="0.2">
      <c r="A1210" s="815" t="s">
        <v>634</v>
      </c>
      <c r="B1210" s="466" t="s">
        <v>450</v>
      </c>
      <c r="C1210" s="247" t="s">
        <v>45</v>
      </c>
      <c r="D1210" s="252" t="s">
        <v>135</v>
      </c>
      <c r="E1210" s="849">
        <v>6.7958198231003172E-2</v>
      </c>
      <c r="F1210" s="250" t="s">
        <v>660</v>
      </c>
      <c r="G1210" s="251" t="s">
        <v>16</v>
      </c>
      <c r="H1210" s="252">
        <v>2</v>
      </c>
      <c r="I1210" s="252">
        <v>2</v>
      </c>
      <c r="J1210" s="252">
        <v>3</v>
      </c>
      <c r="K1210" s="252">
        <v>3</v>
      </c>
      <c r="L1210" s="253">
        <v>3</v>
      </c>
      <c r="M1210" s="254">
        <f>IF( OR( ISBLANK(H1210),ISBLANK(I1210), ISBLANK(J1210), ISBLANK(K1210), ISBLANK(L1210) ), "", 1.5*SQRT( EXP(2.21*(H1210-1)) + EXP(2.21*(I1210-1)) + EXP(2.21*(J1210-1)) + EXP(2.21*(K1210-1)) + EXP(2.21*L1210) )/100*2.45 )</f>
        <v>1.1278755061256258</v>
      </c>
      <c r="N1210" s="381"/>
    </row>
    <row r="1211" spans="1:14" hidden="1" x14ac:dyDescent="0.2">
      <c r="A1211" s="815" t="s">
        <v>634</v>
      </c>
      <c r="B1211" s="466" t="s">
        <v>450</v>
      </c>
      <c r="C1211" s="247" t="s">
        <v>46</v>
      </c>
      <c r="D1211" s="252" t="s">
        <v>135</v>
      </c>
      <c r="E1211" s="850">
        <v>1</v>
      </c>
      <c r="F1211" s="414" t="s">
        <v>660</v>
      </c>
      <c r="G1211" s="789" t="s">
        <v>16</v>
      </c>
      <c r="H1211" s="788"/>
      <c r="I1211" s="788"/>
      <c r="J1211" s="788"/>
      <c r="K1211" s="788"/>
      <c r="L1211" s="790"/>
      <c r="M1211" s="791"/>
      <c r="N1211" s="381"/>
    </row>
    <row r="1212" spans="1:14" hidden="1" x14ac:dyDescent="0.2">
      <c r="A1212" s="815" t="s">
        <v>634</v>
      </c>
      <c r="B1212" s="466" t="s">
        <v>450</v>
      </c>
      <c r="C1212" s="247" t="s">
        <v>48</v>
      </c>
      <c r="D1212" s="252" t="s">
        <v>135</v>
      </c>
      <c r="E1212" s="849">
        <v>0.26151890115743848</v>
      </c>
      <c r="F1212" s="250" t="s">
        <v>660</v>
      </c>
      <c r="G1212" s="251" t="s">
        <v>16</v>
      </c>
      <c r="H1212" s="252">
        <v>1</v>
      </c>
      <c r="I1212" s="252">
        <v>2</v>
      </c>
      <c r="J1212" s="252">
        <v>3</v>
      </c>
      <c r="K1212" s="252">
        <v>3</v>
      </c>
      <c r="L1212" s="253">
        <v>3</v>
      </c>
      <c r="M1212" s="254">
        <f>IF( OR( ISBLANK(H1212),ISBLANK(I1212), ISBLANK(J1212), ISBLANK(K1212), ISBLANK(L1212) ), "", 1.5*SQRT( EXP(2.21*(H1212-1)) + EXP(2.21*(I1212-1)) + EXP(2.21*(J1212-1)) + EXP(2.21*(K1212-1)) + EXP(2.21*L1212) )/100*2.45 )</f>
        <v>1.123005955058592</v>
      </c>
      <c r="N1212" s="381"/>
    </row>
    <row r="1213" spans="1:14" hidden="1" x14ac:dyDescent="0.2">
      <c r="A1213" s="815" t="s">
        <v>634</v>
      </c>
      <c r="B1213" s="466" t="s">
        <v>450</v>
      </c>
      <c r="C1213" s="247" t="s">
        <v>50</v>
      </c>
      <c r="D1213" s="252" t="s">
        <v>135</v>
      </c>
      <c r="E1213" s="849">
        <v>0.64286416139970048</v>
      </c>
      <c r="F1213" s="250" t="s">
        <v>660</v>
      </c>
      <c r="G1213" s="251" t="s">
        <v>16</v>
      </c>
      <c r="H1213" s="252">
        <v>1</v>
      </c>
      <c r="I1213" s="252">
        <v>2</v>
      </c>
      <c r="J1213" s="252">
        <v>3</v>
      </c>
      <c r="K1213" s="252">
        <v>3</v>
      </c>
      <c r="L1213" s="253">
        <v>3</v>
      </c>
      <c r="M1213" s="254">
        <f>IF( OR( ISBLANK(H1213),ISBLANK(I1213), ISBLANK(J1213), ISBLANK(K1213), ISBLANK(L1213) ), "", 1.5*SQRT( EXP(2.21*(H1213-1)) + EXP(2.21*(I1213-1)) + EXP(2.21*(J1213-1)) + EXP(2.21*(K1213-1)) + EXP(2.21*L1213) )/100*2.45 )</f>
        <v>1.123005955058592</v>
      </c>
      <c r="N1213" s="381"/>
    </row>
    <row r="1214" spans="1:14" hidden="1" x14ac:dyDescent="0.2">
      <c r="A1214" s="815" t="s">
        <v>634</v>
      </c>
      <c r="B1214" s="466" t="s">
        <v>450</v>
      </c>
      <c r="C1214" s="247" t="s">
        <v>52</v>
      </c>
      <c r="D1214" s="252" t="s">
        <v>135</v>
      </c>
      <c r="E1214" s="850">
        <v>1</v>
      </c>
      <c r="F1214" s="414" t="s">
        <v>660</v>
      </c>
      <c r="G1214" s="789" t="s">
        <v>16</v>
      </c>
      <c r="H1214" s="788"/>
      <c r="I1214" s="788"/>
      <c r="J1214" s="788"/>
      <c r="K1214" s="788"/>
      <c r="L1214" s="790"/>
      <c r="M1214" s="791"/>
      <c r="N1214" s="381"/>
    </row>
    <row r="1215" spans="1:14" hidden="1" x14ac:dyDescent="0.2">
      <c r="A1215" s="815" t="s">
        <v>634</v>
      </c>
      <c r="B1215" s="466" t="s">
        <v>450</v>
      </c>
      <c r="C1215" s="247" t="s">
        <v>54</v>
      </c>
      <c r="D1215" s="252" t="s">
        <v>135</v>
      </c>
      <c r="E1215" s="849">
        <v>0.90020042103681197</v>
      </c>
      <c r="F1215" s="250" t="s">
        <v>660</v>
      </c>
      <c r="G1215" s="251" t="s">
        <v>16</v>
      </c>
      <c r="H1215" s="252">
        <v>1</v>
      </c>
      <c r="I1215" s="252">
        <v>2</v>
      </c>
      <c r="J1215" s="252">
        <v>3</v>
      </c>
      <c r="K1215" s="252">
        <v>3</v>
      </c>
      <c r="L1215" s="253">
        <v>3</v>
      </c>
      <c r="M1215" s="254">
        <f>IF( OR( ISBLANK(H1215),ISBLANK(I1215), ISBLANK(J1215), ISBLANK(K1215), ISBLANK(L1215) ), "", 1.5*SQRT( EXP(2.21*(H1215-1)) + EXP(2.21*(I1215-1)) + EXP(2.21*(J1215-1)) + EXP(2.21*(K1215-1)) + EXP(2.21*L1215) )/100*2.45 )</f>
        <v>1.123005955058592</v>
      </c>
      <c r="N1215" s="381"/>
    </row>
    <row r="1216" spans="1:14" hidden="1" x14ac:dyDescent="0.2">
      <c r="A1216" s="815" t="s">
        <v>634</v>
      </c>
      <c r="B1216" s="466" t="s">
        <v>450</v>
      </c>
      <c r="C1216" s="247" t="s">
        <v>55</v>
      </c>
      <c r="D1216" s="252" t="s">
        <v>135</v>
      </c>
      <c r="E1216" s="849">
        <v>0.37876947891287222</v>
      </c>
      <c r="F1216" s="250" t="s">
        <v>660</v>
      </c>
      <c r="G1216" s="251" t="s">
        <v>16</v>
      </c>
      <c r="H1216" s="252">
        <v>1</v>
      </c>
      <c r="I1216" s="252">
        <v>2</v>
      </c>
      <c r="J1216" s="252">
        <v>3</v>
      </c>
      <c r="K1216" s="252">
        <v>3</v>
      </c>
      <c r="L1216" s="253">
        <v>3</v>
      </c>
      <c r="M1216" s="254">
        <f>IF( OR( ISBLANK(H1216),ISBLANK(I1216), ISBLANK(J1216), ISBLANK(K1216), ISBLANK(L1216) ), "", 1.5*SQRT( EXP(2.21*(H1216-1)) + EXP(2.21*(I1216-1)) + EXP(2.21*(J1216-1)) + EXP(2.21*(K1216-1)) + EXP(2.21*L1216) )/100*2.45 )</f>
        <v>1.123005955058592</v>
      </c>
      <c r="N1216" s="381"/>
    </row>
    <row r="1217" spans="1:14" hidden="1" x14ac:dyDescent="0.2">
      <c r="A1217" s="815" t="s">
        <v>634</v>
      </c>
      <c r="B1217" s="466" t="s">
        <v>450</v>
      </c>
      <c r="C1217" s="247" t="s">
        <v>57</v>
      </c>
      <c r="D1217" s="252" t="s">
        <v>135</v>
      </c>
      <c r="E1217" s="849">
        <v>6.7958198231003172E-2</v>
      </c>
      <c r="F1217" s="250" t="s">
        <v>660</v>
      </c>
      <c r="G1217" s="251" t="s">
        <v>16</v>
      </c>
      <c r="H1217" s="252">
        <v>1</v>
      </c>
      <c r="I1217" s="252">
        <v>2</v>
      </c>
      <c r="J1217" s="252">
        <v>3</v>
      </c>
      <c r="K1217" s="252">
        <v>3</v>
      </c>
      <c r="L1217" s="253">
        <v>3</v>
      </c>
      <c r="M1217" s="254">
        <f>IF( OR( ISBLANK(H1217),ISBLANK(I1217), ISBLANK(J1217), ISBLANK(K1217), ISBLANK(L1217) ), "", 1.5*SQRT( EXP(2.21*(H1217-1)) + EXP(2.21*(I1217-1)) + EXP(2.21*(J1217-1)) + EXP(2.21*(K1217-1)) + EXP(2.21*L1217) )/100*2.45 )</f>
        <v>1.123005955058592</v>
      </c>
      <c r="N1217" s="381"/>
    </row>
    <row r="1218" spans="1:14" hidden="1" x14ac:dyDescent="0.2">
      <c r="A1218" s="815" t="s">
        <v>634</v>
      </c>
      <c r="B1218" s="466" t="s">
        <v>450</v>
      </c>
      <c r="C1218" s="247" t="s">
        <v>59</v>
      </c>
      <c r="D1218" s="252" t="s">
        <v>135</v>
      </c>
      <c r="E1218" s="850">
        <v>1</v>
      </c>
      <c r="F1218" s="414" t="s">
        <v>660</v>
      </c>
      <c r="G1218" s="789" t="s">
        <v>16</v>
      </c>
      <c r="H1218" s="788"/>
      <c r="I1218" s="788"/>
      <c r="J1218" s="788"/>
      <c r="K1218" s="788"/>
      <c r="L1218" s="790"/>
      <c r="M1218" s="791"/>
      <c r="N1218" s="381"/>
    </row>
    <row r="1219" spans="1:14" hidden="1" x14ac:dyDescent="0.2">
      <c r="A1219" s="815" t="s">
        <v>634</v>
      </c>
      <c r="B1219" s="466" t="s">
        <v>450</v>
      </c>
      <c r="C1219" s="247" t="s">
        <v>60</v>
      </c>
      <c r="D1219" s="252" t="s">
        <v>135</v>
      </c>
      <c r="E1219" s="849">
        <v>0.55571010862309411</v>
      </c>
      <c r="F1219" s="250" t="s">
        <v>660</v>
      </c>
      <c r="G1219" s="251" t="s">
        <v>16</v>
      </c>
      <c r="H1219" s="252">
        <v>2</v>
      </c>
      <c r="I1219" s="252">
        <v>2</v>
      </c>
      <c r="J1219" s="252">
        <v>3</v>
      </c>
      <c r="K1219" s="252">
        <v>3</v>
      </c>
      <c r="L1219" s="253">
        <v>3</v>
      </c>
      <c r="M1219" s="254">
        <f>IF( OR( ISBLANK(H1219),ISBLANK(I1219), ISBLANK(J1219), ISBLANK(K1219), ISBLANK(L1219) ), "", 1.5*SQRT( EXP(2.21*(H1219-1)) + EXP(2.21*(I1219-1)) + EXP(2.21*(J1219-1)) + EXP(2.21*(K1219-1)) + EXP(2.21*L1219) )/100*2.45 )</f>
        <v>1.1278755061256258</v>
      </c>
      <c r="N1219" s="381"/>
    </row>
    <row r="1220" spans="1:14" x14ac:dyDescent="0.2">
      <c r="A1220" s="824" t="s">
        <v>634</v>
      </c>
      <c r="B1220" s="440" t="s">
        <v>661</v>
      </c>
      <c r="C1220" s="610" t="s">
        <v>135</v>
      </c>
      <c r="D1220" s="291" t="s">
        <v>135</v>
      </c>
      <c r="E1220" s="473" t="s">
        <v>188</v>
      </c>
      <c r="F1220" s="289"/>
      <c r="G1220" s="290" t="s">
        <v>16</v>
      </c>
      <c r="H1220" s="473"/>
      <c r="I1220" s="473"/>
      <c r="J1220" s="473"/>
      <c r="K1220" s="473"/>
      <c r="L1220" s="474"/>
      <c r="M1220" s="475" t="str">
        <f>IF( OR( ISBLANK(H1220),ISBLANK(I1220), ISBLANK(J1220), ISBLANK(K1220), ISBLANK(L1220) ), "", 1.5*SQRT( EXP(2.21*(H1220-1)) + EXP(2.21*(I1220-1)) + EXP(2.21*(J1220-1)) + EXP(2.21*(K1220-1)) + EXP(2.21*L1220) )/100*2.45 )</f>
        <v/>
      </c>
      <c r="N1220" s="404"/>
    </row>
    <row r="1221" spans="1:14" x14ac:dyDescent="0.2">
      <c r="A1221" s="815" t="s">
        <v>578</v>
      </c>
      <c r="B1221" s="466" t="s">
        <v>663</v>
      </c>
      <c r="C1221" s="265" t="s">
        <v>13</v>
      </c>
      <c r="D1221" s="252" t="s">
        <v>135</v>
      </c>
      <c r="E1221" s="492">
        <v>0.22893391403143351</v>
      </c>
      <c r="F1221" s="374" t="s">
        <v>664</v>
      </c>
      <c r="G1221" s="390" t="s">
        <v>16</v>
      </c>
      <c r="H1221" s="269">
        <v>1</v>
      </c>
      <c r="I1221" s="269">
        <v>1</v>
      </c>
      <c r="J1221" s="269">
        <v>3</v>
      </c>
      <c r="K1221" s="269">
        <v>2</v>
      </c>
      <c r="L1221" s="270">
        <v>2</v>
      </c>
      <c r="M1221" s="271">
        <f>IF( OR( ISBLANK(H1221),ISBLANK(I1221), ISBLANK(J1221), ISBLANK(K1221), ISBLANK(L1221) ), "", 1.5*SQRT(   EXP(2.21*(H1221-1)) + EXP(2.21*(I1221-1)) + EXP(2.21*(J1221-1)) + EXP(2.21*(K1221-1)) + EXP(2.21*L1221)   )/100*2.45 )</f>
        <v>0.48935255543384243</v>
      </c>
      <c r="N1221" s="483"/>
    </row>
    <row r="1222" spans="1:14" x14ac:dyDescent="0.2">
      <c r="A1222" s="815" t="s">
        <v>578</v>
      </c>
      <c r="B1222" s="459" t="s">
        <v>560</v>
      </c>
      <c r="C1222" s="422" t="s">
        <v>13</v>
      </c>
      <c r="D1222" s="252" t="s">
        <v>135</v>
      </c>
      <c r="E1222" s="494">
        <v>0.20696837720128761</v>
      </c>
      <c r="F1222" s="374" t="s">
        <v>664</v>
      </c>
      <c r="G1222" s="251" t="s">
        <v>16</v>
      </c>
      <c r="H1222" s="381">
        <v>1</v>
      </c>
      <c r="I1222" s="381">
        <v>1</v>
      </c>
      <c r="J1222" s="381">
        <v>3</v>
      </c>
      <c r="K1222" s="381">
        <v>2</v>
      </c>
      <c r="L1222" s="253">
        <v>2</v>
      </c>
      <c r="M1222" s="254">
        <f t="shared" ref="M1222:M1253" si="43">IF( OR( ISBLANK(H1222),ISBLANK(I1222), ISBLANK(J1222), ISBLANK(K1222), ISBLANK(L1222) ), "", 1.5*SQRT( EXP(2.21*(H1222-1)) + EXP(2.21*(I1222-1)) + EXP(2.21*(J1222-1)) + EXP(2.21*(K1222-1)) + EXP(2.21*L1222) )/100*2.45 )</f>
        <v>0.48935255543384243</v>
      </c>
      <c r="N1222" s="479"/>
    </row>
    <row r="1223" spans="1:14" x14ac:dyDescent="0.2">
      <c r="A1223" s="815" t="s">
        <v>578</v>
      </c>
      <c r="B1223" s="308" t="s">
        <v>398</v>
      </c>
      <c r="C1223" s="422" t="s">
        <v>13</v>
      </c>
      <c r="D1223" s="252" t="s">
        <v>135</v>
      </c>
      <c r="E1223" s="494">
        <v>1.467525089945086E-3</v>
      </c>
      <c r="F1223" s="374" t="s">
        <v>664</v>
      </c>
      <c r="G1223" s="251" t="s">
        <v>16</v>
      </c>
      <c r="H1223" s="381">
        <v>1</v>
      </c>
      <c r="I1223" s="381">
        <v>1</v>
      </c>
      <c r="J1223" s="381">
        <v>3</v>
      </c>
      <c r="K1223" s="381">
        <v>2</v>
      </c>
      <c r="L1223" s="253">
        <v>2</v>
      </c>
      <c r="M1223" s="254">
        <f t="shared" si="43"/>
        <v>0.48935255543384243</v>
      </c>
      <c r="N1223" s="479"/>
    </row>
    <row r="1224" spans="1:14" x14ac:dyDescent="0.2">
      <c r="A1224" s="815" t="s">
        <v>578</v>
      </c>
      <c r="B1224" s="836" t="s">
        <v>399</v>
      </c>
      <c r="C1224" s="422" t="s">
        <v>13</v>
      </c>
      <c r="D1224" s="252" t="s">
        <v>135</v>
      </c>
      <c r="E1224" s="494">
        <v>0.56267752319636433</v>
      </c>
      <c r="F1224" s="374" t="s">
        <v>664</v>
      </c>
      <c r="G1224" s="251" t="s">
        <v>16</v>
      </c>
      <c r="H1224" s="381">
        <v>1</v>
      </c>
      <c r="I1224" s="381">
        <v>1</v>
      </c>
      <c r="J1224" s="381">
        <v>3</v>
      </c>
      <c r="K1224" s="381">
        <v>2</v>
      </c>
      <c r="L1224" s="253">
        <v>2</v>
      </c>
      <c r="M1224" s="254">
        <f t="shared" si="43"/>
        <v>0.48935255543384243</v>
      </c>
      <c r="N1224" s="479"/>
    </row>
    <row r="1225" spans="1:14" hidden="1" x14ac:dyDescent="0.2">
      <c r="A1225" s="815" t="s">
        <v>578</v>
      </c>
      <c r="B1225" s="466" t="s">
        <v>663</v>
      </c>
      <c r="C1225" s="247" t="s">
        <v>18</v>
      </c>
      <c r="D1225" s="252" t="s">
        <v>135</v>
      </c>
      <c r="E1225" s="495">
        <v>0.23530566828118871</v>
      </c>
      <c r="F1225" s="374" t="s">
        <v>664</v>
      </c>
      <c r="G1225" s="375" t="s">
        <v>16</v>
      </c>
      <c r="H1225" s="381">
        <v>1</v>
      </c>
      <c r="I1225" s="381">
        <v>1</v>
      </c>
      <c r="J1225" s="381">
        <v>3</v>
      </c>
      <c r="K1225" s="381">
        <v>2</v>
      </c>
      <c r="L1225" s="253">
        <v>2</v>
      </c>
      <c r="M1225" s="254">
        <f t="shared" si="43"/>
        <v>0.48935255543384243</v>
      </c>
      <c r="N1225" s="479"/>
    </row>
    <row r="1226" spans="1:14" hidden="1" x14ac:dyDescent="0.2">
      <c r="A1226" s="815" t="s">
        <v>578</v>
      </c>
      <c r="B1226" s="459" t="s">
        <v>560</v>
      </c>
      <c r="C1226" s="422" t="s">
        <v>18</v>
      </c>
      <c r="D1226" s="252" t="s">
        <v>135</v>
      </c>
      <c r="E1226" s="781">
        <v>0</v>
      </c>
      <c r="F1226" s="374" t="s">
        <v>664</v>
      </c>
      <c r="G1226" s="782" t="s">
        <v>16</v>
      </c>
      <c r="H1226" s="781"/>
      <c r="I1226" s="781"/>
      <c r="J1226" s="781"/>
      <c r="K1226" s="781"/>
      <c r="L1226" s="783"/>
      <c r="M1226" s="784" t="str">
        <f t="shared" si="43"/>
        <v/>
      </c>
      <c r="N1226" s="479"/>
    </row>
    <row r="1227" spans="1:14" hidden="1" x14ac:dyDescent="0.2">
      <c r="A1227" s="815" t="s">
        <v>578</v>
      </c>
      <c r="B1227" s="308" t="s">
        <v>398</v>
      </c>
      <c r="C1227" s="422" t="s">
        <v>18</v>
      </c>
      <c r="D1227" s="252" t="s">
        <v>135</v>
      </c>
      <c r="E1227" s="781">
        <v>0</v>
      </c>
      <c r="F1227" s="374" t="s">
        <v>664</v>
      </c>
      <c r="G1227" s="782" t="s">
        <v>16</v>
      </c>
      <c r="H1227" s="781"/>
      <c r="I1227" s="781"/>
      <c r="J1227" s="781"/>
      <c r="K1227" s="781"/>
      <c r="L1227" s="783"/>
      <c r="M1227" s="784" t="str">
        <f t="shared" si="43"/>
        <v/>
      </c>
      <c r="N1227" s="479"/>
    </row>
    <row r="1228" spans="1:14" hidden="1" x14ac:dyDescent="0.2">
      <c r="A1228" s="815" t="s">
        <v>578</v>
      </c>
      <c r="B1228" s="836" t="s">
        <v>399</v>
      </c>
      <c r="C1228" s="422" t="s">
        <v>18</v>
      </c>
      <c r="D1228" s="252" t="s">
        <v>135</v>
      </c>
      <c r="E1228" s="494">
        <v>0.76475978531221378</v>
      </c>
      <c r="F1228" s="374" t="s">
        <v>664</v>
      </c>
      <c r="G1228" s="251" t="s">
        <v>16</v>
      </c>
      <c r="H1228" s="381">
        <v>1</v>
      </c>
      <c r="I1228" s="381">
        <v>1</v>
      </c>
      <c r="J1228" s="381">
        <v>3</v>
      </c>
      <c r="K1228" s="381">
        <v>2</v>
      </c>
      <c r="L1228" s="253">
        <v>2</v>
      </c>
      <c r="M1228" s="254">
        <f t="shared" si="43"/>
        <v>0.48935255543384243</v>
      </c>
      <c r="N1228" s="479"/>
    </row>
    <row r="1229" spans="1:14" hidden="1" x14ac:dyDescent="0.2">
      <c r="A1229" s="815" t="s">
        <v>578</v>
      </c>
      <c r="B1229" s="466" t="s">
        <v>663</v>
      </c>
      <c r="C1229" s="247" t="s">
        <v>20</v>
      </c>
      <c r="D1229" s="252" t="s">
        <v>135</v>
      </c>
      <c r="E1229" s="495">
        <v>0.84463462804476641</v>
      </c>
      <c r="F1229" s="374" t="s">
        <v>664</v>
      </c>
      <c r="G1229" s="375" t="s">
        <v>16</v>
      </c>
      <c r="H1229" s="381">
        <v>1</v>
      </c>
      <c r="I1229" s="381">
        <v>2</v>
      </c>
      <c r="J1229" s="381">
        <v>3</v>
      </c>
      <c r="K1229" s="381">
        <v>2</v>
      </c>
      <c r="L1229" s="253">
        <v>2</v>
      </c>
      <c r="M1229" s="254">
        <f t="shared" si="43"/>
        <v>0.50042652380814845</v>
      </c>
      <c r="N1229" s="479"/>
    </row>
    <row r="1230" spans="1:14" hidden="1" x14ac:dyDescent="0.2">
      <c r="A1230" s="815" t="s">
        <v>578</v>
      </c>
      <c r="B1230" s="837" t="s">
        <v>560</v>
      </c>
      <c r="C1230" s="247" t="s">
        <v>20</v>
      </c>
      <c r="D1230" s="252" t="s">
        <v>135</v>
      </c>
      <c r="E1230" s="494">
        <v>9.3811718235681379E-2</v>
      </c>
      <c r="F1230" s="374" t="s">
        <v>664</v>
      </c>
      <c r="G1230" s="251" t="s">
        <v>16</v>
      </c>
      <c r="H1230" s="381">
        <v>1</v>
      </c>
      <c r="I1230" s="381">
        <v>2</v>
      </c>
      <c r="J1230" s="381">
        <v>3</v>
      </c>
      <c r="K1230" s="381">
        <v>2</v>
      </c>
      <c r="L1230" s="253">
        <v>2</v>
      </c>
      <c r="M1230" s="254">
        <f t="shared" si="43"/>
        <v>0.50042652380814845</v>
      </c>
      <c r="N1230" s="479"/>
    </row>
    <row r="1231" spans="1:14" hidden="1" x14ac:dyDescent="0.2">
      <c r="A1231" s="815" t="s">
        <v>578</v>
      </c>
      <c r="B1231" s="308" t="s">
        <v>398</v>
      </c>
      <c r="C1231" s="247" t="s">
        <v>20</v>
      </c>
      <c r="D1231" s="252" t="s">
        <v>135</v>
      </c>
      <c r="E1231" s="494">
        <v>6.1882817643186303E-2</v>
      </c>
      <c r="F1231" s="374" t="s">
        <v>664</v>
      </c>
      <c r="G1231" s="251" t="s">
        <v>16</v>
      </c>
      <c r="H1231" s="381">
        <v>1</v>
      </c>
      <c r="I1231" s="381">
        <v>2</v>
      </c>
      <c r="J1231" s="381">
        <v>3</v>
      </c>
      <c r="K1231" s="381">
        <v>2</v>
      </c>
      <c r="L1231" s="253">
        <v>2</v>
      </c>
      <c r="M1231" s="254">
        <f t="shared" si="43"/>
        <v>0.50042652380814845</v>
      </c>
      <c r="N1231" s="479"/>
    </row>
    <row r="1232" spans="1:14" hidden="1" x14ac:dyDescent="0.2">
      <c r="A1232" s="815" t="s">
        <v>578</v>
      </c>
      <c r="B1232" s="836" t="s">
        <v>399</v>
      </c>
      <c r="C1232" s="247" t="s">
        <v>20</v>
      </c>
      <c r="D1232" s="252" t="s">
        <v>135</v>
      </c>
      <c r="E1232" s="781">
        <v>0</v>
      </c>
      <c r="F1232" s="374" t="s">
        <v>664</v>
      </c>
      <c r="G1232" s="782" t="s">
        <v>16</v>
      </c>
      <c r="H1232" s="781"/>
      <c r="I1232" s="781"/>
      <c r="J1232" s="781"/>
      <c r="K1232" s="781"/>
      <c r="L1232" s="783"/>
      <c r="M1232" s="784" t="str">
        <f t="shared" si="43"/>
        <v/>
      </c>
      <c r="N1232" s="479"/>
    </row>
    <row r="1233" spans="1:14" hidden="1" x14ac:dyDescent="0.2">
      <c r="A1233" s="815" t="s">
        <v>578</v>
      </c>
      <c r="B1233" s="466" t="s">
        <v>663</v>
      </c>
      <c r="C1233" s="247" t="s">
        <v>22</v>
      </c>
      <c r="D1233" s="252" t="s">
        <v>135</v>
      </c>
      <c r="E1233" s="495">
        <v>0.1702127659574468</v>
      </c>
      <c r="F1233" s="374" t="s">
        <v>664</v>
      </c>
      <c r="G1233" s="375" t="s">
        <v>16</v>
      </c>
      <c r="H1233" s="381">
        <v>1</v>
      </c>
      <c r="I1233" s="381">
        <v>1</v>
      </c>
      <c r="J1233" s="381">
        <v>3</v>
      </c>
      <c r="K1233" s="381">
        <v>2</v>
      </c>
      <c r="L1233" s="253">
        <v>2</v>
      </c>
      <c r="M1233" s="254">
        <f t="shared" si="43"/>
        <v>0.48935255543384243</v>
      </c>
      <c r="N1233" s="479"/>
    </row>
    <row r="1234" spans="1:14" hidden="1" x14ac:dyDescent="0.2">
      <c r="A1234" s="815" t="s">
        <v>578</v>
      </c>
      <c r="B1234" s="837" t="s">
        <v>560</v>
      </c>
      <c r="C1234" s="247" t="s">
        <v>22</v>
      </c>
      <c r="D1234" s="252" t="s">
        <v>135</v>
      </c>
      <c r="E1234" s="494">
        <v>0.29078014184397172</v>
      </c>
      <c r="F1234" s="374" t="s">
        <v>664</v>
      </c>
      <c r="G1234" s="251" t="s">
        <v>16</v>
      </c>
      <c r="H1234" s="381">
        <v>1</v>
      </c>
      <c r="I1234" s="381">
        <v>1</v>
      </c>
      <c r="J1234" s="381">
        <v>3</v>
      </c>
      <c r="K1234" s="381">
        <v>2</v>
      </c>
      <c r="L1234" s="253">
        <v>2</v>
      </c>
      <c r="M1234" s="254">
        <f t="shared" si="43"/>
        <v>0.48935255543384243</v>
      </c>
      <c r="N1234" s="479"/>
    </row>
    <row r="1235" spans="1:14" hidden="1" x14ac:dyDescent="0.2">
      <c r="A1235" s="815" t="s">
        <v>578</v>
      </c>
      <c r="B1235" s="308" t="s">
        <v>398</v>
      </c>
      <c r="C1235" s="247" t="s">
        <v>22</v>
      </c>
      <c r="D1235" s="252" t="s">
        <v>135</v>
      </c>
      <c r="E1235" s="494">
        <v>0.2517730496453901</v>
      </c>
      <c r="F1235" s="374" t="s">
        <v>664</v>
      </c>
      <c r="G1235" s="251" t="s">
        <v>16</v>
      </c>
      <c r="H1235" s="381">
        <v>1</v>
      </c>
      <c r="I1235" s="381">
        <v>1</v>
      </c>
      <c r="J1235" s="381">
        <v>3</v>
      </c>
      <c r="K1235" s="381">
        <v>2</v>
      </c>
      <c r="L1235" s="253">
        <v>2</v>
      </c>
      <c r="M1235" s="254">
        <f t="shared" si="43"/>
        <v>0.48935255543384243</v>
      </c>
      <c r="N1235" s="479"/>
    </row>
    <row r="1236" spans="1:14" hidden="1" x14ac:dyDescent="0.2">
      <c r="A1236" s="815" t="s">
        <v>578</v>
      </c>
      <c r="B1236" s="836" t="s">
        <v>399</v>
      </c>
      <c r="C1236" s="247" t="s">
        <v>22</v>
      </c>
      <c r="D1236" s="252" t="s">
        <v>135</v>
      </c>
      <c r="E1236" s="494">
        <v>0.28723404255319163</v>
      </c>
      <c r="F1236" s="374" t="s">
        <v>664</v>
      </c>
      <c r="G1236" s="251" t="s">
        <v>16</v>
      </c>
      <c r="H1236" s="381">
        <v>1</v>
      </c>
      <c r="I1236" s="381">
        <v>1</v>
      </c>
      <c r="J1236" s="381">
        <v>3</v>
      </c>
      <c r="K1236" s="381">
        <v>2</v>
      </c>
      <c r="L1236" s="253">
        <v>2</v>
      </c>
      <c r="M1236" s="254">
        <f t="shared" si="43"/>
        <v>0.48935255543384243</v>
      </c>
      <c r="N1236" s="479"/>
    </row>
    <row r="1237" spans="1:14" hidden="1" x14ac:dyDescent="0.2">
      <c r="A1237" s="815" t="s">
        <v>578</v>
      </c>
      <c r="B1237" s="466" t="s">
        <v>663</v>
      </c>
      <c r="C1237" s="247" t="s">
        <v>23</v>
      </c>
      <c r="D1237" s="252" t="s">
        <v>135</v>
      </c>
      <c r="E1237" s="494">
        <v>0.1548599670510708</v>
      </c>
      <c r="F1237" s="374" t="s">
        <v>664</v>
      </c>
      <c r="G1237" s="251" t="s">
        <v>16</v>
      </c>
      <c r="H1237" s="381">
        <v>1</v>
      </c>
      <c r="I1237" s="381">
        <v>2</v>
      </c>
      <c r="J1237" s="381">
        <v>3</v>
      </c>
      <c r="K1237" s="381">
        <v>2</v>
      </c>
      <c r="L1237" s="253">
        <v>2</v>
      </c>
      <c r="M1237" s="254">
        <f t="shared" si="43"/>
        <v>0.50042652380814845</v>
      </c>
      <c r="N1237" s="479"/>
    </row>
    <row r="1238" spans="1:14" hidden="1" x14ac:dyDescent="0.2">
      <c r="A1238" s="815" t="s">
        <v>578</v>
      </c>
      <c r="B1238" s="459" t="s">
        <v>560</v>
      </c>
      <c r="C1238" s="247" t="s">
        <v>23</v>
      </c>
      <c r="D1238" s="252" t="s">
        <v>135</v>
      </c>
      <c r="E1238" s="494">
        <v>0.80065897858319601</v>
      </c>
      <c r="F1238" s="374" t="s">
        <v>664</v>
      </c>
      <c r="G1238" s="251" t="s">
        <v>16</v>
      </c>
      <c r="H1238" s="381">
        <v>1</v>
      </c>
      <c r="I1238" s="381">
        <v>2</v>
      </c>
      <c r="J1238" s="381">
        <v>3</v>
      </c>
      <c r="K1238" s="381">
        <v>2</v>
      </c>
      <c r="L1238" s="253">
        <v>2</v>
      </c>
      <c r="M1238" s="254">
        <f t="shared" si="43"/>
        <v>0.50042652380814845</v>
      </c>
      <c r="N1238" s="479"/>
    </row>
    <row r="1239" spans="1:14" hidden="1" x14ac:dyDescent="0.2">
      <c r="A1239" s="815" t="s">
        <v>578</v>
      </c>
      <c r="B1239" s="308" t="s">
        <v>398</v>
      </c>
      <c r="C1239" s="247" t="s">
        <v>23</v>
      </c>
      <c r="D1239" s="252" t="s">
        <v>135</v>
      </c>
      <c r="E1239" s="781">
        <v>0</v>
      </c>
      <c r="F1239" s="374" t="s">
        <v>664</v>
      </c>
      <c r="G1239" s="782" t="s">
        <v>16</v>
      </c>
      <c r="H1239" s="781"/>
      <c r="I1239" s="781"/>
      <c r="J1239" s="781"/>
      <c r="K1239" s="781"/>
      <c r="L1239" s="783"/>
      <c r="M1239" s="784" t="str">
        <f t="shared" si="43"/>
        <v/>
      </c>
      <c r="N1239" s="479"/>
    </row>
    <row r="1240" spans="1:14" hidden="1" x14ac:dyDescent="0.2">
      <c r="A1240" s="815" t="s">
        <v>578</v>
      </c>
      <c r="B1240" s="836" t="s">
        <v>399</v>
      </c>
      <c r="C1240" s="247" t="s">
        <v>23</v>
      </c>
      <c r="D1240" s="252" t="s">
        <v>135</v>
      </c>
      <c r="E1240" s="494">
        <v>4.4481054365733123E-2</v>
      </c>
      <c r="F1240" s="374" t="s">
        <v>664</v>
      </c>
      <c r="G1240" s="251" t="s">
        <v>16</v>
      </c>
      <c r="H1240" s="381">
        <v>1</v>
      </c>
      <c r="I1240" s="381">
        <v>2</v>
      </c>
      <c r="J1240" s="381">
        <v>3</v>
      </c>
      <c r="K1240" s="381">
        <v>2</v>
      </c>
      <c r="L1240" s="253">
        <v>2</v>
      </c>
      <c r="M1240" s="254">
        <f t="shared" si="43"/>
        <v>0.50042652380814845</v>
      </c>
      <c r="N1240" s="479"/>
    </row>
    <row r="1241" spans="1:14" hidden="1" x14ac:dyDescent="0.2">
      <c r="A1241" s="815" t="s">
        <v>578</v>
      </c>
      <c r="B1241" s="466" t="s">
        <v>663</v>
      </c>
      <c r="C1241" s="247" t="s">
        <v>24</v>
      </c>
      <c r="D1241" s="252" t="s">
        <v>135</v>
      </c>
      <c r="E1241" s="494">
        <v>0.38706585733193372</v>
      </c>
      <c r="F1241" s="374" t="s">
        <v>664</v>
      </c>
      <c r="G1241" s="251" t="s">
        <v>16</v>
      </c>
      <c r="H1241" s="381">
        <v>1</v>
      </c>
      <c r="I1241" s="381">
        <v>1</v>
      </c>
      <c r="J1241" s="381">
        <v>3</v>
      </c>
      <c r="K1241" s="381">
        <v>2</v>
      </c>
      <c r="L1241" s="253">
        <v>2</v>
      </c>
      <c r="M1241" s="254">
        <f t="shared" si="43"/>
        <v>0.48935255543384243</v>
      </c>
      <c r="N1241" s="479"/>
    </row>
    <row r="1242" spans="1:14" hidden="1" x14ac:dyDescent="0.2">
      <c r="A1242" s="815" t="s">
        <v>578</v>
      </c>
      <c r="B1242" s="837" t="s">
        <v>560</v>
      </c>
      <c r="C1242" s="247" t="s">
        <v>24</v>
      </c>
      <c r="D1242" s="252" t="s">
        <v>135</v>
      </c>
      <c r="E1242" s="494">
        <v>0.42344028113732818</v>
      </c>
      <c r="F1242" s="374" t="s">
        <v>664</v>
      </c>
      <c r="G1242" s="251" t="s">
        <v>16</v>
      </c>
      <c r="H1242" s="381">
        <v>1</v>
      </c>
      <c r="I1242" s="381">
        <v>1</v>
      </c>
      <c r="J1242" s="381">
        <v>3</v>
      </c>
      <c r="K1242" s="381">
        <v>2</v>
      </c>
      <c r="L1242" s="253">
        <v>2</v>
      </c>
      <c r="M1242" s="254">
        <f t="shared" si="43"/>
        <v>0.48935255543384243</v>
      </c>
      <c r="N1242" s="479"/>
    </row>
    <row r="1243" spans="1:14" hidden="1" x14ac:dyDescent="0.2">
      <c r="A1243" s="815" t="s">
        <v>578</v>
      </c>
      <c r="B1243" s="308" t="s">
        <v>398</v>
      </c>
      <c r="C1243" s="247" t="s">
        <v>24</v>
      </c>
      <c r="D1243" s="252" t="s">
        <v>135</v>
      </c>
      <c r="E1243" s="494">
        <v>8.037059011455433E-2</v>
      </c>
      <c r="F1243" s="374" t="s">
        <v>664</v>
      </c>
      <c r="G1243" s="251" t="s">
        <v>16</v>
      </c>
      <c r="H1243" s="381">
        <v>1</v>
      </c>
      <c r="I1243" s="381">
        <v>1</v>
      </c>
      <c r="J1243" s="381">
        <v>3</v>
      </c>
      <c r="K1243" s="381">
        <v>2</v>
      </c>
      <c r="L1243" s="253">
        <v>2</v>
      </c>
      <c r="M1243" s="254">
        <f t="shared" si="43"/>
        <v>0.48935255543384243</v>
      </c>
      <c r="N1243" s="479"/>
    </row>
    <row r="1244" spans="1:14" hidden="1" x14ac:dyDescent="0.2">
      <c r="A1244" s="815" t="s">
        <v>578</v>
      </c>
      <c r="B1244" s="836" t="s">
        <v>399</v>
      </c>
      <c r="C1244" s="247" t="s">
        <v>24</v>
      </c>
      <c r="D1244" s="252" t="s">
        <v>135</v>
      </c>
      <c r="E1244" s="494">
        <v>0.10912327141618371</v>
      </c>
      <c r="F1244" s="374" t="s">
        <v>664</v>
      </c>
      <c r="G1244" s="251" t="s">
        <v>16</v>
      </c>
      <c r="H1244" s="381">
        <v>1</v>
      </c>
      <c r="I1244" s="381">
        <v>1</v>
      </c>
      <c r="J1244" s="381">
        <v>3</v>
      </c>
      <c r="K1244" s="381">
        <v>2</v>
      </c>
      <c r="L1244" s="253">
        <v>2</v>
      </c>
      <c r="M1244" s="254">
        <f t="shared" si="43"/>
        <v>0.48935255543384243</v>
      </c>
      <c r="N1244" s="479"/>
    </row>
    <row r="1245" spans="1:14" hidden="1" x14ac:dyDescent="0.2">
      <c r="A1245" s="815" t="s">
        <v>578</v>
      </c>
      <c r="B1245" s="466" t="s">
        <v>663</v>
      </c>
      <c r="C1245" s="247" t="s">
        <v>25</v>
      </c>
      <c r="D1245" s="252" t="s">
        <v>135</v>
      </c>
      <c r="E1245" s="494">
        <v>0.89349758303446114</v>
      </c>
      <c r="F1245" s="374" t="s">
        <v>665</v>
      </c>
      <c r="G1245" s="251" t="s">
        <v>16</v>
      </c>
      <c r="H1245" s="381">
        <v>1</v>
      </c>
      <c r="I1245" s="381">
        <v>1</v>
      </c>
      <c r="J1245" s="381">
        <v>3</v>
      </c>
      <c r="K1245" s="381">
        <v>2</v>
      </c>
      <c r="L1245" s="253">
        <v>2</v>
      </c>
      <c r="M1245" s="254">
        <f t="shared" si="43"/>
        <v>0.48935255543384243</v>
      </c>
      <c r="N1245" s="479"/>
    </row>
    <row r="1246" spans="1:14" hidden="1" x14ac:dyDescent="0.2">
      <c r="A1246" s="815" t="s">
        <v>578</v>
      </c>
      <c r="B1246" s="837" t="s">
        <v>560</v>
      </c>
      <c r="C1246" s="247" t="s">
        <v>25</v>
      </c>
      <c r="D1246" s="252" t="s">
        <v>135</v>
      </c>
      <c r="E1246" s="781">
        <v>0</v>
      </c>
      <c r="F1246" s="374" t="s">
        <v>664</v>
      </c>
      <c r="G1246" s="782" t="s">
        <v>16</v>
      </c>
      <c r="H1246" s="781"/>
      <c r="I1246" s="781"/>
      <c r="J1246" s="781"/>
      <c r="K1246" s="781"/>
      <c r="L1246" s="783"/>
      <c r="M1246" s="784" t="str">
        <f t="shared" si="43"/>
        <v/>
      </c>
      <c r="N1246" s="479"/>
    </row>
    <row r="1247" spans="1:14" hidden="1" x14ac:dyDescent="0.2">
      <c r="A1247" s="815" t="s">
        <v>578</v>
      </c>
      <c r="B1247" s="308" t="s">
        <v>398</v>
      </c>
      <c r="C1247" s="247" t="s">
        <v>25</v>
      </c>
      <c r="D1247" s="252" t="s">
        <v>135</v>
      </c>
      <c r="E1247" s="781">
        <v>0</v>
      </c>
      <c r="F1247" s="374" t="s">
        <v>664</v>
      </c>
      <c r="G1247" s="782" t="s">
        <v>16</v>
      </c>
      <c r="H1247" s="781"/>
      <c r="I1247" s="781"/>
      <c r="J1247" s="781"/>
      <c r="K1247" s="781"/>
      <c r="L1247" s="783"/>
      <c r="M1247" s="784" t="str">
        <f t="shared" si="43"/>
        <v/>
      </c>
      <c r="N1247" s="479"/>
    </row>
    <row r="1248" spans="1:14" hidden="1" x14ac:dyDescent="0.2">
      <c r="A1248" s="815" t="s">
        <v>578</v>
      </c>
      <c r="B1248" s="836" t="s">
        <v>399</v>
      </c>
      <c r="C1248" s="247" t="s">
        <v>25</v>
      </c>
      <c r="D1248" s="252" t="s">
        <v>135</v>
      </c>
      <c r="E1248" s="494">
        <v>0.10650241696553869</v>
      </c>
      <c r="F1248" s="374" t="s">
        <v>665</v>
      </c>
      <c r="G1248" s="251" t="s">
        <v>16</v>
      </c>
      <c r="H1248" s="381">
        <v>1</v>
      </c>
      <c r="I1248" s="381">
        <v>1</v>
      </c>
      <c r="J1248" s="381">
        <v>3</v>
      </c>
      <c r="K1248" s="381">
        <v>2</v>
      </c>
      <c r="L1248" s="253">
        <v>2</v>
      </c>
      <c r="M1248" s="254">
        <f t="shared" si="43"/>
        <v>0.48935255543384243</v>
      </c>
      <c r="N1248" s="479"/>
    </row>
    <row r="1249" spans="1:14" hidden="1" x14ac:dyDescent="0.2">
      <c r="A1249" s="815" t="s">
        <v>578</v>
      </c>
      <c r="B1249" s="466" t="s">
        <v>663</v>
      </c>
      <c r="C1249" s="247" t="s">
        <v>26</v>
      </c>
      <c r="D1249" s="252" t="s">
        <v>135</v>
      </c>
      <c r="E1249" s="494">
        <v>0.57506925207756232</v>
      </c>
      <c r="F1249" s="374" t="s">
        <v>664</v>
      </c>
      <c r="G1249" s="251" t="s">
        <v>16</v>
      </c>
      <c r="H1249" s="381">
        <v>1</v>
      </c>
      <c r="I1249" s="381">
        <v>1</v>
      </c>
      <c r="J1249" s="381">
        <v>3</v>
      </c>
      <c r="K1249" s="381">
        <v>2</v>
      </c>
      <c r="L1249" s="253">
        <v>2</v>
      </c>
      <c r="M1249" s="254">
        <f t="shared" si="43"/>
        <v>0.48935255543384243</v>
      </c>
      <c r="N1249" s="479"/>
    </row>
    <row r="1250" spans="1:14" hidden="1" x14ac:dyDescent="0.2">
      <c r="A1250" s="815" t="s">
        <v>578</v>
      </c>
      <c r="B1250" s="459" t="s">
        <v>560</v>
      </c>
      <c r="C1250" s="247" t="s">
        <v>26</v>
      </c>
      <c r="D1250" s="252" t="s">
        <v>135</v>
      </c>
      <c r="E1250" s="494">
        <v>0.31301939058171752</v>
      </c>
      <c r="F1250" s="374" t="s">
        <v>664</v>
      </c>
      <c r="G1250" s="251" t="s">
        <v>16</v>
      </c>
      <c r="H1250" s="381">
        <v>1</v>
      </c>
      <c r="I1250" s="381">
        <v>1</v>
      </c>
      <c r="J1250" s="381">
        <v>3</v>
      </c>
      <c r="K1250" s="381">
        <v>2</v>
      </c>
      <c r="L1250" s="253">
        <v>2</v>
      </c>
      <c r="M1250" s="254">
        <f t="shared" si="43"/>
        <v>0.48935255543384243</v>
      </c>
      <c r="N1250" s="479"/>
    </row>
    <row r="1251" spans="1:14" hidden="1" x14ac:dyDescent="0.2">
      <c r="A1251" s="815" t="s">
        <v>578</v>
      </c>
      <c r="B1251" s="308" t="s">
        <v>398</v>
      </c>
      <c r="C1251" s="247" t="s">
        <v>26</v>
      </c>
      <c r="D1251" s="252" t="s">
        <v>135</v>
      </c>
      <c r="E1251" s="494">
        <v>0.11246537396121881</v>
      </c>
      <c r="F1251" s="374" t="s">
        <v>664</v>
      </c>
      <c r="G1251" s="251" t="s">
        <v>16</v>
      </c>
      <c r="H1251" s="381">
        <v>1</v>
      </c>
      <c r="I1251" s="381">
        <v>1</v>
      </c>
      <c r="J1251" s="381">
        <v>3</v>
      </c>
      <c r="K1251" s="381">
        <v>2</v>
      </c>
      <c r="L1251" s="253">
        <v>2</v>
      </c>
      <c r="M1251" s="254">
        <f t="shared" si="43"/>
        <v>0.48935255543384243</v>
      </c>
      <c r="N1251" s="479"/>
    </row>
    <row r="1252" spans="1:14" hidden="1" x14ac:dyDescent="0.2">
      <c r="A1252" s="815" t="s">
        <v>578</v>
      </c>
      <c r="B1252" s="836" t="s">
        <v>399</v>
      </c>
      <c r="C1252" s="247" t="s">
        <v>26</v>
      </c>
      <c r="D1252" s="252" t="s">
        <v>135</v>
      </c>
      <c r="E1252" s="781">
        <v>0</v>
      </c>
      <c r="F1252" s="374" t="s">
        <v>664</v>
      </c>
      <c r="G1252" s="782" t="s">
        <v>16</v>
      </c>
      <c r="H1252" s="781"/>
      <c r="I1252" s="781"/>
      <c r="J1252" s="781"/>
      <c r="K1252" s="781"/>
      <c r="L1252" s="783"/>
      <c r="M1252" s="784" t="str">
        <f t="shared" si="43"/>
        <v/>
      </c>
      <c r="N1252" s="479"/>
    </row>
    <row r="1253" spans="1:14" hidden="1" x14ac:dyDescent="0.2">
      <c r="A1253" s="815" t="s">
        <v>578</v>
      </c>
      <c r="B1253" s="466" t="s">
        <v>663</v>
      </c>
      <c r="C1253" s="247" t="s">
        <v>27</v>
      </c>
      <c r="D1253" s="252" t="s">
        <v>135</v>
      </c>
      <c r="E1253" s="494">
        <v>0.40031240237425803</v>
      </c>
      <c r="F1253" s="374" t="s">
        <v>664</v>
      </c>
      <c r="G1253" s="251" t="s">
        <v>16</v>
      </c>
      <c r="H1253" s="381">
        <v>1</v>
      </c>
      <c r="I1253" s="381">
        <v>2</v>
      </c>
      <c r="J1253" s="381">
        <v>3</v>
      </c>
      <c r="K1253" s="381">
        <v>2</v>
      </c>
      <c r="L1253" s="253">
        <v>2</v>
      </c>
      <c r="M1253" s="254">
        <f t="shared" si="43"/>
        <v>0.50042652380814845</v>
      </c>
      <c r="N1253" s="479"/>
    </row>
    <row r="1254" spans="1:14" hidden="1" x14ac:dyDescent="0.2">
      <c r="A1254" s="815" t="s">
        <v>578</v>
      </c>
      <c r="B1254" s="459" t="s">
        <v>560</v>
      </c>
      <c r="C1254" s="247" t="s">
        <v>27</v>
      </c>
      <c r="D1254" s="252" t="s">
        <v>135</v>
      </c>
      <c r="E1254" s="494">
        <v>0.58469228366135584</v>
      </c>
      <c r="F1254" s="374" t="s">
        <v>664</v>
      </c>
      <c r="G1254" s="251" t="s">
        <v>16</v>
      </c>
      <c r="H1254" s="381">
        <v>1</v>
      </c>
      <c r="I1254" s="381">
        <v>2</v>
      </c>
      <c r="J1254" s="381">
        <v>3</v>
      </c>
      <c r="K1254" s="381">
        <v>2</v>
      </c>
      <c r="L1254" s="253">
        <v>2</v>
      </c>
      <c r="M1254" s="254">
        <f t="shared" ref="M1254:M1285" si="44">IF( OR( ISBLANK(H1254),ISBLANK(I1254), ISBLANK(J1254), ISBLANK(K1254), ISBLANK(L1254) ), "", 1.5*SQRT( EXP(2.21*(H1254-1)) + EXP(2.21*(I1254-1)) + EXP(2.21*(J1254-1)) + EXP(2.21*(K1254-1)) + EXP(2.21*L1254) )/100*2.45 )</f>
        <v>0.50042652380814845</v>
      </c>
      <c r="N1254" s="479"/>
    </row>
    <row r="1255" spans="1:14" hidden="1" x14ac:dyDescent="0.2">
      <c r="A1255" s="815" t="s">
        <v>578</v>
      </c>
      <c r="B1255" s="308" t="s">
        <v>398</v>
      </c>
      <c r="C1255" s="247" t="s">
        <v>27</v>
      </c>
      <c r="D1255" s="252" t="s">
        <v>135</v>
      </c>
      <c r="E1255" s="494">
        <v>1.0996563573883161E-2</v>
      </c>
      <c r="F1255" s="374" t="s">
        <v>664</v>
      </c>
      <c r="G1255" s="251" t="s">
        <v>16</v>
      </c>
      <c r="H1255" s="381">
        <v>1</v>
      </c>
      <c r="I1255" s="381">
        <v>2</v>
      </c>
      <c r="J1255" s="381">
        <v>3</v>
      </c>
      <c r="K1255" s="381">
        <v>2</v>
      </c>
      <c r="L1255" s="253">
        <v>2</v>
      </c>
      <c r="M1255" s="254">
        <f t="shared" si="44"/>
        <v>0.50042652380814845</v>
      </c>
      <c r="N1255" s="479"/>
    </row>
    <row r="1256" spans="1:14" hidden="1" x14ac:dyDescent="0.2">
      <c r="A1256" s="815" t="s">
        <v>578</v>
      </c>
      <c r="B1256" s="836" t="s">
        <v>399</v>
      </c>
      <c r="C1256" s="247" t="s">
        <v>27</v>
      </c>
      <c r="D1256" s="252" t="s">
        <v>135</v>
      </c>
      <c r="E1256" s="494">
        <v>4.1237113402061874E-3</v>
      </c>
      <c r="F1256" s="374" t="s">
        <v>664</v>
      </c>
      <c r="G1256" s="251" t="s">
        <v>16</v>
      </c>
      <c r="H1256" s="381">
        <v>1</v>
      </c>
      <c r="I1256" s="381">
        <v>2</v>
      </c>
      <c r="J1256" s="381">
        <v>3</v>
      </c>
      <c r="K1256" s="381">
        <v>2</v>
      </c>
      <c r="L1256" s="253">
        <v>2</v>
      </c>
      <c r="M1256" s="254">
        <f t="shared" si="44"/>
        <v>0.50042652380814845</v>
      </c>
      <c r="N1256" s="479"/>
    </row>
    <row r="1257" spans="1:14" hidden="1" x14ac:dyDescent="0.2">
      <c r="A1257" s="815" t="s">
        <v>578</v>
      </c>
      <c r="B1257" s="466" t="s">
        <v>663</v>
      </c>
      <c r="C1257" s="247" t="s">
        <v>28</v>
      </c>
      <c r="D1257" s="252" t="s">
        <v>135</v>
      </c>
      <c r="E1257" s="494">
        <v>0.3838254172015404</v>
      </c>
      <c r="F1257" s="374" t="s">
        <v>664</v>
      </c>
      <c r="G1257" s="251" t="s">
        <v>16</v>
      </c>
      <c r="H1257" s="381">
        <v>1</v>
      </c>
      <c r="I1257" s="381">
        <v>2</v>
      </c>
      <c r="J1257" s="381">
        <v>3</v>
      </c>
      <c r="K1257" s="381">
        <v>2</v>
      </c>
      <c r="L1257" s="253">
        <v>2</v>
      </c>
      <c r="M1257" s="254">
        <f t="shared" si="44"/>
        <v>0.50042652380814845</v>
      </c>
      <c r="N1257" s="479"/>
    </row>
    <row r="1258" spans="1:14" hidden="1" x14ac:dyDescent="0.2">
      <c r="A1258" s="815" t="s">
        <v>578</v>
      </c>
      <c r="B1258" s="459" t="s">
        <v>560</v>
      </c>
      <c r="C1258" s="247" t="s">
        <v>28</v>
      </c>
      <c r="D1258" s="252" t="s">
        <v>135</v>
      </c>
      <c r="E1258" s="494">
        <v>0.40821566110397939</v>
      </c>
      <c r="F1258" s="374" t="s">
        <v>664</v>
      </c>
      <c r="G1258" s="251" t="s">
        <v>16</v>
      </c>
      <c r="H1258" s="381">
        <v>1</v>
      </c>
      <c r="I1258" s="381">
        <v>2</v>
      </c>
      <c r="J1258" s="381">
        <v>3</v>
      </c>
      <c r="K1258" s="381">
        <v>2</v>
      </c>
      <c r="L1258" s="253">
        <v>2</v>
      </c>
      <c r="M1258" s="254">
        <f t="shared" si="44"/>
        <v>0.50042652380814845</v>
      </c>
      <c r="N1258" s="479"/>
    </row>
    <row r="1259" spans="1:14" hidden="1" x14ac:dyDescent="0.2">
      <c r="A1259" s="815" t="s">
        <v>578</v>
      </c>
      <c r="B1259" s="308" t="s">
        <v>398</v>
      </c>
      <c r="C1259" s="247" t="s">
        <v>28</v>
      </c>
      <c r="D1259" s="252" t="s">
        <v>135</v>
      </c>
      <c r="E1259" s="494">
        <v>1.668806161745828E-2</v>
      </c>
      <c r="F1259" s="374" t="s">
        <v>664</v>
      </c>
      <c r="G1259" s="251" t="s">
        <v>16</v>
      </c>
      <c r="H1259" s="381">
        <v>1</v>
      </c>
      <c r="I1259" s="381">
        <v>2</v>
      </c>
      <c r="J1259" s="381">
        <v>3</v>
      </c>
      <c r="K1259" s="381">
        <v>2</v>
      </c>
      <c r="L1259" s="253">
        <v>2</v>
      </c>
      <c r="M1259" s="254">
        <f t="shared" si="44"/>
        <v>0.50042652380814845</v>
      </c>
      <c r="N1259" s="479"/>
    </row>
    <row r="1260" spans="1:14" hidden="1" x14ac:dyDescent="0.2">
      <c r="A1260" s="815" t="s">
        <v>578</v>
      </c>
      <c r="B1260" s="836" t="s">
        <v>399</v>
      </c>
      <c r="C1260" s="247" t="s">
        <v>28</v>
      </c>
      <c r="D1260" s="252" t="s">
        <v>135</v>
      </c>
      <c r="E1260" s="494">
        <v>0.19127086007702179</v>
      </c>
      <c r="F1260" s="374" t="s">
        <v>664</v>
      </c>
      <c r="G1260" s="251" t="s">
        <v>16</v>
      </c>
      <c r="H1260" s="381">
        <v>1</v>
      </c>
      <c r="I1260" s="381">
        <v>2</v>
      </c>
      <c r="J1260" s="381">
        <v>3</v>
      </c>
      <c r="K1260" s="381">
        <v>2</v>
      </c>
      <c r="L1260" s="253">
        <v>2</v>
      </c>
      <c r="M1260" s="254">
        <f t="shared" si="44"/>
        <v>0.50042652380814845</v>
      </c>
      <c r="N1260" s="479"/>
    </row>
    <row r="1261" spans="1:14" hidden="1" x14ac:dyDescent="0.2">
      <c r="A1261" s="815" t="s">
        <v>578</v>
      </c>
      <c r="B1261" s="466" t="s">
        <v>663</v>
      </c>
      <c r="C1261" s="247" t="s">
        <v>30</v>
      </c>
      <c r="D1261" s="252" t="s">
        <v>135</v>
      </c>
      <c r="E1261" s="494">
        <v>0.16646496464906749</v>
      </c>
      <c r="F1261" s="374" t="s">
        <v>664</v>
      </c>
      <c r="G1261" s="251" t="s">
        <v>16</v>
      </c>
      <c r="H1261" s="381">
        <v>1</v>
      </c>
      <c r="I1261" s="381">
        <v>2</v>
      </c>
      <c r="J1261" s="381">
        <v>3</v>
      </c>
      <c r="K1261" s="381">
        <v>2</v>
      </c>
      <c r="L1261" s="253">
        <v>2</v>
      </c>
      <c r="M1261" s="254">
        <f t="shared" si="44"/>
        <v>0.50042652380814845</v>
      </c>
      <c r="N1261" s="479"/>
    </row>
    <row r="1262" spans="1:14" hidden="1" x14ac:dyDescent="0.2">
      <c r="A1262" s="815" t="s">
        <v>578</v>
      </c>
      <c r="B1262" s="459" t="s">
        <v>560</v>
      </c>
      <c r="C1262" s="247" t="s">
        <v>30</v>
      </c>
      <c r="D1262" s="252" t="s">
        <v>135</v>
      </c>
      <c r="E1262" s="494">
        <v>8.4680104460413338E-2</v>
      </c>
      <c r="F1262" s="374" t="s">
        <v>664</v>
      </c>
      <c r="G1262" s="251" t="s">
        <v>16</v>
      </c>
      <c r="H1262" s="381">
        <v>1</v>
      </c>
      <c r="I1262" s="381">
        <v>2</v>
      </c>
      <c r="J1262" s="381">
        <v>3</v>
      </c>
      <c r="K1262" s="381">
        <v>2</v>
      </c>
      <c r="L1262" s="253">
        <v>2</v>
      </c>
      <c r="M1262" s="254">
        <f t="shared" si="44"/>
        <v>0.50042652380814845</v>
      </c>
      <c r="N1262" s="479"/>
    </row>
    <row r="1263" spans="1:14" hidden="1" x14ac:dyDescent="0.2">
      <c r="A1263" s="815" t="s">
        <v>578</v>
      </c>
      <c r="B1263" s="308" t="s">
        <v>398</v>
      </c>
      <c r="C1263" s="247" t="s">
        <v>30</v>
      </c>
      <c r="D1263" s="252" t="s">
        <v>135</v>
      </c>
      <c r="E1263" s="781">
        <v>0</v>
      </c>
      <c r="F1263" s="374" t="s">
        <v>664</v>
      </c>
      <c r="G1263" s="782" t="s">
        <v>16</v>
      </c>
      <c r="H1263" s="781"/>
      <c r="I1263" s="781"/>
      <c r="J1263" s="781"/>
      <c r="K1263" s="781"/>
      <c r="L1263" s="783"/>
      <c r="M1263" s="784" t="str">
        <f t="shared" si="44"/>
        <v/>
      </c>
      <c r="N1263" s="479"/>
    </row>
    <row r="1264" spans="1:14" hidden="1" x14ac:dyDescent="0.2">
      <c r="A1264" s="815" t="s">
        <v>578</v>
      </c>
      <c r="B1264" s="836" t="s">
        <v>399</v>
      </c>
      <c r="C1264" s="247" t="s">
        <v>30</v>
      </c>
      <c r="D1264" s="252" t="s">
        <v>135</v>
      </c>
      <c r="E1264" s="494">
        <v>0.74885493089051924</v>
      </c>
      <c r="F1264" s="374" t="s">
        <v>664</v>
      </c>
      <c r="G1264" s="251" t="s">
        <v>16</v>
      </c>
      <c r="H1264" s="381">
        <v>1</v>
      </c>
      <c r="I1264" s="381">
        <v>2</v>
      </c>
      <c r="J1264" s="381">
        <v>3</v>
      </c>
      <c r="K1264" s="381">
        <v>2</v>
      </c>
      <c r="L1264" s="253">
        <v>2</v>
      </c>
      <c r="M1264" s="254">
        <f t="shared" si="44"/>
        <v>0.50042652380814845</v>
      </c>
      <c r="N1264" s="479"/>
    </row>
    <row r="1265" spans="1:14" hidden="1" x14ac:dyDescent="0.2">
      <c r="A1265" s="815" t="s">
        <v>578</v>
      </c>
      <c r="B1265" s="466" t="s">
        <v>663</v>
      </c>
      <c r="C1265" s="247" t="s">
        <v>32</v>
      </c>
      <c r="D1265" s="252" t="s">
        <v>135</v>
      </c>
      <c r="E1265" s="494">
        <v>0.1202785646836638</v>
      </c>
      <c r="F1265" s="374" t="s">
        <v>664</v>
      </c>
      <c r="G1265" s="251" t="s">
        <v>16</v>
      </c>
      <c r="H1265" s="381">
        <v>1</v>
      </c>
      <c r="I1265" s="381">
        <v>2</v>
      </c>
      <c r="J1265" s="381">
        <v>3</v>
      </c>
      <c r="K1265" s="381">
        <v>2</v>
      </c>
      <c r="L1265" s="253">
        <v>2</v>
      </c>
      <c r="M1265" s="254">
        <f t="shared" si="44"/>
        <v>0.50042652380814845</v>
      </c>
      <c r="N1265" s="479"/>
    </row>
    <row r="1266" spans="1:14" hidden="1" x14ac:dyDescent="0.2">
      <c r="A1266" s="815" t="s">
        <v>578</v>
      </c>
      <c r="B1266" s="459" t="s">
        <v>560</v>
      </c>
      <c r="C1266" s="247" t="s">
        <v>32</v>
      </c>
      <c r="D1266" s="252" t="s">
        <v>135</v>
      </c>
      <c r="E1266" s="781">
        <v>0</v>
      </c>
      <c r="F1266" s="374" t="s">
        <v>664</v>
      </c>
      <c r="G1266" s="782" t="s">
        <v>16</v>
      </c>
      <c r="H1266" s="781"/>
      <c r="I1266" s="781"/>
      <c r="J1266" s="781"/>
      <c r="K1266" s="781"/>
      <c r="L1266" s="783"/>
      <c r="M1266" s="784" t="str">
        <f t="shared" si="44"/>
        <v/>
      </c>
      <c r="N1266" s="479"/>
    </row>
    <row r="1267" spans="1:14" hidden="1" x14ac:dyDescent="0.2">
      <c r="A1267" s="815" t="s">
        <v>578</v>
      </c>
      <c r="B1267" s="308" t="s">
        <v>398</v>
      </c>
      <c r="C1267" s="247" t="s">
        <v>32</v>
      </c>
      <c r="D1267" s="252" t="s">
        <v>135</v>
      </c>
      <c r="E1267" s="494">
        <v>0.43472615675165238</v>
      </c>
      <c r="F1267" s="374" t="s">
        <v>664</v>
      </c>
      <c r="G1267" s="251" t="s">
        <v>16</v>
      </c>
      <c r="H1267" s="381">
        <v>1</v>
      </c>
      <c r="I1267" s="381">
        <v>2</v>
      </c>
      <c r="J1267" s="381">
        <v>3</v>
      </c>
      <c r="K1267" s="381">
        <v>2</v>
      </c>
      <c r="L1267" s="253">
        <v>2</v>
      </c>
      <c r="M1267" s="254">
        <f t="shared" si="44"/>
        <v>0.50042652380814845</v>
      </c>
      <c r="N1267" s="479"/>
    </row>
    <row r="1268" spans="1:14" hidden="1" x14ac:dyDescent="0.2">
      <c r="A1268" s="815" t="s">
        <v>578</v>
      </c>
      <c r="B1268" s="836" t="s">
        <v>399</v>
      </c>
      <c r="C1268" s="247" t="s">
        <v>32</v>
      </c>
      <c r="D1268" s="252" t="s">
        <v>135</v>
      </c>
      <c r="E1268" s="494">
        <v>0.44511331444759211</v>
      </c>
      <c r="F1268" s="374" t="s">
        <v>664</v>
      </c>
      <c r="G1268" s="251" t="s">
        <v>16</v>
      </c>
      <c r="H1268" s="381">
        <v>1</v>
      </c>
      <c r="I1268" s="381">
        <v>2</v>
      </c>
      <c r="J1268" s="381">
        <v>3</v>
      </c>
      <c r="K1268" s="381">
        <v>2</v>
      </c>
      <c r="L1268" s="253">
        <v>2</v>
      </c>
      <c r="M1268" s="254">
        <f t="shared" si="44"/>
        <v>0.50042652380814845</v>
      </c>
      <c r="N1268" s="479"/>
    </row>
    <row r="1269" spans="1:14" hidden="1" x14ac:dyDescent="0.2">
      <c r="A1269" s="815" t="s">
        <v>578</v>
      </c>
      <c r="B1269" s="466" t="s">
        <v>663</v>
      </c>
      <c r="C1269" s="247" t="s">
        <v>34</v>
      </c>
      <c r="D1269" s="252" t="s">
        <v>135</v>
      </c>
      <c r="E1269" s="494">
        <v>0.20159358879882089</v>
      </c>
      <c r="F1269" s="374" t="s">
        <v>664</v>
      </c>
      <c r="G1269" s="251" t="s">
        <v>16</v>
      </c>
      <c r="H1269" s="381">
        <v>1</v>
      </c>
      <c r="I1269" s="381">
        <v>2</v>
      </c>
      <c r="J1269" s="381">
        <v>3</v>
      </c>
      <c r="K1269" s="381">
        <v>2</v>
      </c>
      <c r="L1269" s="253">
        <v>2</v>
      </c>
      <c r="M1269" s="254">
        <f t="shared" si="44"/>
        <v>0.50042652380814845</v>
      </c>
      <c r="N1269" s="479"/>
    </row>
    <row r="1270" spans="1:14" hidden="1" x14ac:dyDescent="0.2">
      <c r="A1270" s="815" t="s">
        <v>578</v>
      </c>
      <c r="B1270" s="459" t="s">
        <v>560</v>
      </c>
      <c r="C1270" s="247" t="s">
        <v>34</v>
      </c>
      <c r="D1270" s="252" t="s">
        <v>135</v>
      </c>
      <c r="E1270" s="494">
        <v>0.73622881355932202</v>
      </c>
      <c r="F1270" s="374" t="s">
        <v>664</v>
      </c>
      <c r="G1270" s="251" t="s">
        <v>16</v>
      </c>
      <c r="H1270" s="381">
        <v>1</v>
      </c>
      <c r="I1270" s="381">
        <v>2</v>
      </c>
      <c r="J1270" s="381">
        <v>3</v>
      </c>
      <c r="K1270" s="381">
        <v>2</v>
      </c>
      <c r="L1270" s="253">
        <v>2</v>
      </c>
      <c r="M1270" s="254">
        <f t="shared" si="44"/>
        <v>0.50042652380814845</v>
      </c>
      <c r="N1270" s="479"/>
    </row>
    <row r="1271" spans="1:14" hidden="1" x14ac:dyDescent="0.2">
      <c r="A1271" s="815" t="s">
        <v>578</v>
      </c>
      <c r="B1271" s="308" t="s">
        <v>398</v>
      </c>
      <c r="C1271" s="247" t="s">
        <v>34</v>
      </c>
      <c r="D1271" s="252" t="s">
        <v>135</v>
      </c>
      <c r="E1271" s="494">
        <v>5.8953574060427406E-3</v>
      </c>
      <c r="F1271" s="374" t="s">
        <v>664</v>
      </c>
      <c r="G1271" s="251" t="s">
        <v>16</v>
      </c>
      <c r="H1271" s="381">
        <v>1</v>
      </c>
      <c r="I1271" s="381">
        <v>2</v>
      </c>
      <c r="J1271" s="381">
        <v>3</v>
      </c>
      <c r="K1271" s="381">
        <v>2</v>
      </c>
      <c r="L1271" s="253">
        <v>2</v>
      </c>
      <c r="M1271" s="254">
        <f t="shared" si="44"/>
        <v>0.50042652380814845</v>
      </c>
      <c r="N1271" s="479"/>
    </row>
    <row r="1272" spans="1:14" hidden="1" x14ac:dyDescent="0.2">
      <c r="A1272" s="815" t="s">
        <v>578</v>
      </c>
      <c r="B1272" s="836" t="s">
        <v>399</v>
      </c>
      <c r="C1272" s="247" t="s">
        <v>34</v>
      </c>
      <c r="D1272" s="252" t="s">
        <v>135</v>
      </c>
      <c r="E1272" s="494">
        <v>5.6282240235814303E-2</v>
      </c>
      <c r="F1272" s="374" t="s">
        <v>664</v>
      </c>
      <c r="G1272" s="251" t="s">
        <v>16</v>
      </c>
      <c r="H1272" s="381">
        <v>1</v>
      </c>
      <c r="I1272" s="381">
        <v>2</v>
      </c>
      <c r="J1272" s="381">
        <v>3</v>
      </c>
      <c r="K1272" s="381">
        <v>2</v>
      </c>
      <c r="L1272" s="253">
        <v>2</v>
      </c>
      <c r="M1272" s="254">
        <f t="shared" si="44"/>
        <v>0.50042652380814845</v>
      </c>
      <c r="N1272" s="479"/>
    </row>
    <row r="1273" spans="1:14" hidden="1" x14ac:dyDescent="0.2">
      <c r="A1273" s="815" t="s">
        <v>578</v>
      </c>
      <c r="B1273" s="466" t="s">
        <v>663</v>
      </c>
      <c r="C1273" s="247" t="s">
        <v>36</v>
      </c>
      <c r="D1273" s="252" t="s">
        <v>135</v>
      </c>
      <c r="E1273" s="494">
        <v>0.88727085831762886</v>
      </c>
      <c r="F1273" s="374" t="s">
        <v>664</v>
      </c>
      <c r="G1273" s="251" t="s">
        <v>16</v>
      </c>
      <c r="H1273" s="381">
        <v>1</v>
      </c>
      <c r="I1273" s="381">
        <v>1</v>
      </c>
      <c r="J1273" s="381">
        <v>3</v>
      </c>
      <c r="K1273" s="381">
        <v>2</v>
      </c>
      <c r="L1273" s="253">
        <v>2</v>
      </c>
      <c r="M1273" s="254">
        <f t="shared" si="44"/>
        <v>0.48935255543384243</v>
      </c>
      <c r="N1273" s="479"/>
    </row>
    <row r="1274" spans="1:14" hidden="1" x14ac:dyDescent="0.2">
      <c r="A1274" s="815" t="s">
        <v>578</v>
      </c>
      <c r="B1274" s="459" t="s">
        <v>560</v>
      </c>
      <c r="C1274" s="247" t="s">
        <v>36</v>
      </c>
      <c r="D1274" s="252" t="s">
        <v>135</v>
      </c>
      <c r="E1274" s="494">
        <v>0.111358574610245</v>
      </c>
      <c r="F1274" s="374" t="s">
        <v>664</v>
      </c>
      <c r="G1274" s="251" t="s">
        <v>16</v>
      </c>
      <c r="H1274" s="381">
        <v>1</v>
      </c>
      <c r="I1274" s="381">
        <v>1</v>
      </c>
      <c r="J1274" s="381">
        <v>3</v>
      </c>
      <c r="K1274" s="381">
        <v>2</v>
      </c>
      <c r="L1274" s="253">
        <v>2</v>
      </c>
      <c r="M1274" s="254">
        <f t="shared" si="44"/>
        <v>0.48935255543384243</v>
      </c>
      <c r="N1274" s="479"/>
    </row>
    <row r="1275" spans="1:14" hidden="1" x14ac:dyDescent="0.2">
      <c r="A1275" s="815" t="s">
        <v>578</v>
      </c>
      <c r="B1275" s="308" t="s">
        <v>398</v>
      </c>
      <c r="C1275" s="247" t="s">
        <v>36</v>
      </c>
      <c r="D1275" s="252" t="s">
        <v>135</v>
      </c>
      <c r="E1275" s="494">
        <v>1.1992461881103311E-3</v>
      </c>
      <c r="F1275" s="374" t="s">
        <v>664</v>
      </c>
      <c r="G1275" s="251" t="s">
        <v>16</v>
      </c>
      <c r="H1275" s="381">
        <v>1</v>
      </c>
      <c r="I1275" s="381">
        <v>1</v>
      </c>
      <c r="J1275" s="381">
        <v>3</v>
      </c>
      <c r="K1275" s="381">
        <v>2</v>
      </c>
      <c r="L1275" s="253">
        <v>2</v>
      </c>
      <c r="M1275" s="254">
        <f t="shared" si="44"/>
        <v>0.48935255543384243</v>
      </c>
      <c r="N1275" s="479"/>
    </row>
    <row r="1276" spans="1:14" hidden="1" x14ac:dyDescent="0.2">
      <c r="A1276" s="815" t="s">
        <v>578</v>
      </c>
      <c r="B1276" s="836" t="s">
        <v>399</v>
      </c>
      <c r="C1276" s="247" t="s">
        <v>36</v>
      </c>
      <c r="D1276" s="252" t="s">
        <v>135</v>
      </c>
      <c r="E1276" s="781">
        <v>0</v>
      </c>
      <c r="F1276" s="374" t="s">
        <v>664</v>
      </c>
      <c r="G1276" s="782" t="s">
        <v>16</v>
      </c>
      <c r="H1276" s="781"/>
      <c r="I1276" s="781"/>
      <c r="J1276" s="781"/>
      <c r="K1276" s="781"/>
      <c r="L1276" s="783"/>
      <c r="M1276" s="784" t="str">
        <f t="shared" si="44"/>
        <v/>
      </c>
      <c r="N1276" s="479"/>
    </row>
    <row r="1277" spans="1:14" hidden="1" x14ac:dyDescent="0.2">
      <c r="A1277" s="815" t="s">
        <v>578</v>
      </c>
      <c r="B1277" s="466" t="s">
        <v>663</v>
      </c>
      <c r="C1277" s="247" t="s">
        <v>37</v>
      </c>
      <c r="D1277" s="252" t="s">
        <v>135</v>
      </c>
      <c r="E1277" s="494">
        <v>0.76</v>
      </c>
      <c r="F1277" s="374" t="s">
        <v>666</v>
      </c>
      <c r="G1277" s="251" t="s">
        <v>16</v>
      </c>
      <c r="H1277" s="381">
        <v>1</v>
      </c>
      <c r="I1277" s="381">
        <v>1</v>
      </c>
      <c r="J1277" s="381">
        <v>3</v>
      </c>
      <c r="K1277" s="381">
        <v>2</v>
      </c>
      <c r="L1277" s="253">
        <v>2</v>
      </c>
      <c r="M1277" s="254">
        <f t="shared" si="44"/>
        <v>0.48935255543384243</v>
      </c>
      <c r="N1277" s="479"/>
    </row>
    <row r="1278" spans="1:14" hidden="1" x14ac:dyDescent="0.2">
      <c r="A1278" s="815" t="s">
        <v>578</v>
      </c>
      <c r="B1278" s="459" t="s">
        <v>560</v>
      </c>
      <c r="C1278" s="247" t="s">
        <v>37</v>
      </c>
      <c r="D1278" s="252" t="s">
        <v>135</v>
      </c>
      <c r="E1278" s="781">
        <v>0</v>
      </c>
      <c r="F1278" s="374" t="s">
        <v>664</v>
      </c>
      <c r="G1278" s="782" t="s">
        <v>16</v>
      </c>
      <c r="H1278" s="781"/>
      <c r="I1278" s="781"/>
      <c r="J1278" s="781"/>
      <c r="K1278" s="781"/>
      <c r="L1278" s="783"/>
      <c r="M1278" s="784" t="str">
        <f t="shared" si="44"/>
        <v/>
      </c>
      <c r="N1278" s="479"/>
    </row>
    <row r="1279" spans="1:14" hidden="1" x14ac:dyDescent="0.2">
      <c r="A1279" s="815" t="s">
        <v>578</v>
      </c>
      <c r="B1279" s="308" t="s">
        <v>398</v>
      </c>
      <c r="C1279" s="247" t="s">
        <v>37</v>
      </c>
      <c r="D1279" s="252" t="s">
        <v>135</v>
      </c>
      <c r="E1279" s="494">
        <v>0.08</v>
      </c>
      <c r="F1279" s="374" t="s">
        <v>666</v>
      </c>
      <c r="G1279" s="251" t="s">
        <v>16</v>
      </c>
      <c r="H1279" s="381">
        <v>1</v>
      </c>
      <c r="I1279" s="381">
        <v>1</v>
      </c>
      <c r="J1279" s="381">
        <v>3</v>
      </c>
      <c r="K1279" s="381">
        <v>2</v>
      </c>
      <c r="L1279" s="253">
        <v>2</v>
      </c>
      <c r="M1279" s="254">
        <f t="shared" si="44"/>
        <v>0.48935255543384243</v>
      </c>
      <c r="N1279" s="479"/>
    </row>
    <row r="1280" spans="1:14" hidden="1" x14ac:dyDescent="0.2">
      <c r="A1280" s="815" t="s">
        <v>578</v>
      </c>
      <c r="B1280" s="836" t="s">
        <v>399</v>
      </c>
      <c r="C1280" s="247" t="s">
        <v>37</v>
      </c>
      <c r="D1280" s="252" t="s">
        <v>135</v>
      </c>
      <c r="E1280" s="494">
        <v>0.09</v>
      </c>
      <c r="F1280" s="374" t="s">
        <v>666</v>
      </c>
      <c r="G1280" s="251" t="s">
        <v>16</v>
      </c>
      <c r="H1280" s="381">
        <v>1</v>
      </c>
      <c r="I1280" s="381">
        <v>1</v>
      </c>
      <c r="J1280" s="381">
        <v>3</v>
      </c>
      <c r="K1280" s="381">
        <v>2</v>
      </c>
      <c r="L1280" s="253">
        <v>2</v>
      </c>
      <c r="M1280" s="254">
        <f t="shared" si="44"/>
        <v>0.48935255543384243</v>
      </c>
      <c r="N1280" s="479"/>
    </row>
    <row r="1281" spans="1:14" hidden="1" x14ac:dyDescent="0.2">
      <c r="A1281" s="815" t="s">
        <v>578</v>
      </c>
      <c r="B1281" s="466" t="s">
        <v>663</v>
      </c>
      <c r="C1281" s="247" t="s">
        <v>39</v>
      </c>
      <c r="D1281" s="252" t="s">
        <v>135</v>
      </c>
      <c r="E1281" s="494">
        <v>0.34161819143310418</v>
      </c>
      <c r="F1281" s="374" t="s">
        <v>664</v>
      </c>
      <c r="G1281" s="251" t="s">
        <v>16</v>
      </c>
      <c r="H1281" s="381">
        <v>1</v>
      </c>
      <c r="I1281" s="381">
        <v>1</v>
      </c>
      <c r="J1281" s="381">
        <v>3</v>
      </c>
      <c r="K1281" s="381">
        <v>2</v>
      </c>
      <c r="L1281" s="253">
        <v>2</v>
      </c>
      <c r="M1281" s="254">
        <f t="shared" si="44"/>
        <v>0.48935255543384243</v>
      </c>
      <c r="N1281" s="479"/>
    </row>
    <row r="1282" spans="1:14" hidden="1" x14ac:dyDescent="0.2">
      <c r="A1282" s="815" t="s">
        <v>578</v>
      </c>
      <c r="B1282" s="459" t="s">
        <v>560</v>
      </c>
      <c r="C1282" s="247" t="s">
        <v>39</v>
      </c>
      <c r="D1282" s="252" t="s">
        <v>135</v>
      </c>
      <c r="E1282" s="494">
        <v>0.24643046007403491</v>
      </c>
      <c r="F1282" s="374" t="s">
        <v>664</v>
      </c>
      <c r="G1282" s="251" t="s">
        <v>16</v>
      </c>
      <c r="H1282" s="381">
        <v>1</v>
      </c>
      <c r="I1282" s="381">
        <v>1</v>
      </c>
      <c r="J1282" s="381">
        <v>3</v>
      </c>
      <c r="K1282" s="381">
        <v>2</v>
      </c>
      <c r="L1282" s="253">
        <v>2</v>
      </c>
      <c r="M1282" s="254">
        <f t="shared" si="44"/>
        <v>0.48935255543384243</v>
      </c>
      <c r="N1282" s="479"/>
    </row>
    <row r="1283" spans="1:14" hidden="1" x14ac:dyDescent="0.2">
      <c r="A1283" s="815" t="s">
        <v>578</v>
      </c>
      <c r="B1283" s="308" t="s">
        <v>398</v>
      </c>
      <c r="C1283" s="247" t="s">
        <v>39</v>
      </c>
      <c r="D1283" s="252" t="s">
        <v>135</v>
      </c>
      <c r="E1283" s="494">
        <v>3.8603913273400313E-2</v>
      </c>
      <c r="F1283" s="374" t="s">
        <v>664</v>
      </c>
      <c r="G1283" s="251" t="s">
        <v>16</v>
      </c>
      <c r="H1283" s="381">
        <v>1</v>
      </c>
      <c r="I1283" s="381">
        <v>1</v>
      </c>
      <c r="J1283" s="381">
        <v>3</v>
      </c>
      <c r="K1283" s="381">
        <v>2</v>
      </c>
      <c r="L1283" s="253">
        <v>2</v>
      </c>
      <c r="M1283" s="254">
        <f t="shared" si="44"/>
        <v>0.48935255543384243</v>
      </c>
      <c r="N1283" s="479"/>
    </row>
    <row r="1284" spans="1:14" hidden="1" x14ac:dyDescent="0.2">
      <c r="A1284" s="815" t="s">
        <v>578</v>
      </c>
      <c r="B1284" s="836" t="s">
        <v>399</v>
      </c>
      <c r="C1284" s="247" t="s">
        <v>39</v>
      </c>
      <c r="D1284" s="252" t="s">
        <v>135</v>
      </c>
      <c r="E1284" s="781">
        <v>0</v>
      </c>
      <c r="F1284" s="374" t="s">
        <v>664</v>
      </c>
      <c r="G1284" s="782" t="s">
        <v>16</v>
      </c>
      <c r="H1284" s="781"/>
      <c r="I1284" s="781"/>
      <c r="J1284" s="781"/>
      <c r="K1284" s="781"/>
      <c r="L1284" s="783"/>
      <c r="M1284" s="784" t="str">
        <f t="shared" si="44"/>
        <v/>
      </c>
      <c r="N1284" s="479"/>
    </row>
    <row r="1285" spans="1:14" hidden="1" x14ac:dyDescent="0.2">
      <c r="A1285" s="815" t="s">
        <v>578</v>
      </c>
      <c r="B1285" s="466" t="s">
        <v>663</v>
      </c>
      <c r="C1285" s="247" t="s">
        <v>40</v>
      </c>
      <c r="D1285" s="252" t="s">
        <v>135</v>
      </c>
      <c r="E1285" s="494">
        <v>0.28207482212531548</v>
      </c>
      <c r="F1285" s="374" t="s">
        <v>664</v>
      </c>
      <c r="G1285" s="251" t="s">
        <v>16</v>
      </c>
      <c r="H1285" s="381">
        <v>1</v>
      </c>
      <c r="I1285" s="381">
        <v>1</v>
      </c>
      <c r="J1285" s="381">
        <v>3</v>
      </c>
      <c r="K1285" s="381">
        <v>2</v>
      </c>
      <c r="L1285" s="253">
        <v>2</v>
      </c>
      <c r="M1285" s="254">
        <f t="shared" si="44"/>
        <v>0.48935255543384243</v>
      </c>
      <c r="N1285" s="479"/>
    </row>
    <row r="1286" spans="1:14" hidden="1" x14ac:dyDescent="0.2">
      <c r="A1286" s="815" t="s">
        <v>578</v>
      </c>
      <c r="B1286" s="459" t="s">
        <v>560</v>
      </c>
      <c r="C1286" s="247" t="s">
        <v>40</v>
      </c>
      <c r="D1286" s="252" t="s">
        <v>135</v>
      </c>
      <c r="E1286" s="494">
        <v>0.34886389717695659</v>
      </c>
      <c r="F1286" s="374" t="s">
        <v>664</v>
      </c>
      <c r="G1286" s="251" t="s">
        <v>16</v>
      </c>
      <c r="H1286" s="381">
        <v>1</v>
      </c>
      <c r="I1286" s="381">
        <v>1</v>
      </c>
      <c r="J1286" s="381">
        <v>3</v>
      </c>
      <c r="K1286" s="381">
        <v>2</v>
      </c>
      <c r="L1286" s="253">
        <v>2</v>
      </c>
      <c r="M1286" s="254">
        <f t="shared" ref="M1286:M1295" si="45">IF( OR( ISBLANK(H1286),ISBLANK(I1286), ISBLANK(J1286), ISBLANK(K1286), ISBLANK(L1286) ), "", 1.5*SQRT( EXP(2.21*(H1286-1)) + EXP(2.21*(I1286-1)) + EXP(2.21*(J1286-1)) + EXP(2.21*(K1286-1)) + EXP(2.21*L1286) )/100*2.45 )</f>
        <v>0.48935255543384243</v>
      </c>
      <c r="N1286" s="479"/>
    </row>
    <row r="1287" spans="1:14" hidden="1" x14ac:dyDescent="0.2">
      <c r="A1287" s="815" t="s">
        <v>578</v>
      </c>
      <c r="B1287" s="308" t="s">
        <v>398</v>
      </c>
      <c r="C1287" s="247" t="s">
        <v>40</v>
      </c>
      <c r="D1287" s="252" t="s">
        <v>135</v>
      </c>
      <c r="E1287" s="494">
        <v>3.7870094101445949E-2</v>
      </c>
      <c r="F1287" s="374" t="s">
        <v>664</v>
      </c>
      <c r="G1287" s="251" t="s">
        <v>16</v>
      </c>
      <c r="H1287" s="381">
        <v>1</v>
      </c>
      <c r="I1287" s="381">
        <v>1</v>
      </c>
      <c r="J1287" s="381">
        <v>3</v>
      </c>
      <c r="K1287" s="381">
        <v>2</v>
      </c>
      <c r="L1287" s="253">
        <v>2</v>
      </c>
      <c r="M1287" s="254">
        <f t="shared" si="45"/>
        <v>0.48935255543384243</v>
      </c>
      <c r="N1287" s="479"/>
    </row>
    <row r="1288" spans="1:14" hidden="1" x14ac:dyDescent="0.2">
      <c r="A1288" s="815" t="s">
        <v>578</v>
      </c>
      <c r="B1288" s="836" t="s">
        <v>399</v>
      </c>
      <c r="C1288" s="247" t="s">
        <v>40</v>
      </c>
      <c r="D1288" s="252" t="s">
        <v>135</v>
      </c>
      <c r="E1288" s="494">
        <v>0.33119118659628188</v>
      </c>
      <c r="F1288" s="374" t="s">
        <v>664</v>
      </c>
      <c r="G1288" s="251" t="s">
        <v>16</v>
      </c>
      <c r="H1288" s="381">
        <v>1</v>
      </c>
      <c r="I1288" s="381">
        <v>1</v>
      </c>
      <c r="J1288" s="381">
        <v>3</v>
      </c>
      <c r="K1288" s="381">
        <v>2</v>
      </c>
      <c r="L1288" s="253">
        <v>2</v>
      </c>
      <c r="M1288" s="254">
        <f t="shared" si="45"/>
        <v>0.48935255543384243</v>
      </c>
      <c r="N1288" s="479"/>
    </row>
    <row r="1289" spans="1:14" hidden="1" x14ac:dyDescent="0.2">
      <c r="A1289" s="815" t="s">
        <v>578</v>
      </c>
      <c r="B1289" s="466" t="s">
        <v>663</v>
      </c>
      <c r="C1289" s="247" t="s">
        <v>41</v>
      </c>
      <c r="D1289" s="252" t="s">
        <v>135</v>
      </c>
      <c r="E1289" s="494">
        <v>0.30045523520485579</v>
      </c>
      <c r="F1289" s="374" t="s">
        <v>664</v>
      </c>
      <c r="G1289" s="251" t="s">
        <v>16</v>
      </c>
      <c r="H1289" s="381">
        <v>1</v>
      </c>
      <c r="I1289" s="381">
        <v>1</v>
      </c>
      <c r="J1289" s="381">
        <v>3</v>
      </c>
      <c r="K1289" s="381">
        <v>2</v>
      </c>
      <c r="L1289" s="253">
        <v>2</v>
      </c>
      <c r="M1289" s="254">
        <f t="shared" si="45"/>
        <v>0.48935255543384243</v>
      </c>
      <c r="N1289" s="479"/>
    </row>
    <row r="1290" spans="1:14" hidden="1" x14ac:dyDescent="0.2">
      <c r="A1290" s="815" t="s">
        <v>578</v>
      </c>
      <c r="B1290" s="459" t="s">
        <v>560</v>
      </c>
      <c r="C1290" s="247" t="s">
        <v>41</v>
      </c>
      <c r="D1290" s="252" t="s">
        <v>135</v>
      </c>
      <c r="E1290" s="494">
        <v>0.2185128983308042</v>
      </c>
      <c r="F1290" s="374" t="s">
        <v>664</v>
      </c>
      <c r="G1290" s="251" t="s">
        <v>16</v>
      </c>
      <c r="H1290" s="381">
        <v>1</v>
      </c>
      <c r="I1290" s="381">
        <v>1</v>
      </c>
      <c r="J1290" s="381">
        <v>3</v>
      </c>
      <c r="K1290" s="381">
        <v>2</v>
      </c>
      <c r="L1290" s="253">
        <v>2</v>
      </c>
      <c r="M1290" s="254">
        <f t="shared" si="45"/>
        <v>0.48935255543384243</v>
      </c>
      <c r="N1290" s="479"/>
    </row>
    <row r="1291" spans="1:14" hidden="1" x14ac:dyDescent="0.2">
      <c r="A1291" s="815" t="s">
        <v>578</v>
      </c>
      <c r="B1291" s="308" t="s">
        <v>398</v>
      </c>
      <c r="C1291" s="247" t="s">
        <v>41</v>
      </c>
      <c r="D1291" s="252" t="s">
        <v>135</v>
      </c>
      <c r="E1291" s="781">
        <v>0</v>
      </c>
      <c r="F1291" s="374" t="s">
        <v>664</v>
      </c>
      <c r="G1291" s="782" t="s">
        <v>16</v>
      </c>
      <c r="H1291" s="781"/>
      <c r="I1291" s="781"/>
      <c r="J1291" s="781"/>
      <c r="K1291" s="781"/>
      <c r="L1291" s="783"/>
      <c r="M1291" s="784" t="str">
        <f t="shared" si="45"/>
        <v/>
      </c>
      <c r="N1291" s="479"/>
    </row>
    <row r="1292" spans="1:14" hidden="1" x14ac:dyDescent="0.2">
      <c r="A1292" s="815" t="s">
        <v>578</v>
      </c>
      <c r="B1292" s="836" t="s">
        <v>399</v>
      </c>
      <c r="C1292" s="247" t="s">
        <v>41</v>
      </c>
      <c r="D1292" s="252" t="s">
        <v>135</v>
      </c>
      <c r="E1292" s="494">
        <v>0.48103186646433982</v>
      </c>
      <c r="F1292" s="374" t="s">
        <v>664</v>
      </c>
      <c r="G1292" s="251" t="s">
        <v>16</v>
      </c>
      <c r="H1292" s="381">
        <v>1</v>
      </c>
      <c r="I1292" s="381">
        <v>1</v>
      </c>
      <c r="J1292" s="381">
        <v>3</v>
      </c>
      <c r="K1292" s="381">
        <v>2</v>
      </c>
      <c r="L1292" s="253">
        <v>2</v>
      </c>
      <c r="M1292" s="254">
        <f t="shared" si="45"/>
        <v>0.48935255543384243</v>
      </c>
      <c r="N1292" s="479"/>
    </row>
    <row r="1293" spans="1:14" hidden="1" x14ac:dyDescent="0.2">
      <c r="A1293" s="815" t="s">
        <v>578</v>
      </c>
      <c r="B1293" s="466" t="s">
        <v>663</v>
      </c>
      <c r="C1293" s="247" t="s">
        <v>42</v>
      </c>
      <c r="D1293" s="252" t="s">
        <v>135</v>
      </c>
      <c r="E1293" s="781">
        <v>0</v>
      </c>
      <c r="F1293" s="374" t="s">
        <v>664</v>
      </c>
      <c r="G1293" s="782" t="s">
        <v>16</v>
      </c>
      <c r="H1293" s="781"/>
      <c r="I1293" s="781"/>
      <c r="J1293" s="781"/>
      <c r="K1293" s="781"/>
      <c r="L1293" s="783"/>
      <c r="M1293" s="784" t="str">
        <f t="shared" si="45"/>
        <v/>
      </c>
      <c r="N1293" s="479"/>
    </row>
    <row r="1294" spans="1:14" hidden="1" x14ac:dyDescent="0.2">
      <c r="A1294" s="815" t="s">
        <v>578</v>
      </c>
      <c r="B1294" s="459" t="s">
        <v>560</v>
      </c>
      <c r="C1294" s="247" t="s">
        <v>42</v>
      </c>
      <c r="D1294" s="252" t="s">
        <v>135</v>
      </c>
      <c r="E1294" s="781">
        <v>0</v>
      </c>
      <c r="F1294" s="374" t="s">
        <v>664</v>
      </c>
      <c r="G1294" s="782" t="s">
        <v>16</v>
      </c>
      <c r="H1294" s="781"/>
      <c r="I1294" s="781"/>
      <c r="J1294" s="781"/>
      <c r="K1294" s="781"/>
      <c r="L1294" s="783"/>
      <c r="M1294" s="784" t="str">
        <f t="shared" si="45"/>
        <v/>
      </c>
      <c r="N1294" s="479"/>
    </row>
    <row r="1295" spans="1:14" hidden="1" x14ac:dyDescent="0.2">
      <c r="A1295" s="815" t="s">
        <v>578</v>
      </c>
      <c r="B1295" s="308" t="s">
        <v>398</v>
      </c>
      <c r="C1295" s="247" t="s">
        <v>42</v>
      </c>
      <c r="D1295" s="252" t="s">
        <v>135</v>
      </c>
      <c r="E1295" s="781">
        <v>1</v>
      </c>
      <c r="F1295" s="374" t="s">
        <v>664</v>
      </c>
      <c r="G1295" s="782" t="s">
        <v>16</v>
      </c>
      <c r="H1295" s="781"/>
      <c r="I1295" s="781"/>
      <c r="J1295" s="781"/>
      <c r="K1295" s="781"/>
      <c r="L1295" s="783"/>
      <c r="M1295" s="784" t="str">
        <f t="shared" si="45"/>
        <v/>
      </c>
      <c r="N1295" s="479"/>
    </row>
    <row r="1296" spans="1:14" hidden="1" x14ac:dyDescent="0.2">
      <c r="A1296" s="815" t="s">
        <v>578</v>
      </c>
      <c r="B1296" s="836" t="s">
        <v>399</v>
      </c>
      <c r="C1296" s="247" t="s">
        <v>42</v>
      </c>
      <c r="D1296" s="252" t="s">
        <v>135</v>
      </c>
      <c r="E1296" s="788">
        <v>0</v>
      </c>
      <c r="F1296" s="414" t="s">
        <v>664</v>
      </c>
      <c r="G1296" s="789" t="s">
        <v>16</v>
      </c>
      <c r="H1296" s="788"/>
      <c r="I1296" s="788"/>
      <c r="J1296" s="788"/>
      <c r="K1296" s="788"/>
      <c r="L1296" s="790"/>
      <c r="M1296" s="791"/>
      <c r="N1296" s="479"/>
    </row>
    <row r="1297" spans="1:14" hidden="1" x14ac:dyDescent="0.2">
      <c r="A1297" s="815" t="s">
        <v>578</v>
      </c>
      <c r="B1297" s="466" t="s">
        <v>663</v>
      </c>
      <c r="C1297" s="247" t="s">
        <v>43</v>
      </c>
      <c r="D1297" s="252" t="s">
        <v>135</v>
      </c>
      <c r="E1297" s="788">
        <v>0</v>
      </c>
      <c r="F1297" s="414" t="s">
        <v>664</v>
      </c>
      <c r="G1297" s="789" t="s">
        <v>16</v>
      </c>
      <c r="H1297" s="788"/>
      <c r="I1297" s="788"/>
      <c r="J1297" s="788"/>
      <c r="K1297" s="788"/>
      <c r="L1297" s="790"/>
      <c r="M1297" s="791"/>
      <c r="N1297" s="479"/>
    </row>
    <row r="1298" spans="1:14" hidden="1" x14ac:dyDescent="0.2">
      <c r="A1298" s="815" t="s">
        <v>578</v>
      </c>
      <c r="B1298" s="459" t="s">
        <v>560</v>
      </c>
      <c r="C1298" s="247" t="s">
        <v>43</v>
      </c>
      <c r="D1298" s="252" t="s">
        <v>135</v>
      </c>
      <c r="E1298" s="788">
        <v>0</v>
      </c>
      <c r="F1298" s="414" t="s">
        <v>664</v>
      </c>
      <c r="G1298" s="789" t="s">
        <v>16</v>
      </c>
      <c r="H1298" s="788"/>
      <c r="I1298" s="788"/>
      <c r="J1298" s="788"/>
      <c r="K1298" s="788"/>
      <c r="L1298" s="790"/>
      <c r="M1298" s="791"/>
      <c r="N1298" s="479"/>
    </row>
    <row r="1299" spans="1:14" hidden="1" x14ac:dyDescent="0.2">
      <c r="A1299" s="815" t="s">
        <v>578</v>
      </c>
      <c r="B1299" s="308" t="s">
        <v>398</v>
      </c>
      <c r="C1299" s="247" t="s">
        <v>43</v>
      </c>
      <c r="D1299" s="252" t="s">
        <v>135</v>
      </c>
      <c r="E1299" s="494">
        <v>4.9959492303537668E-3</v>
      </c>
      <c r="F1299" s="374" t="s">
        <v>664</v>
      </c>
      <c r="G1299" s="251" t="s">
        <v>16</v>
      </c>
      <c r="H1299" s="381">
        <v>1</v>
      </c>
      <c r="I1299" s="381">
        <v>1</v>
      </c>
      <c r="J1299" s="381">
        <v>3</v>
      </c>
      <c r="K1299" s="381">
        <v>2</v>
      </c>
      <c r="L1299" s="253">
        <v>2</v>
      </c>
      <c r="M1299" s="254">
        <f t="shared" ref="M1299:M1309" si="46">IF( OR( ISBLANK(H1299),ISBLANK(I1299), ISBLANK(J1299), ISBLANK(K1299), ISBLANK(L1299) ), "", 1.5*SQRT( EXP(2.21*(H1299-1)) + EXP(2.21*(I1299-1)) + EXP(2.21*(J1299-1)) + EXP(2.21*(K1299-1)) + EXP(2.21*L1299) )/100*2.45 )</f>
        <v>0.48935255543384243</v>
      </c>
      <c r="N1299" s="479"/>
    </row>
    <row r="1300" spans="1:14" hidden="1" x14ac:dyDescent="0.2">
      <c r="A1300" s="815" t="s">
        <v>578</v>
      </c>
      <c r="B1300" s="836" t="s">
        <v>399</v>
      </c>
      <c r="C1300" s="247" t="s">
        <v>43</v>
      </c>
      <c r="D1300" s="252" t="s">
        <v>135</v>
      </c>
      <c r="E1300" s="494">
        <v>0.99500405076964604</v>
      </c>
      <c r="F1300" s="374" t="s">
        <v>664</v>
      </c>
      <c r="G1300" s="251" t="s">
        <v>16</v>
      </c>
      <c r="H1300" s="381">
        <v>1</v>
      </c>
      <c r="I1300" s="381">
        <v>1</v>
      </c>
      <c r="J1300" s="381">
        <v>3</v>
      </c>
      <c r="K1300" s="381">
        <v>2</v>
      </c>
      <c r="L1300" s="253">
        <v>2</v>
      </c>
      <c r="M1300" s="254">
        <f t="shared" si="46"/>
        <v>0.48935255543384243</v>
      </c>
      <c r="N1300" s="479"/>
    </row>
    <row r="1301" spans="1:14" hidden="1" x14ac:dyDescent="0.2">
      <c r="A1301" s="815" t="s">
        <v>578</v>
      </c>
      <c r="B1301" s="466" t="s">
        <v>663</v>
      </c>
      <c r="C1301" s="247" t="s">
        <v>45</v>
      </c>
      <c r="D1301" s="252" t="s">
        <v>135</v>
      </c>
      <c r="E1301" s="494">
        <v>0.58566925108630818</v>
      </c>
      <c r="F1301" s="374" t="s">
        <v>664</v>
      </c>
      <c r="G1301" s="251" t="s">
        <v>16</v>
      </c>
      <c r="H1301" s="381">
        <v>1</v>
      </c>
      <c r="I1301" s="381">
        <v>1</v>
      </c>
      <c r="J1301" s="381">
        <v>3</v>
      </c>
      <c r="K1301" s="381">
        <v>2</v>
      </c>
      <c r="L1301" s="253">
        <v>2</v>
      </c>
      <c r="M1301" s="254">
        <f t="shared" si="46"/>
        <v>0.48935255543384243</v>
      </c>
      <c r="N1301" s="479"/>
    </row>
    <row r="1302" spans="1:14" hidden="1" x14ac:dyDescent="0.2">
      <c r="A1302" s="815" t="s">
        <v>578</v>
      </c>
      <c r="B1302" s="459" t="s">
        <v>560</v>
      </c>
      <c r="C1302" s="247" t="s">
        <v>45</v>
      </c>
      <c r="D1302" s="252" t="s">
        <v>135</v>
      </c>
      <c r="E1302" s="494">
        <v>0.31208997188378629</v>
      </c>
      <c r="F1302" s="374" t="s">
        <v>664</v>
      </c>
      <c r="G1302" s="251" t="s">
        <v>16</v>
      </c>
      <c r="H1302" s="381">
        <v>1</v>
      </c>
      <c r="I1302" s="381">
        <v>1</v>
      </c>
      <c r="J1302" s="381">
        <v>3</v>
      </c>
      <c r="K1302" s="381">
        <v>2</v>
      </c>
      <c r="L1302" s="253">
        <v>2</v>
      </c>
      <c r="M1302" s="254">
        <f t="shared" si="46"/>
        <v>0.48935255543384243</v>
      </c>
      <c r="N1302" s="479"/>
    </row>
    <row r="1303" spans="1:14" hidden="1" x14ac:dyDescent="0.2">
      <c r="A1303" s="815" t="s">
        <v>578</v>
      </c>
      <c r="B1303" s="308" t="s">
        <v>398</v>
      </c>
      <c r="C1303" s="247" t="s">
        <v>45</v>
      </c>
      <c r="D1303" s="252" t="s">
        <v>135</v>
      </c>
      <c r="E1303" s="494">
        <v>0.1021555763823805</v>
      </c>
      <c r="F1303" s="374" t="s">
        <v>664</v>
      </c>
      <c r="G1303" s="251" t="s">
        <v>16</v>
      </c>
      <c r="H1303" s="381">
        <v>1</v>
      </c>
      <c r="I1303" s="381">
        <v>1</v>
      </c>
      <c r="J1303" s="381">
        <v>3</v>
      </c>
      <c r="K1303" s="381">
        <v>2</v>
      </c>
      <c r="L1303" s="253">
        <v>2</v>
      </c>
      <c r="M1303" s="254">
        <f t="shared" si="46"/>
        <v>0.48935255543384243</v>
      </c>
      <c r="N1303" s="479"/>
    </row>
    <row r="1304" spans="1:14" hidden="1" x14ac:dyDescent="0.2">
      <c r="A1304" s="815" t="s">
        <v>578</v>
      </c>
      <c r="B1304" s="836" t="s">
        <v>399</v>
      </c>
      <c r="C1304" s="247" t="s">
        <v>45</v>
      </c>
      <c r="D1304" s="252" t="s">
        <v>135</v>
      </c>
      <c r="E1304" s="494">
        <v>8.5200647524921185E-5</v>
      </c>
      <c r="F1304" s="374" t="s">
        <v>664</v>
      </c>
      <c r="G1304" s="251" t="s">
        <v>16</v>
      </c>
      <c r="H1304" s="381">
        <v>1</v>
      </c>
      <c r="I1304" s="381">
        <v>1</v>
      </c>
      <c r="J1304" s="381">
        <v>3</v>
      </c>
      <c r="K1304" s="381">
        <v>2</v>
      </c>
      <c r="L1304" s="253">
        <v>2</v>
      </c>
      <c r="M1304" s="254">
        <f t="shared" si="46"/>
        <v>0.48935255543384243</v>
      </c>
      <c r="N1304" s="479"/>
    </row>
    <row r="1305" spans="1:14" hidden="1" x14ac:dyDescent="0.2">
      <c r="A1305" s="815" t="s">
        <v>578</v>
      </c>
      <c r="B1305" s="466" t="s">
        <v>663</v>
      </c>
      <c r="C1305" s="247" t="s">
        <v>46</v>
      </c>
      <c r="D1305" s="252" t="s">
        <v>135</v>
      </c>
      <c r="E1305" s="494">
        <v>0.50509605514004996</v>
      </c>
      <c r="F1305" s="374" t="s">
        <v>664</v>
      </c>
      <c r="G1305" s="251" t="s">
        <v>16</v>
      </c>
      <c r="H1305" s="381">
        <v>1</v>
      </c>
      <c r="I1305" s="381">
        <v>1</v>
      </c>
      <c r="J1305" s="381">
        <v>3</v>
      </c>
      <c r="K1305" s="381">
        <v>2</v>
      </c>
      <c r="L1305" s="253">
        <v>2</v>
      </c>
      <c r="M1305" s="254">
        <f t="shared" si="46"/>
        <v>0.48935255543384243</v>
      </c>
      <c r="N1305" s="479"/>
    </row>
    <row r="1306" spans="1:14" hidden="1" x14ac:dyDescent="0.2">
      <c r="A1306" s="815" t="s">
        <v>578</v>
      </c>
      <c r="B1306" s="459" t="s">
        <v>560</v>
      </c>
      <c r="C1306" s="247" t="s">
        <v>46</v>
      </c>
      <c r="D1306" s="252" t="s">
        <v>135</v>
      </c>
      <c r="E1306" s="494">
        <v>0.1080070391553014</v>
      </c>
      <c r="F1306" s="374" t="s">
        <v>664</v>
      </c>
      <c r="G1306" s="251" t="s">
        <v>16</v>
      </c>
      <c r="H1306" s="381">
        <v>1</v>
      </c>
      <c r="I1306" s="381">
        <v>1</v>
      </c>
      <c r="J1306" s="381">
        <v>3</v>
      </c>
      <c r="K1306" s="381">
        <v>2</v>
      </c>
      <c r="L1306" s="253">
        <v>2</v>
      </c>
      <c r="M1306" s="254">
        <f t="shared" si="46"/>
        <v>0.48935255543384243</v>
      </c>
      <c r="N1306" s="479"/>
    </row>
    <row r="1307" spans="1:14" hidden="1" x14ac:dyDescent="0.2">
      <c r="A1307" s="815" t="s">
        <v>578</v>
      </c>
      <c r="B1307" s="308" t="s">
        <v>398</v>
      </c>
      <c r="C1307" s="247" t="s">
        <v>46</v>
      </c>
      <c r="D1307" s="252" t="s">
        <v>135</v>
      </c>
      <c r="E1307" s="494">
        <v>2.548027570024931E-2</v>
      </c>
      <c r="F1307" s="374" t="s">
        <v>664</v>
      </c>
      <c r="G1307" s="251" t="s">
        <v>16</v>
      </c>
      <c r="H1307" s="381">
        <v>1</v>
      </c>
      <c r="I1307" s="381">
        <v>1</v>
      </c>
      <c r="J1307" s="381">
        <v>3</v>
      </c>
      <c r="K1307" s="381">
        <v>2</v>
      </c>
      <c r="L1307" s="253">
        <v>2</v>
      </c>
      <c r="M1307" s="254">
        <f t="shared" si="46"/>
        <v>0.48935255543384243</v>
      </c>
      <c r="N1307" s="479"/>
    </row>
    <row r="1308" spans="1:14" hidden="1" x14ac:dyDescent="0.2">
      <c r="A1308" s="815" t="s">
        <v>578</v>
      </c>
      <c r="B1308" s="836" t="s">
        <v>399</v>
      </c>
      <c r="C1308" s="247" t="s">
        <v>46</v>
      </c>
      <c r="D1308" s="252" t="s">
        <v>135</v>
      </c>
      <c r="E1308" s="494">
        <v>0.36141663000439961</v>
      </c>
      <c r="F1308" s="374" t="s">
        <v>664</v>
      </c>
      <c r="G1308" s="251" t="s">
        <v>16</v>
      </c>
      <c r="H1308" s="381">
        <v>1</v>
      </c>
      <c r="I1308" s="381">
        <v>1</v>
      </c>
      <c r="J1308" s="381">
        <v>3</v>
      </c>
      <c r="K1308" s="381">
        <v>2</v>
      </c>
      <c r="L1308" s="253">
        <v>2</v>
      </c>
      <c r="M1308" s="254">
        <f t="shared" si="46"/>
        <v>0.48935255543384243</v>
      </c>
      <c r="N1308" s="479"/>
    </row>
    <row r="1309" spans="1:14" hidden="1" x14ac:dyDescent="0.2">
      <c r="A1309" s="815" t="s">
        <v>578</v>
      </c>
      <c r="B1309" s="466" t="s">
        <v>663</v>
      </c>
      <c r="C1309" s="247" t="s">
        <v>48</v>
      </c>
      <c r="D1309" s="252" t="s">
        <v>135</v>
      </c>
      <c r="E1309" s="494">
        <v>0.94444444444444442</v>
      </c>
      <c r="F1309" s="374" t="s">
        <v>666</v>
      </c>
      <c r="G1309" s="375" t="s">
        <v>16</v>
      </c>
      <c r="H1309" s="381">
        <v>1</v>
      </c>
      <c r="I1309" s="381">
        <v>1</v>
      </c>
      <c r="J1309" s="381">
        <v>3</v>
      </c>
      <c r="K1309" s="381">
        <v>2</v>
      </c>
      <c r="L1309" s="253">
        <v>2</v>
      </c>
      <c r="M1309" s="254">
        <f t="shared" si="46"/>
        <v>0.48935255543384243</v>
      </c>
      <c r="N1309" s="479"/>
    </row>
    <row r="1310" spans="1:14" hidden="1" x14ac:dyDescent="0.2">
      <c r="A1310" s="815" t="s">
        <v>578</v>
      </c>
      <c r="B1310" s="459" t="s">
        <v>560</v>
      </c>
      <c r="C1310" s="247" t="s">
        <v>48</v>
      </c>
      <c r="D1310" s="252" t="s">
        <v>135</v>
      </c>
      <c r="E1310" s="788">
        <v>0</v>
      </c>
      <c r="F1310" s="414" t="s">
        <v>664</v>
      </c>
      <c r="G1310" s="789" t="s">
        <v>16</v>
      </c>
      <c r="H1310" s="788"/>
      <c r="I1310" s="788"/>
      <c r="J1310" s="788"/>
      <c r="K1310" s="788"/>
      <c r="L1310" s="790"/>
      <c r="M1310" s="791"/>
      <c r="N1310" s="479"/>
    </row>
    <row r="1311" spans="1:14" hidden="1" x14ac:dyDescent="0.2">
      <c r="A1311" s="815" t="s">
        <v>578</v>
      </c>
      <c r="B1311" s="308" t="s">
        <v>398</v>
      </c>
      <c r="C1311" s="247" t="s">
        <v>48</v>
      </c>
      <c r="D1311" s="252" t="s">
        <v>135</v>
      </c>
      <c r="E1311" s="494">
        <v>5.5555555555555559E-2</v>
      </c>
      <c r="F1311" s="374" t="s">
        <v>666</v>
      </c>
      <c r="G1311" s="375" t="s">
        <v>16</v>
      </c>
      <c r="H1311" s="381">
        <v>1</v>
      </c>
      <c r="I1311" s="381">
        <v>1</v>
      </c>
      <c r="J1311" s="381">
        <v>3</v>
      </c>
      <c r="K1311" s="381">
        <v>2</v>
      </c>
      <c r="L1311" s="253">
        <v>2</v>
      </c>
      <c r="M1311" s="254">
        <f>IF( OR( ISBLANK(H1311),ISBLANK(I1311), ISBLANK(J1311), ISBLANK(K1311), ISBLANK(L1311) ), "", 1.5*SQRT( EXP(2.21*(H1311-1)) + EXP(2.21*(I1311-1)) + EXP(2.21*(J1311-1)) + EXP(2.21*(K1311-1)) + EXP(2.21*L1311) )/100*2.45 )</f>
        <v>0.48935255543384243</v>
      </c>
      <c r="N1311" s="479"/>
    </row>
    <row r="1312" spans="1:14" hidden="1" x14ac:dyDescent="0.2">
      <c r="A1312" s="815" t="s">
        <v>578</v>
      </c>
      <c r="B1312" s="836" t="s">
        <v>399</v>
      </c>
      <c r="C1312" s="247" t="s">
        <v>48</v>
      </c>
      <c r="D1312" s="252" t="s">
        <v>135</v>
      </c>
      <c r="E1312" s="788">
        <v>0</v>
      </c>
      <c r="F1312" s="414" t="s">
        <v>664</v>
      </c>
      <c r="G1312" s="789" t="s">
        <v>16</v>
      </c>
      <c r="H1312" s="788"/>
      <c r="I1312" s="788"/>
      <c r="J1312" s="788"/>
      <c r="K1312" s="788"/>
      <c r="L1312" s="790"/>
      <c r="M1312" s="791"/>
      <c r="N1312" s="479"/>
    </row>
    <row r="1313" spans="1:14" hidden="1" x14ac:dyDescent="0.2">
      <c r="A1313" s="815" t="s">
        <v>578</v>
      </c>
      <c r="B1313" s="466" t="s">
        <v>663</v>
      </c>
      <c r="C1313" s="247" t="s">
        <v>50</v>
      </c>
      <c r="D1313" s="252" t="s">
        <v>135</v>
      </c>
      <c r="E1313" s="494">
        <v>0.26792079207920788</v>
      </c>
      <c r="F1313" s="374" t="s">
        <v>664</v>
      </c>
      <c r="G1313" s="375" t="s">
        <v>16</v>
      </c>
      <c r="H1313" s="381">
        <v>1</v>
      </c>
      <c r="I1313" s="381">
        <v>1</v>
      </c>
      <c r="J1313" s="381">
        <v>3</v>
      </c>
      <c r="K1313" s="381">
        <v>2</v>
      </c>
      <c r="L1313" s="253">
        <v>2</v>
      </c>
      <c r="M1313" s="254">
        <f>IF( OR( ISBLANK(H1313),ISBLANK(I1313), ISBLANK(J1313), ISBLANK(K1313), ISBLANK(L1313) ), "", 1.5*SQRT( EXP(2.21*(H1313-1)) + EXP(2.21*(I1313-1)) + EXP(2.21*(J1313-1)) + EXP(2.21*(K1313-1)) + EXP(2.21*L1313) )/100*2.45 )</f>
        <v>0.48935255543384243</v>
      </c>
      <c r="N1313" s="479"/>
    </row>
    <row r="1314" spans="1:14" hidden="1" x14ac:dyDescent="0.2">
      <c r="A1314" s="815" t="s">
        <v>578</v>
      </c>
      <c r="B1314" s="459" t="s">
        <v>560</v>
      </c>
      <c r="C1314" s="247" t="s">
        <v>50</v>
      </c>
      <c r="D1314" s="252" t="s">
        <v>135</v>
      </c>
      <c r="E1314" s="494">
        <v>2.4900990099009909E-2</v>
      </c>
      <c r="F1314" s="374" t="s">
        <v>664</v>
      </c>
      <c r="G1314" s="375" t="s">
        <v>16</v>
      </c>
      <c r="H1314" s="381">
        <v>1</v>
      </c>
      <c r="I1314" s="381">
        <v>1</v>
      </c>
      <c r="J1314" s="381">
        <v>3</v>
      </c>
      <c r="K1314" s="381">
        <v>2</v>
      </c>
      <c r="L1314" s="253">
        <v>2</v>
      </c>
      <c r="M1314" s="254">
        <f>IF( OR( ISBLANK(H1314),ISBLANK(I1314), ISBLANK(J1314), ISBLANK(K1314), ISBLANK(L1314) ), "", 1.5*SQRT( EXP(2.21*(H1314-1)) + EXP(2.21*(I1314-1)) + EXP(2.21*(J1314-1)) + EXP(2.21*(K1314-1)) + EXP(2.21*L1314) )/100*2.45 )</f>
        <v>0.48935255543384243</v>
      </c>
      <c r="N1314" s="479"/>
    </row>
    <row r="1315" spans="1:14" hidden="1" x14ac:dyDescent="0.2">
      <c r="A1315" s="815" t="s">
        <v>578</v>
      </c>
      <c r="B1315" s="308" t="s">
        <v>398</v>
      </c>
      <c r="C1315" s="247" t="s">
        <v>50</v>
      </c>
      <c r="D1315" s="252" t="s">
        <v>135</v>
      </c>
      <c r="E1315" s="494">
        <v>0.69648514851485155</v>
      </c>
      <c r="F1315" s="374" t="s">
        <v>664</v>
      </c>
      <c r="G1315" s="375" t="s">
        <v>16</v>
      </c>
      <c r="H1315" s="381">
        <v>1</v>
      </c>
      <c r="I1315" s="381">
        <v>1</v>
      </c>
      <c r="J1315" s="381">
        <v>3</v>
      </c>
      <c r="K1315" s="381">
        <v>2</v>
      </c>
      <c r="L1315" s="253">
        <v>2</v>
      </c>
      <c r="M1315" s="254">
        <f>IF( OR( ISBLANK(H1315),ISBLANK(I1315), ISBLANK(J1315), ISBLANK(K1315), ISBLANK(L1315) ), "", 1.5*SQRT( EXP(2.21*(H1315-1)) + EXP(2.21*(I1315-1)) + EXP(2.21*(J1315-1)) + EXP(2.21*(K1315-1)) + EXP(2.21*L1315) )/100*2.45 )</f>
        <v>0.48935255543384243</v>
      </c>
      <c r="N1315" s="479"/>
    </row>
    <row r="1316" spans="1:14" hidden="1" x14ac:dyDescent="0.2">
      <c r="A1316" s="815" t="s">
        <v>578</v>
      </c>
      <c r="B1316" s="836" t="s">
        <v>399</v>
      </c>
      <c r="C1316" s="247" t="s">
        <v>50</v>
      </c>
      <c r="D1316" s="252" t="s">
        <v>135</v>
      </c>
      <c r="E1316" s="494">
        <v>1.0643564356435639E-2</v>
      </c>
      <c r="F1316" s="374" t="s">
        <v>664</v>
      </c>
      <c r="G1316" s="375" t="s">
        <v>16</v>
      </c>
      <c r="H1316" s="381">
        <v>1</v>
      </c>
      <c r="I1316" s="381">
        <v>1</v>
      </c>
      <c r="J1316" s="381">
        <v>3</v>
      </c>
      <c r="K1316" s="381">
        <v>2</v>
      </c>
      <c r="L1316" s="253">
        <v>2</v>
      </c>
      <c r="M1316" s="254">
        <f>IF( OR( ISBLANK(H1316),ISBLANK(I1316), ISBLANK(J1316), ISBLANK(K1316), ISBLANK(L1316) ), "", 1.5*SQRT( EXP(2.21*(H1316-1)) + EXP(2.21*(I1316-1)) + EXP(2.21*(J1316-1)) + EXP(2.21*(K1316-1)) + EXP(2.21*L1316) )/100*2.45 )</f>
        <v>0.48935255543384243</v>
      </c>
      <c r="N1316" s="479"/>
    </row>
    <row r="1317" spans="1:14" hidden="1" x14ac:dyDescent="0.2">
      <c r="A1317" s="815" t="s">
        <v>578</v>
      </c>
      <c r="B1317" s="466" t="s">
        <v>663</v>
      </c>
      <c r="C1317" s="247" t="s">
        <v>52</v>
      </c>
      <c r="D1317" s="252" t="s">
        <v>135</v>
      </c>
      <c r="E1317" s="788">
        <v>0</v>
      </c>
      <c r="F1317" s="414" t="s">
        <v>664</v>
      </c>
      <c r="G1317" s="789" t="s">
        <v>16</v>
      </c>
      <c r="H1317" s="788"/>
      <c r="I1317" s="788"/>
      <c r="J1317" s="788"/>
      <c r="K1317" s="788"/>
      <c r="L1317" s="790"/>
      <c r="M1317" s="791"/>
      <c r="N1317" s="479"/>
    </row>
    <row r="1318" spans="1:14" hidden="1" x14ac:dyDescent="0.2">
      <c r="A1318" s="815" t="s">
        <v>578</v>
      </c>
      <c r="B1318" s="459" t="s">
        <v>560</v>
      </c>
      <c r="C1318" s="247" t="s">
        <v>52</v>
      </c>
      <c r="D1318" s="252" t="s">
        <v>135</v>
      </c>
      <c r="E1318" s="494">
        <v>0.58201058201058198</v>
      </c>
      <c r="F1318" s="374" t="s">
        <v>664</v>
      </c>
      <c r="G1318" s="375" t="s">
        <v>16</v>
      </c>
      <c r="H1318" s="381">
        <v>1</v>
      </c>
      <c r="I1318" s="381">
        <v>1</v>
      </c>
      <c r="J1318" s="381">
        <v>3</v>
      </c>
      <c r="K1318" s="381">
        <v>2</v>
      </c>
      <c r="L1318" s="253">
        <v>2</v>
      </c>
      <c r="M1318" s="254">
        <f>IF( OR( ISBLANK(H1318),ISBLANK(I1318), ISBLANK(J1318), ISBLANK(K1318), ISBLANK(L1318) ), "", 1.5*SQRT( EXP(2.21*(H1318-1)) + EXP(2.21*(I1318-1)) + EXP(2.21*(J1318-1)) + EXP(2.21*(K1318-1)) + EXP(2.21*L1318) )/100*2.45 )</f>
        <v>0.48935255543384243</v>
      </c>
      <c r="N1318" s="479"/>
    </row>
    <row r="1319" spans="1:14" hidden="1" x14ac:dyDescent="0.2">
      <c r="A1319" s="815" t="s">
        <v>578</v>
      </c>
      <c r="B1319" s="308" t="s">
        <v>398</v>
      </c>
      <c r="C1319" s="247" t="s">
        <v>52</v>
      </c>
      <c r="D1319" s="252" t="s">
        <v>135</v>
      </c>
      <c r="E1319" s="494">
        <v>0.15498236331569659</v>
      </c>
      <c r="F1319" s="374" t="s">
        <v>664</v>
      </c>
      <c r="G1319" s="375" t="s">
        <v>16</v>
      </c>
      <c r="H1319" s="381">
        <v>1</v>
      </c>
      <c r="I1319" s="381">
        <v>1</v>
      </c>
      <c r="J1319" s="381">
        <v>3</v>
      </c>
      <c r="K1319" s="381">
        <v>2</v>
      </c>
      <c r="L1319" s="253">
        <v>2</v>
      </c>
      <c r="M1319" s="254">
        <f>IF( OR( ISBLANK(H1319),ISBLANK(I1319), ISBLANK(J1319), ISBLANK(K1319), ISBLANK(L1319) ), "", 1.5*SQRT( EXP(2.21*(H1319-1)) + EXP(2.21*(I1319-1)) + EXP(2.21*(J1319-1)) + EXP(2.21*(K1319-1)) + EXP(2.21*L1319) )/100*2.45 )</f>
        <v>0.48935255543384243</v>
      </c>
      <c r="N1319" s="479"/>
    </row>
    <row r="1320" spans="1:14" hidden="1" x14ac:dyDescent="0.2">
      <c r="A1320" s="815" t="s">
        <v>578</v>
      </c>
      <c r="B1320" s="836" t="s">
        <v>399</v>
      </c>
      <c r="C1320" s="247" t="s">
        <v>52</v>
      </c>
      <c r="D1320" s="252" t="s">
        <v>135</v>
      </c>
      <c r="E1320" s="494">
        <v>0.26300705467372132</v>
      </c>
      <c r="F1320" s="374" t="s">
        <v>664</v>
      </c>
      <c r="G1320" s="375" t="s">
        <v>16</v>
      </c>
      <c r="H1320" s="381">
        <v>1</v>
      </c>
      <c r="I1320" s="381">
        <v>1</v>
      </c>
      <c r="J1320" s="381">
        <v>3</v>
      </c>
      <c r="K1320" s="381">
        <v>2</v>
      </c>
      <c r="L1320" s="253">
        <v>2</v>
      </c>
      <c r="M1320" s="254">
        <f>IF( OR( ISBLANK(H1320),ISBLANK(I1320), ISBLANK(J1320), ISBLANK(K1320), ISBLANK(L1320) ), "", 1.5*SQRT( EXP(2.21*(H1320-1)) + EXP(2.21*(I1320-1)) + EXP(2.21*(J1320-1)) + EXP(2.21*(K1320-1)) + EXP(2.21*L1320) )/100*2.45 )</f>
        <v>0.48935255543384243</v>
      </c>
      <c r="N1320" s="479"/>
    </row>
    <row r="1321" spans="1:14" hidden="1" x14ac:dyDescent="0.2">
      <c r="A1321" s="815" t="s">
        <v>578</v>
      </c>
      <c r="B1321" s="466" t="s">
        <v>663</v>
      </c>
      <c r="C1321" s="247" t="s">
        <v>54</v>
      </c>
      <c r="D1321" s="252" t="s">
        <v>135</v>
      </c>
      <c r="E1321" s="788">
        <v>0</v>
      </c>
      <c r="F1321" s="414" t="s">
        <v>664</v>
      </c>
      <c r="G1321" s="789" t="s">
        <v>16</v>
      </c>
      <c r="H1321" s="788"/>
      <c r="I1321" s="788"/>
      <c r="J1321" s="788"/>
      <c r="K1321" s="788"/>
      <c r="L1321" s="790"/>
      <c r="M1321" s="791"/>
      <c r="N1321" s="479"/>
    </row>
    <row r="1322" spans="1:14" hidden="1" x14ac:dyDescent="0.2">
      <c r="A1322" s="815" t="s">
        <v>578</v>
      </c>
      <c r="B1322" s="459" t="s">
        <v>560</v>
      </c>
      <c r="C1322" s="247" t="s">
        <v>54</v>
      </c>
      <c r="D1322" s="252" t="s">
        <v>135</v>
      </c>
      <c r="E1322" s="494">
        <v>3.2786885245901641E-2</v>
      </c>
      <c r="F1322" s="374" t="s">
        <v>664</v>
      </c>
      <c r="G1322" s="375" t="s">
        <v>16</v>
      </c>
      <c r="H1322" s="381">
        <v>1</v>
      </c>
      <c r="I1322" s="381">
        <v>1</v>
      </c>
      <c r="J1322" s="381">
        <v>3</v>
      </c>
      <c r="K1322" s="381">
        <v>2</v>
      </c>
      <c r="L1322" s="253">
        <v>2</v>
      </c>
      <c r="M1322" s="254">
        <f>IF( OR( ISBLANK(H1322),ISBLANK(I1322), ISBLANK(J1322), ISBLANK(K1322), ISBLANK(L1322) ), "", 1.5*SQRT( EXP(2.21*(H1322-1)) + EXP(2.21*(I1322-1)) + EXP(2.21*(J1322-1)) + EXP(2.21*(K1322-1)) + EXP(2.21*L1322) )/100*2.45 )</f>
        <v>0.48935255543384243</v>
      </c>
      <c r="N1322" s="479"/>
    </row>
    <row r="1323" spans="1:14" hidden="1" x14ac:dyDescent="0.2">
      <c r="A1323" s="815" t="s">
        <v>578</v>
      </c>
      <c r="B1323" s="308" t="s">
        <v>398</v>
      </c>
      <c r="C1323" s="247" t="s">
        <v>54</v>
      </c>
      <c r="D1323" s="252" t="s">
        <v>135</v>
      </c>
      <c r="E1323" s="494">
        <v>4.9180327868852458E-2</v>
      </c>
      <c r="F1323" s="374" t="s">
        <v>664</v>
      </c>
      <c r="G1323" s="375" t="s">
        <v>16</v>
      </c>
      <c r="H1323" s="381">
        <v>1</v>
      </c>
      <c r="I1323" s="381">
        <v>1</v>
      </c>
      <c r="J1323" s="381">
        <v>3</v>
      </c>
      <c r="K1323" s="381">
        <v>2</v>
      </c>
      <c r="L1323" s="253">
        <v>2</v>
      </c>
      <c r="M1323" s="254">
        <f>IF( OR( ISBLANK(H1323),ISBLANK(I1323), ISBLANK(J1323), ISBLANK(K1323), ISBLANK(L1323) ), "", 1.5*SQRT( EXP(2.21*(H1323-1)) + EXP(2.21*(I1323-1)) + EXP(2.21*(J1323-1)) + EXP(2.21*(K1323-1)) + EXP(2.21*L1323) )/100*2.45 )</f>
        <v>0.48935255543384243</v>
      </c>
      <c r="N1323" s="479"/>
    </row>
    <row r="1324" spans="1:14" hidden="1" x14ac:dyDescent="0.2">
      <c r="A1324" s="815" t="s">
        <v>578</v>
      </c>
      <c r="B1324" s="836" t="s">
        <v>399</v>
      </c>
      <c r="C1324" s="247" t="s">
        <v>54</v>
      </c>
      <c r="D1324" s="252" t="s">
        <v>135</v>
      </c>
      <c r="E1324" s="494">
        <v>0.91803278688524581</v>
      </c>
      <c r="F1324" s="374" t="s">
        <v>664</v>
      </c>
      <c r="G1324" s="375" t="s">
        <v>16</v>
      </c>
      <c r="H1324" s="381">
        <v>1</v>
      </c>
      <c r="I1324" s="381">
        <v>1</v>
      </c>
      <c r="J1324" s="381">
        <v>3</v>
      </c>
      <c r="K1324" s="381">
        <v>2</v>
      </c>
      <c r="L1324" s="253">
        <v>2</v>
      </c>
      <c r="M1324" s="254">
        <f>IF( OR( ISBLANK(H1324),ISBLANK(I1324), ISBLANK(J1324), ISBLANK(K1324), ISBLANK(L1324) ), "", 1.5*SQRT( EXP(2.21*(H1324-1)) + EXP(2.21*(I1324-1)) + EXP(2.21*(J1324-1)) + EXP(2.21*(K1324-1)) + EXP(2.21*L1324) )/100*2.45 )</f>
        <v>0.48935255543384243</v>
      </c>
      <c r="N1324" s="479"/>
    </row>
    <row r="1325" spans="1:14" hidden="1" x14ac:dyDescent="0.2">
      <c r="A1325" s="815" t="s">
        <v>578</v>
      </c>
      <c r="B1325" s="466" t="s">
        <v>663</v>
      </c>
      <c r="C1325" s="247" t="s">
        <v>55</v>
      </c>
      <c r="D1325" s="252" t="s">
        <v>135</v>
      </c>
      <c r="E1325" s="494">
        <v>0.86971249173826837</v>
      </c>
      <c r="F1325" s="374" t="s">
        <v>664</v>
      </c>
      <c r="G1325" s="375" t="s">
        <v>16</v>
      </c>
      <c r="H1325" s="381">
        <v>1</v>
      </c>
      <c r="I1325" s="381">
        <v>1</v>
      </c>
      <c r="J1325" s="381">
        <v>3</v>
      </c>
      <c r="K1325" s="381">
        <v>2</v>
      </c>
      <c r="L1325" s="253">
        <v>2</v>
      </c>
      <c r="M1325" s="254">
        <f>IF( OR( ISBLANK(H1325),ISBLANK(I1325), ISBLANK(J1325), ISBLANK(K1325), ISBLANK(L1325) ), "", 1.5*SQRT( EXP(2.21*(H1325-1)) + EXP(2.21*(I1325-1)) + EXP(2.21*(J1325-1)) + EXP(2.21*(K1325-1)) + EXP(2.21*L1325) )/100*2.45 )</f>
        <v>0.48935255543384243</v>
      </c>
      <c r="N1325" s="479"/>
    </row>
    <row r="1326" spans="1:14" hidden="1" x14ac:dyDescent="0.2">
      <c r="A1326" s="815" t="s">
        <v>578</v>
      </c>
      <c r="B1326" s="459" t="s">
        <v>560</v>
      </c>
      <c r="C1326" s="247" t="s">
        <v>55</v>
      </c>
      <c r="D1326" s="252" t="s">
        <v>135</v>
      </c>
      <c r="E1326" s="788">
        <v>0</v>
      </c>
      <c r="F1326" s="414" t="s">
        <v>664</v>
      </c>
      <c r="G1326" s="789" t="s">
        <v>16</v>
      </c>
      <c r="H1326" s="788"/>
      <c r="I1326" s="788"/>
      <c r="J1326" s="788"/>
      <c r="K1326" s="788"/>
      <c r="L1326" s="790"/>
      <c r="M1326" s="791"/>
      <c r="N1326" s="479"/>
    </row>
    <row r="1327" spans="1:14" hidden="1" x14ac:dyDescent="0.2">
      <c r="A1327" s="815" t="s">
        <v>578</v>
      </c>
      <c r="B1327" s="308" t="s">
        <v>398</v>
      </c>
      <c r="C1327" s="247" t="s">
        <v>55</v>
      </c>
      <c r="D1327" s="252" t="s">
        <v>135</v>
      </c>
      <c r="E1327" s="494">
        <v>7.4933906146728346E-2</v>
      </c>
      <c r="F1327" s="374" t="s">
        <v>664</v>
      </c>
      <c r="G1327" s="375" t="s">
        <v>16</v>
      </c>
      <c r="H1327" s="381">
        <v>1</v>
      </c>
      <c r="I1327" s="381">
        <v>1</v>
      </c>
      <c r="J1327" s="381">
        <v>3</v>
      </c>
      <c r="K1327" s="381">
        <v>2</v>
      </c>
      <c r="L1327" s="253">
        <v>2</v>
      </c>
      <c r="M1327" s="254">
        <f t="shared" ref="M1327:M1332" si="47">IF( OR( ISBLANK(H1327),ISBLANK(I1327), ISBLANK(J1327), ISBLANK(K1327), ISBLANK(L1327) ), "", 1.5*SQRT( EXP(2.21*(H1327-1)) + EXP(2.21*(I1327-1)) + EXP(2.21*(J1327-1)) + EXP(2.21*(K1327-1)) + EXP(2.21*L1327) )/100*2.45 )</f>
        <v>0.48935255543384243</v>
      </c>
      <c r="N1327" s="479"/>
    </row>
    <row r="1328" spans="1:14" hidden="1" x14ac:dyDescent="0.2">
      <c r="A1328" s="815" t="s">
        <v>578</v>
      </c>
      <c r="B1328" s="836" t="s">
        <v>399</v>
      </c>
      <c r="C1328" s="247" t="s">
        <v>55</v>
      </c>
      <c r="D1328" s="252" t="s">
        <v>135</v>
      </c>
      <c r="E1328" s="494">
        <v>5.53536021150033E-2</v>
      </c>
      <c r="F1328" s="374" t="s">
        <v>664</v>
      </c>
      <c r="G1328" s="375" t="s">
        <v>16</v>
      </c>
      <c r="H1328" s="381">
        <v>1</v>
      </c>
      <c r="I1328" s="381">
        <v>1</v>
      </c>
      <c r="J1328" s="381">
        <v>3</v>
      </c>
      <c r="K1328" s="381">
        <v>2</v>
      </c>
      <c r="L1328" s="253">
        <v>2</v>
      </c>
      <c r="M1328" s="254">
        <f t="shared" si="47"/>
        <v>0.48935255543384243</v>
      </c>
      <c r="N1328" s="479"/>
    </row>
    <row r="1329" spans="1:14" hidden="1" x14ac:dyDescent="0.2">
      <c r="A1329" s="815" t="s">
        <v>578</v>
      </c>
      <c r="B1329" s="466" t="s">
        <v>663</v>
      </c>
      <c r="C1329" s="247" t="s">
        <v>57</v>
      </c>
      <c r="D1329" s="252" t="s">
        <v>135</v>
      </c>
      <c r="E1329" s="494">
        <v>0.58162544169611297</v>
      </c>
      <c r="F1329" s="374" t="s">
        <v>664</v>
      </c>
      <c r="G1329" s="375" t="s">
        <v>16</v>
      </c>
      <c r="H1329" s="381">
        <v>1</v>
      </c>
      <c r="I1329" s="381">
        <v>2</v>
      </c>
      <c r="J1329" s="381">
        <v>3</v>
      </c>
      <c r="K1329" s="381">
        <v>2</v>
      </c>
      <c r="L1329" s="253">
        <v>2</v>
      </c>
      <c r="M1329" s="254">
        <f t="shared" si="47"/>
        <v>0.50042652380814845</v>
      </c>
      <c r="N1329" s="479"/>
    </row>
    <row r="1330" spans="1:14" hidden="1" x14ac:dyDescent="0.2">
      <c r="A1330" s="815" t="s">
        <v>578</v>
      </c>
      <c r="B1330" s="459" t="s">
        <v>560</v>
      </c>
      <c r="C1330" s="247" t="s">
        <v>57</v>
      </c>
      <c r="D1330" s="252" t="s">
        <v>135</v>
      </c>
      <c r="E1330" s="494">
        <v>0.38162544169611301</v>
      </c>
      <c r="F1330" s="374" t="s">
        <v>664</v>
      </c>
      <c r="G1330" s="375" t="s">
        <v>16</v>
      </c>
      <c r="H1330" s="381">
        <v>1</v>
      </c>
      <c r="I1330" s="381">
        <v>2</v>
      </c>
      <c r="J1330" s="381">
        <v>3</v>
      </c>
      <c r="K1330" s="381">
        <v>2</v>
      </c>
      <c r="L1330" s="253">
        <v>2</v>
      </c>
      <c r="M1330" s="254">
        <f t="shared" si="47"/>
        <v>0.50042652380814845</v>
      </c>
      <c r="N1330" s="479"/>
    </row>
    <row r="1331" spans="1:14" hidden="1" x14ac:dyDescent="0.2">
      <c r="A1331" s="815" t="s">
        <v>578</v>
      </c>
      <c r="B1331" s="308" t="s">
        <v>398</v>
      </c>
      <c r="C1331" s="247" t="s">
        <v>57</v>
      </c>
      <c r="D1331" s="252" t="s">
        <v>135</v>
      </c>
      <c r="E1331" s="494">
        <v>1.6254416961130742E-2</v>
      </c>
      <c r="F1331" s="374" t="s">
        <v>664</v>
      </c>
      <c r="G1331" s="375" t="s">
        <v>16</v>
      </c>
      <c r="H1331" s="381">
        <v>1</v>
      </c>
      <c r="I1331" s="381">
        <v>2</v>
      </c>
      <c r="J1331" s="381">
        <v>3</v>
      </c>
      <c r="K1331" s="381">
        <v>2</v>
      </c>
      <c r="L1331" s="253">
        <v>2</v>
      </c>
      <c r="M1331" s="254">
        <f t="shared" si="47"/>
        <v>0.50042652380814845</v>
      </c>
      <c r="N1331" s="479"/>
    </row>
    <row r="1332" spans="1:14" hidden="1" x14ac:dyDescent="0.2">
      <c r="A1332" s="815" t="s">
        <v>578</v>
      </c>
      <c r="B1332" s="836" t="s">
        <v>399</v>
      </c>
      <c r="C1332" s="247" t="s">
        <v>57</v>
      </c>
      <c r="D1332" s="252" t="s">
        <v>135</v>
      </c>
      <c r="E1332" s="494">
        <v>1.9787985865724379E-2</v>
      </c>
      <c r="F1332" s="374" t="s">
        <v>664</v>
      </c>
      <c r="G1332" s="375" t="s">
        <v>16</v>
      </c>
      <c r="H1332" s="381">
        <v>1</v>
      </c>
      <c r="I1332" s="381">
        <v>2</v>
      </c>
      <c r="J1332" s="381">
        <v>3</v>
      </c>
      <c r="K1332" s="381">
        <v>2</v>
      </c>
      <c r="L1332" s="253">
        <v>2</v>
      </c>
      <c r="M1332" s="254">
        <f t="shared" si="47"/>
        <v>0.50042652380814845</v>
      </c>
      <c r="N1332" s="479"/>
    </row>
    <row r="1333" spans="1:14" hidden="1" x14ac:dyDescent="0.2">
      <c r="A1333" s="815" t="s">
        <v>578</v>
      </c>
      <c r="B1333" s="466" t="s">
        <v>663</v>
      </c>
      <c r="C1333" s="247" t="s">
        <v>59</v>
      </c>
      <c r="D1333" s="252" t="s">
        <v>135</v>
      </c>
      <c r="E1333" s="788">
        <v>0</v>
      </c>
      <c r="F1333" s="414" t="s">
        <v>664</v>
      </c>
      <c r="G1333" s="789" t="s">
        <v>16</v>
      </c>
      <c r="H1333" s="788"/>
      <c r="I1333" s="788"/>
      <c r="J1333" s="788"/>
      <c r="K1333" s="788"/>
      <c r="L1333" s="790"/>
      <c r="M1333" s="791"/>
      <c r="N1333" s="479"/>
    </row>
    <row r="1334" spans="1:14" hidden="1" x14ac:dyDescent="0.2">
      <c r="A1334" s="815" t="s">
        <v>578</v>
      </c>
      <c r="B1334" s="459" t="s">
        <v>560</v>
      </c>
      <c r="C1334" s="247" t="s">
        <v>59</v>
      </c>
      <c r="D1334" s="252" t="s">
        <v>135</v>
      </c>
      <c r="E1334" s="788">
        <v>0</v>
      </c>
      <c r="F1334" s="414" t="s">
        <v>664</v>
      </c>
      <c r="G1334" s="789" t="s">
        <v>16</v>
      </c>
      <c r="H1334" s="788"/>
      <c r="I1334" s="788"/>
      <c r="J1334" s="788"/>
      <c r="K1334" s="788"/>
      <c r="L1334" s="790"/>
      <c r="M1334" s="791"/>
      <c r="N1334" s="479"/>
    </row>
    <row r="1335" spans="1:14" hidden="1" x14ac:dyDescent="0.2">
      <c r="A1335" s="815" t="s">
        <v>578</v>
      </c>
      <c r="B1335" s="308" t="s">
        <v>398</v>
      </c>
      <c r="C1335" s="247" t="s">
        <v>59</v>
      </c>
      <c r="D1335" s="252" t="s">
        <v>135</v>
      </c>
      <c r="E1335" s="788">
        <v>0</v>
      </c>
      <c r="F1335" s="414" t="s">
        <v>664</v>
      </c>
      <c r="G1335" s="789" t="s">
        <v>16</v>
      </c>
      <c r="H1335" s="788"/>
      <c r="I1335" s="788"/>
      <c r="J1335" s="788"/>
      <c r="K1335" s="788"/>
      <c r="L1335" s="790"/>
      <c r="M1335" s="791"/>
      <c r="N1335" s="479"/>
    </row>
    <row r="1336" spans="1:14" hidden="1" x14ac:dyDescent="0.2">
      <c r="A1336" s="815" t="s">
        <v>578</v>
      </c>
      <c r="B1336" s="836" t="s">
        <v>399</v>
      </c>
      <c r="C1336" s="247" t="s">
        <v>59</v>
      </c>
      <c r="D1336" s="252" t="s">
        <v>135</v>
      </c>
      <c r="E1336" s="788">
        <v>1</v>
      </c>
      <c r="F1336" s="414" t="s">
        <v>664</v>
      </c>
      <c r="G1336" s="789" t="s">
        <v>16</v>
      </c>
      <c r="H1336" s="788"/>
      <c r="I1336" s="788"/>
      <c r="J1336" s="788"/>
      <c r="K1336" s="788"/>
      <c r="L1336" s="790"/>
      <c r="M1336" s="791"/>
      <c r="N1336" s="479"/>
    </row>
    <row r="1337" spans="1:14" hidden="1" x14ac:dyDescent="0.2">
      <c r="A1337" s="815" t="s">
        <v>578</v>
      </c>
      <c r="B1337" s="466" t="s">
        <v>663</v>
      </c>
      <c r="C1337" s="247" t="s">
        <v>60</v>
      </c>
      <c r="D1337" s="252" t="s">
        <v>135</v>
      </c>
      <c r="E1337" s="495">
        <v>0.96947460249740536</v>
      </c>
      <c r="F1337" s="374" t="s">
        <v>667</v>
      </c>
      <c r="G1337" s="375" t="s">
        <v>16</v>
      </c>
      <c r="H1337" s="381">
        <v>1</v>
      </c>
      <c r="I1337" s="381">
        <v>1</v>
      </c>
      <c r="J1337" s="381">
        <v>3</v>
      </c>
      <c r="K1337" s="381">
        <v>2</v>
      </c>
      <c r="L1337" s="253">
        <v>2</v>
      </c>
      <c r="M1337" s="254">
        <f>IF( OR( ISBLANK(H1337),ISBLANK(I1337), ISBLANK(J1337), ISBLANK(K1337), ISBLANK(L1337) ), "", 1.5*SQRT( EXP(2.21*(H1337-1)) + EXP(2.21*(I1337-1)) + EXP(2.21*(J1337-1)) + EXP(2.21*(K1337-1)) + EXP(2.21*L1337) )/100*2.45 )</f>
        <v>0.48935255543384243</v>
      </c>
      <c r="N1337" s="479"/>
    </row>
    <row r="1338" spans="1:14" hidden="1" x14ac:dyDescent="0.2">
      <c r="A1338" s="815" t="s">
        <v>578</v>
      </c>
      <c r="B1338" s="459" t="s">
        <v>560</v>
      </c>
      <c r="C1338" s="247" t="s">
        <v>60</v>
      </c>
      <c r="D1338" s="252" t="s">
        <v>135</v>
      </c>
      <c r="E1338" s="788">
        <v>0</v>
      </c>
      <c r="F1338" s="414" t="s">
        <v>664</v>
      </c>
      <c r="G1338" s="789" t="s">
        <v>16</v>
      </c>
      <c r="H1338" s="788"/>
      <c r="I1338" s="788"/>
      <c r="J1338" s="788"/>
      <c r="K1338" s="788"/>
      <c r="L1338" s="790"/>
      <c r="M1338" s="791"/>
      <c r="N1338" s="479"/>
    </row>
    <row r="1339" spans="1:14" hidden="1" x14ac:dyDescent="0.2">
      <c r="A1339" s="815" t="s">
        <v>578</v>
      </c>
      <c r="B1339" s="308" t="s">
        <v>398</v>
      </c>
      <c r="C1339" s="247" t="s">
        <v>60</v>
      </c>
      <c r="D1339" s="252" t="s">
        <v>135</v>
      </c>
      <c r="E1339" s="788">
        <v>0</v>
      </c>
      <c r="F1339" s="414" t="s">
        <v>664</v>
      </c>
      <c r="G1339" s="789" t="s">
        <v>16</v>
      </c>
      <c r="H1339" s="788"/>
      <c r="I1339" s="788"/>
      <c r="J1339" s="788"/>
      <c r="K1339" s="788"/>
      <c r="L1339" s="790"/>
      <c r="M1339" s="791"/>
      <c r="N1339" s="479"/>
    </row>
    <row r="1340" spans="1:14" hidden="1" x14ac:dyDescent="0.2">
      <c r="A1340" s="815" t="s">
        <v>578</v>
      </c>
      <c r="B1340" s="836" t="s">
        <v>399</v>
      </c>
      <c r="C1340" s="247" t="s">
        <v>60</v>
      </c>
      <c r="D1340" s="252" t="s">
        <v>135</v>
      </c>
      <c r="E1340" s="494">
        <v>3.052539750259483E-2</v>
      </c>
      <c r="F1340" s="374" t="s">
        <v>667</v>
      </c>
      <c r="G1340" s="251" t="s">
        <v>16</v>
      </c>
      <c r="H1340" s="381">
        <v>1</v>
      </c>
      <c r="I1340" s="381">
        <v>1</v>
      </c>
      <c r="J1340" s="381">
        <v>3</v>
      </c>
      <c r="K1340" s="381">
        <v>2</v>
      </c>
      <c r="L1340" s="253">
        <v>2</v>
      </c>
      <c r="M1340" s="254">
        <f>IF( OR( ISBLANK(H1340),ISBLANK(I1340), ISBLANK(J1340), ISBLANK(K1340), ISBLANK(L1340) ), "", 1.5*SQRT( EXP(2.21*(H1340-1)) + EXP(2.21*(I1340-1)) + EXP(2.21*(J1340-1)) + EXP(2.21*(K1340-1)) + EXP(2.21*L1340) )/100*2.45 )</f>
        <v>0.48935255543384243</v>
      </c>
      <c r="N1340" s="479"/>
    </row>
    <row r="1341" spans="1:14" x14ac:dyDescent="0.2">
      <c r="A1341" s="819" t="s">
        <v>579</v>
      </c>
      <c r="B1341" s="838" t="s">
        <v>668</v>
      </c>
      <c r="C1341" s="265" t="s">
        <v>13</v>
      </c>
      <c r="D1341" s="269" t="s">
        <v>135</v>
      </c>
      <c r="E1341" s="492">
        <v>0.22893391403143351</v>
      </c>
      <c r="F1341" s="389" t="s">
        <v>664</v>
      </c>
      <c r="G1341" s="390" t="s">
        <v>16</v>
      </c>
      <c r="H1341" s="269">
        <v>1</v>
      </c>
      <c r="I1341" s="269">
        <v>1</v>
      </c>
      <c r="J1341" s="269">
        <v>3</v>
      </c>
      <c r="K1341" s="269">
        <v>2</v>
      </c>
      <c r="L1341" s="270">
        <v>2</v>
      </c>
      <c r="M1341" s="271">
        <f>IF( OR( ISBLANK(H1341),ISBLANK(I1341), ISBLANK(J1341), ISBLANK(K1341), ISBLANK(L1341) ), "", 1.5*SQRT(   EXP(2.21*(H1341-1)) + EXP(2.21*(I1341-1)) + EXP(2.21*(J1341-1)) + EXP(2.21*(K1341-1)) + EXP(2.21*L1341)   )/100*2.45 )</f>
        <v>0.48935255543384243</v>
      </c>
      <c r="N1341" s="483"/>
    </row>
    <row r="1342" spans="1:14" x14ac:dyDescent="0.2">
      <c r="A1342" s="815" t="s">
        <v>579</v>
      </c>
      <c r="B1342" s="459" t="s">
        <v>558</v>
      </c>
      <c r="C1342" s="422" t="s">
        <v>13</v>
      </c>
      <c r="D1342" s="252" t="s">
        <v>135</v>
      </c>
      <c r="E1342" s="494">
        <v>0.20696837720128761</v>
      </c>
      <c r="F1342" s="374" t="s">
        <v>664</v>
      </c>
      <c r="G1342" s="251" t="s">
        <v>16</v>
      </c>
      <c r="H1342" s="381">
        <v>1</v>
      </c>
      <c r="I1342" s="381">
        <v>1</v>
      </c>
      <c r="J1342" s="381">
        <v>3</v>
      </c>
      <c r="K1342" s="381">
        <v>2</v>
      </c>
      <c r="L1342" s="253">
        <v>2</v>
      </c>
      <c r="M1342" s="254">
        <f>IF( OR( ISBLANK(H1342),ISBLANK(I1342), ISBLANK(J1342), ISBLANK(K1342), ISBLANK(L1342) ), "", 1.5*SQRT( EXP(2.21*(H1342-1)) + EXP(2.21*(I1342-1)) + EXP(2.21*(J1342-1)) + EXP(2.21*(K1342-1)) + EXP(2.21*L1342) )/100*2.45 )</f>
        <v>0.48935255543384243</v>
      </c>
      <c r="N1342" s="479"/>
    </row>
    <row r="1343" spans="1:14" x14ac:dyDescent="0.2">
      <c r="A1343" s="815" t="s">
        <v>579</v>
      </c>
      <c r="B1343" s="308" t="s">
        <v>398</v>
      </c>
      <c r="C1343" s="422" t="s">
        <v>13</v>
      </c>
      <c r="D1343" s="252" t="s">
        <v>135</v>
      </c>
      <c r="E1343" s="494">
        <v>1.467525089945086E-3</v>
      </c>
      <c r="F1343" s="374" t="s">
        <v>664</v>
      </c>
      <c r="G1343" s="251" t="s">
        <v>16</v>
      </c>
      <c r="H1343" s="381">
        <v>1</v>
      </c>
      <c r="I1343" s="381">
        <v>1</v>
      </c>
      <c r="J1343" s="381">
        <v>3</v>
      </c>
      <c r="K1343" s="381">
        <v>2</v>
      </c>
      <c r="L1343" s="253">
        <v>2</v>
      </c>
      <c r="M1343" s="254">
        <f>IF( OR( ISBLANK(H1343),ISBLANK(I1343), ISBLANK(J1343), ISBLANK(K1343), ISBLANK(L1343) ), "", 1.5*SQRT( EXP(2.21*(H1343-1)) + EXP(2.21*(I1343-1)) + EXP(2.21*(J1343-1)) + EXP(2.21*(K1343-1)) + EXP(2.21*L1343) )/100*2.45 )</f>
        <v>0.48935255543384243</v>
      </c>
      <c r="N1343" s="479"/>
    </row>
    <row r="1344" spans="1:14" x14ac:dyDescent="0.2">
      <c r="A1344" s="815" t="s">
        <v>579</v>
      </c>
      <c r="B1344" s="836" t="s">
        <v>399</v>
      </c>
      <c r="C1344" s="422" t="s">
        <v>13</v>
      </c>
      <c r="D1344" s="252" t="s">
        <v>135</v>
      </c>
      <c r="E1344" s="494">
        <v>0.56267752319636433</v>
      </c>
      <c r="F1344" s="374" t="s">
        <v>664</v>
      </c>
      <c r="G1344" s="251" t="s">
        <v>16</v>
      </c>
      <c r="H1344" s="381">
        <v>1</v>
      </c>
      <c r="I1344" s="381">
        <v>1</v>
      </c>
      <c r="J1344" s="381">
        <v>3</v>
      </c>
      <c r="K1344" s="381">
        <v>2</v>
      </c>
      <c r="L1344" s="253">
        <v>2</v>
      </c>
      <c r="M1344" s="254">
        <f>IF( OR( ISBLANK(H1344),ISBLANK(I1344), ISBLANK(J1344), ISBLANK(K1344), ISBLANK(L1344) ), "", 1.5*SQRT( EXP(2.21*(H1344-1)) + EXP(2.21*(I1344-1)) + EXP(2.21*(J1344-1)) + EXP(2.21*(K1344-1)) + EXP(2.21*L1344) )/100*2.45 )</f>
        <v>0.48935255543384243</v>
      </c>
      <c r="N1344" s="479"/>
    </row>
    <row r="1345" spans="1:14" hidden="1" x14ac:dyDescent="0.2">
      <c r="A1345" s="815" t="s">
        <v>579</v>
      </c>
      <c r="B1345" s="466" t="s">
        <v>668</v>
      </c>
      <c r="C1345" s="247" t="s">
        <v>18</v>
      </c>
      <c r="D1345" s="252" t="s">
        <v>135</v>
      </c>
      <c r="E1345" s="495">
        <v>0.23530566828118871</v>
      </c>
      <c r="F1345" s="374" t="s">
        <v>664</v>
      </c>
      <c r="G1345" s="375" t="s">
        <v>16</v>
      </c>
      <c r="H1345" s="381">
        <v>1</v>
      </c>
      <c r="I1345" s="381">
        <v>1</v>
      </c>
      <c r="J1345" s="381">
        <v>3</v>
      </c>
      <c r="K1345" s="381">
        <v>2</v>
      </c>
      <c r="L1345" s="253">
        <v>2</v>
      </c>
      <c r="M1345" s="254">
        <f>IF( OR( ISBLANK(H1345),ISBLANK(I1345), ISBLANK(J1345), ISBLANK(K1345), ISBLANK(L1345) ), "", 1.5*SQRT( EXP(2.21*(H1345-1)) + EXP(2.21*(I1345-1)) + EXP(2.21*(J1345-1)) + EXP(2.21*(K1345-1)) + EXP(2.21*L1345) )/100*2.45 )</f>
        <v>0.48935255543384243</v>
      </c>
      <c r="N1345" s="479"/>
    </row>
    <row r="1346" spans="1:14" hidden="1" x14ac:dyDescent="0.2">
      <c r="A1346" s="815" t="s">
        <v>579</v>
      </c>
      <c r="B1346" s="459" t="s">
        <v>558</v>
      </c>
      <c r="C1346" s="422" t="s">
        <v>18</v>
      </c>
      <c r="D1346" s="252" t="s">
        <v>135</v>
      </c>
      <c r="E1346" s="788">
        <v>0</v>
      </c>
      <c r="F1346" s="414" t="s">
        <v>664</v>
      </c>
      <c r="G1346" s="789" t="s">
        <v>16</v>
      </c>
      <c r="H1346" s="788"/>
      <c r="I1346" s="788"/>
      <c r="J1346" s="788"/>
      <c r="K1346" s="788"/>
      <c r="L1346" s="790"/>
      <c r="M1346" s="791"/>
      <c r="N1346" s="479"/>
    </row>
    <row r="1347" spans="1:14" hidden="1" x14ac:dyDescent="0.2">
      <c r="A1347" s="815" t="s">
        <v>579</v>
      </c>
      <c r="B1347" s="308" t="s">
        <v>398</v>
      </c>
      <c r="C1347" s="422" t="s">
        <v>18</v>
      </c>
      <c r="D1347" s="252" t="s">
        <v>135</v>
      </c>
      <c r="E1347" s="788">
        <v>0</v>
      </c>
      <c r="F1347" s="414" t="s">
        <v>664</v>
      </c>
      <c r="G1347" s="789" t="s">
        <v>16</v>
      </c>
      <c r="H1347" s="788"/>
      <c r="I1347" s="788"/>
      <c r="J1347" s="788"/>
      <c r="K1347" s="788"/>
      <c r="L1347" s="790"/>
      <c r="M1347" s="791"/>
      <c r="N1347" s="479"/>
    </row>
    <row r="1348" spans="1:14" hidden="1" x14ac:dyDescent="0.2">
      <c r="A1348" s="815" t="s">
        <v>579</v>
      </c>
      <c r="B1348" s="836" t="s">
        <v>399</v>
      </c>
      <c r="C1348" s="422" t="s">
        <v>18</v>
      </c>
      <c r="D1348" s="252" t="s">
        <v>135</v>
      </c>
      <c r="E1348" s="494">
        <v>0.76475978531221378</v>
      </c>
      <c r="F1348" s="374" t="s">
        <v>664</v>
      </c>
      <c r="G1348" s="251" t="s">
        <v>16</v>
      </c>
      <c r="H1348" s="381">
        <v>1</v>
      </c>
      <c r="I1348" s="381">
        <v>1</v>
      </c>
      <c r="J1348" s="381">
        <v>3</v>
      </c>
      <c r="K1348" s="381">
        <v>2</v>
      </c>
      <c r="L1348" s="253">
        <v>2</v>
      </c>
      <c r="M1348" s="254">
        <f>IF( OR( ISBLANK(H1348),ISBLANK(I1348), ISBLANK(J1348), ISBLANK(K1348), ISBLANK(L1348) ), "", 1.5*SQRT( EXP(2.21*(H1348-1)) + EXP(2.21*(I1348-1)) + EXP(2.21*(J1348-1)) + EXP(2.21*(K1348-1)) + EXP(2.21*L1348) )/100*2.45 )</f>
        <v>0.48935255543384243</v>
      </c>
      <c r="N1348" s="479"/>
    </row>
    <row r="1349" spans="1:14" hidden="1" x14ac:dyDescent="0.2">
      <c r="A1349" s="815" t="s">
        <v>579</v>
      </c>
      <c r="B1349" s="466" t="s">
        <v>668</v>
      </c>
      <c r="C1349" s="247" t="s">
        <v>20</v>
      </c>
      <c r="D1349" s="252" t="s">
        <v>135</v>
      </c>
      <c r="E1349" s="495">
        <v>0.84463462804476641</v>
      </c>
      <c r="F1349" s="374" t="s">
        <v>664</v>
      </c>
      <c r="G1349" s="375" t="s">
        <v>16</v>
      </c>
      <c r="H1349" s="381">
        <v>1</v>
      </c>
      <c r="I1349" s="381">
        <v>2</v>
      </c>
      <c r="J1349" s="381">
        <v>3</v>
      </c>
      <c r="K1349" s="381">
        <v>2</v>
      </c>
      <c r="L1349" s="253">
        <v>2</v>
      </c>
      <c r="M1349" s="254">
        <f>IF( OR( ISBLANK(H1349),ISBLANK(I1349), ISBLANK(J1349), ISBLANK(K1349), ISBLANK(L1349) ), "", 1.5*SQRT( EXP(2.21*(H1349-1)) + EXP(2.21*(I1349-1)) + EXP(2.21*(J1349-1)) + EXP(2.21*(K1349-1)) + EXP(2.21*L1349) )/100*2.45 )</f>
        <v>0.50042652380814845</v>
      </c>
      <c r="N1349" s="479"/>
    </row>
    <row r="1350" spans="1:14" hidden="1" x14ac:dyDescent="0.2">
      <c r="A1350" s="815" t="s">
        <v>579</v>
      </c>
      <c r="B1350" s="459" t="s">
        <v>558</v>
      </c>
      <c r="C1350" s="247" t="s">
        <v>20</v>
      </c>
      <c r="D1350" s="252" t="s">
        <v>135</v>
      </c>
      <c r="E1350" s="494">
        <v>9.3811718235681379E-2</v>
      </c>
      <c r="F1350" s="374" t="s">
        <v>664</v>
      </c>
      <c r="G1350" s="251" t="s">
        <v>16</v>
      </c>
      <c r="H1350" s="381">
        <v>1</v>
      </c>
      <c r="I1350" s="381">
        <v>2</v>
      </c>
      <c r="J1350" s="381">
        <v>3</v>
      </c>
      <c r="K1350" s="381">
        <v>2</v>
      </c>
      <c r="L1350" s="253">
        <v>2</v>
      </c>
      <c r="M1350" s="254">
        <f>IF( OR( ISBLANK(H1350),ISBLANK(I1350), ISBLANK(J1350), ISBLANK(K1350), ISBLANK(L1350) ), "", 1.5*SQRT( EXP(2.21*(H1350-1)) + EXP(2.21*(I1350-1)) + EXP(2.21*(J1350-1)) + EXP(2.21*(K1350-1)) + EXP(2.21*L1350) )/100*2.45 )</f>
        <v>0.50042652380814845</v>
      </c>
      <c r="N1350" s="479"/>
    </row>
    <row r="1351" spans="1:14" hidden="1" x14ac:dyDescent="0.2">
      <c r="A1351" s="815" t="s">
        <v>579</v>
      </c>
      <c r="B1351" s="308" t="s">
        <v>398</v>
      </c>
      <c r="C1351" s="247" t="s">
        <v>20</v>
      </c>
      <c r="D1351" s="252" t="s">
        <v>135</v>
      </c>
      <c r="E1351" s="494">
        <v>6.1882817643186303E-2</v>
      </c>
      <c r="F1351" s="374" t="s">
        <v>664</v>
      </c>
      <c r="G1351" s="251" t="s">
        <v>16</v>
      </c>
      <c r="H1351" s="381">
        <v>1</v>
      </c>
      <c r="I1351" s="381">
        <v>2</v>
      </c>
      <c r="J1351" s="381">
        <v>3</v>
      </c>
      <c r="K1351" s="381">
        <v>2</v>
      </c>
      <c r="L1351" s="253">
        <v>2</v>
      </c>
      <c r="M1351" s="254">
        <f>IF( OR( ISBLANK(H1351),ISBLANK(I1351), ISBLANK(J1351), ISBLANK(K1351), ISBLANK(L1351) ), "", 1.5*SQRT( EXP(2.21*(H1351-1)) + EXP(2.21*(I1351-1)) + EXP(2.21*(J1351-1)) + EXP(2.21*(K1351-1)) + EXP(2.21*L1351) )/100*2.45 )</f>
        <v>0.50042652380814845</v>
      </c>
      <c r="N1351" s="479"/>
    </row>
    <row r="1352" spans="1:14" hidden="1" x14ac:dyDescent="0.2">
      <c r="A1352" s="815" t="s">
        <v>579</v>
      </c>
      <c r="B1352" s="836" t="s">
        <v>399</v>
      </c>
      <c r="C1352" s="247" t="s">
        <v>20</v>
      </c>
      <c r="D1352" s="252" t="s">
        <v>135</v>
      </c>
      <c r="E1352" s="788">
        <v>0</v>
      </c>
      <c r="F1352" s="414" t="s">
        <v>664</v>
      </c>
      <c r="G1352" s="789" t="s">
        <v>16</v>
      </c>
      <c r="H1352" s="788"/>
      <c r="I1352" s="788"/>
      <c r="J1352" s="788"/>
      <c r="K1352" s="788"/>
      <c r="L1352" s="790"/>
      <c r="M1352" s="791"/>
      <c r="N1352" s="479"/>
    </row>
    <row r="1353" spans="1:14" hidden="1" x14ac:dyDescent="0.2">
      <c r="A1353" s="815" t="s">
        <v>579</v>
      </c>
      <c r="B1353" s="466" t="s">
        <v>668</v>
      </c>
      <c r="C1353" s="247" t="s">
        <v>22</v>
      </c>
      <c r="D1353" s="252" t="s">
        <v>135</v>
      </c>
      <c r="E1353" s="495">
        <v>0.1702127659574468</v>
      </c>
      <c r="F1353" s="374" t="s">
        <v>664</v>
      </c>
      <c r="G1353" s="375" t="s">
        <v>16</v>
      </c>
      <c r="H1353" s="381">
        <v>1</v>
      </c>
      <c r="I1353" s="381">
        <v>1</v>
      </c>
      <c r="J1353" s="381">
        <v>3</v>
      </c>
      <c r="K1353" s="381">
        <v>2</v>
      </c>
      <c r="L1353" s="253">
        <v>2</v>
      </c>
      <c r="M1353" s="254">
        <f t="shared" ref="M1353:M1358" si="48">IF( OR( ISBLANK(H1353),ISBLANK(I1353), ISBLANK(J1353), ISBLANK(K1353), ISBLANK(L1353) ), "", 1.5*SQRT( EXP(2.21*(H1353-1)) + EXP(2.21*(I1353-1)) + EXP(2.21*(J1353-1)) + EXP(2.21*(K1353-1)) + EXP(2.21*L1353) )/100*2.45 )</f>
        <v>0.48935255543384243</v>
      </c>
      <c r="N1353" s="479"/>
    </row>
    <row r="1354" spans="1:14" hidden="1" x14ac:dyDescent="0.2">
      <c r="A1354" s="815" t="s">
        <v>579</v>
      </c>
      <c r="B1354" s="459" t="s">
        <v>558</v>
      </c>
      <c r="C1354" s="247" t="s">
        <v>22</v>
      </c>
      <c r="D1354" s="252" t="s">
        <v>135</v>
      </c>
      <c r="E1354" s="494">
        <v>0.29078014184397172</v>
      </c>
      <c r="F1354" s="374" t="s">
        <v>664</v>
      </c>
      <c r="G1354" s="251" t="s">
        <v>16</v>
      </c>
      <c r="H1354" s="381">
        <v>1</v>
      </c>
      <c r="I1354" s="381">
        <v>1</v>
      </c>
      <c r="J1354" s="381">
        <v>3</v>
      </c>
      <c r="K1354" s="381">
        <v>2</v>
      </c>
      <c r="L1354" s="253">
        <v>2</v>
      </c>
      <c r="M1354" s="254">
        <f t="shared" si="48"/>
        <v>0.48935255543384243</v>
      </c>
      <c r="N1354" s="479"/>
    </row>
    <row r="1355" spans="1:14" hidden="1" x14ac:dyDescent="0.2">
      <c r="A1355" s="815" t="s">
        <v>579</v>
      </c>
      <c r="B1355" s="308" t="s">
        <v>398</v>
      </c>
      <c r="C1355" s="247" t="s">
        <v>22</v>
      </c>
      <c r="D1355" s="252" t="s">
        <v>135</v>
      </c>
      <c r="E1355" s="494">
        <v>0.2517730496453901</v>
      </c>
      <c r="F1355" s="374" t="s">
        <v>664</v>
      </c>
      <c r="G1355" s="251" t="s">
        <v>16</v>
      </c>
      <c r="H1355" s="381">
        <v>1</v>
      </c>
      <c r="I1355" s="381">
        <v>1</v>
      </c>
      <c r="J1355" s="381">
        <v>3</v>
      </c>
      <c r="K1355" s="381">
        <v>2</v>
      </c>
      <c r="L1355" s="253">
        <v>2</v>
      </c>
      <c r="M1355" s="254">
        <f t="shared" si="48"/>
        <v>0.48935255543384243</v>
      </c>
      <c r="N1355" s="479"/>
    </row>
    <row r="1356" spans="1:14" hidden="1" x14ac:dyDescent="0.2">
      <c r="A1356" s="815" t="s">
        <v>579</v>
      </c>
      <c r="B1356" s="836" t="s">
        <v>399</v>
      </c>
      <c r="C1356" s="247" t="s">
        <v>22</v>
      </c>
      <c r="D1356" s="252" t="s">
        <v>135</v>
      </c>
      <c r="E1356" s="494">
        <v>0.28723404255319163</v>
      </c>
      <c r="F1356" s="374" t="s">
        <v>664</v>
      </c>
      <c r="G1356" s="251" t="s">
        <v>16</v>
      </c>
      <c r="H1356" s="381">
        <v>1</v>
      </c>
      <c r="I1356" s="381">
        <v>1</v>
      </c>
      <c r="J1356" s="381">
        <v>3</v>
      </c>
      <c r="K1356" s="381">
        <v>2</v>
      </c>
      <c r="L1356" s="253">
        <v>2</v>
      </c>
      <c r="M1356" s="254">
        <f t="shared" si="48"/>
        <v>0.48935255543384243</v>
      </c>
      <c r="N1356" s="479"/>
    </row>
    <row r="1357" spans="1:14" hidden="1" x14ac:dyDescent="0.2">
      <c r="A1357" s="815" t="s">
        <v>579</v>
      </c>
      <c r="B1357" s="466" t="s">
        <v>668</v>
      </c>
      <c r="C1357" s="247" t="s">
        <v>23</v>
      </c>
      <c r="D1357" s="252" t="s">
        <v>135</v>
      </c>
      <c r="E1357" s="494">
        <v>0.1548599670510708</v>
      </c>
      <c r="F1357" s="374" t="s">
        <v>664</v>
      </c>
      <c r="G1357" s="251" t="s">
        <v>16</v>
      </c>
      <c r="H1357" s="381">
        <v>1</v>
      </c>
      <c r="I1357" s="381">
        <v>2</v>
      </c>
      <c r="J1357" s="381">
        <v>3</v>
      </c>
      <c r="K1357" s="381">
        <v>2</v>
      </c>
      <c r="L1357" s="253">
        <v>2</v>
      </c>
      <c r="M1357" s="254">
        <f t="shared" si="48"/>
        <v>0.50042652380814845</v>
      </c>
      <c r="N1357" s="479"/>
    </row>
    <row r="1358" spans="1:14" hidden="1" x14ac:dyDescent="0.2">
      <c r="A1358" s="815" t="s">
        <v>579</v>
      </c>
      <c r="B1358" s="459" t="s">
        <v>558</v>
      </c>
      <c r="C1358" s="247" t="s">
        <v>23</v>
      </c>
      <c r="D1358" s="252" t="s">
        <v>135</v>
      </c>
      <c r="E1358" s="494">
        <v>0.80065897858319601</v>
      </c>
      <c r="F1358" s="374" t="s">
        <v>664</v>
      </c>
      <c r="G1358" s="251" t="s">
        <v>16</v>
      </c>
      <c r="H1358" s="381">
        <v>1</v>
      </c>
      <c r="I1358" s="381">
        <v>2</v>
      </c>
      <c r="J1358" s="381">
        <v>3</v>
      </c>
      <c r="K1358" s="381">
        <v>2</v>
      </c>
      <c r="L1358" s="253">
        <v>2</v>
      </c>
      <c r="M1358" s="254">
        <f t="shared" si="48"/>
        <v>0.50042652380814845</v>
      </c>
      <c r="N1358" s="479"/>
    </row>
    <row r="1359" spans="1:14" hidden="1" x14ac:dyDescent="0.2">
      <c r="A1359" s="815" t="s">
        <v>579</v>
      </c>
      <c r="B1359" s="308" t="s">
        <v>398</v>
      </c>
      <c r="C1359" s="247" t="s">
        <v>23</v>
      </c>
      <c r="D1359" s="252" t="s">
        <v>135</v>
      </c>
      <c r="E1359" s="788">
        <v>0</v>
      </c>
      <c r="F1359" s="414" t="s">
        <v>664</v>
      </c>
      <c r="G1359" s="789" t="s">
        <v>16</v>
      </c>
      <c r="H1359" s="788"/>
      <c r="I1359" s="788"/>
      <c r="J1359" s="788"/>
      <c r="K1359" s="788"/>
      <c r="L1359" s="790"/>
      <c r="M1359" s="791"/>
      <c r="N1359" s="479"/>
    </row>
    <row r="1360" spans="1:14" hidden="1" x14ac:dyDescent="0.2">
      <c r="A1360" s="815" t="s">
        <v>579</v>
      </c>
      <c r="B1360" s="836" t="s">
        <v>399</v>
      </c>
      <c r="C1360" s="247" t="s">
        <v>23</v>
      </c>
      <c r="D1360" s="252" t="s">
        <v>135</v>
      </c>
      <c r="E1360" s="494">
        <v>4.4481054365733123E-2</v>
      </c>
      <c r="F1360" s="374" t="s">
        <v>664</v>
      </c>
      <c r="G1360" s="251" t="s">
        <v>16</v>
      </c>
      <c r="H1360" s="381">
        <v>1</v>
      </c>
      <c r="I1360" s="381">
        <v>2</v>
      </c>
      <c r="J1360" s="381">
        <v>3</v>
      </c>
      <c r="K1360" s="381">
        <v>2</v>
      </c>
      <c r="L1360" s="253">
        <v>2</v>
      </c>
      <c r="M1360" s="254">
        <f t="shared" ref="M1360:M1365" si="49">IF( OR( ISBLANK(H1360),ISBLANK(I1360), ISBLANK(J1360), ISBLANK(K1360), ISBLANK(L1360) ), "", 1.5*SQRT( EXP(2.21*(H1360-1)) + EXP(2.21*(I1360-1)) + EXP(2.21*(J1360-1)) + EXP(2.21*(K1360-1)) + EXP(2.21*L1360) )/100*2.45 )</f>
        <v>0.50042652380814845</v>
      </c>
      <c r="N1360" s="479"/>
    </row>
    <row r="1361" spans="1:14" hidden="1" x14ac:dyDescent="0.2">
      <c r="A1361" s="815" t="s">
        <v>579</v>
      </c>
      <c r="B1361" s="466" t="s">
        <v>668</v>
      </c>
      <c r="C1361" s="247" t="s">
        <v>24</v>
      </c>
      <c r="D1361" s="252" t="s">
        <v>135</v>
      </c>
      <c r="E1361" s="494">
        <v>0.38706585733193372</v>
      </c>
      <c r="F1361" s="374" t="s">
        <v>664</v>
      </c>
      <c r="G1361" s="251" t="s">
        <v>16</v>
      </c>
      <c r="H1361" s="381">
        <v>1</v>
      </c>
      <c r="I1361" s="381">
        <v>1</v>
      </c>
      <c r="J1361" s="381">
        <v>3</v>
      </c>
      <c r="K1361" s="381">
        <v>2</v>
      </c>
      <c r="L1361" s="253">
        <v>2</v>
      </c>
      <c r="M1361" s="254">
        <f t="shared" si="49"/>
        <v>0.48935255543384243</v>
      </c>
      <c r="N1361" s="479"/>
    </row>
    <row r="1362" spans="1:14" hidden="1" x14ac:dyDescent="0.2">
      <c r="A1362" s="815" t="s">
        <v>579</v>
      </c>
      <c r="B1362" s="459" t="s">
        <v>558</v>
      </c>
      <c r="C1362" s="247" t="s">
        <v>24</v>
      </c>
      <c r="D1362" s="252" t="s">
        <v>135</v>
      </c>
      <c r="E1362" s="494">
        <v>0.42344028113732818</v>
      </c>
      <c r="F1362" s="374" t="s">
        <v>664</v>
      </c>
      <c r="G1362" s="251" t="s">
        <v>16</v>
      </c>
      <c r="H1362" s="381">
        <v>1</v>
      </c>
      <c r="I1362" s="381">
        <v>1</v>
      </c>
      <c r="J1362" s="381">
        <v>3</v>
      </c>
      <c r="K1362" s="381">
        <v>2</v>
      </c>
      <c r="L1362" s="253">
        <v>2</v>
      </c>
      <c r="M1362" s="254">
        <f t="shared" si="49"/>
        <v>0.48935255543384243</v>
      </c>
      <c r="N1362" s="479"/>
    </row>
    <row r="1363" spans="1:14" hidden="1" x14ac:dyDescent="0.2">
      <c r="A1363" s="815" t="s">
        <v>579</v>
      </c>
      <c r="B1363" s="308" t="s">
        <v>398</v>
      </c>
      <c r="C1363" s="247" t="s">
        <v>24</v>
      </c>
      <c r="D1363" s="252" t="s">
        <v>135</v>
      </c>
      <c r="E1363" s="494">
        <v>8.037059011455433E-2</v>
      </c>
      <c r="F1363" s="374" t="s">
        <v>664</v>
      </c>
      <c r="G1363" s="251" t="s">
        <v>16</v>
      </c>
      <c r="H1363" s="381">
        <v>1</v>
      </c>
      <c r="I1363" s="381">
        <v>1</v>
      </c>
      <c r="J1363" s="381">
        <v>3</v>
      </c>
      <c r="K1363" s="381">
        <v>2</v>
      </c>
      <c r="L1363" s="253">
        <v>2</v>
      </c>
      <c r="M1363" s="254">
        <f t="shared" si="49"/>
        <v>0.48935255543384243</v>
      </c>
      <c r="N1363" s="479"/>
    </row>
    <row r="1364" spans="1:14" hidden="1" x14ac:dyDescent="0.2">
      <c r="A1364" s="815" t="s">
        <v>579</v>
      </c>
      <c r="B1364" s="836" t="s">
        <v>399</v>
      </c>
      <c r="C1364" s="247" t="s">
        <v>24</v>
      </c>
      <c r="D1364" s="252" t="s">
        <v>135</v>
      </c>
      <c r="E1364" s="494">
        <v>0.10912327141618371</v>
      </c>
      <c r="F1364" s="374" t="s">
        <v>664</v>
      </c>
      <c r="G1364" s="251" t="s">
        <v>16</v>
      </c>
      <c r="H1364" s="381">
        <v>1</v>
      </c>
      <c r="I1364" s="381">
        <v>1</v>
      </c>
      <c r="J1364" s="381">
        <v>3</v>
      </c>
      <c r="K1364" s="381">
        <v>2</v>
      </c>
      <c r="L1364" s="253">
        <v>2</v>
      </c>
      <c r="M1364" s="254">
        <f t="shared" si="49"/>
        <v>0.48935255543384243</v>
      </c>
      <c r="N1364" s="479"/>
    </row>
    <row r="1365" spans="1:14" hidden="1" x14ac:dyDescent="0.2">
      <c r="A1365" s="815" t="s">
        <v>579</v>
      </c>
      <c r="B1365" s="466" t="s">
        <v>668</v>
      </c>
      <c r="C1365" s="247" t="s">
        <v>25</v>
      </c>
      <c r="D1365" s="252" t="s">
        <v>135</v>
      </c>
      <c r="E1365" s="494">
        <v>0.89349758303446114</v>
      </c>
      <c r="F1365" s="374" t="s">
        <v>665</v>
      </c>
      <c r="G1365" s="251" t="s">
        <v>16</v>
      </c>
      <c r="H1365" s="381">
        <v>1</v>
      </c>
      <c r="I1365" s="381">
        <v>1</v>
      </c>
      <c r="J1365" s="381">
        <v>3</v>
      </c>
      <c r="K1365" s="381">
        <v>2</v>
      </c>
      <c r="L1365" s="253">
        <v>2</v>
      </c>
      <c r="M1365" s="254">
        <f t="shared" si="49"/>
        <v>0.48935255543384243</v>
      </c>
      <c r="N1365" s="479"/>
    </row>
    <row r="1366" spans="1:14" hidden="1" x14ac:dyDescent="0.2">
      <c r="A1366" s="815" t="s">
        <v>579</v>
      </c>
      <c r="B1366" s="459" t="s">
        <v>558</v>
      </c>
      <c r="C1366" s="247" t="s">
        <v>25</v>
      </c>
      <c r="D1366" s="252" t="s">
        <v>135</v>
      </c>
      <c r="E1366" s="788">
        <v>0</v>
      </c>
      <c r="F1366" s="414" t="s">
        <v>664</v>
      </c>
      <c r="G1366" s="789" t="s">
        <v>16</v>
      </c>
      <c r="H1366" s="788"/>
      <c r="I1366" s="788"/>
      <c r="J1366" s="788"/>
      <c r="K1366" s="788"/>
      <c r="L1366" s="790"/>
      <c r="M1366" s="791"/>
      <c r="N1366" s="479"/>
    </row>
    <row r="1367" spans="1:14" hidden="1" x14ac:dyDescent="0.2">
      <c r="A1367" s="815" t="s">
        <v>579</v>
      </c>
      <c r="B1367" s="308" t="s">
        <v>398</v>
      </c>
      <c r="C1367" s="247" t="s">
        <v>25</v>
      </c>
      <c r="D1367" s="252" t="s">
        <v>135</v>
      </c>
      <c r="E1367" s="788">
        <v>0</v>
      </c>
      <c r="F1367" s="414" t="s">
        <v>664</v>
      </c>
      <c r="G1367" s="789" t="s">
        <v>16</v>
      </c>
      <c r="H1367" s="788"/>
      <c r="I1367" s="788"/>
      <c r="J1367" s="788"/>
      <c r="K1367" s="788"/>
      <c r="L1367" s="790"/>
      <c r="M1367" s="791"/>
      <c r="N1367" s="479"/>
    </row>
    <row r="1368" spans="1:14" hidden="1" x14ac:dyDescent="0.2">
      <c r="A1368" s="815" t="s">
        <v>579</v>
      </c>
      <c r="B1368" s="836" t="s">
        <v>399</v>
      </c>
      <c r="C1368" s="247" t="s">
        <v>25</v>
      </c>
      <c r="D1368" s="252" t="s">
        <v>135</v>
      </c>
      <c r="E1368" s="494">
        <v>0.10650241696553869</v>
      </c>
      <c r="F1368" s="374" t="s">
        <v>665</v>
      </c>
      <c r="G1368" s="251" t="s">
        <v>16</v>
      </c>
      <c r="H1368" s="381">
        <v>1</v>
      </c>
      <c r="I1368" s="381">
        <v>1</v>
      </c>
      <c r="J1368" s="381">
        <v>3</v>
      </c>
      <c r="K1368" s="381">
        <v>2</v>
      </c>
      <c r="L1368" s="253">
        <v>2</v>
      </c>
      <c r="M1368" s="254">
        <f>IF( OR( ISBLANK(H1368),ISBLANK(I1368), ISBLANK(J1368), ISBLANK(K1368), ISBLANK(L1368) ), "", 1.5*SQRT( EXP(2.21*(H1368-1)) + EXP(2.21*(I1368-1)) + EXP(2.21*(J1368-1)) + EXP(2.21*(K1368-1)) + EXP(2.21*L1368) )/100*2.45 )</f>
        <v>0.48935255543384243</v>
      </c>
      <c r="N1368" s="479"/>
    </row>
    <row r="1369" spans="1:14" hidden="1" x14ac:dyDescent="0.2">
      <c r="A1369" s="815" t="s">
        <v>579</v>
      </c>
      <c r="B1369" s="466" t="s">
        <v>668</v>
      </c>
      <c r="C1369" s="247" t="s">
        <v>26</v>
      </c>
      <c r="D1369" s="252" t="s">
        <v>135</v>
      </c>
      <c r="E1369" s="494">
        <v>0.57506925207756232</v>
      </c>
      <c r="F1369" s="374" t="s">
        <v>664</v>
      </c>
      <c r="G1369" s="251" t="s">
        <v>16</v>
      </c>
      <c r="H1369" s="381">
        <v>1</v>
      </c>
      <c r="I1369" s="381">
        <v>1</v>
      </c>
      <c r="J1369" s="381">
        <v>3</v>
      </c>
      <c r="K1369" s="381">
        <v>2</v>
      </c>
      <c r="L1369" s="253">
        <v>2</v>
      </c>
      <c r="M1369" s="254">
        <f>IF( OR( ISBLANK(H1369),ISBLANK(I1369), ISBLANK(J1369), ISBLANK(K1369), ISBLANK(L1369) ), "", 1.5*SQRT( EXP(2.21*(H1369-1)) + EXP(2.21*(I1369-1)) + EXP(2.21*(J1369-1)) + EXP(2.21*(K1369-1)) + EXP(2.21*L1369) )/100*2.45 )</f>
        <v>0.48935255543384243</v>
      </c>
      <c r="N1369" s="479"/>
    </row>
    <row r="1370" spans="1:14" hidden="1" x14ac:dyDescent="0.2">
      <c r="A1370" s="815" t="s">
        <v>579</v>
      </c>
      <c r="B1370" s="459" t="s">
        <v>558</v>
      </c>
      <c r="C1370" s="247" t="s">
        <v>26</v>
      </c>
      <c r="D1370" s="252" t="s">
        <v>135</v>
      </c>
      <c r="E1370" s="494">
        <v>0.31301939058171752</v>
      </c>
      <c r="F1370" s="374" t="s">
        <v>664</v>
      </c>
      <c r="G1370" s="251" t="s">
        <v>16</v>
      </c>
      <c r="H1370" s="381">
        <v>1</v>
      </c>
      <c r="I1370" s="381">
        <v>1</v>
      </c>
      <c r="J1370" s="381">
        <v>3</v>
      </c>
      <c r="K1370" s="381">
        <v>2</v>
      </c>
      <c r="L1370" s="253">
        <v>2</v>
      </c>
      <c r="M1370" s="254">
        <f>IF( OR( ISBLANK(H1370),ISBLANK(I1370), ISBLANK(J1370), ISBLANK(K1370), ISBLANK(L1370) ), "", 1.5*SQRT( EXP(2.21*(H1370-1)) + EXP(2.21*(I1370-1)) + EXP(2.21*(J1370-1)) + EXP(2.21*(K1370-1)) + EXP(2.21*L1370) )/100*2.45 )</f>
        <v>0.48935255543384243</v>
      </c>
      <c r="N1370" s="479"/>
    </row>
    <row r="1371" spans="1:14" hidden="1" x14ac:dyDescent="0.2">
      <c r="A1371" s="815" t="s">
        <v>579</v>
      </c>
      <c r="B1371" s="308" t="s">
        <v>398</v>
      </c>
      <c r="C1371" s="247" t="s">
        <v>26</v>
      </c>
      <c r="D1371" s="252" t="s">
        <v>135</v>
      </c>
      <c r="E1371" s="494">
        <v>0.11246537396121881</v>
      </c>
      <c r="F1371" s="374" t="s">
        <v>664</v>
      </c>
      <c r="G1371" s="251" t="s">
        <v>16</v>
      </c>
      <c r="H1371" s="381">
        <v>1</v>
      </c>
      <c r="I1371" s="381">
        <v>1</v>
      </c>
      <c r="J1371" s="381">
        <v>3</v>
      </c>
      <c r="K1371" s="381">
        <v>2</v>
      </c>
      <c r="L1371" s="253">
        <v>2</v>
      </c>
      <c r="M1371" s="254">
        <f>IF( OR( ISBLANK(H1371),ISBLANK(I1371), ISBLANK(J1371), ISBLANK(K1371), ISBLANK(L1371) ), "", 1.5*SQRT( EXP(2.21*(H1371-1)) + EXP(2.21*(I1371-1)) + EXP(2.21*(J1371-1)) + EXP(2.21*(K1371-1)) + EXP(2.21*L1371) )/100*2.45 )</f>
        <v>0.48935255543384243</v>
      </c>
      <c r="N1371" s="479"/>
    </row>
    <row r="1372" spans="1:14" hidden="1" x14ac:dyDescent="0.2">
      <c r="A1372" s="815" t="s">
        <v>579</v>
      </c>
      <c r="B1372" s="836" t="s">
        <v>399</v>
      </c>
      <c r="C1372" s="247" t="s">
        <v>26</v>
      </c>
      <c r="D1372" s="252" t="s">
        <v>135</v>
      </c>
      <c r="E1372" s="788">
        <v>0</v>
      </c>
      <c r="F1372" s="414" t="s">
        <v>664</v>
      </c>
      <c r="G1372" s="789" t="s">
        <v>16</v>
      </c>
      <c r="H1372" s="788"/>
      <c r="I1372" s="788"/>
      <c r="J1372" s="788"/>
      <c r="K1372" s="788"/>
      <c r="L1372" s="790"/>
      <c r="M1372" s="791"/>
      <c r="N1372" s="479"/>
    </row>
    <row r="1373" spans="1:14" hidden="1" x14ac:dyDescent="0.2">
      <c r="A1373" s="815" t="s">
        <v>579</v>
      </c>
      <c r="B1373" s="466" t="s">
        <v>668</v>
      </c>
      <c r="C1373" s="247" t="s">
        <v>27</v>
      </c>
      <c r="D1373" s="252" t="s">
        <v>135</v>
      </c>
      <c r="E1373" s="494">
        <v>0.40031240237425803</v>
      </c>
      <c r="F1373" s="374" t="s">
        <v>664</v>
      </c>
      <c r="G1373" s="251" t="s">
        <v>16</v>
      </c>
      <c r="H1373" s="381">
        <v>1</v>
      </c>
      <c r="I1373" s="381">
        <v>2</v>
      </c>
      <c r="J1373" s="381">
        <v>3</v>
      </c>
      <c r="K1373" s="381">
        <v>2</v>
      </c>
      <c r="L1373" s="253">
        <v>2</v>
      </c>
      <c r="M1373" s="254">
        <f t="shared" ref="M1373:M1382" si="50">IF( OR( ISBLANK(H1373),ISBLANK(I1373), ISBLANK(J1373), ISBLANK(K1373), ISBLANK(L1373) ), "", 1.5*SQRT( EXP(2.21*(H1373-1)) + EXP(2.21*(I1373-1)) + EXP(2.21*(J1373-1)) + EXP(2.21*(K1373-1)) + EXP(2.21*L1373) )/100*2.45 )</f>
        <v>0.50042652380814845</v>
      </c>
      <c r="N1373" s="479"/>
    </row>
    <row r="1374" spans="1:14" hidden="1" x14ac:dyDescent="0.2">
      <c r="A1374" s="815" t="s">
        <v>579</v>
      </c>
      <c r="B1374" s="459" t="s">
        <v>558</v>
      </c>
      <c r="C1374" s="247" t="s">
        <v>27</v>
      </c>
      <c r="D1374" s="252" t="s">
        <v>135</v>
      </c>
      <c r="E1374" s="494">
        <v>0.58469228366135584</v>
      </c>
      <c r="F1374" s="374" t="s">
        <v>664</v>
      </c>
      <c r="G1374" s="251" t="s">
        <v>16</v>
      </c>
      <c r="H1374" s="381">
        <v>1</v>
      </c>
      <c r="I1374" s="381">
        <v>2</v>
      </c>
      <c r="J1374" s="381">
        <v>3</v>
      </c>
      <c r="K1374" s="381">
        <v>2</v>
      </c>
      <c r="L1374" s="253">
        <v>2</v>
      </c>
      <c r="M1374" s="254">
        <f t="shared" si="50"/>
        <v>0.50042652380814845</v>
      </c>
      <c r="N1374" s="479"/>
    </row>
    <row r="1375" spans="1:14" hidden="1" x14ac:dyDescent="0.2">
      <c r="A1375" s="815" t="s">
        <v>579</v>
      </c>
      <c r="B1375" s="308" t="s">
        <v>398</v>
      </c>
      <c r="C1375" s="247" t="s">
        <v>27</v>
      </c>
      <c r="D1375" s="252" t="s">
        <v>135</v>
      </c>
      <c r="E1375" s="494">
        <v>1.0996563573883161E-2</v>
      </c>
      <c r="F1375" s="374" t="s">
        <v>664</v>
      </c>
      <c r="G1375" s="251" t="s">
        <v>16</v>
      </c>
      <c r="H1375" s="381">
        <v>1</v>
      </c>
      <c r="I1375" s="381">
        <v>2</v>
      </c>
      <c r="J1375" s="381">
        <v>3</v>
      </c>
      <c r="K1375" s="381">
        <v>2</v>
      </c>
      <c r="L1375" s="253">
        <v>2</v>
      </c>
      <c r="M1375" s="254">
        <f t="shared" si="50"/>
        <v>0.50042652380814845</v>
      </c>
      <c r="N1375" s="479"/>
    </row>
    <row r="1376" spans="1:14" hidden="1" x14ac:dyDescent="0.2">
      <c r="A1376" s="815" t="s">
        <v>579</v>
      </c>
      <c r="B1376" s="836" t="s">
        <v>399</v>
      </c>
      <c r="C1376" s="247" t="s">
        <v>27</v>
      </c>
      <c r="D1376" s="252" t="s">
        <v>135</v>
      </c>
      <c r="E1376" s="494">
        <v>4.1237113402061874E-3</v>
      </c>
      <c r="F1376" s="374" t="s">
        <v>664</v>
      </c>
      <c r="G1376" s="251" t="s">
        <v>16</v>
      </c>
      <c r="H1376" s="381">
        <v>1</v>
      </c>
      <c r="I1376" s="381">
        <v>2</v>
      </c>
      <c r="J1376" s="381">
        <v>3</v>
      </c>
      <c r="K1376" s="381">
        <v>2</v>
      </c>
      <c r="L1376" s="253">
        <v>2</v>
      </c>
      <c r="M1376" s="254">
        <f t="shared" si="50"/>
        <v>0.50042652380814845</v>
      </c>
      <c r="N1376" s="479"/>
    </row>
    <row r="1377" spans="1:14" hidden="1" x14ac:dyDescent="0.2">
      <c r="A1377" s="815" t="s">
        <v>579</v>
      </c>
      <c r="B1377" s="466" t="s">
        <v>668</v>
      </c>
      <c r="C1377" s="247" t="s">
        <v>28</v>
      </c>
      <c r="D1377" s="252" t="s">
        <v>135</v>
      </c>
      <c r="E1377" s="494">
        <v>0.3838254172015404</v>
      </c>
      <c r="F1377" s="374" t="s">
        <v>664</v>
      </c>
      <c r="G1377" s="251" t="s">
        <v>16</v>
      </c>
      <c r="H1377" s="381">
        <v>1</v>
      </c>
      <c r="I1377" s="381">
        <v>2</v>
      </c>
      <c r="J1377" s="381">
        <v>3</v>
      </c>
      <c r="K1377" s="381">
        <v>2</v>
      </c>
      <c r="L1377" s="253">
        <v>2</v>
      </c>
      <c r="M1377" s="254">
        <f t="shared" si="50"/>
        <v>0.50042652380814845</v>
      </c>
      <c r="N1377" s="479"/>
    </row>
    <row r="1378" spans="1:14" hidden="1" x14ac:dyDescent="0.2">
      <c r="A1378" s="815" t="s">
        <v>579</v>
      </c>
      <c r="B1378" s="459" t="s">
        <v>558</v>
      </c>
      <c r="C1378" s="247" t="s">
        <v>28</v>
      </c>
      <c r="D1378" s="252" t="s">
        <v>135</v>
      </c>
      <c r="E1378" s="494">
        <v>0.40821566110397939</v>
      </c>
      <c r="F1378" s="374" t="s">
        <v>664</v>
      </c>
      <c r="G1378" s="251" t="s">
        <v>16</v>
      </c>
      <c r="H1378" s="381">
        <v>1</v>
      </c>
      <c r="I1378" s="381">
        <v>2</v>
      </c>
      <c r="J1378" s="381">
        <v>3</v>
      </c>
      <c r="K1378" s="381">
        <v>2</v>
      </c>
      <c r="L1378" s="253">
        <v>2</v>
      </c>
      <c r="M1378" s="254">
        <f t="shared" si="50"/>
        <v>0.50042652380814845</v>
      </c>
      <c r="N1378" s="479"/>
    </row>
    <row r="1379" spans="1:14" hidden="1" x14ac:dyDescent="0.2">
      <c r="A1379" s="815" t="s">
        <v>579</v>
      </c>
      <c r="B1379" s="308" t="s">
        <v>398</v>
      </c>
      <c r="C1379" s="247" t="s">
        <v>28</v>
      </c>
      <c r="D1379" s="252" t="s">
        <v>135</v>
      </c>
      <c r="E1379" s="494">
        <v>1.668806161745828E-2</v>
      </c>
      <c r="F1379" s="374" t="s">
        <v>664</v>
      </c>
      <c r="G1379" s="251" t="s">
        <v>16</v>
      </c>
      <c r="H1379" s="381">
        <v>1</v>
      </c>
      <c r="I1379" s="381">
        <v>2</v>
      </c>
      <c r="J1379" s="381">
        <v>3</v>
      </c>
      <c r="K1379" s="381">
        <v>2</v>
      </c>
      <c r="L1379" s="253">
        <v>2</v>
      </c>
      <c r="M1379" s="254">
        <f t="shared" si="50"/>
        <v>0.50042652380814845</v>
      </c>
      <c r="N1379" s="479"/>
    </row>
    <row r="1380" spans="1:14" hidden="1" x14ac:dyDescent="0.2">
      <c r="A1380" s="815" t="s">
        <v>579</v>
      </c>
      <c r="B1380" s="836" t="s">
        <v>399</v>
      </c>
      <c r="C1380" s="247" t="s">
        <v>28</v>
      </c>
      <c r="D1380" s="252" t="s">
        <v>135</v>
      </c>
      <c r="E1380" s="494">
        <v>0.19127086007702179</v>
      </c>
      <c r="F1380" s="374" t="s">
        <v>664</v>
      </c>
      <c r="G1380" s="251" t="s">
        <v>16</v>
      </c>
      <c r="H1380" s="381">
        <v>1</v>
      </c>
      <c r="I1380" s="381">
        <v>2</v>
      </c>
      <c r="J1380" s="381">
        <v>3</v>
      </c>
      <c r="K1380" s="381">
        <v>2</v>
      </c>
      <c r="L1380" s="253">
        <v>2</v>
      </c>
      <c r="M1380" s="254">
        <f t="shared" si="50"/>
        <v>0.50042652380814845</v>
      </c>
      <c r="N1380" s="479"/>
    </row>
    <row r="1381" spans="1:14" hidden="1" x14ac:dyDescent="0.2">
      <c r="A1381" s="815" t="s">
        <v>579</v>
      </c>
      <c r="B1381" s="466" t="s">
        <v>668</v>
      </c>
      <c r="C1381" s="247" t="s">
        <v>30</v>
      </c>
      <c r="D1381" s="252" t="s">
        <v>135</v>
      </c>
      <c r="E1381" s="494">
        <v>0.16646496464906749</v>
      </c>
      <c r="F1381" s="374" t="s">
        <v>664</v>
      </c>
      <c r="G1381" s="251" t="s">
        <v>16</v>
      </c>
      <c r="H1381" s="381">
        <v>1</v>
      </c>
      <c r="I1381" s="381">
        <v>2</v>
      </c>
      <c r="J1381" s="381">
        <v>3</v>
      </c>
      <c r="K1381" s="381">
        <v>2</v>
      </c>
      <c r="L1381" s="253">
        <v>2</v>
      </c>
      <c r="M1381" s="254">
        <f t="shared" si="50"/>
        <v>0.50042652380814845</v>
      </c>
      <c r="N1381" s="479"/>
    </row>
    <row r="1382" spans="1:14" hidden="1" x14ac:dyDescent="0.2">
      <c r="A1382" s="815" t="s">
        <v>579</v>
      </c>
      <c r="B1382" s="459" t="s">
        <v>558</v>
      </c>
      <c r="C1382" s="247" t="s">
        <v>30</v>
      </c>
      <c r="D1382" s="252" t="s">
        <v>135</v>
      </c>
      <c r="E1382" s="494">
        <v>8.4680104460413338E-2</v>
      </c>
      <c r="F1382" s="374" t="s">
        <v>664</v>
      </c>
      <c r="G1382" s="251" t="s">
        <v>16</v>
      </c>
      <c r="H1382" s="381">
        <v>1</v>
      </c>
      <c r="I1382" s="381">
        <v>2</v>
      </c>
      <c r="J1382" s="381">
        <v>3</v>
      </c>
      <c r="K1382" s="381">
        <v>2</v>
      </c>
      <c r="L1382" s="253">
        <v>2</v>
      </c>
      <c r="M1382" s="254">
        <f t="shared" si="50"/>
        <v>0.50042652380814845</v>
      </c>
      <c r="N1382" s="479"/>
    </row>
    <row r="1383" spans="1:14" hidden="1" x14ac:dyDescent="0.2">
      <c r="A1383" s="815" t="s">
        <v>579</v>
      </c>
      <c r="B1383" s="308" t="s">
        <v>398</v>
      </c>
      <c r="C1383" s="247" t="s">
        <v>30</v>
      </c>
      <c r="D1383" s="252" t="s">
        <v>135</v>
      </c>
      <c r="E1383" s="788">
        <v>0</v>
      </c>
      <c r="F1383" s="414" t="s">
        <v>664</v>
      </c>
      <c r="G1383" s="789" t="s">
        <v>16</v>
      </c>
      <c r="H1383" s="788"/>
      <c r="I1383" s="788"/>
      <c r="J1383" s="788"/>
      <c r="K1383" s="788"/>
      <c r="L1383" s="790"/>
      <c r="M1383" s="791"/>
      <c r="N1383" s="479"/>
    </row>
    <row r="1384" spans="1:14" hidden="1" x14ac:dyDescent="0.2">
      <c r="A1384" s="815" t="s">
        <v>579</v>
      </c>
      <c r="B1384" s="836" t="s">
        <v>399</v>
      </c>
      <c r="C1384" s="247" t="s">
        <v>30</v>
      </c>
      <c r="D1384" s="252" t="s">
        <v>135</v>
      </c>
      <c r="E1384" s="494">
        <v>0.74885493089051924</v>
      </c>
      <c r="F1384" s="374" t="s">
        <v>664</v>
      </c>
      <c r="G1384" s="251" t="s">
        <v>16</v>
      </c>
      <c r="H1384" s="381">
        <v>1</v>
      </c>
      <c r="I1384" s="381">
        <v>2</v>
      </c>
      <c r="J1384" s="381">
        <v>3</v>
      </c>
      <c r="K1384" s="381">
        <v>2</v>
      </c>
      <c r="L1384" s="253">
        <v>2</v>
      </c>
      <c r="M1384" s="254">
        <f>IF( OR( ISBLANK(H1384),ISBLANK(I1384), ISBLANK(J1384), ISBLANK(K1384), ISBLANK(L1384) ), "", 1.5*SQRT( EXP(2.21*(H1384-1)) + EXP(2.21*(I1384-1)) + EXP(2.21*(J1384-1)) + EXP(2.21*(K1384-1)) + EXP(2.21*L1384) )/100*2.45 )</f>
        <v>0.50042652380814845</v>
      </c>
      <c r="N1384" s="479"/>
    </row>
    <row r="1385" spans="1:14" hidden="1" x14ac:dyDescent="0.2">
      <c r="A1385" s="815" t="s">
        <v>579</v>
      </c>
      <c r="B1385" s="466" t="s">
        <v>668</v>
      </c>
      <c r="C1385" s="247" t="s">
        <v>32</v>
      </c>
      <c r="D1385" s="252" t="s">
        <v>135</v>
      </c>
      <c r="E1385" s="494">
        <v>0.1202785646836638</v>
      </c>
      <c r="F1385" s="374" t="s">
        <v>664</v>
      </c>
      <c r="G1385" s="251" t="s">
        <v>16</v>
      </c>
      <c r="H1385" s="381">
        <v>1</v>
      </c>
      <c r="I1385" s="381">
        <v>2</v>
      </c>
      <c r="J1385" s="381">
        <v>3</v>
      </c>
      <c r="K1385" s="381">
        <v>2</v>
      </c>
      <c r="L1385" s="253">
        <v>2</v>
      </c>
      <c r="M1385" s="254">
        <f>IF( OR( ISBLANK(H1385),ISBLANK(I1385), ISBLANK(J1385), ISBLANK(K1385), ISBLANK(L1385) ), "", 1.5*SQRT( EXP(2.21*(H1385-1)) + EXP(2.21*(I1385-1)) + EXP(2.21*(J1385-1)) + EXP(2.21*(K1385-1)) + EXP(2.21*L1385) )/100*2.45 )</f>
        <v>0.50042652380814845</v>
      </c>
      <c r="N1385" s="479"/>
    </row>
    <row r="1386" spans="1:14" hidden="1" x14ac:dyDescent="0.2">
      <c r="A1386" s="815" t="s">
        <v>579</v>
      </c>
      <c r="B1386" s="459" t="s">
        <v>558</v>
      </c>
      <c r="C1386" s="247" t="s">
        <v>32</v>
      </c>
      <c r="D1386" s="252" t="s">
        <v>135</v>
      </c>
      <c r="E1386" s="788">
        <v>0</v>
      </c>
      <c r="F1386" s="414" t="s">
        <v>664</v>
      </c>
      <c r="G1386" s="789" t="s">
        <v>16</v>
      </c>
      <c r="H1386" s="788"/>
      <c r="I1386" s="788"/>
      <c r="J1386" s="788"/>
      <c r="K1386" s="788"/>
      <c r="L1386" s="790"/>
      <c r="M1386" s="791"/>
      <c r="N1386" s="479"/>
    </row>
    <row r="1387" spans="1:14" hidden="1" x14ac:dyDescent="0.2">
      <c r="A1387" s="815" t="s">
        <v>579</v>
      </c>
      <c r="B1387" s="308" t="s">
        <v>398</v>
      </c>
      <c r="C1387" s="247" t="s">
        <v>32</v>
      </c>
      <c r="D1387" s="252" t="s">
        <v>135</v>
      </c>
      <c r="E1387" s="494">
        <v>0.43472615675165238</v>
      </c>
      <c r="F1387" s="374" t="s">
        <v>664</v>
      </c>
      <c r="G1387" s="251" t="s">
        <v>16</v>
      </c>
      <c r="H1387" s="381">
        <v>1</v>
      </c>
      <c r="I1387" s="381">
        <v>2</v>
      </c>
      <c r="J1387" s="381">
        <v>3</v>
      </c>
      <c r="K1387" s="381">
        <v>2</v>
      </c>
      <c r="L1387" s="253">
        <v>2</v>
      </c>
      <c r="M1387" s="254">
        <f t="shared" ref="M1387:M1395" si="51">IF( OR( ISBLANK(H1387),ISBLANK(I1387), ISBLANK(J1387), ISBLANK(K1387), ISBLANK(L1387) ), "", 1.5*SQRT( EXP(2.21*(H1387-1)) + EXP(2.21*(I1387-1)) + EXP(2.21*(J1387-1)) + EXP(2.21*(K1387-1)) + EXP(2.21*L1387) )/100*2.45 )</f>
        <v>0.50042652380814845</v>
      </c>
      <c r="N1387" s="479"/>
    </row>
    <row r="1388" spans="1:14" hidden="1" x14ac:dyDescent="0.2">
      <c r="A1388" s="815" t="s">
        <v>579</v>
      </c>
      <c r="B1388" s="836" t="s">
        <v>399</v>
      </c>
      <c r="C1388" s="247" t="s">
        <v>32</v>
      </c>
      <c r="D1388" s="252" t="s">
        <v>135</v>
      </c>
      <c r="E1388" s="494">
        <v>0.44511331444759211</v>
      </c>
      <c r="F1388" s="374" t="s">
        <v>664</v>
      </c>
      <c r="G1388" s="251" t="s">
        <v>16</v>
      </c>
      <c r="H1388" s="381">
        <v>1</v>
      </c>
      <c r="I1388" s="381">
        <v>2</v>
      </c>
      <c r="J1388" s="381">
        <v>3</v>
      </c>
      <c r="K1388" s="381">
        <v>2</v>
      </c>
      <c r="L1388" s="253">
        <v>2</v>
      </c>
      <c r="M1388" s="254">
        <f t="shared" si="51"/>
        <v>0.50042652380814845</v>
      </c>
      <c r="N1388" s="479"/>
    </row>
    <row r="1389" spans="1:14" hidden="1" x14ac:dyDescent="0.2">
      <c r="A1389" s="815" t="s">
        <v>579</v>
      </c>
      <c r="B1389" s="466" t="s">
        <v>668</v>
      </c>
      <c r="C1389" s="247" t="s">
        <v>34</v>
      </c>
      <c r="D1389" s="252" t="s">
        <v>135</v>
      </c>
      <c r="E1389" s="494">
        <v>0.20159358879882089</v>
      </c>
      <c r="F1389" s="374" t="s">
        <v>664</v>
      </c>
      <c r="G1389" s="251" t="s">
        <v>16</v>
      </c>
      <c r="H1389" s="381">
        <v>1</v>
      </c>
      <c r="I1389" s="381">
        <v>2</v>
      </c>
      <c r="J1389" s="381">
        <v>3</v>
      </c>
      <c r="K1389" s="381">
        <v>2</v>
      </c>
      <c r="L1389" s="253">
        <v>2</v>
      </c>
      <c r="M1389" s="254">
        <f t="shared" si="51"/>
        <v>0.50042652380814845</v>
      </c>
      <c r="N1389" s="479"/>
    </row>
    <row r="1390" spans="1:14" hidden="1" x14ac:dyDescent="0.2">
      <c r="A1390" s="815" t="s">
        <v>579</v>
      </c>
      <c r="B1390" s="459" t="s">
        <v>558</v>
      </c>
      <c r="C1390" s="247" t="s">
        <v>34</v>
      </c>
      <c r="D1390" s="252" t="s">
        <v>135</v>
      </c>
      <c r="E1390" s="494">
        <v>0.73622881355932202</v>
      </c>
      <c r="F1390" s="374" t="s">
        <v>664</v>
      </c>
      <c r="G1390" s="251" t="s">
        <v>16</v>
      </c>
      <c r="H1390" s="381">
        <v>1</v>
      </c>
      <c r="I1390" s="381">
        <v>2</v>
      </c>
      <c r="J1390" s="381">
        <v>3</v>
      </c>
      <c r="K1390" s="381">
        <v>2</v>
      </c>
      <c r="L1390" s="253">
        <v>2</v>
      </c>
      <c r="M1390" s="254">
        <f t="shared" si="51"/>
        <v>0.50042652380814845</v>
      </c>
      <c r="N1390" s="479"/>
    </row>
    <row r="1391" spans="1:14" hidden="1" x14ac:dyDescent="0.2">
      <c r="A1391" s="815" t="s">
        <v>579</v>
      </c>
      <c r="B1391" s="308" t="s">
        <v>398</v>
      </c>
      <c r="C1391" s="247" t="s">
        <v>34</v>
      </c>
      <c r="D1391" s="252" t="s">
        <v>135</v>
      </c>
      <c r="E1391" s="494">
        <v>5.8953574060427406E-3</v>
      </c>
      <c r="F1391" s="374" t="s">
        <v>664</v>
      </c>
      <c r="G1391" s="251" t="s">
        <v>16</v>
      </c>
      <c r="H1391" s="381">
        <v>1</v>
      </c>
      <c r="I1391" s="381">
        <v>2</v>
      </c>
      <c r="J1391" s="381">
        <v>3</v>
      </c>
      <c r="K1391" s="381">
        <v>2</v>
      </c>
      <c r="L1391" s="253">
        <v>2</v>
      </c>
      <c r="M1391" s="254">
        <f t="shared" si="51"/>
        <v>0.50042652380814845</v>
      </c>
      <c r="N1391" s="479"/>
    </row>
    <row r="1392" spans="1:14" hidden="1" x14ac:dyDescent="0.2">
      <c r="A1392" s="815" t="s">
        <v>579</v>
      </c>
      <c r="B1392" s="836" t="s">
        <v>399</v>
      </c>
      <c r="C1392" s="247" t="s">
        <v>34</v>
      </c>
      <c r="D1392" s="252" t="s">
        <v>135</v>
      </c>
      <c r="E1392" s="494">
        <v>5.6282240235814303E-2</v>
      </c>
      <c r="F1392" s="374" t="s">
        <v>664</v>
      </c>
      <c r="G1392" s="251" t="s">
        <v>16</v>
      </c>
      <c r="H1392" s="381">
        <v>1</v>
      </c>
      <c r="I1392" s="381">
        <v>2</v>
      </c>
      <c r="J1392" s="381">
        <v>3</v>
      </c>
      <c r="K1392" s="381">
        <v>2</v>
      </c>
      <c r="L1392" s="253">
        <v>2</v>
      </c>
      <c r="M1392" s="254">
        <f t="shared" si="51"/>
        <v>0.50042652380814845</v>
      </c>
      <c r="N1392" s="479"/>
    </row>
    <row r="1393" spans="1:14" hidden="1" x14ac:dyDescent="0.2">
      <c r="A1393" s="815" t="s">
        <v>579</v>
      </c>
      <c r="B1393" s="466" t="s">
        <v>668</v>
      </c>
      <c r="C1393" s="247" t="s">
        <v>36</v>
      </c>
      <c r="D1393" s="252" t="s">
        <v>135</v>
      </c>
      <c r="E1393" s="494">
        <v>0.88727085831762886</v>
      </c>
      <c r="F1393" s="374" t="s">
        <v>664</v>
      </c>
      <c r="G1393" s="251" t="s">
        <v>16</v>
      </c>
      <c r="H1393" s="381">
        <v>1</v>
      </c>
      <c r="I1393" s="381">
        <v>1</v>
      </c>
      <c r="J1393" s="381">
        <v>3</v>
      </c>
      <c r="K1393" s="381">
        <v>2</v>
      </c>
      <c r="L1393" s="253">
        <v>2</v>
      </c>
      <c r="M1393" s="254">
        <f t="shared" si="51"/>
        <v>0.48935255543384243</v>
      </c>
      <c r="N1393" s="479"/>
    </row>
    <row r="1394" spans="1:14" hidden="1" x14ac:dyDescent="0.2">
      <c r="A1394" s="815" t="s">
        <v>579</v>
      </c>
      <c r="B1394" s="459" t="s">
        <v>558</v>
      </c>
      <c r="C1394" s="247" t="s">
        <v>36</v>
      </c>
      <c r="D1394" s="252" t="s">
        <v>135</v>
      </c>
      <c r="E1394" s="494">
        <v>0.111358574610245</v>
      </c>
      <c r="F1394" s="374" t="s">
        <v>664</v>
      </c>
      <c r="G1394" s="251" t="s">
        <v>16</v>
      </c>
      <c r="H1394" s="381">
        <v>1</v>
      </c>
      <c r="I1394" s="381">
        <v>1</v>
      </c>
      <c r="J1394" s="381">
        <v>3</v>
      </c>
      <c r="K1394" s="381">
        <v>2</v>
      </c>
      <c r="L1394" s="253">
        <v>2</v>
      </c>
      <c r="M1394" s="254">
        <f t="shared" si="51"/>
        <v>0.48935255543384243</v>
      </c>
      <c r="N1394" s="479"/>
    </row>
    <row r="1395" spans="1:14" hidden="1" x14ac:dyDescent="0.2">
      <c r="A1395" s="815" t="s">
        <v>579</v>
      </c>
      <c r="B1395" s="308" t="s">
        <v>398</v>
      </c>
      <c r="C1395" s="247" t="s">
        <v>36</v>
      </c>
      <c r="D1395" s="252" t="s">
        <v>135</v>
      </c>
      <c r="E1395" s="494">
        <v>1.1992461881103311E-3</v>
      </c>
      <c r="F1395" s="374" t="s">
        <v>664</v>
      </c>
      <c r="G1395" s="251" t="s">
        <v>16</v>
      </c>
      <c r="H1395" s="381">
        <v>1</v>
      </c>
      <c r="I1395" s="381">
        <v>1</v>
      </c>
      <c r="J1395" s="381">
        <v>3</v>
      </c>
      <c r="K1395" s="381">
        <v>2</v>
      </c>
      <c r="L1395" s="253">
        <v>2</v>
      </c>
      <c r="M1395" s="254">
        <f t="shared" si="51"/>
        <v>0.48935255543384243</v>
      </c>
      <c r="N1395" s="479"/>
    </row>
    <row r="1396" spans="1:14" hidden="1" x14ac:dyDescent="0.2">
      <c r="A1396" s="815" t="s">
        <v>579</v>
      </c>
      <c r="B1396" s="836" t="s">
        <v>399</v>
      </c>
      <c r="C1396" s="247" t="s">
        <v>36</v>
      </c>
      <c r="D1396" s="252" t="s">
        <v>135</v>
      </c>
      <c r="E1396" s="788">
        <v>0</v>
      </c>
      <c r="F1396" s="414" t="s">
        <v>664</v>
      </c>
      <c r="G1396" s="789" t="s">
        <v>16</v>
      </c>
      <c r="H1396" s="788"/>
      <c r="I1396" s="788"/>
      <c r="J1396" s="788"/>
      <c r="K1396" s="788"/>
      <c r="L1396" s="790"/>
      <c r="M1396" s="791"/>
      <c r="N1396" s="479"/>
    </row>
    <row r="1397" spans="1:14" hidden="1" x14ac:dyDescent="0.2">
      <c r="A1397" s="815" t="s">
        <v>579</v>
      </c>
      <c r="B1397" s="466" t="s">
        <v>668</v>
      </c>
      <c r="C1397" s="247" t="s">
        <v>37</v>
      </c>
      <c r="D1397" s="252" t="s">
        <v>135</v>
      </c>
      <c r="E1397" s="494">
        <v>0.76</v>
      </c>
      <c r="F1397" s="374" t="s">
        <v>666</v>
      </c>
      <c r="G1397" s="251" t="s">
        <v>16</v>
      </c>
      <c r="H1397" s="381">
        <v>1</v>
      </c>
      <c r="I1397" s="381">
        <v>1</v>
      </c>
      <c r="J1397" s="381">
        <v>3</v>
      </c>
      <c r="K1397" s="381">
        <v>2</v>
      </c>
      <c r="L1397" s="253">
        <v>2</v>
      </c>
      <c r="M1397" s="254">
        <f>IF( OR( ISBLANK(H1397),ISBLANK(I1397), ISBLANK(J1397), ISBLANK(K1397), ISBLANK(L1397) ), "", 1.5*SQRT( EXP(2.21*(H1397-1)) + EXP(2.21*(I1397-1)) + EXP(2.21*(J1397-1)) + EXP(2.21*(K1397-1)) + EXP(2.21*L1397) )/100*2.45 )</f>
        <v>0.48935255543384243</v>
      </c>
      <c r="N1397" s="479"/>
    </row>
    <row r="1398" spans="1:14" hidden="1" x14ac:dyDescent="0.2">
      <c r="A1398" s="815" t="s">
        <v>579</v>
      </c>
      <c r="B1398" s="459" t="s">
        <v>558</v>
      </c>
      <c r="C1398" s="247" t="s">
        <v>37</v>
      </c>
      <c r="D1398" s="252" t="s">
        <v>135</v>
      </c>
      <c r="E1398" s="788">
        <v>0</v>
      </c>
      <c r="F1398" s="414" t="s">
        <v>664</v>
      </c>
      <c r="G1398" s="789" t="s">
        <v>16</v>
      </c>
      <c r="H1398" s="788"/>
      <c r="I1398" s="788"/>
      <c r="J1398" s="788"/>
      <c r="K1398" s="788"/>
      <c r="L1398" s="790"/>
      <c r="M1398" s="791"/>
      <c r="N1398" s="479"/>
    </row>
    <row r="1399" spans="1:14" hidden="1" x14ac:dyDescent="0.2">
      <c r="A1399" s="815" t="s">
        <v>579</v>
      </c>
      <c r="B1399" s="308" t="s">
        <v>398</v>
      </c>
      <c r="C1399" s="247" t="s">
        <v>37</v>
      </c>
      <c r="D1399" s="252" t="s">
        <v>135</v>
      </c>
      <c r="E1399" s="494">
        <v>0.08</v>
      </c>
      <c r="F1399" s="374" t="s">
        <v>666</v>
      </c>
      <c r="G1399" s="251" t="s">
        <v>16</v>
      </c>
      <c r="H1399" s="381">
        <v>1</v>
      </c>
      <c r="I1399" s="381">
        <v>1</v>
      </c>
      <c r="J1399" s="381">
        <v>3</v>
      </c>
      <c r="K1399" s="381">
        <v>2</v>
      </c>
      <c r="L1399" s="253">
        <v>2</v>
      </c>
      <c r="M1399" s="254">
        <f>IF( OR( ISBLANK(H1399),ISBLANK(I1399), ISBLANK(J1399), ISBLANK(K1399), ISBLANK(L1399) ), "", 1.5*SQRT( EXP(2.21*(H1399-1)) + EXP(2.21*(I1399-1)) + EXP(2.21*(J1399-1)) + EXP(2.21*(K1399-1)) + EXP(2.21*L1399) )/100*2.45 )</f>
        <v>0.48935255543384243</v>
      </c>
      <c r="N1399" s="479"/>
    </row>
    <row r="1400" spans="1:14" hidden="1" x14ac:dyDescent="0.2">
      <c r="A1400" s="815" t="s">
        <v>579</v>
      </c>
      <c r="B1400" s="836" t="s">
        <v>399</v>
      </c>
      <c r="C1400" s="247" t="s">
        <v>37</v>
      </c>
      <c r="D1400" s="252" t="s">
        <v>135</v>
      </c>
      <c r="E1400" s="494">
        <v>0.09</v>
      </c>
      <c r="F1400" s="374" t="s">
        <v>666</v>
      </c>
      <c r="G1400" s="251" t="s">
        <v>16</v>
      </c>
      <c r="H1400" s="381">
        <v>1</v>
      </c>
      <c r="I1400" s="381">
        <v>1</v>
      </c>
      <c r="J1400" s="381">
        <v>3</v>
      </c>
      <c r="K1400" s="381">
        <v>2</v>
      </c>
      <c r="L1400" s="253">
        <v>2</v>
      </c>
      <c r="M1400" s="254">
        <f>IF( OR( ISBLANK(H1400),ISBLANK(I1400), ISBLANK(J1400), ISBLANK(K1400), ISBLANK(L1400) ), "", 1.5*SQRT( EXP(2.21*(H1400-1)) + EXP(2.21*(I1400-1)) + EXP(2.21*(J1400-1)) + EXP(2.21*(K1400-1)) + EXP(2.21*L1400) )/100*2.45 )</f>
        <v>0.48935255543384243</v>
      </c>
      <c r="N1400" s="479"/>
    </row>
    <row r="1401" spans="1:14" hidden="1" x14ac:dyDescent="0.2">
      <c r="A1401" s="815" t="s">
        <v>579</v>
      </c>
      <c r="B1401" s="466" t="s">
        <v>668</v>
      </c>
      <c r="C1401" s="247" t="s">
        <v>39</v>
      </c>
      <c r="D1401" s="252" t="s">
        <v>135</v>
      </c>
      <c r="E1401" s="494">
        <v>0.34161819143310418</v>
      </c>
      <c r="F1401" s="374" t="s">
        <v>664</v>
      </c>
      <c r="G1401" s="251" t="s">
        <v>16</v>
      </c>
      <c r="H1401" s="381">
        <v>1</v>
      </c>
      <c r="I1401" s="381">
        <v>1</v>
      </c>
      <c r="J1401" s="381">
        <v>3</v>
      </c>
      <c r="K1401" s="381">
        <v>2</v>
      </c>
      <c r="L1401" s="253">
        <v>2</v>
      </c>
      <c r="M1401" s="254">
        <f>IF( OR( ISBLANK(H1401),ISBLANK(I1401), ISBLANK(J1401), ISBLANK(K1401), ISBLANK(L1401) ), "", 1.5*SQRT( EXP(2.21*(H1401-1)) + EXP(2.21*(I1401-1)) + EXP(2.21*(J1401-1)) + EXP(2.21*(K1401-1)) + EXP(2.21*L1401) )/100*2.45 )</f>
        <v>0.48935255543384243</v>
      </c>
      <c r="N1401" s="479"/>
    </row>
    <row r="1402" spans="1:14" hidden="1" x14ac:dyDescent="0.2">
      <c r="A1402" s="815" t="s">
        <v>579</v>
      </c>
      <c r="B1402" s="459" t="s">
        <v>558</v>
      </c>
      <c r="C1402" s="247" t="s">
        <v>39</v>
      </c>
      <c r="D1402" s="252" t="s">
        <v>135</v>
      </c>
      <c r="E1402" s="494">
        <v>0.24643046007403491</v>
      </c>
      <c r="F1402" s="374" t="s">
        <v>664</v>
      </c>
      <c r="G1402" s="251" t="s">
        <v>16</v>
      </c>
      <c r="H1402" s="381">
        <v>1</v>
      </c>
      <c r="I1402" s="381">
        <v>1</v>
      </c>
      <c r="J1402" s="381">
        <v>3</v>
      </c>
      <c r="K1402" s="381">
        <v>2</v>
      </c>
      <c r="L1402" s="253">
        <v>2</v>
      </c>
      <c r="M1402" s="254">
        <f>IF( OR( ISBLANK(H1402),ISBLANK(I1402), ISBLANK(J1402), ISBLANK(K1402), ISBLANK(L1402) ), "", 1.5*SQRT( EXP(2.21*(H1402-1)) + EXP(2.21*(I1402-1)) + EXP(2.21*(J1402-1)) + EXP(2.21*(K1402-1)) + EXP(2.21*L1402) )/100*2.45 )</f>
        <v>0.48935255543384243</v>
      </c>
      <c r="N1402" s="479"/>
    </row>
    <row r="1403" spans="1:14" hidden="1" x14ac:dyDescent="0.2">
      <c r="A1403" s="815" t="s">
        <v>579</v>
      </c>
      <c r="B1403" s="308" t="s">
        <v>398</v>
      </c>
      <c r="C1403" s="247" t="s">
        <v>39</v>
      </c>
      <c r="D1403" s="252" t="s">
        <v>135</v>
      </c>
      <c r="E1403" s="494">
        <v>3.8603913273400313E-2</v>
      </c>
      <c r="F1403" s="374" t="s">
        <v>664</v>
      </c>
      <c r="G1403" s="251" t="s">
        <v>16</v>
      </c>
      <c r="H1403" s="381">
        <v>1</v>
      </c>
      <c r="I1403" s="381">
        <v>1</v>
      </c>
      <c r="J1403" s="381">
        <v>3</v>
      </c>
      <c r="K1403" s="381">
        <v>2</v>
      </c>
      <c r="L1403" s="253">
        <v>2</v>
      </c>
      <c r="M1403" s="254">
        <f>IF( OR( ISBLANK(H1403),ISBLANK(I1403), ISBLANK(J1403), ISBLANK(K1403), ISBLANK(L1403) ), "", 1.5*SQRT( EXP(2.21*(H1403-1)) + EXP(2.21*(I1403-1)) + EXP(2.21*(J1403-1)) + EXP(2.21*(K1403-1)) + EXP(2.21*L1403) )/100*2.45 )</f>
        <v>0.48935255543384243</v>
      </c>
      <c r="N1403" s="479"/>
    </row>
    <row r="1404" spans="1:14" hidden="1" x14ac:dyDescent="0.2">
      <c r="A1404" s="815" t="s">
        <v>579</v>
      </c>
      <c r="B1404" s="836" t="s">
        <v>399</v>
      </c>
      <c r="C1404" s="247" t="s">
        <v>39</v>
      </c>
      <c r="D1404" s="252" t="s">
        <v>135</v>
      </c>
      <c r="E1404" s="788">
        <v>0</v>
      </c>
      <c r="F1404" s="414" t="s">
        <v>664</v>
      </c>
      <c r="G1404" s="789" t="s">
        <v>16</v>
      </c>
      <c r="H1404" s="788"/>
      <c r="I1404" s="788"/>
      <c r="J1404" s="788"/>
      <c r="K1404" s="788"/>
      <c r="L1404" s="790"/>
      <c r="M1404" s="791"/>
      <c r="N1404" s="479"/>
    </row>
    <row r="1405" spans="1:14" hidden="1" x14ac:dyDescent="0.2">
      <c r="A1405" s="815" t="s">
        <v>579</v>
      </c>
      <c r="B1405" s="466" t="s">
        <v>668</v>
      </c>
      <c r="C1405" s="247" t="s">
        <v>40</v>
      </c>
      <c r="D1405" s="252" t="s">
        <v>135</v>
      </c>
      <c r="E1405" s="494">
        <v>0.28207482212531548</v>
      </c>
      <c r="F1405" s="374" t="s">
        <v>664</v>
      </c>
      <c r="G1405" s="251" t="s">
        <v>16</v>
      </c>
      <c r="H1405" s="381">
        <v>1</v>
      </c>
      <c r="I1405" s="381">
        <v>1</v>
      </c>
      <c r="J1405" s="381">
        <v>3</v>
      </c>
      <c r="K1405" s="381">
        <v>2</v>
      </c>
      <c r="L1405" s="253">
        <v>2</v>
      </c>
      <c r="M1405" s="254">
        <f t="shared" ref="M1405:M1410" si="52">IF( OR( ISBLANK(H1405),ISBLANK(I1405), ISBLANK(J1405), ISBLANK(K1405), ISBLANK(L1405) ), "", 1.5*SQRT( EXP(2.21*(H1405-1)) + EXP(2.21*(I1405-1)) + EXP(2.21*(J1405-1)) + EXP(2.21*(K1405-1)) + EXP(2.21*L1405) )/100*2.45 )</f>
        <v>0.48935255543384243</v>
      </c>
      <c r="N1405" s="479"/>
    </row>
    <row r="1406" spans="1:14" hidden="1" x14ac:dyDescent="0.2">
      <c r="A1406" s="815" t="s">
        <v>579</v>
      </c>
      <c r="B1406" s="459" t="s">
        <v>558</v>
      </c>
      <c r="C1406" s="247" t="s">
        <v>40</v>
      </c>
      <c r="D1406" s="252" t="s">
        <v>135</v>
      </c>
      <c r="E1406" s="494">
        <v>0.34886389717695659</v>
      </c>
      <c r="F1406" s="374" t="s">
        <v>664</v>
      </c>
      <c r="G1406" s="251" t="s">
        <v>16</v>
      </c>
      <c r="H1406" s="381">
        <v>1</v>
      </c>
      <c r="I1406" s="381">
        <v>1</v>
      </c>
      <c r="J1406" s="381">
        <v>3</v>
      </c>
      <c r="K1406" s="381">
        <v>2</v>
      </c>
      <c r="L1406" s="253">
        <v>2</v>
      </c>
      <c r="M1406" s="254">
        <f t="shared" si="52"/>
        <v>0.48935255543384243</v>
      </c>
      <c r="N1406" s="479"/>
    </row>
    <row r="1407" spans="1:14" hidden="1" x14ac:dyDescent="0.2">
      <c r="A1407" s="815" t="s">
        <v>579</v>
      </c>
      <c r="B1407" s="308" t="s">
        <v>398</v>
      </c>
      <c r="C1407" s="247" t="s">
        <v>40</v>
      </c>
      <c r="D1407" s="252" t="s">
        <v>135</v>
      </c>
      <c r="E1407" s="494">
        <v>3.7870094101445949E-2</v>
      </c>
      <c r="F1407" s="374" t="s">
        <v>664</v>
      </c>
      <c r="G1407" s="251" t="s">
        <v>16</v>
      </c>
      <c r="H1407" s="381">
        <v>1</v>
      </c>
      <c r="I1407" s="381">
        <v>1</v>
      </c>
      <c r="J1407" s="381">
        <v>3</v>
      </c>
      <c r="K1407" s="381">
        <v>2</v>
      </c>
      <c r="L1407" s="253">
        <v>2</v>
      </c>
      <c r="M1407" s="254">
        <f t="shared" si="52"/>
        <v>0.48935255543384243</v>
      </c>
      <c r="N1407" s="479"/>
    </row>
    <row r="1408" spans="1:14" hidden="1" x14ac:dyDescent="0.2">
      <c r="A1408" s="815" t="s">
        <v>579</v>
      </c>
      <c r="B1408" s="836" t="s">
        <v>399</v>
      </c>
      <c r="C1408" s="247" t="s">
        <v>40</v>
      </c>
      <c r="D1408" s="252" t="s">
        <v>135</v>
      </c>
      <c r="E1408" s="494">
        <v>0.33119118659628188</v>
      </c>
      <c r="F1408" s="374" t="s">
        <v>664</v>
      </c>
      <c r="G1408" s="251" t="s">
        <v>16</v>
      </c>
      <c r="H1408" s="381">
        <v>1</v>
      </c>
      <c r="I1408" s="381">
        <v>1</v>
      </c>
      <c r="J1408" s="381">
        <v>3</v>
      </c>
      <c r="K1408" s="381">
        <v>2</v>
      </c>
      <c r="L1408" s="253">
        <v>2</v>
      </c>
      <c r="M1408" s="254">
        <f t="shared" si="52"/>
        <v>0.48935255543384243</v>
      </c>
      <c r="N1408" s="479"/>
    </row>
    <row r="1409" spans="1:14" hidden="1" x14ac:dyDescent="0.2">
      <c r="A1409" s="815" t="s">
        <v>579</v>
      </c>
      <c r="B1409" s="466" t="s">
        <v>668</v>
      </c>
      <c r="C1409" s="247" t="s">
        <v>41</v>
      </c>
      <c r="D1409" s="252" t="s">
        <v>135</v>
      </c>
      <c r="E1409" s="494">
        <v>0.30045523520485579</v>
      </c>
      <c r="F1409" s="374" t="s">
        <v>664</v>
      </c>
      <c r="G1409" s="251" t="s">
        <v>16</v>
      </c>
      <c r="H1409" s="381">
        <v>1</v>
      </c>
      <c r="I1409" s="381">
        <v>1</v>
      </c>
      <c r="J1409" s="381">
        <v>3</v>
      </c>
      <c r="K1409" s="381">
        <v>2</v>
      </c>
      <c r="L1409" s="253">
        <v>2</v>
      </c>
      <c r="M1409" s="254">
        <f t="shared" si="52"/>
        <v>0.48935255543384243</v>
      </c>
      <c r="N1409" s="479"/>
    </row>
    <row r="1410" spans="1:14" hidden="1" x14ac:dyDescent="0.2">
      <c r="A1410" s="815" t="s">
        <v>579</v>
      </c>
      <c r="B1410" s="459" t="s">
        <v>558</v>
      </c>
      <c r="C1410" s="247" t="s">
        <v>41</v>
      </c>
      <c r="D1410" s="252" t="s">
        <v>135</v>
      </c>
      <c r="E1410" s="494">
        <v>0.2185128983308042</v>
      </c>
      <c r="F1410" s="374" t="s">
        <v>664</v>
      </c>
      <c r="G1410" s="251" t="s">
        <v>16</v>
      </c>
      <c r="H1410" s="381">
        <v>1</v>
      </c>
      <c r="I1410" s="381">
        <v>1</v>
      </c>
      <c r="J1410" s="381">
        <v>3</v>
      </c>
      <c r="K1410" s="381">
        <v>2</v>
      </c>
      <c r="L1410" s="253">
        <v>2</v>
      </c>
      <c r="M1410" s="254">
        <f t="shared" si="52"/>
        <v>0.48935255543384243</v>
      </c>
      <c r="N1410" s="479"/>
    </row>
    <row r="1411" spans="1:14" hidden="1" x14ac:dyDescent="0.2">
      <c r="A1411" s="815" t="s">
        <v>579</v>
      </c>
      <c r="B1411" s="308" t="s">
        <v>398</v>
      </c>
      <c r="C1411" s="247" t="s">
        <v>41</v>
      </c>
      <c r="D1411" s="252" t="s">
        <v>135</v>
      </c>
      <c r="E1411" s="788">
        <v>0</v>
      </c>
      <c r="F1411" s="414" t="s">
        <v>664</v>
      </c>
      <c r="G1411" s="789" t="s">
        <v>16</v>
      </c>
      <c r="H1411" s="788"/>
      <c r="I1411" s="788"/>
      <c r="J1411" s="788"/>
      <c r="K1411" s="788"/>
      <c r="L1411" s="790"/>
      <c r="M1411" s="791"/>
      <c r="N1411" s="479"/>
    </row>
    <row r="1412" spans="1:14" hidden="1" x14ac:dyDescent="0.2">
      <c r="A1412" s="815" t="s">
        <v>579</v>
      </c>
      <c r="B1412" s="836" t="s">
        <v>399</v>
      </c>
      <c r="C1412" s="247" t="s">
        <v>41</v>
      </c>
      <c r="D1412" s="252" t="s">
        <v>135</v>
      </c>
      <c r="E1412" s="494">
        <v>0.48103186646433982</v>
      </c>
      <c r="F1412" s="374" t="s">
        <v>664</v>
      </c>
      <c r="G1412" s="251" t="s">
        <v>16</v>
      </c>
      <c r="H1412" s="381">
        <v>1</v>
      </c>
      <c r="I1412" s="381">
        <v>1</v>
      </c>
      <c r="J1412" s="381">
        <v>3</v>
      </c>
      <c r="K1412" s="381">
        <v>2</v>
      </c>
      <c r="L1412" s="253">
        <v>2</v>
      </c>
      <c r="M1412" s="254">
        <f>IF( OR( ISBLANK(H1412),ISBLANK(I1412), ISBLANK(J1412), ISBLANK(K1412), ISBLANK(L1412) ), "", 1.5*SQRT( EXP(2.21*(H1412-1)) + EXP(2.21*(I1412-1)) + EXP(2.21*(J1412-1)) + EXP(2.21*(K1412-1)) + EXP(2.21*L1412) )/100*2.45 )</f>
        <v>0.48935255543384243</v>
      </c>
      <c r="N1412" s="479"/>
    </row>
    <row r="1413" spans="1:14" hidden="1" x14ac:dyDescent="0.2">
      <c r="A1413" s="815" t="s">
        <v>579</v>
      </c>
      <c r="B1413" s="466" t="s">
        <v>668</v>
      </c>
      <c r="C1413" s="247" t="s">
        <v>42</v>
      </c>
      <c r="D1413" s="252" t="s">
        <v>135</v>
      </c>
      <c r="E1413" s="788">
        <v>0</v>
      </c>
      <c r="F1413" s="414" t="s">
        <v>664</v>
      </c>
      <c r="G1413" s="789" t="s">
        <v>16</v>
      </c>
      <c r="H1413" s="788"/>
      <c r="I1413" s="788"/>
      <c r="J1413" s="788"/>
      <c r="K1413" s="788"/>
      <c r="L1413" s="790"/>
      <c r="M1413" s="791"/>
      <c r="N1413" s="479"/>
    </row>
    <row r="1414" spans="1:14" hidden="1" x14ac:dyDescent="0.2">
      <c r="A1414" s="815" t="s">
        <v>579</v>
      </c>
      <c r="B1414" s="459" t="s">
        <v>558</v>
      </c>
      <c r="C1414" s="247" t="s">
        <v>42</v>
      </c>
      <c r="D1414" s="252" t="s">
        <v>135</v>
      </c>
      <c r="E1414" s="788">
        <v>0</v>
      </c>
      <c r="F1414" s="414" t="s">
        <v>664</v>
      </c>
      <c r="G1414" s="789" t="s">
        <v>16</v>
      </c>
      <c r="H1414" s="788"/>
      <c r="I1414" s="788"/>
      <c r="J1414" s="788"/>
      <c r="K1414" s="788"/>
      <c r="L1414" s="790"/>
      <c r="M1414" s="791"/>
      <c r="N1414" s="479"/>
    </row>
    <row r="1415" spans="1:14" hidden="1" x14ac:dyDescent="0.2">
      <c r="A1415" s="815" t="s">
        <v>579</v>
      </c>
      <c r="B1415" s="308" t="s">
        <v>398</v>
      </c>
      <c r="C1415" s="247" t="s">
        <v>42</v>
      </c>
      <c r="D1415" s="252" t="s">
        <v>135</v>
      </c>
      <c r="E1415" s="788">
        <v>1</v>
      </c>
      <c r="F1415" s="414" t="s">
        <v>664</v>
      </c>
      <c r="G1415" s="789" t="s">
        <v>16</v>
      </c>
      <c r="H1415" s="788"/>
      <c r="I1415" s="788"/>
      <c r="J1415" s="788"/>
      <c r="K1415" s="788"/>
      <c r="L1415" s="790"/>
      <c r="M1415" s="791"/>
      <c r="N1415" s="479"/>
    </row>
    <row r="1416" spans="1:14" hidden="1" x14ac:dyDescent="0.2">
      <c r="A1416" s="815" t="s">
        <v>579</v>
      </c>
      <c r="B1416" s="836" t="s">
        <v>399</v>
      </c>
      <c r="C1416" s="247" t="s">
        <v>42</v>
      </c>
      <c r="D1416" s="252" t="s">
        <v>135</v>
      </c>
      <c r="E1416" s="788">
        <v>0</v>
      </c>
      <c r="F1416" s="414" t="s">
        <v>664</v>
      </c>
      <c r="G1416" s="789" t="s">
        <v>16</v>
      </c>
      <c r="H1416" s="788"/>
      <c r="I1416" s="788"/>
      <c r="J1416" s="788"/>
      <c r="K1416" s="788"/>
      <c r="L1416" s="790"/>
      <c r="M1416" s="791"/>
      <c r="N1416" s="479"/>
    </row>
    <row r="1417" spans="1:14" hidden="1" x14ac:dyDescent="0.2">
      <c r="A1417" s="815" t="s">
        <v>579</v>
      </c>
      <c r="B1417" s="466" t="s">
        <v>668</v>
      </c>
      <c r="C1417" s="247" t="s">
        <v>43</v>
      </c>
      <c r="D1417" s="252" t="s">
        <v>135</v>
      </c>
      <c r="E1417" s="788">
        <v>0</v>
      </c>
      <c r="F1417" s="414" t="s">
        <v>664</v>
      </c>
      <c r="G1417" s="789" t="s">
        <v>16</v>
      </c>
      <c r="H1417" s="788"/>
      <c r="I1417" s="788"/>
      <c r="J1417" s="788"/>
      <c r="K1417" s="788"/>
      <c r="L1417" s="790"/>
      <c r="M1417" s="791"/>
      <c r="N1417" s="479"/>
    </row>
    <row r="1418" spans="1:14" hidden="1" x14ac:dyDescent="0.2">
      <c r="A1418" s="815" t="s">
        <v>579</v>
      </c>
      <c r="B1418" s="459" t="s">
        <v>558</v>
      </c>
      <c r="C1418" s="247" t="s">
        <v>43</v>
      </c>
      <c r="D1418" s="252" t="s">
        <v>135</v>
      </c>
      <c r="E1418" s="788">
        <v>0</v>
      </c>
      <c r="F1418" s="414" t="s">
        <v>664</v>
      </c>
      <c r="G1418" s="789" t="s">
        <v>16</v>
      </c>
      <c r="H1418" s="788"/>
      <c r="I1418" s="788"/>
      <c r="J1418" s="788"/>
      <c r="K1418" s="788"/>
      <c r="L1418" s="790"/>
      <c r="M1418" s="791"/>
      <c r="N1418" s="479"/>
    </row>
    <row r="1419" spans="1:14" hidden="1" x14ac:dyDescent="0.2">
      <c r="A1419" s="815" t="s">
        <v>579</v>
      </c>
      <c r="B1419" s="308" t="s">
        <v>398</v>
      </c>
      <c r="C1419" s="247" t="s">
        <v>43</v>
      </c>
      <c r="D1419" s="252" t="s">
        <v>135</v>
      </c>
      <c r="E1419" s="494">
        <v>4.9959492303537668E-3</v>
      </c>
      <c r="F1419" s="374" t="s">
        <v>664</v>
      </c>
      <c r="G1419" s="251" t="s">
        <v>16</v>
      </c>
      <c r="H1419" s="381">
        <v>1</v>
      </c>
      <c r="I1419" s="381">
        <v>1</v>
      </c>
      <c r="J1419" s="381">
        <v>3</v>
      </c>
      <c r="K1419" s="381">
        <v>2</v>
      </c>
      <c r="L1419" s="253">
        <v>2</v>
      </c>
      <c r="M1419" s="254">
        <f t="shared" ref="M1419:M1429" si="53">IF( OR( ISBLANK(H1419),ISBLANK(I1419), ISBLANK(J1419), ISBLANK(K1419), ISBLANK(L1419) ), "", 1.5*SQRT( EXP(2.21*(H1419-1)) + EXP(2.21*(I1419-1)) + EXP(2.21*(J1419-1)) + EXP(2.21*(K1419-1)) + EXP(2.21*L1419) )/100*2.45 )</f>
        <v>0.48935255543384243</v>
      </c>
      <c r="N1419" s="479"/>
    </row>
    <row r="1420" spans="1:14" hidden="1" x14ac:dyDescent="0.2">
      <c r="A1420" s="815" t="s">
        <v>579</v>
      </c>
      <c r="B1420" s="836" t="s">
        <v>399</v>
      </c>
      <c r="C1420" s="247" t="s">
        <v>43</v>
      </c>
      <c r="D1420" s="252" t="s">
        <v>135</v>
      </c>
      <c r="E1420" s="494">
        <v>0.99500405076964604</v>
      </c>
      <c r="F1420" s="374" t="s">
        <v>664</v>
      </c>
      <c r="G1420" s="251" t="s">
        <v>16</v>
      </c>
      <c r="H1420" s="381">
        <v>1</v>
      </c>
      <c r="I1420" s="381">
        <v>1</v>
      </c>
      <c r="J1420" s="381">
        <v>3</v>
      </c>
      <c r="K1420" s="381">
        <v>2</v>
      </c>
      <c r="L1420" s="253">
        <v>2</v>
      </c>
      <c r="M1420" s="254">
        <f t="shared" si="53"/>
        <v>0.48935255543384243</v>
      </c>
      <c r="N1420" s="479"/>
    </row>
    <row r="1421" spans="1:14" hidden="1" x14ac:dyDescent="0.2">
      <c r="A1421" s="815" t="s">
        <v>579</v>
      </c>
      <c r="B1421" s="466" t="s">
        <v>668</v>
      </c>
      <c r="C1421" s="247" t="s">
        <v>45</v>
      </c>
      <c r="D1421" s="252" t="s">
        <v>135</v>
      </c>
      <c r="E1421" s="494">
        <v>0.58566925108630818</v>
      </c>
      <c r="F1421" s="374" t="s">
        <v>664</v>
      </c>
      <c r="G1421" s="251" t="s">
        <v>16</v>
      </c>
      <c r="H1421" s="381">
        <v>1</v>
      </c>
      <c r="I1421" s="381">
        <v>1</v>
      </c>
      <c r="J1421" s="381">
        <v>3</v>
      </c>
      <c r="K1421" s="381">
        <v>2</v>
      </c>
      <c r="L1421" s="253">
        <v>2</v>
      </c>
      <c r="M1421" s="254">
        <f t="shared" si="53"/>
        <v>0.48935255543384243</v>
      </c>
      <c r="N1421" s="479"/>
    </row>
    <row r="1422" spans="1:14" hidden="1" x14ac:dyDescent="0.2">
      <c r="A1422" s="815" t="s">
        <v>579</v>
      </c>
      <c r="B1422" s="459" t="s">
        <v>558</v>
      </c>
      <c r="C1422" s="247" t="s">
        <v>45</v>
      </c>
      <c r="D1422" s="252" t="s">
        <v>135</v>
      </c>
      <c r="E1422" s="494">
        <v>0.31208997188378629</v>
      </c>
      <c r="F1422" s="374" t="s">
        <v>664</v>
      </c>
      <c r="G1422" s="251" t="s">
        <v>16</v>
      </c>
      <c r="H1422" s="381">
        <v>1</v>
      </c>
      <c r="I1422" s="381">
        <v>1</v>
      </c>
      <c r="J1422" s="381">
        <v>3</v>
      </c>
      <c r="K1422" s="381">
        <v>2</v>
      </c>
      <c r="L1422" s="253">
        <v>2</v>
      </c>
      <c r="M1422" s="254">
        <f t="shared" si="53"/>
        <v>0.48935255543384243</v>
      </c>
      <c r="N1422" s="479"/>
    </row>
    <row r="1423" spans="1:14" hidden="1" x14ac:dyDescent="0.2">
      <c r="A1423" s="815" t="s">
        <v>579</v>
      </c>
      <c r="B1423" s="308" t="s">
        <v>398</v>
      </c>
      <c r="C1423" s="247" t="s">
        <v>45</v>
      </c>
      <c r="D1423" s="252" t="s">
        <v>135</v>
      </c>
      <c r="E1423" s="494">
        <v>0.1021555763823805</v>
      </c>
      <c r="F1423" s="374" t="s">
        <v>664</v>
      </c>
      <c r="G1423" s="251" t="s">
        <v>16</v>
      </c>
      <c r="H1423" s="381">
        <v>1</v>
      </c>
      <c r="I1423" s="381">
        <v>1</v>
      </c>
      <c r="J1423" s="381">
        <v>3</v>
      </c>
      <c r="K1423" s="381">
        <v>2</v>
      </c>
      <c r="L1423" s="253">
        <v>2</v>
      </c>
      <c r="M1423" s="254">
        <f t="shared" si="53"/>
        <v>0.48935255543384243</v>
      </c>
      <c r="N1423" s="479"/>
    </row>
    <row r="1424" spans="1:14" hidden="1" x14ac:dyDescent="0.2">
      <c r="A1424" s="815" t="s">
        <v>579</v>
      </c>
      <c r="B1424" s="836" t="s">
        <v>399</v>
      </c>
      <c r="C1424" s="247" t="s">
        <v>45</v>
      </c>
      <c r="D1424" s="252" t="s">
        <v>135</v>
      </c>
      <c r="E1424" s="494">
        <v>8.5200647524921185E-5</v>
      </c>
      <c r="F1424" s="374" t="s">
        <v>664</v>
      </c>
      <c r="G1424" s="251" t="s">
        <v>16</v>
      </c>
      <c r="H1424" s="381">
        <v>1</v>
      </c>
      <c r="I1424" s="381">
        <v>1</v>
      </c>
      <c r="J1424" s="381">
        <v>3</v>
      </c>
      <c r="K1424" s="381">
        <v>2</v>
      </c>
      <c r="L1424" s="253">
        <v>2</v>
      </c>
      <c r="M1424" s="254">
        <f t="shared" si="53"/>
        <v>0.48935255543384243</v>
      </c>
      <c r="N1424" s="479"/>
    </row>
    <row r="1425" spans="1:14" hidden="1" x14ac:dyDescent="0.2">
      <c r="A1425" s="815" t="s">
        <v>579</v>
      </c>
      <c r="B1425" s="466" t="s">
        <v>668</v>
      </c>
      <c r="C1425" s="247" t="s">
        <v>46</v>
      </c>
      <c r="D1425" s="252" t="s">
        <v>135</v>
      </c>
      <c r="E1425" s="494">
        <v>0.50509605514004996</v>
      </c>
      <c r="F1425" s="374" t="s">
        <v>664</v>
      </c>
      <c r="G1425" s="251" t="s">
        <v>16</v>
      </c>
      <c r="H1425" s="381">
        <v>1</v>
      </c>
      <c r="I1425" s="381">
        <v>1</v>
      </c>
      <c r="J1425" s="381">
        <v>3</v>
      </c>
      <c r="K1425" s="381">
        <v>2</v>
      </c>
      <c r="L1425" s="253">
        <v>2</v>
      </c>
      <c r="M1425" s="254">
        <f t="shared" si="53"/>
        <v>0.48935255543384243</v>
      </c>
      <c r="N1425" s="479"/>
    </row>
    <row r="1426" spans="1:14" hidden="1" x14ac:dyDescent="0.2">
      <c r="A1426" s="815" t="s">
        <v>579</v>
      </c>
      <c r="B1426" s="459" t="s">
        <v>558</v>
      </c>
      <c r="C1426" s="247" t="s">
        <v>46</v>
      </c>
      <c r="D1426" s="252" t="s">
        <v>135</v>
      </c>
      <c r="E1426" s="494">
        <v>0.1080070391553014</v>
      </c>
      <c r="F1426" s="374" t="s">
        <v>664</v>
      </c>
      <c r="G1426" s="251" t="s">
        <v>16</v>
      </c>
      <c r="H1426" s="381">
        <v>1</v>
      </c>
      <c r="I1426" s="381">
        <v>1</v>
      </c>
      <c r="J1426" s="381">
        <v>3</v>
      </c>
      <c r="K1426" s="381">
        <v>2</v>
      </c>
      <c r="L1426" s="253">
        <v>2</v>
      </c>
      <c r="M1426" s="254">
        <f t="shared" si="53"/>
        <v>0.48935255543384243</v>
      </c>
      <c r="N1426" s="479"/>
    </row>
    <row r="1427" spans="1:14" hidden="1" x14ac:dyDescent="0.2">
      <c r="A1427" s="815" t="s">
        <v>579</v>
      </c>
      <c r="B1427" s="308" t="s">
        <v>398</v>
      </c>
      <c r="C1427" s="247" t="s">
        <v>46</v>
      </c>
      <c r="D1427" s="252" t="s">
        <v>135</v>
      </c>
      <c r="E1427" s="494">
        <v>2.548027570024931E-2</v>
      </c>
      <c r="F1427" s="374" t="s">
        <v>664</v>
      </c>
      <c r="G1427" s="251" t="s">
        <v>16</v>
      </c>
      <c r="H1427" s="381">
        <v>1</v>
      </c>
      <c r="I1427" s="381">
        <v>1</v>
      </c>
      <c r="J1427" s="381">
        <v>3</v>
      </c>
      <c r="K1427" s="381">
        <v>2</v>
      </c>
      <c r="L1427" s="253">
        <v>2</v>
      </c>
      <c r="M1427" s="254">
        <f t="shared" si="53"/>
        <v>0.48935255543384243</v>
      </c>
      <c r="N1427" s="479"/>
    </row>
    <row r="1428" spans="1:14" hidden="1" x14ac:dyDescent="0.2">
      <c r="A1428" s="815" t="s">
        <v>579</v>
      </c>
      <c r="B1428" s="836" t="s">
        <v>399</v>
      </c>
      <c r="C1428" s="247" t="s">
        <v>46</v>
      </c>
      <c r="D1428" s="252" t="s">
        <v>135</v>
      </c>
      <c r="E1428" s="494">
        <v>0.36141663000439961</v>
      </c>
      <c r="F1428" s="374" t="s">
        <v>664</v>
      </c>
      <c r="G1428" s="251" t="s">
        <v>16</v>
      </c>
      <c r="H1428" s="381">
        <v>1</v>
      </c>
      <c r="I1428" s="381">
        <v>1</v>
      </c>
      <c r="J1428" s="381">
        <v>3</v>
      </c>
      <c r="K1428" s="381">
        <v>2</v>
      </c>
      <c r="L1428" s="253">
        <v>2</v>
      </c>
      <c r="M1428" s="254">
        <f t="shared" si="53"/>
        <v>0.48935255543384243</v>
      </c>
      <c r="N1428" s="479"/>
    </row>
    <row r="1429" spans="1:14" hidden="1" x14ac:dyDescent="0.2">
      <c r="A1429" s="815" t="s">
        <v>579</v>
      </c>
      <c r="B1429" s="466" t="s">
        <v>668</v>
      </c>
      <c r="C1429" s="247" t="s">
        <v>48</v>
      </c>
      <c r="D1429" s="252" t="s">
        <v>135</v>
      </c>
      <c r="E1429" s="494">
        <v>0.94444444444444442</v>
      </c>
      <c r="F1429" s="374" t="s">
        <v>666</v>
      </c>
      <c r="G1429" s="375" t="s">
        <v>16</v>
      </c>
      <c r="H1429" s="381">
        <v>1</v>
      </c>
      <c r="I1429" s="381">
        <v>1</v>
      </c>
      <c r="J1429" s="381">
        <v>3</v>
      </c>
      <c r="K1429" s="381">
        <v>2</v>
      </c>
      <c r="L1429" s="253">
        <v>2</v>
      </c>
      <c r="M1429" s="254">
        <f t="shared" si="53"/>
        <v>0.48935255543384243</v>
      </c>
      <c r="N1429" s="479"/>
    </row>
    <row r="1430" spans="1:14" hidden="1" x14ac:dyDescent="0.2">
      <c r="A1430" s="815" t="s">
        <v>579</v>
      </c>
      <c r="B1430" s="459" t="s">
        <v>558</v>
      </c>
      <c r="C1430" s="247" t="s">
        <v>48</v>
      </c>
      <c r="D1430" s="252" t="s">
        <v>135</v>
      </c>
      <c r="E1430" s="788">
        <v>0</v>
      </c>
      <c r="F1430" s="414" t="s">
        <v>664</v>
      </c>
      <c r="G1430" s="789" t="s">
        <v>16</v>
      </c>
      <c r="H1430" s="788"/>
      <c r="I1430" s="788"/>
      <c r="J1430" s="788"/>
      <c r="K1430" s="788"/>
      <c r="L1430" s="790"/>
      <c r="M1430" s="791"/>
      <c r="N1430" s="479"/>
    </row>
    <row r="1431" spans="1:14" hidden="1" x14ac:dyDescent="0.2">
      <c r="A1431" s="815" t="s">
        <v>579</v>
      </c>
      <c r="B1431" s="308" t="s">
        <v>398</v>
      </c>
      <c r="C1431" s="247" t="s">
        <v>48</v>
      </c>
      <c r="D1431" s="252" t="s">
        <v>135</v>
      </c>
      <c r="E1431" s="494">
        <v>5.5555555555555559E-2</v>
      </c>
      <c r="F1431" s="374" t="s">
        <v>666</v>
      </c>
      <c r="G1431" s="375" t="s">
        <v>16</v>
      </c>
      <c r="H1431" s="381">
        <v>1</v>
      </c>
      <c r="I1431" s="381">
        <v>1</v>
      </c>
      <c r="J1431" s="381">
        <v>3</v>
      </c>
      <c r="K1431" s="381">
        <v>2</v>
      </c>
      <c r="L1431" s="253">
        <v>2</v>
      </c>
      <c r="M1431" s="254">
        <f>IF( OR( ISBLANK(H1431),ISBLANK(I1431), ISBLANK(J1431), ISBLANK(K1431), ISBLANK(L1431) ), "", 1.5*SQRT( EXP(2.21*(H1431-1)) + EXP(2.21*(I1431-1)) + EXP(2.21*(J1431-1)) + EXP(2.21*(K1431-1)) + EXP(2.21*L1431) )/100*2.45 )</f>
        <v>0.48935255543384243</v>
      </c>
      <c r="N1431" s="479"/>
    </row>
    <row r="1432" spans="1:14" hidden="1" x14ac:dyDescent="0.2">
      <c r="A1432" s="815" t="s">
        <v>579</v>
      </c>
      <c r="B1432" s="836" t="s">
        <v>399</v>
      </c>
      <c r="C1432" s="247" t="s">
        <v>48</v>
      </c>
      <c r="D1432" s="252" t="s">
        <v>135</v>
      </c>
      <c r="E1432" s="788">
        <v>0</v>
      </c>
      <c r="F1432" s="414" t="s">
        <v>664</v>
      </c>
      <c r="G1432" s="789" t="s">
        <v>16</v>
      </c>
      <c r="H1432" s="788"/>
      <c r="I1432" s="788"/>
      <c r="J1432" s="788"/>
      <c r="K1432" s="788"/>
      <c r="L1432" s="790"/>
      <c r="M1432" s="791"/>
      <c r="N1432" s="479"/>
    </row>
    <row r="1433" spans="1:14" hidden="1" x14ac:dyDescent="0.2">
      <c r="A1433" s="815" t="s">
        <v>579</v>
      </c>
      <c r="B1433" s="466" t="s">
        <v>668</v>
      </c>
      <c r="C1433" s="247" t="s">
        <v>50</v>
      </c>
      <c r="D1433" s="252" t="s">
        <v>135</v>
      </c>
      <c r="E1433" s="494">
        <v>0.26792079207920788</v>
      </c>
      <c r="F1433" s="374" t="s">
        <v>664</v>
      </c>
      <c r="G1433" s="375" t="s">
        <v>16</v>
      </c>
      <c r="H1433" s="381">
        <v>1</v>
      </c>
      <c r="I1433" s="381">
        <v>1</v>
      </c>
      <c r="J1433" s="381">
        <v>3</v>
      </c>
      <c r="K1433" s="381">
        <v>2</v>
      </c>
      <c r="L1433" s="253">
        <v>2</v>
      </c>
      <c r="M1433" s="254">
        <f>IF( OR( ISBLANK(H1433),ISBLANK(I1433), ISBLANK(J1433), ISBLANK(K1433), ISBLANK(L1433) ), "", 1.5*SQRT( EXP(2.21*(H1433-1)) + EXP(2.21*(I1433-1)) + EXP(2.21*(J1433-1)) + EXP(2.21*(K1433-1)) + EXP(2.21*L1433) )/100*2.45 )</f>
        <v>0.48935255543384243</v>
      </c>
      <c r="N1433" s="479"/>
    </row>
    <row r="1434" spans="1:14" hidden="1" x14ac:dyDescent="0.2">
      <c r="A1434" s="815" t="s">
        <v>579</v>
      </c>
      <c r="B1434" s="459" t="s">
        <v>558</v>
      </c>
      <c r="C1434" s="247" t="s">
        <v>50</v>
      </c>
      <c r="D1434" s="252" t="s">
        <v>135</v>
      </c>
      <c r="E1434" s="494">
        <v>2.4900990099009909E-2</v>
      </c>
      <c r="F1434" s="374" t="s">
        <v>664</v>
      </c>
      <c r="G1434" s="375" t="s">
        <v>16</v>
      </c>
      <c r="H1434" s="381">
        <v>1</v>
      </c>
      <c r="I1434" s="381">
        <v>1</v>
      </c>
      <c r="J1434" s="381">
        <v>3</v>
      </c>
      <c r="K1434" s="381">
        <v>2</v>
      </c>
      <c r="L1434" s="253">
        <v>2</v>
      </c>
      <c r="M1434" s="254">
        <f>IF( OR( ISBLANK(H1434),ISBLANK(I1434), ISBLANK(J1434), ISBLANK(K1434), ISBLANK(L1434) ), "", 1.5*SQRT( EXP(2.21*(H1434-1)) + EXP(2.21*(I1434-1)) + EXP(2.21*(J1434-1)) + EXP(2.21*(K1434-1)) + EXP(2.21*L1434) )/100*2.45 )</f>
        <v>0.48935255543384243</v>
      </c>
      <c r="N1434" s="479"/>
    </row>
    <row r="1435" spans="1:14" hidden="1" x14ac:dyDescent="0.2">
      <c r="A1435" s="815" t="s">
        <v>579</v>
      </c>
      <c r="B1435" s="308" t="s">
        <v>398</v>
      </c>
      <c r="C1435" s="247" t="s">
        <v>50</v>
      </c>
      <c r="D1435" s="252" t="s">
        <v>135</v>
      </c>
      <c r="E1435" s="494">
        <v>0.69648514851485155</v>
      </c>
      <c r="F1435" s="374" t="s">
        <v>664</v>
      </c>
      <c r="G1435" s="375" t="s">
        <v>16</v>
      </c>
      <c r="H1435" s="381">
        <v>1</v>
      </c>
      <c r="I1435" s="381">
        <v>1</v>
      </c>
      <c r="J1435" s="381">
        <v>3</v>
      </c>
      <c r="K1435" s="381">
        <v>2</v>
      </c>
      <c r="L1435" s="253">
        <v>2</v>
      </c>
      <c r="M1435" s="254">
        <f>IF( OR( ISBLANK(H1435),ISBLANK(I1435), ISBLANK(J1435), ISBLANK(K1435), ISBLANK(L1435) ), "", 1.5*SQRT( EXP(2.21*(H1435-1)) + EXP(2.21*(I1435-1)) + EXP(2.21*(J1435-1)) + EXP(2.21*(K1435-1)) + EXP(2.21*L1435) )/100*2.45 )</f>
        <v>0.48935255543384243</v>
      </c>
      <c r="N1435" s="479"/>
    </row>
    <row r="1436" spans="1:14" hidden="1" x14ac:dyDescent="0.2">
      <c r="A1436" s="815" t="s">
        <v>579</v>
      </c>
      <c r="B1436" s="836" t="s">
        <v>399</v>
      </c>
      <c r="C1436" s="247" t="s">
        <v>50</v>
      </c>
      <c r="D1436" s="252" t="s">
        <v>135</v>
      </c>
      <c r="E1436" s="494">
        <v>1.0643564356435639E-2</v>
      </c>
      <c r="F1436" s="374" t="s">
        <v>664</v>
      </c>
      <c r="G1436" s="375" t="s">
        <v>16</v>
      </c>
      <c r="H1436" s="381">
        <v>1</v>
      </c>
      <c r="I1436" s="381">
        <v>1</v>
      </c>
      <c r="J1436" s="381">
        <v>3</v>
      </c>
      <c r="K1436" s="381">
        <v>2</v>
      </c>
      <c r="L1436" s="253">
        <v>2</v>
      </c>
      <c r="M1436" s="254">
        <f>IF( OR( ISBLANK(H1436),ISBLANK(I1436), ISBLANK(J1436), ISBLANK(K1436), ISBLANK(L1436) ), "", 1.5*SQRT( EXP(2.21*(H1436-1)) + EXP(2.21*(I1436-1)) + EXP(2.21*(J1436-1)) + EXP(2.21*(K1436-1)) + EXP(2.21*L1436) )/100*2.45 )</f>
        <v>0.48935255543384243</v>
      </c>
      <c r="N1436" s="479"/>
    </row>
    <row r="1437" spans="1:14" hidden="1" x14ac:dyDescent="0.2">
      <c r="A1437" s="815" t="s">
        <v>579</v>
      </c>
      <c r="B1437" s="466" t="s">
        <v>668</v>
      </c>
      <c r="C1437" s="247" t="s">
        <v>52</v>
      </c>
      <c r="D1437" s="252" t="s">
        <v>135</v>
      </c>
      <c r="E1437" s="788">
        <v>0</v>
      </c>
      <c r="F1437" s="414" t="s">
        <v>664</v>
      </c>
      <c r="G1437" s="789" t="s">
        <v>16</v>
      </c>
      <c r="H1437" s="788"/>
      <c r="I1437" s="788"/>
      <c r="J1437" s="788"/>
      <c r="K1437" s="788"/>
      <c r="L1437" s="790"/>
      <c r="M1437" s="791"/>
      <c r="N1437" s="479"/>
    </row>
    <row r="1438" spans="1:14" hidden="1" x14ac:dyDescent="0.2">
      <c r="A1438" s="815" t="s">
        <v>579</v>
      </c>
      <c r="B1438" s="459" t="s">
        <v>558</v>
      </c>
      <c r="C1438" s="247" t="s">
        <v>52</v>
      </c>
      <c r="D1438" s="252" t="s">
        <v>135</v>
      </c>
      <c r="E1438" s="494">
        <v>0.58201058201058198</v>
      </c>
      <c r="F1438" s="374" t="s">
        <v>664</v>
      </c>
      <c r="G1438" s="375" t="s">
        <v>16</v>
      </c>
      <c r="H1438" s="381">
        <v>1</v>
      </c>
      <c r="I1438" s="381">
        <v>1</v>
      </c>
      <c r="J1438" s="381">
        <v>3</v>
      </c>
      <c r="K1438" s="381">
        <v>2</v>
      </c>
      <c r="L1438" s="253">
        <v>2</v>
      </c>
      <c r="M1438" s="254">
        <f>IF( OR( ISBLANK(H1438),ISBLANK(I1438), ISBLANK(J1438), ISBLANK(K1438), ISBLANK(L1438) ), "", 1.5*SQRT( EXP(2.21*(H1438-1)) + EXP(2.21*(I1438-1)) + EXP(2.21*(J1438-1)) + EXP(2.21*(K1438-1)) + EXP(2.21*L1438) )/100*2.45 )</f>
        <v>0.48935255543384243</v>
      </c>
      <c r="N1438" s="479"/>
    </row>
    <row r="1439" spans="1:14" hidden="1" x14ac:dyDescent="0.2">
      <c r="A1439" s="815" t="s">
        <v>579</v>
      </c>
      <c r="B1439" s="308" t="s">
        <v>398</v>
      </c>
      <c r="C1439" s="247" t="s">
        <v>52</v>
      </c>
      <c r="D1439" s="252" t="s">
        <v>135</v>
      </c>
      <c r="E1439" s="494">
        <v>0.15498236331569659</v>
      </c>
      <c r="F1439" s="374" t="s">
        <v>664</v>
      </c>
      <c r="G1439" s="375" t="s">
        <v>16</v>
      </c>
      <c r="H1439" s="381">
        <v>1</v>
      </c>
      <c r="I1439" s="381">
        <v>1</v>
      </c>
      <c r="J1439" s="381">
        <v>3</v>
      </c>
      <c r="K1439" s="381">
        <v>2</v>
      </c>
      <c r="L1439" s="253">
        <v>2</v>
      </c>
      <c r="M1439" s="254">
        <f>IF( OR( ISBLANK(H1439),ISBLANK(I1439), ISBLANK(J1439), ISBLANK(K1439), ISBLANK(L1439) ), "", 1.5*SQRT( EXP(2.21*(H1439-1)) + EXP(2.21*(I1439-1)) + EXP(2.21*(J1439-1)) + EXP(2.21*(K1439-1)) + EXP(2.21*L1439) )/100*2.45 )</f>
        <v>0.48935255543384243</v>
      </c>
      <c r="N1439" s="479"/>
    </row>
    <row r="1440" spans="1:14" hidden="1" x14ac:dyDescent="0.2">
      <c r="A1440" s="815" t="s">
        <v>579</v>
      </c>
      <c r="B1440" s="836" t="s">
        <v>399</v>
      </c>
      <c r="C1440" s="247" t="s">
        <v>52</v>
      </c>
      <c r="D1440" s="252" t="s">
        <v>135</v>
      </c>
      <c r="E1440" s="494">
        <v>0.26300705467372132</v>
      </c>
      <c r="F1440" s="374" t="s">
        <v>664</v>
      </c>
      <c r="G1440" s="375" t="s">
        <v>16</v>
      </c>
      <c r="H1440" s="381">
        <v>1</v>
      </c>
      <c r="I1440" s="381">
        <v>1</v>
      </c>
      <c r="J1440" s="381">
        <v>3</v>
      </c>
      <c r="K1440" s="381">
        <v>2</v>
      </c>
      <c r="L1440" s="253">
        <v>2</v>
      </c>
      <c r="M1440" s="254">
        <f>IF( OR( ISBLANK(H1440),ISBLANK(I1440), ISBLANK(J1440), ISBLANK(K1440), ISBLANK(L1440) ), "", 1.5*SQRT( EXP(2.21*(H1440-1)) + EXP(2.21*(I1440-1)) + EXP(2.21*(J1440-1)) + EXP(2.21*(K1440-1)) + EXP(2.21*L1440) )/100*2.45 )</f>
        <v>0.48935255543384243</v>
      </c>
      <c r="N1440" s="479"/>
    </row>
    <row r="1441" spans="1:14" hidden="1" x14ac:dyDescent="0.2">
      <c r="A1441" s="815" t="s">
        <v>579</v>
      </c>
      <c r="B1441" s="466" t="s">
        <v>668</v>
      </c>
      <c r="C1441" s="247" t="s">
        <v>54</v>
      </c>
      <c r="D1441" s="252" t="s">
        <v>135</v>
      </c>
      <c r="E1441" s="788">
        <v>0</v>
      </c>
      <c r="F1441" s="414" t="s">
        <v>664</v>
      </c>
      <c r="G1441" s="789" t="s">
        <v>16</v>
      </c>
      <c r="H1441" s="788"/>
      <c r="I1441" s="788"/>
      <c r="J1441" s="788"/>
      <c r="K1441" s="788"/>
      <c r="L1441" s="790"/>
      <c r="M1441" s="791"/>
      <c r="N1441" s="479"/>
    </row>
    <row r="1442" spans="1:14" hidden="1" x14ac:dyDescent="0.2">
      <c r="A1442" s="815" t="s">
        <v>579</v>
      </c>
      <c r="B1442" s="459" t="s">
        <v>558</v>
      </c>
      <c r="C1442" s="247" t="s">
        <v>54</v>
      </c>
      <c r="D1442" s="252" t="s">
        <v>135</v>
      </c>
      <c r="E1442" s="494">
        <v>3.2786885245901641E-2</v>
      </c>
      <c r="F1442" s="374" t="s">
        <v>664</v>
      </c>
      <c r="G1442" s="375" t="s">
        <v>16</v>
      </c>
      <c r="H1442" s="381">
        <v>1</v>
      </c>
      <c r="I1442" s="381">
        <v>1</v>
      </c>
      <c r="J1442" s="381">
        <v>3</v>
      </c>
      <c r="K1442" s="381">
        <v>2</v>
      </c>
      <c r="L1442" s="253">
        <v>2</v>
      </c>
      <c r="M1442" s="254">
        <f>IF( OR( ISBLANK(H1442),ISBLANK(I1442), ISBLANK(J1442), ISBLANK(K1442), ISBLANK(L1442) ), "", 1.5*SQRT( EXP(2.21*(H1442-1)) + EXP(2.21*(I1442-1)) + EXP(2.21*(J1442-1)) + EXP(2.21*(K1442-1)) + EXP(2.21*L1442) )/100*2.45 )</f>
        <v>0.48935255543384243</v>
      </c>
      <c r="N1442" s="479"/>
    </row>
    <row r="1443" spans="1:14" hidden="1" x14ac:dyDescent="0.2">
      <c r="A1443" s="815" t="s">
        <v>579</v>
      </c>
      <c r="B1443" s="308" t="s">
        <v>398</v>
      </c>
      <c r="C1443" s="247" t="s">
        <v>54</v>
      </c>
      <c r="D1443" s="252" t="s">
        <v>135</v>
      </c>
      <c r="E1443" s="494">
        <v>4.9180327868852458E-2</v>
      </c>
      <c r="F1443" s="374" t="s">
        <v>664</v>
      </c>
      <c r="G1443" s="375" t="s">
        <v>16</v>
      </c>
      <c r="H1443" s="381">
        <v>1</v>
      </c>
      <c r="I1443" s="381">
        <v>1</v>
      </c>
      <c r="J1443" s="381">
        <v>3</v>
      </c>
      <c r="K1443" s="381">
        <v>2</v>
      </c>
      <c r="L1443" s="253">
        <v>2</v>
      </c>
      <c r="M1443" s="254">
        <f>IF( OR( ISBLANK(H1443),ISBLANK(I1443), ISBLANK(J1443), ISBLANK(K1443), ISBLANK(L1443) ), "", 1.5*SQRT( EXP(2.21*(H1443-1)) + EXP(2.21*(I1443-1)) + EXP(2.21*(J1443-1)) + EXP(2.21*(K1443-1)) + EXP(2.21*L1443) )/100*2.45 )</f>
        <v>0.48935255543384243</v>
      </c>
      <c r="N1443" s="479"/>
    </row>
    <row r="1444" spans="1:14" hidden="1" x14ac:dyDescent="0.2">
      <c r="A1444" s="815" t="s">
        <v>579</v>
      </c>
      <c r="B1444" s="836" t="s">
        <v>399</v>
      </c>
      <c r="C1444" s="247" t="s">
        <v>54</v>
      </c>
      <c r="D1444" s="252" t="s">
        <v>135</v>
      </c>
      <c r="E1444" s="494">
        <v>0.91803278688524581</v>
      </c>
      <c r="F1444" s="374" t="s">
        <v>664</v>
      </c>
      <c r="G1444" s="375" t="s">
        <v>16</v>
      </c>
      <c r="H1444" s="381">
        <v>1</v>
      </c>
      <c r="I1444" s="381">
        <v>1</v>
      </c>
      <c r="J1444" s="381">
        <v>3</v>
      </c>
      <c r="K1444" s="381">
        <v>2</v>
      </c>
      <c r="L1444" s="253">
        <v>2</v>
      </c>
      <c r="M1444" s="254">
        <f>IF( OR( ISBLANK(H1444),ISBLANK(I1444), ISBLANK(J1444), ISBLANK(K1444), ISBLANK(L1444) ), "", 1.5*SQRT( EXP(2.21*(H1444-1)) + EXP(2.21*(I1444-1)) + EXP(2.21*(J1444-1)) + EXP(2.21*(K1444-1)) + EXP(2.21*L1444) )/100*2.45 )</f>
        <v>0.48935255543384243</v>
      </c>
      <c r="N1444" s="479"/>
    </row>
    <row r="1445" spans="1:14" hidden="1" x14ac:dyDescent="0.2">
      <c r="A1445" s="815" t="s">
        <v>579</v>
      </c>
      <c r="B1445" s="466" t="s">
        <v>668</v>
      </c>
      <c r="C1445" s="247" t="s">
        <v>55</v>
      </c>
      <c r="D1445" s="252" t="s">
        <v>135</v>
      </c>
      <c r="E1445" s="494">
        <v>0.86971249173826837</v>
      </c>
      <c r="F1445" s="374" t="s">
        <v>664</v>
      </c>
      <c r="G1445" s="375" t="s">
        <v>16</v>
      </c>
      <c r="H1445" s="381">
        <v>1</v>
      </c>
      <c r="I1445" s="381">
        <v>1</v>
      </c>
      <c r="J1445" s="381">
        <v>3</v>
      </c>
      <c r="K1445" s="381">
        <v>2</v>
      </c>
      <c r="L1445" s="253">
        <v>2</v>
      </c>
      <c r="M1445" s="254">
        <f>IF( OR( ISBLANK(H1445),ISBLANK(I1445), ISBLANK(J1445), ISBLANK(K1445), ISBLANK(L1445) ), "", 1.5*SQRT( EXP(2.21*(H1445-1)) + EXP(2.21*(I1445-1)) + EXP(2.21*(J1445-1)) + EXP(2.21*(K1445-1)) + EXP(2.21*L1445) )/100*2.45 )</f>
        <v>0.48935255543384243</v>
      </c>
      <c r="N1445" s="479"/>
    </row>
    <row r="1446" spans="1:14" hidden="1" x14ac:dyDescent="0.2">
      <c r="A1446" s="815" t="s">
        <v>579</v>
      </c>
      <c r="B1446" s="459" t="s">
        <v>558</v>
      </c>
      <c r="C1446" s="247" t="s">
        <v>55</v>
      </c>
      <c r="D1446" s="252" t="s">
        <v>135</v>
      </c>
      <c r="E1446" s="788">
        <v>0</v>
      </c>
      <c r="F1446" s="414" t="s">
        <v>664</v>
      </c>
      <c r="G1446" s="789" t="s">
        <v>16</v>
      </c>
      <c r="H1446" s="788"/>
      <c r="I1446" s="788"/>
      <c r="J1446" s="788"/>
      <c r="K1446" s="788"/>
      <c r="L1446" s="790"/>
      <c r="M1446" s="791"/>
      <c r="N1446" s="479"/>
    </row>
    <row r="1447" spans="1:14" hidden="1" x14ac:dyDescent="0.2">
      <c r="A1447" s="815" t="s">
        <v>579</v>
      </c>
      <c r="B1447" s="308" t="s">
        <v>398</v>
      </c>
      <c r="C1447" s="247" t="s">
        <v>55</v>
      </c>
      <c r="D1447" s="252" t="s">
        <v>135</v>
      </c>
      <c r="E1447" s="494">
        <v>7.4933906146728346E-2</v>
      </c>
      <c r="F1447" s="374" t="s">
        <v>664</v>
      </c>
      <c r="G1447" s="375" t="s">
        <v>16</v>
      </c>
      <c r="H1447" s="381">
        <v>1</v>
      </c>
      <c r="I1447" s="381">
        <v>1</v>
      </c>
      <c r="J1447" s="381">
        <v>3</v>
      </c>
      <c r="K1447" s="381">
        <v>2</v>
      </c>
      <c r="L1447" s="253">
        <v>2</v>
      </c>
      <c r="M1447" s="254">
        <f t="shared" ref="M1447:M1452" si="54">IF( OR( ISBLANK(H1447),ISBLANK(I1447), ISBLANK(J1447), ISBLANK(K1447), ISBLANK(L1447) ), "", 1.5*SQRT( EXP(2.21*(H1447-1)) + EXP(2.21*(I1447-1)) + EXP(2.21*(J1447-1)) + EXP(2.21*(K1447-1)) + EXP(2.21*L1447) )/100*2.45 )</f>
        <v>0.48935255543384243</v>
      </c>
      <c r="N1447" s="479"/>
    </row>
    <row r="1448" spans="1:14" hidden="1" x14ac:dyDescent="0.2">
      <c r="A1448" s="815" t="s">
        <v>579</v>
      </c>
      <c r="B1448" s="836" t="s">
        <v>399</v>
      </c>
      <c r="C1448" s="247" t="s">
        <v>55</v>
      </c>
      <c r="D1448" s="252" t="s">
        <v>135</v>
      </c>
      <c r="E1448" s="494">
        <v>5.53536021150033E-2</v>
      </c>
      <c r="F1448" s="374" t="s">
        <v>664</v>
      </c>
      <c r="G1448" s="375" t="s">
        <v>16</v>
      </c>
      <c r="H1448" s="381">
        <v>1</v>
      </c>
      <c r="I1448" s="381">
        <v>1</v>
      </c>
      <c r="J1448" s="381">
        <v>3</v>
      </c>
      <c r="K1448" s="381">
        <v>2</v>
      </c>
      <c r="L1448" s="253">
        <v>2</v>
      </c>
      <c r="M1448" s="254">
        <f t="shared" si="54"/>
        <v>0.48935255543384243</v>
      </c>
      <c r="N1448" s="479"/>
    </row>
    <row r="1449" spans="1:14" hidden="1" x14ac:dyDescent="0.2">
      <c r="A1449" s="815" t="s">
        <v>579</v>
      </c>
      <c r="B1449" s="466" t="s">
        <v>668</v>
      </c>
      <c r="C1449" s="247" t="s">
        <v>57</v>
      </c>
      <c r="D1449" s="252" t="s">
        <v>135</v>
      </c>
      <c r="E1449" s="494">
        <v>0.58162544169611297</v>
      </c>
      <c r="F1449" s="374" t="s">
        <v>664</v>
      </c>
      <c r="G1449" s="375" t="s">
        <v>16</v>
      </c>
      <c r="H1449" s="381">
        <v>1</v>
      </c>
      <c r="I1449" s="381">
        <v>2</v>
      </c>
      <c r="J1449" s="381">
        <v>3</v>
      </c>
      <c r="K1449" s="381">
        <v>2</v>
      </c>
      <c r="L1449" s="253">
        <v>2</v>
      </c>
      <c r="M1449" s="254">
        <f t="shared" si="54"/>
        <v>0.50042652380814845</v>
      </c>
      <c r="N1449" s="479"/>
    </row>
    <row r="1450" spans="1:14" hidden="1" x14ac:dyDescent="0.2">
      <c r="A1450" s="815" t="s">
        <v>579</v>
      </c>
      <c r="B1450" s="459" t="s">
        <v>558</v>
      </c>
      <c r="C1450" s="247" t="s">
        <v>57</v>
      </c>
      <c r="D1450" s="252" t="s">
        <v>135</v>
      </c>
      <c r="E1450" s="494">
        <v>0.38162544169611301</v>
      </c>
      <c r="F1450" s="374" t="s">
        <v>664</v>
      </c>
      <c r="G1450" s="375" t="s">
        <v>16</v>
      </c>
      <c r="H1450" s="381">
        <v>1</v>
      </c>
      <c r="I1450" s="381">
        <v>2</v>
      </c>
      <c r="J1450" s="381">
        <v>3</v>
      </c>
      <c r="K1450" s="381">
        <v>2</v>
      </c>
      <c r="L1450" s="253">
        <v>2</v>
      </c>
      <c r="M1450" s="254">
        <f t="shared" si="54"/>
        <v>0.50042652380814845</v>
      </c>
      <c r="N1450" s="479"/>
    </row>
    <row r="1451" spans="1:14" hidden="1" x14ac:dyDescent="0.2">
      <c r="A1451" s="815" t="s">
        <v>579</v>
      </c>
      <c r="B1451" s="308" t="s">
        <v>398</v>
      </c>
      <c r="C1451" s="247" t="s">
        <v>57</v>
      </c>
      <c r="D1451" s="252" t="s">
        <v>135</v>
      </c>
      <c r="E1451" s="494">
        <v>1.6254416961130742E-2</v>
      </c>
      <c r="F1451" s="374" t="s">
        <v>664</v>
      </c>
      <c r="G1451" s="375" t="s">
        <v>16</v>
      </c>
      <c r="H1451" s="381">
        <v>1</v>
      </c>
      <c r="I1451" s="381">
        <v>2</v>
      </c>
      <c r="J1451" s="381">
        <v>3</v>
      </c>
      <c r="K1451" s="381">
        <v>2</v>
      </c>
      <c r="L1451" s="253">
        <v>2</v>
      </c>
      <c r="M1451" s="254">
        <f t="shared" si="54"/>
        <v>0.50042652380814845</v>
      </c>
      <c r="N1451" s="479"/>
    </row>
    <row r="1452" spans="1:14" hidden="1" x14ac:dyDescent="0.2">
      <c r="A1452" s="815" t="s">
        <v>579</v>
      </c>
      <c r="B1452" s="836" t="s">
        <v>399</v>
      </c>
      <c r="C1452" s="247" t="s">
        <v>57</v>
      </c>
      <c r="D1452" s="252" t="s">
        <v>135</v>
      </c>
      <c r="E1452" s="494">
        <v>1.9787985865724379E-2</v>
      </c>
      <c r="F1452" s="374" t="s">
        <v>664</v>
      </c>
      <c r="G1452" s="375" t="s">
        <v>16</v>
      </c>
      <c r="H1452" s="381">
        <v>1</v>
      </c>
      <c r="I1452" s="381">
        <v>2</v>
      </c>
      <c r="J1452" s="381">
        <v>3</v>
      </c>
      <c r="K1452" s="381">
        <v>2</v>
      </c>
      <c r="L1452" s="253">
        <v>2</v>
      </c>
      <c r="M1452" s="254">
        <f t="shared" si="54"/>
        <v>0.50042652380814845</v>
      </c>
      <c r="N1452" s="479"/>
    </row>
    <row r="1453" spans="1:14" hidden="1" x14ac:dyDescent="0.2">
      <c r="A1453" s="815" t="s">
        <v>579</v>
      </c>
      <c r="B1453" s="466" t="s">
        <v>668</v>
      </c>
      <c r="C1453" s="247" t="s">
        <v>59</v>
      </c>
      <c r="D1453" s="252" t="s">
        <v>135</v>
      </c>
      <c r="E1453" s="788">
        <v>0</v>
      </c>
      <c r="F1453" s="414" t="s">
        <v>664</v>
      </c>
      <c r="G1453" s="789" t="s">
        <v>16</v>
      </c>
      <c r="H1453" s="788"/>
      <c r="I1453" s="788"/>
      <c r="J1453" s="788"/>
      <c r="K1453" s="788"/>
      <c r="L1453" s="790"/>
      <c r="M1453" s="791"/>
      <c r="N1453" s="479"/>
    </row>
    <row r="1454" spans="1:14" hidden="1" x14ac:dyDescent="0.2">
      <c r="A1454" s="815" t="s">
        <v>579</v>
      </c>
      <c r="B1454" s="459" t="s">
        <v>558</v>
      </c>
      <c r="C1454" s="247" t="s">
        <v>59</v>
      </c>
      <c r="D1454" s="252" t="s">
        <v>135</v>
      </c>
      <c r="E1454" s="788">
        <v>0</v>
      </c>
      <c r="F1454" s="414" t="s">
        <v>664</v>
      </c>
      <c r="G1454" s="789" t="s">
        <v>16</v>
      </c>
      <c r="H1454" s="788"/>
      <c r="I1454" s="788"/>
      <c r="J1454" s="788"/>
      <c r="K1454" s="788"/>
      <c r="L1454" s="790"/>
      <c r="M1454" s="791"/>
      <c r="N1454" s="479"/>
    </row>
    <row r="1455" spans="1:14" hidden="1" x14ac:dyDescent="0.2">
      <c r="A1455" s="815" t="s">
        <v>579</v>
      </c>
      <c r="B1455" s="308" t="s">
        <v>398</v>
      </c>
      <c r="C1455" s="247" t="s">
        <v>59</v>
      </c>
      <c r="D1455" s="252" t="s">
        <v>135</v>
      </c>
      <c r="E1455" s="788">
        <v>0</v>
      </c>
      <c r="F1455" s="414" t="s">
        <v>664</v>
      </c>
      <c r="G1455" s="789" t="s">
        <v>16</v>
      </c>
      <c r="H1455" s="788"/>
      <c r="I1455" s="788"/>
      <c r="J1455" s="788"/>
      <c r="K1455" s="788"/>
      <c r="L1455" s="790"/>
      <c r="M1455" s="791"/>
      <c r="N1455" s="479"/>
    </row>
    <row r="1456" spans="1:14" hidden="1" x14ac:dyDescent="0.2">
      <c r="A1456" s="815" t="s">
        <v>579</v>
      </c>
      <c r="B1456" s="836" t="s">
        <v>399</v>
      </c>
      <c r="C1456" s="247" t="s">
        <v>59</v>
      </c>
      <c r="D1456" s="252" t="s">
        <v>135</v>
      </c>
      <c r="E1456" s="788">
        <v>1</v>
      </c>
      <c r="F1456" s="414" t="s">
        <v>664</v>
      </c>
      <c r="G1456" s="789" t="s">
        <v>16</v>
      </c>
      <c r="H1456" s="788"/>
      <c r="I1456" s="788"/>
      <c r="J1456" s="788"/>
      <c r="K1456" s="788"/>
      <c r="L1456" s="790"/>
      <c r="M1456" s="791"/>
      <c r="N1456" s="479"/>
    </row>
    <row r="1457" spans="1:14" hidden="1" x14ac:dyDescent="0.2">
      <c r="A1457" s="815" t="s">
        <v>579</v>
      </c>
      <c r="B1457" s="466" t="s">
        <v>668</v>
      </c>
      <c r="C1457" s="247" t="s">
        <v>60</v>
      </c>
      <c r="D1457" s="252" t="s">
        <v>135</v>
      </c>
      <c r="E1457" s="495">
        <v>0.96947460249740536</v>
      </c>
      <c r="F1457" s="374" t="s">
        <v>667</v>
      </c>
      <c r="G1457" s="375" t="s">
        <v>16</v>
      </c>
      <c r="H1457" s="381">
        <v>1</v>
      </c>
      <c r="I1457" s="381">
        <v>1</v>
      </c>
      <c r="J1457" s="381">
        <v>3</v>
      </c>
      <c r="K1457" s="381">
        <v>2</v>
      </c>
      <c r="L1457" s="253">
        <v>2</v>
      </c>
      <c r="M1457" s="254">
        <f>IF( OR( ISBLANK(H1457),ISBLANK(I1457), ISBLANK(J1457), ISBLANK(K1457), ISBLANK(L1457) ), "", 1.5*SQRT( EXP(2.21*(H1457-1)) + EXP(2.21*(I1457-1)) + EXP(2.21*(J1457-1)) + EXP(2.21*(K1457-1)) + EXP(2.21*L1457) )/100*2.45 )</f>
        <v>0.48935255543384243</v>
      </c>
      <c r="N1457" s="479"/>
    </row>
    <row r="1458" spans="1:14" hidden="1" x14ac:dyDescent="0.2">
      <c r="A1458" s="815" t="s">
        <v>579</v>
      </c>
      <c r="B1458" s="459" t="s">
        <v>558</v>
      </c>
      <c r="C1458" s="247" t="s">
        <v>60</v>
      </c>
      <c r="D1458" s="252" t="s">
        <v>135</v>
      </c>
      <c r="E1458" s="788">
        <v>0</v>
      </c>
      <c r="F1458" s="374" t="s">
        <v>669</v>
      </c>
      <c r="G1458" s="789" t="s">
        <v>16</v>
      </c>
      <c r="H1458" s="788"/>
      <c r="I1458" s="788"/>
      <c r="J1458" s="788"/>
      <c r="K1458" s="788"/>
      <c r="L1458" s="790"/>
      <c r="M1458" s="791"/>
      <c r="N1458" s="479"/>
    </row>
    <row r="1459" spans="1:14" hidden="1" x14ac:dyDescent="0.2">
      <c r="A1459" s="815" t="s">
        <v>579</v>
      </c>
      <c r="B1459" s="308" t="s">
        <v>398</v>
      </c>
      <c r="C1459" s="247" t="s">
        <v>60</v>
      </c>
      <c r="D1459" s="252" t="s">
        <v>135</v>
      </c>
      <c r="E1459" s="788">
        <v>0</v>
      </c>
      <c r="F1459" s="374" t="s">
        <v>670</v>
      </c>
      <c r="G1459" s="789" t="s">
        <v>16</v>
      </c>
      <c r="H1459" s="788"/>
      <c r="I1459" s="788"/>
      <c r="J1459" s="788"/>
      <c r="K1459" s="788"/>
      <c r="L1459" s="790"/>
      <c r="M1459" s="791"/>
      <c r="N1459" s="479"/>
    </row>
    <row r="1460" spans="1:14" hidden="1" x14ac:dyDescent="0.2">
      <c r="A1460" s="824" t="s">
        <v>579</v>
      </c>
      <c r="B1460" s="851" t="s">
        <v>399</v>
      </c>
      <c r="C1460" s="287" t="s">
        <v>60</v>
      </c>
      <c r="D1460" s="291" t="s">
        <v>135</v>
      </c>
      <c r="E1460" s="658">
        <v>3.052539750259483E-2</v>
      </c>
      <c r="F1460" s="399" t="s">
        <v>667</v>
      </c>
      <c r="G1460" s="290" t="s">
        <v>16</v>
      </c>
      <c r="H1460" s="409">
        <v>1</v>
      </c>
      <c r="I1460" s="409">
        <v>1</v>
      </c>
      <c r="J1460" s="409">
        <v>3</v>
      </c>
      <c r="K1460" s="409">
        <v>2</v>
      </c>
      <c r="L1460" s="292">
        <v>2</v>
      </c>
      <c r="M1460" s="293">
        <f>IF( OR( ISBLANK(H1460),ISBLANK(I1460), ISBLANK(J1460), ISBLANK(K1460), ISBLANK(L1460) ), "", 1.5*SQRT( EXP(2.21*(H1460-1)) + EXP(2.21*(I1460-1)) + EXP(2.21*(J1460-1)) + EXP(2.21*(K1460-1)) + EXP(2.21*L1460) )/100*2.45 )</f>
        <v>0.48935255543384243</v>
      </c>
      <c r="N1460" s="631"/>
    </row>
    <row r="1461" spans="1:14" x14ac:dyDescent="0.2">
      <c r="A1461" s="839" t="s">
        <v>475</v>
      </c>
      <c r="B1461" s="466" t="s">
        <v>460</v>
      </c>
      <c r="C1461" s="612" t="s">
        <v>135</v>
      </c>
      <c r="D1461" s="252" t="s">
        <v>135</v>
      </c>
      <c r="E1461" s="840">
        <v>0.60609999999999997</v>
      </c>
      <c r="F1461" s="250" t="s">
        <v>671</v>
      </c>
      <c r="G1461" s="251" t="s">
        <v>16</v>
      </c>
      <c r="H1461" s="252">
        <v>3</v>
      </c>
      <c r="I1461" s="252">
        <v>4</v>
      </c>
      <c r="J1461" s="252">
        <v>3</v>
      </c>
      <c r="K1461" s="252">
        <v>3</v>
      </c>
      <c r="L1461" s="253">
        <v>3</v>
      </c>
      <c r="M1461" s="254">
        <f>IF( OR( ISBLANK(H1461),ISBLANK(I1461), ISBLANK(J1461), ISBLANK(K1461), ISBLANK(L1461) ), "", 1.5*SQRT(   EXP(2.21*(H1461-1)) + EXP(2.21*(I1461-1)) + EXP(2.21*(J1461-1)) + EXP(2.21*(K1461-1)) + EXP(2.21*L1461)   )/100*2.45 )</f>
        <v>1.5436107698696884</v>
      </c>
      <c r="N1461" s="255" t="s">
        <v>672</v>
      </c>
    </row>
    <row r="1462" spans="1:14" x14ac:dyDescent="0.2">
      <c r="A1462" s="839" t="s">
        <v>475</v>
      </c>
      <c r="B1462" s="466" t="s">
        <v>460</v>
      </c>
      <c r="C1462" s="612" t="s">
        <v>135</v>
      </c>
      <c r="D1462" s="252" t="s">
        <v>135</v>
      </c>
      <c r="E1462" s="840">
        <v>0.25</v>
      </c>
      <c r="F1462" s="250" t="s">
        <v>671</v>
      </c>
      <c r="G1462" s="251" t="s">
        <v>16</v>
      </c>
      <c r="H1462" s="252">
        <v>3</v>
      </c>
      <c r="I1462" s="252">
        <v>4</v>
      </c>
      <c r="J1462" s="252">
        <v>3</v>
      </c>
      <c r="K1462" s="252">
        <v>3</v>
      </c>
      <c r="L1462" s="253">
        <v>3</v>
      </c>
      <c r="M1462" s="254">
        <f t="shared" ref="M1462:M1493" si="55">IF( OR( ISBLANK(H1462),ISBLANK(I1462), ISBLANK(J1462), ISBLANK(K1462), ISBLANK(L1462) ), "", 1.5*SQRT( EXP(2.21*(H1462-1)) + EXP(2.21*(I1462-1)) + EXP(2.21*(J1462-1)) + EXP(2.21*(K1462-1)) + EXP(2.21*L1462) )/100*2.45 )</f>
        <v>1.5436107698696884</v>
      </c>
      <c r="N1462" s="255" t="s">
        <v>673</v>
      </c>
    </row>
    <row r="1463" spans="1:14" x14ac:dyDescent="0.2">
      <c r="A1463" s="839" t="s">
        <v>475</v>
      </c>
      <c r="B1463" s="466" t="s">
        <v>460</v>
      </c>
      <c r="C1463" s="612" t="s">
        <v>135</v>
      </c>
      <c r="D1463" s="252" t="s">
        <v>135</v>
      </c>
      <c r="E1463" s="840">
        <v>0.15379999999999999</v>
      </c>
      <c r="F1463" s="250" t="s">
        <v>671</v>
      </c>
      <c r="G1463" s="251" t="s">
        <v>16</v>
      </c>
      <c r="H1463" s="252">
        <v>3</v>
      </c>
      <c r="I1463" s="252">
        <v>4</v>
      </c>
      <c r="J1463" s="252">
        <v>3</v>
      </c>
      <c r="K1463" s="252">
        <v>3</v>
      </c>
      <c r="L1463" s="253">
        <v>3</v>
      </c>
      <c r="M1463" s="254">
        <f t="shared" si="55"/>
        <v>1.5436107698696884</v>
      </c>
      <c r="N1463" s="255" t="s">
        <v>674</v>
      </c>
    </row>
    <row r="1464" spans="1:14" x14ac:dyDescent="0.2">
      <c r="A1464" s="839" t="s">
        <v>475</v>
      </c>
      <c r="B1464" s="466" t="s">
        <v>460</v>
      </c>
      <c r="C1464" s="612" t="s">
        <v>135</v>
      </c>
      <c r="D1464" s="252" t="s">
        <v>135</v>
      </c>
      <c r="E1464" s="840">
        <v>0.3226</v>
      </c>
      <c r="F1464" s="250" t="s">
        <v>671</v>
      </c>
      <c r="G1464" s="251" t="s">
        <v>16</v>
      </c>
      <c r="H1464" s="252">
        <v>3</v>
      </c>
      <c r="I1464" s="252">
        <v>4</v>
      </c>
      <c r="J1464" s="252">
        <v>3</v>
      </c>
      <c r="K1464" s="252">
        <v>3</v>
      </c>
      <c r="L1464" s="253">
        <v>3</v>
      </c>
      <c r="M1464" s="254">
        <f t="shared" si="55"/>
        <v>1.5436107698696884</v>
      </c>
      <c r="N1464" s="255" t="s">
        <v>675</v>
      </c>
    </row>
    <row r="1465" spans="1:14" x14ac:dyDescent="0.2">
      <c r="A1465" s="841" t="s">
        <v>475</v>
      </c>
      <c r="B1465" s="465" t="s">
        <v>676</v>
      </c>
      <c r="C1465" s="610" t="s">
        <v>135</v>
      </c>
      <c r="D1465" s="291" t="s">
        <v>135</v>
      </c>
      <c r="E1465" s="473" t="s">
        <v>188</v>
      </c>
      <c r="F1465" s="289"/>
      <c r="G1465" s="290" t="s">
        <v>16</v>
      </c>
      <c r="H1465" s="473"/>
      <c r="I1465" s="473"/>
      <c r="J1465" s="473"/>
      <c r="K1465" s="473"/>
      <c r="L1465" s="474"/>
      <c r="M1465" s="475" t="str">
        <f t="shared" si="55"/>
        <v/>
      </c>
      <c r="N1465" s="294"/>
    </row>
    <row r="1466" spans="1:14" x14ac:dyDescent="0.2">
      <c r="A1466" s="842" t="s">
        <v>676</v>
      </c>
      <c r="B1466" s="815" t="s">
        <v>452</v>
      </c>
      <c r="C1466" s="612" t="s">
        <v>135</v>
      </c>
      <c r="D1466" s="252" t="s">
        <v>135</v>
      </c>
      <c r="E1466" s="252">
        <v>0.151</v>
      </c>
      <c r="F1466" s="250" t="s">
        <v>677</v>
      </c>
      <c r="G1466" s="424" t="s">
        <v>16</v>
      </c>
      <c r="H1466" s="252">
        <v>3</v>
      </c>
      <c r="I1466" s="252">
        <v>3</v>
      </c>
      <c r="J1466" s="252">
        <v>3</v>
      </c>
      <c r="K1466" s="252">
        <v>3</v>
      </c>
      <c r="L1466" s="253">
        <v>1</v>
      </c>
      <c r="M1466" s="254">
        <f t="shared" si="55"/>
        <v>0.67913051197703389</v>
      </c>
      <c r="N1466" s="255" t="s">
        <v>678</v>
      </c>
    </row>
    <row r="1467" spans="1:14" x14ac:dyDescent="0.2">
      <c r="A1467" s="842" t="s">
        <v>676</v>
      </c>
      <c r="B1467" s="420" t="s">
        <v>387</v>
      </c>
      <c r="C1467" s="612" t="s">
        <v>135</v>
      </c>
      <c r="D1467" s="252" t="s">
        <v>135</v>
      </c>
      <c r="E1467" s="470" t="s">
        <v>188</v>
      </c>
      <c r="F1467" s="289"/>
      <c r="G1467" s="251" t="s">
        <v>16</v>
      </c>
      <c r="H1467" s="470"/>
      <c r="I1467" s="470"/>
      <c r="J1467" s="470"/>
      <c r="K1467" s="470"/>
      <c r="L1467" s="471"/>
      <c r="M1467" s="456" t="str">
        <f t="shared" si="55"/>
        <v/>
      </c>
      <c r="N1467" s="255"/>
    </row>
    <row r="1468" spans="1:14" x14ac:dyDescent="0.2">
      <c r="A1468" s="843" t="s">
        <v>460</v>
      </c>
      <c r="B1468" s="490" t="s">
        <v>451</v>
      </c>
      <c r="C1468" s="265" t="s">
        <v>13</v>
      </c>
      <c r="D1468" s="269" t="s">
        <v>135</v>
      </c>
      <c r="E1468" s="492">
        <v>4.2000000000000003E-2</v>
      </c>
      <c r="F1468" s="374" t="s">
        <v>679</v>
      </c>
      <c r="G1468" s="390" t="s">
        <v>16</v>
      </c>
      <c r="H1468" s="269">
        <v>1</v>
      </c>
      <c r="I1468" s="269">
        <v>1</v>
      </c>
      <c r="J1468" s="269">
        <v>1</v>
      </c>
      <c r="K1468" s="269">
        <v>4</v>
      </c>
      <c r="L1468" s="270">
        <v>2</v>
      </c>
      <c r="M1468" s="271">
        <f t="shared" si="55"/>
        <v>1.0673825127299523</v>
      </c>
      <c r="N1468" s="483"/>
    </row>
    <row r="1469" spans="1:14" x14ac:dyDescent="0.2">
      <c r="A1469" s="839" t="s">
        <v>460</v>
      </c>
      <c r="B1469" s="436" t="s">
        <v>506</v>
      </c>
      <c r="C1469" s="493" t="s">
        <v>13</v>
      </c>
      <c r="D1469" s="252" t="s">
        <v>135</v>
      </c>
      <c r="E1469" s="494">
        <v>0.77900000000000003</v>
      </c>
      <c r="F1469" s="374" t="s">
        <v>679</v>
      </c>
      <c r="G1469" s="251" t="s">
        <v>16</v>
      </c>
      <c r="H1469" s="381">
        <v>1</v>
      </c>
      <c r="I1469" s="381">
        <v>1</v>
      </c>
      <c r="J1469" s="381">
        <v>1</v>
      </c>
      <c r="K1469" s="381">
        <v>4</v>
      </c>
      <c r="L1469" s="253">
        <v>2</v>
      </c>
      <c r="M1469" s="254">
        <f t="shared" si="55"/>
        <v>1.0673825127299523</v>
      </c>
      <c r="N1469" s="479"/>
    </row>
    <row r="1470" spans="1:14" x14ac:dyDescent="0.2">
      <c r="A1470" s="839" t="s">
        <v>460</v>
      </c>
      <c r="B1470" s="436" t="s">
        <v>488</v>
      </c>
      <c r="C1470" s="493" t="s">
        <v>13</v>
      </c>
      <c r="D1470" s="252" t="s">
        <v>135</v>
      </c>
      <c r="E1470" s="494">
        <v>0.159</v>
      </c>
      <c r="F1470" s="374" t="s">
        <v>679</v>
      </c>
      <c r="G1470" s="375" t="s">
        <v>16</v>
      </c>
      <c r="H1470" s="381">
        <v>1</v>
      </c>
      <c r="I1470" s="381">
        <v>1</v>
      </c>
      <c r="J1470" s="381">
        <v>1</v>
      </c>
      <c r="K1470" s="381">
        <v>4</v>
      </c>
      <c r="L1470" s="253">
        <v>2</v>
      </c>
      <c r="M1470" s="254">
        <f t="shared" si="55"/>
        <v>1.0673825127299523</v>
      </c>
      <c r="N1470" s="479"/>
    </row>
    <row r="1471" spans="1:14" x14ac:dyDescent="0.2">
      <c r="A1471" s="839" t="s">
        <v>460</v>
      </c>
      <c r="B1471" s="436" t="s">
        <v>450</v>
      </c>
      <c r="C1471" s="493" t="s">
        <v>13</v>
      </c>
      <c r="D1471" s="252" t="s">
        <v>135</v>
      </c>
      <c r="E1471" s="494">
        <v>2.1000000000000001E-2</v>
      </c>
      <c r="F1471" s="374" t="s">
        <v>679</v>
      </c>
      <c r="G1471" s="375" t="s">
        <v>16</v>
      </c>
      <c r="H1471" s="381">
        <v>1</v>
      </c>
      <c r="I1471" s="381">
        <v>1</v>
      </c>
      <c r="J1471" s="381">
        <v>1</v>
      </c>
      <c r="K1471" s="381">
        <v>4</v>
      </c>
      <c r="L1471" s="253">
        <v>2</v>
      </c>
      <c r="M1471" s="254">
        <f t="shared" si="55"/>
        <v>1.0673825127299523</v>
      </c>
      <c r="N1471" s="479"/>
    </row>
    <row r="1472" spans="1:14" x14ac:dyDescent="0.2">
      <c r="A1472" s="839" t="s">
        <v>460</v>
      </c>
      <c r="B1472" s="436" t="s">
        <v>661</v>
      </c>
      <c r="C1472" s="493" t="s">
        <v>13</v>
      </c>
      <c r="D1472" s="252" t="s">
        <v>135</v>
      </c>
      <c r="E1472" s="781">
        <v>0</v>
      </c>
      <c r="F1472" s="374" t="s">
        <v>679</v>
      </c>
      <c r="G1472" s="782" t="s">
        <v>16</v>
      </c>
      <c r="H1472" s="781"/>
      <c r="I1472" s="781"/>
      <c r="J1472" s="781"/>
      <c r="K1472" s="781"/>
      <c r="L1472" s="783"/>
      <c r="M1472" s="784" t="str">
        <f t="shared" si="55"/>
        <v/>
      </c>
      <c r="N1472" s="479"/>
    </row>
    <row r="1473" spans="1:14" hidden="1" x14ac:dyDescent="0.2">
      <c r="A1473" s="839" t="s">
        <v>460</v>
      </c>
      <c r="B1473" s="436" t="s">
        <v>451</v>
      </c>
      <c r="C1473" s="247" t="s">
        <v>18</v>
      </c>
      <c r="D1473" s="252" t="s">
        <v>135</v>
      </c>
      <c r="E1473" s="495">
        <v>0.11573629586317789</v>
      </c>
      <c r="F1473" s="374" t="s">
        <v>679</v>
      </c>
      <c r="G1473" s="375" t="s">
        <v>16</v>
      </c>
      <c r="H1473" s="381">
        <v>1</v>
      </c>
      <c r="I1473" s="381">
        <v>1</v>
      </c>
      <c r="J1473" s="381">
        <v>1</v>
      </c>
      <c r="K1473" s="381">
        <v>4</v>
      </c>
      <c r="L1473" s="253">
        <v>2</v>
      </c>
      <c r="M1473" s="254">
        <f t="shared" si="55"/>
        <v>1.0673825127299523</v>
      </c>
      <c r="N1473" s="479"/>
    </row>
    <row r="1474" spans="1:14" hidden="1" x14ac:dyDescent="0.2">
      <c r="A1474" s="839" t="s">
        <v>460</v>
      </c>
      <c r="B1474" s="436" t="s">
        <v>506</v>
      </c>
      <c r="C1474" s="493" t="s">
        <v>18</v>
      </c>
      <c r="D1474" s="252" t="s">
        <v>135</v>
      </c>
      <c r="E1474" s="494">
        <v>0.57175708554629767</v>
      </c>
      <c r="F1474" s="374" t="s">
        <v>679</v>
      </c>
      <c r="G1474" s="375" t="s">
        <v>16</v>
      </c>
      <c r="H1474" s="381">
        <v>1</v>
      </c>
      <c r="I1474" s="381">
        <v>1</v>
      </c>
      <c r="J1474" s="381">
        <v>1</v>
      </c>
      <c r="K1474" s="381">
        <v>4</v>
      </c>
      <c r="L1474" s="253">
        <v>2</v>
      </c>
      <c r="M1474" s="254">
        <f t="shared" si="55"/>
        <v>1.0673825127299523</v>
      </c>
      <c r="N1474" s="479"/>
    </row>
    <row r="1475" spans="1:14" hidden="1" x14ac:dyDescent="0.2">
      <c r="A1475" s="839" t="s">
        <v>460</v>
      </c>
      <c r="B1475" s="436" t="s">
        <v>488</v>
      </c>
      <c r="C1475" s="493" t="s">
        <v>18</v>
      </c>
      <c r="D1475" s="252" t="s">
        <v>135</v>
      </c>
      <c r="E1475" s="494">
        <v>0.28785694099303227</v>
      </c>
      <c r="F1475" s="374" t="s">
        <v>679</v>
      </c>
      <c r="G1475" s="375" t="s">
        <v>16</v>
      </c>
      <c r="H1475" s="381">
        <v>1</v>
      </c>
      <c r="I1475" s="381">
        <v>1</v>
      </c>
      <c r="J1475" s="381">
        <v>1</v>
      </c>
      <c r="K1475" s="381">
        <v>4</v>
      </c>
      <c r="L1475" s="253">
        <v>2</v>
      </c>
      <c r="M1475" s="254">
        <f t="shared" si="55"/>
        <v>1.0673825127299523</v>
      </c>
      <c r="N1475" s="479"/>
    </row>
    <row r="1476" spans="1:14" hidden="1" x14ac:dyDescent="0.2">
      <c r="A1476" s="839" t="s">
        <v>460</v>
      </c>
      <c r="B1476" s="436" t="s">
        <v>450</v>
      </c>
      <c r="C1476" s="493" t="s">
        <v>18</v>
      </c>
      <c r="D1476" s="252" t="s">
        <v>135</v>
      </c>
      <c r="E1476" s="494">
        <v>1.582718575906706E-2</v>
      </c>
      <c r="F1476" s="374" t="s">
        <v>679</v>
      </c>
      <c r="G1476" s="375" t="s">
        <v>16</v>
      </c>
      <c r="H1476" s="381">
        <v>1</v>
      </c>
      <c r="I1476" s="381">
        <v>1</v>
      </c>
      <c r="J1476" s="381">
        <v>1</v>
      </c>
      <c r="K1476" s="381">
        <v>4</v>
      </c>
      <c r="L1476" s="253">
        <v>2</v>
      </c>
      <c r="M1476" s="254">
        <f t="shared" si="55"/>
        <v>1.0673825127299523</v>
      </c>
      <c r="N1476" s="479"/>
    </row>
    <row r="1477" spans="1:14" hidden="1" x14ac:dyDescent="0.2">
      <c r="A1477" s="839" t="s">
        <v>460</v>
      </c>
      <c r="B1477" s="436" t="s">
        <v>661</v>
      </c>
      <c r="C1477" s="493" t="s">
        <v>18</v>
      </c>
      <c r="D1477" s="252" t="s">
        <v>135</v>
      </c>
      <c r="E1477" s="494">
        <v>1.080089005830857E-2</v>
      </c>
      <c r="F1477" s="374" t="s">
        <v>679</v>
      </c>
      <c r="G1477" s="375" t="s">
        <v>16</v>
      </c>
      <c r="H1477" s="381">
        <v>1</v>
      </c>
      <c r="I1477" s="381">
        <v>1</v>
      </c>
      <c r="J1477" s="381">
        <v>1</v>
      </c>
      <c r="K1477" s="381">
        <v>4</v>
      </c>
      <c r="L1477" s="253">
        <v>3</v>
      </c>
      <c r="M1477" s="254">
        <f t="shared" si="55"/>
        <v>1.4318190233667305</v>
      </c>
      <c r="N1477" s="479"/>
    </row>
    <row r="1478" spans="1:14" hidden="1" x14ac:dyDescent="0.2">
      <c r="A1478" s="839" t="s">
        <v>460</v>
      </c>
      <c r="B1478" s="436" t="s">
        <v>451</v>
      </c>
      <c r="C1478" s="247" t="s">
        <v>20</v>
      </c>
      <c r="D1478" s="252" t="s">
        <v>135</v>
      </c>
      <c r="E1478" s="495">
        <v>2.2635773143301931E-2</v>
      </c>
      <c r="F1478" s="374" t="s">
        <v>679</v>
      </c>
      <c r="G1478" s="375" t="s">
        <v>16</v>
      </c>
      <c r="H1478" s="381">
        <v>1</v>
      </c>
      <c r="I1478" s="381">
        <v>1</v>
      </c>
      <c r="J1478" s="381">
        <v>1</v>
      </c>
      <c r="K1478" s="381">
        <v>4</v>
      </c>
      <c r="L1478" s="253">
        <v>2</v>
      </c>
      <c r="M1478" s="254">
        <f t="shared" si="55"/>
        <v>1.0673825127299523</v>
      </c>
      <c r="N1478" s="479"/>
    </row>
    <row r="1479" spans="1:14" hidden="1" x14ac:dyDescent="0.2">
      <c r="A1479" s="839" t="s">
        <v>460</v>
      </c>
      <c r="B1479" s="436" t="s">
        <v>506</v>
      </c>
      <c r="C1479" s="493" t="s">
        <v>20</v>
      </c>
      <c r="D1479" s="252" t="s">
        <v>135</v>
      </c>
      <c r="E1479" s="494">
        <v>0.63084915586332757</v>
      </c>
      <c r="F1479" s="374" t="s">
        <v>679</v>
      </c>
      <c r="G1479" s="375" t="s">
        <v>16</v>
      </c>
      <c r="H1479" s="381">
        <v>1</v>
      </c>
      <c r="I1479" s="381">
        <v>1</v>
      </c>
      <c r="J1479" s="381">
        <v>1</v>
      </c>
      <c r="K1479" s="381">
        <v>4</v>
      </c>
      <c r="L1479" s="253">
        <v>2</v>
      </c>
      <c r="M1479" s="254">
        <f t="shared" si="55"/>
        <v>1.0673825127299523</v>
      </c>
      <c r="N1479" s="479"/>
    </row>
    <row r="1480" spans="1:14" hidden="1" x14ac:dyDescent="0.2">
      <c r="A1480" s="839" t="s">
        <v>460</v>
      </c>
      <c r="B1480" s="436" t="s">
        <v>488</v>
      </c>
      <c r="C1480" s="493" t="s">
        <v>20</v>
      </c>
      <c r="D1480" s="252" t="s">
        <v>135</v>
      </c>
      <c r="E1480" s="494">
        <v>0.31788498805593568</v>
      </c>
      <c r="F1480" s="374" t="s">
        <v>679</v>
      </c>
      <c r="G1480" s="375" t="s">
        <v>16</v>
      </c>
      <c r="H1480" s="381">
        <v>1</v>
      </c>
      <c r="I1480" s="381">
        <v>1</v>
      </c>
      <c r="J1480" s="381">
        <v>1</v>
      </c>
      <c r="K1480" s="381">
        <v>4</v>
      </c>
      <c r="L1480" s="253">
        <v>2</v>
      </c>
      <c r="M1480" s="254">
        <f t="shared" si="55"/>
        <v>1.0673825127299523</v>
      </c>
      <c r="N1480" s="479"/>
    </row>
    <row r="1481" spans="1:14" hidden="1" x14ac:dyDescent="0.2">
      <c r="A1481" s="839" t="s">
        <v>460</v>
      </c>
      <c r="B1481" s="436" t="s">
        <v>450</v>
      </c>
      <c r="C1481" s="493" t="s">
        <v>20</v>
      </c>
      <c r="D1481" s="252" t="s">
        <v>135</v>
      </c>
      <c r="E1481" s="494">
        <v>1.2794132646214139E-2</v>
      </c>
      <c r="F1481" s="374" t="s">
        <v>679</v>
      </c>
      <c r="G1481" s="375" t="s">
        <v>16</v>
      </c>
      <c r="H1481" s="381">
        <v>1</v>
      </c>
      <c r="I1481" s="381">
        <v>1</v>
      </c>
      <c r="J1481" s="381">
        <v>1</v>
      </c>
      <c r="K1481" s="381">
        <v>4</v>
      </c>
      <c r="L1481" s="253">
        <v>2</v>
      </c>
      <c r="M1481" s="254">
        <f t="shared" si="55"/>
        <v>1.0673825127299523</v>
      </c>
      <c r="N1481" s="479"/>
    </row>
    <row r="1482" spans="1:14" hidden="1" x14ac:dyDescent="0.2">
      <c r="A1482" s="839" t="s">
        <v>460</v>
      </c>
      <c r="B1482" s="436" t="s">
        <v>661</v>
      </c>
      <c r="C1482" s="493" t="s">
        <v>20</v>
      </c>
      <c r="D1482" s="252" t="s">
        <v>135</v>
      </c>
      <c r="E1482" s="494">
        <v>1.5835950291220442E-2</v>
      </c>
      <c r="F1482" s="374" t="s">
        <v>679</v>
      </c>
      <c r="G1482" s="375" t="s">
        <v>16</v>
      </c>
      <c r="H1482" s="381">
        <v>1</v>
      </c>
      <c r="I1482" s="381">
        <v>1</v>
      </c>
      <c r="J1482" s="381">
        <v>1</v>
      </c>
      <c r="K1482" s="381">
        <v>4</v>
      </c>
      <c r="L1482" s="253">
        <v>3</v>
      </c>
      <c r="M1482" s="254">
        <f t="shared" si="55"/>
        <v>1.4318190233667305</v>
      </c>
      <c r="N1482" s="479"/>
    </row>
    <row r="1483" spans="1:14" hidden="1" x14ac:dyDescent="0.2">
      <c r="A1483" s="839" t="s">
        <v>460</v>
      </c>
      <c r="B1483" s="436" t="s">
        <v>451</v>
      </c>
      <c r="C1483" s="247" t="s">
        <v>22</v>
      </c>
      <c r="D1483" s="252" t="s">
        <v>135</v>
      </c>
      <c r="E1483" s="495">
        <v>2.1025637408752691E-2</v>
      </c>
      <c r="F1483" s="374" t="s">
        <v>679</v>
      </c>
      <c r="G1483" s="375" t="s">
        <v>16</v>
      </c>
      <c r="H1483" s="381">
        <v>1</v>
      </c>
      <c r="I1483" s="381">
        <v>1</v>
      </c>
      <c r="J1483" s="381">
        <v>1</v>
      </c>
      <c r="K1483" s="381">
        <v>4</v>
      </c>
      <c r="L1483" s="253">
        <v>2</v>
      </c>
      <c r="M1483" s="254">
        <f t="shared" si="55"/>
        <v>1.0673825127299523</v>
      </c>
      <c r="N1483" s="479"/>
    </row>
    <row r="1484" spans="1:14" hidden="1" x14ac:dyDescent="0.2">
      <c r="A1484" s="839" t="s">
        <v>460</v>
      </c>
      <c r="B1484" s="436" t="s">
        <v>506</v>
      </c>
      <c r="C1484" s="493" t="s">
        <v>22</v>
      </c>
      <c r="D1484" s="252" t="s">
        <v>135</v>
      </c>
      <c r="E1484" s="494">
        <v>0.51972747469760538</v>
      </c>
      <c r="F1484" s="374" t="s">
        <v>679</v>
      </c>
      <c r="G1484" s="375" t="s">
        <v>16</v>
      </c>
      <c r="H1484" s="381">
        <v>1</v>
      </c>
      <c r="I1484" s="381">
        <v>1</v>
      </c>
      <c r="J1484" s="381">
        <v>1</v>
      </c>
      <c r="K1484" s="381">
        <v>4</v>
      </c>
      <c r="L1484" s="253">
        <v>2</v>
      </c>
      <c r="M1484" s="254">
        <f t="shared" si="55"/>
        <v>1.0673825127299523</v>
      </c>
      <c r="N1484" s="479"/>
    </row>
    <row r="1485" spans="1:14" hidden="1" x14ac:dyDescent="0.2">
      <c r="A1485" s="839" t="s">
        <v>460</v>
      </c>
      <c r="B1485" s="436" t="s">
        <v>488</v>
      </c>
      <c r="C1485" s="493" t="s">
        <v>22</v>
      </c>
      <c r="D1485" s="252" t="s">
        <v>135</v>
      </c>
      <c r="E1485" s="494">
        <v>0.1090704940579046</v>
      </c>
      <c r="F1485" s="374" t="s">
        <v>679</v>
      </c>
      <c r="G1485" s="375" t="s">
        <v>16</v>
      </c>
      <c r="H1485" s="381">
        <v>1</v>
      </c>
      <c r="I1485" s="381">
        <v>1</v>
      </c>
      <c r="J1485" s="381">
        <v>1</v>
      </c>
      <c r="K1485" s="381">
        <v>4</v>
      </c>
      <c r="L1485" s="253">
        <v>2</v>
      </c>
      <c r="M1485" s="254">
        <f t="shared" si="55"/>
        <v>1.0673825127299523</v>
      </c>
      <c r="N1485" s="479"/>
    </row>
    <row r="1486" spans="1:14" hidden="1" x14ac:dyDescent="0.2">
      <c r="A1486" s="839" t="s">
        <v>460</v>
      </c>
      <c r="B1486" s="436" t="s">
        <v>450</v>
      </c>
      <c r="C1486" s="493" t="s">
        <v>22</v>
      </c>
      <c r="D1486" s="252" t="s">
        <v>135</v>
      </c>
      <c r="E1486" s="494">
        <v>7.227562859258737E-3</v>
      </c>
      <c r="F1486" s="374" t="s">
        <v>679</v>
      </c>
      <c r="G1486" s="375" t="s">
        <v>16</v>
      </c>
      <c r="H1486" s="381">
        <v>1</v>
      </c>
      <c r="I1486" s="381">
        <v>1</v>
      </c>
      <c r="J1486" s="381">
        <v>1</v>
      </c>
      <c r="K1486" s="381">
        <v>4</v>
      </c>
      <c r="L1486" s="253">
        <v>2</v>
      </c>
      <c r="M1486" s="254">
        <f t="shared" si="55"/>
        <v>1.0673825127299523</v>
      </c>
      <c r="N1486" s="479"/>
    </row>
    <row r="1487" spans="1:14" hidden="1" x14ac:dyDescent="0.2">
      <c r="A1487" s="839" t="s">
        <v>460</v>
      </c>
      <c r="B1487" s="436" t="s">
        <v>661</v>
      </c>
      <c r="C1487" s="493" t="s">
        <v>22</v>
      </c>
      <c r="D1487" s="252" t="s">
        <v>135</v>
      </c>
      <c r="E1487" s="494">
        <v>0.34294883097647849</v>
      </c>
      <c r="F1487" s="374" t="s">
        <v>679</v>
      </c>
      <c r="G1487" s="375" t="s">
        <v>16</v>
      </c>
      <c r="H1487" s="381">
        <v>1</v>
      </c>
      <c r="I1487" s="381">
        <v>1</v>
      </c>
      <c r="J1487" s="381">
        <v>1</v>
      </c>
      <c r="K1487" s="381">
        <v>4</v>
      </c>
      <c r="L1487" s="253">
        <v>3</v>
      </c>
      <c r="M1487" s="254">
        <f t="shared" si="55"/>
        <v>1.4318190233667305</v>
      </c>
      <c r="N1487" s="479"/>
    </row>
    <row r="1488" spans="1:14" hidden="1" x14ac:dyDescent="0.2">
      <c r="A1488" s="839" t="s">
        <v>460</v>
      </c>
      <c r="B1488" s="436" t="s">
        <v>451</v>
      </c>
      <c r="C1488" s="247" t="s">
        <v>23</v>
      </c>
      <c r="D1488" s="252" t="s">
        <v>135</v>
      </c>
      <c r="E1488" s="494">
        <v>4.5868947241628523E-2</v>
      </c>
      <c r="F1488" s="374" t="s">
        <v>679</v>
      </c>
      <c r="G1488" s="375" t="s">
        <v>16</v>
      </c>
      <c r="H1488" s="381">
        <v>1</v>
      </c>
      <c r="I1488" s="381">
        <v>1</v>
      </c>
      <c r="J1488" s="381">
        <v>1</v>
      </c>
      <c r="K1488" s="381">
        <v>4</v>
      </c>
      <c r="L1488" s="253">
        <v>2</v>
      </c>
      <c r="M1488" s="254">
        <f t="shared" si="55"/>
        <v>1.0673825127299523</v>
      </c>
      <c r="N1488" s="479"/>
    </row>
    <row r="1489" spans="1:14" hidden="1" x14ac:dyDescent="0.2">
      <c r="A1489" s="839" t="s">
        <v>460</v>
      </c>
      <c r="B1489" s="436" t="s">
        <v>506</v>
      </c>
      <c r="C1489" s="247" t="s">
        <v>23</v>
      </c>
      <c r="D1489" s="252" t="s">
        <v>135</v>
      </c>
      <c r="E1489" s="494">
        <v>0.46460804625391472</v>
      </c>
      <c r="F1489" s="374" t="s">
        <v>679</v>
      </c>
      <c r="G1489" s="251" t="s">
        <v>16</v>
      </c>
      <c r="H1489" s="381">
        <v>1</v>
      </c>
      <c r="I1489" s="381">
        <v>1</v>
      </c>
      <c r="J1489" s="381">
        <v>1</v>
      </c>
      <c r="K1489" s="381">
        <v>4</v>
      </c>
      <c r="L1489" s="253">
        <v>2</v>
      </c>
      <c r="M1489" s="254">
        <f t="shared" si="55"/>
        <v>1.0673825127299523</v>
      </c>
      <c r="N1489" s="479"/>
    </row>
    <row r="1490" spans="1:14" hidden="1" x14ac:dyDescent="0.2">
      <c r="A1490" s="839" t="s">
        <v>460</v>
      </c>
      <c r="B1490" s="436" t="s">
        <v>488</v>
      </c>
      <c r="C1490" s="247" t="s">
        <v>23</v>
      </c>
      <c r="D1490" s="252" t="s">
        <v>135</v>
      </c>
      <c r="E1490" s="494">
        <v>0.22490580582992051</v>
      </c>
      <c r="F1490" s="374" t="s">
        <v>679</v>
      </c>
      <c r="G1490" s="375" t="s">
        <v>16</v>
      </c>
      <c r="H1490" s="381">
        <v>1</v>
      </c>
      <c r="I1490" s="381">
        <v>1</v>
      </c>
      <c r="J1490" s="381">
        <v>1</v>
      </c>
      <c r="K1490" s="381">
        <v>4</v>
      </c>
      <c r="L1490" s="253">
        <v>2</v>
      </c>
      <c r="M1490" s="254">
        <f t="shared" si="55"/>
        <v>1.0673825127299523</v>
      </c>
      <c r="N1490" s="479"/>
    </row>
    <row r="1491" spans="1:14" hidden="1" x14ac:dyDescent="0.2">
      <c r="A1491" s="839" t="s">
        <v>460</v>
      </c>
      <c r="B1491" s="436" t="s">
        <v>450</v>
      </c>
      <c r="C1491" s="247" t="s">
        <v>23</v>
      </c>
      <c r="D1491" s="252" t="s">
        <v>135</v>
      </c>
      <c r="E1491" s="494">
        <v>3.6991086485184291E-3</v>
      </c>
      <c r="F1491" s="374" t="s">
        <v>679</v>
      </c>
      <c r="G1491" s="375" t="s">
        <v>16</v>
      </c>
      <c r="H1491" s="381">
        <v>1</v>
      </c>
      <c r="I1491" s="381">
        <v>1</v>
      </c>
      <c r="J1491" s="381">
        <v>1</v>
      </c>
      <c r="K1491" s="381">
        <v>4</v>
      </c>
      <c r="L1491" s="253">
        <v>2</v>
      </c>
      <c r="M1491" s="254">
        <f t="shared" si="55"/>
        <v>1.0673825127299523</v>
      </c>
      <c r="N1491" s="479"/>
    </row>
    <row r="1492" spans="1:14" hidden="1" x14ac:dyDescent="0.2">
      <c r="A1492" s="839" t="s">
        <v>460</v>
      </c>
      <c r="B1492" s="436" t="s">
        <v>661</v>
      </c>
      <c r="C1492" s="493" t="s">
        <v>23</v>
      </c>
      <c r="D1492" s="252" t="s">
        <v>135</v>
      </c>
      <c r="E1492" s="494">
        <v>0.26017827029631407</v>
      </c>
      <c r="F1492" s="374" t="s">
        <v>679</v>
      </c>
      <c r="G1492" s="375" t="s">
        <v>16</v>
      </c>
      <c r="H1492" s="381">
        <v>1</v>
      </c>
      <c r="I1492" s="381">
        <v>1</v>
      </c>
      <c r="J1492" s="381">
        <v>1</v>
      </c>
      <c r="K1492" s="381">
        <v>4</v>
      </c>
      <c r="L1492" s="253">
        <v>3</v>
      </c>
      <c r="M1492" s="254">
        <f t="shared" si="55"/>
        <v>1.4318190233667305</v>
      </c>
      <c r="N1492" s="479"/>
    </row>
    <row r="1493" spans="1:14" hidden="1" x14ac:dyDescent="0.2">
      <c r="A1493" s="839" t="s">
        <v>460</v>
      </c>
      <c r="B1493" s="436" t="s">
        <v>451</v>
      </c>
      <c r="C1493" s="247" t="s">
        <v>24</v>
      </c>
      <c r="D1493" s="252" t="s">
        <v>135</v>
      </c>
      <c r="E1493" s="494">
        <v>4.3999999999999997E-2</v>
      </c>
      <c r="F1493" s="374" t="s">
        <v>679</v>
      </c>
      <c r="G1493" s="375" t="s">
        <v>16</v>
      </c>
      <c r="H1493" s="381">
        <v>1</v>
      </c>
      <c r="I1493" s="381">
        <v>1</v>
      </c>
      <c r="J1493" s="381">
        <v>1</v>
      </c>
      <c r="K1493" s="381">
        <v>4</v>
      </c>
      <c r="L1493" s="253">
        <v>2</v>
      </c>
      <c r="M1493" s="254">
        <f t="shared" si="55"/>
        <v>1.0673825127299523</v>
      </c>
      <c r="N1493" s="479"/>
    </row>
    <row r="1494" spans="1:14" hidden="1" x14ac:dyDescent="0.2">
      <c r="A1494" s="839" t="s">
        <v>460</v>
      </c>
      <c r="B1494" s="436" t="s">
        <v>506</v>
      </c>
      <c r="C1494" s="247" t="s">
        <v>24</v>
      </c>
      <c r="D1494" s="252" t="s">
        <v>135</v>
      </c>
      <c r="E1494" s="494">
        <v>0.60299999999999998</v>
      </c>
      <c r="F1494" s="374" t="s">
        <v>679</v>
      </c>
      <c r="G1494" s="375" t="s">
        <v>16</v>
      </c>
      <c r="H1494" s="381">
        <v>1</v>
      </c>
      <c r="I1494" s="381">
        <v>1</v>
      </c>
      <c r="J1494" s="381">
        <v>1</v>
      </c>
      <c r="K1494" s="381">
        <v>4</v>
      </c>
      <c r="L1494" s="253">
        <v>2</v>
      </c>
      <c r="M1494" s="254">
        <f t="shared" ref="M1494:M1524" si="56">IF( OR( ISBLANK(H1494),ISBLANK(I1494), ISBLANK(J1494), ISBLANK(K1494), ISBLANK(L1494) ), "", 1.5*SQRT( EXP(2.21*(H1494-1)) + EXP(2.21*(I1494-1)) + EXP(2.21*(J1494-1)) + EXP(2.21*(K1494-1)) + EXP(2.21*L1494) )/100*2.45 )</f>
        <v>1.0673825127299523</v>
      </c>
      <c r="N1494" s="479"/>
    </row>
    <row r="1495" spans="1:14" hidden="1" x14ac:dyDescent="0.2">
      <c r="A1495" s="839" t="s">
        <v>460</v>
      </c>
      <c r="B1495" s="436" t="s">
        <v>488</v>
      </c>
      <c r="C1495" s="247" t="s">
        <v>24</v>
      </c>
      <c r="D1495" s="252" t="s">
        <v>135</v>
      </c>
      <c r="E1495" s="494">
        <v>0.33700000000000002</v>
      </c>
      <c r="F1495" s="374" t="s">
        <v>679</v>
      </c>
      <c r="G1495" s="375" t="s">
        <v>16</v>
      </c>
      <c r="H1495" s="381">
        <v>1</v>
      </c>
      <c r="I1495" s="381">
        <v>1</v>
      </c>
      <c r="J1495" s="381">
        <v>1</v>
      </c>
      <c r="K1495" s="381">
        <v>4</v>
      </c>
      <c r="L1495" s="253">
        <v>2</v>
      </c>
      <c r="M1495" s="254">
        <f t="shared" si="56"/>
        <v>1.0673825127299523</v>
      </c>
      <c r="N1495" s="479"/>
    </row>
    <row r="1496" spans="1:14" hidden="1" x14ac:dyDescent="0.2">
      <c r="A1496" s="839" t="s">
        <v>460</v>
      </c>
      <c r="B1496" s="436" t="s">
        <v>450</v>
      </c>
      <c r="C1496" s="247" t="s">
        <v>24</v>
      </c>
      <c r="D1496" s="252" t="s">
        <v>135</v>
      </c>
      <c r="E1496" s="494">
        <v>1.4999999999999999E-2</v>
      </c>
      <c r="F1496" s="374" t="s">
        <v>679</v>
      </c>
      <c r="G1496" s="375" t="s">
        <v>16</v>
      </c>
      <c r="H1496" s="381">
        <v>1</v>
      </c>
      <c r="I1496" s="381">
        <v>1</v>
      </c>
      <c r="J1496" s="381">
        <v>1</v>
      </c>
      <c r="K1496" s="381">
        <v>4</v>
      </c>
      <c r="L1496" s="253">
        <v>2</v>
      </c>
      <c r="M1496" s="254">
        <f t="shared" si="56"/>
        <v>1.0673825127299523</v>
      </c>
      <c r="N1496" s="479"/>
    </row>
    <row r="1497" spans="1:14" hidden="1" x14ac:dyDescent="0.2">
      <c r="A1497" s="839" t="s">
        <v>460</v>
      </c>
      <c r="B1497" s="436" t="s">
        <v>661</v>
      </c>
      <c r="C1497" s="493" t="s">
        <v>24</v>
      </c>
      <c r="D1497" s="252" t="s">
        <v>135</v>
      </c>
      <c r="E1497" s="781">
        <v>0</v>
      </c>
      <c r="F1497" s="374" t="s">
        <v>679</v>
      </c>
      <c r="G1497" s="782" t="s">
        <v>16</v>
      </c>
      <c r="H1497" s="781"/>
      <c r="I1497" s="781"/>
      <c r="J1497" s="781"/>
      <c r="K1497" s="781"/>
      <c r="L1497" s="783"/>
      <c r="M1497" s="784" t="str">
        <f t="shared" si="56"/>
        <v/>
      </c>
      <c r="N1497" s="479"/>
    </row>
    <row r="1498" spans="1:14" hidden="1" x14ac:dyDescent="0.2">
      <c r="A1498" s="839" t="s">
        <v>460</v>
      </c>
      <c r="B1498" s="436" t="s">
        <v>451</v>
      </c>
      <c r="C1498" s="247" t="s">
        <v>25</v>
      </c>
      <c r="D1498" s="252" t="s">
        <v>135</v>
      </c>
      <c r="E1498" s="494">
        <v>3.6878992324044957E-2</v>
      </c>
      <c r="F1498" s="374" t="s">
        <v>679</v>
      </c>
      <c r="G1498" s="375" t="s">
        <v>16</v>
      </c>
      <c r="H1498" s="381">
        <v>1</v>
      </c>
      <c r="I1498" s="381">
        <v>1</v>
      </c>
      <c r="J1498" s="381">
        <v>1</v>
      </c>
      <c r="K1498" s="381">
        <v>4</v>
      </c>
      <c r="L1498" s="253">
        <v>2</v>
      </c>
      <c r="M1498" s="254">
        <f t="shared" si="56"/>
        <v>1.0673825127299523</v>
      </c>
      <c r="N1498" s="479"/>
    </row>
    <row r="1499" spans="1:14" hidden="1" x14ac:dyDescent="0.2">
      <c r="A1499" s="839" t="s">
        <v>460</v>
      </c>
      <c r="B1499" s="436" t="s">
        <v>506</v>
      </c>
      <c r="C1499" s="247" t="s">
        <v>25</v>
      </c>
      <c r="D1499" s="252" t="s">
        <v>135</v>
      </c>
      <c r="E1499" s="494">
        <v>0.22982560433825119</v>
      </c>
      <c r="F1499" s="374" t="s">
        <v>679</v>
      </c>
      <c r="G1499" s="375" t="s">
        <v>16</v>
      </c>
      <c r="H1499" s="381">
        <v>1</v>
      </c>
      <c r="I1499" s="381">
        <v>1</v>
      </c>
      <c r="J1499" s="381">
        <v>1</v>
      </c>
      <c r="K1499" s="381">
        <v>4</v>
      </c>
      <c r="L1499" s="253">
        <v>2</v>
      </c>
      <c r="M1499" s="254">
        <f t="shared" si="56"/>
        <v>1.0673825127299523</v>
      </c>
      <c r="N1499" s="479"/>
    </row>
    <row r="1500" spans="1:14" hidden="1" x14ac:dyDescent="0.2">
      <c r="A1500" s="839" t="s">
        <v>460</v>
      </c>
      <c r="B1500" s="436" t="s">
        <v>488</v>
      </c>
      <c r="C1500" s="247" t="s">
        <v>25</v>
      </c>
      <c r="D1500" s="252" t="s">
        <v>135</v>
      </c>
      <c r="E1500" s="494">
        <v>0.25494607737057168</v>
      </c>
      <c r="F1500" s="374" t="s">
        <v>679</v>
      </c>
      <c r="G1500" s="375" t="s">
        <v>16</v>
      </c>
      <c r="H1500" s="381">
        <v>1</v>
      </c>
      <c r="I1500" s="381">
        <v>1</v>
      </c>
      <c r="J1500" s="381">
        <v>1</v>
      </c>
      <c r="K1500" s="381">
        <v>4</v>
      </c>
      <c r="L1500" s="253">
        <v>2</v>
      </c>
      <c r="M1500" s="254">
        <f t="shared" si="56"/>
        <v>1.0673825127299523</v>
      </c>
      <c r="N1500" s="479"/>
    </row>
    <row r="1501" spans="1:14" hidden="1" x14ac:dyDescent="0.2">
      <c r="A1501" s="839" t="s">
        <v>460</v>
      </c>
      <c r="B1501" s="436" t="s">
        <v>450</v>
      </c>
      <c r="C1501" s="247" t="s">
        <v>25</v>
      </c>
      <c r="D1501" s="252" t="s">
        <v>135</v>
      </c>
      <c r="E1501" s="494">
        <v>1.282747559097216E-2</v>
      </c>
      <c r="F1501" s="374" t="s">
        <v>679</v>
      </c>
      <c r="G1501" s="375" t="s">
        <v>16</v>
      </c>
      <c r="H1501" s="381">
        <v>1</v>
      </c>
      <c r="I1501" s="381">
        <v>1</v>
      </c>
      <c r="J1501" s="381">
        <v>1</v>
      </c>
      <c r="K1501" s="381">
        <v>4</v>
      </c>
      <c r="L1501" s="253">
        <v>2</v>
      </c>
      <c r="M1501" s="254">
        <f t="shared" si="56"/>
        <v>1.0673825127299523</v>
      </c>
      <c r="N1501" s="479"/>
    </row>
    <row r="1502" spans="1:14" hidden="1" x14ac:dyDescent="0.2">
      <c r="A1502" s="839" t="s">
        <v>460</v>
      </c>
      <c r="B1502" s="436" t="s">
        <v>661</v>
      </c>
      <c r="C1502" s="493" t="s">
        <v>25</v>
      </c>
      <c r="D1502" s="252" t="s">
        <v>135</v>
      </c>
      <c r="E1502" s="494">
        <v>0.46552185037616001</v>
      </c>
      <c r="F1502" s="374" t="s">
        <v>679</v>
      </c>
      <c r="G1502" s="375" t="s">
        <v>16</v>
      </c>
      <c r="H1502" s="381">
        <v>1</v>
      </c>
      <c r="I1502" s="381">
        <v>1</v>
      </c>
      <c r="J1502" s="381">
        <v>1</v>
      </c>
      <c r="K1502" s="381">
        <v>4</v>
      </c>
      <c r="L1502" s="253">
        <v>3</v>
      </c>
      <c r="M1502" s="254">
        <f t="shared" si="56"/>
        <v>1.4318190233667305</v>
      </c>
      <c r="N1502" s="479"/>
    </row>
    <row r="1503" spans="1:14" hidden="1" x14ac:dyDescent="0.2">
      <c r="A1503" s="839" t="s">
        <v>460</v>
      </c>
      <c r="B1503" s="436" t="s">
        <v>451</v>
      </c>
      <c r="C1503" s="247" t="s">
        <v>26</v>
      </c>
      <c r="D1503" s="252" t="s">
        <v>135</v>
      </c>
      <c r="E1503" s="494">
        <v>1.180525128865979E-2</v>
      </c>
      <c r="F1503" s="374" t="s">
        <v>679</v>
      </c>
      <c r="G1503" s="375" t="s">
        <v>16</v>
      </c>
      <c r="H1503" s="381">
        <v>1</v>
      </c>
      <c r="I1503" s="381">
        <v>1</v>
      </c>
      <c r="J1503" s="381">
        <v>1</v>
      </c>
      <c r="K1503" s="381">
        <v>4</v>
      </c>
      <c r="L1503" s="253">
        <v>2</v>
      </c>
      <c r="M1503" s="254">
        <f t="shared" si="56"/>
        <v>1.0673825127299523</v>
      </c>
      <c r="N1503" s="479"/>
    </row>
    <row r="1504" spans="1:14" hidden="1" x14ac:dyDescent="0.2">
      <c r="A1504" s="839" t="s">
        <v>460</v>
      </c>
      <c r="B1504" s="436" t="s">
        <v>506</v>
      </c>
      <c r="C1504" s="247" t="s">
        <v>26</v>
      </c>
      <c r="D1504" s="252" t="s">
        <v>135</v>
      </c>
      <c r="E1504" s="494">
        <v>0.52568089561855669</v>
      </c>
      <c r="F1504" s="374" t="s">
        <v>679</v>
      </c>
      <c r="G1504" s="375" t="s">
        <v>16</v>
      </c>
      <c r="H1504" s="381">
        <v>1</v>
      </c>
      <c r="I1504" s="381">
        <v>1</v>
      </c>
      <c r="J1504" s="381">
        <v>1</v>
      </c>
      <c r="K1504" s="381">
        <v>4</v>
      </c>
      <c r="L1504" s="253">
        <v>2</v>
      </c>
      <c r="M1504" s="254">
        <f t="shared" si="56"/>
        <v>1.0673825127299523</v>
      </c>
      <c r="N1504" s="479"/>
    </row>
    <row r="1505" spans="1:14" hidden="1" x14ac:dyDescent="0.2">
      <c r="A1505" s="839" t="s">
        <v>460</v>
      </c>
      <c r="B1505" s="436" t="s">
        <v>488</v>
      </c>
      <c r="C1505" s="247" t="s">
        <v>26</v>
      </c>
      <c r="D1505" s="252" t="s">
        <v>135</v>
      </c>
      <c r="E1505" s="494">
        <v>8.9581024484536073E-2</v>
      </c>
      <c r="F1505" s="374" t="s">
        <v>679</v>
      </c>
      <c r="G1505" s="375" t="s">
        <v>16</v>
      </c>
      <c r="H1505" s="381">
        <v>1</v>
      </c>
      <c r="I1505" s="381">
        <v>1</v>
      </c>
      <c r="J1505" s="381">
        <v>1</v>
      </c>
      <c r="K1505" s="381">
        <v>4</v>
      </c>
      <c r="L1505" s="253">
        <v>2</v>
      </c>
      <c r="M1505" s="254">
        <f t="shared" si="56"/>
        <v>1.0673825127299523</v>
      </c>
      <c r="N1505" s="479"/>
    </row>
    <row r="1506" spans="1:14" hidden="1" x14ac:dyDescent="0.2">
      <c r="A1506" s="839" t="s">
        <v>460</v>
      </c>
      <c r="B1506" s="436" t="s">
        <v>450</v>
      </c>
      <c r="C1506" s="247" t="s">
        <v>26</v>
      </c>
      <c r="D1506" s="252" t="s">
        <v>135</v>
      </c>
      <c r="E1506" s="494">
        <v>6.7359374999999985E-2</v>
      </c>
      <c r="F1506" s="374" t="s">
        <v>679</v>
      </c>
      <c r="G1506" s="375" t="s">
        <v>16</v>
      </c>
      <c r="H1506" s="381">
        <v>1</v>
      </c>
      <c r="I1506" s="381">
        <v>1</v>
      </c>
      <c r="J1506" s="381">
        <v>1</v>
      </c>
      <c r="K1506" s="381">
        <v>4</v>
      </c>
      <c r="L1506" s="253">
        <v>2</v>
      </c>
      <c r="M1506" s="254">
        <f t="shared" si="56"/>
        <v>1.0673825127299523</v>
      </c>
      <c r="N1506" s="479"/>
    </row>
    <row r="1507" spans="1:14" hidden="1" x14ac:dyDescent="0.2">
      <c r="A1507" s="839" t="s">
        <v>460</v>
      </c>
      <c r="B1507" s="436" t="s">
        <v>661</v>
      </c>
      <c r="C1507" s="493" t="s">
        <v>26</v>
      </c>
      <c r="D1507" s="252" t="s">
        <v>135</v>
      </c>
      <c r="E1507" s="494">
        <v>0.30557345360824739</v>
      </c>
      <c r="F1507" s="374" t="s">
        <v>679</v>
      </c>
      <c r="G1507" s="375" t="s">
        <v>16</v>
      </c>
      <c r="H1507" s="381">
        <v>1</v>
      </c>
      <c r="I1507" s="381">
        <v>1</v>
      </c>
      <c r="J1507" s="381">
        <v>1</v>
      </c>
      <c r="K1507" s="381">
        <v>4</v>
      </c>
      <c r="L1507" s="253">
        <v>3</v>
      </c>
      <c r="M1507" s="254">
        <f t="shared" si="56"/>
        <v>1.4318190233667305</v>
      </c>
      <c r="N1507" s="479"/>
    </row>
    <row r="1508" spans="1:14" hidden="1" x14ac:dyDescent="0.2">
      <c r="A1508" s="839" t="s">
        <v>460</v>
      </c>
      <c r="B1508" s="436" t="s">
        <v>451</v>
      </c>
      <c r="C1508" s="247" t="s">
        <v>27</v>
      </c>
      <c r="D1508" s="252" t="s">
        <v>135</v>
      </c>
      <c r="E1508" s="494">
        <v>1.6656547894194129E-2</v>
      </c>
      <c r="F1508" s="374" t="s">
        <v>679</v>
      </c>
      <c r="G1508" s="375" t="s">
        <v>16</v>
      </c>
      <c r="H1508" s="381">
        <v>1</v>
      </c>
      <c r="I1508" s="381">
        <v>1</v>
      </c>
      <c r="J1508" s="381">
        <v>1</v>
      </c>
      <c r="K1508" s="381">
        <v>4</v>
      </c>
      <c r="L1508" s="253">
        <v>2</v>
      </c>
      <c r="M1508" s="254">
        <f t="shared" si="56"/>
        <v>1.0673825127299523</v>
      </c>
      <c r="N1508" s="479"/>
    </row>
    <row r="1509" spans="1:14" hidden="1" x14ac:dyDescent="0.2">
      <c r="A1509" s="839" t="s">
        <v>460</v>
      </c>
      <c r="B1509" s="436" t="s">
        <v>506</v>
      </c>
      <c r="C1509" s="247" t="s">
        <v>27</v>
      </c>
      <c r="D1509" s="252" t="s">
        <v>135</v>
      </c>
      <c r="E1509" s="494">
        <v>0.74562546749892533</v>
      </c>
      <c r="F1509" s="374" t="s">
        <v>679</v>
      </c>
      <c r="G1509" s="375" t="s">
        <v>16</v>
      </c>
      <c r="H1509" s="381">
        <v>1</v>
      </c>
      <c r="I1509" s="381">
        <v>1</v>
      </c>
      <c r="J1509" s="381">
        <v>1</v>
      </c>
      <c r="K1509" s="381">
        <v>4</v>
      </c>
      <c r="L1509" s="253">
        <v>2</v>
      </c>
      <c r="M1509" s="254">
        <f t="shared" si="56"/>
        <v>1.0673825127299523</v>
      </c>
      <c r="N1509" s="479"/>
    </row>
    <row r="1510" spans="1:14" hidden="1" x14ac:dyDescent="0.2">
      <c r="A1510" s="839" t="s">
        <v>460</v>
      </c>
      <c r="B1510" s="436" t="s">
        <v>488</v>
      </c>
      <c r="C1510" s="247" t="s">
        <v>27</v>
      </c>
      <c r="D1510" s="252" t="s">
        <v>135</v>
      </c>
      <c r="E1510" s="494">
        <v>5.1929237552487573E-2</v>
      </c>
      <c r="F1510" s="374" t="s">
        <v>679</v>
      </c>
      <c r="G1510" s="375" t="s">
        <v>16</v>
      </c>
      <c r="H1510" s="381">
        <v>1</v>
      </c>
      <c r="I1510" s="381">
        <v>1</v>
      </c>
      <c r="J1510" s="381">
        <v>1</v>
      </c>
      <c r="K1510" s="381">
        <v>4</v>
      </c>
      <c r="L1510" s="253">
        <v>2</v>
      </c>
      <c r="M1510" s="254">
        <f t="shared" si="56"/>
        <v>1.0673825127299523</v>
      </c>
      <c r="N1510" s="479"/>
    </row>
    <row r="1511" spans="1:14" hidden="1" x14ac:dyDescent="0.2">
      <c r="A1511" s="839" t="s">
        <v>460</v>
      </c>
      <c r="B1511" s="436" t="s">
        <v>450</v>
      </c>
      <c r="C1511" s="247" t="s">
        <v>27</v>
      </c>
      <c r="D1511" s="252" t="s">
        <v>135</v>
      </c>
      <c r="E1511" s="494">
        <v>0.16460588507203611</v>
      </c>
      <c r="F1511" s="374" t="s">
        <v>679</v>
      </c>
      <c r="G1511" s="375" t="s">
        <v>16</v>
      </c>
      <c r="H1511" s="381">
        <v>1</v>
      </c>
      <c r="I1511" s="381">
        <v>1</v>
      </c>
      <c r="J1511" s="381">
        <v>1</v>
      </c>
      <c r="K1511" s="381">
        <v>4</v>
      </c>
      <c r="L1511" s="253">
        <v>2</v>
      </c>
      <c r="M1511" s="254">
        <f t="shared" si="56"/>
        <v>1.0673825127299523</v>
      </c>
      <c r="N1511" s="479"/>
    </row>
    <row r="1512" spans="1:14" hidden="1" x14ac:dyDescent="0.2">
      <c r="A1512" s="839" t="s">
        <v>460</v>
      </c>
      <c r="B1512" s="436" t="s">
        <v>661</v>
      </c>
      <c r="C1512" s="493" t="s">
        <v>27</v>
      </c>
      <c r="D1512" s="252" t="s">
        <v>135</v>
      </c>
      <c r="E1512" s="494">
        <v>2.0203065047404468E-2</v>
      </c>
      <c r="F1512" s="374" t="s">
        <v>679</v>
      </c>
      <c r="G1512" s="375" t="s">
        <v>16</v>
      </c>
      <c r="H1512" s="381">
        <v>1</v>
      </c>
      <c r="I1512" s="381">
        <v>1</v>
      </c>
      <c r="J1512" s="381">
        <v>1</v>
      </c>
      <c r="K1512" s="381">
        <v>4</v>
      </c>
      <c r="L1512" s="253">
        <v>3</v>
      </c>
      <c r="M1512" s="254">
        <f t="shared" si="56"/>
        <v>1.4318190233667305</v>
      </c>
      <c r="N1512" s="479"/>
    </row>
    <row r="1513" spans="1:14" hidden="1" x14ac:dyDescent="0.2">
      <c r="A1513" s="839" t="s">
        <v>460</v>
      </c>
      <c r="B1513" s="436" t="s">
        <v>451</v>
      </c>
      <c r="C1513" s="247" t="s">
        <v>28</v>
      </c>
      <c r="D1513" s="252" t="s">
        <v>135</v>
      </c>
      <c r="E1513" s="494">
        <v>5.3935367415684228E-2</v>
      </c>
      <c r="F1513" s="374" t="s">
        <v>679</v>
      </c>
      <c r="G1513" s="375" t="s">
        <v>16</v>
      </c>
      <c r="H1513" s="381">
        <v>1</v>
      </c>
      <c r="I1513" s="381">
        <v>1</v>
      </c>
      <c r="J1513" s="381">
        <v>1</v>
      </c>
      <c r="K1513" s="381">
        <v>4</v>
      </c>
      <c r="L1513" s="253">
        <v>2</v>
      </c>
      <c r="M1513" s="254">
        <f t="shared" si="56"/>
        <v>1.0673825127299523</v>
      </c>
      <c r="N1513" s="479"/>
    </row>
    <row r="1514" spans="1:14" hidden="1" x14ac:dyDescent="0.2">
      <c r="A1514" s="839" t="s">
        <v>460</v>
      </c>
      <c r="B1514" s="436" t="s">
        <v>506</v>
      </c>
      <c r="C1514" s="247" t="s">
        <v>28</v>
      </c>
      <c r="D1514" s="252" t="s">
        <v>135</v>
      </c>
      <c r="E1514" s="494">
        <v>0.60484662030445902</v>
      </c>
      <c r="F1514" s="374" t="s">
        <v>679</v>
      </c>
      <c r="G1514" s="375" t="s">
        <v>16</v>
      </c>
      <c r="H1514" s="381">
        <v>1</v>
      </c>
      <c r="I1514" s="381">
        <v>1</v>
      </c>
      <c r="J1514" s="381">
        <v>1</v>
      </c>
      <c r="K1514" s="381">
        <v>4</v>
      </c>
      <c r="L1514" s="253">
        <v>2</v>
      </c>
      <c r="M1514" s="254">
        <f t="shared" si="56"/>
        <v>1.0673825127299523</v>
      </c>
      <c r="N1514" s="479"/>
    </row>
    <row r="1515" spans="1:14" hidden="1" x14ac:dyDescent="0.2">
      <c r="A1515" s="839" t="s">
        <v>460</v>
      </c>
      <c r="B1515" s="436" t="s">
        <v>488</v>
      </c>
      <c r="C1515" s="247" t="s">
        <v>28</v>
      </c>
      <c r="D1515" s="252" t="s">
        <v>135</v>
      </c>
      <c r="E1515" s="494">
        <v>0.2879763367373141</v>
      </c>
      <c r="F1515" s="374" t="s">
        <v>679</v>
      </c>
      <c r="G1515" s="375" t="s">
        <v>16</v>
      </c>
      <c r="H1515" s="381">
        <v>1</v>
      </c>
      <c r="I1515" s="381">
        <v>1</v>
      </c>
      <c r="J1515" s="381">
        <v>1</v>
      </c>
      <c r="K1515" s="381">
        <v>4</v>
      </c>
      <c r="L1515" s="253">
        <v>2</v>
      </c>
      <c r="M1515" s="254">
        <f t="shared" si="56"/>
        <v>1.0673825127299523</v>
      </c>
      <c r="N1515" s="479"/>
    </row>
    <row r="1516" spans="1:14" hidden="1" x14ac:dyDescent="0.2">
      <c r="A1516" s="839" t="s">
        <v>460</v>
      </c>
      <c r="B1516" s="436" t="s">
        <v>450</v>
      </c>
      <c r="C1516" s="247" t="s">
        <v>28</v>
      </c>
      <c r="D1516" s="252" t="s">
        <v>135</v>
      </c>
      <c r="E1516" s="494">
        <v>1.444697341491542E-2</v>
      </c>
      <c r="F1516" s="374" t="s">
        <v>679</v>
      </c>
      <c r="G1516" s="375" t="s">
        <v>16</v>
      </c>
      <c r="H1516" s="381">
        <v>1</v>
      </c>
      <c r="I1516" s="381">
        <v>1</v>
      </c>
      <c r="J1516" s="381">
        <v>1</v>
      </c>
      <c r="K1516" s="381">
        <v>4</v>
      </c>
      <c r="L1516" s="253">
        <v>2</v>
      </c>
      <c r="M1516" s="254">
        <f t="shared" si="56"/>
        <v>1.0673825127299523</v>
      </c>
      <c r="N1516" s="479"/>
    </row>
    <row r="1517" spans="1:14" hidden="1" x14ac:dyDescent="0.2">
      <c r="A1517" s="839" t="s">
        <v>460</v>
      </c>
      <c r="B1517" s="436" t="s">
        <v>661</v>
      </c>
      <c r="C1517" s="493" t="s">
        <v>28</v>
      </c>
      <c r="D1517" s="252" t="s">
        <v>135</v>
      </c>
      <c r="E1517" s="494">
        <v>3.686843900563852E-2</v>
      </c>
      <c r="F1517" s="374" t="s">
        <v>679</v>
      </c>
      <c r="G1517" s="375" t="s">
        <v>16</v>
      </c>
      <c r="H1517" s="381">
        <v>1</v>
      </c>
      <c r="I1517" s="381">
        <v>1</v>
      </c>
      <c r="J1517" s="381">
        <v>1</v>
      </c>
      <c r="K1517" s="381">
        <v>4</v>
      </c>
      <c r="L1517" s="253">
        <v>3</v>
      </c>
      <c r="M1517" s="254">
        <f t="shared" si="56"/>
        <v>1.4318190233667305</v>
      </c>
      <c r="N1517" s="479"/>
    </row>
    <row r="1518" spans="1:14" hidden="1" x14ac:dyDescent="0.2">
      <c r="A1518" s="839" t="s">
        <v>460</v>
      </c>
      <c r="B1518" s="436" t="s">
        <v>451</v>
      </c>
      <c r="C1518" s="247" t="s">
        <v>30</v>
      </c>
      <c r="D1518" s="252" t="s">
        <v>135</v>
      </c>
      <c r="E1518" s="494">
        <v>7.3514218041921653E-2</v>
      </c>
      <c r="F1518" s="374" t="s">
        <v>679</v>
      </c>
      <c r="G1518" s="375" t="s">
        <v>16</v>
      </c>
      <c r="H1518" s="381">
        <v>1</v>
      </c>
      <c r="I1518" s="381">
        <v>1</v>
      </c>
      <c r="J1518" s="381">
        <v>1</v>
      </c>
      <c r="K1518" s="381">
        <v>4</v>
      </c>
      <c r="L1518" s="253">
        <v>2</v>
      </c>
      <c r="M1518" s="254">
        <f t="shared" si="56"/>
        <v>1.0673825127299523</v>
      </c>
      <c r="N1518" s="479"/>
    </row>
    <row r="1519" spans="1:14" hidden="1" x14ac:dyDescent="0.2">
      <c r="A1519" s="839" t="s">
        <v>460</v>
      </c>
      <c r="B1519" s="436" t="s">
        <v>506</v>
      </c>
      <c r="C1519" s="247" t="s">
        <v>30</v>
      </c>
      <c r="D1519" s="252" t="s">
        <v>135</v>
      </c>
      <c r="E1519" s="494">
        <v>0.56006226639832413</v>
      </c>
      <c r="F1519" s="374" t="s">
        <v>679</v>
      </c>
      <c r="G1519" s="375" t="s">
        <v>16</v>
      </c>
      <c r="H1519" s="381">
        <v>1</v>
      </c>
      <c r="I1519" s="381">
        <v>1</v>
      </c>
      <c r="J1519" s="381">
        <v>1</v>
      </c>
      <c r="K1519" s="381">
        <v>4</v>
      </c>
      <c r="L1519" s="253">
        <v>2</v>
      </c>
      <c r="M1519" s="254">
        <f t="shared" si="56"/>
        <v>1.0673825127299523</v>
      </c>
      <c r="N1519" s="479"/>
    </row>
    <row r="1520" spans="1:14" hidden="1" x14ac:dyDescent="0.2">
      <c r="A1520" s="839" t="s">
        <v>460</v>
      </c>
      <c r="B1520" s="436" t="s">
        <v>488</v>
      </c>
      <c r="C1520" s="247" t="s">
        <v>30</v>
      </c>
      <c r="D1520" s="252" t="s">
        <v>135</v>
      </c>
      <c r="E1520" s="494">
        <v>0.31243542667816698</v>
      </c>
      <c r="F1520" s="374" t="s">
        <v>679</v>
      </c>
      <c r="G1520" s="375" t="s">
        <v>16</v>
      </c>
      <c r="H1520" s="381">
        <v>1</v>
      </c>
      <c r="I1520" s="381">
        <v>1</v>
      </c>
      <c r="J1520" s="381">
        <v>1</v>
      </c>
      <c r="K1520" s="381">
        <v>4</v>
      </c>
      <c r="L1520" s="253">
        <v>2</v>
      </c>
      <c r="M1520" s="254">
        <f t="shared" si="56"/>
        <v>1.0673825127299523</v>
      </c>
      <c r="N1520" s="479"/>
    </row>
    <row r="1521" spans="1:14" hidden="1" x14ac:dyDescent="0.2">
      <c r="A1521" s="839" t="s">
        <v>460</v>
      </c>
      <c r="B1521" s="436" t="s">
        <v>450</v>
      </c>
      <c r="C1521" s="247" t="s">
        <v>30</v>
      </c>
      <c r="D1521" s="252" t="s">
        <v>135</v>
      </c>
      <c r="E1521" s="494">
        <v>2.2247723881107871E-2</v>
      </c>
      <c r="F1521" s="374" t="s">
        <v>679</v>
      </c>
      <c r="G1521" s="375" t="s">
        <v>16</v>
      </c>
      <c r="H1521" s="381">
        <v>1</v>
      </c>
      <c r="I1521" s="381">
        <v>1</v>
      </c>
      <c r="J1521" s="381">
        <v>1</v>
      </c>
      <c r="K1521" s="381">
        <v>4</v>
      </c>
      <c r="L1521" s="253">
        <v>2</v>
      </c>
      <c r="M1521" s="254">
        <f t="shared" si="56"/>
        <v>1.0673825127299523</v>
      </c>
      <c r="N1521" s="479"/>
    </row>
    <row r="1522" spans="1:14" hidden="1" x14ac:dyDescent="0.2">
      <c r="A1522" s="839" t="s">
        <v>460</v>
      </c>
      <c r="B1522" s="436" t="s">
        <v>661</v>
      </c>
      <c r="C1522" s="493" t="s">
        <v>30</v>
      </c>
      <c r="D1522" s="252" t="s">
        <v>135</v>
      </c>
      <c r="E1522" s="494">
        <v>3.2707657343136048E-2</v>
      </c>
      <c r="F1522" s="374" t="s">
        <v>679</v>
      </c>
      <c r="G1522" s="375" t="s">
        <v>16</v>
      </c>
      <c r="H1522" s="381">
        <v>1</v>
      </c>
      <c r="I1522" s="381">
        <v>1</v>
      </c>
      <c r="J1522" s="381">
        <v>1</v>
      </c>
      <c r="K1522" s="381">
        <v>4</v>
      </c>
      <c r="L1522" s="253">
        <v>3</v>
      </c>
      <c r="M1522" s="254">
        <f t="shared" si="56"/>
        <v>1.4318190233667305</v>
      </c>
      <c r="N1522" s="479"/>
    </row>
    <row r="1523" spans="1:14" hidden="1" x14ac:dyDescent="0.2">
      <c r="A1523" s="839" t="s">
        <v>460</v>
      </c>
      <c r="B1523" s="436" t="s">
        <v>451</v>
      </c>
      <c r="C1523" s="247" t="s">
        <v>32</v>
      </c>
      <c r="D1523" s="252" t="s">
        <v>135</v>
      </c>
      <c r="E1523" s="494">
        <v>2.6215655048682649E-2</v>
      </c>
      <c r="F1523" s="374" t="s">
        <v>679</v>
      </c>
      <c r="G1523" s="375" t="s">
        <v>16</v>
      </c>
      <c r="H1523" s="381">
        <v>1</v>
      </c>
      <c r="I1523" s="381">
        <v>1</v>
      </c>
      <c r="J1523" s="381">
        <v>1</v>
      </c>
      <c r="K1523" s="381">
        <v>4</v>
      </c>
      <c r="L1523" s="253">
        <v>2</v>
      </c>
      <c r="M1523" s="254">
        <f t="shared" si="56"/>
        <v>1.0673825127299523</v>
      </c>
      <c r="N1523" s="479"/>
    </row>
    <row r="1524" spans="1:14" hidden="1" x14ac:dyDescent="0.2">
      <c r="A1524" s="839" t="s">
        <v>460</v>
      </c>
      <c r="B1524" s="436" t="s">
        <v>506</v>
      </c>
      <c r="C1524" s="247" t="s">
        <v>32</v>
      </c>
      <c r="D1524" s="252" t="s">
        <v>135</v>
      </c>
      <c r="E1524" s="494">
        <v>0.48105727014332639</v>
      </c>
      <c r="F1524" s="374" t="s">
        <v>679</v>
      </c>
      <c r="G1524" s="375" t="s">
        <v>16</v>
      </c>
      <c r="H1524" s="381">
        <v>1</v>
      </c>
      <c r="I1524" s="381">
        <v>1</v>
      </c>
      <c r="J1524" s="381">
        <v>1</v>
      </c>
      <c r="K1524" s="381">
        <v>4</v>
      </c>
      <c r="L1524" s="253">
        <v>2</v>
      </c>
      <c r="M1524" s="254">
        <f t="shared" si="56"/>
        <v>1.0673825127299523</v>
      </c>
      <c r="N1524" s="479"/>
    </row>
    <row r="1525" spans="1:14" hidden="1" x14ac:dyDescent="0.2">
      <c r="A1525" s="839" t="s">
        <v>460</v>
      </c>
      <c r="B1525" s="436" t="s">
        <v>488</v>
      </c>
      <c r="C1525" s="247" t="s">
        <v>32</v>
      </c>
      <c r="D1525" s="252" t="s">
        <v>135</v>
      </c>
      <c r="E1525" s="494">
        <v>0.13435523212449851</v>
      </c>
      <c r="F1525" s="374" t="s">
        <v>679</v>
      </c>
      <c r="G1525" s="375" t="s">
        <v>16</v>
      </c>
      <c r="H1525" s="381">
        <v>1</v>
      </c>
      <c r="I1525" s="381">
        <v>1</v>
      </c>
      <c r="J1525" s="381">
        <v>1</v>
      </c>
      <c r="K1525" s="381">
        <v>4</v>
      </c>
      <c r="L1525" s="253">
        <v>2</v>
      </c>
      <c r="M1525" s="254">
        <f>IF( OR( ISBLANK(H1525),ISBLANK(I1525), ISBLANK(J1525), ISBLANK(K1525), ISBLANK(L1525) ), "", 1.5*SQRT(   EXP(2.21*(H1525-1)) + EXP(2.21*(I1525-1)) + EXP(2.21*(J1525-1)) + EXP(2.21*(K1525-1)) + EXP(2.21*L1525)   )/100*2.45 )</f>
        <v>1.0673825127299523</v>
      </c>
      <c r="N1525" s="479"/>
    </row>
    <row r="1526" spans="1:14" hidden="1" x14ac:dyDescent="0.2">
      <c r="A1526" s="839" t="s">
        <v>460</v>
      </c>
      <c r="B1526" s="436" t="s">
        <v>450</v>
      </c>
      <c r="C1526" s="247" t="s">
        <v>32</v>
      </c>
      <c r="D1526" s="252" t="s">
        <v>135</v>
      </c>
      <c r="E1526" s="494">
        <v>1.245243614812426E-2</v>
      </c>
      <c r="F1526" s="374" t="s">
        <v>679</v>
      </c>
      <c r="G1526" s="375" t="s">
        <v>16</v>
      </c>
      <c r="H1526" s="381">
        <v>1</v>
      </c>
      <c r="I1526" s="381">
        <v>1</v>
      </c>
      <c r="J1526" s="381">
        <v>1</v>
      </c>
      <c r="K1526" s="381">
        <v>4</v>
      </c>
      <c r="L1526" s="253">
        <v>2</v>
      </c>
      <c r="M1526" s="254">
        <f t="shared" ref="M1526:M1557" si="57">IF( OR( ISBLANK(H1526),ISBLANK(I1526), ISBLANK(J1526), ISBLANK(K1526), ISBLANK(L1526) ), "", 1.5*SQRT( EXP(2.21*(H1526-1)) + EXP(2.21*(I1526-1)) + EXP(2.21*(J1526-1)) + EXP(2.21*(K1526-1)) + EXP(2.21*L1526) )/100*2.45 )</f>
        <v>1.0673825127299523</v>
      </c>
      <c r="N1526" s="479"/>
    </row>
    <row r="1527" spans="1:14" hidden="1" x14ac:dyDescent="0.2">
      <c r="A1527" s="839" t="s">
        <v>460</v>
      </c>
      <c r="B1527" s="436" t="s">
        <v>661</v>
      </c>
      <c r="C1527" s="493" t="s">
        <v>32</v>
      </c>
      <c r="D1527" s="252" t="s">
        <v>135</v>
      </c>
      <c r="E1527" s="494">
        <v>0.34460862378293389</v>
      </c>
      <c r="F1527" s="374" t="s">
        <v>679</v>
      </c>
      <c r="G1527" s="375" t="s">
        <v>16</v>
      </c>
      <c r="H1527" s="381">
        <v>1</v>
      </c>
      <c r="I1527" s="381">
        <v>1</v>
      </c>
      <c r="J1527" s="381">
        <v>1</v>
      </c>
      <c r="K1527" s="381">
        <v>4</v>
      </c>
      <c r="L1527" s="253">
        <v>3</v>
      </c>
      <c r="M1527" s="254">
        <f t="shared" si="57"/>
        <v>1.4318190233667305</v>
      </c>
      <c r="N1527" s="479"/>
    </row>
    <row r="1528" spans="1:14" hidden="1" x14ac:dyDescent="0.2">
      <c r="A1528" s="839" t="s">
        <v>460</v>
      </c>
      <c r="B1528" s="436" t="s">
        <v>451</v>
      </c>
      <c r="C1528" s="247" t="s">
        <v>34</v>
      </c>
      <c r="D1528" s="252" t="s">
        <v>135</v>
      </c>
      <c r="E1528" s="494">
        <v>0.04</v>
      </c>
      <c r="F1528" s="374" t="s">
        <v>679</v>
      </c>
      <c r="G1528" s="251" t="s">
        <v>16</v>
      </c>
      <c r="H1528" s="381">
        <v>1</v>
      </c>
      <c r="I1528" s="381">
        <v>1</v>
      </c>
      <c r="J1528" s="381">
        <v>1</v>
      </c>
      <c r="K1528" s="381">
        <v>4</v>
      </c>
      <c r="L1528" s="253">
        <v>2</v>
      </c>
      <c r="M1528" s="254">
        <f t="shared" si="57"/>
        <v>1.0673825127299523</v>
      </c>
      <c r="N1528" s="479"/>
    </row>
    <row r="1529" spans="1:14" hidden="1" x14ac:dyDescent="0.2">
      <c r="A1529" s="839" t="s">
        <v>460</v>
      </c>
      <c r="B1529" s="436" t="s">
        <v>506</v>
      </c>
      <c r="C1529" s="247" t="s">
        <v>34</v>
      </c>
      <c r="D1529" s="252" t="s">
        <v>135</v>
      </c>
      <c r="E1529" s="494">
        <v>0.49099999999999999</v>
      </c>
      <c r="F1529" s="374" t="s">
        <v>679</v>
      </c>
      <c r="G1529" s="251" t="s">
        <v>16</v>
      </c>
      <c r="H1529" s="381">
        <v>1</v>
      </c>
      <c r="I1529" s="381">
        <v>1</v>
      </c>
      <c r="J1529" s="381">
        <v>1</v>
      </c>
      <c r="K1529" s="381">
        <v>4</v>
      </c>
      <c r="L1529" s="253">
        <v>2</v>
      </c>
      <c r="M1529" s="254">
        <f t="shared" si="57"/>
        <v>1.0673825127299523</v>
      </c>
      <c r="N1529" s="479"/>
    </row>
    <row r="1530" spans="1:14" hidden="1" x14ac:dyDescent="0.2">
      <c r="A1530" s="839" t="s">
        <v>460</v>
      </c>
      <c r="B1530" s="436" t="s">
        <v>488</v>
      </c>
      <c r="C1530" s="247" t="s">
        <v>34</v>
      </c>
      <c r="D1530" s="252" t="s">
        <v>135</v>
      </c>
      <c r="E1530" s="494">
        <v>0.435</v>
      </c>
      <c r="F1530" s="374" t="s">
        <v>679</v>
      </c>
      <c r="G1530" s="251" t="s">
        <v>16</v>
      </c>
      <c r="H1530" s="381">
        <v>1</v>
      </c>
      <c r="I1530" s="381">
        <v>1</v>
      </c>
      <c r="J1530" s="381">
        <v>1</v>
      </c>
      <c r="K1530" s="381">
        <v>4</v>
      </c>
      <c r="L1530" s="253">
        <v>2</v>
      </c>
      <c r="M1530" s="254">
        <f t="shared" si="57"/>
        <v>1.0673825127299523</v>
      </c>
      <c r="N1530" s="479"/>
    </row>
    <row r="1531" spans="1:14" hidden="1" x14ac:dyDescent="0.2">
      <c r="A1531" s="839" t="s">
        <v>460</v>
      </c>
      <c r="B1531" s="436" t="s">
        <v>450</v>
      </c>
      <c r="C1531" s="247" t="s">
        <v>34</v>
      </c>
      <c r="D1531" s="252" t="s">
        <v>135</v>
      </c>
      <c r="E1531" s="494">
        <v>3.4000000000000002E-2</v>
      </c>
      <c r="F1531" s="374" t="s">
        <v>679</v>
      </c>
      <c r="G1531" s="251" t="s">
        <v>16</v>
      </c>
      <c r="H1531" s="381">
        <v>1</v>
      </c>
      <c r="I1531" s="381">
        <v>1</v>
      </c>
      <c r="J1531" s="381">
        <v>1</v>
      </c>
      <c r="K1531" s="381">
        <v>4</v>
      </c>
      <c r="L1531" s="253">
        <v>2</v>
      </c>
      <c r="M1531" s="254">
        <f t="shared" si="57"/>
        <v>1.0673825127299523</v>
      </c>
      <c r="N1531" s="479"/>
    </row>
    <row r="1532" spans="1:14" hidden="1" x14ac:dyDescent="0.2">
      <c r="A1532" s="839" t="s">
        <v>460</v>
      </c>
      <c r="B1532" s="436" t="s">
        <v>661</v>
      </c>
      <c r="C1532" s="493" t="s">
        <v>34</v>
      </c>
      <c r="D1532" s="252" t="s">
        <v>135</v>
      </c>
      <c r="E1532" s="781">
        <v>0</v>
      </c>
      <c r="F1532" s="374" t="s">
        <v>679</v>
      </c>
      <c r="G1532" s="782" t="s">
        <v>16</v>
      </c>
      <c r="H1532" s="781"/>
      <c r="I1532" s="781"/>
      <c r="J1532" s="781"/>
      <c r="K1532" s="781"/>
      <c r="L1532" s="783"/>
      <c r="M1532" s="784" t="str">
        <f t="shared" si="57"/>
        <v/>
      </c>
      <c r="N1532" s="479"/>
    </row>
    <row r="1533" spans="1:14" hidden="1" x14ac:dyDescent="0.2">
      <c r="A1533" s="839" t="s">
        <v>460</v>
      </c>
      <c r="B1533" s="436" t="s">
        <v>451</v>
      </c>
      <c r="C1533" s="247" t="s">
        <v>36</v>
      </c>
      <c r="D1533" s="252" t="s">
        <v>135</v>
      </c>
      <c r="E1533" s="494">
        <v>3.7993411950721402E-2</v>
      </c>
      <c r="F1533" s="374" t="s">
        <v>679</v>
      </c>
      <c r="G1533" s="251" t="s">
        <v>16</v>
      </c>
      <c r="H1533" s="381">
        <v>1</v>
      </c>
      <c r="I1533" s="381">
        <v>1</v>
      </c>
      <c r="J1533" s="381">
        <v>1</v>
      </c>
      <c r="K1533" s="381">
        <v>4</v>
      </c>
      <c r="L1533" s="253">
        <v>2</v>
      </c>
      <c r="M1533" s="254">
        <f t="shared" si="57"/>
        <v>1.0673825127299523</v>
      </c>
      <c r="N1533" s="479"/>
    </row>
    <row r="1534" spans="1:14" hidden="1" x14ac:dyDescent="0.2">
      <c r="A1534" s="839" t="s">
        <v>460</v>
      </c>
      <c r="B1534" s="436" t="s">
        <v>506</v>
      </c>
      <c r="C1534" s="247" t="s">
        <v>36</v>
      </c>
      <c r="D1534" s="252" t="s">
        <v>135</v>
      </c>
      <c r="E1534" s="494">
        <v>0.75263139864286199</v>
      </c>
      <c r="F1534" s="374" t="s">
        <v>679</v>
      </c>
      <c r="G1534" s="251" t="s">
        <v>16</v>
      </c>
      <c r="H1534" s="381">
        <v>1</v>
      </c>
      <c r="I1534" s="381">
        <v>1</v>
      </c>
      <c r="J1534" s="381">
        <v>1</v>
      </c>
      <c r="K1534" s="381">
        <v>4</v>
      </c>
      <c r="L1534" s="253">
        <v>2</v>
      </c>
      <c r="M1534" s="254">
        <f t="shared" si="57"/>
        <v>1.0673825127299523</v>
      </c>
      <c r="N1534" s="479"/>
    </row>
    <row r="1535" spans="1:14" hidden="1" x14ac:dyDescent="0.2">
      <c r="A1535" s="839" t="s">
        <v>460</v>
      </c>
      <c r="B1535" s="436" t="s">
        <v>488</v>
      </c>
      <c r="C1535" s="247" t="s">
        <v>36</v>
      </c>
      <c r="D1535" s="252" t="s">
        <v>135</v>
      </c>
      <c r="E1535" s="494">
        <v>4.9753277554516112E-2</v>
      </c>
      <c r="F1535" s="374" t="s">
        <v>679</v>
      </c>
      <c r="G1535" s="251" t="s">
        <v>16</v>
      </c>
      <c r="H1535" s="381">
        <v>1</v>
      </c>
      <c r="I1535" s="381">
        <v>1</v>
      </c>
      <c r="J1535" s="381">
        <v>1</v>
      </c>
      <c r="K1535" s="381">
        <v>4</v>
      </c>
      <c r="L1535" s="253">
        <v>2</v>
      </c>
      <c r="M1535" s="254">
        <f t="shared" si="57"/>
        <v>1.0673825127299523</v>
      </c>
      <c r="N1535" s="479"/>
    </row>
    <row r="1536" spans="1:14" hidden="1" x14ac:dyDescent="0.2">
      <c r="A1536" s="839" t="s">
        <v>460</v>
      </c>
      <c r="B1536" s="436" t="s">
        <v>450</v>
      </c>
      <c r="C1536" s="247" t="s">
        <v>36</v>
      </c>
      <c r="D1536" s="252" t="s">
        <v>135</v>
      </c>
      <c r="E1536" s="494">
        <v>6.422695829764806E-2</v>
      </c>
      <c r="F1536" s="374" t="s">
        <v>679</v>
      </c>
      <c r="G1536" s="251" t="s">
        <v>16</v>
      </c>
      <c r="H1536" s="381">
        <v>1</v>
      </c>
      <c r="I1536" s="381">
        <v>1</v>
      </c>
      <c r="J1536" s="381">
        <v>1</v>
      </c>
      <c r="K1536" s="381">
        <v>4</v>
      </c>
      <c r="L1536" s="253">
        <v>2</v>
      </c>
      <c r="M1536" s="254">
        <f t="shared" si="57"/>
        <v>1.0673825127299523</v>
      </c>
      <c r="N1536" s="479"/>
    </row>
    <row r="1537" spans="1:14" hidden="1" x14ac:dyDescent="0.2">
      <c r="A1537" s="839" t="s">
        <v>460</v>
      </c>
      <c r="B1537" s="436" t="s">
        <v>661</v>
      </c>
      <c r="C1537" s="493" t="s">
        <v>36</v>
      </c>
      <c r="D1537" s="252" t="s">
        <v>135</v>
      </c>
      <c r="E1537" s="494">
        <v>9.5394953554252579E-2</v>
      </c>
      <c r="F1537" s="374" t="s">
        <v>679</v>
      </c>
      <c r="G1537" s="375" t="s">
        <v>16</v>
      </c>
      <c r="H1537" s="381">
        <v>1</v>
      </c>
      <c r="I1537" s="381">
        <v>1</v>
      </c>
      <c r="J1537" s="381">
        <v>1</v>
      </c>
      <c r="K1537" s="381">
        <v>4</v>
      </c>
      <c r="L1537" s="253">
        <v>3</v>
      </c>
      <c r="M1537" s="254">
        <f t="shared" si="57"/>
        <v>1.4318190233667305</v>
      </c>
      <c r="N1537" s="479"/>
    </row>
    <row r="1538" spans="1:14" hidden="1" x14ac:dyDescent="0.2">
      <c r="A1538" s="839" t="s">
        <v>460</v>
      </c>
      <c r="B1538" s="436" t="s">
        <v>451</v>
      </c>
      <c r="C1538" s="247" t="s">
        <v>37</v>
      </c>
      <c r="D1538" s="252" t="s">
        <v>135</v>
      </c>
      <c r="E1538" s="494">
        <v>5.8531780134177827E-2</v>
      </c>
      <c r="F1538" s="374" t="s">
        <v>679</v>
      </c>
      <c r="G1538" s="251" t="s">
        <v>16</v>
      </c>
      <c r="H1538" s="381">
        <v>1</v>
      </c>
      <c r="I1538" s="381">
        <v>1</v>
      </c>
      <c r="J1538" s="381">
        <v>1</v>
      </c>
      <c r="K1538" s="381">
        <v>4</v>
      </c>
      <c r="L1538" s="253">
        <v>2</v>
      </c>
      <c r="M1538" s="254">
        <f t="shared" si="57"/>
        <v>1.0673825127299523</v>
      </c>
      <c r="N1538" s="479"/>
    </row>
    <row r="1539" spans="1:14" hidden="1" x14ac:dyDescent="0.2">
      <c r="A1539" s="839" t="s">
        <v>460</v>
      </c>
      <c r="B1539" s="436" t="s">
        <v>506</v>
      </c>
      <c r="C1539" s="247" t="s">
        <v>37</v>
      </c>
      <c r="D1539" s="252" t="s">
        <v>135</v>
      </c>
      <c r="E1539" s="494">
        <v>0.53122024697534109</v>
      </c>
      <c r="F1539" s="374" t="s">
        <v>679</v>
      </c>
      <c r="G1539" s="251" t="s">
        <v>16</v>
      </c>
      <c r="H1539" s="381">
        <v>1</v>
      </c>
      <c r="I1539" s="381">
        <v>1</v>
      </c>
      <c r="J1539" s="381">
        <v>1</v>
      </c>
      <c r="K1539" s="381">
        <v>4</v>
      </c>
      <c r="L1539" s="253">
        <v>2</v>
      </c>
      <c r="M1539" s="254">
        <f t="shared" si="57"/>
        <v>1.0673825127299523</v>
      </c>
      <c r="N1539" s="479"/>
    </row>
    <row r="1540" spans="1:14" hidden="1" x14ac:dyDescent="0.2">
      <c r="A1540" s="839" t="s">
        <v>460</v>
      </c>
      <c r="B1540" s="436" t="s">
        <v>488</v>
      </c>
      <c r="C1540" s="247" t="s">
        <v>37</v>
      </c>
      <c r="D1540" s="252" t="s">
        <v>135</v>
      </c>
      <c r="E1540" s="494">
        <v>0.2811299136747632</v>
      </c>
      <c r="F1540" s="374" t="s">
        <v>679</v>
      </c>
      <c r="G1540" s="251" t="s">
        <v>16</v>
      </c>
      <c r="H1540" s="381">
        <v>1</v>
      </c>
      <c r="I1540" s="381">
        <v>1</v>
      </c>
      <c r="J1540" s="381">
        <v>1</v>
      </c>
      <c r="K1540" s="381">
        <v>4</v>
      </c>
      <c r="L1540" s="253">
        <v>2</v>
      </c>
      <c r="M1540" s="254">
        <f t="shared" si="57"/>
        <v>1.0673825127299523</v>
      </c>
      <c r="N1540" s="479"/>
    </row>
    <row r="1541" spans="1:14" hidden="1" x14ac:dyDescent="0.2">
      <c r="A1541" s="839" t="s">
        <v>460</v>
      </c>
      <c r="B1541" s="436" t="s">
        <v>450</v>
      </c>
      <c r="C1541" s="247" t="s">
        <v>37</v>
      </c>
      <c r="D1541" s="252" t="s">
        <v>135</v>
      </c>
      <c r="E1541" s="494">
        <v>1.773690307096298E-2</v>
      </c>
      <c r="F1541" s="374" t="s">
        <v>679</v>
      </c>
      <c r="G1541" s="251" t="s">
        <v>16</v>
      </c>
      <c r="H1541" s="381">
        <v>1</v>
      </c>
      <c r="I1541" s="381">
        <v>1</v>
      </c>
      <c r="J1541" s="381">
        <v>1</v>
      </c>
      <c r="K1541" s="381">
        <v>4</v>
      </c>
      <c r="L1541" s="253">
        <v>2</v>
      </c>
      <c r="M1541" s="254">
        <f t="shared" si="57"/>
        <v>1.0673825127299523</v>
      </c>
      <c r="N1541" s="479"/>
    </row>
    <row r="1542" spans="1:14" hidden="1" x14ac:dyDescent="0.2">
      <c r="A1542" s="839" t="s">
        <v>460</v>
      </c>
      <c r="B1542" s="436" t="s">
        <v>661</v>
      </c>
      <c r="C1542" s="493" t="s">
        <v>37</v>
      </c>
      <c r="D1542" s="252" t="s">
        <v>135</v>
      </c>
      <c r="E1542" s="494">
        <v>0.1131548464518511</v>
      </c>
      <c r="F1542" s="374" t="s">
        <v>679</v>
      </c>
      <c r="G1542" s="375" t="s">
        <v>16</v>
      </c>
      <c r="H1542" s="381">
        <v>1</v>
      </c>
      <c r="I1542" s="381">
        <v>1</v>
      </c>
      <c r="J1542" s="381">
        <v>1</v>
      </c>
      <c r="K1542" s="381">
        <v>4</v>
      </c>
      <c r="L1542" s="253">
        <v>3</v>
      </c>
      <c r="M1542" s="254">
        <f t="shared" si="57"/>
        <v>1.4318190233667305</v>
      </c>
      <c r="N1542" s="479"/>
    </row>
    <row r="1543" spans="1:14" hidden="1" x14ac:dyDescent="0.2">
      <c r="A1543" s="839" t="s">
        <v>460</v>
      </c>
      <c r="B1543" s="436" t="s">
        <v>451</v>
      </c>
      <c r="C1543" s="247" t="s">
        <v>39</v>
      </c>
      <c r="D1543" s="252" t="s">
        <v>135</v>
      </c>
      <c r="E1543" s="494">
        <v>1.6345921473492279E-2</v>
      </c>
      <c r="F1543" s="374" t="s">
        <v>679</v>
      </c>
      <c r="G1543" s="251" t="s">
        <v>16</v>
      </c>
      <c r="H1543" s="381">
        <v>1</v>
      </c>
      <c r="I1543" s="381">
        <v>1</v>
      </c>
      <c r="J1543" s="381">
        <v>1</v>
      </c>
      <c r="K1543" s="381">
        <v>4</v>
      </c>
      <c r="L1543" s="253">
        <v>2</v>
      </c>
      <c r="M1543" s="254">
        <f t="shared" si="57"/>
        <v>1.0673825127299523</v>
      </c>
      <c r="N1543" s="479"/>
    </row>
    <row r="1544" spans="1:14" hidden="1" x14ac:dyDescent="0.2">
      <c r="A1544" s="839" t="s">
        <v>460</v>
      </c>
      <c r="B1544" s="436" t="s">
        <v>506</v>
      </c>
      <c r="C1544" s="247" t="s">
        <v>39</v>
      </c>
      <c r="D1544" s="252" t="s">
        <v>135</v>
      </c>
      <c r="E1544" s="494">
        <v>0.7432586646476198</v>
      </c>
      <c r="F1544" s="374" t="s">
        <v>679</v>
      </c>
      <c r="G1544" s="251" t="s">
        <v>16</v>
      </c>
      <c r="H1544" s="381">
        <v>1</v>
      </c>
      <c r="I1544" s="381">
        <v>1</v>
      </c>
      <c r="J1544" s="381">
        <v>1</v>
      </c>
      <c r="K1544" s="381">
        <v>4</v>
      </c>
      <c r="L1544" s="253">
        <v>2</v>
      </c>
      <c r="M1544" s="254">
        <f t="shared" si="57"/>
        <v>1.0673825127299523</v>
      </c>
      <c r="N1544" s="479"/>
    </row>
    <row r="1545" spans="1:14" hidden="1" x14ac:dyDescent="0.2">
      <c r="A1545" s="839" t="s">
        <v>460</v>
      </c>
      <c r="B1545" s="436" t="s">
        <v>488</v>
      </c>
      <c r="C1545" s="247" t="s">
        <v>39</v>
      </c>
      <c r="D1545" s="252" t="s">
        <v>135</v>
      </c>
      <c r="E1545" s="494">
        <v>0.14807481805398889</v>
      </c>
      <c r="F1545" s="374" t="s">
        <v>679</v>
      </c>
      <c r="G1545" s="251" t="s">
        <v>16</v>
      </c>
      <c r="H1545" s="381">
        <v>1</v>
      </c>
      <c r="I1545" s="381">
        <v>1</v>
      </c>
      <c r="J1545" s="381">
        <v>1</v>
      </c>
      <c r="K1545" s="381">
        <v>4</v>
      </c>
      <c r="L1545" s="253">
        <v>2</v>
      </c>
      <c r="M1545" s="254">
        <f t="shared" si="57"/>
        <v>1.0673825127299523</v>
      </c>
      <c r="N1545" s="479"/>
    </row>
    <row r="1546" spans="1:14" hidden="1" x14ac:dyDescent="0.2">
      <c r="A1546" s="839" t="s">
        <v>460</v>
      </c>
      <c r="B1546" s="436" t="s">
        <v>450</v>
      </c>
      <c r="C1546" s="247" t="s">
        <v>39</v>
      </c>
      <c r="D1546" s="252" t="s">
        <v>135</v>
      </c>
      <c r="E1546" s="494">
        <v>5.2883863590710317E-2</v>
      </c>
      <c r="F1546" s="374" t="s">
        <v>679</v>
      </c>
      <c r="G1546" s="251" t="s">
        <v>16</v>
      </c>
      <c r="H1546" s="381">
        <v>1</v>
      </c>
      <c r="I1546" s="381">
        <v>1</v>
      </c>
      <c r="J1546" s="381">
        <v>1</v>
      </c>
      <c r="K1546" s="381">
        <v>4</v>
      </c>
      <c r="L1546" s="253">
        <v>2</v>
      </c>
      <c r="M1546" s="254">
        <f t="shared" si="57"/>
        <v>1.0673825127299523</v>
      </c>
      <c r="N1546" s="479"/>
    </row>
    <row r="1547" spans="1:14" hidden="1" x14ac:dyDescent="0.2">
      <c r="A1547" s="839" t="s">
        <v>460</v>
      </c>
      <c r="B1547" s="436" t="s">
        <v>661</v>
      </c>
      <c r="C1547" s="493" t="s">
        <v>39</v>
      </c>
      <c r="D1547" s="252" t="s">
        <v>135</v>
      </c>
      <c r="E1547" s="494">
        <v>3.8475207441630493E-2</v>
      </c>
      <c r="F1547" s="374" t="s">
        <v>679</v>
      </c>
      <c r="G1547" s="375" t="s">
        <v>16</v>
      </c>
      <c r="H1547" s="381">
        <v>1</v>
      </c>
      <c r="I1547" s="381">
        <v>1</v>
      </c>
      <c r="J1547" s="381">
        <v>1</v>
      </c>
      <c r="K1547" s="381">
        <v>4</v>
      </c>
      <c r="L1547" s="253">
        <v>3</v>
      </c>
      <c r="M1547" s="254">
        <f t="shared" si="57"/>
        <v>1.4318190233667305</v>
      </c>
      <c r="N1547" s="479"/>
    </row>
    <row r="1548" spans="1:14" hidden="1" x14ac:dyDescent="0.2">
      <c r="A1548" s="839" t="s">
        <v>460</v>
      </c>
      <c r="B1548" s="436" t="s">
        <v>451</v>
      </c>
      <c r="C1548" s="247" t="s">
        <v>40</v>
      </c>
      <c r="D1548" s="252" t="s">
        <v>135</v>
      </c>
      <c r="E1548" s="494">
        <v>2.085022110218249E-2</v>
      </c>
      <c r="F1548" s="374" t="s">
        <v>679</v>
      </c>
      <c r="G1548" s="251" t="s">
        <v>16</v>
      </c>
      <c r="H1548" s="381">
        <v>1</v>
      </c>
      <c r="I1548" s="381">
        <v>1</v>
      </c>
      <c r="J1548" s="381">
        <v>1</v>
      </c>
      <c r="K1548" s="381">
        <v>4</v>
      </c>
      <c r="L1548" s="253">
        <v>2</v>
      </c>
      <c r="M1548" s="254">
        <f t="shared" si="57"/>
        <v>1.0673825127299523</v>
      </c>
      <c r="N1548" s="479"/>
    </row>
    <row r="1549" spans="1:14" hidden="1" x14ac:dyDescent="0.2">
      <c r="A1549" s="839" t="s">
        <v>460</v>
      </c>
      <c r="B1549" s="436" t="s">
        <v>506</v>
      </c>
      <c r="C1549" s="247" t="s">
        <v>40</v>
      </c>
      <c r="D1549" s="252" t="s">
        <v>135</v>
      </c>
      <c r="E1549" s="494">
        <v>0.61657082402168228</v>
      </c>
      <c r="F1549" s="374" t="s">
        <v>679</v>
      </c>
      <c r="G1549" s="251" t="s">
        <v>16</v>
      </c>
      <c r="H1549" s="381">
        <v>1</v>
      </c>
      <c r="I1549" s="381">
        <v>1</v>
      </c>
      <c r="J1549" s="381">
        <v>1</v>
      </c>
      <c r="K1549" s="381">
        <v>4</v>
      </c>
      <c r="L1549" s="253">
        <v>2</v>
      </c>
      <c r="M1549" s="254">
        <f t="shared" si="57"/>
        <v>1.0673825127299523</v>
      </c>
      <c r="N1549" s="479"/>
    </row>
    <row r="1550" spans="1:14" hidden="1" x14ac:dyDescent="0.2">
      <c r="A1550" s="839" t="s">
        <v>460</v>
      </c>
      <c r="B1550" s="436" t="s">
        <v>488</v>
      </c>
      <c r="C1550" s="247" t="s">
        <v>40</v>
      </c>
      <c r="D1550" s="252" t="s">
        <v>135</v>
      </c>
      <c r="E1550" s="494">
        <v>0.31771765489039988</v>
      </c>
      <c r="F1550" s="374" t="s">
        <v>679</v>
      </c>
      <c r="G1550" s="251" t="s">
        <v>16</v>
      </c>
      <c r="H1550" s="381">
        <v>1</v>
      </c>
      <c r="I1550" s="381">
        <v>1</v>
      </c>
      <c r="J1550" s="381">
        <v>1</v>
      </c>
      <c r="K1550" s="381">
        <v>4</v>
      </c>
      <c r="L1550" s="253">
        <v>2</v>
      </c>
      <c r="M1550" s="254">
        <f t="shared" si="57"/>
        <v>1.0673825127299523</v>
      </c>
      <c r="N1550" s="479"/>
    </row>
    <row r="1551" spans="1:14" hidden="1" x14ac:dyDescent="0.2">
      <c r="A1551" s="839" t="s">
        <v>460</v>
      </c>
      <c r="B1551" s="436" t="s">
        <v>450</v>
      </c>
      <c r="C1551" s="247" t="s">
        <v>40</v>
      </c>
      <c r="D1551" s="252" t="s">
        <v>135</v>
      </c>
      <c r="E1551" s="494">
        <v>3.6736103846702492E-2</v>
      </c>
      <c r="F1551" s="374" t="s">
        <v>679</v>
      </c>
      <c r="G1551" s="251" t="s">
        <v>16</v>
      </c>
      <c r="H1551" s="381">
        <v>1</v>
      </c>
      <c r="I1551" s="381">
        <v>1</v>
      </c>
      <c r="J1551" s="381">
        <v>1</v>
      </c>
      <c r="K1551" s="381">
        <v>4</v>
      </c>
      <c r="L1551" s="253">
        <v>2</v>
      </c>
      <c r="M1551" s="254">
        <f t="shared" si="57"/>
        <v>1.0673825127299523</v>
      </c>
      <c r="N1551" s="479"/>
    </row>
    <row r="1552" spans="1:14" hidden="1" x14ac:dyDescent="0.2">
      <c r="A1552" s="839" t="s">
        <v>460</v>
      </c>
      <c r="B1552" s="436" t="s">
        <v>661</v>
      </c>
      <c r="C1552" s="493" t="s">
        <v>40</v>
      </c>
      <c r="D1552" s="252" t="s">
        <v>135</v>
      </c>
      <c r="E1552" s="494">
        <v>7.1323284675003564E-3</v>
      </c>
      <c r="F1552" s="374" t="s">
        <v>679</v>
      </c>
      <c r="G1552" s="375" t="s">
        <v>16</v>
      </c>
      <c r="H1552" s="381">
        <v>1</v>
      </c>
      <c r="I1552" s="381">
        <v>1</v>
      </c>
      <c r="J1552" s="381">
        <v>1</v>
      </c>
      <c r="K1552" s="381">
        <v>4</v>
      </c>
      <c r="L1552" s="253">
        <v>3</v>
      </c>
      <c r="M1552" s="254">
        <f t="shared" si="57"/>
        <v>1.4318190233667305</v>
      </c>
      <c r="N1552" s="479"/>
    </row>
    <row r="1553" spans="1:14" hidden="1" x14ac:dyDescent="0.2">
      <c r="A1553" s="839" t="s">
        <v>460</v>
      </c>
      <c r="B1553" s="436" t="s">
        <v>451</v>
      </c>
      <c r="C1553" s="247" t="s">
        <v>41</v>
      </c>
      <c r="D1553" s="252" t="s">
        <v>135</v>
      </c>
      <c r="E1553" s="494">
        <v>7.400000000000001E-2</v>
      </c>
      <c r="F1553" s="374" t="s">
        <v>679</v>
      </c>
      <c r="G1553" s="251" t="s">
        <v>16</v>
      </c>
      <c r="H1553" s="381">
        <v>1</v>
      </c>
      <c r="I1553" s="381">
        <v>1</v>
      </c>
      <c r="J1553" s="381">
        <v>1</v>
      </c>
      <c r="K1553" s="381">
        <v>4</v>
      </c>
      <c r="L1553" s="253">
        <v>2</v>
      </c>
      <c r="M1553" s="254">
        <f t="shared" si="57"/>
        <v>1.0673825127299523</v>
      </c>
      <c r="N1553" s="479"/>
    </row>
    <row r="1554" spans="1:14" hidden="1" x14ac:dyDescent="0.2">
      <c r="A1554" s="839" t="s">
        <v>460</v>
      </c>
      <c r="B1554" s="436" t="s">
        <v>506</v>
      </c>
      <c r="C1554" s="247" t="s">
        <v>41</v>
      </c>
      <c r="D1554" s="252" t="s">
        <v>135</v>
      </c>
      <c r="E1554" s="494">
        <v>0.70399999999999996</v>
      </c>
      <c r="F1554" s="374" t="s">
        <v>679</v>
      </c>
      <c r="G1554" s="251" t="s">
        <v>16</v>
      </c>
      <c r="H1554" s="381">
        <v>1</v>
      </c>
      <c r="I1554" s="381">
        <v>1</v>
      </c>
      <c r="J1554" s="381">
        <v>1</v>
      </c>
      <c r="K1554" s="381">
        <v>4</v>
      </c>
      <c r="L1554" s="253">
        <v>2</v>
      </c>
      <c r="M1554" s="254">
        <f t="shared" si="57"/>
        <v>1.0673825127299523</v>
      </c>
      <c r="N1554" s="479"/>
    </row>
    <row r="1555" spans="1:14" hidden="1" x14ac:dyDescent="0.2">
      <c r="A1555" s="839" t="s">
        <v>460</v>
      </c>
      <c r="B1555" s="436" t="s">
        <v>488</v>
      </c>
      <c r="C1555" s="247" t="s">
        <v>41</v>
      </c>
      <c r="D1555" s="252" t="s">
        <v>135</v>
      </c>
      <c r="E1555" s="494">
        <v>0.218</v>
      </c>
      <c r="F1555" s="374" t="s">
        <v>679</v>
      </c>
      <c r="G1555" s="251" t="s">
        <v>16</v>
      </c>
      <c r="H1555" s="381">
        <v>1</v>
      </c>
      <c r="I1555" s="381">
        <v>1</v>
      </c>
      <c r="J1555" s="381">
        <v>1</v>
      </c>
      <c r="K1555" s="381">
        <v>4</v>
      </c>
      <c r="L1555" s="253">
        <v>2</v>
      </c>
      <c r="M1555" s="254">
        <f t="shared" si="57"/>
        <v>1.0673825127299523</v>
      </c>
      <c r="N1555" s="479"/>
    </row>
    <row r="1556" spans="1:14" hidden="1" x14ac:dyDescent="0.2">
      <c r="A1556" s="839" t="s">
        <v>460</v>
      </c>
      <c r="B1556" s="436" t="s">
        <v>450</v>
      </c>
      <c r="C1556" s="247" t="s">
        <v>41</v>
      </c>
      <c r="D1556" s="252" t="s">
        <v>135</v>
      </c>
      <c r="E1556" s="781">
        <v>0</v>
      </c>
      <c r="F1556" s="374" t="s">
        <v>679</v>
      </c>
      <c r="G1556" s="782" t="s">
        <v>16</v>
      </c>
      <c r="H1556" s="781"/>
      <c r="I1556" s="781"/>
      <c r="J1556" s="781"/>
      <c r="K1556" s="781"/>
      <c r="L1556" s="783"/>
      <c r="M1556" s="784" t="str">
        <f t="shared" si="57"/>
        <v/>
      </c>
      <c r="N1556" s="479"/>
    </row>
    <row r="1557" spans="1:14" hidden="1" x14ac:dyDescent="0.2">
      <c r="A1557" s="839" t="s">
        <v>460</v>
      </c>
      <c r="B1557" s="436" t="s">
        <v>661</v>
      </c>
      <c r="C1557" s="493" t="s">
        <v>41</v>
      </c>
      <c r="D1557" s="252" t="s">
        <v>135</v>
      </c>
      <c r="E1557" s="781">
        <v>0</v>
      </c>
      <c r="F1557" s="374" t="s">
        <v>679</v>
      </c>
      <c r="G1557" s="782" t="s">
        <v>16</v>
      </c>
      <c r="H1557" s="781"/>
      <c r="I1557" s="781"/>
      <c r="J1557" s="781"/>
      <c r="K1557" s="781"/>
      <c r="L1557" s="783"/>
      <c r="M1557" s="784" t="str">
        <f t="shared" si="57"/>
        <v/>
      </c>
      <c r="N1557" s="479"/>
    </row>
    <row r="1558" spans="1:14" hidden="1" x14ac:dyDescent="0.2">
      <c r="A1558" s="839" t="s">
        <v>460</v>
      </c>
      <c r="B1558" s="436" t="s">
        <v>451</v>
      </c>
      <c r="C1558" s="247" t="s">
        <v>42</v>
      </c>
      <c r="D1558" s="252" t="s">
        <v>135</v>
      </c>
      <c r="E1558" s="494">
        <v>6.6364687740940648E-2</v>
      </c>
      <c r="F1558" s="374" t="s">
        <v>679</v>
      </c>
      <c r="G1558" s="251" t="s">
        <v>16</v>
      </c>
      <c r="H1558" s="381">
        <v>1</v>
      </c>
      <c r="I1558" s="381">
        <v>1</v>
      </c>
      <c r="J1558" s="381">
        <v>1</v>
      </c>
      <c r="K1558" s="381">
        <v>4</v>
      </c>
      <c r="L1558" s="253">
        <v>2</v>
      </c>
      <c r="M1558" s="254">
        <f t="shared" ref="M1558:M1588" si="58">IF( OR( ISBLANK(H1558),ISBLANK(I1558), ISBLANK(J1558), ISBLANK(K1558), ISBLANK(L1558) ), "", 1.5*SQRT( EXP(2.21*(H1558-1)) + EXP(2.21*(I1558-1)) + EXP(2.21*(J1558-1)) + EXP(2.21*(K1558-1)) + EXP(2.21*L1558) )/100*2.45 )</f>
        <v>1.0673825127299523</v>
      </c>
      <c r="N1558" s="479"/>
    </row>
    <row r="1559" spans="1:14" hidden="1" x14ac:dyDescent="0.2">
      <c r="A1559" s="839" t="s">
        <v>460</v>
      </c>
      <c r="B1559" s="436" t="s">
        <v>506</v>
      </c>
      <c r="C1559" s="247" t="s">
        <v>42</v>
      </c>
      <c r="D1559" s="252" t="s">
        <v>135</v>
      </c>
      <c r="E1559" s="494">
        <v>0.10256360832690831</v>
      </c>
      <c r="F1559" s="374" t="s">
        <v>679</v>
      </c>
      <c r="G1559" s="251" t="s">
        <v>16</v>
      </c>
      <c r="H1559" s="381">
        <v>1</v>
      </c>
      <c r="I1559" s="381">
        <v>1</v>
      </c>
      <c r="J1559" s="381">
        <v>1</v>
      </c>
      <c r="K1559" s="381">
        <v>4</v>
      </c>
      <c r="L1559" s="253">
        <v>2</v>
      </c>
      <c r="M1559" s="254">
        <f t="shared" si="58"/>
        <v>1.0673825127299523</v>
      </c>
      <c r="N1559" s="479"/>
    </row>
    <row r="1560" spans="1:14" hidden="1" x14ac:dyDescent="0.2">
      <c r="A1560" s="839" t="s">
        <v>460</v>
      </c>
      <c r="B1560" s="436" t="s">
        <v>488</v>
      </c>
      <c r="C1560" s="247" t="s">
        <v>42</v>
      </c>
      <c r="D1560" s="252" t="s">
        <v>135</v>
      </c>
      <c r="E1560" s="494">
        <v>6.9260601387818047E-2</v>
      </c>
      <c r="F1560" s="374" t="s">
        <v>679</v>
      </c>
      <c r="G1560" s="251" t="s">
        <v>16</v>
      </c>
      <c r="H1560" s="381">
        <v>1</v>
      </c>
      <c r="I1560" s="381">
        <v>1</v>
      </c>
      <c r="J1560" s="381">
        <v>1</v>
      </c>
      <c r="K1560" s="381">
        <v>4</v>
      </c>
      <c r="L1560" s="253">
        <v>2</v>
      </c>
      <c r="M1560" s="254">
        <f t="shared" si="58"/>
        <v>1.0673825127299523</v>
      </c>
      <c r="N1560" s="479"/>
    </row>
    <row r="1561" spans="1:14" hidden="1" x14ac:dyDescent="0.2">
      <c r="A1561" s="839" t="s">
        <v>460</v>
      </c>
      <c r="B1561" s="436" t="s">
        <v>450</v>
      </c>
      <c r="C1561" s="247" t="s">
        <v>42</v>
      </c>
      <c r="D1561" s="252" t="s">
        <v>135</v>
      </c>
      <c r="E1561" s="781">
        <v>0</v>
      </c>
      <c r="F1561" s="374" t="s">
        <v>679</v>
      </c>
      <c r="G1561" s="782" t="s">
        <v>16</v>
      </c>
      <c r="H1561" s="781"/>
      <c r="I1561" s="781"/>
      <c r="J1561" s="781"/>
      <c r="K1561" s="781"/>
      <c r="L1561" s="783"/>
      <c r="M1561" s="784" t="str">
        <f t="shared" si="58"/>
        <v/>
      </c>
      <c r="N1561" s="479"/>
    </row>
    <row r="1562" spans="1:14" hidden="1" x14ac:dyDescent="0.2">
      <c r="A1562" s="839" t="s">
        <v>460</v>
      </c>
      <c r="B1562" s="436" t="s">
        <v>661</v>
      </c>
      <c r="C1562" s="493" t="s">
        <v>42</v>
      </c>
      <c r="D1562" s="252" t="s">
        <v>135</v>
      </c>
      <c r="E1562" s="494">
        <v>0.75867386276021587</v>
      </c>
      <c r="F1562" s="374" t="s">
        <v>679</v>
      </c>
      <c r="G1562" s="375" t="s">
        <v>16</v>
      </c>
      <c r="H1562" s="381">
        <v>1</v>
      </c>
      <c r="I1562" s="381">
        <v>1</v>
      </c>
      <c r="J1562" s="381">
        <v>1</v>
      </c>
      <c r="K1562" s="381">
        <v>4</v>
      </c>
      <c r="L1562" s="253">
        <v>3</v>
      </c>
      <c r="M1562" s="254">
        <f t="shared" si="58"/>
        <v>1.4318190233667305</v>
      </c>
      <c r="N1562" s="479"/>
    </row>
    <row r="1563" spans="1:14" hidden="1" x14ac:dyDescent="0.2">
      <c r="A1563" s="839" t="s">
        <v>460</v>
      </c>
      <c r="B1563" s="436" t="s">
        <v>451</v>
      </c>
      <c r="C1563" s="247" t="s">
        <v>43</v>
      </c>
      <c r="D1563" s="252" t="s">
        <v>135</v>
      </c>
      <c r="E1563" s="494">
        <v>0.1181595518640139</v>
      </c>
      <c r="F1563" s="374" t="s">
        <v>679</v>
      </c>
      <c r="G1563" s="251" t="s">
        <v>16</v>
      </c>
      <c r="H1563" s="381">
        <v>1</v>
      </c>
      <c r="I1563" s="381">
        <v>1</v>
      </c>
      <c r="J1563" s="381">
        <v>1</v>
      </c>
      <c r="K1563" s="381">
        <v>4</v>
      </c>
      <c r="L1563" s="253">
        <v>2</v>
      </c>
      <c r="M1563" s="254">
        <f t="shared" si="58"/>
        <v>1.0673825127299523</v>
      </c>
      <c r="N1563" s="479"/>
    </row>
    <row r="1564" spans="1:14" hidden="1" x14ac:dyDescent="0.2">
      <c r="A1564" s="839" t="s">
        <v>460</v>
      </c>
      <c r="B1564" s="436" t="s">
        <v>506</v>
      </c>
      <c r="C1564" s="247" t="s">
        <v>43</v>
      </c>
      <c r="D1564" s="252" t="s">
        <v>135</v>
      </c>
      <c r="E1564" s="494">
        <v>0.49889588564805881</v>
      </c>
      <c r="F1564" s="374" t="s">
        <v>679</v>
      </c>
      <c r="G1564" s="251" t="s">
        <v>16</v>
      </c>
      <c r="H1564" s="381">
        <v>1</v>
      </c>
      <c r="I1564" s="381">
        <v>1</v>
      </c>
      <c r="J1564" s="381">
        <v>1</v>
      </c>
      <c r="K1564" s="381">
        <v>4</v>
      </c>
      <c r="L1564" s="253">
        <v>2</v>
      </c>
      <c r="M1564" s="254">
        <f t="shared" si="58"/>
        <v>1.0673825127299523</v>
      </c>
      <c r="N1564" s="479"/>
    </row>
    <row r="1565" spans="1:14" hidden="1" x14ac:dyDescent="0.2">
      <c r="A1565" s="839" t="s">
        <v>460</v>
      </c>
      <c r="B1565" s="436" t="s">
        <v>488</v>
      </c>
      <c r="C1565" s="247" t="s">
        <v>43</v>
      </c>
      <c r="D1565" s="252" t="s">
        <v>135</v>
      </c>
      <c r="E1565" s="494">
        <v>0.2156880708628825</v>
      </c>
      <c r="F1565" s="374" t="s">
        <v>679</v>
      </c>
      <c r="G1565" s="251" t="s">
        <v>16</v>
      </c>
      <c r="H1565" s="381">
        <v>1</v>
      </c>
      <c r="I1565" s="381">
        <v>1</v>
      </c>
      <c r="J1565" s="381">
        <v>1</v>
      </c>
      <c r="K1565" s="381">
        <v>4</v>
      </c>
      <c r="L1565" s="253">
        <v>2</v>
      </c>
      <c r="M1565" s="254">
        <f t="shared" si="58"/>
        <v>1.0673825127299523</v>
      </c>
      <c r="N1565" s="479"/>
    </row>
    <row r="1566" spans="1:14" hidden="1" x14ac:dyDescent="0.2">
      <c r="A1566" s="839" t="s">
        <v>460</v>
      </c>
      <c r="B1566" s="436" t="s">
        <v>450</v>
      </c>
      <c r="C1566" s="247" t="s">
        <v>43</v>
      </c>
      <c r="D1566" s="252" t="s">
        <v>135</v>
      </c>
      <c r="E1566" s="494">
        <v>0.1012796158834405</v>
      </c>
      <c r="F1566" s="374" t="s">
        <v>679</v>
      </c>
      <c r="G1566" s="251" t="s">
        <v>16</v>
      </c>
      <c r="H1566" s="381">
        <v>1</v>
      </c>
      <c r="I1566" s="381">
        <v>1</v>
      </c>
      <c r="J1566" s="381">
        <v>1</v>
      </c>
      <c r="K1566" s="381">
        <v>4</v>
      </c>
      <c r="L1566" s="253">
        <v>2</v>
      </c>
      <c r="M1566" s="254">
        <f t="shared" si="58"/>
        <v>1.0673825127299523</v>
      </c>
      <c r="N1566" s="479"/>
    </row>
    <row r="1567" spans="1:14" hidden="1" x14ac:dyDescent="0.2">
      <c r="A1567" s="839" t="s">
        <v>460</v>
      </c>
      <c r="B1567" s="436" t="s">
        <v>661</v>
      </c>
      <c r="C1567" s="493" t="s">
        <v>43</v>
      </c>
      <c r="D1567" s="252" t="s">
        <v>135</v>
      </c>
      <c r="E1567" s="494">
        <v>6.2225778857032482E-2</v>
      </c>
      <c r="F1567" s="374" t="s">
        <v>679</v>
      </c>
      <c r="G1567" s="375" t="s">
        <v>16</v>
      </c>
      <c r="H1567" s="381">
        <v>1</v>
      </c>
      <c r="I1567" s="381">
        <v>1</v>
      </c>
      <c r="J1567" s="381">
        <v>1</v>
      </c>
      <c r="K1567" s="381">
        <v>4</v>
      </c>
      <c r="L1567" s="253">
        <v>3</v>
      </c>
      <c r="M1567" s="254">
        <f t="shared" si="58"/>
        <v>1.4318190233667305</v>
      </c>
      <c r="N1567" s="479"/>
    </row>
    <row r="1568" spans="1:14" hidden="1" x14ac:dyDescent="0.2">
      <c r="A1568" s="839" t="s">
        <v>460</v>
      </c>
      <c r="B1568" s="436" t="s">
        <v>451</v>
      </c>
      <c r="C1568" s="247" t="s">
        <v>45</v>
      </c>
      <c r="D1568" s="252" t="s">
        <v>135</v>
      </c>
      <c r="E1568" s="494">
        <v>1.3380913604888229E-2</v>
      </c>
      <c r="F1568" s="374" t="s">
        <v>679</v>
      </c>
      <c r="G1568" s="251" t="s">
        <v>16</v>
      </c>
      <c r="H1568" s="381">
        <v>1</v>
      </c>
      <c r="I1568" s="381">
        <v>1</v>
      </c>
      <c r="J1568" s="381">
        <v>1</v>
      </c>
      <c r="K1568" s="381">
        <v>4</v>
      </c>
      <c r="L1568" s="253">
        <v>2</v>
      </c>
      <c r="M1568" s="254">
        <f t="shared" si="58"/>
        <v>1.0673825127299523</v>
      </c>
      <c r="N1568" s="479"/>
    </row>
    <row r="1569" spans="1:14" hidden="1" x14ac:dyDescent="0.2">
      <c r="A1569" s="839" t="s">
        <v>460</v>
      </c>
      <c r="B1569" s="436" t="s">
        <v>506</v>
      </c>
      <c r="C1569" s="247" t="s">
        <v>45</v>
      </c>
      <c r="D1569" s="252" t="s">
        <v>135</v>
      </c>
      <c r="E1569" s="494">
        <v>0.6578949189070048</v>
      </c>
      <c r="F1569" s="374" t="s">
        <v>679</v>
      </c>
      <c r="G1569" s="251" t="s">
        <v>16</v>
      </c>
      <c r="H1569" s="381">
        <v>1</v>
      </c>
      <c r="I1569" s="381">
        <v>1</v>
      </c>
      <c r="J1569" s="381">
        <v>1</v>
      </c>
      <c r="K1569" s="381">
        <v>4</v>
      </c>
      <c r="L1569" s="253">
        <v>2</v>
      </c>
      <c r="M1569" s="254">
        <f t="shared" si="58"/>
        <v>1.0673825127299523</v>
      </c>
      <c r="N1569" s="479"/>
    </row>
    <row r="1570" spans="1:14" hidden="1" x14ac:dyDescent="0.2">
      <c r="A1570" s="839" t="s">
        <v>460</v>
      </c>
      <c r="B1570" s="436" t="s">
        <v>488</v>
      </c>
      <c r="C1570" s="247" t="s">
        <v>45</v>
      </c>
      <c r="D1570" s="252" t="s">
        <v>135</v>
      </c>
      <c r="E1570" s="494">
        <v>2.6018443120616009E-2</v>
      </c>
      <c r="F1570" s="374" t="s">
        <v>679</v>
      </c>
      <c r="G1570" s="251" t="s">
        <v>16</v>
      </c>
      <c r="H1570" s="381">
        <v>1</v>
      </c>
      <c r="I1570" s="381">
        <v>1</v>
      </c>
      <c r="J1570" s="381">
        <v>1</v>
      </c>
      <c r="K1570" s="381">
        <v>4</v>
      </c>
      <c r="L1570" s="253">
        <v>2</v>
      </c>
      <c r="M1570" s="254">
        <f t="shared" si="58"/>
        <v>1.0673825127299523</v>
      </c>
      <c r="N1570" s="479"/>
    </row>
    <row r="1571" spans="1:14" hidden="1" x14ac:dyDescent="0.2">
      <c r="A1571" s="839" t="s">
        <v>460</v>
      </c>
      <c r="B1571" s="436" t="s">
        <v>450</v>
      </c>
      <c r="C1571" s="247" t="s">
        <v>45</v>
      </c>
      <c r="D1571" s="252" t="s">
        <v>135</v>
      </c>
      <c r="E1571" s="494">
        <v>4.6089813527948359E-2</v>
      </c>
      <c r="F1571" s="374" t="s">
        <v>679</v>
      </c>
      <c r="G1571" s="251" t="s">
        <v>16</v>
      </c>
      <c r="H1571" s="381">
        <v>1</v>
      </c>
      <c r="I1571" s="381">
        <v>1</v>
      </c>
      <c r="J1571" s="381">
        <v>1</v>
      </c>
      <c r="K1571" s="381">
        <v>4</v>
      </c>
      <c r="L1571" s="253">
        <v>2</v>
      </c>
      <c r="M1571" s="254">
        <f t="shared" si="58"/>
        <v>1.0673825127299523</v>
      </c>
      <c r="N1571" s="479"/>
    </row>
    <row r="1572" spans="1:14" hidden="1" x14ac:dyDescent="0.2">
      <c r="A1572" s="839" t="s">
        <v>460</v>
      </c>
      <c r="B1572" s="436" t="s">
        <v>661</v>
      </c>
      <c r="C1572" s="493" t="s">
        <v>45</v>
      </c>
      <c r="D1572" s="252" t="s">
        <v>135</v>
      </c>
      <c r="E1572" s="494">
        <v>0.2566159108395426</v>
      </c>
      <c r="F1572" s="374" t="s">
        <v>679</v>
      </c>
      <c r="G1572" s="375" t="s">
        <v>16</v>
      </c>
      <c r="H1572" s="381">
        <v>1</v>
      </c>
      <c r="I1572" s="381">
        <v>1</v>
      </c>
      <c r="J1572" s="381">
        <v>1</v>
      </c>
      <c r="K1572" s="381">
        <v>4</v>
      </c>
      <c r="L1572" s="253">
        <v>3</v>
      </c>
      <c r="M1572" s="254">
        <f t="shared" si="58"/>
        <v>1.4318190233667305</v>
      </c>
      <c r="N1572" s="479"/>
    </row>
    <row r="1573" spans="1:14" hidden="1" x14ac:dyDescent="0.2">
      <c r="A1573" s="839" t="s">
        <v>460</v>
      </c>
      <c r="B1573" s="436" t="s">
        <v>451</v>
      </c>
      <c r="C1573" s="247" t="s">
        <v>46</v>
      </c>
      <c r="D1573" s="252" t="s">
        <v>135</v>
      </c>
      <c r="E1573" s="494">
        <v>3.5744050466009127E-2</v>
      </c>
      <c r="F1573" s="374" t="s">
        <v>679</v>
      </c>
      <c r="G1573" s="251" t="s">
        <v>16</v>
      </c>
      <c r="H1573" s="381">
        <v>1</v>
      </c>
      <c r="I1573" s="381">
        <v>1</v>
      </c>
      <c r="J1573" s="381">
        <v>1</v>
      </c>
      <c r="K1573" s="381">
        <v>4</v>
      </c>
      <c r="L1573" s="253">
        <v>2</v>
      </c>
      <c r="M1573" s="254">
        <f t="shared" si="58"/>
        <v>1.0673825127299523</v>
      </c>
      <c r="N1573" s="479"/>
    </row>
    <row r="1574" spans="1:14" hidden="1" x14ac:dyDescent="0.2">
      <c r="A1574" s="839" t="s">
        <v>460</v>
      </c>
      <c r="B1574" s="436" t="s">
        <v>506</v>
      </c>
      <c r="C1574" s="247" t="s">
        <v>46</v>
      </c>
      <c r="D1574" s="252" t="s">
        <v>135</v>
      </c>
      <c r="E1574" s="494">
        <v>0.58679816181698308</v>
      </c>
      <c r="F1574" s="374" t="s">
        <v>679</v>
      </c>
      <c r="G1574" s="251" t="s">
        <v>16</v>
      </c>
      <c r="H1574" s="381">
        <v>1</v>
      </c>
      <c r="I1574" s="381">
        <v>1</v>
      </c>
      <c r="J1574" s="381">
        <v>1</v>
      </c>
      <c r="K1574" s="381">
        <v>4</v>
      </c>
      <c r="L1574" s="253">
        <v>2</v>
      </c>
      <c r="M1574" s="254">
        <f t="shared" si="58"/>
        <v>1.0673825127299523</v>
      </c>
      <c r="N1574" s="479"/>
    </row>
    <row r="1575" spans="1:14" hidden="1" x14ac:dyDescent="0.2">
      <c r="A1575" s="839" t="s">
        <v>460</v>
      </c>
      <c r="B1575" s="436" t="s">
        <v>488</v>
      </c>
      <c r="C1575" s="247" t="s">
        <v>46</v>
      </c>
      <c r="D1575" s="252" t="s">
        <v>135</v>
      </c>
      <c r="E1575" s="494">
        <v>0.34453293088069908</v>
      </c>
      <c r="F1575" s="374" t="s">
        <v>679</v>
      </c>
      <c r="G1575" s="251" t="s">
        <v>16</v>
      </c>
      <c r="H1575" s="381">
        <v>1</v>
      </c>
      <c r="I1575" s="381">
        <v>1</v>
      </c>
      <c r="J1575" s="381">
        <v>1</v>
      </c>
      <c r="K1575" s="381">
        <v>4</v>
      </c>
      <c r="L1575" s="253">
        <v>2</v>
      </c>
      <c r="M1575" s="254">
        <f t="shared" si="58"/>
        <v>1.0673825127299523</v>
      </c>
      <c r="N1575" s="479"/>
    </row>
    <row r="1576" spans="1:14" hidden="1" x14ac:dyDescent="0.2">
      <c r="A1576" s="839" t="s">
        <v>460</v>
      </c>
      <c r="B1576" s="436" t="s">
        <v>450</v>
      </c>
      <c r="C1576" s="247" t="s">
        <v>46</v>
      </c>
      <c r="D1576" s="252" t="s">
        <v>135</v>
      </c>
      <c r="E1576" s="494">
        <v>2.581514755878437E-2</v>
      </c>
      <c r="F1576" s="374" t="s">
        <v>679</v>
      </c>
      <c r="G1576" s="251" t="s">
        <v>16</v>
      </c>
      <c r="H1576" s="381">
        <v>1</v>
      </c>
      <c r="I1576" s="381">
        <v>1</v>
      </c>
      <c r="J1576" s="381">
        <v>1</v>
      </c>
      <c r="K1576" s="381">
        <v>4</v>
      </c>
      <c r="L1576" s="253">
        <v>2</v>
      </c>
      <c r="M1576" s="254">
        <f t="shared" si="58"/>
        <v>1.0673825127299523</v>
      </c>
      <c r="N1576" s="479"/>
    </row>
    <row r="1577" spans="1:14" hidden="1" x14ac:dyDescent="0.2">
      <c r="A1577" s="839" t="s">
        <v>460</v>
      </c>
      <c r="B1577" s="436" t="s">
        <v>661</v>
      </c>
      <c r="C1577" s="493" t="s">
        <v>46</v>
      </c>
      <c r="D1577" s="252" t="s">
        <v>135</v>
      </c>
      <c r="E1577" s="494">
        <v>7.1097092775242697E-3</v>
      </c>
      <c r="F1577" s="374" t="s">
        <v>679</v>
      </c>
      <c r="G1577" s="375" t="s">
        <v>16</v>
      </c>
      <c r="H1577" s="381">
        <v>1</v>
      </c>
      <c r="I1577" s="381">
        <v>1</v>
      </c>
      <c r="J1577" s="381">
        <v>1</v>
      </c>
      <c r="K1577" s="381">
        <v>4</v>
      </c>
      <c r="L1577" s="253">
        <v>3</v>
      </c>
      <c r="M1577" s="254">
        <f t="shared" si="58"/>
        <v>1.4318190233667305</v>
      </c>
      <c r="N1577" s="479"/>
    </row>
    <row r="1578" spans="1:14" hidden="1" x14ac:dyDescent="0.2">
      <c r="A1578" s="839" t="s">
        <v>460</v>
      </c>
      <c r="B1578" s="436" t="s">
        <v>451</v>
      </c>
      <c r="C1578" s="247" t="s">
        <v>48</v>
      </c>
      <c r="D1578" s="252" t="s">
        <v>135</v>
      </c>
      <c r="E1578" s="494">
        <v>5.8259070260751243E-2</v>
      </c>
      <c r="F1578" s="374" t="s">
        <v>679</v>
      </c>
      <c r="G1578" s="375" t="s">
        <v>16</v>
      </c>
      <c r="H1578" s="381">
        <v>1</v>
      </c>
      <c r="I1578" s="381">
        <v>1</v>
      </c>
      <c r="J1578" s="381">
        <v>1</v>
      </c>
      <c r="K1578" s="381">
        <v>4</v>
      </c>
      <c r="L1578" s="253">
        <v>2</v>
      </c>
      <c r="M1578" s="254">
        <f t="shared" si="58"/>
        <v>1.0673825127299523</v>
      </c>
      <c r="N1578" s="479"/>
    </row>
    <row r="1579" spans="1:14" hidden="1" x14ac:dyDescent="0.2">
      <c r="A1579" s="839" t="s">
        <v>460</v>
      </c>
      <c r="B1579" s="436" t="s">
        <v>506</v>
      </c>
      <c r="C1579" s="247" t="s">
        <v>48</v>
      </c>
      <c r="D1579" s="252" t="s">
        <v>135</v>
      </c>
      <c r="E1579" s="494">
        <v>0.68363377759100274</v>
      </c>
      <c r="F1579" s="374" t="s">
        <v>679</v>
      </c>
      <c r="G1579" s="375" t="s">
        <v>16</v>
      </c>
      <c r="H1579" s="381">
        <v>1</v>
      </c>
      <c r="I1579" s="381">
        <v>1</v>
      </c>
      <c r="J1579" s="381">
        <v>1</v>
      </c>
      <c r="K1579" s="381">
        <v>4</v>
      </c>
      <c r="L1579" s="253">
        <v>2</v>
      </c>
      <c r="M1579" s="254">
        <f t="shared" si="58"/>
        <v>1.0673825127299523</v>
      </c>
      <c r="N1579" s="479"/>
    </row>
    <row r="1580" spans="1:14" hidden="1" x14ac:dyDescent="0.2">
      <c r="A1580" s="839" t="s">
        <v>460</v>
      </c>
      <c r="B1580" s="436" t="s">
        <v>488</v>
      </c>
      <c r="C1580" s="247" t="s">
        <v>48</v>
      </c>
      <c r="D1580" s="252" t="s">
        <v>135</v>
      </c>
      <c r="E1580" s="494">
        <v>0.14837856957035081</v>
      </c>
      <c r="F1580" s="374" t="s">
        <v>679</v>
      </c>
      <c r="G1580" s="375" t="s">
        <v>16</v>
      </c>
      <c r="H1580" s="381">
        <v>1</v>
      </c>
      <c r="I1580" s="381">
        <v>1</v>
      </c>
      <c r="J1580" s="381">
        <v>1</v>
      </c>
      <c r="K1580" s="381">
        <v>4</v>
      </c>
      <c r="L1580" s="253">
        <v>2</v>
      </c>
      <c r="M1580" s="254">
        <f t="shared" si="58"/>
        <v>1.0673825127299523</v>
      </c>
      <c r="N1580" s="479"/>
    </row>
    <row r="1581" spans="1:14" hidden="1" x14ac:dyDescent="0.2">
      <c r="A1581" s="839" t="s">
        <v>460</v>
      </c>
      <c r="B1581" s="436" t="s">
        <v>450</v>
      </c>
      <c r="C1581" s="247" t="s">
        <v>48</v>
      </c>
      <c r="D1581" s="252" t="s">
        <v>135</v>
      </c>
      <c r="E1581" s="494">
        <v>1.9116257429308999E-2</v>
      </c>
      <c r="F1581" s="374" t="s">
        <v>679</v>
      </c>
      <c r="G1581" s="375" t="s">
        <v>16</v>
      </c>
      <c r="H1581" s="381">
        <v>1</v>
      </c>
      <c r="I1581" s="381">
        <v>1</v>
      </c>
      <c r="J1581" s="381">
        <v>1</v>
      </c>
      <c r="K1581" s="381">
        <v>4</v>
      </c>
      <c r="L1581" s="253">
        <v>2</v>
      </c>
      <c r="M1581" s="254">
        <f t="shared" si="58"/>
        <v>1.0673825127299523</v>
      </c>
      <c r="N1581" s="479"/>
    </row>
    <row r="1582" spans="1:14" hidden="1" x14ac:dyDescent="0.2">
      <c r="A1582" s="839" t="s">
        <v>460</v>
      </c>
      <c r="B1582" s="436" t="s">
        <v>661</v>
      </c>
      <c r="C1582" s="493" t="s">
        <v>48</v>
      </c>
      <c r="D1582" s="252" t="s">
        <v>135</v>
      </c>
      <c r="E1582" s="494">
        <v>8.9702027175761936E-2</v>
      </c>
      <c r="F1582" s="374" t="s">
        <v>679</v>
      </c>
      <c r="G1582" s="375" t="s">
        <v>16</v>
      </c>
      <c r="H1582" s="381">
        <v>1</v>
      </c>
      <c r="I1582" s="381">
        <v>1</v>
      </c>
      <c r="J1582" s="381">
        <v>1</v>
      </c>
      <c r="K1582" s="381">
        <v>4</v>
      </c>
      <c r="L1582" s="253">
        <v>3</v>
      </c>
      <c r="M1582" s="254">
        <f t="shared" si="58"/>
        <v>1.4318190233667305</v>
      </c>
      <c r="N1582" s="479"/>
    </row>
    <row r="1583" spans="1:14" hidden="1" x14ac:dyDescent="0.2">
      <c r="A1583" s="839" t="s">
        <v>460</v>
      </c>
      <c r="B1583" s="436" t="s">
        <v>451</v>
      </c>
      <c r="C1583" s="247" t="s">
        <v>50</v>
      </c>
      <c r="D1583" s="252" t="s">
        <v>135</v>
      </c>
      <c r="E1583" s="494">
        <v>2.7866182374307019E-2</v>
      </c>
      <c r="F1583" s="374" t="s">
        <v>679</v>
      </c>
      <c r="G1583" s="375" t="s">
        <v>16</v>
      </c>
      <c r="H1583" s="381">
        <v>1</v>
      </c>
      <c r="I1583" s="381">
        <v>1</v>
      </c>
      <c r="J1583" s="381">
        <v>1</v>
      </c>
      <c r="K1583" s="381">
        <v>4</v>
      </c>
      <c r="L1583" s="253">
        <v>2</v>
      </c>
      <c r="M1583" s="254">
        <f t="shared" si="58"/>
        <v>1.0673825127299523</v>
      </c>
      <c r="N1583" s="479"/>
    </row>
    <row r="1584" spans="1:14" hidden="1" x14ac:dyDescent="0.2">
      <c r="A1584" s="839" t="s">
        <v>460</v>
      </c>
      <c r="B1584" s="436" t="s">
        <v>506</v>
      </c>
      <c r="C1584" s="247" t="s">
        <v>50</v>
      </c>
      <c r="D1584" s="252" t="s">
        <v>135</v>
      </c>
      <c r="E1584" s="494">
        <v>0.61206079143567194</v>
      </c>
      <c r="F1584" s="374" t="s">
        <v>679</v>
      </c>
      <c r="G1584" s="375" t="s">
        <v>16</v>
      </c>
      <c r="H1584" s="381">
        <v>1</v>
      </c>
      <c r="I1584" s="381">
        <v>1</v>
      </c>
      <c r="J1584" s="381">
        <v>1</v>
      </c>
      <c r="K1584" s="381">
        <v>4</v>
      </c>
      <c r="L1584" s="253">
        <v>2</v>
      </c>
      <c r="M1584" s="254">
        <f t="shared" si="58"/>
        <v>1.0673825127299523</v>
      </c>
      <c r="N1584" s="479"/>
    </row>
    <row r="1585" spans="1:14" hidden="1" x14ac:dyDescent="0.2">
      <c r="A1585" s="839" t="s">
        <v>460</v>
      </c>
      <c r="B1585" s="436" t="s">
        <v>488</v>
      </c>
      <c r="C1585" s="247" t="s">
        <v>50</v>
      </c>
      <c r="D1585" s="252" t="s">
        <v>135</v>
      </c>
      <c r="E1585" s="494">
        <v>0.32444198050086032</v>
      </c>
      <c r="F1585" s="374" t="s">
        <v>679</v>
      </c>
      <c r="G1585" s="375" t="s">
        <v>16</v>
      </c>
      <c r="H1585" s="381">
        <v>1</v>
      </c>
      <c r="I1585" s="381">
        <v>1</v>
      </c>
      <c r="J1585" s="381">
        <v>1</v>
      </c>
      <c r="K1585" s="381">
        <v>4</v>
      </c>
      <c r="L1585" s="253">
        <v>2</v>
      </c>
      <c r="M1585" s="254">
        <f t="shared" si="58"/>
        <v>1.0673825127299523</v>
      </c>
      <c r="N1585" s="479"/>
    </row>
    <row r="1586" spans="1:14" hidden="1" x14ac:dyDescent="0.2">
      <c r="A1586" s="839" t="s">
        <v>460</v>
      </c>
      <c r="B1586" s="436" t="s">
        <v>450</v>
      </c>
      <c r="C1586" s="247" t="s">
        <v>50</v>
      </c>
      <c r="D1586" s="252" t="s">
        <v>135</v>
      </c>
      <c r="E1586" s="494">
        <v>3.0851844771554199E-2</v>
      </c>
      <c r="F1586" s="374" t="s">
        <v>679</v>
      </c>
      <c r="G1586" s="375" t="s">
        <v>16</v>
      </c>
      <c r="H1586" s="381">
        <v>1</v>
      </c>
      <c r="I1586" s="381">
        <v>1</v>
      </c>
      <c r="J1586" s="381">
        <v>1</v>
      </c>
      <c r="K1586" s="381">
        <v>4</v>
      </c>
      <c r="L1586" s="253">
        <v>2</v>
      </c>
      <c r="M1586" s="254">
        <f t="shared" si="58"/>
        <v>1.0673825127299523</v>
      </c>
      <c r="N1586" s="479"/>
    </row>
    <row r="1587" spans="1:14" hidden="1" x14ac:dyDescent="0.2">
      <c r="A1587" s="839" t="s">
        <v>460</v>
      </c>
      <c r="B1587" s="436" t="s">
        <v>661</v>
      </c>
      <c r="C1587" s="493" t="s">
        <v>50</v>
      </c>
      <c r="D1587" s="252" t="s">
        <v>135</v>
      </c>
      <c r="E1587" s="494">
        <v>4.7792009176065766E-3</v>
      </c>
      <c r="F1587" s="374" t="s">
        <v>679</v>
      </c>
      <c r="G1587" s="375" t="s">
        <v>16</v>
      </c>
      <c r="H1587" s="381">
        <v>1</v>
      </c>
      <c r="I1587" s="381">
        <v>1</v>
      </c>
      <c r="J1587" s="381">
        <v>1</v>
      </c>
      <c r="K1587" s="381">
        <v>4</v>
      </c>
      <c r="L1587" s="253">
        <v>3</v>
      </c>
      <c r="M1587" s="254">
        <f t="shared" si="58"/>
        <v>1.4318190233667305</v>
      </c>
      <c r="N1587" s="479"/>
    </row>
    <row r="1588" spans="1:14" hidden="1" x14ac:dyDescent="0.2">
      <c r="A1588" s="839" t="s">
        <v>460</v>
      </c>
      <c r="B1588" s="436" t="s">
        <v>451</v>
      </c>
      <c r="C1588" s="247" t="s">
        <v>52</v>
      </c>
      <c r="D1588" s="252" t="s">
        <v>135</v>
      </c>
      <c r="E1588" s="494">
        <v>3.4000000000000002E-2</v>
      </c>
      <c r="F1588" s="374" t="s">
        <v>679</v>
      </c>
      <c r="G1588" s="375" t="s">
        <v>16</v>
      </c>
      <c r="H1588" s="381">
        <v>1</v>
      </c>
      <c r="I1588" s="381">
        <v>1</v>
      </c>
      <c r="J1588" s="381">
        <v>1</v>
      </c>
      <c r="K1588" s="381">
        <v>4</v>
      </c>
      <c r="L1588" s="253">
        <v>2</v>
      </c>
      <c r="M1588" s="254">
        <f t="shared" si="58"/>
        <v>1.0673825127299523</v>
      </c>
      <c r="N1588" s="479"/>
    </row>
    <row r="1589" spans="1:14" hidden="1" x14ac:dyDescent="0.2">
      <c r="A1589" s="839" t="s">
        <v>460</v>
      </c>
      <c r="B1589" s="436" t="s">
        <v>506</v>
      </c>
      <c r="C1589" s="247" t="s">
        <v>52</v>
      </c>
      <c r="D1589" s="252" t="s">
        <v>135</v>
      </c>
      <c r="E1589" s="494">
        <v>0.68</v>
      </c>
      <c r="F1589" s="374" t="s">
        <v>679</v>
      </c>
      <c r="G1589" s="375" t="s">
        <v>16</v>
      </c>
      <c r="H1589" s="381">
        <v>1</v>
      </c>
      <c r="I1589" s="381">
        <v>1</v>
      </c>
      <c r="J1589" s="381">
        <v>1</v>
      </c>
      <c r="K1589" s="381">
        <v>4</v>
      </c>
      <c r="L1589" s="253">
        <v>2</v>
      </c>
      <c r="M1589" s="254">
        <f>IF( OR( ISBLANK(H1589),ISBLANK(I1589), ISBLANK(J1589), ISBLANK(K1589), ISBLANK(L1589) ), "", 1.5*SQRT(   EXP(2.21*(H1589-1)) + EXP(2.21*(I1589-1)) + EXP(2.21*(J1589-1)) + EXP(2.21*(K1589-1)) + EXP(2.21*L1589)   )/100*2.45 )</f>
        <v>1.0673825127299523</v>
      </c>
      <c r="N1589" s="479"/>
    </row>
    <row r="1590" spans="1:14" hidden="1" x14ac:dyDescent="0.2">
      <c r="A1590" s="839" t="s">
        <v>460</v>
      </c>
      <c r="B1590" s="436" t="s">
        <v>488</v>
      </c>
      <c r="C1590" s="247" t="s">
        <v>52</v>
      </c>
      <c r="D1590" s="252" t="s">
        <v>135</v>
      </c>
      <c r="E1590" s="494">
        <v>0.27500000000000002</v>
      </c>
      <c r="F1590" s="374" t="s">
        <v>679</v>
      </c>
      <c r="G1590" s="375" t="s">
        <v>16</v>
      </c>
      <c r="H1590" s="381">
        <v>1</v>
      </c>
      <c r="I1590" s="381">
        <v>1</v>
      </c>
      <c r="J1590" s="381">
        <v>1</v>
      </c>
      <c r="K1590" s="381">
        <v>4</v>
      </c>
      <c r="L1590" s="253">
        <v>2</v>
      </c>
      <c r="M1590" s="254">
        <f t="shared" ref="M1590:M1617" si="59">IF( OR( ISBLANK(H1590),ISBLANK(I1590), ISBLANK(J1590), ISBLANK(K1590), ISBLANK(L1590) ), "", 1.5*SQRT( EXP(2.21*(H1590-1)) + EXP(2.21*(I1590-1)) + EXP(2.21*(J1590-1)) + EXP(2.21*(K1590-1)) + EXP(2.21*L1590) )/100*2.45 )</f>
        <v>1.0673825127299523</v>
      </c>
      <c r="N1590" s="479"/>
    </row>
    <row r="1591" spans="1:14" hidden="1" x14ac:dyDescent="0.2">
      <c r="A1591" s="839" t="s">
        <v>460</v>
      </c>
      <c r="B1591" s="436" t="s">
        <v>450</v>
      </c>
      <c r="C1591" s="247" t="s">
        <v>52</v>
      </c>
      <c r="D1591" s="252" t="s">
        <v>135</v>
      </c>
      <c r="E1591" s="494">
        <v>1.0999999999999999E-2</v>
      </c>
      <c r="F1591" s="374" t="s">
        <v>679</v>
      </c>
      <c r="G1591" s="375" t="s">
        <v>16</v>
      </c>
      <c r="H1591" s="381">
        <v>1</v>
      </c>
      <c r="I1591" s="381">
        <v>1</v>
      </c>
      <c r="J1591" s="381">
        <v>1</v>
      </c>
      <c r="K1591" s="381">
        <v>4</v>
      </c>
      <c r="L1591" s="253">
        <v>2</v>
      </c>
      <c r="M1591" s="254">
        <f t="shared" si="59"/>
        <v>1.0673825127299523</v>
      </c>
      <c r="N1591" s="479"/>
    </row>
    <row r="1592" spans="1:14" hidden="1" x14ac:dyDescent="0.2">
      <c r="A1592" s="839" t="s">
        <v>460</v>
      </c>
      <c r="B1592" s="436" t="s">
        <v>661</v>
      </c>
      <c r="C1592" s="493" t="s">
        <v>52</v>
      </c>
      <c r="D1592" s="252" t="s">
        <v>135</v>
      </c>
      <c r="E1592" s="781">
        <v>0</v>
      </c>
      <c r="F1592" s="374" t="s">
        <v>679</v>
      </c>
      <c r="G1592" s="782" t="s">
        <v>16</v>
      </c>
      <c r="H1592" s="781"/>
      <c r="I1592" s="781"/>
      <c r="J1592" s="781"/>
      <c r="K1592" s="781"/>
      <c r="L1592" s="783"/>
      <c r="M1592" s="784" t="str">
        <f t="shared" si="59"/>
        <v/>
      </c>
      <c r="N1592" s="479"/>
    </row>
    <row r="1593" spans="1:14" hidden="1" x14ac:dyDescent="0.2">
      <c r="A1593" s="839" t="s">
        <v>460</v>
      </c>
      <c r="B1593" s="436" t="s">
        <v>451</v>
      </c>
      <c r="C1593" s="247" t="s">
        <v>54</v>
      </c>
      <c r="D1593" s="252" t="s">
        <v>135</v>
      </c>
      <c r="E1593" s="494">
        <v>4.2508342329963693E-2</v>
      </c>
      <c r="F1593" s="374" t="s">
        <v>679</v>
      </c>
      <c r="G1593" s="375" t="s">
        <v>16</v>
      </c>
      <c r="H1593" s="381">
        <v>1</v>
      </c>
      <c r="I1593" s="381">
        <v>1</v>
      </c>
      <c r="J1593" s="381">
        <v>1</v>
      </c>
      <c r="K1593" s="381">
        <v>4</v>
      </c>
      <c r="L1593" s="253">
        <v>2</v>
      </c>
      <c r="M1593" s="254">
        <f t="shared" si="59"/>
        <v>1.0673825127299523</v>
      </c>
      <c r="N1593" s="479"/>
    </row>
    <row r="1594" spans="1:14" hidden="1" x14ac:dyDescent="0.2">
      <c r="A1594" s="839" t="s">
        <v>460</v>
      </c>
      <c r="B1594" s="436" t="s">
        <v>506</v>
      </c>
      <c r="C1594" s="247" t="s">
        <v>54</v>
      </c>
      <c r="D1594" s="252" t="s">
        <v>135</v>
      </c>
      <c r="E1594" s="494">
        <v>0.83138409068603392</v>
      </c>
      <c r="F1594" s="374" t="s">
        <v>679</v>
      </c>
      <c r="G1594" s="375" t="s">
        <v>16</v>
      </c>
      <c r="H1594" s="381">
        <v>1</v>
      </c>
      <c r="I1594" s="381">
        <v>1</v>
      </c>
      <c r="J1594" s="381">
        <v>1</v>
      </c>
      <c r="K1594" s="381">
        <v>4</v>
      </c>
      <c r="L1594" s="253">
        <v>2</v>
      </c>
      <c r="M1594" s="254">
        <f t="shared" si="59"/>
        <v>1.0673825127299523</v>
      </c>
      <c r="N1594" s="479"/>
    </row>
    <row r="1595" spans="1:14" hidden="1" x14ac:dyDescent="0.2">
      <c r="A1595" s="839" t="s">
        <v>460</v>
      </c>
      <c r="B1595" s="436" t="s">
        <v>488</v>
      </c>
      <c r="C1595" s="247" t="s">
        <v>54</v>
      </c>
      <c r="D1595" s="252" t="s">
        <v>135</v>
      </c>
      <c r="E1595" s="494">
        <v>0.1087422710766513</v>
      </c>
      <c r="F1595" s="374" t="s">
        <v>679</v>
      </c>
      <c r="G1595" s="375" t="s">
        <v>16</v>
      </c>
      <c r="H1595" s="381">
        <v>1</v>
      </c>
      <c r="I1595" s="381">
        <v>1</v>
      </c>
      <c r="J1595" s="381">
        <v>1</v>
      </c>
      <c r="K1595" s="381">
        <v>4</v>
      </c>
      <c r="L1595" s="253">
        <v>2</v>
      </c>
      <c r="M1595" s="254">
        <f t="shared" si="59"/>
        <v>1.0673825127299523</v>
      </c>
      <c r="N1595" s="479"/>
    </row>
    <row r="1596" spans="1:14" hidden="1" x14ac:dyDescent="0.2">
      <c r="A1596" s="839" t="s">
        <v>460</v>
      </c>
      <c r="B1596" s="436" t="s">
        <v>450</v>
      </c>
      <c r="C1596" s="247" t="s">
        <v>54</v>
      </c>
      <c r="D1596" s="252" t="s">
        <v>135</v>
      </c>
      <c r="E1596" s="494">
        <v>5.9313966041809798E-3</v>
      </c>
      <c r="F1596" s="374" t="s">
        <v>679</v>
      </c>
      <c r="G1596" s="375" t="s">
        <v>16</v>
      </c>
      <c r="H1596" s="381">
        <v>1</v>
      </c>
      <c r="I1596" s="381">
        <v>1</v>
      </c>
      <c r="J1596" s="381">
        <v>1</v>
      </c>
      <c r="K1596" s="381">
        <v>4</v>
      </c>
      <c r="L1596" s="253">
        <v>2</v>
      </c>
      <c r="M1596" s="254">
        <f t="shared" si="59"/>
        <v>1.0673825127299523</v>
      </c>
      <c r="N1596" s="479"/>
    </row>
    <row r="1597" spans="1:14" hidden="1" x14ac:dyDescent="0.2">
      <c r="A1597" s="839" t="s">
        <v>460</v>
      </c>
      <c r="B1597" s="436" t="s">
        <v>661</v>
      </c>
      <c r="C1597" s="493" t="s">
        <v>54</v>
      </c>
      <c r="D1597" s="252" t="s">
        <v>135</v>
      </c>
      <c r="E1597" s="494">
        <v>1.1433899303170091E-2</v>
      </c>
      <c r="F1597" s="374" t="s">
        <v>679</v>
      </c>
      <c r="G1597" s="375" t="s">
        <v>16</v>
      </c>
      <c r="H1597" s="381">
        <v>1</v>
      </c>
      <c r="I1597" s="381">
        <v>1</v>
      </c>
      <c r="J1597" s="381">
        <v>1</v>
      </c>
      <c r="K1597" s="381">
        <v>4</v>
      </c>
      <c r="L1597" s="253">
        <v>3</v>
      </c>
      <c r="M1597" s="254">
        <f t="shared" si="59"/>
        <v>1.4318190233667305</v>
      </c>
      <c r="N1597" s="479"/>
    </row>
    <row r="1598" spans="1:14" hidden="1" x14ac:dyDescent="0.2">
      <c r="A1598" s="839" t="s">
        <v>460</v>
      </c>
      <c r="B1598" s="436" t="s">
        <v>451</v>
      </c>
      <c r="C1598" s="247" t="s">
        <v>55</v>
      </c>
      <c r="D1598" s="252" t="s">
        <v>135</v>
      </c>
      <c r="E1598" s="494">
        <v>3.5258985276999437E-2</v>
      </c>
      <c r="F1598" s="374" t="s">
        <v>679</v>
      </c>
      <c r="G1598" s="375" t="s">
        <v>16</v>
      </c>
      <c r="H1598" s="381">
        <v>1</v>
      </c>
      <c r="I1598" s="381">
        <v>1</v>
      </c>
      <c r="J1598" s="381">
        <v>1</v>
      </c>
      <c r="K1598" s="381">
        <v>4</v>
      </c>
      <c r="L1598" s="253">
        <v>2</v>
      </c>
      <c r="M1598" s="254">
        <f t="shared" si="59"/>
        <v>1.0673825127299523</v>
      </c>
      <c r="N1598" s="479"/>
    </row>
    <row r="1599" spans="1:14" hidden="1" x14ac:dyDescent="0.2">
      <c r="A1599" s="839" t="s">
        <v>460</v>
      </c>
      <c r="B1599" s="436" t="s">
        <v>506</v>
      </c>
      <c r="C1599" s="247" t="s">
        <v>55</v>
      </c>
      <c r="D1599" s="252" t="s">
        <v>135</v>
      </c>
      <c r="E1599" s="494">
        <v>0.645144136014287</v>
      </c>
      <c r="F1599" s="374" t="s">
        <v>679</v>
      </c>
      <c r="G1599" s="375" t="s">
        <v>16</v>
      </c>
      <c r="H1599" s="381">
        <v>1</v>
      </c>
      <c r="I1599" s="381">
        <v>1</v>
      </c>
      <c r="J1599" s="381">
        <v>1</v>
      </c>
      <c r="K1599" s="381">
        <v>4</v>
      </c>
      <c r="L1599" s="253">
        <v>2</v>
      </c>
      <c r="M1599" s="254">
        <f t="shared" si="59"/>
        <v>1.0673825127299523</v>
      </c>
      <c r="N1599" s="479"/>
    </row>
    <row r="1600" spans="1:14" hidden="1" x14ac:dyDescent="0.2">
      <c r="A1600" s="839" t="s">
        <v>460</v>
      </c>
      <c r="B1600" s="436" t="s">
        <v>488</v>
      </c>
      <c r="C1600" s="247" t="s">
        <v>55</v>
      </c>
      <c r="D1600" s="252" t="s">
        <v>135</v>
      </c>
      <c r="E1600" s="494">
        <v>0.26110708015940121</v>
      </c>
      <c r="F1600" s="374" t="s">
        <v>679</v>
      </c>
      <c r="G1600" s="375" t="s">
        <v>16</v>
      </c>
      <c r="H1600" s="381">
        <v>1</v>
      </c>
      <c r="I1600" s="381">
        <v>1</v>
      </c>
      <c r="J1600" s="381">
        <v>1</v>
      </c>
      <c r="K1600" s="381">
        <v>4</v>
      </c>
      <c r="L1600" s="253">
        <v>2</v>
      </c>
      <c r="M1600" s="254">
        <f t="shared" si="59"/>
        <v>1.0673825127299523</v>
      </c>
      <c r="N1600" s="479"/>
    </row>
    <row r="1601" spans="1:14" hidden="1" x14ac:dyDescent="0.2">
      <c r="A1601" s="839" t="s">
        <v>460</v>
      </c>
      <c r="B1601" s="436" t="s">
        <v>450</v>
      </c>
      <c r="C1601" s="247" t="s">
        <v>55</v>
      </c>
      <c r="D1601" s="252" t="s">
        <v>135</v>
      </c>
      <c r="E1601" s="494">
        <v>1.0482401028297131E-2</v>
      </c>
      <c r="F1601" s="374" t="s">
        <v>679</v>
      </c>
      <c r="G1601" s="375" t="s">
        <v>16</v>
      </c>
      <c r="H1601" s="381">
        <v>1</v>
      </c>
      <c r="I1601" s="381">
        <v>1</v>
      </c>
      <c r="J1601" s="381">
        <v>1</v>
      </c>
      <c r="K1601" s="381">
        <v>4</v>
      </c>
      <c r="L1601" s="253">
        <v>2</v>
      </c>
      <c r="M1601" s="254">
        <f t="shared" si="59"/>
        <v>1.0673825127299523</v>
      </c>
      <c r="N1601" s="479"/>
    </row>
    <row r="1602" spans="1:14" hidden="1" x14ac:dyDescent="0.2">
      <c r="A1602" s="839" t="s">
        <v>460</v>
      </c>
      <c r="B1602" s="436" t="s">
        <v>661</v>
      </c>
      <c r="C1602" s="493" t="s">
        <v>55</v>
      </c>
      <c r="D1602" s="252" t="s">
        <v>135</v>
      </c>
      <c r="E1602" s="494">
        <v>4.7054451972988243E-2</v>
      </c>
      <c r="F1602" s="374" t="s">
        <v>679</v>
      </c>
      <c r="G1602" s="375" t="s">
        <v>16</v>
      </c>
      <c r="H1602" s="381">
        <v>1</v>
      </c>
      <c r="I1602" s="381">
        <v>1</v>
      </c>
      <c r="J1602" s="381">
        <v>1</v>
      </c>
      <c r="K1602" s="381">
        <v>4</v>
      </c>
      <c r="L1602" s="253">
        <v>3</v>
      </c>
      <c r="M1602" s="254">
        <f t="shared" si="59"/>
        <v>1.4318190233667305</v>
      </c>
      <c r="N1602" s="479"/>
    </row>
    <row r="1603" spans="1:14" hidden="1" x14ac:dyDescent="0.2">
      <c r="A1603" s="839" t="s">
        <v>460</v>
      </c>
      <c r="B1603" s="436" t="s">
        <v>451</v>
      </c>
      <c r="C1603" s="247" t="s">
        <v>57</v>
      </c>
      <c r="D1603" s="252" t="s">
        <v>135</v>
      </c>
      <c r="E1603" s="494">
        <v>1.731594983348686E-2</v>
      </c>
      <c r="F1603" s="374" t="s">
        <v>679</v>
      </c>
      <c r="G1603" s="375" t="s">
        <v>16</v>
      </c>
      <c r="H1603" s="381">
        <v>1</v>
      </c>
      <c r="I1603" s="381">
        <v>1</v>
      </c>
      <c r="J1603" s="381">
        <v>1</v>
      </c>
      <c r="K1603" s="381">
        <v>4</v>
      </c>
      <c r="L1603" s="253">
        <v>2</v>
      </c>
      <c r="M1603" s="254">
        <f t="shared" si="59"/>
        <v>1.0673825127299523</v>
      </c>
      <c r="N1603" s="479"/>
    </row>
    <row r="1604" spans="1:14" hidden="1" x14ac:dyDescent="0.2">
      <c r="A1604" s="839" t="s">
        <v>460</v>
      </c>
      <c r="B1604" s="436" t="s">
        <v>506</v>
      </c>
      <c r="C1604" s="247" t="s">
        <v>57</v>
      </c>
      <c r="D1604" s="252" t="s">
        <v>135</v>
      </c>
      <c r="E1604" s="494">
        <v>0.75997779824747869</v>
      </c>
      <c r="F1604" s="374" t="s">
        <v>679</v>
      </c>
      <c r="G1604" s="375" t="s">
        <v>16</v>
      </c>
      <c r="H1604" s="381">
        <v>1</v>
      </c>
      <c r="I1604" s="381">
        <v>1</v>
      </c>
      <c r="J1604" s="381">
        <v>1</v>
      </c>
      <c r="K1604" s="381">
        <v>4</v>
      </c>
      <c r="L1604" s="253">
        <v>2</v>
      </c>
      <c r="M1604" s="254">
        <f t="shared" si="59"/>
        <v>1.0673825127299523</v>
      </c>
      <c r="N1604" s="479"/>
    </row>
    <row r="1605" spans="1:14" hidden="1" x14ac:dyDescent="0.2">
      <c r="A1605" s="839" t="s">
        <v>460</v>
      </c>
      <c r="B1605" s="436" t="s">
        <v>488</v>
      </c>
      <c r="C1605" s="247" t="s">
        <v>57</v>
      </c>
      <c r="D1605" s="252" t="s">
        <v>135</v>
      </c>
      <c r="E1605" s="494">
        <v>3.8479888518859681E-2</v>
      </c>
      <c r="F1605" s="374" t="s">
        <v>679</v>
      </c>
      <c r="G1605" s="375" t="s">
        <v>16</v>
      </c>
      <c r="H1605" s="381">
        <v>1</v>
      </c>
      <c r="I1605" s="381">
        <v>1</v>
      </c>
      <c r="J1605" s="381">
        <v>1</v>
      </c>
      <c r="K1605" s="381">
        <v>4</v>
      </c>
      <c r="L1605" s="253">
        <v>2</v>
      </c>
      <c r="M1605" s="254">
        <f t="shared" si="59"/>
        <v>1.0673825127299523</v>
      </c>
      <c r="N1605" s="479"/>
    </row>
    <row r="1606" spans="1:14" hidden="1" x14ac:dyDescent="0.2">
      <c r="A1606" s="839" t="s">
        <v>460</v>
      </c>
      <c r="B1606" s="436" t="s">
        <v>450</v>
      </c>
      <c r="C1606" s="247" t="s">
        <v>57</v>
      </c>
      <c r="D1606" s="252" t="s">
        <v>135</v>
      </c>
      <c r="E1606" s="494">
        <v>0.14526157915869531</v>
      </c>
      <c r="F1606" s="374" t="s">
        <v>679</v>
      </c>
      <c r="G1606" s="375" t="s">
        <v>16</v>
      </c>
      <c r="H1606" s="381">
        <v>1</v>
      </c>
      <c r="I1606" s="381">
        <v>1</v>
      </c>
      <c r="J1606" s="381">
        <v>1</v>
      </c>
      <c r="K1606" s="381">
        <v>4</v>
      </c>
      <c r="L1606" s="253">
        <v>2</v>
      </c>
      <c r="M1606" s="254">
        <f t="shared" si="59"/>
        <v>1.0673825127299523</v>
      </c>
      <c r="N1606" s="479"/>
    </row>
    <row r="1607" spans="1:14" hidden="1" x14ac:dyDescent="0.2">
      <c r="A1607" s="839" t="s">
        <v>460</v>
      </c>
      <c r="B1607" s="436" t="s">
        <v>661</v>
      </c>
      <c r="C1607" s="493" t="s">
        <v>57</v>
      </c>
      <c r="D1607" s="252" t="s">
        <v>135</v>
      </c>
      <c r="E1607" s="494">
        <v>3.8002787028507998E-2</v>
      </c>
      <c r="F1607" s="374" t="s">
        <v>679</v>
      </c>
      <c r="G1607" s="375" t="s">
        <v>16</v>
      </c>
      <c r="H1607" s="381">
        <v>1</v>
      </c>
      <c r="I1607" s="381">
        <v>1</v>
      </c>
      <c r="J1607" s="381">
        <v>1</v>
      </c>
      <c r="K1607" s="381">
        <v>4</v>
      </c>
      <c r="L1607" s="253">
        <v>3</v>
      </c>
      <c r="M1607" s="254">
        <f t="shared" si="59"/>
        <v>1.4318190233667305</v>
      </c>
      <c r="N1607" s="479"/>
    </row>
    <row r="1608" spans="1:14" hidden="1" x14ac:dyDescent="0.2">
      <c r="A1608" s="839" t="s">
        <v>460</v>
      </c>
      <c r="B1608" s="436" t="s">
        <v>451</v>
      </c>
      <c r="C1608" s="247" t="s">
        <v>59</v>
      </c>
      <c r="D1608" s="252" t="s">
        <v>135</v>
      </c>
      <c r="E1608" s="495">
        <v>7.4999999999999997E-2</v>
      </c>
      <c r="F1608" s="374" t="s">
        <v>679</v>
      </c>
      <c r="G1608" s="375" t="s">
        <v>16</v>
      </c>
      <c r="H1608" s="381">
        <v>1</v>
      </c>
      <c r="I1608" s="381">
        <v>1</v>
      </c>
      <c r="J1608" s="381">
        <v>1</v>
      </c>
      <c r="K1608" s="381">
        <v>4</v>
      </c>
      <c r="L1608" s="253">
        <v>2</v>
      </c>
      <c r="M1608" s="254">
        <f t="shared" si="59"/>
        <v>1.0673825127299523</v>
      </c>
      <c r="N1608" s="479"/>
    </row>
    <row r="1609" spans="1:14" hidden="1" x14ac:dyDescent="0.2">
      <c r="A1609" s="839" t="s">
        <v>460</v>
      </c>
      <c r="B1609" s="436" t="s">
        <v>506</v>
      </c>
      <c r="C1609" s="247" t="s">
        <v>59</v>
      </c>
      <c r="D1609" s="252" t="s">
        <v>135</v>
      </c>
      <c r="E1609" s="494">
        <v>0.52300000000000002</v>
      </c>
      <c r="F1609" s="374" t="s">
        <v>679</v>
      </c>
      <c r="G1609" s="251" t="s">
        <v>16</v>
      </c>
      <c r="H1609" s="381">
        <v>1</v>
      </c>
      <c r="I1609" s="381">
        <v>1</v>
      </c>
      <c r="J1609" s="381">
        <v>1</v>
      </c>
      <c r="K1609" s="381">
        <v>4</v>
      </c>
      <c r="L1609" s="253">
        <v>2</v>
      </c>
      <c r="M1609" s="254">
        <f t="shared" si="59"/>
        <v>1.0673825127299523</v>
      </c>
      <c r="N1609" s="479"/>
    </row>
    <row r="1610" spans="1:14" hidden="1" x14ac:dyDescent="0.2">
      <c r="A1610" s="839" t="s">
        <v>460</v>
      </c>
      <c r="B1610" s="436" t="s">
        <v>488</v>
      </c>
      <c r="C1610" s="247" t="s">
        <v>59</v>
      </c>
      <c r="D1610" s="252" t="s">
        <v>135</v>
      </c>
      <c r="E1610" s="494">
        <v>0.35899999999999999</v>
      </c>
      <c r="F1610" s="374" t="s">
        <v>679</v>
      </c>
      <c r="G1610" s="251" t="s">
        <v>16</v>
      </c>
      <c r="H1610" s="381">
        <v>1</v>
      </c>
      <c r="I1610" s="381">
        <v>1</v>
      </c>
      <c r="J1610" s="381">
        <v>1</v>
      </c>
      <c r="K1610" s="381">
        <v>4</v>
      </c>
      <c r="L1610" s="253">
        <v>2</v>
      </c>
      <c r="M1610" s="254">
        <f t="shared" si="59"/>
        <v>1.0673825127299523</v>
      </c>
      <c r="N1610" s="479"/>
    </row>
    <row r="1611" spans="1:14" hidden="1" x14ac:dyDescent="0.2">
      <c r="A1611" s="839" t="s">
        <v>460</v>
      </c>
      <c r="B1611" s="436" t="s">
        <v>450</v>
      </c>
      <c r="C1611" s="247" t="s">
        <v>59</v>
      </c>
      <c r="D1611" s="252" t="s">
        <v>135</v>
      </c>
      <c r="E1611" s="494">
        <v>4.2999999999999997E-2</v>
      </c>
      <c r="F1611" s="374" t="s">
        <v>679</v>
      </c>
      <c r="G1611" s="251" t="s">
        <v>16</v>
      </c>
      <c r="H1611" s="381">
        <v>1</v>
      </c>
      <c r="I1611" s="381">
        <v>1</v>
      </c>
      <c r="J1611" s="381">
        <v>1</v>
      </c>
      <c r="K1611" s="381">
        <v>4</v>
      </c>
      <c r="L1611" s="253">
        <v>2</v>
      </c>
      <c r="M1611" s="254">
        <f t="shared" si="59"/>
        <v>1.0673825127299523</v>
      </c>
      <c r="N1611" s="479"/>
    </row>
    <row r="1612" spans="1:14" hidden="1" x14ac:dyDescent="0.2">
      <c r="A1612" s="839" t="s">
        <v>460</v>
      </c>
      <c r="B1612" s="436" t="s">
        <v>661</v>
      </c>
      <c r="C1612" s="493" t="s">
        <v>59</v>
      </c>
      <c r="D1612" s="252" t="s">
        <v>135</v>
      </c>
      <c r="E1612" s="781">
        <v>0</v>
      </c>
      <c r="F1612" s="374" t="s">
        <v>679</v>
      </c>
      <c r="G1612" s="782" t="s">
        <v>16</v>
      </c>
      <c r="H1612" s="781"/>
      <c r="I1612" s="781"/>
      <c r="J1612" s="781"/>
      <c r="K1612" s="781"/>
      <c r="L1612" s="783"/>
      <c r="M1612" s="784" t="str">
        <f t="shared" si="59"/>
        <v/>
      </c>
      <c r="N1612" s="479"/>
    </row>
    <row r="1613" spans="1:14" hidden="1" x14ac:dyDescent="0.2">
      <c r="A1613" s="839" t="s">
        <v>460</v>
      </c>
      <c r="B1613" s="436" t="s">
        <v>451</v>
      </c>
      <c r="C1613" s="247" t="s">
        <v>60</v>
      </c>
      <c r="D1613" s="252" t="s">
        <v>135</v>
      </c>
      <c r="E1613" s="495">
        <v>5.0955289672544077E-2</v>
      </c>
      <c r="F1613" s="374" t="s">
        <v>679</v>
      </c>
      <c r="G1613" s="375" t="s">
        <v>16</v>
      </c>
      <c r="H1613" s="381">
        <v>1</v>
      </c>
      <c r="I1613" s="381">
        <v>1</v>
      </c>
      <c r="J1613" s="381">
        <v>1</v>
      </c>
      <c r="K1613" s="381">
        <v>4</v>
      </c>
      <c r="L1613" s="253">
        <v>2</v>
      </c>
      <c r="M1613" s="254">
        <f t="shared" si="59"/>
        <v>1.0673825127299523</v>
      </c>
      <c r="N1613" s="479"/>
    </row>
    <row r="1614" spans="1:14" hidden="1" x14ac:dyDescent="0.2">
      <c r="A1614" s="839" t="s">
        <v>460</v>
      </c>
      <c r="B1614" s="436" t="s">
        <v>506</v>
      </c>
      <c r="C1614" s="247" t="s">
        <v>60</v>
      </c>
      <c r="D1614" s="252" t="s">
        <v>135</v>
      </c>
      <c r="E1614" s="494">
        <v>0.5692661268104533</v>
      </c>
      <c r="F1614" s="374" t="s">
        <v>679</v>
      </c>
      <c r="G1614" s="251" t="s">
        <v>16</v>
      </c>
      <c r="H1614" s="381">
        <v>1</v>
      </c>
      <c r="I1614" s="381">
        <v>1</v>
      </c>
      <c r="J1614" s="381">
        <v>1</v>
      </c>
      <c r="K1614" s="381">
        <v>4</v>
      </c>
      <c r="L1614" s="253">
        <v>2</v>
      </c>
      <c r="M1614" s="254">
        <f t="shared" si="59"/>
        <v>1.0673825127299523</v>
      </c>
      <c r="N1614" s="479"/>
    </row>
    <row r="1615" spans="1:14" hidden="1" x14ac:dyDescent="0.2">
      <c r="A1615" s="839" t="s">
        <v>460</v>
      </c>
      <c r="B1615" s="436" t="s">
        <v>488</v>
      </c>
      <c r="C1615" s="247" t="s">
        <v>60</v>
      </c>
      <c r="D1615" s="252" t="s">
        <v>135</v>
      </c>
      <c r="E1615" s="494">
        <v>0.13933087019836271</v>
      </c>
      <c r="F1615" s="374" t="s">
        <v>679</v>
      </c>
      <c r="G1615" s="251" t="s">
        <v>16</v>
      </c>
      <c r="H1615" s="381">
        <v>1</v>
      </c>
      <c r="I1615" s="381">
        <v>1</v>
      </c>
      <c r="J1615" s="381">
        <v>1</v>
      </c>
      <c r="K1615" s="381">
        <v>4</v>
      </c>
      <c r="L1615" s="253">
        <v>2</v>
      </c>
      <c r="M1615" s="254">
        <f t="shared" si="59"/>
        <v>1.0673825127299523</v>
      </c>
      <c r="N1615" s="479"/>
    </row>
    <row r="1616" spans="1:14" hidden="1" x14ac:dyDescent="0.2">
      <c r="A1616" s="839" t="s">
        <v>460</v>
      </c>
      <c r="B1616" s="436" t="s">
        <v>450</v>
      </c>
      <c r="C1616" s="247" t="s">
        <v>60</v>
      </c>
      <c r="D1616" s="252" t="s">
        <v>135</v>
      </c>
      <c r="E1616" s="494">
        <v>3.662411445214106E-2</v>
      </c>
      <c r="F1616" s="374" t="s">
        <v>679</v>
      </c>
      <c r="G1616" s="251" t="s">
        <v>16</v>
      </c>
      <c r="H1616" s="381">
        <v>1</v>
      </c>
      <c r="I1616" s="381">
        <v>1</v>
      </c>
      <c r="J1616" s="381">
        <v>1</v>
      </c>
      <c r="K1616" s="381">
        <v>4</v>
      </c>
      <c r="L1616" s="253">
        <v>2</v>
      </c>
      <c r="M1616" s="254">
        <f t="shared" si="59"/>
        <v>1.0673825127299523</v>
      </c>
      <c r="N1616" s="479"/>
    </row>
    <row r="1617" spans="1:14" hidden="1" x14ac:dyDescent="0.2">
      <c r="A1617" s="841" t="s">
        <v>460</v>
      </c>
      <c r="B1617" s="440" t="s">
        <v>661</v>
      </c>
      <c r="C1617" s="659" t="s">
        <v>60</v>
      </c>
      <c r="D1617" s="291" t="s">
        <v>135</v>
      </c>
      <c r="E1617" s="658">
        <v>0.2038235988664987</v>
      </c>
      <c r="F1617" s="399" t="s">
        <v>679</v>
      </c>
      <c r="G1617" s="290" t="s">
        <v>16</v>
      </c>
      <c r="H1617" s="409">
        <v>1</v>
      </c>
      <c r="I1617" s="409">
        <v>1</v>
      </c>
      <c r="J1617" s="409">
        <v>1</v>
      </c>
      <c r="K1617" s="409">
        <v>4</v>
      </c>
      <c r="L1617" s="292">
        <v>3</v>
      </c>
      <c r="M1617" s="293">
        <f t="shared" si="59"/>
        <v>1.4318190233667305</v>
      </c>
      <c r="N1617" s="631"/>
    </row>
  </sheetData>
  <autoFilter ref="A1:N1617" xr:uid="{00000000-0009-0000-0000-000006000000}">
    <filterColumn colId="2">
      <filters>
        <filter val="any"/>
        <filter val="AT"/>
      </filters>
    </filterColumn>
  </autoFilter>
  <conditionalFormatting sqref="H1:L1">
    <cfRule type="dataBar" priority="1639">
      <dataBar>
        <cfvo type="min"/>
        <cfvo type="max"/>
        <color rgb="FFFFB628"/>
      </dataBar>
    </cfRule>
  </conditionalFormatting>
  <conditionalFormatting sqref="H2:L2">
    <cfRule type="dataBar" priority="1170">
      <dataBar>
        <cfvo type="min"/>
        <cfvo type="max"/>
        <color rgb="FFFFB628"/>
      </dataBar>
    </cfRule>
    <cfRule type="dataBar" priority="1171">
      <dataBar>
        <cfvo type="min"/>
        <cfvo type="max"/>
        <color rgb="FFFFB628"/>
      </dataBar>
    </cfRule>
    <cfRule type="dataBar" priority="1169">
      <dataBar>
        <cfvo type="min"/>
        <cfvo type="max"/>
        <color rgb="FFFFB628"/>
      </dataBar>
    </cfRule>
    <cfRule type="dataBar" priority="1172">
      <dataBar>
        <cfvo type="min"/>
        <cfvo type="max"/>
        <color rgb="FFFFB628"/>
      </dataBar>
    </cfRule>
  </conditionalFormatting>
  <conditionalFormatting sqref="H3:L55">
    <cfRule type="dataBar" priority="1179">
      <dataBar>
        <cfvo type="min"/>
        <cfvo type="max"/>
        <color rgb="FFFFB628"/>
      </dataBar>
    </cfRule>
    <cfRule type="dataBar" priority="1178">
      <dataBar>
        <cfvo type="min"/>
        <cfvo type="max"/>
        <color rgb="FFFFB628"/>
      </dataBar>
    </cfRule>
    <cfRule type="dataBar" priority="1177">
      <dataBar>
        <cfvo type="min"/>
        <cfvo type="max"/>
        <color rgb="FFFFB628"/>
      </dataBar>
    </cfRule>
    <cfRule type="dataBar" priority="1176">
      <dataBar>
        <cfvo type="min"/>
        <cfvo type="max"/>
        <color rgb="FFFFB628"/>
      </dataBar>
    </cfRule>
  </conditionalFormatting>
  <conditionalFormatting sqref="H56:L56">
    <cfRule type="dataBar" priority="1183">
      <dataBar>
        <cfvo type="min"/>
        <cfvo type="max"/>
        <color rgb="FFFFB628"/>
      </dataBar>
    </cfRule>
    <cfRule type="dataBar" priority="1182">
      <dataBar>
        <cfvo type="min"/>
        <cfvo type="max"/>
        <color rgb="FFFFB628"/>
      </dataBar>
    </cfRule>
    <cfRule type="dataBar" priority="1181">
      <dataBar>
        <cfvo type="min"/>
        <cfvo type="max"/>
        <color rgb="FFFFB628"/>
      </dataBar>
    </cfRule>
    <cfRule type="dataBar" priority="1180">
      <dataBar>
        <cfvo type="min"/>
        <cfvo type="max"/>
        <color rgb="FFFFB628"/>
      </dataBar>
    </cfRule>
  </conditionalFormatting>
  <conditionalFormatting sqref="H57:L57">
    <cfRule type="dataBar" priority="1188">
      <dataBar>
        <cfvo type="min"/>
        <cfvo type="max"/>
        <color rgb="FFFFB628"/>
      </dataBar>
    </cfRule>
    <cfRule type="dataBar" priority="1187">
      <dataBar>
        <cfvo type="min"/>
        <cfvo type="max"/>
        <color rgb="FFFFB628"/>
      </dataBar>
    </cfRule>
    <cfRule type="dataBar" priority="1190">
      <dataBar>
        <cfvo type="min"/>
        <cfvo type="max"/>
        <color rgb="FFFFB628"/>
      </dataBar>
    </cfRule>
    <cfRule type="dataBar" priority="1189">
      <dataBar>
        <cfvo type="min"/>
        <cfvo type="max"/>
        <color rgb="FFFFB628"/>
      </dataBar>
    </cfRule>
  </conditionalFormatting>
  <conditionalFormatting sqref="H58:L58">
    <cfRule type="dataBar" priority="1159">
      <dataBar>
        <cfvo type="min"/>
        <cfvo type="max"/>
        <color rgb="FFFFB628"/>
      </dataBar>
    </cfRule>
    <cfRule type="dataBar" priority="1160">
      <dataBar>
        <cfvo type="min"/>
        <cfvo type="max"/>
        <color rgb="FFFFB628"/>
      </dataBar>
    </cfRule>
    <cfRule type="dataBar" priority="1161">
      <dataBar>
        <cfvo type="min"/>
        <cfvo type="max"/>
        <color rgb="FFFFB628"/>
      </dataBar>
    </cfRule>
    <cfRule type="dataBar" priority="1158">
      <dataBar>
        <cfvo type="min"/>
        <cfvo type="max"/>
        <color rgb="FFFFB628"/>
      </dataBar>
    </cfRule>
  </conditionalFormatting>
  <conditionalFormatting sqref="H59:L59">
    <cfRule type="dataBar" priority="1168">
      <dataBar>
        <cfvo type="min"/>
        <cfvo type="max"/>
        <color rgb="FFFFB628"/>
      </dataBar>
    </cfRule>
    <cfRule type="dataBar" priority="1165">
      <dataBar>
        <cfvo type="min"/>
        <cfvo type="max"/>
        <color rgb="FFFFB628"/>
      </dataBar>
    </cfRule>
    <cfRule type="dataBar" priority="1166">
      <dataBar>
        <cfvo type="min"/>
        <cfvo type="max"/>
        <color rgb="FFFFB628"/>
      </dataBar>
    </cfRule>
    <cfRule type="dataBar" priority="1167">
      <dataBar>
        <cfvo type="min"/>
        <cfvo type="max"/>
        <color rgb="FFFFB628"/>
      </dataBar>
    </cfRule>
  </conditionalFormatting>
  <conditionalFormatting sqref="H60:L60">
    <cfRule type="dataBar" priority="1194">
      <dataBar>
        <cfvo type="min"/>
        <cfvo type="max"/>
        <color rgb="FFFFB628"/>
      </dataBar>
    </cfRule>
    <cfRule type="dataBar" priority="1191">
      <dataBar>
        <cfvo type="min"/>
        <cfvo type="max"/>
        <color rgb="FFFFB628"/>
      </dataBar>
    </cfRule>
    <cfRule type="dataBar" priority="1192">
      <dataBar>
        <cfvo type="min"/>
        <cfvo type="max"/>
        <color rgb="FFFFB628"/>
      </dataBar>
    </cfRule>
    <cfRule type="dataBar" priority="1193">
      <dataBar>
        <cfvo type="min"/>
        <cfvo type="max"/>
        <color rgb="FFFFB628"/>
      </dataBar>
    </cfRule>
  </conditionalFormatting>
  <conditionalFormatting sqref="H61:L61 H121:L121 H181:L181 H241:L241 H301:L301 H361:L361 H421:L421 H481:L481 H541:L541 H601:L601 H661:L661">
    <cfRule type="dataBar" priority="1200">
      <dataBar>
        <cfvo type="min"/>
        <cfvo type="max"/>
        <color rgb="FFFFB628"/>
      </dataBar>
    </cfRule>
    <cfRule type="dataBar" priority="1199">
      <dataBar>
        <cfvo type="min"/>
        <cfvo type="max"/>
        <color rgb="FFFFB628"/>
      </dataBar>
    </cfRule>
    <cfRule type="dataBar" priority="1198">
      <dataBar>
        <cfvo type="min"/>
        <cfvo type="max"/>
        <color rgb="FFFFB628"/>
      </dataBar>
    </cfRule>
    <cfRule type="dataBar" priority="1201">
      <dataBar>
        <cfvo type="min"/>
        <cfvo type="max"/>
        <color rgb="FFFFB628"/>
      </dataBar>
    </cfRule>
  </conditionalFormatting>
  <conditionalFormatting sqref="H62:L62">
    <cfRule type="dataBar" priority="1131">
      <dataBar>
        <cfvo type="min"/>
        <cfvo type="max"/>
        <color rgb="FFFFB628"/>
      </dataBar>
    </cfRule>
    <cfRule type="dataBar" priority="1132">
      <dataBar>
        <cfvo type="min"/>
        <cfvo type="max"/>
        <color rgb="FFFFB628"/>
      </dataBar>
    </cfRule>
    <cfRule type="dataBar" priority="1133">
      <dataBar>
        <cfvo type="min"/>
        <cfvo type="max"/>
        <color rgb="FFFFB628"/>
      </dataBar>
    </cfRule>
    <cfRule type="dataBar" priority="1134">
      <dataBar>
        <cfvo type="min"/>
        <cfvo type="max"/>
        <color rgb="FFFFB628"/>
      </dataBar>
    </cfRule>
  </conditionalFormatting>
  <conditionalFormatting sqref="H63:L115">
    <cfRule type="dataBar" priority="1140">
      <dataBar>
        <cfvo type="min"/>
        <cfvo type="max"/>
        <color rgb="FFFFB628"/>
      </dataBar>
    </cfRule>
    <cfRule type="dataBar" priority="1138">
      <dataBar>
        <cfvo type="min"/>
        <cfvo type="max"/>
        <color rgb="FFFFB628"/>
      </dataBar>
    </cfRule>
    <cfRule type="dataBar" priority="1139">
      <dataBar>
        <cfvo type="min"/>
        <cfvo type="max"/>
        <color rgb="FFFFB628"/>
      </dataBar>
    </cfRule>
    <cfRule type="dataBar" priority="1141">
      <dataBar>
        <cfvo type="min"/>
        <cfvo type="max"/>
        <color rgb="FFFFB628"/>
      </dataBar>
    </cfRule>
  </conditionalFormatting>
  <conditionalFormatting sqref="H116:L116">
    <cfRule type="dataBar" priority="1142">
      <dataBar>
        <cfvo type="min"/>
        <cfvo type="max"/>
        <color rgb="FFFFB628"/>
      </dataBar>
    </cfRule>
    <cfRule type="dataBar" priority="1143">
      <dataBar>
        <cfvo type="min"/>
        <cfvo type="max"/>
        <color rgb="FFFFB628"/>
      </dataBar>
    </cfRule>
    <cfRule type="dataBar" priority="1145">
      <dataBar>
        <cfvo type="min"/>
        <cfvo type="max"/>
        <color rgb="FFFFB628"/>
      </dataBar>
    </cfRule>
    <cfRule type="dataBar" priority="1144">
      <dataBar>
        <cfvo type="min"/>
        <cfvo type="max"/>
        <color rgb="FFFFB628"/>
      </dataBar>
    </cfRule>
  </conditionalFormatting>
  <conditionalFormatting sqref="H117:L117">
    <cfRule type="dataBar" priority="1150">
      <dataBar>
        <cfvo type="min"/>
        <cfvo type="max"/>
        <color rgb="FFFFB628"/>
      </dataBar>
    </cfRule>
    <cfRule type="dataBar" priority="1151">
      <dataBar>
        <cfvo type="min"/>
        <cfvo type="max"/>
        <color rgb="FFFFB628"/>
      </dataBar>
    </cfRule>
    <cfRule type="dataBar" priority="1149">
      <dataBar>
        <cfvo type="min"/>
        <cfvo type="max"/>
        <color rgb="FFFFB628"/>
      </dataBar>
    </cfRule>
    <cfRule type="dataBar" priority="1152">
      <dataBar>
        <cfvo type="min"/>
        <cfvo type="max"/>
        <color rgb="FFFFB628"/>
      </dataBar>
    </cfRule>
  </conditionalFormatting>
  <conditionalFormatting sqref="H118:L118">
    <cfRule type="dataBar" priority="1123">
      <dataBar>
        <cfvo type="min"/>
        <cfvo type="max"/>
        <color rgb="FFFFB628"/>
      </dataBar>
    </cfRule>
    <cfRule type="dataBar" priority="1122">
      <dataBar>
        <cfvo type="min"/>
        <cfvo type="max"/>
        <color rgb="FFFFB628"/>
      </dataBar>
    </cfRule>
    <cfRule type="dataBar" priority="1120">
      <dataBar>
        <cfvo type="min"/>
        <cfvo type="max"/>
        <color rgb="FFFFB628"/>
      </dataBar>
    </cfRule>
    <cfRule type="dataBar" priority="1121">
      <dataBar>
        <cfvo type="min"/>
        <cfvo type="max"/>
        <color rgb="FFFFB628"/>
      </dataBar>
    </cfRule>
  </conditionalFormatting>
  <conditionalFormatting sqref="H119:L119">
    <cfRule type="dataBar" priority="1127">
      <dataBar>
        <cfvo type="min"/>
        <cfvo type="max"/>
        <color rgb="FFFFB628"/>
      </dataBar>
    </cfRule>
    <cfRule type="dataBar" priority="1128">
      <dataBar>
        <cfvo type="min"/>
        <cfvo type="max"/>
        <color rgb="FFFFB628"/>
      </dataBar>
    </cfRule>
    <cfRule type="dataBar" priority="1129">
      <dataBar>
        <cfvo type="min"/>
        <cfvo type="max"/>
        <color rgb="FFFFB628"/>
      </dataBar>
    </cfRule>
    <cfRule type="dataBar" priority="1130">
      <dataBar>
        <cfvo type="min"/>
        <cfvo type="max"/>
        <color rgb="FFFFB628"/>
      </dataBar>
    </cfRule>
  </conditionalFormatting>
  <conditionalFormatting sqref="H120:L120">
    <cfRule type="dataBar" priority="1156">
      <dataBar>
        <cfvo type="min"/>
        <cfvo type="max"/>
        <color rgb="FFFFB628"/>
      </dataBar>
    </cfRule>
    <cfRule type="dataBar" priority="1155">
      <dataBar>
        <cfvo type="min"/>
        <cfvo type="max"/>
        <color rgb="FFFFB628"/>
      </dataBar>
    </cfRule>
    <cfRule type="dataBar" priority="1154">
      <dataBar>
        <cfvo type="min"/>
        <cfvo type="max"/>
        <color rgb="FFFFB628"/>
      </dataBar>
    </cfRule>
    <cfRule type="dataBar" priority="1153">
      <dataBar>
        <cfvo type="min"/>
        <cfvo type="max"/>
        <color rgb="FFFFB628"/>
      </dataBar>
    </cfRule>
  </conditionalFormatting>
  <conditionalFormatting sqref="H122:L122">
    <cfRule type="dataBar" priority="1094">
      <dataBar>
        <cfvo type="min"/>
        <cfvo type="max"/>
        <color rgb="FFFFB628"/>
      </dataBar>
    </cfRule>
    <cfRule type="dataBar" priority="1096">
      <dataBar>
        <cfvo type="min"/>
        <cfvo type="max"/>
        <color rgb="FFFFB628"/>
      </dataBar>
    </cfRule>
    <cfRule type="dataBar" priority="1095">
      <dataBar>
        <cfvo type="min"/>
        <cfvo type="max"/>
        <color rgb="FFFFB628"/>
      </dataBar>
    </cfRule>
    <cfRule type="dataBar" priority="1093">
      <dataBar>
        <cfvo type="min"/>
        <cfvo type="max"/>
        <color rgb="FFFFB628"/>
      </dataBar>
    </cfRule>
  </conditionalFormatting>
  <conditionalFormatting sqref="H123:L175">
    <cfRule type="dataBar" priority="1103">
      <dataBar>
        <cfvo type="min"/>
        <cfvo type="max"/>
        <color rgb="FFFFB628"/>
      </dataBar>
    </cfRule>
    <cfRule type="dataBar" priority="1102">
      <dataBar>
        <cfvo type="min"/>
        <cfvo type="max"/>
        <color rgb="FFFFB628"/>
      </dataBar>
    </cfRule>
    <cfRule type="dataBar" priority="1101">
      <dataBar>
        <cfvo type="min"/>
        <cfvo type="max"/>
        <color rgb="FFFFB628"/>
      </dataBar>
    </cfRule>
    <cfRule type="dataBar" priority="1100">
      <dataBar>
        <cfvo type="min"/>
        <cfvo type="max"/>
        <color rgb="FFFFB628"/>
      </dataBar>
    </cfRule>
  </conditionalFormatting>
  <conditionalFormatting sqref="H176:L176">
    <cfRule type="dataBar" priority="1107">
      <dataBar>
        <cfvo type="min"/>
        <cfvo type="max"/>
        <color rgb="FFFFB628"/>
      </dataBar>
    </cfRule>
    <cfRule type="dataBar" priority="1106">
      <dataBar>
        <cfvo type="min"/>
        <cfvo type="max"/>
        <color rgb="FFFFB628"/>
      </dataBar>
    </cfRule>
    <cfRule type="dataBar" priority="1105">
      <dataBar>
        <cfvo type="min"/>
        <cfvo type="max"/>
        <color rgb="FFFFB628"/>
      </dataBar>
    </cfRule>
    <cfRule type="dataBar" priority="1104">
      <dataBar>
        <cfvo type="min"/>
        <cfvo type="max"/>
        <color rgb="FFFFB628"/>
      </dataBar>
    </cfRule>
  </conditionalFormatting>
  <conditionalFormatting sqref="H177:L177">
    <cfRule type="dataBar" priority="1111">
      <dataBar>
        <cfvo type="min"/>
        <cfvo type="max"/>
        <color rgb="FFFFB628"/>
      </dataBar>
    </cfRule>
    <cfRule type="dataBar" priority="1112">
      <dataBar>
        <cfvo type="min"/>
        <cfvo type="max"/>
        <color rgb="FFFFB628"/>
      </dataBar>
    </cfRule>
    <cfRule type="dataBar" priority="1114">
      <dataBar>
        <cfvo type="min"/>
        <cfvo type="max"/>
        <color rgb="FFFFB628"/>
      </dataBar>
    </cfRule>
    <cfRule type="dataBar" priority="1113">
      <dataBar>
        <cfvo type="min"/>
        <cfvo type="max"/>
        <color rgb="FFFFB628"/>
      </dataBar>
    </cfRule>
  </conditionalFormatting>
  <conditionalFormatting sqref="H178:L178">
    <cfRule type="dataBar" priority="1085">
      <dataBar>
        <cfvo type="min"/>
        <cfvo type="max"/>
        <color rgb="FFFFB628"/>
      </dataBar>
    </cfRule>
    <cfRule type="dataBar" priority="1084">
      <dataBar>
        <cfvo type="min"/>
        <cfvo type="max"/>
        <color rgb="FFFFB628"/>
      </dataBar>
    </cfRule>
    <cfRule type="dataBar" priority="1083">
      <dataBar>
        <cfvo type="min"/>
        <cfvo type="max"/>
        <color rgb="FFFFB628"/>
      </dataBar>
    </cfRule>
    <cfRule type="dataBar" priority="1082">
      <dataBar>
        <cfvo type="min"/>
        <cfvo type="max"/>
        <color rgb="FFFFB628"/>
      </dataBar>
    </cfRule>
  </conditionalFormatting>
  <conditionalFormatting sqref="H179:L179">
    <cfRule type="dataBar" priority="1089">
      <dataBar>
        <cfvo type="min"/>
        <cfvo type="max"/>
        <color rgb="FFFFB628"/>
      </dataBar>
    </cfRule>
    <cfRule type="dataBar" priority="1090">
      <dataBar>
        <cfvo type="min"/>
        <cfvo type="max"/>
        <color rgb="FFFFB628"/>
      </dataBar>
    </cfRule>
    <cfRule type="dataBar" priority="1091">
      <dataBar>
        <cfvo type="min"/>
        <cfvo type="max"/>
        <color rgb="FFFFB628"/>
      </dataBar>
    </cfRule>
    <cfRule type="dataBar" priority="1092">
      <dataBar>
        <cfvo type="min"/>
        <cfvo type="max"/>
        <color rgb="FFFFB628"/>
      </dataBar>
    </cfRule>
  </conditionalFormatting>
  <conditionalFormatting sqref="H180:L180">
    <cfRule type="dataBar" priority="1115">
      <dataBar>
        <cfvo type="min"/>
        <cfvo type="max"/>
        <color rgb="FFFFB628"/>
      </dataBar>
    </cfRule>
    <cfRule type="dataBar" priority="1116">
      <dataBar>
        <cfvo type="min"/>
        <cfvo type="max"/>
        <color rgb="FFFFB628"/>
      </dataBar>
    </cfRule>
    <cfRule type="dataBar" priority="1117">
      <dataBar>
        <cfvo type="min"/>
        <cfvo type="max"/>
        <color rgb="FFFFB628"/>
      </dataBar>
    </cfRule>
    <cfRule type="dataBar" priority="1118">
      <dataBar>
        <cfvo type="min"/>
        <cfvo type="max"/>
        <color rgb="FFFFB628"/>
      </dataBar>
    </cfRule>
  </conditionalFormatting>
  <conditionalFormatting sqref="H182:L182">
    <cfRule type="dataBar" priority="1055">
      <dataBar>
        <cfvo type="min"/>
        <cfvo type="max"/>
        <color rgb="FFFFB628"/>
      </dataBar>
    </cfRule>
    <cfRule type="dataBar" priority="1056">
      <dataBar>
        <cfvo type="min"/>
        <cfvo type="max"/>
        <color rgb="FFFFB628"/>
      </dataBar>
    </cfRule>
    <cfRule type="dataBar" priority="1057">
      <dataBar>
        <cfvo type="min"/>
        <cfvo type="max"/>
        <color rgb="FFFFB628"/>
      </dataBar>
    </cfRule>
    <cfRule type="dataBar" priority="1058">
      <dataBar>
        <cfvo type="min"/>
        <cfvo type="max"/>
        <color rgb="FFFFB628"/>
      </dataBar>
    </cfRule>
  </conditionalFormatting>
  <conditionalFormatting sqref="H183:L235">
    <cfRule type="dataBar" priority="1062">
      <dataBar>
        <cfvo type="min"/>
        <cfvo type="max"/>
        <color rgb="FFFFB628"/>
      </dataBar>
    </cfRule>
    <cfRule type="dataBar" priority="1063">
      <dataBar>
        <cfvo type="min"/>
        <cfvo type="max"/>
        <color rgb="FFFFB628"/>
      </dataBar>
    </cfRule>
    <cfRule type="dataBar" priority="1064">
      <dataBar>
        <cfvo type="min"/>
        <cfvo type="max"/>
        <color rgb="FFFFB628"/>
      </dataBar>
    </cfRule>
    <cfRule type="dataBar" priority="1065">
      <dataBar>
        <cfvo type="min"/>
        <cfvo type="max"/>
        <color rgb="FFFFB628"/>
      </dataBar>
    </cfRule>
  </conditionalFormatting>
  <conditionalFormatting sqref="H236:L236">
    <cfRule type="dataBar" priority="1067">
      <dataBar>
        <cfvo type="min"/>
        <cfvo type="max"/>
        <color rgb="FFFFB628"/>
      </dataBar>
    </cfRule>
    <cfRule type="dataBar" priority="1066">
      <dataBar>
        <cfvo type="min"/>
        <cfvo type="max"/>
        <color rgb="FFFFB628"/>
      </dataBar>
    </cfRule>
    <cfRule type="dataBar" priority="1069">
      <dataBar>
        <cfvo type="min"/>
        <cfvo type="max"/>
        <color rgb="FFFFB628"/>
      </dataBar>
    </cfRule>
    <cfRule type="dataBar" priority="1068">
      <dataBar>
        <cfvo type="min"/>
        <cfvo type="max"/>
        <color rgb="FFFFB628"/>
      </dataBar>
    </cfRule>
  </conditionalFormatting>
  <conditionalFormatting sqref="H237:L237">
    <cfRule type="dataBar" priority="1074">
      <dataBar>
        <cfvo type="min"/>
        <cfvo type="max"/>
        <color rgb="FFFFB628"/>
      </dataBar>
    </cfRule>
    <cfRule type="dataBar" priority="1073">
      <dataBar>
        <cfvo type="min"/>
        <cfvo type="max"/>
        <color rgb="FFFFB628"/>
      </dataBar>
    </cfRule>
    <cfRule type="dataBar" priority="1075">
      <dataBar>
        <cfvo type="min"/>
        <cfvo type="max"/>
        <color rgb="FFFFB628"/>
      </dataBar>
    </cfRule>
    <cfRule type="dataBar" priority="1076">
      <dataBar>
        <cfvo type="min"/>
        <cfvo type="max"/>
        <color rgb="FFFFB628"/>
      </dataBar>
    </cfRule>
  </conditionalFormatting>
  <conditionalFormatting sqref="H238:L238">
    <cfRule type="dataBar" priority="1044">
      <dataBar>
        <cfvo type="min"/>
        <cfvo type="max"/>
        <color rgb="FFFFB628"/>
      </dataBar>
    </cfRule>
    <cfRule type="dataBar" priority="1045">
      <dataBar>
        <cfvo type="min"/>
        <cfvo type="max"/>
        <color rgb="FFFFB628"/>
      </dataBar>
    </cfRule>
    <cfRule type="dataBar" priority="1046">
      <dataBar>
        <cfvo type="min"/>
        <cfvo type="max"/>
        <color rgb="FFFFB628"/>
      </dataBar>
    </cfRule>
    <cfRule type="dataBar" priority="1047">
      <dataBar>
        <cfvo type="min"/>
        <cfvo type="max"/>
        <color rgb="FFFFB628"/>
      </dataBar>
    </cfRule>
  </conditionalFormatting>
  <conditionalFormatting sqref="H239:L239">
    <cfRule type="dataBar" priority="1054">
      <dataBar>
        <cfvo type="min"/>
        <cfvo type="max"/>
        <color rgb="FFFFB628"/>
      </dataBar>
    </cfRule>
    <cfRule type="dataBar" priority="1051">
      <dataBar>
        <cfvo type="min"/>
        <cfvo type="max"/>
        <color rgb="FFFFB628"/>
      </dataBar>
    </cfRule>
    <cfRule type="dataBar" priority="1052">
      <dataBar>
        <cfvo type="min"/>
        <cfvo type="max"/>
        <color rgb="FFFFB628"/>
      </dataBar>
    </cfRule>
    <cfRule type="dataBar" priority="1053">
      <dataBar>
        <cfvo type="min"/>
        <cfvo type="max"/>
        <color rgb="FFFFB628"/>
      </dataBar>
    </cfRule>
  </conditionalFormatting>
  <conditionalFormatting sqref="H240:L240">
    <cfRule type="dataBar" priority="1077">
      <dataBar>
        <cfvo type="min"/>
        <cfvo type="max"/>
        <color rgb="FFFFB628"/>
      </dataBar>
    </cfRule>
    <cfRule type="dataBar" priority="1078">
      <dataBar>
        <cfvo type="min"/>
        <cfvo type="max"/>
        <color rgb="FFFFB628"/>
      </dataBar>
    </cfRule>
    <cfRule type="dataBar" priority="1079">
      <dataBar>
        <cfvo type="min"/>
        <cfvo type="max"/>
        <color rgb="FFFFB628"/>
      </dataBar>
    </cfRule>
    <cfRule type="dataBar" priority="1080">
      <dataBar>
        <cfvo type="min"/>
        <cfvo type="max"/>
        <color rgb="FFFFB628"/>
      </dataBar>
    </cfRule>
  </conditionalFormatting>
  <conditionalFormatting sqref="H242:L242">
    <cfRule type="dataBar" priority="1020">
      <dataBar>
        <cfvo type="min"/>
        <cfvo type="max"/>
        <color rgb="FFFFB628"/>
      </dataBar>
    </cfRule>
    <cfRule type="dataBar" priority="1019">
      <dataBar>
        <cfvo type="min"/>
        <cfvo type="max"/>
        <color rgb="FFFFB628"/>
      </dataBar>
    </cfRule>
    <cfRule type="dataBar" priority="1018">
      <dataBar>
        <cfvo type="min"/>
        <cfvo type="max"/>
        <color rgb="FFFFB628"/>
      </dataBar>
    </cfRule>
    <cfRule type="dataBar" priority="1017">
      <dataBar>
        <cfvo type="min"/>
        <cfvo type="max"/>
        <color rgb="FFFFB628"/>
      </dataBar>
    </cfRule>
  </conditionalFormatting>
  <conditionalFormatting sqref="H243:L295">
    <cfRule type="dataBar" priority="1026">
      <dataBar>
        <cfvo type="min"/>
        <cfvo type="max"/>
        <color rgb="FFFFB628"/>
      </dataBar>
    </cfRule>
    <cfRule type="dataBar" priority="1025">
      <dataBar>
        <cfvo type="min"/>
        <cfvo type="max"/>
        <color rgb="FFFFB628"/>
      </dataBar>
    </cfRule>
    <cfRule type="dataBar" priority="1027">
      <dataBar>
        <cfvo type="min"/>
        <cfvo type="max"/>
        <color rgb="FFFFB628"/>
      </dataBar>
    </cfRule>
    <cfRule type="dataBar" priority="1024">
      <dataBar>
        <cfvo type="min"/>
        <cfvo type="max"/>
        <color rgb="FFFFB628"/>
      </dataBar>
    </cfRule>
  </conditionalFormatting>
  <conditionalFormatting sqref="H296:L296">
    <cfRule type="dataBar" priority="1028">
      <dataBar>
        <cfvo type="min"/>
        <cfvo type="max"/>
        <color rgb="FFFFB628"/>
      </dataBar>
    </cfRule>
    <cfRule type="dataBar" priority="1029">
      <dataBar>
        <cfvo type="min"/>
        <cfvo type="max"/>
        <color rgb="FFFFB628"/>
      </dataBar>
    </cfRule>
    <cfRule type="dataBar" priority="1030">
      <dataBar>
        <cfvo type="min"/>
        <cfvo type="max"/>
        <color rgb="FFFFB628"/>
      </dataBar>
    </cfRule>
    <cfRule type="dataBar" priority="1031">
      <dataBar>
        <cfvo type="min"/>
        <cfvo type="max"/>
        <color rgb="FFFFB628"/>
      </dataBar>
    </cfRule>
  </conditionalFormatting>
  <conditionalFormatting sqref="H297:L297">
    <cfRule type="dataBar" priority="1035">
      <dataBar>
        <cfvo type="min"/>
        <cfvo type="max"/>
        <color rgb="FFFFB628"/>
      </dataBar>
    </cfRule>
    <cfRule type="dataBar" priority="1036">
      <dataBar>
        <cfvo type="min"/>
        <cfvo type="max"/>
        <color rgb="FFFFB628"/>
      </dataBar>
    </cfRule>
    <cfRule type="dataBar" priority="1037">
      <dataBar>
        <cfvo type="min"/>
        <cfvo type="max"/>
        <color rgb="FFFFB628"/>
      </dataBar>
    </cfRule>
    <cfRule type="dataBar" priority="1038">
      <dataBar>
        <cfvo type="min"/>
        <cfvo type="max"/>
        <color rgb="FFFFB628"/>
      </dataBar>
    </cfRule>
  </conditionalFormatting>
  <conditionalFormatting sqref="H298:L298">
    <cfRule type="dataBar" priority="1009">
      <dataBar>
        <cfvo type="min"/>
        <cfvo type="max"/>
        <color rgb="FFFFB628"/>
      </dataBar>
    </cfRule>
    <cfRule type="dataBar" priority="1006">
      <dataBar>
        <cfvo type="min"/>
        <cfvo type="max"/>
        <color rgb="FFFFB628"/>
      </dataBar>
    </cfRule>
    <cfRule type="dataBar" priority="1008">
      <dataBar>
        <cfvo type="min"/>
        <cfvo type="max"/>
        <color rgb="FFFFB628"/>
      </dataBar>
    </cfRule>
    <cfRule type="dataBar" priority="1007">
      <dataBar>
        <cfvo type="min"/>
        <cfvo type="max"/>
        <color rgb="FFFFB628"/>
      </dataBar>
    </cfRule>
  </conditionalFormatting>
  <conditionalFormatting sqref="H299:L299">
    <cfRule type="dataBar" priority="1016">
      <dataBar>
        <cfvo type="min"/>
        <cfvo type="max"/>
        <color rgb="FFFFB628"/>
      </dataBar>
    </cfRule>
    <cfRule type="dataBar" priority="1014">
      <dataBar>
        <cfvo type="min"/>
        <cfvo type="max"/>
        <color rgb="FFFFB628"/>
      </dataBar>
    </cfRule>
    <cfRule type="dataBar" priority="1015">
      <dataBar>
        <cfvo type="min"/>
        <cfvo type="max"/>
        <color rgb="FFFFB628"/>
      </dataBar>
    </cfRule>
    <cfRule type="dataBar" priority="1013">
      <dataBar>
        <cfvo type="min"/>
        <cfvo type="max"/>
        <color rgb="FFFFB628"/>
      </dataBar>
    </cfRule>
  </conditionalFormatting>
  <conditionalFormatting sqref="H300:L300">
    <cfRule type="dataBar" priority="1041">
      <dataBar>
        <cfvo type="min"/>
        <cfvo type="max"/>
        <color rgb="FFFFB628"/>
      </dataBar>
    </cfRule>
    <cfRule type="dataBar" priority="1042">
      <dataBar>
        <cfvo type="min"/>
        <cfvo type="max"/>
        <color rgb="FFFFB628"/>
      </dataBar>
    </cfRule>
    <cfRule type="dataBar" priority="1040">
      <dataBar>
        <cfvo type="min"/>
        <cfvo type="max"/>
        <color rgb="FFFFB628"/>
      </dataBar>
    </cfRule>
    <cfRule type="dataBar" priority="1039">
      <dataBar>
        <cfvo type="min"/>
        <cfvo type="max"/>
        <color rgb="FFFFB628"/>
      </dataBar>
    </cfRule>
  </conditionalFormatting>
  <conditionalFormatting sqref="H302:L302">
    <cfRule type="dataBar" priority="981">
      <dataBar>
        <cfvo type="min"/>
        <cfvo type="max"/>
        <color rgb="FFFFB628"/>
      </dataBar>
    </cfRule>
    <cfRule type="dataBar" priority="982">
      <dataBar>
        <cfvo type="min"/>
        <cfvo type="max"/>
        <color rgb="FFFFB628"/>
      </dataBar>
    </cfRule>
    <cfRule type="dataBar" priority="979">
      <dataBar>
        <cfvo type="min"/>
        <cfvo type="max"/>
        <color rgb="FFFFB628"/>
      </dataBar>
    </cfRule>
    <cfRule type="dataBar" priority="980">
      <dataBar>
        <cfvo type="min"/>
        <cfvo type="max"/>
        <color rgb="FFFFB628"/>
      </dataBar>
    </cfRule>
  </conditionalFormatting>
  <conditionalFormatting sqref="H303:L355">
    <cfRule type="dataBar" priority="987">
      <dataBar>
        <cfvo type="min"/>
        <cfvo type="max"/>
        <color rgb="FFFFB628"/>
      </dataBar>
    </cfRule>
    <cfRule type="dataBar" priority="988">
      <dataBar>
        <cfvo type="min"/>
        <cfvo type="max"/>
        <color rgb="FFFFB628"/>
      </dataBar>
    </cfRule>
    <cfRule type="dataBar" priority="989">
      <dataBar>
        <cfvo type="min"/>
        <cfvo type="max"/>
        <color rgb="FFFFB628"/>
      </dataBar>
    </cfRule>
    <cfRule type="dataBar" priority="986">
      <dataBar>
        <cfvo type="min"/>
        <cfvo type="max"/>
        <color rgb="FFFFB628"/>
      </dataBar>
    </cfRule>
  </conditionalFormatting>
  <conditionalFormatting sqref="H356:L356">
    <cfRule type="dataBar" priority="991">
      <dataBar>
        <cfvo type="min"/>
        <cfvo type="max"/>
        <color rgb="FFFFB628"/>
      </dataBar>
    </cfRule>
    <cfRule type="dataBar" priority="990">
      <dataBar>
        <cfvo type="min"/>
        <cfvo type="max"/>
        <color rgb="FFFFB628"/>
      </dataBar>
    </cfRule>
    <cfRule type="dataBar" priority="993">
      <dataBar>
        <cfvo type="min"/>
        <cfvo type="max"/>
        <color rgb="FFFFB628"/>
      </dataBar>
    </cfRule>
    <cfRule type="dataBar" priority="992">
      <dataBar>
        <cfvo type="min"/>
        <cfvo type="max"/>
        <color rgb="FFFFB628"/>
      </dataBar>
    </cfRule>
  </conditionalFormatting>
  <conditionalFormatting sqref="H357:L357">
    <cfRule type="dataBar" priority="1000">
      <dataBar>
        <cfvo type="min"/>
        <cfvo type="max"/>
        <color rgb="FFFFB628"/>
      </dataBar>
    </cfRule>
    <cfRule type="dataBar" priority="999">
      <dataBar>
        <cfvo type="min"/>
        <cfvo type="max"/>
        <color rgb="FFFFB628"/>
      </dataBar>
    </cfRule>
    <cfRule type="dataBar" priority="998">
      <dataBar>
        <cfvo type="min"/>
        <cfvo type="max"/>
        <color rgb="FFFFB628"/>
      </dataBar>
    </cfRule>
    <cfRule type="dataBar" priority="997">
      <dataBar>
        <cfvo type="min"/>
        <cfvo type="max"/>
        <color rgb="FFFFB628"/>
      </dataBar>
    </cfRule>
  </conditionalFormatting>
  <conditionalFormatting sqref="H358:L358">
    <cfRule type="dataBar" priority="969">
      <dataBar>
        <cfvo type="min"/>
        <cfvo type="max"/>
        <color rgb="FFFFB628"/>
      </dataBar>
    </cfRule>
    <cfRule type="dataBar" priority="971">
      <dataBar>
        <cfvo type="min"/>
        <cfvo type="max"/>
        <color rgb="FFFFB628"/>
      </dataBar>
    </cfRule>
    <cfRule type="dataBar" priority="968">
      <dataBar>
        <cfvo type="min"/>
        <cfvo type="max"/>
        <color rgb="FFFFB628"/>
      </dataBar>
    </cfRule>
    <cfRule type="dataBar" priority="970">
      <dataBar>
        <cfvo type="min"/>
        <cfvo type="max"/>
        <color rgb="FFFFB628"/>
      </dataBar>
    </cfRule>
  </conditionalFormatting>
  <conditionalFormatting sqref="H359:L359">
    <cfRule type="dataBar" priority="978">
      <dataBar>
        <cfvo type="min"/>
        <cfvo type="max"/>
        <color rgb="FFFFB628"/>
      </dataBar>
    </cfRule>
    <cfRule type="dataBar" priority="977">
      <dataBar>
        <cfvo type="min"/>
        <cfvo type="max"/>
        <color rgb="FFFFB628"/>
      </dataBar>
    </cfRule>
    <cfRule type="dataBar" priority="976">
      <dataBar>
        <cfvo type="min"/>
        <cfvo type="max"/>
        <color rgb="FFFFB628"/>
      </dataBar>
    </cfRule>
    <cfRule type="dataBar" priority="975">
      <dataBar>
        <cfvo type="min"/>
        <cfvo type="max"/>
        <color rgb="FFFFB628"/>
      </dataBar>
    </cfRule>
  </conditionalFormatting>
  <conditionalFormatting sqref="H360:L360">
    <cfRule type="dataBar" priority="1003">
      <dataBar>
        <cfvo type="min"/>
        <cfvo type="max"/>
        <color rgb="FFFFB628"/>
      </dataBar>
    </cfRule>
    <cfRule type="dataBar" priority="1004">
      <dataBar>
        <cfvo type="min"/>
        <cfvo type="max"/>
        <color rgb="FFFFB628"/>
      </dataBar>
    </cfRule>
    <cfRule type="dataBar" priority="1001">
      <dataBar>
        <cfvo type="min"/>
        <cfvo type="max"/>
        <color rgb="FFFFB628"/>
      </dataBar>
    </cfRule>
    <cfRule type="dataBar" priority="1002">
      <dataBar>
        <cfvo type="min"/>
        <cfvo type="max"/>
        <color rgb="FFFFB628"/>
      </dataBar>
    </cfRule>
  </conditionalFormatting>
  <conditionalFormatting sqref="H362:L362">
    <cfRule type="dataBar" priority="941">
      <dataBar>
        <cfvo type="min"/>
        <cfvo type="max"/>
        <color rgb="FFFFB628"/>
      </dataBar>
    </cfRule>
    <cfRule type="dataBar" priority="942">
      <dataBar>
        <cfvo type="min"/>
        <cfvo type="max"/>
        <color rgb="FFFFB628"/>
      </dataBar>
    </cfRule>
    <cfRule type="dataBar" priority="943">
      <dataBar>
        <cfvo type="min"/>
        <cfvo type="max"/>
        <color rgb="FFFFB628"/>
      </dataBar>
    </cfRule>
    <cfRule type="dataBar" priority="944">
      <dataBar>
        <cfvo type="min"/>
        <cfvo type="max"/>
        <color rgb="FFFFB628"/>
      </dataBar>
    </cfRule>
  </conditionalFormatting>
  <conditionalFormatting sqref="H363:L415">
    <cfRule type="dataBar" priority="948">
      <dataBar>
        <cfvo type="min"/>
        <cfvo type="max"/>
        <color rgb="FFFFB628"/>
      </dataBar>
    </cfRule>
    <cfRule type="dataBar" priority="949">
      <dataBar>
        <cfvo type="min"/>
        <cfvo type="max"/>
        <color rgb="FFFFB628"/>
      </dataBar>
    </cfRule>
    <cfRule type="dataBar" priority="950">
      <dataBar>
        <cfvo type="min"/>
        <cfvo type="max"/>
        <color rgb="FFFFB628"/>
      </dataBar>
    </cfRule>
    <cfRule type="dataBar" priority="951">
      <dataBar>
        <cfvo type="min"/>
        <cfvo type="max"/>
        <color rgb="FFFFB628"/>
      </dataBar>
    </cfRule>
  </conditionalFormatting>
  <conditionalFormatting sqref="H416:L416">
    <cfRule type="dataBar" priority="952">
      <dataBar>
        <cfvo type="min"/>
        <cfvo type="max"/>
        <color rgb="FFFFB628"/>
      </dataBar>
    </cfRule>
    <cfRule type="dataBar" priority="953">
      <dataBar>
        <cfvo type="min"/>
        <cfvo type="max"/>
        <color rgb="FFFFB628"/>
      </dataBar>
    </cfRule>
    <cfRule type="dataBar" priority="954">
      <dataBar>
        <cfvo type="min"/>
        <cfvo type="max"/>
        <color rgb="FFFFB628"/>
      </dataBar>
    </cfRule>
    <cfRule type="dataBar" priority="955">
      <dataBar>
        <cfvo type="min"/>
        <cfvo type="max"/>
        <color rgb="FFFFB628"/>
      </dataBar>
    </cfRule>
  </conditionalFormatting>
  <conditionalFormatting sqref="H417:L417">
    <cfRule type="dataBar" priority="959">
      <dataBar>
        <cfvo type="min"/>
        <cfvo type="max"/>
        <color rgb="FFFFB628"/>
      </dataBar>
    </cfRule>
    <cfRule type="dataBar" priority="960">
      <dataBar>
        <cfvo type="min"/>
        <cfvo type="max"/>
        <color rgb="FFFFB628"/>
      </dataBar>
    </cfRule>
    <cfRule type="dataBar" priority="961">
      <dataBar>
        <cfvo type="min"/>
        <cfvo type="max"/>
        <color rgb="FFFFB628"/>
      </dataBar>
    </cfRule>
    <cfRule type="dataBar" priority="962">
      <dataBar>
        <cfvo type="min"/>
        <cfvo type="max"/>
        <color rgb="FFFFB628"/>
      </dataBar>
    </cfRule>
  </conditionalFormatting>
  <conditionalFormatting sqref="H418:L418">
    <cfRule type="dataBar" priority="932">
      <dataBar>
        <cfvo type="min"/>
        <cfvo type="max"/>
        <color rgb="FFFFB628"/>
      </dataBar>
    </cfRule>
    <cfRule type="dataBar" priority="930">
      <dataBar>
        <cfvo type="min"/>
        <cfvo type="max"/>
        <color rgb="FFFFB628"/>
      </dataBar>
    </cfRule>
    <cfRule type="dataBar" priority="931">
      <dataBar>
        <cfvo type="min"/>
        <cfvo type="max"/>
        <color rgb="FFFFB628"/>
      </dataBar>
    </cfRule>
    <cfRule type="dataBar" priority="933">
      <dataBar>
        <cfvo type="min"/>
        <cfvo type="max"/>
        <color rgb="FFFFB628"/>
      </dataBar>
    </cfRule>
  </conditionalFormatting>
  <conditionalFormatting sqref="H419:L419">
    <cfRule type="dataBar" priority="937">
      <dataBar>
        <cfvo type="min"/>
        <cfvo type="max"/>
        <color rgb="FFFFB628"/>
      </dataBar>
    </cfRule>
    <cfRule type="dataBar" priority="938">
      <dataBar>
        <cfvo type="min"/>
        <cfvo type="max"/>
        <color rgb="FFFFB628"/>
      </dataBar>
    </cfRule>
    <cfRule type="dataBar" priority="939">
      <dataBar>
        <cfvo type="min"/>
        <cfvo type="max"/>
        <color rgb="FFFFB628"/>
      </dataBar>
    </cfRule>
    <cfRule type="dataBar" priority="940">
      <dataBar>
        <cfvo type="min"/>
        <cfvo type="max"/>
        <color rgb="FFFFB628"/>
      </dataBar>
    </cfRule>
  </conditionalFormatting>
  <conditionalFormatting sqref="H420:L420">
    <cfRule type="dataBar" priority="963">
      <dataBar>
        <cfvo type="min"/>
        <cfvo type="max"/>
        <color rgb="FFFFB628"/>
      </dataBar>
    </cfRule>
    <cfRule type="dataBar" priority="966">
      <dataBar>
        <cfvo type="min"/>
        <cfvo type="max"/>
        <color rgb="FFFFB628"/>
      </dataBar>
    </cfRule>
    <cfRule type="dataBar" priority="964">
      <dataBar>
        <cfvo type="min"/>
        <cfvo type="max"/>
        <color rgb="FFFFB628"/>
      </dataBar>
    </cfRule>
    <cfRule type="dataBar" priority="965">
      <dataBar>
        <cfvo type="min"/>
        <cfvo type="max"/>
        <color rgb="FFFFB628"/>
      </dataBar>
    </cfRule>
  </conditionalFormatting>
  <conditionalFormatting sqref="H422:L422">
    <cfRule type="dataBar" priority="903">
      <dataBar>
        <cfvo type="min"/>
        <cfvo type="max"/>
        <color rgb="FFFFB628"/>
      </dataBar>
    </cfRule>
    <cfRule type="dataBar" priority="904">
      <dataBar>
        <cfvo type="min"/>
        <cfvo type="max"/>
        <color rgb="FFFFB628"/>
      </dataBar>
    </cfRule>
    <cfRule type="dataBar" priority="905">
      <dataBar>
        <cfvo type="min"/>
        <cfvo type="max"/>
        <color rgb="FFFFB628"/>
      </dataBar>
    </cfRule>
    <cfRule type="dataBar" priority="906">
      <dataBar>
        <cfvo type="min"/>
        <cfvo type="max"/>
        <color rgb="FFFFB628"/>
      </dataBar>
    </cfRule>
  </conditionalFormatting>
  <conditionalFormatting sqref="H423:L475">
    <cfRule type="dataBar" priority="910">
      <dataBar>
        <cfvo type="min"/>
        <cfvo type="max"/>
        <color rgb="FFFFB628"/>
      </dataBar>
    </cfRule>
    <cfRule type="dataBar" priority="913">
      <dataBar>
        <cfvo type="min"/>
        <cfvo type="max"/>
        <color rgb="FFFFB628"/>
      </dataBar>
    </cfRule>
    <cfRule type="dataBar" priority="912">
      <dataBar>
        <cfvo type="min"/>
        <cfvo type="max"/>
        <color rgb="FFFFB628"/>
      </dataBar>
    </cfRule>
    <cfRule type="dataBar" priority="911">
      <dataBar>
        <cfvo type="min"/>
        <cfvo type="max"/>
        <color rgb="FFFFB628"/>
      </dataBar>
    </cfRule>
  </conditionalFormatting>
  <conditionalFormatting sqref="H476:L476">
    <cfRule type="dataBar" priority="915">
      <dataBar>
        <cfvo type="min"/>
        <cfvo type="max"/>
        <color rgb="FFFFB628"/>
      </dataBar>
    </cfRule>
    <cfRule type="dataBar" priority="914">
      <dataBar>
        <cfvo type="min"/>
        <cfvo type="max"/>
        <color rgb="FFFFB628"/>
      </dataBar>
    </cfRule>
    <cfRule type="dataBar" priority="917">
      <dataBar>
        <cfvo type="min"/>
        <cfvo type="max"/>
        <color rgb="FFFFB628"/>
      </dataBar>
    </cfRule>
    <cfRule type="dataBar" priority="916">
      <dataBar>
        <cfvo type="min"/>
        <cfvo type="max"/>
        <color rgb="FFFFB628"/>
      </dataBar>
    </cfRule>
  </conditionalFormatting>
  <conditionalFormatting sqref="H477:L477">
    <cfRule type="dataBar" priority="922">
      <dataBar>
        <cfvo type="min"/>
        <cfvo type="max"/>
        <color rgb="FFFFB628"/>
      </dataBar>
    </cfRule>
    <cfRule type="dataBar" priority="921">
      <dataBar>
        <cfvo type="min"/>
        <cfvo type="max"/>
        <color rgb="FFFFB628"/>
      </dataBar>
    </cfRule>
    <cfRule type="dataBar" priority="923">
      <dataBar>
        <cfvo type="min"/>
        <cfvo type="max"/>
        <color rgb="FFFFB628"/>
      </dataBar>
    </cfRule>
    <cfRule type="dataBar" priority="924">
      <dataBar>
        <cfvo type="min"/>
        <cfvo type="max"/>
        <color rgb="FFFFB628"/>
      </dataBar>
    </cfRule>
  </conditionalFormatting>
  <conditionalFormatting sqref="H478:L478">
    <cfRule type="dataBar" priority="895">
      <dataBar>
        <cfvo type="min"/>
        <cfvo type="max"/>
        <color rgb="FFFFB628"/>
      </dataBar>
    </cfRule>
    <cfRule type="dataBar" priority="892">
      <dataBar>
        <cfvo type="min"/>
        <cfvo type="max"/>
        <color rgb="FFFFB628"/>
      </dataBar>
    </cfRule>
    <cfRule type="dataBar" priority="893">
      <dataBar>
        <cfvo type="min"/>
        <cfvo type="max"/>
        <color rgb="FFFFB628"/>
      </dataBar>
    </cfRule>
    <cfRule type="dataBar" priority="894">
      <dataBar>
        <cfvo type="min"/>
        <cfvo type="max"/>
        <color rgb="FFFFB628"/>
      </dataBar>
    </cfRule>
  </conditionalFormatting>
  <conditionalFormatting sqref="H479:L479">
    <cfRule type="dataBar" priority="902">
      <dataBar>
        <cfvo type="min"/>
        <cfvo type="max"/>
        <color rgb="FFFFB628"/>
      </dataBar>
    </cfRule>
    <cfRule type="dataBar" priority="899">
      <dataBar>
        <cfvo type="min"/>
        <cfvo type="max"/>
        <color rgb="FFFFB628"/>
      </dataBar>
    </cfRule>
    <cfRule type="dataBar" priority="900">
      <dataBar>
        <cfvo type="min"/>
        <cfvo type="max"/>
        <color rgb="FFFFB628"/>
      </dataBar>
    </cfRule>
    <cfRule type="dataBar" priority="901">
      <dataBar>
        <cfvo type="min"/>
        <cfvo type="max"/>
        <color rgb="FFFFB628"/>
      </dataBar>
    </cfRule>
  </conditionalFormatting>
  <conditionalFormatting sqref="H480:L480">
    <cfRule type="dataBar" priority="925">
      <dataBar>
        <cfvo type="min"/>
        <cfvo type="max"/>
        <color rgb="FFFFB628"/>
      </dataBar>
    </cfRule>
    <cfRule type="dataBar" priority="926">
      <dataBar>
        <cfvo type="min"/>
        <cfvo type="max"/>
        <color rgb="FFFFB628"/>
      </dataBar>
    </cfRule>
    <cfRule type="dataBar" priority="927">
      <dataBar>
        <cfvo type="min"/>
        <cfvo type="max"/>
        <color rgb="FFFFB628"/>
      </dataBar>
    </cfRule>
    <cfRule type="dataBar" priority="928">
      <dataBar>
        <cfvo type="min"/>
        <cfvo type="max"/>
        <color rgb="FFFFB628"/>
      </dataBar>
    </cfRule>
  </conditionalFormatting>
  <conditionalFormatting sqref="H482:L482">
    <cfRule type="dataBar" priority="868">
      <dataBar>
        <cfvo type="min"/>
        <cfvo type="max"/>
        <color rgb="FFFFB628"/>
      </dataBar>
    </cfRule>
    <cfRule type="dataBar" priority="867">
      <dataBar>
        <cfvo type="min"/>
        <cfvo type="max"/>
        <color rgb="FFFFB628"/>
      </dataBar>
    </cfRule>
    <cfRule type="dataBar" priority="865">
      <dataBar>
        <cfvo type="min"/>
        <cfvo type="max"/>
        <color rgb="FFFFB628"/>
      </dataBar>
    </cfRule>
    <cfRule type="dataBar" priority="866">
      <dataBar>
        <cfvo type="min"/>
        <cfvo type="max"/>
        <color rgb="FFFFB628"/>
      </dataBar>
    </cfRule>
  </conditionalFormatting>
  <conditionalFormatting sqref="H483:L535">
    <cfRule type="dataBar" priority="872">
      <dataBar>
        <cfvo type="min"/>
        <cfvo type="max"/>
        <color rgb="FFFFB628"/>
      </dataBar>
    </cfRule>
    <cfRule type="dataBar" priority="873">
      <dataBar>
        <cfvo type="min"/>
        <cfvo type="max"/>
        <color rgb="FFFFB628"/>
      </dataBar>
    </cfRule>
    <cfRule type="dataBar" priority="874">
      <dataBar>
        <cfvo type="min"/>
        <cfvo type="max"/>
        <color rgb="FFFFB628"/>
      </dataBar>
    </cfRule>
    <cfRule type="dataBar" priority="875">
      <dataBar>
        <cfvo type="min"/>
        <cfvo type="max"/>
        <color rgb="FFFFB628"/>
      </dataBar>
    </cfRule>
  </conditionalFormatting>
  <conditionalFormatting sqref="H536:L536">
    <cfRule type="dataBar" priority="879">
      <dataBar>
        <cfvo type="min"/>
        <cfvo type="max"/>
        <color rgb="FFFFB628"/>
      </dataBar>
    </cfRule>
    <cfRule type="dataBar" priority="876">
      <dataBar>
        <cfvo type="min"/>
        <cfvo type="max"/>
        <color rgb="FFFFB628"/>
      </dataBar>
    </cfRule>
    <cfRule type="dataBar" priority="877">
      <dataBar>
        <cfvo type="min"/>
        <cfvo type="max"/>
        <color rgb="FFFFB628"/>
      </dataBar>
    </cfRule>
    <cfRule type="dataBar" priority="878">
      <dataBar>
        <cfvo type="min"/>
        <cfvo type="max"/>
        <color rgb="FFFFB628"/>
      </dataBar>
    </cfRule>
  </conditionalFormatting>
  <conditionalFormatting sqref="H537:L537">
    <cfRule type="dataBar" priority="885">
      <dataBar>
        <cfvo type="min"/>
        <cfvo type="max"/>
        <color rgb="FFFFB628"/>
      </dataBar>
    </cfRule>
    <cfRule type="dataBar" priority="886">
      <dataBar>
        <cfvo type="min"/>
        <cfvo type="max"/>
        <color rgb="FFFFB628"/>
      </dataBar>
    </cfRule>
    <cfRule type="dataBar" priority="884">
      <dataBar>
        <cfvo type="min"/>
        <cfvo type="max"/>
        <color rgb="FFFFB628"/>
      </dataBar>
    </cfRule>
    <cfRule type="dataBar" priority="883">
      <dataBar>
        <cfvo type="min"/>
        <cfvo type="max"/>
        <color rgb="FFFFB628"/>
      </dataBar>
    </cfRule>
  </conditionalFormatting>
  <conditionalFormatting sqref="H538:L538">
    <cfRule type="dataBar" priority="855">
      <dataBar>
        <cfvo type="min"/>
        <cfvo type="max"/>
        <color rgb="FFFFB628"/>
      </dataBar>
    </cfRule>
    <cfRule type="dataBar" priority="854">
      <dataBar>
        <cfvo type="min"/>
        <cfvo type="max"/>
        <color rgb="FFFFB628"/>
      </dataBar>
    </cfRule>
    <cfRule type="dataBar" priority="857">
      <dataBar>
        <cfvo type="min"/>
        <cfvo type="max"/>
        <color rgb="FFFFB628"/>
      </dataBar>
    </cfRule>
    <cfRule type="dataBar" priority="856">
      <dataBar>
        <cfvo type="min"/>
        <cfvo type="max"/>
        <color rgb="FFFFB628"/>
      </dataBar>
    </cfRule>
  </conditionalFormatting>
  <conditionalFormatting sqref="H539:L539">
    <cfRule type="dataBar" priority="864">
      <dataBar>
        <cfvo type="min"/>
        <cfvo type="max"/>
        <color rgb="FFFFB628"/>
      </dataBar>
    </cfRule>
    <cfRule type="dataBar" priority="863">
      <dataBar>
        <cfvo type="min"/>
        <cfvo type="max"/>
        <color rgb="FFFFB628"/>
      </dataBar>
    </cfRule>
    <cfRule type="dataBar" priority="862">
      <dataBar>
        <cfvo type="min"/>
        <cfvo type="max"/>
        <color rgb="FFFFB628"/>
      </dataBar>
    </cfRule>
    <cfRule type="dataBar" priority="861">
      <dataBar>
        <cfvo type="min"/>
        <cfvo type="max"/>
        <color rgb="FFFFB628"/>
      </dataBar>
    </cfRule>
  </conditionalFormatting>
  <conditionalFormatting sqref="H540:L540">
    <cfRule type="dataBar" priority="889">
      <dataBar>
        <cfvo type="min"/>
        <cfvo type="max"/>
        <color rgb="FFFFB628"/>
      </dataBar>
    </cfRule>
    <cfRule type="dataBar" priority="888">
      <dataBar>
        <cfvo type="min"/>
        <cfvo type="max"/>
        <color rgb="FFFFB628"/>
      </dataBar>
    </cfRule>
    <cfRule type="dataBar" priority="887">
      <dataBar>
        <cfvo type="min"/>
        <cfvo type="max"/>
        <color rgb="FFFFB628"/>
      </dataBar>
    </cfRule>
    <cfRule type="dataBar" priority="890">
      <dataBar>
        <cfvo type="min"/>
        <cfvo type="max"/>
        <color rgb="FFFFB628"/>
      </dataBar>
    </cfRule>
  </conditionalFormatting>
  <conditionalFormatting sqref="H542:L542">
    <cfRule type="dataBar" priority="829">
      <dataBar>
        <cfvo type="min"/>
        <cfvo type="max"/>
        <color rgb="FFFFB628"/>
      </dataBar>
    </cfRule>
    <cfRule type="dataBar" priority="830">
      <dataBar>
        <cfvo type="min"/>
        <cfvo type="max"/>
        <color rgb="FFFFB628"/>
      </dataBar>
    </cfRule>
    <cfRule type="dataBar" priority="828">
      <dataBar>
        <cfvo type="min"/>
        <cfvo type="max"/>
        <color rgb="FFFFB628"/>
      </dataBar>
    </cfRule>
    <cfRule type="dataBar" priority="827">
      <dataBar>
        <cfvo type="min"/>
        <cfvo type="max"/>
        <color rgb="FFFFB628"/>
      </dataBar>
    </cfRule>
  </conditionalFormatting>
  <conditionalFormatting sqref="H543:L595">
    <cfRule type="dataBar" priority="834">
      <dataBar>
        <cfvo type="min"/>
        <cfvo type="max"/>
        <color rgb="FFFFB628"/>
      </dataBar>
    </cfRule>
    <cfRule type="dataBar" priority="835">
      <dataBar>
        <cfvo type="min"/>
        <cfvo type="max"/>
        <color rgb="FFFFB628"/>
      </dataBar>
    </cfRule>
    <cfRule type="dataBar" priority="836">
      <dataBar>
        <cfvo type="min"/>
        <cfvo type="max"/>
        <color rgb="FFFFB628"/>
      </dataBar>
    </cfRule>
    <cfRule type="dataBar" priority="837">
      <dataBar>
        <cfvo type="min"/>
        <cfvo type="max"/>
        <color rgb="FFFFB628"/>
      </dataBar>
    </cfRule>
  </conditionalFormatting>
  <conditionalFormatting sqref="H596:L596">
    <cfRule type="dataBar" priority="841">
      <dataBar>
        <cfvo type="min"/>
        <cfvo type="max"/>
        <color rgb="FFFFB628"/>
      </dataBar>
    </cfRule>
    <cfRule type="dataBar" priority="838">
      <dataBar>
        <cfvo type="min"/>
        <cfvo type="max"/>
        <color rgb="FFFFB628"/>
      </dataBar>
    </cfRule>
    <cfRule type="dataBar" priority="839">
      <dataBar>
        <cfvo type="min"/>
        <cfvo type="max"/>
        <color rgb="FFFFB628"/>
      </dataBar>
    </cfRule>
    <cfRule type="dataBar" priority="840">
      <dataBar>
        <cfvo type="min"/>
        <cfvo type="max"/>
        <color rgb="FFFFB628"/>
      </dataBar>
    </cfRule>
  </conditionalFormatting>
  <conditionalFormatting sqref="H597:L597">
    <cfRule type="dataBar" priority="848">
      <dataBar>
        <cfvo type="min"/>
        <cfvo type="max"/>
        <color rgb="FFFFB628"/>
      </dataBar>
    </cfRule>
    <cfRule type="dataBar" priority="847">
      <dataBar>
        <cfvo type="min"/>
        <cfvo type="max"/>
        <color rgb="FFFFB628"/>
      </dataBar>
    </cfRule>
    <cfRule type="dataBar" priority="846">
      <dataBar>
        <cfvo type="min"/>
        <cfvo type="max"/>
        <color rgb="FFFFB628"/>
      </dataBar>
    </cfRule>
    <cfRule type="dataBar" priority="845">
      <dataBar>
        <cfvo type="min"/>
        <cfvo type="max"/>
        <color rgb="FFFFB628"/>
      </dataBar>
    </cfRule>
  </conditionalFormatting>
  <conditionalFormatting sqref="H598:L598">
    <cfRule type="dataBar" priority="819">
      <dataBar>
        <cfvo type="min"/>
        <cfvo type="max"/>
        <color rgb="FFFFB628"/>
      </dataBar>
    </cfRule>
    <cfRule type="dataBar" priority="818">
      <dataBar>
        <cfvo type="min"/>
        <cfvo type="max"/>
        <color rgb="FFFFB628"/>
      </dataBar>
    </cfRule>
    <cfRule type="dataBar" priority="817">
      <dataBar>
        <cfvo type="min"/>
        <cfvo type="max"/>
        <color rgb="FFFFB628"/>
      </dataBar>
    </cfRule>
    <cfRule type="dataBar" priority="816">
      <dataBar>
        <cfvo type="min"/>
        <cfvo type="max"/>
        <color rgb="FFFFB628"/>
      </dataBar>
    </cfRule>
  </conditionalFormatting>
  <conditionalFormatting sqref="H599:L599">
    <cfRule type="dataBar" priority="826">
      <dataBar>
        <cfvo type="min"/>
        <cfvo type="max"/>
        <color rgb="FFFFB628"/>
      </dataBar>
    </cfRule>
    <cfRule type="dataBar" priority="825">
      <dataBar>
        <cfvo type="min"/>
        <cfvo type="max"/>
        <color rgb="FFFFB628"/>
      </dataBar>
    </cfRule>
    <cfRule type="dataBar" priority="824">
      <dataBar>
        <cfvo type="min"/>
        <cfvo type="max"/>
        <color rgb="FFFFB628"/>
      </dataBar>
    </cfRule>
    <cfRule type="dataBar" priority="823">
      <dataBar>
        <cfvo type="min"/>
        <cfvo type="max"/>
        <color rgb="FFFFB628"/>
      </dataBar>
    </cfRule>
  </conditionalFormatting>
  <conditionalFormatting sqref="H600:L600">
    <cfRule type="dataBar" priority="852">
      <dataBar>
        <cfvo type="min"/>
        <cfvo type="max"/>
        <color rgb="FFFFB628"/>
      </dataBar>
    </cfRule>
    <cfRule type="dataBar" priority="851">
      <dataBar>
        <cfvo type="min"/>
        <cfvo type="max"/>
        <color rgb="FFFFB628"/>
      </dataBar>
    </cfRule>
    <cfRule type="dataBar" priority="850">
      <dataBar>
        <cfvo type="min"/>
        <cfvo type="max"/>
        <color rgb="FFFFB628"/>
      </dataBar>
    </cfRule>
    <cfRule type="dataBar" priority="849">
      <dataBar>
        <cfvo type="min"/>
        <cfvo type="max"/>
        <color rgb="FFFFB628"/>
      </dataBar>
    </cfRule>
  </conditionalFormatting>
  <conditionalFormatting sqref="H602:L602">
    <cfRule type="dataBar" priority="790">
      <dataBar>
        <cfvo type="min"/>
        <cfvo type="max"/>
        <color rgb="FFFFB628"/>
      </dataBar>
    </cfRule>
    <cfRule type="dataBar" priority="792">
      <dataBar>
        <cfvo type="min"/>
        <cfvo type="max"/>
        <color rgb="FFFFB628"/>
      </dataBar>
    </cfRule>
    <cfRule type="dataBar" priority="791">
      <dataBar>
        <cfvo type="min"/>
        <cfvo type="max"/>
        <color rgb="FFFFB628"/>
      </dataBar>
    </cfRule>
    <cfRule type="dataBar" priority="789">
      <dataBar>
        <cfvo type="min"/>
        <cfvo type="max"/>
        <color rgb="FFFFB628"/>
      </dataBar>
    </cfRule>
  </conditionalFormatting>
  <conditionalFormatting sqref="H603:L655">
    <cfRule type="dataBar" priority="799">
      <dataBar>
        <cfvo type="min"/>
        <cfvo type="max"/>
        <color rgb="FFFFB628"/>
      </dataBar>
    </cfRule>
    <cfRule type="dataBar" priority="798">
      <dataBar>
        <cfvo type="min"/>
        <cfvo type="max"/>
        <color rgb="FFFFB628"/>
      </dataBar>
    </cfRule>
    <cfRule type="dataBar" priority="797">
      <dataBar>
        <cfvo type="min"/>
        <cfvo type="max"/>
        <color rgb="FFFFB628"/>
      </dataBar>
    </cfRule>
    <cfRule type="dataBar" priority="796">
      <dataBar>
        <cfvo type="min"/>
        <cfvo type="max"/>
        <color rgb="FFFFB628"/>
      </dataBar>
    </cfRule>
  </conditionalFormatting>
  <conditionalFormatting sqref="H656:L656">
    <cfRule type="dataBar" priority="801">
      <dataBar>
        <cfvo type="min"/>
        <cfvo type="max"/>
        <color rgb="FFFFB628"/>
      </dataBar>
    </cfRule>
    <cfRule type="dataBar" priority="803">
      <dataBar>
        <cfvo type="min"/>
        <cfvo type="max"/>
        <color rgb="FFFFB628"/>
      </dataBar>
    </cfRule>
    <cfRule type="dataBar" priority="800">
      <dataBar>
        <cfvo type="min"/>
        <cfvo type="max"/>
        <color rgb="FFFFB628"/>
      </dataBar>
    </cfRule>
    <cfRule type="dataBar" priority="802">
      <dataBar>
        <cfvo type="min"/>
        <cfvo type="max"/>
        <color rgb="FFFFB628"/>
      </dataBar>
    </cfRule>
  </conditionalFormatting>
  <conditionalFormatting sqref="H657:L657">
    <cfRule type="dataBar" priority="810">
      <dataBar>
        <cfvo type="min"/>
        <cfvo type="max"/>
        <color rgb="FFFFB628"/>
      </dataBar>
    </cfRule>
    <cfRule type="dataBar" priority="809">
      <dataBar>
        <cfvo type="min"/>
        <cfvo type="max"/>
        <color rgb="FFFFB628"/>
      </dataBar>
    </cfRule>
    <cfRule type="dataBar" priority="808">
      <dataBar>
        <cfvo type="min"/>
        <cfvo type="max"/>
        <color rgb="FFFFB628"/>
      </dataBar>
    </cfRule>
    <cfRule type="dataBar" priority="807">
      <dataBar>
        <cfvo type="min"/>
        <cfvo type="max"/>
        <color rgb="FFFFB628"/>
      </dataBar>
    </cfRule>
  </conditionalFormatting>
  <conditionalFormatting sqref="H658:L658">
    <cfRule type="dataBar" priority="778">
      <dataBar>
        <cfvo type="min"/>
        <cfvo type="max"/>
        <color rgb="FFFFB628"/>
      </dataBar>
    </cfRule>
    <cfRule type="dataBar" priority="779">
      <dataBar>
        <cfvo type="min"/>
        <cfvo type="max"/>
        <color rgb="FFFFB628"/>
      </dataBar>
    </cfRule>
    <cfRule type="dataBar" priority="780">
      <dataBar>
        <cfvo type="min"/>
        <cfvo type="max"/>
        <color rgb="FFFFB628"/>
      </dataBar>
    </cfRule>
    <cfRule type="dataBar" priority="781">
      <dataBar>
        <cfvo type="min"/>
        <cfvo type="max"/>
        <color rgb="FFFFB628"/>
      </dataBar>
    </cfRule>
  </conditionalFormatting>
  <conditionalFormatting sqref="H659:L659">
    <cfRule type="dataBar" priority="785">
      <dataBar>
        <cfvo type="min"/>
        <cfvo type="max"/>
        <color rgb="FFFFB628"/>
      </dataBar>
    </cfRule>
    <cfRule type="dataBar" priority="788">
      <dataBar>
        <cfvo type="min"/>
        <cfvo type="max"/>
        <color rgb="FFFFB628"/>
      </dataBar>
    </cfRule>
    <cfRule type="dataBar" priority="787">
      <dataBar>
        <cfvo type="min"/>
        <cfvo type="max"/>
        <color rgb="FFFFB628"/>
      </dataBar>
    </cfRule>
    <cfRule type="dataBar" priority="786">
      <dataBar>
        <cfvo type="min"/>
        <cfvo type="max"/>
        <color rgb="FFFFB628"/>
      </dataBar>
    </cfRule>
  </conditionalFormatting>
  <conditionalFormatting sqref="H660:L660">
    <cfRule type="dataBar" priority="814">
      <dataBar>
        <cfvo type="min"/>
        <cfvo type="max"/>
        <color rgb="FFFFB628"/>
      </dataBar>
    </cfRule>
    <cfRule type="dataBar" priority="813">
      <dataBar>
        <cfvo type="min"/>
        <cfvo type="max"/>
        <color rgb="FFFFB628"/>
      </dataBar>
    </cfRule>
    <cfRule type="dataBar" priority="812">
      <dataBar>
        <cfvo type="min"/>
        <cfvo type="max"/>
        <color rgb="FFFFB628"/>
      </dataBar>
    </cfRule>
    <cfRule type="dataBar" priority="811">
      <dataBar>
        <cfvo type="min"/>
        <cfvo type="max"/>
        <color rgb="FFFFB628"/>
      </dataBar>
    </cfRule>
  </conditionalFormatting>
  <conditionalFormatting sqref="H662:L676">
    <cfRule type="dataBar" priority="1208">
      <dataBar>
        <cfvo type="min"/>
        <cfvo type="max"/>
        <color rgb="FFFFB628"/>
      </dataBar>
    </cfRule>
    <cfRule type="dataBar" priority="1203">
      <dataBar>
        <cfvo type="min"/>
        <cfvo type="max"/>
        <color rgb="FFFFB628"/>
      </dataBar>
    </cfRule>
    <cfRule type="dataBar" priority="1205">
      <dataBar>
        <cfvo type="min"/>
        <cfvo type="max"/>
        <color rgb="FFFFB628"/>
      </dataBar>
    </cfRule>
    <cfRule type="dataBar" priority="1204">
      <dataBar>
        <cfvo type="min"/>
        <cfvo type="max"/>
        <color rgb="FFFFB628"/>
      </dataBar>
    </cfRule>
  </conditionalFormatting>
  <conditionalFormatting sqref="H677:L683 H685:L697 H699:L702 H704:L708 H890:L896 H903:L911 H915:L915 H917:L918">
    <cfRule type="dataBar" priority="1899">
      <dataBar>
        <cfvo type="min"/>
        <cfvo type="max"/>
        <color rgb="FFFFB628"/>
      </dataBar>
    </cfRule>
  </conditionalFormatting>
  <conditionalFormatting sqref="H677:L683 H685:L697 H699:L702 H704:L713 H715:L727 H729:L732 H734:L743 H745:L757 H759:L762 H764:L773 H775:L787 H789:L792 H794:L799 H801:L805 H807:L807 H811:L814 H816:L817 H821:L826 H861:L865 H867:L867 H871:L874 H876:L877 H881:L886 H890:L1008 H1010:L1034">
    <cfRule type="dataBar" priority="769">
      <dataBar>
        <cfvo type="min"/>
        <cfvo type="max"/>
        <color rgb="FFFFB628"/>
      </dataBar>
    </cfRule>
  </conditionalFormatting>
  <conditionalFormatting sqref="H677:L683 H685:L697 H699:L702 H704:L713 H715:L727 H729:L732 H734:L743 H745:L757 H759:L762 H764:L773 H775:L787 H789:L792 H794:L799 H801:L805 H807:L807 H811:L814 H816:L817 H821:L826 H861:L865 H867:L867 H871:L874 H876:L877 H881:L886 H890:L1008 H1010:L1177 H1179:L1179 H1181:L1182 H1184:L1186 H1188:L1189 H1192:L1192 H1197:L1197 H1199:L1201 H1203:L1204 H1210:L1210 H1212:L1213 H1215:L1217 H1219:L1220">
    <cfRule type="dataBar" priority="742">
      <dataBar>
        <cfvo type="min"/>
        <cfvo type="max"/>
        <color rgb="FFFFB628"/>
      </dataBar>
    </cfRule>
  </conditionalFormatting>
  <conditionalFormatting sqref="H684:L684">
    <cfRule type="dataBar" priority="671">
      <dataBar>
        <cfvo type="min"/>
        <cfvo type="max"/>
        <color rgb="FFFFB628"/>
      </dataBar>
    </cfRule>
    <cfRule type="dataBar" priority="670">
      <dataBar>
        <cfvo type="min"/>
        <cfvo type="max"/>
        <color rgb="FFFFB628"/>
      </dataBar>
    </cfRule>
    <cfRule type="dataBar" priority="669">
      <dataBar>
        <cfvo type="min"/>
        <cfvo type="max"/>
        <color rgb="FFFFB628"/>
      </dataBar>
    </cfRule>
  </conditionalFormatting>
  <conditionalFormatting sqref="H698:L698">
    <cfRule type="dataBar" priority="665">
      <dataBar>
        <cfvo type="min"/>
        <cfvo type="max"/>
        <color rgb="FFFFB628"/>
      </dataBar>
    </cfRule>
    <cfRule type="dataBar" priority="664">
      <dataBar>
        <cfvo type="min"/>
        <cfvo type="max"/>
        <color rgb="FFFFB628"/>
      </dataBar>
    </cfRule>
    <cfRule type="dataBar" priority="663">
      <dataBar>
        <cfvo type="min"/>
        <cfvo type="max"/>
        <color rgb="FFFFB628"/>
      </dataBar>
    </cfRule>
  </conditionalFormatting>
  <conditionalFormatting sqref="H703:L703">
    <cfRule type="dataBar" priority="658">
      <dataBar>
        <cfvo type="min"/>
        <cfvo type="max"/>
        <color rgb="FFFFB628"/>
      </dataBar>
    </cfRule>
    <cfRule type="dataBar" priority="657">
      <dataBar>
        <cfvo type="min"/>
        <cfvo type="max"/>
        <color rgb="FFFFB628"/>
      </dataBar>
    </cfRule>
    <cfRule type="dataBar" priority="659">
      <dataBar>
        <cfvo type="min"/>
        <cfvo type="max"/>
        <color rgb="FFFFB628"/>
      </dataBar>
    </cfRule>
  </conditionalFormatting>
  <conditionalFormatting sqref="H708:L708">
    <cfRule type="dataBar" priority="741">
      <dataBar>
        <cfvo type="min"/>
        <cfvo type="max"/>
        <color rgb="FFFFB628"/>
      </dataBar>
    </cfRule>
  </conditionalFormatting>
  <conditionalFormatting sqref="H709:L709 H739:L739">
    <cfRule type="dataBar" priority="767">
      <dataBar>
        <cfvo type="min"/>
        <cfvo type="max"/>
        <color rgb="FFFFB628"/>
      </dataBar>
    </cfRule>
  </conditionalFormatting>
  <conditionalFormatting sqref="H710:L713 H715:L727 H729:L732 H734:L738">
    <cfRule type="dataBar" priority="38">
      <dataBar>
        <cfvo type="min"/>
        <cfvo type="max"/>
        <color rgb="FFFFB628"/>
      </dataBar>
    </cfRule>
  </conditionalFormatting>
  <conditionalFormatting sqref="H714:L714">
    <cfRule type="dataBar" priority="34">
      <dataBar>
        <cfvo type="min"/>
        <cfvo type="max"/>
        <color rgb="FFFFB628"/>
      </dataBar>
    </cfRule>
    <cfRule type="dataBar" priority="33">
      <dataBar>
        <cfvo type="min"/>
        <cfvo type="max"/>
        <color rgb="FFFFB628"/>
      </dataBar>
    </cfRule>
    <cfRule type="dataBar" priority="32">
      <dataBar>
        <cfvo type="min"/>
        <cfvo type="max"/>
        <color rgb="FFFFB628"/>
      </dataBar>
    </cfRule>
  </conditionalFormatting>
  <conditionalFormatting sqref="H728:L728">
    <cfRule type="dataBar" priority="26">
      <dataBar>
        <cfvo type="min"/>
        <cfvo type="max"/>
        <color rgb="FFFFB628"/>
      </dataBar>
    </cfRule>
    <cfRule type="dataBar" priority="27">
      <dataBar>
        <cfvo type="min"/>
        <cfvo type="max"/>
        <color rgb="FFFFB628"/>
      </dataBar>
    </cfRule>
    <cfRule type="dataBar" priority="28">
      <dataBar>
        <cfvo type="min"/>
        <cfvo type="max"/>
        <color rgb="FFFFB628"/>
      </dataBar>
    </cfRule>
  </conditionalFormatting>
  <conditionalFormatting sqref="H733:L733">
    <cfRule type="dataBar" priority="22">
      <dataBar>
        <cfvo type="min"/>
        <cfvo type="max"/>
        <color rgb="FFFFB628"/>
      </dataBar>
    </cfRule>
    <cfRule type="dataBar" priority="21">
      <dataBar>
        <cfvo type="min"/>
        <cfvo type="max"/>
        <color rgb="FFFFB628"/>
      </dataBar>
    </cfRule>
    <cfRule type="dataBar" priority="20">
      <dataBar>
        <cfvo type="min"/>
        <cfvo type="max"/>
        <color rgb="FFFFB628"/>
      </dataBar>
    </cfRule>
  </conditionalFormatting>
  <conditionalFormatting sqref="H738:L738">
    <cfRule type="dataBar" priority="36">
      <dataBar>
        <cfvo type="min"/>
        <cfvo type="max"/>
        <color rgb="FFFFB628"/>
      </dataBar>
    </cfRule>
  </conditionalFormatting>
  <conditionalFormatting sqref="H740:L743 H745:L757 H759:L762 H764:L768">
    <cfRule type="dataBar" priority="739">
      <dataBar>
        <cfvo type="min"/>
        <cfvo type="max"/>
        <color rgb="FFFFB628"/>
      </dataBar>
    </cfRule>
  </conditionalFormatting>
  <conditionalFormatting sqref="H768:L768">
    <cfRule type="dataBar" priority="734">
      <dataBar>
        <cfvo type="min"/>
        <cfvo type="max"/>
        <color rgb="FFFFB628"/>
      </dataBar>
    </cfRule>
  </conditionalFormatting>
  <conditionalFormatting sqref="H769:L769 H799:L799">
    <cfRule type="dataBar" priority="738">
      <dataBar>
        <cfvo type="min"/>
        <cfvo type="max"/>
        <color rgb="FFFFB628"/>
      </dataBar>
    </cfRule>
  </conditionalFormatting>
  <conditionalFormatting sqref="H770:L773 H775:L787 H789:L792 H794:L798">
    <cfRule type="dataBar" priority="16">
      <dataBar>
        <cfvo type="min"/>
        <cfvo type="max"/>
        <color rgb="FFFFB628"/>
      </dataBar>
    </cfRule>
  </conditionalFormatting>
  <conditionalFormatting sqref="H798:L798">
    <cfRule type="dataBar" priority="15">
      <dataBar>
        <cfvo type="min"/>
        <cfvo type="max"/>
        <color rgb="FFFFB628"/>
      </dataBar>
    </cfRule>
  </conditionalFormatting>
  <conditionalFormatting sqref="H801:L805 H807:L807 H811:L814 H816:L817 H821:L826">
    <cfRule type="dataBar" priority="732">
      <dataBar>
        <cfvo type="min"/>
        <cfvo type="max"/>
        <color rgb="FFFFB628"/>
      </dataBar>
    </cfRule>
  </conditionalFormatting>
  <conditionalFormatting sqref="H831:L835 H837:L837 H841:L844 H846:L847 H851:L856">
    <cfRule type="dataBar" priority="11">
      <dataBar>
        <cfvo type="min"/>
        <cfvo type="max"/>
        <color rgb="FFFFB628"/>
      </dataBar>
    </cfRule>
    <cfRule type="dataBar" priority="8">
      <dataBar>
        <cfvo type="min"/>
        <cfvo type="max"/>
        <color rgb="FFFFB628"/>
      </dataBar>
    </cfRule>
    <cfRule type="dataBar" priority="10">
      <dataBar>
        <cfvo type="min"/>
        <cfvo type="max"/>
        <color rgb="FFFFB628"/>
      </dataBar>
    </cfRule>
  </conditionalFormatting>
  <conditionalFormatting sqref="H861:L865">
    <cfRule type="dataBar" priority="728">
      <dataBar>
        <cfvo type="min"/>
        <cfvo type="max"/>
        <color rgb="FFFFB628"/>
      </dataBar>
    </cfRule>
  </conditionalFormatting>
  <conditionalFormatting sqref="H867:L867 H871:L874 H876:L877 H881:L886">
    <cfRule type="dataBar" priority="730">
      <dataBar>
        <cfvo type="min"/>
        <cfvo type="max"/>
        <color rgb="FFFFB628"/>
      </dataBar>
    </cfRule>
  </conditionalFormatting>
  <conditionalFormatting sqref="H897:L902">
    <cfRule type="dataBar" priority="747">
      <dataBar>
        <cfvo type="min"/>
        <cfvo type="max"/>
        <color rgb="FFFFB628"/>
      </dataBar>
    </cfRule>
  </conditionalFormatting>
  <conditionalFormatting sqref="H912:L914">
    <cfRule type="dataBar" priority="1836">
      <dataBar>
        <cfvo type="min"/>
        <cfvo type="max"/>
        <color rgb="FFFFB628"/>
      </dataBar>
    </cfRule>
  </conditionalFormatting>
  <conditionalFormatting sqref="H916:L916">
    <cfRule type="dataBar" priority="746">
      <dataBar>
        <cfvo type="min"/>
        <cfvo type="max"/>
        <color rgb="FFFFB628"/>
      </dataBar>
    </cfRule>
  </conditionalFormatting>
  <conditionalFormatting sqref="H919:L919">
    <cfRule type="dataBar" priority="760">
      <dataBar>
        <cfvo type="min"/>
        <cfvo type="max"/>
        <color rgb="FFFFB628"/>
      </dataBar>
    </cfRule>
  </conditionalFormatting>
  <conditionalFormatting sqref="H920:L920 H924:L927 H929:L929 H962:L973 H979:L980 H1012:L1016 H1023:L1034">
    <cfRule type="dataBar" priority="768">
      <dataBar>
        <cfvo type="min"/>
        <cfvo type="max"/>
        <color rgb="FFFFB628"/>
      </dataBar>
    </cfRule>
  </conditionalFormatting>
  <conditionalFormatting sqref="H921:L921">
    <cfRule type="dataBar" priority="756">
      <dataBar>
        <cfvo type="min"/>
        <cfvo type="max"/>
        <color rgb="FFFFB628"/>
      </dataBar>
    </cfRule>
  </conditionalFormatting>
  <conditionalFormatting sqref="H922:L922">
    <cfRule type="dataBar" priority="754">
      <dataBar>
        <cfvo type="min"/>
        <cfvo type="max"/>
        <color rgb="FFFFB628"/>
      </dataBar>
    </cfRule>
  </conditionalFormatting>
  <conditionalFormatting sqref="H923:L923">
    <cfRule type="dataBar" priority="758">
      <dataBar>
        <cfvo type="min"/>
        <cfvo type="max"/>
        <color rgb="FFFFB628"/>
      </dataBar>
    </cfRule>
  </conditionalFormatting>
  <conditionalFormatting sqref="H928:L928">
    <cfRule type="dataBar" priority="752">
      <dataBar>
        <cfvo type="min"/>
        <cfvo type="max"/>
        <color rgb="FFFFB628"/>
      </dataBar>
    </cfRule>
  </conditionalFormatting>
  <conditionalFormatting sqref="H930:L961">
    <cfRule type="dataBar" priority="726">
      <dataBar>
        <cfvo type="min"/>
        <cfvo type="max"/>
        <color rgb="FFFFB628"/>
      </dataBar>
    </cfRule>
  </conditionalFormatting>
  <conditionalFormatting sqref="H974:L978">
    <cfRule type="dataBar" priority="750">
      <dataBar>
        <cfvo type="min"/>
        <cfvo type="max"/>
        <color rgb="FFFFB628"/>
      </dataBar>
    </cfRule>
  </conditionalFormatting>
  <conditionalFormatting sqref="H981:L988 H990:L998 H1000:L1008 H1010:L1010">
    <cfRule type="dataBar" priority="724">
      <dataBar>
        <cfvo type="min"/>
        <cfvo type="max"/>
        <color rgb="FFFFB628"/>
      </dataBar>
    </cfRule>
  </conditionalFormatting>
  <conditionalFormatting sqref="H989:L989">
    <cfRule type="dataBar" priority="653">
      <dataBar>
        <cfvo type="min"/>
        <cfvo type="max"/>
        <color rgb="FFFFB628"/>
      </dataBar>
    </cfRule>
  </conditionalFormatting>
  <conditionalFormatting sqref="H999:L999">
    <cfRule type="dataBar" priority="651">
      <dataBar>
        <cfvo type="min"/>
        <cfvo type="max"/>
        <color rgb="FFFFB628"/>
      </dataBar>
    </cfRule>
  </conditionalFormatting>
  <conditionalFormatting sqref="H1011:L1011">
    <cfRule type="dataBar" priority="723">
      <dataBar>
        <cfvo type="min"/>
        <cfvo type="max"/>
        <color rgb="FFFFB628"/>
      </dataBar>
    </cfRule>
  </conditionalFormatting>
  <conditionalFormatting sqref="H1017:L1022">
    <cfRule type="dataBar" priority="748">
      <dataBar>
        <cfvo type="min"/>
        <cfvo type="max"/>
        <color rgb="FFFFB628"/>
      </dataBar>
    </cfRule>
  </conditionalFormatting>
  <conditionalFormatting sqref="H1035:L1064">
    <cfRule type="dataBar" priority="706">
      <dataBar>
        <cfvo type="min"/>
        <cfvo type="max"/>
        <color rgb="FFFFB628"/>
      </dataBar>
    </cfRule>
    <cfRule type="dataBar" priority="705">
      <dataBar>
        <cfvo type="min"/>
        <cfvo type="max"/>
        <color rgb="FFFFB628"/>
      </dataBar>
    </cfRule>
  </conditionalFormatting>
  <conditionalFormatting sqref="H1065:L1065 H1096:L1096 H1127:L1127 H1158:L1158 H1189:L1189 H1220:L1220">
    <cfRule type="dataBar" priority="715">
      <dataBar>
        <cfvo type="min"/>
        <cfvo type="max"/>
        <color rgb="FFFFB628"/>
      </dataBar>
    </cfRule>
  </conditionalFormatting>
  <conditionalFormatting sqref="H1066:L1066">
    <cfRule type="dataBar" priority="643">
      <dataBar>
        <cfvo type="min"/>
        <cfvo type="max"/>
        <color rgb="FFFFB628"/>
      </dataBar>
    </cfRule>
    <cfRule type="dataBar" priority="644">
      <dataBar>
        <cfvo type="min"/>
        <cfvo type="max"/>
        <color rgb="FFFFB628"/>
      </dataBar>
    </cfRule>
  </conditionalFormatting>
  <conditionalFormatting sqref="H1067:L1067">
    <cfRule type="dataBar" priority="635">
      <dataBar>
        <cfvo type="min"/>
        <cfvo type="max"/>
        <color rgb="FFFFB628"/>
      </dataBar>
    </cfRule>
    <cfRule type="dataBar" priority="636">
      <dataBar>
        <cfvo type="min"/>
        <cfvo type="max"/>
        <color rgb="FFFFB628"/>
      </dataBar>
    </cfRule>
  </conditionalFormatting>
  <conditionalFormatting sqref="H1068:L1068">
    <cfRule type="dataBar" priority="627">
      <dataBar>
        <cfvo type="min"/>
        <cfvo type="max"/>
        <color rgb="FFFFB628"/>
      </dataBar>
    </cfRule>
    <cfRule type="dataBar" priority="628">
      <dataBar>
        <cfvo type="min"/>
        <cfvo type="max"/>
        <color rgb="FFFFB628"/>
      </dataBar>
    </cfRule>
  </conditionalFormatting>
  <conditionalFormatting sqref="H1069:L1069 H1073:L1073 H1075:L1075 H1077:L1077 H1080:L1080 H1086:L1086 H1089:L1089 H1093:L1093">
    <cfRule type="dataBar" priority="714">
      <dataBar>
        <cfvo type="min"/>
        <cfvo type="max"/>
        <color rgb="FFFFB628"/>
      </dataBar>
    </cfRule>
    <cfRule type="dataBar" priority="713">
      <dataBar>
        <cfvo type="min"/>
        <cfvo type="max"/>
        <color rgb="FFFFB628"/>
      </dataBar>
    </cfRule>
  </conditionalFormatting>
  <conditionalFormatting sqref="H1070:L1072">
    <cfRule type="dataBar" priority="619">
      <dataBar>
        <cfvo type="min"/>
        <cfvo type="max"/>
        <color rgb="FFFFB628"/>
      </dataBar>
    </cfRule>
    <cfRule type="dataBar" priority="620">
      <dataBar>
        <cfvo type="min"/>
        <cfvo type="max"/>
        <color rgb="FFFFB628"/>
      </dataBar>
    </cfRule>
  </conditionalFormatting>
  <conditionalFormatting sqref="H1074:L1074">
    <cfRule type="dataBar" priority="611">
      <dataBar>
        <cfvo type="min"/>
        <cfvo type="max"/>
        <color rgb="FFFFB628"/>
      </dataBar>
    </cfRule>
    <cfRule type="dataBar" priority="612">
      <dataBar>
        <cfvo type="min"/>
        <cfvo type="max"/>
        <color rgb="FFFFB628"/>
      </dataBar>
    </cfRule>
  </conditionalFormatting>
  <conditionalFormatting sqref="H1076:L1076">
    <cfRule type="dataBar" priority="603">
      <dataBar>
        <cfvo type="min"/>
        <cfvo type="max"/>
        <color rgb="FFFFB628"/>
      </dataBar>
    </cfRule>
    <cfRule type="dataBar" priority="604">
      <dataBar>
        <cfvo type="min"/>
        <cfvo type="max"/>
        <color rgb="FFFFB628"/>
      </dataBar>
    </cfRule>
  </conditionalFormatting>
  <conditionalFormatting sqref="H1078:L1078">
    <cfRule type="dataBar" priority="595">
      <dataBar>
        <cfvo type="min"/>
        <cfvo type="max"/>
        <color rgb="FFFFB628"/>
      </dataBar>
    </cfRule>
    <cfRule type="dataBar" priority="596">
      <dataBar>
        <cfvo type="min"/>
        <cfvo type="max"/>
        <color rgb="FFFFB628"/>
      </dataBar>
    </cfRule>
  </conditionalFormatting>
  <conditionalFormatting sqref="H1079:L1079">
    <cfRule type="dataBar" priority="587">
      <dataBar>
        <cfvo type="min"/>
        <cfvo type="max"/>
        <color rgb="FFFFB628"/>
      </dataBar>
    </cfRule>
    <cfRule type="dataBar" priority="588">
      <dataBar>
        <cfvo type="min"/>
        <cfvo type="max"/>
        <color rgb="FFFFB628"/>
      </dataBar>
    </cfRule>
  </conditionalFormatting>
  <conditionalFormatting sqref="H1081:L1081">
    <cfRule type="dataBar" priority="579">
      <dataBar>
        <cfvo type="min"/>
        <cfvo type="max"/>
        <color rgb="FFFFB628"/>
      </dataBar>
    </cfRule>
    <cfRule type="dataBar" priority="580">
      <dataBar>
        <cfvo type="min"/>
        <cfvo type="max"/>
        <color rgb="FFFFB628"/>
      </dataBar>
    </cfRule>
  </conditionalFormatting>
  <conditionalFormatting sqref="H1082:L1082">
    <cfRule type="dataBar" priority="572">
      <dataBar>
        <cfvo type="min"/>
        <cfvo type="max"/>
        <color rgb="FFFFB628"/>
      </dataBar>
    </cfRule>
    <cfRule type="dataBar" priority="571">
      <dataBar>
        <cfvo type="min"/>
        <cfvo type="max"/>
        <color rgb="FFFFB628"/>
      </dataBar>
    </cfRule>
  </conditionalFormatting>
  <conditionalFormatting sqref="H1083:L1083">
    <cfRule type="dataBar" priority="564">
      <dataBar>
        <cfvo type="min"/>
        <cfvo type="max"/>
        <color rgb="FFFFB628"/>
      </dataBar>
    </cfRule>
    <cfRule type="dataBar" priority="563">
      <dataBar>
        <cfvo type="min"/>
        <cfvo type="max"/>
        <color rgb="FFFFB628"/>
      </dataBar>
    </cfRule>
  </conditionalFormatting>
  <conditionalFormatting sqref="H1084:L1084">
    <cfRule type="dataBar" priority="556">
      <dataBar>
        <cfvo type="min"/>
        <cfvo type="max"/>
        <color rgb="FFFFB628"/>
      </dataBar>
    </cfRule>
    <cfRule type="dataBar" priority="555">
      <dataBar>
        <cfvo type="min"/>
        <cfvo type="max"/>
        <color rgb="FFFFB628"/>
      </dataBar>
    </cfRule>
  </conditionalFormatting>
  <conditionalFormatting sqref="H1085:L1085">
    <cfRule type="dataBar" priority="548">
      <dataBar>
        <cfvo type="min"/>
        <cfvo type="max"/>
        <color rgb="FFFFB628"/>
      </dataBar>
    </cfRule>
    <cfRule type="dataBar" priority="547">
      <dataBar>
        <cfvo type="min"/>
        <cfvo type="max"/>
        <color rgb="FFFFB628"/>
      </dataBar>
    </cfRule>
  </conditionalFormatting>
  <conditionalFormatting sqref="H1087:L1087">
    <cfRule type="dataBar" priority="540">
      <dataBar>
        <cfvo type="min"/>
        <cfvo type="max"/>
        <color rgb="FFFFB628"/>
      </dataBar>
    </cfRule>
    <cfRule type="dataBar" priority="539">
      <dataBar>
        <cfvo type="min"/>
        <cfvo type="max"/>
        <color rgb="FFFFB628"/>
      </dataBar>
    </cfRule>
  </conditionalFormatting>
  <conditionalFormatting sqref="H1088:L1088">
    <cfRule type="dataBar" priority="531">
      <dataBar>
        <cfvo type="min"/>
        <cfvo type="max"/>
        <color rgb="FFFFB628"/>
      </dataBar>
    </cfRule>
    <cfRule type="dataBar" priority="532">
      <dataBar>
        <cfvo type="min"/>
        <cfvo type="max"/>
        <color rgb="FFFFB628"/>
      </dataBar>
    </cfRule>
  </conditionalFormatting>
  <conditionalFormatting sqref="H1090:L1090">
    <cfRule type="dataBar" priority="523">
      <dataBar>
        <cfvo type="min"/>
        <cfvo type="max"/>
        <color rgb="FFFFB628"/>
      </dataBar>
    </cfRule>
    <cfRule type="dataBar" priority="524">
      <dataBar>
        <cfvo type="min"/>
        <cfvo type="max"/>
        <color rgb="FFFFB628"/>
      </dataBar>
    </cfRule>
  </conditionalFormatting>
  <conditionalFormatting sqref="H1091:L1091">
    <cfRule type="dataBar" priority="515">
      <dataBar>
        <cfvo type="min"/>
        <cfvo type="max"/>
        <color rgb="FFFFB628"/>
      </dataBar>
    </cfRule>
    <cfRule type="dataBar" priority="516">
      <dataBar>
        <cfvo type="min"/>
        <cfvo type="max"/>
        <color rgb="FFFFB628"/>
      </dataBar>
    </cfRule>
  </conditionalFormatting>
  <conditionalFormatting sqref="H1092:L1092">
    <cfRule type="dataBar" priority="507">
      <dataBar>
        <cfvo type="min"/>
        <cfvo type="max"/>
        <color rgb="FFFFB628"/>
      </dataBar>
    </cfRule>
    <cfRule type="dataBar" priority="508">
      <dataBar>
        <cfvo type="min"/>
        <cfvo type="max"/>
        <color rgb="FFFFB628"/>
      </dataBar>
    </cfRule>
  </conditionalFormatting>
  <conditionalFormatting sqref="H1094:L1094">
    <cfRule type="dataBar" priority="500">
      <dataBar>
        <cfvo type="min"/>
        <cfvo type="max"/>
        <color rgb="FFFFB628"/>
      </dataBar>
    </cfRule>
    <cfRule type="dataBar" priority="499">
      <dataBar>
        <cfvo type="min"/>
        <cfvo type="max"/>
        <color rgb="FFFFB628"/>
      </dataBar>
    </cfRule>
  </conditionalFormatting>
  <conditionalFormatting sqref="H1095:L1095">
    <cfRule type="dataBar" priority="492">
      <dataBar>
        <cfvo type="min"/>
        <cfvo type="max"/>
        <color rgb="FFFFB628"/>
      </dataBar>
    </cfRule>
    <cfRule type="dataBar" priority="491">
      <dataBar>
        <cfvo type="min"/>
        <cfvo type="max"/>
        <color rgb="FFFFB628"/>
      </dataBar>
    </cfRule>
  </conditionalFormatting>
  <conditionalFormatting sqref="H1096:L1096">
    <cfRule type="dataBar" priority="719">
      <dataBar>
        <cfvo type="min"/>
        <cfvo type="max"/>
        <color rgb="FFFFB628"/>
      </dataBar>
    </cfRule>
  </conditionalFormatting>
  <conditionalFormatting sqref="H1097:L1105">
    <cfRule type="dataBar" priority="484">
      <dataBar>
        <cfvo type="min"/>
        <cfvo type="max"/>
        <color rgb="FFFFB628"/>
      </dataBar>
    </cfRule>
    <cfRule type="dataBar" priority="483">
      <dataBar>
        <cfvo type="min"/>
        <cfvo type="max"/>
        <color rgb="FFFFB628"/>
      </dataBar>
    </cfRule>
  </conditionalFormatting>
  <conditionalFormatting sqref="H1106:L1107 H1111:L1111 H1117:L1117 H1123:L1124">
    <cfRule type="dataBar" priority="689">
      <dataBar>
        <cfvo type="min"/>
        <cfvo type="max"/>
        <color rgb="FFFFB628"/>
      </dataBar>
    </cfRule>
    <cfRule type="dataBar" priority="690">
      <dataBar>
        <cfvo type="min"/>
        <cfvo type="max"/>
        <color rgb="FFFFB628"/>
      </dataBar>
    </cfRule>
  </conditionalFormatting>
  <conditionalFormatting sqref="H1108:L1110">
    <cfRule type="dataBar" priority="476">
      <dataBar>
        <cfvo type="min"/>
        <cfvo type="max"/>
        <color rgb="FFFFB628"/>
      </dataBar>
    </cfRule>
    <cfRule type="dataBar" priority="475">
      <dataBar>
        <cfvo type="min"/>
        <cfvo type="max"/>
        <color rgb="FFFFB628"/>
      </dataBar>
    </cfRule>
  </conditionalFormatting>
  <conditionalFormatting sqref="H1112:L1116">
    <cfRule type="dataBar" priority="468">
      <dataBar>
        <cfvo type="min"/>
        <cfvo type="max"/>
        <color rgb="FFFFB628"/>
      </dataBar>
    </cfRule>
    <cfRule type="dataBar" priority="467">
      <dataBar>
        <cfvo type="min"/>
        <cfvo type="max"/>
        <color rgb="FFFFB628"/>
      </dataBar>
    </cfRule>
  </conditionalFormatting>
  <conditionalFormatting sqref="H1118:L1122">
    <cfRule type="dataBar" priority="459">
      <dataBar>
        <cfvo type="min"/>
        <cfvo type="max"/>
        <color rgb="FFFFB628"/>
      </dataBar>
    </cfRule>
    <cfRule type="dataBar" priority="460">
      <dataBar>
        <cfvo type="min"/>
        <cfvo type="max"/>
        <color rgb="FFFFB628"/>
      </dataBar>
    </cfRule>
  </conditionalFormatting>
  <conditionalFormatting sqref="H1125:L1126">
    <cfRule type="dataBar" priority="452">
      <dataBar>
        <cfvo type="min"/>
        <cfvo type="max"/>
        <color rgb="FFFFB628"/>
      </dataBar>
    </cfRule>
    <cfRule type="dataBar" priority="451">
      <dataBar>
        <cfvo type="min"/>
        <cfvo type="max"/>
        <color rgb="FFFFB628"/>
      </dataBar>
    </cfRule>
  </conditionalFormatting>
  <conditionalFormatting sqref="H1128:L1136">
    <cfRule type="dataBar" priority="443">
      <dataBar>
        <cfvo type="min"/>
        <cfvo type="max"/>
        <color rgb="FFFFB628"/>
      </dataBar>
    </cfRule>
    <cfRule type="dataBar" priority="444">
      <dataBar>
        <cfvo type="min"/>
        <cfvo type="max"/>
        <color rgb="FFFFB628"/>
      </dataBar>
    </cfRule>
  </conditionalFormatting>
  <conditionalFormatting sqref="H1137:L1138 H1142:L1142 H1148:L1148 H1154:L1155">
    <cfRule type="dataBar" priority="698">
      <dataBar>
        <cfvo type="min"/>
        <cfvo type="max"/>
        <color rgb="FFFFB628"/>
      </dataBar>
    </cfRule>
    <cfRule type="dataBar" priority="697">
      <dataBar>
        <cfvo type="min"/>
        <cfvo type="max"/>
        <color rgb="FFFFB628"/>
      </dataBar>
    </cfRule>
  </conditionalFormatting>
  <conditionalFormatting sqref="H1139:L1139">
    <cfRule type="dataBar" priority="435">
      <dataBar>
        <cfvo type="min"/>
        <cfvo type="max"/>
        <color rgb="FFFFB628"/>
      </dataBar>
    </cfRule>
    <cfRule type="dataBar" priority="436">
      <dataBar>
        <cfvo type="min"/>
        <cfvo type="max"/>
        <color rgb="FFFFB628"/>
      </dataBar>
    </cfRule>
  </conditionalFormatting>
  <conditionalFormatting sqref="H1140:L1140">
    <cfRule type="dataBar" priority="428">
      <dataBar>
        <cfvo type="min"/>
        <cfvo type="max"/>
        <color rgb="FFFFB628"/>
      </dataBar>
    </cfRule>
    <cfRule type="dataBar" priority="427">
      <dataBar>
        <cfvo type="min"/>
        <cfvo type="max"/>
        <color rgb="FFFFB628"/>
      </dataBar>
    </cfRule>
  </conditionalFormatting>
  <conditionalFormatting sqref="H1141:L1141">
    <cfRule type="dataBar" priority="419">
      <dataBar>
        <cfvo type="min"/>
        <cfvo type="max"/>
        <color rgb="FFFFB628"/>
      </dataBar>
    </cfRule>
    <cfRule type="dataBar" priority="420">
      <dataBar>
        <cfvo type="min"/>
        <cfvo type="max"/>
        <color rgb="FFFFB628"/>
      </dataBar>
    </cfRule>
  </conditionalFormatting>
  <conditionalFormatting sqref="H1143:L1143">
    <cfRule type="dataBar" priority="411">
      <dataBar>
        <cfvo type="min"/>
        <cfvo type="max"/>
        <color rgb="FFFFB628"/>
      </dataBar>
    </cfRule>
    <cfRule type="dataBar" priority="412">
      <dataBar>
        <cfvo type="min"/>
        <cfvo type="max"/>
        <color rgb="FFFFB628"/>
      </dataBar>
    </cfRule>
  </conditionalFormatting>
  <conditionalFormatting sqref="H1144:L1144">
    <cfRule type="dataBar" priority="403">
      <dataBar>
        <cfvo type="min"/>
        <cfvo type="max"/>
        <color rgb="FFFFB628"/>
      </dataBar>
    </cfRule>
    <cfRule type="dataBar" priority="404">
      <dataBar>
        <cfvo type="min"/>
        <cfvo type="max"/>
        <color rgb="FFFFB628"/>
      </dataBar>
    </cfRule>
  </conditionalFormatting>
  <conditionalFormatting sqref="H1145:L1145">
    <cfRule type="dataBar" priority="396">
      <dataBar>
        <cfvo type="min"/>
        <cfvo type="max"/>
        <color rgb="FFFFB628"/>
      </dataBar>
    </cfRule>
    <cfRule type="dataBar" priority="395">
      <dataBar>
        <cfvo type="min"/>
        <cfvo type="max"/>
        <color rgb="FFFFB628"/>
      </dataBar>
    </cfRule>
  </conditionalFormatting>
  <conditionalFormatting sqref="H1146:L1146">
    <cfRule type="dataBar" priority="388">
      <dataBar>
        <cfvo type="min"/>
        <cfvo type="max"/>
        <color rgb="FFFFB628"/>
      </dataBar>
    </cfRule>
    <cfRule type="dataBar" priority="387">
      <dataBar>
        <cfvo type="min"/>
        <cfvo type="max"/>
        <color rgb="FFFFB628"/>
      </dataBar>
    </cfRule>
  </conditionalFormatting>
  <conditionalFormatting sqref="H1147:L1147">
    <cfRule type="dataBar" priority="379">
      <dataBar>
        <cfvo type="min"/>
        <cfvo type="max"/>
        <color rgb="FFFFB628"/>
      </dataBar>
    </cfRule>
    <cfRule type="dataBar" priority="380">
      <dataBar>
        <cfvo type="min"/>
        <cfvo type="max"/>
        <color rgb="FFFFB628"/>
      </dataBar>
    </cfRule>
  </conditionalFormatting>
  <conditionalFormatting sqref="H1149:L1149">
    <cfRule type="dataBar" priority="371">
      <dataBar>
        <cfvo type="min"/>
        <cfvo type="max"/>
        <color rgb="FFFFB628"/>
      </dataBar>
    </cfRule>
    <cfRule type="dataBar" priority="372">
      <dataBar>
        <cfvo type="min"/>
        <cfvo type="max"/>
        <color rgb="FFFFB628"/>
      </dataBar>
    </cfRule>
  </conditionalFormatting>
  <conditionalFormatting sqref="H1150:L1150">
    <cfRule type="dataBar" priority="363">
      <dataBar>
        <cfvo type="min"/>
        <cfvo type="max"/>
        <color rgb="FFFFB628"/>
      </dataBar>
    </cfRule>
    <cfRule type="dataBar" priority="364">
      <dataBar>
        <cfvo type="min"/>
        <cfvo type="max"/>
        <color rgb="FFFFB628"/>
      </dataBar>
    </cfRule>
  </conditionalFormatting>
  <conditionalFormatting sqref="H1151:L1151">
    <cfRule type="dataBar" priority="355">
      <dataBar>
        <cfvo type="min"/>
        <cfvo type="max"/>
        <color rgb="FFFFB628"/>
      </dataBar>
    </cfRule>
    <cfRule type="dataBar" priority="356">
      <dataBar>
        <cfvo type="min"/>
        <cfvo type="max"/>
        <color rgb="FFFFB628"/>
      </dataBar>
    </cfRule>
  </conditionalFormatting>
  <conditionalFormatting sqref="H1152:L1152">
    <cfRule type="dataBar" priority="347">
      <dataBar>
        <cfvo type="min"/>
        <cfvo type="max"/>
        <color rgb="FFFFB628"/>
      </dataBar>
    </cfRule>
    <cfRule type="dataBar" priority="348">
      <dataBar>
        <cfvo type="min"/>
        <cfvo type="max"/>
        <color rgb="FFFFB628"/>
      </dataBar>
    </cfRule>
  </conditionalFormatting>
  <conditionalFormatting sqref="H1153:L1153">
    <cfRule type="dataBar" priority="340">
      <dataBar>
        <cfvo type="min"/>
        <cfvo type="max"/>
        <color rgb="FFFFB628"/>
      </dataBar>
    </cfRule>
    <cfRule type="dataBar" priority="339">
      <dataBar>
        <cfvo type="min"/>
        <cfvo type="max"/>
        <color rgb="FFFFB628"/>
      </dataBar>
    </cfRule>
  </conditionalFormatting>
  <conditionalFormatting sqref="H1156:L1156">
    <cfRule type="dataBar" priority="331">
      <dataBar>
        <cfvo type="min"/>
        <cfvo type="max"/>
        <color rgb="FFFFB628"/>
      </dataBar>
    </cfRule>
    <cfRule type="dataBar" priority="332">
      <dataBar>
        <cfvo type="min"/>
        <cfvo type="max"/>
        <color rgb="FFFFB628"/>
      </dataBar>
    </cfRule>
  </conditionalFormatting>
  <conditionalFormatting sqref="H1157:L1157">
    <cfRule type="dataBar" priority="324">
      <dataBar>
        <cfvo type="min"/>
        <cfvo type="max"/>
        <color rgb="FFFFB628"/>
      </dataBar>
    </cfRule>
    <cfRule type="dataBar" priority="323">
      <dataBar>
        <cfvo type="min"/>
        <cfvo type="max"/>
        <color rgb="FFFFB628"/>
      </dataBar>
    </cfRule>
  </conditionalFormatting>
  <conditionalFormatting sqref="H1159:L1159">
    <cfRule type="dataBar" priority="316">
      <dataBar>
        <cfvo type="min"/>
        <cfvo type="max"/>
        <color rgb="FFFFB628"/>
      </dataBar>
    </cfRule>
    <cfRule type="dataBar" priority="315">
      <dataBar>
        <cfvo type="min"/>
        <cfvo type="max"/>
        <color rgb="FFFFB628"/>
      </dataBar>
    </cfRule>
  </conditionalFormatting>
  <conditionalFormatting sqref="H1160:L1160">
    <cfRule type="dataBar" priority="308">
      <dataBar>
        <cfvo type="min"/>
        <cfvo type="max"/>
        <color rgb="FFFFB628"/>
      </dataBar>
    </cfRule>
    <cfRule type="dataBar" priority="307">
      <dataBar>
        <cfvo type="min"/>
        <cfvo type="max"/>
        <color rgb="FFFFB628"/>
      </dataBar>
    </cfRule>
  </conditionalFormatting>
  <conditionalFormatting sqref="H1161:L1161 H1166:L1166 H1168:L1170 H1172:L1173 H1179:L1179 H1181:L1182 H1184:L1186 H1188:L1188">
    <cfRule type="dataBar" priority="674">
      <dataBar>
        <cfvo type="min"/>
        <cfvo type="max"/>
        <color rgb="FFFFB628"/>
      </dataBar>
    </cfRule>
    <cfRule type="dataBar" priority="673">
      <dataBar>
        <cfvo type="min"/>
        <cfvo type="max"/>
        <color rgb="FFFFB628"/>
      </dataBar>
    </cfRule>
  </conditionalFormatting>
  <conditionalFormatting sqref="H1162:L1162">
    <cfRule type="dataBar" priority="299">
      <dataBar>
        <cfvo type="min"/>
        <cfvo type="max"/>
        <color rgb="FFFFB628"/>
      </dataBar>
    </cfRule>
    <cfRule type="dataBar" priority="300">
      <dataBar>
        <cfvo type="min"/>
        <cfvo type="max"/>
        <color rgb="FFFFB628"/>
      </dataBar>
    </cfRule>
  </conditionalFormatting>
  <conditionalFormatting sqref="H1163:L1163">
    <cfRule type="dataBar" priority="291">
      <dataBar>
        <cfvo type="min"/>
        <cfvo type="max"/>
        <color rgb="FFFFB628"/>
      </dataBar>
    </cfRule>
    <cfRule type="dataBar" priority="292">
      <dataBar>
        <cfvo type="min"/>
        <cfvo type="max"/>
        <color rgb="FFFFB628"/>
      </dataBar>
    </cfRule>
  </conditionalFormatting>
  <conditionalFormatting sqref="H1164:L1164">
    <cfRule type="dataBar" priority="283">
      <dataBar>
        <cfvo type="min"/>
        <cfvo type="max"/>
        <color rgb="FFFFB628"/>
      </dataBar>
    </cfRule>
    <cfRule type="dataBar" priority="284">
      <dataBar>
        <cfvo type="min"/>
        <cfvo type="max"/>
        <color rgb="FFFFB628"/>
      </dataBar>
    </cfRule>
  </conditionalFormatting>
  <conditionalFormatting sqref="H1165:L1165">
    <cfRule type="dataBar" priority="275">
      <dataBar>
        <cfvo type="min"/>
        <cfvo type="max"/>
        <color rgb="FFFFB628"/>
      </dataBar>
    </cfRule>
    <cfRule type="dataBar" priority="276">
      <dataBar>
        <cfvo type="min"/>
        <cfvo type="max"/>
        <color rgb="FFFFB628"/>
      </dataBar>
    </cfRule>
  </conditionalFormatting>
  <conditionalFormatting sqref="H1167:L1167">
    <cfRule type="dataBar" priority="267">
      <dataBar>
        <cfvo type="min"/>
        <cfvo type="max"/>
        <color rgb="FFFFB628"/>
      </dataBar>
    </cfRule>
    <cfRule type="dataBar" priority="268">
      <dataBar>
        <cfvo type="min"/>
        <cfvo type="max"/>
        <color rgb="FFFFB628"/>
      </dataBar>
    </cfRule>
  </conditionalFormatting>
  <conditionalFormatting sqref="H1171:L1171">
    <cfRule type="dataBar" priority="259">
      <dataBar>
        <cfvo type="min"/>
        <cfvo type="max"/>
        <color rgb="FFFFB628"/>
      </dataBar>
    </cfRule>
    <cfRule type="dataBar" priority="260">
      <dataBar>
        <cfvo type="min"/>
        <cfvo type="max"/>
        <color rgb="FFFFB628"/>
      </dataBar>
    </cfRule>
  </conditionalFormatting>
  <conditionalFormatting sqref="H1174:L1174">
    <cfRule type="dataBar" priority="252">
      <dataBar>
        <cfvo type="min"/>
        <cfvo type="max"/>
        <color rgb="FFFFB628"/>
      </dataBar>
    </cfRule>
    <cfRule type="dataBar" priority="251">
      <dataBar>
        <cfvo type="min"/>
        <cfvo type="max"/>
        <color rgb="FFFFB628"/>
      </dataBar>
    </cfRule>
  </conditionalFormatting>
  <conditionalFormatting sqref="H1175:L1175">
    <cfRule type="dataBar" priority="244">
      <dataBar>
        <cfvo type="min"/>
        <cfvo type="max"/>
        <color rgb="FFFFB628"/>
      </dataBar>
    </cfRule>
    <cfRule type="dataBar" priority="243">
      <dataBar>
        <cfvo type="min"/>
        <cfvo type="max"/>
        <color rgb="FFFFB628"/>
      </dataBar>
    </cfRule>
  </conditionalFormatting>
  <conditionalFormatting sqref="H1176:L1176">
    <cfRule type="dataBar" priority="236">
      <dataBar>
        <cfvo type="min"/>
        <cfvo type="max"/>
        <color rgb="FFFFB628"/>
      </dataBar>
    </cfRule>
    <cfRule type="dataBar" priority="235">
      <dataBar>
        <cfvo type="min"/>
        <cfvo type="max"/>
        <color rgb="FFFFB628"/>
      </dataBar>
    </cfRule>
  </conditionalFormatting>
  <conditionalFormatting sqref="H1177:L1177">
    <cfRule type="dataBar" priority="227">
      <dataBar>
        <cfvo type="min"/>
        <cfvo type="max"/>
        <color rgb="FFFFB628"/>
      </dataBar>
    </cfRule>
    <cfRule type="dataBar" priority="228">
      <dataBar>
        <cfvo type="min"/>
        <cfvo type="max"/>
        <color rgb="FFFFB628"/>
      </dataBar>
    </cfRule>
  </conditionalFormatting>
  <conditionalFormatting sqref="H1192:L1192 H1197:L1197 H1199:L1201 H1203:L1204 H1210:L1210 H1212:L1213 H1215:L1217 H1219:L1219">
    <cfRule type="dataBar" priority="682">
      <dataBar>
        <cfvo type="min"/>
        <cfvo type="max"/>
        <color rgb="FFFFB628"/>
      </dataBar>
    </cfRule>
    <cfRule type="dataBar" priority="681">
      <dataBar>
        <cfvo type="min"/>
        <cfvo type="max"/>
        <color rgb="FFFFB628"/>
      </dataBar>
    </cfRule>
  </conditionalFormatting>
  <conditionalFormatting sqref="H1221:L1221">
    <cfRule type="dataBar" priority="213">
      <dataBar>
        <cfvo type="min"/>
        <cfvo type="max"/>
        <color rgb="FFFFB628"/>
      </dataBar>
    </cfRule>
  </conditionalFormatting>
  <conditionalFormatting sqref="H1221:L1225 H1228:L1231 H1233:L1238 H1240:L1245 H1248:L1251 H1253:L1262 H1264:L1265 H1267:L1275 H1277:L1277 H1279:L1283 H1285:L1290 H1292:L1292 H1299:L1309 H1311:L1311 H1313:L1316 H1318:L1320 H1322:L1325 H1327:L1332 H1337:L1337 H1340:L1340">
    <cfRule type="dataBar" priority="218">
      <dataBar>
        <cfvo type="min"/>
        <cfvo type="max"/>
        <color rgb="FFFFB628"/>
      </dataBar>
    </cfRule>
    <cfRule type="dataBar" priority="217">
      <dataBar>
        <cfvo type="min"/>
        <cfvo type="max"/>
        <color rgb="FFFFB628"/>
      </dataBar>
    </cfRule>
    <cfRule type="dataBar" priority="219">
      <dataBar>
        <cfvo type="min"/>
        <cfvo type="max"/>
        <color rgb="FFFFB628"/>
      </dataBar>
    </cfRule>
  </conditionalFormatting>
  <conditionalFormatting sqref="H1226:L1226">
    <cfRule type="dataBar" priority="200">
      <dataBar>
        <cfvo type="min"/>
        <cfvo type="max"/>
        <color rgb="FFFFB628"/>
      </dataBar>
    </cfRule>
    <cfRule type="dataBar" priority="199">
      <dataBar>
        <cfvo type="min"/>
        <cfvo type="max"/>
        <color rgb="FFFFB628"/>
      </dataBar>
    </cfRule>
    <cfRule type="dataBar" priority="198">
      <dataBar>
        <cfvo type="min"/>
        <cfvo type="max"/>
        <color rgb="FFFFB628"/>
      </dataBar>
    </cfRule>
  </conditionalFormatting>
  <conditionalFormatting sqref="H1227:L1227">
    <cfRule type="dataBar" priority="195">
      <dataBar>
        <cfvo type="min"/>
        <cfvo type="max"/>
        <color rgb="FFFFB628"/>
      </dataBar>
    </cfRule>
    <cfRule type="dataBar" priority="194">
      <dataBar>
        <cfvo type="min"/>
        <cfvo type="max"/>
        <color rgb="FFFFB628"/>
      </dataBar>
    </cfRule>
    <cfRule type="dataBar" priority="193">
      <dataBar>
        <cfvo type="min"/>
        <cfvo type="max"/>
        <color rgb="FFFFB628"/>
      </dataBar>
    </cfRule>
  </conditionalFormatting>
  <conditionalFormatting sqref="H1232:L1232">
    <cfRule type="dataBar" priority="189">
      <dataBar>
        <cfvo type="min"/>
        <cfvo type="max"/>
        <color rgb="FFFFB628"/>
      </dataBar>
    </cfRule>
    <cfRule type="dataBar" priority="190">
      <dataBar>
        <cfvo type="min"/>
        <cfvo type="max"/>
        <color rgb="FFFFB628"/>
      </dataBar>
    </cfRule>
    <cfRule type="dataBar" priority="191">
      <dataBar>
        <cfvo type="min"/>
        <cfvo type="max"/>
        <color rgb="FFFFB628"/>
      </dataBar>
    </cfRule>
  </conditionalFormatting>
  <conditionalFormatting sqref="H1239:L1239">
    <cfRule type="dataBar" priority="185">
      <dataBar>
        <cfvo type="min"/>
        <cfvo type="max"/>
        <color rgb="FFFFB628"/>
      </dataBar>
    </cfRule>
    <cfRule type="dataBar" priority="184">
      <dataBar>
        <cfvo type="min"/>
        <cfvo type="max"/>
        <color rgb="FFFFB628"/>
      </dataBar>
    </cfRule>
    <cfRule type="dataBar" priority="183">
      <dataBar>
        <cfvo type="min"/>
        <cfvo type="max"/>
        <color rgb="FFFFB628"/>
      </dataBar>
    </cfRule>
  </conditionalFormatting>
  <conditionalFormatting sqref="H1246:L1246">
    <cfRule type="dataBar" priority="179">
      <dataBar>
        <cfvo type="min"/>
        <cfvo type="max"/>
        <color rgb="FFFFB628"/>
      </dataBar>
    </cfRule>
    <cfRule type="dataBar" priority="178">
      <dataBar>
        <cfvo type="min"/>
        <cfvo type="max"/>
        <color rgb="FFFFB628"/>
      </dataBar>
    </cfRule>
    <cfRule type="dataBar" priority="177">
      <dataBar>
        <cfvo type="min"/>
        <cfvo type="max"/>
        <color rgb="FFFFB628"/>
      </dataBar>
    </cfRule>
  </conditionalFormatting>
  <conditionalFormatting sqref="H1247:L1247">
    <cfRule type="dataBar" priority="173">
      <dataBar>
        <cfvo type="min"/>
        <cfvo type="max"/>
        <color rgb="FFFFB628"/>
      </dataBar>
    </cfRule>
    <cfRule type="dataBar" priority="171">
      <dataBar>
        <cfvo type="min"/>
        <cfvo type="max"/>
        <color rgb="FFFFB628"/>
      </dataBar>
    </cfRule>
    <cfRule type="dataBar" priority="172">
      <dataBar>
        <cfvo type="min"/>
        <cfvo type="max"/>
        <color rgb="FFFFB628"/>
      </dataBar>
    </cfRule>
  </conditionalFormatting>
  <conditionalFormatting sqref="H1252:L1252">
    <cfRule type="dataBar" priority="166">
      <dataBar>
        <cfvo type="min"/>
        <cfvo type="max"/>
        <color rgb="FFFFB628"/>
      </dataBar>
    </cfRule>
    <cfRule type="dataBar" priority="167">
      <dataBar>
        <cfvo type="min"/>
        <cfvo type="max"/>
        <color rgb="FFFFB628"/>
      </dataBar>
    </cfRule>
    <cfRule type="dataBar" priority="165">
      <dataBar>
        <cfvo type="min"/>
        <cfvo type="max"/>
        <color rgb="FFFFB628"/>
      </dataBar>
    </cfRule>
  </conditionalFormatting>
  <conditionalFormatting sqref="H1263:L1263">
    <cfRule type="dataBar" priority="159">
      <dataBar>
        <cfvo type="min"/>
        <cfvo type="max"/>
        <color rgb="FFFFB628"/>
      </dataBar>
    </cfRule>
    <cfRule type="dataBar" priority="160">
      <dataBar>
        <cfvo type="min"/>
        <cfvo type="max"/>
        <color rgb="FFFFB628"/>
      </dataBar>
    </cfRule>
    <cfRule type="dataBar" priority="161">
      <dataBar>
        <cfvo type="min"/>
        <cfvo type="max"/>
        <color rgb="FFFFB628"/>
      </dataBar>
    </cfRule>
  </conditionalFormatting>
  <conditionalFormatting sqref="H1266:L1266">
    <cfRule type="dataBar" priority="155">
      <dataBar>
        <cfvo type="min"/>
        <cfvo type="max"/>
        <color rgb="FFFFB628"/>
      </dataBar>
    </cfRule>
    <cfRule type="dataBar" priority="154">
      <dataBar>
        <cfvo type="min"/>
        <cfvo type="max"/>
        <color rgb="FFFFB628"/>
      </dataBar>
    </cfRule>
    <cfRule type="dataBar" priority="153">
      <dataBar>
        <cfvo type="min"/>
        <cfvo type="max"/>
        <color rgb="FFFFB628"/>
      </dataBar>
    </cfRule>
  </conditionalFormatting>
  <conditionalFormatting sqref="H1276:L1276">
    <cfRule type="dataBar" priority="148">
      <dataBar>
        <cfvo type="min"/>
        <cfvo type="max"/>
        <color rgb="FFFFB628"/>
      </dataBar>
    </cfRule>
    <cfRule type="dataBar" priority="149">
      <dataBar>
        <cfvo type="min"/>
        <cfvo type="max"/>
        <color rgb="FFFFB628"/>
      </dataBar>
    </cfRule>
    <cfRule type="dataBar" priority="147">
      <dataBar>
        <cfvo type="min"/>
        <cfvo type="max"/>
        <color rgb="FFFFB628"/>
      </dataBar>
    </cfRule>
  </conditionalFormatting>
  <conditionalFormatting sqref="H1278:L1278">
    <cfRule type="dataBar" priority="141">
      <dataBar>
        <cfvo type="min"/>
        <cfvo type="max"/>
        <color rgb="FFFFB628"/>
      </dataBar>
    </cfRule>
    <cfRule type="dataBar" priority="142">
      <dataBar>
        <cfvo type="min"/>
        <cfvo type="max"/>
        <color rgb="FFFFB628"/>
      </dataBar>
    </cfRule>
    <cfRule type="dataBar" priority="143">
      <dataBar>
        <cfvo type="min"/>
        <cfvo type="max"/>
        <color rgb="FFFFB628"/>
      </dataBar>
    </cfRule>
  </conditionalFormatting>
  <conditionalFormatting sqref="H1284:L1284">
    <cfRule type="dataBar" priority="136">
      <dataBar>
        <cfvo type="min"/>
        <cfvo type="max"/>
        <color rgb="FFFFB628"/>
      </dataBar>
    </cfRule>
    <cfRule type="dataBar" priority="137">
      <dataBar>
        <cfvo type="min"/>
        <cfvo type="max"/>
        <color rgb="FFFFB628"/>
      </dataBar>
    </cfRule>
    <cfRule type="dataBar" priority="135">
      <dataBar>
        <cfvo type="min"/>
        <cfvo type="max"/>
        <color rgb="FFFFB628"/>
      </dataBar>
    </cfRule>
  </conditionalFormatting>
  <conditionalFormatting sqref="H1291:L1291">
    <cfRule type="dataBar" priority="131">
      <dataBar>
        <cfvo type="min"/>
        <cfvo type="max"/>
        <color rgb="FFFFB628"/>
      </dataBar>
    </cfRule>
    <cfRule type="dataBar" priority="130">
      <dataBar>
        <cfvo type="min"/>
        <cfvo type="max"/>
        <color rgb="FFFFB628"/>
      </dataBar>
    </cfRule>
    <cfRule type="dataBar" priority="129">
      <dataBar>
        <cfvo type="min"/>
        <cfvo type="max"/>
        <color rgb="FFFFB628"/>
      </dataBar>
    </cfRule>
  </conditionalFormatting>
  <conditionalFormatting sqref="H1293:L1293">
    <cfRule type="dataBar" priority="125">
      <dataBar>
        <cfvo type="min"/>
        <cfvo type="max"/>
        <color rgb="FFFFB628"/>
      </dataBar>
    </cfRule>
    <cfRule type="dataBar" priority="124">
      <dataBar>
        <cfvo type="min"/>
        <cfvo type="max"/>
        <color rgb="FFFFB628"/>
      </dataBar>
    </cfRule>
    <cfRule type="dataBar" priority="123">
      <dataBar>
        <cfvo type="min"/>
        <cfvo type="max"/>
        <color rgb="FFFFB628"/>
      </dataBar>
    </cfRule>
  </conditionalFormatting>
  <conditionalFormatting sqref="H1294:L1294">
    <cfRule type="dataBar" priority="119">
      <dataBar>
        <cfvo type="min"/>
        <cfvo type="max"/>
        <color rgb="FFFFB628"/>
      </dataBar>
    </cfRule>
    <cfRule type="dataBar" priority="117">
      <dataBar>
        <cfvo type="min"/>
        <cfvo type="max"/>
        <color rgb="FFFFB628"/>
      </dataBar>
    </cfRule>
    <cfRule type="dataBar" priority="118">
      <dataBar>
        <cfvo type="min"/>
        <cfvo type="max"/>
        <color rgb="FFFFB628"/>
      </dataBar>
    </cfRule>
  </conditionalFormatting>
  <conditionalFormatting sqref="H1295:L1295">
    <cfRule type="dataBar" priority="113">
      <dataBar>
        <cfvo type="min"/>
        <cfvo type="max"/>
        <color rgb="FFFFB628"/>
      </dataBar>
    </cfRule>
    <cfRule type="dataBar" priority="112">
      <dataBar>
        <cfvo type="min"/>
        <cfvo type="max"/>
        <color rgb="FFFFB628"/>
      </dataBar>
    </cfRule>
    <cfRule type="dataBar" priority="111">
      <dataBar>
        <cfvo type="min"/>
        <cfvo type="max"/>
        <color rgb="FFFFB628"/>
      </dataBar>
    </cfRule>
  </conditionalFormatting>
  <conditionalFormatting sqref="H1341:L1341">
    <cfRule type="dataBar" priority="202">
      <dataBar>
        <cfvo type="min"/>
        <cfvo type="max"/>
        <color rgb="FFFFB628"/>
      </dataBar>
    </cfRule>
  </conditionalFormatting>
  <conditionalFormatting sqref="H1341:L1345 H1348:L1351 H1353:L1358 H1360:L1365 H1368:L1371 H1373:L1382 H1384:L1385 H1387:L1395 H1397:L1397 H1399:L1403 H1405:L1410 H1412:L1412 H1419:L1429 H1431:L1431 H1433:L1436 H1438:L1440 H1442:L1445 H1447:L1452 H1457:L1457 H1460:L1460">
    <cfRule type="dataBar" priority="206">
      <dataBar>
        <cfvo type="min"/>
        <cfvo type="max"/>
        <color rgb="FFFFB628"/>
      </dataBar>
    </cfRule>
    <cfRule type="dataBar" priority="208">
      <dataBar>
        <cfvo type="min"/>
        <cfvo type="max"/>
        <color rgb="FFFFB628"/>
      </dataBar>
    </cfRule>
    <cfRule type="dataBar" priority="207">
      <dataBar>
        <cfvo type="min"/>
        <cfvo type="max"/>
        <color rgb="FFFFB628"/>
      </dataBar>
    </cfRule>
  </conditionalFormatting>
  <conditionalFormatting sqref="H1461:L1467">
    <cfRule type="dataBar" priority="95">
      <dataBar>
        <cfvo type="min"/>
        <cfvo type="max"/>
        <color rgb="FFFFB628"/>
      </dataBar>
    </cfRule>
  </conditionalFormatting>
  <conditionalFormatting sqref="H1468:L1468">
    <cfRule type="dataBar" priority="88">
      <dataBar>
        <cfvo type="min"/>
        <cfvo type="max"/>
        <color rgb="FFFFB628"/>
      </dataBar>
    </cfRule>
  </conditionalFormatting>
  <conditionalFormatting sqref="H1468:L1471 H1473:L1496 H1498:L1531 H1533:L1555 H1558:L1560 H1562:L1591 H1593:L1611 H1613:L1617">
    <cfRule type="dataBar" priority="101">
      <dataBar>
        <cfvo type="min"/>
        <cfvo type="max"/>
        <color rgb="FFFFB628"/>
      </dataBar>
    </cfRule>
    <cfRule type="dataBar" priority="100">
      <dataBar>
        <cfvo type="min"/>
        <cfvo type="max"/>
        <color rgb="FFFFB628"/>
      </dataBar>
    </cfRule>
    <cfRule type="dataBar" priority="99">
      <dataBar>
        <cfvo type="min"/>
        <cfvo type="max"/>
        <color rgb="FFFFB628"/>
      </dataBar>
    </cfRule>
  </conditionalFormatting>
  <conditionalFormatting sqref="H1472:L1472">
    <cfRule type="dataBar" priority="84">
      <dataBar>
        <cfvo type="min"/>
        <cfvo type="max"/>
        <color rgb="FFFFB628"/>
      </dataBar>
    </cfRule>
    <cfRule type="dataBar" priority="85">
      <dataBar>
        <cfvo type="min"/>
        <cfvo type="max"/>
        <color rgb="FFFFB628"/>
      </dataBar>
    </cfRule>
    <cfRule type="dataBar" priority="86">
      <dataBar>
        <cfvo type="min"/>
        <cfvo type="max"/>
        <color rgb="FFFFB628"/>
      </dataBar>
    </cfRule>
  </conditionalFormatting>
  <conditionalFormatting sqref="H1497:L1497">
    <cfRule type="dataBar" priority="78">
      <dataBar>
        <cfvo type="min"/>
        <cfvo type="max"/>
        <color rgb="FFFFB628"/>
      </dataBar>
    </cfRule>
    <cfRule type="dataBar" priority="79">
      <dataBar>
        <cfvo type="min"/>
        <cfvo type="max"/>
        <color rgb="FFFFB628"/>
      </dataBar>
    </cfRule>
    <cfRule type="dataBar" priority="80">
      <dataBar>
        <cfvo type="min"/>
        <cfvo type="max"/>
        <color rgb="FFFFB628"/>
      </dataBar>
    </cfRule>
  </conditionalFormatting>
  <conditionalFormatting sqref="H1532:L1532">
    <cfRule type="dataBar" priority="74">
      <dataBar>
        <cfvo type="min"/>
        <cfvo type="max"/>
        <color rgb="FFFFB628"/>
      </dataBar>
    </cfRule>
    <cfRule type="dataBar" priority="73">
      <dataBar>
        <cfvo type="min"/>
        <cfvo type="max"/>
        <color rgb="FFFFB628"/>
      </dataBar>
    </cfRule>
    <cfRule type="dataBar" priority="72">
      <dataBar>
        <cfvo type="min"/>
        <cfvo type="max"/>
        <color rgb="FFFFB628"/>
      </dataBar>
    </cfRule>
  </conditionalFormatting>
  <conditionalFormatting sqref="H1556:L1556">
    <cfRule type="dataBar" priority="68">
      <dataBar>
        <cfvo type="min"/>
        <cfvo type="max"/>
        <color rgb="FFFFB628"/>
      </dataBar>
    </cfRule>
    <cfRule type="dataBar" priority="66">
      <dataBar>
        <cfvo type="min"/>
        <cfvo type="max"/>
        <color rgb="FFFFB628"/>
      </dataBar>
    </cfRule>
    <cfRule type="dataBar" priority="67">
      <dataBar>
        <cfvo type="min"/>
        <cfvo type="max"/>
        <color rgb="FFFFB628"/>
      </dataBar>
    </cfRule>
  </conditionalFormatting>
  <conditionalFormatting sqref="H1557:L1557">
    <cfRule type="dataBar" priority="62">
      <dataBar>
        <cfvo type="min"/>
        <cfvo type="max"/>
        <color rgb="FFFFB628"/>
      </dataBar>
    </cfRule>
    <cfRule type="dataBar" priority="60">
      <dataBar>
        <cfvo type="min"/>
        <cfvo type="max"/>
        <color rgb="FFFFB628"/>
      </dataBar>
    </cfRule>
    <cfRule type="dataBar" priority="61">
      <dataBar>
        <cfvo type="min"/>
        <cfvo type="max"/>
        <color rgb="FFFFB628"/>
      </dataBar>
    </cfRule>
  </conditionalFormatting>
  <conditionalFormatting sqref="H1561:L1561">
    <cfRule type="dataBar" priority="42">
      <dataBar>
        <cfvo type="min"/>
        <cfvo type="max"/>
        <color rgb="FFFFB628"/>
      </dataBar>
    </cfRule>
    <cfRule type="dataBar" priority="43">
      <dataBar>
        <cfvo type="min"/>
        <cfvo type="max"/>
        <color rgb="FFFFB628"/>
      </dataBar>
    </cfRule>
    <cfRule type="dataBar" priority="44">
      <dataBar>
        <cfvo type="min"/>
        <cfvo type="max"/>
        <color rgb="FFFFB628"/>
      </dataBar>
    </cfRule>
  </conditionalFormatting>
  <conditionalFormatting sqref="H1592:L1592">
    <cfRule type="dataBar" priority="55">
      <dataBar>
        <cfvo type="min"/>
        <cfvo type="max"/>
        <color rgb="FFFFB628"/>
      </dataBar>
    </cfRule>
    <cfRule type="dataBar" priority="56">
      <dataBar>
        <cfvo type="min"/>
        <cfvo type="max"/>
        <color rgb="FFFFB628"/>
      </dataBar>
    </cfRule>
    <cfRule type="dataBar" priority="54">
      <dataBar>
        <cfvo type="min"/>
        <cfvo type="max"/>
        <color rgb="FFFFB628"/>
      </dataBar>
    </cfRule>
  </conditionalFormatting>
  <conditionalFormatting sqref="H1612:L1612">
    <cfRule type="dataBar" priority="48">
      <dataBar>
        <cfvo type="min"/>
        <cfvo type="max"/>
        <color rgb="FFFFB628"/>
      </dataBar>
    </cfRule>
    <cfRule type="dataBar" priority="50">
      <dataBar>
        <cfvo type="min"/>
        <cfvo type="max"/>
        <color rgb="FFFFB628"/>
      </dataBar>
    </cfRule>
    <cfRule type="dataBar" priority="49">
      <dataBar>
        <cfvo type="min"/>
        <cfvo type="max"/>
        <color rgb="FFFFB628"/>
      </dataBar>
    </cfRule>
  </conditionalFormatting>
  <conditionalFormatting sqref="L1222:L1225 L1228:L1231 L1233:L1238 L1240:L1245 L1248:L1251 L1253:L1262 L1264:L1265 L1267:L1275 L1277 L1279:L1283 L1285:L1290 L1292 L1299:L1309 L1311 L1313:L1316 L1318:L1320 L1322:L1325 L1327:L1332 L1337 L1340">
    <cfRule type="dataBar" priority="223">
      <dataBar>
        <cfvo type="min"/>
        <cfvo type="max"/>
        <color rgb="FFFFB628"/>
      </dataBar>
    </cfRule>
  </conditionalFormatting>
  <conditionalFormatting sqref="L1342:L1345 L1348:L1351 L1353:L1358 L1360:L1365 L1368:L1371 L1373:L1382 L1384:L1385 L1387:L1395 L1397 L1399:L1403 L1405:L1410 L1412 L1419:L1429 L1431 L1433:L1436 L1438:L1440 L1442:L1445 L1447:L1452 L1457 L1460">
    <cfRule type="dataBar" priority="209">
      <dataBar>
        <cfvo type="min"/>
        <cfvo type="max"/>
        <color rgb="FFFFB628"/>
      </dataBar>
    </cfRule>
  </conditionalFormatting>
  <conditionalFormatting sqref="L1469:L1471 L1473:L1496 L1498:L1531 L1533:L1555 L1558:L1560 L1562:L1591 L1593:L1611 L1613:L1617">
    <cfRule type="dataBar" priority="102">
      <dataBar>
        <cfvo type="min"/>
        <cfvo type="max"/>
        <color rgb="FFFFB628"/>
      </dataBar>
    </cfRule>
  </conditionalFormatting>
  <conditionalFormatting sqref="M1">
    <cfRule type="dataBar" priority="1638">
      <dataBar>
        <cfvo type="min"/>
        <cfvo type="max"/>
        <color rgb="FF00B0F0"/>
      </dataBar>
    </cfRule>
  </conditionalFormatting>
  <conditionalFormatting sqref="M1:M1048576">
    <cfRule type="dataBar" priority="39">
      <dataBar>
        <cfvo type="min"/>
        <cfvo type="max"/>
        <color rgb="FF00B0F0"/>
      </dataBar>
    </cfRule>
  </conditionalFormatting>
  <conditionalFormatting sqref="M2">
    <cfRule type="dataBar" priority="1173">
      <dataBar>
        <cfvo type="min"/>
        <cfvo type="max"/>
        <color rgb="FF3FCDFF"/>
      </dataBar>
    </cfRule>
  </conditionalFormatting>
  <conditionalFormatting sqref="M3:M55">
    <cfRule type="dataBar" priority="1174">
      <dataBar>
        <cfvo type="min"/>
        <cfvo type="max"/>
        <color rgb="FF00B0F0"/>
      </dataBar>
    </cfRule>
    <cfRule type="dataBar" priority="1175">
      <dataBar>
        <cfvo type="min"/>
        <cfvo type="max"/>
        <color rgb="FF3FCDFF"/>
      </dataBar>
    </cfRule>
  </conditionalFormatting>
  <conditionalFormatting sqref="M56">
    <cfRule type="dataBar" priority="1184">
      <dataBar>
        <cfvo type="min"/>
        <cfvo type="max"/>
        <color rgb="FF3FCDFF"/>
      </dataBar>
    </cfRule>
  </conditionalFormatting>
  <conditionalFormatting sqref="M57">
    <cfRule type="dataBar" priority="1186">
      <dataBar>
        <cfvo type="min"/>
        <cfvo type="max"/>
        <color rgb="FF3FCDFF"/>
      </dataBar>
    </cfRule>
    <cfRule type="dataBar" priority="1185">
      <dataBar>
        <cfvo type="min"/>
        <cfvo type="max"/>
        <color rgb="FF00B0F0"/>
      </dataBar>
    </cfRule>
  </conditionalFormatting>
  <conditionalFormatting sqref="M58">
    <cfRule type="dataBar" priority="1162">
      <dataBar>
        <cfvo type="min"/>
        <cfvo type="max"/>
        <color rgb="FF3FCDFF"/>
      </dataBar>
    </cfRule>
  </conditionalFormatting>
  <conditionalFormatting sqref="M59">
    <cfRule type="dataBar" priority="1164">
      <dataBar>
        <cfvo type="min"/>
        <cfvo type="max"/>
        <color rgb="FF3FCDFF"/>
      </dataBar>
    </cfRule>
    <cfRule type="dataBar" priority="1163">
      <dataBar>
        <cfvo type="min"/>
        <cfvo type="max"/>
        <color rgb="FF00B0F0"/>
      </dataBar>
    </cfRule>
  </conditionalFormatting>
  <conditionalFormatting sqref="M60">
    <cfRule type="dataBar" priority="1195">
      <dataBar>
        <cfvo type="min"/>
        <cfvo type="max"/>
        <color rgb="FF3FCDFF"/>
      </dataBar>
    </cfRule>
  </conditionalFormatting>
  <conditionalFormatting sqref="M61 M121 M181 M241 M301 M361 M421 M481 M541 M601 M661">
    <cfRule type="dataBar" priority="1197">
      <dataBar>
        <cfvo type="min"/>
        <cfvo type="max"/>
        <color rgb="FF3FCDFF"/>
      </dataBar>
    </cfRule>
    <cfRule type="dataBar" priority="1196">
      <dataBar>
        <cfvo type="min"/>
        <cfvo type="max"/>
        <color rgb="FF00B0F0"/>
      </dataBar>
    </cfRule>
  </conditionalFormatting>
  <conditionalFormatting sqref="M62">
    <cfRule type="dataBar" priority="1135">
      <dataBar>
        <cfvo type="min"/>
        <cfvo type="max"/>
        <color rgb="FF3FCDFF"/>
      </dataBar>
    </cfRule>
  </conditionalFormatting>
  <conditionalFormatting sqref="M63:M115">
    <cfRule type="dataBar" priority="1137">
      <dataBar>
        <cfvo type="min"/>
        <cfvo type="max"/>
        <color rgb="FF3FCDFF"/>
      </dataBar>
    </cfRule>
    <cfRule type="dataBar" priority="1136">
      <dataBar>
        <cfvo type="min"/>
        <cfvo type="max"/>
        <color rgb="FF00B0F0"/>
      </dataBar>
    </cfRule>
  </conditionalFormatting>
  <conditionalFormatting sqref="M116">
    <cfRule type="dataBar" priority="1146">
      <dataBar>
        <cfvo type="min"/>
        <cfvo type="max"/>
        <color rgb="FF3FCDFF"/>
      </dataBar>
    </cfRule>
  </conditionalFormatting>
  <conditionalFormatting sqref="M117">
    <cfRule type="dataBar" priority="1147">
      <dataBar>
        <cfvo type="min"/>
        <cfvo type="max"/>
        <color rgb="FF00B0F0"/>
      </dataBar>
    </cfRule>
    <cfRule type="dataBar" priority="1148">
      <dataBar>
        <cfvo type="min"/>
        <cfvo type="max"/>
        <color rgb="FF3FCDFF"/>
      </dataBar>
    </cfRule>
  </conditionalFormatting>
  <conditionalFormatting sqref="M118">
    <cfRule type="dataBar" priority="1124">
      <dataBar>
        <cfvo type="min"/>
        <cfvo type="max"/>
        <color rgb="FF3FCDFF"/>
      </dataBar>
    </cfRule>
  </conditionalFormatting>
  <conditionalFormatting sqref="M119">
    <cfRule type="dataBar" priority="1125">
      <dataBar>
        <cfvo type="min"/>
        <cfvo type="max"/>
        <color rgb="FF00B0F0"/>
      </dataBar>
    </cfRule>
    <cfRule type="dataBar" priority="1126">
      <dataBar>
        <cfvo type="min"/>
        <cfvo type="max"/>
        <color rgb="FF3FCDFF"/>
      </dataBar>
    </cfRule>
  </conditionalFormatting>
  <conditionalFormatting sqref="M120">
    <cfRule type="dataBar" priority="1157">
      <dataBar>
        <cfvo type="min"/>
        <cfvo type="max"/>
        <color rgb="FF3FCDFF"/>
      </dataBar>
    </cfRule>
  </conditionalFormatting>
  <conditionalFormatting sqref="M122">
    <cfRule type="dataBar" priority="1097">
      <dataBar>
        <cfvo type="min"/>
        <cfvo type="max"/>
        <color rgb="FF3FCDFF"/>
      </dataBar>
    </cfRule>
  </conditionalFormatting>
  <conditionalFormatting sqref="M123:M175">
    <cfRule type="dataBar" priority="1098">
      <dataBar>
        <cfvo type="min"/>
        <cfvo type="max"/>
        <color rgb="FF00B0F0"/>
      </dataBar>
    </cfRule>
    <cfRule type="dataBar" priority="1099">
      <dataBar>
        <cfvo type="min"/>
        <cfvo type="max"/>
        <color rgb="FF3FCDFF"/>
      </dataBar>
    </cfRule>
  </conditionalFormatting>
  <conditionalFormatting sqref="M176">
    <cfRule type="dataBar" priority="1108">
      <dataBar>
        <cfvo type="min"/>
        <cfvo type="max"/>
        <color rgb="FF3FCDFF"/>
      </dataBar>
    </cfRule>
  </conditionalFormatting>
  <conditionalFormatting sqref="M177">
    <cfRule type="dataBar" priority="1110">
      <dataBar>
        <cfvo type="min"/>
        <cfvo type="max"/>
        <color rgb="FF3FCDFF"/>
      </dataBar>
    </cfRule>
    <cfRule type="dataBar" priority="1109">
      <dataBar>
        <cfvo type="min"/>
        <cfvo type="max"/>
        <color rgb="FF00B0F0"/>
      </dataBar>
    </cfRule>
  </conditionalFormatting>
  <conditionalFormatting sqref="M178">
    <cfRule type="dataBar" priority="1086">
      <dataBar>
        <cfvo type="min"/>
        <cfvo type="max"/>
        <color rgb="FF3FCDFF"/>
      </dataBar>
    </cfRule>
  </conditionalFormatting>
  <conditionalFormatting sqref="M179">
    <cfRule type="dataBar" priority="1088">
      <dataBar>
        <cfvo type="min"/>
        <cfvo type="max"/>
        <color rgb="FF3FCDFF"/>
      </dataBar>
    </cfRule>
    <cfRule type="dataBar" priority="1087">
      <dataBar>
        <cfvo type="min"/>
        <cfvo type="max"/>
        <color rgb="FF00B0F0"/>
      </dataBar>
    </cfRule>
  </conditionalFormatting>
  <conditionalFormatting sqref="M180">
    <cfRule type="dataBar" priority="1119">
      <dataBar>
        <cfvo type="min"/>
        <cfvo type="max"/>
        <color rgb="FF3FCDFF"/>
      </dataBar>
    </cfRule>
  </conditionalFormatting>
  <conditionalFormatting sqref="M182">
    <cfRule type="dataBar" priority="1059">
      <dataBar>
        <cfvo type="min"/>
        <cfvo type="max"/>
        <color rgb="FF3FCDFF"/>
      </dataBar>
    </cfRule>
  </conditionalFormatting>
  <conditionalFormatting sqref="M183:M235">
    <cfRule type="dataBar" priority="1061">
      <dataBar>
        <cfvo type="min"/>
        <cfvo type="max"/>
        <color rgb="FF3FCDFF"/>
      </dataBar>
    </cfRule>
    <cfRule type="dataBar" priority="1060">
      <dataBar>
        <cfvo type="min"/>
        <cfvo type="max"/>
        <color rgb="FF00B0F0"/>
      </dataBar>
    </cfRule>
  </conditionalFormatting>
  <conditionalFormatting sqref="M236">
    <cfRule type="dataBar" priority="1070">
      <dataBar>
        <cfvo type="min"/>
        <cfvo type="max"/>
        <color rgb="FF3FCDFF"/>
      </dataBar>
    </cfRule>
  </conditionalFormatting>
  <conditionalFormatting sqref="M237">
    <cfRule type="dataBar" priority="1072">
      <dataBar>
        <cfvo type="min"/>
        <cfvo type="max"/>
        <color rgb="FF3FCDFF"/>
      </dataBar>
    </cfRule>
    <cfRule type="dataBar" priority="1071">
      <dataBar>
        <cfvo type="min"/>
        <cfvo type="max"/>
        <color rgb="FF00B0F0"/>
      </dataBar>
    </cfRule>
  </conditionalFormatting>
  <conditionalFormatting sqref="M238">
    <cfRule type="dataBar" priority="1048">
      <dataBar>
        <cfvo type="min"/>
        <cfvo type="max"/>
        <color rgb="FF3FCDFF"/>
      </dataBar>
    </cfRule>
  </conditionalFormatting>
  <conditionalFormatting sqref="M239">
    <cfRule type="dataBar" priority="1049">
      <dataBar>
        <cfvo type="min"/>
        <cfvo type="max"/>
        <color rgb="FF00B0F0"/>
      </dataBar>
    </cfRule>
    <cfRule type="dataBar" priority="1050">
      <dataBar>
        <cfvo type="min"/>
        <cfvo type="max"/>
        <color rgb="FF3FCDFF"/>
      </dataBar>
    </cfRule>
  </conditionalFormatting>
  <conditionalFormatting sqref="M240">
    <cfRule type="dataBar" priority="1081">
      <dataBar>
        <cfvo type="min"/>
        <cfvo type="max"/>
        <color rgb="FF3FCDFF"/>
      </dataBar>
    </cfRule>
  </conditionalFormatting>
  <conditionalFormatting sqref="M242">
    <cfRule type="dataBar" priority="1021">
      <dataBar>
        <cfvo type="min"/>
        <cfvo type="max"/>
        <color rgb="FF3FCDFF"/>
      </dataBar>
    </cfRule>
  </conditionalFormatting>
  <conditionalFormatting sqref="M243:M295">
    <cfRule type="dataBar" priority="1022">
      <dataBar>
        <cfvo type="min"/>
        <cfvo type="max"/>
        <color rgb="FF00B0F0"/>
      </dataBar>
    </cfRule>
    <cfRule type="dataBar" priority="1023">
      <dataBar>
        <cfvo type="min"/>
        <cfvo type="max"/>
        <color rgb="FF3FCDFF"/>
      </dataBar>
    </cfRule>
  </conditionalFormatting>
  <conditionalFormatting sqref="M296">
    <cfRule type="dataBar" priority="1032">
      <dataBar>
        <cfvo type="min"/>
        <cfvo type="max"/>
        <color rgb="FF3FCDFF"/>
      </dataBar>
    </cfRule>
  </conditionalFormatting>
  <conditionalFormatting sqref="M297">
    <cfRule type="dataBar" priority="1034">
      <dataBar>
        <cfvo type="min"/>
        <cfvo type="max"/>
        <color rgb="FF3FCDFF"/>
      </dataBar>
    </cfRule>
    <cfRule type="dataBar" priority="1033">
      <dataBar>
        <cfvo type="min"/>
        <cfvo type="max"/>
        <color rgb="FF00B0F0"/>
      </dataBar>
    </cfRule>
  </conditionalFormatting>
  <conditionalFormatting sqref="M298">
    <cfRule type="dataBar" priority="1010">
      <dataBar>
        <cfvo type="min"/>
        <cfvo type="max"/>
        <color rgb="FF3FCDFF"/>
      </dataBar>
    </cfRule>
  </conditionalFormatting>
  <conditionalFormatting sqref="M299">
    <cfRule type="dataBar" priority="1012">
      <dataBar>
        <cfvo type="min"/>
        <cfvo type="max"/>
        <color rgb="FF3FCDFF"/>
      </dataBar>
    </cfRule>
    <cfRule type="dataBar" priority="1011">
      <dataBar>
        <cfvo type="min"/>
        <cfvo type="max"/>
        <color rgb="FF00B0F0"/>
      </dataBar>
    </cfRule>
  </conditionalFormatting>
  <conditionalFormatting sqref="M300">
    <cfRule type="dataBar" priority="1043">
      <dataBar>
        <cfvo type="min"/>
        <cfvo type="max"/>
        <color rgb="FF3FCDFF"/>
      </dataBar>
    </cfRule>
  </conditionalFormatting>
  <conditionalFormatting sqref="M302">
    <cfRule type="dataBar" priority="983">
      <dataBar>
        <cfvo type="min"/>
        <cfvo type="max"/>
        <color rgb="FF3FCDFF"/>
      </dataBar>
    </cfRule>
  </conditionalFormatting>
  <conditionalFormatting sqref="M303:M355">
    <cfRule type="dataBar" priority="984">
      <dataBar>
        <cfvo type="min"/>
        <cfvo type="max"/>
        <color rgb="FF00B0F0"/>
      </dataBar>
    </cfRule>
    <cfRule type="dataBar" priority="985">
      <dataBar>
        <cfvo type="min"/>
        <cfvo type="max"/>
        <color rgb="FF3FCDFF"/>
      </dataBar>
    </cfRule>
  </conditionalFormatting>
  <conditionalFormatting sqref="M356">
    <cfRule type="dataBar" priority="994">
      <dataBar>
        <cfvo type="min"/>
        <cfvo type="max"/>
        <color rgb="FF3FCDFF"/>
      </dataBar>
    </cfRule>
  </conditionalFormatting>
  <conditionalFormatting sqref="M357">
    <cfRule type="dataBar" priority="996">
      <dataBar>
        <cfvo type="min"/>
        <cfvo type="max"/>
        <color rgb="FF3FCDFF"/>
      </dataBar>
    </cfRule>
    <cfRule type="dataBar" priority="995">
      <dataBar>
        <cfvo type="min"/>
        <cfvo type="max"/>
        <color rgb="FF00B0F0"/>
      </dataBar>
    </cfRule>
  </conditionalFormatting>
  <conditionalFormatting sqref="M358">
    <cfRule type="dataBar" priority="972">
      <dataBar>
        <cfvo type="min"/>
        <cfvo type="max"/>
        <color rgb="FF3FCDFF"/>
      </dataBar>
    </cfRule>
  </conditionalFormatting>
  <conditionalFormatting sqref="M359">
    <cfRule type="dataBar" priority="973">
      <dataBar>
        <cfvo type="min"/>
        <cfvo type="max"/>
        <color rgb="FF00B0F0"/>
      </dataBar>
    </cfRule>
    <cfRule type="dataBar" priority="974">
      <dataBar>
        <cfvo type="min"/>
        <cfvo type="max"/>
        <color rgb="FF3FCDFF"/>
      </dataBar>
    </cfRule>
  </conditionalFormatting>
  <conditionalFormatting sqref="M360">
    <cfRule type="dataBar" priority="1005">
      <dataBar>
        <cfvo type="min"/>
        <cfvo type="max"/>
        <color rgb="FF3FCDFF"/>
      </dataBar>
    </cfRule>
  </conditionalFormatting>
  <conditionalFormatting sqref="M362">
    <cfRule type="dataBar" priority="945">
      <dataBar>
        <cfvo type="min"/>
        <cfvo type="max"/>
        <color rgb="FF3FCDFF"/>
      </dataBar>
    </cfRule>
  </conditionalFormatting>
  <conditionalFormatting sqref="M363:M415">
    <cfRule type="dataBar" priority="946">
      <dataBar>
        <cfvo type="min"/>
        <cfvo type="max"/>
        <color rgb="FF00B0F0"/>
      </dataBar>
    </cfRule>
    <cfRule type="dataBar" priority="947">
      <dataBar>
        <cfvo type="min"/>
        <cfvo type="max"/>
        <color rgb="FF3FCDFF"/>
      </dataBar>
    </cfRule>
  </conditionalFormatting>
  <conditionalFormatting sqref="M416">
    <cfRule type="dataBar" priority="956">
      <dataBar>
        <cfvo type="min"/>
        <cfvo type="max"/>
        <color rgb="FF3FCDFF"/>
      </dataBar>
    </cfRule>
  </conditionalFormatting>
  <conditionalFormatting sqref="M417">
    <cfRule type="dataBar" priority="957">
      <dataBar>
        <cfvo type="min"/>
        <cfvo type="max"/>
        <color rgb="FF00B0F0"/>
      </dataBar>
    </cfRule>
    <cfRule type="dataBar" priority="958">
      <dataBar>
        <cfvo type="min"/>
        <cfvo type="max"/>
        <color rgb="FF3FCDFF"/>
      </dataBar>
    </cfRule>
  </conditionalFormatting>
  <conditionalFormatting sqref="M418">
    <cfRule type="dataBar" priority="934">
      <dataBar>
        <cfvo type="min"/>
        <cfvo type="max"/>
        <color rgb="FF3FCDFF"/>
      </dataBar>
    </cfRule>
  </conditionalFormatting>
  <conditionalFormatting sqref="M419">
    <cfRule type="dataBar" priority="936">
      <dataBar>
        <cfvo type="min"/>
        <cfvo type="max"/>
        <color rgb="FF3FCDFF"/>
      </dataBar>
    </cfRule>
    <cfRule type="dataBar" priority="935">
      <dataBar>
        <cfvo type="min"/>
        <cfvo type="max"/>
        <color rgb="FF00B0F0"/>
      </dataBar>
    </cfRule>
  </conditionalFormatting>
  <conditionalFormatting sqref="M420">
    <cfRule type="dataBar" priority="967">
      <dataBar>
        <cfvo type="min"/>
        <cfvo type="max"/>
        <color rgb="FF3FCDFF"/>
      </dataBar>
    </cfRule>
  </conditionalFormatting>
  <conditionalFormatting sqref="M422">
    <cfRule type="dataBar" priority="907">
      <dataBar>
        <cfvo type="min"/>
        <cfvo type="max"/>
        <color rgb="FF3FCDFF"/>
      </dataBar>
    </cfRule>
  </conditionalFormatting>
  <conditionalFormatting sqref="M423:M475">
    <cfRule type="dataBar" priority="909">
      <dataBar>
        <cfvo type="min"/>
        <cfvo type="max"/>
        <color rgb="FF3FCDFF"/>
      </dataBar>
    </cfRule>
    <cfRule type="dataBar" priority="908">
      <dataBar>
        <cfvo type="min"/>
        <cfvo type="max"/>
        <color rgb="FF00B0F0"/>
      </dataBar>
    </cfRule>
  </conditionalFormatting>
  <conditionalFormatting sqref="M476">
    <cfRule type="dataBar" priority="918">
      <dataBar>
        <cfvo type="min"/>
        <cfvo type="max"/>
        <color rgb="FF3FCDFF"/>
      </dataBar>
    </cfRule>
  </conditionalFormatting>
  <conditionalFormatting sqref="M477">
    <cfRule type="dataBar" priority="920">
      <dataBar>
        <cfvo type="min"/>
        <cfvo type="max"/>
        <color rgb="FF3FCDFF"/>
      </dataBar>
    </cfRule>
    <cfRule type="dataBar" priority="919">
      <dataBar>
        <cfvo type="min"/>
        <cfvo type="max"/>
        <color rgb="FF00B0F0"/>
      </dataBar>
    </cfRule>
  </conditionalFormatting>
  <conditionalFormatting sqref="M478">
    <cfRule type="dataBar" priority="896">
      <dataBar>
        <cfvo type="min"/>
        <cfvo type="max"/>
        <color rgb="FF3FCDFF"/>
      </dataBar>
    </cfRule>
  </conditionalFormatting>
  <conditionalFormatting sqref="M479">
    <cfRule type="dataBar" priority="898">
      <dataBar>
        <cfvo type="min"/>
        <cfvo type="max"/>
        <color rgb="FF3FCDFF"/>
      </dataBar>
    </cfRule>
    <cfRule type="dataBar" priority="897">
      <dataBar>
        <cfvo type="min"/>
        <cfvo type="max"/>
        <color rgb="FF00B0F0"/>
      </dataBar>
    </cfRule>
  </conditionalFormatting>
  <conditionalFormatting sqref="M480">
    <cfRule type="dataBar" priority="929">
      <dataBar>
        <cfvo type="min"/>
        <cfvo type="max"/>
        <color rgb="FF3FCDFF"/>
      </dataBar>
    </cfRule>
  </conditionalFormatting>
  <conditionalFormatting sqref="M482">
    <cfRule type="dataBar" priority="869">
      <dataBar>
        <cfvo type="min"/>
        <cfvo type="max"/>
        <color rgb="FF3FCDFF"/>
      </dataBar>
    </cfRule>
  </conditionalFormatting>
  <conditionalFormatting sqref="M483:M535">
    <cfRule type="dataBar" priority="870">
      <dataBar>
        <cfvo type="min"/>
        <cfvo type="max"/>
        <color rgb="FF00B0F0"/>
      </dataBar>
    </cfRule>
    <cfRule type="dataBar" priority="871">
      <dataBar>
        <cfvo type="min"/>
        <cfvo type="max"/>
        <color rgb="FF3FCDFF"/>
      </dataBar>
    </cfRule>
  </conditionalFormatting>
  <conditionalFormatting sqref="M536">
    <cfRule type="dataBar" priority="880">
      <dataBar>
        <cfvo type="min"/>
        <cfvo type="max"/>
        <color rgb="FF3FCDFF"/>
      </dataBar>
    </cfRule>
  </conditionalFormatting>
  <conditionalFormatting sqref="M537">
    <cfRule type="dataBar" priority="882">
      <dataBar>
        <cfvo type="min"/>
        <cfvo type="max"/>
        <color rgb="FF3FCDFF"/>
      </dataBar>
    </cfRule>
    <cfRule type="dataBar" priority="881">
      <dataBar>
        <cfvo type="min"/>
        <cfvo type="max"/>
        <color rgb="FF00B0F0"/>
      </dataBar>
    </cfRule>
  </conditionalFormatting>
  <conditionalFormatting sqref="M538">
    <cfRule type="dataBar" priority="858">
      <dataBar>
        <cfvo type="min"/>
        <cfvo type="max"/>
        <color rgb="FF3FCDFF"/>
      </dataBar>
    </cfRule>
  </conditionalFormatting>
  <conditionalFormatting sqref="M539">
    <cfRule type="dataBar" priority="860">
      <dataBar>
        <cfvo type="min"/>
        <cfvo type="max"/>
        <color rgb="FF3FCDFF"/>
      </dataBar>
    </cfRule>
    <cfRule type="dataBar" priority="859">
      <dataBar>
        <cfvo type="min"/>
        <cfvo type="max"/>
        <color rgb="FF00B0F0"/>
      </dataBar>
    </cfRule>
  </conditionalFormatting>
  <conditionalFormatting sqref="M540">
    <cfRule type="dataBar" priority="891">
      <dataBar>
        <cfvo type="min"/>
        <cfvo type="max"/>
        <color rgb="FF3FCDFF"/>
      </dataBar>
    </cfRule>
  </conditionalFormatting>
  <conditionalFormatting sqref="M542">
    <cfRule type="dataBar" priority="831">
      <dataBar>
        <cfvo type="min"/>
        <cfvo type="max"/>
        <color rgb="FF3FCDFF"/>
      </dataBar>
    </cfRule>
  </conditionalFormatting>
  <conditionalFormatting sqref="M543:M595">
    <cfRule type="dataBar" priority="832">
      <dataBar>
        <cfvo type="min"/>
        <cfvo type="max"/>
        <color rgb="FF00B0F0"/>
      </dataBar>
    </cfRule>
    <cfRule type="dataBar" priority="833">
      <dataBar>
        <cfvo type="min"/>
        <cfvo type="max"/>
        <color rgb="FF3FCDFF"/>
      </dataBar>
    </cfRule>
  </conditionalFormatting>
  <conditionalFormatting sqref="M596">
    <cfRule type="dataBar" priority="842">
      <dataBar>
        <cfvo type="min"/>
        <cfvo type="max"/>
        <color rgb="FF3FCDFF"/>
      </dataBar>
    </cfRule>
  </conditionalFormatting>
  <conditionalFormatting sqref="M597">
    <cfRule type="dataBar" priority="844">
      <dataBar>
        <cfvo type="min"/>
        <cfvo type="max"/>
        <color rgb="FF3FCDFF"/>
      </dataBar>
    </cfRule>
    <cfRule type="dataBar" priority="843">
      <dataBar>
        <cfvo type="min"/>
        <cfvo type="max"/>
        <color rgb="FF00B0F0"/>
      </dataBar>
    </cfRule>
  </conditionalFormatting>
  <conditionalFormatting sqref="M598">
    <cfRule type="dataBar" priority="820">
      <dataBar>
        <cfvo type="min"/>
        <cfvo type="max"/>
        <color rgb="FF3FCDFF"/>
      </dataBar>
    </cfRule>
  </conditionalFormatting>
  <conditionalFormatting sqref="M599">
    <cfRule type="dataBar" priority="822">
      <dataBar>
        <cfvo type="min"/>
        <cfvo type="max"/>
        <color rgb="FF3FCDFF"/>
      </dataBar>
    </cfRule>
    <cfRule type="dataBar" priority="821">
      <dataBar>
        <cfvo type="min"/>
        <cfvo type="max"/>
        <color rgb="FF00B0F0"/>
      </dataBar>
    </cfRule>
  </conditionalFormatting>
  <conditionalFormatting sqref="M600">
    <cfRule type="dataBar" priority="853">
      <dataBar>
        <cfvo type="min"/>
        <cfvo type="max"/>
        <color rgb="FF3FCDFF"/>
      </dataBar>
    </cfRule>
  </conditionalFormatting>
  <conditionalFormatting sqref="M602">
    <cfRule type="dataBar" priority="793">
      <dataBar>
        <cfvo type="min"/>
        <cfvo type="max"/>
        <color rgb="FF3FCDFF"/>
      </dataBar>
    </cfRule>
  </conditionalFormatting>
  <conditionalFormatting sqref="M603:M655">
    <cfRule type="dataBar" priority="794">
      <dataBar>
        <cfvo type="min"/>
        <cfvo type="max"/>
        <color rgb="FF00B0F0"/>
      </dataBar>
    </cfRule>
    <cfRule type="dataBar" priority="795">
      <dataBar>
        <cfvo type="min"/>
        <cfvo type="max"/>
        <color rgb="FF3FCDFF"/>
      </dataBar>
    </cfRule>
  </conditionalFormatting>
  <conditionalFormatting sqref="M656">
    <cfRule type="dataBar" priority="804">
      <dataBar>
        <cfvo type="min"/>
        <cfvo type="max"/>
        <color rgb="FF3FCDFF"/>
      </dataBar>
    </cfRule>
  </conditionalFormatting>
  <conditionalFormatting sqref="M657">
    <cfRule type="dataBar" priority="805">
      <dataBar>
        <cfvo type="min"/>
        <cfvo type="max"/>
        <color rgb="FF00B0F0"/>
      </dataBar>
    </cfRule>
    <cfRule type="dataBar" priority="806">
      <dataBar>
        <cfvo type="min"/>
        <cfvo type="max"/>
        <color rgb="FF3FCDFF"/>
      </dataBar>
    </cfRule>
  </conditionalFormatting>
  <conditionalFormatting sqref="M658">
    <cfRule type="dataBar" priority="782">
      <dataBar>
        <cfvo type="min"/>
        <cfvo type="max"/>
        <color rgb="FF3FCDFF"/>
      </dataBar>
    </cfRule>
  </conditionalFormatting>
  <conditionalFormatting sqref="M659">
    <cfRule type="dataBar" priority="783">
      <dataBar>
        <cfvo type="min"/>
        <cfvo type="max"/>
        <color rgb="FF00B0F0"/>
      </dataBar>
    </cfRule>
    <cfRule type="dataBar" priority="784">
      <dataBar>
        <cfvo type="min"/>
        <cfvo type="max"/>
        <color rgb="FF3FCDFF"/>
      </dataBar>
    </cfRule>
  </conditionalFormatting>
  <conditionalFormatting sqref="M660">
    <cfRule type="dataBar" priority="815">
      <dataBar>
        <cfvo type="min"/>
        <cfvo type="max"/>
        <color rgb="FF3FCDFF"/>
      </dataBar>
    </cfRule>
  </conditionalFormatting>
  <conditionalFormatting sqref="M662:M676">
    <cfRule type="dataBar" priority="1202">
      <dataBar>
        <cfvo type="min"/>
        <cfvo type="max"/>
        <color rgb="FF00B0F0"/>
      </dataBar>
    </cfRule>
    <cfRule type="dataBar" priority="1206">
      <dataBar>
        <cfvo type="min"/>
        <cfvo type="max"/>
        <color rgb="FF00B0F0"/>
      </dataBar>
    </cfRule>
    <cfRule type="dataBar" priority="1207">
      <dataBar>
        <cfvo type="min"/>
        <cfvo type="max"/>
        <color rgb="FF638EC6"/>
      </dataBar>
    </cfRule>
    <cfRule type="dataBar" priority="1209">
      <dataBar>
        <cfvo type="min"/>
        <cfvo type="max"/>
        <color rgb="FF3FCDFF"/>
      </dataBar>
    </cfRule>
  </conditionalFormatting>
  <conditionalFormatting sqref="M677:M683 M685:M697 M699:M702 M704:M708 M890:M915 M917:M918">
    <cfRule type="dataBar" priority="2257">
      <dataBar>
        <cfvo type="min"/>
        <cfvo type="max"/>
        <color rgb="FF3FCDFF"/>
      </dataBar>
    </cfRule>
  </conditionalFormatting>
  <conditionalFormatting sqref="M677:M683 M685:M697 M699:M702 M704:M713 M715:M727 M729:M732 M734:M743 M745:M757 M759:M762 M764:M773 M775:M787 M789:M792 M794:M799 M801:M805 M807 M811:M814 M816:M817 M821:M826 M861:M865 M867 M871:M874 M876:M877 M881:M886 M890:M1008 M1010:M1034 M1069 M1073 M1075 M1077 M1080 M1086 M1089 M1093">
    <cfRule type="dataBar" priority="777">
      <dataBar>
        <cfvo type="min"/>
        <cfvo type="max"/>
        <color rgb="FF638EC6"/>
      </dataBar>
    </cfRule>
    <cfRule type="dataBar" priority="776">
      <dataBar>
        <cfvo type="min"/>
        <cfvo type="max"/>
        <color rgb="FF00B0F0"/>
      </dataBar>
    </cfRule>
    <cfRule type="dataBar" priority="775">
      <dataBar>
        <cfvo type="min"/>
        <cfvo type="max"/>
        <color rgb="FF00B0F0"/>
      </dataBar>
    </cfRule>
  </conditionalFormatting>
  <conditionalFormatting sqref="M684">
    <cfRule type="dataBar" priority="672">
      <dataBar>
        <cfvo type="min"/>
        <cfvo type="max"/>
        <color rgb="FF3FCDFF"/>
      </dataBar>
    </cfRule>
    <cfRule type="dataBar" priority="667">
      <dataBar>
        <cfvo type="min"/>
        <cfvo type="max"/>
        <color rgb="FF00B0F0"/>
      </dataBar>
    </cfRule>
    <cfRule type="dataBar" priority="668">
      <dataBar>
        <cfvo type="min"/>
        <cfvo type="max"/>
        <color rgb="FF638EC6"/>
      </dataBar>
    </cfRule>
  </conditionalFormatting>
  <conditionalFormatting sqref="M698">
    <cfRule type="dataBar" priority="661">
      <dataBar>
        <cfvo type="min"/>
        <cfvo type="max"/>
        <color rgb="FF00B0F0"/>
      </dataBar>
    </cfRule>
    <cfRule type="dataBar" priority="662">
      <dataBar>
        <cfvo type="min"/>
        <cfvo type="max"/>
        <color rgb="FF638EC6"/>
      </dataBar>
    </cfRule>
    <cfRule type="dataBar" priority="666">
      <dataBar>
        <cfvo type="min"/>
        <cfvo type="max"/>
        <color rgb="FF3FCDFF"/>
      </dataBar>
    </cfRule>
  </conditionalFormatting>
  <conditionalFormatting sqref="M703">
    <cfRule type="dataBar" priority="656">
      <dataBar>
        <cfvo type="min"/>
        <cfvo type="max"/>
        <color rgb="FF638EC6"/>
      </dataBar>
    </cfRule>
    <cfRule type="dataBar" priority="660">
      <dataBar>
        <cfvo type="min"/>
        <cfvo type="max"/>
        <color rgb="FF3FCDFF"/>
      </dataBar>
    </cfRule>
    <cfRule type="dataBar" priority="655">
      <dataBar>
        <cfvo type="min"/>
        <cfvo type="max"/>
        <color rgb="FF00B0F0"/>
      </dataBar>
    </cfRule>
  </conditionalFormatting>
  <conditionalFormatting sqref="M710:M713 M715:M727 M729:M732 M734:M738">
    <cfRule type="dataBar" priority="37">
      <dataBar>
        <cfvo type="min"/>
        <cfvo type="max"/>
        <color rgb="FF3FCDFF"/>
      </dataBar>
    </cfRule>
  </conditionalFormatting>
  <conditionalFormatting sqref="M714">
    <cfRule type="dataBar" priority="35">
      <dataBar>
        <cfvo type="min"/>
        <cfvo type="max"/>
        <color rgb="FF3FCDFF"/>
      </dataBar>
    </cfRule>
    <cfRule type="dataBar" priority="31">
      <dataBar>
        <cfvo type="min"/>
        <cfvo type="max"/>
        <color rgb="FF638EC6"/>
      </dataBar>
    </cfRule>
    <cfRule type="dataBar" priority="30">
      <dataBar>
        <cfvo type="min"/>
        <cfvo type="max"/>
        <color rgb="FF00B0F0"/>
      </dataBar>
    </cfRule>
  </conditionalFormatting>
  <conditionalFormatting sqref="M728">
    <cfRule type="dataBar" priority="29">
      <dataBar>
        <cfvo type="min"/>
        <cfvo type="max"/>
        <color rgb="FF3FCDFF"/>
      </dataBar>
    </cfRule>
    <cfRule type="dataBar" priority="25">
      <dataBar>
        <cfvo type="min"/>
        <cfvo type="max"/>
        <color rgb="FF638EC6"/>
      </dataBar>
    </cfRule>
    <cfRule type="dataBar" priority="24">
      <dataBar>
        <cfvo type="min"/>
        <cfvo type="max"/>
        <color rgb="FF00B0F0"/>
      </dataBar>
    </cfRule>
  </conditionalFormatting>
  <conditionalFormatting sqref="M733">
    <cfRule type="dataBar" priority="23">
      <dataBar>
        <cfvo type="min"/>
        <cfvo type="max"/>
        <color rgb="FF3FCDFF"/>
      </dataBar>
    </cfRule>
    <cfRule type="dataBar" priority="19">
      <dataBar>
        <cfvo type="min"/>
        <cfvo type="max"/>
        <color rgb="FF638EC6"/>
      </dataBar>
    </cfRule>
    <cfRule type="dataBar" priority="18">
      <dataBar>
        <cfvo type="min"/>
        <cfvo type="max"/>
        <color rgb="FF00B0F0"/>
      </dataBar>
    </cfRule>
  </conditionalFormatting>
  <conditionalFormatting sqref="M739 M709">
    <cfRule type="dataBar" priority="766">
      <dataBar>
        <cfvo type="min"/>
        <cfvo type="max"/>
        <color rgb="FF3FCDFF"/>
      </dataBar>
    </cfRule>
    <cfRule type="dataBar" priority="765">
      <dataBar>
        <cfvo type="min"/>
        <cfvo type="max"/>
        <color rgb="FF008AEF"/>
      </dataBar>
    </cfRule>
    <cfRule type="dataBar" priority="764">
      <dataBar>
        <cfvo type="min"/>
        <cfvo type="max"/>
        <color rgb="FF00B0F0"/>
      </dataBar>
    </cfRule>
  </conditionalFormatting>
  <conditionalFormatting sqref="M740:M743 M745:M757 M759:M762 M764:M768">
    <cfRule type="dataBar" priority="740">
      <dataBar>
        <cfvo type="min"/>
        <cfvo type="max"/>
        <color rgb="FF3FCDFF"/>
      </dataBar>
    </cfRule>
  </conditionalFormatting>
  <conditionalFormatting sqref="M770:M773 M775:M787 M789:M792 M794:M798">
    <cfRule type="dataBar" priority="17">
      <dataBar>
        <cfvo type="min"/>
        <cfvo type="max"/>
        <color rgb="FF3FCDFF"/>
      </dataBar>
    </cfRule>
  </conditionalFormatting>
  <conditionalFormatting sqref="M799 M769">
    <cfRule type="dataBar" priority="735">
      <dataBar>
        <cfvo type="min"/>
        <cfvo type="max"/>
        <color rgb="FF00B0F0"/>
      </dataBar>
    </cfRule>
    <cfRule type="dataBar" priority="737">
      <dataBar>
        <cfvo type="min"/>
        <cfvo type="max"/>
        <color rgb="FF3FCDFF"/>
      </dataBar>
    </cfRule>
    <cfRule type="dataBar" priority="736">
      <dataBar>
        <cfvo type="min"/>
        <cfvo type="max"/>
        <color rgb="FF008AEF"/>
      </dataBar>
    </cfRule>
  </conditionalFormatting>
  <conditionalFormatting sqref="M801:M805 M807 M811:M814 M816:M817 M821:M826">
    <cfRule type="dataBar" priority="733">
      <dataBar>
        <cfvo type="min"/>
        <cfvo type="max"/>
        <color rgb="FF3FCDFF"/>
      </dataBar>
    </cfRule>
  </conditionalFormatting>
  <conditionalFormatting sqref="M831:M835 M837 M841:M844 M846:M847 M851:M856">
    <cfRule type="dataBar" priority="13">
      <dataBar>
        <cfvo type="min"/>
        <cfvo type="max"/>
        <color rgb="FF00B0F0"/>
      </dataBar>
    </cfRule>
    <cfRule type="dataBar" priority="12">
      <dataBar>
        <cfvo type="min"/>
        <cfvo type="max"/>
        <color rgb="FF00B0F0"/>
      </dataBar>
    </cfRule>
    <cfRule type="dataBar" priority="14">
      <dataBar>
        <cfvo type="min"/>
        <cfvo type="max"/>
        <color rgb="FF638EC6"/>
      </dataBar>
    </cfRule>
    <cfRule type="dataBar" priority="9">
      <dataBar>
        <cfvo type="min"/>
        <cfvo type="max"/>
        <color rgb="FF3FCDFF"/>
      </dataBar>
    </cfRule>
  </conditionalFormatting>
  <conditionalFormatting sqref="M861:M865">
    <cfRule type="dataBar" priority="729">
      <dataBar>
        <cfvo type="min"/>
        <cfvo type="max"/>
        <color rgb="FF3FCDFF"/>
      </dataBar>
    </cfRule>
  </conditionalFormatting>
  <conditionalFormatting sqref="M871:M874 M867 M876:M877 M881:M886">
    <cfRule type="dataBar" priority="731">
      <dataBar>
        <cfvo type="min"/>
        <cfvo type="max"/>
        <color rgb="FF3FCDFF"/>
      </dataBar>
    </cfRule>
  </conditionalFormatting>
  <conditionalFormatting sqref="M916">
    <cfRule type="dataBar" priority="745">
      <dataBar>
        <cfvo type="min"/>
        <cfvo type="max"/>
        <color rgb="FF3FCDFF"/>
      </dataBar>
    </cfRule>
    <cfRule type="dataBar" priority="743">
      <dataBar>
        <cfvo type="min"/>
        <cfvo type="max"/>
        <color rgb="FF00B0F0"/>
      </dataBar>
    </cfRule>
    <cfRule type="dataBar" priority="744">
      <dataBar>
        <cfvo type="min"/>
        <cfvo type="max"/>
        <color rgb="FF008AEF"/>
      </dataBar>
    </cfRule>
  </conditionalFormatting>
  <conditionalFormatting sqref="M919">
    <cfRule type="dataBar" priority="761">
      <dataBar>
        <cfvo type="min"/>
        <cfvo type="max"/>
        <color rgb="FF3FCDFF"/>
      </dataBar>
    </cfRule>
  </conditionalFormatting>
  <conditionalFormatting sqref="M919:M929 M962:M980 M1011:M1034 M1069 M1073 M1075 M1077 M1080 M1086 M1089 M1093">
    <cfRule type="dataBar" priority="774">
      <dataBar>
        <cfvo type="min"/>
        <cfvo type="max"/>
        <color rgb="FF008AEF"/>
      </dataBar>
    </cfRule>
    <cfRule type="dataBar" priority="773">
      <dataBar>
        <cfvo type="min"/>
        <cfvo type="max"/>
        <color rgb="FF00B0F0"/>
      </dataBar>
    </cfRule>
  </conditionalFormatting>
  <conditionalFormatting sqref="M921">
    <cfRule type="dataBar" priority="757">
      <dataBar>
        <cfvo type="min"/>
        <cfvo type="max"/>
        <color rgb="FF3FCDFF"/>
      </dataBar>
    </cfRule>
  </conditionalFormatting>
  <conditionalFormatting sqref="M922">
    <cfRule type="dataBar" priority="755">
      <dataBar>
        <cfvo type="min"/>
        <cfvo type="max"/>
        <color rgb="FF3FCDFF"/>
      </dataBar>
    </cfRule>
  </conditionalFormatting>
  <conditionalFormatting sqref="M923">
    <cfRule type="dataBar" priority="759">
      <dataBar>
        <cfvo type="min"/>
        <cfvo type="max"/>
        <color rgb="FF3FCDFF"/>
      </dataBar>
    </cfRule>
  </conditionalFormatting>
  <conditionalFormatting sqref="M924:M927 M920 M929 M962:M973 M979:M980 M1011:M1016 M1023:M1034 M1069 M1073 M1075 M1077 M1080 M1086 M1089 M1093">
    <cfRule type="dataBar" priority="772">
      <dataBar>
        <cfvo type="min"/>
        <cfvo type="max"/>
        <color rgb="FF3FCDFF"/>
      </dataBar>
    </cfRule>
  </conditionalFormatting>
  <conditionalFormatting sqref="M928">
    <cfRule type="dataBar" priority="753">
      <dataBar>
        <cfvo type="min"/>
        <cfvo type="max"/>
        <color rgb="FF3FCDFF"/>
      </dataBar>
    </cfRule>
  </conditionalFormatting>
  <conditionalFormatting sqref="M930:M961">
    <cfRule type="dataBar" priority="727">
      <dataBar>
        <cfvo type="min"/>
        <cfvo type="max"/>
        <color rgb="FF3FCDFF"/>
      </dataBar>
    </cfRule>
  </conditionalFormatting>
  <conditionalFormatting sqref="M974:M978">
    <cfRule type="dataBar" priority="751">
      <dataBar>
        <cfvo type="min"/>
        <cfvo type="max"/>
        <color rgb="FF3FCDFF"/>
      </dataBar>
    </cfRule>
  </conditionalFormatting>
  <conditionalFormatting sqref="M981:M988 M990:M998 M1000:M1008 M1010">
    <cfRule type="dataBar" priority="725">
      <dataBar>
        <cfvo type="min"/>
        <cfvo type="max"/>
        <color rgb="FF3FCDFF"/>
      </dataBar>
    </cfRule>
  </conditionalFormatting>
  <conditionalFormatting sqref="M989">
    <cfRule type="dataBar" priority="654">
      <dataBar>
        <cfvo type="min"/>
        <cfvo type="max"/>
        <color rgb="FF3FCDFF"/>
      </dataBar>
    </cfRule>
  </conditionalFormatting>
  <conditionalFormatting sqref="M999">
    <cfRule type="dataBar" priority="652">
      <dataBar>
        <cfvo type="min"/>
        <cfvo type="max"/>
        <color rgb="FF3FCDFF"/>
      </dataBar>
    </cfRule>
  </conditionalFormatting>
  <conditionalFormatting sqref="M1017:M1022">
    <cfRule type="dataBar" priority="749">
      <dataBar>
        <cfvo type="min"/>
        <cfvo type="max"/>
        <color rgb="FF3FCDFF"/>
      </dataBar>
    </cfRule>
  </conditionalFormatting>
  <conditionalFormatting sqref="M1035:M1064">
    <cfRule type="dataBar" priority="712">
      <dataBar>
        <cfvo type="min"/>
        <cfvo type="max"/>
        <color rgb="FF638EC6"/>
      </dataBar>
    </cfRule>
    <cfRule type="dataBar" priority="711">
      <dataBar>
        <cfvo type="min"/>
        <cfvo type="max"/>
        <color rgb="FF00B0F0"/>
      </dataBar>
    </cfRule>
    <cfRule type="dataBar" priority="710">
      <dataBar>
        <cfvo type="min"/>
        <cfvo type="max"/>
        <color rgb="FF00B0F0"/>
      </dataBar>
    </cfRule>
    <cfRule type="dataBar" priority="709">
      <dataBar>
        <cfvo type="min"/>
        <cfvo type="max"/>
        <color rgb="FF008AEF"/>
      </dataBar>
    </cfRule>
    <cfRule type="dataBar" priority="708">
      <dataBar>
        <cfvo type="min"/>
        <cfvo type="max"/>
        <color rgb="FF00B0F0"/>
      </dataBar>
    </cfRule>
    <cfRule type="dataBar" priority="707">
      <dataBar>
        <cfvo type="min"/>
        <cfvo type="max"/>
        <color rgb="FF3FCDFF"/>
      </dataBar>
    </cfRule>
  </conditionalFormatting>
  <conditionalFormatting sqref="M1065 M1096 M1127 M1158 M1189 M1220">
    <cfRule type="dataBar" priority="720">
      <dataBar>
        <cfvo type="min"/>
        <cfvo type="max"/>
        <color rgb="FF00B0F0"/>
      </dataBar>
    </cfRule>
    <cfRule type="dataBar" priority="718">
      <dataBar>
        <cfvo type="min"/>
        <cfvo type="max"/>
        <color rgb="FF008AEF"/>
      </dataBar>
    </cfRule>
    <cfRule type="dataBar" priority="717">
      <dataBar>
        <cfvo type="min"/>
        <cfvo type="max"/>
        <color rgb="FF00B0F0"/>
      </dataBar>
    </cfRule>
    <cfRule type="dataBar" priority="716">
      <dataBar>
        <cfvo type="min"/>
        <cfvo type="max"/>
        <color rgb="FF3FCDFF"/>
      </dataBar>
    </cfRule>
    <cfRule type="dataBar" priority="721">
      <dataBar>
        <cfvo type="min"/>
        <cfvo type="max"/>
        <color rgb="FF00B0F0"/>
      </dataBar>
    </cfRule>
    <cfRule type="dataBar" priority="722">
      <dataBar>
        <cfvo type="min"/>
        <cfvo type="max"/>
        <color rgb="FF638EC6"/>
      </dataBar>
    </cfRule>
  </conditionalFormatting>
  <conditionalFormatting sqref="M1066">
    <cfRule type="dataBar" priority="646">
      <dataBar>
        <cfvo type="min"/>
        <cfvo type="max"/>
        <color rgb="FF00B0F0"/>
      </dataBar>
    </cfRule>
    <cfRule type="dataBar" priority="647">
      <dataBar>
        <cfvo type="min"/>
        <cfvo type="max"/>
        <color rgb="FF008AEF"/>
      </dataBar>
    </cfRule>
    <cfRule type="dataBar" priority="645">
      <dataBar>
        <cfvo type="min"/>
        <cfvo type="max"/>
        <color rgb="FF3FCDFF"/>
      </dataBar>
    </cfRule>
    <cfRule type="dataBar" priority="650">
      <dataBar>
        <cfvo type="min"/>
        <cfvo type="max"/>
        <color rgb="FF638EC6"/>
      </dataBar>
    </cfRule>
    <cfRule type="dataBar" priority="648">
      <dataBar>
        <cfvo type="min"/>
        <cfvo type="max"/>
        <color rgb="FF00B0F0"/>
      </dataBar>
    </cfRule>
    <cfRule type="dataBar" priority="649">
      <dataBar>
        <cfvo type="min"/>
        <cfvo type="max"/>
        <color rgb="FF00B0F0"/>
      </dataBar>
    </cfRule>
  </conditionalFormatting>
  <conditionalFormatting sqref="M1067">
    <cfRule type="dataBar" priority="639">
      <dataBar>
        <cfvo type="min"/>
        <cfvo type="max"/>
        <color rgb="FF008AEF"/>
      </dataBar>
    </cfRule>
    <cfRule type="dataBar" priority="638">
      <dataBar>
        <cfvo type="min"/>
        <cfvo type="max"/>
        <color rgb="FF00B0F0"/>
      </dataBar>
    </cfRule>
    <cfRule type="dataBar" priority="637">
      <dataBar>
        <cfvo type="min"/>
        <cfvo type="max"/>
        <color rgb="FF3FCDFF"/>
      </dataBar>
    </cfRule>
    <cfRule type="dataBar" priority="642">
      <dataBar>
        <cfvo type="min"/>
        <cfvo type="max"/>
        <color rgb="FF638EC6"/>
      </dataBar>
    </cfRule>
    <cfRule type="dataBar" priority="641">
      <dataBar>
        <cfvo type="min"/>
        <cfvo type="max"/>
        <color rgb="FF00B0F0"/>
      </dataBar>
    </cfRule>
    <cfRule type="dataBar" priority="640">
      <dataBar>
        <cfvo type="min"/>
        <cfvo type="max"/>
        <color rgb="FF00B0F0"/>
      </dataBar>
    </cfRule>
  </conditionalFormatting>
  <conditionalFormatting sqref="M1068">
    <cfRule type="dataBar" priority="634">
      <dataBar>
        <cfvo type="min"/>
        <cfvo type="max"/>
        <color rgb="FF638EC6"/>
      </dataBar>
    </cfRule>
    <cfRule type="dataBar" priority="633">
      <dataBar>
        <cfvo type="min"/>
        <cfvo type="max"/>
        <color rgb="FF00B0F0"/>
      </dataBar>
    </cfRule>
    <cfRule type="dataBar" priority="632">
      <dataBar>
        <cfvo type="min"/>
        <cfvo type="max"/>
        <color rgb="FF00B0F0"/>
      </dataBar>
    </cfRule>
    <cfRule type="dataBar" priority="631">
      <dataBar>
        <cfvo type="min"/>
        <cfvo type="max"/>
        <color rgb="FF008AEF"/>
      </dataBar>
    </cfRule>
    <cfRule type="dataBar" priority="630">
      <dataBar>
        <cfvo type="min"/>
        <cfvo type="max"/>
        <color rgb="FF00B0F0"/>
      </dataBar>
    </cfRule>
    <cfRule type="dataBar" priority="629">
      <dataBar>
        <cfvo type="min"/>
        <cfvo type="max"/>
        <color rgb="FF3FCDFF"/>
      </dataBar>
    </cfRule>
  </conditionalFormatting>
  <conditionalFormatting sqref="M1070:M1072">
    <cfRule type="dataBar" priority="623">
      <dataBar>
        <cfvo type="min"/>
        <cfvo type="max"/>
        <color rgb="FF008AEF"/>
      </dataBar>
    </cfRule>
    <cfRule type="dataBar" priority="622">
      <dataBar>
        <cfvo type="min"/>
        <cfvo type="max"/>
        <color rgb="FF00B0F0"/>
      </dataBar>
    </cfRule>
    <cfRule type="dataBar" priority="621">
      <dataBar>
        <cfvo type="min"/>
        <cfvo type="max"/>
        <color rgb="FF3FCDFF"/>
      </dataBar>
    </cfRule>
    <cfRule type="dataBar" priority="626">
      <dataBar>
        <cfvo type="min"/>
        <cfvo type="max"/>
        <color rgb="FF638EC6"/>
      </dataBar>
    </cfRule>
    <cfRule type="dataBar" priority="625">
      <dataBar>
        <cfvo type="min"/>
        <cfvo type="max"/>
        <color rgb="FF00B0F0"/>
      </dataBar>
    </cfRule>
    <cfRule type="dataBar" priority="624">
      <dataBar>
        <cfvo type="min"/>
        <cfvo type="max"/>
        <color rgb="FF00B0F0"/>
      </dataBar>
    </cfRule>
  </conditionalFormatting>
  <conditionalFormatting sqref="M1074">
    <cfRule type="dataBar" priority="618">
      <dataBar>
        <cfvo type="min"/>
        <cfvo type="max"/>
        <color rgb="FF638EC6"/>
      </dataBar>
    </cfRule>
    <cfRule type="dataBar" priority="617">
      <dataBar>
        <cfvo type="min"/>
        <cfvo type="max"/>
        <color rgb="FF00B0F0"/>
      </dataBar>
    </cfRule>
    <cfRule type="dataBar" priority="616">
      <dataBar>
        <cfvo type="min"/>
        <cfvo type="max"/>
        <color rgb="FF00B0F0"/>
      </dataBar>
    </cfRule>
    <cfRule type="dataBar" priority="615">
      <dataBar>
        <cfvo type="min"/>
        <cfvo type="max"/>
        <color rgb="FF008AEF"/>
      </dataBar>
    </cfRule>
    <cfRule type="dataBar" priority="614">
      <dataBar>
        <cfvo type="min"/>
        <cfvo type="max"/>
        <color rgb="FF00B0F0"/>
      </dataBar>
    </cfRule>
    <cfRule type="dataBar" priority="613">
      <dataBar>
        <cfvo type="min"/>
        <cfvo type="max"/>
        <color rgb="FF3FCDFF"/>
      </dataBar>
    </cfRule>
  </conditionalFormatting>
  <conditionalFormatting sqref="M1076">
    <cfRule type="dataBar" priority="605">
      <dataBar>
        <cfvo type="min"/>
        <cfvo type="max"/>
        <color rgb="FF3FCDFF"/>
      </dataBar>
    </cfRule>
    <cfRule type="dataBar" priority="609">
      <dataBar>
        <cfvo type="min"/>
        <cfvo type="max"/>
        <color rgb="FF00B0F0"/>
      </dataBar>
    </cfRule>
    <cfRule type="dataBar" priority="610">
      <dataBar>
        <cfvo type="min"/>
        <cfvo type="max"/>
        <color rgb="FF638EC6"/>
      </dataBar>
    </cfRule>
    <cfRule type="dataBar" priority="608">
      <dataBar>
        <cfvo type="min"/>
        <cfvo type="max"/>
        <color rgb="FF00B0F0"/>
      </dataBar>
    </cfRule>
    <cfRule type="dataBar" priority="607">
      <dataBar>
        <cfvo type="min"/>
        <cfvo type="max"/>
        <color rgb="FF008AEF"/>
      </dataBar>
    </cfRule>
    <cfRule type="dataBar" priority="606">
      <dataBar>
        <cfvo type="min"/>
        <cfvo type="max"/>
        <color rgb="FF00B0F0"/>
      </dataBar>
    </cfRule>
  </conditionalFormatting>
  <conditionalFormatting sqref="M1078">
    <cfRule type="dataBar" priority="602">
      <dataBar>
        <cfvo type="min"/>
        <cfvo type="max"/>
        <color rgb="FF638EC6"/>
      </dataBar>
    </cfRule>
    <cfRule type="dataBar" priority="601">
      <dataBar>
        <cfvo type="min"/>
        <cfvo type="max"/>
        <color rgb="FF00B0F0"/>
      </dataBar>
    </cfRule>
    <cfRule type="dataBar" priority="600">
      <dataBar>
        <cfvo type="min"/>
        <cfvo type="max"/>
        <color rgb="FF00B0F0"/>
      </dataBar>
    </cfRule>
    <cfRule type="dataBar" priority="599">
      <dataBar>
        <cfvo type="min"/>
        <cfvo type="max"/>
        <color rgb="FF008AEF"/>
      </dataBar>
    </cfRule>
    <cfRule type="dataBar" priority="598">
      <dataBar>
        <cfvo type="min"/>
        <cfvo type="max"/>
        <color rgb="FF00B0F0"/>
      </dataBar>
    </cfRule>
    <cfRule type="dataBar" priority="597">
      <dataBar>
        <cfvo type="min"/>
        <cfvo type="max"/>
        <color rgb="FF3FCDFF"/>
      </dataBar>
    </cfRule>
  </conditionalFormatting>
  <conditionalFormatting sqref="M1079">
    <cfRule type="dataBar" priority="594">
      <dataBar>
        <cfvo type="min"/>
        <cfvo type="max"/>
        <color rgb="FF638EC6"/>
      </dataBar>
    </cfRule>
    <cfRule type="dataBar" priority="593">
      <dataBar>
        <cfvo type="min"/>
        <cfvo type="max"/>
        <color rgb="FF00B0F0"/>
      </dataBar>
    </cfRule>
    <cfRule type="dataBar" priority="592">
      <dataBar>
        <cfvo type="min"/>
        <cfvo type="max"/>
        <color rgb="FF00B0F0"/>
      </dataBar>
    </cfRule>
    <cfRule type="dataBar" priority="591">
      <dataBar>
        <cfvo type="min"/>
        <cfvo type="max"/>
        <color rgb="FF008AEF"/>
      </dataBar>
    </cfRule>
    <cfRule type="dataBar" priority="590">
      <dataBar>
        <cfvo type="min"/>
        <cfvo type="max"/>
        <color rgb="FF00B0F0"/>
      </dataBar>
    </cfRule>
    <cfRule type="dataBar" priority="589">
      <dataBar>
        <cfvo type="min"/>
        <cfvo type="max"/>
        <color rgb="FF3FCDFF"/>
      </dataBar>
    </cfRule>
  </conditionalFormatting>
  <conditionalFormatting sqref="M1081">
    <cfRule type="dataBar" priority="586">
      <dataBar>
        <cfvo type="min"/>
        <cfvo type="max"/>
        <color rgb="FF638EC6"/>
      </dataBar>
    </cfRule>
    <cfRule type="dataBar" priority="585">
      <dataBar>
        <cfvo type="min"/>
        <cfvo type="max"/>
        <color rgb="FF00B0F0"/>
      </dataBar>
    </cfRule>
    <cfRule type="dataBar" priority="584">
      <dataBar>
        <cfvo type="min"/>
        <cfvo type="max"/>
        <color rgb="FF00B0F0"/>
      </dataBar>
    </cfRule>
    <cfRule type="dataBar" priority="583">
      <dataBar>
        <cfvo type="min"/>
        <cfvo type="max"/>
        <color rgb="FF008AEF"/>
      </dataBar>
    </cfRule>
    <cfRule type="dataBar" priority="582">
      <dataBar>
        <cfvo type="min"/>
        <cfvo type="max"/>
        <color rgb="FF00B0F0"/>
      </dataBar>
    </cfRule>
    <cfRule type="dataBar" priority="581">
      <dataBar>
        <cfvo type="min"/>
        <cfvo type="max"/>
        <color rgb="FF3FCDFF"/>
      </dataBar>
    </cfRule>
  </conditionalFormatting>
  <conditionalFormatting sqref="M1082">
    <cfRule type="dataBar" priority="573">
      <dataBar>
        <cfvo type="min"/>
        <cfvo type="max"/>
        <color rgb="FF3FCDFF"/>
      </dataBar>
    </cfRule>
    <cfRule type="dataBar" priority="578">
      <dataBar>
        <cfvo type="min"/>
        <cfvo type="max"/>
        <color rgb="FF638EC6"/>
      </dataBar>
    </cfRule>
    <cfRule type="dataBar" priority="577">
      <dataBar>
        <cfvo type="min"/>
        <cfvo type="max"/>
        <color rgb="FF00B0F0"/>
      </dataBar>
    </cfRule>
    <cfRule type="dataBar" priority="576">
      <dataBar>
        <cfvo type="min"/>
        <cfvo type="max"/>
        <color rgb="FF00B0F0"/>
      </dataBar>
    </cfRule>
    <cfRule type="dataBar" priority="575">
      <dataBar>
        <cfvo type="min"/>
        <cfvo type="max"/>
        <color rgb="FF008AEF"/>
      </dataBar>
    </cfRule>
    <cfRule type="dataBar" priority="574">
      <dataBar>
        <cfvo type="min"/>
        <cfvo type="max"/>
        <color rgb="FF00B0F0"/>
      </dataBar>
    </cfRule>
  </conditionalFormatting>
  <conditionalFormatting sqref="M1083">
    <cfRule type="dataBar" priority="565">
      <dataBar>
        <cfvo type="min"/>
        <cfvo type="max"/>
        <color rgb="FF3FCDFF"/>
      </dataBar>
    </cfRule>
    <cfRule type="dataBar" priority="566">
      <dataBar>
        <cfvo type="min"/>
        <cfvo type="max"/>
        <color rgb="FF00B0F0"/>
      </dataBar>
    </cfRule>
    <cfRule type="dataBar" priority="567">
      <dataBar>
        <cfvo type="min"/>
        <cfvo type="max"/>
        <color rgb="FF008AEF"/>
      </dataBar>
    </cfRule>
    <cfRule type="dataBar" priority="568">
      <dataBar>
        <cfvo type="min"/>
        <cfvo type="max"/>
        <color rgb="FF00B0F0"/>
      </dataBar>
    </cfRule>
    <cfRule type="dataBar" priority="569">
      <dataBar>
        <cfvo type="min"/>
        <cfvo type="max"/>
        <color rgb="FF00B0F0"/>
      </dataBar>
    </cfRule>
    <cfRule type="dataBar" priority="570">
      <dataBar>
        <cfvo type="min"/>
        <cfvo type="max"/>
        <color rgb="FF638EC6"/>
      </dataBar>
    </cfRule>
  </conditionalFormatting>
  <conditionalFormatting sqref="M1084">
    <cfRule type="dataBar" priority="557">
      <dataBar>
        <cfvo type="min"/>
        <cfvo type="max"/>
        <color rgb="FF3FCDFF"/>
      </dataBar>
    </cfRule>
    <cfRule type="dataBar" priority="562">
      <dataBar>
        <cfvo type="min"/>
        <cfvo type="max"/>
        <color rgb="FF638EC6"/>
      </dataBar>
    </cfRule>
    <cfRule type="dataBar" priority="561">
      <dataBar>
        <cfvo type="min"/>
        <cfvo type="max"/>
        <color rgb="FF00B0F0"/>
      </dataBar>
    </cfRule>
    <cfRule type="dataBar" priority="560">
      <dataBar>
        <cfvo type="min"/>
        <cfvo type="max"/>
        <color rgb="FF00B0F0"/>
      </dataBar>
    </cfRule>
    <cfRule type="dataBar" priority="559">
      <dataBar>
        <cfvo type="min"/>
        <cfvo type="max"/>
        <color rgb="FF008AEF"/>
      </dataBar>
    </cfRule>
    <cfRule type="dataBar" priority="558">
      <dataBar>
        <cfvo type="min"/>
        <cfvo type="max"/>
        <color rgb="FF00B0F0"/>
      </dataBar>
    </cfRule>
  </conditionalFormatting>
  <conditionalFormatting sqref="M1085">
    <cfRule type="dataBar" priority="554">
      <dataBar>
        <cfvo type="min"/>
        <cfvo type="max"/>
        <color rgb="FF638EC6"/>
      </dataBar>
    </cfRule>
    <cfRule type="dataBar" priority="553">
      <dataBar>
        <cfvo type="min"/>
        <cfvo type="max"/>
        <color rgb="FF00B0F0"/>
      </dataBar>
    </cfRule>
    <cfRule type="dataBar" priority="552">
      <dataBar>
        <cfvo type="min"/>
        <cfvo type="max"/>
        <color rgb="FF00B0F0"/>
      </dataBar>
    </cfRule>
    <cfRule type="dataBar" priority="551">
      <dataBar>
        <cfvo type="min"/>
        <cfvo type="max"/>
        <color rgb="FF008AEF"/>
      </dataBar>
    </cfRule>
    <cfRule type="dataBar" priority="550">
      <dataBar>
        <cfvo type="min"/>
        <cfvo type="max"/>
        <color rgb="FF00B0F0"/>
      </dataBar>
    </cfRule>
    <cfRule type="dataBar" priority="549">
      <dataBar>
        <cfvo type="min"/>
        <cfvo type="max"/>
        <color rgb="FF3FCDFF"/>
      </dataBar>
    </cfRule>
  </conditionalFormatting>
  <conditionalFormatting sqref="M1087">
    <cfRule type="dataBar" priority="541">
      <dataBar>
        <cfvo type="min"/>
        <cfvo type="max"/>
        <color rgb="FF3FCDFF"/>
      </dataBar>
    </cfRule>
    <cfRule type="dataBar" priority="546">
      <dataBar>
        <cfvo type="min"/>
        <cfvo type="max"/>
        <color rgb="FF638EC6"/>
      </dataBar>
    </cfRule>
    <cfRule type="dataBar" priority="545">
      <dataBar>
        <cfvo type="min"/>
        <cfvo type="max"/>
        <color rgb="FF00B0F0"/>
      </dataBar>
    </cfRule>
    <cfRule type="dataBar" priority="544">
      <dataBar>
        <cfvo type="min"/>
        <cfvo type="max"/>
        <color rgb="FF00B0F0"/>
      </dataBar>
    </cfRule>
    <cfRule type="dataBar" priority="543">
      <dataBar>
        <cfvo type="min"/>
        <cfvo type="max"/>
        <color rgb="FF008AEF"/>
      </dataBar>
    </cfRule>
    <cfRule type="dataBar" priority="542">
      <dataBar>
        <cfvo type="min"/>
        <cfvo type="max"/>
        <color rgb="FF00B0F0"/>
      </dataBar>
    </cfRule>
  </conditionalFormatting>
  <conditionalFormatting sqref="M1088">
    <cfRule type="dataBar" priority="538">
      <dataBar>
        <cfvo type="min"/>
        <cfvo type="max"/>
        <color rgb="FF638EC6"/>
      </dataBar>
    </cfRule>
    <cfRule type="dataBar" priority="537">
      <dataBar>
        <cfvo type="min"/>
        <cfvo type="max"/>
        <color rgb="FF00B0F0"/>
      </dataBar>
    </cfRule>
    <cfRule type="dataBar" priority="536">
      <dataBar>
        <cfvo type="min"/>
        <cfvo type="max"/>
        <color rgb="FF00B0F0"/>
      </dataBar>
    </cfRule>
    <cfRule type="dataBar" priority="535">
      <dataBar>
        <cfvo type="min"/>
        <cfvo type="max"/>
        <color rgb="FF008AEF"/>
      </dataBar>
    </cfRule>
    <cfRule type="dataBar" priority="534">
      <dataBar>
        <cfvo type="min"/>
        <cfvo type="max"/>
        <color rgb="FF00B0F0"/>
      </dataBar>
    </cfRule>
    <cfRule type="dataBar" priority="533">
      <dataBar>
        <cfvo type="min"/>
        <cfvo type="max"/>
        <color rgb="FF3FCDFF"/>
      </dataBar>
    </cfRule>
  </conditionalFormatting>
  <conditionalFormatting sqref="M1090">
    <cfRule type="dataBar" priority="525">
      <dataBar>
        <cfvo type="min"/>
        <cfvo type="max"/>
        <color rgb="FF3FCDFF"/>
      </dataBar>
    </cfRule>
    <cfRule type="dataBar" priority="530">
      <dataBar>
        <cfvo type="min"/>
        <cfvo type="max"/>
        <color rgb="FF638EC6"/>
      </dataBar>
    </cfRule>
    <cfRule type="dataBar" priority="529">
      <dataBar>
        <cfvo type="min"/>
        <cfvo type="max"/>
        <color rgb="FF00B0F0"/>
      </dataBar>
    </cfRule>
    <cfRule type="dataBar" priority="528">
      <dataBar>
        <cfvo type="min"/>
        <cfvo type="max"/>
        <color rgb="FF00B0F0"/>
      </dataBar>
    </cfRule>
    <cfRule type="dataBar" priority="527">
      <dataBar>
        <cfvo type="min"/>
        <cfvo type="max"/>
        <color rgb="FF008AEF"/>
      </dataBar>
    </cfRule>
    <cfRule type="dataBar" priority="526">
      <dataBar>
        <cfvo type="min"/>
        <cfvo type="max"/>
        <color rgb="FF00B0F0"/>
      </dataBar>
    </cfRule>
  </conditionalFormatting>
  <conditionalFormatting sqref="M1091">
    <cfRule type="dataBar" priority="522">
      <dataBar>
        <cfvo type="min"/>
        <cfvo type="max"/>
        <color rgb="FF638EC6"/>
      </dataBar>
    </cfRule>
    <cfRule type="dataBar" priority="521">
      <dataBar>
        <cfvo type="min"/>
        <cfvo type="max"/>
        <color rgb="FF00B0F0"/>
      </dataBar>
    </cfRule>
    <cfRule type="dataBar" priority="520">
      <dataBar>
        <cfvo type="min"/>
        <cfvo type="max"/>
        <color rgb="FF00B0F0"/>
      </dataBar>
    </cfRule>
    <cfRule type="dataBar" priority="519">
      <dataBar>
        <cfvo type="min"/>
        <cfvo type="max"/>
        <color rgb="FF008AEF"/>
      </dataBar>
    </cfRule>
    <cfRule type="dataBar" priority="518">
      <dataBar>
        <cfvo type="min"/>
        <cfvo type="max"/>
        <color rgb="FF00B0F0"/>
      </dataBar>
    </cfRule>
    <cfRule type="dataBar" priority="517">
      <dataBar>
        <cfvo type="min"/>
        <cfvo type="max"/>
        <color rgb="FF3FCDFF"/>
      </dataBar>
    </cfRule>
  </conditionalFormatting>
  <conditionalFormatting sqref="M1092">
    <cfRule type="dataBar" priority="509">
      <dataBar>
        <cfvo type="min"/>
        <cfvo type="max"/>
        <color rgb="FF3FCDFF"/>
      </dataBar>
    </cfRule>
    <cfRule type="dataBar" priority="514">
      <dataBar>
        <cfvo type="min"/>
        <cfvo type="max"/>
        <color rgb="FF638EC6"/>
      </dataBar>
    </cfRule>
    <cfRule type="dataBar" priority="513">
      <dataBar>
        <cfvo type="min"/>
        <cfvo type="max"/>
        <color rgb="FF00B0F0"/>
      </dataBar>
    </cfRule>
    <cfRule type="dataBar" priority="512">
      <dataBar>
        <cfvo type="min"/>
        <cfvo type="max"/>
        <color rgb="FF00B0F0"/>
      </dataBar>
    </cfRule>
    <cfRule type="dataBar" priority="511">
      <dataBar>
        <cfvo type="min"/>
        <cfvo type="max"/>
        <color rgb="FF008AEF"/>
      </dataBar>
    </cfRule>
    <cfRule type="dataBar" priority="510">
      <dataBar>
        <cfvo type="min"/>
        <cfvo type="max"/>
        <color rgb="FF00B0F0"/>
      </dataBar>
    </cfRule>
  </conditionalFormatting>
  <conditionalFormatting sqref="M1094">
    <cfRule type="dataBar" priority="506">
      <dataBar>
        <cfvo type="min"/>
        <cfvo type="max"/>
        <color rgb="FF638EC6"/>
      </dataBar>
    </cfRule>
    <cfRule type="dataBar" priority="505">
      <dataBar>
        <cfvo type="min"/>
        <cfvo type="max"/>
        <color rgb="FF00B0F0"/>
      </dataBar>
    </cfRule>
    <cfRule type="dataBar" priority="504">
      <dataBar>
        <cfvo type="min"/>
        <cfvo type="max"/>
        <color rgb="FF00B0F0"/>
      </dataBar>
    </cfRule>
    <cfRule type="dataBar" priority="503">
      <dataBar>
        <cfvo type="min"/>
        <cfvo type="max"/>
        <color rgb="FF008AEF"/>
      </dataBar>
    </cfRule>
    <cfRule type="dataBar" priority="502">
      <dataBar>
        <cfvo type="min"/>
        <cfvo type="max"/>
        <color rgb="FF00B0F0"/>
      </dataBar>
    </cfRule>
    <cfRule type="dataBar" priority="501">
      <dataBar>
        <cfvo type="min"/>
        <cfvo type="max"/>
        <color rgb="FF3FCDFF"/>
      </dataBar>
    </cfRule>
  </conditionalFormatting>
  <conditionalFormatting sqref="M1095">
    <cfRule type="dataBar" priority="493">
      <dataBar>
        <cfvo type="min"/>
        <cfvo type="max"/>
        <color rgb="FF3FCDFF"/>
      </dataBar>
    </cfRule>
    <cfRule type="dataBar" priority="498">
      <dataBar>
        <cfvo type="min"/>
        <cfvo type="max"/>
        <color rgb="FF638EC6"/>
      </dataBar>
    </cfRule>
    <cfRule type="dataBar" priority="497">
      <dataBar>
        <cfvo type="min"/>
        <cfvo type="max"/>
        <color rgb="FF00B0F0"/>
      </dataBar>
    </cfRule>
    <cfRule type="dataBar" priority="496">
      <dataBar>
        <cfvo type="min"/>
        <cfvo type="max"/>
        <color rgb="FF00B0F0"/>
      </dataBar>
    </cfRule>
    <cfRule type="dataBar" priority="495">
      <dataBar>
        <cfvo type="min"/>
        <cfvo type="max"/>
        <color rgb="FF008AEF"/>
      </dataBar>
    </cfRule>
    <cfRule type="dataBar" priority="494">
      <dataBar>
        <cfvo type="min"/>
        <cfvo type="max"/>
        <color rgb="FF00B0F0"/>
      </dataBar>
    </cfRule>
  </conditionalFormatting>
  <conditionalFormatting sqref="M1097:M1105">
    <cfRule type="dataBar" priority="490">
      <dataBar>
        <cfvo type="min"/>
        <cfvo type="max"/>
        <color rgb="FF638EC6"/>
      </dataBar>
    </cfRule>
    <cfRule type="dataBar" priority="489">
      <dataBar>
        <cfvo type="min"/>
        <cfvo type="max"/>
        <color rgb="FF00B0F0"/>
      </dataBar>
    </cfRule>
    <cfRule type="dataBar" priority="488">
      <dataBar>
        <cfvo type="min"/>
        <cfvo type="max"/>
        <color rgb="FF00B0F0"/>
      </dataBar>
    </cfRule>
    <cfRule type="dataBar" priority="487">
      <dataBar>
        <cfvo type="min"/>
        <cfvo type="max"/>
        <color rgb="FF008AEF"/>
      </dataBar>
    </cfRule>
    <cfRule type="dataBar" priority="486">
      <dataBar>
        <cfvo type="min"/>
        <cfvo type="max"/>
        <color rgb="FF00B0F0"/>
      </dataBar>
    </cfRule>
    <cfRule type="dataBar" priority="485">
      <dataBar>
        <cfvo type="min"/>
        <cfvo type="max"/>
        <color rgb="FF3FCDFF"/>
      </dataBar>
    </cfRule>
  </conditionalFormatting>
  <conditionalFormatting sqref="M1106:M1107 M1111 M1117 M1123:M1124">
    <cfRule type="dataBar" priority="691">
      <dataBar>
        <cfvo type="min"/>
        <cfvo type="max"/>
        <color rgb="FF3FCDFF"/>
      </dataBar>
    </cfRule>
    <cfRule type="dataBar" priority="695">
      <dataBar>
        <cfvo type="min"/>
        <cfvo type="max"/>
        <color rgb="FF00B0F0"/>
      </dataBar>
    </cfRule>
    <cfRule type="dataBar" priority="694">
      <dataBar>
        <cfvo type="min"/>
        <cfvo type="max"/>
        <color rgb="FF00B0F0"/>
      </dataBar>
    </cfRule>
    <cfRule type="dataBar" priority="693">
      <dataBar>
        <cfvo type="min"/>
        <cfvo type="max"/>
        <color rgb="FF008AEF"/>
      </dataBar>
    </cfRule>
    <cfRule type="dataBar" priority="692">
      <dataBar>
        <cfvo type="min"/>
        <cfvo type="max"/>
        <color rgb="FF00B0F0"/>
      </dataBar>
    </cfRule>
    <cfRule type="dataBar" priority="696">
      <dataBar>
        <cfvo type="min"/>
        <cfvo type="max"/>
        <color rgb="FF638EC6"/>
      </dataBar>
    </cfRule>
  </conditionalFormatting>
  <conditionalFormatting sqref="M1108:M1110">
    <cfRule type="dataBar" priority="477">
      <dataBar>
        <cfvo type="min"/>
        <cfvo type="max"/>
        <color rgb="FF3FCDFF"/>
      </dataBar>
    </cfRule>
    <cfRule type="dataBar" priority="482">
      <dataBar>
        <cfvo type="min"/>
        <cfvo type="max"/>
        <color rgb="FF638EC6"/>
      </dataBar>
    </cfRule>
    <cfRule type="dataBar" priority="481">
      <dataBar>
        <cfvo type="min"/>
        <cfvo type="max"/>
        <color rgb="FF00B0F0"/>
      </dataBar>
    </cfRule>
    <cfRule type="dataBar" priority="480">
      <dataBar>
        <cfvo type="min"/>
        <cfvo type="max"/>
        <color rgb="FF00B0F0"/>
      </dataBar>
    </cfRule>
    <cfRule type="dataBar" priority="479">
      <dataBar>
        <cfvo type="min"/>
        <cfvo type="max"/>
        <color rgb="FF008AEF"/>
      </dataBar>
    </cfRule>
    <cfRule type="dataBar" priority="478">
      <dataBar>
        <cfvo type="min"/>
        <cfvo type="max"/>
        <color rgb="FF00B0F0"/>
      </dataBar>
    </cfRule>
  </conditionalFormatting>
  <conditionalFormatting sqref="M1112:M1116">
    <cfRule type="dataBar" priority="472">
      <dataBar>
        <cfvo type="min"/>
        <cfvo type="max"/>
        <color rgb="FF00B0F0"/>
      </dataBar>
    </cfRule>
    <cfRule type="dataBar" priority="474">
      <dataBar>
        <cfvo type="min"/>
        <cfvo type="max"/>
        <color rgb="FF638EC6"/>
      </dataBar>
    </cfRule>
    <cfRule type="dataBar" priority="473">
      <dataBar>
        <cfvo type="min"/>
        <cfvo type="max"/>
        <color rgb="FF00B0F0"/>
      </dataBar>
    </cfRule>
    <cfRule type="dataBar" priority="471">
      <dataBar>
        <cfvo type="min"/>
        <cfvo type="max"/>
        <color rgb="FF008AEF"/>
      </dataBar>
    </cfRule>
    <cfRule type="dataBar" priority="470">
      <dataBar>
        <cfvo type="min"/>
        <cfvo type="max"/>
        <color rgb="FF00B0F0"/>
      </dataBar>
    </cfRule>
    <cfRule type="dataBar" priority="469">
      <dataBar>
        <cfvo type="min"/>
        <cfvo type="max"/>
        <color rgb="FF3FCDFF"/>
      </dataBar>
    </cfRule>
  </conditionalFormatting>
  <conditionalFormatting sqref="M1118:M1122">
    <cfRule type="dataBar" priority="466">
      <dataBar>
        <cfvo type="min"/>
        <cfvo type="max"/>
        <color rgb="FF638EC6"/>
      </dataBar>
    </cfRule>
    <cfRule type="dataBar" priority="465">
      <dataBar>
        <cfvo type="min"/>
        <cfvo type="max"/>
        <color rgb="FF00B0F0"/>
      </dataBar>
    </cfRule>
    <cfRule type="dataBar" priority="464">
      <dataBar>
        <cfvo type="min"/>
        <cfvo type="max"/>
        <color rgb="FF00B0F0"/>
      </dataBar>
    </cfRule>
    <cfRule type="dataBar" priority="463">
      <dataBar>
        <cfvo type="min"/>
        <cfvo type="max"/>
        <color rgb="FF008AEF"/>
      </dataBar>
    </cfRule>
    <cfRule type="dataBar" priority="462">
      <dataBar>
        <cfvo type="min"/>
        <cfvo type="max"/>
        <color rgb="FF00B0F0"/>
      </dataBar>
    </cfRule>
    <cfRule type="dataBar" priority="461">
      <dataBar>
        <cfvo type="min"/>
        <cfvo type="max"/>
        <color rgb="FF3FCDFF"/>
      </dataBar>
    </cfRule>
  </conditionalFormatting>
  <conditionalFormatting sqref="M1125:M1126">
    <cfRule type="dataBar" priority="453">
      <dataBar>
        <cfvo type="min"/>
        <cfvo type="max"/>
        <color rgb="FF3FCDFF"/>
      </dataBar>
    </cfRule>
    <cfRule type="dataBar" priority="458">
      <dataBar>
        <cfvo type="min"/>
        <cfvo type="max"/>
        <color rgb="FF638EC6"/>
      </dataBar>
    </cfRule>
    <cfRule type="dataBar" priority="457">
      <dataBar>
        <cfvo type="min"/>
        <cfvo type="max"/>
        <color rgb="FF00B0F0"/>
      </dataBar>
    </cfRule>
    <cfRule type="dataBar" priority="456">
      <dataBar>
        <cfvo type="min"/>
        <cfvo type="max"/>
        <color rgb="FF00B0F0"/>
      </dataBar>
    </cfRule>
    <cfRule type="dataBar" priority="455">
      <dataBar>
        <cfvo type="min"/>
        <cfvo type="max"/>
        <color rgb="FF008AEF"/>
      </dataBar>
    </cfRule>
    <cfRule type="dataBar" priority="454">
      <dataBar>
        <cfvo type="min"/>
        <cfvo type="max"/>
        <color rgb="FF00B0F0"/>
      </dataBar>
    </cfRule>
  </conditionalFormatting>
  <conditionalFormatting sqref="M1128:M1136">
    <cfRule type="dataBar" priority="445">
      <dataBar>
        <cfvo type="min"/>
        <cfvo type="max"/>
        <color rgb="FF3FCDFF"/>
      </dataBar>
    </cfRule>
    <cfRule type="dataBar" priority="450">
      <dataBar>
        <cfvo type="min"/>
        <cfvo type="max"/>
        <color rgb="FF638EC6"/>
      </dataBar>
    </cfRule>
    <cfRule type="dataBar" priority="449">
      <dataBar>
        <cfvo type="min"/>
        <cfvo type="max"/>
        <color rgb="FF00B0F0"/>
      </dataBar>
    </cfRule>
    <cfRule type="dataBar" priority="448">
      <dataBar>
        <cfvo type="min"/>
        <cfvo type="max"/>
        <color rgb="FF00B0F0"/>
      </dataBar>
    </cfRule>
    <cfRule type="dataBar" priority="447">
      <dataBar>
        <cfvo type="min"/>
        <cfvo type="max"/>
        <color rgb="FF008AEF"/>
      </dataBar>
    </cfRule>
    <cfRule type="dataBar" priority="446">
      <dataBar>
        <cfvo type="min"/>
        <cfvo type="max"/>
        <color rgb="FF00B0F0"/>
      </dataBar>
    </cfRule>
  </conditionalFormatting>
  <conditionalFormatting sqref="M1137:M1138 M1142 M1148 M1154:M1155">
    <cfRule type="dataBar" priority="704">
      <dataBar>
        <cfvo type="min"/>
        <cfvo type="max"/>
        <color rgb="FF638EC6"/>
      </dataBar>
    </cfRule>
    <cfRule type="dataBar" priority="703">
      <dataBar>
        <cfvo type="min"/>
        <cfvo type="max"/>
        <color rgb="FF00B0F0"/>
      </dataBar>
    </cfRule>
    <cfRule type="dataBar" priority="699">
      <dataBar>
        <cfvo type="min"/>
        <cfvo type="max"/>
        <color rgb="FF3FCDFF"/>
      </dataBar>
    </cfRule>
    <cfRule type="dataBar" priority="700">
      <dataBar>
        <cfvo type="min"/>
        <cfvo type="max"/>
        <color rgb="FF00B0F0"/>
      </dataBar>
    </cfRule>
    <cfRule type="dataBar" priority="702">
      <dataBar>
        <cfvo type="min"/>
        <cfvo type="max"/>
        <color rgb="FF00B0F0"/>
      </dataBar>
    </cfRule>
    <cfRule type="dataBar" priority="701">
      <dataBar>
        <cfvo type="min"/>
        <cfvo type="max"/>
        <color rgb="FF008AEF"/>
      </dataBar>
    </cfRule>
  </conditionalFormatting>
  <conditionalFormatting sqref="M1139">
    <cfRule type="dataBar" priority="441">
      <dataBar>
        <cfvo type="min"/>
        <cfvo type="max"/>
        <color rgb="FF00B0F0"/>
      </dataBar>
    </cfRule>
    <cfRule type="dataBar" priority="440">
      <dataBar>
        <cfvo type="min"/>
        <cfvo type="max"/>
        <color rgb="FF00B0F0"/>
      </dataBar>
    </cfRule>
    <cfRule type="dataBar" priority="439">
      <dataBar>
        <cfvo type="min"/>
        <cfvo type="max"/>
        <color rgb="FF008AEF"/>
      </dataBar>
    </cfRule>
    <cfRule type="dataBar" priority="438">
      <dataBar>
        <cfvo type="min"/>
        <cfvo type="max"/>
        <color rgb="FF00B0F0"/>
      </dataBar>
    </cfRule>
    <cfRule type="dataBar" priority="437">
      <dataBar>
        <cfvo type="min"/>
        <cfvo type="max"/>
        <color rgb="FF3FCDFF"/>
      </dataBar>
    </cfRule>
    <cfRule type="dataBar" priority="442">
      <dataBar>
        <cfvo type="min"/>
        <cfvo type="max"/>
        <color rgb="FF638EC6"/>
      </dataBar>
    </cfRule>
  </conditionalFormatting>
  <conditionalFormatting sqref="M1140">
    <cfRule type="dataBar" priority="434">
      <dataBar>
        <cfvo type="min"/>
        <cfvo type="max"/>
        <color rgb="FF638EC6"/>
      </dataBar>
    </cfRule>
    <cfRule type="dataBar" priority="433">
      <dataBar>
        <cfvo type="min"/>
        <cfvo type="max"/>
        <color rgb="FF00B0F0"/>
      </dataBar>
    </cfRule>
    <cfRule type="dataBar" priority="432">
      <dataBar>
        <cfvo type="min"/>
        <cfvo type="max"/>
        <color rgb="FF00B0F0"/>
      </dataBar>
    </cfRule>
    <cfRule type="dataBar" priority="431">
      <dataBar>
        <cfvo type="min"/>
        <cfvo type="max"/>
        <color rgb="FF008AEF"/>
      </dataBar>
    </cfRule>
    <cfRule type="dataBar" priority="430">
      <dataBar>
        <cfvo type="min"/>
        <cfvo type="max"/>
        <color rgb="FF00B0F0"/>
      </dataBar>
    </cfRule>
    <cfRule type="dataBar" priority="429">
      <dataBar>
        <cfvo type="min"/>
        <cfvo type="max"/>
        <color rgb="FF3FCDFF"/>
      </dataBar>
    </cfRule>
  </conditionalFormatting>
  <conditionalFormatting sqref="M1141">
    <cfRule type="dataBar" priority="424">
      <dataBar>
        <cfvo type="min"/>
        <cfvo type="max"/>
        <color rgb="FF00B0F0"/>
      </dataBar>
    </cfRule>
    <cfRule type="dataBar" priority="421">
      <dataBar>
        <cfvo type="min"/>
        <cfvo type="max"/>
        <color rgb="FF3FCDFF"/>
      </dataBar>
    </cfRule>
    <cfRule type="dataBar" priority="422">
      <dataBar>
        <cfvo type="min"/>
        <cfvo type="max"/>
        <color rgb="FF00B0F0"/>
      </dataBar>
    </cfRule>
    <cfRule type="dataBar" priority="423">
      <dataBar>
        <cfvo type="min"/>
        <cfvo type="max"/>
        <color rgb="FF008AEF"/>
      </dataBar>
    </cfRule>
    <cfRule type="dataBar" priority="425">
      <dataBar>
        <cfvo type="min"/>
        <cfvo type="max"/>
        <color rgb="FF00B0F0"/>
      </dataBar>
    </cfRule>
    <cfRule type="dataBar" priority="426">
      <dataBar>
        <cfvo type="min"/>
        <cfvo type="max"/>
        <color rgb="FF638EC6"/>
      </dataBar>
    </cfRule>
  </conditionalFormatting>
  <conditionalFormatting sqref="M1143">
    <cfRule type="dataBar" priority="418">
      <dataBar>
        <cfvo type="min"/>
        <cfvo type="max"/>
        <color rgb="FF638EC6"/>
      </dataBar>
    </cfRule>
    <cfRule type="dataBar" priority="417">
      <dataBar>
        <cfvo type="min"/>
        <cfvo type="max"/>
        <color rgb="FF00B0F0"/>
      </dataBar>
    </cfRule>
    <cfRule type="dataBar" priority="416">
      <dataBar>
        <cfvo type="min"/>
        <cfvo type="max"/>
        <color rgb="FF00B0F0"/>
      </dataBar>
    </cfRule>
    <cfRule type="dataBar" priority="415">
      <dataBar>
        <cfvo type="min"/>
        <cfvo type="max"/>
        <color rgb="FF008AEF"/>
      </dataBar>
    </cfRule>
    <cfRule type="dataBar" priority="414">
      <dataBar>
        <cfvo type="min"/>
        <cfvo type="max"/>
        <color rgb="FF00B0F0"/>
      </dataBar>
    </cfRule>
    <cfRule type="dataBar" priority="413">
      <dataBar>
        <cfvo type="min"/>
        <cfvo type="max"/>
        <color rgb="FF3FCDFF"/>
      </dataBar>
    </cfRule>
  </conditionalFormatting>
  <conditionalFormatting sqref="M1144">
    <cfRule type="dataBar" priority="410">
      <dataBar>
        <cfvo type="min"/>
        <cfvo type="max"/>
        <color rgb="FF638EC6"/>
      </dataBar>
    </cfRule>
    <cfRule type="dataBar" priority="405">
      <dataBar>
        <cfvo type="min"/>
        <cfvo type="max"/>
        <color rgb="FF3FCDFF"/>
      </dataBar>
    </cfRule>
    <cfRule type="dataBar" priority="406">
      <dataBar>
        <cfvo type="min"/>
        <cfvo type="max"/>
        <color rgb="FF00B0F0"/>
      </dataBar>
    </cfRule>
    <cfRule type="dataBar" priority="409">
      <dataBar>
        <cfvo type="min"/>
        <cfvo type="max"/>
        <color rgb="FF00B0F0"/>
      </dataBar>
    </cfRule>
    <cfRule type="dataBar" priority="408">
      <dataBar>
        <cfvo type="min"/>
        <cfvo type="max"/>
        <color rgb="FF00B0F0"/>
      </dataBar>
    </cfRule>
    <cfRule type="dataBar" priority="407">
      <dataBar>
        <cfvo type="min"/>
        <cfvo type="max"/>
        <color rgb="FF008AEF"/>
      </dataBar>
    </cfRule>
  </conditionalFormatting>
  <conditionalFormatting sqref="M1145">
    <cfRule type="dataBar" priority="402">
      <dataBar>
        <cfvo type="min"/>
        <cfvo type="max"/>
        <color rgb="FF638EC6"/>
      </dataBar>
    </cfRule>
    <cfRule type="dataBar" priority="397">
      <dataBar>
        <cfvo type="min"/>
        <cfvo type="max"/>
        <color rgb="FF3FCDFF"/>
      </dataBar>
    </cfRule>
    <cfRule type="dataBar" priority="401">
      <dataBar>
        <cfvo type="min"/>
        <cfvo type="max"/>
        <color rgb="FF00B0F0"/>
      </dataBar>
    </cfRule>
    <cfRule type="dataBar" priority="400">
      <dataBar>
        <cfvo type="min"/>
        <cfvo type="max"/>
        <color rgb="FF00B0F0"/>
      </dataBar>
    </cfRule>
    <cfRule type="dataBar" priority="399">
      <dataBar>
        <cfvo type="min"/>
        <cfvo type="max"/>
        <color rgb="FF008AEF"/>
      </dataBar>
    </cfRule>
    <cfRule type="dataBar" priority="398">
      <dataBar>
        <cfvo type="min"/>
        <cfvo type="max"/>
        <color rgb="FF00B0F0"/>
      </dataBar>
    </cfRule>
  </conditionalFormatting>
  <conditionalFormatting sqref="M1146">
    <cfRule type="dataBar" priority="393">
      <dataBar>
        <cfvo type="min"/>
        <cfvo type="max"/>
        <color rgb="FF00B0F0"/>
      </dataBar>
    </cfRule>
    <cfRule type="dataBar" priority="392">
      <dataBar>
        <cfvo type="min"/>
        <cfvo type="max"/>
        <color rgb="FF00B0F0"/>
      </dataBar>
    </cfRule>
    <cfRule type="dataBar" priority="391">
      <dataBar>
        <cfvo type="min"/>
        <cfvo type="max"/>
        <color rgb="FF008AEF"/>
      </dataBar>
    </cfRule>
    <cfRule type="dataBar" priority="390">
      <dataBar>
        <cfvo type="min"/>
        <cfvo type="max"/>
        <color rgb="FF00B0F0"/>
      </dataBar>
    </cfRule>
    <cfRule type="dataBar" priority="389">
      <dataBar>
        <cfvo type="min"/>
        <cfvo type="max"/>
        <color rgb="FF3FCDFF"/>
      </dataBar>
    </cfRule>
    <cfRule type="dataBar" priority="394">
      <dataBar>
        <cfvo type="min"/>
        <cfvo type="max"/>
        <color rgb="FF638EC6"/>
      </dataBar>
    </cfRule>
  </conditionalFormatting>
  <conditionalFormatting sqref="M1147">
    <cfRule type="dataBar" priority="386">
      <dataBar>
        <cfvo type="min"/>
        <cfvo type="max"/>
        <color rgb="FF638EC6"/>
      </dataBar>
    </cfRule>
    <cfRule type="dataBar" priority="385">
      <dataBar>
        <cfvo type="min"/>
        <cfvo type="max"/>
        <color rgb="FF00B0F0"/>
      </dataBar>
    </cfRule>
    <cfRule type="dataBar" priority="384">
      <dataBar>
        <cfvo type="min"/>
        <cfvo type="max"/>
        <color rgb="FF00B0F0"/>
      </dataBar>
    </cfRule>
    <cfRule type="dataBar" priority="383">
      <dataBar>
        <cfvo type="min"/>
        <cfvo type="max"/>
        <color rgb="FF008AEF"/>
      </dataBar>
    </cfRule>
    <cfRule type="dataBar" priority="382">
      <dataBar>
        <cfvo type="min"/>
        <cfvo type="max"/>
        <color rgb="FF00B0F0"/>
      </dataBar>
    </cfRule>
    <cfRule type="dataBar" priority="381">
      <dataBar>
        <cfvo type="min"/>
        <cfvo type="max"/>
        <color rgb="FF3FCDFF"/>
      </dataBar>
    </cfRule>
  </conditionalFormatting>
  <conditionalFormatting sqref="M1149">
    <cfRule type="dataBar" priority="378">
      <dataBar>
        <cfvo type="min"/>
        <cfvo type="max"/>
        <color rgb="FF638EC6"/>
      </dataBar>
    </cfRule>
    <cfRule type="dataBar" priority="377">
      <dataBar>
        <cfvo type="min"/>
        <cfvo type="max"/>
        <color rgb="FF00B0F0"/>
      </dataBar>
    </cfRule>
    <cfRule type="dataBar" priority="376">
      <dataBar>
        <cfvo type="min"/>
        <cfvo type="max"/>
        <color rgb="FF00B0F0"/>
      </dataBar>
    </cfRule>
    <cfRule type="dataBar" priority="375">
      <dataBar>
        <cfvo type="min"/>
        <cfvo type="max"/>
        <color rgb="FF008AEF"/>
      </dataBar>
    </cfRule>
    <cfRule type="dataBar" priority="374">
      <dataBar>
        <cfvo type="min"/>
        <cfvo type="max"/>
        <color rgb="FF00B0F0"/>
      </dataBar>
    </cfRule>
    <cfRule type="dataBar" priority="373">
      <dataBar>
        <cfvo type="min"/>
        <cfvo type="max"/>
        <color rgb="FF3FCDFF"/>
      </dataBar>
    </cfRule>
  </conditionalFormatting>
  <conditionalFormatting sqref="M1150">
    <cfRule type="dataBar" priority="365">
      <dataBar>
        <cfvo type="min"/>
        <cfvo type="max"/>
        <color rgb="FF3FCDFF"/>
      </dataBar>
    </cfRule>
    <cfRule type="dataBar" priority="367">
      <dataBar>
        <cfvo type="min"/>
        <cfvo type="max"/>
        <color rgb="FF008AEF"/>
      </dataBar>
    </cfRule>
    <cfRule type="dataBar" priority="370">
      <dataBar>
        <cfvo type="min"/>
        <cfvo type="max"/>
        <color rgb="FF638EC6"/>
      </dataBar>
    </cfRule>
    <cfRule type="dataBar" priority="366">
      <dataBar>
        <cfvo type="min"/>
        <cfvo type="max"/>
        <color rgb="FF00B0F0"/>
      </dataBar>
    </cfRule>
    <cfRule type="dataBar" priority="369">
      <dataBar>
        <cfvo type="min"/>
        <cfvo type="max"/>
        <color rgb="FF00B0F0"/>
      </dataBar>
    </cfRule>
    <cfRule type="dataBar" priority="368">
      <dataBar>
        <cfvo type="min"/>
        <cfvo type="max"/>
        <color rgb="FF00B0F0"/>
      </dataBar>
    </cfRule>
  </conditionalFormatting>
  <conditionalFormatting sqref="M1151">
    <cfRule type="dataBar" priority="360">
      <dataBar>
        <cfvo type="min"/>
        <cfvo type="max"/>
        <color rgb="FF00B0F0"/>
      </dataBar>
    </cfRule>
    <cfRule type="dataBar" priority="362">
      <dataBar>
        <cfvo type="min"/>
        <cfvo type="max"/>
        <color rgb="FF638EC6"/>
      </dataBar>
    </cfRule>
    <cfRule type="dataBar" priority="357">
      <dataBar>
        <cfvo type="min"/>
        <cfvo type="max"/>
        <color rgb="FF3FCDFF"/>
      </dataBar>
    </cfRule>
    <cfRule type="dataBar" priority="358">
      <dataBar>
        <cfvo type="min"/>
        <cfvo type="max"/>
        <color rgb="FF00B0F0"/>
      </dataBar>
    </cfRule>
    <cfRule type="dataBar" priority="359">
      <dataBar>
        <cfvo type="min"/>
        <cfvo type="max"/>
        <color rgb="FF008AEF"/>
      </dataBar>
    </cfRule>
    <cfRule type="dataBar" priority="361">
      <dataBar>
        <cfvo type="min"/>
        <cfvo type="max"/>
        <color rgb="FF00B0F0"/>
      </dataBar>
    </cfRule>
  </conditionalFormatting>
  <conditionalFormatting sqref="M1152">
    <cfRule type="dataBar" priority="354">
      <dataBar>
        <cfvo type="min"/>
        <cfvo type="max"/>
        <color rgb="FF638EC6"/>
      </dataBar>
    </cfRule>
    <cfRule type="dataBar" priority="353">
      <dataBar>
        <cfvo type="min"/>
        <cfvo type="max"/>
        <color rgb="FF00B0F0"/>
      </dataBar>
    </cfRule>
    <cfRule type="dataBar" priority="352">
      <dataBar>
        <cfvo type="min"/>
        <cfvo type="max"/>
        <color rgb="FF00B0F0"/>
      </dataBar>
    </cfRule>
    <cfRule type="dataBar" priority="351">
      <dataBar>
        <cfvo type="min"/>
        <cfvo type="max"/>
        <color rgb="FF008AEF"/>
      </dataBar>
    </cfRule>
    <cfRule type="dataBar" priority="350">
      <dataBar>
        <cfvo type="min"/>
        <cfvo type="max"/>
        <color rgb="FF00B0F0"/>
      </dataBar>
    </cfRule>
    <cfRule type="dataBar" priority="349">
      <dataBar>
        <cfvo type="min"/>
        <cfvo type="max"/>
        <color rgb="FF3FCDFF"/>
      </dataBar>
    </cfRule>
  </conditionalFormatting>
  <conditionalFormatting sqref="M1153">
    <cfRule type="dataBar" priority="346">
      <dataBar>
        <cfvo type="min"/>
        <cfvo type="max"/>
        <color rgb="FF638EC6"/>
      </dataBar>
    </cfRule>
    <cfRule type="dataBar" priority="345">
      <dataBar>
        <cfvo type="min"/>
        <cfvo type="max"/>
        <color rgb="FF00B0F0"/>
      </dataBar>
    </cfRule>
    <cfRule type="dataBar" priority="343">
      <dataBar>
        <cfvo type="min"/>
        <cfvo type="max"/>
        <color rgb="FF008AEF"/>
      </dataBar>
    </cfRule>
    <cfRule type="dataBar" priority="342">
      <dataBar>
        <cfvo type="min"/>
        <cfvo type="max"/>
        <color rgb="FF00B0F0"/>
      </dataBar>
    </cfRule>
    <cfRule type="dataBar" priority="341">
      <dataBar>
        <cfvo type="min"/>
        <cfvo type="max"/>
        <color rgb="FF3FCDFF"/>
      </dataBar>
    </cfRule>
    <cfRule type="dataBar" priority="344">
      <dataBar>
        <cfvo type="min"/>
        <cfvo type="max"/>
        <color rgb="FF00B0F0"/>
      </dataBar>
    </cfRule>
  </conditionalFormatting>
  <conditionalFormatting sqref="M1156">
    <cfRule type="dataBar" priority="338">
      <dataBar>
        <cfvo type="min"/>
        <cfvo type="max"/>
        <color rgb="FF638EC6"/>
      </dataBar>
    </cfRule>
    <cfRule type="dataBar" priority="337">
      <dataBar>
        <cfvo type="min"/>
        <cfvo type="max"/>
        <color rgb="FF00B0F0"/>
      </dataBar>
    </cfRule>
    <cfRule type="dataBar" priority="336">
      <dataBar>
        <cfvo type="min"/>
        <cfvo type="max"/>
        <color rgb="FF00B0F0"/>
      </dataBar>
    </cfRule>
    <cfRule type="dataBar" priority="335">
      <dataBar>
        <cfvo type="min"/>
        <cfvo type="max"/>
        <color rgb="FF008AEF"/>
      </dataBar>
    </cfRule>
    <cfRule type="dataBar" priority="334">
      <dataBar>
        <cfvo type="min"/>
        <cfvo type="max"/>
        <color rgb="FF00B0F0"/>
      </dataBar>
    </cfRule>
    <cfRule type="dataBar" priority="333">
      <dataBar>
        <cfvo type="min"/>
        <cfvo type="max"/>
        <color rgb="FF3FCDFF"/>
      </dataBar>
    </cfRule>
  </conditionalFormatting>
  <conditionalFormatting sqref="M1157">
    <cfRule type="dataBar" priority="325">
      <dataBar>
        <cfvo type="min"/>
        <cfvo type="max"/>
        <color rgb="FF3FCDFF"/>
      </dataBar>
    </cfRule>
    <cfRule type="dataBar" priority="330">
      <dataBar>
        <cfvo type="min"/>
        <cfvo type="max"/>
        <color rgb="FF638EC6"/>
      </dataBar>
    </cfRule>
    <cfRule type="dataBar" priority="329">
      <dataBar>
        <cfvo type="min"/>
        <cfvo type="max"/>
        <color rgb="FF00B0F0"/>
      </dataBar>
    </cfRule>
    <cfRule type="dataBar" priority="328">
      <dataBar>
        <cfvo type="min"/>
        <cfvo type="max"/>
        <color rgb="FF00B0F0"/>
      </dataBar>
    </cfRule>
    <cfRule type="dataBar" priority="327">
      <dataBar>
        <cfvo type="min"/>
        <cfvo type="max"/>
        <color rgb="FF008AEF"/>
      </dataBar>
    </cfRule>
    <cfRule type="dataBar" priority="326">
      <dataBar>
        <cfvo type="min"/>
        <cfvo type="max"/>
        <color rgb="FF00B0F0"/>
      </dataBar>
    </cfRule>
  </conditionalFormatting>
  <conditionalFormatting sqref="M1159">
    <cfRule type="dataBar" priority="322">
      <dataBar>
        <cfvo type="min"/>
        <cfvo type="max"/>
        <color rgb="FF638EC6"/>
      </dataBar>
    </cfRule>
    <cfRule type="dataBar" priority="321">
      <dataBar>
        <cfvo type="min"/>
        <cfvo type="max"/>
        <color rgb="FF00B0F0"/>
      </dataBar>
    </cfRule>
    <cfRule type="dataBar" priority="320">
      <dataBar>
        <cfvo type="min"/>
        <cfvo type="max"/>
        <color rgb="FF00B0F0"/>
      </dataBar>
    </cfRule>
    <cfRule type="dataBar" priority="319">
      <dataBar>
        <cfvo type="min"/>
        <cfvo type="max"/>
        <color rgb="FF008AEF"/>
      </dataBar>
    </cfRule>
    <cfRule type="dataBar" priority="318">
      <dataBar>
        <cfvo type="min"/>
        <cfvo type="max"/>
        <color rgb="FF00B0F0"/>
      </dataBar>
    </cfRule>
    <cfRule type="dataBar" priority="317">
      <dataBar>
        <cfvo type="min"/>
        <cfvo type="max"/>
        <color rgb="FF3FCDFF"/>
      </dataBar>
    </cfRule>
  </conditionalFormatting>
  <conditionalFormatting sqref="M1160">
    <cfRule type="dataBar" priority="314">
      <dataBar>
        <cfvo type="min"/>
        <cfvo type="max"/>
        <color rgb="FF638EC6"/>
      </dataBar>
    </cfRule>
    <cfRule type="dataBar" priority="313">
      <dataBar>
        <cfvo type="min"/>
        <cfvo type="max"/>
        <color rgb="FF00B0F0"/>
      </dataBar>
    </cfRule>
    <cfRule type="dataBar" priority="312">
      <dataBar>
        <cfvo type="min"/>
        <cfvo type="max"/>
        <color rgb="FF00B0F0"/>
      </dataBar>
    </cfRule>
    <cfRule type="dataBar" priority="311">
      <dataBar>
        <cfvo type="min"/>
        <cfvo type="max"/>
        <color rgb="FF008AEF"/>
      </dataBar>
    </cfRule>
    <cfRule type="dataBar" priority="310">
      <dataBar>
        <cfvo type="min"/>
        <cfvo type="max"/>
        <color rgb="FF00B0F0"/>
      </dataBar>
    </cfRule>
    <cfRule type="dataBar" priority="309">
      <dataBar>
        <cfvo type="min"/>
        <cfvo type="max"/>
        <color rgb="FF3FCDFF"/>
      </dataBar>
    </cfRule>
  </conditionalFormatting>
  <conditionalFormatting sqref="M1161 M1166 M1168:M1170 M1172:M1173 M1179 M1181:M1182 M1184:M1186 M1188">
    <cfRule type="dataBar" priority="676">
      <dataBar>
        <cfvo type="min"/>
        <cfvo type="max"/>
        <color rgb="FF00B0F0"/>
      </dataBar>
    </cfRule>
    <cfRule type="dataBar" priority="677">
      <dataBar>
        <cfvo type="min"/>
        <cfvo type="max"/>
        <color rgb="FF008AEF"/>
      </dataBar>
    </cfRule>
    <cfRule type="dataBar" priority="678">
      <dataBar>
        <cfvo type="min"/>
        <cfvo type="max"/>
        <color rgb="FF00B0F0"/>
      </dataBar>
    </cfRule>
    <cfRule type="dataBar" priority="679">
      <dataBar>
        <cfvo type="min"/>
        <cfvo type="max"/>
        <color rgb="FF00B0F0"/>
      </dataBar>
    </cfRule>
    <cfRule type="dataBar" priority="680">
      <dataBar>
        <cfvo type="min"/>
        <cfvo type="max"/>
        <color rgb="FF638EC6"/>
      </dataBar>
    </cfRule>
    <cfRule type="dataBar" priority="675">
      <dataBar>
        <cfvo type="min"/>
        <cfvo type="max"/>
        <color rgb="FF3FCDFF"/>
      </dataBar>
    </cfRule>
  </conditionalFormatting>
  <conditionalFormatting sqref="M1162">
    <cfRule type="dataBar" priority="306">
      <dataBar>
        <cfvo type="min"/>
        <cfvo type="max"/>
        <color rgb="FF638EC6"/>
      </dataBar>
    </cfRule>
    <cfRule type="dataBar" priority="301">
      <dataBar>
        <cfvo type="min"/>
        <cfvo type="max"/>
        <color rgb="FF3FCDFF"/>
      </dataBar>
    </cfRule>
    <cfRule type="dataBar" priority="305">
      <dataBar>
        <cfvo type="min"/>
        <cfvo type="max"/>
        <color rgb="FF00B0F0"/>
      </dataBar>
    </cfRule>
    <cfRule type="dataBar" priority="304">
      <dataBar>
        <cfvo type="min"/>
        <cfvo type="max"/>
        <color rgb="FF00B0F0"/>
      </dataBar>
    </cfRule>
    <cfRule type="dataBar" priority="303">
      <dataBar>
        <cfvo type="min"/>
        <cfvo type="max"/>
        <color rgb="FF008AEF"/>
      </dataBar>
    </cfRule>
    <cfRule type="dataBar" priority="302">
      <dataBar>
        <cfvo type="min"/>
        <cfvo type="max"/>
        <color rgb="FF00B0F0"/>
      </dataBar>
    </cfRule>
  </conditionalFormatting>
  <conditionalFormatting sqref="M1163">
    <cfRule type="dataBar" priority="298">
      <dataBar>
        <cfvo type="min"/>
        <cfvo type="max"/>
        <color rgb="FF638EC6"/>
      </dataBar>
    </cfRule>
    <cfRule type="dataBar" priority="297">
      <dataBar>
        <cfvo type="min"/>
        <cfvo type="max"/>
        <color rgb="FF00B0F0"/>
      </dataBar>
    </cfRule>
    <cfRule type="dataBar" priority="296">
      <dataBar>
        <cfvo type="min"/>
        <cfvo type="max"/>
        <color rgb="FF00B0F0"/>
      </dataBar>
    </cfRule>
    <cfRule type="dataBar" priority="295">
      <dataBar>
        <cfvo type="min"/>
        <cfvo type="max"/>
        <color rgb="FF008AEF"/>
      </dataBar>
    </cfRule>
    <cfRule type="dataBar" priority="294">
      <dataBar>
        <cfvo type="min"/>
        <cfvo type="max"/>
        <color rgb="FF00B0F0"/>
      </dataBar>
    </cfRule>
    <cfRule type="dataBar" priority="293">
      <dataBar>
        <cfvo type="min"/>
        <cfvo type="max"/>
        <color rgb="FF3FCDFF"/>
      </dataBar>
    </cfRule>
  </conditionalFormatting>
  <conditionalFormatting sqref="M1164">
    <cfRule type="dataBar" priority="285">
      <dataBar>
        <cfvo type="min"/>
        <cfvo type="max"/>
        <color rgb="FF3FCDFF"/>
      </dataBar>
    </cfRule>
    <cfRule type="dataBar" priority="286">
      <dataBar>
        <cfvo type="min"/>
        <cfvo type="max"/>
        <color rgb="FF00B0F0"/>
      </dataBar>
    </cfRule>
    <cfRule type="dataBar" priority="287">
      <dataBar>
        <cfvo type="min"/>
        <cfvo type="max"/>
        <color rgb="FF008AEF"/>
      </dataBar>
    </cfRule>
    <cfRule type="dataBar" priority="288">
      <dataBar>
        <cfvo type="min"/>
        <cfvo type="max"/>
        <color rgb="FF00B0F0"/>
      </dataBar>
    </cfRule>
    <cfRule type="dataBar" priority="289">
      <dataBar>
        <cfvo type="min"/>
        <cfvo type="max"/>
        <color rgb="FF00B0F0"/>
      </dataBar>
    </cfRule>
    <cfRule type="dataBar" priority="290">
      <dataBar>
        <cfvo type="min"/>
        <cfvo type="max"/>
        <color rgb="FF638EC6"/>
      </dataBar>
    </cfRule>
  </conditionalFormatting>
  <conditionalFormatting sqref="M1165">
    <cfRule type="dataBar" priority="277">
      <dataBar>
        <cfvo type="min"/>
        <cfvo type="max"/>
        <color rgb="FF3FCDFF"/>
      </dataBar>
    </cfRule>
    <cfRule type="dataBar" priority="278">
      <dataBar>
        <cfvo type="min"/>
        <cfvo type="max"/>
        <color rgb="FF00B0F0"/>
      </dataBar>
    </cfRule>
    <cfRule type="dataBar" priority="279">
      <dataBar>
        <cfvo type="min"/>
        <cfvo type="max"/>
        <color rgb="FF008AEF"/>
      </dataBar>
    </cfRule>
    <cfRule type="dataBar" priority="280">
      <dataBar>
        <cfvo type="min"/>
        <cfvo type="max"/>
        <color rgb="FF00B0F0"/>
      </dataBar>
    </cfRule>
    <cfRule type="dataBar" priority="281">
      <dataBar>
        <cfvo type="min"/>
        <cfvo type="max"/>
        <color rgb="FF00B0F0"/>
      </dataBar>
    </cfRule>
    <cfRule type="dataBar" priority="282">
      <dataBar>
        <cfvo type="min"/>
        <cfvo type="max"/>
        <color rgb="FF638EC6"/>
      </dataBar>
    </cfRule>
  </conditionalFormatting>
  <conditionalFormatting sqref="M1167">
    <cfRule type="dataBar" priority="274">
      <dataBar>
        <cfvo type="min"/>
        <cfvo type="max"/>
        <color rgb="FF638EC6"/>
      </dataBar>
    </cfRule>
    <cfRule type="dataBar" priority="273">
      <dataBar>
        <cfvo type="min"/>
        <cfvo type="max"/>
        <color rgb="FF00B0F0"/>
      </dataBar>
    </cfRule>
    <cfRule type="dataBar" priority="271">
      <dataBar>
        <cfvo type="min"/>
        <cfvo type="max"/>
        <color rgb="FF008AEF"/>
      </dataBar>
    </cfRule>
    <cfRule type="dataBar" priority="270">
      <dataBar>
        <cfvo type="min"/>
        <cfvo type="max"/>
        <color rgb="FF00B0F0"/>
      </dataBar>
    </cfRule>
    <cfRule type="dataBar" priority="269">
      <dataBar>
        <cfvo type="min"/>
        <cfvo type="max"/>
        <color rgb="FF3FCDFF"/>
      </dataBar>
    </cfRule>
    <cfRule type="dataBar" priority="272">
      <dataBar>
        <cfvo type="min"/>
        <cfvo type="max"/>
        <color rgb="FF00B0F0"/>
      </dataBar>
    </cfRule>
  </conditionalFormatting>
  <conditionalFormatting sqref="M1171">
    <cfRule type="dataBar" priority="266">
      <dataBar>
        <cfvo type="min"/>
        <cfvo type="max"/>
        <color rgb="FF638EC6"/>
      </dataBar>
    </cfRule>
    <cfRule type="dataBar" priority="265">
      <dataBar>
        <cfvo type="min"/>
        <cfvo type="max"/>
        <color rgb="FF00B0F0"/>
      </dataBar>
    </cfRule>
    <cfRule type="dataBar" priority="264">
      <dataBar>
        <cfvo type="min"/>
        <cfvo type="max"/>
        <color rgb="FF00B0F0"/>
      </dataBar>
    </cfRule>
    <cfRule type="dataBar" priority="263">
      <dataBar>
        <cfvo type="min"/>
        <cfvo type="max"/>
        <color rgb="FF008AEF"/>
      </dataBar>
    </cfRule>
    <cfRule type="dataBar" priority="262">
      <dataBar>
        <cfvo type="min"/>
        <cfvo type="max"/>
        <color rgb="FF00B0F0"/>
      </dataBar>
    </cfRule>
    <cfRule type="dataBar" priority="261">
      <dataBar>
        <cfvo type="min"/>
        <cfvo type="max"/>
        <color rgb="FF3FCDFF"/>
      </dataBar>
    </cfRule>
  </conditionalFormatting>
  <conditionalFormatting sqref="M1174">
    <cfRule type="dataBar" priority="257">
      <dataBar>
        <cfvo type="min"/>
        <cfvo type="max"/>
        <color rgb="FF00B0F0"/>
      </dataBar>
    </cfRule>
    <cfRule type="dataBar" priority="255">
      <dataBar>
        <cfvo type="min"/>
        <cfvo type="max"/>
        <color rgb="FF008AEF"/>
      </dataBar>
    </cfRule>
    <cfRule type="dataBar" priority="254">
      <dataBar>
        <cfvo type="min"/>
        <cfvo type="max"/>
        <color rgb="FF00B0F0"/>
      </dataBar>
    </cfRule>
    <cfRule type="dataBar" priority="258">
      <dataBar>
        <cfvo type="min"/>
        <cfvo type="max"/>
        <color rgb="FF638EC6"/>
      </dataBar>
    </cfRule>
    <cfRule type="dataBar" priority="256">
      <dataBar>
        <cfvo type="min"/>
        <cfvo type="max"/>
        <color rgb="FF00B0F0"/>
      </dataBar>
    </cfRule>
    <cfRule type="dataBar" priority="253">
      <dataBar>
        <cfvo type="min"/>
        <cfvo type="max"/>
        <color rgb="FF3FCDFF"/>
      </dataBar>
    </cfRule>
  </conditionalFormatting>
  <conditionalFormatting sqref="M1175">
    <cfRule type="dataBar" priority="246">
      <dataBar>
        <cfvo type="min"/>
        <cfvo type="max"/>
        <color rgb="FF00B0F0"/>
      </dataBar>
    </cfRule>
    <cfRule type="dataBar" priority="245">
      <dataBar>
        <cfvo type="min"/>
        <cfvo type="max"/>
        <color rgb="FF3FCDFF"/>
      </dataBar>
    </cfRule>
    <cfRule type="dataBar" priority="250">
      <dataBar>
        <cfvo type="min"/>
        <cfvo type="max"/>
        <color rgb="FF638EC6"/>
      </dataBar>
    </cfRule>
    <cfRule type="dataBar" priority="249">
      <dataBar>
        <cfvo type="min"/>
        <cfvo type="max"/>
        <color rgb="FF00B0F0"/>
      </dataBar>
    </cfRule>
    <cfRule type="dataBar" priority="248">
      <dataBar>
        <cfvo type="min"/>
        <cfvo type="max"/>
        <color rgb="FF00B0F0"/>
      </dataBar>
    </cfRule>
    <cfRule type="dataBar" priority="247">
      <dataBar>
        <cfvo type="min"/>
        <cfvo type="max"/>
        <color rgb="FF008AEF"/>
      </dataBar>
    </cfRule>
  </conditionalFormatting>
  <conditionalFormatting sqref="M1176">
    <cfRule type="dataBar" priority="238">
      <dataBar>
        <cfvo type="min"/>
        <cfvo type="max"/>
        <color rgb="FF00B0F0"/>
      </dataBar>
    </cfRule>
    <cfRule type="dataBar" priority="239">
      <dataBar>
        <cfvo type="min"/>
        <cfvo type="max"/>
        <color rgb="FF008AEF"/>
      </dataBar>
    </cfRule>
    <cfRule type="dataBar" priority="242">
      <dataBar>
        <cfvo type="min"/>
        <cfvo type="max"/>
        <color rgb="FF638EC6"/>
      </dataBar>
    </cfRule>
    <cfRule type="dataBar" priority="240">
      <dataBar>
        <cfvo type="min"/>
        <cfvo type="max"/>
        <color rgb="FF00B0F0"/>
      </dataBar>
    </cfRule>
    <cfRule type="dataBar" priority="241">
      <dataBar>
        <cfvo type="min"/>
        <cfvo type="max"/>
        <color rgb="FF00B0F0"/>
      </dataBar>
    </cfRule>
    <cfRule type="dataBar" priority="237">
      <dataBar>
        <cfvo type="min"/>
        <cfvo type="max"/>
        <color rgb="FF3FCDFF"/>
      </dataBar>
    </cfRule>
  </conditionalFormatting>
  <conditionalFormatting sqref="M1177">
    <cfRule type="dataBar" priority="230">
      <dataBar>
        <cfvo type="min"/>
        <cfvo type="max"/>
        <color rgb="FF00B0F0"/>
      </dataBar>
    </cfRule>
    <cfRule type="dataBar" priority="234">
      <dataBar>
        <cfvo type="min"/>
        <cfvo type="max"/>
        <color rgb="FF638EC6"/>
      </dataBar>
    </cfRule>
    <cfRule type="dataBar" priority="233">
      <dataBar>
        <cfvo type="min"/>
        <cfvo type="max"/>
        <color rgb="FF00B0F0"/>
      </dataBar>
    </cfRule>
    <cfRule type="dataBar" priority="232">
      <dataBar>
        <cfvo type="min"/>
        <cfvo type="max"/>
        <color rgb="FF00B0F0"/>
      </dataBar>
    </cfRule>
    <cfRule type="dataBar" priority="229">
      <dataBar>
        <cfvo type="min"/>
        <cfvo type="max"/>
        <color rgb="FF3FCDFF"/>
      </dataBar>
    </cfRule>
    <cfRule type="dataBar" priority="231">
      <dataBar>
        <cfvo type="min"/>
        <cfvo type="max"/>
        <color rgb="FF008AEF"/>
      </dataBar>
    </cfRule>
  </conditionalFormatting>
  <conditionalFormatting sqref="M1192 M1197 M1199:M1201 M1203:M1204 M1210 M1212:M1213 M1215:M1217 M1219">
    <cfRule type="dataBar" priority="687">
      <dataBar>
        <cfvo type="min"/>
        <cfvo type="max"/>
        <color rgb="FF00B0F0"/>
      </dataBar>
    </cfRule>
    <cfRule type="dataBar" priority="686">
      <dataBar>
        <cfvo type="min"/>
        <cfvo type="max"/>
        <color rgb="FF00B0F0"/>
      </dataBar>
    </cfRule>
    <cfRule type="dataBar" priority="688">
      <dataBar>
        <cfvo type="min"/>
        <cfvo type="max"/>
        <color rgb="FF638EC6"/>
      </dataBar>
    </cfRule>
    <cfRule type="dataBar" priority="685">
      <dataBar>
        <cfvo type="min"/>
        <cfvo type="max"/>
        <color rgb="FF008AEF"/>
      </dataBar>
    </cfRule>
    <cfRule type="dataBar" priority="684">
      <dataBar>
        <cfvo type="min"/>
        <cfvo type="max"/>
        <color rgb="FF00B0F0"/>
      </dataBar>
    </cfRule>
    <cfRule type="dataBar" priority="683">
      <dataBar>
        <cfvo type="min"/>
        <cfvo type="max"/>
        <color rgb="FF3FCDFF"/>
      </dataBar>
    </cfRule>
  </conditionalFormatting>
  <conditionalFormatting sqref="M1221">
    <cfRule type="dataBar" priority="215">
      <dataBar>
        <cfvo type="min"/>
        <cfvo type="max"/>
        <color rgb="FF008AEF"/>
      </dataBar>
    </cfRule>
    <cfRule type="dataBar" priority="214">
      <dataBar>
        <cfvo type="min"/>
        <cfvo type="max"/>
        <color rgb="FF00B0F0"/>
      </dataBar>
    </cfRule>
    <cfRule type="dataBar" priority="216">
      <dataBar>
        <cfvo type="min"/>
        <cfvo type="max"/>
        <color rgb="FF3FCDFF"/>
      </dataBar>
    </cfRule>
  </conditionalFormatting>
  <conditionalFormatting sqref="M1221:M1225 M1228:M1231 M1233:M1238 M1240:M1245 M1248:M1251 M1253:M1262 M1264:M1265 M1267:M1275 M1277 M1279:M1283 M1285:M1290 M1292 M1299:M1309 M1311 M1313:M1316 M1318:M1320 M1322:M1325 M1327:M1332 M1337 M1340:M1345 M1348:M1351 M1353:M1358 M1360:M1365 M1368:M1371 M1373:M1382 M1384:M1385 M1387:M1395 M1397 M1399:M1403 M1405:M1410 M1412 M1419:M1429 M1431 M1433:M1436 M1438:M1440 M1442:M1445 M1447:M1452 M1457 M1460">
    <cfRule type="dataBar" priority="220">
      <dataBar>
        <cfvo type="min"/>
        <cfvo type="max"/>
        <color rgb="FF00B0F0"/>
      </dataBar>
    </cfRule>
    <cfRule type="dataBar" priority="221">
      <dataBar>
        <cfvo type="min"/>
        <cfvo type="max"/>
        <color rgb="FF00B0F0"/>
      </dataBar>
    </cfRule>
    <cfRule type="dataBar" priority="222">
      <dataBar>
        <cfvo type="min"/>
        <cfvo type="max"/>
        <color rgb="FF008AEF"/>
      </dataBar>
    </cfRule>
  </conditionalFormatting>
  <conditionalFormatting sqref="M1222:M1225 M1228:M1231 M1233:M1238 M1240:M1245 M1248:M1251 M1253:M1262 M1264:M1265 M1267:M1275 M1277 M1279:M1283 M1285:M1290 M1292 M1299:M1309 M1311 M1313:M1316 M1318:M1320 M1322:M1325 M1327:M1332 M1337 M1340">
    <cfRule type="dataBar" priority="225">
      <dataBar>
        <cfvo type="min"/>
        <cfvo type="max"/>
        <color rgb="FF008AEF"/>
      </dataBar>
    </cfRule>
    <cfRule type="dataBar" priority="226">
      <dataBar>
        <cfvo type="min"/>
        <cfvo type="max"/>
        <color rgb="FF3FCDFF"/>
      </dataBar>
    </cfRule>
    <cfRule type="dataBar" priority="224">
      <dataBar>
        <cfvo type="min"/>
        <cfvo type="max"/>
        <color rgb="FF00B0F0"/>
      </dataBar>
    </cfRule>
  </conditionalFormatting>
  <conditionalFormatting sqref="M1226:M1227">
    <cfRule type="dataBar" priority="196">
      <dataBar>
        <cfvo type="min"/>
        <cfvo type="max"/>
        <color rgb="FF00B0F0"/>
      </dataBar>
    </cfRule>
    <cfRule type="dataBar" priority="197">
      <dataBar>
        <cfvo type="min"/>
        <cfvo type="max"/>
        <color rgb="FF638EC6"/>
      </dataBar>
    </cfRule>
    <cfRule type="dataBar" priority="201">
      <dataBar>
        <cfvo type="min"/>
        <cfvo type="max"/>
        <color rgb="FF3FCDFF"/>
      </dataBar>
    </cfRule>
  </conditionalFormatting>
  <conditionalFormatting sqref="M1232">
    <cfRule type="dataBar" priority="187">
      <dataBar>
        <cfvo type="min"/>
        <cfvo type="max"/>
        <color rgb="FF00B0F0"/>
      </dataBar>
    </cfRule>
    <cfRule type="dataBar" priority="188">
      <dataBar>
        <cfvo type="min"/>
        <cfvo type="max"/>
        <color rgb="FF638EC6"/>
      </dataBar>
    </cfRule>
    <cfRule type="dataBar" priority="192">
      <dataBar>
        <cfvo type="min"/>
        <cfvo type="max"/>
        <color rgb="FF3FCDFF"/>
      </dataBar>
    </cfRule>
  </conditionalFormatting>
  <conditionalFormatting sqref="M1239">
    <cfRule type="dataBar" priority="182">
      <dataBar>
        <cfvo type="min"/>
        <cfvo type="max"/>
        <color rgb="FF638EC6"/>
      </dataBar>
    </cfRule>
    <cfRule type="dataBar" priority="186">
      <dataBar>
        <cfvo type="min"/>
        <cfvo type="max"/>
        <color rgb="FF3FCDFF"/>
      </dataBar>
    </cfRule>
    <cfRule type="dataBar" priority="181">
      <dataBar>
        <cfvo type="min"/>
        <cfvo type="max"/>
        <color rgb="FF00B0F0"/>
      </dataBar>
    </cfRule>
  </conditionalFormatting>
  <conditionalFormatting sqref="M1246">
    <cfRule type="dataBar" priority="180">
      <dataBar>
        <cfvo type="min"/>
        <cfvo type="max"/>
        <color rgb="FF3FCDFF"/>
      </dataBar>
    </cfRule>
    <cfRule type="dataBar" priority="176">
      <dataBar>
        <cfvo type="min"/>
        <cfvo type="max"/>
        <color rgb="FF638EC6"/>
      </dataBar>
    </cfRule>
    <cfRule type="dataBar" priority="175">
      <dataBar>
        <cfvo type="min"/>
        <cfvo type="max"/>
        <color rgb="FF00B0F0"/>
      </dataBar>
    </cfRule>
  </conditionalFormatting>
  <conditionalFormatting sqref="M1247">
    <cfRule type="dataBar" priority="174">
      <dataBar>
        <cfvo type="min"/>
        <cfvo type="max"/>
        <color rgb="FF3FCDFF"/>
      </dataBar>
    </cfRule>
    <cfRule type="dataBar" priority="170">
      <dataBar>
        <cfvo type="min"/>
        <cfvo type="max"/>
        <color rgb="FF638EC6"/>
      </dataBar>
    </cfRule>
    <cfRule type="dataBar" priority="169">
      <dataBar>
        <cfvo type="min"/>
        <cfvo type="max"/>
        <color rgb="FF00B0F0"/>
      </dataBar>
    </cfRule>
  </conditionalFormatting>
  <conditionalFormatting sqref="M1252">
    <cfRule type="dataBar" priority="164">
      <dataBar>
        <cfvo type="min"/>
        <cfvo type="max"/>
        <color rgb="FF638EC6"/>
      </dataBar>
    </cfRule>
    <cfRule type="dataBar" priority="163">
      <dataBar>
        <cfvo type="min"/>
        <cfvo type="max"/>
        <color rgb="FF00B0F0"/>
      </dataBar>
    </cfRule>
    <cfRule type="dataBar" priority="168">
      <dataBar>
        <cfvo type="min"/>
        <cfvo type="max"/>
        <color rgb="FF3FCDFF"/>
      </dataBar>
    </cfRule>
  </conditionalFormatting>
  <conditionalFormatting sqref="M1263">
    <cfRule type="dataBar" priority="157">
      <dataBar>
        <cfvo type="min"/>
        <cfvo type="max"/>
        <color rgb="FF00B0F0"/>
      </dataBar>
    </cfRule>
    <cfRule type="dataBar" priority="162">
      <dataBar>
        <cfvo type="min"/>
        <cfvo type="max"/>
        <color rgb="FF3FCDFF"/>
      </dataBar>
    </cfRule>
    <cfRule type="dataBar" priority="158">
      <dataBar>
        <cfvo type="min"/>
        <cfvo type="max"/>
        <color rgb="FF638EC6"/>
      </dataBar>
    </cfRule>
  </conditionalFormatting>
  <conditionalFormatting sqref="M1266">
    <cfRule type="dataBar" priority="151">
      <dataBar>
        <cfvo type="min"/>
        <cfvo type="max"/>
        <color rgb="FF00B0F0"/>
      </dataBar>
    </cfRule>
    <cfRule type="dataBar" priority="152">
      <dataBar>
        <cfvo type="min"/>
        <cfvo type="max"/>
        <color rgb="FF638EC6"/>
      </dataBar>
    </cfRule>
    <cfRule type="dataBar" priority="156">
      <dataBar>
        <cfvo type="min"/>
        <cfvo type="max"/>
        <color rgb="FF3FCDFF"/>
      </dataBar>
    </cfRule>
  </conditionalFormatting>
  <conditionalFormatting sqref="M1276">
    <cfRule type="dataBar" priority="145">
      <dataBar>
        <cfvo type="min"/>
        <cfvo type="max"/>
        <color rgb="FF00B0F0"/>
      </dataBar>
    </cfRule>
    <cfRule type="dataBar" priority="146">
      <dataBar>
        <cfvo type="min"/>
        <cfvo type="max"/>
        <color rgb="FF638EC6"/>
      </dataBar>
    </cfRule>
    <cfRule type="dataBar" priority="150">
      <dataBar>
        <cfvo type="min"/>
        <cfvo type="max"/>
        <color rgb="FF3FCDFF"/>
      </dataBar>
    </cfRule>
  </conditionalFormatting>
  <conditionalFormatting sqref="M1278">
    <cfRule type="dataBar" priority="144">
      <dataBar>
        <cfvo type="min"/>
        <cfvo type="max"/>
        <color rgb="FF3FCDFF"/>
      </dataBar>
    </cfRule>
    <cfRule type="dataBar" priority="140">
      <dataBar>
        <cfvo type="min"/>
        <cfvo type="max"/>
        <color rgb="FF638EC6"/>
      </dataBar>
    </cfRule>
    <cfRule type="dataBar" priority="139">
      <dataBar>
        <cfvo type="min"/>
        <cfvo type="max"/>
        <color rgb="FF00B0F0"/>
      </dataBar>
    </cfRule>
  </conditionalFormatting>
  <conditionalFormatting sqref="M1284">
    <cfRule type="dataBar" priority="138">
      <dataBar>
        <cfvo type="min"/>
        <cfvo type="max"/>
        <color rgb="FF3FCDFF"/>
      </dataBar>
    </cfRule>
    <cfRule type="dataBar" priority="134">
      <dataBar>
        <cfvo type="min"/>
        <cfvo type="max"/>
        <color rgb="FF638EC6"/>
      </dataBar>
    </cfRule>
    <cfRule type="dataBar" priority="133">
      <dataBar>
        <cfvo type="min"/>
        <cfvo type="max"/>
        <color rgb="FF00B0F0"/>
      </dataBar>
    </cfRule>
  </conditionalFormatting>
  <conditionalFormatting sqref="M1291">
    <cfRule type="dataBar" priority="132">
      <dataBar>
        <cfvo type="min"/>
        <cfvo type="max"/>
        <color rgb="FF3FCDFF"/>
      </dataBar>
    </cfRule>
    <cfRule type="dataBar" priority="128">
      <dataBar>
        <cfvo type="min"/>
        <cfvo type="max"/>
        <color rgb="FF638EC6"/>
      </dataBar>
    </cfRule>
    <cfRule type="dataBar" priority="127">
      <dataBar>
        <cfvo type="min"/>
        <cfvo type="max"/>
        <color rgb="FF00B0F0"/>
      </dataBar>
    </cfRule>
  </conditionalFormatting>
  <conditionalFormatting sqref="M1293">
    <cfRule type="dataBar" priority="122">
      <dataBar>
        <cfvo type="min"/>
        <cfvo type="max"/>
        <color rgb="FF638EC6"/>
      </dataBar>
    </cfRule>
    <cfRule type="dataBar" priority="121">
      <dataBar>
        <cfvo type="min"/>
        <cfvo type="max"/>
        <color rgb="FF00B0F0"/>
      </dataBar>
    </cfRule>
    <cfRule type="dataBar" priority="126">
      <dataBar>
        <cfvo type="min"/>
        <cfvo type="max"/>
        <color rgb="FF3FCDFF"/>
      </dataBar>
    </cfRule>
  </conditionalFormatting>
  <conditionalFormatting sqref="M1294">
    <cfRule type="dataBar" priority="115">
      <dataBar>
        <cfvo type="min"/>
        <cfvo type="max"/>
        <color rgb="FF00B0F0"/>
      </dataBar>
    </cfRule>
    <cfRule type="dataBar" priority="116">
      <dataBar>
        <cfvo type="min"/>
        <cfvo type="max"/>
        <color rgb="FF638EC6"/>
      </dataBar>
    </cfRule>
    <cfRule type="dataBar" priority="120">
      <dataBar>
        <cfvo type="min"/>
        <cfvo type="max"/>
        <color rgb="FF3FCDFF"/>
      </dataBar>
    </cfRule>
  </conditionalFormatting>
  <conditionalFormatting sqref="M1295">
    <cfRule type="dataBar" priority="110">
      <dataBar>
        <cfvo type="min"/>
        <cfvo type="max"/>
        <color rgb="FF638EC6"/>
      </dataBar>
    </cfRule>
    <cfRule type="dataBar" priority="109">
      <dataBar>
        <cfvo type="min"/>
        <cfvo type="max"/>
        <color rgb="FF00B0F0"/>
      </dataBar>
    </cfRule>
    <cfRule type="dataBar" priority="114">
      <dataBar>
        <cfvo type="min"/>
        <cfvo type="max"/>
        <color rgb="FF3FCDFF"/>
      </dataBar>
    </cfRule>
  </conditionalFormatting>
  <conditionalFormatting sqref="M1341">
    <cfRule type="dataBar" priority="205">
      <dataBar>
        <cfvo type="min"/>
        <cfvo type="max"/>
        <color rgb="FF3FCDFF"/>
      </dataBar>
    </cfRule>
    <cfRule type="dataBar" priority="204">
      <dataBar>
        <cfvo type="min"/>
        <cfvo type="max"/>
        <color rgb="FF008AEF"/>
      </dataBar>
    </cfRule>
    <cfRule type="dataBar" priority="203">
      <dataBar>
        <cfvo type="min"/>
        <cfvo type="max"/>
        <color rgb="FF00B0F0"/>
      </dataBar>
    </cfRule>
  </conditionalFormatting>
  <conditionalFormatting sqref="M1342:M1345 M1348:M1351 M1353:M1358 M1360:M1365 M1368:M1371 M1373:M1382 M1384:M1385 M1387:M1395 M1397 M1399:M1403 M1405:M1410 M1412 M1419:M1429 M1431 M1433:M1436 M1438:M1440 M1442:M1445 M1447:M1452 M1457 M1460">
    <cfRule type="dataBar" priority="210">
      <dataBar>
        <cfvo type="min"/>
        <cfvo type="max"/>
        <color rgb="FF00B0F0"/>
      </dataBar>
    </cfRule>
    <cfRule type="dataBar" priority="211">
      <dataBar>
        <cfvo type="min"/>
        <cfvo type="max"/>
        <color rgb="FF008AEF"/>
      </dataBar>
    </cfRule>
    <cfRule type="dataBar" priority="212">
      <dataBar>
        <cfvo type="min"/>
        <cfvo type="max"/>
        <color rgb="FF3FCDFF"/>
      </dataBar>
    </cfRule>
  </conditionalFormatting>
  <conditionalFormatting sqref="M1461:M1467">
    <cfRule type="dataBar" priority="92">
      <dataBar>
        <cfvo type="min"/>
        <cfvo type="max"/>
        <color rgb="FF00B0F0"/>
      </dataBar>
    </cfRule>
    <cfRule type="dataBar" priority="93">
      <dataBar>
        <cfvo type="min"/>
        <cfvo type="max"/>
        <color rgb="FF008AEF"/>
      </dataBar>
    </cfRule>
    <cfRule type="dataBar" priority="94">
      <dataBar>
        <cfvo type="min"/>
        <cfvo type="max"/>
        <color rgb="FF3FCDFF"/>
      </dataBar>
    </cfRule>
    <cfRule type="dataBar" priority="96">
      <dataBar>
        <cfvo type="min"/>
        <cfvo type="max"/>
        <color rgb="FF00B0F0"/>
      </dataBar>
    </cfRule>
    <cfRule type="dataBar" priority="97">
      <dataBar>
        <cfvo type="min"/>
        <cfvo type="max"/>
        <color rgb="FF00B0F0"/>
      </dataBar>
    </cfRule>
    <cfRule type="dataBar" priority="98">
      <dataBar>
        <cfvo type="min"/>
        <cfvo type="max"/>
        <color rgb="FF638EC6"/>
      </dataBar>
    </cfRule>
  </conditionalFormatting>
  <conditionalFormatting sqref="M1468">
    <cfRule type="dataBar" priority="91">
      <dataBar>
        <cfvo type="min"/>
        <cfvo type="max"/>
        <color rgb="FF3FCDFF"/>
      </dataBar>
    </cfRule>
    <cfRule type="dataBar" priority="90">
      <dataBar>
        <cfvo type="min"/>
        <cfvo type="max"/>
        <color rgb="FF008AEF"/>
      </dataBar>
    </cfRule>
    <cfRule type="dataBar" priority="89">
      <dataBar>
        <cfvo type="min"/>
        <cfvo type="max"/>
        <color rgb="FF00B0F0"/>
      </dataBar>
    </cfRule>
  </conditionalFormatting>
  <conditionalFormatting sqref="M1468:M1471 M1473:M1496 M1498:M1531 M1533:M1555 M1558:M1560 M1562:M1591 M1593:M1611 M1613:M1617">
    <cfRule type="dataBar" priority="108">
      <dataBar>
        <cfvo type="min"/>
        <cfvo type="max"/>
        <color rgb="FF008AEF"/>
      </dataBar>
    </cfRule>
    <cfRule type="dataBar" priority="107">
      <dataBar>
        <cfvo type="min"/>
        <cfvo type="max"/>
        <color rgb="FF00B0F0"/>
      </dataBar>
    </cfRule>
    <cfRule type="dataBar" priority="106">
      <dataBar>
        <cfvo type="min"/>
        <cfvo type="max"/>
        <color rgb="FF00B0F0"/>
      </dataBar>
    </cfRule>
  </conditionalFormatting>
  <conditionalFormatting sqref="M1469:M1471 M1473:M1496 M1498:M1531 M1533:M1555 M1558:M1560 M1562:M1591 M1593:M1611 M1613:M1617">
    <cfRule type="dataBar" priority="105">
      <dataBar>
        <cfvo type="min"/>
        <cfvo type="max"/>
        <color rgb="FF3FCDFF"/>
      </dataBar>
    </cfRule>
    <cfRule type="dataBar" priority="104">
      <dataBar>
        <cfvo type="min"/>
        <cfvo type="max"/>
        <color rgb="FF008AEF"/>
      </dataBar>
    </cfRule>
    <cfRule type="dataBar" priority="103">
      <dataBar>
        <cfvo type="min"/>
        <cfvo type="max"/>
        <color rgb="FF00B0F0"/>
      </dataBar>
    </cfRule>
  </conditionalFormatting>
  <conditionalFormatting sqref="M1472">
    <cfRule type="dataBar" priority="87">
      <dataBar>
        <cfvo type="min"/>
        <cfvo type="max"/>
        <color rgb="FF3FCDFF"/>
      </dataBar>
    </cfRule>
    <cfRule type="dataBar" priority="83">
      <dataBar>
        <cfvo type="min"/>
        <cfvo type="max"/>
        <color rgb="FF638EC6"/>
      </dataBar>
    </cfRule>
    <cfRule type="dataBar" priority="82">
      <dataBar>
        <cfvo type="min"/>
        <cfvo type="max"/>
        <color rgb="FF00B0F0"/>
      </dataBar>
    </cfRule>
  </conditionalFormatting>
  <conditionalFormatting sqref="M1497">
    <cfRule type="dataBar" priority="81">
      <dataBar>
        <cfvo type="min"/>
        <cfvo type="max"/>
        <color rgb="FF3FCDFF"/>
      </dataBar>
    </cfRule>
    <cfRule type="dataBar" priority="77">
      <dataBar>
        <cfvo type="min"/>
        <cfvo type="max"/>
        <color rgb="FF638EC6"/>
      </dataBar>
    </cfRule>
    <cfRule type="dataBar" priority="76">
      <dataBar>
        <cfvo type="min"/>
        <cfvo type="max"/>
        <color rgb="FF00B0F0"/>
      </dataBar>
    </cfRule>
  </conditionalFormatting>
  <conditionalFormatting sqref="M1532">
    <cfRule type="dataBar" priority="70">
      <dataBar>
        <cfvo type="min"/>
        <cfvo type="max"/>
        <color rgb="FF00B0F0"/>
      </dataBar>
    </cfRule>
    <cfRule type="dataBar" priority="75">
      <dataBar>
        <cfvo type="min"/>
        <cfvo type="max"/>
        <color rgb="FF3FCDFF"/>
      </dataBar>
    </cfRule>
    <cfRule type="dataBar" priority="71">
      <dataBar>
        <cfvo type="min"/>
        <cfvo type="max"/>
        <color rgb="FF638EC6"/>
      </dataBar>
    </cfRule>
  </conditionalFormatting>
  <conditionalFormatting sqref="M1556">
    <cfRule type="dataBar" priority="64">
      <dataBar>
        <cfvo type="min"/>
        <cfvo type="max"/>
        <color rgb="FF00B0F0"/>
      </dataBar>
    </cfRule>
    <cfRule type="dataBar" priority="65">
      <dataBar>
        <cfvo type="min"/>
        <cfvo type="max"/>
        <color rgb="FF638EC6"/>
      </dataBar>
    </cfRule>
    <cfRule type="dataBar" priority="69">
      <dataBar>
        <cfvo type="min"/>
        <cfvo type="max"/>
        <color rgb="FF3FCDFF"/>
      </dataBar>
    </cfRule>
  </conditionalFormatting>
  <conditionalFormatting sqref="M1557">
    <cfRule type="dataBar" priority="58">
      <dataBar>
        <cfvo type="min"/>
        <cfvo type="max"/>
        <color rgb="FF00B0F0"/>
      </dataBar>
    </cfRule>
    <cfRule type="dataBar" priority="63">
      <dataBar>
        <cfvo type="min"/>
        <cfvo type="max"/>
        <color rgb="FF3FCDFF"/>
      </dataBar>
    </cfRule>
    <cfRule type="dataBar" priority="59">
      <dataBar>
        <cfvo type="min"/>
        <cfvo type="max"/>
        <color rgb="FF638EC6"/>
      </dataBar>
    </cfRule>
  </conditionalFormatting>
  <conditionalFormatting sqref="M1561">
    <cfRule type="dataBar" priority="40">
      <dataBar>
        <cfvo type="min"/>
        <cfvo type="max"/>
        <color rgb="FF00B0F0"/>
      </dataBar>
    </cfRule>
    <cfRule type="dataBar" priority="41">
      <dataBar>
        <cfvo type="min"/>
        <cfvo type="max"/>
        <color rgb="FF638EC6"/>
      </dataBar>
    </cfRule>
    <cfRule type="dataBar" priority="45">
      <dataBar>
        <cfvo type="min"/>
        <cfvo type="max"/>
        <color rgb="FF3FCDFF"/>
      </dataBar>
    </cfRule>
  </conditionalFormatting>
  <conditionalFormatting sqref="M1592">
    <cfRule type="dataBar" priority="52">
      <dataBar>
        <cfvo type="min"/>
        <cfvo type="max"/>
        <color rgb="FF00B0F0"/>
      </dataBar>
    </cfRule>
    <cfRule type="dataBar" priority="53">
      <dataBar>
        <cfvo type="min"/>
        <cfvo type="max"/>
        <color rgb="FF638EC6"/>
      </dataBar>
    </cfRule>
    <cfRule type="dataBar" priority="57">
      <dataBar>
        <cfvo type="min"/>
        <cfvo type="max"/>
        <color rgb="FF3FCDFF"/>
      </dataBar>
    </cfRule>
  </conditionalFormatting>
  <conditionalFormatting sqref="M1612">
    <cfRule type="dataBar" priority="46">
      <dataBar>
        <cfvo type="min"/>
        <cfvo type="max"/>
        <color rgb="FF00B0F0"/>
      </dataBar>
    </cfRule>
    <cfRule type="dataBar" priority="47">
      <dataBar>
        <cfvo type="min"/>
        <cfvo type="max"/>
        <color rgb="FF638EC6"/>
      </dataBar>
    </cfRule>
    <cfRule type="dataBar" priority="51">
      <dataBar>
        <cfvo type="min"/>
        <cfvo type="max"/>
        <color rgb="FF3FCDFF"/>
      </dataBar>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M24"/>
  <sheetViews>
    <sheetView zoomScale="115" workbookViewId="0">
      <pane ySplit="1" topLeftCell="A2" activePane="bottomLeft" state="frozen"/>
      <selection pane="bottomLeft" activeCell="B35" sqref="B35"/>
    </sheetView>
  </sheetViews>
  <sheetFormatPr baseColWidth="10" defaultRowHeight="16" x14ac:dyDescent="0.2"/>
  <cols>
    <col min="1" max="1" width="25" bestFit="1" customWidth="1"/>
    <col min="2" max="2" width="63.1640625" bestFit="1" customWidth="1"/>
    <col min="5" max="5" width="51.6640625" customWidth="1"/>
    <col min="6" max="6" width="4" customWidth="1"/>
    <col min="13" max="13" width="62.83203125" bestFit="1" customWidth="1"/>
  </cols>
  <sheetData>
    <row r="1" spans="1:13" x14ac:dyDescent="0.2">
      <c r="A1" s="560" t="s">
        <v>680</v>
      </c>
      <c r="B1" s="684" t="s">
        <v>681</v>
      </c>
      <c r="C1" s="680" t="s">
        <v>1</v>
      </c>
      <c r="D1" s="561" t="s">
        <v>682</v>
      </c>
      <c r="E1" s="687" t="s">
        <v>4</v>
      </c>
      <c r="F1" s="688"/>
      <c r="G1" s="562" t="s">
        <v>5</v>
      </c>
      <c r="H1" s="562" t="s">
        <v>6</v>
      </c>
      <c r="I1" s="562" t="s">
        <v>7</v>
      </c>
      <c r="J1" s="562" t="s">
        <v>8</v>
      </c>
      <c r="K1" s="691" t="s">
        <v>9</v>
      </c>
      <c r="L1" s="692" t="s">
        <v>10</v>
      </c>
      <c r="M1" s="563" t="s">
        <v>158</v>
      </c>
    </row>
    <row r="2" spans="1:13" x14ac:dyDescent="0.2">
      <c r="A2" s="564" t="s">
        <v>683</v>
      </c>
      <c r="B2" s="685" t="s">
        <v>684</v>
      </c>
      <c r="C2" t="s">
        <v>135</v>
      </c>
      <c r="D2" s="564">
        <v>25</v>
      </c>
      <c r="E2" s="685" t="s">
        <v>685</v>
      </c>
      <c r="F2" s="689" t="s">
        <v>16</v>
      </c>
      <c r="G2">
        <v>2</v>
      </c>
      <c r="H2">
        <v>1</v>
      </c>
      <c r="I2">
        <v>1</v>
      </c>
      <c r="J2">
        <v>1</v>
      </c>
      <c r="K2" s="618">
        <v>1</v>
      </c>
      <c r="L2" s="693">
        <f>IF( OR( ISBLANK(G2),ISBLANK(H2), ISBLANK(I2), ISBLANK(J2), ISBLANK(K2) ), "", 1.5*SQRT(   EXP(2.21*(G2-1)) + EXP(2.21*(H2-1)) + EXP(2.21*(I2-1)) + EXP(2.21*(J2-1)) + EXP(2.21*K2)   )/100*2.45 )</f>
        <v>0.16933510251023262</v>
      </c>
      <c r="M2" s="565" t="s">
        <v>686</v>
      </c>
    </row>
    <row r="3" spans="1:13" x14ac:dyDescent="0.2">
      <c r="A3" s="564" t="s">
        <v>687</v>
      </c>
      <c r="B3" s="685" t="s">
        <v>688</v>
      </c>
      <c r="C3" t="s">
        <v>135</v>
      </c>
      <c r="D3" s="564">
        <v>2</v>
      </c>
      <c r="E3" s="685" t="s">
        <v>685</v>
      </c>
      <c r="F3" s="689" t="s">
        <v>16</v>
      </c>
      <c r="G3">
        <v>2</v>
      </c>
      <c r="H3">
        <v>1</v>
      </c>
      <c r="I3">
        <v>1</v>
      </c>
      <c r="J3">
        <v>1</v>
      </c>
      <c r="K3" s="618">
        <v>1</v>
      </c>
      <c r="L3" s="693">
        <f t="shared" ref="L3:L24" si="0">IF( OR( ISBLANK(G3),ISBLANK(H3), ISBLANK(I3), ISBLANK(J3), ISBLANK(K3) ), "", 1.5*SQRT( EXP(2.21*(G3-1)) + EXP(2.21*(H3-1)) + EXP(2.21*(I3-1)) + EXP(2.21*(J3-1)) + EXP(2.21*K3) )/100*2.45 )</f>
        <v>0.16933510251023262</v>
      </c>
      <c r="M3" s="565" t="s">
        <v>686</v>
      </c>
    </row>
    <row r="4" spans="1:13" x14ac:dyDescent="0.2">
      <c r="A4" s="564" t="s">
        <v>689</v>
      </c>
      <c r="B4" s="685" t="s">
        <v>690</v>
      </c>
      <c r="C4" s="654" t="s">
        <v>135</v>
      </c>
      <c r="D4" s="567">
        <v>3.1050000000000001E-4</v>
      </c>
      <c r="E4" s="685" t="s">
        <v>685</v>
      </c>
      <c r="F4" s="689" t="s">
        <v>16</v>
      </c>
      <c r="G4">
        <v>2</v>
      </c>
      <c r="H4">
        <v>1</v>
      </c>
      <c r="I4">
        <v>1</v>
      </c>
      <c r="J4">
        <v>1</v>
      </c>
      <c r="K4" s="618">
        <v>1</v>
      </c>
      <c r="L4" s="693">
        <f t="shared" si="0"/>
        <v>0.16933510251023262</v>
      </c>
      <c r="M4" s="565" t="s">
        <v>691</v>
      </c>
    </row>
    <row r="5" spans="1:13" x14ac:dyDescent="0.2">
      <c r="A5" s="564" t="s">
        <v>692</v>
      </c>
      <c r="B5" s="685" t="s">
        <v>693</v>
      </c>
      <c r="C5" s="681" t="s">
        <v>135</v>
      </c>
      <c r="D5" s="568">
        <v>3.68E-5</v>
      </c>
      <c r="E5" s="685" t="s">
        <v>694</v>
      </c>
      <c r="F5" s="689" t="s">
        <v>16</v>
      </c>
      <c r="G5">
        <v>2</v>
      </c>
      <c r="H5">
        <v>2</v>
      </c>
      <c r="I5">
        <v>2</v>
      </c>
      <c r="J5">
        <v>2</v>
      </c>
      <c r="K5" s="618">
        <v>1</v>
      </c>
      <c r="L5" s="693">
        <f t="shared" si="0"/>
        <v>0.24810627482064512</v>
      </c>
      <c r="M5" s="565" t="s">
        <v>695</v>
      </c>
    </row>
    <row r="6" spans="1:13" x14ac:dyDescent="0.2">
      <c r="A6" s="564" t="s">
        <v>692</v>
      </c>
      <c r="B6" s="685" t="s">
        <v>693</v>
      </c>
      <c r="C6" s="681" t="s">
        <v>135</v>
      </c>
      <c r="D6" s="568">
        <v>5.8100000000000003E-5</v>
      </c>
      <c r="E6" s="685" t="s">
        <v>696</v>
      </c>
      <c r="F6" s="689" t="s">
        <v>16</v>
      </c>
      <c r="G6">
        <v>2</v>
      </c>
      <c r="H6">
        <v>1</v>
      </c>
      <c r="I6">
        <v>2</v>
      </c>
      <c r="J6">
        <v>2</v>
      </c>
      <c r="K6" s="618">
        <v>1</v>
      </c>
      <c r="L6" s="693">
        <f t="shared" si="0"/>
        <v>0.2249354160293616</v>
      </c>
      <c r="M6" s="565" t="s">
        <v>697</v>
      </c>
    </row>
    <row r="7" spans="1:13" x14ac:dyDescent="0.2">
      <c r="A7" s="564" t="s">
        <v>692</v>
      </c>
      <c r="B7" s="685" t="s">
        <v>693</v>
      </c>
      <c r="C7" s="681" t="s">
        <v>135</v>
      </c>
      <c r="D7" s="568">
        <v>1.2E-4</v>
      </c>
      <c r="E7" s="685" t="s">
        <v>698</v>
      </c>
      <c r="F7" s="689" t="s">
        <v>16</v>
      </c>
      <c r="G7">
        <v>2</v>
      </c>
      <c r="H7">
        <v>2</v>
      </c>
      <c r="I7">
        <v>3</v>
      </c>
      <c r="J7">
        <v>2</v>
      </c>
      <c r="K7" s="618">
        <v>1</v>
      </c>
      <c r="L7" s="693">
        <f t="shared" si="0"/>
        <v>0.40183591897512122</v>
      </c>
      <c r="M7" s="565" t="s">
        <v>699</v>
      </c>
    </row>
    <row r="8" spans="1:13" x14ac:dyDescent="0.2">
      <c r="A8" s="564" t="s">
        <v>700</v>
      </c>
      <c r="B8" s="685" t="s">
        <v>701</v>
      </c>
      <c r="C8" s="682" t="s">
        <v>135</v>
      </c>
      <c r="D8" s="569">
        <v>0</v>
      </c>
      <c r="E8" s="685" t="s">
        <v>455</v>
      </c>
      <c r="F8" s="689" t="s">
        <v>16</v>
      </c>
      <c r="G8">
        <v>2</v>
      </c>
      <c r="H8">
        <v>1</v>
      </c>
      <c r="I8">
        <v>3</v>
      </c>
      <c r="J8">
        <v>3</v>
      </c>
      <c r="K8" s="618">
        <v>3</v>
      </c>
      <c r="L8" s="693">
        <f t="shared" si="0"/>
        <v>1.123005955058592</v>
      </c>
      <c r="M8" s="565"/>
    </row>
    <row r="9" spans="1:13" x14ac:dyDescent="0.2">
      <c r="A9" s="564" t="s">
        <v>700</v>
      </c>
      <c r="B9" s="685" t="s">
        <v>701</v>
      </c>
      <c r="C9" s="683" t="s">
        <v>135</v>
      </c>
      <c r="D9" s="570">
        <v>0.5</v>
      </c>
      <c r="E9" s="685" t="s">
        <v>455</v>
      </c>
      <c r="F9" s="689" t="s">
        <v>16</v>
      </c>
      <c r="G9">
        <v>2</v>
      </c>
      <c r="H9">
        <v>1</v>
      </c>
      <c r="I9">
        <v>3</v>
      </c>
      <c r="J9">
        <v>3</v>
      </c>
      <c r="K9" s="618">
        <v>3</v>
      </c>
      <c r="L9" s="693">
        <f t="shared" si="0"/>
        <v>1.123005955058592</v>
      </c>
      <c r="M9" s="565"/>
    </row>
    <row r="10" spans="1:13" x14ac:dyDescent="0.2">
      <c r="A10" s="564" t="s">
        <v>702</v>
      </c>
      <c r="B10" s="685" t="s">
        <v>703</v>
      </c>
      <c r="C10" s="654" t="s">
        <v>135</v>
      </c>
      <c r="D10" s="567">
        <v>2.6822016900000011E-3</v>
      </c>
      <c r="E10" s="685" t="s">
        <v>704</v>
      </c>
      <c r="F10" s="689" t="s">
        <v>16</v>
      </c>
      <c r="G10">
        <v>2</v>
      </c>
      <c r="H10">
        <v>1</v>
      </c>
      <c r="I10">
        <v>3</v>
      </c>
      <c r="J10">
        <v>3</v>
      </c>
      <c r="K10" s="618">
        <v>3</v>
      </c>
      <c r="L10" s="693">
        <f t="shared" si="0"/>
        <v>1.123005955058592</v>
      </c>
      <c r="M10" s="565"/>
    </row>
    <row r="11" spans="1:13" x14ac:dyDescent="0.2">
      <c r="A11" s="564" t="s">
        <v>702</v>
      </c>
      <c r="B11" s="685" t="s">
        <v>703</v>
      </c>
      <c r="C11" s="654" t="s">
        <v>135</v>
      </c>
      <c r="D11" s="567">
        <v>3.7655225999999999E-4</v>
      </c>
      <c r="E11" s="685" t="s">
        <v>704</v>
      </c>
      <c r="F11" s="689" t="s">
        <v>16</v>
      </c>
      <c r="G11">
        <v>2</v>
      </c>
      <c r="H11">
        <v>1</v>
      </c>
      <c r="I11">
        <v>3</v>
      </c>
      <c r="J11">
        <v>3</v>
      </c>
      <c r="K11" s="618">
        <v>3</v>
      </c>
      <c r="L11" s="693">
        <f t="shared" si="0"/>
        <v>1.123005955058592</v>
      </c>
      <c r="M11" s="565"/>
    </row>
    <row r="12" spans="1:13" x14ac:dyDescent="0.2">
      <c r="A12" s="564" t="s">
        <v>702</v>
      </c>
      <c r="B12" s="685" t="s">
        <v>703</v>
      </c>
      <c r="C12" s="654" t="s">
        <v>135</v>
      </c>
      <c r="D12" s="567">
        <v>4.0000000000000002E-4</v>
      </c>
      <c r="E12" s="685" t="s">
        <v>704</v>
      </c>
      <c r="F12" s="689" t="s">
        <v>16</v>
      </c>
      <c r="G12">
        <v>2</v>
      </c>
      <c r="H12">
        <v>1</v>
      </c>
      <c r="I12">
        <v>3</v>
      </c>
      <c r="J12">
        <v>3</v>
      </c>
      <c r="K12" s="618">
        <v>3</v>
      </c>
      <c r="L12" s="693">
        <f t="shared" si="0"/>
        <v>1.123005955058592</v>
      </c>
      <c r="M12" s="565"/>
    </row>
    <row r="13" spans="1:13" x14ac:dyDescent="0.2">
      <c r="A13" s="564" t="s">
        <v>702</v>
      </c>
      <c r="B13" s="685" t="s">
        <v>703</v>
      </c>
      <c r="C13" s="654" t="s">
        <v>135</v>
      </c>
      <c r="D13" s="567">
        <f>0.86/100</f>
        <v>8.6E-3</v>
      </c>
      <c r="E13" s="685" t="s">
        <v>705</v>
      </c>
      <c r="F13" s="689" t="s">
        <v>16</v>
      </c>
      <c r="G13">
        <v>2</v>
      </c>
      <c r="H13">
        <v>4</v>
      </c>
      <c r="I13">
        <v>4</v>
      </c>
      <c r="J13">
        <v>3</v>
      </c>
      <c r="K13" s="618">
        <v>3</v>
      </c>
      <c r="L13" s="693">
        <f t="shared" si="0"/>
        <v>1.7870699801288255</v>
      </c>
      <c r="M13" s="565"/>
    </row>
    <row r="14" spans="1:13" x14ac:dyDescent="0.2">
      <c r="A14" s="564" t="s">
        <v>706</v>
      </c>
      <c r="B14" s="685" t="s">
        <v>707</v>
      </c>
      <c r="C14" s="654" t="s">
        <v>135</v>
      </c>
      <c r="D14" s="567">
        <v>1.2999999999999999E-2</v>
      </c>
      <c r="E14" s="685" t="s">
        <v>708</v>
      </c>
      <c r="F14" s="689" t="s">
        <v>16</v>
      </c>
      <c r="G14">
        <v>2</v>
      </c>
      <c r="H14">
        <v>4</v>
      </c>
      <c r="I14">
        <v>3</v>
      </c>
      <c r="J14">
        <v>3</v>
      </c>
      <c r="K14" s="618">
        <v>3</v>
      </c>
      <c r="L14" s="693">
        <f t="shared" si="0"/>
        <v>1.5109000055213746</v>
      </c>
      <c r="M14" s="565"/>
    </row>
    <row r="15" spans="1:13" x14ac:dyDescent="0.2">
      <c r="A15" s="564" t="s">
        <v>706</v>
      </c>
      <c r="B15" s="685" t="s">
        <v>703</v>
      </c>
      <c r="C15" s="654" t="s">
        <v>135</v>
      </c>
      <c r="D15" s="567">
        <f>0.86/100</f>
        <v>8.6E-3</v>
      </c>
      <c r="E15" s="685" t="s">
        <v>705</v>
      </c>
      <c r="F15" s="689" t="s">
        <v>16</v>
      </c>
      <c r="G15">
        <v>2</v>
      </c>
      <c r="H15">
        <v>4</v>
      </c>
      <c r="I15">
        <v>4</v>
      </c>
      <c r="J15">
        <v>3</v>
      </c>
      <c r="K15" s="618">
        <v>3</v>
      </c>
      <c r="L15" s="693">
        <f t="shared" si="0"/>
        <v>1.7870699801288255</v>
      </c>
      <c r="M15" s="565"/>
    </row>
    <row r="16" spans="1:13" x14ac:dyDescent="0.2">
      <c r="A16" s="564" t="s">
        <v>709</v>
      </c>
      <c r="B16" s="685" t="s">
        <v>710</v>
      </c>
      <c r="C16" s="654" t="s">
        <v>135</v>
      </c>
      <c r="D16" s="567">
        <v>0.11</v>
      </c>
      <c r="E16" s="685" t="s">
        <v>705</v>
      </c>
      <c r="F16" s="689" t="s">
        <v>16</v>
      </c>
      <c r="G16">
        <v>2</v>
      </c>
      <c r="H16">
        <v>4</v>
      </c>
      <c r="I16">
        <v>4</v>
      </c>
      <c r="J16">
        <v>3</v>
      </c>
      <c r="K16" s="618">
        <v>3</v>
      </c>
      <c r="L16" s="693">
        <f t="shared" si="0"/>
        <v>1.7870699801288255</v>
      </c>
      <c r="M16" s="565"/>
    </row>
    <row r="17" spans="1:13" x14ac:dyDescent="0.2">
      <c r="A17" s="564" t="s">
        <v>711</v>
      </c>
      <c r="B17" s="685" t="s">
        <v>712</v>
      </c>
      <c r="C17" t="s">
        <v>135</v>
      </c>
      <c r="D17" s="564">
        <v>0.15</v>
      </c>
      <c r="E17" s="685" t="s">
        <v>713</v>
      </c>
      <c r="F17" s="689" t="s">
        <v>16</v>
      </c>
      <c r="G17">
        <v>2</v>
      </c>
      <c r="H17">
        <v>2</v>
      </c>
      <c r="I17">
        <v>2</v>
      </c>
      <c r="J17">
        <v>1</v>
      </c>
      <c r="K17" s="618">
        <v>1</v>
      </c>
      <c r="L17" s="693">
        <f t="shared" si="0"/>
        <v>0.2249354160293616</v>
      </c>
      <c r="M17" s="565"/>
    </row>
    <row r="18" spans="1:13" x14ac:dyDescent="0.2">
      <c r="A18" s="564" t="s">
        <v>714</v>
      </c>
      <c r="B18" s="685" t="s">
        <v>715</v>
      </c>
      <c r="C18" t="s">
        <v>135</v>
      </c>
      <c r="D18" s="564">
        <v>0.5</v>
      </c>
      <c r="E18" s="685" t="s">
        <v>713</v>
      </c>
      <c r="F18" s="689" t="s">
        <v>16</v>
      </c>
      <c r="G18">
        <v>2</v>
      </c>
      <c r="H18">
        <v>2</v>
      </c>
      <c r="I18">
        <v>2</v>
      </c>
      <c r="J18">
        <v>1</v>
      </c>
      <c r="K18" s="618">
        <v>1</v>
      </c>
      <c r="L18" s="693">
        <f t="shared" si="0"/>
        <v>0.2249354160293616</v>
      </c>
      <c r="M18" s="565"/>
    </row>
    <row r="19" spans="1:13" x14ac:dyDescent="0.2">
      <c r="A19" s="564" t="s">
        <v>716</v>
      </c>
      <c r="B19" s="685" t="s">
        <v>717</v>
      </c>
      <c r="C19" t="s">
        <v>135</v>
      </c>
      <c r="D19" s="564">
        <v>0.35</v>
      </c>
      <c r="E19" s="685" t="s">
        <v>713</v>
      </c>
      <c r="F19" s="689" t="s">
        <v>16</v>
      </c>
      <c r="G19">
        <v>2</v>
      </c>
      <c r="H19">
        <v>2</v>
      </c>
      <c r="I19">
        <v>2</v>
      </c>
      <c r="J19">
        <v>1</v>
      </c>
      <c r="K19" s="618">
        <v>1</v>
      </c>
      <c r="L19" s="693">
        <f t="shared" si="0"/>
        <v>0.2249354160293616</v>
      </c>
      <c r="M19" s="565"/>
    </row>
    <row r="20" spans="1:13" x14ac:dyDescent="0.2">
      <c r="A20" s="564" t="s">
        <v>718</v>
      </c>
      <c r="B20" s="685" t="s">
        <v>719</v>
      </c>
      <c r="C20" t="s">
        <v>135</v>
      </c>
      <c r="D20" s="564">
        <v>7.0000000000000007E-2</v>
      </c>
      <c r="E20" s="685" t="s">
        <v>720</v>
      </c>
      <c r="F20" s="689" t="s">
        <v>16</v>
      </c>
      <c r="G20">
        <v>3</v>
      </c>
      <c r="H20">
        <v>4</v>
      </c>
      <c r="I20">
        <v>1</v>
      </c>
      <c r="J20">
        <v>1</v>
      </c>
      <c r="K20" s="618">
        <v>1</v>
      </c>
      <c r="L20" s="693">
        <f t="shared" si="0"/>
        <v>1.0725046436742278</v>
      </c>
      <c r="M20" s="565"/>
    </row>
    <row r="21" spans="1:13" x14ac:dyDescent="0.2">
      <c r="A21" s="564" t="s">
        <v>721</v>
      </c>
      <c r="B21" s="685" t="s">
        <v>722</v>
      </c>
      <c r="C21" t="s">
        <v>135</v>
      </c>
      <c r="D21" s="564">
        <v>0</v>
      </c>
      <c r="E21" s="685" t="s">
        <v>455</v>
      </c>
      <c r="F21" s="689" t="s">
        <v>16</v>
      </c>
      <c r="G21">
        <v>3</v>
      </c>
      <c r="H21">
        <v>1</v>
      </c>
      <c r="I21">
        <v>3</v>
      </c>
      <c r="J21">
        <v>3</v>
      </c>
      <c r="K21" s="618">
        <v>3</v>
      </c>
      <c r="L21" s="693">
        <f t="shared" si="0"/>
        <v>1.1666438005107913</v>
      </c>
      <c r="M21" s="565"/>
    </row>
    <row r="22" spans="1:13" x14ac:dyDescent="0.2">
      <c r="A22" s="564" t="s">
        <v>721</v>
      </c>
      <c r="B22" s="685" t="s">
        <v>722</v>
      </c>
      <c r="C22" t="s">
        <v>135</v>
      </c>
      <c r="D22" s="564">
        <v>0.01</v>
      </c>
      <c r="E22" s="685" t="s">
        <v>455</v>
      </c>
      <c r="F22" s="689" t="s">
        <v>16</v>
      </c>
      <c r="G22">
        <v>3</v>
      </c>
      <c r="H22">
        <v>1</v>
      </c>
      <c r="I22">
        <v>3</v>
      </c>
      <c r="J22">
        <v>3</v>
      </c>
      <c r="K22" s="618">
        <v>3</v>
      </c>
      <c r="L22" s="693">
        <f t="shared" si="0"/>
        <v>1.1666438005107913</v>
      </c>
      <c r="M22" s="565"/>
    </row>
    <row r="23" spans="1:13" x14ac:dyDescent="0.2">
      <c r="A23" s="564" t="s">
        <v>723</v>
      </c>
      <c r="B23" s="685" t="s">
        <v>724</v>
      </c>
      <c r="C23" t="s">
        <v>135</v>
      </c>
      <c r="D23" s="564">
        <v>0</v>
      </c>
      <c r="E23" s="685" t="s">
        <v>455</v>
      </c>
      <c r="F23" s="689" t="s">
        <v>16</v>
      </c>
      <c r="G23">
        <v>3</v>
      </c>
      <c r="H23">
        <v>1</v>
      </c>
      <c r="I23">
        <v>3</v>
      </c>
      <c r="J23">
        <v>3</v>
      </c>
      <c r="K23" s="618">
        <v>3</v>
      </c>
      <c r="L23" s="693">
        <f t="shared" si="0"/>
        <v>1.1666438005107913</v>
      </c>
      <c r="M23" s="565"/>
    </row>
    <row r="24" spans="1:13" x14ac:dyDescent="0.2">
      <c r="A24" s="571" t="s">
        <v>723</v>
      </c>
      <c r="B24" s="686" t="s">
        <v>724</v>
      </c>
      <c r="C24" s="573" t="s">
        <v>135</v>
      </c>
      <c r="D24" s="571">
        <v>0.01</v>
      </c>
      <c r="E24" s="686" t="s">
        <v>455</v>
      </c>
      <c r="F24" s="690" t="s">
        <v>16</v>
      </c>
      <c r="G24" s="573">
        <v>3</v>
      </c>
      <c r="H24" s="573">
        <v>1</v>
      </c>
      <c r="I24" s="573">
        <v>3</v>
      </c>
      <c r="J24" s="573">
        <v>3</v>
      </c>
      <c r="K24" s="619">
        <v>3</v>
      </c>
      <c r="L24" s="694">
        <f t="shared" si="0"/>
        <v>1.1666438005107913</v>
      </c>
      <c r="M24" s="572"/>
    </row>
  </sheetData>
  <conditionalFormatting sqref="C5:D5">
    <cfRule type="dataBar" priority="1">
      <dataBar>
        <cfvo type="min"/>
        <cfvo type="max"/>
        <color rgb="FF63C384"/>
      </dataBar>
    </cfRule>
  </conditionalFormatting>
  <conditionalFormatting sqref="C6:D7">
    <cfRule type="dataBar" priority="2">
      <dataBar>
        <cfvo type="min"/>
        <cfvo type="max"/>
        <color rgb="FF63C384"/>
      </dataBar>
    </cfRule>
  </conditionalFormatting>
  <conditionalFormatting sqref="G2:K24">
    <cfRule type="dataBar" priority="3">
      <dataBar>
        <cfvo type="min"/>
        <cfvo type="max"/>
        <color rgb="FFFFB628"/>
      </dataBar>
    </cfRule>
  </conditionalFormatting>
  <conditionalFormatting sqref="L2:L24">
    <cfRule type="dataBar" priority="4">
      <dataBar>
        <cfvo type="min"/>
        <cfvo type="max"/>
        <color rgb="FF3FCDFF"/>
      </dataBar>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89999084444715716"/>
  </sheetPr>
  <dimension ref="A1:N188"/>
  <sheetViews>
    <sheetView workbookViewId="0">
      <pane ySplit="1" topLeftCell="A45" activePane="bottomLeft" state="frozen"/>
      <selection pane="bottomLeft" activeCell="B103" sqref="B103"/>
    </sheetView>
  </sheetViews>
  <sheetFormatPr baseColWidth="10" defaultRowHeight="16" x14ac:dyDescent="0.2"/>
  <cols>
    <col min="1" max="1" width="31.33203125" bestFit="1" customWidth="1"/>
    <col min="2" max="2" width="53.33203125" customWidth="1"/>
    <col min="5" max="5" width="12.5" bestFit="1" customWidth="1"/>
    <col min="6" max="6" width="40" customWidth="1"/>
    <col min="7" max="7" width="3.5" customWidth="1"/>
    <col min="8" max="13" width="11" bestFit="1" customWidth="1"/>
    <col min="14" max="14" width="43.1640625" bestFit="1" customWidth="1"/>
  </cols>
  <sheetData>
    <row r="1" spans="1:14" x14ac:dyDescent="0.2">
      <c r="A1" s="705" t="s">
        <v>680</v>
      </c>
      <c r="B1" s="706" t="s">
        <v>681</v>
      </c>
      <c r="C1" s="707" t="s">
        <v>1</v>
      </c>
      <c r="D1" s="708" t="s">
        <v>2</v>
      </c>
      <c r="E1" s="708" t="s">
        <v>682</v>
      </c>
      <c r="F1" s="709" t="s">
        <v>4</v>
      </c>
      <c r="G1" s="582"/>
      <c r="H1" s="710" t="s">
        <v>5</v>
      </c>
      <c r="I1" s="711" t="s">
        <v>6</v>
      </c>
      <c r="J1" s="711" t="s">
        <v>7</v>
      </c>
      <c r="K1" s="711" t="s">
        <v>8</v>
      </c>
      <c r="L1" s="711" t="s">
        <v>9</v>
      </c>
      <c r="M1" s="712" t="s">
        <v>10</v>
      </c>
      <c r="N1" s="713" t="s">
        <v>158</v>
      </c>
    </row>
    <row r="2" spans="1:14" x14ac:dyDescent="0.2">
      <c r="A2" s="564" t="s">
        <v>725</v>
      </c>
      <c r="B2" s="603" t="s">
        <v>726</v>
      </c>
      <c r="C2" s="12" t="s">
        <v>13</v>
      </c>
      <c r="D2" t="s">
        <v>135</v>
      </c>
      <c r="E2">
        <v>8901064</v>
      </c>
      <c r="F2" s="595" t="s">
        <v>727</v>
      </c>
      <c r="G2" t="s">
        <v>16</v>
      </c>
      <c r="H2" s="525">
        <v>1</v>
      </c>
      <c r="I2">
        <v>1</v>
      </c>
      <c r="J2">
        <v>1</v>
      </c>
      <c r="K2">
        <v>1</v>
      </c>
      <c r="L2">
        <v>2</v>
      </c>
      <c r="M2" s="693">
        <f>IF( OR( ISBLANK(H2),ISBLANK(I2), ISBLANK(J2), ISBLANK(K2), ISBLANK(L2) ), "", 1.5*SQRT(   EXP(2.21*(H2-1)) + EXP(2.21*(I2-1)) + EXP(2.21*(J2-1)) + EXP(2.21*(K2-1)) + EXP(2.21*L2)   )/100*2.45 )</f>
        <v>0.34297081055722239</v>
      </c>
      <c r="N2" s="603"/>
    </row>
    <row r="3" spans="1:14" x14ac:dyDescent="0.2">
      <c r="A3" s="564" t="s">
        <v>725</v>
      </c>
      <c r="B3" s="603" t="s">
        <v>726</v>
      </c>
      <c r="C3" s="12" t="s">
        <v>18</v>
      </c>
      <c r="D3" t="s">
        <v>135</v>
      </c>
      <c r="E3">
        <v>11522440</v>
      </c>
      <c r="F3" s="595" t="s">
        <v>727</v>
      </c>
      <c r="G3" t="s">
        <v>16</v>
      </c>
      <c r="H3" s="525">
        <v>1</v>
      </c>
      <c r="I3">
        <v>1</v>
      </c>
      <c r="J3">
        <v>1</v>
      </c>
      <c r="K3">
        <v>1</v>
      </c>
      <c r="L3">
        <v>2</v>
      </c>
      <c r="M3" s="693">
        <f t="shared" ref="M3:M34" si="0">IF( OR( ISBLANK(H3),ISBLANK(I3), ISBLANK(J3), ISBLANK(K3), ISBLANK(L3) ), "", 1.5*SQRT( EXP(2.21*(H3-1)) + EXP(2.21*(I3-1)) + EXP(2.21*(J3-1)) + EXP(2.21*(K3-1)) + EXP(2.21*L3) )/100*2.45 )</f>
        <v>0.34297081055722239</v>
      </c>
      <c r="N3" s="603"/>
    </row>
    <row r="4" spans="1:14" x14ac:dyDescent="0.2">
      <c r="A4" s="564" t="s">
        <v>725</v>
      </c>
      <c r="B4" s="603" t="s">
        <v>726</v>
      </c>
      <c r="C4" s="12" t="s">
        <v>20</v>
      </c>
      <c r="D4" t="s">
        <v>135</v>
      </c>
      <c r="E4">
        <v>6569275</v>
      </c>
      <c r="F4" s="595" t="s">
        <v>727</v>
      </c>
      <c r="G4" t="s">
        <v>16</v>
      </c>
      <c r="H4" s="525">
        <v>1</v>
      </c>
      <c r="I4">
        <v>1</v>
      </c>
      <c r="J4">
        <v>1</v>
      </c>
      <c r="K4">
        <v>1</v>
      </c>
      <c r="L4">
        <v>2</v>
      </c>
      <c r="M4" s="693">
        <f t="shared" si="0"/>
        <v>0.34297081055722239</v>
      </c>
      <c r="N4" s="603"/>
    </row>
    <row r="5" spans="1:14" x14ac:dyDescent="0.2">
      <c r="A5" s="564" t="s">
        <v>725</v>
      </c>
      <c r="B5" s="603" t="s">
        <v>726</v>
      </c>
      <c r="C5" s="12" t="s">
        <v>22</v>
      </c>
      <c r="D5" t="s">
        <v>135</v>
      </c>
      <c r="E5">
        <v>3933511</v>
      </c>
      <c r="F5" s="595" t="s">
        <v>727</v>
      </c>
      <c r="G5" t="s">
        <v>16</v>
      </c>
      <c r="H5" s="525">
        <v>1</v>
      </c>
      <c r="I5">
        <v>1</v>
      </c>
      <c r="J5">
        <v>1</v>
      </c>
      <c r="K5">
        <v>1</v>
      </c>
      <c r="L5">
        <v>2</v>
      </c>
      <c r="M5" s="693">
        <f t="shared" si="0"/>
        <v>0.34297081055722239</v>
      </c>
      <c r="N5" s="603"/>
    </row>
    <row r="6" spans="1:14" x14ac:dyDescent="0.2">
      <c r="A6" s="564" t="s">
        <v>725</v>
      </c>
      <c r="B6" s="603" t="s">
        <v>726</v>
      </c>
      <c r="C6" s="12" t="s">
        <v>23</v>
      </c>
      <c r="D6" t="s">
        <v>135</v>
      </c>
      <c r="E6">
        <v>902429</v>
      </c>
      <c r="F6" s="595" t="s">
        <v>727</v>
      </c>
      <c r="G6" t="s">
        <v>16</v>
      </c>
      <c r="H6" s="525">
        <v>1</v>
      </c>
      <c r="I6">
        <v>1</v>
      </c>
      <c r="J6">
        <v>1</v>
      </c>
      <c r="K6">
        <v>1</v>
      </c>
      <c r="L6">
        <v>2</v>
      </c>
      <c r="M6" s="693">
        <f t="shared" si="0"/>
        <v>0.34297081055722239</v>
      </c>
      <c r="N6" s="603"/>
    </row>
    <row r="7" spans="1:14" x14ac:dyDescent="0.2">
      <c r="A7" s="564" t="s">
        <v>725</v>
      </c>
      <c r="B7" s="603" t="s">
        <v>726</v>
      </c>
      <c r="C7" s="12" t="s">
        <v>24</v>
      </c>
      <c r="D7" t="s">
        <v>135</v>
      </c>
      <c r="E7">
        <v>10693939</v>
      </c>
      <c r="F7" s="595" t="s">
        <v>727</v>
      </c>
      <c r="G7" t="s">
        <v>16</v>
      </c>
      <c r="H7" s="525">
        <v>1</v>
      </c>
      <c r="I7">
        <v>1</v>
      </c>
      <c r="J7">
        <v>1</v>
      </c>
      <c r="K7">
        <v>1</v>
      </c>
      <c r="L7">
        <v>2</v>
      </c>
      <c r="M7" s="693">
        <f t="shared" si="0"/>
        <v>0.34297081055722239</v>
      </c>
      <c r="N7" s="603"/>
    </row>
    <row r="8" spans="1:14" x14ac:dyDescent="0.2">
      <c r="A8" s="564" t="s">
        <v>725</v>
      </c>
      <c r="B8" s="603" t="s">
        <v>726</v>
      </c>
      <c r="C8" s="12" t="s">
        <v>25</v>
      </c>
      <c r="D8" t="s">
        <v>135</v>
      </c>
      <c r="E8">
        <v>5822763</v>
      </c>
      <c r="F8" s="595" t="s">
        <v>727</v>
      </c>
      <c r="G8" t="s">
        <v>16</v>
      </c>
      <c r="H8" s="525">
        <v>1</v>
      </c>
      <c r="I8">
        <v>1</v>
      </c>
      <c r="J8">
        <v>1</v>
      </c>
      <c r="K8">
        <v>1</v>
      </c>
      <c r="L8">
        <v>2</v>
      </c>
      <c r="M8" s="693">
        <f t="shared" si="0"/>
        <v>0.34297081055722239</v>
      </c>
      <c r="N8" s="603"/>
    </row>
    <row r="9" spans="1:14" x14ac:dyDescent="0.2">
      <c r="A9" s="564" t="s">
        <v>725</v>
      </c>
      <c r="B9" s="603" t="s">
        <v>726</v>
      </c>
      <c r="C9" s="12" t="s">
        <v>26</v>
      </c>
      <c r="D9" t="s">
        <v>135</v>
      </c>
      <c r="E9">
        <v>1328889</v>
      </c>
      <c r="F9" s="595" t="s">
        <v>727</v>
      </c>
      <c r="G9" t="s">
        <v>16</v>
      </c>
      <c r="H9" s="525">
        <v>1</v>
      </c>
      <c r="I9">
        <v>1</v>
      </c>
      <c r="J9">
        <v>1</v>
      </c>
      <c r="K9">
        <v>1</v>
      </c>
      <c r="L9">
        <v>2</v>
      </c>
      <c r="M9" s="693">
        <f t="shared" si="0"/>
        <v>0.34297081055722239</v>
      </c>
      <c r="N9" s="603"/>
    </row>
    <row r="10" spans="1:14" x14ac:dyDescent="0.2">
      <c r="A10" s="564" t="s">
        <v>725</v>
      </c>
      <c r="B10" s="603" t="s">
        <v>726</v>
      </c>
      <c r="C10" s="12" t="s">
        <v>27</v>
      </c>
      <c r="D10" t="s">
        <v>135</v>
      </c>
      <c r="E10">
        <v>5525292</v>
      </c>
      <c r="F10" s="595" t="s">
        <v>727</v>
      </c>
      <c r="G10" t="s">
        <v>16</v>
      </c>
      <c r="H10" s="525">
        <v>1</v>
      </c>
      <c r="I10">
        <v>1</v>
      </c>
      <c r="J10">
        <v>1</v>
      </c>
      <c r="K10">
        <v>1</v>
      </c>
      <c r="L10">
        <v>2</v>
      </c>
      <c r="M10" s="693">
        <f t="shared" si="0"/>
        <v>0.34297081055722239</v>
      </c>
      <c r="N10" s="603"/>
    </row>
    <row r="11" spans="1:14" x14ac:dyDescent="0.2">
      <c r="A11" s="564" t="s">
        <v>725</v>
      </c>
      <c r="B11" s="603" t="s">
        <v>726</v>
      </c>
      <c r="C11" s="12" t="s">
        <v>28</v>
      </c>
      <c r="D11" t="s">
        <v>135</v>
      </c>
      <c r="E11">
        <v>67473651</v>
      </c>
      <c r="F11" s="595" t="s">
        <v>727</v>
      </c>
      <c r="G11" t="s">
        <v>16</v>
      </c>
      <c r="H11" s="525">
        <v>1</v>
      </c>
      <c r="I11">
        <v>1</v>
      </c>
      <c r="J11">
        <v>1</v>
      </c>
      <c r="K11">
        <v>1</v>
      </c>
      <c r="L11">
        <v>2</v>
      </c>
      <c r="M11" s="693">
        <f t="shared" si="0"/>
        <v>0.34297081055722239</v>
      </c>
      <c r="N11" s="603"/>
    </row>
    <row r="12" spans="1:14" x14ac:dyDescent="0.2">
      <c r="A12" s="564" t="s">
        <v>725</v>
      </c>
      <c r="B12" s="603" t="s">
        <v>726</v>
      </c>
      <c r="C12" s="12" t="s">
        <v>30</v>
      </c>
      <c r="D12" t="s">
        <v>135</v>
      </c>
      <c r="E12">
        <v>83166711</v>
      </c>
      <c r="F12" s="595" t="s">
        <v>727</v>
      </c>
      <c r="G12" t="s">
        <v>16</v>
      </c>
      <c r="H12" s="525">
        <v>1</v>
      </c>
      <c r="I12">
        <v>1</v>
      </c>
      <c r="J12">
        <v>1</v>
      </c>
      <c r="K12">
        <v>1</v>
      </c>
      <c r="L12">
        <v>2</v>
      </c>
      <c r="M12" s="693">
        <f t="shared" si="0"/>
        <v>0.34297081055722239</v>
      </c>
      <c r="N12" s="603"/>
    </row>
    <row r="13" spans="1:14" x14ac:dyDescent="0.2">
      <c r="A13" s="564" t="s">
        <v>725</v>
      </c>
      <c r="B13" s="603" t="s">
        <v>726</v>
      </c>
      <c r="C13" s="12" t="s">
        <v>32</v>
      </c>
      <c r="D13" t="s">
        <v>135</v>
      </c>
      <c r="E13">
        <v>10612591</v>
      </c>
      <c r="F13" s="595" t="s">
        <v>727</v>
      </c>
      <c r="G13" t="s">
        <v>16</v>
      </c>
      <c r="H13" s="525">
        <v>1</v>
      </c>
      <c r="I13">
        <v>1</v>
      </c>
      <c r="J13">
        <v>1</v>
      </c>
      <c r="K13">
        <v>1</v>
      </c>
      <c r="L13">
        <v>2</v>
      </c>
      <c r="M13" s="693">
        <f t="shared" si="0"/>
        <v>0.34297081055722239</v>
      </c>
      <c r="N13" s="603"/>
    </row>
    <row r="14" spans="1:14" x14ac:dyDescent="0.2">
      <c r="A14" s="564" t="s">
        <v>725</v>
      </c>
      <c r="B14" s="603" t="s">
        <v>726</v>
      </c>
      <c r="C14" s="12" t="s">
        <v>34</v>
      </c>
      <c r="D14" t="s">
        <v>135</v>
      </c>
      <c r="E14">
        <v>9689376</v>
      </c>
      <c r="F14" s="595" t="s">
        <v>727</v>
      </c>
      <c r="G14" t="s">
        <v>16</v>
      </c>
      <c r="H14" s="525">
        <v>1</v>
      </c>
      <c r="I14">
        <v>1</v>
      </c>
      <c r="J14">
        <v>1</v>
      </c>
      <c r="K14">
        <v>1</v>
      </c>
      <c r="L14">
        <v>2</v>
      </c>
      <c r="M14" s="693">
        <f t="shared" si="0"/>
        <v>0.34297081055722239</v>
      </c>
      <c r="N14" s="603"/>
    </row>
    <row r="15" spans="1:14" x14ac:dyDescent="0.2">
      <c r="A15" s="564" t="s">
        <v>725</v>
      </c>
      <c r="B15" s="603" t="s">
        <v>726</v>
      </c>
      <c r="C15" s="12" t="s">
        <v>36</v>
      </c>
      <c r="D15" t="s">
        <v>135</v>
      </c>
      <c r="E15">
        <v>5012600</v>
      </c>
      <c r="F15" s="595" t="s">
        <v>727</v>
      </c>
      <c r="G15" t="s">
        <v>16</v>
      </c>
      <c r="H15" s="525">
        <v>1</v>
      </c>
      <c r="I15">
        <v>1</v>
      </c>
      <c r="J15">
        <v>1</v>
      </c>
      <c r="K15">
        <v>1</v>
      </c>
      <c r="L15">
        <v>2</v>
      </c>
      <c r="M15" s="693">
        <f t="shared" si="0"/>
        <v>0.34297081055722239</v>
      </c>
      <c r="N15" s="603"/>
    </row>
    <row r="16" spans="1:14" x14ac:dyDescent="0.2">
      <c r="A16" s="564" t="s">
        <v>725</v>
      </c>
      <c r="B16" s="603" t="s">
        <v>726</v>
      </c>
      <c r="C16" s="12" t="s">
        <v>37</v>
      </c>
      <c r="D16" t="s">
        <v>135</v>
      </c>
      <c r="E16">
        <v>59641488</v>
      </c>
      <c r="F16" s="595" t="s">
        <v>727</v>
      </c>
      <c r="G16" t="s">
        <v>16</v>
      </c>
      <c r="H16" s="525">
        <v>1</v>
      </c>
      <c r="I16">
        <v>1</v>
      </c>
      <c r="J16">
        <v>1</v>
      </c>
      <c r="K16">
        <v>1</v>
      </c>
      <c r="L16">
        <v>2</v>
      </c>
      <c r="M16" s="693">
        <f t="shared" si="0"/>
        <v>0.34297081055722239</v>
      </c>
      <c r="N16" s="603"/>
    </row>
    <row r="17" spans="1:14" x14ac:dyDescent="0.2">
      <c r="A17" s="564" t="s">
        <v>725</v>
      </c>
      <c r="B17" s="603" t="s">
        <v>726</v>
      </c>
      <c r="C17" s="12" t="s">
        <v>39</v>
      </c>
      <c r="D17" t="s">
        <v>135</v>
      </c>
      <c r="E17">
        <v>1907675</v>
      </c>
      <c r="F17" s="595" t="s">
        <v>727</v>
      </c>
      <c r="G17" t="s">
        <v>16</v>
      </c>
      <c r="H17" s="525">
        <v>1</v>
      </c>
      <c r="I17">
        <v>1</v>
      </c>
      <c r="J17">
        <v>1</v>
      </c>
      <c r="K17">
        <v>1</v>
      </c>
      <c r="L17">
        <v>2</v>
      </c>
      <c r="M17" s="693">
        <f t="shared" si="0"/>
        <v>0.34297081055722239</v>
      </c>
      <c r="N17" s="603"/>
    </row>
    <row r="18" spans="1:14" x14ac:dyDescent="0.2">
      <c r="A18" s="564" t="s">
        <v>725</v>
      </c>
      <c r="B18" s="603" t="s">
        <v>726</v>
      </c>
      <c r="C18" s="12" t="s">
        <v>40</v>
      </c>
      <c r="D18" t="s">
        <v>135</v>
      </c>
      <c r="E18">
        <v>2809977</v>
      </c>
      <c r="F18" s="595" t="s">
        <v>727</v>
      </c>
      <c r="G18" t="s">
        <v>16</v>
      </c>
      <c r="H18" s="525">
        <v>1</v>
      </c>
      <c r="I18">
        <v>1</v>
      </c>
      <c r="J18">
        <v>1</v>
      </c>
      <c r="K18">
        <v>1</v>
      </c>
      <c r="L18">
        <v>2</v>
      </c>
      <c r="M18" s="693">
        <f t="shared" si="0"/>
        <v>0.34297081055722239</v>
      </c>
      <c r="N18" s="603"/>
    </row>
    <row r="19" spans="1:14" x14ac:dyDescent="0.2">
      <c r="A19" s="564" t="s">
        <v>725</v>
      </c>
      <c r="B19" s="603" t="s">
        <v>726</v>
      </c>
      <c r="C19" s="12" t="s">
        <v>41</v>
      </c>
      <c r="D19" t="s">
        <v>135</v>
      </c>
      <c r="E19">
        <v>626108</v>
      </c>
      <c r="F19" s="595" t="s">
        <v>727</v>
      </c>
      <c r="G19" t="s">
        <v>16</v>
      </c>
      <c r="H19" s="525">
        <v>1</v>
      </c>
      <c r="I19">
        <v>1</v>
      </c>
      <c r="J19">
        <v>1</v>
      </c>
      <c r="K19">
        <v>1</v>
      </c>
      <c r="L19">
        <v>2</v>
      </c>
      <c r="M19" s="693">
        <f t="shared" si="0"/>
        <v>0.34297081055722239</v>
      </c>
      <c r="N19" s="603"/>
    </row>
    <row r="20" spans="1:14" x14ac:dyDescent="0.2">
      <c r="A20" s="564" t="s">
        <v>725</v>
      </c>
      <c r="B20" s="603" t="s">
        <v>726</v>
      </c>
      <c r="C20" s="12" t="s">
        <v>42</v>
      </c>
      <c r="D20" t="s">
        <v>135</v>
      </c>
      <c r="E20">
        <v>514855</v>
      </c>
      <c r="F20" s="595" t="s">
        <v>727</v>
      </c>
      <c r="G20" t="s">
        <v>16</v>
      </c>
      <c r="H20" s="525">
        <v>1</v>
      </c>
      <c r="I20">
        <v>1</v>
      </c>
      <c r="J20">
        <v>1</v>
      </c>
      <c r="K20">
        <v>1</v>
      </c>
      <c r="L20">
        <v>2</v>
      </c>
      <c r="M20" s="693">
        <f t="shared" si="0"/>
        <v>0.34297081055722239</v>
      </c>
      <c r="N20" s="603"/>
    </row>
    <row r="21" spans="1:14" x14ac:dyDescent="0.2">
      <c r="A21" s="564" t="s">
        <v>725</v>
      </c>
      <c r="B21" s="603" t="s">
        <v>726</v>
      </c>
      <c r="C21" s="12" t="s">
        <v>43</v>
      </c>
      <c r="D21" t="s">
        <v>135</v>
      </c>
      <c r="E21">
        <v>17407585</v>
      </c>
      <c r="F21" s="595" t="s">
        <v>727</v>
      </c>
      <c r="G21" t="s">
        <v>16</v>
      </c>
      <c r="H21" s="525">
        <v>1</v>
      </c>
      <c r="I21">
        <v>1</v>
      </c>
      <c r="J21">
        <v>1</v>
      </c>
      <c r="K21">
        <v>1</v>
      </c>
      <c r="L21">
        <v>2</v>
      </c>
      <c r="M21" s="693">
        <f t="shared" si="0"/>
        <v>0.34297081055722239</v>
      </c>
      <c r="N21" s="603"/>
    </row>
    <row r="22" spans="1:14" x14ac:dyDescent="0.2">
      <c r="A22" s="564" t="s">
        <v>725</v>
      </c>
      <c r="B22" s="603" t="s">
        <v>726</v>
      </c>
      <c r="C22" s="12" t="s">
        <v>45</v>
      </c>
      <c r="D22" t="s">
        <v>135</v>
      </c>
      <c r="E22">
        <v>5367580</v>
      </c>
      <c r="F22" s="595" t="s">
        <v>727</v>
      </c>
      <c r="G22" t="s">
        <v>16</v>
      </c>
      <c r="H22" s="525">
        <v>1</v>
      </c>
      <c r="I22">
        <v>1</v>
      </c>
      <c r="J22">
        <v>1</v>
      </c>
      <c r="K22">
        <v>1</v>
      </c>
      <c r="L22">
        <v>2</v>
      </c>
      <c r="M22" s="693">
        <f t="shared" si="0"/>
        <v>0.34297081055722239</v>
      </c>
      <c r="N22" s="603"/>
    </row>
    <row r="23" spans="1:14" x14ac:dyDescent="0.2">
      <c r="A23" s="564" t="s">
        <v>725</v>
      </c>
      <c r="B23" s="603" t="s">
        <v>726</v>
      </c>
      <c r="C23" s="12" t="s">
        <v>46</v>
      </c>
      <c r="D23" t="s">
        <v>135</v>
      </c>
      <c r="E23">
        <v>37958138</v>
      </c>
      <c r="F23" s="595" t="s">
        <v>727</v>
      </c>
      <c r="G23" t="s">
        <v>16</v>
      </c>
      <c r="H23" s="525">
        <v>1</v>
      </c>
      <c r="I23">
        <v>1</v>
      </c>
      <c r="J23">
        <v>1</v>
      </c>
      <c r="K23">
        <v>1</v>
      </c>
      <c r="L23">
        <v>2</v>
      </c>
      <c r="M23" s="693">
        <f t="shared" si="0"/>
        <v>0.34297081055722239</v>
      </c>
      <c r="N23" s="603"/>
    </row>
    <row r="24" spans="1:14" x14ac:dyDescent="0.2">
      <c r="A24" s="564" t="s">
        <v>725</v>
      </c>
      <c r="B24" s="603" t="s">
        <v>726</v>
      </c>
      <c r="C24" s="12" t="s">
        <v>48</v>
      </c>
      <c r="D24" t="s">
        <v>135</v>
      </c>
      <c r="E24">
        <v>10375395</v>
      </c>
      <c r="F24" s="595" t="s">
        <v>727</v>
      </c>
      <c r="G24" t="s">
        <v>16</v>
      </c>
      <c r="H24" s="525">
        <v>1</v>
      </c>
      <c r="I24">
        <v>1</v>
      </c>
      <c r="J24">
        <v>1</v>
      </c>
      <c r="K24">
        <v>1</v>
      </c>
      <c r="L24">
        <v>2</v>
      </c>
      <c r="M24" s="693">
        <f t="shared" si="0"/>
        <v>0.34297081055722239</v>
      </c>
      <c r="N24" s="603"/>
    </row>
    <row r="25" spans="1:14" x14ac:dyDescent="0.2">
      <c r="A25" s="564" t="s">
        <v>725</v>
      </c>
      <c r="B25" s="603" t="s">
        <v>726</v>
      </c>
      <c r="C25" s="12" t="s">
        <v>50</v>
      </c>
      <c r="D25" t="s">
        <v>135</v>
      </c>
      <c r="E25">
        <v>19328838</v>
      </c>
      <c r="F25" s="595" t="s">
        <v>727</v>
      </c>
      <c r="G25" t="s">
        <v>16</v>
      </c>
      <c r="H25" s="525">
        <v>1</v>
      </c>
      <c r="I25">
        <v>1</v>
      </c>
      <c r="J25">
        <v>1</v>
      </c>
      <c r="K25">
        <v>1</v>
      </c>
      <c r="L25">
        <v>2</v>
      </c>
      <c r="M25" s="693">
        <f t="shared" si="0"/>
        <v>0.34297081055722239</v>
      </c>
      <c r="N25" s="603"/>
    </row>
    <row r="26" spans="1:14" x14ac:dyDescent="0.2">
      <c r="A26" s="564" t="s">
        <v>725</v>
      </c>
      <c r="B26" s="603" t="s">
        <v>726</v>
      </c>
      <c r="C26" s="12" t="s">
        <v>52</v>
      </c>
      <c r="D26" t="s">
        <v>135</v>
      </c>
      <c r="E26">
        <v>5457873</v>
      </c>
      <c r="F26" s="595" t="s">
        <v>727</v>
      </c>
      <c r="G26" t="s">
        <v>16</v>
      </c>
      <c r="H26" s="525">
        <v>1</v>
      </c>
      <c r="I26">
        <v>1</v>
      </c>
      <c r="J26">
        <v>1</v>
      </c>
      <c r="K26">
        <v>1</v>
      </c>
      <c r="L26">
        <v>2</v>
      </c>
      <c r="M26" s="693">
        <f t="shared" si="0"/>
        <v>0.34297081055722239</v>
      </c>
      <c r="N26" s="603"/>
    </row>
    <row r="27" spans="1:14" x14ac:dyDescent="0.2">
      <c r="A27" s="564" t="s">
        <v>725</v>
      </c>
      <c r="B27" s="603" t="s">
        <v>726</v>
      </c>
      <c r="C27" s="12" t="s">
        <v>54</v>
      </c>
      <c r="D27" t="s">
        <v>135</v>
      </c>
      <c r="E27">
        <v>2095861</v>
      </c>
      <c r="F27" s="595" t="s">
        <v>727</v>
      </c>
      <c r="G27" t="s">
        <v>16</v>
      </c>
      <c r="H27" s="525">
        <v>1</v>
      </c>
      <c r="I27">
        <v>1</v>
      </c>
      <c r="J27">
        <v>1</v>
      </c>
      <c r="K27">
        <v>1</v>
      </c>
      <c r="L27">
        <v>2</v>
      </c>
      <c r="M27" s="693">
        <f t="shared" si="0"/>
        <v>0.34297081055722239</v>
      </c>
      <c r="N27" s="603"/>
    </row>
    <row r="28" spans="1:14" x14ac:dyDescent="0.2">
      <c r="A28" s="564" t="s">
        <v>725</v>
      </c>
      <c r="B28" s="603" t="s">
        <v>726</v>
      </c>
      <c r="C28" s="12" t="s">
        <v>55</v>
      </c>
      <c r="D28" t="s">
        <v>135</v>
      </c>
      <c r="E28">
        <v>47318050</v>
      </c>
      <c r="F28" s="595" t="s">
        <v>727</v>
      </c>
      <c r="G28" t="s">
        <v>16</v>
      </c>
      <c r="H28" s="525">
        <v>1</v>
      </c>
      <c r="I28">
        <v>1</v>
      </c>
      <c r="J28">
        <v>1</v>
      </c>
      <c r="K28">
        <v>1</v>
      </c>
      <c r="L28">
        <v>2</v>
      </c>
      <c r="M28" s="693">
        <f t="shared" si="0"/>
        <v>0.34297081055722239</v>
      </c>
      <c r="N28" s="603"/>
    </row>
    <row r="29" spans="1:14" x14ac:dyDescent="0.2">
      <c r="A29" s="564" t="s">
        <v>725</v>
      </c>
      <c r="B29" s="603" t="s">
        <v>726</v>
      </c>
      <c r="C29" s="12" t="s">
        <v>57</v>
      </c>
      <c r="D29" t="s">
        <v>135</v>
      </c>
      <c r="E29">
        <v>10327589</v>
      </c>
      <c r="F29" s="595" t="s">
        <v>727</v>
      </c>
      <c r="G29" t="s">
        <v>16</v>
      </c>
      <c r="H29" s="525">
        <v>1</v>
      </c>
      <c r="I29">
        <v>1</v>
      </c>
      <c r="J29">
        <v>1</v>
      </c>
      <c r="K29">
        <v>1</v>
      </c>
      <c r="L29">
        <v>2</v>
      </c>
      <c r="M29" s="693">
        <f t="shared" si="0"/>
        <v>0.34297081055722239</v>
      </c>
      <c r="N29" s="603"/>
    </row>
    <row r="30" spans="1:14" x14ac:dyDescent="0.2">
      <c r="A30" s="564" t="s">
        <v>725</v>
      </c>
      <c r="B30" s="603" t="s">
        <v>726</v>
      </c>
      <c r="C30" s="12" t="s">
        <v>59</v>
      </c>
      <c r="D30" t="s">
        <v>135</v>
      </c>
      <c r="E30">
        <v>8606033</v>
      </c>
      <c r="F30" s="595" t="s">
        <v>727</v>
      </c>
      <c r="G30" t="s">
        <v>16</v>
      </c>
      <c r="H30" s="525">
        <v>1</v>
      </c>
      <c r="I30">
        <v>1</v>
      </c>
      <c r="J30">
        <v>1</v>
      </c>
      <c r="K30">
        <v>1</v>
      </c>
      <c r="L30">
        <v>2</v>
      </c>
      <c r="M30" s="693">
        <f t="shared" si="0"/>
        <v>0.34297081055722239</v>
      </c>
      <c r="N30" s="603"/>
    </row>
    <row r="31" spans="1:14" x14ac:dyDescent="0.2">
      <c r="A31" s="571" t="s">
        <v>725</v>
      </c>
      <c r="B31" s="674" t="s">
        <v>726</v>
      </c>
      <c r="C31" s="34" t="s">
        <v>60</v>
      </c>
      <c r="D31" s="573" t="s">
        <v>135</v>
      </c>
      <c r="E31" s="573">
        <v>67025542</v>
      </c>
      <c r="F31" s="695" t="s">
        <v>727</v>
      </c>
      <c r="G31" s="573" t="s">
        <v>16</v>
      </c>
      <c r="H31" s="533">
        <v>1</v>
      </c>
      <c r="I31" s="573">
        <v>2</v>
      </c>
      <c r="J31" s="573">
        <v>1</v>
      </c>
      <c r="K31" s="573">
        <v>1</v>
      </c>
      <c r="L31" s="573">
        <v>2</v>
      </c>
      <c r="M31" s="694">
        <f t="shared" si="0"/>
        <v>0.35859414261160716</v>
      </c>
      <c r="N31" s="674"/>
    </row>
    <row r="32" spans="1:14" x14ac:dyDescent="0.2">
      <c r="A32" s="564" t="s">
        <v>728</v>
      </c>
      <c r="B32" s="603" t="s">
        <v>729</v>
      </c>
      <c r="C32" s="12" t="s">
        <v>13</v>
      </c>
      <c r="D32" t="s">
        <v>135</v>
      </c>
      <c r="E32">
        <v>4045938.1818181816</v>
      </c>
      <c r="F32" s="595" t="s">
        <v>1301</v>
      </c>
      <c r="G32" t="s">
        <v>16</v>
      </c>
      <c r="H32" s="525">
        <v>1</v>
      </c>
      <c r="I32">
        <v>1</v>
      </c>
      <c r="J32">
        <v>1</v>
      </c>
      <c r="K32">
        <v>1</v>
      </c>
      <c r="L32">
        <v>2</v>
      </c>
      <c r="M32" s="693">
        <f t="shared" si="0"/>
        <v>0.34297081055722239</v>
      </c>
      <c r="N32" s="603" t="s">
        <v>730</v>
      </c>
    </row>
    <row r="33" spans="1:14" x14ac:dyDescent="0.2">
      <c r="A33" s="564" t="s">
        <v>728</v>
      </c>
      <c r="B33" s="603" t="s">
        <v>729</v>
      </c>
      <c r="C33" s="12" t="s">
        <v>18</v>
      </c>
      <c r="D33" t="s">
        <v>135</v>
      </c>
      <c r="E33">
        <v>5009756.5217391308</v>
      </c>
      <c r="F33" s="595" t="s">
        <v>1301</v>
      </c>
      <c r="G33" t="s">
        <v>16</v>
      </c>
      <c r="H33" s="525">
        <v>1</v>
      </c>
      <c r="I33">
        <v>1</v>
      </c>
      <c r="J33">
        <v>1</v>
      </c>
      <c r="K33">
        <v>1</v>
      </c>
      <c r="L33">
        <v>2</v>
      </c>
      <c r="M33" s="693">
        <f t="shared" si="0"/>
        <v>0.34297081055722239</v>
      </c>
      <c r="N33" s="603"/>
    </row>
    <row r="34" spans="1:14" x14ac:dyDescent="0.2">
      <c r="A34" s="564" t="s">
        <v>728</v>
      </c>
      <c r="B34" s="603" t="s">
        <v>729</v>
      </c>
      <c r="C34" s="12" t="s">
        <v>20</v>
      </c>
      <c r="D34" t="s">
        <v>135</v>
      </c>
      <c r="E34">
        <v>2737197.916666667</v>
      </c>
      <c r="F34" s="595" t="s">
        <v>1301</v>
      </c>
      <c r="G34" t="s">
        <v>16</v>
      </c>
      <c r="H34" s="525">
        <v>1</v>
      </c>
      <c r="I34">
        <v>1</v>
      </c>
      <c r="J34">
        <v>1</v>
      </c>
      <c r="K34">
        <v>1</v>
      </c>
      <c r="L34">
        <v>2</v>
      </c>
      <c r="M34" s="693">
        <f t="shared" si="0"/>
        <v>0.34297081055722239</v>
      </c>
      <c r="N34" s="603"/>
    </row>
    <row r="35" spans="1:14" x14ac:dyDescent="0.2">
      <c r="A35" s="564" t="s">
        <v>728</v>
      </c>
      <c r="B35" s="603" t="s">
        <v>729</v>
      </c>
      <c r="C35" s="12" t="s">
        <v>22</v>
      </c>
      <c r="D35" t="s">
        <v>135</v>
      </c>
      <c r="E35">
        <v>1456855.9259259258</v>
      </c>
      <c r="F35" s="595" t="s">
        <v>1301</v>
      </c>
      <c r="G35" t="s">
        <v>16</v>
      </c>
      <c r="H35" s="525">
        <v>1</v>
      </c>
      <c r="I35">
        <v>1</v>
      </c>
      <c r="J35">
        <v>1</v>
      </c>
      <c r="K35">
        <v>1</v>
      </c>
      <c r="L35">
        <v>2</v>
      </c>
      <c r="M35" s="693">
        <f t="shared" ref="M35:M66" si="1">IF( OR( ISBLANK(H35),ISBLANK(I35), ISBLANK(J35), ISBLANK(K35), ISBLANK(L35) ), "", 1.5*SQRT( EXP(2.21*(H35-1)) + EXP(2.21*(I35-1)) + EXP(2.21*(J35-1)) + EXP(2.21*(K35-1)) + EXP(2.21*L35) )/100*2.45 )</f>
        <v>0.34297081055722239</v>
      </c>
      <c r="N35" s="603"/>
    </row>
    <row r="36" spans="1:14" x14ac:dyDescent="0.2">
      <c r="A36" s="564" t="s">
        <v>728</v>
      </c>
      <c r="B36" s="603" t="s">
        <v>729</v>
      </c>
      <c r="C36" s="12" t="s">
        <v>23</v>
      </c>
      <c r="D36" t="s">
        <v>135</v>
      </c>
      <c r="E36">
        <v>347088.07692307694</v>
      </c>
      <c r="F36" s="595" t="s">
        <v>1301</v>
      </c>
      <c r="G36" t="s">
        <v>16</v>
      </c>
      <c r="H36" s="525">
        <v>1</v>
      </c>
      <c r="I36">
        <v>1</v>
      </c>
      <c r="J36">
        <v>1</v>
      </c>
      <c r="K36">
        <v>1</v>
      </c>
      <c r="L36">
        <v>2</v>
      </c>
      <c r="M36" s="693">
        <f t="shared" si="1"/>
        <v>0.34297081055722239</v>
      </c>
      <c r="N36" s="603"/>
    </row>
    <row r="37" spans="1:14" x14ac:dyDescent="0.2">
      <c r="A37" s="564" t="s">
        <v>728</v>
      </c>
      <c r="B37" s="603" t="s">
        <v>729</v>
      </c>
      <c r="C37" s="12" t="s">
        <v>24</v>
      </c>
      <c r="D37" t="s">
        <v>135</v>
      </c>
      <c r="E37">
        <v>4649538.6956521738</v>
      </c>
      <c r="F37" s="595" t="s">
        <v>1301</v>
      </c>
      <c r="G37" t="s">
        <v>16</v>
      </c>
      <c r="H37" s="525">
        <v>1</v>
      </c>
      <c r="I37">
        <v>1</v>
      </c>
      <c r="J37">
        <v>1</v>
      </c>
      <c r="K37">
        <v>1</v>
      </c>
      <c r="L37">
        <v>2</v>
      </c>
      <c r="M37" s="693">
        <f t="shared" si="1"/>
        <v>0.34297081055722239</v>
      </c>
      <c r="N37" s="603"/>
    </row>
    <row r="38" spans="1:14" x14ac:dyDescent="0.2">
      <c r="A38" s="564" t="s">
        <v>728</v>
      </c>
      <c r="B38" s="603" t="s">
        <v>729</v>
      </c>
      <c r="C38" s="12" t="s">
        <v>25</v>
      </c>
      <c r="D38" t="s">
        <v>135</v>
      </c>
      <c r="E38">
        <v>2911381.5</v>
      </c>
      <c r="F38" s="595" t="s">
        <v>1301</v>
      </c>
      <c r="G38" t="s">
        <v>16</v>
      </c>
      <c r="H38" s="525">
        <v>1</v>
      </c>
      <c r="I38">
        <v>1</v>
      </c>
      <c r="J38">
        <v>1</v>
      </c>
      <c r="K38">
        <v>1</v>
      </c>
      <c r="L38">
        <v>2</v>
      </c>
      <c r="M38" s="693">
        <f t="shared" si="1"/>
        <v>0.34297081055722239</v>
      </c>
      <c r="N38" s="603"/>
    </row>
    <row r="39" spans="1:14" x14ac:dyDescent="0.2">
      <c r="A39" s="564" t="s">
        <v>728</v>
      </c>
      <c r="B39" s="603" t="s">
        <v>729</v>
      </c>
      <c r="C39" s="12" t="s">
        <v>26</v>
      </c>
      <c r="D39" t="s">
        <v>135</v>
      </c>
      <c r="E39">
        <v>632804.28571428568</v>
      </c>
      <c r="F39" s="595" t="s">
        <v>1301</v>
      </c>
      <c r="G39" t="s">
        <v>16</v>
      </c>
      <c r="H39" s="525">
        <v>1</v>
      </c>
      <c r="I39">
        <v>1</v>
      </c>
      <c r="J39">
        <v>1</v>
      </c>
      <c r="K39">
        <v>1</v>
      </c>
      <c r="L39">
        <v>2</v>
      </c>
      <c r="M39" s="693">
        <f t="shared" si="1"/>
        <v>0.34297081055722239</v>
      </c>
      <c r="N39" s="603"/>
    </row>
    <row r="40" spans="1:14" x14ac:dyDescent="0.2">
      <c r="A40" s="564" t="s">
        <v>728</v>
      </c>
      <c r="B40" s="603" t="s">
        <v>729</v>
      </c>
      <c r="C40" s="12" t="s">
        <v>27</v>
      </c>
      <c r="D40" t="s">
        <v>135</v>
      </c>
      <c r="E40">
        <v>2762646</v>
      </c>
      <c r="F40" s="595" t="s">
        <v>1301</v>
      </c>
      <c r="G40" t="s">
        <v>16</v>
      </c>
      <c r="H40" s="525">
        <v>1</v>
      </c>
      <c r="I40">
        <v>1</v>
      </c>
      <c r="J40">
        <v>1</v>
      </c>
      <c r="K40">
        <v>1</v>
      </c>
      <c r="L40">
        <v>2</v>
      </c>
      <c r="M40" s="693">
        <f t="shared" si="1"/>
        <v>0.34297081055722239</v>
      </c>
      <c r="N40" s="603"/>
    </row>
    <row r="41" spans="1:14" x14ac:dyDescent="0.2">
      <c r="A41" s="564" t="s">
        <v>728</v>
      </c>
      <c r="B41" s="603" t="s">
        <v>729</v>
      </c>
      <c r="C41" s="12" t="s">
        <v>28</v>
      </c>
      <c r="D41" t="s">
        <v>135</v>
      </c>
      <c r="E41">
        <v>30669841.36363636</v>
      </c>
      <c r="F41" s="595" t="s">
        <v>1301</v>
      </c>
      <c r="G41" t="s">
        <v>16</v>
      </c>
      <c r="H41" s="525">
        <v>1</v>
      </c>
      <c r="I41">
        <v>1</v>
      </c>
      <c r="J41">
        <v>1</v>
      </c>
      <c r="K41">
        <v>1</v>
      </c>
      <c r="L41">
        <v>2</v>
      </c>
      <c r="M41" s="693">
        <f t="shared" si="1"/>
        <v>0.34297081055722239</v>
      </c>
      <c r="N41" s="603"/>
    </row>
    <row r="42" spans="1:14" x14ac:dyDescent="0.2">
      <c r="A42" s="564" t="s">
        <v>728</v>
      </c>
      <c r="B42" s="603" t="s">
        <v>729</v>
      </c>
      <c r="C42" s="12" t="s">
        <v>30</v>
      </c>
      <c r="D42" t="s">
        <v>135</v>
      </c>
      <c r="E42">
        <v>41583355.5</v>
      </c>
      <c r="F42" s="595" t="s">
        <v>1301</v>
      </c>
      <c r="G42" t="s">
        <v>16</v>
      </c>
      <c r="H42" s="525">
        <v>1</v>
      </c>
      <c r="I42">
        <v>1</v>
      </c>
      <c r="J42">
        <v>1</v>
      </c>
      <c r="K42">
        <v>1</v>
      </c>
      <c r="L42">
        <v>2</v>
      </c>
      <c r="M42" s="693">
        <f t="shared" si="1"/>
        <v>0.34297081055722239</v>
      </c>
      <c r="N42" s="603"/>
    </row>
    <row r="43" spans="1:14" x14ac:dyDescent="0.2">
      <c r="A43" s="564" t="s">
        <v>728</v>
      </c>
      <c r="B43" s="603" t="s">
        <v>729</v>
      </c>
      <c r="C43" s="12" t="s">
        <v>32</v>
      </c>
      <c r="D43" t="s">
        <v>135</v>
      </c>
      <c r="E43">
        <v>4081765.769230769</v>
      </c>
      <c r="F43" s="595" t="s">
        <v>1301</v>
      </c>
      <c r="G43" t="s">
        <v>16</v>
      </c>
      <c r="H43" s="525">
        <v>1</v>
      </c>
      <c r="I43">
        <v>1</v>
      </c>
      <c r="J43">
        <v>1</v>
      </c>
      <c r="K43">
        <v>1</v>
      </c>
      <c r="L43">
        <v>2</v>
      </c>
      <c r="M43" s="693">
        <f t="shared" si="1"/>
        <v>0.34297081055722239</v>
      </c>
      <c r="N43" s="603"/>
    </row>
    <row r="44" spans="1:14" x14ac:dyDescent="0.2">
      <c r="A44" s="564" t="s">
        <v>728</v>
      </c>
      <c r="B44" s="603" t="s">
        <v>729</v>
      </c>
      <c r="C44" s="12" t="s">
        <v>34</v>
      </c>
      <c r="D44" t="s">
        <v>135</v>
      </c>
      <c r="E44">
        <v>4037240</v>
      </c>
      <c r="F44" s="595" t="s">
        <v>1301</v>
      </c>
      <c r="G44" t="s">
        <v>16</v>
      </c>
      <c r="H44" s="525">
        <v>1</v>
      </c>
      <c r="I44">
        <v>1</v>
      </c>
      <c r="J44">
        <v>1</v>
      </c>
      <c r="K44">
        <v>1</v>
      </c>
      <c r="L44">
        <v>2</v>
      </c>
      <c r="M44" s="693">
        <f t="shared" si="1"/>
        <v>0.34297081055722239</v>
      </c>
      <c r="N44" s="603"/>
    </row>
    <row r="45" spans="1:14" x14ac:dyDescent="0.2">
      <c r="A45" s="564" t="s">
        <v>728</v>
      </c>
      <c r="B45" s="603" t="s">
        <v>729</v>
      </c>
      <c r="C45" s="12" t="s">
        <v>36</v>
      </c>
      <c r="D45" t="s">
        <v>135</v>
      </c>
      <c r="E45">
        <v>1856518.5185185184</v>
      </c>
      <c r="F45" s="595" t="s">
        <v>1301</v>
      </c>
      <c r="G45" t="s">
        <v>16</v>
      </c>
      <c r="H45" s="525">
        <v>1</v>
      </c>
      <c r="I45">
        <v>1</v>
      </c>
      <c r="J45">
        <v>1</v>
      </c>
      <c r="K45">
        <v>1</v>
      </c>
      <c r="L45">
        <v>2</v>
      </c>
      <c r="M45" s="693">
        <f t="shared" si="1"/>
        <v>0.34297081055722239</v>
      </c>
      <c r="N45" s="603"/>
    </row>
    <row r="46" spans="1:14" x14ac:dyDescent="0.2">
      <c r="A46" s="564" t="s">
        <v>728</v>
      </c>
      <c r="B46" s="603" t="s">
        <v>729</v>
      </c>
      <c r="C46" s="12" t="s">
        <v>37</v>
      </c>
      <c r="D46" t="s">
        <v>135</v>
      </c>
      <c r="E46">
        <v>25931081.739130437</v>
      </c>
      <c r="F46" s="595" t="s">
        <v>1301</v>
      </c>
      <c r="G46" t="s">
        <v>16</v>
      </c>
      <c r="H46" s="525">
        <v>1</v>
      </c>
      <c r="I46">
        <v>1</v>
      </c>
      <c r="J46">
        <v>1</v>
      </c>
      <c r="K46">
        <v>1</v>
      </c>
      <c r="L46">
        <v>2</v>
      </c>
      <c r="M46" s="693">
        <f t="shared" si="1"/>
        <v>0.34297081055722239</v>
      </c>
      <c r="N46" s="603"/>
    </row>
    <row r="47" spans="1:14" x14ac:dyDescent="0.2">
      <c r="A47" s="564" t="s">
        <v>728</v>
      </c>
      <c r="B47" s="603" t="s">
        <v>729</v>
      </c>
      <c r="C47" s="12" t="s">
        <v>39</v>
      </c>
      <c r="D47" t="s">
        <v>135</v>
      </c>
      <c r="E47">
        <v>829423.91304347827</v>
      </c>
      <c r="F47" s="595" t="s">
        <v>1301</v>
      </c>
      <c r="G47" t="s">
        <v>16</v>
      </c>
      <c r="H47" s="525">
        <v>1</v>
      </c>
      <c r="I47">
        <v>1</v>
      </c>
      <c r="J47">
        <v>1</v>
      </c>
      <c r="K47">
        <v>1</v>
      </c>
      <c r="L47">
        <v>2</v>
      </c>
      <c r="M47" s="693">
        <f t="shared" si="1"/>
        <v>0.34297081055722239</v>
      </c>
      <c r="N47" s="603"/>
    </row>
    <row r="48" spans="1:14" x14ac:dyDescent="0.2">
      <c r="A48" s="564" t="s">
        <v>728</v>
      </c>
      <c r="B48" s="603" t="s">
        <v>729</v>
      </c>
      <c r="C48" s="12" t="s">
        <v>40</v>
      </c>
      <c r="D48" t="s">
        <v>135</v>
      </c>
      <c r="E48">
        <v>1277262.2727272727</v>
      </c>
      <c r="F48" s="595" t="s">
        <v>1301</v>
      </c>
      <c r="G48" t="s">
        <v>16</v>
      </c>
      <c r="H48" s="525">
        <v>1</v>
      </c>
      <c r="I48">
        <v>1</v>
      </c>
      <c r="J48">
        <v>1</v>
      </c>
      <c r="K48">
        <v>1</v>
      </c>
      <c r="L48">
        <v>2</v>
      </c>
      <c r="M48" s="693">
        <f t="shared" si="1"/>
        <v>0.34297081055722239</v>
      </c>
      <c r="N48" s="603"/>
    </row>
    <row r="49" spans="1:14" x14ac:dyDescent="0.2">
      <c r="A49" s="564" t="s">
        <v>728</v>
      </c>
      <c r="B49" s="603" t="s">
        <v>729</v>
      </c>
      <c r="C49" s="12" t="s">
        <v>41</v>
      </c>
      <c r="D49" t="s">
        <v>135</v>
      </c>
      <c r="E49">
        <v>284594.54545454541</v>
      </c>
      <c r="F49" s="595" t="s">
        <v>1301</v>
      </c>
      <c r="G49" t="s">
        <v>16</v>
      </c>
      <c r="H49" s="525">
        <v>1</v>
      </c>
      <c r="I49">
        <v>1</v>
      </c>
      <c r="J49">
        <v>1</v>
      </c>
      <c r="K49">
        <v>1</v>
      </c>
      <c r="L49">
        <v>2</v>
      </c>
      <c r="M49" s="693">
        <f t="shared" si="1"/>
        <v>0.34297081055722239</v>
      </c>
      <c r="N49" s="603"/>
    </row>
    <row r="50" spans="1:14" x14ac:dyDescent="0.2">
      <c r="A50" s="564" t="s">
        <v>728</v>
      </c>
      <c r="B50" s="603" t="s">
        <v>729</v>
      </c>
      <c r="C50" s="12" t="s">
        <v>42</v>
      </c>
      <c r="D50" t="s">
        <v>135</v>
      </c>
      <c r="E50">
        <v>214522.91666666669</v>
      </c>
      <c r="F50" s="595" t="s">
        <v>1301</v>
      </c>
      <c r="G50" t="s">
        <v>16</v>
      </c>
      <c r="H50" s="525">
        <v>1</v>
      </c>
      <c r="I50">
        <v>1</v>
      </c>
      <c r="J50">
        <v>1</v>
      </c>
      <c r="K50">
        <v>1</v>
      </c>
      <c r="L50">
        <v>2</v>
      </c>
      <c r="M50" s="693">
        <f t="shared" si="1"/>
        <v>0.34297081055722239</v>
      </c>
      <c r="N50" s="603"/>
    </row>
    <row r="51" spans="1:14" x14ac:dyDescent="0.2">
      <c r="A51" s="564" t="s">
        <v>728</v>
      </c>
      <c r="B51" s="603" t="s">
        <v>729</v>
      </c>
      <c r="C51" s="12" t="s">
        <v>43</v>
      </c>
      <c r="D51" t="s">
        <v>135</v>
      </c>
      <c r="E51">
        <v>8289326.1904761903</v>
      </c>
      <c r="F51" s="595" t="s">
        <v>1301</v>
      </c>
      <c r="G51" t="s">
        <v>16</v>
      </c>
      <c r="H51" s="525">
        <v>1</v>
      </c>
      <c r="I51">
        <v>1</v>
      </c>
      <c r="J51">
        <v>1</v>
      </c>
      <c r="K51">
        <v>1</v>
      </c>
      <c r="L51">
        <v>2</v>
      </c>
      <c r="M51" s="693">
        <f t="shared" si="1"/>
        <v>0.34297081055722239</v>
      </c>
      <c r="N51" s="603"/>
    </row>
    <row r="52" spans="1:14" x14ac:dyDescent="0.2">
      <c r="A52" s="564" t="s">
        <v>728</v>
      </c>
      <c r="B52" s="603" t="s">
        <v>729</v>
      </c>
      <c r="C52" s="12" t="s">
        <v>45</v>
      </c>
      <c r="D52" t="s">
        <v>135</v>
      </c>
      <c r="E52">
        <v>2683790</v>
      </c>
      <c r="F52" s="595" t="s">
        <v>1301</v>
      </c>
      <c r="G52" t="s">
        <v>16</v>
      </c>
      <c r="H52" s="525">
        <v>1</v>
      </c>
      <c r="I52">
        <v>1</v>
      </c>
      <c r="J52">
        <v>1</v>
      </c>
      <c r="K52">
        <v>1</v>
      </c>
      <c r="L52">
        <v>2</v>
      </c>
      <c r="M52" s="693">
        <f t="shared" si="1"/>
        <v>0.34297081055722239</v>
      </c>
      <c r="N52" s="603"/>
    </row>
    <row r="53" spans="1:14" x14ac:dyDescent="0.2">
      <c r="A53" s="564" t="s">
        <v>728</v>
      </c>
      <c r="B53" s="603" t="s">
        <v>729</v>
      </c>
      <c r="C53" s="12" t="s">
        <v>46</v>
      </c>
      <c r="D53" t="s">
        <v>135</v>
      </c>
      <c r="E53">
        <v>13556477.857142858</v>
      </c>
      <c r="F53" s="595" t="s">
        <v>1301</v>
      </c>
      <c r="G53" t="s">
        <v>16</v>
      </c>
      <c r="H53" s="525">
        <v>1</v>
      </c>
      <c r="I53">
        <v>1</v>
      </c>
      <c r="J53">
        <v>1</v>
      </c>
      <c r="K53">
        <v>1</v>
      </c>
      <c r="L53">
        <v>2</v>
      </c>
      <c r="M53" s="693">
        <f t="shared" si="1"/>
        <v>0.34297081055722239</v>
      </c>
      <c r="N53" s="603"/>
    </row>
    <row r="54" spans="1:14" x14ac:dyDescent="0.2">
      <c r="A54" s="564" t="s">
        <v>728</v>
      </c>
      <c r="B54" s="603" t="s">
        <v>729</v>
      </c>
      <c r="C54" s="12" t="s">
        <v>48</v>
      </c>
      <c r="D54" t="s">
        <v>135</v>
      </c>
      <c r="E54">
        <v>4150158</v>
      </c>
      <c r="F54" s="595" t="s">
        <v>1301</v>
      </c>
      <c r="G54" t="s">
        <v>16</v>
      </c>
      <c r="H54" s="525">
        <v>1</v>
      </c>
      <c r="I54">
        <v>1</v>
      </c>
      <c r="J54">
        <v>1</v>
      </c>
      <c r="K54">
        <v>1</v>
      </c>
      <c r="L54">
        <v>2</v>
      </c>
      <c r="M54" s="693">
        <f t="shared" si="1"/>
        <v>0.34297081055722239</v>
      </c>
      <c r="N54" s="603"/>
    </row>
    <row r="55" spans="1:14" x14ac:dyDescent="0.2">
      <c r="A55" s="564" t="s">
        <v>728</v>
      </c>
      <c r="B55" s="603" t="s">
        <v>729</v>
      </c>
      <c r="C55" s="12" t="s">
        <v>50</v>
      </c>
      <c r="D55" t="s">
        <v>135</v>
      </c>
      <c r="E55">
        <v>7434168.461538461</v>
      </c>
      <c r="F55" s="595" t="s">
        <v>1301</v>
      </c>
      <c r="G55" t="s">
        <v>16</v>
      </c>
      <c r="H55" s="525">
        <v>1</v>
      </c>
      <c r="I55">
        <v>1</v>
      </c>
      <c r="J55">
        <v>1</v>
      </c>
      <c r="K55">
        <v>1</v>
      </c>
      <c r="L55">
        <v>2</v>
      </c>
      <c r="M55" s="693">
        <f t="shared" si="1"/>
        <v>0.34297081055722239</v>
      </c>
      <c r="N55" s="603"/>
    </row>
    <row r="56" spans="1:14" x14ac:dyDescent="0.2">
      <c r="A56" s="564" t="s">
        <v>728</v>
      </c>
      <c r="B56" s="603" t="s">
        <v>729</v>
      </c>
      <c r="C56" s="12" t="s">
        <v>52</v>
      </c>
      <c r="D56" t="s">
        <v>135</v>
      </c>
      <c r="E56">
        <v>1882025.1724137932</v>
      </c>
      <c r="F56" s="595" t="s">
        <v>1301</v>
      </c>
      <c r="G56" t="s">
        <v>16</v>
      </c>
      <c r="H56" s="525">
        <v>1</v>
      </c>
      <c r="I56">
        <v>1</v>
      </c>
      <c r="J56">
        <v>1</v>
      </c>
      <c r="K56">
        <v>1</v>
      </c>
      <c r="L56">
        <v>2</v>
      </c>
      <c r="M56" s="693">
        <f t="shared" si="1"/>
        <v>0.34297081055722239</v>
      </c>
      <c r="N56" s="603"/>
    </row>
    <row r="57" spans="1:14" x14ac:dyDescent="0.2">
      <c r="A57" s="564" t="s">
        <v>728</v>
      </c>
      <c r="B57" s="603" t="s">
        <v>729</v>
      </c>
      <c r="C57" s="12" t="s">
        <v>54</v>
      </c>
      <c r="D57" t="s">
        <v>135</v>
      </c>
      <c r="E57">
        <v>838344.4</v>
      </c>
      <c r="F57" s="595" t="s">
        <v>1301</v>
      </c>
      <c r="G57" t="s">
        <v>16</v>
      </c>
      <c r="H57" s="525">
        <v>1</v>
      </c>
      <c r="I57">
        <v>1</v>
      </c>
      <c r="J57">
        <v>1</v>
      </c>
      <c r="K57">
        <v>1</v>
      </c>
      <c r="L57">
        <v>2</v>
      </c>
      <c r="M57" s="693">
        <f t="shared" si="1"/>
        <v>0.34297081055722239</v>
      </c>
      <c r="N57" s="603"/>
    </row>
    <row r="58" spans="1:14" x14ac:dyDescent="0.2">
      <c r="A58" s="564" t="s">
        <v>728</v>
      </c>
      <c r="B58" s="603" t="s">
        <v>729</v>
      </c>
      <c r="C58" s="12" t="s">
        <v>55</v>
      </c>
      <c r="D58" t="s">
        <v>135</v>
      </c>
      <c r="E58">
        <v>18927220</v>
      </c>
      <c r="F58" s="595" t="s">
        <v>1301</v>
      </c>
      <c r="G58" t="s">
        <v>16</v>
      </c>
      <c r="H58" s="525">
        <v>1</v>
      </c>
      <c r="I58">
        <v>1</v>
      </c>
      <c r="J58">
        <v>1</v>
      </c>
      <c r="K58">
        <v>1</v>
      </c>
      <c r="L58">
        <v>2</v>
      </c>
      <c r="M58" s="693">
        <f t="shared" si="1"/>
        <v>0.34297081055722239</v>
      </c>
      <c r="N58" s="603"/>
    </row>
    <row r="59" spans="1:14" x14ac:dyDescent="0.2">
      <c r="A59" s="564" t="s">
        <v>728</v>
      </c>
      <c r="B59" s="603" t="s">
        <v>729</v>
      </c>
      <c r="C59" s="12" t="s">
        <v>57</v>
      </c>
      <c r="D59" t="s">
        <v>135</v>
      </c>
      <c r="E59">
        <v>5163794.5</v>
      </c>
      <c r="F59" s="595" t="s">
        <v>1301</v>
      </c>
      <c r="G59" t="s">
        <v>16</v>
      </c>
      <c r="H59" s="525">
        <v>1</v>
      </c>
      <c r="I59">
        <v>1</v>
      </c>
      <c r="J59">
        <v>1</v>
      </c>
      <c r="K59">
        <v>1</v>
      </c>
      <c r="L59">
        <v>2</v>
      </c>
      <c r="M59" s="693">
        <f t="shared" si="1"/>
        <v>0.34297081055722239</v>
      </c>
      <c r="N59" s="603"/>
    </row>
    <row r="60" spans="1:14" x14ac:dyDescent="0.2">
      <c r="A60" s="564" t="s">
        <v>728</v>
      </c>
      <c r="B60" s="603" t="s">
        <v>729</v>
      </c>
      <c r="C60" s="12" t="s">
        <v>59</v>
      </c>
      <c r="D60" t="s">
        <v>135</v>
      </c>
      <c r="E60">
        <v>3911833.1818181816</v>
      </c>
      <c r="F60" s="595" t="s">
        <v>1301</v>
      </c>
      <c r="G60" t="s">
        <v>16</v>
      </c>
      <c r="H60" s="525">
        <v>1</v>
      </c>
      <c r="I60">
        <v>1</v>
      </c>
      <c r="J60">
        <v>1</v>
      </c>
      <c r="K60">
        <v>1</v>
      </c>
      <c r="L60">
        <v>2</v>
      </c>
      <c r="M60" s="693">
        <f t="shared" si="1"/>
        <v>0.34297081055722239</v>
      </c>
      <c r="N60" s="603"/>
    </row>
    <row r="61" spans="1:14" x14ac:dyDescent="0.2">
      <c r="A61" s="571" t="s">
        <v>728</v>
      </c>
      <c r="B61" s="674" t="s">
        <v>729</v>
      </c>
      <c r="C61" s="34" t="s">
        <v>60</v>
      </c>
      <c r="D61" s="573" t="s">
        <v>135</v>
      </c>
      <c r="E61" s="573">
        <v>29141540.000000004</v>
      </c>
      <c r="F61" s="695" t="s">
        <v>1301</v>
      </c>
      <c r="G61" s="573" t="s">
        <v>16</v>
      </c>
      <c r="H61" s="533">
        <v>1</v>
      </c>
      <c r="I61" s="573">
        <v>2</v>
      </c>
      <c r="J61" s="573">
        <v>1</v>
      </c>
      <c r="K61" s="573">
        <v>1</v>
      </c>
      <c r="L61" s="573">
        <v>2</v>
      </c>
      <c r="M61" s="694">
        <f t="shared" si="1"/>
        <v>0.35859414261160716</v>
      </c>
      <c r="N61" s="674"/>
    </row>
    <row r="62" spans="1:14" x14ac:dyDescent="0.2">
      <c r="A62" s="564" t="s">
        <v>731</v>
      </c>
      <c r="B62" s="603" t="s">
        <v>732</v>
      </c>
      <c r="C62" s="12" t="s">
        <v>13</v>
      </c>
      <c r="D62" t="s">
        <v>135</v>
      </c>
      <c r="E62" s="696">
        <v>0.27326339862290622</v>
      </c>
      <c r="F62" s="595" t="s">
        <v>733</v>
      </c>
      <c r="G62" t="s">
        <v>16</v>
      </c>
      <c r="H62" s="525">
        <v>1</v>
      </c>
      <c r="I62">
        <v>1</v>
      </c>
      <c r="J62">
        <v>1</v>
      </c>
      <c r="K62">
        <v>1</v>
      </c>
      <c r="L62">
        <v>2</v>
      </c>
      <c r="M62" s="693">
        <f t="shared" si="1"/>
        <v>0.34297081055722239</v>
      </c>
      <c r="N62" s="603" t="s">
        <v>734</v>
      </c>
    </row>
    <row r="63" spans="1:14" x14ac:dyDescent="0.2">
      <c r="A63" s="564" t="s">
        <v>731</v>
      </c>
      <c r="B63" s="603" t="s">
        <v>732</v>
      </c>
      <c r="C63" s="12" t="s">
        <v>18</v>
      </c>
      <c r="D63" t="s">
        <v>135</v>
      </c>
      <c r="E63" s="696">
        <v>0.26806301443097119</v>
      </c>
      <c r="F63" s="595" t="s">
        <v>733</v>
      </c>
      <c r="G63" t="s">
        <v>16</v>
      </c>
      <c r="H63" s="525">
        <v>1</v>
      </c>
      <c r="I63">
        <v>1</v>
      </c>
      <c r="J63">
        <v>1</v>
      </c>
      <c r="K63">
        <v>1</v>
      </c>
      <c r="L63">
        <v>2</v>
      </c>
      <c r="M63" s="693">
        <f t="shared" si="1"/>
        <v>0.34297081055722239</v>
      </c>
      <c r="N63" s="603"/>
    </row>
    <row r="64" spans="1:14" x14ac:dyDescent="0.2">
      <c r="A64" s="564" t="s">
        <v>731</v>
      </c>
      <c r="B64" s="603" t="s">
        <v>732</v>
      </c>
      <c r="C64" s="12" t="s">
        <v>20</v>
      </c>
      <c r="D64" t="s">
        <v>135</v>
      </c>
      <c r="E64" s="696">
        <v>0.24997020219126159</v>
      </c>
      <c r="F64" s="595" t="s">
        <v>733</v>
      </c>
      <c r="G64" t="s">
        <v>16</v>
      </c>
      <c r="H64" s="525">
        <v>1</v>
      </c>
      <c r="I64">
        <v>1</v>
      </c>
      <c r="J64">
        <v>1</v>
      </c>
      <c r="K64">
        <v>1</v>
      </c>
      <c r="L64">
        <v>2</v>
      </c>
      <c r="M64" s="693">
        <f t="shared" si="1"/>
        <v>0.34297081055722239</v>
      </c>
      <c r="N64" s="603"/>
    </row>
    <row r="65" spans="1:14" x14ac:dyDescent="0.2">
      <c r="A65" s="564" t="s">
        <v>731</v>
      </c>
      <c r="B65" s="603" t="s">
        <v>735</v>
      </c>
      <c r="C65" s="12" t="s">
        <v>22</v>
      </c>
      <c r="D65" t="s">
        <v>135</v>
      </c>
      <c r="E65" s="696">
        <v>0.2591237192421732</v>
      </c>
      <c r="F65" s="595" t="s">
        <v>733</v>
      </c>
      <c r="G65" t="s">
        <v>16</v>
      </c>
      <c r="H65" s="525">
        <v>1</v>
      </c>
      <c r="I65">
        <v>1</v>
      </c>
      <c r="J65">
        <v>1</v>
      </c>
      <c r="K65">
        <v>1</v>
      </c>
      <c r="L65">
        <v>2</v>
      </c>
      <c r="M65" s="693">
        <f t="shared" si="1"/>
        <v>0.34297081055722239</v>
      </c>
      <c r="N65" s="603"/>
    </row>
    <row r="66" spans="1:14" x14ac:dyDescent="0.2">
      <c r="A66" s="564" t="s">
        <v>731</v>
      </c>
      <c r="B66" s="603" t="s">
        <v>735</v>
      </c>
      <c r="C66" s="12" t="s">
        <v>23</v>
      </c>
      <c r="D66" t="s">
        <v>135</v>
      </c>
      <c r="E66" s="696">
        <v>0.2950769534223745</v>
      </c>
      <c r="F66" s="595" t="s">
        <v>733</v>
      </c>
      <c r="G66" t="s">
        <v>16</v>
      </c>
      <c r="H66" s="525">
        <v>1</v>
      </c>
      <c r="I66">
        <v>1</v>
      </c>
      <c r="J66">
        <v>1</v>
      </c>
      <c r="K66">
        <v>1</v>
      </c>
      <c r="L66">
        <v>2</v>
      </c>
      <c r="M66" s="693">
        <f t="shared" si="1"/>
        <v>0.34297081055722239</v>
      </c>
      <c r="N66" s="603"/>
    </row>
    <row r="67" spans="1:14" x14ac:dyDescent="0.2">
      <c r="A67" s="564" t="s">
        <v>731</v>
      </c>
      <c r="B67" s="603" t="s">
        <v>735</v>
      </c>
      <c r="C67" s="12" t="s">
        <v>24</v>
      </c>
      <c r="D67" t="s">
        <v>135</v>
      </c>
      <c r="E67" s="696">
        <v>0.26704369643402681</v>
      </c>
      <c r="F67" s="595" t="s">
        <v>733</v>
      </c>
      <c r="G67" t="s">
        <v>16</v>
      </c>
      <c r="H67" s="525">
        <v>1</v>
      </c>
      <c r="I67">
        <v>1</v>
      </c>
      <c r="J67">
        <v>1</v>
      </c>
      <c r="K67">
        <v>1</v>
      </c>
      <c r="L67">
        <v>2</v>
      </c>
      <c r="M67" s="693">
        <f t="shared" ref="M67:M98" si="2">IF( OR( ISBLANK(H67),ISBLANK(I67), ISBLANK(J67), ISBLANK(K67), ISBLANK(L67) ), "", 1.5*SQRT( EXP(2.21*(H67-1)) + EXP(2.21*(I67-1)) + EXP(2.21*(J67-1)) + EXP(2.21*(K67-1)) + EXP(2.21*L67) )/100*2.45 )</f>
        <v>0.34297081055722239</v>
      </c>
      <c r="N67" s="603"/>
    </row>
    <row r="68" spans="1:14" x14ac:dyDescent="0.2">
      <c r="A68" s="564" t="s">
        <v>731</v>
      </c>
      <c r="B68" s="603" t="s">
        <v>735</v>
      </c>
      <c r="C68" s="12" t="s">
        <v>25</v>
      </c>
      <c r="D68" t="s">
        <v>135</v>
      </c>
      <c r="E68" s="696">
        <v>0.26966424702499481</v>
      </c>
      <c r="F68" s="595" t="s">
        <v>733</v>
      </c>
      <c r="G68" t="s">
        <v>16</v>
      </c>
      <c r="H68" s="525">
        <v>1</v>
      </c>
      <c r="I68">
        <v>1</v>
      </c>
      <c r="J68">
        <v>1</v>
      </c>
      <c r="K68">
        <v>1</v>
      </c>
      <c r="L68">
        <v>2</v>
      </c>
      <c r="M68" s="693">
        <f t="shared" si="2"/>
        <v>0.34297081055722239</v>
      </c>
      <c r="N68" s="603"/>
    </row>
    <row r="69" spans="1:14" x14ac:dyDescent="0.2">
      <c r="A69" s="564" t="s">
        <v>731</v>
      </c>
      <c r="B69" s="603" t="s">
        <v>735</v>
      </c>
      <c r="C69" s="12" t="s">
        <v>26</v>
      </c>
      <c r="D69" t="s">
        <v>135</v>
      </c>
      <c r="E69" s="696">
        <v>0.26119337280991867</v>
      </c>
      <c r="F69" s="595" t="s">
        <v>733</v>
      </c>
      <c r="G69" t="s">
        <v>16</v>
      </c>
      <c r="H69" s="525">
        <v>1</v>
      </c>
      <c r="I69">
        <v>1</v>
      </c>
      <c r="J69">
        <v>1</v>
      </c>
      <c r="K69">
        <v>1</v>
      </c>
      <c r="L69">
        <v>2</v>
      </c>
      <c r="M69" s="693">
        <f t="shared" si="2"/>
        <v>0.34297081055722239</v>
      </c>
      <c r="N69" s="603"/>
    </row>
    <row r="70" spans="1:14" x14ac:dyDescent="0.2">
      <c r="A70" s="564" t="s">
        <v>731</v>
      </c>
      <c r="B70" s="603" t="s">
        <v>735</v>
      </c>
      <c r="C70" s="12" t="s">
        <v>27</v>
      </c>
      <c r="D70" t="s">
        <v>135</v>
      </c>
      <c r="E70" s="696">
        <v>0.25392848015996261</v>
      </c>
      <c r="F70" s="595" t="s">
        <v>733</v>
      </c>
      <c r="G70" t="s">
        <v>16</v>
      </c>
      <c r="H70" s="525">
        <v>1</v>
      </c>
      <c r="I70">
        <v>1</v>
      </c>
      <c r="J70">
        <v>1</v>
      </c>
      <c r="K70">
        <v>1</v>
      </c>
      <c r="L70">
        <v>2</v>
      </c>
      <c r="M70" s="693">
        <f t="shared" si="2"/>
        <v>0.34297081055722239</v>
      </c>
      <c r="N70" s="603"/>
    </row>
    <row r="71" spans="1:14" x14ac:dyDescent="0.2">
      <c r="A71" s="564" t="s">
        <v>731</v>
      </c>
      <c r="B71" s="603" t="s">
        <v>735</v>
      </c>
      <c r="C71" s="12" t="s">
        <v>28</v>
      </c>
      <c r="D71" t="s">
        <v>135</v>
      </c>
      <c r="E71" s="696">
        <v>0.26613236031943788</v>
      </c>
      <c r="F71" s="595" t="s">
        <v>733</v>
      </c>
      <c r="G71" t="s">
        <v>16</v>
      </c>
      <c r="H71" s="525">
        <v>1</v>
      </c>
      <c r="I71">
        <v>1</v>
      </c>
      <c r="J71">
        <v>1</v>
      </c>
      <c r="K71">
        <v>1</v>
      </c>
      <c r="L71">
        <v>2</v>
      </c>
      <c r="M71" s="693">
        <f t="shared" si="2"/>
        <v>0.34297081055722239</v>
      </c>
      <c r="N71" s="603"/>
    </row>
    <row r="72" spans="1:14" x14ac:dyDescent="0.2">
      <c r="A72" s="564" t="s">
        <v>731</v>
      </c>
      <c r="B72" s="603" t="s">
        <v>735</v>
      </c>
      <c r="C72" s="12" t="s">
        <v>30</v>
      </c>
      <c r="D72" t="s">
        <v>135</v>
      </c>
      <c r="E72" s="696">
        <v>0.2557247935414928</v>
      </c>
      <c r="F72" s="595" t="s">
        <v>733</v>
      </c>
      <c r="G72" t="s">
        <v>16</v>
      </c>
      <c r="H72" s="525">
        <v>1</v>
      </c>
      <c r="I72">
        <v>1</v>
      </c>
      <c r="J72">
        <v>1</v>
      </c>
      <c r="K72">
        <v>1</v>
      </c>
      <c r="L72">
        <v>2</v>
      </c>
      <c r="M72" s="693">
        <f t="shared" si="2"/>
        <v>0.34297081055722239</v>
      </c>
      <c r="N72" s="603"/>
    </row>
    <row r="73" spans="1:14" x14ac:dyDescent="0.2">
      <c r="A73" s="564" t="s">
        <v>731</v>
      </c>
      <c r="B73" s="603" t="s">
        <v>735</v>
      </c>
      <c r="C73" s="12" t="s">
        <v>32</v>
      </c>
      <c r="D73" t="s">
        <v>135</v>
      </c>
      <c r="E73" s="696">
        <v>0.26575913459776224</v>
      </c>
      <c r="F73" s="595" t="s">
        <v>733</v>
      </c>
      <c r="G73" t="s">
        <v>16</v>
      </c>
      <c r="H73" s="525">
        <v>1</v>
      </c>
      <c r="I73">
        <v>1</v>
      </c>
      <c r="J73">
        <v>1</v>
      </c>
      <c r="K73">
        <v>1</v>
      </c>
      <c r="L73">
        <v>2</v>
      </c>
      <c r="M73" s="693">
        <f t="shared" si="2"/>
        <v>0.34297081055722239</v>
      </c>
      <c r="N73" s="603"/>
    </row>
    <row r="74" spans="1:14" x14ac:dyDescent="0.2">
      <c r="A74" s="564" t="s">
        <v>731</v>
      </c>
      <c r="B74" s="603" t="s">
        <v>735</v>
      </c>
      <c r="C74" s="12" t="s">
        <v>34</v>
      </c>
      <c r="D74" t="s">
        <v>135</v>
      </c>
      <c r="E74" s="696">
        <v>0.2744503877236264</v>
      </c>
      <c r="F74" s="595" t="s">
        <v>733</v>
      </c>
      <c r="G74" t="s">
        <v>16</v>
      </c>
      <c r="H74" s="525">
        <v>1</v>
      </c>
      <c r="I74">
        <v>1</v>
      </c>
      <c r="J74">
        <v>1</v>
      </c>
      <c r="K74">
        <v>1</v>
      </c>
      <c r="L74">
        <v>2</v>
      </c>
      <c r="M74" s="693">
        <f t="shared" si="2"/>
        <v>0.34297081055722239</v>
      </c>
      <c r="N74" s="603"/>
    </row>
    <row r="75" spans="1:14" x14ac:dyDescent="0.2">
      <c r="A75" s="564" t="s">
        <v>731</v>
      </c>
      <c r="B75" s="603" t="s">
        <v>735</v>
      </c>
      <c r="C75" s="12" t="s">
        <v>36</v>
      </c>
      <c r="D75" t="s">
        <v>135</v>
      </c>
      <c r="E75" s="696">
        <v>0.2937940390216654</v>
      </c>
      <c r="F75" s="595" t="s">
        <v>733</v>
      </c>
      <c r="G75" t="s">
        <v>16</v>
      </c>
      <c r="H75" s="525">
        <v>1</v>
      </c>
      <c r="I75">
        <v>1</v>
      </c>
      <c r="J75">
        <v>1</v>
      </c>
      <c r="K75">
        <v>1</v>
      </c>
      <c r="L75">
        <v>2</v>
      </c>
      <c r="M75" s="693">
        <f t="shared" si="2"/>
        <v>0.34297081055722239</v>
      </c>
      <c r="N75" s="603"/>
    </row>
    <row r="76" spans="1:14" x14ac:dyDescent="0.2">
      <c r="A76" s="564" t="s">
        <v>731</v>
      </c>
      <c r="B76" s="603" t="s">
        <v>735</v>
      </c>
      <c r="C76" s="12" t="s">
        <v>37</v>
      </c>
      <c r="D76" t="s">
        <v>135</v>
      </c>
      <c r="E76" s="696">
        <v>0.26000129305962322</v>
      </c>
      <c r="F76" s="595" t="s">
        <v>733</v>
      </c>
      <c r="G76" t="s">
        <v>16</v>
      </c>
      <c r="H76" s="525">
        <v>1</v>
      </c>
      <c r="I76">
        <v>1</v>
      </c>
      <c r="J76">
        <v>1</v>
      </c>
      <c r="K76">
        <v>1</v>
      </c>
      <c r="L76">
        <v>2</v>
      </c>
      <c r="M76" s="693">
        <f t="shared" si="2"/>
        <v>0.34297081055722239</v>
      </c>
      <c r="N76" s="603"/>
    </row>
    <row r="77" spans="1:14" x14ac:dyDescent="0.2">
      <c r="A77" s="564" t="s">
        <v>731</v>
      </c>
      <c r="B77" s="603" t="s">
        <v>735</v>
      </c>
      <c r="C77" s="12" t="s">
        <v>39</v>
      </c>
      <c r="D77" t="s">
        <v>135</v>
      </c>
      <c r="E77" s="696">
        <v>0.26059155778631055</v>
      </c>
      <c r="F77" s="595" t="s">
        <v>733</v>
      </c>
      <c r="G77" t="s">
        <v>16</v>
      </c>
      <c r="H77" s="525">
        <v>1</v>
      </c>
      <c r="I77">
        <v>1</v>
      </c>
      <c r="J77">
        <v>1</v>
      </c>
      <c r="K77">
        <v>1</v>
      </c>
      <c r="L77">
        <v>2</v>
      </c>
      <c r="M77" s="693">
        <f t="shared" si="2"/>
        <v>0.34297081055722239</v>
      </c>
      <c r="N77" s="603"/>
    </row>
    <row r="78" spans="1:14" x14ac:dyDescent="0.2">
      <c r="A78" s="564" t="s">
        <v>731</v>
      </c>
      <c r="B78" s="603" t="s">
        <v>735</v>
      </c>
      <c r="C78" s="12" t="s">
        <v>40</v>
      </c>
      <c r="D78" t="s">
        <v>135</v>
      </c>
      <c r="E78" s="696">
        <v>0.26623954573293662</v>
      </c>
      <c r="F78" s="595" t="s">
        <v>733</v>
      </c>
      <c r="G78" t="s">
        <v>16</v>
      </c>
      <c r="H78" s="525">
        <v>1</v>
      </c>
      <c r="I78">
        <v>1</v>
      </c>
      <c r="J78">
        <v>1</v>
      </c>
      <c r="K78">
        <v>1</v>
      </c>
      <c r="L78">
        <v>2</v>
      </c>
      <c r="M78" s="693">
        <f t="shared" si="2"/>
        <v>0.34297081055722239</v>
      </c>
      <c r="N78" s="603"/>
    </row>
    <row r="79" spans="1:14" x14ac:dyDescent="0.2">
      <c r="A79" s="564" t="s">
        <v>731</v>
      </c>
      <c r="B79" s="603" t="s">
        <v>735</v>
      </c>
      <c r="C79" s="12" t="s">
        <v>41</v>
      </c>
      <c r="D79" t="s">
        <v>135</v>
      </c>
      <c r="E79" s="696">
        <v>0.29505133299686315</v>
      </c>
      <c r="F79" s="595" t="s">
        <v>733</v>
      </c>
      <c r="G79" t="s">
        <v>16</v>
      </c>
      <c r="H79" s="525">
        <v>1</v>
      </c>
      <c r="I79">
        <v>1</v>
      </c>
      <c r="J79">
        <v>1</v>
      </c>
      <c r="K79">
        <v>1</v>
      </c>
      <c r="L79">
        <v>2</v>
      </c>
      <c r="M79" s="693">
        <f t="shared" si="2"/>
        <v>0.34297081055722239</v>
      </c>
      <c r="N79" s="603"/>
    </row>
    <row r="80" spans="1:14" x14ac:dyDescent="0.2">
      <c r="A80" s="564" t="s">
        <v>731</v>
      </c>
      <c r="B80" s="603" t="s">
        <v>735</v>
      </c>
      <c r="C80" s="12" t="s">
        <v>42</v>
      </c>
      <c r="D80" t="s">
        <v>135</v>
      </c>
      <c r="E80" s="696">
        <v>0.27333326859018559</v>
      </c>
      <c r="F80" s="595" t="s">
        <v>733</v>
      </c>
      <c r="G80" t="s">
        <v>16</v>
      </c>
      <c r="H80" s="525">
        <v>1</v>
      </c>
      <c r="I80">
        <v>1</v>
      </c>
      <c r="J80">
        <v>1</v>
      </c>
      <c r="K80">
        <v>1</v>
      </c>
      <c r="L80">
        <v>2</v>
      </c>
      <c r="M80" s="693">
        <f t="shared" si="2"/>
        <v>0.34297081055722239</v>
      </c>
      <c r="N80" s="603"/>
    </row>
    <row r="81" spans="1:14" x14ac:dyDescent="0.2">
      <c r="A81" s="564" t="s">
        <v>731</v>
      </c>
      <c r="B81" s="603" t="s">
        <v>735</v>
      </c>
      <c r="C81" s="12" t="s">
        <v>43</v>
      </c>
      <c r="D81" t="s">
        <v>135</v>
      </c>
      <c r="E81" s="696">
        <v>0.27017980954853876</v>
      </c>
      <c r="F81" s="595" t="s">
        <v>733</v>
      </c>
      <c r="G81" t="s">
        <v>16</v>
      </c>
      <c r="H81" s="525">
        <v>1</v>
      </c>
      <c r="I81">
        <v>1</v>
      </c>
      <c r="J81">
        <v>1</v>
      </c>
      <c r="K81">
        <v>1</v>
      </c>
      <c r="L81">
        <v>2</v>
      </c>
      <c r="M81" s="693">
        <f t="shared" si="2"/>
        <v>0.34297081055722239</v>
      </c>
      <c r="N81" s="603"/>
    </row>
    <row r="82" spans="1:14" x14ac:dyDescent="0.2">
      <c r="A82" s="564" t="s">
        <v>731</v>
      </c>
      <c r="B82" s="603" t="s">
        <v>735</v>
      </c>
      <c r="C82" s="12" t="s">
        <v>45</v>
      </c>
      <c r="D82" t="s">
        <v>135</v>
      </c>
      <c r="E82" s="696">
        <v>0.27639532154155133</v>
      </c>
      <c r="F82" s="595" t="s">
        <v>733</v>
      </c>
      <c r="G82" t="s">
        <v>16</v>
      </c>
      <c r="H82" s="525">
        <v>1</v>
      </c>
      <c r="I82">
        <v>1</v>
      </c>
      <c r="J82">
        <v>1</v>
      </c>
      <c r="K82">
        <v>1</v>
      </c>
      <c r="L82">
        <v>2</v>
      </c>
      <c r="M82" s="693">
        <f t="shared" si="2"/>
        <v>0.34297081055722239</v>
      </c>
      <c r="N82" s="603"/>
    </row>
    <row r="83" spans="1:14" x14ac:dyDescent="0.2">
      <c r="A83" s="564" t="s">
        <v>731</v>
      </c>
      <c r="B83" s="603" t="s">
        <v>735</v>
      </c>
      <c r="C83" s="12" t="s">
        <v>46</v>
      </c>
      <c r="D83" t="s">
        <v>135</v>
      </c>
      <c r="E83" s="696">
        <v>0.27552020597006099</v>
      </c>
      <c r="F83" s="595" t="s">
        <v>733</v>
      </c>
      <c r="G83" t="s">
        <v>16</v>
      </c>
      <c r="H83" s="525">
        <v>1</v>
      </c>
      <c r="I83">
        <v>1</v>
      </c>
      <c r="J83">
        <v>1</v>
      </c>
      <c r="K83">
        <v>1</v>
      </c>
      <c r="L83">
        <v>2</v>
      </c>
      <c r="M83" s="693">
        <f t="shared" si="2"/>
        <v>0.34297081055722239</v>
      </c>
      <c r="N83" s="603"/>
    </row>
    <row r="84" spans="1:14" x14ac:dyDescent="0.2">
      <c r="A84" s="564" t="s">
        <v>731</v>
      </c>
      <c r="B84" s="603" t="s">
        <v>735</v>
      </c>
      <c r="C84" s="12" t="s">
        <v>48</v>
      </c>
      <c r="D84" t="s">
        <v>135</v>
      </c>
      <c r="E84" s="696">
        <v>0.26967561235018039</v>
      </c>
      <c r="F84" s="595" t="s">
        <v>733</v>
      </c>
      <c r="G84" t="s">
        <v>16</v>
      </c>
      <c r="H84" s="525">
        <v>1</v>
      </c>
      <c r="I84">
        <v>1</v>
      </c>
      <c r="J84">
        <v>1</v>
      </c>
      <c r="K84">
        <v>1</v>
      </c>
      <c r="L84">
        <v>2</v>
      </c>
      <c r="M84" s="693">
        <f t="shared" si="2"/>
        <v>0.34297081055722239</v>
      </c>
      <c r="N84" s="603"/>
    </row>
    <row r="85" spans="1:14" x14ac:dyDescent="0.2">
      <c r="A85" s="564" t="s">
        <v>731</v>
      </c>
      <c r="B85" s="603" t="s">
        <v>735</v>
      </c>
      <c r="C85" s="12" t="s">
        <v>50</v>
      </c>
      <c r="D85" t="s">
        <v>135</v>
      </c>
      <c r="E85" s="696">
        <v>0.27381113132615631</v>
      </c>
      <c r="F85" s="595" t="s">
        <v>733</v>
      </c>
      <c r="G85" t="s">
        <v>16</v>
      </c>
      <c r="H85" s="525">
        <v>1</v>
      </c>
      <c r="I85">
        <v>1</v>
      </c>
      <c r="J85">
        <v>1</v>
      </c>
      <c r="K85">
        <v>1</v>
      </c>
      <c r="L85">
        <v>2</v>
      </c>
      <c r="M85" s="693">
        <f t="shared" si="2"/>
        <v>0.34297081055722239</v>
      </c>
      <c r="N85" s="603"/>
    </row>
    <row r="86" spans="1:14" x14ac:dyDescent="0.2">
      <c r="A86" s="564" t="s">
        <v>731</v>
      </c>
      <c r="B86" s="603" t="s">
        <v>735</v>
      </c>
      <c r="C86" s="12" t="s">
        <v>52</v>
      </c>
      <c r="D86" t="s">
        <v>135</v>
      </c>
      <c r="E86" s="696">
        <v>0.28095505336969184</v>
      </c>
      <c r="F86" s="595" t="s">
        <v>733</v>
      </c>
      <c r="G86" t="s">
        <v>16</v>
      </c>
      <c r="H86" s="525">
        <v>1</v>
      </c>
      <c r="I86">
        <v>1</v>
      </c>
      <c r="J86">
        <v>1</v>
      </c>
      <c r="K86">
        <v>1</v>
      </c>
      <c r="L86">
        <v>2</v>
      </c>
      <c r="M86" s="693">
        <f t="shared" si="2"/>
        <v>0.34297081055722239</v>
      </c>
      <c r="N86" s="603"/>
    </row>
    <row r="87" spans="1:14" x14ac:dyDescent="0.2">
      <c r="A87" s="564" t="s">
        <v>731</v>
      </c>
      <c r="B87" s="603" t="s">
        <v>735</v>
      </c>
      <c r="C87" s="12" t="s">
        <v>54</v>
      </c>
      <c r="D87" t="s">
        <v>135</v>
      </c>
      <c r="E87" s="696">
        <v>0.253418523461241</v>
      </c>
      <c r="F87" s="595" t="s">
        <v>733</v>
      </c>
      <c r="G87" t="s">
        <v>16</v>
      </c>
      <c r="H87" s="525">
        <v>1</v>
      </c>
      <c r="I87">
        <v>1</v>
      </c>
      <c r="J87">
        <v>1</v>
      </c>
      <c r="K87">
        <v>1</v>
      </c>
      <c r="L87">
        <v>2</v>
      </c>
      <c r="M87" s="693">
        <f t="shared" si="2"/>
        <v>0.34297081055722239</v>
      </c>
      <c r="N87" s="603"/>
    </row>
    <row r="88" spans="1:14" x14ac:dyDescent="0.2">
      <c r="A88" s="564" t="s">
        <v>731</v>
      </c>
      <c r="B88" s="603" t="s">
        <v>735</v>
      </c>
      <c r="C88" s="12" t="s">
        <v>55</v>
      </c>
      <c r="D88" t="s">
        <v>135</v>
      </c>
      <c r="E88" s="696">
        <v>0.27670647881728011</v>
      </c>
      <c r="F88" s="595" t="s">
        <v>733</v>
      </c>
      <c r="G88" t="s">
        <v>16</v>
      </c>
      <c r="H88" s="525">
        <v>1</v>
      </c>
      <c r="I88">
        <v>1</v>
      </c>
      <c r="J88">
        <v>1</v>
      </c>
      <c r="K88">
        <v>1</v>
      </c>
      <c r="L88">
        <v>2</v>
      </c>
      <c r="M88" s="693">
        <f t="shared" si="2"/>
        <v>0.34297081055722239</v>
      </c>
      <c r="N88" s="603"/>
    </row>
    <row r="89" spans="1:14" x14ac:dyDescent="0.2">
      <c r="A89" s="564" t="s">
        <v>731</v>
      </c>
      <c r="B89" s="603" t="s">
        <v>735</v>
      </c>
      <c r="C89" s="12" t="s">
        <v>57</v>
      </c>
      <c r="D89" t="s">
        <v>135</v>
      </c>
      <c r="E89" s="696">
        <v>0.26356035275997136</v>
      </c>
      <c r="F89" s="595" t="s">
        <v>733</v>
      </c>
      <c r="G89" t="s">
        <v>16</v>
      </c>
      <c r="H89" s="525">
        <v>1</v>
      </c>
      <c r="I89">
        <v>1</v>
      </c>
      <c r="J89">
        <v>1</v>
      </c>
      <c r="K89">
        <v>1</v>
      </c>
      <c r="L89">
        <v>2</v>
      </c>
      <c r="M89" s="693">
        <f t="shared" si="2"/>
        <v>0.34297081055722239</v>
      </c>
      <c r="N89" s="603"/>
    </row>
    <row r="90" spans="1:14" x14ac:dyDescent="0.2">
      <c r="A90" s="564" t="s">
        <v>731</v>
      </c>
      <c r="B90" s="603" t="s">
        <v>735</v>
      </c>
      <c r="C90" s="12" t="s">
        <v>59</v>
      </c>
      <c r="D90" t="s">
        <v>135</v>
      </c>
      <c r="E90" s="696">
        <v>0.27535927412781241</v>
      </c>
      <c r="F90" s="595" t="s">
        <v>733</v>
      </c>
      <c r="G90" t="s">
        <v>16</v>
      </c>
      <c r="H90" s="525">
        <v>1</v>
      </c>
      <c r="I90">
        <v>1</v>
      </c>
      <c r="J90">
        <v>1</v>
      </c>
      <c r="K90">
        <v>1</v>
      </c>
      <c r="L90">
        <v>2</v>
      </c>
      <c r="M90" s="693">
        <f t="shared" si="2"/>
        <v>0.34297081055722239</v>
      </c>
      <c r="N90" s="603"/>
    </row>
    <row r="91" spans="1:14" x14ac:dyDescent="0.2">
      <c r="A91" s="564" t="s">
        <v>731</v>
      </c>
      <c r="B91" s="603" t="s">
        <v>735</v>
      </c>
      <c r="C91" s="34" t="s">
        <v>60</v>
      </c>
      <c r="D91" t="s">
        <v>135</v>
      </c>
      <c r="E91" s="696">
        <v>0.27248045230279527</v>
      </c>
      <c r="F91" s="595" t="s">
        <v>733</v>
      </c>
      <c r="G91" t="s">
        <v>16</v>
      </c>
      <c r="H91" s="525">
        <v>1</v>
      </c>
      <c r="I91">
        <v>2</v>
      </c>
      <c r="J91">
        <v>1</v>
      </c>
      <c r="K91">
        <v>1</v>
      </c>
      <c r="L91">
        <v>2</v>
      </c>
      <c r="M91" s="693">
        <f t="shared" si="2"/>
        <v>0.35859414261160716</v>
      </c>
      <c r="N91" s="603"/>
    </row>
    <row r="92" spans="1:14" x14ac:dyDescent="0.2">
      <c r="A92" s="675" t="s">
        <v>736</v>
      </c>
      <c r="B92" s="676" t="s">
        <v>737</v>
      </c>
      <c r="C92" s="180" t="s">
        <v>135</v>
      </c>
      <c r="D92" s="579" t="s">
        <v>135</v>
      </c>
      <c r="E92" s="579">
        <v>0.42</v>
      </c>
      <c r="F92" s="697" t="s">
        <v>738</v>
      </c>
      <c r="G92" s="579" t="s">
        <v>16</v>
      </c>
      <c r="H92" s="701">
        <v>2</v>
      </c>
      <c r="I92" s="579">
        <v>4</v>
      </c>
      <c r="J92" s="579">
        <v>1</v>
      </c>
      <c r="K92" s="579">
        <v>1</v>
      </c>
      <c r="L92" s="579">
        <v>1</v>
      </c>
      <c r="M92" s="703">
        <f t="shared" si="2"/>
        <v>1.0248662490928169</v>
      </c>
      <c r="N92" s="676"/>
    </row>
    <row r="93" spans="1:14" x14ac:dyDescent="0.2">
      <c r="A93" s="564" t="s">
        <v>739</v>
      </c>
      <c r="B93" s="603" t="s">
        <v>740</v>
      </c>
      <c r="C93" s="180" t="s">
        <v>135</v>
      </c>
      <c r="D93" t="s">
        <v>135</v>
      </c>
      <c r="E93">
        <v>0.62</v>
      </c>
      <c r="F93" s="595" t="s">
        <v>738</v>
      </c>
      <c r="G93" t="s">
        <v>16</v>
      </c>
      <c r="H93" s="525">
        <v>2</v>
      </c>
      <c r="I93">
        <v>4</v>
      </c>
      <c r="J93">
        <v>1</v>
      </c>
      <c r="K93">
        <v>1</v>
      </c>
      <c r="L93">
        <v>1</v>
      </c>
      <c r="M93" s="693">
        <f t="shared" si="2"/>
        <v>1.0248662490928169</v>
      </c>
      <c r="N93" s="603"/>
    </row>
    <row r="94" spans="1:14" x14ac:dyDescent="0.2">
      <c r="A94" s="571" t="s">
        <v>741</v>
      </c>
      <c r="B94" s="674" t="s">
        <v>742</v>
      </c>
      <c r="C94" s="698" t="s">
        <v>135</v>
      </c>
      <c r="D94" s="573" t="s">
        <v>135</v>
      </c>
      <c r="E94" s="573">
        <v>0.62</v>
      </c>
      <c r="F94" s="695" t="s">
        <v>743</v>
      </c>
      <c r="G94" s="573" t="s">
        <v>16</v>
      </c>
      <c r="H94" s="533">
        <v>2</v>
      </c>
      <c r="I94" s="573">
        <v>4</v>
      </c>
      <c r="J94" s="573">
        <v>1</v>
      </c>
      <c r="K94" s="573">
        <v>1</v>
      </c>
      <c r="L94" s="573">
        <v>1</v>
      </c>
      <c r="M94" s="694">
        <f t="shared" si="2"/>
        <v>1.0248662490928169</v>
      </c>
      <c r="N94" s="674"/>
    </row>
    <row r="95" spans="1:14" x14ac:dyDescent="0.2">
      <c r="A95" s="581" t="s">
        <v>744</v>
      </c>
      <c r="B95" s="677" t="s">
        <v>745</v>
      </c>
      <c r="C95" s="533" t="s">
        <v>135</v>
      </c>
      <c r="D95" s="582" t="s">
        <v>135</v>
      </c>
      <c r="E95" s="582">
        <f>14/40</f>
        <v>0.35</v>
      </c>
      <c r="F95" s="699" t="s">
        <v>746</v>
      </c>
      <c r="G95" s="582"/>
      <c r="H95" s="702">
        <v>2</v>
      </c>
      <c r="I95" s="582">
        <v>3</v>
      </c>
      <c r="J95" s="582">
        <v>1</v>
      </c>
      <c r="K95" s="582">
        <v>1</v>
      </c>
      <c r="L95" s="582">
        <v>3</v>
      </c>
      <c r="M95" s="704">
        <f t="shared" si="2"/>
        <v>1.0725046436742278</v>
      </c>
      <c r="N95" s="677"/>
    </row>
    <row r="96" spans="1:14" x14ac:dyDescent="0.2">
      <c r="A96" s="564" t="s">
        <v>747</v>
      </c>
      <c r="B96" s="603" t="s">
        <v>748</v>
      </c>
      <c r="C96" s="525" t="s">
        <v>135</v>
      </c>
      <c r="D96" t="s">
        <v>135</v>
      </c>
      <c r="E96">
        <v>260</v>
      </c>
      <c r="F96" s="697" t="s">
        <v>749</v>
      </c>
      <c r="G96" s="579" t="s">
        <v>16</v>
      </c>
      <c r="H96" s="701">
        <v>2</v>
      </c>
      <c r="I96" s="579">
        <v>2</v>
      </c>
      <c r="J96" s="579">
        <v>1</v>
      </c>
      <c r="K96" s="579">
        <v>1</v>
      </c>
      <c r="L96" s="579">
        <v>3</v>
      </c>
      <c r="M96" s="693">
        <f t="shared" si="2"/>
        <v>1.0248662490928169</v>
      </c>
      <c r="N96" s="603"/>
    </row>
    <row r="97" spans="1:14" x14ac:dyDescent="0.2">
      <c r="A97" s="564" t="s">
        <v>750</v>
      </c>
      <c r="B97" s="603" t="s">
        <v>751</v>
      </c>
      <c r="C97" s="525" t="s">
        <v>135</v>
      </c>
      <c r="D97" t="s">
        <v>135</v>
      </c>
      <c r="E97">
        <v>260</v>
      </c>
      <c r="F97" s="595" t="s">
        <v>749</v>
      </c>
      <c r="G97" t="s">
        <v>16</v>
      </c>
      <c r="H97" s="525">
        <v>2</v>
      </c>
      <c r="I97">
        <v>2</v>
      </c>
      <c r="J97">
        <v>1</v>
      </c>
      <c r="K97">
        <v>1</v>
      </c>
      <c r="L97">
        <v>3</v>
      </c>
      <c r="M97" s="693">
        <f t="shared" si="2"/>
        <v>1.0248662490928169</v>
      </c>
      <c r="N97" s="603"/>
    </row>
    <row r="98" spans="1:14" x14ac:dyDescent="0.2">
      <c r="A98" s="564" t="s">
        <v>752</v>
      </c>
      <c r="B98" s="603" t="s">
        <v>753</v>
      </c>
      <c r="C98" s="525" t="s">
        <v>135</v>
      </c>
      <c r="D98" t="s">
        <v>135</v>
      </c>
      <c r="E98">
        <v>69</v>
      </c>
      <c r="F98" s="595" t="s">
        <v>754</v>
      </c>
      <c r="G98" t="s">
        <v>16</v>
      </c>
      <c r="H98" s="525">
        <v>2</v>
      </c>
      <c r="I98">
        <v>2</v>
      </c>
      <c r="J98">
        <v>1</v>
      </c>
      <c r="K98">
        <v>1</v>
      </c>
      <c r="L98">
        <v>3</v>
      </c>
      <c r="M98" s="693">
        <f t="shared" si="2"/>
        <v>1.0248662490928169</v>
      </c>
      <c r="N98" s="603"/>
    </row>
    <row r="99" spans="1:14" x14ac:dyDescent="0.2">
      <c r="A99" s="571" t="s">
        <v>755</v>
      </c>
      <c r="B99" s="674" t="s">
        <v>756</v>
      </c>
      <c r="C99" s="533" t="s">
        <v>135</v>
      </c>
      <c r="D99" s="573" t="s">
        <v>135</v>
      </c>
      <c r="E99" s="573">
        <f>2*12</f>
        <v>24</v>
      </c>
      <c r="F99" s="695" t="s">
        <v>455</v>
      </c>
      <c r="G99" s="573" t="s">
        <v>16</v>
      </c>
      <c r="H99" s="533">
        <v>1</v>
      </c>
      <c r="I99" s="573">
        <v>1</v>
      </c>
      <c r="J99" s="573">
        <v>1</v>
      </c>
      <c r="K99" s="573">
        <v>1</v>
      </c>
      <c r="L99" s="573">
        <v>3</v>
      </c>
      <c r="M99" s="694">
        <f t="shared" ref="M99:M130" si="3">IF( OR( ISBLANK(H99),ISBLANK(I99), ISBLANK(J99), ISBLANK(K99), ISBLANK(L99) ), "", 1.5*SQRT( EXP(2.21*(H99-1)) + EXP(2.21*(I99-1)) + EXP(2.21*(J99-1)) + EXP(2.21*(K99-1)) + EXP(2.21*L99) )/100*2.45 )</f>
        <v>1.0141150152164344</v>
      </c>
      <c r="N99" s="674"/>
    </row>
    <row r="100" spans="1:14" x14ac:dyDescent="0.2">
      <c r="A100" s="564" t="s">
        <v>757</v>
      </c>
      <c r="B100" s="603" t="s">
        <v>758</v>
      </c>
      <c r="C100" s="12" t="s">
        <v>13</v>
      </c>
      <c r="D100" t="s">
        <v>135</v>
      </c>
      <c r="E100" s="700">
        <f t="shared" ref="E100:E129" si="4">68*10^9*(E2/513858582)</f>
        <v>1177896746.6967402</v>
      </c>
      <c r="F100" s="595" t="s">
        <v>759</v>
      </c>
      <c r="G100" t="s">
        <v>16</v>
      </c>
      <c r="H100" s="525">
        <v>2</v>
      </c>
      <c r="I100">
        <v>2</v>
      </c>
      <c r="J100">
        <v>1</v>
      </c>
      <c r="K100">
        <v>1</v>
      </c>
      <c r="L100">
        <v>2</v>
      </c>
      <c r="M100" s="693">
        <f t="shared" si="3"/>
        <v>0.37356464144298934</v>
      </c>
      <c r="N100" s="603" t="s">
        <v>760</v>
      </c>
    </row>
    <row r="101" spans="1:14" x14ac:dyDescent="0.2">
      <c r="A101" s="564" t="s">
        <v>757</v>
      </c>
      <c r="B101" s="603" t="s">
        <v>758</v>
      </c>
      <c r="C101" s="12" t="s">
        <v>18</v>
      </c>
      <c r="D101" t="s">
        <v>135</v>
      </c>
      <c r="E101" s="700">
        <f t="shared" si="4"/>
        <v>1524789012.8650222</v>
      </c>
      <c r="F101" s="595" t="s">
        <v>759</v>
      </c>
      <c r="G101" t="s">
        <v>16</v>
      </c>
      <c r="H101" s="525">
        <v>2</v>
      </c>
      <c r="I101">
        <v>2</v>
      </c>
      <c r="J101">
        <v>1</v>
      </c>
      <c r="K101">
        <v>1</v>
      </c>
      <c r="L101">
        <v>2</v>
      </c>
      <c r="M101" s="693">
        <f t="shared" si="3"/>
        <v>0.37356464144298934</v>
      </c>
      <c r="N101" s="603"/>
    </row>
    <row r="102" spans="1:14" x14ac:dyDescent="0.2">
      <c r="A102" s="564" t="s">
        <v>757</v>
      </c>
      <c r="B102" s="603" t="s">
        <v>758</v>
      </c>
      <c r="C102" s="12" t="s">
        <v>20</v>
      </c>
      <c r="D102" t="s">
        <v>135</v>
      </c>
      <c r="E102" s="700">
        <f t="shared" si="4"/>
        <v>869326144.67845941</v>
      </c>
      <c r="F102" s="595" t="s">
        <v>759</v>
      </c>
      <c r="G102" t="s">
        <v>16</v>
      </c>
      <c r="H102" s="525">
        <v>2</v>
      </c>
      <c r="I102">
        <v>2</v>
      </c>
      <c r="J102">
        <v>1</v>
      </c>
      <c r="K102">
        <v>1</v>
      </c>
      <c r="L102">
        <v>2</v>
      </c>
      <c r="M102" s="693">
        <f t="shared" si="3"/>
        <v>0.37356464144298934</v>
      </c>
      <c r="N102" s="603"/>
    </row>
    <row r="103" spans="1:14" x14ac:dyDescent="0.2">
      <c r="A103" s="564" t="s">
        <v>757</v>
      </c>
      <c r="B103" s="603" t="s">
        <v>758</v>
      </c>
      <c r="C103" s="12" t="s">
        <v>22</v>
      </c>
      <c r="D103" t="s">
        <v>135</v>
      </c>
      <c r="E103" s="700">
        <f t="shared" si="4"/>
        <v>520529883.84263277</v>
      </c>
      <c r="F103" s="595" t="s">
        <v>759</v>
      </c>
      <c r="G103" t="s">
        <v>16</v>
      </c>
      <c r="H103" s="525">
        <v>2</v>
      </c>
      <c r="I103">
        <v>2</v>
      </c>
      <c r="J103">
        <v>1</v>
      </c>
      <c r="K103">
        <v>1</v>
      </c>
      <c r="L103">
        <v>2</v>
      </c>
      <c r="M103" s="693">
        <f t="shared" si="3"/>
        <v>0.37356464144298934</v>
      </c>
      <c r="N103" s="603"/>
    </row>
    <row r="104" spans="1:14" x14ac:dyDescent="0.2">
      <c r="A104" s="564" t="s">
        <v>757</v>
      </c>
      <c r="B104" s="603" t="s">
        <v>758</v>
      </c>
      <c r="C104" s="12" t="s">
        <v>23</v>
      </c>
      <c r="D104" t="s">
        <v>135</v>
      </c>
      <c r="E104" s="700">
        <f t="shared" si="4"/>
        <v>119420350.55862899</v>
      </c>
      <c r="F104" s="595" t="s">
        <v>759</v>
      </c>
      <c r="G104" t="s">
        <v>16</v>
      </c>
      <c r="H104" s="525">
        <v>2</v>
      </c>
      <c r="I104">
        <v>2</v>
      </c>
      <c r="J104">
        <v>1</v>
      </c>
      <c r="K104">
        <v>1</v>
      </c>
      <c r="L104">
        <v>2</v>
      </c>
      <c r="M104" s="693">
        <f t="shared" si="3"/>
        <v>0.37356464144298934</v>
      </c>
      <c r="N104" s="603"/>
    </row>
    <row r="105" spans="1:14" x14ac:dyDescent="0.2">
      <c r="A105" s="564" t="s">
        <v>757</v>
      </c>
      <c r="B105" s="603" t="s">
        <v>758</v>
      </c>
      <c r="C105" s="12" t="s">
        <v>24</v>
      </c>
      <c r="D105" t="s">
        <v>135</v>
      </c>
      <c r="E105" s="700">
        <f t="shared" si="4"/>
        <v>1415151711.9159451</v>
      </c>
      <c r="F105" s="595" t="s">
        <v>759</v>
      </c>
      <c r="G105" t="s">
        <v>16</v>
      </c>
      <c r="H105" s="525">
        <v>2</v>
      </c>
      <c r="I105">
        <v>2</v>
      </c>
      <c r="J105">
        <v>1</v>
      </c>
      <c r="K105">
        <v>1</v>
      </c>
      <c r="L105">
        <v>2</v>
      </c>
      <c r="M105" s="693">
        <f t="shared" si="3"/>
        <v>0.37356464144298934</v>
      </c>
      <c r="N105" s="603"/>
    </row>
    <row r="106" spans="1:14" x14ac:dyDescent="0.2">
      <c r="A106" s="564" t="s">
        <v>757</v>
      </c>
      <c r="B106" s="603" t="s">
        <v>758</v>
      </c>
      <c r="C106" s="12" t="s">
        <v>25</v>
      </c>
      <c r="D106" t="s">
        <v>135</v>
      </c>
      <c r="E106" s="700">
        <f>68*10^9*(E8/513858582)</f>
        <v>770538622.6282779</v>
      </c>
      <c r="F106" s="595" t="s">
        <v>759</v>
      </c>
      <c r="G106" t="s">
        <v>16</v>
      </c>
      <c r="H106" s="525">
        <v>2</v>
      </c>
      <c r="I106">
        <v>2</v>
      </c>
      <c r="J106">
        <v>1</v>
      </c>
      <c r="K106">
        <v>1</v>
      </c>
      <c r="L106">
        <v>2</v>
      </c>
      <c r="M106" s="693">
        <f t="shared" si="3"/>
        <v>0.37356464144298934</v>
      </c>
      <c r="N106" s="603"/>
    </row>
    <row r="107" spans="1:14" x14ac:dyDescent="0.2">
      <c r="A107" s="564" t="s">
        <v>757</v>
      </c>
      <c r="B107" s="603" t="s">
        <v>758</v>
      </c>
      <c r="C107" s="12" t="s">
        <v>26</v>
      </c>
      <c r="D107" t="s">
        <v>135</v>
      </c>
      <c r="E107" s="700">
        <f t="shared" si="4"/>
        <v>175854710.15836805</v>
      </c>
      <c r="F107" s="595" t="s">
        <v>759</v>
      </c>
      <c r="G107" t="s">
        <v>16</v>
      </c>
      <c r="H107" s="525">
        <v>2</v>
      </c>
      <c r="I107">
        <v>2</v>
      </c>
      <c r="J107">
        <v>1</v>
      </c>
      <c r="K107">
        <v>1</v>
      </c>
      <c r="L107">
        <v>2</v>
      </c>
      <c r="M107" s="693">
        <f t="shared" si="3"/>
        <v>0.37356464144298934</v>
      </c>
      <c r="N107" s="603"/>
    </row>
    <row r="108" spans="1:14" x14ac:dyDescent="0.2">
      <c r="A108" s="564" t="s">
        <v>757</v>
      </c>
      <c r="B108" s="603" t="s">
        <v>758</v>
      </c>
      <c r="C108" s="12" t="s">
        <v>27</v>
      </c>
      <c r="D108" t="s">
        <v>135</v>
      </c>
      <c r="E108" s="700">
        <f t="shared" si="4"/>
        <v>731173651.97571039</v>
      </c>
      <c r="F108" s="595" t="s">
        <v>759</v>
      </c>
      <c r="G108" t="s">
        <v>16</v>
      </c>
      <c r="H108" s="525">
        <v>2</v>
      </c>
      <c r="I108">
        <v>2</v>
      </c>
      <c r="J108">
        <v>1</v>
      </c>
      <c r="K108">
        <v>1</v>
      </c>
      <c r="L108">
        <v>2</v>
      </c>
      <c r="M108" s="693">
        <f t="shared" si="3"/>
        <v>0.37356464144298934</v>
      </c>
      <c r="N108" s="603"/>
    </row>
    <row r="109" spans="1:14" x14ac:dyDescent="0.2">
      <c r="A109" s="564" t="s">
        <v>757</v>
      </c>
      <c r="B109" s="603" t="s">
        <v>758</v>
      </c>
      <c r="C109" s="12" t="s">
        <v>28</v>
      </c>
      <c r="D109" t="s">
        <v>135</v>
      </c>
      <c r="E109" s="700">
        <f t="shared" si="4"/>
        <v>8928931867.0949039</v>
      </c>
      <c r="F109" s="595" t="s">
        <v>759</v>
      </c>
      <c r="G109" t="s">
        <v>16</v>
      </c>
      <c r="H109" s="525">
        <v>2</v>
      </c>
      <c r="I109">
        <v>2</v>
      </c>
      <c r="J109">
        <v>1</v>
      </c>
      <c r="K109">
        <v>1</v>
      </c>
      <c r="L109">
        <v>2</v>
      </c>
      <c r="M109" s="693">
        <f t="shared" si="3"/>
        <v>0.37356464144298934</v>
      </c>
      <c r="N109" s="603"/>
    </row>
    <row r="110" spans="1:14" x14ac:dyDescent="0.2">
      <c r="A110" s="564" t="s">
        <v>757</v>
      </c>
      <c r="B110" s="603" t="s">
        <v>758</v>
      </c>
      <c r="C110" s="12" t="s">
        <v>30</v>
      </c>
      <c r="D110" t="s">
        <v>135</v>
      </c>
      <c r="E110" s="700">
        <f t="shared" si="4"/>
        <v>11005627902.503338</v>
      </c>
      <c r="F110" s="595" t="s">
        <v>759</v>
      </c>
      <c r="G110" t="s">
        <v>16</v>
      </c>
      <c r="H110" s="525">
        <v>2</v>
      </c>
      <c r="I110">
        <v>2</v>
      </c>
      <c r="J110">
        <v>1</v>
      </c>
      <c r="K110">
        <v>1</v>
      </c>
      <c r="L110">
        <v>2</v>
      </c>
      <c r="M110" s="693">
        <f t="shared" si="3"/>
        <v>0.37356464144298934</v>
      </c>
      <c r="N110" s="603"/>
    </row>
    <row r="111" spans="1:14" x14ac:dyDescent="0.2">
      <c r="A111" s="564" t="s">
        <v>757</v>
      </c>
      <c r="B111" s="603" t="s">
        <v>758</v>
      </c>
      <c r="C111" s="12" t="s">
        <v>32</v>
      </c>
      <c r="D111" t="s">
        <v>135</v>
      </c>
      <c r="E111" s="700">
        <f t="shared" si="4"/>
        <v>1404386757.9115376</v>
      </c>
      <c r="F111" s="595" t="s">
        <v>759</v>
      </c>
      <c r="G111" t="s">
        <v>16</v>
      </c>
      <c r="H111" s="525">
        <v>2</v>
      </c>
      <c r="I111">
        <v>2</v>
      </c>
      <c r="J111">
        <v>1</v>
      </c>
      <c r="K111">
        <v>1</v>
      </c>
      <c r="L111">
        <v>2</v>
      </c>
      <c r="M111" s="693">
        <f t="shared" si="3"/>
        <v>0.37356464144298934</v>
      </c>
      <c r="N111" s="603"/>
    </row>
    <row r="112" spans="1:14" x14ac:dyDescent="0.2">
      <c r="A112" s="564" t="s">
        <v>757</v>
      </c>
      <c r="B112" s="603" t="s">
        <v>758</v>
      </c>
      <c r="C112" s="12" t="s">
        <v>34</v>
      </c>
      <c r="D112" t="s">
        <v>135</v>
      </c>
      <c r="E112" s="700">
        <f t="shared" si="4"/>
        <v>1282215751.7260263</v>
      </c>
      <c r="F112" s="595" t="s">
        <v>759</v>
      </c>
      <c r="G112" t="s">
        <v>16</v>
      </c>
      <c r="H112" s="525">
        <v>2</v>
      </c>
      <c r="I112">
        <v>2</v>
      </c>
      <c r="J112">
        <v>1</v>
      </c>
      <c r="K112">
        <v>1</v>
      </c>
      <c r="L112">
        <v>2</v>
      </c>
      <c r="M112" s="693">
        <f t="shared" si="3"/>
        <v>0.37356464144298934</v>
      </c>
      <c r="N112" s="603"/>
    </row>
    <row r="113" spans="1:14" x14ac:dyDescent="0.2">
      <c r="A113" s="564" t="s">
        <v>757</v>
      </c>
      <c r="B113" s="603" t="s">
        <v>758</v>
      </c>
      <c r="C113" s="12" t="s">
        <v>36</v>
      </c>
      <c r="D113" t="s">
        <v>135</v>
      </c>
      <c r="E113" s="700">
        <f t="shared" si="4"/>
        <v>663328028.25505793</v>
      </c>
      <c r="F113" s="595" t="s">
        <v>759</v>
      </c>
      <c r="G113" t="s">
        <v>16</v>
      </c>
      <c r="H113" s="525">
        <v>2</v>
      </c>
      <c r="I113">
        <v>2</v>
      </c>
      <c r="J113">
        <v>1</v>
      </c>
      <c r="K113">
        <v>1</v>
      </c>
      <c r="L113">
        <v>2</v>
      </c>
      <c r="M113" s="693">
        <f t="shared" si="3"/>
        <v>0.37356464144298934</v>
      </c>
      <c r="N113" s="603"/>
    </row>
    <row r="114" spans="1:14" x14ac:dyDescent="0.2">
      <c r="A114" s="564" t="s">
        <v>757</v>
      </c>
      <c r="B114" s="603" t="s">
        <v>758</v>
      </c>
      <c r="C114" s="12" t="s">
        <v>37</v>
      </c>
      <c r="D114" t="s">
        <v>135</v>
      </c>
      <c r="E114" s="700">
        <f t="shared" si="4"/>
        <v>7892485065.0835295</v>
      </c>
      <c r="F114" s="595" t="s">
        <v>759</v>
      </c>
      <c r="G114" t="s">
        <v>16</v>
      </c>
      <c r="H114" s="525">
        <v>2</v>
      </c>
      <c r="I114">
        <v>2</v>
      </c>
      <c r="J114">
        <v>1</v>
      </c>
      <c r="K114">
        <v>1</v>
      </c>
      <c r="L114">
        <v>2</v>
      </c>
      <c r="M114" s="693">
        <f t="shared" si="3"/>
        <v>0.37356464144298934</v>
      </c>
      <c r="N114" s="603"/>
    </row>
    <row r="115" spans="1:14" x14ac:dyDescent="0.2">
      <c r="A115" s="564" t="s">
        <v>757</v>
      </c>
      <c r="B115" s="603" t="s">
        <v>758</v>
      </c>
      <c r="C115" s="12" t="s">
        <v>39</v>
      </c>
      <c r="D115" t="s">
        <v>135</v>
      </c>
      <c r="E115" s="700">
        <f t="shared" si="4"/>
        <v>252446693.59244058</v>
      </c>
      <c r="F115" s="595" t="s">
        <v>759</v>
      </c>
      <c r="G115" t="s">
        <v>16</v>
      </c>
      <c r="H115" s="525">
        <v>2</v>
      </c>
      <c r="I115">
        <v>2</v>
      </c>
      <c r="J115">
        <v>1</v>
      </c>
      <c r="K115">
        <v>1</v>
      </c>
      <c r="L115">
        <v>2</v>
      </c>
      <c r="M115" s="693">
        <f t="shared" si="3"/>
        <v>0.37356464144298934</v>
      </c>
      <c r="N115" s="603"/>
    </row>
    <row r="116" spans="1:14" x14ac:dyDescent="0.2">
      <c r="A116" s="564" t="s">
        <v>757</v>
      </c>
      <c r="B116" s="603" t="s">
        <v>758</v>
      </c>
      <c r="C116" s="12" t="s">
        <v>40</v>
      </c>
      <c r="D116" t="s">
        <v>135</v>
      </c>
      <c r="E116" s="700">
        <f t="shared" si="4"/>
        <v>371850237.97072637</v>
      </c>
      <c r="F116" s="595" t="s">
        <v>759</v>
      </c>
      <c r="G116" t="s">
        <v>16</v>
      </c>
      <c r="H116" s="525">
        <v>2</v>
      </c>
      <c r="I116">
        <v>2</v>
      </c>
      <c r="J116">
        <v>1</v>
      </c>
      <c r="K116">
        <v>1</v>
      </c>
      <c r="L116">
        <v>2</v>
      </c>
      <c r="M116" s="693">
        <f t="shared" si="3"/>
        <v>0.37356464144298934</v>
      </c>
      <c r="N116" s="603"/>
    </row>
    <row r="117" spans="1:14" x14ac:dyDescent="0.2">
      <c r="A117" s="564" t="s">
        <v>757</v>
      </c>
      <c r="B117" s="603" t="s">
        <v>758</v>
      </c>
      <c r="C117" s="12" t="s">
        <v>41</v>
      </c>
      <c r="D117" t="s">
        <v>135</v>
      </c>
      <c r="E117" s="700">
        <f t="shared" si="4"/>
        <v>82854204.427785546</v>
      </c>
      <c r="F117" s="595" t="s">
        <v>759</v>
      </c>
      <c r="G117" t="s">
        <v>16</v>
      </c>
      <c r="H117" s="525">
        <v>2</v>
      </c>
      <c r="I117">
        <v>2</v>
      </c>
      <c r="J117">
        <v>1</v>
      </c>
      <c r="K117">
        <v>1</v>
      </c>
      <c r="L117">
        <v>2</v>
      </c>
      <c r="M117" s="693">
        <f t="shared" si="3"/>
        <v>0.37356464144298934</v>
      </c>
      <c r="N117" s="603"/>
    </row>
    <row r="118" spans="1:14" x14ac:dyDescent="0.2">
      <c r="A118" s="564" t="s">
        <v>757</v>
      </c>
      <c r="B118" s="603" t="s">
        <v>758</v>
      </c>
      <c r="C118" s="12" t="s">
        <v>42</v>
      </c>
      <c r="D118" t="s">
        <v>135</v>
      </c>
      <c r="E118" s="700">
        <f t="shared" si="4"/>
        <v>68131858.115001753</v>
      </c>
      <c r="F118" s="595" t="s">
        <v>759</v>
      </c>
      <c r="G118" t="s">
        <v>16</v>
      </c>
      <c r="H118" s="525">
        <v>2</v>
      </c>
      <c r="I118">
        <v>2</v>
      </c>
      <c r="J118">
        <v>1</v>
      </c>
      <c r="K118">
        <v>1</v>
      </c>
      <c r="L118">
        <v>2</v>
      </c>
      <c r="M118" s="693">
        <f t="shared" si="3"/>
        <v>0.37356464144298934</v>
      </c>
      <c r="N118" s="603"/>
    </row>
    <row r="119" spans="1:14" x14ac:dyDescent="0.2">
      <c r="A119" s="564" t="s">
        <v>757</v>
      </c>
      <c r="B119" s="603" t="s">
        <v>758</v>
      </c>
      <c r="C119" s="12" t="s">
        <v>43</v>
      </c>
      <c r="D119" t="s">
        <v>135</v>
      </c>
      <c r="E119" s="700">
        <f t="shared" si="4"/>
        <v>2303582778.3450351</v>
      </c>
      <c r="F119" s="595" t="s">
        <v>759</v>
      </c>
      <c r="G119" t="s">
        <v>16</v>
      </c>
      <c r="H119" s="525">
        <v>2</v>
      </c>
      <c r="I119">
        <v>2</v>
      </c>
      <c r="J119">
        <v>1</v>
      </c>
      <c r="K119">
        <v>1</v>
      </c>
      <c r="L119">
        <v>2</v>
      </c>
      <c r="M119" s="693">
        <f t="shared" si="3"/>
        <v>0.37356464144298934</v>
      </c>
      <c r="N119" s="603"/>
    </row>
    <row r="120" spans="1:14" x14ac:dyDescent="0.2">
      <c r="A120" s="564" t="s">
        <v>757</v>
      </c>
      <c r="B120" s="603" t="s">
        <v>758</v>
      </c>
      <c r="C120" s="12" t="s">
        <v>45</v>
      </c>
      <c r="D120" t="s">
        <v>135</v>
      </c>
      <c r="E120" s="700">
        <f t="shared" si="4"/>
        <v>710303287.29627025</v>
      </c>
      <c r="F120" s="595" t="s">
        <v>759</v>
      </c>
      <c r="G120" t="s">
        <v>16</v>
      </c>
      <c r="H120" s="525">
        <v>2</v>
      </c>
      <c r="I120">
        <v>2</v>
      </c>
      <c r="J120">
        <v>1</v>
      </c>
      <c r="K120">
        <v>1</v>
      </c>
      <c r="L120">
        <v>2</v>
      </c>
      <c r="M120" s="693">
        <f t="shared" si="3"/>
        <v>0.37356464144298934</v>
      </c>
      <c r="N120" s="603"/>
    </row>
    <row r="121" spans="1:14" x14ac:dyDescent="0.2">
      <c r="A121" s="564" t="s">
        <v>757</v>
      </c>
      <c r="B121" s="603" t="s">
        <v>758</v>
      </c>
      <c r="C121" s="12" t="s">
        <v>46</v>
      </c>
      <c r="D121" t="s">
        <v>135</v>
      </c>
      <c r="E121" s="700">
        <f t="shared" si="4"/>
        <v>5023081202.5243158</v>
      </c>
      <c r="F121" s="595" t="s">
        <v>759</v>
      </c>
      <c r="G121" t="s">
        <v>16</v>
      </c>
      <c r="H121" s="525">
        <v>2</v>
      </c>
      <c r="I121">
        <v>2</v>
      </c>
      <c r="J121">
        <v>1</v>
      </c>
      <c r="K121">
        <v>1</v>
      </c>
      <c r="L121">
        <v>2</v>
      </c>
      <c r="M121" s="693">
        <f t="shared" si="3"/>
        <v>0.37356464144298934</v>
      </c>
      <c r="N121" s="603"/>
    </row>
    <row r="122" spans="1:14" x14ac:dyDescent="0.2">
      <c r="A122" s="564" t="s">
        <v>757</v>
      </c>
      <c r="B122" s="603" t="s">
        <v>758</v>
      </c>
      <c r="C122" s="12" t="s">
        <v>48</v>
      </c>
      <c r="D122" t="s">
        <v>135</v>
      </c>
      <c r="E122" s="700">
        <f t="shared" si="4"/>
        <v>1372998106.3155622</v>
      </c>
      <c r="F122" s="595" t="s">
        <v>759</v>
      </c>
      <c r="G122" t="s">
        <v>16</v>
      </c>
      <c r="H122" s="525">
        <v>2</v>
      </c>
      <c r="I122">
        <v>2</v>
      </c>
      <c r="J122">
        <v>1</v>
      </c>
      <c r="K122">
        <v>1</v>
      </c>
      <c r="L122">
        <v>2</v>
      </c>
      <c r="M122" s="693">
        <f t="shared" si="3"/>
        <v>0.37356464144298934</v>
      </c>
      <c r="N122" s="603"/>
    </row>
    <row r="123" spans="1:14" x14ac:dyDescent="0.2">
      <c r="A123" s="564" t="s">
        <v>757</v>
      </c>
      <c r="B123" s="603" t="s">
        <v>758</v>
      </c>
      <c r="C123" s="12" t="s">
        <v>50</v>
      </c>
      <c r="D123" t="s">
        <v>135</v>
      </c>
      <c r="E123" s="700">
        <f t="shared" si="4"/>
        <v>2557826277.5807838</v>
      </c>
      <c r="F123" s="595" t="s">
        <v>759</v>
      </c>
      <c r="G123" t="s">
        <v>16</v>
      </c>
      <c r="H123" s="525">
        <v>2</v>
      </c>
      <c r="I123">
        <v>2</v>
      </c>
      <c r="J123">
        <v>1</v>
      </c>
      <c r="K123">
        <v>1</v>
      </c>
      <c r="L123">
        <v>2</v>
      </c>
      <c r="M123" s="693">
        <f t="shared" si="3"/>
        <v>0.37356464144298934</v>
      </c>
      <c r="N123" s="603"/>
    </row>
    <row r="124" spans="1:14" x14ac:dyDescent="0.2">
      <c r="A124" s="564" t="s">
        <v>757</v>
      </c>
      <c r="B124" s="603" t="s">
        <v>758</v>
      </c>
      <c r="C124" s="12" t="s">
        <v>52</v>
      </c>
      <c r="D124" t="s">
        <v>135</v>
      </c>
      <c r="E124" s="700">
        <f t="shared" si="4"/>
        <v>722251952.19178033</v>
      </c>
      <c r="F124" s="595" t="s">
        <v>759</v>
      </c>
      <c r="G124" t="s">
        <v>16</v>
      </c>
      <c r="H124" s="525">
        <v>2</v>
      </c>
      <c r="I124">
        <v>2</v>
      </c>
      <c r="J124">
        <v>1</v>
      </c>
      <c r="K124">
        <v>1</v>
      </c>
      <c r="L124">
        <v>2</v>
      </c>
      <c r="M124" s="693">
        <f t="shared" si="3"/>
        <v>0.37356464144298934</v>
      </c>
      <c r="N124" s="603"/>
    </row>
    <row r="125" spans="1:14" x14ac:dyDescent="0.2">
      <c r="A125" s="564" t="s">
        <v>757</v>
      </c>
      <c r="B125" s="603" t="s">
        <v>758</v>
      </c>
      <c r="C125" s="12" t="s">
        <v>54</v>
      </c>
      <c r="D125" t="s">
        <v>135</v>
      </c>
      <c r="E125" s="700">
        <f t="shared" si="4"/>
        <v>277349747.56147987</v>
      </c>
      <c r="F125" s="595" t="s">
        <v>759</v>
      </c>
      <c r="G125" t="s">
        <v>16</v>
      </c>
      <c r="H125" s="525">
        <v>2</v>
      </c>
      <c r="I125">
        <v>2</v>
      </c>
      <c r="J125">
        <v>1</v>
      </c>
      <c r="K125">
        <v>1</v>
      </c>
      <c r="L125">
        <v>2</v>
      </c>
      <c r="M125" s="693">
        <f t="shared" si="3"/>
        <v>0.37356464144298934</v>
      </c>
      <c r="N125" s="603"/>
    </row>
    <row r="126" spans="1:14" x14ac:dyDescent="0.2">
      <c r="A126" s="564" t="s">
        <v>757</v>
      </c>
      <c r="B126" s="603" t="s">
        <v>758</v>
      </c>
      <c r="C126" s="12" t="s">
        <v>55</v>
      </c>
      <c r="D126" t="s">
        <v>135</v>
      </c>
      <c r="E126" s="700">
        <f t="shared" si="4"/>
        <v>6261698281.8047009</v>
      </c>
      <c r="F126" s="595" t="s">
        <v>759</v>
      </c>
      <c r="G126" t="s">
        <v>16</v>
      </c>
      <c r="H126" s="525">
        <v>2</v>
      </c>
      <c r="I126">
        <v>2</v>
      </c>
      <c r="J126">
        <v>1</v>
      </c>
      <c r="K126">
        <v>1</v>
      </c>
      <c r="L126">
        <v>2</v>
      </c>
      <c r="M126" s="693">
        <f t="shared" si="3"/>
        <v>0.37356464144298934</v>
      </c>
      <c r="N126" s="603"/>
    </row>
    <row r="127" spans="1:14" x14ac:dyDescent="0.2">
      <c r="A127" s="564" t="s">
        <v>757</v>
      </c>
      <c r="B127" s="603" t="s">
        <v>758</v>
      </c>
      <c r="C127" s="12" t="s">
        <v>57</v>
      </c>
      <c r="D127" t="s">
        <v>135</v>
      </c>
      <c r="E127" s="700">
        <f t="shared" si="4"/>
        <v>1366671836.5715647</v>
      </c>
      <c r="F127" s="595" t="s">
        <v>759</v>
      </c>
      <c r="G127" t="s">
        <v>16</v>
      </c>
      <c r="H127" s="525">
        <v>2</v>
      </c>
      <c r="I127">
        <v>2</v>
      </c>
      <c r="J127">
        <v>1</v>
      </c>
      <c r="K127">
        <v>1</v>
      </c>
      <c r="L127">
        <v>2</v>
      </c>
      <c r="M127" s="693">
        <f t="shared" si="3"/>
        <v>0.37356464144298934</v>
      </c>
      <c r="N127" s="603"/>
    </row>
    <row r="128" spans="1:14" x14ac:dyDescent="0.2">
      <c r="A128" s="564" t="s">
        <v>757</v>
      </c>
      <c r="B128" s="603" t="s">
        <v>758</v>
      </c>
      <c r="C128" s="12" t="s">
        <v>59</v>
      </c>
      <c r="D128" t="s">
        <v>135</v>
      </c>
      <c r="E128" s="700">
        <f t="shared" si="4"/>
        <v>1138854666.438168</v>
      </c>
      <c r="F128" s="595" t="s">
        <v>759</v>
      </c>
      <c r="G128" t="s">
        <v>16</v>
      </c>
      <c r="H128" s="525">
        <v>2</v>
      </c>
      <c r="I128">
        <v>2</v>
      </c>
      <c r="J128">
        <v>1</v>
      </c>
      <c r="K128">
        <v>1</v>
      </c>
      <c r="L128">
        <v>2</v>
      </c>
      <c r="M128" s="693">
        <f t="shared" si="3"/>
        <v>0.37356464144298934</v>
      </c>
      <c r="N128" s="603"/>
    </row>
    <row r="129" spans="1:14" x14ac:dyDescent="0.2">
      <c r="A129" s="571" t="s">
        <v>757</v>
      </c>
      <c r="B129" s="674" t="s">
        <v>758</v>
      </c>
      <c r="C129" s="34" t="s">
        <v>60</v>
      </c>
      <c r="D129" s="573" t="s">
        <v>135</v>
      </c>
      <c r="E129" s="678">
        <f t="shared" si="4"/>
        <v>8869632649.2412262</v>
      </c>
      <c r="F129" s="695" t="s">
        <v>759</v>
      </c>
      <c r="G129" s="573" t="s">
        <v>16</v>
      </c>
      <c r="H129" s="533">
        <v>2</v>
      </c>
      <c r="I129" s="573">
        <v>2</v>
      </c>
      <c r="J129" s="573">
        <v>1</v>
      </c>
      <c r="K129" s="573">
        <v>1</v>
      </c>
      <c r="L129" s="573">
        <v>2</v>
      </c>
      <c r="M129" s="694">
        <f t="shared" si="3"/>
        <v>0.37356464144298934</v>
      </c>
      <c r="N129" s="674"/>
    </row>
    <row r="130" spans="1:14" x14ac:dyDescent="0.2">
      <c r="A130" s="564" t="s">
        <v>761</v>
      </c>
      <c r="B130" s="603" t="s">
        <v>762</v>
      </c>
      <c r="C130" s="533" t="s">
        <v>135</v>
      </c>
      <c r="D130" t="s">
        <v>135</v>
      </c>
      <c r="E130" s="700">
        <f>2.64/((27.07+20.9+20.2)/3)</f>
        <v>0.11618013789056771</v>
      </c>
      <c r="F130" s="595" t="s">
        <v>763</v>
      </c>
      <c r="H130" s="525">
        <v>4</v>
      </c>
      <c r="I130">
        <v>1</v>
      </c>
      <c r="J130">
        <v>1</v>
      </c>
      <c r="K130">
        <v>1</v>
      </c>
      <c r="L130">
        <v>3</v>
      </c>
      <c r="M130" s="693">
        <f t="shared" si="3"/>
        <v>1.4318190233667305</v>
      </c>
      <c r="N130" s="603" t="s">
        <v>764</v>
      </c>
    </row>
    <row r="131" spans="1:14" x14ac:dyDescent="0.2">
      <c r="A131" s="675" t="s">
        <v>765</v>
      </c>
      <c r="B131" s="676" t="s">
        <v>766</v>
      </c>
      <c r="C131" s="525" t="s">
        <v>135</v>
      </c>
      <c r="D131" s="679" t="s">
        <v>14</v>
      </c>
      <c r="E131" s="579">
        <v>0</v>
      </c>
      <c r="F131" s="697" t="s">
        <v>749</v>
      </c>
      <c r="G131" s="579" t="s">
        <v>16</v>
      </c>
      <c r="H131" s="701">
        <v>2</v>
      </c>
      <c r="I131" s="579">
        <v>2</v>
      </c>
      <c r="J131" s="579">
        <v>1</v>
      </c>
      <c r="K131" s="579">
        <v>1</v>
      </c>
      <c r="L131" s="579">
        <v>3</v>
      </c>
      <c r="M131" s="703">
        <f t="shared" ref="M131:M162" si="5">IF( OR( ISBLANK(H131),ISBLANK(I131), ISBLANK(J131), ISBLANK(K131), ISBLANK(L131) ), "", 1.5*SQRT( EXP(2.21*(H131-1)) + EXP(2.21*(I131-1)) + EXP(2.21*(J131-1)) + EXP(2.21*(K131-1)) + EXP(2.21*L131) )/100*2.45 )</f>
        <v>1.0248662490928169</v>
      </c>
      <c r="N131" s="676"/>
    </row>
    <row r="132" spans="1:14" x14ac:dyDescent="0.2">
      <c r="A132" s="564" t="s">
        <v>765</v>
      </c>
      <c r="B132" s="603" t="s">
        <v>766</v>
      </c>
      <c r="C132" s="525" t="s">
        <v>135</v>
      </c>
      <c r="D132" s="27" t="s">
        <v>62</v>
      </c>
      <c r="E132">
        <f>0.1/3+0.06</f>
        <v>9.3333333333333324E-2</v>
      </c>
      <c r="F132" s="595" t="s">
        <v>749</v>
      </c>
      <c r="G132" t="s">
        <v>16</v>
      </c>
      <c r="H132" s="525">
        <v>2</v>
      </c>
      <c r="I132">
        <v>2</v>
      </c>
      <c r="J132">
        <v>1</v>
      </c>
      <c r="K132">
        <v>1</v>
      </c>
      <c r="L132">
        <v>3</v>
      </c>
      <c r="M132" s="693">
        <f t="shared" si="5"/>
        <v>1.0248662490928169</v>
      </c>
      <c r="N132" s="603"/>
    </row>
    <row r="133" spans="1:14" x14ac:dyDescent="0.2">
      <c r="A133" s="564" t="s">
        <v>765</v>
      </c>
      <c r="B133" s="603" t="s">
        <v>766</v>
      </c>
      <c r="C133" s="525" t="s">
        <v>135</v>
      </c>
      <c r="D133" s="27" t="s">
        <v>62</v>
      </c>
      <c r="E133">
        <f>0.02*2.7</f>
        <v>5.4000000000000006E-2</v>
      </c>
      <c r="F133" s="595" t="s">
        <v>746</v>
      </c>
      <c r="H133" s="525">
        <v>2</v>
      </c>
      <c r="I133">
        <v>3</v>
      </c>
      <c r="J133">
        <v>1</v>
      </c>
      <c r="K133">
        <v>1</v>
      </c>
      <c r="L133">
        <v>3</v>
      </c>
      <c r="M133" s="693">
        <f t="shared" si="5"/>
        <v>1.0725046436742278</v>
      </c>
      <c r="N133" s="603"/>
    </row>
    <row r="134" spans="1:14" x14ac:dyDescent="0.2">
      <c r="A134" s="564" t="s">
        <v>765</v>
      </c>
      <c r="B134" s="603" t="s">
        <v>766</v>
      </c>
      <c r="C134" s="525" t="s">
        <v>135</v>
      </c>
      <c r="D134" s="27" t="s">
        <v>62</v>
      </c>
      <c r="E134">
        <f>0.04*2</f>
        <v>0.08</v>
      </c>
      <c r="F134" s="595" t="s">
        <v>746</v>
      </c>
      <c r="H134" s="525">
        <v>2</v>
      </c>
      <c r="I134">
        <v>3</v>
      </c>
      <c r="J134">
        <v>1</v>
      </c>
      <c r="K134">
        <v>1</v>
      </c>
      <c r="L134">
        <v>3</v>
      </c>
      <c r="M134" s="693">
        <f t="shared" si="5"/>
        <v>1.0725046436742278</v>
      </c>
      <c r="N134" s="603"/>
    </row>
    <row r="135" spans="1:14" x14ac:dyDescent="0.2">
      <c r="A135" s="564" t="s">
        <v>765</v>
      </c>
      <c r="B135" s="603" t="s">
        <v>766</v>
      </c>
      <c r="C135" s="525" t="s">
        <v>135</v>
      </c>
      <c r="D135" s="28" t="s">
        <v>64</v>
      </c>
      <c r="E135">
        <f>0.05*2</f>
        <v>0.1</v>
      </c>
      <c r="F135" s="595" t="s">
        <v>746</v>
      </c>
      <c r="H135" s="525">
        <v>2</v>
      </c>
      <c r="I135">
        <v>3</v>
      </c>
      <c r="J135">
        <v>1</v>
      </c>
      <c r="K135">
        <v>1</v>
      </c>
      <c r="L135">
        <v>3</v>
      </c>
      <c r="M135" s="693">
        <f t="shared" si="5"/>
        <v>1.0725046436742278</v>
      </c>
      <c r="N135" s="603"/>
    </row>
    <row r="136" spans="1:14" x14ac:dyDescent="0.2">
      <c r="A136" s="564" t="s">
        <v>765</v>
      </c>
      <c r="B136" s="603" t="s">
        <v>766</v>
      </c>
      <c r="C136" s="525" t="s">
        <v>135</v>
      </c>
      <c r="D136" s="28" t="s">
        <v>64</v>
      </c>
      <c r="E136">
        <f>0.1/3</f>
        <v>3.3333333333333333E-2</v>
      </c>
      <c r="F136" s="595" t="s">
        <v>749</v>
      </c>
      <c r="G136" t="s">
        <v>16</v>
      </c>
      <c r="H136" s="525">
        <v>2</v>
      </c>
      <c r="I136">
        <v>2</v>
      </c>
      <c r="J136">
        <v>1</v>
      </c>
      <c r="K136">
        <v>1</v>
      </c>
      <c r="L136">
        <v>3</v>
      </c>
      <c r="M136" s="693">
        <f t="shared" si="5"/>
        <v>1.0248662490928169</v>
      </c>
      <c r="N136" s="603"/>
    </row>
    <row r="137" spans="1:14" x14ac:dyDescent="0.2">
      <c r="A137" s="564" t="s">
        <v>765</v>
      </c>
      <c r="B137" s="603" t="s">
        <v>766</v>
      </c>
      <c r="C137" s="525" t="s">
        <v>135</v>
      </c>
      <c r="D137" s="29" t="s">
        <v>66</v>
      </c>
      <c r="E137">
        <v>0</v>
      </c>
      <c r="F137" s="595" t="s">
        <v>749</v>
      </c>
      <c r="G137" t="s">
        <v>16</v>
      </c>
      <c r="H137" s="525">
        <v>2</v>
      </c>
      <c r="I137">
        <v>2</v>
      </c>
      <c r="J137">
        <v>1</v>
      </c>
      <c r="K137">
        <v>1</v>
      </c>
      <c r="L137">
        <v>3</v>
      </c>
      <c r="M137" s="693">
        <f t="shared" si="5"/>
        <v>1.0248662490928169</v>
      </c>
      <c r="N137" s="603"/>
    </row>
    <row r="138" spans="1:14" x14ac:dyDescent="0.2">
      <c r="A138" s="564" t="s">
        <v>765</v>
      </c>
      <c r="B138" s="603" t="s">
        <v>766</v>
      </c>
      <c r="C138" s="525" t="s">
        <v>135</v>
      </c>
      <c r="D138" s="30" t="s">
        <v>94</v>
      </c>
      <c r="E138">
        <v>0</v>
      </c>
      <c r="F138" s="595" t="s">
        <v>749</v>
      </c>
      <c r="G138" t="s">
        <v>16</v>
      </c>
      <c r="H138" s="525">
        <v>2</v>
      </c>
      <c r="I138">
        <v>2</v>
      </c>
      <c r="J138">
        <v>1</v>
      </c>
      <c r="K138">
        <v>1</v>
      </c>
      <c r="L138">
        <v>3</v>
      </c>
      <c r="M138" s="693">
        <f t="shared" si="5"/>
        <v>1.0248662490928169</v>
      </c>
      <c r="N138" s="603"/>
    </row>
    <row r="139" spans="1:14" x14ac:dyDescent="0.2">
      <c r="A139" s="564" t="s">
        <v>765</v>
      </c>
      <c r="B139" s="603" t="s">
        <v>766</v>
      </c>
      <c r="C139" s="525" t="s">
        <v>135</v>
      </c>
      <c r="D139" s="31" t="s">
        <v>96</v>
      </c>
      <c r="E139">
        <v>0</v>
      </c>
      <c r="F139" s="595" t="s">
        <v>749</v>
      </c>
      <c r="G139" t="s">
        <v>16</v>
      </c>
      <c r="H139" s="525">
        <v>2</v>
      </c>
      <c r="I139">
        <v>2</v>
      </c>
      <c r="J139">
        <v>1</v>
      </c>
      <c r="K139">
        <v>1</v>
      </c>
      <c r="L139">
        <v>3</v>
      </c>
      <c r="M139" s="693">
        <f t="shared" si="5"/>
        <v>1.0248662490928169</v>
      </c>
      <c r="N139" s="603"/>
    </row>
    <row r="140" spans="1:14" x14ac:dyDescent="0.2">
      <c r="A140" s="564" t="s">
        <v>765</v>
      </c>
      <c r="B140" s="603" t="s">
        <v>766</v>
      </c>
      <c r="C140" s="525" t="s">
        <v>135</v>
      </c>
      <c r="D140" s="32" t="s">
        <v>98</v>
      </c>
      <c r="E140">
        <f>0.04*2.7</f>
        <v>0.10800000000000001</v>
      </c>
      <c r="F140" s="595" t="s">
        <v>746</v>
      </c>
      <c r="H140" s="525">
        <v>2</v>
      </c>
      <c r="I140">
        <v>3</v>
      </c>
      <c r="J140">
        <v>1</v>
      </c>
      <c r="K140">
        <v>1</v>
      </c>
      <c r="L140">
        <v>3</v>
      </c>
      <c r="M140" s="693">
        <f t="shared" si="5"/>
        <v>1.0725046436742278</v>
      </c>
      <c r="N140" s="603"/>
    </row>
    <row r="141" spans="1:14" x14ac:dyDescent="0.2">
      <c r="A141" s="564" t="s">
        <v>765</v>
      </c>
      <c r="B141" s="603" t="s">
        <v>766</v>
      </c>
      <c r="C141" s="525" t="s">
        <v>135</v>
      </c>
      <c r="D141" s="32" t="s">
        <v>98</v>
      </c>
      <c r="E141">
        <f>0.05*2</f>
        <v>0.1</v>
      </c>
      <c r="F141" s="595" t="s">
        <v>746</v>
      </c>
      <c r="H141" s="525">
        <v>2</v>
      </c>
      <c r="I141">
        <v>3</v>
      </c>
      <c r="J141">
        <v>1</v>
      </c>
      <c r="K141">
        <v>1</v>
      </c>
      <c r="L141">
        <v>3</v>
      </c>
      <c r="M141" s="693">
        <f t="shared" si="5"/>
        <v>1.0725046436742278</v>
      </c>
      <c r="N141" s="603"/>
    </row>
    <row r="142" spans="1:14" x14ac:dyDescent="0.2">
      <c r="A142" s="571" t="s">
        <v>765</v>
      </c>
      <c r="B142" s="674" t="s">
        <v>766</v>
      </c>
      <c r="C142" s="533" t="s">
        <v>135</v>
      </c>
      <c r="D142" s="35" t="s">
        <v>98</v>
      </c>
      <c r="E142" s="573">
        <v>0.08</v>
      </c>
      <c r="F142" s="695" t="s">
        <v>749</v>
      </c>
      <c r="G142" s="573" t="s">
        <v>16</v>
      </c>
      <c r="H142" s="533">
        <v>2</v>
      </c>
      <c r="I142" s="573">
        <v>2</v>
      </c>
      <c r="J142" s="573">
        <v>1</v>
      </c>
      <c r="K142" s="573">
        <v>1</v>
      </c>
      <c r="L142" s="573">
        <v>3</v>
      </c>
      <c r="M142" s="694">
        <f t="shared" si="5"/>
        <v>1.0248662490928169</v>
      </c>
      <c r="N142" s="674"/>
    </row>
    <row r="143" spans="1:14" x14ac:dyDescent="0.2">
      <c r="A143" s="564" t="s">
        <v>767</v>
      </c>
      <c r="B143" s="603" t="s">
        <v>766</v>
      </c>
      <c r="C143" s="525" t="s">
        <v>135</v>
      </c>
      <c r="D143" s="13" t="s">
        <v>14</v>
      </c>
      <c r="E143">
        <v>0</v>
      </c>
      <c r="F143" s="595" t="s">
        <v>746</v>
      </c>
      <c r="H143" s="525">
        <v>2</v>
      </c>
      <c r="I143">
        <v>3</v>
      </c>
      <c r="J143">
        <v>1</v>
      </c>
      <c r="K143">
        <v>1</v>
      </c>
      <c r="L143">
        <v>3</v>
      </c>
      <c r="M143" s="693">
        <f t="shared" si="5"/>
        <v>1.0725046436742278</v>
      </c>
      <c r="N143" s="603"/>
    </row>
    <row r="144" spans="1:14" x14ac:dyDescent="0.2">
      <c r="A144" s="564" t="s">
        <v>767</v>
      </c>
      <c r="B144" s="603" t="s">
        <v>766</v>
      </c>
      <c r="C144" s="525" t="s">
        <v>135</v>
      </c>
      <c r="D144" s="27" t="s">
        <v>62</v>
      </c>
      <c r="E144">
        <f>0.44*2.3</f>
        <v>1.012</v>
      </c>
      <c r="F144" s="595" t="s">
        <v>746</v>
      </c>
      <c r="H144" s="525">
        <v>2</v>
      </c>
      <c r="I144">
        <v>3</v>
      </c>
      <c r="J144">
        <v>1</v>
      </c>
      <c r="K144">
        <v>1</v>
      </c>
      <c r="L144">
        <v>3</v>
      </c>
      <c r="M144" s="693">
        <f t="shared" si="5"/>
        <v>1.0725046436742278</v>
      </c>
      <c r="N144" s="603"/>
    </row>
    <row r="145" spans="1:14" x14ac:dyDescent="0.2">
      <c r="A145" s="564" t="s">
        <v>767</v>
      </c>
      <c r="B145" s="603" t="s">
        <v>766</v>
      </c>
      <c r="C145" s="525" t="s">
        <v>135</v>
      </c>
      <c r="D145" s="28" t="s">
        <v>64</v>
      </c>
      <c r="E145">
        <v>0</v>
      </c>
      <c r="F145" s="595" t="s">
        <v>746</v>
      </c>
      <c r="H145" s="525">
        <v>2</v>
      </c>
      <c r="I145">
        <v>3</v>
      </c>
      <c r="J145">
        <v>1</v>
      </c>
      <c r="K145">
        <v>1</v>
      </c>
      <c r="L145">
        <v>3</v>
      </c>
      <c r="M145" s="693">
        <f t="shared" si="5"/>
        <v>1.0725046436742278</v>
      </c>
      <c r="N145" s="603"/>
    </row>
    <row r="146" spans="1:14" x14ac:dyDescent="0.2">
      <c r="A146" s="564" t="s">
        <v>767</v>
      </c>
      <c r="B146" s="603" t="s">
        <v>766</v>
      </c>
      <c r="C146" s="525" t="s">
        <v>135</v>
      </c>
      <c r="D146" s="29" t="s">
        <v>66</v>
      </c>
      <c r="E146">
        <v>0</v>
      </c>
      <c r="F146" s="595" t="s">
        <v>746</v>
      </c>
      <c r="H146" s="525">
        <v>2</v>
      </c>
      <c r="I146">
        <v>3</v>
      </c>
      <c r="J146">
        <v>1</v>
      </c>
      <c r="K146">
        <v>1</v>
      </c>
      <c r="L146">
        <v>3</v>
      </c>
      <c r="M146" s="693">
        <f t="shared" si="5"/>
        <v>1.0725046436742278</v>
      </c>
      <c r="N146" s="603"/>
    </row>
    <row r="147" spans="1:14" x14ac:dyDescent="0.2">
      <c r="A147" s="564" t="s">
        <v>767</v>
      </c>
      <c r="B147" s="603" t="s">
        <v>766</v>
      </c>
      <c r="C147" s="525" t="s">
        <v>135</v>
      </c>
      <c r="D147" s="30" t="s">
        <v>94</v>
      </c>
      <c r="E147">
        <v>0</v>
      </c>
      <c r="F147" s="595" t="s">
        <v>746</v>
      </c>
      <c r="H147" s="525">
        <v>2</v>
      </c>
      <c r="I147">
        <v>3</v>
      </c>
      <c r="J147">
        <v>1</v>
      </c>
      <c r="K147">
        <v>1</v>
      </c>
      <c r="L147">
        <v>3</v>
      </c>
      <c r="M147" s="693">
        <f t="shared" si="5"/>
        <v>1.0725046436742278</v>
      </c>
      <c r="N147" s="603"/>
    </row>
    <row r="148" spans="1:14" x14ac:dyDescent="0.2">
      <c r="A148" s="564" t="s">
        <v>767</v>
      </c>
      <c r="B148" s="603" t="s">
        <v>766</v>
      </c>
      <c r="C148" s="525" t="s">
        <v>135</v>
      </c>
      <c r="D148" s="31" t="s">
        <v>96</v>
      </c>
      <c r="E148">
        <v>0</v>
      </c>
      <c r="F148" s="595" t="s">
        <v>746</v>
      </c>
      <c r="H148" s="525">
        <v>2</v>
      </c>
      <c r="I148">
        <v>3</v>
      </c>
      <c r="J148">
        <v>1</v>
      </c>
      <c r="K148">
        <v>1</v>
      </c>
      <c r="L148">
        <v>3</v>
      </c>
      <c r="M148" s="693">
        <f t="shared" si="5"/>
        <v>1.0725046436742278</v>
      </c>
      <c r="N148" s="603"/>
    </row>
    <row r="149" spans="1:14" x14ac:dyDescent="0.2">
      <c r="A149" s="564" t="s">
        <v>767</v>
      </c>
      <c r="B149" s="603" t="s">
        <v>766</v>
      </c>
      <c r="C149" s="533" t="s">
        <v>135</v>
      </c>
      <c r="D149" s="32" t="s">
        <v>98</v>
      </c>
      <c r="E149" s="573">
        <v>0</v>
      </c>
      <c r="F149" s="595" t="s">
        <v>746</v>
      </c>
      <c r="H149" s="525">
        <v>2</v>
      </c>
      <c r="I149">
        <v>3</v>
      </c>
      <c r="J149">
        <v>1</v>
      </c>
      <c r="K149">
        <v>1</v>
      </c>
      <c r="L149">
        <v>3</v>
      </c>
      <c r="M149" s="693">
        <f t="shared" si="5"/>
        <v>1.0725046436742278</v>
      </c>
      <c r="N149" s="603"/>
    </row>
    <row r="150" spans="1:14" x14ac:dyDescent="0.2">
      <c r="A150" s="675" t="s">
        <v>768</v>
      </c>
      <c r="B150" s="676" t="s">
        <v>766</v>
      </c>
      <c r="C150" s="525" t="s">
        <v>135</v>
      </c>
      <c r="D150" s="679" t="s">
        <v>14</v>
      </c>
      <c r="E150">
        <v>0</v>
      </c>
      <c r="F150" s="697" t="s">
        <v>749</v>
      </c>
      <c r="G150" s="579" t="s">
        <v>16</v>
      </c>
      <c r="H150" s="701">
        <v>2</v>
      </c>
      <c r="I150" s="579">
        <v>2</v>
      </c>
      <c r="J150" s="579">
        <v>1</v>
      </c>
      <c r="K150" s="579">
        <v>1</v>
      </c>
      <c r="L150" s="579">
        <v>3</v>
      </c>
      <c r="M150" s="703">
        <f t="shared" si="5"/>
        <v>1.0248662490928169</v>
      </c>
      <c r="N150" s="676"/>
    </row>
    <row r="151" spans="1:14" x14ac:dyDescent="0.2">
      <c r="A151" s="564" t="s">
        <v>768</v>
      </c>
      <c r="B151" s="603" t="s">
        <v>766</v>
      </c>
      <c r="C151" s="525" t="s">
        <v>135</v>
      </c>
      <c r="D151" s="27" t="s">
        <v>62</v>
      </c>
      <c r="E151">
        <f>0.8+0.9/4+0.39/2</f>
        <v>1.2200000000000002</v>
      </c>
      <c r="F151" s="595" t="s">
        <v>749</v>
      </c>
      <c r="G151" t="s">
        <v>16</v>
      </c>
      <c r="H151" s="525">
        <v>2</v>
      </c>
      <c r="I151">
        <v>2</v>
      </c>
      <c r="J151">
        <v>1</v>
      </c>
      <c r="K151">
        <v>1</v>
      </c>
      <c r="L151">
        <v>3</v>
      </c>
      <c r="M151" s="693">
        <f t="shared" si="5"/>
        <v>1.0248662490928169</v>
      </c>
      <c r="N151" s="603"/>
    </row>
    <row r="152" spans="1:14" x14ac:dyDescent="0.2">
      <c r="A152" s="564" t="s">
        <v>768</v>
      </c>
      <c r="B152" s="603" t="s">
        <v>766</v>
      </c>
      <c r="C152" s="525" t="s">
        <v>135</v>
      </c>
      <c r="D152" s="27" t="s">
        <v>62</v>
      </c>
      <c r="E152">
        <f>0.15*5.1</f>
        <v>0.7649999999999999</v>
      </c>
      <c r="F152" s="595" t="s">
        <v>746</v>
      </c>
      <c r="H152" s="525">
        <v>2</v>
      </c>
      <c r="I152">
        <v>3</v>
      </c>
      <c r="J152">
        <v>1</v>
      </c>
      <c r="K152">
        <v>1</v>
      </c>
      <c r="L152">
        <v>3</v>
      </c>
      <c r="M152" s="693">
        <f t="shared" si="5"/>
        <v>1.0725046436742278</v>
      </c>
      <c r="N152" s="603"/>
    </row>
    <row r="153" spans="1:14" x14ac:dyDescent="0.2">
      <c r="A153" s="564" t="s">
        <v>768</v>
      </c>
      <c r="B153" s="603" t="s">
        <v>766</v>
      </c>
      <c r="C153" s="525" t="s">
        <v>135</v>
      </c>
      <c r="D153" s="27" t="s">
        <v>62</v>
      </c>
      <c r="E153">
        <f>0.23*3.3</f>
        <v>0.75900000000000001</v>
      </c>
      <c r="F153" s="595" t="s">
        <v>746</v>
      </c>
      <c r="H153" s="525">
        <v>2</v>
      </c>
      <c r="I153">
        <v>3</v>
      </c>
      <c r="J153">
        <v>1</v>
      </c>
      <c r="K153">
        <v>1</v>
      </c>
      <c r="L153">
        <v>3</v>
      </c>
      <c r="M153" s="693">
        <f t="shared" si="5"/>
        <v>1.0725046436742278</v>
      </c>
      <c r="N153" s="603"/>
    </row>
    <row r="154" spans="1:14" x14ac:dyDescent="0.2">
      <c r="A154" s="564" t="s">
        <v>768</v>
      </c>
      <c r="B154" s="603" t="s">
        <v>766</v>
      </c>
      <c r="C154" s="525" t="s">
        <v>135</v>
      </c>
      <c r="D154" s="28" t="s">
        <v>64</v>
      </c>
      <c r="E154">
        <f>0.11*5.1</f>
        <v>0.56099999999999994</v>
      </c>
      <c r="F154" s="595" t="s">
        <v>746</v>
      </c>
      <c r="H154" s="525">
        <v>2</v>
      </c>
      <c r="I154">
        <v>3</v>
      </c>
      <c r="J154">
        <v>1</v>
      </c>
      <c r="K154">
        <v>1</v>
      </c>
      <c r="L154">
        <v>3</v>
      </c>
      <c r="M154" s="693">
        <f t="shared" si="5"/>
        <v>1.0725046436742278</v>
      </c>
      <c r="N154" s="603"/>
    </row>
    <row r="155" spans="1:14" x14ac:dyDescent="0.2">
      <c r="A155" s="564" t="s">
        <v>768</v>
      </c>
      <c r="B155" s="603" t="s">
        <v>766</v>
      </c>
      <c r="C155" s="525" t="s">
        <v>135</v>
      </c>
      <c r="D155" s="28" t="s">
        <v>64</v>
      </c>
      <c r="E155">
        <f>0.21*3.3</f>
        <v>0.69299999999999995</v>
      </c>
      <c r="F155" s="595" t="s">
        <v>746</v>
      </c>
      <c r="H155" s="525">
        <v>2</v>
      </c>
      <c r="I155">
        <v>3</v>
      </c>
      <c r="J155">
        <v>1</v>
      </c>
      <c r="K155">
        <v>1</v>
      </c>
      <c r="L155">
        <v>3</v>
      </c>
      <c r="M155" s="693">
        <f t="shared" si="5"/>
        <v>1.0725046436742278</v>
      </c>
      <c r="N155" s="603"/>
    </row>
    <row r="156" spans="1:14" x14ac:dyDescent="0.2">
      <c r="A156" s="564" t="s">
        <v>768</v>
      </c>
      <c r="B156" s="603" t="s">
        <v>766</v>
      </c>
      <c r="C156" s="525" t="s">
        <v>135</v>
      </c>
      <c r="D156" s="28" t="s">
        <v>64</v>
      </c>
      <c r="E156">
        <f>0.9/4+0.39/2</f>
        <v>0.42000000000000004</v>
      </c>
      <c r="F156" s="595" t="s">
        <v>749</v>
      </c>
      <c r="G156" t="s">
        <v>16</v>
      </c>
      <c r="H156" s="525">
        <v>2</v>
      </c>
      <c r="I156">
        <v>2</v>
      </c>
      <c r="J156">
        <v>1</v>
      </c>
      <c r="K156">
        <v>1</v>
      </c>
      <c r="L156">
        <v>3</v>
      </c>
      <c r="M156" s="693">
        <f t="shared" si="5"/>
        <v>1.0248662490928169</v>
      </c>
      <c r="N156" s="603"/>
    </row>
    <row r="157" spans="1:14" x14ac:dyDescent="0.2">
      <c r="A157" s="564" t="s">
        <v>768</v>
      </c>
      <c r="B157" s="603" t="s">
        <v>766</v>
      </c>
      <c r="C157" s="525" t="s">
        <v>135</v>
      </c>
      <c r="D157" s="29" t="s">
        <v>66</v>
      </c>
      <c r="E157">
        <v>0</v>
      </c>
      <c r="F157" s="595" t="s">
        <v>749</v>
      </c>
      <c r="G157" t="s">
        <v>16</v>
      </c>
      <c r="H157" s="525">
        <v>2</v>
      </c>
      <c r="I157">
        <v>2</v>
      </c>
      <c r="J157">
        <v>1</v>
      </c>
      <c r="K157">
        <v>1</v>
      </c>
      <c r="L157">
        <v>3</v>
      </c>
      <c r="M157" s="693">
        <f t="shared" si="5"/>
        <v>1.0248662490928169</v>
      </c>
      <c r="N157" s="603"/>
    </row>
    <row r="158" spans="1:14" x14ac:dyDescent="0.2">
      <c r="A158" s="564" t="s">
        <v>768</v>
      </c>
      <c r="B158" s="603" t="s">
        <v>766</v>
      </c>
      <c r="C158" s="525" t="s">
        <v>135</v>
      </c>
      <c r="D158" s="30" t="s">
        <v>94</v>
      </c>
      <c r="E158">
        <v>0</v>
      </c>
      <c r="F158" s="595" t="s">
        <v>749</v>
      </c>
      <c r="G158" t="s">
        <v>16</v>
      </c>
      <c r="H158" s="525">
        <v>2</v>
      </c>
      <c r="I158">
        <v>2</v>
      </c>
      <c r="J158">
        <v>1</v>
      </c>
      <c r="K158">
        <v>1</v>
      </c>
      <c r="L158">
        <v>3</v>
      </c>
      <c r="M158" s="693">
        <f t="shared" si="5"/>
        <v>1.0248662490928169</v>
      </c>
      <c r="N158" s="603"/>
    </row>
    <row r="159" spans="1:14" x14ac:dyDescent="0.2">
      <c r="A159" s="564" t="s">
        <v>768</v>
      </c>
      <c r="B159" s="603" t="s">
        <v>766</v>
      </c>
      <c r="C159" s="525" t="s">
        <v>135</v>
      </c>
      <c r="D159" s="31" t="s">
        <v>96</v>
      </c>
      <c r="E159">
        <v>0</v>
      </c>
      <c r="F159" s="595" t="s">
        <v>749</v>
      </c>
      <c r="G159" t="s">
        <v>16</v>
      </c>
      <c r="H159" s="525">
        <v>2</v>
      </c>
      <c r="I159">
        <v>2</v>
      </c>
      <c r="J159">
        <v>1</v>
      </c>
      <c r="K159">
        <v>1</v>
      </c>
      <c r="L159">
        <v>3</v>
      </c>
      <c r="M159" s="693">
        <f t="shared" si="5"/>
        <v>1.0248662490928169</v>
      </c>
      <c r="N159" s="603"/>
    </row>
    <row r="160" spans="1:14" x14ac:dyDescent="0.2">
      <c r="A160" s="564" t="s">
        <v>768</v>
      </c>
      <c r="B160" s="603" t="s">
        <v>766</v>
      </c>
      <c r="C160" s="525" t="s">
        <v>135</v>
      </c>
      <c r="D160" s="32" t="s">
        <v>98</v>
      </c>
      <c r="E160">
        <f>0*5.1</f>
        <v>0</v>
      </c>
      <c r="F160" s="595" t="s">
        <v>746</v>
      </c>
      <c r="H160" s="525">
        <v>2</v>
      </c>
      <c r="I160">
        <v>3</v>
      </c>
      <c r="J160">
        <v>1</v>
      </c>
      <c r="K160">
        <v>1</v>
      </c>
      <c r="L160">
        <v>3</v>
      </c>
      <c r="M160" s="693">
        <f t="shared" si="5"/>
        <v>1.0725046436742278</v>
      </c>
      <c r="N160" s="603"/>
    </row>
    <row r="161" spans="1:14" x14ac:dyDescent="0.2">
      <c r="A161" s="564" t="s">
        <v>768</v>
      </c>
      <c r="B161" s="603" t="s">
        <v>766</v>
      </c>
      <c r="C161" s="525" t="s">
        <v>135</v>
      </c>
      <c r="D161" s="32" t="s">
        <v>98</v>
      </c>
      <c r="E161">
        <f>0.14*3.3</f>
        <v>0.46200000000000002</v>
      </c>
      <c r="F161" s="595" t="s">
        <v>746</v>
      </c>
      <c r="H161" s="525">
        <v>2</v>
      </c>
      <c r="I161">
        <v>3</v>
      </c>
      <c r="J161">
        <v>1</v>
      </c>
      <c r="K161">
        <v>1</v>
      </c>
      <c r="L161">
        <v>3</v>
      </c>
      <c r="M161" s="693">
        <f t="shared" si="5"/>
        <v>1.0725046436742278</v>
      </c>
      <c r="N161" s="603"/>
    </row>
    <row r="162" spans="1:14" x14ac:dyDescent="0.2">
      <c r="A162" s="571" t="s">
        <v>768</v>
      </c>
      <c r="B162" s="674" t="s">
        <v>766</v>
      </c>
      <c r="C162" s="533" t="s">
        <v>135</v>
      </c>
      <c r="D162" s="35" t="s">
        <v>98</v>
      </c>
      <c r="E162" s="573">
        <f>0.9/4</f>
        <v>0.22500000000000001</v>
      </c>
      <c r="F162" s="695" t="s">
        <v>749</v>
      </c>
      <c r="G162" s="573" t="s">
        <v>16</v>
      </c>
      <c r="H162" s="533">
        <v>2</v>
      </c>
      <c r="I162" s="573">
        <v>2</v>
      </c>
      <c r="J162" s="573">
        <v>1</v>
      </c>
      <c r="K162" s="573">
        <v>1</v>
      </c>
      <c r="L162" s="573">
        <v>3</v>
      </c>
      <c r="M162" s="694">
        <f t="shared" si="5"/>
        <v>1.0248662490928169</v>
      </c>
      <c r="N162" s="674"/>
    </row>
    <row r="163" spans="1:14" x14ac:dyDescent="0.2">
      <c r="A163" s="564" t="s">
        <v>769</v>
      </c>
      <c r="B163" s="603" t="s">
        <v>766</v>
      </c>
      <c r="C163" s="525" t="s">
        <v>135</v>
      </c>
      <c r="D163" s="13" t="s">
        <v>14</v>
      </c>
      <c r="E163">
        <v>0</v>
      </c>
      <c r="F163" s="595" t="s">
        <v>746</v>
      </c>
      <c r="H163" s="525">
        <v>2</v>
      </c>
      <c r="I163">
        <v>3</v>
      </c>
      <c r="J163">
        <v>1</v>
      </c>
      <c r="K163">
        <v>1</v>
      </c>
      <c r="L163">
        <v>3</v>
      </c>
      <c r="M163" s="693">
        <f t="shared" ref="M163:M181" si="6">IF( OR( ISBLANK(H163),ISBLANK(I163), ISBLANK(J163), ISBLANK(K163), ISBLANK(L163) ), "", 1.5*SQRT( EXP(2.21*(H163-1)) + EXP(2.21*(I163-1)) + EXP(2.21*(J163-1)) + EXP(2.21*(K163-1)) + EXP(2.21*L163) )/100*2.45 )</f>
        <v>1.0725046436742278</v>
      </c>
      <c r="N163" s="603"/>
    </row>
    <row r="164" spans="1:14" x14ac:dyDescent="0.2">
      <c r="A164" s="564" t="s">
        <v>769</v>
      </c>
      <c r="B164" s="603" t="s">
        <v>766</v>
      </c>
      <c r="C164" s="525" t="s">
        <v>135</v>
      </c>
      <c r="D164" s="27" t="s">
        <v>62</v>
      </c>
      <c r="E164">
        <v>0</v>
      </c>
      <c r="F164" s="595" t="s">
        <v>746</v>
      </c>
      <c r="H164" s="525">
        <v>2</v>
      </c>
      <c r="I164">
        <v>3</v>
      </c>
      <c r="J164">
        <v>1</v>
      </c>
      <c r="K164">
        <v>1</v>
      </c>
      <c r="L164">
        <v>3</v>
      </c>
      <c r="M164" s="693">
        <f t="shared" si="6"/>
        <v>1.0725046436742278</v>
      </c>
      <c r="N164" s="603"/>
    </row>
    <row r="165" spans="1:14" x14ac:dyDescent="0.2">
      <c r="A165" s="564" t="s">
        <v>769</v>
      </c>
      <c r="B165" s="603" t="s">
        <v>766</v>
      </c>
      <c r="C165" s="525" t="s">
        <v>135</v>
      </c>
      <c r="D165" s="28" t="s">
        <v>64</v>
      </c>
      <c r="E165">
        <f>0.35*2</f>
        <v>0.7</v>
      </c>
      <c r="F165" s="595" t="s">
        <v>746</v>
      </c>
      <c r="H165" s="525">
        <v>2</v>
      </c>
      <c r="I165">
        <v>3</v>
      </c>
      <c r="J165">
        <v>1</v>
      </c>
      <c r="K165">
        <v>1</v>
      </c>
      <c r="L165">
        <v>3</v>
      </c>
      <c r="M165" s="693">
        <f t="shared" si="6"/>
        <v>1.0725046436742278</v>
      </c>
      <c r="N165" s="603"/>
    </row>
    <row r="166" spans="1:14" x14ac:dyDescent="0.2">
      <c r="A166" s="564" t="s">
        <v>769</v>
      </c>
      <c r="B166" s="603" t="s">
        <v>766</v>
      </c>
      <c r="C166" s="525" t="s">
        <v>135</v>
      </c>
      <c r="D166" s="29" t="s">
        <v>66</v>
      </c>
      <c r="E166">
        <v>0</v>
      </c>
      <c r="F166" s="595" t="s">
        <v>746</v>
      </c>
      <c r="H166" s="525">
        <v>2</v>
      </c>
      <c r="I166">
        <v>3</v>
      </c>
      <c r="J166">
        <v>1</v>
      </c>
      <c r="K166">
        <v>1</v>
      </c>
      <c r="L166">
        <v>3</v>
      </c>
      <c r="M166" s="693">
        <f t="shared" si="6"/>
        <v>1.0725046436742278</v>
      </c>
      <c r="N166" s="603"/>
    </row>
    <row r="167" spans="1:14" x14ac:dyDescent="0.2">
      <c r="A167" s="564" t="s">
        <v>769</v>
      </c>
      <c r="B167" s="603" t="s">
        <v>766</v>
      </c>
      <c r="C167" s="525" t="s">
        <v>135</v>
      </c>
      <c r="D167" s="30" t="s">
        <v>94</v>
      </c>
      <c r="E167">
        <v>0</v>
      </c>
      <c r="F167" s="595" t="s">
        <v>746</v>
      </c>
      <c r="H167" s="525">
        <v>2</v>
      </c>
      <c r="I167">
        <v>3</v>
      </c>
      <c r="J167">
        <v>1</v>
      </c>
      <c r="K167">
        <v>1</v>
      </c>
      <c r="L167">
        <v>3</v>
      </c>
      <c r="M167" s="693">
        <f t="shared" si="6"/>
        <v>1.0725046436742278</v>
      </c>
      <c r="N167" s="603"/>
    </row>
    <row r="168" spans="1:14" x14ac:dyDescent="0.2">
      <c r="A168" s="564" t="s">
        <v>769</v>
      </c>
      <c r="B168" s="603" t="s">
        <v>766</v>
      </c>
      <c r="C168" s="525" t="s">
        <v>135</v>
      </c>
      <c r="D168" s="31" t="s">
        <v>96</v>
      </c>
      <c r="E168">
        <v>0</v>
      </c>
      <c r="F168" s="595" t="s">
        <v>746</v>
      </c>
      <c r="H168" s="525">
        <v>2</v>
      </c>
      <c r="I168">
        <v>3</v>
      </c>
      <c r="J168">
        <v>1</v>
      </c>
      <c r="K168">
        <v>1</v>
      </c>
      <c r="L168">
        <v>3</v>
      </c>
      <c r="M168" s="693">
        <f t="shared" si="6"/>
        <v>1.0725046436742278</v>
      </c>
      <c r="N168" s="603"/>
    </row>
    <row r="169" spans="1:14" x14ac:dyDescent="0.2">
      <c r="A169" s="564" t="s">
        <v>769</v>
      </c>
      <c r="B169" s="603" t="s">
        <v>766</v>
      </c>
      <c r="C169" s="533" t="s">
        <v>135</v>
      </c>
      <c r="D169" s="32" t="s">
        <v>98</v>
      </c>
      <c r="E169">
        <v>0</v>
      </c>
      <c r="F169" s="595" t="s">
        <v>746</v>
      </c>
      <c r="H169" s="525">
        <v>2</v>
      </c>
      <c r="I169">
        <v>3</v>
      </c>
      <c r="J169">
        <v>1</v>
      </c>
      <c r="K169">
        <v>1</v>
      </c>
      <c r="L169">
        <v>3</v>
      </c>
      <c r="M169" s="693">
        <f t="shared" si="6"/>
        <v>1.0725046436742278</v>
      </c>
      <c r="N169" s="603"/>
    </row>
    <row r="170" spans="1:14" x14ac:dyDescent="0.2">
      <c r="A170" s="675" t="s">
        <v>770</v>
      </c>
      <c r="B170" s="676" t="s">
        <v>766</v>
      </c>
      <c r="C170" s="525" t="s">
        <v>135</v>
      </c>
      <c r="D170" s="679" t="s">
        <v>14</v>
      </c>
      <c r="E170" s="579">
        <v>0</v>
      </c>
      <c r="F170" s="697" t="s">
        <v>746</v>
      </c>
      <c r="G170" s="579"/>
      <c r="H170" s="701">
        <v>2</v>
      </c>
      <c r="I170" s="579">
        <v>3</v>
      </c>
      <c r="J170" s="579">
        <v>1</v>
      </c>
      <c r="K170" s="579">
        <v>1</v>
      </c>
      <c r="L170" s="579">
        <v>3</v>
      </c>
      <c r="M170" s="703">
        <f t="shared" si="6"/>
        <v>1.0725046436742278</v>
      </c>
      <c r="N170" s="676"/>
    </row>
    <row r="171" spans="1:14" x14ac:dyDescent="0.2">
      <c r="A171" s="564" t="s">
        <v>770</v>
      </c>
      <c r="B171" s="603" t="s">
        <v>766</v>
      </c>
      <c r="C171" s="525" t="s">
        <v>135</v>
      </c>
      <c r="D171" s="27" t="s">
        <v>62</v>
      </c>
      <c r="E171">
        <v>0</v>
      </c>
      <c r="F171" s="595" t="s">
        <v>746</v>
      </c>
      <c r="H171" s="525">
        <v>2</v>
      </c>
      <c r="I171">
        <v>3</v>
      </c>
      <c r="J171">
        <v>1</v>
      </c>
      <c r="K171">
        <v>1</v>
      </c>
      <c r="L171">
        <v>3</v>
      </c>
      <c r="M171" s="693">
        <f t="shared" si="6"/>
        <v>1.0725046436742278</v>
      </c>
      <c r="N171" s="603"/>
    </row>
    <row r="172" spans="1:14" x14ac:dyDescent="0.2">
      <c r="A172" s="564" t="s">
        <v>770</v>
      </c>
      <c r="B172" s="603" t="s">
        <v>766</v>
      </c>
      <c r="C172" s="525" t="s">
        <v>135</v>
      </c>
      <c r="D172" s="28" t="s">
        <v>64</v>
      </c>
      <c r="E172">
        <v>0</v>
      </c>
      <c r="F172" s="595" t="s">
        <v>746</v>
      </c>
      <c r="H172" s="525">
        <v>2</v>
      </c>
      <c r="I172">
        <v>3</v>
      </c>
      <c r="J172">
        <v>1</v>
      </c>
      <c r="K172">
        <v>1</v>
      </c>
      <c r="L172">
        <v>3</v>
      </c>
      <c r="M172" s="693">
        <f t="shared" si="6"/>
        <v>1.0725046436742278</v>
      </c>
      <c r="N172" s="603"/>
    </row>
    <row r="173" spans="1:14" x14ac:dyDescent="0.2">
      <c r="A173" s="564" t="s">
        <v>770</v>
      </c>
      <c r="B173" s="603" t="s">
        <v>766</v>
      </c>
      <c r="C173" s="525" t="s">
        <v>135</v>
      </c>
      <c r="D173" s="29" t="s">
        <v>66</v>
      </c>
      <c r="E173">
        <v>0</v>
      </c>
      <c r="F173" s="595" t="s">
        <v>746</v>
      </c>
      <c r="H173" s="525">
        <v>2</v>
      </c>
      <c r="I173">
        <v>3</v>
      </c>
      <c r="J173">
        <v>1</v>
      </c>
      <c r="K173">
        <v>1</v>
      </c>
      <c r="L173">
        <v>3</v>
      </c>
      <c r="M173" s="693">
        <f t="shared" si="6"/>
        <v>1.0725046436742278</v>
      </c>
      <c r="N173" s="603"/>
    </row>
    <row r="174" spans="1:14" x14ac:dyDescent="0.2">
      <c r="A174" s="564" t="s">
        <v>770</v>
      </c>
      <c r="B174" s="603" t="s">
        <v>766</v>
      </c>
      <c r="C174" s="525" t="s">
        <v>135</v>
      </c>
      <c r="D174" s="30" t="s">
        <v>94</v>
      </c>
      <c r="E174">
        <v>0</v>
      </c>
      <c r="F174" s="595" t="s">
        <v>746</v>
      </c>
      <c r="H174" s="525">
        <v>2</v>
      </c>
      <c r="I174">
        <v>3</v>
      </c>
      <c r="J174">
        <v>1</v>
      </c>
      <c r="K174">
        <v>1</v>
      </c>
      <c r="L174">
        <v>3</v>
      </c>
      <c r="M174" s="693">
        <f t="shared" si="6"/>
        <v>1.0725046436742278</v>
      </c>
      <c r="N174" s="603"/>
    </row>
    <row r="175" spans="1:14" x14ac:dyDescent="0.2">
      <c r="A175" s="564" t="s">
        <v>770</v>
      </c>
      <c r="B175" s="603" t="s">
        <v>766</v>
      </c>
      <c r="C175" s="525" t="s">
        <v>135</v>
      </c>
      <c r="D175" s="31" t="s">
        <v>96</v>
      </c>
      <c r="E175">
        <v>0</v>
      </c>
      <c r="F175" s="595" t="s">
        <v>746</v>
      </c>
      <c r="H175" s="525">
        <v>2</v>
      </c>
      <c r="I175">
        <v>3</v>
      </c>
      <c r="J175">
        <v>1</v>
      </c>
      <c r="K175">
        <v>1</v>
      </c>
      <c r="L175">
        <v>3</v>
      </c>
      <c r="M175" s="693">
        <f t="shared" si="6"/>
        <v>1.0725046436742278</v>
      </c>
      <c r="N175" s="603"/>
    </row>
    <row r="176" spans="1:14" x14ac:dyDescent="0.2">
      <c r="A176" s="564" t="s">
        <v>770</v>
      </c>
      <c r="B176" s="603" t="s">
        <v>766</v>
      </c>
      <c r="C176" s="525" t="s">
        <v>135</v>
      </c>
      <c r="D176" s="32" t="s">
        <v>98</v>
      </c>
      <c r="E176">
        <f>0.2*7.7</f>
        <v>1.54</v>
      </c>
      <c r="F176" s="595" t="s">
        <v>746</v>
      </c>
      <c r="H176" s="525">
        <v>2</v>
      </c>
      <c r="I176">
        <v>3</v>
      </c>
      <c r="J176">
        <v>1</v>
      </c>
      <c r="K176">
        <v>1</v>
      </c>
      <c r="L176">
        <v>3</v>
      </c>
      <c r="M176" s="693">
        <f t="shared" si="6"/>
        <v>1.0725046436742278</v>
      </c>
      <c r="N176" s="603"/>
    </row>
    <row r="177" spans="1:14" x14ac:dyDescent="0.2">
      <c r="A177" s="571" t="s">
        <v>770</v>
      </c>
      <c r="B177" s="674" t="s">
        <v>766</v>
      </c>
      <c r="C177" s="533" t="s">
        <v>135</v>
      </c>
      <c r="D177" s="35" t="s">
        <v>98</v>
      </c>
      <c r="E177" s="573">
        <f>0.2*13.5</f>
        <v>2.7</v>
      </c>
      <c r="F177" s="695" t="s">
        <v>746</v>
      </c>
      <c r="G177" s="573"/>
      <c r="H177" s="533">
        <v>2</v>
      </c>
      <c r="I177" s="573">
        <v>3</v>
      </c>
      <c r="J177" s="573">
        <v>1</v>
      </c>
      <c r="K177" s="573">
        <v>1</v>
      </c>
      <c r="L177" s="573">
        <v>3</v>
      </c>
      <c r="M177" s="694">
        <f t="shared" si="6"/>
        <v>1.0725046436742278</v>
      </c>
      <c r="N177" s="674"/>
    </row>
    <row r="178" spans="1:14" x14ac:dyDescent="0.2">
      <c r="A178" s="675" t="s">
        <v>771</v>
      </c>
      <c r="B178" s="676" t="s">
        <v>766</v>
      </c>
      <c r="C178" s="525" t="s">
        <v>135</v>
      </c>
      <c r="D178" s="679" t="s">
        <v>14</v>
      </c>
      <c r="E178" s="579">
        <v>0</v>
      </c>
      <c r="F178" s="697" t="s">
        <v>746</v>
      </c>
      <c r="G178" s="579"/>
      <c r="H178" s="701">
        <v>2</v>
      </c>
      <c r="I178" s="579">
        <v>3</v>
      </c>
      <c r="J178" s="579">
        <v>1</v>
      </c>
      <c r="K178" s="579">
        <v>1</v>
      </c>
      <c r="L178" s="579">
        <v>3</v>
      </c>
      <c r="M178" s="703">
        <f t="shared" si="6"/>
        <v>1.0725046436742278</v>
      </c>
      <c r="N178" s="676"/>
    </row>
    <row r="179" spans="1:14" x14ac:dyDescent="0.2">
      <c r="A179" s="564" t="s">
        <v>771</v>
      </c>
      <c r="B179" s="603" t="s">
        <v>766</v>
      </c>
      <c r="C179" s="525" t="s">
        <v>135</v>
      </c>
      <c r="D179" s="27" t="s">
        <v>62</v>
      </c>
      <c r="E179">
        <f>0.08*1.4</f>
        <v>0.11199999999999999</v>
      </c>
      <c r="F179" s="595" t="s">
        <v>746</v>
      </c>
      <c r="H179" s="525">
        <v>2</v>
      </c>
      <c r="I179">
        <v>3</v>
      </c>
      <c r="J179">
        <v>1</v>
      </c>
      <c r="K179">
        <v>1</v>
      </c>
      <c r="L179">
        <v>3</v>
      </c>
      <c r="M179" s="693">
        <f t="shared" si="6"/>
        <v>1.0725046436742278</v>
      </c>
      <c r="N179" s="603"/>
    </row>
    <row r="180" spans="1:14" x14ac:dyDescent="0.2">
      <c r="A180" s="564" t="s">
        <v>771</v>
      </c>
      <c r="B180" s="603" t="s">
        <v>766</v>
      </c>
      <c r="C180" s="525" t="s">
        <v>135</v>
      </c>
      <c r="D180" s="27" t="s">
        <v>62</v>
      </c>
      <c r="E180">
        <f>0.08*1.7</f>
        <v>0.13600000000000001</v>
      </c>
      <c r="F180" s="595" t="s">
        <v>746</v>
      </c>
      <c r="H180" s="525">
        <v>2</v>
      </c>
      <c r="I180">
        <v>3</v>
      </c>
      <c r="J180">
        <v>1</v>
      </c>
      <c r="K180">
        <v>1</v>
      </c>
      <c r="L180">
        <v>3</v>
      </c>
      <c r="M180" s="693">
        <f t="shared" si="6"/>
        <v>1.0725046436742278</v>
      </c>
      <c r="N180" s="603"/>
    </row>
    <row r="181" spans="1:14" x14ac:dyDescent="0.2">
      <c r="A181" s="564" t="s">
        <v>771</v>
      </c>
      <c r="B181" s="603" t="s">
        <v>766</v>
      </c>
      <c r="C181" s="525" t="s">
        <v>135</v>
      </c>
      <c r="D181" s="28" t="s">
        <v>64</v>
      </c>
      <c r="E181">
        <f>0.17*1.4</f>
        <v>0.23799999999999999</v>
      </c>
      <c r="F181" s="595" t="s">
        <v>746</v>
      </c>
      <c r="H181" s="525">
        <v>2</v>
      </c>
      <c r="I181">
        <v>3</v>
      </c>
      <c r="J181">
        <v>1</v>
      </c>
      <c r="K181">
        <v>1</v>
      </c>
      <c r="L181">
        <v>3</v>
      </c>
      <c r="M181" s="693">
        <f t="shared" si="6"/>
        <v>1.0725046436742278</v>
      </c>
      <c r="N181" s="603"/>
    </row>
    <row r="182" spans="1:14" x14ac:dyDescent="0.2">
      <c r="A182" s="564" t="s">
        <v>771</v>
      </c>
      <c r="B182" s="603" t="s">
        <v>766</v>
      </c>
      <c r="C182" s="525" t="s">
        <v>135</v>
      </c>
      <c r="D182" s="28" t="s">
        <v>64</v>
      </c>
      <c r="E182">
        <f>0.17*1.7</f>
        <v>0.28900000000000003</v>
      </c>
      <c r="F182" s="595" t="s">
        <v>746</v>
      </c>
      <c r="H182" s="525">
        <v>2</v>
      </c>
      <c r="I182">
        <v>3</v>
      </c>
      <c r="J182">
        <v>1</v>
      </c>
      <c r="K182">
        <v>1</v>
      </c>
      <c r="L182">
        <v>3</v>
      </c>
      <c r="M182" s="693">
        <f>IF( OR( ISBLANK(H182),ISBLANK(I182), ISBLANK(J182), ISBLANK(K182), ISBLANK(L182) ), "", 1.5*SQRT(   EXP(2.21*(H182-1)) + EXP(2.21*(I182-1)) + EXP(2.21*(J182-1)) + EXP(2.21*(K182-1)) + EXP(2.21*L182)   )/100*2.45 )</f>
        <v>1.0725046436742278</v>
      </c>
      <c r="N182" s="603"/>
    </row>
    <row r="183" spans="1:14" x14ac:dyDescent="0.2">
      <c r="A183" s="564" t="s">
        <v>771</v>
      </c>
      <c r="B183" s="603" t="s">
        <v>766</v>
      </c>
      <c r="C183" s="525" t="s">
        <v>135</v>
      </c>
      <c r="D183" s="29" t="s">
        <v>66</v>
      </c>
      <c r="E183">
        <v>0</v>
      </c>
      <c r="F183" s="595" t="s">
        <v>746</v>
      </c>
      <c r="H183" s="525">
        <v>2</v>
      </c>
      <c r="I183">
        <v>3</v>
      </c>
      <c r="J183">
        <v>1</v>
      </c>
      <c r="K183">
        <v>1</v>
      </c>
      <c r="L183">
        <v>3</v>
      </c>
      <c r="M183" s="693">
        <f>IF( OR( ISBLANK(H183),ISBLANK(I183), ISBLANK(J183), ISBLANK(K183), ISBLANK(L183) ), "", 1.5*SQRT( EXP(2.21*(H183-1)) + EXP(2.21*(I183-1)) + EXP(2.21*(J183-1)) + EXP(2.21*(K183-1)) + EXP(2.21*L183) )/100*2.45 )</f>
        <v>1.0725046436742278</v>
      </c>
      <c r="N183" s="603"/>
    </row>
    <row r="184" spans="1:14" x14ac:dyDescent="0.2">
      <c r="A184" s="564" t="s">
        <v>771</v>
      </c>
      <c r="B184" s="603" t="s">
        <v>766</v>
      </c>
      <c r="C184" s="525" t="s">
        <v>135</v>
      </c>
      <c r="D184" s="30" t="s">
        <v>94</v>
      </c>
      <c r="E184">
        <v>0</v>
      </c>
      <c r="F184" s="595" t="s">
        <v>746</v>
      </c>
      <c r="H184" s="525">
        <v>2</v>
      </c>
      <c r="I184">
        <v>3</v>
      </c>
      <c r="J184">
        <v>1</v>
      </c>
      <c r="K184">
        <v>1</v>
      </c>
      <c r="L184">
        <v>3</v>
      </c>
      <c r="M184" s="693">
        <f>IF( OR( ISBLANK(H184),ISBLANK(I184), ISBLANK(J184), ISBLANK(K184), ISBLANK(L184) ), "", 1.5*SQRT( EXP(2.21*(H184-1)) + EXP(2.21*(I184-1)) + EXP(2.21*(J184-1)) + EXP(2.21*(K184-1)) + EXP(2.21*L184) )/100*2.45 )</f>
        <v>1.0725046436742278</v>
      </c>
      <c r="N184" s="603"/>
    </row>
    <row r="185" spans="1:14" x14ac:dyDescent="0.2">
      <c r="A185" s="564" t="s">
        <v>771</v>
      </c>
      <c r="B185" s="603" t="s">
        <v>766</v>
      </c>
      <c r="C185" s="525" t="s">
        <v>135</v>
      </c>
      <c r="D185" s="31" t="s">
        <v>96</v>
      </c>
      <c r="E185">
        <v>0</v>
      </c>
      <c r="F185" s="595" t="s">
        <v>746</v>
      </c>
      <c r="H185" s="525">
        <v>2</v>
      </c>
      <c r="I185">
        <v>3</v>
      </c>
      <c r="J185">
        <v>1</v>
      </c>
      <c r="K185">
        <v>1</v>
      </c>
      <c r="L185">
        <v>3</v>
      </c>
      <c r="M185" s="693">
        <f>IF( OR( ISBLANK(H185),ISBLANK(I185), ISBLANK(J185), ISBLANK(K185), ISBLANK(L185) ), "", 1.5*SQRT( EXP(2.21*(H185-1)) + EXP(2.21*(I185-1)) + EXP(2.21*(J185-1)) + EXP(2.21*(K185-1)) + EXP(2.21*L185) )/100*2.45 )</f>
        <v>1.0725046436742278</v>
      </c>
      <c r="N185" s="603"/>
    </row>
    <row r="186" spans="1:14" x14ac:dyDescent="0.2">
      <c r="A186" s="564" t="s">
        <v>771</v>
      </c>
      <c r="B186" s="603" t="s">
        <v>766</v>
      </c>
      <c r="C186" s="525" t="s">
        <v>135</v>
      </c>
      <c r="D186" s="32" t="s">
        <v>98</v>
      </c>
      <c r="E186">
        <f>0.25*1.4</f>
        <v>0.35</v>
      </c>
      <c r="F186" s="595" t="s">
        <v>746</v>
      </c>
      <c r="H186" s="525">
        <v>2</v>
      </c>
      <c r="I186">
        <v>3</v>
      </c>
      <c r="J186">
        <v>1</v>
      </c>
      <c r="K186">
        <v>1</v>
      </c>
      <c r="L186">
        <v>3</v>
      </c>
      <c r="M186" s="693">
        <f>IF( OR( ISBLANK(H186),ISBLANK(I186), ISBLANK(J186), ISBLANK(K186), ISBLANK(L186) ), "", 1.5*SQRT( EXP(2.21*(H186-1)) + EXP(2.21*(I186-1)) + EXP(2.21*(J186-1)) + EXP(2.21*(K186-1)) + EXP(2.21*L186) )/100*2.45 )</f>
        <v>1.0725046436742278</v>
      </c>
      <c r="N186" s="603"/>
    </row>
    <row r="187" spans="1:14" x14ac:dyDescent="0.2">
      <c r="A187" s="571" t="s">
        <v>771</v>
      </c>
      <c r="B187" s="674" t="s">
        <v>766</v>
      </c>
      <c r="C187" s="533" t="s">
        <v>135</v>
      </c>
      <c r="D187" s="35" t="s">
        <v>98</v>
      </c>
      <c r="E187" s="573">
        <f>0.25*1.7</f>
        <v>0.42499999999999999</v>
      </c>
      <c r="F187" s="695" t="s">
        <v>746</v>
      </c>
      <c r="G187" s="573"/>
      <c r="H187" s="533">
        <v>2</v>
      </c>
      <c r="I187" s="573">
        <v>3</v>
      </c>
      <c r="J187" s="573">
        <v>1</v>
      </c>
      <c r="K187" s="573">
        <v>1</v>
      </c>
      <c r="L187" s="573">
        <v>3</v>
      </c>
      <c r="M187" s="694">
        <f>IF( OR( ISBLANK(H187),ISBLANK(I187), ISBLANK(J187), ISBLANK(K187), ISBLANK(L187) ), "", 1.5*SQRT( EXP(2.21*(H187-1)) + EXP(2.21*(I187-1)) + EXP(2.21*(J187-1)) + EXP(2.21*(K187-1)) + EXP(2.21*L187) )/100*2.45 )</f>
        <v>1.0725046436742278</v>
      </c>
      <c r="N187" s="674"/>
    </row>
    <row r="188" spans="1:14" x14ac:dyDescent="0.2">
      <c r="L188" s="579"/>
      <c r="M188" s="579"/>
    </row>
  </sheetData>
  <conditionalFormatting sqref="H1:L132 H136:L139 H142:L151 H156:L159 H162:L187">
    <cfRule type="dataBar" priority="11">
      <dataBar>
        <cfvo type="min"/>
        <cfvo type="max"/>
        <color rgb="FFFFB628"/>
      </dataBar>
    </cfRule>
  </conditionalFormatting>
  <conditionalFormatting sqref="H1:L187">
    <cfRule type="dataBar" priority="15">
      <dataBar>
        <cfvo type="min"/>
        <cfvo type="max"/>
        <color rgb="FFFFB628"/>
      </dataBar>
    </cfRule>
  </conditionalFormatting>
  <conditionalFormatting sqref="H2:L132 H136:L139 H142:L151 H156:L159 H162:L162 H170:L187">
    <cfRule type="dataBar" priority="13">
      <dataBar>
        <cfvo type="min"/>
        <cfvo type="max"/>
        <color rgb="FFFFB628"/>
      </dataBar>
    </cfRule>
  </conditionalFormatting>
  <conditionalFormatting sqref="H133:L134">
    <cfRule type="dataBar" priority="9">
      <dataBar>
        <cfvo type="min"/>
        <cfvo type="max"/>
        <color rgb="FFFFB628"/>
      </dataBar>
    </cfRule>
  </conditionalFormatting>
  <conditionalFormatting sqref="H135:L135">
    <cfRule type="dataBar" priority="7">
      <dataBar>
        <cfvo type="min"/>
        <cfvo type="max"/>
        <color rgb="FFFFB628"/>
      </dataBar>
    </cfRule>
  </conditionalFormatting>
  <conditionalFormatting sqref="H140:L141">
    <cfRule type="dataBar" priority="5">
      <dataBar>
        <cfvo type="min"/>
        <cfvo type="max"/>
        <color rgb="FFFFB628"/>
      </dataBar>
    </cfRule>
  </conditionalFormatting>
  <conditionalFormatting sqref="H152:L155">
    <cfRule type="dataBar" priority="3">
      <dataBar>
        <cfvo type="min"/>
        <cfvo type="max"/>
        <color rgb="FFFFB628"/>
      </dataBar>
    </cfRule>
  </conditionalFormatting>
  <conditionalFormatting sqref="H160:L161">
    <cfRule type="dataBar" priority="1">
      <dataBar>
        <cfvo type="min"/>
        <cfvo type="max"/>
        <color rgb="FFFFB628"/>
      </dataBar>
    </cfRule>
  </conditionalFormatting>
  <conditionalFormatting sqref="H163:L169">
    <cfRule type="dataBar" priority="12">
      <dataBar>
        <cfvo type="min"/>
        <cfvo type="max"/>
        <color rgb="FFFFB628"/>
      </dataBar>
    </cfRule>
  </conditionalFormatting>
  <conditionalFormatting sqref="M1:M187">
    <cfRule type="dataBar" priority="16">
      <dataBar>
        <cfvo type="min"/>
        <cfvo type="max"/>
        <color rgb="FF00B0F0"/>
      </dataBar>
    </cfRule>
    <cfRule type="dataBar" priority="17">
      <dataBar>
        <cfvo type="min"/>
        <cfvo type="max"/>
        <color rgb="FF638EC6"/>
      </dataBar>
    </cfRule>
  </conditionalFormatting>
  <conditionalFormatting sqref="M2:M132 M136:M139 M142:M151 M156:M159 M162:M187">
    <cfRule type="dataBar" priority="14">
      <dataBar>
        <cfvo type="min"/>
        <cfvo type="max"/>
        <color rgb="FF3FCDFF"/>
      </dataBar>
    </cfRule>
  </conditionalFormatting>
  <conditionalFormatting sqref="M133:M134">
    <cfRule type="dataBar" priority="10">
      <dataBar>
        <cfvo type="min"/>
        <cfvo type="max"/>
        <color rgb="FF3FCDFF"/>
      </dataBar>
    </cfRule>
  </conditionalFormatting>
  <conditionalFormatting sqref="M135">
    <cfRule type="dataBar" priority="8">
      <dataBar>
        <cfvo type="min"/>
        <cfvo type="max"/>
        <color rgb="FF3FCDFF"/>
      </dataBar>
    </cfRule>
  </conditionalFormatting>
  <conditionalFormatting sqref="M140:M141">
    <cfRule type="dataBar" priority="6">
      <dataBar>
        <cfvo type="min"/>
        <cfvo type="max"/>
        <color rgb="FF3FCDFF"/>
      </dataBar>
    </cfRule>
  </conditionalFormatting>
  <conditionalFormatting sqref="M152:M155">
    <cfRule type="dataBar" priority="4">
      <dataBar>
        <cfvo type="min"/>
        <cfvo type="max"/>
        <color rgb="FF3FCDFF"/>
      </dataBar>
    </cfRule>
  </conditionalFormatting>
  <conditionalFormatting sqref="M160:M161">
    <cfRule type="dataBar" priority="2">
      <dataBar>
        <cfvo type="min"/>
        <cfvo type="max"/>
        <color rgb="FF3FCDFF"/>
      </dataBar>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8"/>
  <sheetViews>
    <sheetView zoomScale="140" zoomScaleNormal="188" workbookViewId="0">
      <pane ySplit="1" topLeftCell="A31" activePane="bottomLeft" state="frozen"/>
      <selection pane="bottomLeft" activeCell="A140" sqref="A140"/>
    </sheetView>
  </sheetViews>
  <sheetFormatPr baseColWidth="10" defaultRowHeight="16" x14ac:dyDescent="0.2"/>
  <cols>
    <col min="1" max="1" width="26.6640625" bestFit="1" customWidth="1"/>
    <col min="2" max="2" width="48.83203125" bestFit="1" customWidth="1"/>
    <col min="3" max="3" width="14.83203125" bestFit="1" customWidth="1"/>
    <col min="4" max="4" width="22.5" bestFit="1" customWidth="1"/>
    <col min="5" max="5" width="22.1640625" bestFit="1" customWidth="1"/>
  </cols>
  <sheetData>
    <row r="1" spans="1:5" ht="17" customHeight="1" thickBot="1" x14ac:dyDescent="0.25">
      <c r="A1" s="660" t="s">
        <v>772</v>
      </c>
      <c r="B1" s="661" t="s">
        <v>773</v>
      </c>
      <c r="C1" s="661" t="s">
        <v>774</v>
      </c>
      <c r="D1" s="661" t="s">
        <v>775</v>
      </c>
      <c r="E1" s="661" t="s">
        <v>776</v>
      </c>
    </row>
    <row r="2" spans="1:5" x14ac:dyDescent="0.2">
      <c r="A2" s="89" t="s">
        <v>12</v>
      </c>
      <c r="B2" s="89" t="s">
        <v>777</v>
      </c>
      <c r="C2" s="89" t="s">
        <v>778</v>
      </c>
      <c r="D2" s="89" t="s">
        <v>779</v>
      </c>
      <c r="E2" s="89" t="s">
        <v>780</v>
      </c>
    </row>
    <row r="3" spans="1:5" x14ac:dyDescent="0.2">
      <c r="A3" s="89" t="s">
        <v>100</v>
      </c>
      <c r="B3" s="89" t="s">
        <v>781</v>
      </c>
      <c r="C3" s="89" t="s">
        <v>782</v>
      </c>
      <c r="D3" s="89" t="s">
        <v>783</v>
      </c>
      <c r="E3" s="89" t="s">
        <v>784</v>
      </c>
    </row>
    <row r="4" spans="1:5" x14ac:dyDescent="0.2">
      <c r="A4" s="89" t="s">
        <v>187</v>
      </c>
      <c r="B4" s="89" t="s">
        <v>187</v>
      </c>
      <c r="C4" s="89" t="s">
        <v>785</v>
      </c>
      <c r="D4" s="89" t="s">
        <v>187</v>
      </c>
      <c r="E4" s="89" t="s">
        <v>187</v>
      </c>
    </row>
    <row r="5" spans="1:5" x14ac:dyDescent="0.2">
      <c r="A5" s="89" t="s">
        <v>192</v>
      </c>
      <c r="B5" s="89" t="s">
        <v>786</v>
      </c>
      <c r="C5" s="89" t="s">
        <v>787</v>
      </c>
      <c r="D5" s="89" t="s">
        <v>788</v>
      </c>
      <c r="E5" s="89" t="s">
        <v>789</v>
      </c>
    </row>
    <row r="6" spans="1:5" x14ac:dyDescent="0.2">
      <c r="A6" s="662" t="s">
        <v>159</v>
      </c>
      <c r="B6" s="662" t="s">
        <v>790</v>
      </c>
      <c r="C6" s="662" t="s">
        <v>159</v>
      </c>
      <c r="D6" s="662" t="s">
        <v>159</v>
      </c>
      <c r="E6" s="662" t="s">
        <v>159</v>
      </c>
    </row>
    <row r="7" spans="1:5" x14ac:dyDescent="0.2">
      <c r="A7" s="662" t="s">
        <v>198</v>
      </c>
      <c r="B7" s="662" t="s">
        <v>791</v>
      </c>
      <c r="C7" s="662" t="s">
        <v>792</v>
      </c>
      <c r="D7" s="662" t="s">
        <v>793</v>
      </c>
      <c r="E7" s="662" t="s">
        <v>793</v>
      </c>
    </row>
    <row r="8" spans="1:5" x14ac:dyDescent="0.2">
      <c r="A8" s="663" t="s">
        <v>136</v>
      </c>
      <c r="B8" s="663" t="s">
        <v>794</v>
      </c>
      <c r="C8" s="663" t="s">
        <v>795</v>
      </c>
      <c r="D8" s="663" t="s">
        <v>796</v>
      </c>
      <c r="E8" s="663" t="s">
        <v>797</v>
      </c>
    </row>
    <row r="9" spans="1:5" x14ac:dyDescent="0.2">
      <c r="A9" s="663" t="s">
        <v>132</v>
      </c>
      <c r="B9" s="663" t="s">
        <v>798</v>
      </c>
      <c r="C9" s="663" t="s">
        <v>799</v>
      </c>
      <c r="D9" s="663" t="s">
        <v>800</v>
      </c>
      <c r="E9" s="663" t="s">
        <v>801</v>
      </c>
    </row>
    <row r="10" spans="1:5" x14ac:dyDescent="0.2">
      <c r="A10" s="664" t="s">
        <v>137</v>
      </c>
      <c r="B10" s="664" t="s">
        <v>137</v>
      </c>
      <c r="C10" s="664" t="s">
        <v>802</v>
      </c>
      <c r="D10" s="664" t="s">
        <v>137</v>
      </c>
      <c r="E10" s="664" t="s">
        <v>137</v>
      </c>
    </row>
    <row r="11" spans="1:5" x14ac:dyDescent="0.2">
      <c r="A11" s="664" t="s">
        <v>140</v>
      </c>
      <c r="B11" s="664" t="s">
        <v>803</v>
      </c>
      <c r="C11" s="664" t="s">
        <v>804</v>
      </c>
      <c r="D11" s="664" t="s">
        <v>805</v>
      </c>
      <c r="E11" s="664" t="s">
        <v>805</v>
      </c>
    </row>
    <row r="12" spans="1:5" x14ac:dyDescent="0.2">
      <c r="A12" s="664" t="s">
        <v>141</v>
      </c>
      <c r="B12" s="664" t="s">
        <v>141</v>
      </c>
      <c r="C12" s="664" t="s">
        <v>806</v>
      </c>
      <c r="D12" s="664" t="s">
        <v>141</v>
      </c>
      <c r="E12" s="664" t="s">
        <v>141</v>
      </c>
    </row>
    <row r="13" spans="1:5" x14ac:dyDescent="0.2">
      <c r="A13" s="664" t="s">
        <v>142</v>
      </c>
      <c r="B13" s="664" t="s">
        <v>807</v>
      </c>
      <c r="C13" s="664" t="s">
        <v>142</v>
      </c>
      <c r="D13" s="664" t="s">
        <v>142</v>
      </c>
      <c r="E13" s="664" t="s">
        <v>142</v>
      </c>
    </row>
    <row r="14" spans="1:5" x14ac:dyDescent="0.2">
      <c r="A14" s="664" t="s">
        <v>143</v>
      </c>
      <c r="B14" s="664" t="s">
        <v>143</v>
      </c>
      <c r="C14" s="664" t="s">
        <v>808</v>
      </c>
      <c r="D14" s="664" t="s">
        <v>143</v>
      </c>
      <c r="E14" s="664" t="s">
        <v>143</v>
      </c>
    </row>
    <row r="15" spans="1:5" x14ac:dyDescent="0.2">
      <c r="A15" s="664" t="s">
        <v>147</v>
      </c>
      <c r="B15" s="664" t="s">
        <v>809</v>
      </c>
      <c r="C15" s="664" t="s">
        <v>147</v>
      </c>
      <c r="D15" s="664" t="s">
        <v>810</v>
      </c>
      <c r="E15" s="664" t="s">
        <v>811</v>
      </c>
    </row>
    <row r="16" spans="1:5" x14ac:dyDescent="0.2">
      <c r="A16" s="664" t="s">
        <v>149</v>
      </c>
      <c r="B16" s="664" t="s">
        <v>149</v>
      </c>
      <c r="C16" s="664" t="s">
        <v>149</v>
      </c>
      <c r="D16" s="664" t="s">
        <v>149</v>
      </c>
      <c r="E16" s="664" t="s">
        <v>149</v>
      </c>
    </row>
    <row r="17" spans="1:5" x14ac:dyDescent="0.2">
      <c r="A17" s="664" t="s">
        <v>150</v>
      </c>
      <c r="B17" s="664" t="s">
        <v>812</v>
      </c>
      <c r="C17" s="664" t="s">
        <v>813</v>
      </c>
      <c r="D17" s="664" t="s">
        <v>814</v>
      </c>
      <c r="E17" s="664" t="s">
        <v>815</v>
      </c>
    </row>
    <row r="18" spans="1:5" x14ac:dyDescent="0.2">
      <c r="A18" s="664" t="s">
        <v>151</v>
      </c>
      <c r="B18" s="664" t="s">
        <v>816</v>
      </c>
      <c r="C18" s="664" t="s">
        <v>817</v>
      </c>
      <c r="D18" s="664" t="s">
        <v>818</v>
      </c>
      <c r="E18" s="664" t="s">
        <v>819</v>
      </c>
    </row>
    <row r="19" spans="1:5" x14ac:dyDescent="0.2">
      <c r="A19" s="664" t="s">
        <v>152</v>
      </c>
      <c r="B19" s="664" t="s">
        <v>820</v>
      </c>
      <c r="C19" s="664" t="s">
        <v>821</v>
      </c>
      <c r="D19" s="664" t="s">
        <v>822</v>
      </c>
      <c r="E19" s="664" t="s">
        <v>823</v>
      </c>
    </row>
    <row r="20" spans="1:5" x14ac:dyDescent="0.2">
      <c r="A20" s="664" t="s">
        <v>153</v>
      </c>
      <c r="B20" s="664" t="s">
        <v>824</v>
      </c>
      <c r="C20" s="664" t="s">
        <v>825</v>
      </c>
      <c r="D20" s="664" t="s">
        <v>826</v>
      </c>
      <c r="E20" s="664" t="s">
        <v>827</v>
      </c>
    </row>
    <row r="21" spans="1:5" x14ac:dyDescent="0.2">
      <c r="A21" s="664" t="s">
        <v>144</v>
      </c>
      <c r="B21" s="664" t="s">
        <v>144</v>
      </c>
      <c r="C21" s="664" t="s">
        <v>144</v>
      </c>
      <c r="D21" s="664" t="s">
        <v>144</v>
      </c>
      <c r="E21" s="664" t="s">
        <v>144</v>
      </c>
    </row>
    <row r="22" spans="1:5" x14ac:dyDescent="0.2">
      <c r="A22" s="664" t="s">
        <v>145</v>
      </c>
      <c r="B22" s="664" t="s">
        <v>145</v>
      </c>
      <c r="C22" s="664" t="s">
        <v>145</v>
      </c>
      <c r="D22" s="664" t="s">
        <v>145</v>
      </c>
      <c r="E22" s="664" t="s">
        <v>145</v>
      </c>
    </row>
    <row r="23" spans="1:5" x14ac:dyDescent="0.2">
      <c r="A23" s="584" t="s">
        <v>200</v>
      </c>
      <c r="B23" s="584" t="s">
        <v>828</v>
      </c>
      <c r="C23" s="584" t="s">
        <v>829</v>
      </c>
      <c r="D23" s="584" t="s">
        <v>830</v>
      </c>
      <c r="E23" s="584" t="s">
        <v>831</v>
      </c>
    </row>
    <row r="24" spans="1:5" x14ac:dyDescent="0.2">
      <c r="A24" s="584" t="s">
        <v>207</v>
      </c>
      <c r="B24" s="584" t="s">
        <v>832</v>
      </c>
      <c r="C24" s="584" t="s">
        <v>833</v>
      </c>
      <c r="D24" s="584" t="s">
        <v>834</v>
      </c>
      <c r="E24" s="584" t="s">
        <v>835</v>
      </c>
    </row>
    <row r="25" spans="1:5" x14ac:dyDescent="0.2">
      <c r="A25" s="584" t="s">
        <v>215</v>
      </c>
      <c r="B25" s="584" t="s">
        <v>836</v>
      </c>
      <c r="C25" s="584" t="s">
        <v>837</v>
      </c>
      <c r="D25" s="584" t="s">
        <v>838</v>
      </c>
      <c r="E25" s="584" t="s">
        <v>839</v>
      </c>
    </row>
    <row r="26" spans="1:5" x14ac:dyDescent="0.2">
      <c r="A26" s="584" t="s">
        <v>223</v>
      </c>
      <c r="B26" s="584" t="s">
        <v>840</v>
      </c>
      <c r="C26" s="584" t="s">
        <v>841</v>
      </c>
      <c r="D26" s="584" t="s">
        <v>842</v>
      </c>
      <c r="E26" s="584" t="s">
        <v>843</v>
      </c>
    </row>
    <row r="27" spans="1:5" x14ac:dyDescent="0.2">
      <c r="A27" s="584" t="s">
        <v>231</v>
      </c>
      <c r="B27" s="584" t="s">
        <v>844</v>
      </c>
      <c r="C27" s="584" t="s">
        <v>845</v>
      </c>
      <c r="D27" s="584" t="s">
        <v>846</v>
      </c>
      <c r="E27" s="584" t="s">
        <v>847</v>
      </c>
    </row>
    <row r="28" spans="1:5" x14ac:dyDescent="0.2">
      <c r="A28" s="584" t="s">
        <v>240</v>
      </c>
      <c r="B28" s="584" t="s">
        <v>848</v>
      </c>
      <c r="C28" s="584" t="s">
        <v>849</v>
      </c>
      <c r="D28" s="584" t="s">
        <v>850</v>
      </c>
      <c r="E28" s="584" t="s">
        <v>851</v>
      </c>
    </row>
    <row r="29" spans="1:5" x14ac:dyDescent="0.2">
      <c r="A29" s="584" t="s">
        <v>248</v>
      </c>
      <c r="B29" s="584" t="s">
        <v>852</v>
      </c>
      <c r="C29" s="584" t="s">
        <v>853</v>
      </c>
      <c r="D29" s="584" t="s">
        <v>854</v>
      </c>
      <c r="E29" s="584" t="s">
        <v>855</v>
      </c>
    </row>
    <row r="30" spans="1:5" x14ac:dyDescent="0.2">
      <c r="A30" s="584" t="s">
        <v>256</v>
      </c>
      <c r="B30" s="584" t="s">
        <v>856</v>
      </c>
      <c r="C30" s="584" t="s">
        <v>857</v>
      </c>
      <c r="D30" s="584" t="s">
        <v>858</v>
      </c>
      <c r="E30" s="584" t="s">
        <v>859</v>
      </c>
    </row>
    <row r="31" spans="1:5" x14ac:dyDescent="0.2">
      <c r="A31" s="584" t="s">
        <v>264</v>
      </c>
      <c r="B31" s="584" t="s">
        <v>860</v>
      </c>
      <c r="C31" s="584" t="s">
        <v>861</v>
      </c>
      <c r="D31" s="584" t="s">
        <v>862</v>
      </c>
      <c r="E31" s="584" t="s">
        <v>863</v>
      </c>
    </row>
    <row r="32" spans="1:5" x14ac:dyDescent="0.2">
      <c r="A32" s="584" t="s">
        <v>272</v>
      </c>
      <c r="B32" s="584" t="s">
        <v>864</v>
      </c>
      <c r="C32" s="584" t="s">
        <v>865</v>
      </c>
      <c r="D32" s="584" t="s">
        <v>866</v>
      </c>
      <c r="E32" s="584" t="s">
        <v>867</v>
      </c>
    </row>
    <row r="33" spans="1:5" x14ac:dyDescent="0.2">
      <c r="A33" s="584" t="s">
        <v>279</v>
      </c>
      <c r="B33" s="584" t="s">
        <v>868</v>
      </c>
      <c r="C33" s="584" t="s">
        <v>869</v>
      </c>
      <c r="D33" s="584" t="s">
        <v>870</v>
      </c>
      <c r="E33" s="584" t="s">
        <v>871</v>
      </c>
    </row>
    <row r="34" spans="1:5" x14ac:dyDescent="0.2">
      <c r="A34" s="584" t="s">
        <v>287</v>
      </c>
      <c r="B34" s="584" t="s">
        <v>287</v>
      </c>
      <c r="C34" s="584" t="s">
        <v>287</v>
      </c>
      <c r="D34" s="584" t="s">
        <v>872</v>
      </c>
      <c r="E34" s="584" t="s">
        <v>873</v>
      </c>
    </row>
    <row r="35" spans="1:5" x14ac:dyDescent="0.2">
      <c r="A35" s="584" t="s">
        <v>295</v>
      </c>
      <c r="B35" s="584" t="s">
        <v>874</v>
      </c>
      <c r="C35" s="584" t="s">
        <v>875</v>
      </c>
      <c r="D35" s="584" t="s">
        <v>876</v>
      </c>
      <c r="E35" s="584" t="s">
        <v>877</v>
      </c>
    </row>
    <row r="36" spans="1:5" x14ac:dyDescent="0.2">
      <c r="A36" s="584" t="s">
        <v>303</v>
      </c>
      <c r="B36" s="584" t="s">
        <v>878</v>
      </c>
      <c r="C36" s="584" t="s">
        <v>879</v>
      </c>
      <c r="D36" s="584" t="s">
        <v>880</v>
      </c>
      <c r="E36" s="584" t="s">
        <v>881</v>
      </c>
    </row>
    <row r="37" spans="1:5" x14ac:dyDescent="0.2">
      <c r="A37" s="584" t="s">
        <v>311</v>
      </c>
      <c r="B37" s="584" t="s">
        <v>311</v>
      </c>
      <c r="C37" s="584" t="s">
        <v>311</v>
      </c>
      <c r="D37" s="584" t="s">
        <v>882</v>
      </c>
      <c r="E37" s="584" t="s">
        <v>883</v>
      </c>
    </row>
    <row r="38" spans="1:5" x14ac:dyDescent="0.2">
      <c r="A38" s="584" t="s">
        <v>319</v>
      </c>
      <c r="B38" s="584" t="s">
        <v>884</v>
      </c>
      <c r="C38" s="584" t="s">
        <v>885</v>
      </c>
      <c r="D38" s="584" t="s">
        <v>141</v>
      </c>
      <c r="E38" s="584" t="s">
        <v>141</v>
      </c>
    </row>
    <row r="39" spans="1:5" x14ac:dyDescent="0.2">
      <c r="A39" s="584" t="s">
        <v>320</v>
      </c>
      <c r="B39" s="584" t="s">
        <v>886</v>
      </c>
      <c r="C39" s="584" t="s">
        <v>320</v>
      </c>
      <c r="D39" s="584" t="s">
        <v>142</v>
      </c>
      <c r="E39" s="584" t="s">
        <v>142</v>
      </c>
    </row>
    <row r="40" spans="1:5" x14ac:dyDescent="0.2">
      <c r="A40" s="584" t="s">
        <v>321</v>
      </c>
      <c r="B40" s="584" t="s">
        <v>887</v>
      </c>
      <c r="C40" s="584" t="s">
        <v>888</v>
      </c>
      <c r="D40" s="584" t="s">
        <v>889</v>
      </c>
      <c r="E40" s="584" t="s">
        <v>890</v>
      </c>
    </row>
    <row r="41" spans="1:5" x14ac:dyDescent="0.2">
      <c r="A41" s="584" t="s">
        <v>329</v>
      </c>
      <c r="B41" s="584" t="s">
        <v>891</v>
      </c>
      <c r="C41" s="584" t="s">
        <v>892</v>
      </c>
      <c r="D41" s="584" t="s">
        <v>893</v>
      </c>
      <c r="E41" s="584" t="s">
        <v>894</v>
      </c>
    </row>
    <row r="42" spans="1:5" x14ac:dyDescent="0.2">
      <c r="A42" s="584" t="s">
        <v>337</v>
      </c>
      <c r="B42" s="584" t="s">
        <v>895</v>
      </c>
      <c r="C42" s="584" t="s">
        <v>896</v>
      </c>
      <c r="D42" s="584" t="s">
        <v>897</v>
      </c>
      <c r="E42" s="584" t="s">
        <v>898</v>
      </c>
    </row>
    <row r="43" spans="1:5" x14ac:dyDescent="0.2">
      <c r="A43" s="584" t="s">
        <v>349</v>
      </c>
      <c r="B43" s="584" t="s">
        <v>899</v>
      </c>
      <c r="C43" s="584" t="s">
        <v>900</v>
      </c>
      <c r="D43" s="584" t="s">
        <v>899</v>
      </c>
      <c r="E43" s="584" t="s">
        <v>899</v>
      </c>
    </row>
    <row r="44" spans="1:5" x14ac:dyDescent="0.2">
      <c r="A44" s="584" t="s">
        <v>352</v>
      </c>
      <c r="B44" s="584" t="s">
        <v>352</v>
      </c>
      <c r="C44" s="584" t="s">
        <v>352</v>
      </c>
      <c r="D44" s="584" t="s">
        <v>352</v>
      </c>
      <c r="E44" s="584" t="s">
        <v>352</v>
      </c>
    </row>
    <row r="45" spans="1:5" x14ac:dyDescent="0.2">
      <c r="A45" s="584" t="s">
        <v>358</v>
      </c>
      <c r="B45" s="584" t="s">
        <v>901</v>
      </c>
      <c r="C45" s="584" t="s">
        <v>358</v>
      </c>
      <c r="D45" s="584" t="s">
        <v>902</v>
      </c>
      <c r="E45" s="584" t="s">
        <v>902</v>
      </c>
    </row>
    <row r="46" spans="1:5" x14ac:dyDescent="0.2">
      <c r="A46" s="584" t="s">
        <v>359</v>
      </c>
      <c r="B46" s="584" t="s">
        <v>359</v>
      </c>
      <c r="C46" s="584" t="s">
        <v>903</v>
      </c>
      <c r="D46" s="584" t="s">
        <v>903</v>
      </c>
      <c r="E46" s="584" t="s">
        <v>903</v>
      </c>
    </row>
    <row r="47" spans="1:5" x14ac:dyDescent="0.2">
      <c r="A47" s="584" t="s">
        <v>361</v>
      </c>
      <c r="B47" s="584" t="s">
        <v>904</v>
      </c>
      <c r="C47" s="584" t="s">
        <v>905</v>
      </c>
      <c r="D47" s="584" t="s">
        <v>906</v>
      </c>
      <c r="E47" s="584" t="s">
        <v>904</v>
      </c>
    </row>
    <row r="48" spans="1:5" x14ac:dyDescent="0.2">
      <c r="A48" s="584" t="s">
        <v>362</v>
      </c>
      <c r="B48" s="584" t="s">
        <v>907</v>
      </c>
      <c r="C48" s="584" t="s">
        <v>908</v>
      </c>
      <c r="D48" s="584" t="s">
        <v>909</v>
      </c>
      <c r="E48" s="584" t="s">
        <v>910</v>
      </c>
    </row>
    <row r="49" spans="1:5" x14ac:dyDescent="0.2">
      <c r="A49" s="584" t="s">
        <v>363</v>
      </c>
      <c r="B49" s="584" t="s">
        <v>911</v>
      </c>
      <c r="C49" s="584" t="s">
        <v>363</v>
      </c>
      <c r="D49" s="584" t="s">
        <v>912</v>
      </c>
      <c r="E49" s="584" t="s">
        <v>912</v>
      </c>
    </row>
    <row r="50" spans="1:5" x14ac:dyDescent="0.2">
      <c r="A50" s="584" t="s">
        <v>380</v>
      </c>
      <c r="B50" s="584" t="s">
        <v>913</v>
      </c>
      <c r="C50" s="584" t="s">
        <v>914</v>
      </c>
      <c r="D50" s="584" t="s">
        <v>915</v>
      </c>
      <c r="E50" s="584" t="s">
        <v>915</v>
      </c>
    </row>
    <row r="51" spans="1:5" x14ac:dyDescent="0.2">
      <c r="A51" s="584" t="s">
        <v>364</v>
      </c>
      <c r="B51" s="584" t="s">
        <v>916</v>
      </c>
      <c r="C51" s="584" t="s">
        <v>917</v>
      </c>
      <c r="D51" s="584" t="s">
        <v>814</v>
      </c>
      <c r="E51" s="584" t="s">
        <v>814</v>
      </c>
    </row>
    <row r="52" spans="1:5" x14ac:dyDescent="0.2">
      <c r="A52" s="584" t="s">
        <v>379</v>
      </c>
      <c r="B52" s="584" t="s">
        <v>918</v>
      </c>
      <c r="C52" s="584" t="s">
        <v>919</v>
      </c>
      <c r="D52" s="584" t="s">
        <v>920</v>
      </c>
      <c r="E52" s="584" t="s">
        <v>921</v>
      </c>
    </row>
    <row r="53" spans="1:5" x14ac:dyDescent="0.2">
      <c r="A53" s="584" t="s">
        <v>365</v>
      </c>
      <c r="B53" s="584" t="s">
        <v>922</v>
      </c>
      <c r="C53" s="584" t="s">
        <v>923</v>
      </c>
      <c r="D53" s="584" t="s">
        <v>924</v>
      </c>
      <c r="E53" s="584" t="s">
        <v>925</v>
      </c>
    </row>
    <row r="54" spans="1:5" x14ac:dyDescent="0.2">
      <c r="A54" s="584" t="s">
        <v>369</v>
      </c>
      <c r="B54" s="584" t="s">
        <v>926</v>
      </c>
      <c r="C54" s="584" t="s">
        <v>927</v>
      </c>
      <c r="D54" s="584" t="s">
        <v>928</v>
      </c>
      <c r="E54" s="584" t="s">
        <v>928</v>
      </c>
    </row>
    <row r="55" spans="1:5" x14ac:dyDescent="0.2">
      <c r="A55" s="584" t="s">
        <v>370</v>
      </c>
      <c r="B55" s="584" t="s">
        <v>929</v>
      </c>
      <c r="C55" s="584" t="s">
        <v>930</v>
      </c>
      <c r="D55" s="584" t="s">
        <v>931</v>
      </c>
      <c r="E55" s="584" t="s">
        <v>931</v>
      </c>
    </row>
    <row r="56" spans="1:5" x14ac:dyDescent="0.2">
      <c r="A56" s="584" t="s">
        <v>371</v>
      </c>
      <c r="B56" s="584" t="s">
        <v>371</v>
      </c>
      <c r="C56" s="584" t="s">
        <v>371</v>
      </c>
      <c r="D56" s="584" t="s">
        <v>371</v>
      </c>
      <c r="E56" s="584" t="s">
        <v>371</v>
      </c>
    </row>
    <row r="57" spans="1:5" x14ac:dyDescent="0.2">
      <c r="A57" s="584" t="s">
        <v>350</v>
      </c>
      <c r="B57" s="584" t="s">
        <v>932</v>
      </c>
      <c r="C57" s="584" t="s">
        <v>933</v>
      </c>
      <c r="D57" s="584" t="s">
        <v>934</v>
      </c>
      <c r="E57" s="584" t="s">
        <v>934</v>
      </c>
    </row>
    <row r="58" spans="1:5" x14ac:dyDescent="0.2">
      <c r="A58" s="584" t="s">
        <v>372</v>
      </c>
      <c r="B58" s="584" t="s">
        <v>935</v>
      </c>
      <c r="C58" s="584" t="s">
        <v>936</v>
      </c>
      <c r="D58" s="584" t="s">
        <v>937</v>
      </c>
      <c r="E58" s="584" t="s">
        <v>937</v>
      </c>
    </row>
    <row r="59" spans="1:5" x14ac:dyDescent="0.2">
      <c r="A59" s="584" t="s">
        <v>373</v>
      </c>
      <c r="B59" s="584" t="s">
        <v>938</v>
      </c>
      <c r="C59" s="584" t="s">
        <v>939</v>
      </c>
      <c r="D59" s="584" t="s">
        <v>940</v>
      </c>
      <c r="E59" s="584" t="s">
        <v>940</v>
      </c>
    </row>
    <row r="60" spans="1:5" x14ac:dyDescent="0.2">
      <c r="A60" s="584" t="s">
        <v>374</v>
      </c>
      <c r="B60" s="584" t="s">
        <v>374</v>
      </c>
      <c r="C60" s="584" t="s">
        <v>941</v>
      </c>
      <c r="D60" s="584" t="s">
        <v>374</v>
      </c>
      <c r="E60" s="584" t="s">
        <v>374</v>
      </c>
    </row>
    <row r="61" spans="1:5" x14ac:dyDescent="0.2">
      <c r="A61" s="584" t="s">
        <v>375</v>
      </c>
      <c r="B61" s="584" t="s">
        <v>942</v>
      </c>
      <c r="C61" s="584" t="s">
        <v>943</v>
      </c>
      <c r="D61" s="584" t="s">
        <v>944</v>
      </c>
      <c r="E61" s="584" t="s">
        <v>944</v>
      </c>
    </row>
    <row r="62" spans="1:5" x14ac:dyDescent="0.2">
      <c r="A62" s="584" t="s">
        <v>376</v>
      </c>
      <c r="B62" s="584" t="s">
        <v>376</v>
      </c>
      <c r="C62" s="584" t="s">
        <v>945</v>
      </c>
      <c r="D62" s="584" t="s">
        <v>376</v>
      </c>
      <c r="E62" s="584" t="s">
        <v>376</v>
      </c>
    </row>
    <row r="63" spans="1:5" x14ac:dyDescent="0.2">
      <c r="A63" s="584" t="s">
        <v>378</v>
      </c>
      <c r="B63" s="584" t="s">
        <v>946</v>
      </c>
      <c r="C63" s="584" t="s">
        <v>947</v>
      </c>
      <c r="D63" s="584" t="s">
        <v>948</v>
      </c>
      <c r="E63" s="584" t="s">
        <v>948</v>
      </c>
    </row>
    <row r="64" spans="1:5" x14ac:dyDescent="0.2">
      <c r="A64" s="584" t="s">
        <v>382</v>
      </c>
      <c r="B64" s="584" t="s">
        <v>949</v>
      </c>
      <c r="C64" s="584" t="s">
        <v>950</v>
      </c>
      <c r="D64" s="584" t="s">
        <v>951</v>
      </c>
      <c r="E64" s="584" t="s">
        <v>952</v>
      </c>
    </row>
    <row r="65" spans="1:5" x14ac:dyDescent="0.2">
      <c r="A65" s="584" t="s">
        <v>953</v>
      </c>
      <c r="B65" s="584" t="s">
        <v>954</v>
      </c>
      <c r="C65" s="584" t="s">
        <v>953</v>
      </c>
      <c r="D65" s="584" t="s">
        <v>955</v>
      </c>
      <c r="E65" s="584" t="s">
        <v>955</v>
      </c>
    </row>
    <row r="66" spans="1:5" x14ac:dyDescent="0.2">
      <c r="A66" s="584" t="s">
        <v>345</v>
      </c>
      <c r="B66" s="584" t="s">
        <v>956</v>
      </c>
      <c r="C66" s="584" t="s">
        <v>957</v>
      </c>
      <c r="D66" s="584" t="s">
        <v>958</v>
      </c>
      <c r="E66" s="584" t="s">
        <v>958</v>
      </c>
    </row>
    <row r="67" spans="1:5" x14ac:dyDescent="0.2">
      <c r="A67" s="584" t="s">
        <v>347</v>
      </c>
      <c r="B67" s="584" t="s">
        <v>959</v>
      </c>
      <c r="C67" s="584" t="s">
        <v>960</v>
      </c>
      <c r="D67" s="584" t="s">
        <v>961</v>
      </c>
      <c r="E67" s="584" t="s">
        <v>961</v>
      </c>
    </row>
    <row r="68" spans="1:5" x14ac:dyDescent="0.2">
      <c r="A68" s="584" t="s">
        <v>348</v>
      </c>
      <c r="B68" s="584" t="s">
        <v>962</v>
      </c>
      <c r="C68" s="584" t="s">
        <v>963</v>
      </c>
      <c r="D68" s="584" t="s">
        <v>964</v>
      </c>
      <c r="E68" s="584" t="s">
        <v>964</v>
      </c>
    </row>
    <row r="69" spans="1:5" x14ac:dyDescent="0.2">
      <c r="A69" s="90" t="s">
        <v>189</v>
      </c>
      <c r="B69" s="90" t="s">
        <v>965</v>
      </c>
      <c r="C69" s="90" t="s">
        <v>966</v>
      </c>
      <c r="D69" s="90" t="s">
        <v>967</v>
      </c>
      <c r="E69" s="90" t="s">
        <v>968</v>
      </c>
    </row>
    <row r="70" spans="1:5" x14ac:dyDescent="0.2">
      <c r="A70" s="90" t="s">
        <v>196</v>
      </c>
      <c r="B70" s="90" t="s">
        <v>969</v>
      </c>
      <c r="C70" s="90" t="s">
        <v>970</v>
      </c>
      <c r="D70" s="90" t="s">
        <v>971</v>
      </c>
      <c r="E70" s="90" t="s">
        <v>972</v>
      </c>
    </row>
    <row r="71" spans="1:5" x14ac:dyDescent="0.2">
      <c r="A71" s="90" t="s">
        <v>385</v>
      </c>
      <c r="B71" s="90" t="s">
        <v>973</v>
      </c>
      <c r="C71" s="90" t="s">
        <v>974</v>
      </c>
      <c r="D71" s="90" t="s">
        <v>975</v>
      </c>
      <c r="E71" s="90" t="s">
        <v>976</v>
      </c>
    </row>
    <row r="72" spans="1:5" x14ac:dyDescent="0.2">
      <c r="A72" s="90" t="s">
        <v>387</v>
      </c>
      <c r="B72" s="90" t="s">
        <v>977</v>
      </c>
      <c r="C72" s="90" t="s">
        <v>978</v>
      </c>
      <c r="D72" s="90" t="s">
        <v>979</v>
      </c>
      <c r="E72" s="90" t="s">
        <v>980</v>
      </c>
    </row>
    <row r="73" spans="1:5" x14ac:dyDescent="0.2">
      <c r="A73" s="90" t="s">
        <v>388</v>
      </c>
      <c r="B73" s="90" t="s">
        <v>981</v>
      </c>
      <c r="C73" s="90" t="s">
        <v>982</v>
      </c>
      <c r="D73" s="90" t="s">
        <v>983</v>
      </c>
      <c r="E73" s="90" t="s">
        <v>984</v>
      </c>
    </row>
    <row r="74" spans="1:5" x14ac:dyDescent="0.2">
      <c r="A74" s="90" t="s">
        <v>384</v>
      </c>
      <c r="B74" s="90" t="s">
        <v>985</v>
      </c>
      <c r="C74" s="90" t="s">
        <v>986</v>
      </c>
      <c r="D74" s="90" t="s">
        <v>987</v>
      </c>
      <c r="E74" s="90" t="s">
        <v>988</v>
      </c>
    </row>
    <row r="75" spans="1:5" x14ac:dyDescent="0.2">
      <c r="A75" s="90" t="s">
        <v>391</v>
      </c>
      <c r="B75" s="90" t="s">
        <v>989</v>
      </c>
      <c r="C75" s="90" t="s">
        <v>990</v>
      </c>
      <c r="D75" s="90" t="s">
        <v>991</v>
      </c>
      <c r="E75" s="90" t="s">
        <v>992</v>
      </c>
    </row>
    <row r="76" spans="1:5" x14ac:dyDescent="0.2">
      <c r="A76" s="90" t="s">
        <v>394</v>
      </c>
      <c r="B76" s="90" t="s">
        <v>993</v>
      </c>
      <c r="C76" s="90" t="s">
        <v>994</v>
      </c>
      <c r="D76" s="90" t="s">
        <v>995</v>
      </c>
      <c r="E76" s="90" t="s">
        <v>996</v>
      </c>
    </row>
    <row r="77" spans="1:5" x14ac:dyDescent="0.2">
      <c r="A77" s="90" t="s">
        <v>392</v>
      </c>
      <c r="B77" s="90" t="s">
        <v>997</v>
      </c>
      <c r="C77" s="90" t="s">
        <v>998</v>
      </c>
      <c r="D77" s="90" t="s">
        <v>999</v>
      </c>
      <c r="E77" s="90" t="s">
        <v>1000</v>
      </c>
    </row>
    <row r="78" spans="1:5" x14ac:dyDescent="0.2">
      <c r="A78" s="90" t="s">
        <v>383</v>
      </c>
      <c r="B78" s="90" t="s">
        <v>1001</v>
      </c>
      <c r="C78" s="90" t="s">
        <v>1002</v>
      </c>
      <c r="D78" s="90" t="s">
        <v>1003</v>
      </c>
      <c r="E78" s="90" t="s">
        <v>1004</v>
      </c>
    </row>
    <row r="79" spans="1:5" x14ac:dyDescent="0.2">
      <c r="A79" s="90" t="s">
        <v>393</v>
      </c>
      <c r="B79" s="90" t="s">
        <v>1005</v>
      </c>
      <c r="C79" s="90" t="s">
        <v>1006</v>
      </c>
      <c r="D79" s="90" t="s">
        <v>1007</v>
      </c>
      <c r="E79" s="90" t="s">
        <v>1008</v>
      </c>
    </row>
    <row r="80" spans="1:5" x14ac:dyDescent="0.2">
      <c r="A80" s="90" t="s">
        <v>395</v>
      </c>
      <c r="B80" s="90" t="s">
        <v>1009</v>
      </c>
      <c r="C80" s="90" t="s">
        <v>1010</v>
      </c>
      <c r="D80" s="90" t="s">
        <v>1011</v>
      </c>
      <c r="E80" s="90" t="s">
        <v>1012</v>
      </c>
    </row>
    <row r="81" spans="1:5" x14ac:dyDescent="0.2">
      <c r="A81" s="665" t="s">
        <v>396</v>
      </c>
      <c r="B81" s="665" t="s">
        <v>1013</v>
      </c>
      <c r="C81" s="665" t="s">
        <v>1014</v>
      </c>
      <c r="D81" s="665" t="s">
        <v>1015</v>
      </c>
      <c r="E81" s="665" t="s">
        <v>1016</v>
      </c>
    </row>
    <row r="82" spans="1:5" x14ac:dyDescent="0.2">
      <c r="A82" s="665" t="s">
        <v>401</v>
      </c>
      <c r="B82" s="665" t="s">
        <v>1017</v>
      </c>
      <c r="C82" s="665" t="s">
        <v>1018</v>
      </c>
      <c r="D82" s="665" t="s">
        <v>1019</v>
      </c>
      <c r="E82" s="665" t="s">
        <v>1020</v>
      </c>
    </row>
    <row r="83" spans="1:5" x14ac:dyDescent="0.2">
      <c r="A83" s="665" t="s">
        <v>404</v>
      </c>
      <c r="B83" s="665" t="s">
        <v>1021</v>
      </c>
      <c r="C83" s="665" t="s">
        <v>1022</v>
      </c>
      <c r="D83" s="665" t="s">
        <v>1023</v>
      </c>
      <c r="E83" s="665" t="s">
        <v>1024</v>
      </c>
    </row>
    <row r="84" spans="1:5" x14ac:dyDescent="0.2">
      <c r="A84" s="665" t="s">
        <v>435</v>
      </c>
      <c r="B84" s="665" t="s">
        <v>1025</v>
      </c>
      <c r="C84" s="665" t="s">
        <v>1026</v>
      </c>
      <c r="D84" s="665" t="s">
        <v>1027</v>
      </c>
      <c r="E84" s="665" t="s">
        <v>1028</v>
      </c>
    </row>
    <row r="85" spans="1:5" x14ac:dyDescent="0.2">
      <c r="A85" s="665" t="s">
        <v>436</v>
      </c>
      <c r="B85" s="665" t="s">
        <v>1029</v>
      </c>
      <c r="C85" s="665" t="s">
        <v>1030</v>
      </c>
      <c r="D85" s="665" t="s">
        <v>1031</v>
      </c>
      <c r="E85" s="665" t="s">
        <v>1032</v>
      </c>
    </row>
    <row r="86" spans="1:5" x14ac:dyDescent="0.2">
      <c r="A86" s="738" t="s">
        <v>438</v>
      </c>
      <c r="B86" s="738" t="s">
        <v>1033</v>
      </c>
      <c r="C86" s="738" t="s">
        <v>1034</v>
      </c>
      <c r="D86" s="738" t="s">
        <v>1035</v>
      </c>
      <c r="E86" s="738" t="s">
        <v>1036</v>
      </c>
    </row>
    <row r="87" spans="1:5" x14ac:dyDescent="0.2">
      <c r="A87" s="662" t="s">
        <v>399</v>
      </c>
      <c r="B87" s="666" t="s">
        <v>399</v>
      </c>
      <c r="C87" s="666" t="s">
        <v>1037</v>
      </c>
      <c r="D87" s="666" t="s">
        <v>399</v>
      </c>
      <c r="E87" s="666" t="s">
        <v>399</v>
      </c>
    </row>
    <row r="88" spans="1:5" x14ac:dyDescent="0.2">
      <c r="A88" s="662" t="s">
        <v>446</v>
      </c>
      <c r="B88" s="666" t="s">
        <v>446</v>
      </c>
      <c r="C88" s="666" t="s">
        <v>1038</v>
      </c>
      <c r="D88" s="666" t="s">
        <v>446</v>
      </c>
      <c r="E88" s="666" t="s">
        <v>446</v>
      </c>
    </row>
    <row r="89" spans="1:5" x14ac:dyDescent="0.2">
      <c r="A89" s="662" t="s">
        <v>389</v>
      </c>
      <c r="B89" s="662" t="s">
        <v>389</v>
      </c>
      <c r="C89" s="662" t="s">
        <v>1039</v>
      </c>
      <c r="D89" s="662" t="s">
        <v>389</v>
      </c>
      <c r="E89" s="662" t="s">
        <v>389</v>
      </c>
    </row>
    <row r="90" spans="1:5" x14ac:dyDescent="0.2">
      <c r="A90" s="662" t="s">
        <v>398</v>
      </c>
      <c r="B90" s="662" t="s">
        <v>398</v>
      </c>
      <c r="C90" s="662" t="s">
        <v>1040</v>
      </c>
      <c r="D90" s="662" t="s">
        <v>398</v>
      </c>
      <c r="E90" s="662" t="s">
        <v>398</v>
      </c>
    </row>
    <row r="91" spans="1:5" x14ac:dyDescent="0.2">
      <c r="A91" s="662" t="s">
        <v>440</v>
      </c>
      <c r="B91" s="662" t="s">
        <v>1041</v>
      </c>
      <c r="C91" s="662" t="s">
        <v>1042</v>
      </c>
      <c r="D91" s="662" t="s">
        <v>1043</v>
      </c>
      <c r="E91" s="662" t="s">
        <v>1044</v>
      </c>
    </row>
    <row r="92" spans="1:5" x14ac:dyDescent="0.2">
      <c r="A92" s="662" t="s">
        <v>1045</v>
      </c>
      <c r="B92" s="662" t="s">
        <v>1046</v>
      </c>
      <c r="C92" s="662" t="s">
        <v>1047</v>
      </c>
      <c r="D92" s="662" t="s">
        <v>1048</v>
      </c>
      <c r="E92" s="662" t="s">
        <v>1046</v>
      </c>
    </row>
    <row r="93" spans="1:5" x14ac:dyDescent="0.2">
      <c r="A93" s="662" t="s">
        <v>444</v>
      </c>
      <c r="B93" s="662" t="s">
        <v>1049</v>
      </c>
      <c r="C93" s="662" t="s">
        <v>1050</v>
      </c>
      <c r="D93" s="662" t="s">
        <v>1051</v>
      </c>
      <c r="E93" s="662" t="s">
        <v>1049</v>
      </c>
    </row>
    <row r="94" spans="1:5" x14ac:dyDescent="0.2">
      <c r="A94" s="667" t="s">
        <v>461</v>
      </c>
      <c r="B94" s="668" t="s">
        <v>1052</v>
      </c>
      <c r="C94" s="668" t="s">
        <v>461</v>
      </c>
      <c r="D94" s="668" t="s">
        <v>1053</v>
      </c>
      <c r="E94" s="668" t="s">
        <v>1053</v>
      </c>
    </row>
    <row r="95" spans="1:5" x14ac:dyDescent="0.2">
      <c r="A95" s="667" t="s">
        <v>544</v>
      </c>
      <c r="B95" s="668" t="s">
        <v>1054</v>
      </c>
      <c r="C95" s="668" t="s">
        <v>1055</v>
      </c>
      <c r="D95" s="668" t="s">
        <v>1056</v>
      </c>
      <c r="E95" s="668" t="s">
        <v>1056</v>
      </c>
    </row>
    <row r="96" spans="1:5" x14ac:dyDescent="0.2">
      <c r="A96" s="667" t="s">
        <v>543</v>
      </c>
      <c r="B96" s="668" t="s">
        <v>1057</v>
      </c>
      <c r="C96" s="668" t="s">
        <v>1058</v>
      </c>
      <c r="D96" s="668" t="s">
        <v>1059</v>
      </c>
      <c r="E96" s="668" t="s">
        <v>1060</v>
      </c>
    </row>
    <row r="97" spans="1:5" x14ac:dyDescent="0.2">
      <c r="A97" s="667" t="s">
        <v>540</v>
      </c>
      <c r="B97" s="668" t="s">
        <v>1061</v>
      </c>
      <c r="C97" s="668" t="s">
        <v>1062</v>
      </c>
      <c r="D97" s="668" t="s">
        <v>1063</v>
      </c>
      <c r="E97" s="668" t="s">
        <v>1064</v>
      </c>
    </row>
    <row r="98" spans="1:5" x14ac:dyDescent="0.2">
      <c r="A98" s="667" t="s">
        <v>545</v>
      </c>
      <c r="B98" s="668" t="s">
        <v>1065</v>
      </c>
      <c r="C98" s="668" t="s">
        <v>1066</v>
      </c>
      <c r="D98" s="668" t="s">
        <v>1067</v>
      </c>
      <c r="E98" s="668" t="s">
        <v>1067</v>
      </c>
    </row>
    <row r="99" spans="1:5" x14ac:dyDescent="0.2">
      <c r="A99" s="667" t="s">
        <v>466</v>
      </c>
      <c r="B99" s="668" t="s">
        <v>1068</v>
      </c>
      <c r="C99" s="668" t="s">
        <v>1069</v>
      </c>
      <c r="D99" s="668" t="s">
        <v>1070</v>
      </c>
      <c r="E99" s="668" t="s">
        <v>1071</v>
      </c>
    </row>
    <row r="100" spans="1:5" x14ac:dyDescent="0.2">
      <c r="A100" s="667" t="s">
        <v>676</v>
      </c>
      <c r="B100" s="669" t="s">
        <v>1072</v>
      </c>
      <c r="C100" s="669" t="s">
        <v>1073</v>
      </c>
      <c r="D100" s="669" t="s">
        <v>1074</v>
      </c>
      <c r="E100" s="669" t="s">
        <v>1074</v>
      </c>
    </row>
    <row r="101" spans="1:5" x14ac:dyDescent="0.2">
      <c r="A101" s="670" t="s">
        <v>463</v>
      </c>
      <c r="B101" s="671" t="s">
        <v>463</v>
      </c>
      <c r="C101" s="671" t="s">
        <v>463</v>
      </c>
      <c r="D101" s="671" t="s">
        <v>463</v>
      </c>
      <c r="E101" s="671" t="s">
        <v>463</v>
      </c>
    </row>
    <row r="102" spans="1:5" x14ac:dyDescent="0.2">
      <c r="A102" s="670" t="s">
        <v>465</v>
      </c>
      <c r="B102" s="671" t="s">
        <v>1075</v>
      </c>
      <c r="C102" s="671" t="s">
        <v>1076</v>
      </c>
      <c r="D102" s="671" t="s">
        <v>1077</v>
      </c>
      <c r="E102" s="671" t="s">
        <v>1077</v>
      </c>
    </row>
    <row r="103" spans="1:5" x14ac:dyDescent="0.2">
      <c r="A103" s="670" t="s">
        <v>457</v>
      </c>
      <c r="B103" s="671" t="s">
        <v>1078</v>
      </c>
      <c r="C103" s="671" t="s">
        <v>1079</v>
      </c>
      <c r="D103" s="671" t="s">
        <v>1080</v>
      </c>
      <c r="E103" s="671" t="s">
        <v>1080</v>
      </c>
    </row>
    <row r="104" spans="1:5" x14ac:dyDescent="0.2">
      <c r="A104" s="670" t="s">
        <v>538</v>
      </c>
      <c r="B104" s="671" t="s">
        <v>1081</v>
      </c>
      <c r="C104" s="671" t="s">
        <v>1082</v>
      </c>
      <c r="D104" s="671" t="s">
        <v>1083</v>
      </c>
      <c r="E104" s="671" t="s">
        <v>1083</v>
      </c>
    </row>
    <row r="105" spans="1:5" x14ac:dyDescent="0.2">
      <c r="A105" s="670" t="s">
        <v>539</v>
      </c>
      <c r="B105" s="671" t="s">
        <v>1084</v>
      </c>
      <c r="C105" s="671" t="s">
        <v>539</v>
      </c>
      <c r="D105" s="671" t="s">
        <v>1085</v>
      </c>
      <c r="E105" s="671" t="s">
        <v>1085</v>
      </c>
    </row>
    <row r="106" spans="1:5" x14ac:dyDescent="0.2">
      <c r="A106" s="670" t="s">
        <v>552</v>
      </c>
      <c r="B106" s="671" t="s">
        <v>1086</v>
      </c>
      <c r="C106" s="671" t="s">
        <v>1087</v>
      </c>
      <c r="D106" s="671" t="s">
        <v>1088</v>
      </c>
      <c r="E106" s="671" t="s">
        <v>1089</v>
      </c>
    </row>
    <row r="107" spans="1:5" x14ac:dyDescent="0.2">
      <c r="A107" s="670" t="s">
        <v>554</v>
      </c>
      <c r="B107" s="671" t="s">
        <v>1090</v>
      </c>
      <c r="C107" s="671" t="s">
        <v>1091</v>
      </c>
      <c r="D107" s="671" t="s">
        <v>1092</v>
      </c>
      <c r="E107" s="671" t="s">
        <v>1093</v>
      </c>
    </row>
    <row r="108" spans="1:5" x14ac:dyDescent="0.2">
      <c r="A108" s="670" t="s">
        <v>556</v>
      </c>
      <c r="B108" s="671" t="s">
        <v>1094</v>
      </c>
      <c r="C108" s="671" t="s">
        <v>1095</v>
      </c>
      <c r="D108" s="671" t="s">
        <v>1096</v>
      </c>
      <c r="E108" s="671" t="s">
        <v>1096</v>
      </c>
    </row>
    <row r="109" spans="1:5" x14ac:dyDescent="0.2">
      <c r="A109" s="670" t="s">
        <v>560</v>
      </c>
      <c r="B109" s="671" t="s">
        <v>1097</v>
      </c>
      <c r="C109" s="671" t="s">
        <v>1098</v>
      </c>
      <c r="D109" s="671" t="s">
        <v>1099</v>
      </c>
      <c r="E109" s="671" t="s">
        <v>1099</v>
      </c>
    </row>
    <row r="110" spans="1:5" x14ac:dyDescent="0.2">
      <c r="A110" s="670" t="s">
        <v>558</v>
      </c>
      <c r="B110" s="671" t="s">
        <v>1100</v>
      </c>
      <c r="C110" s="671" t="s">
        <v>1101</v>
      </c>
      <c r="D110" s="671" t="s">
        <v>1102</v>
      </c>
      <c r="E110" s="671" t="s">
        <v>1102</v>
      </c>
    </row>
    <row r="111" spans="1:5" x14ac:dyDescent="0.2">
      <c r="A111" s="672" t="s">
        <v>447</v>
      </c>
      <c r="B111" s="672" t="s">
        <v>1103</v>
      </c>
      <c r="C111" s="672" t="s">
        <v>1104</v>
      </c>
      <c r="D111" s="672" t="s">
        <v>1105</v>
      </c>
      <c r="E111" s="672" t="s">
        <v>1106</v>
      </c>
    </row>
    <row r="112" spans="1:5" x14ac:dyDescent="0.2">
      <c r="A112" s="672" t="s">
        <v>549</v>
      </c>
      <c r="B112" s="672" t="s">
        <v>1107</v>
      </c>
      <c r="C112" s="672" t="s">
        <v>1108</v>
      </c>
      <c r="D112" s="672" t="s">
        <v>1109</v>
      </c>
      <c r="E112" s="672" t="s">
        <v>1110</v>
      </c>
    </row>
    <row r="113" spans="1:5" x14ac:dyDescent="0.2">
      <c r="A113" s="672" t="s">
        <v>507</v>
      </c>
      <c r="B113" s="672" t="s">
        <v>1111</v>
      </c>
      <c r="C113" s="672" t="s">
        <v>1112</v>
      </c>
      <c r="D113" s="672" t="s">
        <v>1113</v>
      </c>
      <c r="E113" s="672" t="s">
        <v>1114</v>
      </c>
    </row>
    <row r="114" spans="1:5" x14ac:dyDescent="0.2">
      <c r="A114" s="672" t="s">
        <v>493</v>
      </c>
      <c r="B114" s="672" t="s">
        <v>1115</v>
      </c>
      <c r="C114" s="672" t="s">
        <v>1116</v>
      </c>
      <c r="D114" s="672" t="s">
        <v>1117</v>
      </c>
      <c r="E114" s="672" t="s">
        <v>1118</v>
      </c>
    </row>
    <row r="115" spans="1:5" x14ac:dyDescent="0.2">
      <c r="A115" s="672" t="s">
        <v>452</v>
      </c>
      <c r="B115" s="672" t="s">
        <v>1119</v>
      </c>
      <c r="C115" s="672" t="s">
        <v>1120</v>
      </c>
      <c r="D115" s="672" t="s">
        <v>1121</v>
      </c>
      <c r="E115" s="672" t="s">
        <v>1122</v>
      </c>
    </row>
    <row r="116" spans="1:5" x14ac:dyDescent="0.2">
      <c r="A116" s="672" t="s">
        <v>572</v>
      </c>
      <c r="B116" s="673" t="s">
        <v>1123</v>
      </c>
      <c r="C116" s="673" t="s">
        <v>1124</v>
      </c>
      <c r="D116" s="673" t="s">
        <v>1125</v>
      </c>
      <c r="E116" s="673" t="s">
        <v>1125</v>
      </c>
    </row>
    <row r="117" spans="1:5" x14ac:dyDescent="0.2">
      <c r="A117" s="672" t="s">
        <v>575</v>
      </c>
      <c r="B117" s="673" t="s">
        <v>1126</v>
      </c>
      <c r="C117" s="673" t="s">
        <v>1127</v>
      </c>
      <c r="D117" s="673" t="s">
        <v>1128</v>
      </c>
      <c r="E117" s="673" t="s">
        <v>1128</v>
      </c>
    </row>
    <row r="118" spans="1:5" x14ac:dyDescent="0.2">
      <c r="A118" s="672" t="s">
        <v>571</v>
      </c>
      <c r="B118" s="673" t="s">
        <v>1129</v>
      </c>
      <c r="C118" s="673" t="s">
        <v>1130</v>
      </c>
      <c r="D118" s="673" t="s">
        <v>1131</v>
      </c>
      <c r="E118" s="673" t="s">
        <v>1131</v>
      </c>
    </row>
    <row r="119" spans="1:5" x14ac:dyDescent="0.2">
      <c r="A119" s="672" t="s">
        <v>566</v>
      </c>
      <c r="B119" s="673" t="s">
        <v>1132</v>
      </c>
      <c r="C119" s="673" t="s">
        <v>1133</v>
      </c>
      <c r="D119" s="673" t="s">
        <v>1134</v>
      </c>
      <c r="E119" s="673" t="s">
        <v>1134</v>
      </c>
    </row>
    <row r="120" spans="1:5" x14ac:dyDescent="0.2">
      <c r="A120" s="672" t="s">
        <v>581</v>
      </c>
      <c r="B120" s="673" t="s">
        <v>1135</v>
      </c>
      <c r="C120" s="673" t="s">
        <v>1136</v>
      </c>
      <c r="D120" s="673" t="s">
        <v>1137</v>
      </c>
      <c r="E120" s="673" t="s">
        <v>1137</v>
      </c>
    </row>
    <row r="121" spans="1:5" x14ac:dyDescent="0.2">
      <c r="A121" s="672" t="s">
        <v>587</v>
      </c>
      <c r="B121" s="673" t="s">
        <v>1138</v>
      </c>
      <c r="C121" s="673" t="s">
        <v>1139</v>
      </c>
      <c r="D121" s="673" t="s">
        <v>1140</v>
      </c>
      <c r="E121" s="673" t="s">
        <v>1140</v>
      </c>
    </row>
    <row r="122" spans="1:5" x14ac:dyDescent="0.2">
      <c r="A122" s="672" t="s">
        <v>585</v>
      </c>
      <c r="B122" s="673" t="s">
        <v>1141</v>
      </c>
      <c r="C122" s="673" t="s">
        <v>1142</v>
      </c>
      <c r="D122" s="673" t="s">
        <v>1143</v>
      </c>
      <c r="E122" s="673" t="s">
        <v>1143</v>
      </c>
    </row>
    <row r="123" spans="1:5" x14ac:dyDescent="0.2">
      <c r="A123" s="672" t="s">
        <v>589</v>
      </c>
      <c r="B123" s="673" t="s">
        <v>1144</v>
      </c>
      <c r="C123" s="673" t="s">
        <v>1145</v>
      </c>
      <c r="D123" s="673" t="s">
        <v>1146</v>
      </c>
      <c r="E123" s="673" t="s">
        <v>1146</v>
      </c>
    </row>
    <row r="124" spans="1:5" x14ac:dyDescent="0.2">
      <c r="A124" s="672" t="s">
        <v>613</v>
      </c>
      <c r="B124" s="673" t="s">
        <v>1147</v>
      </c>
      <c r="C124" s="673" t="s">
        <v>1148</v>
      </c>
      <c r="D124" s="673" t="s">
        <v>1149</v>
      </c>
      <c r="E124" s="673" t="s">
        <v>1149</v>
      </c>
    </row>
    <row r="125" spans="1:5" x14ac:dyDescent="0.2">
      <c r="A125" s="672" t="s">
        <v>598</v>
      </c>
      <c r="B125" s="673" t="s">
        <v>1150</v>
      </c>
      <c r="C125" s="673" t="s">
        <v>1151</v>
      </c>
      <c r="D125" s="673" t="s">
        <v>1152</v>
      </c>
      <c r="E125" s="673" t="s">
        <v>1152</v>
      </c>
    </row>
    <row r="126" spans="1:5" x14ac:dyDescent="0.2">
      <c r="A126" s="672" t="s">
        <v>614</v>
      </c>
      <c r="B126" s="673" t="s">
        <v>1153</v>
      </c>
      <c r="C126" s="673" t="s">
        <v>1154</v>
      </c>
      <c r="D126" s="673" t="s">
        <v>1155</v>
      </c>
      <c r="E126" s="673" t="s">
        <v>1155</v>
      </c>
    </row>
    <row r="127" spans="1:5" x14ac:dyDescent="0.2">
      <c r="A127" s="672" t="s">
        <v>643</v>
      </c>
      <c r="B127" s="673" t="s">
        <v>1156</v>
      </c>
      <c r="C127" s="673" t="s">
        <v>1157</v>
      </c>
      <c r="D127" s="673" t="s">
        <v>1158</v>
      </c>
      <c r="E127" s="673" t="s">
        <v>1158</v>
      </c>
    </row>
    <row r="128" spans="1:5" x14ac:dyDescent="0.2">
      <c r="A128" s="672" t="s">
        <v>636</v>
      </c>
      <c r="B128" s="673" t="s">
        <v>1159</v>
      </c>
      <c r="C128" s="673" t="s">
        <v>1160</v>
      </c>
      <c r="D128" s="673" t="s">
        <v>1161</v>
      </c>
      <c r="E128" s="673" t="s">
        <v>1161</v>
      </c>
    </row>
    <row r="129" spans="1:5" x14ac:dyDescent="0.2">
      <c r="A129" s="672" t="s">
        <v>644</v>
      </c>
      <c r="B129" s="673" t="s">
        <v>1162</v>
      </c>
      <c r="C129" s="673" t="s">
        <v>1163</v>
      </c>
      <c r="D129" s="673" t="s">
        <v>1164</v>
      </c>
      <c r="E129" s="673" t="s">
        <v>1164</v>
      </c>
    </row>
    <row r="130" spans="1:5" x14ac:dyDescent="0.2">
      <c r="A130" s="672" t="s">
        <v>578</v>
      </c>
      <c r="B130" s="673" t="s">
        <v>1165</v>
      </c>
      <c r="C130" s="673" t="s">
        <v>1166</v>
      </c>
      <c r="D130" s="673" t="s">
        <v>1167</v>
      </c>
      <c r="E130" s="673" t="s">
        <v>1167</v>
      </c>
    </row>
    <row r="131" spans="1:5" x14ac:dyDescent="0.2">
      <c r="A131" s="672" t="s">
        <v>579</v>
      </c>
      <c r="B131" s="673" t="s">
        <v>1168</v>
      </c>
      <c r="C131" s="673" t="s">
        <v>1169</v>
      </c>
      <c r="D131" s="673" t="s">
        <v>1170</v>
      </c>
      <c r="E131" s="673" t="s">
        <v>1170</v>
      </c>
    </row>
    <row r="132" spans="1:5" x14ac:dyDescent="0.2">
      <c r="A132" s="672" t="s">
        <v>567</v>
      </c>
      <c r="B132" s="673" t="s">
        <v>1171</v>
      </c>
      <c r="C132" s="673" t="s">
        <v>1172</v>
      </c>
      <c r="D132" s="673" t="s">
        <v>1173</v>
      </c>
      <c r="E132" s="673" t="s">
        <v>1173</v>
      </c>
    </row>
    <row r="133" spans="1:5" x14ac:dyDescent="0.2">
      <c r="A133" s="672" t="s">
        <v>565</v>
      </c>
      <c r="B133" s="673" t="s">
        <v>1174</v>
      </c>
      <c r="C133" s="673" t="s">
        <v>1175</v>
      </c>
      <c r="D133" s="673" t="s">
        <v>1176</v>
      </c>
      <c r="E133" s="673" t="s">
        <v>1176</v>
      </c>
    </row>
    <row r="134" spans="1:5" x14ac:dyDescent="0.2">
      <c r="A134" s="672" t="s">
        <v>591</v>
      </c>
      <c r="B134" s="673" t="s">
        <v>1177</v>
      </c>
      <c r="C134" s="673" t="s">
        <v>1178</v>
      </c>
      <c r="D134" s="673" t="s">
        <v>1179</v>
      </c>
      <c r="E134" s="673" t="s">
        <v>1179</v>
      </c>
    </row>
    <row r="135" spans="1:5" x14ac:dyDescent="0.2">
      <c r="A135" s="672" t="s">
        <v>595</v>
      </c>
      <c r="B135" s="673" t="s">
        <v>1180</v>
      </c>
      <c r="C135" s="673" t="s">
        <v>1181</v>
      </c>
      <c r="D135" s="673" t="s">
        <v>1182</v>
      </c>
      <c r="E135" s="673" t="s">
        <v>1182</v>
      </c>
    </row>
    <row r="136" spans="1:5" x14ac:dyDescent="0.2">
      <c r="A136" s="672" t="s">
        <v>662</v>
      </c>
      <c r="B136" s="673" t="s">
        <v>1183</v>
      </c>
      <c r="C136" s="673" t="s">
        <v>1184</v>
      </c>
      <c r="D136" s="673" t="s">
        <v>1185</v>
      </c>
      <c r="E136" s="673" t="s">
        <v>1185</v>
      </c>
    </row>
    <row r="137" spans="1:5" x14ac:dyDescent="0.2">
      <c r="A137" s="672" t="s">
        <v>634</v>
      </c>
      <c r="B137" s="673" t="s">
        <v>1186</v>
      </c>
      <c r="C137" s="673" t="s">
        <v>1187</v>
      </c>
      <c r="D137" s="673" t="s">
        <v>1188</v>
      </c>
      <c r="E137" s="673" t="s">
        <v>1188</v>
      </c>
    </row>
    <row r="138" spans="1:5" x14ac:dyDescent="0.2">
      <c r="A138" s="606" t="s">
        <v>475</v>
      </c>
      <c r="B138" s="606" t="s">
        <v>1189</v>
      </c>
      <c r="C138" s="606" t="s">
        <v>1190</v>
      </c>
      <c r="D138" s="606" t="s">
        <v>1191</v>
      </c>
      <c r="E138" s="606" t="s">
        <v>1191</v>
      </c>
    </row>
    <row r="139" spans="1:5" x14ac:dyDescent="0.2">
      <c r="A139" s="606" t="s">
        <v>460</v>
      </c>
      <c r="B139" s="606" t="s">
        <v>1192</v>
      </c>
      <c r="C139" s="606" t="s">
        <v>1193</v>
      </c>
      <c r="D139" s="606" t="s">
        <v>1194</v>
      </c>
      <c r="E139" s="606" t="s">
        <v>1194</v>
      </c>
    </row>
    <row r="140" spans="1:5" x14ac:dyDescent="0.2">
      <c r="A140" s="606" t="s">
        <v>456</v>
      </c>
      <c r="B140" s="606" t="s">
        <v>1195</v>
      </c>
      <c r="C140" s="606" t="s">
        <v>1196</v>
      </c>
      <c r="D140" s="606" t="s">
        <v>1197</v>
      </c>
      <c r="E140" s="606" t="s">
        <v>1198</v>
      </c>
    </row>
    <row r="141" spans="1:5" x14ac:dyDescent="0.2">
      <c r="A141" s="606" t="s">
        <v>451</v>
      </c>
      <c r="B141" s="606" t="s">
        <v>1199</v>
      </c>
      <c r="C141" s="606" t="s">
        <v>1200</v>
      </c>
      <c r="D141" s="606" t="s">
        <v>1201</v>
      </c>
      <c r="E141" s="606" t="s">
        <v>1202</v>
      </c>
    </row>
    <row r="142" spans="1:5" x14ac:dyDescent="0.2">
      <c r="A142" s="606" t="s">
        <v>480</v>
      </c>
      <c r="B142" s="606" t="s">
        <v>1203</v>
      </c>
      <c r="C142" s="606" t="s">
        <v>1204</v>
      </c>
      <c r="D142" s="606" t="s">
        <v>1205</v>
      </c>
      <c r="E142" s="606" t="s">
        <v>1206</v>
      </c>
    </row>
    <row r="143" spans="1:5" x14ac:dyDescent="0.2">
      <c r="A143" s="606" t="s">
        <v>488</v>
      </c>
      <c r="B143" s="606" t="s">
        <v>1207</v>
      </c>
      <c r="C143" s="606" t="s">
        <v>1208</v>
      </c>
      <c r="D143" s="606" t="s">
        <v>1209</v>
      </c>
      <c r="E143" s="606" t="s">
        <v>1210</v>
      </c>
    </row>
    <row r="144" spans="1:5" x14ac:dyDescent="0.2">
      <c r="A144" s="606" t="s">
        <v>468</v>
      </c>
      <c r="B144" s="606" t="s">
        <v>1211</v>
      </c>
      <c r="C144" s="606" t="s">
        <v>1212</v>
      </c>
      <c r="D144" s="606" t="s">
        <v>1213</v>
      </c>
      <c r="E144" s="606" t="s">
        <v>1213</v>
      </c>
    </row>
    <row r="145" spans="1:5" x14ac:dyDescent="0.2">
      <c r="A145" s="606" t="s">
        <v>479</v>
      </c>
      <c r="B145" s="606" t="s">
        <v>1214</v>
      </c>
      <c r="C145" s="606" t="s">
        <v>1215</v>
      </c>
      <c r="D145" s="606" t="s">
        <v>1216</v>
      </c>
      <c r="E145" s="606" t="s">
        <v>1217</v>
      </c>
    </row>
    <row r="146" spans="1:5" x14ac:dyDescent="0.2">
      <c r="A146" s="606" t="s">
        <v>506</v>
      </c>
      <c r="B146" s="606" t="s">
        <v>1218</v>
      </c>
      <c r="C146" s="606" t="s">
        <v>1219</v>
      </c>
      <c r="D146" s="606" t="s">
        <v>1220</v>
      </c>
      <c r="E146" s="606" t="s">
        <v>1221</v>
      </c>
    </row>
    <row r="147" spans="1:5" x14ac:dyDescent="0.2">
      <c r="A147" s="606" t="s">
        <v>485</v>
      </c>
      <c r="B147" s="596" t="s">
        <v>1222</v>
      </c>
      <c r="C147" s="596" t="s">
        <v>1223</v>
      </c>
      <c r="D147" s="596" t="s">
        <v>1224</v>
      </c>
      <c r="E147" s="596" t="s">
        <v>1224</v>
      </c>
    </row>
    <row r="148" spans="1:5" x14ac:dyDescent="0.2">
      <c r="A148" s="606" t="s">
        <v>1225</v>
      </c>
      <c r="B148" s="596" t="s">
        <v>1226</v>
      </c>
      <c r="C148" s="596" t="s">
        <v>1227</v>
      </c>
      <c r="D148" s="596" t="s">
        <v>1228</v>
      </c>
      <c r="E148" s="596" t="s">
        <v>1228</v>
      </c>
    </row>
    <row r="149" spans="1:5" x14ac:dyDescent="0.2">
      <c r="A149" s="606" t="s">
        <v>550</v>
      </c>
      <c r="B149" s="596" t="s">
        <v>1229</v>
      </c>
      <c r="C149" s="596" t="s">
        <v>1230</v>
      </c>
      <c r="D149" s="596" t="s">
        <v>1231</v>
      </c>
      <c r="E149" s="596" t="s">
        <v>1231</v>
      </c>
    </row>
    <row r="150" spans="1:5" x14ac:dyDescent="0.2">
      <c r="A150" s="606" t="s">
        <v>1232</v>
      </c>
      <c r="B150" s="596" t="s">
        <v>1233</v>
      </c>
      <c r="C150" s="596" t="s">
        <v>1234</v>
      </c>
      <c r="D150" s="596" t="s">
        <v>1235</v>
      </c>
      <c r="E150" s="596" t="s">
        <v>1235</v>
      </c>
    </row>
    <row r="151" spans="1:5" x14ac:dyDescent="0.2">
      <c r="A151" s="606" t="s">
        <v>481</v>
      </c>
      <c r="B151" s="606" t="s">
        <v>1236</v>
      </c>
      <c r="C151" s="606" t="s">
        <v>1108</v>
      </c>
      <c r="D151" s="606" t="s">
        <v>1237</v>
      </c>
      <c r="E151" s="606" t="s">
        <v>1238</v>
      </c>
    </row>
    <row r="152" spans="1:5" x14ac:dyDescent="0.2">
      <c r="A152" s="606" t="s">
        <v>450</v>
      </c>
      <c r="B152" s="606" t="s">
        <v>1239</v>
      </c>
      <c r="C152" s="606" t="s">
        <v>1112</v>
      </c>
      <c r="D152" s="606" t="s">
        <v>1240</v>
      </c>
      <c r="E152" s="606" t="s">
        <v>1241</v>
      </c>
    </row>
    <row r="153" spans="1:5" x14ac:dyDescent="0.2">
      <c r="A153" s="606" t="s">
        <v>482</v>
      </c>
      <c r="B153" s="606" t="s">
        <v>1242</v>
      </c>
      <c r="C153" s="606" t="s">
        <v>1243</v>
      </c>
      <c r="D153" s="606" t="s">
        <v>1244</v>
      </c>
      <c r="E153" s="606" t="s">
        <v>1245</v>
      </c>
    </row>
    <row r="154" spans="1:5" x14ac:dyDescent="0.2">
      <c r="A154" s="606" t="s">
        <v>661</v>
      </c>
      <c r="B154" s="606" t="s">
        <v>1246</v>
      </c>
      <c r="C154" s="606" t="s">
        <v>1247</v>
      </c>
      <c r="D154" s="606" t="s">
        <v>1248</v>
      </c>
      <c r="E154" s="606" t="s">
        <v>1249</v>
      </c>
    </row>
    <row r="155" spans="1:5" x14ac:dyDescent="0.2">
      <c r="A155" s="606" t="s">
        <v>498</v>
      </c>
      <c r="B155" s="606" t="s">
        <v>1250</v>
      </c>
      <c r="C155" s="606" t="s">
        <v>1251</v>
      </c>
      <c r="D155" s="606" t="s">
        <v>1252</v>
      </c>
      <c r="E155" s="606" t="s">
        <v>1252</v>
      </c>
    </row>
    <row r="156" spans="1:5" x14ac:dyDescent="0.2">
      <c r="A156" s="606" t="s">
        <v>502</v>
      </c>
      <c r="B156" s="606" t="s">
        <v>1253</v>
      </c>
      <c r="C156" s="606" t="s">
        <v>1254</v>
      </c>
      <c r="D156" s="606" t="s">
        <v>1255</v>
      </c>
      <c r="E156" s="606" t="s">
        <v>1255</v>
      </c>
    </row>
    <row r="157" spans="1:5" x14ac:dyDescent="0.2">
      <c r="A157" s="606" t="s">
        <v>663</v>
      </c>
      <c r="B157" s="606" t="s">
        <v>1256</v>
      </c>
      <c r="C157" s="606" t="s">
        <v>1257</v>
      </c>
      <c r="D157" s="606" t="s">
        <v>1258</v>
      </c>
      <c r="E157" s="606" t="s">
        <v>1259</v>
      </c>
    </row>
    <row r="158" spans="1:5" x14ac:dyDescent="0.2">
      <c r="A158" s="606" t="s">
        <v>668</v>
      </c>
      <c r="B158" s="606" t="s">
        <v>1260</v>
      </c>
      <c r="C158" s="606" t="s">
        <v>1261</v>
      </c>
      <c r="D158" s="606" t="s">
        <v>1262</v>
      </c>
      <c r="E158" s="606" t="s">
        <v>1263</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2"/>
  <sheetViews>
    <sheetView zoomScale="150" workbookViewId="0">
      <selection activeCell="G9" sqref="G9"/>
    </sheetView>
  </sheetViews>
  <sheetFormatPr baseColWidth="10" defaultRowHeight="16" x14ac:dyDescent="0.2"/>
  <cols>
    <col min="1" max="1" width="15.6640625" bestFit="1" customWidth="1"/>
    <col min="2" max="2" width="11.83203125" bestFit="1" customWidth="1"/>
    <col min="3" max="3" width="14.6640625" bestFit="1" customWidth="1"/>
    <col min="4" max="4" width="20.33203125" bestFit="1" customWidth="1"/>
    <col min="5" max="5" width="12.1640625" bestFit="1" customWidth="1"/>
  </cols>
  <sheetData>
    <row r="1" spans="1:5" x14ac:dyDescent="0.2">
      <c r="A1" s="735" t="s">
        <v>1264</v>
      </c>
      <c r="B1" s="735" t="s">
        <v>1265</v>
      </c>
      <c r="C1" s="735" t="s">
        <v>1266</v>
      </c>
      <c r="D1" s="735" t="s">
        <v>1267</v>
      </c>
      <c r="E1" s="735" t="s">
        <v>1268</v>
      </c>
    </row>
    <row r="2" spans="1:5" x14ac:dyDescent="0.2">
      <c r="A2" s="620" t="s">
        <v>1269</v>
      </c>
      <c r="B2" s="620" t="s">
        <v>13</v>
      </c>
      <c r="C2" s="620">
        <v>8901064</v>
      </c>
      <c r="D2">
        <v>380317.9</v>
      </c>
      <c r="E2">
        <f t="shared" ref="E2:E32" si="0">D2/C2*10^6</f>
        <v>42727.240249030903</v>
      </c>
    </row>
    <row r="3" spans="1:5" x14ac:dyDescent="0.2">
      <c r="A3" s="620" t="s">
        <v>1270</v>
      </c>
      <c r="B3" s="620" t="s">
        <v>18</v>
      </c>
      <c r="C3" s="620">
        <v>11522440</v>
      </c>
      <c r="D3">
        <v>463750.9</v>
      </c>
      <c r="E3">
        <f t="shared" si="0"/>
        <v>40247.629842290349</v>
      </c>
    </row>
    <row r="4" spans="1:5" x14ac:dyDescent="0.2">
      <c r="A4" s="620" t="s">
        <v>1271</v>
      </c>
      <c r="B4" s="620" t="s">
        <v>20</v>
      </c>
      <c r="C4" s="620">
        <v>6569275</v>
      </c>
      <c r="D4">
        <v>61912.5</v>
      </c>
      <c r="E4">
        <f t="shared" si="0"/>
        <v>9424.5559822050363</v>
      </c>
    </row>
    <row r="5" spans="1:5" x14ac:dyDescent="0.2">
      <c r="A5" s="620" t="s">
        <v>1272</v>
      </c>
      <c r="B5" s="620" t="s">
        <v>22</v>
      </c>
      <c r="C5" s="620">
        <v>3933511</v>
      </c>
      <c r="D5">
        <v>50720.9</v>
      </c>
      <c r="E5">
        <f t="shared" si="0"/>
        <v>12894.561627004476</v>
      </c>
    </row>
    <row r="6" spans="1:5" x14ac:dyDescent="0.2">
      <c r="A6" s="620" t="s">
        <v>1273</v>
      </c>
      <c r="B6" s="620" t="s">
        <v>23</v>
      </c>
      <c r="C6" s="620">
        <v>902429</v>
      </c>
      <c r="D6">
        <v>22373.599999999999</v>
      </c>
      <c r="E6">
        <f t="shared" si="0"/>
        <v>24792.642966925927</v>
      </c>
    </row>
    <row r="7" spans="1:5" x14ac:dyDescent="0.2">
      <c r="A7" s="620" t="s">
        <v>1274</v>
      </c>
      <c r="B7" s="620" t="s">
        <v>24</v>
      </c>
      <c r="C7" s="620">
        <v>10693939</v>
      </c>
      <c r="D7">
        <v>220310.6</v>
      </c>
      <c r="E7">
        <f t="shared" si="0"/>
        <v>20601.445360778664</v>
      </c>
    </row>
    <row r="8" spans="1:5" x14ac:dyDescent="0.2">
      <c r="A8" s="620" t="s">
        <v>1275</v>
      </c>
      <c r="B8" s="620" t="s">
        <v>25</v>
      </c>
      <c r="C8" s="620">
        <v>5822763</v>
      </c>
      <c r="D8">
        <v>312118.3</v>
      </c>
      <c r="E8">
        <f t="shared" si="0"/>
        <v>53603.126213448835</v>
      </c>
    </row>
    <row r="9" spans="1:5" x14ac:dyDescent="0.2">
      <c r="A9" s="620" t="s">
        <v>1276</v>
      </c>
      <c r="B9" s="620" t="s">
        <v>26</v>
      </c>
      <c r="C9" s="620">
        <v>1328889</v>
      </c>
      <c r="D9">
        <v>27859.3</v>
      </c>
      <c r="E9">
        <f t="shared" si="0"/>
        <v>20964.354434418525</v>
      </c>
    </row>
    <row r="10" spans="1:5" x14ac:dyDescent="0.2">
      <c r="A10" s="620" t="s">
        <v>1277</v>
      </c>
      <c r="B10" s="620" t="s">
        <v>27</v>
      </c>
      <c r="C10" s="620">
        <v>5525292</v>
      </c>
      <c r="D10">
        <v>236387</v>
      </c>
      <c r="E10">
        <f t="shared" si="0"/>
        <v>42782.71627997217</v>
      </c>
    </row>
    <row r="11" spans="1:5" x14ac:dyDescent="0.2">
      <c r="A11" s="620" t="s">
        <v>1278</v>
      </c>
      <c r="B11" s="620" t="s">
        <v>28</v>
      </c>
      <c r="C11" s="620">
        <v>67473651</v>
      </c>
      <c r="D11">
        <v>2318276.2000000002</v>
      </c>
      <c r="E11">
        <f t="shared" si="0"/>
        <v>34358.244524221758</v>
      </c>
    </row>
    <row r="12" spans="1:5" x14ac:dyDescent="0.2">
      <c r="A12" s="620" t="s">
        <v>1279</v>
      </c>
      <c r="B12" s="620" t="s">
        <v>30</v>
      </c>
      <c r="C12" s="620">
        <v>83166711</v>
      </c>
      <c r="D12">
        <v>3449620</v>
      </c>
      <c r="E12">
        <f t="shared" si="0"/>
        <v>41478.37468287041</v>
      </c>
    </row>
    <row r="13" spans="1:5" x14ac:dyDescent="0.2">
      <c r="A13" s="620" t="s">
        <v>1280</v>
      </c>
      <c r="B13" s="620" t="s">
        <v>32</v>
      </c>
      <c r="C13" s="620">
        <v>10612591</v>
      </c>
      <c r="D13">
        <v>167539.5</v>
      </c>
      <c r="E13">
        <f t="shared" si="0"/>
        <v>15786.861097351251</v>
      </c>
    </row>
    <row r="14" spans="1:5" x14ac:dyDescent="0.2">
      <c r="A14" s="620" t="s">
        <v>1281</v>
      </c>
      <c r="B14" s="620" t="s">
        <v>34</v>
      </c>
      <c r="C14" s="620">
        <v>9689376</v>
      </c>
      <c r="D14">
        <v>138954.5</v>
      </c>
      <c r="E14">
        <f t="shared" si="0"/>
        <v>14340.913181612521</v>
      </c>
    </row>
    <row r="15" spans="1:5" x14ac:dyDescent="0.2">
      <c r="A15" s="620" t="s">
        <v>1282</v>
      </c>
      <c r="B15" s="620" t="s">
        <v>36</v>
      </c>
      <c r="C15" s="620">
        <v>5012600</v>
      </c>
      <c r="D15">
        <v>381728.7</v>
      </c>
      <c r="E15">
        <f t="shared" si="0"/>
        <v>76153.832342496913</v>
      </c>
    </row>
    <row r="16" spans="1:5" x14ac:dyDescent="0.2">
      <c r="A16" s="620" t="s">
        <v>1283</v>
      </c>
      <c r="B16" s="620" t="s">
        <v>37</v>
      </c>
      <c r="C16" s="620">
        <v>59641488</v>
      </c>
      <c r="D16">
        <v>1670011.9</v>
      </c>
      <c r="E16">
        <f t="shared" si="0"/>
        <v>28000.842299575084</v>
      </c>
    </row>
    <row r="17" spans="1:5" x14ac:dyDescent="0.2">
      <c r="A17" s="620" t="s">
        <v>1284</v>
      </c>
      <c r="B17" s="620" t="s">
        <v>39</v>
      </c>
      <c r="C17" s="620">
        <v>1907675</v>
      </c>
      <c r="D17">
        <v>29224.3</v>
      </c>
      <c r="E17">
        <f t="shared" si="0"/>
        <v>15319.328501972295</v>
      </c>
    </row>
    <row r="18" spans="1:5" x14ac:dyDescent="0.2">
      <c r="A18" s="620" t="s">
        <v>1285</v>
      </c>
      <c r="B18" s="620" t="s">
        <v>40</v>
      </c>
      <c r="C18" s="620">
        <v>2809977</v>
      </c>
      <c r="D18">
        <v>50264.6</v>
      </c>
      <c r="E18">
        <f t="shared" si="0"/>
        <v>17887.90442056999</v>
      </c>
    </row>
    <row r="19" spans="1:5" x14ac:dyDescent="0.2">
      <c r="A19" s="620" t="s">
        <v>1286</v>
      </c>
      <c r="B19" s="620" t="s">
        <v>41</v>
      </c>
      <c r="C19" s="620">
        <v>626108</v>
      </c>
      <c r="D19">
        <v>64499.199999999997</v>
      </c>
      <c r="E19">
        <f t="shared" si="0"/>
        <v>103016.09307020514</v>
      </c>
    </row>
    <row r="20" spans="1:5" x14ac:dyDescent="0.2">
      <c r="A20" s="620" t="s">
        <v>1287</v>
      </c>
      <c r="B20" s="620" t="s">
        <v>42</v>
      </c>
      <c r="C20" s="620">
        <v>514855</v>
      </c>
      <c r="D20">
        <v>14370.5</v>
      </c>
      <c r="E20">
        <f t="shared" si="0"/>
        <v>27911.742140991151</v>
      </c>
    </row>
    <row r="21" spans="1:5" x14ac:dyDescent="0.2">
      <c r="A21" s="620" t="s">
        <v>1288</v>
      </c>
      <c r="B21" s="620" t="s">
        <v>43</v>
      </c>
      <c r="C21" s="620">
        <v>17407585</v>
      </c>
      <c r="D21">
        <v>816463</v>
      </c>
      <c r="E21">
        <f t="shared" si="0"/>
        <v>46902.715109534147</v>
      </c>
    </row>
    <row r="22" spans="1:5" x14ac:dyDescent="0.2">
      <c r="A22" s="620" t="s">
        <v>1289</v>
      </c>
      <c r="B22" s="620" t="s">
        <v>45</v>
      </c>
      <c r="C22" s="620">
        <v>5367580</v>
      </c>
      <c r="D22">
        <v>322823.8</v>
      </c>
      <c r="E22">
        <f t="shared" si="0"/>
        <v>60143.267543287664</v>
      </c>
    </row>
    <row r="23" spans="1:5" x14ac:dyDescent="0.2">
      <c r="A23" s="620" t="s">
        <v>1290</v>
      </c>
      <c r="B23" s="620" t="s">
        <v>46</v>
      </c>
      <c r="C23" s="620">
        <v>37958138</v>
      </c>
      <c r="D23">
        <v>531827.4</v>
      </c>
      <c r="E23">
        <f t="shared" si="0"/>
        <v>14010.892736624754</v>
      </c>
    </row>
    <row r="24" spans="1:5" x14ac:dyDescent="0.2">
      <c r="A24" s="620" t="s">
        <v>1291</v>
      </c>
      <c r="B24" s="620" t="s">
        <v>48</v>
      </c>
      <c r="C24" s="620">
        <v>10375395</v>
      </c>
      <c r="D24">
        <v>201032.7</v>
      </c>
      <c r="E24">
        <f t="shared" si="0"/>
        <v>19375.908097956755</v>
      </c>
    </row>
    <row r="25" spans="1:5" x14ac:dyDescent="0.2">
      <c r="A25" s="620" t="s">
        <v>1292</v>
      </c>
      <c r="B25" s="620" t="s">
        <v>50</v>
      </c>
      <c r="C25" s="620">
        <v>19328838</v>
      </c>
      <c r="D25">
        <v>221075.5</v>
      </c>
      <c r="E25">
        <f t="shared" si="0"/>
        <v>11437.599094161791</v>
      </c>
    </row>
    <row r="26" spans="1:5" x14ac:dyDescent="0.2">
      <c r="A26" s="620" t="s">
        <v>1293</v>
      </c>
      <c r="B26" s="620" t="s">
        <v>52</v>
      </c>
      <c r="C26" s="620">
        <v>5457873</v>
      </c>
      <c r="D26">
        <v>94320.6</v>
      </c>
      <c r="E26">
        <f t="shared" si="0"/>
        <v>17281.567379819942</v>
      </c>
    </row>
    <row r="27" spans="1:5" x14ac:dyDescent="0.2">
      <c r="A27" s="620" t="s">
        <v>1294</v>
      </c>
      <c r="B27" s="620" t="s">
        <v>54</v>
      </c>
      <c r="C27" s="620">
        <v>2095861</v>
      </c>
      <c r="D27">
        <v>46738.7</v>
      </c>
      <c r="E27">
        <f t="shared" si="0"/>
        <v>22300.476987739166</v>
      </c>
    </row>
    <row r="28" spans="1:5" x14ac:dyDescent="0.2">
      <c r="A28" s="620" t="s">
        <v>1295</v>
      </c>
      <c r="B28" s="620" t="s">
        <v>55</v>
      </c>
      <c r="C28" s="620">
        <v>47318050</v>
      </c>
      <c r="D28">
        <v>1129214</v>
      </c>
      <c r="E28">
        <f t="shared" si="0"/>
        <v>23864.339295469697</v>
      </c>
    </row>
    <row r="29" spans="1:5" x14ac:dyDescent="0.2">
      <c r="A29" s="620" t="s">
        <v>1296</v>
      </c>
      <c r="B29" s="620" t="s">
        <v>57</v>
      </c>
      <c r="C29" s="620">
        <v>10327589</v>
      </c>
      <c r="D29">
        <v>478106.9</v>
      </c>
      <c r="E29">
        <f t="shared" si="0"/>
        <v>46294.144741817283</v>
      </c>
    </row>
    <row r="30" spans="1:5" x14ac:dyDescent="0.2">
      <c r="A30" s="620" t="s">
        <v>1297</v>
      </c>
      <c r="B30" s="620" t="s">
        <v>59</v>
      </c>
      <c r="C30" s="620">
        <v>8606033</v>
      </c>
      <c r="D30">
        <v>650742.6</v>
      </c>
      <c r="E30">
        <f t="shared" si="0"/>
        <v>75614.6995950399</v>
      </c>
    </row>
    <row r="31" spans="1:5" x14ac:dyDescent="0.2">
      <c r="A31" s="620" t="s">
        <v>1298</v>
      </c>
      <c r="B31" s="620" t="s">
        <v>60</v>
      </c>
      <c r="C31" s="620">
        <v>67025542</v>
      </c>
      <c r="D31">
        <v>2526615.2000000002</v>
      </c>
      <c r="E31">
        <f t="shared" si="0"/>
        <v>37696.303895610428</v>
      </c>
    </row>
    <row r="32" spans="1:5" x14ac:dyDescent="0.2">
      <c r="A32" s="620" t="s">
        <v>1299</v>
      </c>
      <c r="B32" s="620" t="s">
        <v>1300</v>
      </c>
      <c r="C32">
        <f>SUM(C2:C31)</f>
        <v>527923118</v>
      </c>
      <c r="D32">
        <f>SUM(D2:D31)</f>
        <v>17079200.800000001</v>
      </c>
      <c r="E32">
        <f t="shared" si="0"/>
        <v>32351.681935626089</v>
      </c>
    </row>
  </sheetData>
  <conditionalFormatting sqref="E2:E32">
    <cfRule type="dataBar" priority="1">
      <dataBar>
        <cfvo type="min"/>
        <cfvo type="max"/>
        <color rgb="FFFFB628"/>
      </dataBar>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Input</vt:lpstr>
      <vt:lpstr>MFA1</vt:lpstr>
      <vt:lpstr>MFA2</vt:lpstr>
      <vt:lpstr>EM1</vt:lpstr>
      <vt:lpstr>EM2</vt:lpstr>
      <vt:lpstr>EM3</vt:lpstr>
      <vt:lpstr>Textiles</vt:lpstr>
      <vt:lpstr>Flushing</vt:lpstr>
      <vt:lpstr>Label</vt:lpstr>
      <vt:lpstr>GeoCode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  Danyang</dc:creator>
  <cp:lastModifiedBy>Jiang  Danyang</cp:lastModifiedBy>
  <dcterms:created xsi:type="dcterms:W3CDTF">2025-08-15T08:11:01Z</dcterms:created>
  <dcterms:modified xsi:type="dcterms:W3CDTF">2026-07-24T11:40:35Z</dcterms:modified>
</cp:coreProperties>
</file>